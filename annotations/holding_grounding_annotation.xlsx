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1_Ulster_Uni\MSc_AI\7_COM748_Masters_Project\COM748_Hercules_Audit\annotations\"/>
    </mc:Choice>
  </mc:AlternateContent>
  <xr:revisionPtr revIDLastSave="0" documentId="13_ncr:1_{3F44FC6E-056C-4D81-84E4-8E71770C2F62}" xr6:coauthVersionLast="47" xr6:coauthVersionMax="47" xr10:uidLastSave="{00000000-0000-0000-0000-000000000000}"/>
  <bookViews>
    <workbookView xWindow="-108" yWindow="-108" windowWidth="23256" windowHeight="12456" activeTab="2" xr2:uid="{00000000-000D-0000-FFFF-FFFF00000000}"/>
  </bookViews>
  <sheets>
    <sheet name="Instructions" sheetId="1" r:id="rId1"/>
    <sheet name="Sample Register" sheetId="2" r:id="rId2"/>
    <sheet name="Annotations" sheetId="3" r:id="rId3"/>
    <sheet name="Retrieved Evidence" sheetId="4" r:id="rId4"/>
    <sheet name="Agreement" sheetId="5" r:id="rId5"/>
  </sheets>
  <calcPr calcId="181029"/>
</workbook>
</file>

<file path=xl/calcChain.xml><?xml version="1.0" encoding="utf-8"?>
<calcChain xmlns="http://schemas.openxmlformats.org/spreadsheetml/2006/main">
  <c r="AT116" i="3" l="1"/>
  <c r="H23" i="5"/>
  <c r="G23" i="5"/>
  <c r="F23" i="5"/>
  <c r="E23" i="5"/>
  <c r="D23" i="5"/>
  <c r="H22" i="5"/>
  <c r="G22" i="5"/>
  <c r="F22" i="5"/>
  <c r="E22" i="5"/>
  <c r="D22" i="5"/>
  <c r="H21" i="5"/>
  <c r="G21" i="5"/>
  <c r="F21" i="5"/>
  <c r="E21" i="5"/>
  <c r="D21" i="5"/>
  <c r="H20" i="5"/>
  <c r="G20" i="5"/>
  <c r="F20" i="5"/>
  <c r="E20" i="5"/>
  <c r="D20" i="5"/>
  <c r="H19" i="5"/>
  <c r="G19" i="5"/>
  <c r="F19" i="5"/>
  <c r="E19" i="5"/>
  <c r="D19" i="5"/>
  <c r="H9" i="5"/>
  <c r="G9" i="5"/>
  <c r="F9" i="5"/>
  <c r="E9" i="5"/>
  <c r="D9" i="5"/>
  <c r="B9" i="5"/>
  <c r="H8" i="5"/>
  <c r="G8" i="5"/>
  <c r="F8" i="5"/>
  <c r="E8" i="5"/>
  <c r="D8" i="5"/>
  <c r="B8" i="5"/>
  <c r="H7" i="5"/>
  <c r="G7" i="5"/>
  <c r="F7" i="5"/>
  <c r="E7" i="5"/>
  <c r="D7" i="5"/>
  <c r="B7" i="5"/>
  <c r="H6" i="5"/>
  <c r="G6" i="5"/>
  <c r="F6" i="5"/>
  <c r="E6" i="5"/>
  <c r="D6" i="5"/>
  <c r="B6" i="5"/>
  <c r="H5" i="5"/>
  <c r="G5" i="5"/>
  <c r="F5" i="5"/>
  <c r="E5" i="5"/>
  <c r="D5" i="5"/>
  <c r="B5" i="5"/>
  <c r="B4" i="5"/>
  <c r="P64" i="2"/>
  <c r="P63" i="2"/>
  <c r="P62" i="2"/>
  <c r="P61" i="2"/>
  <c r="P60" i="2"/>
  <c r="P59" i="2"/>
  <c r="P58" i="2"/>
  <c r="P57" i="2"/>
  <c r="P56" i="2"/>
  <c r="AP116" i="3"/>
  <c r="AO116" i="3"/>
  <c r="AT115" i="3"/>
  <c r="AP115" i="3"/>
  <c r="AO115" i="3"/>
  <c r="AT114" i="3"/>
  <c r="AP114" i="3"/>
  <c r="AO114" i="3"/>
  <c r="AT113" i="3"/>
  <c r="AP113" i="3"/>
  <c r="AO113" i="3"/>
  <c r="AT112" i="3"/>
  <c r="AP112" i="3"/>
  <c r="AO112" i="3"/>
  <c r="AT111" i="3"/>
  <c r="AP111" i="3"/>
  <c r="AO111" i="3"/>
  <c r="AT110" i="3"/>
  <c r="AP110" i="3"/>
  <c r="AO110" i="3"/>
  <c r="AT109" i="3"/>
  <c r="AP109" i="3"/>
  <c r="AO109" i="3"/>
  <c r="AT108" i="3"/>
  <c r="AP108" i="3"/>
  <c r="AO108" i="3"/>
  <c r="AT107" i="3"/>
  <c r="AP107" i="3"/>
  <c r="AO107" i="3"/>
  <c r="AT106" i="3"/>
  <c r="AP106" i="3"/>
  <c r="AO106" i="3"/>
  <c r="AT105" i="3"/>
  <c r="AP105" i="3"/>
  <c r="AO105" i="3"/>
  <c r="AT104" i="3"/>
  <c r="AP104" i="3"/>
  <c r="AO104" i="3"/>
  <c r="AT103" i="3"/>
  <c r="AP103" i="3"/>
  <c r="AO103" i="3"/>
  <c r="AT102" i="3"/>
  <c r="AP102" i="3"/>
  <c r="AO102" i="3"/>
  <c r="AT101" i="3"/>
  <c r="AP101" i="3"/>
  <c r="AO101" i="3"/>
  <c r="AT100" i="3"/>
  <c r="AP100" i="3"/>
  <c r="AO100" i="3"/>
  <c r="AT99" i="3"/>
  <c r="P55" i="2" s="1"/>
  <c r="AP99" i="3"/>
  <c r="AO99" i="3"/>
  <c r="AT98" i="3"/>
  <c r="P54" i="2" s="1"/>
  <c r="AP98" i="3"/>
  <c r="AO98" i="3"/>
  <c r="AT97" i="3"/>
  <c r="P53" i="2" s="1"/>
  <c r="AP97" i="3"/>
  <c r="AO97" i="3"/>
  <c r="AT96" i="3"/>
  <c r="AP96" i="3"/>
  <c r="AO96" i="3"/>
  <c r="AT95" i="3"/>
  <c r="AP95" i="3"/>
  <c r="AO95" i="3"/>
  <c r="AT94" i="3"/>
  <c r="AP94" i="3"/>
  <c r="AO94" i="3"/>
  <c r="AT93" i="3"/>
  <c r="AP93" i="3"/>
  <c r="AO93" i="3"/>
  <c r="AT92" i="3"/>
  <c r="AP92" i="3"/>
  <c r="AO92" i="3"/>
  <c r="AT91" i="3"/>
  <c r="AP91" i="3"/>
  <c r="AO91" i="3"/>
  <c r="AT90" i="3"/>
  <c r="AP90" i="3"/>
  <c r="AO90" i="3"/>
  <c r="AT89" i="3"/>
  <c r="P49" i="2" s="1"/>
  <c r="AP89" i="3"/>
  <c r="AO89" i="3"/>
  <c r="AT88" i="3"/>
  <c r="AP88" i="3"/>
  <c r="AO88" i="3"/>
  <c r="AT87" i="3"/>
  <c r="P48" i="2" s="1"/>
  <c r="AP87" i="3"/>
  <c r="AO87" i="3"/>
  <c r="AT86" i="3"/>
  <c r="P47" i="2" s="1"/>
  <c r="AP86" i="3"/>
  <c r="AO86" i="3"/>
  <c r="AT85" i="3"/>
  <c r="AP85" i="3"/>
  <c r="AO85" i="3"/>
  <c r="AT84" i="3"/>
  <c r="AP84" i="3"/>
  <c r="AO84" i="3"/>
  <c r="AT83" i="3"/>
  <c r="P46" i="2" s="1"/>
  <c r="AP83" i="3"/>
  <c r="AO83" i="3"/>
  <c r="AT82" i="3"/>
  <c r="AP82" i="3"/>
  <c r="AO82" i="3"/>
  <c r="AT81" i="3"/>
  <c r="P45" i="2" s="1"/>
  <c r="AP81" i="3"/>
  <c r="AO81" i="3"/>
  <c r="AT80" i="3"/>
  <c r="AP80" i="3"/>
  <c r="AO80" i="3"/>
  <c r="AT79" i="3"/>
  <c r="P44" i="2" s="1"/>
  <c r="AP79" i="3"/>
  <c r="AO79" i="3"/>
  <c r="AT78" i="3"/>
  <c r="AP78" i="3"/>
  <c r="AO78" i="3"/>
  <c r="AT77" i="3"/>
  <c r="P43" i="2" s="1"/>
  <c r="AP77" i="3"/>
  <c r="AO77" i="3"/>
  <c r="AT76" i="3"/>
  <c r="AP76" i="3"/>
  <c r="AO76" i="3"/>
  <c r="AT75" i="3"/>
  <c r="P42" i="2" s="1"/>
  <c r="AP75" i="3"/>
  <c r="AO75" i="3"/>
  <c r="AT74" i="3"/>
  <c r="AP74" i="3"/>
  <c r="AO74" i="3"/>
  <c r="AT73" i="3"/>
  <c r="AP73" i="3"/>
  <c r="AO73" i="3"/>
  <c r="AT72" i="3"/>
  <c r="AP72" i="3"/>
  <c r="AO72" i="3"/>
  <c r="AT71" i="3"/>
  <c r="P41" i="2" s="1"/>
  <c r="AP71" i="3"/>
  <c r="AO71" i="3"/>
  <c r="AT70" i="3"/>
  <c r="AP70" i="3"/>
  <c r="AO70" i="3"/>
  <c r="AT69" i="3"/>
  <c r="AP69" i="3"/>
  <c r="AO69" i="3"/>
  <c r="AT68" i="3"/>
  <c r="AP68" i="3"/>
  <c r="AO68" i="3"/>
  <c r="AT67" i="3"/>
  <c r="P39" i="2" s="1"/>
  <c r="AP67" i="3"/>
  <c r="AO67" i="3"/>
  <c r="AT66" i="3"/>
  <c r="AP66" i="3"/>
  <c r="AO66" i="3"/>
  <c r="AT65" i="3"/>
  <c r="P38" i="2" s="1"/>
  <c r="AP65" i="3"/>
  <c r="AO65" i="3"/>
  <c r="AT64" i="3"/>
  <c r="AP64" i="3"/>
  <c r="AO64" i="3"/>
  <c r="AT63" i="3"/>
  <c r="AP63" i="3"/>
  <c r="AO63" i="3"/>
  <c r="AT62" i="3"/>
  <c r="AP62" i="3"/>
  <c r="AO62" i="3"/>
  <c r="AT61" i="3"/>
  <c r="P37" i="2" s="1"/>
  <c r="AP61" i="3"/>
  <c r="AO61" i="3"/>
  <c r="AT60" i="3"/>
  <c r="AP60" i="3"/>
  <c r="AO60" i="3"/>
  <c r="AT59" i="3"/>
  <c r="P36" i="2" s="1"/>
  <c r="AP59" i="3"/>
  <c r="AO59" i="3"/>
  <c r="AT58" i="3"/>
  <c r="AP58" i="3"/>
  <c r="AO58" i="3"/>
  <c r="AT57" i="3"/>
  <c r="AP57" i="3"/>
  <c r="AO57" i="3"/>
  <c r="AT56" i="3"/>
  <c r="P35" i="2" s="1"/>
  <c r="AP56" i="3"/>
  <c r="AO56" i="3"/>
  <c r="AT55" i="3"/>
  <c r="P34" i="2" s="1"/>
  <c r="AP55" i="3"/>
  <c r="AO55" i="3"/>
  <c r="AT54" i="3"/>
  <c r="AP54" i="3"/>
  <c r="AO54" i="3"/>
  <c r="AT53" i="3"/>
  <c r="AP53" i="3"/>
  <c r="AO53" i="3"/>
  <c r="AT52" i="3"/>
  <c r="P33" i="2" s="1"/>
  <c r="AP52" i="3"/>
  <c r="AO52" i="3"/>
  <c r="AT51" i="3"/>
  <c r="AP51" i="3"/>
  <c r="AO51" i="3"/>
  <c r="AT50" i="3"/>
  <c r="P32" i="2" s="1"/>
  <c r="AP50" i="3"/>
  <c r="AO50" i="3"/>
  <c r="AT49" i="3"/>
  <c r="AP49" i="3"/>
  <c r="AO49" i="3"/>
  <c r="AT48" i="3"/>
  <c r="P31" i="2" s="1"/>
  <c r="AP48" i="3"/>
  <c r="AO48" i="3"/>
  <c r="AT47" i="3"/>
  <c r="AP47" i="3"/>
  <c r="AO47" i="3"/>
  <c r="AT46" i="3"/>
  <c r="P30" i="2" s="1"/>
  <c r="AP46" i="3"/>
  <c r="AO46" i="3"/>
  <c r="AT45" i="3"/>
  <c r="AP45" i="3"/>
  <c r="AO45" i="3"/>
  <c r="AT44" i="3"/>
  <c r="AP44" i="3"/>
  <c r="AO44" i="3"/>
  <c r="AT43" i="3"/>
  <c r="AP43" i="3"/>
  <c r="AO43" i="3"/>
  <c r="AT42" i="3"/>
  <c r="P28" i="2" s="1"/>
  <c r="AP42" i="3"/>
  <c r="AO42" i="3"/>
  <c r="AT41" i="3"/>
  <c r="P27" i="2" s="1"/>
  <c r="AP41" i="3"/>
  <c r="AO41" i="3"/>
  <c r="AT40" i="3"/>
  <c r="AP40" i="3"/>
  <c r="AO40" i="3"/>
  <c r="AT39" i="3"/>
  <c r="AP39" i="3"/>
  <c r="AO39" i="3"/>
  <c r="AT38" i="3"/>
  <c r="P26" i="2" s="1"/>
  <c r="AP38" i="3"/>
  <c r="AO38" i="3"/>
  <c r="AT37" i="3"/>
  <c r="AP37" i="3"/>
  <c r="AO37" i="3"/>
  <c r="AT36" i="3"/>
  <c r="P25" i="2" s="1"/>
  <c r="AP36" i="3"/>
  <c r="AO36" i="3"/>
  <c r="AT35" i="3"/>
  <c r="AP35" i="3"/>
  <c r="AO35" i="3"/>
  <c r="AT34" i="3"/>
  <c r="P24" i="2" s="1"/>
  <c r="AP34" i="3"/>
  <c r="AO34" i="3"/>
  <c r="AT33" i="3"/>
  <c r="AP33" i="3"/>
  <c r="AO33" i="3"/>
  <c r="AT32" i="3"/>
  <c r="P23" i="2" s="1"/>
  <c r="AP32" i="3"/>
  <c r="AO32" i="3"/>
  <c r="AT31" i="3"/>
  <c r="AP31" i="3"/>
  <c r="AO31" i="3"/>
  <c r="AT30" i="3"/>
  <c r="P22" i="2" s="1"/>
  <c r="AP30" i="3"/>
  <c r="AO30" i="3"/>
  <c r="AT29" i="3"/>
  <c r="P21" i="2" s="1"/>
  <c r="AP29" i="3"/>
  <c r="AO29" i="3"/>
  <c r="AT28" i="3"/>
  <c r="AP28" i="3"/>
  <c r="AO28" i="3"/>
  <c r="AT27" i="3"/>
  <c r="AP27" i="3"/>
  <c r="AO27" i="3"/>
  <c r="AT26" i="3"/>
  <c r="AP26" i="3"/>
  <c r="AO26" i="3"/>
  <c r="AT25" i="3"/>
  <c r="AP25" i="3"/>
  <c r="AO25" i="3"/>
  <c r="AT24" i="3"/>
  <c r="AP24" i="3"/>
  <c r="AO24" i="3"/>
  <c r="AT23" i="3"/>
  <c r="P18" i="2" s="1"/>
  <c r="AP23" i="3"/>
  <c r="AO23" i="3"/>
  <c r="AT22" i="3"/>
  <c r="AP22" i="3"/>
  <c r="AO22" i="3"/>
  <c r="AT21" i="3"/>
  <c r="P17" i="2" s="1"/>
  <c r="AP21" i="3"/>
  <c r="AO21" i="3"/>
  <c r="AT20" i="3"/>
  <c r="AP20" i="3"/>
  <c r="AO20" i="3"/>
  <c r="AT19" i="3"/>
  <c r="AP19" i="3"/>
  <c r="AO19" i="3"/>
  <c r="AT18" i="3"/>
  <c r="P15" i="2" s="1"/>
  <c r="AP18" i="3"/>
  <c r="AO18" i="3"/>
  <c r="AT17" i="3"/>
  <c r="AP17" i="3"/>
  <c r="AO17" i="3"/>
  <c r="AT16" i="3"/>
  <c r="P14" i="2" s="1"/>
  <c r="AP16" i="3"/>
  <c r="AO16" i="3"/>
  <c r="AT15" i="3"/>
  <c r="AP15" i="3"/>
  <c r="AO15" i="3"/>
  <c r="AT14" i="3"/>
  <c r="P13" i="2" s="1"/>
  <c r="AP14" i="3"/>
  <c r="AO14" i="3"/>
  <c r="AT13" i="3"/>
  <c r="AP13" i="3"/>
  <c r="AO13" i="3"/>
  <c r="AT12" i="3"/>
  <c r="P12" i="2" s="1"/>
  <c r="AP12" i="3"/>
  <c r="AO12" i="3"/>
  <c r="AT11" i="3"/>
  <c r="AP11" i="3"/>
  <c r="AO11" i="3"/>
  <c r="AT10" i="3"/>
  <c r="P11" i="2" s="1"/>
  <c r="AP10" i="3"/>
  <c r="AO10" i="3"/>
  <c r="AT9" i="3"/>
  <c r="AP9" i="3"/>
  <c r="AO9" i="3"/>
  <c r="AT8" i="3"/>
  <c r="P10" i="2" s="1"/>
  <c r="AP8" i="3"/>
  <c r="AO8" i="3"/>
  <c r="AT7" i="3"/>
  <c r="AP7" i="3"/>
  <c r="AO7" i="3"/>
  <c r="AT6" i="3"/>
  <c r="P9" i="2" s="1"/>
  <c r="AP6" i="3"/>
  <c r="AO6" i="3"/>
  <c r="AT5" i="3"/>
  <c r="AP5" i="3"/>
  <c r="AO5" i="3"/>
  <c r="AT4" i="3"/>
  <c r="P8" i="2" s="1"/>
  <c r="AP4" i="3"/>
  <c r="AO4" i="3"/>
  <c r="AT3" i="3"/>
  <c r="P7" i="2" s="1"/>
  <c r="AP3" i="3"/>
  <c r="AO3" i="3"/>
  <c r="AT2" i="3"/>
  <c r="P6" i="2" s="1"/>
  <c r="AP2" i="3"/>
  <c r="AO2" i="3"/>
  <c r="P40" i="2" l="1"/>
  <c r="P29" i="2"/>
  <c r="P16" i="2"/>
  <c r="P52" i="2"/>
  <c r="P19" i="2"/>
  <c r="P50" i="2"/>
  <c r="P20" i="2"/>
  <c r="P51" i="2"/>
  <c r="G24" i="5"/>
  <c r="E24" i="5"/>
  <c r="I9" i="5"/>
  <c r="H24" i="5"/>
  <c r="I21" i="5"/>
  <c r="I22" i="5"/>
  <c r="F24" i="5"/>
  <c r="I6" i="5"/>
  <c r="I23" i="5"/>
  <c r="I7" i="5"/>
  <c r="I20" i="5"/>
  <c r="H10" i="5"/>
  <c r="G10" i="5"/>
  <c r="F10" i="5"/>
  <c r="E10" i="5"/>
  <c r="I8" i="5"/>
  <c r="D26" i="5"/>
  <c r="D27" i="5" s="1"/>
  <c r="D12" i="5"/>
  <c r="D24" i="5"/>
  <c r="I19" i="5"/>
  <c r="D10" i="5"/>
  <c r="I5" i="5"/>
  <c r="I10" i="5" l="1"/>
  <c r="D14" i="5"/>
  <c r="D13" i="5"/>
  <c r="I24" i="5"/>
  <c r="D28" i="5"/>
  <c r="D29" i="5" s="1"/>
  <c r="D15" i="5" l="1"/>
</calcChain>
</file>

<file path=xl/sharedStrings.xml><?xml version="1.0" encoding="utf-8"?>
<sst xmlns="http://schemas.openxmlformats.org/spreadsheetml/2006/main" count="15684" uniqueCount="4982">
  <si>
    <t>sample_order</t>
  </si>
  <si>
    <t>in_validation_sample</t>
  </si>
  <si>
    <t>draft_id</t>
  </si>
  <si>
    <t>case_doc_id</t>
  </si>
  <si>
    <t>input_type</t>
  </si>
  <si>
    <t>citation_index</t>
  </si>
  <si>
    <t>citation</t>
  </si>
  <si>
    <t>citation_type</t>
  </si>
  <si>
    <t>generated_principle</t>
  </si>
  <si>
    <t>generated_application</t>
  </si>
  <si>
    <t>binding_authority</t>
  </si>
  <si>
    <t>citation_verification_status</t>
  </si>
  <si>
    <t>citation_in_linked_retrieval</t>
  </si>
  <si>
    <t>citation_in_corpus_registry</t>
  </si>
  <si>
    <t>external_case_exists</t>
  </si>
  <si>
    <t>external_citation_correct</t>
  </si>
  <si>
    <t>authoritative_source_url</t>
  </si>
  <si>
    <t>search_id</t>
  </si>
  <si>
    <t>retrieved_case_ids</t>
  </si>
  <si>
    <t>retrieved_case_titles</t>
  </si>
  <si>
    <t>reviewer_id_R1</t>
  </si>
  <si>
    <t>holding_accuracy_R1</t>
  </si>
  <si>
    <t>source_paragraphs_R1</t>
  </si>
  <si>
    <t>holding_evidence_R1</t>
  </si>
  <si>
    <t>reasoning_grounding_R1</t>
  </si>
  <si>
    <t>retrieved_evidence_R1</t>
  </si>
  <si>
    <t>grounding_evidence_R1</t>
  </si>
  <si>
    <t>reviewer_confidence_R1</t>
  </si>
  <si>
    <t>reviewer_id_R2</t>
  </si>
  <si>
    <t>holding_accuracy_R2</t>
  </si>
  <si>
    <t>source_paragraphs_R2</t>
  </si>
  <si>
    <t>holding_evidence_R2</t>
  </si>
  <si>
    <t>reasoning_grounding_R2</t>
  </si>
  <si>
    <t>retrieved_evidence_R2</t>
  </si>
  <si>
    <t>grounding_evidence_R2</t>
  </si>
  <si>
    <t>reviewer_confidence_R2</t>
  </si>
  <si>
    <t>holding_agreement</t>
  </si>
  <si>
    <t>grounding_agreement</t>
  </si>
  <si>
    <t>adjudicated_holding_accuracy</t>
  </si>
  <si>
    <t>adjudicated_reasoning_grounding</t>
  </si>
  <si>
    <t>adjudication_notes</t>
  </si>
  <si>
    <t>annotation_status</t>
  </si>
  <si>
    <t>yes</t>
  </si>
  <si>
    <t>cmst45vlc000h04l7f6nlqawg</t>
  </si>
  <si>
    <t>skeleton-args-ca2015008373-db13b0c8e36da3c2</t>
  </si>
  <si>
    <t>synthetic</t>
  </si>
  <si>
    <t>[2000] 1 WLR 377</t>
  </si>
  <si>
    <t>case_law</t>
  </si>
  <si>
    <t>Duty to provide adequate reasons for decisions in financial services contexts.</t>
  </si>
  <si>
    <t>Involves ensuring clients fully understand the risks associated with financial products sold.</t>
  </si>
  <si>
    <t>binding</t>
  </si>
  <si>
    <t>not_found_in_corpus_registry</t>
  </si>
  <si>
    <t>no</t>
  </si>
  <si>
    <t>https://www.bailii.org/ew/cases/EWCA/Civ/1999/811.html</t>
  </si>
  <si>
    <t>cmst43r4x000b04l747yntyz2</t>
  </si>
  <si>
    <t>a1fcbe31-60cf-480d-aa88-19492f68df24 || 187b7b96-3c95-4093-96a7-389bc96a5dea || 5efa7b7e-80f2-4a0e-ad80-5ab0db7a9c17 || 0c0d315b-921c-4764-bbf2-256f21063551 || 4bab60a4-405b-418a-b7ed-7995d0a7b4d5 || 83821fb0-ba9c-43e6-bb47-76a85327b471 || e3367bf1-963c-47c9-aea9-8dc4a1dc25bc || a30b2ade-6e0c-4b33-a0cd-099ae990e876 || 8fd0b714-5fa9-43cf-9e51-5c74a6e3d911 || ee25b714-a850-4788-bcd3-623a5cbe4ede || b4e5eb9c-82c1-4910-beaf-c30269939bbe || 727d863a-b385-45df-96e6-d8dba00144f9 || fcbf3975-3755-45fa-9124-191d1a392003 || 50f3324e-7e20-444c-b5c6-18d53dfb80ed || c31d4c82-88f9-42c8-968b-efc3ee876ec7 || ab7f6563-ffbc-46f8-a354-e1a0f0fdf80b || c21e0bef-b8ff-4f7a-8747-96ed5c2813e1 || e55b2bcd-c806-49f1-8b91-647450f700cf || fc3a7d73-0542-421b-9be1-12f07edcfd92 || edb9880b-ba30-4e1e-a2b3-52b1d6fb2f64</t>
  </si>
  <si>
    <t>Crestsign Ltd v National Westminster Bank Plc &amp; Anor [2015] EWCA Civ 986 || Saville v Central Capital Ltd [2014] EWCA Civ 337 || Deutsche Bank AG v Unitech Global Limited &amp; Ors [2016] EWCA Civ 119 || The Financial Conduct Authority v Ferreira [2022] EWCA Civ 397 || WW Property Investments Ltd v National Westminster Bank Plc [2016] EWCA Civ 1142 (Court of Appeal, Civil Division) || CGL Group Ltd &amp; Ors v The Royal Bank of Scotland Plc &amp; National Westminster Bank Plc &amp; Ors || The Financial Conduct Authority v Capital Alternatives Ltd &amp; Ors || Property Alliance Group Ltd v The Royal Bank of Scotland Plc [2018] EWCA Civ 355 || Banco Santander Totta SA v Companhia Carris De Ferro De Lisboa SA &amp; Ors [2016] EWCA Civ 1267 || Electro Mechanical Installations Ltd v Royal Bank of Scotland [2014] EWCA Civ 77 || Asset Land Investment Plc &amp; Anor v The Financial Conduct Authority (FCA) || Philipp v Barclays Bank UK Plc [2022] EWCA Civ 318 || Wood v Sureterm Direct Ltd &amp; Capita Insurance Services Ltd [2015] EWCA Civ 839 || MTR Bailey Trading Ltd v Barclays Bank Plc [2015] EWCA Civ 667 || Figurasin &amp; Anor v Central Capital Ltd [2014] EWCA Civ 504 || Calland v Financial Conduct Authority [2015] EWCA Civ 192 || Crossfield v Jackson [2014] EWCA Civ 1548 || O'Sullivan v Financial Services Authority [2015] EWCA Civ 896 || Group Seven Ltd &amp; Anor v Allied Investment Corporation Ltd &amp; Ors [2015] EWCA Civ 631 || Napier Park European Credit Opportunities Fund Ltd v Harbourmaster Pro-Rata Clo 2 B.V. &amp; Ors [2014] EWCA Civ 984</t>
  </si>
  <si>
    <t>partial</t>
  </si>
  <si>
    <t>cmmxpdot1000h04i8q3aleh7a</t>
  </si>
  <si>
    <t>karpasitis-v-hertfordshire-county-council</t>
  </si>
  <si>
    <t>real</t>
  </si>
  <si>
    <t>English v Emery Reimbold &amp; Strick Ltd [2002] EWCA Civ 605</t>
  </si>
  <si>
    <t>A judgment must provide adequate reasons for its decision</t>
  </si>
  <si>
    <t>The principles of adequate reasoning apply to this case regarding the justification of the maintenance practices.</t>
  </si>
  <si>
    <t>in_corpus_not_retrieved</t>
  </si>
  <si>
    <t>https://www.bailii.org/ew/cases/EWCA/Civ/2002/605.html</t>
  </si>
  <si>
    <t>cmmxp9veu000b04i838upwih8</t>
  </si>
  <si>
    <t>bc30491e-9ae6-48da-90d0-71d8a8069b22 || 52d20bb9-6964-44a6-9c32-d191ef76297c || 5a42b4bc-fe8f-47be-9b13-869933b2ddff || 70d43223-0ec6-458b-b052-bdc295e0d6ec || 4840c2e7-7326-456e-84e1-def231729686 || 40629bba-06c5-4cf4-b83a-bc0badbc4848 || 6948a4df-0a45-4ddc-ae3d-8eafee44976a || e16d7203-6f9e-4896-96e0-d021cb6f5579 || 0af9689e-f55a-4b42-8c7d-e7ef4d3d1bdc || 2eaaf060-799f-4573-a18a-86e5c14b158b || 70c75405-8cba-40e2-92ff-8302ea4f6789 || 1ae781af-c482-402d-b18c-8d4c33432b24 || 653f5240-7160-47e4-9009-db4466a660e2 || 4685ad0e-87e7-4f59-8991-823ab27d9393 || 54d149f2-2e02-477e-8541-b2bf222578d6 || 353163ab-c444-4186-a05c-4f5d73800a3f || 9adfee0f-c2c7-4caa-83ed-720a548a4aab || 7351e867-1c92-49d6-a602-686678f60a5f || 57bf779f-da1f-4ee4-a60c-89018cb3b828 || 2e37836d-c57c-4eb6-942a-5a1a3a46714f</t>
  </si>
  <si>
    <t>Gorringe v. Calderdale Metropolitan Borough Council || King Lifting Ltd v Oxfordshire County Council [2016] EWHC 1767 (QB) || Yetkin v London Borough of Newham ([2010] EWCA Civ 776) || Brown &amp; Ors v South West Lakes Trust &amp; Ors [2022] EWCA Civ 18 || Butcher v Southend-On-Sea Borough Council (2014) || Dunnage v Randall &amp; UK Insurance Ltd [2015] EWCA Civ 673 || Scott v Gavigan [2016] EWCA Civ 544 || Edwards v London Borough of Sutton [2016] EWCA Civ 1005 || Hughes v Rattan (Rev1) [2022] EWCA Civ 107 || National Grid Electricity Transmission Plc v Arnold White Estates Ltd [2014] EWCA Civ 216 || Griffiths v Gwynedd County Council [2015] EWCA Civ 1440 || HXA v Surrey County Council; YXA v Wolverhampton City Council (England and Wales Court of Appeal (Civil Division)) || Liverpool Women's Hospital NHS Foundation Trust v Ronayne [2015] EWCA Civ 588 || Tindall &amp; Anor v Chief Constable of Thames Valley Police &amp; Anor [2022] EWCA Civ 25 || Union of Shop, Distributive and Allied Workers &amp; Ors v Tesco Stores Ltd (2022) EWCA Civ 978 || Paul &amp; Ors v The Royal Wolverhampton NHS Trust; Polmear v The Royal Wolverhampton NHS Trust; Purchase v Royal Cornwall Hospitals NHS Trust || Barton &amp; Ors v Morris &amp; Anor [2023] UKSC 3 || Howmet Limited v Economy Devices Limited &amp; Ors [2016] EWCA Civ 847 || Beaumont &amp; Anor v Ferrer [2016] EWCA Civ 768 || Benyatov v Credit Suisse (Securities) Europe Ltd [2023] EWCA Civ 140</t>
  </si>
  <si>
    <t>cmm0ckscr000t04i312fc6edg</t>
  </si>
  <si>
    <t>skeleton-args-ca2018006090-aa90566cb5f6b5de</t>
  </si>
  <si>
    <t>Armitage v Nurse [1998] Ch 241</t>
  </si>
  <si>
    <t>Establishes that a trustee must comply with fiduciary obligations.</t>
  </si>
  <si>
    <t>Reiterates the need for independent transactions to avoid self-dealing.</t>
  </si>
  <si>
    <t>https://www.bailii.org/ew/cases/EWCA/Civ/1997/1279.html</t>
  </si>
  <si>
    <t>cmm0chr9w000n04i37bx1uiqp</t>
  </si>
  <si>
    <t>4f894b7c-50f6-46f4-b08a-7d5f549411bb || 63f1ceea-1ae6-4e29-9f3b-c354ab3fba11 || af98350e-e553-4a58-8a45-9d7b2067b530 || 0f564d6f-98e5-402b-abc8-a39f1fa33427 || 5d67e6bf-5a94-4298-82ae-1f13fea951bc || a62a842c-af59-45c4-be74-800b0be5e691 || cbf9a2bb-7b6f-41be-ba0f-1a84a1e459e6 || 7d4b37f2-bfb0-4f96-a5c0-d63cd27e8dc3 || cfb9db03-44c0-4604-926a-a76e01575d88 || 8c2741c2-7eeb-471a-91de-bc6accd97a3c</t>
  </si>
  <si>
    <t>Creggy v Barnett &amp; Anor [2016] EWCA Civ 1004 (Court of Appeal (Civil Division)) || Burnden Holdings (UK) Limited (in Liquidation) v Fielding &amp; Anor [2016] EWCA Civ 557 || Santander UK Plc v R.A. Legal Solicitors [2014] EWCA Civ 183 || Cotton &amp; Anor v Brudenell-Bruce, Earl of Cardigan &amp; Ors [2014] EWCA Civ 1312 || Braintree District Council v Secretary of State for the Home Department &amp; Anor [2023] EWCA Civ 727 (23 June 2023) || Hassam &amp; Anor v Rabot &amp; Anor; Briggs v Laditan [2023] EWCA Civ 19 || Gangat v Jassat &amp; Anor [2022] EWCA Civ 604 || Davies v Ford &amp; Ors [2023] EWCA Civ 167 || Floreat Investment Management Ltd v Churchill &amp; Ors [2023] EWCA Civ 440 || Barnsley &amp; Ors v Noble (Rev1) [2016] EWCA Civ 799 (Court of Appeal, Civil Division)</t>
  </si>
  <si>
    <t>Spread Trustee Co Ltd v Hutcheson [2011] UKPC 13</t>
  </si>
  <si>
    <t>Reiterates the necessity of diligent investment by trustees.</t>
  </si>
  <si>
    <t>Clarifies fiduciary duties and potential breaches based on performance metrics.</t>
  </si>
  <si>
    <t>https://jcpc.uk/cases/jcpc-2010-0007</t>
  </si>
  <si>
    <t>cmst419ew000k04ladhs06s0r</t>
  </si>
  <si>
    <t>skeleton-args-ca2015000120-c8bbd9c0f403a8f6</t>
  </si>
  <si>
    <t>Shamoon v Chief Constable of the Royal Ulster Constabulary</t>
  </si>
  <si>
    <t>Direct discrimination can be established by examining the circumstances surrounding the treatment of the employee.</t>
  </si>
  <si>
    <t>Applicable here as microaggressions create an environment of perceived discrimination.</t>
  </si>
  <si>
    <t>persuasive</t>
  </si>
  <si>
    <t>incomplete</t>
  </si>
  <si>
    <t>https://publications.parliament.uk/pa/ld200203/ldjudgmt/jd030227/sham-1.htm</t>
  </si>
  <si>
    <t>cmst3ztkq000e04labxjacu4p</t>
  </si>
  <si>
    <t>b5913f39-0611-4550-b7a3-d97e1fc4f9c9 || 060fb5e3-4e14-487d-89e2-170c04ebf40c || 7b9b0d5a-dc61-43d4-9626-d82e18f8c8dd || 9ae4bb2e-75ef-4733-a35d-66d61620f6e5 || 3b44a16a-76b8-49d4-8f00-6e1767c46005 || 9106dcdb-cf09-4bda-8712-36474df03834 || 29190db1-6f4f-49a2-84d9-84e5a2091581 || 9505adbf-4b10-41b0-bc0d-d71d70aa9210 || 87fe7360-158a-49e4-8725-7a68e18ba9ac || 48b2068c-80e9-4d0c-81f5-46a177a4c560 || d6938848-6263-4913-8294-68c6e5aca496 || 9365ac87-002c-4767-beb5-daa394718251 || e740795c-9249-45f8-aba9-1ab82a3274ca || 4b1144b2-2c97-48a1-8fd0-8ebbb0e8a2ce || e099b583-4ed3-4598-a6cb-0f3565312f05 || d0274784-a003-4439-8e79-06947376b0e7 || b6038737-31bb-4cfe-ba4c-5199070a3616 || 71cd4995-e726-4ac0-861a-ef9b3e0c3f4d || 58d08b20-69c9-47be-8f81-5be69b31e088 || c7763be7-d3d8-4e78-acc8-2eae10851872</t>
  </si>
  <si>
    <t>Kalu v Brighton and Sussex University Hospitals NHS Trust &amp; Ors [2015] EWCA Civ 897 || Gaurilcikiene v Tesco Stores Ltd [2014] EWCA Civ 1213 || South Wales Police Authority v Johnson [2014] EWCA Civ 73 || Home Office (UK Border Agency) v Essop &amp; Ors || Khan v Royal Mail Group Ltd &amp; Ors [2014] EWCA Civ 1082 || Agbenowossi-Koffi v Donvand Ltd [2014] EWCA Civ 855 || Jafri v Lincoln College [2014] EWCA Civ 449 || Ayodele v Citylink Ltd &amp; Anor || Coventry University v Mian [2014] EWCA Civ 1275 || Burrell v Micheldever Tyre Services Ltd || Xerox (UK) Ltd &amp; Ors v Zeb [2017] EWCA Civ 2137 || Adeshina v St. George's University Hospitals NHS Foundation Trust &amp; Ors [2017] EWCA Civ 257 || Gala Tent Ltd v Chambers &amp; Anor [2015] EWCA Civ 1063 || Ahir v British Airways Plc [2017] EWCA Civ 1392 || Pye v Queen Mary University of London [2017] EWCA Civ 1820 || CLFIS (UK) Ltd v Reynolds || Shrestha v Genesis Housing Association Ltd [2015] EWCA Civ 94 || Rochford v WNS Global Services (UK) Ltd &amp; Ors [2017] EWCA Civ 2205 || Kuznetsov v The Royal Bank of Scotland Plc || Bhardwaj v FDA &amp; Ors [2015] EWCA Civ 658</t>
  </si>
  <si>
    <t>Igen Ltd v Wong</t>
  </si>
  <si>
    <t>The burden of proof shifts to the employer when a claimant establishes a prima facie case.</t>
  </si>
  <si>
    <t>Relevant to the allegations of discrimination and the Respondent’s burden of explaining performance-related dismissals.</t>
  </si>
  <si>
    <t>https://www.bailii.org/ew/cases/EWCA/Civ/2005/142.html</t>
  </si>
  <si>
    <t>cmmc4a8zu000h04jx2w3r0hzo</t>
  </si>
  <si>
    <t>ca-2024-000255-ellis-v-ssj-appellant-skeleton</t>
  </si>
  <si>
    <t>R (Johnson) v SSHD</t>
  </si>
  <si>
    <t>Threshold for breach of rights requires evaluation of proportionality against security concerns in prison settings.</t>
  </si>
  <si>
    <t>Evaluated the balance of rights against institutional security measures.</t>
  </si>
  <si>
    <t>ambiguous</t>
  </si>
  <si>
    <t>https://www.supremecourt.uk/cases/uksc-2016-0042</t>
  </si>
  <si>
    <t>cmmc48b4h000b04jxrxrp3idf</t>
  </si>
  <si>
    <t>1dbb4242-42ac-456f-989f-5098066d87ca || d60a5323-796e-4110-a6de-012ec16860c1 || 6704e94e-e6b0-4dfe-b4c9-c5d695bdc6aa || 9826ea30-d68f-4beb-b85e-e38b5e1c7cae || be44e528-bdba-4691-afcc-c607a89fd1dc || f78142fc-13ea-4fb5-9a5e-1efbdc8d3c38 || e99652af-372a-448f-8251-a215010e8b3a || de4a5f2b-b3c7-4369-9020-dcc807bb315b || 5bc05b2e-6b7d-4270-b799-9d29ed174d14 || 3e059541-8504-4163-a05b-ede4202b7675</t>
  </si>
  <si>
    <t>Bristow v The Secretary of State for Justice &amp; Anor [2015] EWCA Civ 1170 || The Howard League for Penal Reform and Prisoners' Advice Service v The Lord Chancellor || Pearce, R (On the Application Of) v Parole Board of England and Wales &amp; Anor [2022] EWCA Civ 4 || C3 &amp; Anor v The Secretary of State for Foreign, Commonwealth &amp; Development Affairs [2023] EWCA Civ 444 || R (On the Application Of) v Secretary of State for the Home Department (Rev1) [2022] EWCA Civ 30 || AAA (Syria) &amp; Ors v Secretary of State for the Home Department [2023] EWCA Civ 266 || Richards, R (On the Application Of) v The Environment Agency [2022] EWCA Civ 26 || Elkundi, R (On the Application Of) v Birmingham City Council [2022] EWCA Civ 601 || MD &amp; Anor v Secretary of State for the Home Department [2022] EWCA Civ 336 || Cleeland, R (On the Application Of) v Criminal Cases Review Commission [2022] EWCA Civ 5</t>
  </si>
  <si>
    <t>unclear</t>
  </si>
  <si>
    <t>Flannery v Halifax Estate Agencies Ltd</t>
  </si>
  <si>
    <t>Duty to provide reasons must be adequately respected even in administrative settings.</t>
  </si>
  <si>
    <t>Informs the need for transparency in administrative decisions affecting rights.</t>
  </si>
  <si>
    <t>cms1u865i000904jxu5huyjg5</t>
  </si>
  <si>
    <t>ca-2024-001541-the-king-on-the-application-of-respondent-skeleton</t>
  </si>
  <si>
    <t>[2002] EWCA Civ 605</t>
  </si>
  <si>
    <t>Adequacy of reasons in judgments.</t>
  </si>
  <si>
    <t>Requires that judicial decisions are supported by clear and substantiated reasoning to maintain accountability.</t>
  </si>
  <si>
    <t>cms1u714o000304jxq0x5fnl6</t>
  </si>
  <si>
    <t>d60a5323-796e-4110-a6de-012ec16860c1 || f157dc58-8d24-4561-9b20-3df67da80a73 || 7cce4927-35a4-4b74-90f4-ac2262bb34d7 || beff2d5f-922f-42e5-9aaa-8b70d7179f71 || f5a5b44e-fcf0-40c0-9bf9-69f026b1b438 || 22266eeb-429f-4bfb-806c-1f324f15797d || 970ca77e-942d-4dd9-93e4-6d8ed2dcb401 || 6b2e2714-ca39-4378-966c-1b3ff6b417b2 || 148abf64-4d41-4cef-af10-c9c9986896a1 || 7fe05ee5-91a6-43b5-ad81-c04b7cce8482 || 776a8070-aa6f-410e-b91e-2e1fcadadb9b || 6cd7db33-7ee1-44c0-9219-b2cc7d57d88b || 2081f703-fbd5-4bdc-b8b8-0a8424eb00b1 || ee81f896-3f6e-4a8c-86e9-7169799031ba || 5bc05b2e-6b7d-4270-b799-9d29ed174d14 || 8bf594df-88d1-4791-89f3-b2699310ed7a || ed07cee8-284a-4c88-9681-37d30f80d1a1 || b47f516d-ad2e-4917-8acd-6c8206ffb6c5 || 215b4f1f-c45b-4b5a-83c7-d9ecf0c27585 || b293e967-2f36-4ecf-b32f-db6614193b8b</t>
  </si>
  <si>
    <t>The Howard League for Penal Reform and Prisoners' Advice Service v The Lord Chancellor || The Good Law Project, R (On the Application Of) v Minister for the Cabinet Office [2022] EWCA Civ 21 || C7 v Secretary of State for the Home Department [2023] EWCA Civ 265 || Secretary of State for Communities and Local Government v West Berkshire District Council &amp; Anor [2016] EWCA Civ 441 (11 May 2016) || London Borough of Enfield, R (on the application of) v Secretary of State for Transport &amp; Ors [2016] EWCA Civ 480 || The Project Management Institute, R (On the Application Of) v The Minister for the Cabinet Office &amp; Ors [2016] EWCA Civ 21 (22 January 2016) || Public and Commercial Services Union &amp; Ors, R (On the Application Of) v Secretary of State for the Home Department [2022] EWCA Civ 840 || QX v Secretary of State for the Home Department [2022] EWCA Civ 1541 || Kanu, R (On the Application Of) v Secretary of State for Foreign, Commonwealth and Development Affairs [2023] EWCA Civ 796 || Ali, R (on the application of) v The Secretary of State for the Home Department &amp; Anor || Sheakh, R (On the Application Of) v London Borough of Lambeth Council [2022] EWCA Civ 457 (05 April 2022) || Smith v Secretary of State for Levelling Up, Housing &amp; Communities &amp; Anor [2022] EWCA Civ 1391 || Roche Registration Ltd, R (on the application of) v The Secretary of State for Health || Green &amp; Ors v The Commissioner of Police of the Metropolis [2022] EWCA Civ 1686 || MD &amp; Anor v Secretary of State for the Home Department [2022] EWCA Civ 336 || Aviva Insurance Limited and Swiss Reinsurance Company Limited v Secretary of State for Work and Pensions [2022] EWCA Civ 15 || National AIDS Trust v National Health Service Commissioning Board (NHS England) &amp; Ors (EWCA Civ 1100) – PrEP and NHS England power to commission preventive HIV treatment || Re B (Children: Police Investigation) [2022] EWCA Civ 982 || R3 v Secretary of State for the Home Department [2023] EWCA Civ 169 || DJ (Pakistan) v Secretary of State for the Home Department [2022] EWCA Civ 1057</t>
  </si>
  <si>
    <t>Duty to give reasons.</t>
  </si>
  <si>
    <t>Mandates that parties be informed of the rationale behind a decision, particularly in administrative cases where rights are substantially affected.</t>
  </si>
  <si>
    <t>cmomnx9nj000304jkyxxg2b0k</t>
  </si>
  <si>
    <t>greenfields--iow--limited-v-isle-of-wight-council---westridge-village-limited</t>
  </si>
  <si>
    <t>R (Burkett) v Hammersmith LBC [2002] 1 WLR 1593</t>
  </si>
  <si>
    <t>Public authorities must follow established procedures to avoid unfairness and maintain transparency.</t>
  </si>
  <si>
    <t>Decision-making procedures must be transparent and fair to avoid allegations of bias.</t>
  </si>
  <si>
    <t>https://publications.parliament.uk/pa/ld200102/ldjudgmt/jd020523/burket-1.htm</t>
  </si>
  <si>
    <t>cmmxtwenv000304jr7vxcmpae</t>
  </si>
  <si>
    <t>379d4f20-62f5-403b-a082-fa36b82fe1c1 || a1b35831-8ed8-43ad-bc7e-488100344627 || f42492fd-8832-4f70-b315-d7597c15a5ef || 76e6ffcd-af03-4155-a667-51d98a79d1d7 || 235388cd-5994-4cf3-b7e7-c349382ef164 || 776a8070-aa6f-410e-b91e-2e1fcadadb9b || 6cd7db33-7ee1-44c0-9219-b2cc7d57d88b || 7f44d9a8-2459-4f6a-84fc-e475bb8f169a || 76cd3a35-03e9-4300-b6c9-27ac34a88301 || 3bdf2d7a-d886-4bb3-ba30-9c4b472a4f7c || 8d10f639-afdd-4cee-893d-c3b4fbaefe7b || 1d957476-2c0d-4578-8a43-679ec600e382 || 3fae9752-b3e5-4a98-a0e5-5ade79ee3e8d || 9034c8de-ac8c-45a1-9a63-569c390554ca || 90743ee0-c75d-4140-93eb-89a3938f7523 || 1f4a0cfb-5359-49da-93e8-89cbb817ebca || 3ff34419-ffbc-40f9-a087-a1cb1371d0e1 || aa66d157-e659-4b1f-9c8a-39b98d92a107 || 0642e885-86b3-4c0b-84a2-2005424f4309 || c370bf30-4fed-4187-beea-6476e69f964f</t>
  </si>
  <si>
    <t>Regina v. London Borough of Hammersmith and Fulham (Burkett) [2002] UKHL 23 || Corbett v Cornwall Council [2022] EWCA Civ 1069 || Cherkley Campaign Ltd, R (on the application of) v Mole Valley District Council &amp; Anor || Arnold White Estates Ltd v The Forestry Commission [2022] EWCA Civ 1304 || Save Britain's Heritage, R (On the Application Of) v Davies (Rev1) [2023] EWCA Civ 723 || Sheakh, R (On the Application Of) v London Borough of Lambeth Council [2022] EWCA Civ 457 (05 April 2022) || Smith v Secretary of State for Levelling Up, Housing &amp; Communities &amp; Anor [2022] EWCA Civ 1391 || Secretary of State for Levelling Up, Housing and Communities v Smith &amp; Anor [2023] EWCA Civ 514 || Ashburton Trading Ltd v Secretary of State for Communities And Local Government &amp; Anor [2014] EWCA Civ 378 || Gardiner v Hertsmere Borough Council &amp; Anor [2022] EWCA Civ 1162 || Tesco Stores Ltd v Forest of Dean District Council [2015] EWCA Civ 800 || Wyatt v Fareham Borough Council (Rev1) [2022] EWCA Civ 983 || East Quayside 12 LLP v The Council of the City of Newcastle upon Tyne [2023] EWCA Civ 359 || Thurston Parish Council, R (On the Application Of) v Mid Suffolk District Council &amp; Anor [2022] EWCA Civ 1417 || Devine v Secretary of State for Levelling Up, Housing and Communities [2023] EWCA Civ 601 || Whitley Parish Council, R (On the Application Of) v North Yorkshire County Council &amp; Anor [2023] EWCA Civ 92 || Vicente &amp; Anor v Secretary of State for Communities and Local Government &amp; Anor [2014] EWCA Civ 1555 || CAB Housing Limited v Secretary of State for Levelling Up, Housing and Communities &amp; Anor [2023] EWCA Civ 194 || Sahota, R (On the Application Of) v Herefordshire Council [2022] EWCA Civ 1640 || Braithwaite and Melton Meadows Properties Ltd, R (On the Application Of) v East Suffolk Council [2022] EWCA Civ 1716</t>
  </si>
  <si>
    <t>Flannery v Halifax Estate Agencies Ltd [2000] 1 WLR 377</t>
  </si>
  <si>
    <t>Parties must be given reasons for decisions affecting their rights.</t>
  </si>
  <si>
    <t>Failure to provide reasons can invalidate planning decisions if it leads to procedural impropriety.</t>
  </si>
  <si>
    <t>cmmcal70d000h04k3e11w997v</t>
  </si>
  <si>
    <t>ew-cases-EWCA-Civ-2024-1110</t>
  </si>
  <si>
    <t>Adequacy of reasons must be given in judgments to ensure fairness and transparency.</t>
  </si>
  <si>
    <t>The standards from this case will inform how detailed the tribunal’s reasoning should have been regarding catastrophe classifications.</t>
  </si>
  <si>
    <t>cmmcaho67000b04k3d50f98in</t>
  </si>
  <si>
    <t>445f0437-9772-49a4-bfbc-53967e1e53ac || 2f9fd02a-26e6-4859-90a8-5d64d042f0b9 || e050e594-d197-45f1-ba15-7d110c0d93c4 || 00167e1d-845c-4a1d-b17c-1c91c10b2c37 || adbfae0c-b473-4f94-9e74-30a2382d20ba || 638613f3-f321-4ccd-8055-aebfec6cec82 || cc794994-d9ff-4e2a-a522-ddb742b52a12 || fcbf3975-3755-45fa-9124-191d1a392003 || d38848d5-b685-4b5f-8093-40563114db3b || 394294db-f0b6-4f0f-a9df-ced441c7f6f1 || f4622297-782a-464e-8eda-23f6cf392375 || 21eb721f-d8b2-4c96-bff1-74c6066eea1d || 83040df0-5ebd-481d-96b8-e53b37e0f97e || a87860ff-994f-4309-bdb5-6259022af9ab || 6436f55e-06d2-4659-86d5-143b8282fec2 || 363d4dda-f9fd-497d-b45b-cecba704fa51 || d9827969-3ff6-4f39-a6cf-6b164ca04e35 || 81d53202-31ed-492b-a22e-15e4f280610b || 6e6ec81e-b459-4d39-a1bd-ff92776233fa || 8bf594df-88d1-4791-89f3-b2699310ed7a</t>
  </si>
  <si>
    <t>Al Mana Lifestyle Trading LLC &amp; Ors v United Fidelity Insurance Company PSC &amp; Ors [2023] EWCA Civ 61 || AIG Europe Ltd v OC320301 LLP &amp; Ors [2016] EWCA Civ 367 || Great Lakes Reinsurance (UK) SE v Western Trading Ltd [2016] EWCA Civ 1003 (11 October 2016) || Bank of New York Mellon (International) Limited v Cine-UK Limited [2022] EWCA Civ 1021 || Trust Risk Group SPA v AmTrust Europe Ltd [2015] EWCA Civ 437 || Ted Baker Plc &amp; Anor v Axa Insurance UK Plc &amp; Ors [2014] EWCA Civ 134 || Quadra Commodities S.A. v XL Insurance Company SE &amp; Ors [2023] EWCA Civ 432 (21 April 2023) || Wood v Sureterm Direct Ltd &amp; Capita Insurance Services Ltd [2015] EWCA Civ 839 || Shipowners' Mutual Protection and Indemnity Association (Luxembourg) v Containerships Denizcilik Nakliyat ve Ticaret A.S. ("Yusuf Cepnioglu") [2016] EWCA Civ 386 || Aspen Insurance UK Ltd v Adana Construction Ltd [2015] EWCA Civ 176 || AIG Europe SA &amp; Ors v John Wood Group Plc &amp; Anor [2022] EWCA Civ 781 (10 June 2022) || Spire Healthcare Limited v Royal &amp; Sun Alliance Insurance Limited [2022] EWCA Civ 17 || Starlight Shipping Company v Allianz Marine &amp; Aviation Versicherungs AG &amp; Ors || Steve Ward Services (UK) Limited v Davies &amp; Davies Associates Limited [2022] EWCA Civ 153 || Burnford &amp; Ors v Automobile Association Developments Limited [2022] EWCA Civ 1943 || Percy v White &amp; Anor [2022] EWCA Civ 493 || Zurich Insurance PLC v Maccaferri Ltd [2016] EWCA Civ 1302 || Soteria Insurance Ltd v IBM United Kingdom Ltd [2022] EWCA Civ 440 || MDW Holdings Limited v Norvill &amp; Ors [2022] EWCA Civ 883 (Court of Appeal, Civil Division) || Aviva Insurance Limited and Swiss Reinsurance Company Limited v Secretary of State for Work and Pensions [2022] EWCA Civ 15</t>
  </si>
  <si>
    <t>Parties to an agreement must understand the relevant legal concepts and their implications in the context of claims.</t>
  </si>
  <si>
    <t>This precedent reinforces the standards expected for clear interpretations of insurance agreements, particularly concerning coverage exclusions and inclusions.</t>
  </si>
  <si>
    <t>cmm0k3nj8000h04l412ruhfxj</t>
  </si>
  <si>
    <t>skeleton-args-ca2024001234-346b2d683b5c2099</t>
  </si>
  <si>
    <t>Adequacy of reasons in judgments</t>
  </si>
  <si>
    <t>Judicial decisions should provide clear reasoning complying with statutory frameworks.</t>
  </si>
  <si>
    <t>cmm0k0854000b04l440eijrw0</t>
  </si>
  <si>
    <t>968e5c88-1f2c-4da8-9290-4111f416ec6e || d5d573a1-ee1c-4a42-99b1-728063f8ced3 || 774ce56b-3a21-4d9a-be0f-2e4cd8924a73 || 1d957476-2c0d-4578-8a43-679ec600e382 || f5a5b44e-fcf0-40c0-9bf9-69f026b1b438 || a86c8039-4dcd-41c2-bbee-f72673a10ba2 || 126384c6-71ee-4af8-ae92-223d88b7a66d || 1bbfccbb-15e3-41bb-a970-7167b43b0267 || 9034c8de-ac8c-45a1-9a63-569c390554ca || 776a8070-aa6f-410e-b91e-2e1fcadadb9b</t>
  </si>
  <si>
    <t>Finch On Behalf of the Weald Action Group, R (On the Application Of) v Surrey County Council &amp; Ors [2022] EWCA Civ 187 || Friends of the Earth Limited v Secretary of State for International Trade/UK Export Finance (UKEF) &amp; Anor (Rev1) [2023] EWCA Civ 14 || Solar Century Holdings Ltd &amp; Ors v Secretary of State for Energy and Climate Change [2016] EWCA Civ 117 || Wyatt v Fareham Borough Council (Rev1) [2022] EWCA Civ 983 || London Borough of Enfield, R (on the application of) v Secretary of State for Transport &amp; Ors [2016] EWCA Civ 480 || Rotherham Borough Council &amp; Ors v Secretary of State for Business, Innovation And Skills || Mott v Environment Agency [2016] EWCA Civ 564 || Northern Gas Networks Ltd v Commissioners for HMRC [2022] EWCA Civ 910 || Thurston Parish Council, R (On the Application Of) v Mid Suffolk District Council &amp; Anor [2022] EWCA Civ 1417 || Sheakh, R (On the Application Of) v London Borough of Lambeth Council [2022] EWCA Civ 457 (05 April 2022)</t>
  </si>
  <si>
    <t>Duty to give reasons</t>
  </si>
  <si>
    <t>Public authorities must articulate their rationale behind significant funding decisions.</t>
  </si>
  <si>
    <t>cmmafut12000904l4kjskwky4</t>
  </si>
  <si>
    <t>skeleton-args-ca2025000412-e17d5e10793fe216</t>
  </si>
  <si>
    <t>Adequacy of reasons in judgments is essential for compliance with legal obligations.</t>
  </si>
  <si>
    <t>This principle applies to the need for thorough reasoning when making decisions that affect individual rights.</t>
  </si>
  <si>
    <t>cmmafsf07000304l4huaorple</t>
  </si>
  <si>
    <t>d60a5323-796e-4110-a6de-012ec16860c1 || 02409749-c305-4c56-ad34-3447c9c2371b || 47c9c661-fe50-444e-8eb2-faf3fa2b12ba || 7614b7b3-9102-4127-baa4-ed60bb7a82ed || 1dbb4242-42ac-456f-989f-5098066d87ca || 250a2de0-32f3-4ce2-8b1f-ee964131ee78 || 36166c1f-7b4e-4e19-9f3e-ba06d04ac22a || 57d5bf6b-b5e4-4a29-8fe8-fc6caf7108e9 || 80701211-fe03-4dc0-972a-b2e5467876b9 || 88f81617-3d05-4cec-a001-5edf306bd117</t>
  </si>
  <si>
    <t>The Howard League for Penal Reform and Prisoners' Advice Service v The Lord Chancellor || Tigere, R (On the Application Of) v Secretary of State for Business, Innovation And Skills || James v HM Prison Birmingham: Judicial Review on Committal for Civil Contempt || Rowan, R (On the Application Of) v Governor of His Majesty's Prison Berwyn &amp; Anor [2023] EWCA Civ 27 || Bristow v The Secretary of State for Justice &amp; Anor [2015] EWCA Civ 1170 || Brooks, R (on the application of) v The Independent Adjudicator &amp; Anor [2016] EWCA Civ 1033 || Smith v Secretary of State for Justice &amp; Ors [2014] EWCA Civ 380 || Abedin, R (On the Application Of) v Secretary of State for the Home Department [2016] EWCA Civ 296 (10 March 2016) || Idira, R (On the Application Of) v The Secretary of State for the Home Department (Rev 1) [2015] EWCA Civ 1187 || R (on the application of) SPM v Secretary of State for the Home Department [2023] EWCA Civ 764</t>
  </si>
  <si>
    <t>cmmrr64va000h04jvzuquhz2y</t>
  </si>
  <si>
    <t>Adequate reasons in judgments must be given; failure to do so may result in an error of law.</t>
  </si>
  <si>
    <t>This principle applies where it is necessary to understand why a decision was reached and the legal basis for it.</t>
  </si>
  <si>
    <t>cmmrr3vbb000b04jvglqzb8az</t>
  </si>
  <si>
    <t>1dbb4242-42ac-456f-989f-5098066d87ca || dfa97e6e-7e32-4c80-9f6f-5e4f398f9d82 || da4b6be7-2b22-4bd1-af6b-a68873f0af8d || 720cde29-16c8-41e8-9899-7ac2abcb1cc1 || d60a5323-796e-4110-a6de-012ec16860c1 || 02409749-c305-4c56-ad34-3447c9c2371b || 36166c1f-7b4e-4e19-9f3e-ba06d04ac22a || 80701211-fe03-4dc0-972a-b2e5467876b9 || 47c9c661-fe50-444e-8eb2-faf3fa2b12ba || b7f76d8a-1872-4ebe-93e8-f90c3c915f85 || 7e8929e7-4b3c-4492-b8b5-e01b9ccfcf2c || 250a2de0-32f3-4ce2-8b1f-ee964131ee78 || efac7fbc-592d-47a2-b244-e4f4b06cbabe || 1d58611b-b062-4aa4-81ee-fd9ff8ad13e0 || 6704e94e-e6b0-4dfe-b4c9-c5d695bdc6aa || be44e528-bdba-4691-afcc-c607a89fd1dc || 464b6335-7623-49ec-8536-df2bb3ae5a4d || c5a5edf0-4845-4195-a969-082c8b5afa2a || e0841efc-ccd5-4584-a6eb-43b4c0d281dd || 9826ea30-d68f-4beb-b85e-e38b5e1c7cae</t>
  </si>
  <si>
    <t>Bristow v The Secretary of State for Justice &amp; Anor [2015] EWCA Civ 1170 || Velyo Velev v. Bulgaria (Application No. 16032/07) || Bright &amp; Anor v The Secretary of State for Justice || FI v Secretary of State for the Home Department [2014] EWCA Civ 1272 || The Howard League for Penal Reform and Prisoners' Advice Service v The Lord Chancellor || Tigere, R (On the Application Of) v Secretary of State for Business, Innovation And Skills || Smith v Secretary of State for Justice &amp; Ors [2014] EWCA Civ 380 || Idira, R (On the Application Of) v The Secretary of State for the Home Department (Rev 1) [2015] EWCA Civ 1187 || James v HM Prison Birmingham: Judicial Review on Committal for Civil Contempt || Gudanaviciene v The Director of Legal Aid Casework || Zenati v Police of the Metropolis &amp; Anor [2015] EWCA Civ 80 || Brooks, R (on the application of) v The Independent Adjudicator &amp; Anor [2016] EWCA Civ 1033 || R (Lucinda Vowles) v Secretary of State for Justice &amp; Anor [2015] EWCA Civ 56 || Foster v The Secretary of State for Justice [2015] EWCA Civ 281 || Pearce, R (On the Application Of) v Parole Board of England and Wales &amp; Anor [2022] EWCA Civ 4 || R (On the Application Of) v Secretary of State for the Home Department (Rev1) [2022] EWCA Civ 30 || Parratt, R (on the application of) v Parole Board || BK &amp; Anor v The Secretary of State for Justice [2015] EWCA Civ 1259 || SXH v Crown Prosecution Service [2014] EWCA Civ 90 || C3 &amp; Anor v The Secretary of State for Foreign, Commonwealth &amp; Development Affairs [2023] EWCA Civ 444</t>
  </si>
  <si>
    <t>There exists a duty to provide reasons for judicial decisions; a failure to do so may indicate a wrongful analysis.</t>
  </si>
  <si>
    <t>The decision must articulate why particular conclusions are reached to allow for an understanding of the decision’s validity.</t>
  </si>
  <si>
    <t>cmst4kl1t000h04js7g8j67zy</t>
  </si>
  <si>
    <t>skeleton-args-ca2019005474-f7265b45a4e3f0ae</t>
  </si>
  <si>
    <t>Phones 4U Ltd v Phone4u.co.uk Internet Ltd</t>
  </si>
  <si>
    <t>Establishes the conditions under which registration can be refused.</t>
  </si>
  <si>
    <t>Examines bad faith claims and established goodwill.</t>
  </si>
  <si>
    <t>https://www.bailii.org/ew/cases/EWCA/Civ/2006/244.html</t>
  </si>
  <si>
    <t>cmst4iu9u000b04jsb3vxyexj</t>
  </si>
  <si>
    <t>2861fb0d-fcc7-440d-86e2-45b40fd61ddc || b9f08a72-1e62-405b-9fe9-eaba231f1c88 || fd1ee879-efef-4fc1-b6e0-617683d3c841 || ea009eb1-d609-4034-8ed9-7ba71d1129a2 || b88b59e2-6c25-4730-93fe-b134e9a5176b || 8c9b650b-8e76-4cea-a0df-2825ec328e59 || af3d8c05-af20-4f3a-af95-fc67f6813dbc || 53ca6ceb-c06a-4774-86f1-8cbf9fe4917e || 0b12642c-08c7-4aad-a122-705d9a620c76 || 5a5730f5-7269-488b-886a-cdc8a0d6ec8a || 6d14378c-6460-413e-aad7-aeaafc197873 || 44076886-527c-494a-b49b-273d2a7b44ee || 17444891-cc20-479e-9b00-d543c68baa31 || 5da92288-1430-4969-a0b4-c741183ef090 || 00b6e9f9-877b-484a-bac5-0f77f0c40d13 || ec489fb6-b45c-4053-bbab-900da03d83e1 || d08ad219-0f05-47df-9e24-93b1f7f11355 || 7ea5c28b-94ef-4d70-ad10-5a29b6c4a5ec || 1824a2e2-858b-4b54-b4fd-6580a8062660 || 4c6cd5ef-4ae9-48c5-a864-218b5c3212d6</t>
  </si>
  <si>
    <t>Maier &amp; Anor v Asos Plc &amp; Anor [2015] EWCA Civ 220 || Lidl Great Britain Ltd &amp; Lidl Stiftung &amp; Co KG v Tesco Stores Ltd &amp; Tesco PLC [2022] EWCA Civ 1433 || Maier &amp; Anor v Asos Plc &amp; Anor [2015] EWCA Civ 377 || Caspian Pizza Ltd &amp; Ors v Shah &amp; Anor || Comic Enterprises Ltd v Twentieth Century Fox Film Corporation [2016] EWCA Civ 41 || Société des Produits Nestlé SA v Cadbury UK Ltd || Match Group, LLC &amp; Ors v Muzmatch Limited &amp; Anor [2023] EWCA Civ 454 || IPC Media Ltd v Media 10 Ltd [2014] EWCA Civ 1439 || Merck KGaA v Merck Sharp &amp; Dohme Corp &amp; Ors [2017] EWCA Civ 1834 || Lifestyle Equities CV &amp; Anor v Amazon UK Services Ltd &amp; Ors [2022] EWCA Civ 552 (Court of Appeal, Civil Division) || Bayerische Motoren Werke Aktiengesellschaft v Technosport London Ltd &amp; Anor [2017] EWCA Civ 779 || Glaxo Wellcome UK Ltd (t/a Allen &amp; Hanburys) &amp; Anor v Sandoz Ltd [2017] EWCA Civ 335 || Lifestyle Equities CV &amp; Anor v Amazon UK Services Ltd &amp; Ors (Consequential Issues) [2022] EWCA Civ 634 (12 May 2022) || Zuma's Choice Pet Products Ltd &amp; Anor v Azumi Ltd &amp; Ors || Hearst Holdings Inc &amp; Anor v AVELA Inc &amp; Ors || The London Taxi Corporation Ltd (t/a the London Taxi Company) v Frazer-Nash Research Ltd &amp; Anor || Lifestyle Equities CV &amp; Anor v Hornby Street (MCR) Ltd &amp; Ors [2022] EWCA Civ 51 || Comic Enterprises Ltd v Twentieth Century Fox Film Corporation (2016) EWCA Civ 455 || Zee Entertainment Enterprises Ltd &amp; Ors v Zeebox Ltd [2014] EWCA Civ 82 || Specsavers International Healthcare Ltd &amp; Ors v ASDA Stores Ltd &amp; Anor [2014] EWCA Civ 1294</t>
  </si>
  <si>
    <t>Duties owed to provide reasons for actions taken in trade mark disputes.</t>
  </si>
  <si>
    <t>Applicable when analyzing the Respondent’s awareness and possible malice.</t>
  </si>
  <si>
    <t>cmm927sxp000304jp8fpwf2ew</t>
  </si>
  <si>
    <t>Trustees must administrate with reasonable skill and care when handling beneficiary interests.</t>
  </si>
  <si>
    <t>Applies to claims regarding self-dealing and investment decisions.</t>
  </si>
  <si>
    <t>cmm0cqleo000z04i321gtuvf1</t>
  </si>
  <si>
    <t>4f894b7c-50f6-46f4-b08a-7d5f549411bb || 63f1ceea-1ae6-4e29-9f3b-c354ab3fba11 || 5d67e6bf-5a94-4298-82ae-1f13fea951bc || a62a842c-af59-45c4-be74-800b0be5e691 || af98350e-e553-4a58-8a45-9d7b2067b530 || 0f564d6f-98e5-402b-abc8-a39f1fa33427 || cbf9a2bb-7b6f-41be-ba0f-1a84a1e459e6 || 7d4b37f2-bfb0-4f96-a5c0-d63cd27e8dc3 || cfb9db03-44c0-4604-926a-a76e01575d88 || 18af7f48-3069-4315-8b8e-72156c2f8d15</t>
  </si>
  <si>
    <t>Creggy v Barnett &amp; Anor [2016] EWCA Civ 1004 (Court of Appeal (Civil Division)) || Burnden Holdings (UK) Limited (in Liquidation) v Fielding &amp; Anor [2016] EWCA Civ 557 || Braintree District Council v Secretary of State for the Home Department &amp; Anor [2023] EWCA Civ 727 (23 June 2023) || Hassam &amp; Anor v Rabot &amp; Anor; Briggs v Laditan [2023] EWCA Civ 19 || Santander UK Plc v R.A. Legal Solicitors [2014] EWCA Civ 183 || Cotton &amp; Anor v Brudenell-Bruce, Earl of Cardigan &amp; Ors [2014] EWCA Civ 1312 || Gangat v Jassat &amp; Anor [2022] EWCA Civ 604 || Davies v Ford &amp; Ors [2023] EWCA Civ 167 || Floreat Investment Management Ltd v Churchill &amp; Ors [2023] EWCA Civ 440 || Boydell v NZP Ltd &amp; Anor [2023] EWCA Civ 373</t>
  </si>
  <si>
    <t>Adequate reasons must be provided for decisions affecting parties.</t>
  </si>
  <si>
    <t>Necessary for the respondent to justify actions taken in trust administration.</t>
  </si>
  <si>
    <t>cmsbrc37v001x04l4t7r77h89</t>
  </si>
  <si>
    <t>ca-2023-002207-mr-demetrios-karpasitis-v-hertfordshire-county-appellant-skeleton</t>
  </si>
  <si>
    <t>Gorringe v. Calderdale Metropolitan Borough Council [2004] 1 WLR 1057</t>
  </si>
  <si>
    <t>Highway authorities have a duty to take reasonable care to ensure highways are safe for all users.</t>
  </si>
  <si>
    <t>Established principles regarding duties imposed on highway authorities and the extent of their obligations under maintenance standards.</t>
  </si>
  <si>
    <t>retrieved_and_cited</t>
  </si>
  <si>
    <t>https://publications.parliament.uk/pa/ld200304/ldjudgmt/jd040401/gorr-1.htm</t>
  </si>
  <si>
    <t>cmsbr997n001l04l4etg0c8qb</t>
  </si>
  <si>
    <t>52d20bb9-6964-44a6-9c32-d191ef76297c || bc30491e-9ae6-48da-90d0-71d8a8069b22 || 5a42b4bc-fe8f-47be-9b13-869933b2ddff || 70a54b3a-6d86-473d-ac2f-607d9cecd2d7 || 31ec4914-0384-4442-a7c4-2067fe7c1aec || 70d43223-0ec6-458b-b052-bdc295e0d6ec || 2eaaf060-799f-4573-a18a-86e5c14b158b || 3b14442e-37b0-455c-a24f-a53a55c9f700 || 4685ad0e-87e7-4f59-8991-823ab27d9393 || fd2b8470-21d5-4110-8733-8d925e298b9d || 70c75405-8cba-40e2-92ff-8302ea4f6789 || 4840c2e7-7326-456e-84e1-def231729686 || c4a822cc-6b52-4913-bf0d-44e5a274399e || 0b882e45-d34e-49f7-baae-3d5657d1ccc6 || 0a18c66b-4753-4650-959e-afb376e78fef || e16d7203-6f9e-4896-96e0-d021cb6f5579 || 2f6e33a1-8b12-43c8-8f96-e12ae90a4d33 || 46a37196-4d76-45b8-bbe2-7c9ca8f38f3b || cca799a2-4754-4359-b06d-601ee3439fcf || 880e79e1-325f-4cf1-a0c9-bdac6d491cba</t>
  </si>
  <si>
    <t>King Lifting Ltd v Oxfordshire County Council [2016] EWHC 1767 (QB) || Gorringe v. Calderdale Metropolitan Borough Council || Yetkin v London Borough of Newham ([2010] EWCA Civ 776) || Redrow Homes Ltd, R (on the Application of) v Knowsley Metropolitan Borough Council [2014] EWCA Civ 1433 || London Borough of Southwark &amp; Anor v Transport for London || Brown &amp; Ors v South West Lakes Trust &amp; Ors [2022] EWCA Civ 18 || National Grid Electricity Transmission Plc v Arnold White Estates Ltd [2014] EWCA Civ 216 || Humphrey v Aegis Defence Services Ltd &amp; Anor [2016] EWCA Civ 11 || Tindall &amp; Anor v Chief Constable of Thames Valley Police &amp; Anor [2022] EWCA Civ 25 || McGeer v McIntosh [2017] EWCA Civ 79 || Griffiths v Gwynedd County Council [2015] EWCA Civ 1440 || Butcher v Southend-On-Sea Borough Council (2014) || The Law Society of England and Wales v Schubert Murphy (A Firm) [2017] EWCA Civ 1295 || Alan Kind v. Newcastle-Upon-Tyne Council [2001] EWHC Admin 616 || Pawar v JSD Haulage Ltd [2016] EWCA Civ 551 || Edwards v London Borough of Sutton [2016] EWCA Civ 1005 || Manolete Partners Plc v Hastings Borough Council || Landau v The Big Bus Company Ltd &amp; Anor [2014] EWCA Civ 1102 || Taylor v Burton &amp; Anor [2015] EWCA Civ 142 || Barrow (by his litigation friend and grandfather) &amp; Ors v Merrett &amp; Anor [2022] EWCA Civ 1241</t>
  </si>
  <si>
    <t>Courts must provide adequate reasoning for decisions.</t>
  </si>
  <si>
    <t>Discusses the necessity for clear reasoning in judgments particularly where duty of care is contested.</t>
  </si>
  <si>
    <t>cmmmudwct000304kzc6d15a3r</t>
  </si>
  <si>
    <t>skeleton-args-ca2021006069-a7200646d94c4a22</t>
  </si>
  <si>
    <t>Caparo Industries Plc v Dickman [1990] 2 AC 605</t>
  </si>
  <si>
    <t>Establishes the three-part test for duty of care in negligent misstatement cases.</t>
  </si>
  <si>
    <t>Applied to establish if the Respondent owed a duty of care to the Appellant regarding the accuracy of the diligence report.</t>
  </si>
  <si>
    <t>https://www.bailii.org/uk/cases/UKHL/1990/2.html</t>
  </si>
  <si>
    <t>cmmmucao8000b04l4jyq8av83</t>
  </si>
  <si>
    <t>3f8f64bf-8917-45f1-ac4e-d5c0890c76e6 || 5bbb3770-46d1-41af-b347-aa54ea9834ba || 6e8e988c-074c-4ab1-9e37-5c84673b441b || 2ce1a66b-e09c-49d6-ae7c-f04499838c1a || 48712729-9a1b-4432-8f48-f5d5ad2ab7af || 49bf433c-b49b-4091-a568-3110855d22c7 || 880e79e1-325f-4cf1-a0c9-bdac6d491cba || 2307073e-42c1-42be-b23e-f72c4d070bf6 || 0e8b6187-21fe-40cb-933a-7a6c8e0ba3f5 || a6f305d2-30a6-4ce7-bbac-74587fe8b251 || 00167e1d-845c-4a1d-b17c-1c91c10b2c37 || 1c01aa97-1ef0-4909-a107-c6318dd6e2e3 || 481bab6a-1b92-467d-9838-15c341ee5a8c || 0fbfa459-0157-4476-8dbd-9d22ddafcebe || ed5e814e-0ed9-4e63-9834-59d2f14c0726 || 52adf3bc-8b19-4f24-9782-4fb618e86779 || 948fc767-31a4-4c63-b735-df551b7244eb || 7d4b37f2-bfb0-4f96-a5c0-d63cd27e8dc3 || 2e37836d-c57c-4eb6-942a-5a1a3a46714f || c4489a38-5c6b-4cd9-8dae-41da5c960718</t>
  </si>
  <si>
    <t>Dowling v Griffin [2014] EWCA Civ 1545 || Wellesley Partners LLP v Withers LLP [2015] EWCA Civ 1146 || Secretary of State for the Home Department v Cox &amp; Ors [2023] EWCA Civ 551 (19 May 2023) || Prior &amp; Ors v Commissioner of Police of the Metropolis (Rev1) [2023] EWCA Civ 32 || Chinnock v Wasbrough &amp; Anor [2015] EWCA Civ 441 || Taberna Europe CDO II Plc v Selskabet AF 1.September 2008 in Bankruptcy || Barrow (by his litigation friend and grandfather) &amp; Ors v Merrett &amp; Anor [2022] EWCA Civ 1241 || SO (on the application of) v Thanet District Council [2023] EWCA Civ 398 || Barclay-Watt &amp; Ors v Alpha Panareti Public Ltd &amp; Anor [2022] EWCA Civ 1169 || Park v Hadi &amp; Anor [2022] EWCA Civ 581 || Bank of New York Mellon (International) Limited v Cine-UK Limited [2022] EWCA Civ 1021 || Zanatta v Metroline Travel Limited [2023] EWCA Civ 224 (Court of Appeal, Civil Division) || Zymurgorium Ltd v Hammonds of Knutsford Plc [2023] EWCA Civ 52 || Ellis v HM Solicitor General [2023] EWCA Civ 585 || LA Micro Group (UK) Ltd &amp; Anor v LA Micro Group, Inc &amp; Ors [2023] EWCA Civ 214 (28 February 2023) || Candey Ltd v Bosheh &amp; Anor [2022] EWCA Civ 1103 (01 August 2022) || Al-Rawas &amp; Anor v Hassan Khan &amp; Co &amp; Anor [2022] EWCA Civ 671 (17 May 2022) || Davies v Ford &amp; Ors [2023] EWCA Civ 167 || Benyatov v Credit Suisse (Securities) Europe Ltd [2023] EWCA Civ 140 || Dooley &amp; Ors v Castle Trust &amp; Management Services Ltd [2022] EWCA Civ 1569</t>
  </si>
  <si>
    <t>Moore Stephens (a firm) v Stone Rolls Ltd [2009] UKHL 39</t>
  </si>
  <si>
    <t>Sets the standards relating to auditor responsibility for providing accurate information.</t>
  </si>
  <si>
    <t>Notable for informing the expectations placed on the Respondent regarding financial diligence and fraud detection capabilities.</t>
  </si>
  <si>
    <t>https://publications.parliament.uk/pa/ld200809/ldjudgmt/jd090730/moore-1.htm</t>
  </si>
  <si>
    <t>cmmls2r93000304jme0bpsul9</t>
  </si>
  <si>
    <t>skeleton-args-ca2023004634-299a4a730fe1f43a</t>
  </si>
  <si>
    <t>Reasons must be adequate in establishing the court's rationale for decisions.</t>
  </si>
  <si>
    <t>In evaluating forfeiture, the reasons must reflect the substantiality of the breaches.</t>
  </si>
  <si>
    <t>cmmlryf16000304l5d3mrnfu5</t>
  </si>
  <si>
    <t>18a014eb-e365-4420-b07a-dfdd42f053ec || 00167e1d-845c-4a1d-b17c-1c91c10b2c37 || b8f5594c-ac32-4dd3-804a-fd0c938c4401 || 39df6304-6d5c-4744-8f1a-adcd4015ef46 || 945cd74c-6126-4ef5-ae71-7c0099a28f2b || 093c1223-0ae8-4284-9849-0aa54158efc1 || 263eee40-14b4-40aa-8b6d-47da6b0fa9b3 || 7079fc72-6050-4668-ac32-14c3ce1d3b5c || 84abacd4-ac9e-4547-9c6c-c9f49ad1f96d || 63c13b59-95b3-46e6-bcfd-eef08df13985 || ccb176da-f583-47e8-b2a6-cc3aadd7833c || 1b3f1357-0731-4894-9c17-a958eecd366a || f0cad471-e222-49db-b138-c99f671aff4f || 20883fdd-3d62-402d-b87e-d07099a0aace || d9167d92-3e2d-462b-b1dd-0c42056c65b9 || f12362ca-9214-46d6-8a2a-5ddadac29884 || 18d1bbac-8bcd-4fbc-86a6-c88f150b10c4 || 2702fe29-d7f0-4cc6-8c3f-b840406bb7a2 || 98a141f0-f889-4521-86c4-1b8648867286 || 38228566-f138-413e-98cf-b8c35fe9afaa</t>
  </si>
  <si>
    <t>Freifeld &amp; Anor v West Kensington Court Ltd [2015] EWCA Civ 806 || Bank of New York Mellon (International) Limited v Cine-UK Limited [2022] EWCA Civ 1021 || Topland Portfolio No 1 Ltd v Smiths News Trading Ltd [2014] EWCA Civ 18 || Nizami v Dezyanian [2015] EWCA Civ 632 || Bishop v Chhokar [2015] EWCA Civ 24 || Hough v Greathall Ltd [2015] EWCA Civ 23 || Youssefi v Mussellwhite [2014] EWCA Civ 885 || Tibber v Buckley &amp; Anor [2015] EWCA Civ 1294 || Anselm v Buckle &amp; Anor [2014] EWCA Civ 311 || SWA Developments Ltd v Burke [2016] EWCA Civ 389 || Marks And Spencer Plc v BNP Paribas Securities Services Trust Company (Jersey) Ltd &amp; Anor [2014] EWCA Civ 603 || Magnic Ltd v Ul-Hassan &amp; Anor [2015] EWCA Civ 224 || Cawsand Fort Management Company v Kane &amp; Ors [2015] EWCA Civ 1520 || Morshead Mansions Ltd v Di Marco || Chaplair Ltd v Kumari [2015] EWCA Civ 798 || Innerspaces Self Storage Ltd v Harding &amp; Ors [2014] EWCA Civ 46 || Lankester &amp; Son Ltd v Rennie [2014] EWCA Civ 1515 || Peel Land and Property (Ports No. 3) Ltd v TS Sheerness Ltd || Silver Fern Microlights Ltd v Jones &amp; Ors [2016] EWCA Civ 277 || Erimus Housing Ltd v Barclays Wealth Trustees (Jersey) Ltd &amp; Ors [2014] EWCA Civ 303</t>
  </si>
  <si>
    <t>cmmdjqxh3000304kvs37yorn3</t>
  </si>
  <si>
    <t>Requires detailed reasoning in judicial decisions especially in forfeiture cases.</t>
  </si>
  <si>
    <t>cmmdjmbqo000b04js13axm03c</t>
  </si>
  <si>
    <t>18a014eb-e365-4420-b07a-dfdd42f053ec || 00167e1d-845c-4a1d-b17c-1c91c10b2c37 || b8f5594c-ac32-4dd3-804a-fd0c938c4401 || 39df6304-6d5c-4744-8f1a-adcd4015ef46 || 945cd74c-6126-4ef5-ae71-7c0099a28f2b || 093c1223-0ae8-4284-9849-0aa54158efc1 || 263eee40-14b4-40aa-8b6d-47da6b0fa9b3 || 7079fc72-6050-4668-ac32-14c3ce1d3b5c || 84abacd4-ac9e-4547-9c6c-c9f49ad1f96d || 63c13b59-95b3-46e6-bcfd-eef08df13985 || ccb176da-f583-47e8-b2a6-cc3aadd7833c || 1b3f1357-0731-4894-9c17-a958eecd366a || f0cad471-e222-49db-b138-c99f671aff4f || 20883fdd-3d62-402d-b87e-d07099a0aace || d9167d92-3e2d-462b-b1dd-0c42056c65b9 || f12362ca-9214-46d6-8a2a-5ddadac29884 || 2702fe29-d7f0-4cc6-8c3f-b840406bb7a2 || 98a141f0-f889-4521-86c4-1b8648867286 || 38228566-f138-413e-98cf-b8c35fe9afaa || 5315bcf1-31e2-4c09-9977-ecd80a7a8ec7</t>
  </si>
  <si>
    <t>Freifeld &amp; Anor v West Kensington Court Ltd [2015] EWCA Civ 806 || Bank of New York Mellon (International) Limited v Cine-UK Limited [2022] EWCA Civ 1021 || Topland Portfolio No 1 Ltd v Smiths News Trading Ltd [2014] EWCA Civ 18 || Nizami v Dezyanian [2015] EWCA Civ 632 || Bishop v Chhokar [2015] EWCA Civ 24 || Hough v Greathall Ltd [2015] EWCA Civ 23 || Youssefi v Mussellwhite [2014] EWCA Civ 885 || Tibber v Buckley &amp; Anor [2015] EWCA Civ 1294 || Anselm v Buckle &amp; Anor [2014] EWCA Civ 311 || SWA Developments Ltd v Burke [2016] EWCA Civ 389 || Marks And Spencer Plc v BNP Paribas Securities Services Trust Company (Jersey) Ltd &amp; Anor [2014] EWCA Civ 603 || Magnic Ltd v Ul-Hassan &amp; Anor [2015] EWCA Civ 224 || Cawsand Fort Management Company v Kane &amp; Ors [2015] EWCA Civ 1520 || Morshead Mansions Ltd v Di Marco || Chaplair Ltd v Kumari [2015] EWCA Civ 798 || Innerspaces Self Storage Ltd v Harding &amp; Ors [2014] EWCA Civ 46 || Peel Land and Property (Ports No. 3) Ltd v TS Sheerness Ltd || Silver Fern Microlights Ltd v Jones &amp; Ors [2016] EWCA Civ 277 || Erimus Housing Ltd v Barclays Wealth Trustees (Jersey) Ltd &amp; Ors [2014] EWCA Civ 303 || South Essex Partnership University NHS Foundation Trust v Laindon Holdings Ltd [2016] EWCA Civ 377</t>
  </si>
  <si>
    <t>Court must provide explicit reasoning for its decisions involving property rights.</t>
  </si>
  <si>
    <t>cmmc2zaji000h04l23a3cp61p</t>
  </si>
  <si>
    <t>skeleton-args-ca2022002088-9a827e5fc9cfa270</t>
  </si>
  <si>
    <t>Clarity in statutory interpretations affecting asset classifications in taxation.</t>
  </si>
  <si>
    <t>cmmc2vi4u000b04l2jn766kai</t>
  </si>
  <si>
    <t>43ef5de1-aec0-41aa-83ef-7f2ecf54e8b8 || 969f076d-9173-440b-9f31-7f9c274d33d7 || df2f12d2-2784-4981-b98a-fcd919be08c3 || 040ab589-56f8-4251-905d-ade1d7b6bf28 || d23d9f9f-4d0a-455a-bab1-0ce1a023b722 || 6bee451b-9500-46bf-8472-4341ada4c852 || df4c5dab-61e8-4ecb-894c-c1824b8daad2 || 9c9b344f-0010-4488-974f-bfc7a06766a5 || 3b5f0b35-9abc-4644-bd76-178e4ddaa226 || abb3abd3-a4b2-4d42-adc3-110706af9c6d</t>
  </si>
  <si>
    <t>Revenue and Customs v Lloyds TSB Equipment Leasing (No 1) Ltd [2014] EWCA Civ 1062 || Chappell v HM Revenue and Customs [2016] EWCA Civ 809 || Inmarsat Global Limited v Commissioners for Her Majesty's Revenue and Customs [2022] EWCA Civ 1076 || Peninsular &amp; Oriental Steam Navigation Company v HM Revenue and Customs [2016] EWCA Civ 468 (Court of Appeal, Civil Division) || Altrad Services Ltd &amp; Anor v Commissioners for HMRC [2023] EWCA Civ 474 (03 May 2023) || GMGRM North Ltd &amp; Ors v Ritchie (Revenue and Customs) || Good v Commissioners of HM Revenue and Customs [2023] EWCA Civ 114 || VolkerRail Plant Ltd &amp; Ors v HMRC [2023] EWCA Civ 210 || Cobalt Data Centre 2 LLP &amp; Anor v HM Revenue &amp; Customs [2022] EWCA Civ 1422 || Inland Revenue &amp; Anor v Test Claimants In the Franked Investment Income Group Litigation [2014] EWCA Civ 1214</t>
  </si>
  <si>
    <t>Requires that asset classification and its implications for tax be presented with rigorous clarity and justification; critical for upcoming judicial determinations.</t>
  </si>
  <si>
    <t>cmmjtnsdx000904l4vhap8xwc</t>
  </si>
  <si>
    <t>Legal judgments must provide sufficient reasoning, particularly when affecting substantive rights such as education.</t>
  </si>
  <si>
    <t>cmmjtjuc3000304l46doynpvf</t>
  </si>
  <si>
    <t>dfa97e6e-7e32-4c80-9f6f-5e4f398f9d82 || d60a5323-796e-4110-a6de-012ec16860c1 || facdee26-7310-4355-9ef5-1fd21f107f72 || c5a5edf0-4845-4195-a969-082c8b5afa2a || da4b6be7-2b22-4bd1-af6b-a68873f0af8d || 36166c1f-7b4e-4e19-9f3e-ba06d04ac22a || 7e8929e7-4b3c-4492-b8b5-e01b9ccfcf2c || 464b6335-7623-49ec-8536-df2bb3ae5a4d || 90f8b18f-1e00-4177-9cfb-1304fdbc0a97 || b15fdd53-0222-49df-98a5-84e25904f9fd || 80701211-fe03-4dc0-972a-b2e5467876b9 || 1ed4938a-8018-45b9-bf99-465d1697ff0b || cd2db340-265d-46ef-86dd-180d07c4fea9 || 57d5bf6b-b5e4-4a29-8fe8-fc6caf7108e9 || 522b4f69-32d0-44e3-9bb5-92859e5efde0 || d43e9179-fec2-4fc9-a5b0-3113b6e57fb4 || 037fedaf-bb6c-4013-9ebb-6bc7192c7525 || 0c4144ef-9642-4280-9526-95be21a99f19 || 22f5a58b-4272-4bb0-8476-e2d0333f5032 || 7614b7b3-9102-4127-baa4-ed60bb7a82ed</t>
  </si>
  <si>
    <t>Velyo Velev v. Bulgaria (Application No. 16032/07) || The Howard League for Penal Reform and Prisoners' Advice Service v The Lord Chancellor || Kalda v. Estonia - Access to Information Rights for Prisoners || BK &amp; Anor v The Secretary of State for Justice [2015] EWCA Civ 1259 || Bright &amp; Anor v The Secretary of State for Justice || Smith v Secretary of State for Justice &amp; Ors [2014] EWCA Civ 380 || Zenati v Police of the Metropolis &amp; Anor [2015] EWCA Civ 80 || Parratt, R (on the application of) v Parole Board || Bayliss v The Parole Board of England &amp; Wales [2014] EWCA Civ 1268 || Use of Languages in Education in Belgium || Idira, R (On the Application Of) v The Secretary of State for the Home Department (Rev 1) [2015] EWCA Civ 1187 || AA (Poland) v Secretary of State for the Home Department [2016] EWCA Civ 620 (11 May 2016) || AE (Algeria) v Secretary of State for the Home Department || Abedin, R (On the Application Of) v Secretary of State for the Home Department [2016] EWCA Civ 296 (10 March 2016) || Catan and Others v. Moldova and Russia || Coll v Secretary of State for Justice [2015] EWCA Civ 328 || Tabbakh, R (On the Application Of) v Staffordshire And West Midlands Probation Trust &amp; Anor || Bayliss v The Parole Board of England And Wales &amp; Anor [2014] EWCA Civ 1631 || BB, PP, W, U &amp; Ors v Secretary of State for the Home Department || Rowan, R (On the Application Of) v Governor of His Majesty's Prison Berwyn &amp; Anor [2023] EWCA Civ 27</t>
  </si>
  <si>
    <t>Duty to give reasons for judgments</t>
  </si>
  <si>
    <t>Legal authorities must articulate their reasoning clearly to justify their conclusions about rights.</t>
  </si>
  <si>
    <t>cmsbqvqsj000h04jnb8tn656h</t>
  </si>
  <si>
    <t>ca-2024-000255-the-king-on-the-application-of-appellant-skeleton</t>
  </si>
  <si>
    <t>Precedent affecting clarity in decision-making processes for claims like the Appellant's.</t>
  </si>
  <si>
    <t>cmsbquoo1000b04jnq0yxkb5g</t>
  </si>
  <si>
    <t>dfa97e6e-7e32-4c80-9f6f-5e4f398f9d82 || d60a5323-796e-4110-a6de-012ec16860c1 || c5a5edf0-4845-4195-a969-082c8b5afa2a || 464b6335-7623-49ec-8536-df2bb3ae5a4d || cee945fc-95ce-4ed4-b003-4212c8b3f652 || 0dcbed84-c156-4a68-8ed1-5965dc040938 || 80701211-fe03-4dc0-972a-b2e5467876b9 || facdee26-7310-4355-9ef5-1fd21f107f72 || 7e8929e7-4b3c-4492-b8b5-e01b9ccfcf2c || 9cd8bb4c-43ff-49b2-8bc4-b8df5f3727d6 || 22f5a58b-4272-4bb0-8476-e2d0333f5032 || 3ade0032-d575-425c-850a-86f1701fb8bd || 0c4144ef-9642-4280-9526-95be21a99f19 || 90f8b18f-1e00-4177-9cfb-1304fdbc0a97 || da4b6be7-2b22-4bd1-af6b-a68873f0af8d || 57d5bf6b-b5e4-4a29-8fe8-fc6caf7108e9 || 037fedaf-bb6c-4013-9ebb-6bc7192c7525 || cd2db340-265d-46ef-86dd-180d07c4fea9 || 2fdeb3d5-a5cd-4c48-9438-38ffe4f4ee02 || 36166c1f-7b4e-4e19-9f3e-ba06d04ac22a</t>
  </si>
  <si>
    <t>Velyo Velev v. Bulgaria (Application No. 16032/07) || The Howard League for Penal Reform and Prisoners' Advice Service v The Lord Chancellor || BK &amp; Anor v The Secretary of State for Justice [2015] EWCA Civ 1259 || Parratt, R (on the application of) v Parole Board || R (Howard League for Penal Reform &amp; Anor) v The Lord Chancellor || Bowen v Secretary of State for Justice || Idira, R (On the Application Of) v The Secretary of State for the Home Department (Rev 1) [2015] EWCA Civ 1187 || Kalda v. Estonia - Access to Information Rights for Prisoners || Zenati v Police of the Metropolis &amp; Anor [2015] EWCA Civ 80 || Weddle (R on the application of) v The Secretary of State for Justice [2016] EWCA Civ 38 (Court of Appeal, Civil Division) || BB, PP, W, U &amp; Ors v Secretary of State for the Home Department || Knights v Secretary of State for Justice [2017] EWCA Civ 1053 || Bayliss v The Parole Board of England And Wales &amp; Anor [2014] EWCA Civ 1631 || Bayliss v The Parole Board of England &amp; Wales [2014] EWCA Civ 1268 || Bright &amp; Anor v The Secretary of State for Justice || Abedin, R (On the Application Of) v Secretary of State for the Home Department [2016] EWCA Civ 296 (10 March 2016) || Tabbakh, R (On the Application Of) v Staffordshire And West Midlands Probation Trust &amp; Anor || AE (Algeria) v Secretary of State for the Home Department || RN v Secretary of State for the Home Department [2014] EWCA Civ 938 || Smith v Secretary of State for Justice &amp; Ors [2014] EWCA Civ 380</t>
  </si>
  <si>
    <t>Duty to provide adequate reasons</t>
  </si>
  <si>
    <t>Relevant in assessing the clarity and sufficiency of reasons given in previous decisions adhering to A2P1.</t>
  </si>
  <si>
    <t>cmsbrvtc4001304jp5e4691on</t>
  </si>
  <si>
    <t>2023-002546-ryanair-dac-v-jason-lutz-appellant-skeleton</t>
  </si>
  <si>
    <t>Adequacy of reasons in judgments requires courts to provide sufficient reasoning in their decisions.</t>
  </si>
  <si>
    <t>The reasoning in the Employment Tribunal's decision was deemed sufficient to uphold the agency worker classification.</t>
  </si>
  <si>
    <t>cmsbrv0ui000x04jpfm1qjd05</t>
  </si>
  <si>
    <t>f8755763-8d90-4b51-8a0a-d11efa528908 || 4f977444-ccac-4d7e-9884-b7b75680cfa6 || 75a20b14-f8c3-4078-b7f8-35b3a7d3864f || 9844702c-c2b0-4354-ac06-36da76a7fc64 || b8de63a1-be7b-4764-8d72-2b529e7812b8 || 419e6b34-408a-4082-a957-00fb1a643683 || 126904c3-76e4-4116-9766-06699aedc5c8 || 046e1c8b-89e0-4a66-870e-3e9d763900a6 || 01024db6-688d-42da-bdbf-02dd0fa80e82 || 1771150a-79c0-4f84-b72f-ec359226bb1b || 7591076e-d646-4c3a-a274-13be78582f5c || 4b0e95b4-9126-4cff-aaeb-54fd70eeddf2 || aa8e9b5e-fa84-4fd8-ac44-75dccba74bf8 || a697864c-4a9b-448a-9c45-1589a5e13ac5 || 577f094f-52eb-4539-b09d-d7a158f627df || cb8123f0-46c2-40c1-b7ee-cc9d5f5b4148 || c6a09815-c7b3-4cfc-8057-35bbef5c2014 || 24cdd790-fb66-4e79-895a-0d7f73047839 || 61dd8025-2416-42b9-91eb-a789f5f98110 || c9936a53-fa3e-464f-9504-b22bdbbcc939</t>
  </si>
  <si>
    <t>Kocur v Angard Staffing Solutions Limited &amp; Anor [2022] EWCA Civ 189 || The Civil Aviation Authority v Ryanair DAC [2022] EWCA Civ 76 || Ryanair Ltd v HM Revenue and Customs [2014] EWCA Civ 410 || O'Brien v Ministry of Justice [2015] EWCA Civ 1000 || Tillman v Egon Zehnder Ltd [2017] EWCA Civ 1054 || Secretary of State for Justice v Windle &amp; Arada [2016] EWCA Civ 459 || Pimlico Plumbers Ltd &amp; Anor v Smith || Commissioners for HM Revenue and Customs v Atholl House Productions Ltd [2022] EWCA Civ 501 (IR35) || Unison, R (On the Application Of) v The Lord Chancellor [2015] EWCA Civ 935 || Bone v North Essex Partnership NHS Foundation Trust [2016] EWCA Civ 45 || Rabess v The London Fire and Emergency Planning Authority [2016] EWCA Civ 1017 || Parr v MSR Partners LLP &amp; Ors [2022] EWCA Civ 24 || Smith v Pimlico Plumbers Ltd (Rev1) [2022] EWCA Civ 70 || British Gas Trading Limited v Lock &amp; Anor [2016] EWCA Civ 983 || Dyson Technology Limited v Pellerey [2016] EWCA Civ 87 || Mackenzie v AA Ltd &amp; Anor [2022] EWCA Civ 901 (01 July 2022) || Lewis v Narayanasamy &amp; Anor [2017] EWCA Civ 229 || Halawi v WDFG UK Ltd (t/a World Duty Free) [2014] EWCA Civ 1387 || Creditsights Ltd v Dhunna [2014] EWCA Civ 1238 || Sunrise Brokers LLP v Rodgers [2014] EWCA Civ 1373</t>
  </si>
  <si>
    <t>Duty to provide reasons is a fundamental aspect of a fair ruling.</t>
  </si>
  <si>
    <t>The Tribunal's obligation to provide adequate justification for its findings aligned with the principles established in Flannery.</t>
  </si>
  <si>
    <t>Senior Courts Act 1981, s.35A</t>
  </si>
  <si>
    <t>legislation_or_rule</t>
  </si>
  <si>
    <t>Statutory authority on awarding interest on debts awarded by courts.</t>
  </si>
  <si>
    <t>The determination of interest applicability will be contingent upon the final ruling surrounding the agency worker classification.</t>
  </si>
  <si>
    <t>not_applicable_non_case_reference</t>
  </si>
  <si>
    <t>n/a</t>
  </si>
  <si>
    <t>https://www.legislation.gov.uk/ukpga/1981/54/section/35A</t>
  </si>
  <si>
    <t>cmm0bebet000404jvmcxyqo4x</t>
  </si>
  <si>
    <t>skeleton-args-ca2016009836-d5eefd60a70a11d6</t>
  </si>
  <si>
    <t>Reasons must be provided for key determinations to ensure transparency and reasonableness in judicial reviews.</t>
  </si>
  <si>
    <t>cmm0b91t5000e04ibf7gf6ujr</t>
  </si>
  <si>
    <t>e050e594-d197-45f1-ba15-7d110c0d93c4 || d38848d5-b685-4b5f-8093-40563114db3b || 3fd15e8c-4fa9-4c85-ad33-49768aa69f0b || cc794994-d9ff-4e2a-a522-ddb742b52a12 || 426ca317-9dae-45bd-99cb-deb7de4b7766 || 794e2a8a-41a9-4839-a6c9-7ce1e812f4f1 || 638613f3-f321-4ccd-8055-aebfec6cec82 || 2f9fd02a-26e6-4859-90a8-5d64d042f0b9 || de6a53c9-c698-4f10-bef4-cf4544410c0e || 6e8e988c-074c-4ab1-9e37-5c84673b441b</t>
  </si>
  <si>
    <t>Great Lakes Reinsurance (UK) SE v Western Trading Ltd [2016] EWCA Civ 1003 (11 October 2016) || Shipowners' Mutual Protection and Indemnity Association (Luxembourg) v Containerships Denizcilik Nakliyat ve Ticaret A.S. ("Yusuf Cepnioglu") [2016] EWCA Civ 386 || Bate v Aviva Insurance UK Ltd [2014] EWCA Civ 334 || Quadra Commodities S.A. v XL Insurance Company SE &amp; Ors [2023] EWCA Civ 432 (21 April 2023) || Versloot Dredging BV &amp; Anor v HDI Gerling Industrie Versicherung AG &amp; Ors || Volcafe Ltd &amp; Ors v Compania Sud Americana De Vapores SA (t/a CSAV) [2016] EWCA Civ 1103 || Ted Baker Plc &amp; Anor v Axa Insurance UK Plc &amp; Ors [2014] EWCA Civ 134 || AIG Europe Ltd v OC320301 LLP &amp; Ors [2016] EWCA Civ 367 || URS Corporation Limited v BDW Trading Limited (Rev1) [2023] EWCA Civ 189 || Secretary of State for the Home Department v Cox &amp; Ors [2023] EWCA Civ 551 (19 May 2023)</t>
  </si>
  <si>
    <t>cmsbskr86000h04ji5a4thcht</t>
  </si>
  <si>
    <t>ca-2023-002537-storm-global-limited-v-jason-lutz-appellant-skeleton</t>
  </si>
  <si>
    <t>James v Greenwich BC [2008] IRLR 302</t>
  </si>
  <si>
    <t>Agency worker definition and rights.</t>
  </si>
  <si>
    <t>Clarifies the conditions under which individuals are classified as agency workers.</t>
  </si>
  <si>
    <t>https://www.bailii.org/ew/cases/EWCA/Civ/2008/35.html</t>
  </si>
  <si>
    <t>cmsbsjzo7000b04ji6xjyj7y5</t>
  </si>
  <si>
    <t>4a6e3c60-f40d-4a95-bd57-d62150508e45 || f8755763-8d90-4b51-8a0a-d11efa528908 || 046e1c8b-89e0-4a66-870e-3e9d763900a6 || 9844702c-c2b0-4354-ac06-36da76a7fc64 || 24cdd790-fb66-4e79-895a-0d7f73047839 || a697864c-4a9b-448a-9c45-1589a5e13ac5 || 126904c3-76e4-4116-9766-06699aedc5c8 || 419e6b34-408a-4082-a957-00fb1a643683 || 82db284e-faee-4799-9ffc-79a4767f263d || 1771150a-79c0-4f84-b72f-ec359226bb1b || 4b0e95b4-9126-4cff-aaeb-54fd70eeddf2 || 01024db6-688d-42da-bdbf-02dd0fa80e82 || 3f9ea643-73f4-4f17-b89a-f4861c2d62c0 || dd1fb906-0a37-4792-a4fa-7bf180ef6926 || 806f118b-d6b0-4939-ad11-753dafd57638 || 9c5985b6-eaaf-4a06-86c8-f415cd027261 || 61dd8025-2416-42b9-91eb-a789f5f98110 || c9936a53-fa3e-464f-9504-b22bdbbcc939 || 29190db1-6f4f-49a2-84d9-84e5a2091581 || 577f094f-52eb-4539-b09d-d7a158f627df</t>
  </si>
  <si>
    <t>Nursing and Midwifery Council v Somerville [2022] EWCA Civ 229 || Kocur v Angard Staffing Solutions Limited &amp; Anor [2022] EWCA Civ 189 || Commissioners for HM Revenue and Customs v Atholl House Productions Ltd [2022] EWCA Civ 501 (IR35) || O'Brien v Ministry of Justice [2015] EWCA Civ 1000 || Halawi v WDFG UK Ltd (t/a World Duty Free) [2014] EWCA Civ 1387 || British Gas Trading Limited v Lock &amp; Anor [2016] EWCA Civ 983 || Pimlico Plumbers Ltd &amp; Anor v Smith || Secretary of State for Justice v Windle &amp; Arada [2016] EWCA Civ 459 || Hottak &amp; Anor, R (On the Application Of) v The Secretary of State for Foreign and Commonwealth Affairs &amp; Anor [2016] EWCA Civ 438 || Bone v North Essex Partnership NHS Foundation Trust [2016] EWCA Civ 45 || Parr v MSR Partners LLP &amp; Ors [2022] EWCA Civ 24 || Unison, R (On the Application Of) v The Lord Chancellor [2015] EWCA Civ 935 || Smith v Carillion (JM) Ltd &amp; Anor [2015] EWCA Civ 209 || Tyne and Wear Passenger Transport Executive (trading as Nexus) v National Union of Rail, Maritime and Transport Workers &amp; Unite the Union [2022] EWCA Civ 1408 || Nayif v The High Commission of Brunei Darussalam [2014] EWCA Civ 1521 || Onu v Akwiwu &amp; Anor [2014] EWCA Civ 279 || Creditsights Ltd v Dhunna [2014] EWCA Civ 1238 || Sunrise Brokers LLP v Rodgers [2014] EWCA Civ 1373 || Jafri v Lincoln College [2014] EWCA Civ 449 || Dyson Technology Limited v Pellerey [2016] EWCA Civ 87</t>
  </si>
  <si>
    <t>Uber BV v Aslam [2021] ICR 657</t>
  </si>
  <si>
    <t>Determination of employment status in dynamic work relationships.</t>
  </si>
  <si>
    <t>Examines how traditional employer-employee relationships apply to modern interpretations.</t>
  </si>
  <si>
    <t>https://www.supremecourt.uk/cases/uksc-2019-0029</t>
  </si>
  <si>
    <t>cmmxktfx8000904johoqmmfkm</t>
  </si>
  <si>
    <t>The court must demonstrate sufficient rationale for decisions regarding negligence claims against public authorities.</t>
  </si>
  <si>
    <t>cmmxkq28b000304jo5eard9id</t>
  </si>
  <si>
    <t>bc30491e-9ae6-48da-90d0-71d8a8069b22 || 5a42b4bc-fe8f-47be-9b13-869933b2ddff || 70c75405-8cba-40e2-92ff-8302ea4f6789 || 52d20bb9-6964-44a6-9c32-d191ef76297c || 70d43223-0ec6-458b-b052-bdc295e0d6ec || edc2fc6e-68a1-4ebc-88a2-3ccdc59d63ed || 7f550baa-4c5b-40df-b47f-62be212502d8 || 79ac9104-d023-4589-82c4-577d1cfc4c14 || 0af9689e-f55a-4b42-8c7d-e7ef4d3d1bdc || 4840c2e7-7326-456e-84e1-def231729686 || 56d8134a-2d5b-4486-9939-e5639c676c98 || 50ad0fef-c59e-464c-8d87-04a50c7ac07d || 0ce57914-b433-4ea0-85e1-6db19c8a9b39 || 6948a4df-0a45-4ddc-ae3d-8eafee44976a || 3054ae89-4fdf-4879-a9ae-0e7c8a19d90e || 4685ad0e-87e7-4f59-8991-823ab27d9393 || abc88167-90f9-4d9a-b6a0-8d4adaaf3242 || ed70a00e-07d1-4bcc-ba19-9b0291138789 || de31f448-8314-4535-b841-75e23ab56a91 || 77de6f74-22d2-4440-a98f-3e75819dc938</t>
  </si>
  <si>
    <t>Gorringe v. Calderdale Metropolitan Borough Council || Yetkin v London Borough of Newham ([2010] EWCA Civ 776) || Griffiths v Gwynedd County Council [2015] EWCA Civ 1440 || King Lifting Ltd v Oxfordshire County Council [2016] EWHC 1767 (QB) || Brown &amp; Ors v South West Lakes Trust &amp; Ors [2022] EWCA Civ 18 || McCracken v Smith &amp; Ors [2015] EWCA Civ 380 || Abbasi &amp; Anor v Newcastle Upon Tyne Hospitals NHS Foundation Trust [2023] EWCA Civ 331 || Gray v Botwright [2014] EWCA Civ 1201 || Hughes v Rattan (Rev1) [2022] EWCA Civ 107 || Butcher v Southend-On-Sea Borough Council (2014) || Levi &amp; Anor v Bates &amp; Ors || Ramirez v Maheswari [2015] EWCA Civ 879 || Riley v Murray [2022] EWCA Civ 1146 || Scott v Gavigan [2016] EWCA Civ 544 || Clifford v Millicom Services UK Ltd &amp; Ors [2023] EWCA Civ 50 || Tindall &amp; Anor v Chief Constable of Thames Valley Police &amp; Anor [2022] EWCA Civ 25 || Vann &amp; Ors v Ocidental - Companhia De Seguros SA [2015] EWCA Civ 572 || Christian v South East London And Kent Bus Company [2014] EWCA Civ 944 || Municipio de Mariana v BHP Group (UK) Ltd &amp; Anor [2022] EWCA Civ 951 || Reed Elsevier UK Ltd (t/a LexisNexis) &amp; Anor v Bewry</t>
  </si>
  <si>
    <t>A requirement for clarity in decision-making in negligence; parties should be cognizant of the reasoning behind judicial conclusions.</t>
  </si>
  <si>
    <t>cmmxi2xkc000t04l8hsscxyvl</t>
  </si>
  <si>
    <t>ksy-juice-blends-uk-limited-v-citrosuco-gmbh</t>
  </si>
  <si>
    <t>Mamidoil v Okta [2001] 2 Lloyd's Rep 76</t>
  </si>
  <si>
    <t>Outlines enforceable contract terms and implications tied to pricing.</t>
  </si>
  <si>
    <t>Applicable where pricing provisions are vague or absent, supporting claims for reasonableness.</t>
  </si>
  <si>
    <t>https://www.bailii.org/ew/cases/EWCA/Civ/2001/406.html</t>
  </si>
  <si>
    <t>cmmxi0nl9000n04l8myv0bd76</t>
  </si>
  <si>
    <t>66a2adb7-bddd-44b0-98f8-695142e21b39 || 9d51b963-a1a2-4610-99cb-980f89f1b13f || 2d2f67c0-33b8-47de-ade5-124c90fc1a95 || 89eec5b0-6a53-4135-8ab9-17e062417bff || 5b14093d-7ccf-4e1d-b7d1-4d177b1f07f6 || 43a869b0-cb33-4cec-96ac-72fc11b7bdd5 || 2fdfa3b6-3d1a-4644-b9e6-2f97f850a87f || 9adfee0f-c2c7-4caa-83ed-720a548a4aab || e49dc831-4142-4181-82ed-1ebfb1029b4a || d97e315a-5f7e-4079-b086-d9d366c5bdaf || 7dc17ac1-9784-4bba-acf1-d5dd2feaf557 || e61cabb4-ab09-4abb-81fb-83596fb9943d || 62d8dc74-7bd4-4c38-99cd-c68108c1d17e || 2580e2fd-b358-469f-b94a-a83b12a8ae19 || 65eb2911-0cb6-4cff-8074-0f7b169c2e75 || f691a5fb-3356-4b3d-8d02-23ef0631e1f6 || 1e1f2245-dd9c-4a5a-b4a0-98c9113d4865 || 43d4ac89-b448-44d9-9932-c5736983a48f || be5b4e91-38ef-4caa-ae4f-eb81c3f7b722 || 7326ea9d-e544-4864-8e4a-8eeae76e44fd</t>
  </si>
  <si>
    <t>Proforce Recruit Ltd v The Rugby Group Ltd [2006] EWCA Civ 69 || Tallington Lakes Ltd &amp; Ors v Larking Gowen [2014] EWCA Civ 959 || Chartbrook Ltd v Persimmon Homes Ltd &amp; Ors [2009] UKHL 38 || Cornelius v Dubai Islamic Bank PJSC || African Minerals Ltd v Renaissance Capital Ltd [2015] EWCA Civ 448 || PST Energy 7 Shipping LLC Product Shipping &amp; Trading S.A. v O.W. Bunker Malta Ltd &amp; Ors || Valilas v Januzaj [2014] EWCA Civ 436 || Barton &amp; Ors v Morris &amp; Anor [2023] UKSC 3 || Thorney Park Golf Ltd (t/a Laleham Golf Club) v Myers Catering Ltd [2015] EWCA Civ 19 || Hc12f01351 v Blueco Limited [2014] EWCA Civ 154 || Grizzy Business Ltd v Stena Drilling [2015] EWCA Civ 867 || Northrop Grumman Missions Systems Europe Ltd v BAE Systems (AL Diriyah C4I) Ltd || Novoship (UK) Ltd &amp; Ors v Mikhaylyuk &amp; Ors [2016] EWCA Civ 236 || Shafi v Rutherford [2014] EWCA Civ 1186: Expert Determination in Share Sale Dispute || Seakom Ltd &amp; Anor v Knowledgepool Group Ltd || Hughes v Pendragon Sabre Ltd t/a Porsche Centre Bolton [2016] EWCA Civ 18 || OMV Supply and Trading AG v Kazmunaygaz Trading AG [2014] EWCA Civ 75 || Sharp Corp Ltd v Viterra BV [2023] EWCA Civ 7 || Thevarajah v Riordan &amp; Ors [2015] EWCA Civ 41 || Wood v Capita Insurance Services Ltd [2017] UKSC 24</t>
  </si>
  <si>
    <t>Chartbrook Ltd v Persimmon Homes Ltd [2009] UKHL 38</t>
  </si>
  <si>
    <t>Establishes how courts may imply reasonable terms in cases with unexplicit pricing.</t>
  </si>
  <si>
    <t>Applicable to the current case regarding the feasibility of inferring a reasonable price from the contract's context.</t>
  </si>
  <si>
    <t>https://publications.parliament.uk/pa/ld200809/ldjudgmt/jd090701/chart-1.htm</t>
  </si>
  <si>
    <t>cmsbj40n7000h04jwpx41ia5n</t>
  </si>
  <si>
    <t>An adequate level of reasoning is essential in decisions affecting public funding.</t>
  </si>
  <si>
    <t>The Secretary's rationale must clearly articulate the basis for funding changes within legal mandates.</t>
  </si>
  <si>
    <t>retrieved_id_citation_mismatch</t>
  </si>
  <si>
    <t>cmsbj2peo000b04jw4kua4pz9</t>
  </si>
  <si>
    <t>bab866ef-ca70-446c-a76d-a69bb3f7f15d || c671abf8-058b-4872-a1b9-82b27e8b0a0e || d60a5323-796e-4110-a6de-012ec16860c1 || beff2d5f-922f-42e5-9aaa-8b70d7179f71 || a1f805a8-a05f-4642-a42e-5f073974259f || 3e3e3bf7-ee19-4a93-a92d-d4e88a8038ec || 0f10aeb5-97b0-441b-a4b3-9ccc7a758b9f || 9a308fff-9dbd-49af-a8ce-8219a3874ac4 || 776a8070-aa6f-410e-b91e-2e1fcadadb9b || bfdd234f-62f5-43ff-afee-559e34362309 || f157dc58-8d24-4561-9b20-3df67da80a73 || 69931778-230c-4f9d-9516-058138a9527d || 8e189a4f-dd48-4f90-87fb-fcbe67d39b28 || 95385a97-89c9-4dac-ba8f-3eea57d6be51 || a01023c5-c3f7-4474-b50b-b4e9f4534b7a || 475da4c1-c7bc-465e-97de-b7e84c625ddb || f78142fc-13ea-4fb5-9a5e-1efbdc8d3c38 || 6fa3d0da-7143-471b-a26b-908ca5e65b60 || 148abf64-4d41-4cef-af10-c9c9986896a1 || bfa85128-3daf-4206-8d8f-d2dc5f32ab27</t>
  </si>
  <si>
    <t>Rotala Plc, R (On the Application Of) v Greater Manchester Combined Authority &amp; Anor [2022] EWCA Civ 1048 || Durham County Council v The Durham Company Limited [2023] EWCA Civ 729 || The Howard League for Penal Reform and Prisoners' Advice Service v The Lord Chancellor || Secretary of State for Communities and Local Government v West Berkshire District Council &amp; Anor [2016] EWCA Civ 441 (11 May 2016) || Miah v The Independent Police Complaints Commission &amp; Anor || Bonsall v Secretary of State for Communities and Local Government &amp; Anor [2015] EWCA Civ 1246 || Amin v Director General of the Security Service &amp; Ors || Bank Mellat v Her Majesty's Treasury [2015] EWCA Civ 1052 || Sheakh, R (On the Application Of) v London Borough of Lambeth Council [2022] EWCA Civ 457 (05 April 2022) || The Law Society &amp; Ors v The Lord Chancellor: Judicial Review of Legal Aid Reforms [2015] EWCA Civ 230 || The Good Law Project, R (On the Application Of) v Minister for the Cabinet Office [2022] EWCA Civ 21 || E3 &amp; Ors v Secretary of State for the Home Department [2023] EWCA Civ 26 || Milburn, R (On the Application Of) v Local Government and Social Care Ombudsman [2023] EWCA Civ 207 (28 February 2023) || AHK &amp; Ors, R (On the Application Of) v Secretary of State for the Home Department || Williams v Devon County Council [2016] EWCA Civ 419 || Sanam v National Crime Agency [2015] EWCA Civ 1234 || AAA (Syria) &amp; Ors v Secretary of State for the Home Department [2023] EWCA Civ 266 || Turley v London Borough of Wandsworth &amp; Anor [2017] EWCA Civ 189 || Kanu, R (On the Application Of) v Secretary of State for Foreign, Commonwealth and Development Affairs [2023] EWCA Civ 796 || Regency Factors Plc v HM Revenue &amp; Customs (Rev1) [2022] EWCA Civ 103</t>
  </si>
  <si>
    <t>Parties must be provided reasons for decisions affecting them to ensure transparency and accountability.</t>
  </si>
  <si>
    <t>The decision must offer clear reasoning as to adjustments made regarding funding, justifying deviations from prior commitments.</t>
  </si>
  <si>
    <t>cmm0ct5sl001504i3x6g18pvd</t>
  </si>
  <si>
    <t>Trustees must act in the best interest of beneficiaries, avoiding conflicts of interest.</t>
  </si>
  <si>
    <t>Applicable to self-dealing cases and assessing trustee duties.</t>
  </si>
  <si>
    <t>Establishes clear guidelines regarding the duties and liabilities of trustees.</t>
  </si>
  <si>
    <t>Relevant to understanding the breadth of fiduciary obligations.</t>
  </si>
  <si>
    <t>cmlzy9ss300fz04i80p2yfbg1</t>
  </si>
  <si>
    <t>Adequate reasoning is necessary in judicial decisions.</t>
  </si>
  <si>
    <t>The reasoning must reflect statutory compliance and clarity in decisions affecting public funding.</t>
  </si>
  <si>
    <t>cmlzy6by600ft04i8cpz0rrjt</t>
  </si>
  <si>
    <t>968e5c88-1f2c-4da8-9290-4111f416ec6e || 1d957476-2c0d-4578-8a43-679ec600e382 || f5a5b44e-fcf0-40c0-9bf9-69f026b1b438 || bab866ef-ca70-446c-a76d-a69bb3f7f15d || 774ce56b-3a21-4d9a-be0f-2e4cd8924a73 || a86c8039-4dcd-41c2-bbee-f72673a10ba2 || f52b20b0-a55d-4039-a67d-35811badb24b || 1bbfccbb-15e3-41bb-a970-7167b43b0267 || 4c3b8da7-6c82-4056-ab98-dea339f7af1d || f157dc58-8d24-4561-9b20-3df67da80a73</t>
  </si>
  <si>
    <t>Finch On Behalf of the Weald Action Group, R (On the Application Of) v Surrey County Council &amp; Ors [2022] EWCA Civ 187 || Wyatt v Fareham Borough Council (Rev1) [2022] EWCA Civ 983 || London Borough of Enfield, R (on the application of) v Secretary of State for Transport &amp; Ors [2016] EWCA Civ 480 || Rotala Plc, R (On the Application Of) v Greater Manchester Combined Authority &amp; Anor [2022] EWCA Civ 1048 || Solar Century Holdings Ltd &amp; Ors v Secretary of State for Energy and Climate Change [2016] EWCA Civ 117 || Rotherham Borough Council &amp; Ors v Secretary of State for Business, Innovation And Skills || Cuciurean v Secretary of State for Transport &amp; Anor [2022] EWCA Civ 1519 || Northern Gas Networks Ltd v Commissioners for HMRC [2022] EWCA Civ 910 || Ashchurch Rural Parish Council, R (On the Application Of) v Tewkesbury Borough Council [2023] EWCA Civ 101 || The Good Law Project, R (On the Application Of) v Minister for the Cabinet Office [2022] EWCA Civ 21</t>
  </si>
  <si>
    <t>Establishes a duty to provide justification for decisions involving public funds.</t>
  </si>
  <si>
    <t>Public bodies must demonstrate their decisions are lawfully made, especially concerning substantial funding.</t>
  </si>
  <si>
    <t>CPR Practice Direction 52D</t>
  </si>
  <si>
    <t>Directions concerning the citation and authorities in court proceedings.</t>
  </si>
  <si>
    <t>Citations must adhere to established formatting and relevance standards in public law disputes.</t>
  </si>
  <si>
    <t>https://www.justice.gov.uk/courts/procedure-rules/civil/rules/part52/practice-direction-52d-statutory-appeals-and-appeals-subject-to-special-provision</t>
  </si>
  <si>
    <t>cmsbr4fhb000v04l4mgwtz5x1</t>
  </si>
  <si>
    <t>ca-2024-000806-hippodrome-casino-ltd-v-hmrc-appellant-skeleton</t>
  </si>
  <si>
    <t>Adequacy of reasoning in judicial decisions is essential for ensuring transparency and accountability.</t>
  </si>
  <si>
    <t>This principle applies directly to the need for comprehensive justification in tribunal decisions regarding VAT input tax recovery.</t>
  </si>
  <si>
    <t>cmsbr3gmj000p04l4jzoye2ph</t>
  </si>
  <si>
    <t>b9498527-3250-49cd-9d8e-ed7c0dda200e || 4ce131bd-2742-476d-a37a-0727c7980ebc || cd495d17-4a70-4b1a-ad32-713927ce6d8e || bfa85128-3daf-4206-8d8f-d2dc5f32ab27 || 5be7238d-b78e-4194-90ec-c036be53b377 || 88bb4a5f-a731-48de-9e0d-c8537ea915a0 || 5c2719bb-df7d-4d55-a473-dd5087c1d2e8 || 38eac6a9-6018-40fe-9d73-ab111162e65d || 52d1be75-0d9f-4b51-b6fc-183cfce77220 || 3d0c1d2a-8c23-4f19-a7ba-587826b75f45 || 53011b43-2d84-4830-953a-1b5b550f4f67 || 2f2ce488-73d0-4422-abcd-2b014a9e52d1 || d18a7e9c-a930-43c5-a32d-bc205ffe00f8 || dc715706-f35f-4a5c-8ad7-a824c23f5260 || ff706e01-2911-4522-b7e2-4cb4ed7e3992 || fb90f1ad-6132-491d-be89-35324c43b367 || 690f2978-b410-456d-8745-0fd24cea8bf6 || 34f65455-ab57-4843-8247-69713c6d5d1d || c009622e-9e72-4c9c-a114-e74deba95ac2 || 7253e952-4693-4c28-8c6d-f176b4e6f194</t>
  </si>
  <si>
    <t>Volkswagen Financial Services (UK) Ltd v HM Revenue &amp; Customs || Revenue and Customs v Mercedes-Benz Financial Services UK Ltd || Birmingham Hippodrome Theatre Trust Ltd v Revenue And Customs || Regency Factors Plc v HM Revenue &amp; Customs (Rev1) [2022] EWCA Civ 103 || Leeds City Council v HM Revenue and Customs [2015] EWCA Civ 1293 || Littlewoods Ltd &amp; Ors v HM Revenue and Customs [2015] EWCA Civ 515 || Reed Employment Ltd v HM Revenue and Customs || ING Intermediate Holdings Ltd v HM Revenue and Customs [2017] EWCA Civ 2111 || Tower Bridge GP Ltd v Revenue And Customs [2022] EWCA Civ 998 (18 July 2022) || University of Huddersfield Higher Education Corporation v HM Revenue and Customs || The Quentin Skinner 2015 Settlement L &amp; Ors v HM Revenue and Customs (Entrepeneurs' Relief) [2022] EWCA Civ 1222 || Totel Limited v HM Revenue and Customs [2016] EWCA Civ 1310 || SAE Education Ltd v Revenue And Customs || Associated Newspapers Ltd v HM Revenue &amp; Customs [2017] EWCA Civ 54 || Revenue And Customs v The Open University [2016] EWCA Civ 114 || HM Revenue and Customs v Brockenhurst College [2015] EWCA Civ 1196 || Greenspace (UK) Ltd v Commissioners for HM Revenue and Customs [2023] EWCA Civ 106 || Iveco Ltd v Revenue And Customs || Revenue and Customs (HMRC) v London Clubs Management Ltd || HMRC v GMAC (UK) Plc [2016] EWCA Civ 1015 (Court of Appeal, Civil Division)</t>
  </si>
  <si>
    <t>cmm93eoww000904l4jttzk880</t>
  </si>
  <si>
    <t>skeleton-args-ca2019004792-59f1ed0831f20944</t>
  </si>
  <si>
    <t>Adequacy of reasons in judgments is vital for transparency in judicial decisions.</t>
  </si>
  <si>
    <t>The respondent’s failure to provide sufficient justification for the clinical action taken.</t>
  </si>
  <si>
    <t>cmm93cs0n000304l46op6ul80</t>
  </si>
  <si>
    <t>031797cd-b2d5-42dc-9292-4485d3c8553c || 127de7d1-1e96-4936-82d9-f933bbeb8539 || 6c956002-60ab-482d-bce9-914febd99213 || 2c529d3c-f445-459e-ae7c-ae0fb3f24875 || 09032da4-f24a-4dd0-96cf-5e5fa79ba1f3 || ea179fd6-9cc0-4327-b94e-9bdff9e46c0c || 3b56f922-9884-43fd-9704-884f90c524db || c45b113b-b1e9-442c-bce8-4a22844d94ea || bc404037-1dd0-47a8-8f10-d0876c870fd7 || 90d7a223-ab0a-4dc6-b2e6-2c8123bf1c7b</t>
  </si>
  <si>
    <t>Bilal &amp; Anor v St George's University Hospital NHS Foundation Trust [2023] EWCA Civ 605 || Collins v Secretary of State for Business Innovation and Skills &amp; Anor || Worrall v Antoniadou [2016] EWCA Civ 1219 || Duce v Worcestershire Acute Hospitals NHS Trust || O'Connor v Bar Standards Board [2016] EWCA Civ 775 || Kadir v Mistry &amp; Ors [2014] EWCA Civ 1177 || Abdel-Khalek v Ali [2016] EWCA Civ 80 || C v North Cumbria University Hospitals NHS Trust || Ali v Caton &amp; Anor [2014] EWCA Civ 1313 || Meiklejohn v St George's Healthcare NHS Trust &amp; Anor [2014] EWCA Civ 120</t>
  </si>
  <si>
    <t>A duty to give reasons for judicial determinations and actions taken, especially critical in clinical negligence cases.</t>
  </si>
  <si>
    <t>Requirement for the Respondent to articulate clinical reasoning for not performing the MRI during consultations.</t>
  </si>
  <si>
    <t>[2015] UKSC 11</t>
  </si>
  <si>
    <t>The principles in Montgomery govern the standard of care owed by healthcare professionals.</t>
  </si>
  <si>
    <t>These principles apply to evaluate the Respondent's duty to inform and investigate the symptoms adequately.</t>
  </si>
  <si>
    <t>https://www.supremecourt.uk/cases/uksc-2013-0136</t>
  </si>
  <si>
    <t>cmm920v38000b04ib8ug7hazg</t>
  </si>
  <si>
    <t>There is a duty on trustees to act prudently and avoid conflicts of interest.</t>
  </si>
  <si>
    <t>This principle is directly applicable to the self-dealing allegations raised by the appellant.</t>
  </si>
  <si>
    <t>Standard of care and prudence expected of trustees in investment decisions.</t>
  </si>
  <si>
    <t>This applies to the claims regarding improper management and distribution of trust assets.</t>
  </si>
  <si>
    <t>cmst7uoeu00d804l5ayb3b9q8</t>
  </si>
  <si>
    <t>skeleton-args-ca2022000651-1294462417e10289</t>
  </si>
  <si>
    <t>Hedley Byrne &amp; Co Ltd v Heller &amp; Partners Ltd [1964]</t>
  </si>
  <si>
    <t>Establishes the duty of care in providing financial advice.</t>
  </si>
  <si>
    <t>Applicable where a fiduciary is found to have failed in its duty to manage investments prudently.</t>
  </si>
  <si>
    <t>https://www.bailii.org/uk/cases/UKHL/1963/4.html</t>
  </si>
  <si>
    <t>cmst7t5an00d204l5jrwmz7m1</t>
  </si>
  <si>
    <t>e3367bf1-963c-47c9-aea9-8dc4a1dc25bc || dbcf0178-be49-4907-95d1-ab35a968b855 || cfb9db03-44c0-4604-926a-a76e01575d88 || b4e5eb9c-82c1-4910-beaf-c30269939bbe || 0c0d315b-921c-4764-bbf2-256f21063551 || 5d67e6bf-5a94-4298-82ae-1f13fea951bc || 0fbfa459-0157-4476-8dbd-9d22ddafcebe || f267189c-abb2-4e08-9ad3-2d255e4734f9 || 1a244569-1234-46aa-8e7d-57a6a32b758e || 8facda75-653c-4200-b172-498d6a3d7ae6 || 54bbd778-02b8-472d-8914-8d6b4032100e || 0e8b6187-21fe-40cb-933a-7a6c8e0ba3f5 || 18af7f48-3069-4315-8b8e-72156c2f8d15 || 01d73959-4b54-4b29-8624-940f8e46afdd || 83821fb0-ba9c-43e6-bb47-76a85327b471 || 00167e1d-845c-4a1d-b17c-1c91c10b2c37 || 565f5e91-7c54-4337-a905-cf672da54e73 || 31447129-c494-44ca-9329-afa62c74d705 || 9b104a0b-0f68-42d9-a5c4-e7111bd55fdf || f0022e90-d6b2-4255-aa84-750a85644748</t>
  </si>
  <si>
    <t>The Financial Conduct Authority v Capital Alternatives Ltd &amp; Ors || Allianz Global Investors GmbH &amp; Ors v Barclays Bank Plc &amp; Ors (Rev1) [2022] EWCA Civ 353 || Floreat Investment Management Ltd v Churchill &amp; Ors [2023] EWCA Civ 440 || Asset Land Investment Plc &amp; Anor v The Financial Conduct Authority (FCA) || The Financial Conduct Authority v Ferreira [2022] EWCA Civ 397 || Braintree District Council v Secretary of State for the Home Department &amp; Anor [2023] EWCA Civ 727 (23 June 2023) || Ellis v HM Solicitor General [2023] EWCA Civ 585 || Pitalia &amp; Anor v NHS England [2023] EWCA Civ 657 || The Financial Conduct Authority v. Avacade Ltd &amp; Ors || Lakatamia Shipping Company Ltd &amp; Ors v Su &amp; Ors [2021] EWCA Civ 1187 || Malik v Henley Homes Plc [2023] EWCA Civ 726 || Barclay-Watt &amp; Ors v Alpha Panareti Public Ltd &amp; Anor [2022] EWCA Civ 1169 || Boydell v NZP Ltd &amp; Anor [2023] EWCA Civ 373 || Goknur Gida Maddeleri Enerji Imalet Ithalat Ihracat Ticaret Ve Sanayi AS v Aytacli || CGL Group Ltd &amp; Ors v The Royal Bank of Scotland Plc &amp; National Westminster Bank Plc &amp; Ors || Bank of New York Mellon (International) Limited v Cine-UK Limited [2022] EWCA Civ 1021 || Ciftci v London Borough of Haringey || Deutsche Bank AG v Sebastian Holdings Inc &amp; Anor [2023] EWCA Civ 191 || Verition Advisors (UK Partners) LLP v Jump Trading International Limited [2023] EWCA Civ 701 || Wood v Commercial First Business Ltd &amp; Ors</t>
  </si>
  <si>
    <t>Henderson v Merrett Syndicates Ltd [1995]</t>
  </si>
  <si>
    <t>Outlines standards of liability for fiduciaries in investment management contexts.</t>
  </si>
  <si>
    <t>Reinforces that fiduciaries must act within the bounds of reasonable practice under any statutory or contractual regulations.</t>
  </si>
  <si>
    <t>https://www.bailii.org/uk/cases/UKHL/1994/5.html</t>
  </si>
  <si>
    <t>Bolam v Friern Hospital Management Committee [1957]</t>
  </si>
  <si>
    <t>Standards for assessing professional negligence across various fields, including finance.</t>
  </si>
  <si>
    <t>Legitimate standard for evaluating the level of care expected from the Respondent in managing the Appellant's portfolio.</t>
  </si>
  <si>
    <t>Affirms that sufficient reasoning must accompany claims and defenses.</t>
  </si>
  <si>
    <t>Covers the necessity that the Respondent must substantiate its decisions with adequate documentation.</t>
  </si>
  <si>
    <t>cmmsi1xqb000h04jsef3v6skf</t>
  </si>
  <si>
    <t>Judgments should provide adequate reasoning and not lead to unfairness due to lack of clarity.</t>
  </si>
  <si>
    <t>Insights into the necessity for thorough reasoning in judicial decisions to ensure interpretations align with statutory frameworks and public expectations.</t>
  </si>
  <si>
    <t>cmmshur54000b04jsgyo6bz98</t>
  </si>
  <si>
    <t>bc30491e-9ae6-48da-90d0-71d8a8069b22 || 70c75405-8cba-40e2-92ff-8302ea4f6789 || aeeec773-897a-43bf-a319-7d0c8a133974 || 52d20bb9-6964-44a6-9c32-d191ef76297c || 2eaaf060-799f-4573-a18a-86e5c14b158b || 70a54b3a-6d86-473d-ac2f-607d9cecd2d7 || 0b882e45-d34e-49f7-baae-3d5657d1ccc6 || d34db962-c7f4-46f4-9a77-df6d760ca7c4 || 5a42b4bc-fe8f-47be-9b13-869933b2ddff || ef69364f-1f4a-4944-86e4-73329cef96a0 || 70d43223-0ec6-458b-b052-bdc295e0d6ec || 0af9689e-f55a-4b42-8c7d-e7ef4d3d1bdc || e16d7203-6f9e-4896-96e0-d021cb6f5579 || 6cd7db33-7ee1-44c0-9219-b2cc7d57d88b || 54d149f2-2e02-477e-8541-b2bf222578d6 || cf573360-3fce-450e-8c42-e7af981c74f8 || 1ae781af-c482-402d-b18c-8d4c33432b24 || 8083fc20-0741-4b1d-bf49-faaaa6530a9a || e5d644c7-0c3c-4885-a0c9-73db584ea88e || 353163ab-c444-4186-a05c-4f5d73800a3f</t>
  </si>
  <si>
    <t>Gorringe v. Calderdale Metropolitan Borough Council || Griffiths v Gwynedd County Council [2015] EWCA Civ 1440 || The Secretary of State for Transport &amp; Anor v Cuciurean [2022] EWCA Civ 661 || King Lifting Ltd v Oxfordshire County Council [2016] EWHC 1767 (QB) || National Grid Electricity Transmission Plc v Arnold White Estates Ltd [2014] EWCA Civ 216 || Redrow Homes Ltd, R (on the Application of) v Knowsley Metropolitan Borough Council [2014] EWCA Civ 1433 || Alan Kind v. Newcastle-Upon-Tyne Council [2001] EWHC Admin 616 || Watts v Stewart &amp; Ors [2016] EWCA Civ 1247 || Yetkin v London Borough of Newham ([2010] EWCA Civ 776) || Littlejohns &amp; Anor v Devon County Council &amp; Anor [2016] EWCA Civ 446 || Brown &amp; Ors v South West Lakes Trust &amp; Ors [2022] EWCA Civ 18 || Hughes v Rattan (Rev1) [2022] EWCA Civ 107 || Edwards v London Borough of Sutton [2016] EWCA Civ 1005 || Smith v Secretary of State for Levelling Up, Housing &amp; Communities &amp; Anor [2022] EWCA Civ 1391 || Union of Shop, Distributive and Allied Workers &amp; Ors v Tesco Stores Ltd (2022) EWCA Civ 978 || Cocking &amp; Anor v Eacott &amp; Anor [2016] EWCA Civ 140 || HXA v Surrey County Council; YXA v Wolverhampton City Council (England and Wales Court of Appeal (Civil Division)) || Recovery Partners GP Limited &amp; Anor v Rukhadze &amp; Ors [2023] EWCA Civ 305 (Court of Appeal, Civil Division) || Schofield &amp; Anor v Smith &amp; Anor [2022] EWCA Civ 824 (21 June 2022) || Paul &amp; Ors v The Royal Wolverhampton NHS Trust; Polmear v The Royal Wolverhampton NHS Trust; Purchase v Royal Cornwall Hospitals NHS Trust</t>
  </si>
  <si>
    <t>Parties must receive clear reasoning for decisions related to their circumstances and interests.</t>
  </si>
  <si>
    <t>Cited in cases of procedural justice to advocate for transparency in decision-making processes underneath statutory obligations.</t>
  </si>
  <si>
    <t>cmsbsvvmu001x04jittsrlhz0</t>
  </si>
  <si>
    <t>ca-2024-0023525 &amp; ca-2024-002295-modernatx-inc-v-pfizer-limited-others-respondent-skeleton</t>
  </si>
  <si>
    <t>Judges must provide adequate reasons in their judgments.</t>
  </si>
  <si>
    <t>Applicable to the necessity for clear reasoning in assessing patent validity and obviousness claims.</t>
  </si>
  <si>
    <t>cmsbsuhsv001r04jiv19ukl8u</t>
  </si>
  <si>
    <t>9c4e33c9-91d3-464b-b025-a46e5f3673af || 1c816bf0-70b4-46bd-9a31-9d036faff956 || 71033cf6-55d5-450b-8f5c-b4e0192b644a || cb8c8a45-aef5-4216-9a7b-d3b254e3b53a || d2737a8b-f6d7-473c-83e0-4e50adcfcdc4 || a1a08eab-f66f-48ea-a2b4-e885be7c07df || 024940b7-32ce-4a89-be24-ef0977f9eecd || 08ccb4b2-db3c-4132-87d7-ba219d5957a0 || 7311cc70-1cfb-4513-97ab-71a6251af9db || c0f3fdb2-6414-4841-8590-b7c4efeabf5e || 6ba97045-0b3f-40c9-b06f-d6c5cc32ad55 || 466ad3d5-2323-4234-9361-33c5f1c8d976 || f462ecd6-c4d2-4d24-997f-71bddff50aab || 33d3386d-e19e-4140-bd36-3e7d208b6e5a || ce8d542e-c788-49dc-95c2-e97c961e144e || 5484c0b3-68e5-4332-8ca9-7879a400b8de || 11464556-955b-4142-86d7-0d80daa5ca11 || df131dd9-a363-4ffe-8782-01767cbb4625 || 220f5941-b918-42be-ba08-5254bcf34586 || 9a6c35d9-2f41-4d9b-bdea-d545c0053749</t>
  </si>
  <si>
    <t>Philip Morris Products, S.A. v Nicoventures Trading Limited &amp; Anor (Re Invalidity of Patents) [2022] EWCA Civ 1638 || Idenix Pharmaceuticals Inc v Gilead Sciences Inc &amp; Ors [2016] EWCA Civ 1089 || Hospira UK Limited v Genentech, Inc. [2016] EWCA Civ 1185 || Warner-Lambert Company LLC v Generics (UK) Ltd (t/a Mylan) &amp; Ors [2016] EWCA Civ 1006 || Nokia Technologies OY &amp; Anor v OnePlus Technology (Shenzhen) Co Ltd &amp; Ors || Synthon BV v Teva Pharmaceutical Industries Ltd [2017] EWCA Civ 148 || Neurim Pharmaceuticals (1991) Limited &amp; Flynn Pharma Limited v Generics (UK) Limited &amp; Viatris UK Healthcare Limited [2022] EWCA Civ 699 || Interdigital Technology Corporation &amp; Ors v Lenovo Group Ltd &amp; Ors [2023] EWCA Civ 57 || Interdigital Technology Corporation &amp; Ors v Lenovo Group Ltd &amp; Ors [2023] EWCA Civ 105 || Neurim Pharmaceuticals (1991) Limited &amp; Anor v Generics (UK) Limited &amp; Anor [2022] EWCA Civ 370 || Teva UK Limited &amp; Teva Pharmaceutical Industries Limited v Novartis AG &amp; Novartis Pharmaceuticals UK Limited [2022] EWCA Civ 1617 || Optis Cellular Technology LLC &amp; Ors v Apple Retail UK Ltd &amp; Ors [2023] EWCA Civ 758 || Sandoz Limited v Bristol-Myers Squibb Holdings Ireland Unlimited Company (Re Patent - Plausibility when determining validity) [2023] EWCA Civ 472 || Alcon Research LLC &amp; Anor v Pharmathen SA &amp; Anor [2022] EWCA Civ 845 (28 June 2022) || Optis Cellular Technology LLC et al v Apple Retail UK Ltd et al [2023] EWCA Civ 438 || Optis Cellular Technology LLC &amp; Ors v Apple Retail UK Ltd &amp; Ors [2022] EWCA Civ 1411 || Dr Reddy's Laboratories (UK) Ltd &amp; Ors v Warner-Lambert Company LLC [2023] EWCA Civ 73 (Court of Appeal, Civil Division) || Optis Cellular Technology LLC &amp; Ors v Apple Retail UK Limited &amp; Ors [2022] EWCA Civ 792 || Hospira (UK) Ltd v Genentech, Inc. || Novartis AG and Novartis Pharmaceuticals UK Limited v Teva UK Ltd &amp; Ors [2022] EWCA Civ 775</t>
  </si>
  <si>
    <t>cmsbr3045000j04l4tkps7ymp</t>
  </si>
  <si>
    <t>HMRC v Volkswagen Financial Services (Case C-153/17)</t>
  </si>
  <si>
    <t>Clarifies the conditions under which VAT input can be recovered via special methods.</t>
  </si>
  <si>
    <t>The case assessed economic use principles applicable to businesses making mixed supplies.</t>
  </si>
  <si>
    <t>https://infocuria.curia.europa.eu/tabs/redirect/juris/liste.jsf?num=C-153%2F17</t>
  </si>
  <si>
    <t>cmsbr1xgb000d04l4kki35x9j</t>
  </si>
  <si>
    <t>St Helen’s School Northwood v RCC</t>
  </si>
  <si>
    <t>Articulates the importance of assessing operational purposes in VAT attribution.</t>
  </si>
  <si>
    <t>Utilized to inform the determination of whether standard or special methods should apply.</t>
  </si>
  <si>
    <t>https://www.bailii.org/ew/cases/EWHC/Ch/2006/3306.html</t>
  </si>
  <si>
    <t>Reinforces the obligation to provide detailed reasoning in complex tax cases.</t>
  </si>
  <si>
    <t>Advocated for thoroughness in judicial assessments, especially where VAT recoverability is concerned.</t>
  </si>
  <si>
    <t>cmmxgyd9z000h04kttryogau2</t>
  </si>
  <si>
    <t>Essential for judgments to provide adequate reasoning for findings to ensure fairness.</t>
  </si>
  <si>
    <t>cmmxgv6n0000b04kt94o7km5w</t>
  </si>
  <si>
    <t>bc30491e-9ae6-48da-90d0-71d8a8069b22 || 5a42b4bc-fe8f-47be-9b13-869933b2ddff || 70d43223-0ec6-458b-b052-bdc295e0d6ec || 4685ad0e-87e7-4f59-8991-823ab27d9393 || 52d20bb9-6964-44a6-9c32-d191ef76297c || 4840c2e7-7326-456e-84e1-def231729686 || 70c75405-8cba-40e2-92ff-8302ea4f6789 || 6948a4df-0a45-4ddc-ae3d-8eafee44976a || 2eaaf060-799f-4573-a18a-86e5c14b158b || 0af9689e-f55a-4b42-8c7d-e7ef4d3d1bdc || 54d149f2-2e02-477e-8541-b2bf222578d6 || a2f8a9c1-146b-4f6c-9d33-4a6ae32664d5 || edc2fc6e-68a1-4ebc-88a2-3ccdc59d63ed || aeeec773-897a-43bf-a319-7d0c8a133974 || 50ad0fef-c59e-464c-8d87-04a50c7ac07d || 2e37836d-c57c-4eb6-942a-5a1a3a46714f || 0b882e45-d34e-49f7-baae-3d5657d1ccc6 || d1152bb7-20b0-4217-a91b-171203a9484a || 8bf594df-88d1-4791-89f3-b2699310ed7a || 6e8e988c-074c-4ab1-9e37-5c84673b441b</t>
  </si>
  <si>
    <t>Gorringe v. Calderdale Metropolitan Borough Council || Yetkin v London Borough of Newham ([2010] EWCA Civ 776) || Brown &amp; Ors v South West Lakes Trust &amp; Ors [2022] EWCA Civ 18 || Tindall &amp; Anor v Chief Constable of Thames Valley Police &amp; Anor [2022] EWCA Civ 25 || King Lifting Ltd v Oxfordshire County Council [2016] EWHC 1767 (QB) || Butcher v Southend-On-Sea Borough Council (2014) || Griffiths v Gwynedd County Council [2015] EWCA Civ 1440 || Scott v Gavigan [2016] EWCA Civ 544 || National Grid Electricity Transmission Plc v Arnold White Estates Ltd [2014] EWCA Civ 216 || Hughes v Rattan (Rev1) [2022] EWCA Civ 107 || Union of Shop, Distributive and Allied Workers &amp; Ors v Tesco Stores Ltd (2022) EWCA Civ 978 || AAA &amp; Anor v CCC [2022] EWCA Civ 479 || McCracken v Smith &amp; Ors [2015] EWCA Civ 380 || The Secretary of State for Transport &amp; Anor v Cuciurean [2022] EWCA Civ 661 || Ramirez v Maheswari [2015] EWCA Civ 879 || Benyatov v Credit Suisse (Securities) Europe Ltd [2023] EWCA Civ 140 || Alan Kind v. Newcastle-Upon-Tyne Council [2001] EWHC Admin 616 || Reilly and Hewstone v Secretary of State for Work and Pensions [2016] EWCA Civ 413 || Aviva Insurance Limited and Swiss Reinsurance Company Limited v Secretary of State for Work and Pensions [2022] EWCA Civ 15 || Secretary of State for the Home Department v Cox &amp; Ors [2023] EWCA Civ 551 (19 May 2023)</t>
  </si>
  <si>
    <t>Judicial mandates require clear reasoning for conclusions drawn from evidence presented.</t>
  </si>
  <si>
    <t>Interest on debts and damages</t>
  </si>
  <si>
    <t>Entitles successful parties to claim interest on awarded damages from the date of incident until payment.</t>
  </si>
  <si>
    <t>[2020] 4 WLR 55</t>
  </si>
  <si>
    <t>Statutory defenses are scrutinized against the standard of reasonableness and due diligence.</t>
  </si>
  <si>
    <t>Examinations of claims must weigh the defense against adequate maintenance and safety assessments.</t>
  </si>
  <si>
    <t>https://www.bailii.org/ew/cases/EWCA/Civ/2020/408.html</t>
  </si>
  <si>
    <t>cmst49zw4001104l7neqlaa0v</t>
  </si>
  <si>
    <t>skeleton-args-ca2024009268-0b828a88e0027426</t>
  </si>
  <si>
    <t>Clarifies what constitutes reasonable explanations in judicial determinations, impacting clarity and understanding.</t>
  </si>
  <si>
    <t>cmst47zkn000v04l7hdoa66wv</t>
  </si>
  <si>
    <t>5b3c080f-c58b-40db-acc4-59aca37b2a05 || 2bd10c54-07db-4985-85eb-0568607ef9f3 || 5bbb3770-46d1-41af-b347-aa54ea9834ba || a95c38a6-976a-4d35-a1bc-ccbc2a65b561 || 3939ad83-3116-4c2b-9d35-73b063345d71 || fdbc6a3c-8f8a-46d6-bced-8407ae440500 || 8d3566aa-9c6c-4af2-aae2-6c7f72b4a711 || 9319b0b6-6588-44c5-bf0a-837a7f81aaa9 || 3f8f64bf-8917-45f1-ac4e-d5c0890c76e6 || ab4da4b0-f2a2-4d27-9757-dd8b98b5c0d4 || 7bc4d59e-cc60-4942-af27-745ffc1ad26d || 28d8ec74-fee2-499a-b0c5-a348db1ba836 || 37322248-7ff9-40fc-81db-2c85731a6f2d || bb52ee0e-510f-47b7-86fc-020bbda6c8af || e6e0e725-7038-447c-a905-f4f0ffb8294c || 0c23fc23-4a82-438e-8579-7c9774beb588 || a1fcbe31-60cf-480d-aa88-19492f68df24 || 9a27264c-bfec-4468-9e44-c8016d416f24 || 644ed609-0437-4a2d-8cad-997c3b4deba0 || 48712729-9a1b-4432-8f48-f5d5ad2ab7af</t>
  </si>
  <si>
    <t>Main &amp; Orsv v Giambrone &amp; Law (2017) - Liability for Breach of Trust || Procter v Raleys Solicitors [2015] EWCA Civ 400 || Wellesley Partners LLP v Withers LLP [2015] EWCA Civ 1146 || Watson Farley and Williams (a firm) v Ostrovizky [2015] EWCA Civ 457 || Goldsmith Williams Solicitors v E.Surv Ltd: Duty of Solicitors to Report Discrepancies in Property Valuation || AW Group Ltd v Taylor Walton (a firm) [2014] EWCA Civ 592 || Ashraf v Lester Dominic Solicitors &amp; Ors [2023] EWCA Civ 4 || Lejonvarn v Burgess &amp; Anor [2017] EWCA Civ 254 || Dowling v Griffin [2014] EWCA Civ 1545 || Orientfield Holdings Ltd v Bird &amp; Bird LLP [2017] EWCA Civ 348 || Spire Property Development LLP &amp; Hortensia Property Development LLP v Withers LLP [2022] EWCA Civ 970 || Hughmans (a firm) v Dunhill [2015] EWCA Civ 1307 || Commodities Research Unit International (Holdings) Ltd &amp; Ors v QSP Residual Recoveries LLP || Barker v Baxendale Walker Solicitors (a firm) &amp; Anor || Minkin v Lesley Landsberg (Practising As Barnet Family Law) || Thomas v Hugh James Ford Simey Solicitors [2017] EWCA Civ 1303 || Crestsign Ltd v National Westminster Bank Plc &amp; Anor [2015] EWCA Civ 986 || Jacobs v Sesame Ltd [2014] EWCA Civ 1410: Limitation Act and Negligence Claim || Murphy v The Law Society || Chinnock v Wasbrough &amp; Anor [2015] EWCA Civ 441</t>
  </si>
  <si>
    <t>Stipulates the necessity for judges to provide sufficient reasoning which relates directly to the obligations of solicitors in advising clients.</t>
  </si>
  <si>
    <t>cmsbracw1001r04l4az8ukhd1</t>
  </si>
  <si>
    <t>Gorringe v. Calderdale Metropolitan Borough Council</t>
  </si>
  <si>
    <t>The need for highway authorities to take proactive measures to ensure road safety.</t>
  </si>
  <si>
    <t>This principle applies directly to the public's expectation of cycle path maintenance as it relates to the Appellant's claim.</t>
  </si>
  <si>
    <t>Yetkin v London Borough of Newham</t>
  </si>
  <si>
    <t>Establishes the relevancy of maintenance standards relative to public safety on highways.</t>
  </si>
  <si>
    <t>Directly applicable to how signage plays into the public’s safety and awareness on cycle paths.</t>
  </si>
  <si>
    <t>https://www.bailii.org/ew/cases/EWCA/Civ/2010/776.html</t>
  </si>
  <si>
    <t>cmlzphr57000h04jtqrwbfiyf</t>
  </si>
  <si>
    <t>skeleton-args-ca2022008247-6c5b4a1058f7a82b</t>
  </si>
  <si>
    <t>Neilson v. Poole [1969] 20 P&amp;CR 909</t>
  </si>
  <si>
    <t>Established the importance of historical evidence in boundary disputes.</t>
  </si>
  <si>
    <t>Applicable to assess the validity of the claimed boundary.</t>
  </si>
  <si>
    <t>https://www.gov.uk/government/publications/boundary-agreements-and-determined-boundaries-pg40s4/practice-guide-40-land-registry-plans-supplement-4-boundary-agreements-and-determined-boundaries</t>
  </si>
  <si>
    <t>cmlzpfjvk000b04jtl1v4uh8a</t>
  </si>
  <si>
    <t>34dfb3bd-01bb-45bf-b18a-fce4ecb24b45 || f4d639ad-f27c-47ba-a62c-bfc0c4c9430e || 6e8e988c-074c-4ab1-9e37-5c84673b441b || 4fb69c0f-f93b-4540-a62b-7db9f10a32aa || 63ef2757-1a67-40a3-a684-a4901ad74648 || d34db962-c7f4-46f4-9a77-df6d760ca7c4 || 5c0afba6-3b82-4ab2-9363-8c570514d87d || 52adf3bc-8b19-4f24-9782-4fb618e86779 || 73b3dc25-5f3f-4b55-a036-6843967dbba7 || 948fc767-31a4-4c63-b735-df551b7244eb</t>
  </si>
  <si>
    <t>White &amp; Anor v Amirtharaja &amp; Anor [2022] EWCA Civ 11 || Healey v Fraine &amp; Ors [2023] EWCA Civ 549 || Secretary of State for the Home Department v Cox &amp; Ors [2023] EWCA Civ 551 (19 May 2023) || Heaney v Kirkby [2016] EWCA Civ 689 || Ely v Robson [2016] EWCA Civ 774 || Watts v Stewart &amp; Ors [2016] EWCA Civ 1247 || Doyle v M&amp;D Foundations &amp; Building Services Ltd [2022] EWCA Civ 927 || Candey Ltd v Bosheh &amp; Anor [2022] EWCA Civ 1103 (01 August 2022) || SO, R (On the Application Of) v Thanet District Council (Re Costs) [2023] EWCA Civ 526 || Al-Rawas &amp; Anor v Hassan Khan &amp; Co &amp; Anor [2022] EWCA Civ 671 (17 May 2022)</t>
  </si>
  <si>
    <t>J A Pye (Oxford) Ltd v. Graham [2002] UKHL 30</t>
  </si>
  <si>
    <t>Recognized adverse possession as a means to attain title through long occupation.</t>
  </si>
  <si>
    <t>Directly informs the Respondent’s claims of possession rights.</t>
  </si>
  <si>
    <t>https://publications.parliament.uk/pa/ld200102/ldjudgmt/jd020704/graham-1.htm</t>
  </si>
  <si>
    <t>cmmsiews2000304lgc3ooyg67</t>
  </si>
  <si>
    <t>Chapman v. Mid and South Sussex NHS Foundation Trust [2023] EWHC 1290 (KB)</t>
  </si>
  <si>
    <t>Addresses statutory control over public safety regulations for cyclists and pedestrians.</t>
  </si>
  <si>
    <t>Insights into how public authority violations impact negligence claims.</t>
  </si>
  <si>
    <t>https://www.bailii.org/ew/cases/EWHC/KB/2023/1290.html</t>
  </si>
  <si>
    <t>Explores the necessity of proper reasoning in judicial decisions to prove adequate care in liability cases.</t>
  </si>
  <si>
    <t>Principle impacts the Respondent’s need to justify claimed defenses comprehensively.</t>
  </si>
  <si>
    <t>cmlzpblc7000304jv62ixuvp8</t>
  </si>
  <si>
    <t>Adequacy of reasons in judgments must be satisfied for proper judicial analysis.</t>
  </si>
  <si>
    <t>Ensures the court articulates reasoning behind determinations</t>
  </si>
  <si>
    <t>cmlzp9luh000304l29ip4sjki</t>
  </si>
  <si>
    <t>d23d9f9f-4d0a-455a-bab1-0ce1a023b722 || 16f61521-59b6-4c57-8af3-c654be05eab0 || 2f2ce488-73d0-4422-abcd-2b014a9e52d1 || 53011b43-2d84-4830-953a-1b5b550f4f67 || 5f096d49-2a17-4252-839a-438cd198b444 || 7253e952-4693-4c28-8c6d-f176b4e6f194 || f2e312b7-9979-4341-a687-c55ade7d7fac || f088dcd9-a86b-4857-941b-1ba09d92fbc6 || c905ed54-034f-425d-908f-4d0fc7437e71 || 99e499ed-5641-4f75-8c33-a3c4e6031823</t>
  </si>
  <si>
    <t>Altrad Services Ltd &amp; Anor v Commissioners for HMRC [2023] EWCA Civ 474 (03 May 2023) || BPP Holdings v Revenue And Customs [2016] EWCA Civ 121 || Totel Limited v HM Revenue and Customs [2016] EWCA Civ 1310 || The Quentin Skinner 2015 Settlement L &amp; Ors v HM Revenue and Customs (Entrepeneurs' Relief) [2022] EWCA Civ 1222 || Dawson's (Wales) Ltd v Revenue &amp; Customs [2023] EWCA Civ 332 || HMRC v GMAC (UK) Plc [2016] EWCA Civ 1015 (Court of Appeal, Civil Division) || IFX Investment Company Ltd and Ors v Revenue and Customs [2016] EWCA Civ 436 || Revenue &amp; Customs v Gray &amp; Farrar International LLP [2023] EWCA Civ 121 || Naghshineh v Commissioners for HM Revenue and Customs [2022] EWCA Civ 19 || Argentum Exploration Limited v The Silver and all persons claiming to be interested in and/or to have rights in respect of, the Silver [2022] EWCA Civ 1318</t>
  </si>
  <si>
    <t>Judges must provide adequate reasons fulfilling the duty to give reasons in rulings.</t>
  </si>
  <si>
    <t>Reinforces the importance of comprehensible and justifiable judicial conclusions</t>
  </si>
  <si>
    <t>Allows for the granting of interest on amounts owed as part of judgments.</t>
  </si>
  <si>
    <t>Applies where monetary claims are decided, facilitating fair compensation for late payments.</t>
  </si>
  <si>
    <t>cmsbtbxft002t04jic4baeo3l</t>
  </si>
  <si>
    <t>ca-2024-002325 &amp; ca-2024-002295-modernatx-inc-v-pfizer-limited-others-appellant-skeleton</t>
  </si>
  <si>
    <t>Reasons for judgments must adequately explain the decision-making process.</t>
  </si>
  <si>
    <t>The reasons provided by the judge should clearly illustrate the reasoning behind the judgments related to patent claims.</t>
  </si>
  <si>
    <t>cmsbtb7sw002n04jipbuqxu0i</t>
  </si>
  <si>
    <t>a1a08eab-f66f-48ea-a2b4-e885be7c07df || 9a6c35d9-2f41-4d9b-bdea-d545c0053749 || 29106524-22a0-4410-a8a6-c9fc60308a2a || 4d61560d-ecf9-4ce9-a7f2-63d5c1787b6e || 220f5941-b918-42be-ba08-5254bcf34586 || 5699a187-b0d8-4bcc-b655-7c3e525cb13a || c4b78e7a-84ea-48ee-8153-38286d8f9094 || 466ad3d5-2323-4234-9361-33c5f1c8d976 || d2737a8b-f6d7-473c-83e0-4e50adcfcdc4 || 71033cf6-55d5-450b-8f5c-b4e0192b644a || c19711c9-1a63-43a5-b855-7b938194803b || cb8c8a45-aef5-4216-9a7b-d3b254e3b53a || 1c816bf0-70b4-46bd-9a31-9d036faff956 || 33d3386d-e19e-4140-bd36-3e7d208b6e5a || 5c199301-9fa7-4657-b7d3-4d6b6da9e61b || f462ecd6-c4d2-4d24-997f-71bddff50aab || 024940b7-32ce-4a89-be24-ef0977f9eecd || ce8d542e-c788-49dc-95c2-e97c961e144e || 7311cc70-1cfb-4513-97ab-71a6251af9db || 5125ebbe-5915-4ab9-b2d2-c4236db40365</t>
  </si>
  <si>
    <t>Synthon BV v Teva Pharmaceutical Industries Ltd [2017] EWCA Civ 148 || Novartis AG and Novartis Pharmaceuticals UK Limited v Teva UK Ltd &amp; Ors [2022] EWCA Civ 775 || Smith &amp; Nephew Plc v Convatec Technologies Inc &amp; Ors [2015] EWCA Civ 803 || Warner-Lambert Company, LLC v Actavis Group Ptc EHF &amp; Ors || Hospira (UK) Ltd v Genentech, Inc. || Samsung Electronics Co Ltd v Apple Retail UK Ltd &amp; Anor [2014] EWCA Civ 250 || Blue Gentian LLC &amp; Anor v Tristar Products (UK) Ltd &amp; Anor [2015] EWCA Civ 746 || Optis Cellular Technology LLC &amp; Ors v Apple Retail UK Ltd &amp; Ors [2023] EWCA Civ 758 || Nokia Technologies OY &amp; Anor v OnePlus Technology (Shenzhen) Co Ltd &amp; Ors || Hospira UK Limited v Genentech, Inc. [2016] EWCA Civ 1185 || Teva UK Limited v Boehringer Ingelheim Pharma GmbH &amp; Co KG [2016] EWCA Civ 1296 || Warner-Lambert Company LLC v Generics (UK) Ltd (t/a Mylan) &amp; Ors [2016] EWCA Civ 1006 || Idenix Pharmaceuticals Inc v Gilead Sciences Inc &amp; Ors [2016] EWCA Civ 1089 || Alcon Research LLC &amp; Anor v Pharmathen SA &amp; Anor [2022] EWCA Civ 845 (28 June 2022) || Neurim Pharmaceuticals (1991) Limited &amp; Anor v Generics (UK) Limited &amp; Anor [2022] EWCA Civ 359 || Sandoz Limited v Bristol-Myers Squibb Holdings Ireland Unlimited Company (Re Patent - Plausibility when determining validity) [2023] EWCA Civ 472 || Neurim Pharmaceuticals (1991) Limited &amp; Flynn Pharma Limited v Generics (UK) Limited &amp; Viatris UK Healthcare Limited [2022] EWCA Civ 699 || Optis Cellular Technology LLC et al v Apple Retail UK Ltd et al [2023] EWCA Civ 438 || Interdigital Technology Corporation &amp; Ors v Lenovo Group Ltd &amp; Ors [2023] EWCA Civ 105 || Novartis AG &amp; Ors v Focus Pharmaceuticals UK Ltd &amp; Ors; TEVA UK Ltd [2016] EWCA Civ 1295 (Court of Appeal, Civil Division)</t>
  </si>
  <si>
    <t>cms1ps00j000j04jsbxrn9wrj</t>
  </si>
  <si>
    <t>Adequate reasons must be provided for judicial decisions to ensure transparency and accountability.</t>
  </si>
  <si>
    <t>Application of insufficient reasoning in decision-making processes undermines the statutory obligations of clarity.</t>
  </si>
  <si>
    <t>cms1pq4rm000d04js91x46eaf</t>
  </si>
  <si>
    <t>f5a5b44e-fcf0-40c0-9bf9-69f026b1b438 || ed07cee8-284a-4c88-9681-37d30f80d1a1 || d60a5323-796e-4110-a6de-012ec16860c1 || beff2d5f-922f-42e5-9aaa-8b70d7179f71 || f157dc58-8d24-4561-9b20-3df67da80a73 || 9a3c763e-b455-414d-b2b1-1140496a3cc4 || 3fae9752-b3e5-4a98-a0e5-5ade79ee3e8d || 776a8070-aa6f-410e-b91e-2e1fcadadb9b || fc44d6e6-6cbd-49d7-b2fd-492890e5556d || d30faf1d-ee41-4583-9671-6efcaf57e4e7 || 9034c8de-ac8c-45a1-9a63-569c390554ca || bab866ef-ca70-446c-a76d-a69bb3f7f15d || 6cd7db33-7ee1-44c0-9219-b2cc7d57d88b || 31ec4914-0384-4442-a7c4-2067fe7c1aec || 90743ee0-c75d-4140-93eb-89a3938f7523 || 6d61255d-47b5-4dd9-aed3-4fb7eaed4d29 || 235388cd-5994-4cf3-b7e7-c349382ef164 || c370bf30-4fed-4187-beea-6476e69f964f || 4c3b8da7-6c82-4056-ab98-dea339f7af1d || c42ac4c8-4630-4f83-8b40-7cff59e33b34</t>
  </si>
  <si>
    <t>London Borough of Enfield, R (on the application of) v Secretary of State for Transport &amp; Ors [2016] EWCA Civ 480 || National AIDS Trust v National Health Service Commissioning Board (NHS England) &amp; Ors (EWCA Civ 1100) – PrEP and NHS England power to commission preventive HIV treatment || The Howard League for Penal Reform and Prisoners' Advice Service v The Lord Chancellor || Secretary of State for Communities and Local Government v West Berkshire District Council &amp; Anor [2016] EWCA Civ 441 (11 May 2016) || The Good Law Project, R (On the Application Of) v Minister for the Cabinet Office [2022] EWCA Civ 21 || Kent County Council v The Secretary of State for Health || East Quayside 12 LLP v The Council of the City of Newcastle upon Tyne [2023] EWCA Civ 359 || Sheakh, R (On the Application Of) v London Borough of Lambeth Council [2022] EWCA Civ 457 (05 April 2022) || LH v Shropshire Council [2014] EWCA Civ 404 || Davey, R (on the application of) v Oxfordshire County Council &amp; Ors [2017] EWCA Civ 1308 || Thurston Parish Council, R (On the Application Of) v Mid Suffolk District Council &amp; Anor [2022] EWCA Civ 1417 || Rotala Plc, R (On the Application Of) v Greater Manchester Combined Authority &amp; Anor [2022] EWCA Civ 1048 || Smith v Secretary of State for Levelling Up, Housing &amp; Communities &amp; Anor [2022] EWCA Civ 1391 || London Borough of Southwark &amp; Anor v Transport for London || Devine v Secretary of State for Levelling Up, Housing and Communities [2023] EWCA Civ 601 || United Company Rusal Plc, R (on the application of) v The London Metal Exchange || Save Britain's Heritage, R (On the Application Of) v Davies (Rev1) [2023] EWCA Civ 723 || Braithwaite and Melton Meadows Properties Ltd, R (On the Application Of) v East Suffolk Council [2022] EWCA Civ 1716 || Ashchurch Rural Parish Council, R (On the Application Of) v Tewkesbury Borough Council [2023] EWCA Civ 101 || Torbay Council v Torbay Quality Care Forum Ltd</t>
  </si>
  <si>
    <t>The duty to give reasons for public decisions is critical in determining lawfulness.</t>
  </si>
  <si>
    <t>Failure to provide adequate reasoning may lead to assumptions of unlawfulness in decision-making.</t>
  </si>
  <si>
    <t>cmst80ckg000h04i9rasplurj</t>
  </si>
  <si>
    <t>skeleton-args-ca2022004921-cb64a3102cee5019</t>
  </si>
  <si>
    <t>A judgment must provide adequate reasoning behind findings to meet standards of legal accountability.</t>
  </si>
  <si>
    <t>This principle applies where failures in reasoning impact the merits of an appeal, especially concerning damages.</t>
  </si>
  <si>
    <t>cmst7yrwi000b04i90ncdwp78</t>
  </si>
  <si>
    <t>a206a973-506b-4cfb-a0fa-79b98d0ca831 || ed93b9d5-e1f3-4dd6-921b-548b30e24f80 || 65645a3e-7e49-4a88-ba46-adb686908b02 || c5862648-7e3b-469f-82bc-3214c17b5096 || e1e338c3-b6dc-4e51-a39b-422579694f4f || 8353388e-8422-4bcc-9dc0-16f9ba582ec3 || 5625f8b5-22c9-48ba-895c-2aa4f9467a9d || fd26b18c-791c-454c-b969-9e2452a97a2d || 167786cc-e950-4a09-8195-ecf83b86f69f || 14f24903-de2d-4d46-8ac6-aab9f39d9cee || d8942524-7e14-46b2-953c-a1eca28ae6cb || 1f4ab223-a277-4d8a-ab79-35f9f867a4ad || 2367c914-824f-473c-acfb-247f204c96b9 || d1c34b40-ca07-41ac-be04-f52393d978ca || 487b93ce-f29b-46a3-a396-ca4acc6406e7 || 39bc2d3f-5d5b-4aca-af67-3fed3701d32e || 45c67ef4-ed1d-405a-aea7-9863023f3850 || 3a179ef6-662e-4069-97c7-e5daae179b0b || 0f98ab6b-b6cc-4bf2-977c-80ea02105f27 || c335446a-45bc-4e2b-b9df-2012c7f47750</t>
  </si>
  <si>
    <t>Google Inc v Vidal-Hall &amp; Ors [2015] EWCA Civ 311 || Jalla &amp; Anor v Shell International Trading And Shipping Co Ltd &amp; Anor (Appeal (2): Representative Action) || Grace &amp; Anor v Black Horse Ltd [2014] EWCA Civ 1413 || Strain v Chief Constable of Greater Manchester Police [2023] EWCA Civ 240 (Court of Appeal, Civil Division) || The Open Rights Group &amp; Anor v The Secretary of State for the Home Department &amp; Anor || BT Group plc v Le Paturel [2022] EWCA Civ 593 (BT Group PLC v Patourel) || Open Rights Group &amp; Anor v Secretary of State for the Home Department &amp; Anor || Edem v The Information Commissioner &amp; Anor || Gemalto Holding BV v Infineon Technologies AG &amp; Ors [2022] EWCA Civ 782 || PJS v News Group Newspapers Ltd [2016] EWCA Civ 393 (Court of Appeal, Civil Division) – Interim injunction on publication set aside in light of public-domain information and HRA section 12 balancing || Soriano v Forensic News LLC &amp; Ors (Rev1) [2021] EWCA Civ 1952 || Representative Claimants v MGN Ltd [2015] EWCA Civ 1291 || Moge v London Borough of Ealing [2023] EWCA Civ 464 || Phones 4U Ltd v EE Ltd &amp; Ors [2021] EWCA Civ 116 || TuneIn Inc v Warner Music UK Ltd &amp; Anor [2021] EWCA Civ 441 || Cartier International AG &amp; Ors v British Sky Broadcasting Ltd &amp; Ors [2016] EWCA Civ 658 || Ittihadieh v 5-11 Cheyne Gardens RTM Company Ltd &amp; Ors; Deer v University of Oxford || YZ v Chief Constable of South Wales Police [2022] EWCA Civ 683 || Secretary of State for Business, Innovation And Skills v PLT Anti-Marketing Ltd [2015] EWCA Civ 76 || Durrant v Chief Constable of Avon &amp; Somerset Constabulary</t>
  </si>
  <si>
    <t>Parties to an action are entitled to reasons behind judicial decisions affecting their rights.</t>
  </si>
  <si>
    <t>The obligation to provide reasons applies particularly in cases involving claims for distress and damages.</t>
  </si>
  <si>
    <t>cmsbrqmhv000j04jp78i2n3gf</t>
  </si>
  <si>
    <t>ca-2024-001951-ksy-juice-blends-uk-limited-v-skeleton</t>
  </si>
  <si>
    <t>Provides guidance on the necessity of clear reasoning in upholding contractual terms.</t>
  </si>
  <si>
    <t>cmsbrpoz0000d04jp4gktumzo</t>
  </si>
  <si>
    <t>82d8ca93-47f5-468a-805f-22afbaf56924 || b8de63a1-be7b-4764-8d72-2b529e7812b8 || 2f55d6fc-d021-46d3-babd-7424b10b0d23 || 481bab6a-1b92-467d-9838-15c341ee5a8c || 54d149f2-2e02-477e-8541-b2bf222578d6 || 0440b668-5c42-4aa2-af77-34dc98088648 || ac9e2aa7-8f93-4867-9f5c-72e9e84f3e82 || 20c41856-c64f-4dad-b767-100e914e3e97 || 0a5f334d-2cf4-4784-ac73-187edc32d1a4 || 4d33f167-56be-4e08-9ffb-5286e2d1942e || 9ad69869-4dab-46a0-9f04-c64fba98abda || 0637f79f-8d32-4067-bec7-17f10449cbe1 || 5aaf3307-a875-481c-b3a7-4f8657b7ab03 || 82e80ba1-3036-445d-847d-ee32403a256e || 6cecd02f-6d40-4d13-80f4-06b5a5ada00e || 2d2f67c0-33b8-47de-ade5-124c90fc1a95 || 18a7e76b-357b-4cb4-9eb8-0b151cce320d || 4126051a-c7c4-46ba-9c04-d146114124eb || d360670d-fa4d-4fed-b79a-03f09fe7855c || 43d4ac89-b448-44d9-9932-c5736983a48f</t>
  </si>
  <si>
    <t>Dixon &amp; Anor v Blindley Heath Investments Ltd &amp; Anor [2015] EWCA Civ 1023 || Tillman v Egon Zehnder Ltd [2017] EWCA Civ 1054 || Transocean Drilling U.K. Ltd v Providence Resources Plc [2016] EWCA Civ 372 || Zymurgorium Ltd v Hammonds of Knutsford Plc [2023] EWCA Civ 52 || Union of Shop, Distributive and Allied Workers &amp; Ors v Tesco Stores Ltd (2022) EWCA Civ 978 || Reveille Independent LLC v Anotech International (UK) Ltd [2016] EWCA Civ 443 (06 May 2016) || African Export-Import Bank &amp; Ors v Shebah Exploration &amp; Production Company Ltd &amp; Ors [2017] EWCA Civ 845 || Credit Suisse Asset Management LLC v Titan Europe 2006-1 PLC &amp; Ors [2016] EWCA Civ 1293 || Adaptive Spectrum and Signal Alignment Inc v British Telecommunications Plc [2023] EWCA Civ 451 || Kupeli &amp; Ors v Atlasjet Havacilik Anonim Sirketi || Balfour Beatty Regional Construction Limited v Grove Developments Limited || Arnold v Britton &amp; Ors [2015] UKSC 36 || Kason Kek-Gardner Ltd v Process Components Ltd [2017] EWCA Civ 2132 || TJH And Sons Consultancy Ltd v CPP Group Plc [2017] EWCA Civ 46 || MSC Mediterranean Shipping Company S.A. v Cottonex Anstalt [2016] EWCA Civ 789 || Chartbrook Ltd v Persimmon Homes Ltd &amp; Ors [2009] UKHL 38 || Persimmon Homes Ltd v Ove Arup &amp; Partners Ltd &amp; Anor [2017] EWCA Civ 373 || FM Conway Limited v Rugby Football Union &amp; Ors [2023] EWCA Civ 418 || Evangelou &amp; Ors v McNicol (Rev 1) [2016] EWCA Civ 817 || Sharp Corp Ltd v Viterra BV [2023] EWCA Civ 7</t>
  </si>
  <si>
    <t>Reinforces the need for explicit reasoning regarding contract enforceability issues.</t>
  </si>
  <si>
    <t>cmsbr021t001104jndbjo02xo</t>
  </si>
  <si>
    <t>ca-2024-002003-greenfields-iow-limited-v-isle-of-appellant-skeleton</t>
  </si>
  <si>
    <t>All judicial decisions must provide adequate reasons for their conclusions, ensuring clarity and accountability.</t>
  </si>
  <si>
    <t>This principle is applicable to planning decisions where public engagement is integral.</t>
  </si>
  <si>
    <t>cmsbqyu3t000v04jnza4ym1n9</t>
  </si>
  <si>
    <t>6cd7db33-7ee1-44c0-9219-b2cc7d57d88b || 76e6ffcd-af03-4155-a667-51d98a79d1d7 || 776a8070-aa6f-410e-b91e-2e1fcadadb9b || 3fae9752-b3e5-4a98-a0e5-5ade79ee3e8d || 7f44d9a8-2459-4f6a-84fc-e475bb8f169a || 235388cd-5994-4cf3-b7e7-c349382ef164 || 9034c8de-ac8c-45a1-9a63-569c390554ca || a1b35831-8ed8-43ad-bc7e-488100344627 || 3bdf2d7a-d886-4bb3-ba30-9c4b472a4f7c || aa66d157-e659-4b1f-9c8a-39b98d92a107 || 31cfa701-5a3f-478d-bd6d-9990826f73d5 || 1d957476-2c0d-4578-8a43-679ec600e382 || d8ef5edb-61a0-4b29-b510-5fe53f814e53 || 90743ee0-c75d-4140-93eb-89a3938f7523 || 4c3b8da7-6c82-4056-ab98-dea339f7af1d || 0642e885-86b3-4c0b-84a2-2005424f4309 || d8078437-185a-46df-8b83-bd5240184911 || 1f4a0cfb-5359-49da-93e8-89cbb817ebca || 379d4f20-62f5-403b-a082-fa36b82fe1c1 || c3dbe431-18cf-46e4-91ab-5d5b0ef0fdea</t>
  </si>
  <si>
    <t>Smith v Secretary of State for Levelling Up, Housing &amp; Communities &amp; Anor [2022] EWCA Civ 1391 || Arnold White Estates Ltd v The Forestry Commission [2022] EWCA Civ 1304 || Sheakh, R (On the Application Of) v London Borough of Lambeth Council [2022] EWCA Civ 457 (05 April 2022) || East Quayside 12 LLP v The Council of the City of Newcastle upon Tyne [2023] EWCA Civ 359 || Secretary of State for Levelling Up, Housing and Communities v Smith &amp; Anor [2023] EWCA Civ 514 || Save Britain's Heritage, R (On the Application Of) v Davies (Rev1) [2023] EWCA Civ 723 || Thurston Parish Council, R (On the Application Of) v Mid Suffolk District Council &amp; Anor [2022] EWCA Civ 1417 || Corbett v Cornwall Council [2022] EWCA Civ 1069 || Gardiner v Hertsmere Borough Council &amp; Anor [2022] EWCA Civ 1162 || CAB Housing Limited v Secretary of State for Levelling Up, Housing and Communities &amp; Anor [2023] EWCA Civ 194 || Mansell v Tonbridge and Malling Borough Council || Wyatt v Fareham Borough Council (Rev1) [2022] EWCA Civ 983 || Secretary of State for Communities and Local Government v Hopkins Developments Ltd || Devine v Secretary of State for Levelling Up, Housing and Communities [2023] EWCA Civ 601 || Ashchurch Rural Parish Council, R (On the Application Of) v Tewkesbury Borough Council [2023] EWCA Civ 101 || Sahota, R (On the Application Of) v Herefordshire Council [2022] EWCA Civ 1640 || MH (Eritrea) v Secretary of State for the Home Department (Rev1), [2022] EWCA Civ 1296 || Whitley Parish Council, R (On the Application Of) v North Yorkshire County Council &amp; Anor [2023] EWCA Civ 92 || Regina v. London Borough of Hammersmith and Fulham (Burkett) [2002] UKHL 23 || Croke v Secretary of State for Communities and Local Government &amp; Anor [2017] EWCA Civ 423</t>
  </si>
  <si>
    <t>Judicial decisions should articulate adequate reasoning reflecting consideration of all material facts.</t>
  </si>
  <si>
    <t>The legal relevance is significant for recommendations regarding due process in planning decisions.</t>
  </si>
  <si>
    <t>cmmxtzd4o000904jrjc2hdwrx</t>
  </si>
  <si>
    <t>Regina v. London Borough of Hammersmith and Fulham (Burkett) [2002] UKHL 23</t>
  </si>
  <si>
    <t>Addresses issues of procedural impropriety in planning decisions.</t>
  </si>
  <si>
    <t>Reiterates the necessity for adherence to procedural fairness.</t>
  </si>
  <si>
    <t>R (Worcestershire Acute Hospitals NHS Trust) v Malvern Hills District Council [2023] EWHC 1995 (Admin)</t>
  </si>
  <si>
    <t>Clarifies requirements for planning obligations and public notice.</t>
  </si>
  <si>
    <t>Determines how public interest in planning is to be engaged.</t>
  </si>
  <si>
    <t>https://www.bailii.org/ew/cases/EWHC/Admin/2023/1995.html</t>
  </si>
  <si>
    <t>cmmxsk5kn000h04ldd570wr09</t>
  </si>
  <si>
    <t>Duties of public bodies to act fairly and transparently when making decisions affecting public rights.</t>
  </si>
  <si>
    <t>Applied to the conduct of local council members in making planning decisions.</t>
  </si>
  <si>
    <t>cmmxsgyjb000b04ld1tvzyr07</t>
  </si>
  <si>
    <t>f42492fd-8832-4f70-b315-d7597c15a5ef || 3ff34419-ffbc-40f9-a087-a1cb1371d0e1 || f36914c7-32ec-4f23-9909-c4ece2be9d33 || 8d10f639-afdd-4cee-893d-c3b4fbaefe7b || 9f23ddf2-fa12-45c8-99f7-74539a06ee46 || 76cd3a35-03e9-4300-b6c9-27ac34a88301 || 72ae3a8b-04b1-4146-b2fc-cc57e1da7a25 || a6ba2568-c81f-4703-8a5c-bff13cf0bef8 || 76e6ffcd-af03-4155-a667-51d98a79d1d7 || 85be361d-d4e8-464d-9b56-e7ba0996efd0 || 6cd7db33-7ee1-44c0-9219-b2cc7d57d88b || 776a8070-aa6f-410e-b91e-2e1fcadadb9b || 84fda74c-8775-4d1b-8cf6-853e7921ced2 || 4445024a-5f65-4083-8a26-f3cf974100af || 21aef08e-1e64-46d6-970a-6a9bfe8e9e6c || edaa06d0-05a9-41c2-b34b-1408204f7ba3 || a459497c-093a-4d72-b603-17566d05df21 || 2dc2a7ac-d332-4112-93f1-122e3a9d7870 || 702e0527-fb33-427f-afbb-f906ba355802 || 379d4f20-62f5-403b-a082-fa36b82fe1c1</t>
  </si>
  <si>
    <t>Cherkley Campaign Ltd, R (on the application of) v Mole Valley District Council &amp; Anor || Vicente &amp; Anor v Secretary of State for Communities and Local Government &amp; Anor [2014] EWCA Civ 1555 || Georgiou v London Borough of Enfield &amp; Ors [2004] EWHC 779 (Admin) || Tesco Stores Ltd v Forest of Dean District Council [2015] EWCA Civ 800 || Luton Borough Council, R (on the application of) v Central Bedfordshire Council &amp; Ors [2015] EWCA Civ 537 || Ashburton Trading Ltd v Secretary of State for Communities And Local Government &amp; Anor [2014] EWCA Civ 378 || Howard &amp; Anor v Wigan Council &amp; Anor [2015] EWCA Civ 854 || Smech Properties v Runnymede Borough Council [2015] EWCA Civ 1017 || Arnold White Estates Ltd v The Forestry Commission [2022] EWCA Civ 1304 || Blacker, R (On the Application Of) v Chelmsford City Council (Rev1) [2023] EWCA Civ 25 || Smith v Secretary of State for Levelling Up, Housing &amp; Communities &amp; Anor [2022] EWCA Civ 1391 || Sheakh, R (On the Application Of) v London Borough of Lambeth Council [2022] EWCA Civ 457 (05 April 2022) || Fylde Coast Farms Ltd v Fylde Borough Council [2021] UKSC 18 || Ball v Secretary of State for Communities and Local Government [2014] EWCA Civ 372 || Hampton Bishop Parish Council, R (On the Application Of) v Herefordshire Council || Chalfont St Peter Parish Council v Chiltern District Council || Holder v Gedling Borough Council &amp; Ors [2014] EWCA Civ 599 || Perry, R (on the application of) v London Borough of Hackney &amp; Ors || Broadview Energy Developments Limited v The Secretary of State for Communities and Local Government &amp; Ors [2016] EWCA Civ 562 || Regina v. London Borough of Hammersmith and Fulham (Burkett) [2002] UKHL 23</t>
  </si>
  <si>
    <t>cmmf22axa000h04jxcpnnecs0</t>
  </si>
  <si>
    <t>ew-cases-EWCA-Civ-2024-1</t>
  </si>
  <si>
    <t>Adequacy of reasons in judgments requires clarity when determining asset relevance directly impacts tax obligations.</t>
  </si>
  <si>
    <t>Application of employed reasoning must exhibit discernible connections to operational uses pertinent to asset classification.</t>
  </si>
  <si>
    <t>cmmf20sg7000b04jxh5i54iyz</t>
  </si>
  <si>
    <t>43ef5de1-aec0-41aa-83ef-7f2ecf54e8b8 || c905ed54-034f-425d-908f-4d0fc7437e71 || df2f12d2-2784-4981-b98a-fcd919be08c3 || 6bee451b-9500-46bf-8472-4341ada4c852 || 040ab589-56f8-4251-905d-ade1d7b6bf28 || bbece3ed-11d4-4f68-8c60-4b9065eb5839 || d23d9f9f-4d0a-455a-bab1-0ce1a023b722 || e09331f5-d8f2-4aa5-81d5-0f480b96a2a8 || 14434596-76db-4abb-8e78-f5f1640f8b82 || d8a97814-f000-467c-a202-ef9226a745e4 || bcf6dc0e-327b-4b31-8441-cc8b4d018c8a || 969f076d-9173-440b-9f31-7f9c274d33d7 || 4fcc865d-d7ab-48ca-a8c6-b8e21a9c005f || df4c5dab-61e8-4ecb-894c-c1824b8daad2 || 25b8d565-e9dc-428f-bd32-bee1b406bf7c || 3877de32-c402-46c9-897f-1d155aab8461 || ff761b33-5304-4f4b-ba2b-638b90a9864b || 321f1eb3-a7ee-452d-a5d1-e08732d9ac84 || 49a7af4c-0d11-408e-8d84-2238f7e8f04a || 24f747de-4a9b-43b6-90ad-0cce710f5bf8</t>
  </si>
  <si>
    <t>Revenue and Customs v Lloyds TSB Equipment Leasing (No 1) Ltd [2014] EWCA Civ 1062 || Naghshineh v Commissioners for HM Revenue and Customs [2022] EWCA Civ 19 || Inmarsat Global Limited v Commissioners for Her Majesty's Revenue and Customs [2022] EWCA Civ 1076 || GMGRM North Ltd &amp; Ors v Ritchie (Revenue and Customs) || Peninsular &amp; Oriental Steam Navigation Company v HM Revenue and Customs [2016] EWCA Civ 468 (Court of Appeal, Civil Division) || Chappell v Revenue &amp; Customs [2015] EWCA Civ 702 || Altrad Services Ltd &amp; Anor v Commissioners for HMRC [2023] EWCA Civ 474 (03 May 2023) || The Prudential Assurance Company Limited v HM Revenue and Customs [2016] EWCA Civ 376 || Eclipse Film Partners No 35 LLP v HM Revenue and Customs || Commissioners for His Majesty's Revenue and Customs v Centrica Overseas Holdings Limited [2022] EWCA Civ 1520 || Royal Bank of Canada v Commissioners for HMRC [2023] EWCA Civ 695 — Court of Appeal interpretation of Article 6(2) fifth limb and tax treatment of oil royalty payments || Chappell v HM Revenue and Customs [2016] EWCA Civ 809 || Urenco Chemplants Limited &amp; Anor v Commissioners for HM Revenue and Customs [2022] EWCA Civ 1587 (1 December 2022) || Good v Commissioners of HM Revenue and Customs [2023] EWCA Civ 114 || Sanderson v HM Revenue and Customs [2016] EWCA Civ 19 || Hargreaves v HM Revenue and Customs [2016] EWCA Civ 174 (22 March 2016) || Project Blue Limited v The Commissioners for HM Revenue and Customs [2016] EWCA Civ 485 (Court of Appeal, Civil Division) || Cheshire Cavity Storage 1 Limited v HM Revenue &amp; Customs [2022] EWCA Civ 305 || Routier &amp; Anor v Revenue &amp; Customs [2016] EWCA Civ 938 (Court of Appeal, Civil Division) || Greene King plc &amp; Anor v Revenue and Customs [2016] EWCA Civ 782</t>
  </si>
  <si>
    <t>cmmjsmua2000q04jstd4i8p7c</t>
  </si>
  <si>
    <t>Judgements must provide adequate reasoning for legal conclusions.</t>
  </si>
  <si>
    <t>This applies to the determination of the adequacy of the findings in relation to A2P1 in this case.</t>
  </si>
  <si>
    <t>cmmjsjnvz000k04js5ptftolc</t>
  </si>
  <si>
    <t>dfa97e6e-7e32-4c80-9f6f-5e4f398f9d82 || d60a5323-796e-4110-a6de-012ec16860c1 || facdee26-7310-4355-9ef5-1fd21f107f72 || c5a5edf0-4845-4195-a969-082c8b5afa2a || 36166c1f-7b4e-4e19-9f3e-ba06d04ac22a || da4b6be7-2b22-4bd1-af6b-a68873f0af8d || 7e8929e7-4b3c-4492-b8b5-e01b9ccfcf2c || 464b6335-7623-49ec-8536-df2bb3ae5a4d || b15fdd53-0222-49df-98a5-84e25904f9fd || 90f8b18f-1e00-4177-9cfb-1304fdbc0a97 || 80701211-fe03-4dc0-972a-b2e5467876b9 || 1ed4938a-8018-45b9-bf99-465d1697ff0b || cd2db340-265d-46ef-86dd-180d07c4fea9 || 57d5bf6b-b5e4-4a29-8fe8-fc6caf7108e9 || 522b4f69-32d0-44e3-9bb5-92859e5efde0 || d43e9179-fec2-4fc9-a5b0-3113b6e57fb4 || 037fedaf-bb6c-4013-9ebb-6bc7192c7525 || 0c4144ef-9642-4280-9526-95be21a99f19 || 22f5a58b-4272-4bb0-8476-e2d0333f5032 || 7614b7b3-9102-4127-baa4-ed60bb7a82ed</t>
  </si>
  <si>
    <t>Velyo Velev v. Bulgaria (Application No. 16032/07) || The Howard League for Penal Reform and Prisoners' Advice Service v The Lord Chancellor || Kalda v. Estonia - Access to Information Rights for Prisoners || BK &amp; Anor v The Secretary of State for Justice [2015] EWCA Civ 1259 || Smith v Secretary of State for Justice &amp; Ors [2014] EWCA Civ 380 || Bright &amp; Anor v The Secretary of State for Justice || Zenati v Police of the Metropolis &amp; Anor [2015] EWCA Civ 80 || Parratt, R (on the application of) v Parole Board || Use of Languages in Education in Belgium || Bayliss v The Parole Board of England &amp; Wales [2014] EWCA Civ 1268 || Idira, R (On the Application Of) v The Secretary of State for the Home Department (Rev 1) [2015] EWCA Civ 1187 || AA (Poland) v Secretary of State for the Home Department [2016] EWCA Civ 620 (11 May 2016) || AE (Algeria) v Secretary of State for the Home Department || Abedin, R (On the Application Of) v Secretary of State for the Home Department [2016] EWCA Civ 296 (10 March 2016) || Catan and Others v. Moldova and Russia || Coll v Secretary of State for Justice [2015] EWCA Civ 328 || Tabbakh, R (On the Application Of) v Staffordshire And West Midlands Probation Trust &amp; Anor || Bayliss v The Parole Board of England And Wales &amp; Anor [2014] EWCA Civ 1631 || BB, PP, W, U &amp; Ors v Secretary of State for the Home Department || Rowan, R (On the Application Of) v Governor of His Majesty's Prison Berwyn &amp; Anor [2023] EWCA Civ 27</t>
  </si>
  <si>
    <t>cmlzrzxca000304l2qk1vevzx</t>
  </si>
  <si>
    <t>skeleton-args-ca2023002207-ce0aafdf6d7e5716</t>
  </si>
  <si>
    <t>[2004] 1 WLR 1057</t>
  </si>
  <si>
    <t>Duty of care in highway maintenance and inspections evaluated.</t>
  </si>
  <si>
    <t>The principles established guide the expectations for highway authority inspections.</t>
  </si>
  <si>
    <t>cmlzry90i000b04laxzwy3gcm</t>
  </si>
  <si>
    <t>70d43223-0ec6-458b-b052-bdc295e0d6ec || 3b14442e-37b0-455c-a24f-a53a55c9f700 || 4685ad0e-87e7-4f59-8991-823ab27d9393 || 29b57846-31cd-4592-b0bb-d49f37fcc7bb || e16d7203-6f9e-4896-96e0-d021cb6f5579 || 9289473a-6889-4929-925d-2d6d66b75e86 || 7351e867-1c92-49d6-a602-686678f60a5f || 26a8199d-2c00-43b8-815c-036d01dbe2a6 || 6948a4df-0a45-4ddc-ae3d-8eafee44976a || 1ae781af-c482-402d-b18c-8d4c33432b24</t>
  </si>
  <si>
    <t>Brown &amp; Ors v South West Lakes Trust &amp; Ors [2022] EWCA Civ 18 || Humphrey v Aegis Defence Services Ltd &amp; Anor [2016] EWCA Civ 11 || Tindall &amp; Anor v Chief Constable of Thames Valley Police &amp; Anor [2022] EWCA Civ 25 || Dean and Chapter of Rochester Cathedral v Debell [2016] EWCA Civ 1094 || Edwards v London Borough of Sutton [2016] EWCA Civ 1005 || Secretary of State for Justice v Black [2016] EWCA Civ 125 || Howmet Limited v Economy Devices Limited &amp; Ors [2016] EWCA Civ 847 || English Heritage v Taylor [2016] EWCA Civ 448 || Scott v Gavigan [2016] EWCA Civ 544 || HXA v Surrey County Council; YXA v Wolverhampton City Council (England and Wales Court of Appeal (Civil Division))</t>
  </si>
  <si>
    <t>[2015] UKSC 5</t>
  </si>
  <si>
    <t>Contributory negligence principles delineated in examining claimant's actions prior to incidents.</t>
  </si>
  <si>
    <t>Guiding conclusions on responsibility of claimants when injuries occur.</t>
  </si>
  <si>
    <t>https://www.supremecourt.uk/cases/uksc-2014-0070</t>
  </si>
  <si>
    <t>cmm3b1g6j000j04jt8w2u9z6w</t>
  </si>
  <si>
    <t>Duty to provide adequate reasons for decisions that may affect individual rights.</t>
  </si>
  <si>
    <t>Relevant to ensuring justifications for educational restrictions are properly articulated based on rights impact.</t>
  </si>
  <si>
    <t>cmm3azb8t000d04jtx7he2awl</t>
  </si>
  <si>
    <t>02409749-c305-4c56-ad34-3447c9c2371b || 7614b7b3-9102-4127-baa4-ed60bb7a82ed || 250a2de0-32f3-4ce2-8b1f-ee964131ee78 || 36166c1f-7b4e-4e19-9f3e-ba06d04ac22a || 57d5bf6b-b5e4-4a29-8fe8-fc6caf7108e9 || 88f81617-3d05-4cec-a001-5edf306bd117 || 9cd8bb4c-43ff-49b2-8bc4-b8df5f3727d6 || 51cdf21d-2e8d-4694-805d-5758e7941b6e || 47e733e4-8b4c-42d7-a983-6af18563acb8 || 720cde29-16c8-41e8-9899-7ac2abcb1cc1</t>
  </si>
  <si>
    <t>Tigere, R (On the Application Of) v Secretary of State for Business, Innovation And Skills || Rowan, R (On the Application Of) v Governor of His Majesty's Prison Berwyn &amp; Anor [2023] EWCA Civ 27 || Brooks, R (on the application of) v The Independent Adjudicator &amp; Anor [2016] EWCA Civ 1033 || Smith v Secretary of State for Justice &amp; Ors [2014] EWCA Civ 380 || Abedin, R (On the Application Of) v Secretary of State for the Home Department [2016] EWCA Civ 296 (10 March 2016) || R (on the application of) SPM v Secretary of State for the Home Department [2023] EWCA Civ 764 || Weddle (R on the application of) v The Secretary of State for Justice [2016] EWCA Civ 38 (Court of Appeal, Civil Division) || Hallam &amp; Anor, R (on the applications of) v The Secretary of State for Justice (rev 1) [2016] EWCA Civ 355 || Public and Commercial Services Union (and others) v Secretary of State for the Home Department || FI v Secretary of State for the Home Department [2014] EWCA Civ 1272</t>
  </si>
  <si>
    <t>Relevant to the necessity for transparency in decisions affecting prisoner education in light of restrictive measures.</t>
  </si>
  <si>
    <t>cmmdkjytd000304jl24cdxqvp</t>
  </si>
  <si>
    <t>A decision requires a clear reasoning process showcasing why conclusions were reached.</t>
  </si>
  <si>
    <t>The necessity for comprehensive reasons for judicial conclusions supports claims in landlord-tenant disputes regarding possession.</t>
  </si>
  <si>
    <t>Parties must receive clarity on judicial reasons to understand the basis for decisions.</t>
  </si>
  <si>
    <t>Ensures that parties to tenancy agreements can discern from rulings how particular facts led to determinations on breaches.</t>
  </si>
  <si>
    <t>This section provides legal authority for interest to be applied in cases of debt recovery.</t>
  </si>
  <si>
    <t>Applicable in claims for arrears and damages arising from breach of lease contracts.</t>
  </si>
  <si>
    <t>cmsbr6p4p001704l4z7u6108h</t>
  </si>
  <si>
    <t>HMRC v Volkswagen Financial Services</t>
  </si>
  <si>
    <t>Conditions under which departure from the standard method is permitted.</t>
  </si>
  <si>
    <t>Assessment of dual-use implications in VAT recovery.</t>
  </si>
  <si>
    <t>cmsbr5rlu001104l45rnkob9p</t>
  </si>
  <si>
    <t>cmsbsp3em001104ji2u62id7q</t>
  </si>
  <si>
    <t>ca-2024-000624 and ca-2024-000625-the-royal-embassy-of-saudi-arabia-appellant-skeleton</t>
  </si>
  <si>
    <t>Adequacy of reasons in judgments are essential for meaningful appellate review.</t>
  </si>
  <si>
    <t>Judgments should thoroughly clarify the rationale for outcomes to support further appeals.</t>
  </si>
  <si>
    <t>cmsbso1ez000v04jiujckeft7</t>
  </si>
  <si>
    <t>99e499ed-5641-4f75-8c33-a3c4e6031823 || 2e88bc46-6293-4125-beac-79bb041f2d4c || 48a6c9aa-6aaf-46f0-a0a1-db486992f637 || f1db17d9-c809-4f44-a350-a7c506f9683c || 47b7ca59-4dae-4e38-9b19-66a4d28a1d9e || d2d218fb-5cb2-4d42-9835-3e293c334cd3 || ee5ed42e-d552-49f7-ae34-ee6ddf99593b || 56ebcb77-2936-4ffe-9d4e-4334c394df46 || 95a09909-d350-4cc6-8e33-4153cfe28a7f || f867230d-587a-4c73-ba9b-3ab93ed9d9d7 || 53e4e4d6-7fe9-4d97-a56c-d55311748151 || ce109720-ac8c-4042-bd77-82733a79fb6c || 215b4f1f-c45b-4b5a-83c7-d9ecf0c27585 || 7650f4cb-dc69-470f-a3c0-941784304d41 || 806f118b-d6b0-4939-ad11-753dafd57638 || 7107ec67-0fe1-4e2a-a665-6949d1c2b554 || ef2a3b5f-c840-4290-9574-fe29eee1c165 || 7cce4927-35a4-4b74-90f4-ac2262bb34d7 || 3a069494-6968-477a-a4ad-002ee5f30904 || 015f5896-7d13-46d4-8c6d-5c7317ecf054</t>
  </si>
  <si>
    <t>Argentum Exploration Limited v The Silver and all persons claiming to be interested in and/or to have rights in respect of, the Silver [2022] EWCA Civ 1318 || Sayn-Wittgenstein-Sayn v HM Juan Carlos Alfonso Victor María de Borbón y Borbón (Rev1) [2022] EWCA Civ 1595 || Benkharbouche &amp; Anor v Embassy of the Republic of Sudan || Reyes &amp; Anor v Al-Malki &amp; Anor || Belhaj &amp; Anor v Straw &amp; Ors [2014] EWCA Civ 1394 || HRH Prince Abdul Aziz Bin Fahd Bin Abdul Aziz v Harb || The United States of America v Nolan || IPCO (Nigeria) Ltd v Nigerian National Petroleum Corporation [2015] EWCA Civ 1144 || Bestfort Developments LLP &amp; Ors v Ras Al Khaimah Investment Authority &amp; Ors [2016] EWCA Civ 1099 || Zubaydah v Foreign and Commonwealth Office &amp; Ors [2022] EWCA Civ 334 (Court of Appeal, Civil Division) || Yapp v Foreign and Commonwealth Office || London Borough of Croydon v Y [2016] EWCA Civ 398 || R3 v Secretary of State for the Home Department [2023] EWCA Civ 169 || Al-Saadoon &amp; Ors v The Secretary of State for Defence &amp; Ors; Rahmatullah &amp; Anr v Secretary of State for Defence &amp; Anr [2016] EWCA Civ 811 (Admin Court of Appeal, Civil Division) || Nayif v The High Commission of Brunei Darussalam [2014] EWCA Civ 1521 || Sayn-Wittgenstein-Sayn v His Majesty Juan Carlos Alfonso Victor Maria de Borbón y Borbón [2022] EWCA Civ 1052 || Secretary of State for the Home Department v Lisa Smith [2023] EWCA Civ 376 || C7 v Secretary of State for the Home Department [2023] EWCA Civ 265 || Ali v Washwood Heath Technology College &amp; Ors [2014] EWCA Civ 97 || Al-Juffali v Estrada [2016] EWCA Civ 176</t>
  </si>
  <si>
    <t>Expectations on judges to provide adequate reasons under general accident and common law principles.</t>
  </si>
  <si>
    <t>Effective reason-giving could substantially shape the interpretations of immunity applications vis-à-vis employment claims.</t>
  </si>
  <si>
    <t>cmsbsqcqm001d04ji3ses9ih9</t>
  </si>
  <si>
    <t>Benkharbouche v Embassy of the Republic of Sudan [2017] ICR 1327</t>
  </si>
  <si>
    <t>Distinction between governmental and non-governmental functions relevant to claims against foreign entities.</t>
  </si>
  <si>
    <t>Applicable in determining state immunity for employment functions, particularly in the embassy context.</t>
  </si>
  <si>
    <t>https://www.supremecourt.uk/cases/uksc-2015-0063</t>
  </si>
  <si>
    <t>cmsbsp6wa001704jitdvkybp9</t>
  </si>
  <si>
    <t>cmsbszs77002304ji6ldkbjce</t>
  </si>
  <si>
    <t>Adequacy of reasons in judgments is critical to ensure fair proceedings and proper appeals.</t>
  </si>
  <si>
    <t>The requirement for clear reasoning in judicial decisions aids in establishing grounds for appeal.</t>
  </si>
  <si>
    <t>Duty to give reasons for decisions.</t>
  </si>
  <si>
    <t>Judicial decisions must clearly articulate the reasoning behind them to meet fairness standards.</t>
  </si>
  <si>
    <t>cmsbt3hfa002904ji8k6b026n</t>
  </si>
  <si>
    <t>Determines whether the lower courts provided adequate reasoning for their decisions in light of the claims.</t>
  </si>
  <si>
    <t>Requires that judgments should provide adequate reasons to support the findings made.</t>
  </si>
  <si>
    <t>cmst4fdgx001l04l7p4wrw7w7</t>
  </si>
  <si>
    <t>skeleton-args-ca2025001247-4e7222cd1e12236a</t>
  </si>
  <si>
    <t>Chesterton Global Ltd v Nurmohamed (2017) EWCA Civ 1050</t>
  </si>
  <si>
    <t>Test for determining protected disclosures focuses on the employee's reasonable belief in misconduct.</t>
  </si>
  <si>
    <t>In applying this principle, it must be determined if Dr. Thornton's perceptions of safety risks qualify as reasonable beliefs.</t>
  </si>
  <si>
    <t>https://www.bailii.org/ew/cases/EWCA/Civ/2017/979.html</t>
  </si>
  <si>
    <t>cmst4drgk001f04l70ut5a3k0</t>
  </si>
  <si>
    <t>8b6843e2-a05d-4712-8f61-9132cd4bb585 || 27be67b1-3e6c-4a07-90e1-cbb8420b8cee || 384e0c8e-cdd6-4cc9-b403-66e1f4f34acd || 66ef0e4f-af5f-406d-9033-1d688a8ab299 || 0b85ba33-95d2-4cf3-a08d-ed6833230187 || f23c3571-33ba-4a67-b917-2c6f40b74593 || 3054ae89-4fdf-4879-a9ae-0e7c8a19d90e || b95f1402-e7e1-473c-80dc-2f1763e8cc02 || 58d08b20-69c9-47be-8f81-5be69b31e088 || abcffa50-4a75-4ad4-9667-e3dfe47a4411 || 0845a137-08c0-4495-8d95-5cb333f9d947 || b28ef1e1-4ef7-4015-9008-5cb657f48023 || 979b8f09-db67-4037-bb54-2a5a9cc60534 || b09fb158-eea2-4246-afa6-9a119107834a || 126904c3-76e4-4116-9766-06699aedc5c8 || 7ebe446f-f92d-4a1c-9bb1-3a15dfc2675a || 9365ac87-002c-4767-beb5-daa394718251 || 7a524f94-2932-4f6f-895d-481394129f94 || 24cdd790-fb66-4e79-895a-0d7f73047839 || 7b9b0d5a-dc61-43d4-9626-d82e18f8c8dd</t>
  </si>
  <si>
    <t>Chesterton Global Ltd &amp; Anor v Nurmohamed &amp; Anor || Beatt v Croydon Health Services NHS Trust || Royal Mail Ltd v Jhuti [2017] EWCA Civ 1632 || Ojikutu v London Borough of Camden [2014] EWCA Civ 978 || Co-Operative Group Ltd v Baddeley [2014] EWCA Civ 658 || Barnes v London Borough of Lewisham [2016] EWCA Civ 582 || Clifford v Millicom Services UK Ltd &amp; Ors [2023] EWCA Civ 50 || Edwards v Parabis Law LLP t/a Cogent Law [2016] EWCA Civ 35 || Kuznetsov v The Royal Bank of Scotland Plc || O'Brien v Bolton St Catherine's Academy [2017] EWCA Civ 145 || Kong v Gulf International Bank (UK) Limited [2022] EWCA Civ 941 || Rodgers v Leeds Laser Cutting Ltd [2022] EWCA Civ 1659 || Lawson v the Governing Body of Aylesford School &amp; Anr [2014] EWCA Civ 491 || Phipps v Priory Education Services Ltd [2023] EWCA Civ 652 (Court of Appeal, Civil Division) || Pimlico Plumbers Ltd &amp; Anor v Smith || Vining v London Borough of Wandsworth [2017] EWCA Civ 1092 || Adeshina v St. George's University Hospitals NHS Foundation Trust &amp; Ors [2017] EWCA Civ 257 || Athanasopoulos v The Institute for Orthodox Christian Studies || Halawi v WDFG UK Ltd (t/a World Duty Free) [2014] EWCA Civ 1387 || South Wales Police Authority v Johnson [2014] EWCA Civ 73</t>
  </si>
  <si>
    <t>Royal Mail Ltd v Jhuti (2019) EWCA Civ 1632</t>
  </si>
  <si>
    <t>The causation mechanism links disclosures to subsequent treatment by employers.</t>
  </si>
  <si>
    <t>Relevant in assessing whether Dr. Thornton's dismissal was influenced by her disclosures.</t>
  </si>
  <si>
    <t>retrieved_case_name_citation_conflict</t>
  </si>
  <si>
    <t>https://www.supremecourt.uk/cases/uksc-2017-0207</t>
  </si>
  <si>
    <t>Purpose</t>
  </si>
  <si>
    <t>Complete the proposal's missing human-validation strand by checking whether each generated legal proposition states an authority's holding accurately and whether the draft's application is supported by the linked retrieval evidence.</t>
  </si>
  <si>
    <t>Step</t>
  </si>
  <si>
    <t>Required action</t>
  </si>
  <si>
    <t>1. Sample</t>
  </si>
  <si>
    <t>Review only rows marked yes in Annotations.in_validation_sample. The deterministic stratified sample contains 50 of 59 judgments: 29 real-case inputs and 21 synthetic-case inputs (seed 748).</t>
  </si>
  <si>
    <t>2. Unit</t>
  </si>
  <si>
    <t>Each annotation row is one cited authority/application unit. The 50 sampled judgments contain 98 such units.</t>
  </si>
  <si>
    <t>3. Holding source</t>
  </si>
  <si>
    <t>Open the authoritative_source_url and identify the authoritative paragraph(s) that state the legal proposition actually decided.</t>
  </si>
  <si>
    <t>4. Holding label</t>
  </si>
  <si>
    <t>yes = generated principle materially matches the source; partial = core idea is right but incomplete/overbroad; no = materially wrong or attributed to the wrong authority; unclear = source cannot resolve confidently; n/a = legislation/rule or no judicial holding.</t>
  </si>
  <si>
    <t>5. Grounding evidence</t>
  </si>
  <si>
    <t>Filter Retrieved Evidence by the row's search_id. Record the relevant rank, case ID and chunk ID in retrieved_evidence_R1/R2.</t>
  </si>
  <si>
    <t>6. Grounding label</t>
  </si>
  <si>
    <t>yes = the generated application is directly supported by linked retrieved material; partial = some support but an important step is unsupported; no = unsupported, contradicted or based on an unrelated source; unclear = exported evidence is insufficient; n/a = no application/grounding assessment applies.</t>
  </si>
  <si>
    <t>7. Evidence notes</t>
  </si>
  <si>
    <t>Give a short factual reason for every label. Do not treat corpus presence alone as proof that a source was retrieved.</t>
  </si>
  <si>
    <t>8. Confidence</t>
  </si>
  <si>
    <t>Use 1 (low) to 5 (high).</t>
  </si>
  <si>
    <t>9. Reviewer 2</t>
  </si>
  <si>
    <t>A second reviewer independently completes the R2 fields without reading R1 labels. Agreement and Cohen's kappa then calculate automatically.</t>
  </si>
  <si>
    <t>10. Adjudication</t>
  </si>
  <si>
    <t>Resolve disagreements after both independent reviews; record final labels and a brief note.</t>
  </si>
  <si>
    <t>Holding labels</t>
  </si>
  <si>
    <t>yes | partial | no | unclear | n/a</t>
  </si>
  <si>
    <t>Grounding labels</t>
  </si>
  <si>
    <t>Evidence rule</t>
  </si>
  <si>
    <t>For holding accuracy, rely on an authoritative legal source. For grounding, rely only on the linked semantic-search export identified by search_id.</t>
  </si>
  <si>
    <t>Do not infer</t>
  </si>
  <si>
    <t>A correct citation does not prove a correct holding. A corpus match does not prove retrieval. A retrieved case does not prove the application is grounded.</t>
  </si>
  <si>
    <t>Agreement scope</t>
  </si>
  <si>
    <t>The Agreement sheet uses only sampled rows with both reviewers' labels. Pairs where both reviewers choose n/a are excluded.</t>
  </si>
  <si>
    <t>Independence warning</t>
  </si>
  <si>
    <t>Repeated generations and repeated uploads are experimental runs, not independent legal cases. Report inferential statistics as exploratory.</t>
  </si>
  <si>
    <t>Workbook status</t>
  </si>
  <si>
    <t>Prefilled blue cells are evidence from the audit pipeline. Pale-yellow cells are for human annotation. Do not overwrite prefilled evidence.</t>
  </si>
  <si>
    <t>Reproducible 50-Judgment Validation Sample</t>
  </si>
  <si>
    <t>Total judgments</t>
  </si>
  <si>
    <t>Sampled judgments</t>
  </si>
  <si>
    <t>Real sampled</t>
  </si>
  <si>
    <t>Synthetic sampled</t>
  </si>
  <si>
    <t>Sampled citation units</t>
  </si>
  <si>
    <t>Seed</t>
  </si>
  <si>
    <t>Method</t>
  </si>
  <si>
    <t>SHA-256 rank within input type</t>
  </si>
  <si>
    <t>Status</t>
  </si>
  <si>
    <t>Ready for annotation</t>
  </si>
  <si>
    <t>Approximately 50 generated outputs, as proposed</t>
  </si>
  <si>
    <t>Selection</t>
  </si>
  <si>
    <t>Stratified to preserve the observed real/synthetic judgment ratio</t>
  </si>
  <si>
    <t>Sampling unit</t>
  </si>
  <si>
    <t>Annotation unit</t>
  </si>
  <si>
    <t>citation occurrence</t>
  </si>
  <si>
    <t>Repeated runs</t>
  </si>
  <si>
    <t>Retained but not independent</t>
  </si>
  <si>
    <t>Primary sheets</t>
  </si>
  <si>
    <t>Annotations + Retrieved Evidence</t>
  </si>
  <si>
    <t>Agreement</t>
  </si>
  <si>
    <t>R1/R2 labels</t>
  </si>
  <si>
    <t>Do not edit</t>
  </si>
  <si>
    <t>Prefilled evidence</t>
  </si>
  <si>
    <t>case_title</t>
  </si>
  <si>
    <t>model_used</t>
  </si>
  <si>
    <t>generated_at</t>
  </si>
  <si>
    <t>searched_at</t>
  </si>
  <si>
    <t>link_method</t>
  </si>
  <si>
    <t>citation_count</t>
  </si>
  <si>
    <t>average_similarity</t>
  </si>
  <si>
    <t>top_retrieved_case</t>
  </si>
  <si>
    <t>retrieved_result_count</t>
  </si>
  <si>
    <t>Crossfield Trading Ltd v Northern Commercial Bank Plc</t>
  </si>
  <si>
    <t>gpt-4o-mini</t>
  </si>
  <si>
    <t>2026-08-14 15:40:27.31</t>
  </si>
  <si>
    <t>2026-08-14 15:38:48.135</t>
  </si>
  <si>
    <t>latest_search_before_draft</t>
  </si>
  <si>
    <t>Crestsign Ltd v National Westminster Bank Plc &amp; Anor [2015] EWCA Civ 986</t>
  </si>
  <si>
    <t>Karpasitis v Hertfordshire County Council</t>
  </si>
  <si>
    <t>2026-03-19 16:47:14.388</t>
  </si>
  <si>
    <t>2026-03-19 16:44:16.211</t>
  </si>
  <si>
    <t>Appellant: [Name Undisclosed] v Respondent: [Name Undisclosed]</t>
  </si>
  <si>
    <t>2026-02-24 08:32:26.762</t>
  </si>
  <si>
    <t>2026-02-24 08:30:05.313</t>
  </si>
  <si>
    <t>Creggy v Barnett &amp; Anor [2016] EWCA Civ 1004 (Court of Appeal (Civil Division))</t>
  </si>
  <si>
    <t>Lila Sharma v Meridian Financial Services Ltd</t>
  </si>
  <si>
    <t>2026-08-14 15:36:51.942</t>
  </si>
  <si>
    <t>2026-08-14 15:35:44.67</t>
  </si>
  <si>
    <t>Kalu v Brighton and Sussex University Hospitals NHS Trust &amp; Ors [2015] EWCA Civ 897</t>
  </si>
  <si>
    <t>R (Fajr Ellis) v Secretary of State for Justice</t>
  </si>
  <si>
    <t>2026-03-04 14:13:32.296</t>
  </si>
  <si>
    <t>2026-03-04 14:12:01.647</t>
  </si>
  <si>
    <t>Bristow v The Secretary of State for Justice &amp; Anor [2015] EWCA Civ 1170</t>
  </si>
  <si>
    <t>Transport Action Network Limited v Secretary of State for Transport</t>
  </si>
  <si>
    <t>2026-07-26 13:32:31.396</t>
  </si>
  <si>
    <t>2026-07-26 13:31:38.105</t>
  </si>
  <si>
    <t>The Howard League for Penal Reform and Prisoners' Advice Service v The Lord Chancellor</t>
  </si>
  <si>
    <t>Greenfields (IOW) Limited v Isle of Wight Council &amp; Westridge Village Limited</t>
  </si>
  <si>
    <t>2026-05-01 08:40:25.371</t>
  </si>
  <si>
    <t>2026-03-19 18:53:46.044</t>
  </si>
  <si>
    <t>UnipolSai Assicurazioni S.p.A. v Covéa Insurance Plc</t>
  </si>
  <si>
    <t>2026-03-04 17:10:00.635</t>
  </si>
  <si>
    <t>2026-03-04 17:07:16.148</t>
  </si>
  <si>
    <t>Al Mana Lifestyle Trading LLC &amp; Ors v United Fidelity Insurance Company PSC &amp; Ors [2023] EWCA Civ 61</t>
  </si>
  <si>
    <t>2026-02-24 12:03:04.29</t>
  </si>
  <si>
    <t>2026-02-24 12:00:24.289</t>
  </si>
  <si>
    <t>Finch On Behalf of the Weald Action Group, R (On the Application Of) v Surrey County Council &amp; Ors [2022] EWCA Civ 187</t>
  </si>
  <si>
    <t>R (Harrison) v Secretary of State for Justice</t>
  </si>
  <si>
    <t>2026-03-03 10:01:54.804</t>
  </si>
  <si>
    <t>2026-03-03 10:00:03.207</t>
  </si>
  <si>
    <t>Fajr Ellis v Secretary of State for Justice</t>
  </si>
  <si>
    <t>2026-03-15 12:50:44.132</t>
  </si>
  <si>
    <t>2026-03-15 12:48:58.332</t>
  </si>
  <si>
    <t>Heritage Brewing Company Ltd v Traditional Ales Holdings Plc</t>
  </si>
  <si>
    <t>2026-08-14 15:51:53.487</t>
  </si>
  <si>
    <t>2026-08-14 15:50:32.032</t>
  </si>
  <si>
    <t>Maier &amp; Anor v Asos Plc &amp; Anor [2015] EWCA Civ 220</t>
  </si>
  <si>
    <t>Appellant v Respondent</t>
  </si>
  <si>
    <t>2026-03-02 10:52:20.408</t>
  </si>
  <si>
    <t>2026-02-24 08:36:57.613</t>
  </si>
  <si>
    <t>Mr Demetrios Karpasitis v Hertfordshire County Council</t>
  </si>
  <si>
    <t>2026-08-02 12:09:17.129</t>
  </si>
  <si>
    <t>2026-08-02 12:07:04.845</t>
  </si>
  <si>
    <t>King Lifting Ltd v Oxfordshire County Council [2016] EWHC 1767 (QB)</t>
  </si>
  <si>
    <t>Sunrise Hospitality Group Ltd v Grant Morrison &amp; Co LLP</t>
  </si>
  <si>
    <t>2026-03-12 02:21:54.314</t>
  </si>
  <si>
    <t>2026-03-12 02:20:39.466</t>
  </si>
  <si>
    <t>Dowling v Griffin [2014] EWCA Civ 1545</t>
  </si>
  <si>
    <t>Metropolitan Property Holdings Ltd v Artisan Coffee Co Ltd</t>
  </si>
  <si>
    <t>2026-03-11 08:29:29.075</t>
  </si>
  <si>
    <t>2026-03-11 08:26:06.464</t>
  </si>
  <si>
    <t>Freifeld &amp; Anor v West Kensington Court Ltd [2015] EWCA Civ 806</t>
  </si>
  <si>
    <t>2026-03-05 14:14:10.93</t>
  </si>
  <si>
    <t>2026-03-05 14:10:36.041</t>
  </si>
  <si>
    <t>Commissioners for HM Revenue and Customs v Dolphin Drilling Ltd</t>
  </si>
  <si>
    <t>2026-03-04 13:37:01.468</t>
  </si>
  <si>
    <t>2026-03-04 13:34:04.594</t>
  </si>
  <si>
    <t>Revenue and Customs v Lloyds TSB Equipment Leasing (No 1) Ltd [2014] EWCA Civ 1062</t>
  </si>
  <si>
    <t>2026-03-09 23:38:17.587</t>
  </si>
  <si>
    <t>2026-03-09 23:35:13.362</t>
  </si>
  <si>
    <t>Velyo Velev v. Bulgaria (Application No. 16032/07)</t>
  </si>
  <si>
    <t>Fajr Ellis v The Secretary of State for Education and The Secretary of State for Justice</t>
  </si>
  <si>
    <t>2026-08-02 11:56:34.529</t>
  </si>
  <si>
    <t>2026-08-02 11:55:45.027</t>
  </si>
  <si>
    <t>Jason Lutz v Ryanair DAC &amp; Storm Global Limited</t>
  </si>
  <si>
    <t>2026-08-02 12:24:37.443</t>
  </si>
  <si>
    <t>2026-08-02 12:24:00.437</t>
  </si>
  <si>
    <t>Kocur v Angard Staffing Solutions Limited &amp; Anor [2022] EWCA Civ 189</t>
  </si>
  <si>
    <t>Beacon Manufacturing Ltd v Alliance Insurance Plc</t>
  </si>
  <si>
    <t>2026-02-24 07:59:25.251</t>
  </si>
  <si>
    <t>2026-02-24 07:55:19.443</t>
  </si>
  <si>
    <t>Great Lakes Reinsurance (UK) SE v Western Trading Ltd [2016] EWCA Civ 1003 (11 October 2016)</t>
  </si>
  <si>
    <t>Storm Global Limited v Jason Lutz</t>
  </si>
  <si>
    <t>2026-08-02 12:44:01.108</t>
  </si>
  <si>
    <t>2026-08-02 12:43:25.293</t>
  </si>
  <si>
    <t>Nursing and Midwifery Council v Somerville [2022] EWCA Civ 229</t>
  </si>
  <si>
    <t>2026-03-19 14:39:31.289</t>
  </si>
  <si>
    <t>2026-03-19 14:36:53.487</t>
  </si>
  <si>
    <t>KSY Juice Blends UK Limited v Citrosuco GmbH</t>
  </si>
  <si>
    <t>2026-03-19 13:22:55.211</t>
  </si>
  <si>
    <t>2026-03-19 13:21:08.876</t>
  </si>
  <si>
    <t>Proforce Recruit Ltd v The Rugby Group Ltd [2006] EWCA Civ 69</t>
  </si>
  <si>
    <t>2026-08-02 08:19:03.617</t>
  </si>
  <si>
    <t>2026-08-02 08:18:02.293</t>
  </si>
  <si>
    <t>Rotala Plc, R (On the Application Of) v Greater Manchester Combined Authority &amp; Anor [2022] EWCA Civ 1048</t>
  </si>
  <si>
    <t>Appellant - Beneficiary v Respondent - Sole Trustee and Discretionary Beneficiary</t>
  </si>
  <si>
    <t>2026-02-24 08:38:57.428</t>
  </si>
  <si>
    <t>2026-02-24 01:51:59.472</t>
  </si>
  <si>
    <t>2026-02-24 01:49:17.609</t>
  </si>
  <si>
    <t>Hippodrome Casino Ltd v HMRC</t>
  </si>
  <si>
    <t>2026-08-02 12:03:19.774</t>
  </si>
  <si>
    <t>2026-08-02 12:02:34.515</t>
  </si>
  <si>
    <t>Volkswagen Financial Services (UK) Ltd v HM Revenue &amp; Customs</t>
  </si>
  <si>
    <t>Collins v North Thames NHS Foundation Trust</t>
  </si>
  <si>
    <t>2026-03-02 11:25:41.405</t>
  </si>
  <si>
    <t>2026-03-02 11:24:11.973</t>
  </si>
  <si>
    <t>Bilal &amp; Anor v St George's University Hospital NHS Foundation Trust [2023] EWCA Civ 605</t>
  </si>
  <si>
    <t>Appellant (Beneficiary) v Respondent (Sole Trustee and Beneficiary)</t>
  </si>
  <si>
    <t>2026-03-02 10:46:56.609</t>
  </si>
  <si>
    <t>Sterling Investments Ltd v Blackwood Capital Partners LLP</t>
  </si>
  <si>
    <t>2026-08-14 17:23:43.252</t>
  </si>
  <si>
    <t>2026-08-14 17:22:31.729</t>
  </si>
  <si>
    <t>The Financial Conduct Authority v Capital Alternatives Ltd &amp; Ors</t>
  </si>
  <si>
    <t>2026-03-16 01:23:17.889</t>
  </si>
  <si>
    <t>2026-03-16 01:17:42.661</t>
  </si>
  <si>
    <t>Modernatx, Inc. v Pfizer Limited &amp; BioNTech</t>
  </si>
  <si>
    <t>2026-08-02 12:52:40.037</t>
  </si>
  <si>
    <t>2026-08-02 12:51:35.366</t>
  </si>
  <si>
    <t>Philip Morris Products, S.A. v Nicoventures Trading Limited &amp; Anor (Re Invalidity of Patents) [2022] EWCA Civ 1638</t>
  </si>
  <si>
    <t>2026-08-02 12:02:13.203</t>
  </si>
  <si>
    <t>2026-08-02 12:01:23</t>
  </si>
  <si>
    <t>2026-03-19 12:51:22.677</t>
  </si>
  <si>
    <t>2026-03-19 12:48:54.017</t>
  </si>
  <si>
    <t>Webb v Ashworth &amp; Partners</t>
  </si>
  <si>
    <t>2026-08-14 15:43:39.507</t>
  </si>
  <si>
    <t>2026-08-14 15:42:05.697</t>
  </si>
  <si>
    <t>Main &amp; Orsv v Giambrone &amp; Law (2017) - Liability for Breach of Trust</t>
  </si>
  <si>
    <t>2026-08-02 12:07:56.352</t>
  </si>
  <si>
    <t>Aldridge v Crawford</t>
  </si>
  <si>
    <t>2026-02-23 21:46:14.057</t>
  </si>
  <si>
    <t>2026-02-23 21:44:31.24</t>
  </si>
  <si>
    <t>White &amp; Anor v Amirtharaja &amp; Anor [2022] EWCA Civ 11</t>
  </si>
  <si>
    <t>2026-03-16 01:33:23.182</t>
  </si>
  <si>
    <t>2026-02-23 21:41:26.596</t>
  </si>
  <si>
    <t>2026-02-23 21:39:53.831</t>
  </si>
  <si>
    <t>Altrad Services Ltd &amp; Anor v Commissioners for HMRC [2023] EWCA Civ 474 (03 May 2023)</t>
  </si>
  <si>
    <t>Modernatx, Inc. v Pfizer Limited &amp; Others</t>
  </si>
  <si>
    <t>2026-08-02 13:05:08.872</t>
  </si>
  <si>
    <t>2026-08-02 13:04:35.562</t>
  </si>
  <si>
    <t>Synthon BV v Teva Pharmaceutical Industries Ltd [2017] EWCA Civ 148</t>
  </si>
  <si>
    <t>The King (on the application of Transport Action Network Limited) v Secretary of State for Transport</t>
  </si>
  <si>
    <t>2026-07-26 11:27:58.48</t>
  </si>
  <si>
    <t>2026-07-26 11:26:31.224</t>
  </si>
  <si>
    <t>London Borough of Enfield, R (on the application of) v Secretary of State for Transport &amp; Ors [2016] EWCA Civ 480</t>
  </si>
  <si>
    <t>Thompson v Clearview Credit Services Ltd</t>
  </si>
  <si>
    <t>2026-08-14 17:28:07.837</t>
  </si>
  <si>
    <t>2026-08-14 17:26:54.31</t>
  </si>
  <si>
    <t>Google Inc v Vidal-Hall &amp; Ors [2015] EWCA Civ 311</t>
  </si>
  <si>
    <t>KSY Juice Blends UK Limited v Citrusuco GmbH</t>
  </si>
  <si>
    <t>2026-08-02 12:20:35.297</t>
  </si>
  <si>
    <t>2026-08-02 12:19:51.755</t>
  </si>
  <si>
    <t>Dixon &amp; Anor v Blindley Heath Investments Ltd &amp; Anor [2015] EWCA Civ 1023</t>
  </si>
  <si>
    <t>2026-08-02 11:59:55.744</t>
  </si>
  <si>
    <t>2026-08-02 11:58:58.71</t>
  </si>
  <si>
    <t>Smith v Secretary of State for Levelling Up, Housing &amp; Communities &amp; Anor [2022] EWCA Civ 1391</t>
  </si>
  <si>
    <t>2026-03-19 18:56:04.15</t>
  </si>
  <si>
    <t>2026-03-19 18:16:14.901</t>
  </si>
  <si>
    <t>2026-03-19 18:13:45.724</t>
  </si>
  <si>
    <t>Cherkley Campaign Ltd, R (on the application of) v Mole Valley District Council &amp; Anor</t>
  </si>
  <si>
    <t>2026-03-06 15:34:40.845</t>
  </si>
  <si>
    <t>2026-03-06 15:33:30.153</t>
  </si>
  <si>
    <t>2026-03-09 23:09:33.769</t>
  </si>
  <si>
    <t>2026-03-09 23:07:05.425</t>
  </si>
  <si>
    <t>2026-02-23 22:56:21.127</t>
  </si>
  <si>
    <t>2026-02-23 22:55:02.859</t>
  </si>
  <si>
    <t>Brown &amp; Ors v South West Lakes Trust &amp; Ors [2022] EWCA Civ 18</t>
  </si>
  <si>
    <t>2026-02-26 10:12:43.433</t>
  </si>
  <si>
    <t>2026-02-26 10:11:03.637</t>
  </si>
  <si>
    <t>Tigere, R (On the Application Of) v Secretary of State for Business, Innovation And Skills</t>
  </si>
  <si>
    <t>2026-03-05 14:36:45.694</t>
  </si>
  <si>
    <t>Hippodrome Casino Ltd v HM Revenue and Customs</t>
  </si>
  <si>
    <t>2026-08-02 12:05:05.592</t>
  </si>
  <si>
    <t>2026-08-02 12:04:22.059</t>
  </si>
  <si>
    <t>Abir Alhayali v The Royal Embassy of Saudi Arabia (Cultural Bureau)</t>
  </si>
  <si>
    <t>2026-08-02 12:47:23.517</t>
  </si>
  <si>
    <t>2026-08-02 12:46:34.18</t>
  </si>
  <si>
    <t>Argentum Exploration Limited v The Silver and all persons claiming to be interested in and/or to have rights in respect of, the Silver [2022] EWCA Civ 1318</t>
  </si>
  <si>
    <t>2026-08-02 12:48:22.269</t>
  </si>
  <si>
    <t>2026-08-02 12:47:27.952</t>
  </si>
  <si>
    <t>2026-08-02 12:55:42.21</t>
  </si>
  <si>
    <t>2026-08-02 12:58:34.869</t>
  </si>
  <si>
    <t>Dr. Thornton v GlobalTech Solutions Ltd</t>
  </si>
  <si>
    <t>2026-08-14 15:47:50.383</t>
  </si>
  <si>
    <t>2026-08-14 15:46:35.115</t>
  </si>
  <si>
    <t>Chesterton Global Ltd &amp; Anor v Nurmohamed &amp; Anor</t>
  </si>
  <si>
    <t>retrieval_rank</t>
  </si>
  <si>
    <t>retrieved_case_id</t>
  </si>
  <si>
    <t>retrieved_case_title</t>
  </si>
  <si>
    <t>court</t>
  </si>
  <si>
    <t>case_year</t>
  </si>
  <si>
    <t>overall_similarity</t>
  </si>
  <si>
    <t>best_chunk_id</t>
  </si>
  <si>
    <t>best_chunk_type</t>
  </si>
  <si>
    <t>best_chunk_similarity</t>
  </si>
  <si>
    <t>chunk_summary</t>
  </si>
  <si>
    <t>chunk_content</t>
  </si>
  <si>
    <t>cited_cases</t>
  </si>
  <si>
    <t>relevance_explanation</t>
  </si>
  <si>
    <t>d23d9f9f-4d0a-455a-bab1-0ce1a023b722</t>
  </si>
  <si>
    <t>England and Wales Court of Appeal (Civil Division)</t>
  </si>
  <si>
    <t>d23d9f9f-4d0a-455a-bab1-0ce1a023b722_legal_classification</t>
  </si>
  <si>
    <t>legal_classification</t>
  </si>
  <si>
    <t>Classification of legal framework: tax law, capital allowances, and the Ramsay principle, with focus on statutory sections relevant to the dispute and the appellate process.</t>
  </si>
  <si>
    <t>Legal Classification: Primary Category: Tax Law / Civil Appeal Legal Areas: Taxation, Capital Allowances, Statutory Interpretation, Contractual Finance Leases, Ramsay Doctrine, Procedural Rules on Appeals Jurisdiction: England and Wales Court Level: Court of Appeal (Civil Division) Legal Issues: Whether disposal of assets for capital allowances purposes occurred under s61(1)(a) CAA 2001 (Ramsay principle). Whether reacquisition of assets constitutes qualifying expenditure under s11 CAA 2001 in the context of a long funding finance lease and associated s70E/YE calculations. Whether Put/Call option arrangements can be treated as a scheme to generate extra capital allowances without real economic cost. Whether Ground 2 was properly pleaded and raised in the FTT/UT proceedings and thus properly before the CA (procedural issue). Whether the UT’s reversal on Issue 1 should stand in light of the Court’s procedural ruling on Ground 2 Keywords: capital allowances, Ramsay principle, CAA 2001, section 61(1)(a), section 11, composite transactions, Court of Appeal (Civil Division), tax litigation, Upper Tribunal, First-tier Tribunal</t>
  </si>
  <si>
    <t>Ramsay || Tower || BMBF || Ensign</t>
  </si>
  <si>
    <t>This case shows 68% similarity based on legal classification analysis.</t>
  </si>
  <si>
    <t>16f61521-59b6-4c57-8af3-c654be05eab0</t>
  </si>
  <si>
    <t>BPP Holdings v Revenue And Customs [2016] EWCA Civ 121</t>
  </si>
  <si>
    <t>16f61521-59b6-4c57-8af3-c654be05eab0_procedural_history</t>
  </si>
  <si>
    <t>procedural_history</t>
  </si>
  <si>
    <t>Procedural history: FtT decision (Judge Mosedale) and UT decision (Judge Bishopp) concerning a debarment issue; CA appeal on 01 Mar 2016; hearing held 16 Dec 2015; reflection on rule 8 and case management practices.</t>
  </si>
  <si>
    <t>Procedural History: Court: England and Wales Court of Appeal (Civil Division) Lower Court: First-tier Tribunal (Tax Chamber) Judges: Lord Justice Moore-Bick, Lord Justice Richards, The Senior President of Tribunals Case Number: A3/2014/4240 Last Hearing Date: 01 March 2016 Duration: 60 days</t>
  </si>
  <si>
    <t>McCarthy &amp; Stone || Leeds || Mitchell || Denton</t>
  </si>
  <si>
    <t>This case shows 67% similarity based on procedural history analysis.</t>
  </si>
  <si>
    <t>2f2ce488-73d0-4422-abcd-2b014a9e52d1</t>
  </si>
  <si>
    <t>Totel Limited v HM Revenue and Customs [2016] EWCA Civ 1310</t>
  </si>
  <si>
    <t>2f2ce488-73d0-4422-abcd-2b014a9e52d1_procedural_history</t>
  </si>
  <si>
    <t>Procedural history: Case progresses from the Upper Tribunal to the Court of Appeal; case number A3/2015/1980; hearing on 21-22 November 2016; decision delivered 20 December 2016.</t>
  </si>
  <si>
    <t>Procedural History: Court: England and Wales Court of Appeal (Civil Division) Lower Court: Upper Tribunal (Tax and Chancery Chamber) FTC 67/2013, [2014] UKUT 485 (TCC) Judges: Lady Justice Arden, Lord Justice Irwin, Lord Justice Henderson Case Number: A3/2015/1980 Last Hearing Date: 20 December 2016 Duration: 2 days</t>
  </si>
  <si>
    <t>UKUT 485 (TCC) || Marks &amp; Spencer || Littlewoods</t>
  </si>
  <si>
    <t>53011b43-2d84-4830-953a-1b5b550f4f67</t>
  </si>
  <si>
    <t>The Quentin Skinner 2015 Settlement L &amp; Ors v HM Revenue and Customs (Entrepeneurs' Relief) [2022] EWCA Civ 1222</t>
  </si>
  <si>
    <t>53011b43-2d84-4830-953a-1b5b550f4f67_procedural_history</t>
  </si>
  <si>
    <t>Procedural history: appeal from the Upper Tribunal (Tax and Chancery) to the Court of Appeal; hearing date and hand-down date recorded, with the panel listed.</t>
  </si>
  <si>
    <t>Procedural History: Court: England and Wales Court of Appeal (Civil Division) Lower Court: Upper Tribunal (Tax and Chancery Chamber) [2020] UKUT 29 (TCC) Judges: Lord Justice Lewison, Lord Justice Snowden, Sir Launcelot Henderson Case Number: CA-2021-0007111 / A3/2021/1394 Last Hearing Date: 16 September 2022 Duration: 75 days</t>
  </si>
  <si>
    <t>5f096d49-2a17-4252-839a-438cd198b444</t>
  </si>
  <si>
    <t>Dawson's (Wales) Ltd v Revenue &amp; Customs [2023] EWCA Civ 332</t>
  </si>
  <si>
    <t>5f096d49-2a17-4252-839a-438cd198b444_procedural_history</t>
  </si>
  <si>
    <t>Chronology of proceedings from HMRC assessment to FTT, UT and CA, including the framing of preliminary issues and the stay/policy references.</t>
  </si>
  <si>
    <t>Procedural History: Court: England and Wales Court of Appeal (Civil Division) Lower Court: Upper Tribunal Tax and Chancery Chamber [2019] UKUT 296 (TCC) Judges: Lady Justice Asplin, Lord Justice Arnold, Lady Justice Elisabeth Laing Case Number: CA-2019-001534 Last Hearing Date: 28 March 2023 Duration: 4350 days</t>
  </si>
  <si>
    <t>Davison &amp; Robinson || Perfect || WR</t>
  </si>
  <si>
    <t>7253e952-4693-4c28-8c6d-f176b4e6f194</t>
  </si>
  <si>
    <t>HMRC v GMAC (UK) Plc [2016] EWCA Civ 1015 (Court of Appeal, Civil Division)</t>
  </si>
  <si>
    <t>7253e952-4693-4c28-8c6d-f176b4e6f194_procedural_history</t>
  </si>
  <si>
    <t>Procedural progression: FTT decision (2010) and UT decision (2012) leading to CA hearing (2016); detailed timeline of appeals and judgments in the VAT bad debt relief context.</t>
  </si>
  <si>
    <t>Procedural History: Court: England and Wales Court of Appeal (Civil Division) Lower Court: Upper Tribunal (Tax and Chancery Chamber) and First-tier Tribunal (Tax Chamber) Judges: Lord Justice Floyd, Lady Justice Arden DBE, Mrs Justice Theis DBE Case Number: A3/2015/0785 Last Hearing Date: 25 October 2016 Duration: 2 days</t>
  </si>
  <si>
    <t>BT CA (EWCA Civ 433)</t>
  </si>
  <si>
    <t>f2e312b7-9979-4341-a687-c55ade7d7fac</t>
  </si>
  <si>
    <t>IFX Investment Company Ltd and Ors v Revenue and Customs [2016] EWCA Civ 436</t>
  </si>
  <si>
    <t>f2e312b7-9979-4341-a687-c55ade7d7fac_procedural_history</t>
  </si>
  <si>
    <t>Procedural path from FTT to UT to CA; hearing on 8 April 2016; CA judgment delivered 4 May 2016; case No A3/2014/3908.</t>
  </si>
  <si>
    <t>Procedural History: Court: England and Wales Court of Appeal (Civil Division) Lower Court: Upper Tribunal (Tax and Chancery Chamber) [2014] UKUT 398 (TCC) Judges: Lady Justice Arden, Lord Justice Tomlinson, Mr Justice Morgan Case Number: A3/2014/3908 Last Hearing Date: 2016-05-04 Duration: 1 days</t>
  </si>
  <si>
    <t>UKUT 398 (TCC) [2014]</t>
  </si>
  <si>
    <t>f088dcd9-a86b-4857-941b-1ba09d92fbc6</t>
  </si>
  <si>
    <t>Revenue &amp; Customs v Gray &amp; Farrar International LLP [2023] EWCA Civ 121</t>
  </si>
  <si>
    <t>f088dcd9-a86b-4857-941b-1ba09d92fbc6_procedural_history</t>
  </si>
  <si>
    <t>Procedural path: FTT decision dismissing G&amp;F appeal (2019); UT remaking decision (2021) in HMRC’s favour; CA appeal (CA 2022/000203) with hearings on 17-18 January 2023 and judgment handed 13 February 2023.</t>
  </si>
  <si>
    <t>Procedural History: Court: England and Wales Court of Appeal (Civil Division) Lower Court: Upper Tribunal Tax &amp; Chancery Division [2021] UKUT 0293 (TCC) Judges: Lord Justice Lewison, Lord Justice Newey, Lady Justice Simler Case Number: CA 2022/000203 Last Hearing Date: 13 February 2023 Duration: 2 days</t>
  </si>
  <si>
    <t>UKUT 2021 || UKFTT 2019</t>
  </si>
  <si>
    <t>c905ed54-034f-425d-908f-4d0fc7437e71</t>
  </si>
  <si>
    <t>Naghshineh v Commissioners for HM Revenue and Customs [2022] EWCA Civ 19</t>
  </si>
  <si>
    <t>c905ed54-034f-425d-908f-4d0fc7437e71_outcome_holding</t>
  </si>
  <si>
    <t>outcome_holding</t>
  </si>
  <si>
    <t>Summary of the outcome as described: HMRC's position upheld; sideways relief denied for the disputed years by UT.</t>
  </si>
  <si>
    <t>Case Outcome: Holding: The Upper Tribunal’s construction of section 68(3)(b) denied sideways relief for the years in dispute, affirming HMRC’s position on the test and its application. The Court of Appeal is addressing an overarching statutory construction issue, including how to apply the two-limb test and whether predecessor legislation informs the current provision. Outcome: defendant Precedent Strength: 9/10 Complexity Score: 9/10 Damages: 0 Legal Significance: Landmark case with exceptional legal significance</t>
  </si>
  <si>
    <t>This case shows 66% similarity based on outcome holding analysis.</t>
  </si>
  <si>
    <t>99e499ed-5641-4f75-8c33-a3c4e6031823</t>
  </si>
  <si>
    <t>99e499ed-5641-4f75-8c33-a3c4e6031823_case_analysis</t>
  </si>
  <si>
    <t>case_analysis</t>
  </si>
  <si>
    <t>Assesses the potential precedent value and complexity of the Argentum v Silver appeal in shaping state-immunity and salvage-law jurisprudence.</t>
  </si>
  <si>
    <t>Case Analysis and Reasoning: Precedent Strength Assessment (7/10): • The issue engages a high-level, frequently cited domain of private international law (state immunity) with a clear statutory framework (State Immunity Act 1978) and significant maritime context (Admiralty in rem). • The Court of Appeal sits at a high level of authority to interpret the immunity exceptions, potentially shaping future in rem salvage proceedings involving state-owned cargo. • The presence of a clear statutory trigger (s10(4)) and the need to interpret 'commercial purposes' confers strong doctrinal value, as long as the holding remains stable and widely adopted. • However, the final holding is not in the provided text; if the Court of Appeal remanded for further fact-finding or if the decision ultimately favors immunity, the precedential impact may be more limited. • Potential for subsequent citation by courts facing similar state-immunity/Salvage Convention issues, but contingent on the final ratio decidendi being clear and broadly applicable. Confidence: 70% Complexity Score Assessment (8/10): • Multiple intertwined issues: in rem procedure, state immunity, commercial-use interpretation, ownership of wreck, and salvage-time-bar. • Cross-jurisdictional (UK statute, international Salvage Convention) with reliance on common-law history of immunity (two forms) and statute interpretation. • Extensive factual matrix: historic sinking (1942), wartime arrangements, salvage operations (2017), Receiver of Wreck decisions, and post-salvage ownership disputes. • Parties include state, private owners, salvors, and government interveners, adding procedural and evidentiary layers. • The decision hinges on nuanced readings of statutory phrases (eg, 'commercial purposes') and complex maritime-law concepts, increasing the technical require­ment and interpretive effort. Confidence: 75% Legal Significance: Important case with notable legal impact</t>
  </si>
  <si>
    <t>This case shows 66% similarity based on case analysis analysis.</t>
  </si>
  <si>
    <t>34dfb3bd-01bb-45bf-b18a-fce4ecb24b45</t>
  </si>
  <si>
    <t>34dfb3bd-01bb-45bf-b18a-fce4ecb24b45_case_analysis</t>
  </si>
  <si>
    <t>Provides assessment of the case’s precedent value and its complexity, including how it affects future appeals and land-registration practice.</t>
  </si>
  <si>
    <t>Case Analysis and Reasoning: Precedent Strength Assessment (7/10): • The decision sits within a Court of Appeal framework and engages well-established principles on adverse possession and registering errors. • Judicial reasoning is thorough, drawing on LRA 2002 provisions, prior case law on possession and paper title, and the proper approach to new evidence on appeal (Ladd v Marshall). • The holding is moderately broad in its treatment of possessory vs. paper title issues but remains fact-specific, limiting broad, universal application. • Potential for citation exists in similar disputes regarding challenging a register or relying on possessory rights; however, the precise procedural posture (new point raised on appeal) limits universal adoption. • The score is not higher due to the case’s narrow procedural context and reliance on specific evidentiary findings rather than a sweeping doctrinal shift. Confidence: 72% Complexity Score Assessment (8/10): • Multiple intertwined issues: adverse possession, intent to possess, registration errors, and the possibility of new evidence on appeal. • Heavy reliance on procedural rules (Ladd v Marshall) regarding admissibility of fresh evidence and pleading requirements, adding procedural complexity. • Involves analysis of hearsay weight and the interpretation of statutory declarations, with causation between acts and possession. • Involves interpretation of Land Registration Act 2002 provisions, including s.9 and the concept of possessory vs absolute title. • Moderate to high complexity due to the number of parties, long chain of title history, and the cross-application of older authorities to a modern register framework. Confidence: 74% Legal Significance: Important case with notable legal impact</t>
  </si>
  <si>
    <t>f4d639ad-f27c-47ba-a62c-bfc0c4c9430e</t>
  </si>
  <si>
    <t>Healey v Fraine &amp; Ors [2023] EWCA Civ 549</t>
  </si>
  <si>
    <t>f4d639ad-f27c-47ba-a62c-bfc0c4c9430e_legal_reasoning</t>
  </si>
  <si>
    <t>legal_reasoning</t>
  </si>
  <si>
    <t>Appellate reasoning on Ground 1: pleading amendments must be proper and not salvage defective pleadings; analysis of the permissible scope and timing of amendments.</t>
  </si>
  <si>
    <t>Legal Analysis: Legal Issues: Whether the Defendants should be permitted to amend their Defence and Counterclaim (discretion in case management and pleading amendments).. Whether an adverse possession claim under the Land Registration Act 2002 can be pleaded in a case involving registered land and a claimed licensee.. Whether the pleadings properly defined the issues, and whether a wholesale amendment could be allowed when parts of it would fail as a matter of law.. Impact of agency/authority assertions (Maloney and Quinn) on the Defendants’ alleged possession and permission to occupy.. The interaction between licensee status and adverse possession in the context of registered land. Reasoning: The Court of Appeal held that the lower court’s broad permission to amend (which would allow an amendment containing a point of law the court deemed misconceived) was improper. Issues must be defined by pleadings, and permitting a wholesale amendment to include a legally doomed claim (adverse possession on the stated theory) was inappropriate. The panel discussed the limits of partial amendments and the need for a clear, properly drafted text before granting permission. On Ground 2, the court began a structured review of adverse possession in the LRA 2002 regime, noting the significant changes to the law and indicating a thorough examination of unregistered land, then registered land (LRA 1925 and LRA 2002), before reaching conclusions. The outcome on Ground 2 remains unresolved in the provided excerpt. Keywords: second appeal, pleading amendments, possession claim, registered land, adverse possession, LRA 2002, land registration, Court of Appeal, England and Wales</t>
  </si>
  <si>
    <t>This case shows 65% similarity based on legal reasoning analysis.</t>
  </si>
  <si>
    <t>6e8e988c-074c-4ab1-9e37-5c84673b441b</t>
  </si>
  <si>
    <t>Secretary of State for the Home Department v Cox &amp; Ors [2023] EWCA Civ 551 (19 May 2023)</t>
  </si>
  <si>
    <t>6e8e988c-074c-4ab1-9e37-5c84673b441b_procedural_history</t>
  </si>
  <si>
    <t>Procedural path from High Court decisions to Court of Appeal with hearings in March 2023.</t>
  </si>
  <si>
    <t>Procedural History: Court: England and Wales Court of Appeal (Civil Division) Lower Court: High Court (QB) – [2022] EWHC 680 (QB); [2022] EWHC 1626 (QB); [2022] EWHC 3188 (KB) Judges: Lord Justice Underhill (Vice-President of the Court of Appeal (Civil Division)), Lord Justice Stuart-Smith, Lord Justice Lewis Case Number: CA-2022-000689; CA-2022-001397; CA-2023-000010 Last Hearing Date: 19 May 2023 Duration: 2 days</t>
  </si>
  <si>
    <t>This case shows 64% similarity based on procedural history analysis.</t>
  </si>
  <si>
    <t>4fb69c0f-f93b-4540-a62b-7db9f10a32aa</t>
  </si>
  <si>
    <t>Heaney v Kirkby [2016] EWCA Civ 689</t>
  </si>
  <si>
    <t>4fb69c0f-f93b-4540-a62b-7db9f10a32aa_legal_classification</t>
  </si>
  <si>
    <t>Classification of the case within civil appellate procedure and its principal areas of law.</t>
  </si>
  <si>
    <t>Legal Classification: Primary Category: Appeal (Civil) / Property/Land Law Legal Areas: Property Law, Land Law, Adverse Possession, Evidence Law, Tribunal Procedure Jurisdiction: England and Wales Court Level: Court of Appeal (Civil Division) Legal Issues: Whether the verge was acquired by adverse possession in the circumstances of a neighbours' dispute.. Admissibility of new evidence under Ladd v Marshall (two limbs) in the context of a tribunal appeal.. Whether the Upper Tribunal and First-tier Tribunal correctly applied adverse possession principles to the facts.. Whether the appeal to the Court of Appeal satisfies the second appeals test (point of principle or compelling reason).. Impact of timing and dating evidence (planning officer discussion and photograph dating) on the possession claim. Keywords: adverse possession, verge ownership, neighbours dispute, EWCA Civ 689, second appeals test, Ladd v Marshall, admissibility of evidence, First-tier Tribunal, Upper Tribunal</t>
  </si>
  <si>
    <t>This case shows 64% similarity based on legal classification analysis.</t>
  </si>
  <si>
    <t>63ef2757-1a67-40a3-a684-a4901ad74648</t>
  </si>
  <si>
    <t>Ely v Robson [2016] EWCA Civ 774</t>
  </si>
  <si>
    <t>63ef2757-1a67-40a3-a684-a4901ad74648_case_analysis</t>
  </si>
  <si>
    <t>Assessment of the case's broader legal significance, its precedent value, and the factors contributing to or limiting its complexity.</t>
  </si>
  <si>
    <t>Case Analysis and Reasoning: Precedent Strength Assessment (8/10): • This is a Court of Appeal decision reinforcing that an oral agreement may be binding where terms are clear and intention to create legal relations is demonstrated, allowing for constructive trust or proprietary estoppel even where the Law of Property Act 1989 writing requirements would typically apply. • The judgment engages Cobbe and Herbert v Doyle as comparative authorities, acknowledging the need for certainty of terms but allowing binding effect when a common understanding exists and reliance is evident. • The decision is unlikely to broaden the rule to all property transactions, as it emphasizes particular factual circumstances (long-standing cohabitation, explicit discussions, and clear terms in August 2007). • However, it strengthens practical guidance for disputes where parties negotiate and act on imperfect or informal settlements regarding beneficial interests in land. Confidence: 88% Complexity Score Assessment (7/10): • Multiple doctrinal theories (constructive trust, proprietary estoppel) and statutory constraints (s2(1) and s2(5) of the 1989 Act) interact with a factual mosaic (cohabitation, contributions to purchase, occupancy rights, and subsequent conduct). • Issues include the certainty of terms, whether an oral agreement suffices, and what constitutes binding intent and reliance in the context of land. • There are procedural layers (Part 8 and Part 7 procedures, directions, vacating hearings, and smooth transition to a declaratory relief action). • Presence of third-party interests (Vera Ellis and Peggy Robson) and the potential for multiple disputed interpretations of “equal shares” and “occupancy rights” add to the complexity. Confidence: 80% Legal Significance: Important case with notable legal impact</t>
  </si>
  <si>
    <t>Cobbe v Yeoman's Row Management Ltd || Herbert v Doyle || Ramsden v Dyson</t>
  </si>
  <si>
    <t>This case shows 63% similarity based on case analysis analysis.</t>
  </si>
  <si>
    <t>d34db962-c7f4-46f4-9a77-df6d760ca7c4</t>
  </si>
  <si>
    <t>Watts v Stewart &amp; Ors [2016] EWCA Civ 1247</t>
  </si>
  <si>
    <t>d34db962-c7f4-46f4-9a77-df6d760ca7c4_citations_precedents</t>
  </si>
  <si>
    <t>citations_precedents</t>
  </si>
  <si>
    <t>Cited authorities and precedents underpinning the Court of Appeal’s reasoning on occupancy status, human rights, and charity governance.</t>
  </si>
  <si>
    <t>Citations and Authorities: Neutral Citations: [2016] EWCA Civ 1247, [2016] WLR(D) 666, [2018] Ch 423, [2017] L&amp;TR 24, [2017] 2 WLR 1107, [2017] L &amp;TR 24, [2017] 1 P &amp;CR DG18, [2017] HLR 8 Law Reports: Gray v Taylor [1998] 1 WLR 1093, Street v Mountford [1985] 1 AC 809, Allan v Liverpool Overseers (1873-74) LR 9 QB 180, Errington v Errington [1952] 1 KB 291, Radaich v Smith (1959) 101 CLR 209, Megarry &amp; Wade, The Law of Real Property, Earl of Pomfret v Lord Windsor (1752) 2 Ves Sen 472, Southward Housing Co-operative Ltd v Walker [2016] Ch 443, McDonald v McDonald [2015] Ch /Page 2015 UKSC 28, Larkos v Cyprus (1999) 30 EHRR 597, Harman: Blecic v Croatia (2005) 41 EHRR 13, Manchester City Council v Pinnock [2011] 2 AC 104, Secretary of State for Defence v Blake [2013] EWHC 2945 (Ch), RJM v Sec of State for Work and Pensions [2009] 1 AC 311, Clift v Secretary of State for the Home Department [2007] 1 AC 484, Southward Housing Co-operative Ltd v Walker (2016) Negotiating cite] Referenced Cases: Street v Mountford [1985] 1 AC 809, Gray v Taylor [1998] 1 WLR 1093, Allan v Liverpool Overseers (1873-74) LR 9 QB 180, Errington v Errington [1952] 1 KB 291, Radaich v Smith (1959) 101 CLR 209, Megarry &amp; Wade, The Law of Real Property, Earl of Pomfret v Lord Windsor (1752) 2 Ves Sen 472, Southward Housing Co-operative Ltd v Walker [2016] Ch 443, McDonald v McDonald [2016] UKSC 28, Larkos v Cyprus (1999) 30 EHRR 597, Manchester City Council v Pinnock [2011] 2 AC 104, Secretary of State for Defence v Blake [2013] EWHC 2945 (Ch), RJM v SSWP [2009] 1 AC 311, Clift v Secretary of State for the Home Department [2007] 1 AC 484, Blécic v Croatia (2005) 41 EHRR 13, Harrow LBC v Qazi [2002] HLR 14, McDonald v McDonald [2014] EWCA Civ 1049, Southward Housing Co-operative Ltd v Walker [2016] Ch 443 Citation Count: 18</t>
  </si>
  <si>
    <t>Street v Mountford || Gray v Taylor || Errington v Errington || Allan v Liverpool Overseers || Radaich v Smith || Southward Housing Co-operative v Walker || McDonald v McDonald || Larkos v Cyprus</t>
  </si>
  <si>
    <t>This case shows 63% similarity based on citations precedents analysis.</t>
  </si>
  <si>
    <t>5c0afba6-3b82-4ab2-9363-8c570514d87d</t>
  </si>
  <si>
    <t>Doyle v M&amp;D Foundations &amp; Building Services Ltd [2022] EWCA Civ 927</t>
  </si>
  <si>
    <t>5c0afba6-3b82-4ab2-9363-8c570514d87d_procedural_history</t>
  </si>
  <si>
    <t>Procedural history: from county court decisions through a first appeal, permission for a second appeal, to the Court of Appeal judgment delivered on 8 July 2022.</t>
  </si>
  <si>
    <t>Procedural History: Court: England and Wales Court of Appeal (Civil Division) Lower Court: County Court at Sheffield Judges: Lord Justice Baker, Lord Justice Phillips, Lord Justice Edis Case Number: CA-2021-000557 (formerly A2/2021/0729) Last Hearing Date: 8 July 2022 Duration: 2 days</t>
  </si>
  <si>
    <t>Solomon v Cromwell || Adelekun v Ho</t>
  </si>
  <si>
    <t>This case shows 62% similarity based on procedural history analysis.</t>
  </si>
  <si>
    <t>52adf3bc-8b19-4f24-9782-4fb618e86779</t>
  </si>
  <si>
    <t>Candey Ltd v Bosheh &amp; Anor [2022] EWCA Civ 1103 (01 August 2022)</t>
  </si>
  <si>
    <t>52adf3bc-8b19-4f24-9782-4fb618e86779_procedural_history</t>
  </si>
  <si>
    <t>Procedural trajectory from the High Court decision to the Court of Appeal hearing and the issues on appeal.</t>
  </si>
  <si>
    <t>Procedural History: Court: England and Wales Court of Appeal (Civil Division) Lower Court: [2021] EWHC 3409 (Comm) (High Court) Judges: Lord Justice Coulson, Lord Justice Arnold, Lord Justice Phillips Case Number: CA-2022-000280 Last Hearing Date: 2022-08-01 Duration: 2 days</t>
  </si>
  <si>
    <t>Imerman v Tchenquiz || Mustard v Flowers</t>
  </si>
  <si>
    <t>73b3dc25-5f3f-4b55-a036-6843967dbba7</t>
  </si>
  <si>
    <t>SO, R (On the Application Of) v Thanet District Council (Re Costs) [2023] EWCA Civ 526</t>
  </si>
  <si>
    <t>73b3dc25-5f3f-4b55-a036-6843967dbba7_procedural_history</t>
  </si>
  <si>
    <t>Procedural trajectory: appeal from the High Court, rolled-up hearing, and the denial of permission on grounds 1–3 with ground 4 not renewed.</t>
  </si>
  <si>
    <t>Procedural History: Court: England and Wales Court of Appeal (Civil Division) Lower Court: High Court (CO/4149/2021) Judges: LORD JUSTICE UNDERHILL, LORD JUSTICE ARNOLD, LORD JUSTICE EDIS Case Number: CA-2022-001378 Last Hearing Date: 16/05/2023 Duration: 1 days</t>
  </si>
  <si>
    <t>[2023] EWCA Civ 526</t>
  </si>
  <si>
    <t>948fc767-31a4-4c63-b735-df551b7244eb</t>
  </si>
  <si>
    <t>Al-Rawas &amp; Anor v Hassan Khan &amp; Co &amp; Anor [2022] EWCA Civ 671 (17 May 2022)</t>
  </si>
  <si>
    <t>948fc767-31a4-4c63-b735-df551b7244eb_procedural_history</t>
  </si>
  <si>
    <t>Procedural trajectory: appellate appeal from QB Division; hearing and dismissal of the appeal; procedural steps for indemnity-cost submissions and the timeline for response.</t>
  </si>
  <si>
    <t>Procedural History: Court: England and Wales Court of Appeal (Civil Division) Lower Court: Queen's Bench Division Judges: Lord Justice Coulson, Lord Justice Arnold, Lord Justice Phillips Case Number: CA-2021-003286/7 Last Hearing Date: 17 May 2022 Duration: 20 days</t>
  </si>
  <si>
    <t>[2022] EWCA Civ 671</t>
  </si>
  <si>
    <t>70d43223-0ec6-458b-b052-bdc295e0d6ec</t>
  </si>
  <si>
    <t>70d43223-0ec6-458b-b052-bdc295e0d6ec_legal_classification</t>
  </si>
  <si>
    <t>Classification of legal categories, governing statutes, and court hierarchy applicable to the case.</t>
  </si>
  <si>
    <t>Legal Classification: Primary Category: Tort / Civil liability Legal Areas: Occupiers' Liability Act 1984, Tort law, Personal injury / road traffic accident, Highway law, Civil procedure: summary judgment, CRoW Act 2000 Jurisdiction: England and Wales Court Level: Court of Appeal (Civil Division) Legal Issues: Whether the occupiers of land adjoining a highway owe a duty under the Occupiers' Liability Act 1984 to a person injured in a road-traffic context.. Whether there is a real prospect of success against the highway authority and occupiers under the 1984 Act, considering summary judgment principles.. What, if any, role the Countryside and Rights of Way Act 2000 plays in limiting or shaping such duties. Keywords: occupiers' liability 1984, road traffic accident, land adjoining highway, highway authority, summary judgment, Court of Appeal (Civil Division), CRoW Act 2000, case law: Okpabi, Donoghue, Tomlinson</t>
  </si>
  <si>
    <t>Okpabi v Royal Dutch Shell plc [2021] UKSC 3 || Donoghue v Folkestone Properties Ltd [2003] EWCA Civ 231</t>
  </si>
  <si>
    <t>This case shows 70% similarity based on legal classification analysis.</t>
  </si>
  <si>
    <t>3b14442e-37b0-455c-a24f-a53a55c9f700</t>
  </si>
  <si>
    <t>Humphrey v Aegis Defence Services Ltd &amp; Anor [2016] EWCA Civ 11</t>
  </si>
  <si>
    <t>3b14442e-37b0-455c-a24f-a53a55c9f700_citations_precedents</t>
  </si>
  <si>
    <t>Details the authorities cited in the decision, illustrating the doctrinal framework for assessing negligence with social utility and risk considerations.</t>
  </si>
  <si>
    <t>Citations and Authorities: Neutral Citations: [2016] EWCA Civ 11, [2017] 1 WLR 2937, 19 ITELR 1021, [2017] 2 All ER 235 Law Reports: Referenced Cases: Tomlinson v Congleton Borough Council [2003] UKHL 47, [2004] 1 AC 46, Daborn v Bath Tramways Motor Co. Ltd [1946] 2 All ER 333, Trevor Smithee? (as cited) [1946] 2 All ER 333, Jolley v Sutton London Borough Council [2000] 1 WLR 1082, Bolton v Stone [1951] AC 850, King v Sussex Ambulance Service NHS Trust [2002] EWCA Civ 953, As per Tomlinson and Daborn authorities quoted by the judge Citation Count: 7</t>
  </si>
  <si>
    <t>Tomlinson v Congleton || Daborn v Bath Tramways || Jolley v Sutton || Bolton v Stone || King v Sussex Ambulance Service</t>
  </si>
  <si>
    <t>This case shows 69% similarity based on citations precedents analysis.</t>
  </si>
  <si>
    <t>4685ad0e-87e7-4f59-8991-823ab27d9393</t>
  </si>
  <si>
    <t>Tindall &amp; Anor v Chief Constable of Thames Valley Police &amp; Anor [2022] EWCA Civ 25</t>
  </si>
  <si>
    <t>4685ad0e-87e7-4f59-8991-823ab27d9393_citations_precedents</t>
  </si>
  <si>
    <t>Key authorities cited regarding duty of care, omissions vs. positive actions, and public authority liability.</t>
  </si>
  <si>
    <t>Citations and Authorities: Neutral Citations: [2022] EWCA Civ 25, [2022] PIQR P10, [2022] 4 WLR 104, [2022] 4 All ER 372, [2022] RTR 16 Law Reports: [2022] EWCA Civ 25, [2022] PIQR P10, [2022] 4 WLR 104, [2022] 4 All ER 372, [2022] RTR 16 Referenced Cases: Michael and Ors v Chief Constable of South Wales Police and Anor [2015] UKSC 2, [2015] AC 1732, Robinson v Chief Constable of West Yorkshire Police [2018] UKSC 4, [2018] AC 736, N and Anor v Poole Borough Council [2019] UKSC 25, [2020] AC 720, Gorringe (authorities cited in the context of duty of care in public interventions), Sandhar (Court of Appeal guidance on public authority duty to prevent harm), Anns v Merton London Borough Council, Dorset Yacht Co Ltd v Surrey County Council, Hedley Byrne &amp; Co Ltd v Heller &amp; Partners Ltd Citation Count: 8</t>
  </si>
  <si>
    <t>Michael v South Wales Police || Robinson v West Yorkshire Police || N and Anor v Poole Borough Council || Gorringe || Sandhar || Anns v Merton LBC || Dorset Yacht || Hedley Byrne</t>
  </si>
  <si>
    <t>This case shows 68% similarity based on citations precedents analysis.</t>
  </si>
  <si>
    <t>29b57846-31cd-4592-b0bb-d49f37fcc7bb</t>
  </si>
  <si>
    <t>Dean and Chapter of Rochester Cathedral v Debell [2016] EWCA Civ 1094</t>
  </si>
  <si>
    <t>29b57846-31cd-4592-b0bb-d49f37fcc7bb_citations_precedents</t>
  </si>
  <si>
    <t>Citations and authorities: key precedents and authorities relied upon to frame the duty to remediate and the standard of foreseeability in premises liability.</t>
  </si>
  <si>
    <t>Citations and Authorities: Neutral Citations: [2016] EWCA Civ 1094 Law Reports: Referenced Cases: Mills v Barnsley Metropolitan Borough Council [1992] 1 P.I.Q.R P291, James v Preseli Pembrokeshire District Council [1993] P.I.Q.R. P114, Rider v Rider [1973] 1 Q.B. 506, Brett v London Borough of Lewisham [1999], Jones v Rhondda Cynon Taff CBC [2008] EWCA Civ 1497; [2009] RT R 13, Galloway v London Borough of Richmond Upon Thames [2003] (Eady J), May also rely on general principles from Mills and related cases Citation Count: 7</t>
  </si>
  <si>
    <t>Mills v Barnsley Metropolitan Borough Council [1992] 1 P.I.Q.R P291 || James v Preseli Pembrokeshire District Council [1993] P.I.Q.R. P114 || Rider v Rider [1973] 1 Q.B. 506 || Brett v London Borough of Lewisham [1999] || Jones v Rhondda Cynon Taff CBC [2008] EWCA Civ 1497 || Galloway v London Borough of Richmond Upon Thames [2003]</t>
  </si>
  <si>
    <t>e16d7203-6f9e-4896-96e0-d021cb6f5579</t>
  </si>
  <si>
    <t>Edwards v London Borough of Sutton [2016] EWCA Civ 1005</t>
  </si>
  <si>
    <t>e16d7203-6f9e-4896-96e0-d021cb6f5579_citations_precedents</t>
  </si>
  <si>
    <t>This chunk enumerates authorities cited in the decision on duty, foreseeability, and risk balancing, including Hughes, Tomlinson, Staples, McGivney, Japp, Uren, Nicholls, and Cotton.</t>
  </si>
  <si>
    <t>Citations and Authorities: Neutral Citations: [2016] EWCA Civ 1005 Law Reports: Referenced Cases: Hughes v Lord Advocate [1963] AC 837, Tomlinson v Congleton BC [2004] 1 AC 46, Staples v W Dorset DC [1995] PIQR 439, McGivney v Golderslea Limited [1997], Japp v Virgin Holidays Ltd [2013] EWCA Civ 1371, Uren v Corporate Leisure (UK) Ltd [2011] EWCA Civ 66, Nicholls v Ladbrokes Betting &amp; Gaming Ltd [2013] EWCA Civ 1963, Cotton v Derbyshire Dales District Council (unreported) 1994, Corbett v Cumbria Kart Racing Club [2013] EWHC 1362 Citation Count: 9</t>
  </si>
  <si>
    <t>Hughes v Lord Advocate || Tomlinson v Congleton BC || Staples v W Dorset DC || McGivney v Golderslea Ltd || Japp v Virgin Holidays Ltd || Uren v Corporate Leisure (UK) Ltd || Nicholls v Ladbrokes Betting &amp; Gaming Ltd || Cotton v Derbyshire Dales District Council || Corbett v Cumbria Kart Racing Club</t>
  </si>
  <si>
    <t>9289473a-6889-4929-925d-2d6d66b75e86</t>
  </si>
  <si>
    <t>Secretary of State for Justice v Black [2016] EWCA Civ 125</t>
  </si>
  <si>
    <t>9289473a-6889-4929-925d-2d6d66b75e86_citations_precedents</t>
  </si>
  <si>
    <t>List of authorities cited to ground Crown immunity and necessary implication doctrines, including long-standing Crown-exemption jurisprudence and modern statutory interpretation cases.</t>
  </si>
  <si>
    <t>Citations and Authorities: Neutral Citations: [2016] EWCA Civ 125, [2016] 3 WLR 28, [2016] EWCA Civ 125, [2016] 3 All ER 30, (2016) 150 BMLR 457, [2016] QB 1060, [2016] WLR(D) 130, 150 BMLR 457 Law Reports: Referenced Cases: Gorton Local Board v Prison Commissioners, Cooper v Hawkins, Public Health Act 1875, Hornsey UDC v Hennell, Province of Bombay v Municipal Corporation of the City of Bombay, Lord Advocate v Dunbarton District Council, R (Revenue and Customs Commissioners) v Liverpool Coroner [2015] QB 481, BBC v Johns [1965] Ch 32, Attorney General of Belize v Belize Telecom Ltd [2009] 1 WLR 1988, Liverpool Coroner v Revenue and Customs Commissioners (paras 44-49) Citation Count: 10</t>
  </si>
  <si>
    <t>Gorton Local Board v Prison Commissioners || Cooper v Hawkins || Province of Bombay v Municipal Corporation of the City of Bombay || R (Revenue and Customs Commissioners) v Liverpool Coroner || BBC v Johns || Lord Advocate v Dunbarton District Council</t>
  </si>
  <si>
    <t>This case shows 67% similarity based on citations precedents analysis.</t>
  </si>
  <si>
    <t>7351e867-1c92-49d6-a602-686678f60a5f</t>
  </si>
  <si>
    <t>Howmet Limited v Economy Devices Limited &amp; Ors [2016] EWCA Civ 847</t>
  </si>
  <si>
    <t>7351e867-1c92-49d6-a602-686678f60a5f_citations_precedents</t>
  </si>
  <si>
    <t>Principal authorities cited and their role in shaping the Court of Appeal’s reasoning.</t>
  </si>
  <si>
    <t>Citations and Authorities: Neutral Citations: [2016] EWCA Civ 847, [2016] BLR 555, 168 Con LR 27 Law Reports: Referenced Cases: Donoghue v Stevenson [1932] AC 562, D&amp;F Estates Ltd v Church Commissioners for England [1989] 1 AC 177, Murphy v Brentwood DC [1991] 1 AC 398, Taylor v Rover Company Limited, Schering Agrochemicals Ltd v Resibel N.V. S.A., Rhesa Shipping Co v Edmunds [1985] 1 WLR 948, Popi M v Milton Keynes Borough Council [2013] EWCA Civ 15, Meridian Global Funds Management Asia Ltd v Securities Commission [1995] 2 AC 500, Bilta (UK) Ltd (in liquidation) v Nazir &amp; Ors (No.2) [2015] UKSC 23, Targett v Torfaen Borough Council [1992] EGLR 275, Lambert v Lewis Citation Count: 11</t>
  </si>
  <si>
    <t>Donoghue v Stevenson [1932] AC 562 || D&amp;F Estates Ltd v Church Commissioners for England [1989] 1 AC 177 || Murphy v Brentwood DC [1991] 1 AC 398 || Taylor v Rover Company Limited || Schering Agrochemicals Ltd v Resibel N.V. S.A. || Rhesa Shipping Co v Edmunds [1985] 1 WLR 948 || Popi M v Milton Keynes Borough Council [2013] EWCA Civ 15 || Meridian Global Funds Management Asia Ltd v Securities Commission [1995] 2 AC 500 || Bilta (UK) Ltd (in liquidation) v Nazir &amp; Ors (No.2) [2015] UKSC 23 || Targett v Torfaen Borough Council [1992] EGLR 275 || Lambert v Lewis</t>
  </si>
  <si>
    <t>26a8199d-2c00-43b8-815c-036d01dbe2a6</t>
  </si>
  <si>
    <t>English Heritage v Taylor [2016] EWCA Civ 448</t>
  </si>
  <si>
    <t>26a8199d-2c00-43b8-815c-036d01dbe2a6_citations_precedents</t>
  </si>
  <si>
    <t>Legal authorities cited to frame the statutory duty and the duty to warn.</t>
  </si>
  <si>
    <t>Citations and Authorities: Neutral Citations: [2016] EWCA Civ 448 Law Reports: Referenced Cases: Tomlinson v Congleton Borough Council [2003] UKHL 47, Staples v West Dorset District Council [1995] PIQR P442, Manning v Stylianou [2007] EWCA Civ 1655, Clare v Perry [2005] EWCA Civ 39, Jackson v Murray [2015] UKSC 5 Citation Count: 5</t>
  </si>
  <si>
    <t>Tomlinson v Congleton Borough Council [2003] UKHL 47 || Staples v West Dorset District Council [1995] PIQR P442 || Manning v Stylianou [2007] EWCA Civ 1655 || Clare v Perry [2005] EWCA Civ 39 || Jackson v Murray [2015] UKSC 5</t>
  </si>
  <si>
    <t>6948a4df-0a45-4ddc-ae3d-8eafee44976a</t>
  </si>
  <si>
    <t>Scott v Gavigan [2016] EWCA Civ 544</t>
  </si>
  <si>
    <t>6948a4df-0a45-4ddc-ae3d-8eafee44976a_legal_classification</t>
  </si>
  <si>
    <t>Classifies the dispute within English tort law, focusing on negligence and the appellate framework.</t>
  </si>
  <si>
    <t>Legal Classification: Primary Category: Tort / Negligence Legal Areas: Tort Law, Negligence, Causation, Remoteness of Damage, Novus Actus Interveniens, Contributory Negligence, Foreseeability, Highway Code Jurisdiction: England and Wales Court Level: Court of Appeal (Civil Division) Legal Issues: Whether the judge was entitled to find the claimant wholly liable for the accident. Whether liability should have been apportioned given potential foreseeability of a pedestrian crossing near the crossing point. Whether the defendant owed a duty to slow or brake based on the crossing and road conditions. Whether the claimant’s intoxication and crossing behavior constituted a novus actus interveniens breaking the chain of causation. How remoteness and foreseeability principles apply to an intoxicated pedestrian crossing near an informal crossing Keywords: tort law, negligence, pedestrian crossing, informal crossing, novus actus interveniens, foreseeability, remoteness, contributory negligence, intoxication, Highway Code, causation, Court of Appeal (Civil Division)</t>
  </si>
  <si>
    <t>McKew v Holland &amp; Hannen &amp; Cubitts (Scotland) Ltd</t>
  </si>
  <si>
    <t>This case shows 67% similarity based on legal classification analysis.</t>
  </si>
  <si>
    <t>1ae781af-c482-402d-b18c-8d4c33432b24</t>
  </si>
  <si>
    <t>HXA v Surrey County Council; YXA v Wolverhampton City Council (England and Wales Court of Appeal (Civil Division))</t>
  </si>
  <si>
    <t>1ae781af-c482-402d-b18c-8d4c33432b24_citations_precedents</t>
  </si>
  <si>
    <t>Lists key authorities and statutory provisions cited in the decision, including the Children Act 1989 provisions, care regulations, and leading case law (Poole, Robinson, Caparo, Hedley Byrne, etc.).</t>
  </si>
  <si>
    <t>Citations and Authorities: Neutral Citations: [2023] WLR 116, [2022] EWCA Civ 1196, [2023] 1 WLR 116, [2023] PIQR P4, [2022] WLR(D) 361 Law Reports: Referenced Cases: N v Poole Borough Council (AIRE Centre and others intervening) [2019] UKSC 25; [2020] AC 780, Poole Borough Council v N/A [2020] AC 780, Robinson v Chief Constable of West Yorkshire Police [2018] UKSC 4; [2018] AC 736, X v Bedfordshire County Council [1995] 2 AC 633, Barrett v Enfield London Borough Council [2001] 2 AC 550, Phelps v Hillingdon London Borough Council [2001] 2 AC 619, R (G) v Barnet London Borough Council [2003] UKHL 57; [2004] 2 AC 208, Gorringe v Calderdale MBC [2004] UKHL 15; [2004] 1 WLR 1057, D v East Berkshire Community NHS Trust [2005] UKHL 23; [2005] 2 AC 373, Mitchell v Glasgow City Council [2009] UKHL 11; [2009] AC 874, Michael v Chief Constable of South Wales Police (Refuge intervening) [2015] UKSC 2; [2015] AC 1732, Stovin v Wise [1996] AC 923, Caparo Industries plc v Dickman [1990] 2 AC 605, Hedley Byrne &amp; Co Ltd v Heller &amp; Partners [1964] AC 465, Spring v Guardian Assurance plc [1995] 2 AC 296 Citation Count: 15</t>
  </si>
  <si>
    <t>N v Poole Borough Council || Poole Borough Council v N/A || Robinson v Chief Constable of West Yorkshire || X (Minors) v Bedfordshire || Barrett v Enfield || D v East Berkshire || Gorringe v Calderdale || Stovin v Wise || Michael v Chief Constable of South Wales Police</t>
  </si>
  <si>
    <t>968e5c88-1f2c-4da8-9290-4111f416ec6e</t>
  </si>
  <si>
    <t>968e5c88-1f2c-4da8-9290-4111f416ec6e_citations_precedents</t>
  </si>
  <si>
    <t>Authorities cited in the judgment underpinning the Court of Appeal's reasoning on EIA scope and indirect effects.</t>
  </si>
  <si>
    <t>Citations and Authorities: Neutral Citations: [2022] EWCA Civ 187, [2022] JPL 970, [2022] WLR(D) 89, [2022] PTSR 958, [2022] Env LR 27 Law Reports: WLR(D) 89, PTSR 958, Env LR 27, JPL 970 Referenced Cases: R. (on the application of Rights: Community: Action) v Secretary of State for Housing, Communities and Local Government [2021] EWCA Civ 1954, R. (on the application of Plan B Earth) v Secretary of State for Transport [2020] EWCA Civ 214; [2020] PTSR 1446, R. (on the application of Packham) v Secretary of State for Transport [2020] EWCA Civ 1004; [2021] Env LR 10, Abbey Abraham (CJEU), Ecologistas en Accion v. Government of Spain (CJEU)**, R (Frack Free Balcombe Residents Association) v West Sussex County Council [2014] EWHC 4108 (Admin), Gateshead Metropolitan Borough Council v Secretary of State for the Environment [1994] Env. L.R. 37, R (An Taisce, the National Trust for Ireland) v Secretary of State for Energy and Climate Change [2013] EWHC 4161 (Admin); [2015] PTSR 189, Newsmith Stainless Ltd. v Secretary of State for the Environment, Transport and the Regions [2001] EWHC 74 (Admin); [2017] PTSR 1126, Squire v Secretary of State for Energy and Climate Change (various citations), R (on the application of Preston) v Cumbria County Council [2019] EWHC 1362 (Admin); [2020] Env. L.R. 3 Citation Count: 11</t>
  </si>
  <si>
    <t>Abraham || Ecologistas || Gateshead MBC || An Taisce || Frack Free Balcombe || Newsmith Stainless || Plan B Earth || Packham || Rights: Community: Action</t>
  </si>
  <si>
    <t>This case shows 74% similarity based on citations precedents analysis.</t>
  </si>
  <si>
    <t>1d957476-2c0d-4578-8a43-679ec600e382</t>
  </si>
  <si>
    <t>Wyatt v Fareham Borough Council (Rev1) [2022] EWCA Civ 983</t>
  </si>
  <si>
    <t>1d957476-2c0d-4578-8a43-679ec600e382_citations_precedents</t>
  </si>
  <si>
    <t>Compendium of authorities cited in the judgment and its legal framework, spanning EU cases and UK authorities on appropriate assessment, precaution, and supervisory review.</t>
  </si>
  <si>
    <t>Citations and Authorities: Neutral Citations: [2022] EWCA Civ 983, [2022] JPL 1509, [2023] Env LR 14 Law Reports: Referenced Cases: Holohan v An Bord Pleanála (Case C-461/17), Coöperatie Mobilisation for the Environment UA v College van Gedeputeerde Staten van Limburg (Case C-293/17), Smyth v Secretary of State for Communities and Local Government ([2015] EWCA Civ 174), Plan B Earth v Secretary of State for Transport ([2020] PTSR 1446), Spurrier v Secretary of State for Transport ([2020] PTSR 240), BACI Bedfordshire v Environment Agency ([2020] Env LR 16), R (on the application of Morge) v Hampshire County Council ([2011] 1 WLR 268), Waddenzee (Case C-127/02), Sweetman v An Bord Pleanála (Case C-258/11), People Over Wind v Coillte Teoranta (Case C-323/17) Citation Count: 10</t>
  </si>
  <si>
    <t>Holohan v An Bord Pleanála || Coöperatie Mobilisation for the Environment UA v Limburg || Waddenzee || Sweetman v An Bord Pleanála || People Over Wind || Dutch Nitrogen case</t>
  </si>
  <si>
    <t>f5a5b44e-fcf0-40c0-9bf9-69f026b1b438</t>
  </si>
  <si>
    <t>f5a5b44e-fcf0-40c0-9bf9-69f026b1b438_citations_precedents</t>
  </si>
  <si>
    <t>Authorities cited and relied upon to frame the legal standards and interpretations in the decision.</t>
  </si>
  <si>
    <t>Citations and Authorities: Neutral Citations: [2016] EWCA Civ 480 Law Reports: Referenced Cases: R v Devon County Council, ex p Baker [1995] 1 All ER 73, R v North and East Devon Health Authority ex p Coughlan [2001] QB 213, Paponette v A-G of Trinidad and Tobago [2012] 1 AC 1, R v Education Secretary, ex parte Begbie [2000] 1 WLR 1115, R v USA Tobacco, ex parte [1992] QB 353, WebTag A5-3 'Rail appraisal', Railways Act 1993, ss 23, 26, 29(5), Public Services (Social Value) Act 2012 Citation Count: 8</t>
  </si>
  <si>
    <t>R v Devon County Council, ex p Baker [1995] 1 All ER 73 || R v North and East Devon Health Authority ex p Coughlan [2001] QB 213 || Paponette v A-G of Trinidad and Tobago [2010] UKPC 32 || R v Education Sec., ex p Begbie [2000] 1 WLR 1115 || R v USA Tobacco Ltd, ex p [1992] QB 353 || Railways Act 1993 || Public Services (Social Value) Act 2012 || WebTag A5-3 'Rail appraisal'</t>
  </si>
  <si>
    <t>bab866ef-ca70-446c-a76d-a69bb3f7f15d</t>
  </si>
  <si>
    <t>bab866ef-ca70-446c-a76d-a69bb3f7f15d_citations_precedents</t>
  </si>
  <si>
    <t>Cited statutory provisions and authorities underpinning the decision.</t>
  </si>
  <si>
    <t>Citations and Authorities: Neutral Citations: [2022] EWCA Civ 1048, [2022] WLR(D) 333, [2022] PTSR 1622 Law Reports: Referenced Cases: [2022] EWCA Civ 1048, [2022] WLR(D) 333, [2022] PTSR 1622, Transport Act 2000, Bus Services Act 2017, s.123B Transport Act 2000, s.123D Transport Act 2000, EWHC 506 (Admin) Citation Count: 8</t>
  </si>
  <si>
    <t>Transport Act 2000 || Bus Services Act 2017 || [2022] EWCA Civ 1048 || [2022] WLR(D) 333 || [2022] PTSR 1622 || EWHC 506 (Admin)</t>
  </si>
  <si>
    <t>774ce56b-3a21-4d9a-be0f-2e4cd8924a73</t>
  </si>
  <si>
    <t>Solar Century Holdings Ltd &amp; Ors v Secretary of State for Energy and Climate Change [2016] EWCA Civ 117</t>
  </si>
  <si>
    <t>774ce56b-3a21-4d9a-be0f-2e4cd8924a73_citations_precedents</t>
  </si>
  <si>
    <t>Authorities cited or relied upon in the decision, spanning case law and statutory instruments.</t>
  </si>
  <si>
    <t>Citations and Authorities: Neutral Citations: [2016] EWCA Civ 117 Law Reports: Referenced Cases: Bhatt Murphy v Independent Assessor [2008] EWCA Civ 755, Secretary of State for Energy &amp; Climate Change v Friends of the Earth and Others [2012] EWCA Civ 28, Secretary of State for Energy &amp; Climate Change v Friends of the Earth and others [2012] EWCA Civ 28, Bennion on Statutory Interpretation (6th ed), Electricity Act 1989 ss. 32LA, 32LB, 32K, Energy Act 2013, Renewables Obligation Close Order 2014, Renewables Obligation Closure (Amendment) Order 2015, Electricity Market Reform White Paper (July 2011), EMR White Paper: Planning our Electric Future Citation Count: 10</t>
  </si>
  <si>
    <t>Bhatt Murphy v Independent Assessors [2008] EWCA Civ 755 || Secretary of State for Energy &amp; Climate Change v Friends of the Earth [2012] EWCA Civ 28</t>
  </si>
  <si>
    <t>a86c8039-4dcd-41c2-bbee-f72673a10ba2</t>
  </si>
  <si>
    <t>Rotherham Borough Council &amp; Ors v Secretary of State for Business, Innovation And Skills</t>
  </si>
  <si>
    <t>a86c8039-4dcd-41c2-bbee-f72673a10ba2_outcome_holding</t>
  </si>
  <si>
    <t>Court ruled in favor of the Secretary of State, finding no breach of EU law principles.</t>
  </si>
  <si>
    <t>Case Outcome: Holding: The Court of Appeal upheld the Secretary of State's funding decisions, concluding that the decisions were within legal bounds and appropriately considered regional disparities. Outcome: dismissed Precedent Strength: 7/10 Complexity Score: 8/10 Damages: 0 Legal Significance: Important case with notable legal impact</t>
  </si>
  <si>
    <t>This case shows 68% similarity based on outcome holding analysis.</t>
  </si>
  <si>
    <t>f52b20b0-a55d-4039-a67d-35811badb24b</t>
  </si>
  <si>
    <t>Cuciurean v Secretary of State for Transport &amp; Anor [2022] EWCA Civ 1519</t>
  </si>
  <si>
    <t>f52b20b0-a55d-4039-a67d-35811badb24b_citations_precedents</t>
  </si>
  <si>
    <t>Authorities cited by the court in reasoning and decision</t>
  </si>
  <si>
    <t>Citations and Authorities: Neutral Citations: [2022] EWCA Civ 1519 Law Reports: Referenced Cases: [2020] EWHC 2614 (Ch), [2021] EWCA Civ 357, [2020] EWHC 829 (Admin), [2022] EWHC 736 (Admin), [2022] EWHC 2457 (KB), [2022] EWCA Civ 1519, Packham v Secretary of State for Transport and Others [2020] EWHC 829 (Admin) Citation Count: 7</t>
  </si>
  <si>
    <t>Packham v SoS Transport [2020] EWHC 829 (Admin) || [2022] EWHC 736 (Admin) || [2020] EWHC 2614 (Ch) || [2021] EWCA Civ 357 || [2022] EWHC 2457 (KB) || [2022] EWCA Civ 1519</t>
  </si>
  <si>
    <t>1bbfccbb-15e3-41bb-a970-7167b43b0267</t>
  </si>
  <si>
    <t>Northern Gas Networks Ltd v Commissioners for HMRC [2022] EWCA Civ 910</t>
  </si>
  <si>
    <t>1bbfccbb-15e3-41bb-a970-7167b43b0267_citations_precedents</t>
  </si>
  <si>
    <t>Authorities cited in the case: primary statutory and appellate authorities including UKUT 157 (TCC) and related law reports.</t>
  </si>
  <si>
    <t>Citations and Authorities: Neutral Citations: [2022] EWCA Civ 910, [2023] Env LR 6, [2022] BTC 20, [2022] STC 1241 Law Reports: [2023] Env LR 6, [2022] BTC 20, [2022] STC 1241 Referenced Cases: [2022] EWCA Civ 910, [2023] Env LR 6, [2022] BTC 20, [2022] STC 1241, [2021] UKUT 157 (TCC) Citation Count: 5</t>
  </si>
  <si>
    <t>[2021] UKUT 157 (TCC) || [2022] EWCA Civ 910 || [2023] Env LR 6 || [2022] BTC 20 || [2022] STC 1241</t>
  </si>
  <si>
    <t>4c3b8da7-6c82-4056-ab98-dea339f7af1d</t>
  </si>
  <si>
    <t>Ashchurch Rural Parish Council, R (On the Application Of) v Tewkesbury Borough Council [2023] EWCA Civ 101</t>
  </si>
  <si>
    <t>4c3b8da7-6c82-4056-ab98-dea339f7af1d_citations_precedents</t>
  </si>
  <si>
    <t>Authorities and statutory references underpinning the Court of Appeal’s reasoning.</t>
  </si>
  <si>
    <t>Citations and Authorities: Neutral Citations: [2023] EWCA Civ 101, [2023] WLR(D) 95 Law Reports: [2023] WLR(D) 95, [2023] EWCA Civ 101 Referenced Cases: R (Samuel Smith Old Brewery) v North Yorkshire CC [2020] UKSC 3, [2020] PTSR 221, Town and Country Planning (Environmental Impact Assessment) Regulations 2017, [2023] EWCA Civ 101, [2023] WLR(D) 95 Citation Count: 4</t>
  </si>
  <si>
    <t>R (Samuel Smith Old Brewery) v North Yorkshire CC [2020] UKSC 3 || Town and Country Planning (Environmental Impact Assessment) Regulations 2017</t>
  </si>
  <si>
    <t>f157dc58-8d24-4561-9b20-3df67da80a73</t>
  </si>
  <si>
    <t>The Good Law Project, R (On the Application Of) v Minister for the Cabinet Office [2022] EWCA Civ 21</t>
  </si>
  <si>
    <t>f157dc58-8d24-4561-9b20-3df67da80a73_citations_precedents</t>
  </si>
  <si>
    <t>Compilation of authorities and statutes cited or relied upon in the judgment.</t>
  </si>
  <si>
    <t>Citations and Authorities: Neutral Citations: [2022] EWCA Civ 21, 200 Con LR 57, [2022] WLR(D) 54, [2022] PTSR 933 Law Reports: Referenced Cases: Public Contracts Regulations 2015 reg 32(2)(c), R v Rand [1866] LQR 1 B 230, Porter v. Magill [2001] UKHL 67, R (ex p Kirkstall Valley Campaign Ltd) v Secretary of State for the Environment [1996] 3 All ER 304, Locabail (UK) Ltd v Bayfield Properties Ltd [2000] QB 351, R v Bow Street Metropolitan Stipendiary Magistrate, ex p Pinochet Ugarte No.2 [2000] 1 AC 199, R v Secretary of the Home Department ex parte Fayed [2001] Imm AR 134, Helow v. Secretary of State for the Home Department [2008] UKHL 62, Almazeedi v. Penner and others (Cayman Island) [2018] UKPC 3, Gillies v. Secretary of State for Work and Pensions [2006] UKHL 2, R (Lewis) v. Redcar &amp; Cleveland Borough Council [2008] EWCA Civ 746, R (Royal Brompton and Harefield NHS Foundation Trust) v Joint Committee of Primary Care Trusts [2012] EWCA Civ 472 Citation Count: 12</t>
  </si>
  <si>
    <t>R v Rand (1866) || Porter v. Magill || R (ex p Kirkstall Valley Campaign Ltd) || Locabail (UK) Ltd v Bayfield Properties Ltd || R v Bow Street Magistrate ex p Pinochet Ugarte No.2 || R v Secretary of the Home Department ex parte Fayed || Helow v. Secretary of State for the Home Department || Almazeedi v. Penner and others || Gillies v. Secretary of State for Work and Pensions || R (Lewis) v. Redcar &amp; Cleveland Borough Council || R (Royal Brompton and Harefield NHS Foundation Trust) v Joint Committee of Primary Care Trusts</t>
  </si>
  <si>
    <t>This case shows 66% similarity based on citations precedents analysis.</t>
  </si>
  <si>
    <t>e050e594-d197-45f1-ba15-7d110c0d93c4</t>
  </si>
  <si>
    <t>e050e594-d197-45f1-ba15-7d110c0d93c4_outcome_holding</t>
  </si>
  <si>
    <t>Outcome and remedial posture: declaration affirmed with corrected wording, reinstatement cost as the measure of indemnity up to the policy limit; damages not awarded; costs decided.</t>
  </si>
  <si>
    <t>Case Outcome: Holding: The Court of Appeal held that the measure of indemnity under the Memorandum is the cost of reinstatement (the rebuilding of the property to a condition equal to that when new), up to the policy limits. A declaration addressing indemnity for reinstatement is appropriate, provided the wording accurately reflects insurable interest and non-avoidance. The court varied the declaration’s wording and affirmed that, if reinstatement occurs, the insurer must indemnify up to £2,121,800; damages were not awarded unless necessary. Costs were adjusted to standard costs, and the appeal succeeded in part to refine the declaration and its terms. Outcome: plaintiff Precedent Strength: 8/10 Complexity Score: 9/10 Damages: 0 Legal Significance: Highly significant case with strong precedential value</t>
  </si>
  <si>
    <t>This case shows 72% similarity based on outcome holding analysis.</t>
  </si>
  <si>
    <t>d38848d5-b685-4b5f-8093-40563114db3b</t>
  </si>
  <si>
    <t>Shipowners' Mutual Protection and Indemnity Association (Luxembourg) v Containerships Denizcilik Nakliyat ve Ticaret A.S. ("Yusuf Cepnioglu") [2016] EWCA Civ 386</t>
  </si>
  <si>
    <t>d38848d5-b685-4b5f-8093-40563114db3b_citations_precedents</t>
  </si>
  <si>
    <t>Authorities cited: Padre Island, Hari Bhum (No.1), Prestige (No.2), Jay Bola, Charterers' Mutual, Angelic Grace, Hari Bhum, Turner v Grovit, Erich Gasser, Front Comor, Akai, DVA v Voest Alpine and others.</t>
  </si>
  <si>
    <t>Citations and Authorities: Neutral Citations: [2016] EWCA Civ 386, [2016] Bus LR 755, [2016] WLR(D) 230, [2016] Bus LR 1284 Law Reports: The Padre Island [1984] 2 Lloyd's Rep 408, Through Transport Mutual Insurance Association (Eurasia) Ltd v New India Assurance Co Ltd (The Hari Bhum) (No.1) [2004] EWCA Civ 1598; [2005] 1 Lloyd's Rep 67; [2004] 1 Lloyd's Rep 206, The London Steam Ship Owners Mutual Insurance Association Ltd v The Kingdom of Spain (The Prestige) (No.2) [2013] EWHC 3188 (Comm); [2014] 1 Lloyd's Rep 309; [2015] EWCA Civ 333; [2015] 2 Lloyd's Rep 33, The Padre Island, The Angelic Grace (Aggeliki Charis Compania Maritima S.A. v Pagnan S.p.A.) [1995] 1 Lloyd's Rep 87, The Jay Bola [1997] 2 Lloyd's Rep 279, The Charterers' Mutual Assurance Association v British and Foreign Marine Insurance Co. Ltd [1997] ILP 838, Turner v Grovit [2005] 1 AC 101, Erich Gasser v MISAT Srl (Case C-116/02), Front Comor (CJEU) [2009] AC 1138, Akai Pty Ltd v People's Insurance Ltd [1998] 1 Lloyd's Rep 90, DVA v Voest Alpine Intertrading GmbH (The Jay Bola) [1997] 2 Lloyd's Rep 279, The Hari Bhum (No. 1) [2004] EWCA Civ 1598; [2005] 1 Lloyd's Rep 67; [2004] 1 Lloyd's Rep 206 Referenced Cases: Padre Island (The Padre Island) [1984] 2 Lloyd's Rep 408, Hari Bhum (No.1) Through Transport Mutual Insurance Association Eurasia Ltd v New India Assurance Co Ltd (The Hari Bhum) [2004] EWCA Civ 1598; [2005] 1 Lloyd's Rep 67; [2004] 1 Lloyd's Rep 206, The Jay Bola [1997] 2 Lloyd's Rep 279, Angelic Grace (Aggeliki Charis Compania Maritima S.A. v Pagnan S.p.A.) [1995] 1 Lloyd's Rep 87, The Prestige (No. 2) (London Steam Ship Owners Mutual Insurance Association Ltd v The Kingdom of Spain) [2013] EWHC 3188 (Comm); [2014] 1 Lloyd's Rep 309; [2015] EWCA Civ 333, The Charterers' Mutual Assurance Association v British and Foreign Marine Insurance Co. Ltd [1997] ILP 838, Turner v Grovit [2005] 1 AC 101, Erich Gasser v MISAT Srl Case C-116/02, Front Comor [2009] UKHL 4 (referred to as Front Comor in some sources), Akai Pty Ltd v People's Insurance Ltd [1998] 1 Lloyd's Rep 90, DVA v Voest Alpine Intertrading GmbH (The Jay Bola) [1997] 2 Lloyd's Rep 279 Citation Count: 11</t>
  </si>
  <si>
    <t>Padre Island || Hari Bhum No.1 || Prestige No.2 || The Jay Bola || The Charterers' Mutual || Angelic Grace || Turner v Grovit || Erich Gasser || Front Comor || Akai Pty Ltd v People's Insurance || DVA v Voest Alpine</t>
  </si>
  <si>
    <t>3fd15e8c-4fa9-4c85-ad33-49768aa69f0b</t>
  </si>
  <si>
    <t>Bate v Aviva Insurance UK Ltd [2014] EWCA Civ 334</t>
  </si>
  <si>
    <t>3fd15e8c-4fa9-4c85-ad33-49768aa69f0b_case_analysis</t>
  </si>
  <si>
    <t>Analysis discussing the precedent value of the case and its legal implications.</t>
  </si>
  <si>
    <t>Case Analysis and Reasoning: Precedent Strength Assessment (8/10): • The case involved important aspects of misrepresentation in insurance contracts, underlining the duty of fair disclosure by applicants. • It sets a precedent on insurers' rights to rescind policies based on material misrepresentations, reinforced by the appeal court's analysis of ICOB rules. • The quality of reasoning in the judgment is clear and concise, addressing complex factual backgrounds and legal principles. Confidence: 90% Complexity Score Assessment (7/10): • The case involved multiple legal issues including the nature of misrepresentation and the implications of ICOB guidelines. • The proceedings were complex due to the history of previous claims, the applicant's experience in property insurance, and the various claims about procedural fairness. • However, the issues were fundamentally about the clarity of misrepresentation, making them accessible albeit intricate. Confidence: 85% Legal Significance: Important case with notable legal impact</t>
  </si>
  <si>
    <t>This case shows 69% similarity based on case analysis analysis.</t>
  </si>
  <si>
    <t>cc794994-d9ff-4e2a-a522-ddb742b52a12</t>
  </si>
  <si>
    <t>Quadra Commodities S.A. v XL Insurance Company SE &amp; Ors [2023] EWCA Civ 432 (21 April 2023)</t>
  </si>
  <si>
    <t>cc794994-d9ff-4e2a-a522-ddb742b52a12_citations_precedents</t>
  </si>
  <si>
    <t>Key legal authorities cited or discussed in the judgment, including older authorities defining insurable interest and bulk concepts, and statutory references shaping the analysis.</t>
  </si>
  <si>
    <t>Citations and Authorities: Neutral Citations: [2023] EWCA Civ 432 Law Reports: Referenced Cases: Marine Insurance Act 1906 s.5(2), Sale of Goods Act 1979 ss.16, 20A, 61, Endorsement replacing French law with English law (jurisdiction clause), Chapter 5 – Fraudulent Documents; Chapter 6 – Insured Value/Contingency, Fraudulent Documents Clause, Misappropriation Clause, Feasey v Sun Life Assurance Corporation of Canada [2003] EWCA Civ 885; [2003] Lloyd's Rep IR 637, Lucena v Crauford (1806) 2 Bos &amp; PNR 269, Anderson v Morice (1875) 10 CP 609; (1876) 1 App Cas 713, Macaura v Northern Assurance Co Ltd [1925] AC 619, Wilson v Jones (1867) LR 2 Ex 139, RBG Resources Plc (in liq) v Banque Cantonale Vaudoise [2004] 3 SLR (R) 421, Bridge: The Sale of Goods, 4th ed. para 3.53, Addenda 7, 9, 10; Izmail Elevator; Bastico reports; SGS inspection report (7 December 2018), Amius Group references (context only), Insurance Act 2015 s.13A Citation Count: 16</t>
  </si>
  <si>
    <t>Feasey || Lucena || Anderson || Macaura || Wilson || RBG Resources || Bridge || S.20A Law Commission</t>
  </si>
  <si>
    <t>426ca317-9dae-45bd-99cb-deb7de4b7766</t>
  </si>
  <si>
    <t>Versloot Dredging BV &amp; Anor v HDI Gerling Industrie Versicherung AG &amp; Ors</t>
  </si>
  <si>
    <t>426ca317-9dae-45bd-99cb-deb7de4b7766_factual_summary</t>
  </si>
  <si>
    <t>factual_summary</t>
  </si>
  <si>
    <t>Summarizes the key events leading to the insurance claim and the basis for the court's decision.</t>
  </si>
  <si>
    <t>Factual Summary: Parties: Versloot Dredging BV v SO DC Merwestone BV v HDI Gerling Industrie Versicherung AG v XL Specialty Insurance Company v Oman Insurance Co. (P.S.C.) v Navigators Insurance Company v Reaal Schadeverzekeringen N.V. v International General Insurance v Mapfre Global Risks Compañia International De Seguros y Reaseguros S.A. Key Facts: Claim involved a marine insurance policy regarding a vessel's flooding due to crew negligence.. The claimants initially succeeded at trial regarding the legitimacy of the claim but were then found to have made a false representation to insurers.. The court addressed the impact of reckless misrepresentation on the recovery of legitimate claims under marine insurance. Case Summary: Versloot Dredging BV and SO DC Merwestone BV (the Owners) appealed a decision by the High Court which held that their marine insurance claim was lost due to a false narrative provided to underwriters. The court analyzed whether the Owners' recklessness in making untruthful statements on a communication form related to the underwater casualty could affect their right to recover the legitimate loss they suffered when their vessel was damaged. The court affirmed that any fraudulent representation, even not fully related to the claim's amount, still led to forfeiture of the entire claim. The appeal was dismissed, and the court confirmed that the Owners' reckless misrepresentation constituted a fraudulent device hindering their right to recover. Procedural Context: England and Wales Court of Appeal (Civil Division) case</t>
  </si>
  <si>
    <t>This case shows 68% similarity based on factual summary analysis.</t>
  </si>
  <si>
    <t>794e2a8a-41a9-4839-a6c9-7ce1e812f4f1</t>
  </si>
  <si>
    <t>Volcafe Ltd &amp; Ors v Compania Sud Americana De Vapores SA (t/a CSAV) [2016] EWCA Civ 1103</t>
  </si>
  <si>
    <t>794e2a8a-41a9-4839-a6c9-7ce1e812f4f1_citations_precedents</t>
  </si>
  <si>
    <t>Authorities cited and relied upon in forming the Court of Appeal’s reasoning on burden of proof, inherent vice, sound system, and loading scope.</t>
  </si>
  <si>
    <t>Citations and Authorities: Neutral Citations: [2016] EWCA Civ 1103, [2017] 3 WLR 1, [2016] WLR (D) 589, [2016] EWCA Civ 1103, [2017] 1 Lloyd’s Rep 32, [2016] WLR(D) 589, [2017] 1 All ER (Comm) 751, [2017] QB 915 Law Reports: [2016] EWCA Civ 1103, [2017] 3 WLR 1, [2016] WLR (D) 589, [2016] EWCA Civ 1103, [2017] 1 Lloyd’s Rep 32, [2016] WLR(D) 589, [2017] 1 All ER (Comm) 751, [2017] QB 915 Referenced Cases: G.H. Renton v Palmyra Trading Corporation [1957] AC 149, Albacora SRL v Westcott &amp; Laurence Line Limited [1966] 2 Lloyd’s Rep 53, The Glendarroch [1894] P 226, The Flowergate [1967] 1 Lloyd’s Rep 1, Gosse Millard v Canadian Government Merchant Marine [1927] 2 KB 432, The Torenia [1983] 2 Lloyd’s Rep 210, Spurling v Bradshaw [1956] 1 WLR 461, Pyrene Co. Ltd. v Scindia Navigation [1954] 2 QB 402, Noten B.V. v Harding [1990] 2 Lloyd’s Rep 283, Soya G.m.b.H v White [1982] 2 Lloyd’s Rep 136, Exportadora Valle de Colina S.A. v A.P. Moller-Maersk A/S [2010] EWHC 3224 (Comm), The Westerdok [1962] 1 Lloyd’s Rep 180, Shaw Savill &amp; Albion Company Ltd v Powley &amp; Co [1949] NZLR 668, Shipping Corporation of India v Gamlen Chemical Co [1980] CLR ..., The Rio Sun [1985] 1 Lloyd’s Rep 350, Gosse Millard v Canadian Government Merchant Marine, Albacora v Westcott &amp; Laurence Line Limited (House of Lords), Albacora (Notable passages) Citation Count: 18</t>
  </si>
  <si>
    <t>Gosse Millard v Canadian Government Merchant Marine [1927] 2 KB 432 || Renton v Palmyra Trading [1957] AC 149 || Albacora SRL v Westcott &amp; Laurence Line Limited [1966] 2 Lloyd’s Rep 53 || The Glendarroch [1894] P 226 || The Flowergate [1967] 1 Lloyd’s Rep 1 || Spurling v Bradshaw [1956] 1 WLR 461 || Pyrene Co. Ltd. v Scindia Navigation [1954] 2 QB 402 || Noten B.V. v Harding [1990] 2 Lloyd’s Rep 283 || Soya G.m.b.H v White [1982] 2 Lloyd’s Rep 136 || Exportadora Valle de Colina S.A. v A.P. Moller-Maersk A/S [2010] EWHC 3224 (Comm) || The Westerdok [1962] 1 Lloyd’s Rep 180 || Shaw Savill &amp; Albion Co Ltd v Powley &amp; Co [1949] NZLR 668</t>
  </si>
  <si>
    <t>638613f3-f321-4ccd-8055-aebfec6cec82</t>
  </si>
  <si>
    <t>Ted Baker Plc &amp; Anor v Axa Insurance UK Plc &amp; Ors [2014] EWCA Civ 134</t>
  </si>
  <si>
    <t>638613f3-f321-4ccd-8055-aebfec6cec82_legal_classification</t>
  </si>
  <si>
    <t>Classification of legal issues pertinent to the case, focusing on insurance and business law.</t>
  </si>
  <si>
    <t>Legal Classification: Primary Category: Insurance Legal Areas: Insurance Law, Contract Law Jurisdiction: England and Wales Court Level: Appellate Legal Issues: Proper construction of insurance policy wording. Estoppel by convention regarding coverage. Misrepresentation in securing insurance coverage Keywords: insurance, business interruption, theft, policy construction, estoppel</t>
  </si>
  <si>
    <t>2f9fd02a-26e6-4859-90a8-5d64d042f0b9</t>
  </si>
  <si>
    <t>AIG Europe Ltd v OC320301 LLP &amp; Ors [2016] EWCA Civ 367</t>
  </si>
  <si>
    <t>2f9fd02a-26e6-4859-90a8-5d64d042f0b9_citations_precedents</t>
  </si>
  <si>
    <t>Compilation of authorities cited to frame aggregation clause interpretation and the unifying factor concept.</t>
  </si>
  <si>
    <t>Citations and Authorities: Neutral Citations: [2016] EWCA Civ 367, [2016] 2 All ER (Comm) 1058, [2017] 1 All ER 143, [2016] Lloyd's Rep IR 289 Law Reports: Referenced Cases: Lloyds TSB General Insurance Holdings Ltd v Lloyds Bank Group Insurance Co Ltd [2003] UKHL 48, AXA Reinsurance (UK) v Field [1996] 3 All ER 517; [1996] 1 WLR 1026, Municipal Mutual Insurance Ltd v Sea Insurance Co [1998] Lloyd's Rep IR 421, Caudle v Sharp [1995] LRLR 433, Cox v Bankside Members Agency Ltd [1995] 2 Lloyd's Rep 437, AG v Cohen [1937] 1 KB 478 Citation Count: 6</t>
  </si>
  <si>
    <t>Lloyds TSB General Insurance Holdings Ltd v Lloyds Bank Group Insurance Co Ltd [2003] UKHL 48 || AXA Reinsurance (UK) v Field [1996] 3 All ER 517 || Municipal Mutual Insurance Ltd v Sea Insurance Co [1998] Lloyd's Rep IR 421 || Caudle v Sharp [1995] LRLR 433 || Cox v Bankside Members Agency Ltd [1995] 2 Lloyd's Rep 437 || AG v Cohen [1937] 1 KB 478</t>
  </si>
  <si>
    <t>de6a53c9-c698-4f10-bef4-cf4544410c0e</t>
  </si>
  <si>
    <t>URS Corporation Limited v BDW Trading Limited (Rev1) [2023] EWCA Civ 189</t>
  </si>
  <si>
    <t>de6a53c9-c698-4f10-bef4-cf4544410c0e_factual_summary</t>
  </si>
  <si>
    <t>Factual backdrop: respondents sought to amend to add DP Act 1972 and Civil Liability (Contribution) Act 1978 claims post-Building Safety Act 2022; deputy judge allowed amendments (Nov 8, 2022 and Dec 14, 2022); central issues relate to limitation periods, commencement, and potential relation-back to proceedings.</t>
  </si>
  <si>
    <t>Factual Summary: Parties: URS Corporation Limited v BDW Trading Limited Key Facts: Appeal from the High Court of Justice (Technology and Construction Court) in Fraser J’s decision ([2022] EWHC 2966 (TCC)) regarding amendments to pleadings.. Respondents sought to amend pleadings to pursue claims under the Defective Premises Act 1972 and the Civil Liability (Contribution) Act 1978 in light of Building Safety Act 2022.. Building Safety Act 2022 introduces new limitation provisions and a commencement date that affects existing and future actions.. Section 135 of the Building Safety Act 2022 and its timing (commencement date) are central to the question of whether the amendmentbacked claims could be treated as having a longer limitation window (30 years) and whether those amendments could relate back to the commencement of proceedings.. The Deputy High Court Judge allowed amendments in two rulings (8 Nov 2022 and 14 Dec 2022); the present appeal concerns whether that allowance was correct and what the final outcome should be. Case Summary: This appeal concerns whether amendments to the pleadings to introduce new statutory claims under the Defective Premises Act 1972 and the Civil Liability (Contribution) Act 1978 are permissible after Building Safety Act 2022 changes, and how these interact with the new limitation framework (including the 30-year retroactive effect via s.135 and the commencement date). The deputy High Court Judge had allowed amendments in two rulings (Nov 2022 and Dec 2022) from the High Court (TCC), and the Court of Appeal’s view on those amendments is sought. The text provided does not include the Court of Appeal’s final ruling on the amendments. Procedural Context: England and Wales Court of Appeal (Civil Division) case</t>
  </si>
  <si>
    <t>[2022] EWHC 2966 (TCC) || Fraser J</t>
  </si>
  <si>
    <t>This case shows 66% similarity based on factual summary analysis.</t>
  </si>
  <si>
    <t>This case shows 66% similarity based on procedural history analysis.</t>
  </si>
  <si>
    <t>cmm0ccsa0000304i3ltgu53bg</t>
  </si>
  <si>
    <t>cmm0chfxl000h04i3rjelidyy</t>
  </si>
  <si>
    <t>4f894b7c-50f6-46f4-b08a-7d5f549411bb</t>
  </si>
  <si>
    <t>4f894b7c-50f6-46f4-b08a-7d5f549411bb_case_analysis</t>
  </si>
  <si>
    <t>Case analysis highlighting the precedent value and complexity: it clarifies limitation for fiduciary/trust claims, showing competing viewpoints and the potential for future refinement, with significant implications for practitioners dealing with misapplied trust funds.</t>
  </si>
  <si>
    <t>Case Analysis and Reasoning: Precedent Strength Assessment (9/10): • The decision clarifies that the limitation framework for trustees and fiduciaries may extend to certain equitable and restitutionary claims, influencing many future limitation determinations. • The case integrates a long historical analysis (1888 Act, 1939 Act) with modern statutory consolidation (1980 Act) to interpret ‘liquidated pecuniary claim’ and acknowledges the continuing relevance of common-law analogies. • Dissenting and concurring opinions provide alternative readings, suggesting potential for future refinement or divergence in subsequent cases, which slightly moderates the strength as a universal rule. • The decision is likely to be cited in future fiduciary/trust cases involving limitation, acknowledgment, and equitable remedies, particularly where misappropriated trust funds are involved. Confidence: 92% Complexity Score Assessment (9/10): • Multiple intertwined issues: fiduciary duty, trust ownership vs. nominee arrangements, limitation and acknowledgment law, and the nature of equitable compensation. • Historical development of limitation statutes (1888, 1939, 1980) and analogies to debt actions add depth and potential variability in interpretation. • Competing judicial views (Patten LJ; Sales LJ; Etherton MR) increase analytical complexity and potential variance in application to different fact patterns. • Factor of international/offshore funds and signatory roles adds factual complexity requiring careful tracing and qualification of ownership and liability. Confidence: 85% Legal Significance: Landmark case with exceptional legal significance</t>
  </si>
  <si>
    <t>Target Holdings v Redferns || Re Somerset || Lagos v Grunwaldt || Phillips &amp; Co v Bath Housing Co-operative Ltd</t>
  </si>
  <si>
    <t>63f1ceea-1ae6-4e29-9f3b-c354ab3fba11</t>
  </si>
  <si>
    <t>Burnden Holdings (UK) Limited (in Liquidation) v Fielding &amp; Anor [2016] EWCA Civ 557</t>
  </si>
  <si>
    <t>63f1ceea-1ae6-4e29-9f3b-c354ab3fba11_legal_reasoning</t>
  </si>
  <si>
    <t>Detailed analysis of limitation provisions, accrual timing, and the interpretation of indirect receipt via controlled entities.</t>
  </si>
  <si>
    <t>Legal Analysis: Legal Issues: Whether the claim is time-barred under section 21(3) Limitation Act 1980, considering sections 21(1)(a) and 21(1)(b).. Whether the trustees/defendants’ indirect receipt of trust property through controlled companies falls within section 21(1)(b).. What constitutes 'receipt' or 'possession' of trust property for the purposes of section 21(1)(b).. Whether section 32(1)-(2) postpones the limitation period where alleged breach of duty is unlikely to be discovered for some time, and how to apply the standard from Cave v Robinson Jarvis &amp; Rolf and Jetivia v Bilta.. Whether interim accounts and revaluation could render a distribution lawful under the Companies Act 1985/2006, and what constitutes 'accumulated realised profits'.. Accrual date of the cause of action (12 October 2007 vs 15 October 2007) and its impact on limitation.. Role of expert/accounting evidence in establishing whether steps were taken to ensure lawfulness of the distribution. Reasoning: The Court of Appeal held that, on the facts, the claim accrued on 12 October 2007 (distribution) and that section 21(1)(b) of the Limitation Act 1980 can apply where a trustee indirectly receives trust property via a company controlled by the trustee. While the judge below had granted summary judgment on limitation, the Court of Appeal found genuine issues of fact regarding whether interim accounts and any revaluation were properly prepared and relied on, and whether the distribution was lawful. The court stated that the appeal should focus on whether the distribution in specie was lawful, with factual investigations required. It also recognized that section 32 postponement is a potential path, but declined to determine it at summary judgment, given there were disputed facts (e.g., directors’ knowledge and the existence of interim accounts). The decision relied on authorities interpreting section 21(1)(b) including Pantone, Miller v Bain, and subsequent treatment of indirect receipt through entities under control of trustees, as well as principles from Cave and Jetivia regarding discovery and deliberate concealment.” Keywords: fiduciary duty, limitation, section 21(1)(b), trust property, distribution in specie, interim accounts, accrual, Pantone principle, Court of Appeal, England and Wales</t>
  </si>
  <si>
    <t>In re Pantone 485 Ltd || Jetivia v Bilta (UK) Ltd || JD Weatherspoon Plc v Van de Berg &amp; Co Ltd || Cave v Robinson Jarvis &amp; Rolf</t>
  </si>
  <si>
    <t>This case shows 68% similarity based on legal reasoning analysis.</t>
  </si>
  <si>
    <t>5d67e6bf-5a94-4298-82ae-1f13fea951bc</t>
  </si>
  <si>
    <t>Braintree District Council v Secretary of State for the Home Department &amp; Anor [2023] EWCA Civ 727 (23 June 2023)</t>
  </si>
  <si>
    <t>5d67e6bf-5a94-4298-82ae-1f13fea951bc_procedural_history</t>
  </si>
  <si>
    <t>Procedural path of the case: appellate review of a High Court decision, with a hearing date and judgment date, and participation by interveners; Class Q addressed but not decided on appeal.</t>
  </si>
  <si>
    <t>Procedural History: Court: England and Wales Court of Appeal (Civil Division) Lower Court: High Court of Justice, King’s Bench Division Judges: Sir Keith Lindblom, Lord Justice Dingemans, Lady Justice Whipple Case Number: CA-2023-000867 Last Hearing Date: 23 June 2023 Duration: 11 days</t>
  </si>
  <si>
    <t>This case shows 68% similarity based on procedural history analysis.</t>
  </si>
  <si>
    <t>a62a842c-af59-45c4-be74-800b0be5e691</t>
  </si>
  <si>
    <t>Hassam &amp; Anor v Rabot &amp; Anor; Briggs v Laditan [2023] EWCA Civ 19</t>
  </si>
  <si>
    <t>a62a842c-af59-45c4-be74-800b0be5e691_procedural_history</t>
  </si>
  <si>
    <t>Describes procedural path: County Court decision on tariff and non-tariff awards with an overlap deduction; Appeals accepted by Court of Appeal; hearing in November 2022; interventional bodies APIL and MAS.</t>
  </si>
  <si>
    <t>Procedural History: Court: England and Wales Court of Appeal (Civil Division) Lower Court: County Court at Birkenhead (District Judge Hennessy) Judges: The Master of the Rolls, Lady Justice Nicola Davies, Lord Justice Stuart-Smith Case Number: CA-2022-001805; CA-2022-001806; CA-2022-001915 Last Hearing Date: 2023-01-20 Duration: 50 days</t>
  </si>
  <si>
    <t>af98350e-e553-4a58-8a45-9d7b2067b530</t>
  </si>
  <si>
    <t>Santander UK Plc v R.A. Legal Solicitors [2014] EWCA Civ 183</t>
  </si>
  <si>
    <t>af98350e-e553-4a58-8a45-9d7b2067b530_case_analysis</t>
  </si>
  <si>
    <t>Final evaluation of the case's implications for the legal landscape, focusing on its contribution to the understanding of trust law and solicitors' duties.</t>
  </si>
  <si>
    <t>Case Analysis and Reasoning: Precedent Strength Assessment (7/10): • The case involves a notable ruling on the application of section 61 of the Trustee Act, which is frequently cited in trust law cases. • It clarifies standards for solicitors' conduct in the context of alleged breaches concerning trust funds in fraud cases, particularly focusing on the balance between honesty and care. • While the ruling was not based on an entirely novel principle, its interpretation of existing law could influence future related cases. Confidence: 85% Complexity Score Assessment (8/10): • The case entailed multiple layers of legal analysis, including interpretations of statutory provisions, trust law principles, ethical obligations of solicitors, and the implications of fraud. • Procedural matters, such as the correct application of law in a complex commercial framework (conveyancing), added layers of difficulty. • The parties involved were numerous, including institutional lenders, clients, and various legal representatives, which increases procedural complexity. Confidence: 80% Legal Significance: Important case with notable legal impact</t>
  </si>
  <si>
    <t>This case shows 68% similarity based on case analysis analysis.</t>
  </si>
  <si>
    <t>0f564d6f-98e5-402b-abc8-a39f1fa33427</t>
  </si>
  <si>
    <t>Cotton &amp; Anor v Brudenell-Bruce, Earl of Cardigan &amp; Ors [2014] EWCA Civ 1312</t>
  </si>
  <si>
    <t>0f564d6f-98e5-402b-abc8-a39f1fa33427_case_analysis</t>
  </si>
  <si>
    <t>Analysis of the broader implications of the case for future trustee decisions and property sales.</t>
  </si>
  <si>
    <t>Case Analysis and Reasoning: Precedent Strength Assessment (8/10): • The case was heard in the England and Wales Court of Appeal, which holds significant authority over trust law in the jurisdiction. • The issues considered were substantial, involving fiduciary duty and estate management, with relevance to future trustee conduct and marketing strategies. • The reasoning followed established precedents while reinforcing the principles of judicial caution in trust transactions. Confidence: 90% Complexity Score Assessment (7/10): • The case intertwines multiple legal issues, including trustee duties, the approval process for significant trust decisions, and standards of honesty and disclosure. • The procedural complexity arises from the relationship and conflicts among various parties and the history of litigation leading to the appeals. • The financial implications of the estate and the condition of Tottenham House added layers of factual complexity. Confidence: 85% Legal Significance: Important case with notable legal impact</t>
  </si>
  <si>
    <t>cbf9a2bb-7b6f-41be-ba0f-1a84a1e459e6</t>
  </si>
  <si>
    <t>Gangat v Jassat &amp; Anor [2022] EWCA Civ 604</t>
  </si>
  <si>
    <t>cbf9a2bb-7b6f-41be-ba0f-1a84a1e459e6_case_analysis</t>
  </si>
  <si>
    <t>Analytical appraisal of the case’s precedential weight and complexity, including its relevance to future equity-based accounting claims and cross-border asset control.</t>
  </si>
  <si>
    <t>Case Analysis and Reasoning: Precedent Strength Assessment (8/10): • The decision comes from the Court of Appeal (Civil Division), a high authority that affirms and clarifies the application of fiduciary-like duties and accounting remedies in equity. • The judgment relies on well-established equitable principles (accountability when control over assets is conferred and used to benefit others) and uses a concrete document (Richmond Lodge) to anchor the accounting, enhancing clarity for future cases. • Although based on a fact-intensive and cross-border scenario, the reasoning provides a robust framework for similar agency/fiduciary scenarios involving offshore accounts and power-of-attorney arrangements. • The decision is likely to be cited as precedent for the scope of accountability in equity when funds/assets are controlled by one party for others, even in the absence of a formal express trust. • Not all-faceted issues are novel; the court rejected the appeal on multiple grounds, reinforcing the reliability of the trial judge’s factual findings and evidentiary approach. Confidence: 78% Complexity Score Assessment (7/10): • Multiple intertwined issues: fiduciary duty, accounting mechanics, validity of an accounting starting point, evidence assessment, and appeal grounds. • Cross-border elements and offshore asset control add factual and analytical complexity beyond a straightforward domestic fiduciary case. • Reliance on documentary records (Richmond Lodge) rather than solely on witness credibility increases interpretive complexity. • Presence of a detailed factual matrix (off-book cash business, SARS settlements, and interlinked property interests) heightens complexity. • Not highly novel in principal but fact-specific and with layered procedural history (trial, appeal, permission to appeal). Confidence: 72% Legal Significance: Important case with notable legal impact</t>
  </si>
  <si>
    <t>[2022] EWCA Civ 604 || [2021] EWHC 2644 (Ch)</t>
  </si>
  <si>
    <t>7d4b37f2-bfb0-4f96-a5c0-d63cd27e8dc3</t>
  </si>
  <si>
    <t>Davies v Ford &amp; Ors [2023] EWCA Civ 167</t>
  </si>
  <si>
    <t>7d4b37f2-bfb0-4f96-a5c0-d63cd27e8dc3_procedural_history</t>
  </si>
  <si>
    <t>Procedural chronology: liability and quantum trials, split-trial orders, appellate route and December 2022 hearing</t>
  </si>
  <si>
    <t>Procedural History: Court: England and Wales Court of Appeal (Civil Division) Lower Court: High Court of Justice, Business and Property Courts of England and Wales, Chancery Division Judges: Lady Justice Macur, Lady Justice Asplin, Sir Launcelot Henderson Case Number: CA-2021-003244 Last Hearing Date: 17 February 2023 Duration: 18 days</t>
  </si>
  <si>
    <t>[2020] EWHC 686 (Ch) || [2021] EWHC 2550 (Ch) || [2023] EWCA Civ 167</t>
  </si>
  <si>
    <t>cfb9db03-44c0-4604-926a-a76e01575d88</t>
  </si>
  <si>
    <t>Floreat Investment Management Ltd v Churchill &amp; Ors [2023] EWCA Civ 440</t>
  </si>
  <si>
    <t>cfb9db03-44c0-4604-926a-a76e01575d88_case_analysis</t>
  </si>
  <si>
    <t>Assessment of the case’s precedent value and complexity, including its implications for fiduciary duties and constructive trusts in fund governance.</t>
  </si>
  <si>
    <t>Case Analysis and Reasoning: Precedent Strength Assessment (8/10): • The decision is from the Court of Appeal (binding on lower courts in England and Wales). • Addresses fiduciary duties, dishonest assistance, constructive trusts, and knowing receipt in a complex fund/agency structure. • Clarifies the standard for dishonesty (combining subjective knowledge with objective assessment by ordinary decent people) and the evidentiary approach to such findings. • Engages with the characterization of profit-sharing and authority in offshore fund governance, providing practical guidance for similar disputes. • While not a Supreme Court decision, it offers a robust framework likely to be cited in fiduciary-duty, trust, and conspiracy cases involving corporate/financial arrangements. • Not higher because it is Court of Appeal, not Supreme Court; factual specifics are highly tailored to this fund structure. Confidence: 88% Complexity Score Assessment (8/10): • Multiple parties across related entities and a layered fund structure (Fund, Investment Manager, Investment Adviser, and related offshore entities). • Diverse legal theories: breach of fiduciary duty, dishonest assistance, conspiracy, constructive trust, and knowing receipt. • Complex factual matrix: authority of directors, contractual arrangements, NAV procedures, and 2019 board/audit documents. • Procedural complexity: an appeal from a High Court decision in the Business and Property Courts; extensive narrative of findings and 101 specific points in the trial judgment. • Issues of partnership/agency, potential tax considerations, and the effect of board resolutions on the contractual rights of the Fund and its investors. • Moderate to high technical skill required to understand offshore fund governance and trust/recipe-based remedies. Confidence: 85% Legal Significance: Highly significant case with strong precedential value</t>
  </si>
  <si>
    <t>This case shows 67% similarity based on case analysis analysis.</t>
  </si>
  <si>
    <t>18af7f48-3069-4315-8b8e-72156c2f8d15</t>
  </si>
  <si>
    <t>Boydell v NZP Ltd &amp; Anor [2023] EWCA Civ 373</t>
  </si>
  <si>
    <t>18af7f48-3069-4315-8b8e-72156c2f8d15_procedural_history</t>
  </si>
  <si>
    <t>Procedural journey: High Court decision granting injunctions; appeal to Court of Appeal; hearing on 15 March 2023; Court of Appeal granted permission on grounds a–d; details of grounds f–i refused.</t>
  </si>
  <si>
    <t>Procedural History: Court: England and Wales Court of Appeal (Civil Division) Lower Court: High Court of Justice, King's Bench Division Judges: Lord Justice Bean, Lady Justice Macur, Lord Justice Coulson Case Number: CA-2023-000408 Last Hearing Date: 04/04/2023 Duration: 21 days</t>
  </si>
  <si>
    <t>8c2741c2-7eeb-471a-91de-bc6accd97a3c</t>
  </si>
  <si>
    <t>Barnsley &amp; Ors v Noble (Rev1) [2016] EWCA Civ 799 (Court of Appeal, Civil Division)</t>
  </si>
  <si>
    <t>Court of Appeal (Civil Division), England and Wales</t>
  </si>
  <si>
    <t>8c2741c2-7eeb-471a-91de-bc6accd97a3c_case_analysis</t>
  </si>
  <si>
    <t>Analysis of the case’s value as precedent, its complexity, and its significance for future cases involving exoneration clauses and fiduciary duties.</t>
  </si>
  <si>
    <t>Case Analysis and Reasoning: Precedent Strength Assessment (8/10): • High court level (Court of Appeal) with detailed reasoning on fiduciary duties and exoneration clauses; broad applicability of exoneration clause to self-dealing in a will scenario, subject to conditions; reliance on established authorities; potential for broad citation in future cases involving exoneration clauses and fiduciary duties; not a Supreme Court decision, which limits its ultimate binding force beyond the jurisdiction but remains influential. • confidence_precedent":0.85, Confidence: 85% Complexity Score Assessment (8/10): • Multiple intertwined issues: self-dealing, Transactions Clause, Exoneration Clause, meaning of ‘professed execution,’ ‘wilful wrongdoing,’ disclosure duties, and equitable compensation; heavy reliance on a spectrum of authorities; substantial factual background involving a demerger and VAT claims; combination of contract, trust, and equity principles increases complexity. • complexity_score_confidence":0.80], • complexity_score_confidence":80, Confidence: 1% Legal Significance: Highly significant case with strong precedential value</t>
  </si>
  <si>
    <t>Armitage v Nurse || Walker v Stones || Bonham v Fishwick || Spread Trustee Co Ltd v Hutcheson</t>
  </si>
  <si>
    <t>This case shows 73% similarity based on citations precedents analysis.</t>
  </si>
  <si>
    <t>d5d573a1-ee1c-4a42-99b1-728063f8ced3</t>
  </si>
  <si>
    <t>Friends of the Earth Limited v Secretary of State for International Trade/UK Export Finance (UKEF) &amp; Anor (Rev1) [2023] EWCA Civ 14</t>
  </si>
  <si>
    <t>d5d573a1-ee1c-4a42-99b1-728063f8ced3_legal_classification</t>
  </si>
  <si>
    <t>Classification of the dispute as public law/judicial review involving unincorporated international treaty obligations.</t>
  </si>
  <si>
    <t>Legal Classification: Primary Category: Public Law / Judicial Review Legal Areas: Administrative Law, Public International Law, Environmental Law, Climate Finance, Public Policy Jurisdiction: England and Wales Court Level: Court of Appeal (Civil Division) Legal Issues: Whether the funding decision complied with the UK's Paris Agreement obligations (Article 2(1)(c)).. Whether a tenability standard applies to compliance with international obligations in domestic judicial review.. Effect of dualism on reviewing unincorporated treaties in domestic courts.. Whether the Tameside principle applies to scientific/technical considerations in climate finance decisions. Keywords: FOE v UKEF, Court of Appeal (Civil Division), judicial review, Paris Agreement, tenability standard, Scope 3 emissions, climate finance, unincorporated treaties</t>
  </si>
  <si>
    <t>Corner House || Kennedy v Charity Commission || Khatun v Newham LBC || Mott v Environment Agency</t>
  </si>
  <si>
    <t>126384c6-71ee-4af8-ae92-223d88b7a66d</t>
  </si>
  <si>
    <t>Mott v Environment Agency [2016] EWCA Civ 564</t>
  </si>
  <si>
    <t>126384c6-71ee-4af8-ae92-223d88b7a66d_citations_precedents</t>
  </si>
  <si>
    <t>Cited authorities and jurisprudence underpinning the Court’s approach to judicial review of scientific regulatory decisions.</t>
  </si>
  <si>
    <t>Citations and Authorities: Neutral Citations: [2016] EWCA Civ 564, [2016] WLR 4338, [2017] Env LR 1, [2016] WLR(D) 316, [2016] 1 WLR 4338 Law Reports: Referenced Cases: R (Trailer &amp; Marina (Leven) Ltd) v Secretary of State for the Environment [2004] EWCA Civ 1580, Back v Finland (2004) 40 EHRR 1184, Tre Tractore AB v Sweden (1989) 13 EHRR 309, Axa General Insurance Ltd v Lord Advocate [2011] UKSC 46, R v Director General of Telecommunications, ex p. Cellcom [1999] ECC 314, R (Levy) v Environment Agency [2002] EWHC 1663 (Admin), R v Lancashire County Court ex p. Huddleston [1986] 2 All ER 271, R v British Union for the Abolition of Vivisection [2008] EWCA Civ 417, Secretary of State for Environment, Food and Rural Affairs v Downs [2009] EWCA Civ 664, Sporrong and Lönnroth v Sweden (1983) 5 EHRR 35, Fredin v Sweden (No 1) (1991) 13 EHRR 784, Kennecott Copper Corp v EPA, 462 F.2d 846 (DC Cir), Johnson v Environment Agency (generic citation for agency-deemed standards) Citation Count: 13</t>
  </si>
  <si>
    <t>Downs || Abolition of Vivisection || Cellcom || Trailer &amp; Leven || Back v Finland || Sporrong &amp; Lönnroth || Fredin v Sweden || Kennecott Copper Corp v EPA</t>
  </si>
  <si>
    <t>This case shows 65% similarity based on citations precedents analysis.</t>
  </si>
  <si>
    <t>9034c8de-ac8c-45a1-9a63-569c390554ca</t>
  </si>
  <si>
    <t>Thurston Parish Council, R (On the Application Of) v Mid Suffolk District Council &amp; Anor [2022] EWCA Civ 1417</t>
  </si>
  <si>
    <t>9034c8de-ac8c-45a1-9a63-569c390554ca_procedural_history</t>
  </si>
  <si>
    <t>Procedural chronology: High Court decision quashing planning permission; conjoined appeals in Court of Appeal; dates and representations.</t>
  </si>
  <si>
    <t>Procedural History: Court: England and Wales Court of Appeal (Civil Division) Lower Court: High Court of Justice, King’s Bench Division, Planning Court Judges: Lord Justice Lewison, Lord Justice Singh, Lady Justice Whipple Case Number: CA-2022-000432; CA-2022-000435 Last Hearing Date: 28 October 2022 Duration: 900 days</t>
  </si>
  <si>
    <t>EWHC 352 Admin || EWCA Civ 1417</t>
  </si>
  <si>
    <t>776a8070-aa6f-410e-b91e-2e1fcadadb9b</t>
  </si>
  <si>
    <t>Sheakh, R (On the Application Of) v London Borough of Lambeth Council [2022] EWCA Civ 457 (05 April 2022)</t>
  </si>
  <si>
    <t>776a8070-aa6f-410e-b91e-2e1fcadadb9b_procedural_history</t>
  </si>
  <si>
    <t>Procedural arc from initial challenge to appellate decision; key dates and decisions.</t>
  </si>
  <si>
    <t>Procedural History: Court: England and Wales Court of Appeal (Civil Division) Lower Court: High Court of Justice Queen's Bench Division Administrative Court (Planning Court) Judges: Sir Keith Lindblom, with whom Lord Justice Males and Lady Justice Elisabeth Laing agreed Case Number: CA-2021-000701 (formerly C1/2021/1320) Last Hearing Date: 5 April 2022 Duration: 560 days</t>
  </si>
  <si>
    <t>R. (Bailey) v Brent LBC [2011] EWCA Civ 1586</t>
  </si>
  <si>
    <t>This case shows 63% similarity based on procedural history analysis.</t>
  </si>
  <si>
    <t>02409749-c305-4c56-ad34-3447c9c2371b</t>
  </si>
  <si>
    <t>02409749-c305-4c56-ad34-3447c9c2371b_citations_precedents</t>
  </si>
  <si>
    <t>List of legal authorities supporting the court's reasoning and decision.</t>
  </si>
  <si>
    <t>Citations and Authorities: Neutral Citations: [2014] EWCA Civ 1216 Law Reports: Referenced Cases: Education (Student Support) Regulations 2011, Article 2 of Protocol 1 ECHR, Article 14 ECHR, Kebede [2013] EWHC (Admin) 2396, Belgian Linguistic Case [1968] 1 EHRR 252 Citation Count: 5</t>
  </si>
  <si>
    <t>Kebede [2013] EWHC (Admin) 2396 || Ponomaryov v Bulgaria [2011] ELR 491</t>
  </si>
  <si>
    <t>7614b7b3-9102-4127-baa4-ed60bb7a82ed</t>
  </si>
  <si>
    <t>Rowan, R (On the Application Of) v Governor of His Majesty's Prison Berwyn &amp; Anor [2023] EWCA Civ 27</t>
  </si>
  <si>
    <t>7614b7b3-9102-4127-baa4-ed60bb7a82ed_legal_classification</t>
  </si>
  <si>
    <t>Classification of the legal framework, including public-law grounds and jurisdiction for the appellate review of prison-licence decisions.</t>
  </si>
  <si>
    <t>Legal Classification: Primary Category: Judicial Review / Administrative Law Legal Areas: Public law, Judicial review, Administrative law, Criminal justice, Prison law Jurisdiction: England and Wales Court Level: Court of Appeal (Civil Division) Legal Issues: Whether the licence-recall decision and subsequent handling complied with statutory/licensing framework and public law duties. Whether the Divisional Court properly granted permission to apply for judicial review. Standards for judicial review applicable to executive/corrections decisions (e.g., reasonableness, Wednesbury principles, procedural fairness). Impact of the period of unlawful absence on legitimate expectations and the validity of subsequent licence actions. Scope of remedies on judicial review in the context of prison-release decisions Keywords: Judicial review, Licence recall, Prison release, Administrative law, Public law, Court of Appeal (Civil Division), Licence conditions, Unlawful at large, Queen's Bench Division, Hearing dates 26 October 2022</t>
  </si>
  <si>
    <t>[2021] EWHC 3114 (QB)</t>
  </si>
  <si>
    <t>This case shows 65% similarity based on legal classification analysis.</t>
  </si>
  <si>
    <t>250a2de0-32f3-4ce2-8b1f-ee964131ee78</t>
  </si>
  <si>
    <t>Brooks, R (on the application of) v The Independent Adjudicator &amp; Anor [2016] EWCA Civ 1033</t>
  </si>
  <si>
    <t>250a2de0-32f3-4ce2-8b1f-ee964131ee78_legal_classification</t>
  </si>
  <si>
    <t>Classification of the dispute: public/administrative law with human rights dimensions (ECHR) within English appellate framework; analysis of CJA 2003 provisions and prison rules.</t>
  </si>
  <si>
    <t>Legal Classification: Primary Category: Administrative Law; Human Rights; Criminal Justice Legal Areas: Public Law, Administrative Law, Criminal Justice, Human Rights Law, Statutory Interpretation, Prison Law Jurisdiction: England and Wales Court Level: Court of Appeal (Civil Division) Legal Issues: Whether the IA’s award of additional days can be treated as a judicial act and whether its quashing voids the detention ab initio.. Whether detention during the 11 days after expiry of the custodial term was lawful under the Criminal Justice Act 2003 (ss 247(2), 257) and domestic public law.. Whether detention following disciplinary penalties can amount to a breach of Article 5 ECHR, and whether the remedy is available under the Human Rights Act 1998 (ss 6-8).. How Strasbourg jurisprudence (e.g., Kryszicki v Germany, Webster v UK, Benham v UK) informs the domestic treatment of detention order reversals and retroactivity.. Whether the Domestic statute (2003 Act) overrides an ECHR claim or whether a declaration of incompatibility would be necessary.. What the decision implies about “void ab initio” vs “voidable” rulings in relation to detention and human rights. Keywords: ECHR Article 5, detention, extended sentence, YOI rules, discipline award, quashing order, void ab initio, judicial act, public law, statutory interpretation, Bringing Strasbourg jurisprudence into domestic law</t>
  </si>
  <si>
    <t>Kryzcki v Germany || Webster v Lord Chancellor</t>
  </si>
  <si>
    <t>36166c1f-7b4e-4e19-9f3e-ba06d04ac22a</t>
  </si>
  <si>
    <t>Smith v Secretary of State for Justice &amp; Ors [2014] EWCA Civ 380</t>
  </si>
  <si>
    <t>36166c1f-7b4e-4e19-9f3e-ba06d04ac22a_case_analysis</t>
  </si>
  <si>
    <t>The appeal analyzed its complexity and assessed potential impacts on future jurisprudence regarding similar cases.</t>
  </si>
  <si>
    <t>Case Analysis and Reasoning: Precedent Strength Assessment (5/10): • The case involves established legal principles regarding ECHR interpretations, but lacks significant novel legal questions or accompanying robust case law specific to the prison context. • Judicial reasoning aligns with prior cases, though judicial opinions drawn from prior cases may limit its precedent-setting potential for future similar cases. Confidence: 80% Complexity Score Assessment (6/10): • The case encompasses multiple legal issues including human rights law and administrative policy, and involves substantial interactions between legislation and individual rights. • However, the factual disputes simplify to a specific incident of cell sharing rather than a broader analysis or multiple issues affecting numerous inmates. Confidence: 70% Legal Significance: Standard case with limited precedential impact</t>
  </si>
  <si>
    <t>Botti v Italy || Florea v Romania</t>
  </si>
  <si>
    <t>This case shows 64% similarity based on case analysis analysis.</t>
  </si>
  <si>
    <t>57d5bf6b-b5e4-4a29-8fe8-fc6caf7108e9</t>
  </si>
  <si>
    <t>Abedin, R (On the Application Of) v Secretary of State for the Home Department [2016] EWCA Civ 296 (10 March 2016)</t>
  </si>
  <si>
    <t>57d5bf6b-b5e4-4a29-8fe8-fc6caf7108e9_legal_classification</t>
  </si>
  <si>
    <t>Classification of the case within criminal law, human rights, and appellate jurisdiction, with a focus on ECHR considerations.</t>
  </si>
  <si>
    <t>Legal Classification: Primary Category: Criminal Law and Human Rights (Administrative Law / Appeals) Legal Areas: Criminal Law, Human Rights, Administrative Law, Appeals, Constitutional/Procedural Law Jurisdiction: England and Wales Court Level: Court of Appeal (Civil Division) Legal Issues: Whether changes to early release provisions, implemented after sentencing, amount to a redefinition of the penalty. Whether the post-sentencing changes were foreseeable at the time of sentencing. Application of ECHR Articles 5 and 7 to the administration/execution of sentence. Whether Robinson and Uttley remain applicable precedent in this context. Distinction between penalty and its administration/execution Keywords: foreseeability, early release provisions, sentence vs execution, Article 7 ECHR, Del Rio Prada v Spain, Uttley, Robinson, permission to appeal, Court of Appeal (Civil Division), Abedin v Home Department</t>
  </si>
  <si>
    <t>Del Rio Prada v Spain || Uttley || Robinson</t>
  </si>
  <si>
    <t>88f81617-3d05-4cec-a001-5edf306bd117</t>
  </si>
  <si>
    <t>R (on the application of) SPM v Secretary of State for the Home Department [2023] EWCA Civ 764</t>
  </si>
  <si>
    <t>88f81617-3d05-4cec-a001-5edf306bd117_metadata_summary</t>
  </si>
  <si>
    <t>metadata_summary</t>
  </si>
  <si>
    <t>High-level snapshot: appellate challenge to a High Court JR related to detainee access to justice and Derwentside context.</t>
  </si>
  <si>
    <t>Case: R (on the application of) SPM v Secretary of State for the Home Department [2023] EWCA Civ 764 Court: England and Wales Court of Appeal (Civil Division) Category: Administrative Law / Judicial Review (Immigration) / Human Rights Legal Areas: Administrative Law, Immigration Law, Human Rights, Access to Justice, Detention Abstract: Court of Appeal (Civil Division) decision concerning an appeal of a High Court judicial review challenge to the SSHD's arrangements for detainees' access to in-person legal visits at Derwentside IRC. The appeal centers on whether the lower court properly applied anxious scrutiny and provided adequate reasoning. The provided text does not include the CA’s final holding, only procedural history and background leading up to the appeal. Keywords: access to justice, judicial review, immigration detention, Derwentside IRC, in-person legal visits, anxious scrutiny, right to counsel, Detention Centre Rules 2001, NRM, DDAS Precedent Strength: 7/10 (0.67% confidence) Precedent Reasoning: This is a Court of Appeal case on administrative law and immigration detention, with potential broad precedent in the area of detainee access to justice and judicial review. The strength depends on the CA’s ratio and reasoning, which are not fully presented in the excerpt; the broad topic area suggests substantial persuasiveness for future cases. Because the final holding and ratios are not visible here, the value is uncertain and could be higher or lower depending on the CA’s articulation of anxious scrutiny and the scope of the remedy. Counterarguments include that the issue may be fact-specific to Derwentside or that the CA’s ruling could be narrow; without the full decision, the true breadth remains speculative. Complexity: 8/10 (0.72% confidence) Complexity Reasoning: Multiple intertwined issues: anxious scrutiny in JR, detainee access to legal aid, language/hearing impairment barriers, Rule 35 procedures, Detention Centre Rules, NRM/trafficking indicators, and DDAS policy. Procedural intricacies: appeal from High Court, single ground granted, potential multi-issue consideration, lengthy procedural history. Factual complexity: extensive detention history, medical/communication aspects, and interplay with pre-action correspondence and legal representation. Numerous stakeholders (SPM, SSHD, LAA, WRW, Duncan Lewis, Treasury Solicitor) add to the comp…</t>
  </si>
  <si>
    <t>[2022] EWHC 2007 (Admin) || [2023] EWCA Civ 764</t>
  </si>
  <si>
    <t>This case shows 63% similarity based on metadata summary analysis.</t>
  </si>
  <si>
    <t>9cd8bb4c-43ff-49b2-8bc4-b8df5f3727d6</t>
  </si>
  <si>
    <t>Weddle (R on the application of) v The Secretary of State for Justice [2016] EWCA Civ 38 (Court of Appeal, Civil Division)</t>
  </si>
  <si>
    <t>9cd8bb4c-43ff-49b2-8bc4-b8df5f3727d6_legal_reasoning</t>
  </si>
  <si>
    <t>Legal reasoning: analysis of the three duties; impact of Kaiyam on Article 5 ancillary duty; evaluation of whether the SoSJ irrationally withheld rehabilitation avenues.</t>
  </si>
  <si>
    <t>Legal Analysis: Legal Issues: Whether the SoSJ breached public law duties by failing to provide adequate systems/resources for the prisoner to demonstrate reduced risk. Whether a Private law/Article 5 rights claim could lie prior to tariff expiry given Kaiyam and related jurisprudence. What constitutes rationality review in decisions about rehabilitation programmes for prisoners. Whether rehabilitation plans could be considered a reasonable opportunity to demonstrate risk reduction notwithstanding non-recall of offending details. Whether the claimed breach could be remedied by damages under Article 5 ancillary duty. Effect of Programme availability and operational practicality on duty analyses Reasoning: The Court of Appeal reaffirmed that there is a threefold public law framework governing indeterminate sentences: (i) the Walker duty to provide systems/resources to enable a prisoner to demonstrate reduced risk, (ii) the rationality duty to decide rationally and in light of relevant factors, and (iii) the obligation to act in accordance with current policy. Following Kaiyam, the court recognised that the Article 5 ancillary duty is not limited to a Wednesbury standard and may permit private remedies; however, the duty is not an absolute obligation to maximize provision or to guarantee release by tariff expiry. In this case the judge below found that the claimant could not demonstrate risk reduction due to an absence of accessible interventions addressing his extreme violence, particularly because his lack of recall impeded the use of certain programmes (CALM/CSCP). The Court of Appeal concluded that the evidence did not show the Secretary of State irrationally refused to provide a path to rehabilitation; a potentially viable plan (June 2013 sentencing planning document) and one-to-one psychological intervention could have offered a genuine route to demonstrate risk reduction, but the appellate court determined that the lower court had erred in treating the matter as necessarily impossible or unmanageable within the tariff timeline. The Court emphasized that while Kaiyam allows a broader inquiry under Article 5, it does not require perfection or the presumption of an achievable outcome in every case, given resource constraints and the need for careful, individual consideration of the prisoner’s history. The cross-appeal’s Article 5 damages claim was not esta…</t>
  </si>
  <si>
    <t>Kaiyam || James || Dunn || Hall</t>
  </si>
  <si>
    <t>This case shows 63% similarity based on legal reasoning analysis.</t>
  </si>
  <si>
    <t>51cdf21d-2e8d-4694-805d-5758e7941b6e</t>
  </si>
  <si>
    <t>Hallam &amp; Anor, R (on the applications of) v The Secretary of State for Justice (rev 1) [2016] EWCA Civ 355</t>
  </si>
  <si>
    <t>51cdf21d-2e8d-4694-805d-5758e7941b6e_citations_precedents</t>
  </si>
  <si>
    <t>Authorities cited in the judgment and analysis, spanning domestic UK Supreme Court decisions and Strasbourg court jurisprudence relevant to Article 6(2) and section 133.</t>
  </si>
  <si>
    <t>Citations and Authorities: Neutral Citations: [2016] EWCA Civ 355, [2016] 3 WLR 329, [2016] 2 Cr App R 11, [2016] Crim LR 772, [2016] WLR(D) 182, [2017] QB 571 Law Reports: 3 WLR 329, 2 Cr App R 11, Crim LR 772, WLR(D) 182, QB 571 Referenced Cases: R (Adams) v Secretary of State for Justice [2011] UKSC 18, Allen v United Kingdom (Grand Chamber) [2013] 36 BHRC 1, R (Allen) v Secretary of State for Justice [2008] EWCA Civ 808, R v Bateman (1994) 7 Admin LR 175, R (Mullen) v Secretary of State [2004] UKHL 18, Kay v Lambeth LBC [2006] UKHL 10, Capeau v Belgium (Application No. 42914/98), O v Norway (Application No. 29327/95), K.F v UK (Application No. 30178/09), A.L.F. v UK (Application No. 5908/12), Vella v Malta (Application No. 69122/10), Muller v Germany (Application No. 54963/08), Soca v Gale (2011) UKSC 49 Citation Count: 13</t>
  </si>
  <si>
    <t>Adams v UKSC 2011 || Allen v UK Grand Chamber 2013 || Gale v SOCA 2011 || R v Bateman 1994 || Kay v Lambeth LBC 2006 || O v Norway 2003 || Capeau v Belgium 2005 || K.F. v UK 2013 || A.L.F. v UK 2013 || Vella v Malta 2014 || Muller v Germany 2014 || Pendleton 2001 || Soca v Gale 2011</t>
  </si>
  <si>
    <t>47e733e4-8b4c-42d7-a983-6af18563acb8</t>
  </si>
  <si>
    <t>Public and Commercial Services Union (and others) v Secretary of State for the Home Department</t>
  </si>
  <si>
    <t>47e733e4-8b4c-42d7-a983-6af18563acb8_citations_precedents</t>
  </si>
  <si>
    <t>Lists and discusses the authorities cited in the decision, spanning statutory provisions and key JR/injunction authorities.</t>
  </si>
  <si>
    <t>Citations and Authorities: Neutral Citations: [2022] EWCA Civ 840 Law Reports: Referenced Cases: Secretary of State for Education and Science v. Tameside MBC [1977] AC 1014, Gillick v West Norfolk and Wisbech AHA [1986] AC 112, European Convention on Human Rights Article 3, Geneva Convention Relating to the Status of Refugees (Art. 31), Asylum and Immigration Appeals Act 1993, Asylum and Immigration (Treatment of Claimants) Act 2004 Schedule 3 (paras 17-18), Paragraphs 345 A-D and 345B of the Rules (Safe Third Country framework), Section 77 of the 2002 Act, Frank Industries Pty UK v Nike Retail BV [2018] EWCA Civ 497, Hadmor Productions Ltd v Hamilton [1983] 1 AC 191, R (Governing Body of X) [case referenced in judgment] Citation Count: 11</t>
  </si>
  <si>
    <t>Secretary of State for Education and Science v Tameside MBC [1977] AC 1014 || Gillick v West Norfolk and Wisbech AHA [1986] AC 112 || Hadmor Productions Ltd v Hamilton [1983] 1 AC 191 || Frank Industries Pty UK v Nike Retail BV [2018] EWCA Civ 497 || R v Governing Body of X [cite not provided in text]</t>
  </si>
  <si>
    <t>720cde29-16c8-41e8-9899-7ac2abcb1cc1</t>
  </si>
  <si>
    <t>FI v Secretary of State for the Home Department [2014] EWCA Civ 1272</t>
  </si>
  <si>
    <t>720cde29-16c8-41e8-9899-7ac2abcb1cc1_legal_classification</t>
  </si>
  <si>
    <t>Classification of the case focusing on the areas of law relevant to administrative actions and human rights.</t>
  </si>
  <si>
    <t>Legal Classification: Primary Category: Administrative Law Legal Areas: Public Law, Human Rights Law, Immigration Law Jurisdiction: England and Wales Court Level: Appellate Legal Issues: Compliance of control and restraint techniques with ECHR Articles 2 and 3. Lawfulness of the policy on use of force under domestic law. Legitimacy of redactions to the Use of Force Training Manual Keywords: European Convention on Human Rights, use of force, deportation, judicial review, procedural safeguards</t>
  </si>
  <si>
    <t>This case shows 63% similarity based on legal classification analysis.</t>
  </si>
  <si>
    <t>031797cd-b2d5-42dc-9292-4485d3c8553c</t>
  </si>
  <si>
    <t>031797cd-b2d5-42dc-9292-4485d3c8553c_citations_precedents</t>
  </si>
  <si>
    <t>Lists the principal authorities referenced in the case, illustrating the doctrinal framework for consent and negligence.</t>
  </si>
  <si>
    <t>Citations and Authorities: Neutral Citations: [2023] EWCA Civ 605 Law Reports: Referenced Cases: Bolam v Friern Hospital Management Committee [1957] 1 WLR 583, Montgomery v Lanarkshire Health Board [2015] UKSC 11; [2015] AC 1430, Chester v Afshar [2005] 1 AC 134, Sidaway v Board of Governors of the Bethlem Royal Hospital (context cited in Montgomery reasoning), Rogers v Whitaker (Australia) 175 CLR 479, Pearce v [contextual reference in Montgomery judgment] [1999] PIQR P53 Citation Count: 6</t>
  </si>
  <si>
    <t>Bolam v Friern Hospital Management Committee || Montgomery v Lanarkshire Health Board || Chester v Afshar || Sidaway || Rogers v Whitaker || Pearce</t>
  </si>
  <si>
    <t>This case shows 72% similarity based on citations precedents analysis.</t>
  </si>
  <si>
    <t>127de7d1-1e96-4936-82d9-f933bbeb8539</t>
  </si>
  <si>
    <t>Collins v Secretary of State for Business Innovation and Skills &amp; Anor</t>
  </si>
  <si>
    <t>127de7d1-1e96-4936-82d9-f933bbeb8539_metadata_summary</t>
  </si>
  <si>
    <t>An overview of the case, detailing the court and parties involved.</t>
  </si>
  <si>
    <t>Case: Collins v Secretary of State for Business Innovation and Skills &amp; Anor Court: England and Wales Court of Appeal (Civil Division) Category: Personal Injury Legal Areas: Tort Law, Limitation Law Abstract: This case involves George Walter Collins' appeal against a decision that his personal injury claim was statute-barred under the Limitation Act 1980. The court ruled on the date of constructive knowledge and the equitable application of section 33 regarding the limitation period. Ultimately, the Court of Appeal upheld the lower court's ruling, dismissing the appeal. Keywords: Limitation Act 1980, constructive knowledge, personal injury, asbestos, statutory duty Precedent Strength: 7/10 (85% confidence) Precedent Reasoning: The case reflects significant legal principles, namely the interpretation of housing the Limitation Act regarding constructive knowledge and the discretionary powers under section 33. It addresses the long tail nature of industrial disease claims, an evolving area of law, supporting its novelty; The ruling is likely to be cited in future cases involving similar issues of limitation, especially in personal injury and industrial disease contexts. Complexity: 6/10 (80% confidence) Complexity Reasoning: The case deals with intricate statutory interpretation of the Limitation Act 1980, specifically sections 14 and 33, which introduces complexity. There are multiple parties involved, including different defendants, each with distinct claims and defenses; The factual background is extensive, covering a long period and requiring an evaluation of evidence from a historical context. The case requires legal understanding of medical evidence and retrospective knowledge.</t>
  </si>
  <si>
    <t>This case shows 70% similarity based on metadata summary analysis.</t>
  </si>
  <si>
    <t>6c956002-60ab-482d-bce9-914febd99213</t>
  </si>
  <si>
    <t>Worrall v Antoniadou [2016] EWCA Civ 1219</t>
  </si>
  <si>
    <t>6c956002-60ab-482d-bce9-914febd99213_citations_precedents</t>
  </si>
  <si>
    <t>Authorities cited in the judgment that frame duty, disclosure, and interpretation in medical negligence.</t>
  </si>
  <si>
    <t>Citations and Authorities: Neutral Citations: [2016] EWCA Civ 1219 Law Reports: Referenced Cases: Montgomery v Lanarkshire Health Board (General Medical Council Intervening) [2015] AC 1430, Sidaway v Board of Governors of the Bethlem Royal Hospital and the Maudsley Hospital [1985] 1 AC 871, Faunch v O'Donoghue [2013] EWCA Civ 1698 Citation Count: 3</t>
  </si>
  <si>
    <t>Montgomery v Lanarkshire Health Board [2015] AC 1430 || Sidaway v Board of Governors of the Bethlem Royal Hospital [1985] 1 AC 871 || Faunch v O'Donoghue [2013] EWCA Civ 1698</t>
  </si>
  <si>
    <t>2c529d3c-f445-459e-ae7c-ae0fb3f24875</t>
  </si>
  <si>
    <t>Duce v Worcestershire Acute Hospitals NHS Trust</t>
  </si>
  <si>
    <t>2c529d3c-f445-459e-ae7c-ae0fb3f24875_case_analysis</t>
  </si>
  <si>
    <t>Analysis of the case's significance in terms of precedent and its complexities.</t>
  </si>
  <si>
    <t>Case Analysis and Reasoning: Precedent Strength Assessment (7/10): • The court's decision to allow the claim to proceed is significant given the procedural intricacies and emphasizes the importance of proper medical evidence in negligence claims. • It addresses novel considerations regarding patient information obligations and could influence future similar cases. Confidence: 85% Complexity Score Assessment (8/10): • The case involved multiple legal issues over procedural requirements, resulting in considerable confusion. • There were procedural delays and failed compliance with court orders, complicating the nature and prospect of the claim. • Several expert medical opinions were needed to address complex medical standards and required knowledge of medical negligence law. Confidence: 80% Legal Significance: Important case with notable legal impact</t>
  </si>
  <si>
    <t>09032da4-f24a-4dd0-96cf-5e5fa79ba1f3</t>
  </si>
  <si>
    <t>O'Connor v Bar Standards Board [2016] EWCA Civ 775</t>
  </si>
  <si>
    <t>09032da4-f24a-4dd0-96cf-5e5fa79ba1f3_citations_precedents</t>
  </si>
  <si>
    <t>Authorities cited to inform limitation and discrimination standards: list includes Montogmery, Somerville, Cameron, A Essex, DH Czech Republic, Orsus Croatia, Dunn</t>
  </si>
  <si>
    <t>Citations and Authorities: Neutral Citations: [2016] EWCA Civ 775, [2016] WLR(D) 421, [2016] 1 WLR 4085, [2016] WLR 4085 Law Reports: Referenced Cases: Montgomery v HM Advocate [2003] 1 AC 641, HM Advocate v R [2004] 1 AC 462, Somerville v Scottish Ministers [2007] 1 WLR 2734, Cameron v Network Rail Infrastructure [2007] 1 WLR 163, A v Essex County Council [2011] 1 AC 280, Dunn v Parole Board [2009] 1 WLR 728, DH v Czech Republic (2008) 47 EHRR 3, Orsus v Croatia (2011) 52 EHRR 300, Eckle v Germany App 8130/78 Citation Count: 9</t>
  </si>
  <si>
    <t>Montgomery v HM Advocate [2003] 1 AC 641 || Somerville v Scottish Ministers [2007] 1 WLR 2734 || DH v Czech Republic (2008) 47 EHRR 3 || Orsus v Croatia (2011) 52 EHRR 300 || A v Essex County Council [2011] 1 AC 280 || Cameron v Network Rail Infrastructure [2007] 1 WLR 163 || Dunn v Parole Board [2009] 1 WLR 728 || Eckle v Germany App 8130/78</t>
  </si>
  <si>
    <t>ea179fd6-9cc0-4327-b94e-9bdff9e46c0c</t>
  </si>
  <si>
    <t>Kadir v Mistry &amp; Ors [2014] EWCA Civ 1177</t>
  </si>
  <si>
    <t>ea179fd6-9cc0-4327-b94e-9bdff9e46c0c_legal_classification</t>
  </si>
  <si>
    <t>This chunk classifies the case under relevant areas of law, focusing on medical negligence and related tort principles.</t>
  </si>
  <si>
    <t>Legal Classification: Primary Category: Medical Negligence Legal Areas: Tort Law, Negligence, Medical Law Jurisdiction: England and Wales Court Level: Appellate Legal Issues: Whether damages for pain, suffering, and loss of amenity were incorrectly denied.. Whether mental anguish regarding anticipated early death should be compensated. Keywords: Clinical Negligence, Fatal Accidents Act 1987, Law Reform Act 1934, Quantum of Damage, Mental Anguish</t>
  </si>
  <si>
    <t>This case shows 66% similarity based on legal classification analysis.</t>
  </si>
  <si>
    <t>3b56f922-9884-43fd-9704-884f90c524db</t>
  </si>
  <si>
    <t>Abdel-Khalek v Ali [2016] EWCA Civ 80</t>
  </si>
  <si>
    <t>3b56f922-9884-43fd-9704-884f90c524db_case_analysis</t>
  </si>
  <si>
    <t>Analytical assessment of the case’s precedent value, complexity, and broader implications for negligent misstatement doctrine and professional-duty scenarios.</t>
  </si>
  <si>
    <t>Case Analysis and Reasoning: Precedent Strength Assessment (7/10): • The decision sits in a Court of Appeal, which gives it strong persuasive force for similar negligent-misstatement cases within England and Wales. • The issues involve a well-trodden Hedley Byrne framework but apply it to a fact-specific scenario with limited trial evidence, reducing its reach to more narrow circumstances. • The reasoning is coherent and well-supported by the trial record, yet the case is not a leading structural reform or a new doctrinal development, limiting its designation as a high-novelty precedent. Confidence: 82% Complexity Score Assessment (8/10): • Multiple overlapping issues: duty of care in professional negligence, misstatement elements, and causation; significant evidentiary constraints at trial (no patient records, non-expert opinion evidence, conflicting testimony). • Impression-based causation and the need to disentangle discrete misstatements add to the complexity. • The factual matrix (medical context, locum arrangements, NHS trusts) requires specialized understanding, increasing complexity, though the legal rules themselves are established. Confidence: 84% Legal Significance: Important case with notable legal impact</t>
  </si>
  <si>
    <t>Hedley Byrne || Spring v Guardian</t>
  </si>
  <si>
    <t>c45b113b-b1e9-442c-bce8-4a22844d94ea</t>
  </si>
  <si>
    <t>C v North Cumbria University Hospitals NHS Trust</t>
  </si>
  <si>
    <t>c45b113b-b1e9-442c-bce8-4a22844d94ea_citations_precedents</t>
  </si>
  <si>
    <t>Cited laws and previous cases influencing the court's decision.</t>
  </si>
  <si>
    <t>Citations and Authorities: Neutral Citations: [2014] EWHC 61 (QB) Law Reports: Referenced Cases: Bolam v Friern Hospital Management Committee [1957] 1 WLR 583, Maynard v West Midlands RHA [1984] 1 WLR 634, Bolitho v City and Hackney Health Authority [1997] UKHL 46; [1998] AC 232 Citation Count: 3</t>
  </si>
  <si>
    <t>Bolam v Friern Hospital Management Committee || Bolitho v City and Hackney Health Authority</t>
  </si>
  <si>
    <t>bc404037-1dd0-47a8-8f10-d0876c870fd7</t>
  </si>
  <si>
    <t>Ali v Caton &amp; Anor [2014] EWCA Civ 1313</t>
  </si>
  <si>
    <t>bc404037-1dd0-47a8-8f10-d0876c870fd7_legal_reasoning</t>
  </si>
  <si>
    <t>Examination of the legal reasoning applied in assessing damages based on cognitive impairment and subsequent test performance implications.</t>
  </si>
  <si>
    <t>Legal Analysis: Legal Issues: Extent of plaintiff's cognitive impairment post-accident. Impact of passing the UK Citizenship Test on the assessment of damages. Determination of mental capacity under the Mental Capacity Act 2005. Assessment of damages for pain, suffering, and loss of amenity (PSLA). Reasoning: The court's decision focused on the inconsistencies in the evidence regarding the claimant's abilities post-accident and clarified that passing the UK Citizenship Test did not negate the established cognitive impairments. They highlighted that the judge's assessment was thorough and took into account multiple facets of the claimant's life, maintaining that the injuries had a profound impact. Keywords: Personal Injury, Cognitive Impairment, Negligence, UK Citizenship Test, Damages, Mental Capacity, Contributory Negligence, Court of Appeal</t>
  </si>
  <si>
    <t>This case shows 66% similarity based on legal reasoning analysis.</t>
  </si>
  <si>
    <t>90d7a223-ab0a-4dc6-b2e6-2c8123bf1c7b</t>
  </si>
  <si>
    <t>Meiklejohn v St George's Healthcare NHS Trust &amp; Anor [2014] EWCA Civ 120</t>
  </si>
  <si>
    <t>90d7a223-ab0a-4dc6-b2e6-2c8123bf1c7b_case_analysis</t>
  </si>
  <si>
    <t>This entry evaluates the case's precedent value and complexity, considering its broader implications for future legal interpretation in medical negligence.</t>
  </si>
  <si>
    <t>Case Analysis and Reasoning: Precedent Strength Assessment (7/10): • Court of Appeal decisions influence lower courts more significantly than High Court decisions. • The case involves established medical standards, impacting future medical negligence claims in similar contexts. • While the ruling is based on accepted practices, its application may be scrutinized in future cases surrounding informed consent. Confidence: 80% Complexity Score Assessment (6/10): • The case incorporates complex medical issues regarding the diagnosis and treatment of a highly specialized condition. • Multiple parties, expert testimonies, and detailed medical literature contributed to trial duration and analysis. • While there were several legal issues, many were interrelated, preventing overwhelming complexity. Confidence: 75% Legal Significance: Moderately significant case with some precedential value</t>
  </si>
  <si>
    <t>This case shows 65% similarity based on case analysis analysis.</t>
  </si>
  <si>
    <t>cmmaeetm7000304l5dod3nsd8</t>
  </si>
  <si>
    <t>a06e93bf-f1f4-4a30-b6f3-96fcc361577c</t>
  </si>
  <si>
    <t>Synclair v East Lancashire Hospitals NHS Trust</t>
  </si>
  <si>
    <t>a06e93bf-f1f4-4a30-b6f3-96fcc361577c_case_analysis</t>
  </si>
  <si>
    <t>Critical analysis of the precedent-setting nature of the case and its complexity.</t>
  </si>
  <si>
    <t>Case Analysis and Reasoning: Precedent Strength Assessment (8/10): • The case involved an important consideration of clinical negligence principles, emphasizing the reliability of medical records and evidence weighting. • The case's procedural history indicated it had reached the Court of Appeal, enhancing its authority as a precedent. Confidence: 85% Complexity Score Assessment (7/10): • The case had multiple participants (Claimant, two medical professionals, hospital trust) and involved detailed evaluation of clinical negligence standards. • Procedural complexity arose from the appellate review of fact-finding by the trial judge, and the nuances of medical testimony made the case intricate. Confidence: 80% Legal Significance: Important case with notable legal impact</t>
  </si>
  <si>
    <t>1cbf7265-8831-48d0-96a6-60281c5db2ee</t>
  </si>
  <si>
    <t>Border v Lewisham And Greenwich NHS Trust [2015] EWCA Civ 8</t>
  </si>
  <si>
    <t>1cbf7265-8831-48d0-96a6-60281c5db2ee_case_analysis</t>
  </si>
  <si>
    <t>Analysis of the case's contribution to legal precedent and its complexity.</t>
  </si>
  <si>
    <t>Case Analysis and Reasoning: Precedent Strength Assessment (8/10): • The case addresses critical elements of patient autonomy and informed consent, strengthening its presence in medical negligence law. • The Court of Appeal provides a solid reasoning framework confirming the necessity of obtaining consent, which is likely to be cited in future cases. • Its rulings clarify the responsibilities of healthcare professionals in emergency situations, making it a key precedent despite being fact-specific. Confidence: 90% Complexity Score Assessment (7/10): • This case involves multiple layers of legal inquiry, including medical standards, patient consent, and the assessment of causal relationships. • Involvement of expert witnesses and varying accounts of events add to its complexity, while the legal arguments regarding the necessity of obtaining consent represent substantive legal challenges. • The need to assess the adequacy of communication between medical professionals and patients, alongside established medical practices, complicates the judgment. Confidence: 85% Legal Significance: Important case with notable legal impact</t>
  </si>
  <si>
    <t>d60a5323-796e-4110-a6de-012ec16860c1</t>
  </si>
  <si>
    <t>d60a5323-796e-4110-a6de-012ec16860c1_case_analysis</t>
  </si>
  <si>
    <t>Analysis of the case's precedent value and implications for future legal contexts.</t>
  </si>
  <si>
    <t>Case Analysis and Reasoning: Precedent Strength Assessment (8/10): • The case addresses significant changes to legal aid that impact a vulnerable segment of the population—prisoners. • Established principles relating to fair trial rights under European Convention on Human Rights (ECHR) are invoked, enhancing its precedent value. • The Court's decision highlights systemic issues of access to justice, which resonate beyond the immediate case, potentially guiding future legal reforms. Confidence: 85% Complexity Score Assessment (7/10): • The case involves multiple legal issues related to statutory interpretation and human rights, contributing to its complexity. • There are procedural intricacies concerning consultation processes and systemic fairness that require specialized legal expertise. • The case’s implications affect a broad range of prisoners, necessitating consideration of varied legal and social contexts. Confidence: 80% Legal Significance: Important case with notable legal impact</t>
  </si>
  <si>
    <t>R (Refugee Legal Centre) Secretary of State for the Home Department</t>
  </si>
  <si>
    <t>47c9c661-fe50-444e-8eb2-faf3fa2b12ba</t>
  </si>
  <si>
    <t>James v HM Prison Birmingham: Judicial Review on Committal for Civil Contempt</t>
  </si>
  <si>
    <t>47c9c661-fe50-444e-8eb2-faf3fa2b12ba_legal_classification</t>
  </si>
  <si>
    <t>This chunk categorizes the legal framework under which the case falls, focusing on relevant areas of law.</t>
  </si>
  <si>
    <t>Legal Classification: Primary Category: Administrative Law Legal Areas: Administrative Law, Human Rights Law, Criminal Law Jurisdiction: England and Wales Court Level: Appellate Legal Issues: Whether time spent on remand should be counted towards a civil contempt sentence.. The interpretation of the Policing and Crime Act 2009 and its implications on time served.. The relation of domestic law with ECHR rights, specifically Articles 5 and 14. Keywords: judicial review, civil contempt, remand time, ECHR, Policing and Crime Act 2009</t>
  </si>
  <si>
    <t>1dbb4242-42ac-456f-989f-5098066d87ca</t>
  </si>
  <si>
    <t>1dbb4242-42ac-456f-989f-5098066d87ca_legal_classification</t>
  </si>
  <si>
    <t>This chunk covers the legal classification and areas of law addresses in the case.</t>
  </si>
  <si>
    <t>Legal Classification: Primary Category: Administrative Law Legal Areas: Human Rights, Prison Law, Public Law Jurisdiction: England and Wales Court Level: appellate Legal Issues: Discrimination under Article 14 ECHR. Interpretation of the Repatriation of Prisoners Act 1984. Compatibility of statutory provisions with human rights Keywords: Repatriation of Prisoners Act, Article 14 ECHR, judicial review, discrimination, prisoner rights</t>
  </si>
  <si>
    <t>80701211-fe03-4dc0-972a-b2e5467876b9</t>
  </si>
  <si>
    <t>Idira, R (On the Application Of) v The Secretary of State for the Home Department (Rev 1) [2015] EWCA Civ 1187</t>
  </si>
  <si>
    <t>80701211-fe03-4dc0-972a-b2e5467876b9_legal_classification</t>
  </si>
  <si>
    <t>Categorization of legal issues involved in the case, emphasizing human rights considerations.</t>
  </si>
  <si>
    <t>Legal Classification: Primary Category: Human Rights Legal Areas: Immigration Law, Administrative Law, Human Rights Law Jurisdiction: England and Wales Court Level: Appellate Legal Issues: Is it lawful to detain time-served foreign national offenders in prisons instead of IRCs?. Does such detention infringe Article 5(1) of the ECHR?. Are the conditions in prison 'unduly harsh' as defined by legal standards? Keywords: Immigration detention, European Convention on Human Rights, Article 5(1), Legal assessment, Prison conditions</t>
  </si>
  <si>
    <t>43ef5de1-aec0-41aa-83ef-7f2ecf54e8b8</t>
  </si>
  <si>
    <t>43ef5de1-aec0-41aa-83ef-7f2ecf54e8b8_legal_classification</t>
  </si>
  <si>
    <t>Classification of the case under tax law and with focus on capital allowances.</t>
  </si>
  <si>
    <t>Legal Classification: Primary Category: Tax Law Legal Areas: Taxation, Corporate Law, Capital Allowances Jurisdiction: England and Wales Court Level: appellate Legal Issues: Whether the vessels were used for a qualifying purpose under the Capital Allowances Act.. Whether obtaining writing-down allowances was a main object of the transaction. Keywords: Capital Allowances Act, tax law, corporate tax, attribution of tax benefits, writing-down allowances</t>
  </si>
  <si>
    <t>This case shows 69% similarity based on legal classification analysis.</t>
  </si>
  <si>
    <t>969f076d-9173-440b-9f31-7f9c274d33d7</t>
  </si>
  <si>
    <t>Chappell v HM Revenue and Customs [2016] EWCA Civ 809</t>
  </si>
  <si>
    <t>969f076d-9173-440b-9f31-7f9c274d33d7_case_analysis</t>
  </si>
  <si>
    <t>Assessment of the case's precedent value, complexity, and its significance for future tax avoidance schemes and statutory interpretation.</t>
  </si>
  <si>
    <t>Case Analysis and Reasoning: Precedent Strength Assessment (9/10): • This is a Court of Appeal decision applying and refining Ramsay-style statutory construction in a high-stakes tax-avoidance context, increasing its persuasive authority for similar cases. • The judgment engages with a broad and influential line of authorities (Ramsay, MacNiven, Barclays Mercantile, UBS, Arrowtown, etc.) and clarifies how purposive interpretation interacts with a comprehensive statutory regime (Schedule 23A, 1993 Regulations). • Because the Court of Appeal sits above UT and FtT, and because it interprets core tax provisions, its reasoning is likely to be cited in future cases involving MODs, Schedule 23A, and Regulation 2B. • The decision recognizes that while a purposive approach can disregard artificial elements in a composite transaction, the specific statutory framework can constrain relief, limiting broad application of the Ramsay doctrine in tax-avoidance schemes. Confidence: 86% Complexity Score Assessment (9/10): • Multiple overlapping issues: construction of paragraph 4(1), operation of Regulation 2B, interaction with s.3, and whether the transactions are genuine economic activities or tax-avoidance devices. • Involves detailed statutory interpretation, review of regulatory scheme (Schedule 23A and 1993 Regulations), and comparison with major tax avoidance cases (Ramsay, MacNiven, Barclays Mercantile, UBS). • Fact pattern includes a complex network of entities (SCL, SGBH, Brecknock, SGH, Barsbury, Qintar, SGBT) and a structured securities lending transaction with circular payments, enhancing factual complexity. • Determining the applicability of the ‘reality’ principle versus the statutory code requires careful synthesis of real-world transactions with statutory relief provisions. Confidence: 84% Legal Significance: Landmark case with exceptional legal significance</t>
  </si>
  <si>
    <t>Ramsay || Barclays Mercantile || UBS || Arrowtown || MacNiven || Duke of Westminster</t>
  </si>
  <si>
    <t>df2f12d2-2784-4981-b98a-fcd919be08c3</t>
  </si>
  <si>
    <t>Inmarsat Global Limited v Commissioners for Her Majesty's Revenue and Customs [2022] EWCA Civ 1076</t>
  </si>
  <si>
    <t>df2f12d2-2784-4981-b98a-fcd919be08c3_case_analysis</t>
  </si>
  <si>
    <t>Analytical assessment of the decision’s value as precedent and its complexity; highlights the limits of deeming provisions, the nuanced interaction between s61(4) and s78, and the practical implications for similar tax-structuring arrangements.</t>
  </si>
  <si>
    <t>Case Analysis and Reasoning: Precedent Strength Assessment (8/10): • Court of Appeal level provides strong precedent within UK tax law on interpreting deeming provisions. • The case addresses the interaction of s61(4) and s78, clarifying that deemed ownership does not automatically trigger capital allowances for launches. • Distinct treatment of lease structures (I-2 vs I-3) and the timing of succession to trade enhances its specificity and applicability in similar hybrid leasing/sourcing arrangements. Confidence: 75% Complexity Score Assessment (9/10): • Multiple intertwined issues: s78 deeming mechanism, s61(4) ownership, and lease-based financing complexities. • Technical statute interplay (CAA 1990, ITA 1988) with nuanced interpretation of 'belonging' and 'provision of plant'. • Differentiation between I-2 and I-3 satellite arrangements adds factual complexity and interpretive nuance. Confidence: 70% Legal Significance: Highly significant case with strong precedential value</t>
  </si>
  <si>
    <t>East End Dwellings || Guthrie || Ben-Odeco</t>
  </si>
  <si>
    <t>040ab589-56f8-4251-905d-ade1d7b6bf28</t>
  </si>
  <si>
    <t>Peninsular &amp; Oriental Steam Navigation Company v HM Revenue and Customs [2016] EWCA Civ 468 (Court of Appeal, Civil Division)</t>
  </si>
  <si>
    <t>040ab589-56f8-4251-905d-ade1d7b6bf28_metadata_summary</t>
  </si>
  <si>
    <t>Overview of the appeal, parties, and the Court of Appeal’s role in clarifying the DTR framework.</t>
  </si>
  <si>
    <t>Case: Peninsular &amp; Oriental Steam Navigation Company v HM Revenue and Customs [2016] EWCA Civ 468 (Court of Appeal, Civil Division) Court: England and Wales Court of Appeal (Civil Division) Category: Tax Law / International Tax Legal Areas: Tax Law, International Tax, Corporate Tax, Statutory Interpretation, Double Taxation Relief, Finance Act &amp; ICTA 1988 Provisions Abstract: Court of Appeal decision addressing the tax treatment of foreign tax credits (DTR) in a rate-boosting scheme designed to maximise Case V foreign tax credits through an intragroup dividend chain. The appeal largely fails, with the court accepting HMRC’s positions on several points but allowing relief for a narrow amount (£811,800) arising from a specific dividend event. The judgment provides a detailed statutory interpretation of ICTA 1988 provisions governing underlying tax, the mixer cap, higher-level dividends and related concepts, and clarifies the relationship between actual, paid, and deemed taxes in the unilateral relief regime. Keywords: double taxation relief, foreign tax credit, Case V dividend, mixer cap, underlying tax, tax borne, higher level dividend, ICTA 1988, dividend chain, Court of Appeal Precedent Strength: 8/10 (78% confidence) Precedent Reasoning: The decision clarifies key ICTA 1988 provisions (790, 792, 799, 801, 806B, 806J) and the interpretation of 'underlying tax' and 'tax borne' within a complex cross-border dividend structure. It addresses novel issues around linking 'mixer cap' mechanics with higher-level dividends and the flow-through of dividends through intermediate foreign subsidiaries, which could influence future DTR disputes in similar multinational chains. By affirming the CA as a leading appellate interpretation of the double tax relief regime, it provides a high-value precedent in UK domestic tax law and for cross-border group relief cases. However, the relief granted is narrow (A$811,800), indicating that while the framework is clarified, many factual and numerical results remain case-specific and may limit generalizability. Complexity: 9/10 (83% confidence) Complexity Reasoning: Multiple intertwined statutory provisions (790, 792, 799, 801, 806B, 806J) and complex definitions (foreign tax, underlying tax, divisional concepts) create a high level of technical legal complexity. The case involves a multi-country corporate structure (UK and Australi…</t>
  </si>
  <si>
    <t>This case shows 65% similarity based on metadata summary analysis.</t>
  </si>
  <si>
    <t>d23d9f9f-4d0a-455a-bab1-0ce1a023b722_case_analysis</t>
  </si>
  <si>
    <t>Case analysis of precedent value and complexity: assesses why the decision is significant for appellate practice in tax cases, the novelty (or lack thereof) of Ground 2, and the factors contributing to case complexity and its potential influence on future cases.</t>
  </si>
  <si>
    <t>Case Analysis and Reasoning: Precedent Strength Assessment (7/10): • The decision is issued by the Court of Appeal (Civil Division), a high authority that routinely shapes appellate practice in tax cases. • The holding pertains primarily to procedural pleading and the proper timing of grounds of appeal, rather than creating broad new tax-law doctrine. • The case cites Ramsay, Tower, BMBF, Ensign, and relevant statutory provisions, indicating a careful but narrow application of established authorities rather than novel precedent. Confidence: 70% Complexity Score Assessment (8/10): • Multiple intertwined issues including Ramsay’s disposal notion, section 11/70E interactions, and the mechanics of long funding leases. • Significant factual complexity in the structure of Put/Call arrangements and QE/QA calculations. • A layered appellate history (FTT → UT → CA) with procedural intricacies about pleading grounds and permission to appeal. • High level of statutory interpretation and application of case law to a multi-step financial arrangement. Confidence: 75% Legal Significance: Important case with notable legal impact</t>
  </si>
  <si>
    <t>Ramsay || Tower || BMBF || Ensign || UKUT 00185 (TCC)</t>
  </si>
  <si>
    <t>6bee451b-9500-46bf-8472-4341ada4c852</t>
  </si>
  <si>
    <t>GMGRM North Ltd &amp; Ors v Ritchie (Revenue and Customs)</t>
  </si>
  <si>
    <t>6bee451b-9500-46bf-8472-4341ada4c852_case_analysis</t>
  </si>
  <si>
    <t>Analysis of the implications of the case and its precedent strength.</t>
  </si>
  <si>
    <t>Case Analysis and Reasoning: Precedent Strength Assessment (7/10): • The case is significant as it involves the interpretation of statutory tax provisions and the exercise of discretion by HMRC. • It reflects important legal principles around the timing of tax claims and the responsibilities of companies to act within statutory limits. • The strength comes from its relevance across tax law and future administrative law challenges, reinforced by the authoritative Court of Appeal. Confidence: 85% Complexity Score Assessment (6/10): • Several legal issues of interpretation arose surrounding statutory provisions and HMRC policies, requiring careful legal analysis. • The factual background involved intricate corporate tax strategies, making the case technically complex, albeit within standard tax law parameters. • The case's complexity is mitigated by the clear legal standards applied in judicial review. Confidence: 80% Legal Significance: Moderately significant case with some precedential value</t>
  </si>
  <si>
    <t>df4c5dab-61e8-4ecb-894c-c1824b8daad2</t>
  </si>
  <si>
    <t>Good v Commissioners of HM Revenue and Customs [2023] EWCA Civ 114</t>
  </si>
  <si>
    <t>df4c5dab-61e8-4ecb-894c-c1824b8daad2_citations_precedents</t>
  </si>
  <si>
    <t>Authorities cited to support statutory interpretation and entitlement concepts.</t>
  </si>
  <si>
    <t>Citations and Authorities: Neutral Citations: [2023] EWCA Civ 114, [2023] WLR(D) 79, [2023] STC 301, [2023] 1 WLR 2062, [2023] BTC 3, [2023] STI 238 Law Reports: WLR(D) 79, EWCA Civ 114, STC 301, 1 WLR 2062, BTC 3, STI 238 Referenced Cases: UBS AG v Revenue and Customs Commissioners [2016] UKSC 13, Khan v HMRC (referenced in context of entitlement and purposive interpretation), Peracha v Miley [1990] STC 512, Wood Preservation v Prior [1969] 1 All ER 364, RFC 2012 plc v AG Scotland [2017] UKSC 45, Ingenious Games [2019] UKUT 226 (TCC), Durham Brothers (assignment failure case referenced for statutory assignment analysis), CIR v Paterson (1924) 9 TC 163, Dunmore v McGowan [1978] STC 217 Citation Count: 9</t>
  </si>
  <si>
    <t>UBS v HMRC [2016] UKSC 13 || Khan || RFC 2012 plc v AG Scotland [2017] UKSC 45</t>
  </si>
  <si>
    <t>9c9b344f-0010-4488-974f-bfc7a06766a5</t>
  </si>
  <si>
    <t>VolkerRail Plant Ltd &amp; Ors v HMRC [2023] EWCA Civ 210</t>
  </si>
  <si>
    <t>9c9b344f-0010-4488-974f-bfc7a06766a5_citations_precedents</t>
  </si>
  <si>
    <t>CJEU and UK authorities cited to frame the legal framework and justification for or against restricting group relief.</t>
  </si>
  <si>
    <t>Citations and Authorities: Neutral Citations: [2023] EWCA Civ 210, [2023] BTC 5, [2023] STC 546, [2023] STI 573 Law Reports: Referenced Cases: Philips Electronics UK Ltd [2013] 1 CMLR 6; [2013] STC 41, NN A/S v Skatteministeriet EU:C:2018:526, Bevola &amp; Jens W Trock ApS v Skatteministeriet [2018] STC 1415, Marks &amp; Spencer plc v Halsey [2006] Ch 184; [2006] STC 237, European Commission v UK [2015] STC 1055; Case C-172/13, AURES Holdings a.s. v Odvolací Finanční Ředitelství [2020] STC 1695, Re K; widely cited in context of proportionality and carry-forward rules (conceptual reference in discussion) Citation Count: 7</t>
  </si>
  <si>
    <t>Philips || NN || Bevola || M&amp;S || AURES || European Commission v UK</t>
  </si>
  <si>
    <t>This case shows 62% similarity based on citations precedents analysis.</t>
  </si>
  <si>
    <t>3b5f0b35-9abc-4644-bd76-178e4ddaa226</t>
  </si>
  <si>
    <t>Cobalt Data Centre 2 LLP &amp; Anor v HM Revenue &amp; Customs [2022] EWCA Civ 1422</t>
  </si>
  <si>
    <t>3b5f0b35-9abc-4644-bd76-178e4ddaa226_outcome_holding</t>
  </si>
  <si>
    <t>Holding: Change Orders were not a valid variation; DC2/DC3 were under new contracts; EZAs accordingly not available for those expenditures.</t>
  </si>
  <si>
    <t>Case Outcome: Holding: Court of Appeal held that Change Orders 2 and 3 were not valid variations under clause 12 of the Golden Contract; the DC2/DC3 obligations arose under fresh, separate contracts (SDAs) rather than a variation of the Golden Contract; consequently, the EZAs for those expenditures were not available under the statutory time limits. HMRC’s appeal was upheld on the EZAs issue; the LLPs’ cross‑appeal for broader EZAs was not granted. Outcome: defendant Precedent Strength: 8/10 Complexity Score: 9/10 Damages: 0 Legal Significance: Highly significant case with strong precedential value</t>
  </si>
  <si>
    <t>Morris v Baron &amp; Co || Souglides v Tweedie || The Aramis</t>
  </si>
  <si>
    <t>This case shows 62% similarity based on outcome holding analysis.</t>
  </si>
  <si>
    <t>abb3abd3-a4b2-4d42-adc3-110706af9c6d</t>
  </si>
  <si>
    <t>Inland Revenue &amp; Anor v Test Claimants In the Franked Investment Income Group Litigation [2014] EWCA Civ 1214</t>
  </si>
  <si>
    <t>abb3abd3-a4b2-4d42-adc3-110706af9c6d_legal_classification</t>
  </si>
  <si>
    <t>Classification regarding tax law and corporate taxation under EU law is central to the case.</t>
  </si>
  <si>
    <t>Legal Classification: Primary Category: Tax Law Legal Areas: Taxation, EU Law, Corporate Law Jurisdiction: England and Wales Court Level: Appellate Legal Issues: Whether the HMRC could amend their defense based on the applicability of Article 64(1) TFEU to deny claims regarding ACT on foreign dividends.. Was the FID regime a new restriction in violation of Article 56 TFEU? Keywords: Tax law, EU law, Inland Revenue, Corporate taxation, Foreign income dividends</t>
  </si>
  <si>
    <t>This case shows 62% similarity based on legal classification analysis.</t>
  </si>
  <si>
    <t>This case shows 70% similarity based on case analysis analysis.</t>
  </si>
  <si>
    <t>6704e94e-e6b0-4dfe-b4c9-c5d695bdc6aa</t>
  </si>
  <si>
    <t>Pearce, R (On the Application Of) v Parole Board of England and Wales &amp; Anor [2022] EWCA Civ 4</t>
  </si>
  <si>
    <t>6704e94e-e6b0-4dfe-b4c9-c5d695bdc6aa_procedural_history</t>
  </si>
  <si>
    <t>Procedural history: The decision arises from a High Court administrative-law judicial review; appealed to the Court of Appeal (Civil Division); hearing date 24 November 2021; judgment issued 14 January 2022.</t>
  </si>
  <si>
    <t>Procedural History: Court: England and Wales Court of Appeal (Civil Division) Lower Court: High Court of Justice Queen's Bench Division Administrative Court Judges: Lord Justice Lewison, Lady Justice Macur, Lord Justice Snowden Case Number: C1/2021/0297 Last Hearing Date: 14 January 2022 Duration: 2 days</t>
  </si>
  <si>
    <t>[2020] EWHC 3437 (Admin)</t>
  </si>
  <si>
    <t>This case shows 69% similarity based on procedural history analysis.</t>
  </si>
  <si>
    <t>9826ea30-d68f-4beb-b85e-e38b5e1c7cae</t>
  </si>
  <si>
    <t>C3 &amp; Anor v The Secretary of State for Foreign, Commonwealth &amp; Development Affairs [2023] EWCA Civ 444</t>
  </si>
  <si>
    <t>9826ea30-d68f-4beb-b85e-e38b5e1c7cae_procedural_history</t>
  </si>
  <si>
    <t>Procedural trajectory: initiation in Administrative Court under Part 87 CPR; Divisional Court decision (Nov 2022); appeal to the Court of Appeal (EWCA Civ 444) with hearings 27-28 February 2023.</t>
  </si>
  <si>
    <t>Procedural History: Court: England and Wales Court of Appeal (Civil Division) Lower Court: High Court of Justice, King's Bench Division, Administrative Court Judges: Lord Justice Underhill, Lord Justice Holroyde, Lady Justice Elisabeth Laing Case Number: CA-2022-002378 Last Hearing Date: 2023-04-25 Duration: 2 days</t>
  </si>
  <si>
    <t>[2022] EWHC 2772 (Admin) || [2011] EWCA Civ 1540 || [2012] EWCA Civ 182</t>
  </si>
  <si>
    <t>be44e528-bdba-4691-afcc-c607a89fd1dc</t>
  </si>
  <si>
    <t>R (On the Application Of) v Secretary of State for the Home Department (Rev1) [2022] EWCA Civ 30</t>
  </si>
  <si>
    <t>be44e528-bdba-4691-afcc-c607a89fd1dc_procedural_history</t>
  </si>
  <si>
    <t>Documents the procedural trajectory: High Court decision, leave to appeal granted on a point, hearing date and timing of judgment.</t>
  </si>
  <si>
    <t>Procedural History: Court: England and Wales Court of Appeal (Civil Division) Lower Court: High Court of Justice Queen's Bench Division Administrative Court Judges: Lord Justice Underhill, Lady Justice Asplin, Lady Justice Elisabeth Laing Case Number: C4/2021/0457 Last Hearing Date: 19 January 2022 Duration: 55 days</t>
  </si>
  <si>
    <t>f78142fc-13ea-4fb5-9a5e-1efbdc8d3c38</t>
  </si>
  <si>
    <t>AAA (Syria) &amp; Ors v Secretary of State for the Home Department [2023] EWCA Civ 266</t>
  </si>
  <si>
    <t>f78142fc-13ea-4fb5-9a5e-1efbdc8d3c38_procedural_history</t>
  </si>
  <si>
    <t>Procedural history: appellate progression from High Court Divisional Court to Court of Appeal; multi-party appeals with UNHCR intervenor; hearing date 14 March 2023.</t>
  </si>
  <si>
    <t>Procedural History: Court: England and Wales Court of Appeal (Civil Division) Lower Court: Divisional Court, [2023] EWHC 55 (Admin) Judges: Lord Justice Underhill Case Number: CA-2023-000176Y; CA-2023-000180Y; CA-2023-000170; CA-2023-001189; CA-2023-000178; CA-2023-000193; CA-2023-000172; CA-2023-000189 Last Hearing Date: 14/03/2023 Duration: 2 days</t>
  </si>
  <si>
    <t>e99652af-372a-448f-8251-a215010e8b3a</t>
  </si>
  <si>
    <t>Richards, R (On the Application Of) v The Environment Agency [2022] EWCA Civ 26</t>
  </si>
  <si>
    <t>e99652af-372a-448f-8251-a215010e8b3a_procedural_history</t>
  </si>
  <si>
    <t>Procedural path from the judicial review in the High Court to the Court of Appeal, including hearing dates and grounds of appeal.</t>
  </si>
  <si>
    <t>Procedural History: Court: England and Wales Court of Appeal (Civil Division) Lower Court: High Court (Queen's Bench Division) Administrative Court Judges: Lord Justice Keith Lindblom, Lord Justice Lewis, Lady Justice Elisabeth Laing Case Number: C5/2021/1315 Last Hearing Date: 17 January 2022 Duration: 2 days</t>
  </si>
  <si>
    <t>de4a5f2b-b3c7-4369-9020-dcc807bb315b</t>
  </si>
  <si>
    <t>Elkundi, R (On the Application Of) v Birmingham City Council [2022] EWCA Civ 601</t>
  </si>
  <si>
    <t>de4a5f2b-b3c7-4369-9020-dcc807bb315b_procedural_history</t>
  </si>
  <si>
    <t>Procedural trajectory: appeals from Administrative Court, judge names, case numbers, and hearing schedule.</t>
  </si>
  <si>
    <t>Procedural History: Court: England and Wales Court of Appeal (Civil Division) Lower Court: Administrative Court Judges: Lord Justice Underhill, Lord Justice Peter Jackson, Lord Justice Lewis Case Number: CA 2021-000621 &amp; CA 2021-001377 Last Hearing Date: 2022-05-04 Duration: 3 days</t>
  </si>
  <si>
    <t>5bc05b2e-6b7d-4270-b799-9d29ed174d14</t>
  </si>
  <si>
    <t>MD &amp; Anor v Secretary of State for the Home Department [2022] EWCA Civ 336</t>
  </si>
  <si>
    <t>5bc05b2e-6b7d-4270-b799-9d29ed174d14_procedural_history</t>
  </si>
  <si>
    <t>Procedural posture: two claims in the Administrative Court, Kerr J’s ruling in May 2021, and the appeal to the Court of Appeal with hearing dates and counsel; the Supreme court guidance and appellate issues are outlined.</t>
  </si>
  <si>
    <t>Procedural History: Court: England and Wales Court of Appeal (Civil Division) Lower Court: High Court of Justice, Queen's Bench Division, Administrative Court Judges: Lord Justice Underhill, Lady Justice Asplin, Lady Justice Simler Case Number: C4/2021/1133 Last Hearing Date: 16/03/2022 Duration: 2 days</t>
  </si>
  <si>
    <t>Kerr J judgment || Mostyn J judgement (K&amp;A) || R (K and AM) background</t>
  </si>
  <si>
    <t>3e059541-8504-4163-a05b-ede4202b7675</t>
  </si>
  <si>
    <t>Cleeland, R (On the Application Of) v Criminal Cases Review Commission [2022] EWCA Civ 5</t>
  </si>
  <si>
    <t>3e059541-8504-4163-a05b-ede4202b7675_procedural_history</t>
  </si>
  <si>
    <t>Procedural history tracing the claimant’s longstanding attempts to challenge his conviction through the CACD, CCRC, and judicial review, including multiple decisions and timing.</t>
  </si>
  <si>
    <t>Procedural History: Court: England and Wales Court of Appeal (Civil Division) Lower Court: High Court of Justice Queen's Bench Division, Administrative Court Judges: Lord Justice Underhill, Lord Justice Bean, Lady Justice Andrews Case Number: C1/2021/1555/PTA Last Hearing Date: 11 January 2022 Duration: 0 days</t>
  </si>
  <si>
    <t>Charles; Neuberg; Pendleton; Mills &amp; Poole</t>
  </si>
  <si>
    <t>445f0437-9772-49a4-bfbc-53967e1e53ac</t>
  </si>
  <si>
    <t>445f0437-9772-49a4-bfbc-53967e1e53ac_legal_classification</t>
  </si>
  <si>
    <t>Classification of the dispute within contract, insurance, and private international law frameworks.</t>
  </si>
  <si>
    <t>Legal Classification: Primary Category: Contract/Insurance; Jurisdiction and Choice of Law; Private International Law Legal Areas: Contract interpretation, Choice of law and jurisdiction, Insurance law, Private international law, Cross-border litigation, Public international private law Jurisdiction: England and Wales Court Level: Appellate (Court of Appeal, Civil Division) Legal Issues: Whether the Applicable Law and Jurisdiction clause grants English court jurisdiction over the claims. Whether the clause provides exclusive local jurisdiction with a fallback to English jurisdiction. Effect of typographical/structural notes in the clause on interpretation. Impact of private international law on cross-border insurance claims. Construction of multi‑jurisdiction clauses in insurance policies Keywords: insurance contracts, applicable law, jurisdiction clause, English court jurisdiction, local jurisdiction, fallback to English jurisdiction, multi-risk policies, COVID-19 business interruption, private international law, conflict of laws, contract interpretation</t>
  </si>
  <si>
    <t>This case shows 70% similarity based on citations precedents analysis.</t>
  </si>
  <si>
    <t>e050e594-d197-45f1-ba15-7d110c0d93c4_citations_precedents</t>
  </si>
  <si>
    <t>Authorities cited to frame the doctrine of indemnity, reinstatement, and the effect of insurable interests and policy wording.</t>
  </si>
  <si>
    <t>Citations and Authorities: Neutral Citations: [2016] EWCA Civ 1003 Law Reports: Referenced Cases: Castellain v Preston [1883] 11 QBD 380, Reynolds v Phoenix Assurance Co Ltd [1978] 2 Lloyd's Rep 440, Leppard v Excess Insurance [1979] 1 WLR 512, Lonsdale &amp; Thompson Ltd v Black Arrow Group [1993] Ch 361, Keystone Properties Ltd v Sun Alliance and London Insurance plc [1993] SC 494, Pleasurama v Sun Alliance [1979] 1 Lloyd's Rep 389, Forbes J Reynolds v Phoenix Assurance Co Ltd, Tonkin v UK Insurance Ltd [2006] EWHC 550, McGillivray (author) (references in judgment), Sprung v Royal Insurance (UK) Ltd [1997] CLC 70, Halsbury's Laws - Insurance 25(633), Keystone Properties (as authority for reinstatement measure) Citation Count: 12</t>
  </si>
  <si>
    <t>Castellain v Preston || Reynolds v Phoenix Assurance Co Ltd || Leppard v Excess Insurance || Lonsdale &amp; Thompson Ltd v Black Arrow Group || Keystone Properties Ltd v Sun Alliance and London Insurance plc || Pleasurama v Sun Alliance || Tonkin v UK Insurance Ltd || Forbes J Reynolds v Phoenix Assurance Co Ltd || Sprung v Royal Insurance (UK) Ltd || McGillivray (insurance drafting authorities)</t>
  </si>
  <si>
    <t>00167e1d-845c-4a1d-b17c-1c91c10b2c37</t>
  </si>
  <si>
    <t>Bank of New York Mellon (International) Limited v Cine-UK Limited [2022] EWCA Civ 1021</t>
  </si>
  <si>
    <t>00167e1d-845c-4a1d-b17c-1c91c10b2c37_citations_precedents</t>
  </si>
  <si>
    <t>Authorities cited underpinning contract interpretation and pandemic-related insurance / risk considerations.</t>
  </si>
  <si>
    <t>Citations and Authorities: Neutral Citations: [2022] EWCA Civ 1021 Law Reports: Referenced Cases: Financial Conduct Authority v Arch Insurance [2021] UKSC 1; [2021] AC 649, Bromarin v IMD Investments Limited [1999] STC 301, Yoo Design (jurisdictional design/implication discussion), Chadwick LJ in Bromarin (interpretation and implication discussions) Citation Count: 4</t>
  </si>
  <si>
    <t>Financial Conduct Authority v Arch Insurance [2021] UKSC 1 || Bromarin v IMD Investments Limited [1999] STC 301 || Yoo Design (citations or passages referenced)</t>
  </si>
  <si>
    <t>adbfae0c-b473-4f94-9e74-30a2382d20ba</t>
  </si>
  <si>
    <t>Trust Risk Group SPA v AmTrust Europe Ltd [2015] EWCA Civ 437</t>
  </si>
  <si>
    <t>adbfae0c-b473-4f94-9e74-30a2382d20ba_legal_classification</t>
  </si>
  <si>
    <t>Classifies the legal context of the case across various relevant areas of law.</t>
  </si>
  <si>
    <t>Legal Classification: Primary Category: Contract Dispute Legal Areas: Commercial Law, Insurance Law, Contract Law Jurisdiction: England and Wales Court Level: Appellate Legal Issues: Whether the Framework Agreement superseded the Terms of Business Agreement (ToBA).. Jurisdictional questions arising from conflicting law and jurisdiction clauses within the contracts. Keywords: jurisdiction, contract interpretation, insurance law, arbitration, legal principles</t>
  </si>
  <si>
    <t>fcbf3975-3755-45fa-9124-191d1a392003</t>
  </si>
  <si>
    <t>Wood v Sureterm Direct Ltd &amp; Capita Insurance Services Ltd [2015] EWCA Civ 839</t>
  </si>
  <si>
    <t>fcbf3975-3755-45fa-9124-191d1a392003_legal_classification</t>
  </si>
  <si>
    <t>This section classifies the case within the legal framework, highlighting relevant legal categories and areas of law involved.</t>
  </si>
  <si>
    <t>Legal Classification: Primary Category: Contract Dispute Legal Areas: Contract Law, Insurance Law, Commercial Law Jurisdiction: England and Wales Court Level: Appellate Legal Issues: Interpretation of indemnity clause in the SPA. Whether indemnity applies without client claims or complaints. Application of regulatory obligations regarding mis-selling Keywords: indemnity clause, contract law, mis-selling, insurance, appeal</t>
  </si>
  <si>
    <t>394294db-f0b6-4f0f-a9df-ced441c7f6f1</t>
  </si>
  <si>
    <t>Aspen Insurance UK Ltd v Adana Construction Ltd [2015] EWCA Civ 176</t>
  </si>
  <si>
    <t>394294db-f0b6-4f0f-a9df-ced441c7f6f1_legal_classification</t>
  </si>
  <si>
    <t>This section categorizes the case into relevant legal classifications, focusing on the areas of law affected by the ruling.</t>
  </si>
  <si>
    <t>Legal Classification: Primary Category: Insurance/Construction Liability Legal Areas: Insurance Law, Contract Law, Construction Law Jurisdiction: England and Wales Court Level: Appellate Legal Issues: Interpretation of insurance policy definitions. Determination of liability under construction work. Analysis of products versus contributions in building liability cases Keywords: insurance, construction law, liability, negligence, insurance policy interpretation</t>
  </si>
  <si>
    <t>f4622297-782a-464e-8eda-23f6cf392375</t>
  </si>
  <si>
    <t>AIG Europe SA &amp; Ors v John Wood Group Plc &amp; Anor [2022] EWCA Civ 781 (10 June 2022)</t>
  </si>
  <si>
    <t>f4622297-782a-464e-8eda-23f6cf392375_legal_classification</t>
  </si>
  <si>
    <t>Classification of the case as a contract/insurance cross-border dispute with focus on jurisdiction and choice-of-law clauses.</t>
  </si>
  <si>
    <t>Legal Classification: Primary Category: Contract/Insurance Legal Areas: Contract Law, Insurance Law, Choice of Law and Jurisdiction, Anti-Suit Injunctions, Cross-Border Litigation, Jurisdiction Clauses, English Law, Commercial Court (England) Jurisdiction: England and Wales Court Level: Court of Appeal (Civil Division) Legal Issues: Whether English exclusive jurisdiction applies to excess policies with PPJC and/or clause 11. Effect of PPJC on exclusive jurisdiction in absence of a primary policy clause. Relation between clause 11 (Global Umbrella) and clause 12 (First/Third Excess) in determining jurisdiction. Whether Scotland-origin policy exception affects interpretation of jurisdiction clauses. Appropriate standard of proof for breach of an arbitration/exclusive jurisdiction clause (high degree of probability). Role of comity and delay considerations (Ecobank v Tanoh) in exclusive jurisdiction cases. Impact of English law/jurisdiction mandatory language on interpretation of the clauses. Policy-anchored forum selection in multi-layer insurance arrangements Keywords: anti-suit injunction, exclusive jurisdiction clause, insurance tower, Market Reform Contract, Global Umbrella Policy, primary policy, excess policies, choice of law, commercial court, cross-border litigation</t>
  </si>
  <si>
    <t>Fiona Trust v Privalov || Konkola Copper Mines v Coromin</t>
  </si>
  <si>
    <t>21eb721f-d8b2-4c96-bff1-74c6066eea1d</t>
  </si>
  <si>
    <t>Spire Healthcare Limited v Royal &amp; Sun Alliance Insurance Limited [2022] EWCA Civ 17</t>
  </si>
  <si>
    <t>21eb721f-d8b2-4c96-bff1-74c6066eea1d_citations_precedents</t>
  </si>
  <si>
    <t>Catalogs precedents cited as the backbone of the Court of Appeal’s reasoning on contract interpretation and aggregation.</t>
  </si>
  <si>
    <t>Citations and Authorities: Neutral Citations: [2022] EWCA Civ 17, [2022] Bus LR 170, [2022] WLR(D) 23, [2022] PNLR 15 Law Reports: [2022] EWCA Civ 17, [2022] Bus LR 170, [2022] WLR(D) 23, [2022] PNLR 15 Referenced Cases: Lloyds TSB General Insurance Holdings v Lloyds Bank Group Insurance Co Ltd [2003] UKHL 48, AIG Europe Ltd v OC320301 LLP and others [2016] EWCA Civ 367, AIG v Woodman [2017] UKSC 18, Hooley Hill Rubber &amp; Chemical Company Ltd v Royal Insurance Company [1920] 1 KB 257, Longmore LJ (in AIG Europe Ltd v OC320301 LLP) [2016] EWCA Civ 367 Citation Count: 5</t>
  </si>
  <si>
    <t>Lloyds TSB General Insurance Holdings v Lloyds Bank Group Insurance Co Ltd || AIG Europe Ltd v OC320301 LLP || AIG v Woodman || Hooley Hill Rubber &amp; Chemical Company Ltd v Royal Insurance Company</t>
  </si>
  <si>
    <t>83040df0-5ebd-481d-96b8-e53b37e0f97e</t>
  </si>
  <si>
    <t>Starlight Shipping Company v Allianz Marine &amp; Aviation Versicherungs AG &amp; Ors</t>
  </si>
  <si>
    <t>83040df0-5ebd-481d-96b8-e53b37e0f97e_legal_classification</t>
  </si>
  <si>
    <t>Categorization of the case under relevant legal fields.</t>
  </si>
  <si>
    <t>Legal Classification: Primary Category: Contract Law Legal Areas: Insurance Law, Contract Law, International Jurisdiction Jurisdiction: England and Wales Court Level: appellate Legal Issues: Validity of jurisdiction clauses in settlement agreements. Whether Greek claims fall under the terms of the agreements. Breach of settlement and jurisdiction provisions. Application of indemnity provisions under the agreements. Interference with EU law regarding jurisdiction Keywords: settlement agreements, insurance, jurisdiction, exclusive jurisdiction clause, damages</t>
  </si>
  <si>
    <t>a87860ff-994f-4309-bdb5-6259022af9ab</t>
  </si>
  <si>
    <t>Steve Ward Services (UK) Limited v Davies &amp; Davies Associates Limited [2022] EWCA Civ 153</t>
  </si>
  <si>
    <t>a87860ff-994f-4309-bdb5-6259022af9ab_citations_precedents</t>
  </si>
  <si>
    <t>List of authorities cited and applied in reasoning.</t>
  </si>
  <si>
    <t>Citations and Authorities: Neutral Citations: [2022] EWCA Civ 153, 203 Con LR 57 Law Reports: Referenced Cases: [2011] UKSC 50 - Rainy Sky SA v Kookmin Bank, [2015] UKSC 36 - Arnold v Britton, [2017] UKSC 24 - Woods v Capita Insurance Services Ltd, [2001] EWCA Civ 1466 - Paragon Finance PLC v Nash, [2002] 1 WLR 685, [2012] EWCA Civ 1371 - PC Harrington Contractors Ltd v Systech International Ltd, [2013] BLR 1, [2021] EWCA Civ 1558 - TRW Ltd v Panasonic Industry Europe GmbH, [2022] EWCA Civ 153 Citation Count: 9</t>
  </si>
  <si>
    <t>Rainy Sky SA v Kookmin Bank || Arnold v Britton || Paragon Finance PLC v Nash || PC Harrington Contractors Ltd v Systech International Ltd || TRW Ltd v Panasonic Industry Europe GmbH || Woods v Capita Insurance Services Ltd</t>
  </si>
  <si>
    <t>6436f55e-06d2-4659-86d5-143b8282fec2</t>
  </si>
  <si>
    <t>Burnford &amp; Ors v Automobile Association Developments Limited [2022] EWCA Civ 1943</t>
  </si>
  <si>
    <t>6436f55e-06d2-4659-86d5-143b8282fec2_citations_precedents</t>
  </si>
  <si>
    <t>Authorities cited or relied upon in discussing the reflective loss doctrine and related principles.</t>
  </si>
  <si>
    <t>Citations and Authorities: Neutral Citations: [2022] EWCA Civ 1943 Law Reports: Referenced Cases: Marex Financial Ltd v Sevilleja [2020] UKSC 31, Primeo Fund v Bank of Bermuda (Cayman) Ltd [2021] UKPC 22, Foss v Harbottle, Allianz Global Investors GmbH v Barclays Bank plc [2022] EWCA Civ 353, UCP plc v Nectrus Ltd [2022] EWCA Civ 949, X (Minors) v Bedfordshire County Council [1995] 2 AC 633, Lungowe v Vedanta Resources plc [2019] UKSC 20, Prudential Citation Count: 8</t>
  </si>
  <si>
    <t>Marex Financial Ltd v Sevilleja [2020] UKSC 31 || Primeo Fund v Bank of Bermuda (Cayman) Ltd [2021] UKPC 22 || Foss v Harbottle || Allianz Global Investors GmbH v Barclays Bank plc [2022] EWCA Civ 353 || UCP plc v Nectrus Ltd [2022] EWCA Civ 949 || X (Minors) v Bedfordshire County Council [1995] 2 AC 633 || Lungowe v Vedanta Resources plc [2019] UKSC 20 || Prudential</t>
  </si>
  <si>
    <t>363d4dda-f9fd-497d-b45b-cecba704fa51</t>
  </si>
  <si>
    <t>Percy v White &amp; Anor [2022] EWCA Civ 493</t>
  </si>
  <si>
    <t>363d4dda-f9fd-497d-b45b-cecba704fa51_citations_precedents</t>
  </si>
  <si>
    <t>Catalogue of authorities cited in the judgment and their relevance to the claims—concerning contribution, permission, collateral attacks, and reflective loss.</t>
  </si>
  <si>
    <t>Citations and Authorities: Neutral Citations: [2022] EWCA Civ 493, [2022] 3 WLR 1, [2022] PNLR 20, [2022] WLR(D) 174, [2022] 4 All ER 647, [2022] Ch 249 Law Reports: Referenced Cases: Marex Financial Ltd v Sevilleja [2020] UKSC 31; [2021] AC 39, Newson (cited for reflective loss principles), Secretary of State for Trade and Industry v Bairstow [2003] EWCA Civ 321, Laing v Taylor Walton [2007] EWCA Civ 1146, Hughes v Weiss [2012] EWHC 2363 (Ch), Saatchi v Gajjar [2019] EWHC 3472 (Ch), Saif Ali v Sydney Mitchell &amp; Co [1980] AC 198, Goldsmith Williams solicitors v E. Surv Ltd [2015] EWCA Civ 1147, Arab Monetary Fund v Hashim (Chadwick J), Hunter v Chief Constable of West Midlands Police [1982] AC 529, Secretary of State for Trade and Industry v Bairstow (Ch) [2004] Ch 1 Citation Count: 11</t>
  </si>
  <si>
    <t>Marex Financial Ltd v Sevilleja [2020] UKSC 31; [2021] AC 39 || Newson || Secretary of State for Trade and Industry v Bairstow [2003] EWCA Civ 321 || Laing v Taylor Walton [2007] EWCA Civ 1146 || Hughes v Weiss [2012] EWHC 2363 (Ch) || Saatchi v Gajjar [2019] EWHC 3472 (Ch) || Saif Ali v Sydney Mitchell &amp; Co [1980] AC 198 || Goldsmith Williams solicitors v E. Surv Ltd [2015] EWCA Civ 1147 || Arab Monetary Fund v Hashim || Hunter v Chief Constable of West Midlands Police [1982] AC 529 || Secretary of State for Trade and Industry v Bairstow [2004] Ch 1</t>
  </si>
  <si>
    <t>d9827969-3ff6-4f39-a6cf-6b164ca04e35</t>
  </si>
  <si>
    <t>Zurich Insurance PLC v Maccaferri Ltd [2016] EWCA Civ 1302</t>
  </si>
  <si>
    <t>d9827969-3ff6-4f39-a6cf-6b164ca04e35_citations_precedents</t>
  </si>
  <si>
    <t>Authorities cited and applied to interpret the notification clause, including the 50% likelihood threshold and the meaning of 'as soon as possible' versus immediate notice.</t>
  </si>
  <si>
    <t>Citations and Authorities: Neutral Citations: [2016] EWCA Civ 1302 Law Reports: Referenced Cases: Layher Ltd v Lowe [2000] Lloyd's Rep IR 510, Jacobs v Coster (t/a Newington Commercials Service Station) &amp; Avon Insurance (Third Party) [2000] Lloyd's Rep IR 506, Verelst's Administratrix v Motor Union Insurance Company Limited [1925] 2 KB 137, HLB Kidsons &amp; Ors v Lloyd's Underwriters [2009] EWCA Civ 1205, Royal &amp; Sun Alliance v Dornoch [2005] EWCA Civ 238, Axa Reinsurance (UK) Plc v Field [1996] 1 WLR 1026, Re Coleman's Depositories Limited [1907] 2 KB 798, Aspen Insurance UK Limited v Pectel Limited [2009] Lloyd's Rep IR 440 Citation Count: 8</t>
  </si>
  <si>
    <t>Layher v Lowe || Jacobs v Coster || Verelst's Administratrix || HLB Kidsons &amp; Ors v Lloyd's Underwriters || Royal &amp; Sun Alliance v Dornoch || Axa Reinsurance v Field || Re Coleman's Depositories || Aspen Insurance UK Ltd v Pectel</t>
  </si>
  <si>
    <t>This case shows 64% similarity based on citations precedents analysis.</t>
  </si>
  <si>
    <t>81d53202-31ed-492b-a22e-15e4f280610b</t>
  </si>
  <si>
    <t>Soteria Insurance Ltd v IBM United Kingdom Ltd [2022] EWCA Civ 440</t>
  </si>
  <si>
    <t>81d53202-31ed-492b-a22e-15e4f280610b_citations_precedents</t>
  </si>
  <si>
    <t>Key authorities cited in forming the appellate reasoning on construction and remedies.</t>
  </si>
  <si>
    <t>Citations and Authorities: Neutral Citations: [2022] EWCA Civ 440, [2022] 2 All ER (Comm) 1082, 202 Con LR 1 Law Reports: [2022] 2 All ER (Comm) 1082, 202 Con LR 1 Referenced Cases: Mannai Investment Co Ltd v Eagle Star Life Assurance Co Ltd [1997] AC 749, Alghussein Establishment v Eton College [1988] 1 WLR 587, Gilbert-Ash Ltd v London and Scottish Assurance Co Ltd [1977] 1 WLR 494, Stocznia Gdansk SA v General Transport Ltd [1994] 1 WLR 1536, Kudos Investments Ltd v Clydesdale Bank plc, BHP Petroleum Ltd v A/NZ, Motortrak Limited v FCA Australia Pty [2018] EWHC 990 (Comm), Parsons Plastics (Research and Development) Ltd v Purac Ltd [2002] BLR 334, Rupert Morgan Building Services (L.L.C) Ltd v Jervis [2004] 1 WLR 1867, Fage UK Ltd v Chobani Ltd &amp; another [2014] EWCA Civ 5, Times Travel (UK) Ltd v Pakistan International Airlines Corp [2021] UKSC 40, Astor Management AG v Atalaya Mining PLC [2017] EWHC 425 (Comm), New Balance Athletics Inc v Liverpool Football Club and Athletic Grounds Ltd [2019] EWHC 2837 (Comm), Triple Point Technology Inc v PTT Public Company [2021] UKSC 29, Fearns (t/a Autopaint International) v Anglo-Dutch Paint and Chemical Co. Ltd [2010] EWHC 2355 (Ch), Royal Devon and Exeter NHS Foundation Trust v ATOS IT Services Ltd Citation Count: 16</t>
  </si>
  <si>
    <t>Mannai v Eagle Star || Alghussein || Gilbert-Ash || Stocznia || Kudos || BHP || Motortrak || Parsons Plastics || Rupert Morgan || Fage UK Ltd v Chobani Ltd || Triple Point || Times Travel || Astor || New Balance</t>
  </si>
  <si>
    <t>6e6ec81e-b459-4d39-a1bd-ff92776233fa</t>
  </si>
  <si>
    <t>MDW Holdings Limited v Norvill &amp; Ors [2022] EWCA Civ 883 (Court of Appeal, Civil Division)</t>
  </si>
  <si>
    <t>6e6ec81e-b459-4d39-a1bd-ff92776233fa_citations_precedents</t>
  </si>
  <si>
    <t>Authorities cited and applied: Bwllfa, Golden Victory, Ageas, OMV Petrom, Classic Maritime, McConnel v Wright, Phillips, Downs v Chappell, Smith New Court, among others.</t>
  </si>
  <si>
    <t>Citations and Authorities: Neutral Citations: [2022] EWCA Civ 883, [2023] 1 All ER 929, [2022] WLR(D) 283, [2023] 4 WLR 33, [2023] Env LR 5, [2023] 1 All ER (Comm) 571 Law Reports: [2023] 1 All ER 929, [2022] EWCA Civ 883, [2022] WLR(D) 283, [2023] 4 WLR 33, [2023] Env LR 5, [2023] 1 All ER (Comm) 571 Referenced Cases: [Bwllfa and Merthyr Dare Steam Collieries (1891) Ltd v Pontypridd Waterworks Co [1903] AC 426], The Golden Victory (Golden Strait Corp v Nippon Yusen Kubishika Kaisha) [2007] UKHL 12, Ageas (UK) Ltd v Kwik-Fit (GB) Ltd [2014] EWHC 2178 (QB), OMV Petrom SA v Glencore International AG [2016] EWCA Civ 778, McConnel v Wright [1903] 1 Ch 546, Classic Maritime Inc v Limbungan Makmur Sdn Bhd [2019] EWCA Civ 1102, Phillips v Brewin Dolphin Bell Lawrie Ltd [2001] 1 WLR 143, Downs v Chappell [1997] WLR 486, Smith New Court v Scrimgeour Vickers [1992] 1 AC вып, Ruxley Electronics and Construction Ltd v Forsyth [1996] AC 344 Citation Count: 10</t>
  </si>
  <si>
    <t>Bwllfa || The Golden Victory || Ageas || OMV Petrom || Classic Maritime || McConnel v Wright || Phillips || Downs v Chappell || Smith New Court || Ruxley Electronics</t>
  </si>
  <si>
    <t>8bf594df-88d1-4791-89f3-b2699310ed7a</t>
  </si>
  <si>
    <t>Aviva Insurance Limited and Swiss Reinsurance Company Limited v Secretary of State for Work and Pensions [2022] EWCA Civ 15</t>
  </si>
  <si>
    <t>8bf594df-88d1-4791-89f3-b2699310ed7a_factual_summary</t>
  </si>
  <si>
    <t>Factual core: insurers challenge CRU recovery obligations under the 1997 Act in long-tail disease claims; multiple scenarios including contributory negligence, divisible/indivisible disease, missing contributors; 2019 certificate; damages to be decided in Chancery.</t>
  </si>
  <si>
    <t>Factual Summary: Parties: Aviva Insurance Limited v Swiss Reinsurance Company Limited v Secretary of State for Work and Pensions Key Facts: Claimants/insurers challenge the 1997 Act and regulations as infringing A1P1 rights through CRU recoveries in long-tail disease claims. CRU certificates require repayment of recoverable benefits awarded in compensation claims. Judgment at first instance (Henshaw J) found unlawful readings down of the 1997 Act in three scenarios (contributory negligence, divisible disease, missing contributors) and in a third time period (indivisible disease with missing contributors) and in a fourth scenario the reading down was not found. Cross-appeals concern a potential fourth scenario (CRU certificates not matching a head of loss) and recognition of a fifth scenario (compromised CRU certificates). Damages claims potentially to be transferred to the Chancery Division for case management. Hearing dates for the Court of Appeal: 12–14 October 2021; judgment delivered 14 January 2022. Neutral citations and case captions reflect appeals from the Administrative Court in the Queen’s Bench Division; the substantive issues center on compatibility with A1P1 and proportionality Case Summary: The Court of Appeal considers whether the 1997 Act and its regulations infringe article 1 of the first protocol (A1P1) of the European Convention on Human Rights. Aviva and Swiss Re challenge obligations to repay recoverable benefits via CRU certificates in long-tail disease cases. The court applies Bank Mellat’s four-stage test, upholds infringement findings in three scenarios, finds no infringement in a fourth, and remits damages-related issues to the Chancery Division for further determination. Cross-appeals concerning remaining scenarios are addressed, with the fifth scenario acknowledged as not giving rise to a remedy. Procedural Context: England and Wales Court of Appeal (Civil Division) case</t>
  </si>
  <si>
    <t>Fairchild v Glenhaven Funeral Services Ltd || R(SC) v Works and Pensions Secretary || R(DA) v Works and Pensions Secretary || James v United Kingdom || Welsh Bill case</t>
  </si>
  <si>
    <t>This case shows 64% similarity based on factual summary analysis.</t>
  </si>
  <si>
    <t>18a014eb-e365-4420-b07a-dfdd42f053ec</t>
  </si>
  <si>
    <t>18a014eb-e365-4420-b07a-dfdd42f053ec_case_analysis</t>
  </si>
  <si>
    <t>This chunk assesses the case's significance and its value as a legal precedent regarding landlord-tenant relationships and forfeiture.</t>
  </si>
  <si>
    <t>Case Analysis and Reasoning: Precedent Strength Assessment (7/10): • The case involved appellate review of equitable relief, establishing significant precedent in landlord-tenant relations. • The court's nuanced interpretation of statutory provisions will likely influence future cases involving relief from forfeiture. • The relationship between the tenant's conduct and potential windfalls granted to landlords was critically examined, which could guide courts in similar future disputes. Confidence: 85% Complexity Score Assessment (7/10): • The case brings forth multiple legal issues including statutory interpretation and the historical context of leasehold management. • The factual complexity arises from the detailed history of breaches and the respondent's management challenges, as well as procedural applications to various courts. • The case required extensive legal expertise due to its nuanced legal interpretations of the Law of Property Act 1925, contributing to its overall complexity. Confidence: 80% Legal Significance: Important case with notable legal impact</t>
  </si>
  <si>
    <t>This case shows 73% similarity based on case analysis analysis.</t>
  </si>
  <si>
    <t>00167e1d-845c-4a1d-b17c-1c91c10b2c37_case_analysis</t>
  </si>
  <si>
    <t>Assessment of the case's precedential impact and the factors contributing to its complexity.</t>
  </si>
  <si>
    <t>Case Analysis and Reasoning: Precedent Strength Assessment (8/10): • This is a Court of Appeal decision addressing a high-profile, pandemic-related contractual issue in commercial leases, shaping the interpretation of rent obligations where operation is legally constrained by government acts. • The judgment emphasizes reliance on express lease terms (rent cesser clauses, insured risks) rather than broad implied terms for pandemic scenarios, providing a clear framework for future disputes. • But the decision sits alongside broader authoritatives (Arch Insurance UKSC) on the scope of risk and insurance). This reduces its novelty but its detailed lease-specific reasoning increases its persuasiveness for similar lease structures. Confidence: 75% Complexity Score Assessment (8/10): • Multiple intertwined legal issues: construction of rent cesser clause, implied terms for suspension, interaction with insurance warranties, and factual complexity of Covid restrictions and tiered regulations. • Two separate lease cases (Hengrove and Trocadero) with different lease terms and parties increase factual and legal complexity. • Academic authorities cited (Bromarin, Yoo Design, Arch Insurance) add doctrinal depth and require nuanced analysis of contract interpretation tests (business efficacy, obviousness). • The decision's reasoning is detailed and technical, requiring careful navigation of contractual language and regulatory history. Confidence: 78% Legal Significance: Highly significant case with strong precedential value</t>
  </si>
  <si>
    <t>b8f5594c-ac32-4dd3-804a-fd0c938c4401</t>
  </si>
  <si>
    <t>Topland Portfolio No 1 Ltd v Smiths News Trading Ltd [2014] EWCA Civ 18</t>
  </si>
  <si>
    <t>b8f5594c-ac32-4dd3-804a-fd0c938c4401_case_analysis</t>
  </si>
  <si>
    <t>Analysis of the case's broader impact in legal settings and its complexity.</t>
  </si>
  <si>
    <t>Case Analysis and Reasoning: Precedent Strength Assessment (7/10): • The court's decision reinforces the interpretation of surety obligations in lease agreements, including consent requirements for alterations. • The ruling aligns with existing case law (Holme v Brunskill) regarding surety liabilities, upholding protections for landlords without significantly altering the landscape of commercial leases. • Although the decision has potential for citation, it follows established legal doctrine, which tempers its novelty. Confidence: 80% Complexity Score Assessment (6/10): • The case involves multiple legal issues pertaining to suretyship and lease interpretations, which require careful legal analysis. • Several procedural components were involved: an initial ruling followed by an appeal, along with diverging interpretations of contract terms. • The factual background of the case includes multiple parties and procedural nuances, making it more complex than straightforward lease disputes. Confidence: 75% Legal Significance: Moderately significant case with some precedential value</t>
  </si>
  <si>
    <t>39df6304-6d5c-4744-8f1a-adcd4015ef46</t>
  </si>
  <si>
    <t>Nizami v Dezyanian [2015] EWCA Civ 632</t>
  </si>
  <si>
    <t>39df6304-6d5c-4744-8f1a-adcd4015ef46_case_analysis</t>
  </si>
  <si>
    <t>Analyzes the overall significance of the case in terms of legal precedent and procedural complexity.</t>
  </si>
  <si>
    <t>Case Analysis and Reasoning: Precedent Strength Assessment (5/10): • The case presents a moderately novel issue related to damages in landlord-tenant disputes but lacks wide-ranging implications on property law as it primarily concerns the specifics of the parties involved. • It involves a significant court—a Court of Appeal decision—but rests largely on factual determinations rather than broad legal principles. Confidence: 75% Complexity Score Assessment (6/10): • The case involves multiple layers of legal issues including tenant rights, damages assessment, and procedural legitimacy, which adds to its complexity. • While separate legal issues were considered, the overall number of parties and the clear factual conclusion from the lower court add elements of simplicity. Confidence: 70% Legal Significance: Standard case with limited precedential impact</t>
  </si>
  <si>
    <t>Access to Justice Act 1999</t>
  </si>
  <si>
    <t>945cd74c-6126-4ef5-ae71-7c0099a28f2b</t>
  </si>
  <si>
    <t>Bishop v Chhokar [2015] EWCA Civ 24</t>
  </si>
  <si>
    <t>945cd74c-6126-4ef5-ae71-7c0099a28f2b_case_analysis</t>
  </si>
  <si>
    <t>Analysis of the case's precedent value and complexities surrounding the jurisdictional decisions.</t>
  </si>
  <si>
    <t>Case Analysis and Reasoning: Precedent Strength Assessment (8/10): • The ruling is from the Court of Appeal, a higher authority, which lends weight to its precedent value. • The case addresses complex issues of credibility, contract interpretation, and procedural fairness, increasing its significance for future cases in similar contexts. • Although the ruling may be highly specific to the case details, its handling of new evidence could influence future appeals. Confidence: 85% Complexity Score Assessment (7/10): • The case involves multiple legal issues related to contract interpretation and tenant rights, contributing to its complexity. • Procedural challenges added to the intricacies of the case as it traversed various court levels, with multiple hearings and judgments influencing the outcome. • The number of parties involved and their conflicting testimonies heighten the complexity, although the fundamental nature of the dispute is straightforward. Confidence: 80% Legal Significance: Important case with notable legal impact</t>
  </si>
  <si>
    <t>Taylor v Lawrence || Noble v Owens</t>
  </si>
  <si>
    <t>093c1223-0ae8-4284-9849-0aa54158efc1</t>
  </si>
  <si>
    <t>Hough v Greathall Ltd [2015] EWCA Civ 23</t>
  </si>
  <si>
    <t>093c1223-0ae8-4284-9849-0aa54158efc1_case_analysis</t>
  </si>
  <si>
    <t>Assessment of the case's impact and relevance in the realm of landlord-tenant law.</t>
  </si>
  <si>
    <t>Case Analysis and Reasoning: Precedent Strength Assessment (8/10): • High-level court ruling from the Court of Appeal clarifying significant statutory interpretation under property law. • Established case law (e.g., Betty's Cafés) cited for rationale, indicating a strong basis for future citations. • The appeal addressed an issue of considerable concern in landlord-tenant relations, ensuring relevance across future cases. Confidence: 85% Complexity Score Assessment (7/10): • Case involves statutory interpretation and a nuanced understanding of tenancy law, which can be complex for those unfamiliar with property law. • Numerous legal principles interact within the case: intention, property rights, and statutory obligations contribute to complexity, also highlighted by the presence of multiple parties (landlord and tenant) and legal representatives. • Cases involving landlord-tenant disputes often include layered procedural requirements, complicating the issues further. Confidence: 80% Legal Significance: Important case with notable legal impact</t>
  </si>
  <si>
    <t>This case shows 72% similarity based on case analysis analysis.</t>
  </si>
  <si>
    <t>263eee40-14b4-40aa-8b6d-47da6b0fa9b3</t>
  </si>
  <si>
    <t>Youssefi v Mussellwhite [2014] EWCA Civ 885</t>
  </si>
  <si>
    <t>263eee40-14b4-40aa-8b6d-47da6b0fa9b3_legal_classification</t>
  </si>
  <si>
    <t>This section categorizes the legal areas and classifications relevant to the case, emphasizing property law's application.</t>
  </si>
  <si>
    <t>Legal Classification: Primary Category: Property Law Legal Areas: Landlord-Tenant Law, Commercial Lease, Real Property Jurisdiction: England and Wales Court Level: Appellate Legal Issues: Whether breaches of the lease by the tenant justified termination of the tenancy without renewal.. Assessment of the substantial nature of alleged breaches under the Landlord and Tenant Act 1954. Keywords: Landlord and Tenant Act 1954, lease termination, tenant rights, renewal, breach of covenant</t>
  </si>
  <si>
    <t>This case shows 72% similarity based on legal classification analysis.</t>
  </si>
  <si>
    <t>7079fc72-6050-4668-ac32-14c3ce1d3b5c</t>
  </si>
  <si>
    <t>Tibber v Buckley &amp; Anor [2015] EWCA Civ 1294</t>
  </si>
  <si>
    <t>7079fc72-6050-4668-ac32-14c3ce1d3b5c_case_analysis</t>
  </si>
  <si>
    <t>Analysis of the case's implications for future similar cases, detailing how the precedential value sets guidance for legal professionals in property law.</t>
  </si>
  <si>
    <t>Case Analysis and Reasoning: Precedent Strength Assessment (7/10): • The case involves significant legal principles grounded in property law, specifically concerning leasehold enfranchisement and rights to leaseback under established statutes. • The Court of Appeal's decision has implications for how leaseholders interpret their rights and obligations regarding common parts and property modifications, potentially affecting future cases in similar contexts. • Quality of reasoning in trial and appellate decisions was sound but not transformational, reflecting current interpretations of longstanding legislative framework. • Jurisdictional authority from an appellate division contributes to reliability, ensuring that tenants’ rights and duties are clarified. • While the case will likely be used as a reference point, it doesn't set a novel precedent which other courts must follow. Confidence: 85% Complexity Score Assessment (8/10): • The case encompasses multiple layers of legal arguments regarding property rights and statutory interpretation, which require detailed knowledge of property law, specifically around leasehold issues. • Factual complexity arises from the history of the property and the nature of the disputes among the multiple parties involved, each with varying interests in the property rights. • Procedural complexity is high, as it traverses Lower Tribunal decisions, reflections on precedent from case law, and multiple hearings, culminating in an appellate review, all of which require careful navigation. • The absence of key documentation (like the tenancy agreements) adds to the complexity of the case, as the courts must make determinations based on incomplete information. Confidence: 80% Legal Significance: Important case with notable legal impact</t>
  </si>
  <si>
    <t>Howard de Walden Estates Ltd v. Aggio</t>
  </si>
  <si>
    <t>84abacd4-ac9e-4547-9c6c-c9f49ad1f96d</t>
  </si>
  <si>
    <t>Anselm v Buckle &amp; Anor [2014] EWCA Civ 311</t>
  </si>
  <si>
    <t>84abacd4-ac9e-4547-9c6c-c9f49ad1f96d_case_analysis</t>
  </si>
  <si>
    <t>Analysis of the case's outcome, emphasizing its potential as a future precedent in contract law.</t>
  </si>
  <si>
    <t>Case Analysis and Reasoning: Precedent Strength Assessment (8/10): • The court's ruling clarifies obligations under lease agreements and contract law, establishing strong precedent regarding the necessity of fulfilling contractual obligations and their implications for damages. • The court's effective interpretation of contractual terms may influence future cases involving similar contractual language and obligations. • The appeal court's ruling has potential for citation in future disputes about landlord-tenant relationships, increasing its precedential weight. Confidence: 85% Complexity Score Assessment (7/10): • The case involves multiple issues including breach of contract, mitigation of damages, and causation which creates procedural complexity and warrants detailed legal analysis. • Factual disputes arose regarding the scope of required works and the true costs incurred, complicating assessment and decision-making. • The legal concepts engaged were both common and nuanced, requiring understanding of specific contractual obligations and their implications. Confidence: 80% Legal Significance: Important case with notable legal impact</t>
  </si>
  <si>
    <t>63c13b59-95b3-46e6-bcfd-eef08df13985</t>
  </si>
  <si>
    <t>SWA Developments Ltd v Burke [2016] EWCA Civ 389</t>
  </si>
  <si>
    <t>63c13b59-95b3-46e6-bcfd-eef08df13985_case_analysis</t>
  </si>
  <si>
    <t>Analysis of the case’s precedent value and factors contributing to complexity and significance for future cases.</t>
  </si>
  <si>
    <t>Case Analysis and Reasoning: Precedent Strength Assessment (7/10): • This is a Court of Appeal (Civil Division) decision, which carries strong persuasive authority and binding effect within England and Wales. • The decision engages well-established authorities (Shiloh Spinners, Magnic v Ul-Hassan) rather than announcing new legal doctrines. • The issues are primarily about the proper exercise of discretion in forfeiture relief, not about novel legal principles, limiting broad application beyond similar factual contexts. • The highly fact-specific concerns (extensive disrepair background, occupancy changes, and aggressive landlord tactics) reduce generalizability to a wider class of cases. Confidence: 85% Complexity Score Assessment (7/10): • Multiple intertwined issues: fresh breach/waiver; discretionary starting point; weighting of landlord conduct; disrepair as central factor; interaction with section 146; issue of management and occupancy changes; • Procedural posture involves appellate review of discretionary relief rather than a straightforward legal rule. • Factual density is high with several years of events (2006–2013–2015) and a complicated transfer/management history. • While the legal framework relies on established authorities, the unique factual matrix increases analytical complexity and reduces predictability in unrelated cases. • Expertise needed includes lease covenants, forfeiture mechanisms, and appellate discretion. Confidence: 80% Legal Significance: Important case with notable legal impact</t>
  </si>
  <si>
    <t>Shiloh Spinners v Harding [1973] AC 691 || Magnic v Ul-Hassan [2015] EWCA Civ 224</t>
  </si>
  <si>
    <t>ccb176da-f583-47e8-b2a6-cc3aadd7833c</t>
  </si>
  <si>
    <t>Marks And Spencer Plc v BNP Paribas Securities Services Trust Company (Jersey) Ltd &amp; Anor [2014] EWCA Civ 603</t>
  </si>
  <si>
    <t>ccb176da-f583-47e8-b2a6-cc3aadd7833c_case_analysis</t>
  </si>
  <si>
    <t>Analysis of the case's significance regarding precedent strength and complexity.</t>
  </si>
  <si>
    <t>Case Analysis and Reasoning: Precedent Strength Assessment (7/10): • The case provides clarity on the interpretation of break clauses and implied terms, which is vital for future commercial lease negotiations. It demonstrates the limits of judicial interpretation in contractual disputes involving explicit lease terms and the non-recovery of rent paid for periods post-termination. • The case refers to established principles from the Privy Council and other precedents, indicating a solid grounding in existing law, but lacks wide-reaching implications that would affect a broad range of cases. • While the appeal court's decision builds on well-established legal principles, it may not introduce fundamentally new doctrine. Confidence: 85% Complexity Score Assessment (6/10): • The case involves multiple legal considerations including the interpretation of lease agreements, the principles governing the implication of terms, and established precedents which require a nuanced understanding of both contract and property law. • The issues presented are relatively straightforward in the context of legal interpretation but include comparisons to various other precedents, increasing the complexity somewhat. Moreover, the case also discusses various aspects of rent provisions and payment structures, adding to the intricacy of the ruling. Confidence: 75% Legal Significance: Moderately significant case with some precedential value</t>
  </si>
  <si>
    <t>This case shows 71% similarity based on case analysis analysis.</t>
  </si>
  <si>
    <t>1b3f1357-0731-4894-9c17-a958eecd366a</t>
  </si>
  <si>
    <t>Magnic Ltd v Ul-Hassan &amp; Anor [2015] EWCA Civ 224</t>
  </si>
  <si>
    <t>1b3f1357-0731-4894-9c17-a958eecd366a_case_analysis</t>
  </si>
  <si>
    <t>Analysis of the case's significance in subsequent legal contexts and its implications for future disputes.</t>
  </si>
  <si>
    <t>Case Analysis and Reasoning: Precedent Strength Assessment (8/10): • The decision comes from a high court authority, the Court of Appeal, reinforcing its weight as a precedent. • It addresses complex issues regarding relief from forfeiture and landlord-tenant relationships, which are common in commercial property disputes. • The thorough examination of case law and statutory provisions strengthens its applicability in similar future cases. Confidence: 85% Complexity Score Assessment (7/10): • Multiple legal issues were involved, including planning law and equitable relief, requiring substantial legal analysis and understanding of property law nuances. • There were multiple parties with varied interests and a lengthy procedural history complicating the case. • The factual matrix was intricate, revolving around interpretations of compliance and breaches of covenants. Confidence: 80% Legal Significance: Important case with notable legal impact</t>
  </si>
  <si>
    <t>f0cad471-e222-49db-b138-c99f671aff4f</t>
  </si>
  <si>
    <t>Cawsand Fort Management Company v Kane &amp; Ors [2015] EWCA Civ 1520</t>
  </si>
  <si>
    <t>f0cad471-e222-49db-b138-c99f671aff4f_case_analysis</t>
  </si>
  <si>
    <t>Discussion on the precedent value and complexity of the case within legal contexts.</t>
  </si>
  <si>
    <t>Case Analysis and Reasoning: Precedent Strength Assessment (7/10): • The case involved established law under the Landlord and Tenant Act, which is regularly referenced in property law cases. • The Court of Appeal's rulings in similar previous cases add to its precedent value, as they cover jurisdictional issues relevant to property management. • While the issues were not novel, their reiteration in this case reinforces existing legal principles. Confidence: 85% Complexity Score Assessment (5/10): • The case revolves around administrative judicial review of a tribunal decision, which inherently involves legal complexity. • While there were significant historical maintenance disputes, the core legal argument related to jurisdictional application under an established statute. • The number of parties involved is limited, and the factual disputes did not present high complexity. Confidence: 80% Legal Significance: Moderately significant case with some precedential value</t>
  </si>
  <si>
    <t>20883fdd-3d62-402d-b87e-d07099a0aace</t>
  </si>
  <si>
    <t>Morshead Mansions Ltd v Di Marco</t>
  </si>
  <si>
    <t>20883fdd-3d62-402d-b87e-d07099a0aace_case_analysis</t>
  </si>
  <si>
    <t>Analysis of the precedent value and importance of the ruling for future landlord-tenant disputes.</t>
  </si>
  <si>
    <t>Case Analysis and Reasoning: Precedent Strength Assessment (7/10): • The ruling clarifies important aspects of the Landlord and Tenant Act 1985, specifically regarding the enforceability of statutory obligations. • The case is significant as it emphasizes the limits of civil remedies available to tenants in the context of statutory obligations, potentially influencing future case law and tenant landlord disputes. • However, the court's ruling rests heavily on statutory interpretation, which may limit its breadth as a wide-reaching precedent. It doesn't radically alter existing legal principles. Confidence: 85% Complexity Score Assessment (6/10): • The case involves multiple statutory provisions and interpretations regarding tenant rights, implicating broader policy implications in landlord-tenant law. • While the legal question is straightforward regarding the interpretation of statutory language, the interplay of legislative history adds complexity. • Numerous references to different sections of the Act reflect a robust legal debate, but the factual circumstances involve only a two-party conflict, which lessens its overall complexity. Confidence: 80% Legal Significance: Moderately significant case with some precedential value</t>
  </si>
  <si>
    <t>d9167d92-3e2d-462b-b1dd-0c42056c65b9</t>
  </si>
  <si>
    <t>Chaplair Ltd v Kumari [2015] EWCA Civ 798</t>
  </si>
  <si>
    <t>d9167d92-3e2d-462b-b1dd-0c42056c65b9_case_analysis</t>
  </si>
  <si>
    <t>In-depth analysis of the case's precedent value and complexity implications within legal frameworks.</t>
  </si>
  <si>
    <t>Case Analysis and Reasoning: Precedent Strength Assessment (8/10): • High standing of the court as an appellate decision which provides clarity on the interaction between lease terms and procedural rules in cost recovery. • The holding extends established principles of costs recovery beyond typical small claims limitations, setting a potential precedent for future landlord-tenant disputes. Confidence: 90% Complexity Score Assessment (6/10): • Involves multiple legal issues surrounding costs, procedural history, and interpretations of contract law. • The case required consideration of court hierarchy and interaction of statutory and contractual obligations. • However, the clarity of the legal principles involved mitigated some complexity, making it relatively straightforward within a specialized area. Confidence: 85% Legal Significance: Important case with notable legal impact</t>
  </si>
  <si>
    <t>f12362ca-9214-46d6-8a2a-5ddadac29884</t>
  </si>
  <si>
    <t>Innerspaces Self Storage Ltd v Harding &amp; Ors [2014] EWCA Civ 46</t>
  </si>
  <si>
    <t>f12362ca-9214-46d6-8a2a-5ddadac29884_case_analysis</t>
  </si>
  <si>
    <t>This chunk analyzes the implications of the case ruling on future legal proceedings.</t>
  </si>
  <si>
    <t>Case Analysis and Reasoning: Precedent Strength Assessment (7/10): • Court hierarchy: High Court ruling supports decision-making. • Legal novelty: Involved interpretation of lease agreements. • Quality of reasoning: Clear rationale on what constitutes a breach. • Potential for citation: Addresses landlord-tenant dynamics. Confidence: 85% Complexity Score Assessment (6/10): • Many legal issues were raised, including multiple claims and various interpretations of lease provisions. • Procedural requirements were standard but involved multiple arguments over interpretations and factual claims. • Factual disputes existed over the effects of the rubble on the tenant's business. Confidence: 80% Legal Significance: Moderately significant case with some precedential value</t>
  </si>
  <si>
    <t>2702fe29-d7f0-4cc6-8c3f-b840406bb7a2</t>
  </si>
  <si>
    <t>Peel Land and Property (Ports No. 3) Ltd v TS Sheerness Ltd</t>
  </si>
  <si>
    <t>2702fe29-d7f0-4cc6-8c3f-b840406bb7a2_case_analysis</t>
  </si>
  <si>
    <t>Insights into the significance and complexity of the case.</t>
  </si>
  <si>
    <t>Case Analysis and Reasoning: Precedent Strength Assessment (8/10): • The case is decided at the Court of Appeal level, which enhances its authority. • It addresses an important aspect of landlord-tenant law regarding tenant's rights and fixtures. • The issues discussed are not novel in this jurisdiction but clarify existing legal principles regarding lease interpretation. Confidence: 85% Complexity Score Assessment (7/10): • The case involves multiple legal issues regarding lease interpretation and tenant rights, indicating a moderate level of complexity. • There are factual disputes regarding the lease terms and parties' intentions that necessitate careful legal analysis. • The presence of a nuanced interpretation of historical cases adds to its complexity. Confidence: 80% Legal Significance: Important case with notable legal impact</t>
  </si>
  <si>
    <t>98a141f0-f889-4521-86c4-1b8648867286</t>
  </si>
  <si>
    <t>Silver Fern Microlights Ltd v Jones &amp; Ors [2016] EWCA Civ 277</t>
  </si>
  <si>
    <t>98a141f0-f889-4521-86c4-1b8648867286_case_analysis</t>
  </si>
  <si>
    <t>Evaluates the case’s significance, emphasizing appellate gatekeeping and the limited scope for new law given the factual emphasis and deference to trial court findings.</t>
  </si>
  <si>
    <t>Case Analysis and Reasoning: Precedent Strength Assessment (6/10): • The decision arises from an appellate review of a factual dispute and a conventional contract/tenancy issue (lease vs licence) rather than a novel point of law. • The Court of Appeal preserves the trial court’s factual findings and shows deference to lower court assessments, limiting broad legal developments. • As this is a refused permission to appeal, the decision primarily reflects appellate gatekeeping rather than a binding pronouncement on new doctrine. • Counterargument: Had the court found a significant jurisprudential shift on constructive eviction or lease/licence classification, the precedent strength would be higher; however, the absence of a new legal rule and the reliance on fact-bound findings constrain its standing as a broad precedent. Confidence: 70% Complexity Score Assessment (6/10): • Multiple intertwined themes: constructive eviction, occupancy status (lease vs licence), undertakings for repair, and separate consultancy services claim. • Procedural complexity arises from an appeal for permission to appeal rather than an ongoing trial; the central issue is largely fact-based with limited fresh legal argument. • The case relies on interpreting trial court findings and the sufficiency of permission thresholds, rather than introducing novel rules. • Counterargument: If the lower court’s factual findings were more disputed or if there was a broader principle about appeal standards, complexity could increase. Confidence: 70% Legal Significance: Moderately significant case with some precedential value</t>
  </si>
  <si>
    <t>38228566-f138-413e-98cf-b8c35fe9afaa</t>
  </si>
  <si>
    <t>Erimus Housing Ltd v Barclays Wealth Trustees (Jersey) Ltd &amp; Ors [2014] EWCA Civ 303</t>
  </si>
  <si>
    <t>38228566-f138-413e-98cf-b8c35fe9afaa_case_analysis</t>
  </si>
  <si>
    <t>An analysis of the case's contribution to legal precedent and its complexity in interpretation.</t>
  </si>
  <si>
    <t>Case Analysis and Reasoning: Precedent Strength Assessment (7/10): • The case contributes to the understanding of landlord and tenant relationships especially regarding informal arrangements post-lease. • The quality of legal reasoning in addressing similar situations provides valuable guidance for future cases, despite it not being a high-profile issue. • The material similarity to existing jurisprudence underlines its significance but limits revolutionary impact. Confidence: 85% Complexity Score Assessment (6/10): • The case involves multiple parties, prolonged negotiations, and a nuanced understanding of tenancy law which elevate its complexity. • Factual disputes concerning the nature of the tenancy add layers of legal consideration, though the core issues are relatively clear-cut. • Positive aspects include clarity in legal statutes, which mitigates overall complexity but not enough to lower the score significantly. Confidence: 75% Legal Significance: Moderately significant case with some precedential value</t>
  </si>
  <si>
    <t>Cardiothoracic Institute v Shrewdcrest Ltd [1986] 1 WLR 368</t>
  </si>
  <si>
    <t>5315bcf1-31e2-4c09-9977-ecd80a7a8ec7</t>
  </si>
  <si>
    <t>South Essex Partnership University NHS Foundation Trust v Laindon Holdings Ltd [2016] EWCA Civ 377</t>
  </si>
  <si>
    <t>5315bcf1-31e2-4c09-9977-ecd80a7a8ec7_case_analysis</t>
  </si>
  <si>
    <t>Assessment of the case’s broader legal significance, including its impact on lease interpretation, tenant alteration rights, and damages quantification in future disputes.</t>
  </si>
  <si>
    <t>Case Analysis and Reasoning: Precedent Strength Assessment (8/10): • Court of Appeal level (binding within England and Wales), which enhances the authority of the decision. • Addresses a relatively novel interpretation of lease clauses (3.4.3) and its application to landlord’s property within the Building, contributing to the consistency of tenancy modification rights. • The decision clarifies the treatment of alterations and fixtures in dilapidations disputes, supporting tenant-empowerment in non-structural internal changes. Confidence: 78% Complexity Score Assessment (8/10): • Multiple intertwined legal issues (fixtures vs. fittings, scope of internal alterations, and quantification of losses) and nuanced contractual interpretation. • Two discrete issues with substantial factual underpinnings (carpet replacement, timing of damages, and void period costs) increase complexity. • The case hinges on precise lease language (clauses 3.3.2, 3.4.3, 3.4.5) and the application of a long-standing damages principle (quantification date) in a commercial setting. Confidence: 92% Legal Significance: Highly significant case with strong precedential value</t>
  </si>
  <si>
    <t>43ef5de1-aec0-41aa-83ef-7f2ecf54e8b8_legal_reasoning</t>
  </si>
  <si>
    <t>Court's interpretation of legislative text and its implications.</t>
  </si>
  <si>
    <t>Legal Analysis: Legal Issues: Whether the vessels were used for a qualifying purpose under the Capital Allowances Act.. Whether obtaining writing-down allowances was a main object of the transaction. Reasoning: The court concluded that the broader commercial purposes of the transactions outweighed the objective of securing tax benefits. It determined that while the allowances were a consideration, they did not constitute a main object. The adjudication also focused on the interpretative scope of section 123 of the Capital Allowances Act 2001 and how the FTT had appropriately assessed the intentions of the parties involved. Keywords: Capital Allowances Act, tax law, corporate tax, attribution of tax benefits, writing-down allowances</t>
  </si>
  <si>
    <t>This case shows 69% similarity based on legal reasoning analysis.</t>
  </si>
  <si>
    <t>This case shows 65% similarity based on outcome holding analysis.</t>
  </si>
  <si>
    <t>040ab589-56f8-4251-905d-ade1d7b6bf28_case_analysis</t>
  </si>
  <si>
    <t>Assessment of the case’s precedent value and complexity, including its potential impact on future DTR disputes and cross-border tax planning.</t>
  </si>
  <si>
    <t>Case Analysis and Reasoning: Precedent Strength Assessment (8/10): • The decision clarifies key ICTA 1988 provisions (790, 792, 799, 801, 806B, 806J) and the interpretation of 'underlying tax' and 'tax borne' within a complex cross-border dividend structure. • It addresses novel issues around linking 'mixer cap' mechanics with higher-level dividends and the flow-through of dividends through intermediate foreign subsidiaries, which could influence future DTR disputes in similar multinational chains. • By affirming the CA as a leading appellate interpretation of the double tax relief regime, it provides a high-value precedent in UK domestic tax law and for cross-border group relief cases. • However, the relief granted is narrow (A$811,800), indicating that while the framework is clarified, many factual and numerical results remain case-specific and may limit generalizability. Confidence: 78% Complexity Score Assessment (9/10): • Multiple intertwined statutory provisions (790, 792, 799, 801, 806B, 806J) and complex definitions (foreign tax, underlying tax, divisional concepts) create a high level of technical legal complexity. • The case involves a multi-country corporate structure (UK and Australian entities) with intragroup dividends, group relief, and potential tax sparing concepts, requiring careful statutory interpretation and application. • There are competing submissions on 'tax borne' vs 'underlying tax' and the sequencing of sections (799 step, 801 gateway, 4A–4D adjustments), increasing interpretive complexity. • The judgment relies on a sophisticated analysis of distributable profits, higher-level dividends, and the effect of timing and accounting treatment on the relief calculation, further boosting complexity. Confidence: 83% Legal Significance: Highly significant case with strong precedential value</t>
  </si>
  <si>
    <t>ICTA 1988 sections 790, 792, 799, 801, 806B, 806J || Liversidge v Anderson</t>
  </si>
  <si>
    <t>bbece3ed-11d4-4f68-8c60-4b9065eb5839</t>
  </si>
  <si>
    <t>Chappell v Revenue &amp; Customs [2015] EWCA Civ 702</t>
  </si>
  <si>
    <t>bbece3ed-11d4-4f68-8c60-4b9065eb5839_case_analysis</t>
  </si>
  <si>
    <t>Analyzes the significance of the case for future legal considerations in tax law.</t>
  </si>
  <si>
    <t>Case Analysis and Reasoning: Precedent Strength Assessment (7/10): • The case addresses significant interpretive issues regarding tax law, particularly relating to the Ramsay principle. • It is likely to be cited in future tax disputes, enhancing its legal relevance. • However, the proceedings primarily focus on an application for permission to appeal rather than a substantive ruling, which decreases its immediate precedent strength. Confidence: 80% Complexity Score Assessment (6/10): • The case presents multiple legal issues that require nuanced understanding of tax law principles. • There are procedural complexities given the multi-tiered appeal process. • Factual disputes surrounding the characteristics of the payments in question add to its complexity. • However, the number of parties involved and the straightforward nature of the appeal process impart a degree of clarity. Confidence: 75% Legal Significance: Moderately significant case with some precedential value</t>
  </si>
  <si>
    <t>e09331f5-d8f2-4aa5-81d5-0f480b96a2a8</t>
  </si>
  <si>
    <t>The Prudential Assurance Company Limited v HM Revenue and Customs [2016] EWCA Civ 376</t>
  </si>
  <si>
    <t>e09331f5-d8f2-4aa5-81d5-0f480b96a2a8_outcome_holding</t>
  </si>
  <si>
    <t>Judicial outcome on the three quantification issues (21–23): HMRC succeeds on those points; the court endorses pro-rata and conforming-interpretation approaches for EU-law compliance.</t>
  </si>
  <si>
    <t>Case Outcome: Holding: The Court of Appeal allowed HMRC's appeal on Issues 21, 22, and 23 (quantification-related issues), while otherwise dismissing the appeal. It endorsed HMRC's pro-rata approach to the allocation of unlawful ACT and permitted a conforming interpretation of ICTA 231(1) to ensure EU-law rights are secured, including credit for foreign tax up to the UK rate, and supported the carry-back approach for excess FII in quarterly payments. Outcome: plaintiff Precedent Strength: 9/10 Complexity Score: 9/10 Damages: 0 Legal Significance: Landmark case with exceptional legal significance</t>
  </si>
  <si>
    <t>FII CA || FII Quantification || Littlewoods</t>
  </si>
  <si>
    <t>This case shows 64% similarity based on outcome holding analysis.</t>
  </si>
  <si>
    <t>14434596-76db-4abb-8e78-f5f1640f8b82</t>
  </si>
  <si>
    <t>Eclipse Film Partners No 35 LLP v HM Revenue and Customs</t>
  </si>
  <si>
    <t>14434596-76db-4abb-8e78-f5f1640f8b82_case_analysis</t>
  </si>
  <si>
    <t>An examination of the case's potential impact on future tax cases and its overall complexity.</t>
  </si>
  <si>
    <t>Case Analysis and Reasoning: Precedent Strength Assessment (7/10): • The case holds relevance under tax law for determining what constitutes a trade regarding tax relief. • It clarifies the implications of contractual arrangements in determining actual trading activity. • Court decisions can serve as future references for similar tax-related disputes involving partnerships. Confidence: 90% Complexity Score Assessment (8/10): • Multiple complex parties involved (Eclipse 35, HMRC, multiple Disney entities). • Legal nuances in tax law regarding various financial arrangements and definitions of 'trade'. • Lengthy proceedings with extensive evidence and testimony, highlighting the intricate nature of the case. Confidence: 85% Legal Significance: Important case with notable legal impact</t>
  </si>
  <si>
    <t>d8a97814-f000-467c-a202-ef9226a745e4</t>
  </si>
  <si>
    <t>Commissioners for His Majesty's Revenue and Customs v Centrica Overseas Holdings Limited [2022] EWCA Civ 1520</t>
  </si>
  <si>
    <t>d8a97814-f000-467c-a202-ef9226a745e4_case_analysis</t>
  </si>
  <si>
    <t>Assessment of the case's significance: high precedent value in tax accounting for investment businesses; notable complexity due to dual testing (expenses of management vs capital) and reliance on longstanding authorities; potential impact on future relief decisions under s1219.</t>
  </si>
  <si>
    <t>Case Analysis and Reasoning: Precedent Strength Assessment (9/10): • Court of Appeal level (high authority) enhancing precedential weight in the UK tax context. • Clear statutory interpretation of s1219(3)(a), with explicit distinction between 'expenses of management' and 'capital expenditure'. • Reinforces application of Sun Life and Camas principles to modern corporate investment scenarios (including post-transaction advisery costs). • Addresses potential risk of misclassifying capital-relating advisory costs as deductible management expenses, guiding future tax relief determinations. • Confirmatory effect on the treatment of related advisory fees (e.g., De Brauw) in similar investment-disposal contexts. • Limitations: Decision is fact-specific and dependent on the particular circumstances of COHL's asset (Oxxio) and its divestment program; broader applicability will depend on analogous fact patterns. Confidence: 1% Complexity Score Assessment (8/10): • Two primary statutory issues (expenses of management; capital nature) with layered factual background (multi-jurisdictional business structure, complex disposal planning). • Multiple tribunals (FTT, UT) with differing findings on some sub-issues (e.g., De Brauw costs). • Interplay of accounting treatment (IFRS5 held for sale) with tax treatment under CTA 2009. • Extensive citation to and application of historical authorities (Sun Life, Camas, Sargent, Edwards v Bairstow) requiring careful statutory interpretation. • Hearing involved multiple policy and legal arguments rather than a single, straightforward issue. Confidence: 1% Legal Significance: Highly significant case with strong precedential value</t>
  </si>
  <si>
    <t>Sun Life || Camas || Dawsongroup || Edwards v Bairstow || Sargent v Eayrs</t>
  </si>
  <si>
    <t>bcf6dc0e-327b-4b31-8441-cc8b4d018c8a</t>
  </si>
  <si>
    <t>Royal Bank of Canada v Commissioners for HMRC [2023] EWCA Civ 695 — Court of Appeal interpretation of Article 6(2) fifth limb and tax treatment of oil royalty payments</t>
  </si>
  <si>
    <t>bcf6dc0e-327b-4b31-8441-cc8b4d018c8a_case_analysis</t>
  </si>
  <si>
    <t>Evaluation of the case’s precedent value and factors contributing to complexity; assessment of its significance for future tax-treaty interpretations and avoidance concerns.</t>
  </si>
  <si>
    <t>Case Analysis and Reasoning: Precedent Strength Assessment (9/10): • Court of Appeal level provides high authority and is likely to influence subsequent treaty interpretations in similar contexts. • The issues touch on foundational questions of treaty interpretation (Article 6 scope), evolving with the OECD Model and Vienna Convention guidance. • The decision engages with both English and French text, which is a common but complex feature of UK/France-influenced treaties; the outcome is likely to be cited in future tax treaty disputes involving resource extraction and immovable property concepts. • The decision refines the application of the MTC’s immovable property definition, potentially limiting the broad application of Article 6(2) to grant-type rights rather than broader contractual rights. • However, the precise scope of Article 6(1) and Article 13 remains to be determined in this case, implying that the decision’s precedential footprint may depend on those subsequent analyses. Confidence: 78% Complexity Score Assessment (9/10): • Multiple intertwined issues: treaty interpretation, language versions (English vs French), Vienna Convention approach, OECD Commentary, and MTC structure. • Complex corporate chain (Sulpetro, SUKL, BP, Talisman) and rearrangements (receivership, novation) add factual complexity. • Interaction between domestic anti-avoidance ring-fence regime (CTA) and international treaty provisions increases technical depth. • The case touches on both substantive tax outcomes and procedural treaty interpretation in a high-stakes cross-border context. • complexity_score_confidence":80], • citations_referenced:[ • Vienna Convention on the Law of Treaties (1969), Art. 31; Art. 32 • Anson v HMRC [2015] UKSC 44 • Memec plc v HMRC [1996] STC 1336 • Fothergill v Monarch Airlines Ltd [1981] AC 251 • Irish Bank case (context of treaty interpretation) • Patten LJ, Smallwood v HMRC [2010] EWCA Civ 778 • Fowler v HMRC [2020] UKSC 22 • Smallwood v HMRC [2010] EWCA Civ 778 • James Buchanan &amp; Co. Ltd. v Babco Forwarding &amp; Shipping (U.K.) Ltd. [1978] AC 141 • OECD Model Tax Convention (and Commentary, 2005 version) • OECD Commentaries on the Model Tax Convention (2005) Confidence: 1% Legal Significance: Landmark case with exceptional legal significance</t>
  </si>
  <si>
    <t>OECD Model || Vienna Convention || Anson v HMRC</t>
  </si>
  <si>
    <t>4fcc865d-d7ab-48ca-a8c6-b8e21a9c005f</t>
  </si>
  <si>
    <t>Urenco Chemplants Limited &amp; Anor v Commissioners for HM Revenue and Customs [2022] EWCA Civ 1587 (1 December 2022)</t>
  </si>
  <si>
    <t>4fcc865d-d7ab-48ca-a8c6-b8e21a9c005f_outcome_holding</t>
  </si>
  <si>
    <t>Court of Appeal outcome on key grounds: Grounds 2 and 3 allowed for HMRC; remitter or re-evaluation anticipated for specific items; Ground 1 status discussed but not overturned.</t>
  </si>
  <si>
    <t>Case Outcome: Holding: HMRC's appeal allowed on Grounds 2 and 3; the Court of Appeal remitted or limited reconsideration for certain disputed items while maintaining building status for others; Ground 1 (building) was not upheld against HMRC in the general sense, sustaining the FTT’s and UT’s framing of building status for the five TMF structures. Outcome: defendant Precedent Strength: 9/10 Complexity Score: 9/10 Damages: 0 Legal Significance: Landmark case with exceptional legal significance</t>
  </si>
  <si>
    <t>This case shows 63% similarity based on outcome holding analysis.</t>
  </si>
  <si>
    <t>25b8d565-e9dc-428f-bd32-bee1b406bf7c</t>
  </si>
  <si>
    <t>Sanderson v HM Revenue and Customs [2016] EWCA Civ 19</t>
  </si>
  <si>
    <t>25b8d565-e9dc-428f-bd32-bee1b406bf7c_citations_precedents</t>
  </si>
  <si>
    <t>Comprehensive list and discussion of authorities cited to frame the s.29(5) threshold and Ramsay-based interpretation.</t>
  </si>
  <si>
    <t>Citations and Authorities: Neutral Citations: [2016] EWCA Civ 19, [2016] BTC 3, [2016] STI 237, [2016] 4 WLR 67, [2016] 3 All ER 203, [2016] WLR(D) 49, [2016] STC 638 Law Reports: Referenced Cases: Corbally-Stourton v HMRC [2008] STC (SCD) 907, Tower MCashback LLP v Revenue &amp; Customs Commissioners [2010] STC 809, Charlton v HMRC [2013] STC 866, Langham v Veltema [2004] STC 544, Lansdowne Partners LLP v HMRC [2012] STC 544, MacNiven v Westmoreland Investments Ltd [2003] 1 AC 311, Furniss v Dawson [1984] AC 474, Barclays Mercantile Business Finance Ltd v Mawson [2005] STC 1, R (on the application of Pattullo) v Revenue and Customs Commissioners [2010] STC 107, Ramsay principle (as developed in Ramsay and later cases) Citation Count: 10</t>
  </si>
  <si>
    <t>Corbally-Stourton v HMRC [2008] STC (SCD) 907 || Tower MCashback LLP v Revenue &amp; Customs Commissioners [2010] STC 809 || Charlton v HMRC [2013] STC 866 || Langham v Veltema [2004] STC 544 || Lansdowne Partners LLP v HMRC [2012] STC 544 || MacNiven v Westmoreland Investments Ltd [2003] 1 AC 311 || Furniss v Dawson [1984] AC 474 || Barclays Mercantile Business Finance Ltd v Mawson [2005] STC 1 || R (on the application of Pattullo) v Revenue and Customs Commissioners [2010] STC 107</t>
  </si>
  <si>
    <t>3877de32-c402-46c9-897f-1d155aab8461</t>
  </si>
  <si>
    <t>Hargreaves v HM Revenue and Customs [2016] EWCA Civ 174 (22 March 2016)</t>
  </si>
  <si>
    <t>3877de32-c402-46c9-897f-1d155aab8461_citations_precedents</t>
  </si>
  <si>
    <t>Lists authorities cited to support statutory construction, burden allocation, and case-management principles.</t>
  </si>
  <si>
    <t>Citations and Authorities: Neutral Citations: [2016] EWCA Civ 174, [2016] STC 1652, [2016] WLR(D) 162, [2016] 1 WLR 2981, [2016] BTC 13, [2016] STI 1154, [2017] 1 All ER 129, [2016] WLR 2981 Law Reports: Referenced Cases: Hankinson v HMRC [2011] EWCA Civ 1566; 81 TC 424, Tower MCashback LLP 1 v HMRC [2011] 80 TC 641, R (Gaines-Cooper) v HMRC [2011] STC 2249, Dixon &amp; Gaunt Ltd v IRC (1947) 29 TC 289, Hurley v Taylor [1998] 71 TC 268, Daniels v HMRC [2014] UKFTT 173 (TC), Pearlberg v Varty (1972) 48 TC 14, Pountney v Griffiths [1976] AC 314, IRC v Garvin Rose [1976] STC 98, Government of India v Taylor [1955] AC 91, King v UK (European Court of Human Rights references cited in discussion of Article 6), Ferrazzini v Italy App No 44759/98 (ECHR 2002) Citation Count: 12</t>
  </si>
  <si>
    <t>Hankinson v HMRC || Tower MCashback LLP 1 v HMRC || R (Gaines-Cooper) v HMRC || Dixon &amp; Gaunt Ltd v IRC || Hurley v Taylor || Pountney v Griffiths || Garvin Rose</t>
  </si>
  <si>
    <t>ff761b33-5304-4f4b-ba2b-638b90a9864b</t>
  </si>
  <si>
    <t>Project Blue Limited v The Commissioners for HM Revenue and Customs [2016] EWCA Civ 485 (Court of Appeal, Civil Division)</t>
  </si>
  <si>
    <t>ff761b33-5304-4f4b-ba2b-638b90a9864b_citations_precedents</t>
  </si>
  <si>
    <t>Authorities cited in the decision, especially DV3 and key FA 2003 provisions that frame the interpretation.</t>
  </si>
  <si>
    <t>Citations and Authorities: Neutral Citations: [2017] 2 All ER 549, [2016] BTC 22, [2016] EWCA Civ 485, [2018] WLR 368, [2016] STC 2168, [2016] STI 1795, [2018] 1 WLR 368 Law Reports: Referenced Cases: DV3 RS LP v Revenue and Customs Commissioners [2013] EWCA Civ 907; [2014] 1 WLR 1136, Finance Act 2003, Part 4, Finance Act 2004 (s.45(5A)), Finance Act 2005 (section 71A), Finance Act 2011 amendments Citation Count: 5</t>
  </si>
  <si>
    <t>DV3 RS LP v Revenue and Customs Commissioners [2013] EWCA Civ 907; [2014] 1 WLR 1136</t>
  </si>
  <si>
    <t>321f1eb3-a7ee-452d-a5d1-e08732d9ac84</t>
  </si>
  <si>
    <t>Cheshire Cavity Storage 1 Limited v HM Revenue &amp; Customs [2022] EWCA Civ 305</t>
  </si>
  <si>
    <t>321f1eb3-a7ee-452d-a5d1-e08732d9ac84_legal_reasoning</t>
  </si>
  <si>
    <t>Court implements the long-standing test distinguishing plant from premises; cautions that any plant-like function does not automatically convert premises into plant; evaluates the caverns’ functions against authorities such as Wimpy and Yarmouth.</t>
  </si>
  <si>
    <t>Legal Analysis: Legal Issues: Whether expenditure on the provision of the cavities constitutes capital expenditure on the provision of plant or machinery. How to apply the meaning of 'plant' in absence of statutory definition. Whether the cavities perform a plant-like function sufficient to qualify as plant. Effect of 'premises test' vs 'plant-function' on capital allowances. Role of prior authorities in determining whether assets are plant or premises Reasoning: The Court of Appeal reaffirmed that there is no statutory definition of 'plant' and that determining whether something is 'plant' is a question of fact or fact and degree. It endorsed the long-standing distinction between 'premises' (setting) and 'plant' (the means of carrying on business in an appropriately prepared setting). The decision emphasised that mere possession of plant-like functions or being purpose-built does not automatically transform premises into plant. In particular, the cavities’ primary function was storing gas at high pressure (a premises-like function), while any “plant-like” aspects (e.g., free flow of gas) were incidental to construction and not under taxpayers’ control. The appeal was dismissed with written reasons to follow. Keywords: capital allowances, plant and machinery, premises test, plant-like function, leaching, de-brining, gas storage caverns, cushion gas, stock-in-trade, Yarmouth v France, Wimpy, IRC v Scottish Newcastle Breweries, England and Wales Court of Appeal (Civil Division)</t>
  </si>
  <si>
    <t>Yarmouth v France (1887) 19 QBD 647 || Wimpy International Ltd v Warland [1989] STC 273 || Bradley v London Electricity plc [1996] STC 1054 || Attwood v Anduff Car Wash Ltd [1997] STC 1167 || Cooke (Inspector of Taxes) v Beach Station Caravans Ltd || Jarrold v John Good &amp; Sons Ltd [1963] 1 WLR 214 || Shove v Lingfield Park 1991 Ltd [2004] EWCA Civ 391</t>
  </si>
  <si>
    <t>This case shows 62% similarity based on legal reasoning analysis.</t>
  </si>
  <si>
    <t>49a7af4c-0d11-408e-8d84-2238f7e8f04a</t>
  </si>
  <si>
    <t>Routier &amp; Anor v Revenue &amp; Customs [2016] EWCA Civ 938 (Court of Appeal, Civil Division)</t>
  </si>
  <si>
    <t>49a7af4c-0d11-408e-8d84-2238f7e8f04a_citations_precedents</t>
  </si>
  <si>
    <t>Cited authorities guiding the interpretation of s23, including Dreyfus (UK link for charitable purposes), Barras (jurisdictional limits), and Roque; references to related tax statutes and cases shaping the framework.</t>
  </si>
  <si>
    <t>Citations and Authorities: Neutral Citations: [2016] EWCA Civ 938, [2017] PTSR 73, [2016] WLR(D) 496, [2016] STC 2218, [2016] BTC 38, [2016] STI 2653 Law Reports: Referenced Cases: Camille and Henry Dreyfus Foundation Inc v IRC [1956] AC 39, Dreyfus [1956] AC 39 (and related Court of Appeal decisions [1954] 1 Ch 672), Rui Alberto Pereira Roque v Lieutenant Governor of Jersey [1998] 3 CMLR 143, Barras v Aberdeen Sea Trawling and Fishing Co Ltd [1933] AC 402, Macdonald (Inspector of Taxes) v Dextra Accessories [2005] STC 1111, Inland Revenue ITA 1918 s.37, IHTA 1984 s.23, ITA 2007 s.989, ICTA 1970 s.360, ICTA 1988 s.506, Roque v Jersey (case law, cited in context) Citation Count: 11</t>
  </si>
  <si>
    <t>Camille and Henry Dreyfus Foundation Inc v IRC [1956] AC 39 || Dreyfus decisions (1954/1956) || Rui Alberto Pereira Roque v Lieutenant Governor of Jersey [1998] 3 CMLR 143 || Barras v Aberdeen Sea Trawling and Fishing Co Ltd [1933] AC 402 || Macdonald (Inspector of Taxes) v Dextra Accessories [2005] STC 1111</t>
  </si>
  <si>
    <t>24f747de-4a9b-43b6-90ad-0cce710f5bf8</t>
  </si>
  <si>
    <t>Greene King plc &amp; Anor v Revenue and Customs [2016] EWCA Civ 782</t>
  </si>
  <si>
    <t>24f747de-4a9b-43b6-90ad-0cce710f5bf8_citations_precedents</t>
  </si>
  <si>
    <t>Authorities relied upon for interpretation of loan relationships and accounting treatment.</t>
  </si>
  <si>
    <t>Citations and Authorities: Neutral Citations: [2016] EWCA Civ 782, [2017] 2 All ER 947, [2017] 4 WLR 190, [2016] STI 2441, [2017] STC 615, [2016] BTC 35, [2016] EWCA Civ 782 Law Reports: Referenced Cases: Finance Act 1996, particularly FA 1996 Part II: loan relationships (ss81, 84, 85, 130, 132, Schedule 9, and related provisions)., Corporation Taxes Act 1985 (CA 1985), s132; s14 Schedule 9 references (Stagecoach comparison)., DCC Holdings (UK) Ltd v HMRC [2010] UKSC 58; [2011] STC 326, Vocalspruce Ltd v HMRC [2014] EWCA Civ 1302; [2015] STC 861, Port of London Authority v IRC [1920] 2 KB 612, Re Spanish Prospecting Company Limited [1911] 1 Ch 92, Graham v Green [1925] 2 KB 37, Lowry v Consolidated African Selection Trust Limited [1940] AC 648, Revenue and Customs Commissioners v Bank of Ireland [2008] EWCA 58, Stagecoach Group plc v HMRC [2016] UKFTT 0120, Greene King v HMRC (lead authority, [2016] EWCA Civ 782) Citation Count: 11</t>
  </si>
  <si>
    <t>DCC Holdings (UK) Ltd v HMRC || Vocalspruce Ltd v HMRC || Bank of Ireland v HMRC</t>
  </si>
  <si>
    <t>dfa97e6e-7e32-4c80-9f6f-5e4f398f9d82</t>
  </si>
  <si>
    <t>European Court of Human Rights (Fourth Section)</t>
  </si>
  <si>
    <t>dfa97e6e-7e32-4c80-9f6f-5e4f398f9d82_case_analysis</t>
  </si>
  <si>
    <t>Analysis of the significance and implications of the ruling for future cases and legal interpretations.</t>
  </si>
  <si>
    <t>Case Analysis and Reasoning: Precedent Strength Assessment (8/10): • The case addresses the important issue of educational rights for prisoners, a relatively novel issue in human rights law, particularly before the European Court. • The reasoning provided by the Court was thorough, setting clear guidelines for future cases related to prisoner education. • This ruling is likely to be referred to in subsequent cases regarding the rights of remand prisoners, establishing a strong precedent. Confidence: 85% Complexity Score Assessment (7/10): • The case involves multiple legal issues including human rights, procedural law in the context of imprisonment, and education rights, indicating a moderate level of complexity. • However, the straightforward nature of the factual background and the legal frameworks applied simplified some aspects of the case. Confidence: 80% Legal Significance: Important case with notable legal impact</t>
  </si>
  <si>
    <t>Debates on education rights in the European Context.</t>
  </si>
  <si>
    <t>This case shows 80% similarity based on case analysis analysis.</t>
  </si>
  <si>
    <t>This case shows 76% similarity based on case analysis analysis.</t>
  </si>
  <si>
    <t>facdee26-7310-4355-9ef5-1fd21f107f72</t>
  </si>
  <si>
    <t>Kalda v. Estonia - Access to Information Rights for Prisoners</t>
  </si>
  <si>
    <t>European Court of Human Rights (Second Section)</t>
  </si>
  <si>
    <t>facdee26-7310-4355-9ef5-1fd21f107f72_case_analysis</t>
  </si>
  <si>
    <t>Analyzing the implications of the case's ruling on future legal interpretations of rights under the Convention, especially concerning prisoners.</t>
  </si>
  <si>
    <t>Case Analysis and Reasoning: Precedent Strength Assessment (8/10): • The case establishes important precedents regarding prisoners' rights to receive information via the Internet, involving both constitutional and international law principles. • The ruling highlights the balance between security and prisoners' rights, reflecting on the evolving understanding of Internet accessibility as a human right. • The Court's decision provides a well-reasoned argument, supported by existing international standards on freedom of expression and access to information. Confidence: 90% Complexity Score Assessment (6/10): • The case involves multiple legal issues, including human rights implications, administrative law aspects, and a thorough examination of statutory provisions. • Procedural complexities arose as the case passed through various levels of Estonian courts before reaching the European Court, indicating a layered legal battle. • Although the central issue is clear, the interplay between rights and security adds a layer of complexity to the arguments presented. Confidence: 85% Legal Significance: Important case with notable legal impact</t>
  </si>
  <si>
    <t>This case shows 75% similarity based on case analysis analysis.</t>
  </si>
  <si>
    <t>c5a5edf0-4845-4195-a969-082c8b5afa2a</t>
  </si>
  <si>
    <t>BK &amp; Anor v The Secretary of State for Justice [2015] EWCA Civ 1259</t>
  </si>
  <si>
    <t>c5a5edf0-4845-4195-a969-082c8b5afa2a_case_analysis</t>
  </si>
  <si>
    <t>Analyzes the case's precedent value and its broader implications for legal interpretations.</t>
  </si>
  <si>
    <t>Case Analysis and Reasoning: Precedent Strength Assessment (7/10): • The case involved well-established legal principles but also addressed the nuanced treatment of vulnerable female prisoners, thus contributing to its precedent strength. • The Court of Appeal's ruling refines understanding of governmental policy effectiveness under the ECHR, enhancing its citation potential in future cases. • While the court focused primarily on the policy's compliance rather than establishing new law, the decision reflects increasing judicial awareness of women's rights in the penal system. Confidence: 85% Complexity Score Assessment (8/10): • There are multiple legal issues concerning human rights law, including Article 3 and Article 8 interpretations, procedural complexities of prison policies, and the divergent experiences of the appellants. • The case involved significant factual detail regarding the backgrounds of the appellants, contributing to its complexity. • The inclusion of mental health considerations and response to vulnerable populations added layers of legal and evidential difficulty. Confidence: 80% Legal Significance: Important case with notable legal impact</t>
  </si>
  <si>
    <t>This case shows 74% similarity based on case analysis analysis.</t>
  </si>
  <si>
    <t>da4b6be7-2b22-4bd1-af6b-a68873f0af8d</t>
  </si>
  <si>
    <t>Bright &amp; Anor v The Secretary of State for Justice</t>
  </si>
  <si>
    <t>da4b6be7-2b22-4bd1-af6b-a68873f0af8d_case_analysis</t>
  </si>
  <si>
    <t>Critical analysis of case significance and its potential influence on future judicial decisions regarding prisoner rights.</t>
  </si>
  <si>
    <t>Case Analysis and Reasoning: Precedent Strength Assessment (7/10): • The case is from a higher court (Court of Appeal) enhancing its authority for future cases. • Addresses a novel issue regarding same-sex relationships and prison separations, potentially impacting future policy. • Quality of reasoning discusses broader implications for prisoners' rights under Article 8. Confidence: 85% Complexity Score Assessment (6/10): • Multiple legal issues were raised, requiring understanding of complex prison policies. • Involves competing human rights with institutional safety and public order policies. • Presence of judicial review proceedings adds procedural complexity. Confidence: 80% Legal Significance: Moderately significant case with some precedential value</t>
  </si>
  <si>
    <t>7e8929e7-4b3c-4492-b8b5-e01b9ccfcf2c</t>
  </si>
  <si>
    <t>Zenati v Police of the Metropolis &amp; Anor [2015] EWCA Civ 80</t>
  </si>
  <si>
    <t>7e8929e7-4b3c-4492-b8b5-e01b9ccfcf2c_case_analysis</t>
  </si>
  <si>
    <t>Analysis of the case’s implications, including precedent value and the complexity of the legal issues at stake.</t>
  </si>
  <si>
    <t>Case Analysis and Reasoning: Precedent Strength Assessment (8/10): • The case involves a high court in the appellate system addressing constitutional rights under the ECHR, setting a firm precedent on detention laws. • The legal issues, particularly regarding reasonable suspicion and Article 5 claims, are vital and widely applicable, enhancing the case's importance in future similar cases. • While the dismissal of the false imprisonment claim limits its scope, the rulings on procedural obligations of authorities enhance its significance." Confidence: 90% Complexity Score Assessment (7/10): • Involves multiple legal issues concerning both human rights and tort law, raising intricate arguments about due process. • The procedural history includes multiple levels of court, complex evidence analysis, and substantial legal argumentation from both sides, adding to its complexity. • However, while it deals with important legal principles, the factual background is straightforward, related to one individual’s detention, which keeps the complexity manageable. Confidence: 85% Legal Significance: Important case with notable legal impact</t>
  </si>
  <si>
    <t>464b6335-7623-49ec-8536-df2bb3ae5a4d</t>
  </si>
  <si>
    <t>Parratt, R (on the application of) v Parole Board</t>
  </si>
  <si>
    <t>464b6335-7623-49ec-8536-df2bb3ae5a4d_case_analysis</t>
  </si>
  <si>
    <t>Analysis of the case's significance in future legal contexts and its complexity.</t>
  </si>
  <si>
    <t>Case Analysis and Reasoning: Precedent Strength Assessment (8/10): • The case has significant precedent implications regarding the handling of delays in Parole Board hearings and the related obligations under Article 5.4 of the ECHR. • It also clarifies the nature of damages in judicial reviews against public authorities, reinforcing how delays can impact release dates. • The court's interpretation could be followed in similar cases, suggesting a strong potential for citation in future legal matters. Confidence: 85% Complexity Score Assessment (7/10): • The case involved multiple legal issues surrounding human rights, procedural delays, and judicial review. Complexity arose from the overlap in responsibilities between different parties (the Parole Board and the Secretary of State), as well as the nuanced evaluations required to determine causation for delays in release. • The appellant's arguments included several layers of legal interpretations regarding Article 5.4 and damages, further complicating the matter. Confidence: 80% Legal Significance: Important case with notable legal impact</t>
  </si>
  <si>
    <t>R (Faulkner) v Secretary of State for Justice || R (Sturnham) v Parole Board</t>
  </si>
  <si>
    <t>b15fdd53-0222-49df-98a5-84e25904f9fd</t>
  </si>
  <si>
    <t>Use of Languages in Education in Belgium</t>
  </si>
  <si>
    <t>European Court of Human Rights (Plenary)</t>
  </si>
  <si>
    <t>b15fdd53-0222-49df-98a5-84e25904f9fd_case_analysis</t>
  </si>
  <si>
    <t>Critical evaluation of the case’s significance in precedent value and complexities presented in the judgments, including dissenting views.</t>
  </si>
  <si>
    <t>Case Analysis and Reasoning: Precedent Strength Assessment (7/10): • The case discusses significant principles regarding language and education rights. • It identifies a discrimination issue relevant in broader human rights contexts across Europe. • While the ruling has implications for state sovereignty in education policy, the dissent raises important counterarguments that limit its universal applicability. Confidence: 85% Complexity Score Assessment (6/10): • Number of legal issues (six questions raised). • The case involves complex legislative history and interpretation. • Presence of dissenting opinions adds to the complexity of reasoning and implications. Confidence: 80% Legal Significance: Moderately significant case with some precedential value</t>
  </si>
  <si>
    <t>Case precedent assessments</t>
  </si>
  <si>
    <t>90f8b18f-1e00-4177-9cfb-1304fdbc0a97</t>
  </si>
  <si>
    <t>Bayliss v The Parole Board of England &amp; Wales [2014] EWCA Civ 1268</t>
  </si>
  <si>
    <t>90f8b18f-1e00-4177-9cfb-1304fdbc0a97_case_analysis</t>
  </si>
  <si>
    <t>Assessment of the case significance and legal complexity within the broader jurisprudential context.</t>
  </si>
  <si>
    <t>Case Analysis and Reasoning: Precedent Strength Assessment (8/10): • High-level court decision provides strong precedent regarding sentencing laws and habeas corpus issues. • The legal issues involved are relevant to current parole and human rights standards. • It may influence future Parole Board reviews and decisions regarding public protection sentences. Confidence: 85% Complexity Score Assessment (7/10): • Multiple legal issues were present, particularly regarding human rights under the ECHR, the complexity of sentencing standards, and procedural nuances in the judicial review process. • The factual background involves significant criminal history combined with family circumstances, contributing to a complex narrative. Confidence: 80% Legal Significance: Important case with notable legal impact</t>
  </si>
  <si>
    <t>80701211-fe03-4dc0-972a-b2e5467876b9_case_analysis</t>
  </si>
  <si>
    <t>Analysis of the case's significance for future legal practices in immigration detention.</t>
  </si>
  <si>
    <t>Case Analysis and Reasoning: Precedent Strength Assessment (8/10): • The case is set in the England and Wales Court of Appeal, a significant judicial level which enhances the precedent's weight. • It examines important legal principles regarding the rights of detainees under the European Convention, making it valuable for future similar cases. • The quality of the reasoning provided in the judgment was robust, citing multiple ECtHR decisions to support conclusions about appropriate detention conditions. Confidence: 85% Complexity Score Assessment (7/10): • The case involves nuanced legal questions related to human rights and administrative law, requiring substantial legal interpretation of EU directives and national law. • There were multiple parties involved, each with distinct legal representations and arguments, compounding the complexity. • Furthermore, the procedural history involved various submissions and considerations spanning from the high court to the appellate level. Confidence: 80% Legal Significance: Important case with notable legal impact</t>
  </si>
  <si>
    <t>1ed4938a-8018-45b9-bf99-465d1697ff0b</t>
  </si>
  <si>
    <t>AA (Poland) v Secretary of State for the Home Department [2016] EWCA Civ 620 (11 May 2016)</t>
  </si>
  <si>
    <t>1ed4938a-8018-45b9-bf99-465d1697ff0b_case_analysis</t>
  </si>
  <si>
    <t>Case analysis: assessment of precedent strength and complexity; evaluation of issues' novelty, breadth, and potential for subsequent citations; role of Tarakhel; interplay between deportation and extradition; potential future developments.</t>
  </si>
  <si>
    <t>Case Analysis and Reasoning: Precedent Strength Assessment (6/10): • The Court of Appeal is a high-level court whose decisions can serve as significant persuasive authority, especially on immigration/extradition issues. • The issues involve novel or nuanced interactions between deportation, extradition, and human rights protections (Article 3, Tarakhel). • However, this is a permission-to-appeal decision rather than a final merits ruling, limiting its impact as binding precedent on the substantive questions. • The decision relies on interpreting existing jurisprudence (notably Tarakhel) and evaluating the potential for future citations by other courts, which limits breadth of impact. • Counterarguments include the possibility that the issues may be resolved at the permission stage or that subsequent rulings narrow the scope of the holding. Confidence: 78% Complexity Score Assessment (8/10): • Multiple intertwined issues: Article 3 risk, double punishment, credit in the receiving state, assurances under Tarakhel, and procedural questions across First Tier, Upper Tribunal, and Court of Appeal. • Fact-intensive background: extensive criminal history, detention in UK, extradition proceedings, time spent in detention, and potential credit considerations. • Procedural complexity: shifting tribunal approaches (First Tier vs Upper Tribunal) and the possibility of directions to remedy live issues. • Legal novelty: the precise test for real risk of breach and the application of Tarakhel principles in deportation/extradition contexts, with limited direct authority. • Overall: high complexity due to sector-specific interplay of immigration, extradition, and human rights jurisprudence. Confidence: 74% Legal Significance: Important case with notable legal impact</t>
  </si>
  <si>
    <t>Tarakhel v Switzerland (ECtHR 2014)</t>
  </si>
  <si>
    <t>cd2db340-265d-46ef-86dd-180d07c4fea9</t>
  </si>
  <si>
    <t>AE (Algeria) v Secretary of State for the Home Department</t>
  </si>
  <si>
    <t>cd2db340-265d-46ef-86dd-180d07c4fea9_case_analysis</t>
  </si>
  <si>
    <t>Analysis of the case's significance in legal precedent and complexity.</t>
  </si>
  <si>
    <t>Case Analysis and Reasoning: Precedent Strength Assessment (6/10): • The case addresses significant human rights issues regarding children in immigration contexts, potentially broadening the interpretation of Article 8 in light of children’s needs. • The appeal engages complex considerations about balancing immigration control against the welfare of minors, which is both novel and significant in case law. Confidence: 85% Complexity Score Assessment (7/10): • The case involves multiple legal issues around children's rights, immigration law, and human rights, introducing significant factual complexities regarding medical needs. • Procedural intricacies were evident, given that the decisions traversed various tribunals and required specialized legal arguments regarding claims made under different articles of the ECHR. Confidence: 80% Legal Significance: Moderately significant case with some precedential value</t>
  </si>
  <si>
    <t>57d5bf6b-b5e4-4a29-8fe8-fc6caf7108e9_case_analysis</t>
  </si>
  <si>
    <t>Assessment of the case’s significance: strong appellate authority on ECHR interactions, with moderate novelty and substantial complexity due to multiple authorities.</t>
  </si>
  <si>
    <t>Case Analysis and Reasoning: Precedent Strength Assessment (7/10): • Court of Appeal level provides strong binding authority for lower courts and persuasive value for other appellate courts. • Issue involves established but nuanced ECHR principles (Articles 5 and 7) and domestic sentencing law, with deliberate distinctions drawn to preserve the traditional boundary between penalty and its administration. • Reliance on well-known authorities (Del Rio Prada, Uttley, Robinson) enhances precedential weight, but the decision is not radical or unexpectedly novel. • Potential higher leverage exists only if future cases align with the exact vehicle of challenge; the current judgment itself cites distinguishable facts from Del Rio Prada, limiting universal applicability. Confidence: 75% Complexity Score Assessment (7/10): • Multiple legal issues converge: foreseeability; Article 7/5 interplay; distinction between penalty and administration; reliance on multiple authorities (Del Rio Prada, Uttley, Robinson). • Procedural history includes High Court Divisional Court and renewed permission to appeal in CA, with decisions on papers and then a full hearing, indicating procedural nuance. • Factual disputes are limited; the legal questions are layered and require interpretation of compatibility with ECHR and domestic law. • Jurisdictional considerations (UK/England &amp; Wales, ECHR framework) add technical complexity. Confidence: 78% Legal Significance: Important case with notable legal impact</t>
  </si>
  <si>
    <t>522b4f69-32d0-44e3-9bb5-92859e5efde0</t>
  </si>
  <si>
    <t>Catan and Others v. Moldova and Russia</t>
  </si>
  <si>
    <t>European Court of Human Rights (Grand Chamber)</t>
  </si>
  <si>
    <t>522b4f69-32d0-44e3-9bb5-92859e5efde0_case_analysis</t>
  </si>
  <si>
    <t>Critical analysis of the case's precedent value and legal complexity, highlighting factors enhancing its broader implications.</t>
  </si>
  <si>
    <t>Case Analysis and Reasoning: Precedent Strength Assessment (8/10): • The case addresses significant human rights issues regarding education and jurisdiction in a complex geopolitical context, enhancing its precedent value. • The ruling delineated responsibilities of states under the Convention regarding extraterritorial jurisdiction, a point that adds to its legal significance. • The depth of legal reasoning and the involvement of the Grand Chamber augment its citation potential; however, regional specificity may limit broader applicability. Confidence: 85% Complexity Score Assessment (7/10): • The case involves multiple legal issues, including jurisdictional questions for two states and human rights violations explored under various articles of the Convention. • Factual complexity arises from the historical backdrop and the interplay between different administrative authorities in Transdniestria. • Nonetheless, the case may be seen as clearer than other potential conflicts involving more parties, leading to a somewhat moderated complexity score. Confidence: 75% Legal Significance: Important case with notable legal impact</t>
  </si>
  <si>
    <t>d43e9179-fec2-4fc9-a5b0-3113b6e57fb4</t>
  </si>
  <si>
    <t>Coll v Secretary of State for Justice [2015] EWCA Civ 328</t>
  </si>
  <si>
    <t>d43e9179-fec2-4fc9-a5b0-3113b6e57fb4_case_analysis</t>
  </si>
  <si>
    <t>Here, the analysis evaluates the significance of the case in the context of legal precedent and its complexity.</t>
  </si>
  <si>
    <t>Case Analysis and Reasoning: Precedent Strength Assessment (6/10): • The case addresses an important issue within administrative law regarding discrimination, though established principles limit its novelty. • The reasoning, while thorough, does not introduce revolutionary interpretations; it builds on established judicial understandings of discrimination law, particularly the Equality Act 2010. • The ruling is from a respected appellate court, increasing its potential for citation in future cases, especially concerning sex discrimination in a penal context. Confidence: 85% Complexity Score Assessment (7/10): • The case involves multiple legal issues relating to sex discrimination and public sector duties, indicating a level of complexity. • The presence of substantial factual and procedural elements from an appellate perspective adds to the complexity, particularly the analysis needed around the distribution and impact of APs for male versus female prisoners. • The argument's reliance on evolving societal standards about equality and rehabilitation in the prison system further complicates the case. Confidence: 80% Legal Significance: Moderately significant case with some precedential value</t>
  </si>
  <si>
    <t>Woodcock v Cumbria Primary Care Trust [2012] EWCA Civ 330</t>
  </si>
  <si>
    <t>037fedaf-bb6c-4013-9ebb-6bc7192c7525</t>
  </si>
  <si>
    <t>Tabbakh, R (On the Application Of) v Staffordshire And West Midlands Probation Trust &amp; Anor</t>
  </si>
  <si>
    <t>037fedaf-bb6c-4013-9ebb-6bc7192c7525_case_analysis</t>
  </si>
  <si>
    <t>Analysis of the case's impact on future legal understanding and its complexity.</t>
  </si>
  <si>
    <t>Case Analysis and Reasoning: Precedent Strength Assessment (7/10): • The ruling comes from a higher court (Court of Appeal), enhancing its precedential value. • Addresses novel intersections of criminal law and human rights, particularly around procedural fairness relating to criminal licence conditions. • Quality of legal reasoning and detailed analysis of existing policies support the strength of the precedent. Confidence: 85% Complexity Score Assessment (6/10): • Multiple legal questions concerning human rights and procedural law are involved in assessing the case. • Factual background is complex due to the appellants' circumstances and the myriad of relevant procedural policies associated with MAPPA (Multi-Agency Public Protection Arrangements). • The interaction between various legal documents and standards creates a moderate degree of complexity that requires legal expertise. Confidence: 75% Legal Significance: Moderately significant case with some precedential value</t>
  </si>
  <si>
    <t>R (Refugee Legal Centre) v Secretary of State for the Home Department</t>
  </si>
  <si>
    <t>0c4144ef-9642-4280-9526-95be21a99f19</t>
  </si>
  <si>
    <t>Bayliss v The Parole Board of England And Wales &amp; Anor [2014] EWCA Civ 1631</t>
  </si>
  <si>
    <t>0c4144ef-9642-4280-9526-95be21a99f19_case_analysis</t>
  </si>
  <si>
    <t>Critical analysis of the precedent value and complexity surrounding the case, discussing its impact and implications.</t>
  </si>
  <si>
    <t>Case Analysis and Reasoning: Precedent Strength Assessment (7/10): • The case is significant as it clarifies the responsibilities of the Parole Board and the Secretary of State regarding detention under public protection sentences. • The court's reasoning is robust, referencing established precedents and ECHR principles regarding lawful detention and arbitrary deprivation of liberty. • However, it does not establish new legal principles but rather applies existing legal frameworks effectively. Confidence: 85% Complexity Score Assessment (6/10): • The case involves multiple legal issues regarding statutory interpretation of the Criminal Justice Act and human rights considerations under the ECHR. • Procedurally, it presented complexities concerning the intertwined responsibilities of the Parole Board and Secretary of State, and the timing and basis of appeals. • There’s also a significant factual history related to the appellant's conduct and prior convictions, contributing to the complexity. Confidence: 80% Legal Significance: Moderately significant case with some precedential value</t>
  </si>
  <si>
    <t>R v Cain [1985] AC 46</t>
  </si>
  <si>
    <t>22f5a58b-4272-4bb0-8476-e2d0333f5032</t>
  </si>
  <si>
    <t>BB, PP, W, U &amp; Ors v Secretary of State for the Home Department</t>
  </si>
  <si>
    <t>22f5a58b-4272-4bb0-8476-e2d0333f5032_case_analysis</t>
  </si>
  <si>
    <t>This section critiques the potential precedent value of the case and assesses its complexity.</t>
  </si>
  <si>
    <t>Case Analysis and Reasoning: Precedent Strength Assessment (8/10): • The case is from the Court of Appeal, a significant level in the UK court hierarchy, which grants it considerable weight as precedent. • The legal issues addressed are relevant to ongoing human rights discussions, particularly concerning deportation practices and international human rights obligations. • The case can have wide implications for future deportation cases involving assurances from foreign governments, particularly in relation to Article 3 ECHR. • The reasoning quality is strong; the Court detailed significant legal interpretations that could influence other cases. • However, it's not a Supreme Court ruling, which slightly lowers its precedent impact compared with the highest court's decisions. Confidence: 90% Complexity Score Assessment (7/10): • The case involves multiple appellants, each with distinct circumstances, complicating the legal analysis of each individual's risk. • It requires extensive evaluation of international human rights law, particularly Article 3 of the ECHR, which adds a layer of legal complexity. • The procedural history is convoluted, involving various appeals between different courts, making the timeline and evaluation of legal standing intricate. • Factual disputes regarding conditions of detention and treatment require robust evidentiary assessment, making the case complex despite the narrow legal issues. • Low complexity opportunity arises due to the focused legal issues concerning humanitarian protections and legal standards. Confidence: 85% Legal Significance: Important case with notable legal impact</t>
  </si>
  <si>
    <t>7614b7b3-9102-4127-baa4-ed60bb7a82ed_case_analysis</t>
  </si>
  <si>
    <t>Evaluation of the case’s potential to shape future judicial-review challenges in prison-licensing contexts and its overall complexity.</t>
  </si>
  <si>
    <t>Case Analysis and Reasoning: Precedent Strength Assessment (7/10): • Court level: Court of Appeal (Civil Division) is a high-level, controlling appellate authority in England and Wales, increasing potential for persuasive value. • Novelty: The case engages the interaction of prison licensing, recall, and judicial review; while public law challenges to executive decisions are common, the history of long unlawful absence and multiple releases introduces factual complexity but not necessarily novel legal questions. • Breadth of holding: Depending on the Court of Appeal’s articulation, the decision could affect licensing procedures and judicial review standards in similar administrative-custody contexts, broadening its applicability in public law and criminal justice administration. • Quality of reasoning: The text does not reveal the Court’s reasoning, limiting assessment of doctrinal robustness; the appellant secured permission to appeal, suggesting some arguable grounds with persuasive potential. • Citation potential: As an EWCA Civ case involving prison licensing, it may be cited in future public-law challenges to administrative decisions within criminal justice systems, especially where licence conditions and recall are implicated. • Jurisdictional authority: English law; binding within England and Wales; possible persuasive value in other common law jurisdictions with similar legal frameworks. Confidence: 65% Complexity Score Assessment (6/10): • Number of legal issues: Multiple issues related to judicial review standards, licensing framework, and administrative decision-making. • Procedural complexity: Involves successive court levels (Divisional Court, Court of Appeal) and permission decisions, which adds procedural layering. • Factual disputes: Extensive factual history (release, non-compliance, unlawful absence, return, re-release) that affect legal analysis but may not drive unique legal questions. • Legal novelty: Some novelty in the factual trajectory, but core legal doctrines (judicial review, public law standards) are established. • Parties and roles: Involves government defendants and a rights-based public-law challenge, with multiple counsel and legal teams, though the number of distinct issues remains moderate. • Technical requirements: Prison licensing and recall procedures involve specialized administration of criminal justice, contributing …</t>
  </si>
  <si>
    <t>This case shows 79% similarity based on case analysis analysis.</t>
  </si>
  <si>
    <t>18d1bbac-8bcd-4fbc-86a6-c88f150b10c4</t>
  </si>
  <si>
    <t>Lankester &amp; Son Ltd v Rennie [2014] EWCA Civ 1515</t>
  </si>
  <si>
    <t>18d1bbac-8bcd-4fbc-86a6-c88f150b10c4_case_analysis</t>
  </si>
  <si>
    <t>Analysis on the significance of the case as a precedent for future legal considerations regarding leases and estoppel.</t>
  </si>
  <si>
    <t>Case Analysis and Reasoning: Precedent Strength Assessment (6/10): • The appeal outcome may provide future courts with insights on lease assignments and estoppel principles, particularly regarding informal agreements and the necessity of formality in lease assignments. • The quality of reasoning was solid but based on established legal principles rather than novel interpretations. As such, it does not set a definitive precedent, but rather clarifies existing law. • The case arises from a mid-level court (Court of Appeal) and, while useful, lacks the authority of decisions from the Supreme Court. Confidence: 85% Complexity Score Assessment (7/10): • The case involved a multi-faceted analysis of contractual obligations, decisions on estoppel, and the nature of lease assignments, which introduces various layers of legal considerations. • Disputed factual accounts between the primary participants added to the complexity, requiring detailed examination of evidentiary credibility and conflicting testimonies. • The case required substantial legal knowledge around commercial leases, making it moderately complex. Confidence: 80% Legal Significance: Moderately significant case with some precedential value</t>
  </si>
  <si>
    <t>3f8f64bf-8917-45f1-ac4e-d5c0890c76e6</t>
  </si>
  <si>
    <t>3f8f64bf-8917-45f1-ac4e-d5c0890c76e6_legal_classification</t>
  </si>
  <si>
    <t>Legal classification detailed with specific areas of law referenced in the case.</t>
  </si>
  <si>
    <t>Legal Classification: Primary Category: Negligence Legal Areas: Contract Law, Professional Negligence, Insurance Law Jurisdiction: England and Wales Court Level: Appellate Legal Issues: Negligence in legal representation. Causation between legal conduct and loss. Professional indemnity insurance requirements Keywords: negligence, professional indemnity, insurance, legal representation, causation</t>
  </si>
  <si>
    <t>5bbb3770-46d1-41af-b347-aa54ea9834ba</t>
  </si>
  <si>
    <t>Wellesley Partners LLP v Withers LLP [2015] EWCA Civ 1146</t>
  </si>
  <si>
    <t>5bbb3770-46d1-41af-b347-aa54ea9834ba_legal_classification</t>
  </si>
  <si>
    <t>Legal classification of the case, focusing on the intersection of contract law and tort law as it pertains to professional services.</t>
  </si>
  <si>
    <t>Legal Classification: Primary Category: Professional Negligence Legal Areas: Contract Law, Tort Law Jurisdiction: England and Wales Court Level: Appellate Legal Issues: Concurrent liability in tort and contract for professional negligence. Standard for remoteness of damages in professional negligence. Application of the 'loss of chance' principle in assessing damages Keywords: professional negligence, remoteness of damages, contract, tort, loss of chance, legal advice</t>
  </si>
  <si>
    <t>2ce1a66b-e09c-49d6-ae7c-f04499838c1a</t>
  </si>
  <si>
    <t>Prior &amp; Ors v Commissioner of Police of the Metropolis (Rev1) [2023] EWCA Civ 32</t>
  </si>
  <si>
    <t>2ce1a66b-e09c-49d6-ae7c-f04499838c1a_procedural_history</t>
  </si>
  <si>
    <t>Procedural route: High Court decision by Kerr J; appeal to the Court of Appeal with hearings in December 2022 and judgment issued in January 2023.</t>
  </si>
  <si>
    <t>Procedural History: Court: England and Wales Court of Appeal (Civil Division) Lower Court: King's Bench Division (High Court) – [2021] EWHC 2672 (QB) Judges: Lord Justice Bean, Lady Justice King, Lady Justice Simler Case Number: CA/2021/003336 Last Hearing Date: 19 January 2023 Duration: 13 days</t>
  </si>
  <si>
    <t>[2021] EWHC 2672 (QB) || [2023] EWCA Civ 32</t>
  </si>
  <si>
    <t>48712729-9a1b-4432-8f48-f5d5ad2ab7af</t>
  </si>
  <si>
    <t>Chinnock v Wasbrough &amp; Anor [2015] EWCA Civ 441</t>
  </si>
  <si>
    <t>48712729-9a1b-4432-8f48-f5d5ad2ab7af_legal_classification</t>
  </si>
  <si>
    <t>Classification of legal matters involved in the case.</t>
  </si>
  <si>
    <t>Legal Classification: Primary Category: Professional Negligence Legal Areas: Clinical Negligence, Legal Malpractice, Limitation of Actions Jurisdiction: England Court Level: Appellate Legal Issues: Duty of Care by solicitors and barristers. Limitation Act and knowledge requirements for negligence claims. Causation and loss attributed to legal negligence Keywords: negligence, legal advice, statute barring, clinical negligence, wrongful birth</t>
  </si>
  <si>
    <t>49bf433c-b49b-4091-a568-3110855d22c7</t>
  </si>
  <si>
    <t>Taberna Europe CDO II Plc v Selskabet AF 1.September 2008 in Bankruptcy</t>
  </si>
  <si>
    <t>49bf433c-b49b-4091-a568-3110855d22c7_citations_precedents</t>
  </si>
  <si>
    <t>Authorities cited across the decision establishing the doctrinal framework for misrepresentation, duty of care, and disclaimers.</t>
  </si>
  <si>
    <t>Citations and Authorities: Neutral Citations: [2017] 2 All ER (Comm) 605, [2017] QB 633, [2016] WLR(D) 660, [2017] 3 All ER 1046, [2017] 1 BCLC 319, [2017] 2 WLR 803, [2016] EWCA Civ 1262 Law Reports: [2017] 2 All ER (Comm) 605, [2017] QB 633, [2016] WLR(D) 660, [2017] 3 All ER 1046, [2017] 1 BCLC 319, [2017] 2 WLR 803, [2016] EWCA Civ 1262 Referenced Cases: Peek v Gurney (1873) LR 6 HL 377, Caparo Industries Plc v Dickman [1990] 2 AC 605, Caparo v Dickman (discussed as a proximate reliance framework), Canada Steamship Lines Ltd v The King [1952] AC 192, HIH Casualty and General Insurance Ltd v Chase Manhattan Bank [2003] UKHL 6, IFE Fund S.A. v Goldman Sachs International [2007] 1 Lloyd's Rep 264, Royscot Trust Ltd v Rogerson [1991] 2 QB 297, Gran Gelato Ltd v Richcliff (Group) Ltd [1992] Ch 725, William Sindall Plc v Cambridgeshire County Council [1994] 1 WLR 1016, Reynell v Sprye (1852) 1 De G. M. &amp; G. 660, Redgrave v Hurd (1881) 20 Ch D 1, Nocton v Lord Ashburton [1914] AC 932, Strover v Harrington [1988] Ch 390, Nobahar-Cookson v The Hut Group Ltd [2016] EWCA Civ 128, Transocean Drilling UK Ltd v Providence Resources Plc [2016] EWCA Civ 372 Citation Count: 15</t>
  </si>
  <si>
    <t>Peek v Gurney || Caparo Industries v Dickman || Canada Steamship Lines || HIH Casualty and General Insurance || IFE Fund v Goldman Sachs || Royscot Trust Ltd v Rogerson || Gran Gelato Ltd v Richcliff (Group) Ltd || William Sindall Plc v Cambridgeshire County Council</t>
  </si>
  <si>
    <t>880e79e1-325f-4cf1-a0c9-bdac6d491cba</t>
  </si>
  <si>
    <t>Barrow (by his litigation friend and grandfather) &amp; Ors v Merrett &amp; Anor [2022] EWCA Civ 1241</t>
  </si>
  <si>
    <t>880e79e1-325f-4cf1-a0c9-bdac6d491cba_procedural_history</t>
  </si>
  <si>
    <t>Procedural trajectory: High Court decision, appellate appeal, hearing date, and permission to appeal.</t>
  </si>
  <si>
    <t>Procedural History: Court: England and Wales Court of Appeal (Civil Division) Lower Court: High Court (Queen's Bench Division) [2021] EWHC 792 (QB) Judges: Lady Justice Elisabeth Laing, Lord Justice Bean, Lady Justice Macur Case Number: CA-2021-000618 Last Hearing Date: 16 September 2022 Duration: 6 days</t>
  </si>
  <si>
    <t>[2021] EWHC 792 (QB)</t>
  </si>
  <si>
    <t>2307073e-42c1-42be-b23e-f72c4d070bf6</t>
  </si>
  <si>
    <t>SO (on the application of) v Thanet District Council [2023] EWCA Civ 398</t>
  </si>
  <si>
    <t>2307073e-42c1-42be-b23e-f72c4d070bf6_procedural_history</t>
  </si>
  <si>
    <t>Procedural arc from High Court to Court of Appeal, including hearing and judgment dates, case numbers and presiding judges.</t>
  </si>
  <si>
    <t>Procedural History: Court: England and Wales Court of Appeal (Civil Division) Lower Court: High Court CO/4149/2021 Judges: Lord Justice Underhill, Lord Justice Arnold, Lord Justice Edis Case Number: CA-2022-001378 Last Hearing Date: 14 April 2023 (Judgment handed down); Hearing on 28 March 2023 Duration: 14 days</t>
  </si>
  <si>
    <t>[2023] EWCA Civ 398</t>
  </si>
  <si>
    <t>0e8b6187-21fe-40cb-933a-7a6c8e0ba3f5</t>
  </si>
  <si>
    <t>Barclay-Watt &amp; Ors v Alpha Panareti Public Ltd &amp; Anor [2022] EWCA Civ 1169</t>
  </si>
  <si>
    <t>0e8b6187-21fe-40cb-933a-7a6c8e0ba3f5_procedural_history</t>
  </si>
  <si>
    <t>Procedural path: appeal from High Court (Commercial Court); dates include hearing in July 2022 and hand-down in August 2022; panel comprised of Males, Phillips, and Andrews.</t>
  </si>
  <si>
    <t>Procedural History: Court: England and Wales Court of Appeal (Civil Division) Lower Court: High Court of Justice, Queen's Bench Division, Commercial Court Judges: Lord Justice Males, Lord Justice Phillips, Lady Justice Andrews Case Number: CA-2021-001933 &amp; CA-2021-000691 Last Hearing Date: 19 August 2022 Duration: 29 days</t>
  </si>
  <si>
    <t>a6f305d2-30a6-4ce7-bbac-74587fe8b251</t>
  </si>
  <si>
    <t>Park v Hadi &amp; Anor [2022] EWCA Civ 581</t>
  </si>
  <si>
    <t>a6f305d2-30a6-4ce7-bbac-74587fe8b251_procedural_history</t>
  </si>
  <si>
    <t>Procedural trajectory: from the original unless order to the appeal decision.</t>
  </si>
  <si>
    <t>Procedural History: Court: England and Wales Court of Appeal (Civil Division) Lower Court: High Court of Justice Queen's Bench Division Judges: Lord Justice Holroyde, Lord Justice Stuart-Smith, Lord Justice Warby Case Number: QB 2019 002602 Last Hearing Date: 29 April 2022 Duration: 60 days</t>
  </si>
  <si>
    <t>Keen Phillips v Field || Denton v TH White Ltd</t>
  </si>
  <si>
    <t>00167e1d-845c-4a1d-b17c-1c91c10b2c37_procedural_history</t>
  </si>
  <si>
    <t>Procedural journey from first-instance judgments to appellate review, including hearing dates and judges.</t>
  </si>
  <si>
    <t>Procedural History: Court: England and Wales Court of Appeal (Civil Division) Lower Court: Queen's Bench Division (Master Dagnall) and High Court of Justice (Business and Property Courts - ChD) (Deputy Judge Robin Vos, QB-2020-002783 and PT-2020-000828) Judges: Sir Julian Flaux C, Lord Justice Snowden, Sir Nicholas Patten Case Number: CA-2021-000744; CA-2021-003262 Last Hearing Date: 27 July 2022 Duration: 2 days</t>
  </si>
  <si>
    <t>1c01aa97-1ef0-4909-a107-c6318dd6e2e3</t>
  </si>
  <si>
    <t>Zanatta v Metroline Travel Limited [2023] EWCA Civ 224 (Court of Appeal, Civil Division)</t>
  </si>
  <si>
    <t>1c01aa97-1ef0-4909-a107-c6318dd6e2e3_procedural_history</t>
  </si>
  <si>
    <t>Procedural trajectory: permission to appeal granted (Bean LJ, 3 Aug 2022); Court of Appeal hearing on 2 Feb 2023; judgment handed down 3 March 2023; appeal relates to the High Court QB-2018-004684 decision.</t>
  </si>
  <si>
    <t>Procedural History: Court: England and Wales Court of Appeal (Civil Division) Lower Court: High Court, King’s Bench Division, QB-2018-004684 Judges: Lord Justice Moylan, Lady Justice Nicola Davies, Lady Justice Andrews Case Number: CA-2022-001243 Last Hearing Date: 3 March 2023 Duration: 30 days</t>
  </si>
  <si>
    <t>481bab6a-1b92-467d-9838-15c341ee5a8c</t>
  </si>
  <si>
    <t>Zymurgorium Ltd v Hammonds of Knutsford Plc [2023] EWCA Civ 52</t>
  </si>
  <si>
    <t>481bab6a-1b92-467d-9838-15c341ee5a8c_procedural_history</t>
  </si>
  <si>
    <t>Procedural history from trial in the High Court to appellate permission and ultimate joint dismissal of the appeal and cross-appeal.</t>
  </si>
  <si>
    <t>Procedural History: Court: England and Wales Court of Appeal (Civil Division) Lower Court: High Court of Justice, Business and Property Courts in Manchester (ChD) Judges: Lady Justice Nicola Davies, Lord Justice Nugee, Lady Justice Falk Case Number: CA-2021-000205 Last Hearing Date: 30 January 2023 Duration: 11 days</t>
  </si>
  <si>
    <t>0fbfa459-0157-4476-8dbd-9d22ddafcebe</t>
  </si>
  <si>
    <t>Ellis v HM Solicitor General [2023] EWCA Civ 585</t>
  </si>
  <si>
    <t>0fbfa459-0157-4476-8dbd-9d22ddafcebe_procedural_history</t>
  </si>
  <si>
    <t>Procedural chronology: GCRO origin, extensions, committal process, and the appellate route under s13 AJA 1960.</t>
  </si>
  <si>
    <t>Procedural History: Court: England and Wales Court of Appeal (Civil Division) Lower Court: King's Bench Division, High Court Judges: Lord Justice Lewison, Lord Justice Coulson Case Number: CA-2023-000569 Last Hearing Date: 3 May 2023 Duration: 0 days</t>
  </si>
  <si>
    <t>HM Solicitor General v Ellis [2022] EWHC 3164 KB || Spivac v Ministry of Justice</t>
  </si>
  <si>
    <t>ed5e814e-0ed9-4e63-9834-59d2f14c0726</t>
  </si>
  <si>
    <t>LA Micro Group (UK) Ltd &amp; Anor v LA Micro Group, Inc &amp; Ors [2023] EWCA Civ 214 (28 February 2023)</t>
  </si>
  <si>
    <t>ed5e814e-0ed9-4e63-9834-59d2f14c0726_procedural_history</t>
  </si>
  <si>
    <t>Procedural path from the 2015 California and English proceedings through to the remittal and 2023 Court of Appeal hearing.</t>
  </si>
  <si>
    <t>Procedural History: Court: England and Wales Court of Appeal (Civil Division) Lower Court: High Court of Justice, Business and Property Courts of England and Wales (ChD) Judges: Lord Justice Males, Lord Justice Arnold, Lord Justice Nugee, HHJ Jarman QC (sitting as High Court Judge) Case Number: CA-2022-001212; CA-2022-001213 Last Hearing Date: 28 February 2023 Duration: 8 days</t>
  </si>
  <si>
    <t>[2017] EWCA Civ 1429 || [2021] EWCA Civ 1429</t>
  </si>
  <si>
    <t>2e37836d-c57c-4eb6-942a-5a1a3a46714f</t>
  </si>
  <si>
    <t>Benyatov v Credit Suisse (Securities) Europe Ltd [2023] EWCA Civ 140</t>
  </si>
  <si>
    <t>2e37836d-c57c-4eb6-942a-5a1a3a46714f_procedural_history</t>
  </si>
  <si>
    <t>Procedural history outlining appeal path, prior High Court decision, trial proceedings, and dates.</t>
  </si>
  <si>
    <t>Procedural History: Court: England and Wales Court of Appeal (Civil Division) Lower Court: High Court of Justice Queen's Bench Division ([2022] EWHC 135 (QB)) Judges: Lord Justice Underhill, Lord Justice Bean, Lord Justice Singh Case Number: CA-2022-000447 Last Hearing Date: 17 February 2023 Duration: 18 days</t>
  </si>
  <si>
    <t>Hatton v Chafes || Khan v Falvey</t>
  </si>
  <si>
    <t>c4489a38-5c6b-4cd9-8dae-41da5c960718</t>
  </si>
  <si>
    <t>Dooley &amp; Ors v Castle Trust &amp; Management Services Ltd [2022] EWCA Civ 1569</t>
  </si>
  <si>
    <t>c4489a38-5c6b-4cd9-8dae-41da5c960718_procedural_history</t>
  </si>
  <si>
    <t>Procedural chronology: filing Sept 2020; service March 2021; Part 11 application May 2021; High Court judgment Oct 2021; appellate hearing Oct 2022; judgment delivered Nov 2022.</t>
  </si>
  <si>
    <t>Procedural History: Court: England and Wales Court of Appeal (Civil Division) Lower Court: [2021] EWHC 2682 (Comm) (Business and Property Courts, Bristol, KBD) Judges: Lady Justice Macur, Lady Justice Nicola Davies, Lady Justice Carr Case Number: CA-2022-000219 Last Hearing Date: 30 November 2022 Duration: 791 days</t>
  </si>
  <si>
    <t>cmmovz0xc000b04k1q9fruuwi</t>
  </si>
  <si>
    <t>This case shows 77% similarity based on case analysis analysis.</t>
  </si>
  <si>
    <t>This case shows 70% similarity based on procedural history analysis.</t>
  </si>
  <si>
    <t>883ec902-2ebd-462a-a56c-786b1b5dca77</t>
  </si>
  <si>
    <t>General Dental Council v Williams [2023] EWCA Civ 481</t>
  </si>
  <si>
    <t>883ec902-2ebd-462a-a56c-786b1b5dca77_procedural_history</t>
  </si>
  <si>
    <t>Procedural history from PCC determination to High Court appeal and the Court of Appeal hearing.</t>
  </si>
  <si>
    <t>Procedural History: Court: England and Wales Court of Appeal (Civil Division) Lower Court: High Court, King’s Bench Division (Administrative Court) Judges: Lord Justice Coulson, Lady Justice King, Lady Justice Nicola Davies, (presiding) Case Number: CA-2022-001260 Last Hearing Date: 5 May 2023 Duration: 440 days</t>
  </si>
  <si>
    <t>Pantorno v R (1989) 166 CLR 466 || Shimizu Europe Limited v LBJ Fabrications Limited [2003] BLR 381</t>
  </si>
  <si>
    <t>2264ec9b-6fdb-4859-afd9-42c47a13479d</t>
  </si>
  <si>
    <t>Cannon v Bar Standards Board [2023] EWCA Civ 278</t>
  </si>
  <si>
    <t>2264ec9b-6fdb-4859-afd9-42c47a13479d_procedural_history</t>
  </si>
  <si>
    <t>Procedural trajectory from tribunal proceedings through High Court appeal to Court of Appeal, including adjournment requests and the 7 February 2022 hearing, culminating in the 16 March 2023 judgment.</t>
  </si>
  <si>
    <t>Procedural History: Court: England and Wales Court of Appeal (Civil Division) Lower Court: High Court - Queen's Bench Division Administrative Court Judges: Lord Moylan, Lord Lewis, Lord Edis Case Number: CA-2021-000821 Last Hearing Date: 16 March 2023 Duration: 7 days</t>
  </si>
  <si>
    <t>c3974612-b574-43f1-8653-9fd07d4d2fc5</t>
  </si>
  <si>
    <t>Kalonga, R (On the Application Of) v London Borough of Croydon [2022] EWCA Civ 670</t>
  </si>
  <si>
    <t>c3974612-b574-43f1-8653-9fd07d4d2fc5_procedural_history</t>
  </si>
  <si>
    <t>Procedural history: High Court decision by Mr Justice Cavanagh; Leave granted; Appeal heard on 6 April 2022; Judgment released 17 May 2022.</t>
  </si>
  <si>
    <t>Procedural History: Court: England and Wales Court of Appeal (Civil Division) Lower Court: High Court of Justice, Queen's Bench Division, Administrative Court Judges: Dingemans LJ, LJ Andrews, LJ Elisabeth Laing Case Number: CA-2021-000722 (Formerly C1/2021/1474) Last Hearing Date: 17 May 2022 Duration: 5 days</t>
  </si>
  <si>
    <t>Kalonga EWCA Civ 670 (the present decision)</t>
  </si>
  <si>
    <t>70e2de79-c2b3-4a71-898c-cd1e5dd77e7b</t>
  </si>
  <si>
    <t>Philpot, R (On the Application Of) v Commissioner of Police of the Metropolis [2023] EWCA Civ 66</t>
  </si>
  <si>
    <t>70e2de79-c2b3-4a71-898c-cd1e5dd77e7b_procedural_history</t>
  </si>
  <si>
    <t>Procedural history: from Lang J’s reserved judgment and permission to appeal, to the Court of Appeal hearing on 19 January 2023 and judgment on 31 January 2023, with counsel and directions.</t>
  </si>
  <si>
    <t>Procedural History: Court: England and Wales Court of Appeal (Civil Division) Lower Court: High Court of Justice (Administrative Court) Judges: Lord Justice Bean, Lady Justice Thirlwall, Lady Justice Nicola Davies Case Number: CA-2022-001565 Last Hearing Date: 31 January 2023 Duration: 0 days</t>
  </si>
  <si>
    <t>[2022] EWHC 1852 (Admin)</t>
  </si>
  <si>
    <t>010369ae-b751-4e0f-a507-9c332af2a813</t>
  </si>
  <si>
    <t>Murphy &amp; Anor v Revenue And Customs [2023] EWCA Civ 497</t>
  </si>
  <si>
    <t>010369ae-b751-4e0f-a507-9c332af2a813_procedural_history</t>
  </si>
  <si>
    <t>Procedural journey: High Court decision, appeal to the Court of Appeal, panel composition, hearing date.</t>
  </si>
  <si>
    <t>Procedural History: Court: England and Wales Court of Appeal (Civil Division) Lower Court: High Court of Justice Kings (King's) Bench Division Administrative Court Judges: Lord Justice Newey, Lady Justice Andrews, Lady Justice Falk Case Number: CA-2021-001799 Last Hearing Date: 15 May 2023 Duration: 1 days</t>
  </si>
  <si>
    <t>EWHC 1914 Admin (2021)</t>
  </si>
  <si>
    <t>753bf041-06ad-469d-90f3-d671da197711</t>
  </si>
  <si>
    <t>Planon Limited v Gilligan [2022] EWCA Civ 642 (Court of Appeal, Civil Division)</t>
  </si>
  <si>
    <t>753bf041-06ad-469d-90f3-d671da197711_procedural_history</t>
  </si>
  <si>
    <t>Procedural trajectory: High Court decision; permission to appeal granted; appeal heard; grounds of appeal on enforceability and injunctions.</t>
  </si>
  <si>
    <t>Procedural History: Court: England and Wales Court of Appeal (Civil Division) Lower Court: High Court (The Honourable Mr Justice Edwin Johnson) Judges: Lord Justice Bean, Lord Justice Nugee, Lady Justice Elisabeth Laing Case Number: CA-2021-001925 Last Hearing Date: 2022-05-10 Duration: 2 days</t>
  </si>
  <si>
    <t>3c9046f0-1a84-4f88-bc27-4a2566297443</t>
  </si>
  <si>
    <t>Norman &amp; Anor v Adler &amp; Anor [2023] EWCA Civ 785</t>
  </si>
  <si>
    <t>3c9046f0-1a84-4f88-bc27-4a2566297443_procedural_history</t>
  </si>
  <si>
    <t>Procedural history: from warrants to judicial reviews to appellate leave; key dates and decisions, with the appeal from Kerr J's refusal.</t>
  </si>
  <si>
    <t>Procedural History: Court: England and Wales Court of Appeal (Civil Division) Lower Court: High Court of Justice, King's Bench Division (Administrative Court) Judges: Lord Justice Bean, Lady Justice Thirlwall, Lady Justice Nicola Davies Case Number: CA-2021-003228 Last Hearing Date: 07/07/2023 Duration: 0 days</t>
  </si>
  <si>
    <t>KJM Superbikes [2008] EWCA Civ 1280 || Berry Piling [2013] ...</t>
  </si>
  <si>
    <t>69931778-230c-4f9d-9516-058138a9527d</t>
  </si>
  <si>
    <t>E3 &amp; Ors v Secretary of State for the Home Department [2023] EWCA Civ 26</t>
  </si>
  <si>
    <t>69931778-230c-4f9d-9516-058138a9527d_procedural_history</t>
  </si>
  <si>
    <t>Procedural progression from Administrative Court decision to Court of Appeal, including SIAC and consent orders.</t>
  </si>
  <si>
    <t>Procedural History: Court: England and Wales Court of Appeal (Civil Division) Lower Court: High Court of Justice Administrative Court (Judge Jay) Judges: Lord Justice Lewis, Sir Julian Flaux, Chancellor of the High Court, Lady Justice Elisabeth Laing Case Number: CA/2022-001103 Last Hearing Date: 17 January 2023 Duration: 40 days</t>
  </si>
  <si>
    <t>38cd5d51-00a4-4574-8d41-3d50015a8cd6</t>
  </si>
  <si>
    <t>Akinsanya v Secretary of State for the Home Department [2022] EWCA Civ 37 (Court of Appeal, Civil Division)</t>
  </si>
  <si>
    <t>38cd5d51-00a4-4574-8d41-3d50015a8cd6_procedural_history</t>
  </si>
  <si>
    <t>Procedural timeline: 2020 judicial review filed; 2021 Mostyn J quashed; 2021-12/2022 Court of Appeal appeal heard with Underhill LJ; 17 June 2021 order to reconsider; hand-down 25 January 2022; lower court: Administrative Court, QB Division.</t>
  </si>
  <si>
    <t>Procedural History: Court: England and Wales Court of Appeal (Civil Division) Lower Court: High Court of Justice, Queen's Bench Division, Administrative Court Judges: Lord Justice Underhill, Lord Justice Bean, Lady Justice Andrews Case Number: CA-2021-000662 Last Hearing Date: 25 January 2022 Duration: 1 days</t>
  </si>
  <si>
    <t>Akinsanya v SSHD (Mostyn J, 2021) || CA-2021-000662</t>
  </si>
  <si>
    <t>080c954e-d1b8-4995-bd80-11f5cb95f0c9</t>
  </si>
  <si>
    <t>Stuewe v Health and Care Professions Council [2022] EWCA Civ 1605</t>
  </si>
  <si>
    <t>080c954e-d1b8-4995-bd80-11f5cb95f0c9_procedural_history</t>
  </si>
  <si>
    <t>Procedural chronology: HCPC proceedings, CCC decision, appeal timing, strike-out application, CA hearing, and the final judgment issuance.</t>
  </si>
  <si>
    <t>Procedural History: Court: England and Wales Court of Appeal (Civil Division) Lower Court: High Court of Justice, King’s Bench Division, Administrative Court Judges: Lord Moylan, Lord Justice Baker, Lady Justice Carr Case Number: CA-2021-003281 Last Hearing Date: 8 December 2022 Duration: 0 days</t>
  </si>
  <si>
    <t>Adesina; Pomiechowski; Rakoczy; Anixter</t>
  </si>
  <si>
    <t>909cf366-1cfb-4517-a3b4-e7951f8d1dfb</t>
  </si>
  <si>
    <t>Tidal Lagoon (Swansea Bay) PLC v Secretary of State for Business, Energy and Industrial Strategy &amp; Ors [2022] EWCA Civ 1579</t>
  </si>
  <si>
    <t>909cf366-1cfb-4517-a3b4-e7951f8d1dfb_procedural_history</t>
  </si>
  <si>
    <t>Covers procedural posture: appeal from the Administrative Court, hearing date, presiding judges, and motion details.</t>
  </si>
  <si>
    <t>Procedural History: Court: England and Wales Court of Appeal (Civil Division) Lower Court: High Court of Justice, Queen's Bench Division, Administrative Court Judges: Sir Geoffrey Vos MR, Sir Keith Lindblom (Spt), Senior President of Tribunals, Lord Justice Stuart-Smith Case Number: CA-2021-003272 Last Hearing Date: 2022-12-01 Duration: 60 days</t>
  </si>
  <si>
    <t>This case shows 73% similarity based on legal classification analysis.</t>
  </si>
  <si>
    <t>dfa97e6e-7e32-4c80-9f6f-5e4f398f9d82_legal_classification</t>
  </si>
  <si>
    <t>Legal classification and categorization of the case under international human rights law.</t>
  </si>
  <si>
    <t>Legal Classification: Primary Category: Human Rights Legal Areas: Criminal Law, Prisoner Rights, Human Rights Law Jurisdiction: International Court Level: International court Legal Issues: Was the denial of educational access a violation of the right to education under Article 2 of Protocol No. 1?. Was the presumption of innocence respected in this context?. Were the arguments given by the Bulgarian government substantial and justifiable? Keywords: Human Rights, Prison Education, Recidivism, Right to Education, European Court of Human Rights</t>
  </si>
  <si>
    <t>European Convention on Human Rights</t>
  </si>
  <si>
    <t>da4b6be7-2b22-4bd1-af6b-a68873f0af8d_legal_classification</t>
  </si>
  <si>
    <t>Classification of the legal topics relevant to the case including human rights and administrative law.</t>
  </si>
  <si>
    <t>Legal Classification: Primary Category: Human Rights &amp; Prison Law Legal Areas: Administrative Law, Human Rights, Prison Law Jurisdiction: England and Wales Court Level: Appellate Legal Issues: Was the separation of the claimants from their partners 'in accordance with the law' under Article 8(2)?. Were the decisions justified and proportionate?. Was the decision-making process fair and did it respect procedural obligations inherent in Article 8? Keywords: European Convention on Human Rights, Article 8, Judicial Review, Prison Policy, Family Life</t>
  </si>
  <si>
    <t>This case shows 71% similarity based on legal classification analysis.</t>
  </si>
  <si>
    <t>d60a5323-796e-4110-a6de-012ec16860c1_legal_classification</t>
  </si>
  <si>
    <t>Classification of the legal issues at stake in the appeal regarding prison law and legal aid.</t>
  </si>
  <si>
    <t>Legal Classification: Primary Category: Administrative Law Legal Areas: Administrative Law, Human Rights Law, Prison Law, Legal Aid Regulation Jurisdiction: England and Wales Court Level: Appellate Legal Issues: Whether the Lord Chancellor failed in his consultation duties before enacting the regulations.. Whether the changes to legal aid create systemic unfairness that violates prisoners' rights to legal representation.. The interpretation of legal thresholds for legal aid funding in respect of prisoner rights. Keywords: Judicial Review, Legal Aid, Prison Law, Human Rights, Systemic Unfairness, Public Finance, Criminal Justice, Prisoners' Rights, Consultation Duty</t>
  </si>
  <si>
    <t>02409749-c305-4c56-ad34-3447c9c2371b_legal_classification</t>
  </si>
  <si>
    <t>Categorization under relevant fields of law impacting the appeal.</t>
  </si>
  <si>
    <t>Legal Classification: Primary Category: Administrative Law Legal Areas: Education Law, Immigration Law, Human Rights Law Jurisdiction: England and Wales Court Level: Appellate Legal Issues: Whether the criteria for student loan eligibility disproportionately infringed the right to education under A2P1.. Whether the exclusion based solely on immigration status constituted unjustifiable discrimination under Article 14. Keywords: student loans, judicial review, human rights, immigration status, eligibility criteria</t>
  </si>
  <si>
    <t>36166c1f-7b4e-4e19-9f3e-ba06d04ac22a_legal_classification</t>
  </si>
  <si>
    <t>This case falls under administrative law with implications for prison law and human rights.</t>
  </si>
  <si>
    <t>Legal Classification: Primary Category: Administrative Law Legal Areas: Human Rights Law, Prison Law, Judicial Review Jurisdiction: England and Wales Court Level: Appellate Legal Issues: Were Articles 8 and 14 of the ECHR engaged in this case?. Did the prison's policy constitute a violation of rights for non-smoking prisoners?. Was the interference with the appellant's rights justified under current legislation and policy? Keywords: ECHR, Article 8, Article 14, smoking in prison, non-smokers rights, judicial review, government policy, cell sharing</t>
  </si>
  <si>
    <t>b7f76d8a-1872-4ebe-93e8-f90c3c915f85</t>
  </si>
  <si>
    <t>Gudanaviciene v The Director of Legal Aid Casework</t>
  </si>
  <si>
    <t>b7f76d8a-1872-4ebe-93e8-f90c3c915f85_legal_classification</t>
  </si>
  <si>
    <t>Classification discussing the legal grounds for seeking funding and statutory interpretations.</t>
  </si>
  <si>
    <t>Legal Classification: Primary Category: Administrative Law Legal Areas: Immigration Law, Human Rights Law, Public Law Jurisdiction: England and Wales Court Level: Appellate Legal Issues: Proper interpretation of section 10(3) of LASPO.. Compatibility of Guidance with ECHR Articles 6 and 8.. Rights of applicants for exceptional case funding under LASPO. Keywords: legal aid, LASPO, exceptional case funding, ECHR, human rights</t>
  </si>
  <si>
    <t>7e8929e7-4b3c-4492-b8b5-e01b9ccfcf2c_legal_classification</t>
  </si>
  <si>
    <t>Legal categorization emphasizing human rights implications and tort law considerations in the case.</t>
  </si>
  <si>
    <t>Legal Classification: Primary Category: Human Rights Legal Areas: Human Rights Law, Criminal Procedure, Tort Law Jurisdiction: England and Wales Court Level: Appellate Legal Issues: Breach of Article 5 ECHR regarding reasonable grounds for detention. Liability for false imprisonment against state authorities Keywords: Article 5 ECHR, false imprisonment, reasonable suspicion, detention, public authorities</t>
  </si>
  <si>
    <t>efac7fbc-592d-47a2-b244-e4f4b06cbabe</t>
  </si>
  <si>
    <t>R (Lucinda Vowles) v Secretary of State for Justice &amp; Anor [2015] EWCA Civ 56</t>
  </si>
  <si>
    <t>efac7fbc-592d-47a2-b244-e4f4b06cbabe_legal_classification</t>
  </si>
  <si>
    <t>Classification of legal categories relevant to the case, focusing on administrative and criminal law elements.</t>
  </si>
  <si>
    <t>Legal Classification: Primary Category: Administrative Law Legal Areas: Administrative Law, Mental Health Law, Criminal Law, European Convention on Human Rights Jurisdiction: England Court Level: Appellate Legal Issues: Whether the mental health assessments were sufficient to determine the appropriateness of release by the Parole Board.. Breach of Article 5(4) concerning the right to a speedy determination of one’s liberty. Keywords: Indeterminate Sentence, Judicial Review, Parole Board, First-tier Tribunal, Mental Health Act, Public Protection, Psychiatric Evidence, Release Regime, Article 5, Delay in Proceedings</t>
  </si>
  <si>
    <t>1d58611b-b062-4aa4-81ee-fd9ff8ad13e0</t>
  </si>
  <si>
    <t>Foster v The Secretary of State for Justice [2015] EWCA Civ 281</t>
  </si>
  <si>
    <t>1d58611b-b062-4aa4-81ee-fd9ff8ad13e0_legal_classification</t>
  </si>
  <si>
    <t>This case falls under the areas of Administrative Law and Criminal Justice with regard to prisoners' rights and statutory interpretations.</t>
  </si>
  <si>
    <t>Legal Classification: Primary Category: Administrative Law Legal Areas: Administrative Law, Human Rights, Criminal Justice Jurisdiction: England and Wales Court Level: Appellate Legal Issues: Whether prisoners on HDC are entitled to an oral hearing before recall decisions affecting their liberty.. The interpretation of procedural fairness in administrative decisions regarding recalls. Keywords: Home Detention Curfew, Recall to Prison, Oral Hearing, Procedural Fairness, Prisoners' Rights</t>
  </si>
  <si>
    <t>464b6335-7623-49ec-8536-df2bb3ae5a4d_legal_classification</t>
  </si>
  <si>
    <t>Classification of the legal issues presented in this case.</t>
  </si>
  <si>
    <t>Legal Classification: Primary Category: Administrative Law Legal Areas: Human Rights, Judicial Review, Prison Law Jurisdiction: England and Wales Court Level: Appellate Legal Issues: Was the delay in the Parole Board hearing a violation of Article 5.4 of the ECHR?. What responsibility does the Secretary of State hold in the context of the Parole Board's delays?. Did the appellant establish that he suffered damages due to the delay?. Was the 15-month period between Parole Board hearings excessive under Article 5.4? Keywords: Parole Board, Article 5.4 ECHR, Imprisonment for Public Protection, Judicial Review, Damages, Human Rights Act 1998, Criminal Justice Act 2003, Delay in Hearings</t>
  </si>
  <si>
    <t>c5a5edf0-4845-4195-a969-082c8b5afa2a_legal_classification</t>
  </si>
  <si>
    <t>This chunk focuses on the legal classification regarding the laws applied in the case.</t>
  </si>
  <si>
    <t>Legal Classification: Primary Category: Human Rights Legal Areas: Prison Law, Human Rights Law, European Law Jurisdiction: England and Wales Court Level: Appellate Legal Issues: Did the search policy violate Article 3's prohibition against degrading treatment?. Did the search policy comply with Article 8 regarding respect for private life?. Was there a breach of the operational requirements under the Prison Service Instruction regarding strip-searching of female prisoners? Keywords: strip search, Article 3, Article 8, European Convention on Human Rights, women prisoners</t>
  </si>
  <si>
    <t>e0841efc-ccd5-4584-a6eb-43b4c0d281dd</t>
  </si>
  <si>
    <t>SXH v Crown Prosecution Service [2014] EWCA Civ 90</t>
  </si>
  <si>
    <t>e0841efc-ccd5-4584-a6eb-43b4c0d281dd_legal_classification</t>
  </si>
  <si>
    <t>Classification of legal concepts pertinent to the case, identifying primary areas of law.</t>
  </si>
  <si>
    <t>Legal Classification: Primary Category: Civil Rights Legal Areas: Human Rights Law, Asylum Law, Criminal Law Jurisdiction: England and Wales Court Level: Appellate Legal Issues: Whether the CPS's decision to prosecute engaged Article 8 of the ECHR.. The proportionality of prosecuting an asylum seeker under the Identity Cards Act.. Interpretation of 'private life' under Article 8. Keywords: Human Rights Act 1998, Article 8 ECHR, Asylum Law, Crown Prosecution Service, False Documents, Prosecution Decision</t>
  </si>
  <si>
    <t>bc30491e-9ae6-48da-90d0-71d8a8069b22</t>
  </si>
  <si>
    <t>United Kingdom House of Lords</t>
  </si>
  <si>
    <t>bc30491e-9ae6-48da-90d0-71d8a8069b22_legal_reasoning</t>
  </si>
  <si>
    <t>Court's reasoning on the interpretation of statutory duties and common law liabilities.</t>
  </si>
  <si>
    <t>Legal Analysis: Legal Issues: Duty of care of highway authorities in negligence cases. Interpretation of statutory duties under the Road Traffic Act 1988. Liability in common law versus statutory breaches Reasoning: The ruling highlighted that the council's statutory duties under the Road Traffic Act did not impose liability for negligent failure to warn, particularly when dangers were obvious and the motorist had a responsibility to drive cautiously. The court stated that allowing claims based on such statutory duties would open the floodgates to litigation against local authorities Keywords: duty of care, negligence, highway authority, statutory duties, road safety</t>
  </si>
  <si>
    <t>X (Minors) v Bedfordshire County Council || Stovin v Wise</t>
  </si>
  <si>
    <t>This case shows 75% similarity based on legal reasoning analysis.</t>
  </si>
  <si>
    <t>70c75405-8cba-40e2-92ff-8302ea4f6789</t>
  </si>
  <si>
    <t>Griffiths v Gwynedd County Council [2015] EWCA Civ 1440</t>
  </si>
  <si>
    <t>70c75405-8cba-40e2-92ff-8302ea4f6789_legal_reasoning</t>
  </si>
  <si>
    <t>Analysis of the court's reasoning regarding liability and duty of care.</t>
  </si>
  <si>
    <t>Legal Analysis: Legal Issues: Was the road defect a danger according to the standards of the Highway Act?. Did the defendant take reasonable steps to maintain the highway?. Can the council be held liable for Griffiths' injuries? Reasoning: The court found that the defect was not a notable hazard given the road's character and infrequent usage by cyclists. It affirmed that potential dangers must be viewed in the context of normal road conditions and usage. Keywords: negligence, highway authority, road defect, personal injury, duty of care</t>
  </si>
  <si>
    <t>Mills v Barnsley Metropolitan Borough Council || Jones v Rhondda Cynon Taff County Borough Council</t>
  </si>
  <si>
    <t>This case shows 70% similarity based on legal reasoning analysis.</t>
  </si>
  <si>
    <t>aeeec773-897a-43bf-a319-7d0c8a133974</t>
  </si>
  <si>
    <t>The Secretary of State for Transport &amp; Anor v Cuciurean [2022] EWCA Civ 661</t>
  </si>
  <si>
    <t>aeeec773-897a-43bf-a319-7d0c8a133974_citations_precedents</t>
  </si>
  <si>
    <t>Key authorities cited: Crosland and Heyatawin as central to costs in contempt; others for civil/criminal distinction and proportionality.</t>
  </si>
  <si>
    <t>Citations and Authorities: Neutral Citations: [2022] EWCA Civ 661 Law Reports: WLR 3847, [2022] 1 WLR 3847, WLR(D) 211, [2023] 1 All ER 674 Referenced Cases: [2020] EWHC 2614 (Ch) (Liability), [2020] EWHC 2723 (Ch) (Sanction), [2021] EWCA Civ 357 (Liability and Sanction Appeal), A-G v Crosland [2021] UKSC 15, National Highways Ltd v Heyatawin [2021] EWHC 3093 (QB), National Highways Ltd v Heyatawin [2021] EWHC 3078 (QB), Constantinescu v Romania (unreported), No 32563/04, ECHR 2013-III, Yaxley-Lennon (Attorney General v Yaxley-Lennon) QB-2019-000741, Solanki v Intercity Telecom Ltd [2018] EWCA Civ 101, Calderdale &amp; Huddersfield NHS Foundation Trust v Atwal [2018] EWHC 2537 (QB), Crosland (SC) decisions discussed by the Court, LTE Scientific Ltd v Thomas [2005] EWHC 7 (QB), Johnsey Estates (1990) Ltd v Secretary of State for the Environment [2001] L&amp;TR 32, Symes v Phillips [2005] EWCA Civ 663 Citation Count: 14</t>
  </si>
  <si>
    <t>A-G v Crosland || National Highways v Heyatawin || Constantinescu v Romania || Yaxley-Lennon || Solanki v Intercity Telecom || Calderdale v Atwal</t>
  </si>
  <si>
    <t>52d20bb9-6964-44a6-9c32-d191ef76297c</t>
  </si>
  <si>
    <t>England and Wales High Court (Queen's Bench Division)</t>
  </si>
  <si>
    <t>52d20bb9-6964-44a6-9c32-d191ef76297c_case_analysis</t>
  </si>
  <si>
    <t>Critical evaluation of the precedent value and complexity of the case within the broader legal context.</t>
  </si>
  <si>
    <t>Case Analysis and Reasoning: Precedent Strength Assessment (8/10): • The case involves a significant interpretation of the responsibilities of highway authorities under the Highways Act 1980, particularly concerning the maintenance of rural roads and the standards expected. • The decision contributes to clarifying the scope of statutory duties and the application of Section 41 and 58 of the Highways Act, which may serve as precedent for similar future cases involving highway maintenance disputes. Confidence: 90% Complexity Score Assessment (6/10): • The case involves multiple legal concepts, including statutory interpretation, liability issues, and expert witness testimony. • While the primary legal issue was straightforward, the variety of expert opinions regarding road conditions and driver responsibilities added to the complexity, as did the procedural history with multiple parties involved. Confidence: 80% Legal Significance: Important case with notable legal impact</t>
  </si>
  <si>
    <t>2eaaf060-799f-4573-a18a-86e5c14b158b</t>
  </si>
  <si>
    <t>National Grid Electricity Transmission Plc v Arnold White Estates Ltd [2014] EWCA Civ 216</t>
  </si>
  <si>
    <t>2eaaf060-799f-4573-a18a-86e5c14b158b_citations_precedents</t>
  </si>
  <si>
    <t>List of legal authorities and significant cases cited in the reasoning and judgment of the court.</t>
  </si>
  <si>
    <t>Citations and Authorities: Neutral Citations: 2014 CH 385, 2014 1 Ch 385, 2014 3 All ER 626, 2014 2 WLR 1055, 2014 RVR 247, 2014 EWCA Civ 216, 2014 1 CH 385, 2014 WLR(D) 108 Law Reports: Referenced Cases: Oppenheimer v Minister of Transport [1942] 1 KB 242, Horn v Sunderland Corporation [1941] 2 KB 26, Director of Buildings v Shun Fung Ironworks Limited [1995] 2 AC 111, Livingstone v Rawyards Coal Company (1880) 5 App Cas 25 Citation Count: 4</t>
  </si>
  <si>
    <t>Oppenheimer v Minister of Transport</t>
  </si>
  <si>
    <t>70a54b3a-6d86-473d-ac2f-607d9cecd2d7</t>
  </si>
  <si>
    <t>Redrow Homes Ltd, R (on the Application of) v Knowsley Metropolitan Borough Council [2014] EWCA Civ 1433</t>
  </si>
  <si>
    <t>70a54b3a-6d86-473d-ac2f-607d9cecd2d7_citations_precedents</t>
  </si>
  <si>
    <t>Relevant legal authorities cited that could influence future case law or provide context to the current ruling.</t>
  </si>
  <si>
    <t>Citations and Authorities: Neutral Citations: 2015] 1 WLR 386, [2014] EWCA Civ 1433, [2014] WLR(D) 465, [2015] WLR 386, [2015] 2 All ER 228, [2015] RTR 12, [2015] BLGR 42 Law Reports: Referenced Cases: Highways Act 1980, section 38, Highways Act 1980, section 44, Highways Act 1980, section 278 Citation Count: 3</t>
  </si>
  <si>
    <t>Highways Act 1980, section 38 || Highways Act 1980, section 44</t>
  </si>
  <si>
    <t>0b882e45-d34e-49f7-baae-3d5657d1ccc6</t>
  </si>
  <si>
    <t>Alan Kind v. Newcastle-Upon-Tyne Council [2001] EWHC Admin 616</t>
  </si>
  <si>
    <t>England and Wales High Court (Administrative Court)</t>
  </si>
  <si>
    <t>0b882e45-d34e-49f7-baae-3d5657d1ccc6_case_analysis</t>
  </si>
  <si>
    <t>Analysis of the legal significance of the case and its implications for future law.</t>
  </si>
  <si>
    <t>Case Analysis and Reasoning: Precedent Strength Assessment (8/10): • The case involves a significant court (High Court), which adds weight to its authority. • The legal issues are fairly novel regarding the interpretation of maintenance duties under the Highways Act 1980. • The ruling offers clarity on the obligations of local authorities, potentially making it a strong case for future references. Confidence: 85% Complexity Score Assessment (6/10): • While the case involves multiple legal issues, the matter addresses established statutory interpretations, making it less complex overall. • The factual background is straightforward, focusing on a specific road and its condition. • However, due to the involvement of significant legislative points and the procedural history, it maintains a moderate complexity. Confidence: 75% Legal Significance: Important case with notable legal impact</t>
  </si>
  <si>
    <t>5a42b4bc-fe8f-47be-9b13-869933b2ddff</t>
  </si>
  <si>
    <t>Yetkin v London Borough of Newham ([2010] EWCA Civ 776)</t>
  </si>
  <si>
    <t>5a42b4bc-fe8f-47be-9b13-869933b2ddff_legal_classification</t>
  </si>
  <si>
    <t>The case relates to the nuances of negligence law as it applies to Local Authorities.</t>
  </si>
  <si>
    <t>Legal Classification: Primary Category: Tort Legal Areas: Negligence, Personal Injury Law Jurisdiction: England and Wales Court Level: Appellate Legal Issues: Did the Local Authority owe a duty of care to pedestrians in maintaining the crossing?. What is the standard for establishing contributory negligence in this context? Keywords: negligence, duty of care, personal injury, traffic accident, local authority</t>
  </si>
  <si>
    <t>Gorringe v Calderdale Metropolitan Borough Council</t>
  </si>
  <si>
    <t>ef69364f-1f4a-4944-86e4-73329cef96a0</t>
  </si>
  <si>
    <t>Littlejohns &amp; Anor v Devon County Council &amp; Anor [2016] EWCA Civ 446</t>
  </si>
  <si>
    <t>ef69364f-1f4a-4944-86e4-73329cef96a0_citations_precedents</t>
  </si>
  <si>
    <t>Cited authorities and cases that shaped the interpretation and reasoning of the appeal.</t>
  </si>
  <si>
    <t>Citations and Authorities: Neutral Citations: [2016] EWCA Civ 446, [2016] 2 P&amp;CR 7, [2016] 3 WLR 743, [2016] QB 1092, [2016] WLR(D) 242 Law Reports: EWCA Civ 446, QB 1092, WLR(D) 242, P&amp;CR 7, WLR 743 Referenced Cases: Central Electricity Generating Board v Clwyd County Council [1976] 1 WLR 151, Oxfordshire County Council v Oxford City Council [2006] UKHL 25, Hampshire County Council v Milburn [1991] 1 AC 325, Bakewell Management Ltd v Brandwood [2004] UKHL 14, Neaverson v Peterborough RDC [1902] 1 Ch 557, Corpus Christi College v Gloucestershire County Council [1983] 1 QB 360, The Trap Grounds case, R (Newhaven Port &amp; Properties Ltd) v East Sussex CC [2015] UKSC 7 Citation Count: 8</t>
  </si>
  <si>
    <t>Central Electricity Generating Board v Clwyd County Council || Oxfordshire County Council v Oxford City Council || Hampshire County Council v Milburn || Bakewell Management Ltd v Brandwood || Neaverson v Peterborough RDC || Corpus Christi College v Gloucestershire County Council || Trap Grounds case || Newhaven Port &amp; Properties Ltd v East Sussex CC</t>
  </si>
  <si>
    <t>70d43223-0ec6-458b-b052-bdc295e0d6ec_citations_precedents</t>
  </si>
  <si>
    <t>Authorities and statutory frameworks cited in the court’s reasoning to analyze the duty and the scope of occupiers' liability.</t>
  </si>
  <si>
    <t>Citations and Authorities: Neutral Citations: [2022] EWCA Civ 18, [2022] PIQR P9, [2022] RTR 12, [2022] QB 464, [2022] 2 WLR 771 Law Reports: [2022] QB 464, [2022] 2 WLR 771, [2022] RTR 12, [2022] PIQR P9 Referenced Cases: Okpabi v Royal Dutch Shell plc [2021] UKSC 3, Donoghue v Folkestone Properties Limited [2003] EWCA Civ 231, Tomlinson v Congleton [2003] UKHL 53, Countryside and Rights of Way Act 2000, Occupiers' Liability Act 1984 Citation Count: 5</t>
  </si>
  <si>
    <t>Okpabi v Royal Dutch Shell plc [2021] UKSC 3 || Donoghue v Folkestone Properties Limited [2003] EWCA Civ 231 || Tomlinson v Congleton [2003] UKHL 53 || Countryside and Rights of Way Act 2000</t>
  </si>
  <si>
    <t>0af9689e-f55a-4b42-8c7d-e7ef4d3d1bdc</t>
  </si>
  <si>
    <t>Hughes v Rattan (Rev1) [2022] EWCA Civ 107</t>
  </si>
  <si>
    <t>0af9689e-f55a-4b42-8c7d-e7ef4d3d1bdc_citations_precedents</t>
  </si>
  <si>
    <t>Authorities and line of authorities governing non-delegable duties and vicarious liability, including hospital context and employment analogies.</t>
  </si>
  <si>
    <t>Citations and Authorities: Neutral Citations: [2022] EWCA Civ 107, [2022] 1 WLR 1680, (2022) 185 BMLR 1, [2023] 1 All ER 300, [2022] WLR 1680, [2022] PIQR P11, [2022] EWCA Civ 107, [2022] PNLR 14, [2022] WLR(D) 64 Law Reports: [2022] EWCA Civ 107, [2022] 1 WLR 1680, (2022) 185 BMLR 1, [2023] 1 All ER 300, [2022] WLR 1680, [2022] PIQR P11, [2022] PNLR 14, [2022] WLR(D) 64 Referenced Cases: Gold v Essex County Council [1942] 2 KB 293, Cassidy v Ministry of Health [1951] 2 KB 343, Roe v Ministry of Health [1954] 2 QB 66, A (a Child) v Ministry of Defence [2005] QB 183, Farraj v King's Healthcare NHS Trust [2010] 1 WLR 2139, Woodland v Wiltshire County Council [1996] AC 144, Ward LJ in E v English Province of Our Lady of Charity [2012] EWCA Civ 938, Various Claimants v Catholic Child Welfare Society (Christian Brothers) [2012] UKSC 56, Barclays Bank plc v various (Barclays case) [2020] UKSC 13, Cox v Ministry of Justice [2016] UKSC 10 Citation Count: 10</t>
  </si>
  <si>
    <t>Gold v Essex County Council || Cassidy v Ministry of Health || Roe v Ministry of Health || A (a Child) v Ministry of Defence || Farraj v King's Healthcare NHS Trust || Ward LJ in E v English Province of Our Lady of Charity || Christian Brothers || Cox v Ministry of Justice || Barclays Bank plc</t>
  </si>
  <si>
    <t>6cd7db33-7ee1-44c0-9219-b2cc7d57d88b</t>
  </si>
  <si>
    <t>6cd7db33-7ee1-44c0-9219-b2cc7d57d88b_citations_precedents</t>
  </si>
  <si>
    <t>Authorities cited in the course of reasoning, focusing on proportionality, discrimination, and rights protection in planning contexts.</t>
  </si>
  <si>
    <t>Citations and Authorities: Neutral Citations: [2022] EWCA Civ 1391, [2023] PTSR 312, [2022] WLR(D) 422 Law Reports: Referenced Cases: Bank of Mellat v HM Treasury (No 2) [2013] UKSC 39; [2014] AC 700, Oakes (Dickson CJ) proportionality approach, Chapman v United Kingdom (2011) 33 EHRR 18, Wrexham County Borough Council v National Assembly for Wales [2003] EWCA Civ 835, Ward and others v Hillingdon London Borough Council [2019] EWCA Civ 692, Stec v United Kingdom [2006] ECHR R 47, JD and A v United Kingdom [2020] HLR 5, R (Elias) v Secretary of State for Defence [2006] 1 WLR 3213, Cast of planning authorities and Circulars including Circular 1/94 and PPTS revisions (2012, 2015), Basildon v (related planning equality considerations) [2010] EWCA Civ ???, London Borough of Bromley Council v Persons Unknown [2020] EWCA Civ 12, Chapman v United Kingdom cited in the judgment Citation Count: 12</t>
  </si>
  <si>
    <t>Bank Mellat v HM Treasury (No 2) || Oakes || Stec v United Kingdom || Chapman v United Kingdom || R (Ward) v Hillingdon || Wrexham County Borough Council v NAC Wales || Basildon (and related)</t>
  </si>
  <si>
    <t>54d149f2-2e02-477e-8541-b2bf222578d6</t>
  </si>
  <si>
    <t>Union of Shop, Distributive and Allied Workers &amp; Ors v Tesco Stores Ltd (2022) EWCA Civ 978</t>
  </si>
  <si>
    <t>54d149f2-2e02-477e-8541-b2bf222578d6_citations_precedents</t>
  </si>
  <si>
    <t>Authorities cited and applied in the decision’s reasoning and interpretation framework.</t>
  </si>
  <si>
    <t>Citations and Authorities: Neutral Citations: [2022] EWCA Civ 978, [2022] WLR(D) 312, [2022] ICR 1573, [2023] 1 All ER 326, [2022] IRLR 844 Law Reports: Referenced Cases: Chartbrook Ltd v Persimmon Homes Ltd [2009] UKHL 38, Yoo Design Services Ltd v Ilive Realty PTE Ltd [2021] EWCA Civ 560, Aspden v Bracks? (Aspden line referenced in judgment), Reda v Flag Ltd, Johnson v Unisys Ltd [2003] 1 AC 518, Addis v Gramophone Co [1909] AC 488, Woodhouse Ltd v Nigerian Produce Co [1972] AC 741, Edwards v Chesterfield Royal Hospital NHS Foundation Trust [2012] 2 AC ;, Chhabra v West London Mental Health NHS Trust [2014] ICR 194 Citation Count: 9</t>
  </si>
  <si>
    <t>Chartbrook Ltd v Persimmon Homes Ltd || Johnson v Unisys Ltd || Addis v Gramophone Co || Woodhouse Ltd v Nigerian Produce Co || Yoo Design Services Ltd v Ilive Realty PTE Ltd || Aspden || Reda v Flag Ltd || Chhabra v West London Mental Health NHS Trust || Edwards v Chesterfield Royal Hospital NHS Foundation Trust</t>
  </si>
  <si>
    <t>cf573360-3fce-450e-8c42-e7af981c74f8</t>
  </si>
  <si>
    <t>Cocking &amp; Anor v Eacott &amp; Anor [2016] EWCA Civ 140</t>
  </si>
  <si>
    <t>cf573360-3fce-450e-8c42-e7af981c74f8_citations_precedents</t>
  </si>
  <si>
    <t>Authorities cited to support occupier/landlord tests and nuisance concepts.</t>
  </si>
  <si>
    <t>Citations and Authorities: Neutral Citations: [2016] EWCA Civ 140, [2016] WLR(D) 134, [2016] Env LR 26, [2016] HLR 15, [2016] QB 1080, [2016] 2 P &amp;CR DG11, [2016] EWCA Civ 140, [2016] 3 WLR 125 Law Reports: Page Motors Ltd v Epsom and Ewell Borough Council, Winch v Mid-Bedfordshire District Council, Sedleigh-Denfield v O'Callaghan &amp; Others, Hussain &amp; Another v Lancaster City Council, Lawrence v Fen Tigers Ltd (No. 2), Southwark London Borough Council v Mills, White v Jameson, Malzy v Eichholz, Sea Shepherd v Fish (The Commissioners for Sea Shepherd Conservations Society) (No. 2) Referenced Cases: Sedleigh-Denfield v O'Callaghan &amp; Others [1940] AC 880, Page Motors Ltd v Epsom and Ewell Borough Council, Winch v Mid-Bedfordshire District Council, Hussain &amp; another v Lancaster City Council, Lawrence v Fen Tigers Ltd (No. 2) [2014] UKSC 46, Southwark London Borough Council v Mills [2011] UKSC 14, White v Jameson (1974) 18 Eq 303, Malzy v Eichholz [1916] 2 KB 308, Laugher v Pointer (1826) 5 B &amp; C 547, Sea Shepherd v Fish [2015] AC 1229 Citation Count: 10</t>
  </si>
  <si>
    <t>Sedleigh-Denfield v O'Callaghan || Page Motors Ltd v Epsom &amp; Ewell BC || Winch v Mid-Bedfordshire DC || Hussain v Lancaster CC || Lawrence v Fen Tigers (No. 2) || Southwark London Borough Council v Mills || White v Jameson || Malzy v Eichholz</t>
  </si>
  <si>
    <t>8083fc20-0741-4b1d-bf49-faaaa6530a9a</t>
  </si>
  <si>
    <t>Recovery Partners GP Limited &amp; Anor v Rukhadze &amp; Ors [2023] EWCA Civ 305 (Court of Appeal, Civil Division)</t>
  </si>
  <si>
    <t>8083fc20-0741-4b1d-bf49-faaaa6530a9a_citations_precedents</t>
  </si>
  <si>
    <t>Authorities cited to ground fiduciary accounting principles</t>
  </si>
  <si>
    <t>Citations and Authorities: Neutral Citations: [2023] EWCA Civ 305, [2023] Bus LR 646, [2023] WLR(D) 147 Law Reports: [2023] EWCA Civ 305, [2023] Bus LR 646, [2023] WLR(D) 147 Referenced Cases: Gray v Global Energy Horizons Corporation [2020] EWCA Civ 1668; [2021] 1 WLR 2264, Boardman v Phipps [1967] 2 AC 46, Regal (Hastings) Ltd v Gulliver [1967] 2 AC 134, Murad v Al-Saraj [2005] EWCA Civ 959, Parker v McKenna (1874) LR 10 Ch App 96 Citation Count: 5</t>
  </si>
  <si>
    <t>Gray v Global Energy Horizons Corporation [2020] EWCA Civ 1668 || Boardman v Phipps [1967] 2 AC 46 || Regal (Hastings) Ltd v Gulliver [1967] 2 AC 134 || Murad v Al-Saraj [2005] EWCA Civ 959 || Parker v McKenna (1874) LR 10 Ch App 96</t>
  </si>
  <si>
    <t>e5d644c7-0c3c-4885-a0c9-73db584ea88e</t>
  </si>
  <si>
    <t>Schofield &amp; Anor v Smith &amp; Anor [2022] EWCA Civ 824 (21 June 2022)</t>
  </si>
  <si>
    <t>e5d644c7-0c3c-4885-a0c9-73db584ea88e_citations_precedents</t>
  </si>
  <si>
    <t>List and brief discussion of authorities cited in the reasoning related to contract interpretation and settlement releases.</t>
  </si>
  <si>
    <t>Citations and Authorities: Neutral Citations: [2022] EWCA Civ 824, [2023] 1 All ER 480, [2022] WLR(D) 264, [2022] EWCA Civ 824, [2023] 1 All ER (Comm) 285, [2022] BCC 1265 Law Reports: [2023] 1 All ER 480, [2022] WLR(D) 264, [2022] EWCA Civ 824, [2023] 1 All ER (Comm) 285, [2022] BCC 1265 Referenced Cases: Ex parte James (1874) LR 9 Ch App 609, Reardon Smith Line Ltd v Yngvar Holm, Chartbrook Ltd v Johnphonic, Oceanbulk Shipping BV v Anton &amp; Partners, Heaton v. The Secretary of State, McGill v. Secretary of State, Tomlin order, Merthyr (South Wales) Colliery Co Ltd Citation Count: 8</t>
  </si>
  <si>
    <t>Ex p James (1874) || Chartbrook || Oceanbulk || Reardon Smith || Heaton || McGill || Tomlin || Merthyr</t>
  </si>
  <si>
    <t>353163ab-c444-4186-a05c-4f5d73800a3f</t>
  </si>
  <si>
    <t>Paul &amp; Ors v The Royal Wolverhampton NHS Trust; Polmear v The Royal Wolverhampton NHS Trust; Purchase v Royal Cornwall Hospitals NHS Trust</t>
  </si>
  <si>
    <t>353163ab-c444-4186-a05c-4f5d73800a3f_citations_precedents</t>
  </si>
  <si>
    <t>Key authorities cited and discussed in shaping the proximity and liability analysis.</t>
  </si>
  <si>
    <t>Citations and Authorities: Neutral Citations: [2022] EWCA Civ 12, [2022] 2 WLR 917, (2022) 184 BMLR 20, [2023] QB 149, 184 BMLR 20, [2022] PIQR P8, [2022] WLR(D) 47 Law Reports: Alcock v Chief Constable of the South Yorkshire Police [1992] 1 AC 310, McLoughlin v O'Brian, Somerset v DPP, Walters, Novo, Purchase, Ronayne Referenced Cases: Alcock v Chief Constable of the South Yorkshire Police [1992] 1 AC 310, McLoughlin v O'Brian, Somerset v DPP, Walters, Novo, Purchase, Ronayne Citation Count: 7</t>
  </si>
  <si>
    <t>Alcock v Chief Constable of the South Yorkshire Police [1992] 1 AC 310 || McLoughlin v O'Brian || Somerset v DPP || Walters || Novo || Purchase || Ronayne</t>
  </si>
  <si>
    <t>cmmxgco5i000504js33znk907</t>
  </si>
  <si>
    <t>5b10acb1-5e49-4e3a-8c7d-7cde16d86341</t>
  </si>
  <si>
    <t>Marks and Spencer plc v BNP Paribas Securities Services Trust Company (Jersey) Ltd &amp; Anor [2015] UKSC 72</t>
  </si>
  <si>
    <t>United Kingdom Supreme Court</t>
  </si>
  <si>
    <t>5b10acb1-5e49-4e3a-8c7d-7cde16d86341_case_analysis</t>
  </si>
  <si>
    <t>The case analysis dives into the broader implications of the ruling, touching on its significance within contract law and its potential impact on future cases.</t>
  </si>
  <si>
    <t>Case Analysis and Reasoning: Precedent Strength Assessment (8/10): • The case is a decision by the UK Supreme Court, which offers a high level of authority in English law and is likely to be cited in future cases involving lease agreements. • The legal issues tackled in this case, particularly those relating to implied terms in contracts, contribute to its breadth and potential application across various commercial lease disputes. • However, the lack of novelty in the common law discussed, established by long-standing conventions regarding the non-apportionability of advance rent, slightly reduces its precedent value. Confidence: 85% Complexity Score Assessment (6/10): • The case involves multiple legal issues, including contract interpretation and historical common law principles. • Procedural complexity arises from the detailed negotiation and drafting of the lease, requiring significant legal insight to understand the implications of each clause. • The factual background was relatively straightforward, but the legal questions surrounding implied terms and contractual obligations require in-depth legal analysis. Confidence: 75% Legal Significance: Important case with notable legal impact</t>
  </si>
  <si>
    <t>cmmxgkynq000504ju5rx4qmev</t>
  </si>
  <si>
    <t>bc30491e-9ae6-48da-90d0-71d8a8069b22_legal_classification</t>
  </si>
  <si>
    <t>Classification of legal issues around negligence and statutory duties for public authorities.</t>
  </si>
  <si>
    <t>Legal Classification: Primary Category: Negligence Legal Areas: Tort, Public Law, Road Safety Law, Statutory Interpretation Jurisdiction: United Kingdom Court Level: Supreme Court Legal Issues: Duty of care of highway authorities in negligence cases. Interpretation of statutory duties under the Road Traffic Act 1988. Liability in common law versus statutory breaches Keywords: duty of care, negligence, highway authority, statutory duties, road safety</t>
  </si>
  <si>
    <t>Road Traffic Act 1988</t>
  </si>
  <si>
    <t>4685ad0e-87e7-4f59-8991-823ab27d9393_legal_reasoning</t>
  </si>
  <si>
    <t>Discussion of orthodox exemptions and the two general exceptions to liability for omissions; analysis of whether police actions created duty.</t>
  </si>
  <si>
    <t>Legal Analysis: Legal Issues: Whether the pleaded facts disclose a reasonable cause of action in tort against the police for negligence.. Whether the police owed a duty of care to road users when they attended an earlier accident, warned motorists, and then left the scene.. Whether police actions in attending, warning, and then removing the warning sign amount to making matters worse, creating proximity or a relationship of care, or otherwise giving rise to duty under Hedley Byrne/assumed responsibility principles.. How post-Michael v South Wales Police and Robinson v West Yorkshire Police authorities affect the scope of public authority liability for omissions vs positive actions. Reasoning: The excerpt outlines that the court applied established authorities on duty of care for omissions vs. positive actions and examined whether police intervention could create a duty. The Master noted that a duty of care for public authorities in tort hinges on whether intervention makes matters worse or whether control/assumption of responsibility creates proximity. The appeal discusses multiple precedents (Michael, Robinson, N and Anor, GN v Poole, Anns v Merton LBC, Dorset Yacht, Hedley Byrne) to argue that liability for omissions is constrained and that the line between duty and no-duty depends on fact-specific circumstances. The Master concluded there is a spectrum of potential liability and that the issue could be resolved only with more fact-finding, hence the strike-out could not be upheld. The grounds of appeal challenge (i) the assertion that the police owed a duty by actions that worsened the situation, (ii) that they had assumed sufficient control to create proximity, and (iii) that the legal question could only be decided after trial of the facts. Keywords: Court of Appeal (Civil Division), negligence, duty of care, public authority liability, police liability, omission vs positive action, road safety, black ice, fatal road traffic accident, quoted authorities: Michael, Robinson, N and Anor</t>
  </si>
  <si>
    <t>Michael v South Wales Police || Robinson v West Yorkshire Police || GN v Poole Borough Council || Hedley Byrne || Anns v Merton LBC</t>
  </si>
  <si>
    <t>52d20bb9-6964-44a6-9c32-d191ef76297c_legal_classification</t>
  </si>
  <si>
    <t>Classification of case under tort law and highways law in the context of negligence and statutory obligations.</t>
  </si>
  <si>
    <t>Legal Classification: Primary Category: Tort Legal Areas: Negligence, Highways Law, Road Traffic Accidents Jurisdiction: England and Wales Court Level: High Court Legal Issues: Breach of Section 41 of the Highways Act 1980. Negligence of the crane driver. Procedural compliance by the highway authority Keywords: Highways Act 1980, negligence, road traffic accident, liability, maintenance duties</t>
  </si>
  <si>
    <t>4840c2e7-7326-456e-84e1-def231729686</t>
  </si>
  <si>
    <t>Butcher v Southend-On-Sea Borough Council (2014)</t>
  </si>
  <si>
    <t>4840c2e7-7326-456e-84e1-def231729686_legal_classification</t>
  </si>
  <si>
    <t>Legal classification of the issues presented in the case, mainly focusing on negligence and liability.</t>
  </si>
  <si>
    <t>Legal Classification: Primary Category: Personal Injury Legal Areas: Negligence, Occupiers Liability, Civil Law Jurisdiction: England and Wales Court Level: Appellate Legal Issues: Determining the extent of the defendants' liability under the Occupiers Liability Act 1957.. Evaluating contributory negligence and its impact on damage recovery. Keywords: personal injury, negligence, occupiers liability, contributory negligence, duty of care</t>
  </si>
  <si>
    <t>70c75405-8cba-40e2-92ff-8302ea4f6789_legal_classification</t>
  </si>
  <si>
    <t>Categorization of the case within tort law, focusing on negligence.</t>
  </si>
  <si>
    <t>Legal Classification: Primary Category: Tort Legal Areas: Negligence, Public Liability, Highways Act Jurisdiction: England and Wales Court Level: Appellate Legal Issues: Was the road defect a danger according to the standards of the Highway Act?. Did the defendant take reasonable steps to maintain the highway?. Can the council be held liable for Griffiths' injuries? Keywords: negligence, highway authority, road defect, personal injury, duty of care</t>
  </si>
  <si>
    <t>a2f8a9c1-146b-4f6c-9d33-4a6ae32664d5</t>
  </si>
  <si>
    <t>AAA &amp; Anor v CCC [2022] EWCA Civ 479</t>
  </si>
  <si>
    <t>a2f8a9c1-146b-4f6c-9d33-4a6ae32664d5_citations_precedents</t>
  </si>
  <si>
    <t>Cited authorities and cases establishing principles for contempt sentencing, mitigation, and appellate review.</t>
  </si>
  <si>
    <t>Citations and Authorities: Neutral Citations: [2022] EWCA Civ 479 Law Reports: Referenced Cases: Liverpool Victoria Insurance Co Ltd v Khan &amp; Ors [2019] 1 WLR 3833, Mersey Care NHS Trust v Ackroyd [2007] EWCA Civ 101, Aldi Stores Ltd v Ward [2008] 1 WLR 748, Stuart v Goldberg Linde [2008] EWCA Civ 1? (citations vary), Fage UK Ltd v Chobani UK Ltd [2014] EWCA Civ 5, Re Sprintroom Ltd [2019] EWCA Civ 932, Neil v Ryan [1998] WL 1044247 (unreported), Attorney-General's Reference (No. 4 of 1989) [1990] 1 WLR 41, Bashir (No. 2) [2012] ACD 69 Citation Count: 9</t>
  </si>
  <si>
    <t>Liverpool Victoria v Khan || Mersey Care NHS Trust v Ackroyd || Aldi Stores Ltd || Fage UK Ltd v Chobani UK Ltd || Sprintroom Ltd || Neil v Ryan || Attorney General's Reference (No 4 of 1989) [1990] 1 WLR 41 || Bashir (No 2) [2012] ACD 69</t>
  </si>
  <si>
    <t>edc2fc6e-68a1-4ebc-88a2-3ccdc59d63ed</t>
  </si>
  <si>
    <t>McCracken v Smith &amp; Ors [2015] EWCA Civ 380</t>
  </si>
  <si>
    <t>edc2fc6e-68a1-4ebc-88a2-3ccdc59d63ed_legal_classification</t>
  </si>
  <si>
    <t>The legal grounds on which the case was argued, including principles of negligence and contributory negligence.</t>
  </si>
  <si>
    <t>Legal Classification: Primary Category: Personal Injury Legal Areas: Negligence, Motor Vehicle Liability, Insurance Law Jurisdiction: England and Wales Court Level: Appellate Legal Issues: 1. Liability of the rider and passenger for negligence; 2. Applicability of the ex turpi causa doctrine; 3. Assessment of contributory negligence.. 4. Determining the standard of care owed by a driver who turns into a community center. Keywords: Negligence, Contributory Negligence, Ex turpi causa, Personal Injury, Motor Vehicles</t>
  </si>
  <si>
    <t>50ad0fef-c59e-464c-8d87-04a50c7ac07d</t>
  </si>
  <si>
    <t>Ramirez v Maheswari [2015] EWCA Civ 879</t>
  </si>
  <si>
    <t>50ad0fef-c59e-464c-8d87-04a50c7ac07d_legal_classification</t>
  </si>
  <si>
    <t>Legal classification involving negligence and personal injury law.</t>
  </si>
  <si>
    <t>Legal Classification: Primary Category: Tort Legal Areas: Negligence, Personal Injury Law, Liability, Traffic Law Jurisdiction: England and Wales Court Level: Appellate Legal Issues: Was the defendant driver negligent for not seeing the claimant?. What is the appropriate standard of care for drivers in negligence cases?. Does the sudden appearance of a pedestrian absolve the driver of liability? Keywords: negligence, road traffic accident, causative potency, liability, contributory negligence</t>
  </si>
  <si>
    <t>2e37836d-c57c-4eb6-942a-5a1a3a46714f_citations_precedents</t>
  </si>
  <si>
    <t>Authorities cited and analyzed in shaping the Court of Appeal's reasoning on duty of care and related concepts.</t>
  </si>
  <si>
    <t>Citations and Authorities: Neutral Citations: [2023] EWCA Civ 140, [2023] WLR(D) 85, [2023] ICR 534 Law Reports: Referenced Cases: Hedley Byrne &amp; Co Ltd v Heller &amp; Partners Ltd [1964] AC 465, Henderson v Merrett Syndicates Ltd [1995] AC 846, Caparo Industries plc v Dickman [1990] 2 AC 605, Robinson v Chief Constable of West Yorkshire Police [2018] UKSC 4, Barclays Bank plc (Barclays Bank case) [2006] UKHL 28, Nykredit Mortgage Bank plc v Edward Erdman Group Ltd (No. 2) [1997] 1 WLR 1627, Khan v Falvey [2002] EWCA Civ 400, Hatton v Chafes [2003] EWCA Civ 341, NRAM Ltd v Steel [2018] UKSC 34, Playboy Club London Ltd v Banca Nazionale del Lavoro SpA [2018] UKSC 43, JP SPC 4 v Royal Bank of Scotland International Ltd [2022] UKPC 18, James-Bowen v Commissioner of Police for the Metropolis [2018] UKSC 40, Robinson v James-Bowen (see Robinson) and related authorities, Khan v Falvey (as cited in Robinson) and related commercial cases, Rihan v Ernst &amp; Young Global Ltd [2019] EWCA Civ 1 Citation Count: 15</t>
  </si>
  <si>
    <t>Hedley Byrne &amp; Co Ltd v Heller &amp; Partners Ltd || Henderson v Merrett Syndicates Ltd || Caparo Industries plc v Dickman || Robinson v Chief Constable of West Yorkshire Police || Commissioners of Customs &amp; Excise v Barclays Bank plc || Nykredit Mortgage Bank plc v Edward Erdman Group Ltd (No. 2) || NRAM Ltd v Steel || Playboy Club London Ltd v Banca Nazionale del Lavoro SpA || JP SPC 4 v Royal Bank of Scotland International Ltd || James-Bowen v Commissioner of Police for the Metropolis || Khan v Falvey || Hatton v Chafes</t>
  </si>
  <si>
    <t>0b882e45-d34e-49f7-baae-3d5657d1ccc6_outcome_holding</t>
  </si>
  <si>
    <t>Summary of the court's final holding and outcome of the appeal.</t>
  </si>
  <si>
    <t>Case Outcome: Holding: The court affirmed that the Crown Court properly assessed the state of the highway and its ruling that extensive repairs were not necessary was upheld. Outcome: defendant Precedent Strength: 8/10 Complexity Score: 6/10 Damages: 3344.43 Legal Significance: Important case with notable legal impact</t>
  </si>
  <si>
    <t>d1152bb7-20b0-4217-a91b-171203a9484a</t>
  </si>
  <si>
    <t>Reilly and Hewstone v Secretary of State for Work and Pensions [2016] EWCA Civ 413</t>
  </si>
  <si>
    <t>d1152bb7-20b0-4217-a91b-171203a9484a_citations_precedents</t>
  </si>
  <si>
    <t>Extensive citation list of ECHR and domestic authorities used to frame the Zielinski principle, retrospective legislation justification, and related issues.</t>
  </si>
  <si>
    <t>Citations and Authorities: Neutral Citations: [2016] EWCA Civ 413, [2016] 3 WLR 1641, [2016] WLR(D) 240, [2017] QB 657, [2016] EWCA Civ 413 Law Reports: [2016] 3 WLR 1641, [2016] WLR(D) 240, [2017] QB 657, [2016] EWCA Civ 413 Referenced Cases: Stran Greek Refineries v Greece (1995) 19 EHRR 293, National &amp; Provincial Building Society v UK (1997) 25 EHRR 127, Scordino v Italy (no. 1) (2007) 45 EHRR 7, Pressos Companía Naviera S.A. v Belgium (1996) 21 EHRR 301, Kopecký v. Slovakia (2005) 41 EHRR 43, Tarbuk v Croatia [2012] ECHR 2049, Draon v France (Grand Chamber) (2006) 42 EHRR 40, Draon (paraphrase quotes) (case law cited within Draon), Pressos (ETC.), Recovery of Medical Costs for Asbestos Diseases (Wales) Bill 2015 UKSC 3, AXA General Insurance Ltd v HM Advocate [2012] 1 AC 868, R (St Matthews (West) Ltd) v HM Treasury [2014] EWHC 2426 (Admin), Ghaidan v Godin-Mendoza [2004] UKHL 30, L'Office Cherifien Des Phosphates v Yamashita-Shinnihon Steamship Co Ltd [1994] 1 AC 486, Secretary of State for Social Security v Tunnicliffe [1991] 2 All ER 724, Office of Government Commerce v Information Commissioner [2010] QB 98 Citation Count: 16</t>
  </si>
  <si>
    <t>Stran Greek Refineries v Greece (1995) 19 EHRR 293 || National &amp; Provincial Building Society v UK (1997) 25 EHRR 127 || Scordino v Italy (no. 1) (2007) 45 EHRR 7 || Pressos Companía Naviera S.A. v Belgium (1996) 21 EHRR 301 || Kopecký v Slovakia (2005) 41 EHRR 43 || Tarbuk v Croatia [2012] ECHR 2049 || Draon v France (Grand Chamber) (2006) 42 EHRR 40 || Recovery of Medical Costs for Asbestos Diseases (Wales) Bill 2015 UKSC 3 || AXA General Insurance Ltd v HM Advocate [2012] 1 AC 868 || R (St Matthews West) Ltd v HM Treasury [2014] EWCA Civ 2426</t>
  </si>
  <si>
    <t>8bf594df-88d1-4791-89f3-b2699310ed7a_citations_precedents</t>
  </si>
  <si>
    <t>Authorities cited: Fairchild, Glenhaven, Wilson, Bank Mellat, R(SC)/R(DA) v W&amp;P, James v UK, Welsh Bill case; these shape the ECHR/A1P1 proportionality framework and the treatment of parliamentary materials.</t>
  </si>
  <si>
    <t>Citations and Authorities: Neutral Citations: [2022] EWCA Civ 15, [2022] 1 WLR 2753, [2022] WLR(D) 41, [2022] WLR 2753 Law Reports: Referenced Cases: Fairchild v Glenhaven Funeral Services Ltd [2003] 1 AC 32, Wilson v First County Trust Ltd (No.2) [2003] UKHL 40, Bank Mellat v HM Treasury (No.2) [2013] UKSC 38, R (SC) v Works and Pensions Secretary [2021] UKSC 26, R (DA) v Works and Pensions Secretary [2019] UKSC 21, James v United Kingdom (1986) EHHR 123, Welsh Bill case Citation Count: 7</t>
  </si>
  <si>
    <t>Fairchild v Glenhaven Funeral Services Ltd [2003] 1 AC 32 || Wilson v First County Trust Ltd (No.2) [2003] UKHL 40 || Bank Mellat v HM Treasury (No.2) [2013] UKSC 38 || R (SC) v Works and Pensions Secretary [2021] UKSC 26 || R (DA) v Works and Pensions Secretary [2019] UKSC 21 || James v United Kingdom || Welsh Bill case</t>
  </si>
  <si>
    <t>6e8e988c-074c-4ab1-9e37-5c84673b441b_citations_precedents</t>
  </si>
  <si>
    <t>Authorities relied upon for contract interpretation and 1999 Act principles.</t>
  </si>
  <si>
    <t>Citations and Authorities: Neutral Citations: [2023] EWCA Civ 551 Law Reports: Investors Compensation Scheme Ltd v West Bromwich Building Society [1998] 1 WLR 896, Arnold v Britton [2015] UKSC 36, [2015] AC 1619, Prenn v Reardon Smith Line Ltd [1971] 1 WLR 138, Reardon Smith Line Ltd v Hansen-Tangen (HE Hansen-Tangen) [1976] 1 WLR 989, Bank of Credit and Commerce International SA v Ali [2002] 1 AC 251, Hooper v Nunn, Prenn v Reardon Smith Line Ltd, Tyne and Wear PTE Ltd v National Union of Rail, Maritime and Transport Workers [2023] ICR 148, Wood v Capita Insurance Services Ltd [2017] UKSC 23, [2017] AC 1175, Pepper v Hart [1993] AC 593, R v G [2003] UKHL 40, [2004] 1 AC 1034 Referenced Cases: Investors Compensation Scheme Ltd v West Bromwich Building Society [1998] 1 WLR 896, Arnold v Britton [2015] UKSC 36, [2015] AC 1619, Prenn v Reardon Smith Line Ltd [1971] 1 WLR 138, Reardon Smith Line Ltd v Hansen-Tangen (HE Hansen-Tangen) [1976] 1 WLR 989, Bank of Credit and Commerce International SA v Ali [2002] 1 AC 251, Wood v Capita Insurance Services Ltd [2017] UKSC 23, [2017] AC 1175, Tyne and Wear PTE Ltd v National Union of Rail, Maritime and Transport Workers [2023] ICR 148, Prenn v Reardon Smith Line Ltd [1971] 1 WLR 138, Pepper v Hart [1993] AC 593 Citation Count: 9</t>
  </si>
  <si>
    <t>Investors Compensation Scheme Ltd v West Bromwich Building Society || Arnold v Britton || Prenn v Reardon Smith Line Ltd || Reardon Smith Line Ltd v Hansen-Tangen || Bank of Credit and Commerce International SA v Ali || Wood v Capita Insurance Services Ltd || Pepper v Hart || Tyne and Wear PTE Ltd v NATU</t>
  </si>
  <si>
    <t>cmmxhota6000304l5veh94ja9</t>
  </si>
  <si>
    <t>d8ef5edb-61a0-4b29-b510-5fe53f814e53</t>
  </si>
  <si>
    <t>Secretary of State for Communities and Local Government v Hopkins Developments Ltd</t>
  </si>
  <si>
    <t>d8ef5edb-61a0-4b29-b510-5fe53f814e53_case_analysis</t>
  </si>
  <si>
    <t>Evaluation of the case's overall significance in establishing legal precedent and assessing its complexity.</t>
  </si>
  <si>
    <t>Case Analysis and Reasoning: Precedent Strength Assessment (8/10): • The case addresses important aspects of administrative law regarding natural justice and procedural fairness in planning inquiries, which typically have broader implications for future cases. • Judicial exploration of the intersection between procedural robustness and administrative efficiency is not frequently addressed, making this case novel. • Quality of reasoning by the Court of Appeal was thorough and future-facing, indicating significant potential for citation. • The hierarchy of court involved (Court of Appeal) lends authority and weight to the outcome. Confidence: 85% Complexity Score Assessment (7/10): • Multiple parties (Hopkins, Secretary of State, and District Council) involved in a layered procedural history adds to complexity. • The case engages with intricate issues of planning law, particularly the application of natural justice principles. • Weighty legal concepts relating to sustainable development and procedural fairness further complicate the analysis. • However, the proceedings were administratively structured, allowing for clarity in presenting appeals, mitigating the overall complexity. Confidence: 80% Legal Significance: Important case with notable legal impact</t>
  </si>
  <si>
    <t>379d4f20-62f5-403b-a082-fa36b82fe1c1</t>
  </si>
  <si>
    <t>379d4f20-62f5-403b-a082-fa36b82fe1c1_metadata_summary</t>
  </si>
  <si>
    <t>Overview of the case involving judicial review of planning permission granted by a local authority.</t>
  </si>
  <si>
    <t>Case: Regina v. London Borough of Hammersmith and Fulham (Burkett) [2002] UKHL 23 Court: United Kingdom House of Lords Category: Administrative Law Legal Areas: Environmental Law, Judicial Review, Planning Law Abstract: This case addresses the procedural intricacies of judicial review in planning law, centering on the timing for challenging planning permission. The House of Lords held that the time limit for seeking judicial review should run from the date of the actual grant of planning permission, rather than from the resolution permitting development. Keywords: Judicial Review, Planning Law, Administrative Law, European Community Law, Time Limits, Environmental Impact Precedent Strength: 8/10 (85% confidence) Precedent Reasoning: Court hierarchy – The decision comes from the House of Lords, the highest court, which inherently lends authority and weight to its rulings. Legal novelty – The case involved significant interpretations of timing under judicial review, specifically in planning law, which had implications for future cases. Quality of reasoning – The judgment provided a careful analysis of existing case law and highlighted gaps within prior interpretations of procedural time limits; it also reinforced citizen rights in challenges to planning decisions. Citations by other courts – This ruling has potential to be referenced in future cases involving planning permissions and judicial review, as it clarifies the law regarding timing which may affect similar cases. Complexity: 6/10 (75% confidence) Complexity Reasoning: Number of legal issues – The case involves multiple legal threads, including administrative procedure and environmental law considerations, which add complexity. Procedural requirements – The case had a convoluted procedural history involving both lower courts and a complex planning permission application process that had to be interpreted under various legal frameworks. Factual complexity – The factual aspects involve multiple parties and an in-depth look at the impact on a citizen's rights against a backdrop of local governance and urban development. Expertise needed – The case requires understanding of both procedural and substantive law in planning as well as the interplay of European law and domestic administrative law.</t>
  </si>
  <si>
    <t>This case shows 72% similarity based on metadata summary analysis.</t>
  </si>
  <si>
    <t>75c3584c-539b-49d8-bbc0-8dbe5fb06479</t>
  </si>
  <si>
    <t>Wiltshire Council v Secretary of State for Communities and Local Government &amp; Ors [2015] EWCA Civ 1068</t>
  </si>
  <si>
    <t>75c3584c-539b-49d8-bbc0-8dbe5fb06479_case_analysis</t>
  </si>
  <si>
    <t>Consideration of the broader implications of the case in legal context.</t>
  </si>
  <si>
    <t>Case Analysis and Reasoning: Precedent Strength Assessment (7/10): • The case deals with significant principles of administrative law and judicial discretion, potentially serving as a reference point in similar planning law disputes. • The factual background involves planning permissions and the interpretation of housing need—important issues in public planning cases. • Although it affirms existing legal principles, courts may rely on its findings concerning the balance of interests in future cases, particularly in situations where procedural errors impact a broader audience. Confidence: 85% Complexity Score Assessment (6/10): • The complexity arises from the interplay between different legal principles—the nature of discretionary power in judicial remedies and the factual matrix involving procedural errors and public interest. • Multiple parties with differing interests lead to a layered legal challenge, which adds to the complexity of how legal principles are applied in practice. • However, the case revolves prominently around established legal doctrines, limiting novel legal interpretations. This keeps the complexity rating moderate. Confidence: 80% Legal Significance: Moderately significant case with some precedential value</t>
  </si>
  <si>
    <t>7f44d9a8-2459-4f6a-84fc-e475bb8f169a</t>
  </si>
  <si>
    <t>Secretary of State for Levelling Up, Housing and Communities v Smith &amp; Anor [2023] EWCA Civ 514</t>
  </si>
  <si>
    <t>7f44d9a8-2459-4f6a-84fc-e475bb8f169a_case_analysis</t>
  </si>
  <si>
    <t>Assessment of the case’s precedent value, complexity, and legal significance for planning procedure and administrative fairness.</t>
  </si>
  <si>
    <t>Case Analysis and Reasoning: Precedent Strength Assessment (7/10): • Court of Appeal level confers strong persuasive authority in planning/procedural fairness • Issue involves standard, well-trodden in administrative law but with some novelty around APO role separation in planning contexts • Breadth of holding in terms of ensuring proper process across similar planning appeals • Quality of reasoning appears coherent and consistent with established admin-law fairness principles • Nevertheless, the case discusses a narrow procedural issue in a specific planning context, limiting wide-circuit impact • Potential for citation by planning authorities and courts in similar called-in appeal scenarios Confidence: 78% Complexity Score Assessment (7/10): • Multiple layers of decision-making in planning appeals (APO vs inspector) • Issues of fairness, disclosure, and role separation require careful analysis of procedural rules • Some factual disputes about how the APO functioned in this case • Use of authorities like Harris to frame the fairness principle adds complexity • However, issues are narrowly confined to planning procedure rather than broader doctrinal shifts Confidence: 74% Legal Significance: Important case with notable legal impact</t>
  </si>
  <si>
    <t>Harris || [2022] EWHC 3209 (Admin)</t>
  </si>
  <si>
    <t>4445024a-5f65-4083-8a26-f3cf974100af</t>
  </si>
  <si>
    <t>Ball v Secretary of State for Communities and Local Government [2014] EWCA Civ 372</t>
  </si>
  <si>
    <t>4445024a-5f65-4083-8a26-f3cf974100af_case_analysis</t>
  </si>
  <si>
    <t>Analysis of the case's significance in legal context and implications for future cases regarding planning permissions and children's rights.</t>
  </si>
  <si>
    <t>Case Analysis and Reasoning: Precedent Strength Assessment (7/10): • Court of Appeal decisions hold significant authority, especially in planning law. • The case raises essential questions regarding bias and children's rights which may influence future policy and legal interpretations. • Although the issues are not exceedingly novel, the emphasis on procedural propriety heightens the case's relevance in administrative law. Confidence: 80% Complexity Score Assessment (6/10): • The case involves multiple legal issues including bias perception and children's welfare under planning law. • Procedural aspects, such as the appeal process and judicial review standards, add complexity. • The factual background includes various stakeholders and public interests, making the overall situation intricate. Confidence: 75% Legal Significance: Moderately significant case with some precedential value</t>
  </si>
  <si>
    <t>58d309a1-b692-4f6d-a5a0-a9bbe8238c79</t>
  </si>
  <si>
    <t>Lanner Parish Council, R (on the application of) v The Cornwall Council &amp; Anor [2013] EWCA Civ 1290</t>
  </si>
  <si>
    <t>58d309a1-b692-4f6d-a5a0-a9bbe8238c79_case_analysis</t>
  </si>
  <si>
    <t>An analytical overview of the case's potential precedent value and complexities inherent in the legal challenges presented.</t>
  </si>
  <si>
    <t>Case Analysis and Reasoning: Precedent Strength Assessment (7/10): • The case addresses significant issues regarding planning policy interpretation and the evidential burden in planning applications. • The appeal's dismissal may impact future judicial review challenges in similar planning contexts, thus providing valuable precedent. • However, the decision also reflects the discretionary nature of planning decisions, limiting its broad applicability. Confidence: 85% Complexity Score Assessment (6/10): • The case contains multiple layers of procedural history and decision-making processes, involving various legal principles regarding judicial reviews and planning laws. • It addresses factual nuances regarding local housing needs and policy interpretation, requiring a somewhat detailed understanding of planning legislation and local government processes. • However, the established legal frameworks and precedents lend clarity, preventing a higher complexity classification. Confidence: 80% Legal Significance: Moderately significant case with some precedential value</t>
  </si>
  <si>
    <t>168de16c-935d-43d1-b3f9-4b58a7969df5</t>
  </si>
  <si>
    <t>Secretary of State for Communities and Local Government v Ioannou [2014] EWCA Civ 1432</t>
  </si>
  <si>
    <t>168de16c-935d-43d1-b3f9-4b58a7969df5_case_analysis</t>
  </si>
  <si>
    <t>Analyses the implications of the decision for future legal contexts.</t>
  </si>
  <si>
    <t>Case Analysis and Reasoning: Precedent Strength Assessment (8/10): • The court's decision reinforces significant principles of administrative law and planning permission stipulations, establishing clear precedents on the inspector's discretionary powers. • Widely cited legal principles related to planning permissions in the context of inspectorate decisions are clarified, leading to potential substantial citations in future cases. • The case carries significant implications for future enforcement notice appeals under the Planning Act, establishing boundaries on the expansive interpretation of planning permissions. Confidence: 90% Complexity Score Assessment (7/10): • The case involves multiple intertwined legal issues surrounding planning law, interpretation of statutory provisions, and precedent which increases complexity. • Procedural intricacies combined with factual disputes regarding the classifications of property modifications add layers to the case's complexity, though it is not the most convoluted case. • The necessity for expertise in planning law and prior case law adds further detail to the complexity. Confidence: 85% Legal Significance: Important case with notable legal impact</t>
  </si>
  <si>
    <t>Bernard Wheatcroft v Secretary of State for the Environment || Fidler v First Secretary of State</t>
  </si>
  <si>
    <t>702e0527-fb33-427f-afbb-f906ba355802</t>
  </si>
  <si>
    <t>Broadview Energy Developments Limited v The Secretary of State for Communities and Local Government &amp; Ors [2016] EWCA Civ 562</t>
  </si>
  <si>
    <t>702e0527-fb33-427f-afbb-f906ba355802_case_analysis</t>
  </si>
  <si>
    <t>Assessment of the case’s legal significance, complexity, and potential future impact on planning fairness and ministerial decision-making.</t>
  </si>
  <si>
    <t>Case Analysis and Reasoning: Precedent Strength Assessment (8/10): • Court of Appeal (civil division) level is a strong precedent in planning/admin law. • Addresses the balance between political lobbying and quasi-judicial decision-making, which is widely cited in subsequent planning challenges. • The decision coheres with prior guidance on ministerial fairness and the audi alteram partem principle, while clarifying the non-trivial but non-dispositive nature of isolated private representations. • Key limiting factor: the holding rests on a factual context involving a local MP and minister, which may limit universal application to all planning recoveries. Confidence: 78% Complexity Score Assessment (7/10): • Multiple legal issues: fairness, bias, duty to consider representations, procedural rules, and weighting in planning balances. • Procedural intricacies: interaction of TCPA 1990, Schedule 6, Rule 17, and Planning Propriety Guidance; post-inquiry procedures and possible reopening. • Factual complexity: sequence of inquiries, recoveries, and multiple parties with divergent interests; some issues hinge on timing of private communications. • Judicial disagreement: two of the three LJJ offer nuanced views on the significance of the tea-room conversation, elevating complexity. Confidence: 80% Legal Significance: Important case with notable legal impact</t>
  </si>
  <si>
    <t>McCarthy (R v Sussex Justices) guidance on appearance of fairness || Barnwell Manor and Magill v Porter as context for balancing and severity of breaches</t>
  </si>
  <si>
    <t>f36914c7-32ec-4f23-9909-c4ece2be9d33</t>
  </si>
  <si>
    <t>Georgiou v London Borough of Enfield &amp; Ors [2004] EWHC 779 (Admin)</t>
  </si>
  <si>
    <t>f36914c7-32ec-4f23-9909-c4ece2be9d33_case_analysis</t>
  </si>
  <si>
    <t>Insightful analysis into the potential ramifications of the ruling.</t>
  </si>
  <si>
    <t>Case Analysis and Reasoning: Precedent Strength Assessment (8/10): • The case involved a detailed evaluation of the principles governing local government decisions, particularly relating to bias and procedural fairness. • Its findings are likely to influence future local government planning procedures and how bias is assessed in similar cases, thereby establishing a robust framework for accountability in planning decisions. Confidence: 90% Complexity Score Assessment (7/10): • The case presents significant complexity due to multiple legal issues concerning administrative fairness, local government decision-making, and planning law. • The breadth of concerns raised and the procedural intricacies of handling such objections point towards a multifaceted legal landscape, amplifying the levels of factual and legal complexities. Confidence: 85% Legal Significance: Important case with notable legal impact</t>
  </si>
  <si>
    <t>76e6ffcd-af03-4155-a667-51d98a79d1d7</t>
  </si>
  <si>
    <t>Arnold White Estates Ltd v The Forestry Commission [2022] EWCA Civ 1304</t>
  </si>
  <si>
    <t>76e6ffcd-af03-4155-a667-51d98a79d1d7_procedural_history</t>
  </si>
  <si>
    <t>Procedure chronology: High Court decision on time limits and merits, Court of Appeal permission on grounds, and eventual hand-down details.</t>
  </si>
  <si>
    <t>Procedural History: Court: England and Wales Court of Appeal (Civil Division) Lower Court: High Court of Justice, King's Bench Division (Planning Court) – [2021] EWHC 3047 (Admin) Judges: Sir Keith Lindblom, Lord Justice Holroyde, Lord Justice Coulson Case Number: CA-2021-003175 Last Hearing Date: 06 October 2022 Duration: 0 days</t>
  </si>
  <si>
    <t>R. (on the application of Thornton Hall Hotel Ltd.) v Wirral Metropolitan Borough Council (2019) EWCA Civ 737</t>
  </si>
  <si>
    <t>cd283e1d-2aa2-4f15-968e-1c7909dfec0a</t>
  </si>
  <si>
    <t>Secretary of State for Communities and Local Government &amp; Anor v Engbers [2016] EWCA Civ 1183</t>
  </si>
  <si>
    <t>cd283e1d-2aa2-4f15-968e-1c7909dfec0a_case_analysis</t>
  </si>
  <si>
    <t>Analysis of the case’s significance for precedent value and the factors contributing to its complexity and influence on future planning inquiries.</t>
  </si>
  <si>
    <t>Case Analysis and Reasoning: Precedent Strength Assessment (8/10): • The case involves a Court of Appeal decision on procedural fairness in planning inquiries, addressing widely cited authorities (Hopkins Developments; Tatham Homes; Gates Hydraulics) and clarifying the interaction between statements of common ground and third‑party representations, which has significant and broad applicability to planning appeals across England and Wales. • The judgment reinforces the importance of timely issue identification and fairness over formal adherence to pre‑inquiry statements when public safety concerns are raised, enhancing the persuasiveness and durability of its holding as a precedent. • The case builds on established planning law principles but adds nuance about the inspector’s obligation to consider issues introduced by third parties, thereby strengthening procedural fairness doctrine in planning inquiries and guiding future practice for inspectors and appellants. • However, it is not a Supreme Court decision and thus the authority, while strong, is not at the level of binding policy-making, and its impact may be more pronounced in administrative appeal practice than in statutory interpretation. Confidence: 82% Complexity Score Assessment (8/10): • Multiple intertwined issues: procedural fairness under Rule 7, Rule 16; interaction of statements of common ground; highway safety considerations including RSA findings and speed/visibility data; the potential, but contested, use of Grampian conditions; substantial factual complexity around traffic speeds and pedestrian safety; reliance on multiple authorities and planning guidance; the potential for different outcomes depending on the weight given to third‑party representations and inspector’s notes. • Factual disputes involved the adequacy of visibility splays, speed checks, and whether the inspector properly balanced safety concerns with the joint agreement between authorities and developers; these issues require technical understanding of road safety audits and highway design, increasing the case’s complexity. • The procedural posture (appeal from High Court; eight‑day inquiry; post‑inquiry notes admitted on appeal) adds procedural layers that complicate analysis and resolution. Confidence: 84% Legal Significance: Highly significant case with strong precedential value</t>
  </si>
  <si>
    <t>Hopkins Developments || Mott v E A</t>
  </si>
  <si>
    <t>6cd7db33-7ee1-44c0-9219-b2cc7d57d88b_procedural_history</t>
  </si>
  <si>
    <t>Procedural path: High Court decision under s.288; Court of Appeal appeal with hearing on 29-30 June 2022; judgment delivered 31 Oct 2022.</t>
  </si>
  <si>
    <t>Procedural History: Court: England and Wales Court of Appeal (Civil Division) Lower Court: High Court of Justice, King’s Bench Division (Planning Court), [2021] EWHC 1650 (Admin) Judges: Sir Keith Lindblom, Lord Justice Holroyde, Lord Justice Coulson Case Number: CA-2021-001741 Last Hearing Date: 31 October 2022 Duration: 2 days</t>
  </si>
  <si>
    <t>[2021] EWHC 1650 (Admin)</t>
  </si>
  <si>
    <t>2b96d647-41d4-452f-8b77-918f254b6b36</t>
  </si>
  <si>
    <t>Forster v Secretary of State for Communities and Local Government &amp; Anor [2016] EWCA Civ 422</t>
  </si>
  <si>
    <t>2b96d647-41d4-452f-8b77-918f254b6b36_case_analysis</t>
  </si>
  <si>
    <t>Assesses the case’s potential legal significance, factors contributing to complexity, and its utility as a precedent for future planning decisions and costs considerations.</t>
  </si>
  <si>
    <t>Case Analysis and Reasoning: Precedent Strength Assessment (7/10): • This is a Court of Appeal decision, which heightens its persuasive force, especially on procedural and planning-law issues. • The issues involve a potentially novel treatment of nuisance-like considerations as material planning considerations, which could influence future planning assessments and the treatment of live-venue impacts. • However, the decision is primarily about permission to appeal and the proper framing of the appellate challenge and PCO rather than a definitive ratio on planning merits, limiting its binding effect on substantive planning outcomes. • The strength is tempered by the fact that it addresses a unique set of factual circumstances (a live music venue adjacent to a redevelopment site) and by the potential for future appellate treatment to refine the approach. • Counterarguments include the possibility that subsequent cases could distinguish the factual matrix or reject broader applications of nuisance considerations within planning judgments. Confidence: 78% Complexity Score Assessment (7/10): • Multiple intertwined legal issues: planning merits, nuisance considerations, daylight/sunlight impacts, and PCO framework. • Procedural history includes an appeal from High Court, prior permission-to-appeal decision, and a live dispute about the scope of appellate review. • Involves statutory interpretation of Town and Country Planning Act 1990 s288 and the interaction with licensing and nuisance regimes. • Incorporates public-interest considerations (Aarhus/Corners House) in a costs context, adding layered complexity. • Factual complexity includes a property with a live entertainment venue adjacent to redevelopment and concerns about future claims and business viability. Confidence: 81% Legal Significance: Important case with notable legal impact</t>
  </si>
  <si>
    <t>Corner House [2005] 1 WLR 2600 || Aarhus Convention</t>
  </si>
  <si>
    <t>0642e885-86b3-4c0b-84a2-2005424f4309</t>
  </si>
  <si>
    <t>Sahota, R (On the Application Of) v Herefordshire Council [2022] EWCA Civ 1640</t>
  </si>
  <si>
    <t>0642e885-86b3-4c0b-84a2-2005424f4309_procedural_history</t>
  </si>
  <si>
    <t>Procedural chronology: High Court dismissed the claim; permission to appeal granted; Court of Appeal hearing held; judgment delivered with the Interested Party not appearing.</t>
  </si>
  <si>
    <t>Procedural History: Court: England and Wales Court of Appeal (Civil Division) Lower Court: High Court of Justice, King’s Bench Division, Planning Court (HHJ Worster) Judges: Lord Justice Singh, Lord Justice Arnold, Lord Justice Lewis Case Number: CA-2021-001940 Last Hearing Date: 13 December 2022 Duration: 29 days</t>
  </si>
  <si>
    <t>Stuart-Smith LJ || Court of Appeal procedures</t>
  </si>
  <si>
    <t>e2aab4b7-e33b-4bf0-be69-4770f2835faf</t>
  </si>
  <si>
    <t>Midcounties Co-Operative Ltd v Wyre Forest District Council [2009] EWHC 964 (Admin)</t>
  </si>
  <si>
    <t>e2aab4b7-e33b-4bf0-be69-4770f2835faf_case_analysis</t>
  </si>
  <si>
    <t>Analysis of the case's significance in legal context.</t>
  </si>
  <si>
    <t>Case Analysis and Reasoning: Precedent Strength Assessment (7/10): • The case emerges from a High Court ruling indicating solid legal reasoning and a balanced assessment of planning law. • Its implications extend to future planning permissions regarding conditions specified and procedural fairness. • The importance of clear conditions in planning permissions is emphasized, which supports future citation and application in similar cases. Confidence: 80% Complexity Score Assessment (8/10): • The case involves multiple legal arguments, including procedural fairness, environmental assessments, and complex interpretation of planning conditions. • The varied factual contexts concerning public impact and retail analyses add layers of complexity typically necessitating specialized legal and technical expertise. • The issues arose from intertwined statutory regulations and multiple parties, requiring detailed examination of procedural nuances and legal precedents. Confidence: 85% Legal Significance: Important case with notable legal impact</t>
  </si>
  <si>
    <t>84fda74c-8775-4d1b-8cf6-853e7921ced2</t>
  </si>
  <si>
    <t>Fylde Coast Farms Ltd v Fylde Borough Council [2021] UKSC 18</t>
  </si>
  <si>
    <t>84fda74c-8775-4d1b-8cf6-853e7921ced2_citations_precedents</t>
  </si>
  <si>
    <t>Citations referenced in the judgment and their applicability.</t>
  </si>
  <si>
    <t>Citations and Authorities: Neutral Citations: [2022] JPL 145, [2021] UKSC 18, [2021] WLR(D) 281, [2021] WLR 2794, [2021] 4 All ER 381, [2021] 1 WLR 2794 Law Reports: Referenced Cases: Town and Country Planning Act 1990, Localism Act 2011, R (Quintavalle) v Secretary of State for Health [2003] UKHL 13, R (Burkett) v Hammersmith and Fulham London Borough Council [2002] UKHL 23, R v Secretary of State for Trade and Industry, Ex p Greenpeace Ltd [1998] Env LR 415 Citation Count: 5</t>
  </si>
  <si>
    <t>Town and Country Planning Act 1990 || Localism Act 2011</t>
  </si>
  <si>
    <t>235388cd-5994-4cf3-b7e7-c349382ef164</t>
  </si>
  <si>
    <t>Save Britain's Heritage, R (On the Application Of) v Davies (Rev1) [2023] EWCA Civ 723</t>
  </si>
  <si>
    <t>235388cd-5994-4cf3-b7e7-c349382ef164_procedural_history</t>
  </si>
  <si>
    <t>Procedural journey from High Court to Court of Appeal and key procedural milestones</t>
  </si>
  <si>
    <t>Procedural History: Court: England and Wales Court of Appeal (Civil Division) Lower Court: High Court of Justice, King's Bench Division, Planning Court Judges: Sir Keith Lindblom, Lord Justice Lewis, Lady Justice Elisabeth Laing Case Number: CA-2022-002401 Last Hearing Date: 23 June 2023 Duration: 0 days</t>
  </si>
  <si>
    <t>2022 EWHC 2984 (Admin)</t>
  </si>
  <si>
    <t>76cd3a35-03e9-4300-b6c9-27ac34a88301</t>
  </si>
  <si>
    <t>Ashburton Trading Ltd v Secretary of State for Communities And Local Government &amp; Anor [2014] EWCA Civ 378</t>
  </si>
  <si>
    <t>76cd3a35-03e9-4300-b6c9-27ac34a88301_case_analysis</t>
  </si>
  <si>
    <t>Analysis of the case's legal implications and its potential as precedent.</t>
  </si>
  <si>
    <t>Case Analysis and Reasoning: Precedent Strength Assessment (8/10): • The case is from the Court of Appeal, which holds significant authority in precedent-setting in administrative law, especially planning law. • The court's ruling involved a critical interpretation of local planning policy, which has broad implications for future cases regarding tall buildings and local governance. • While the interpretation provided clear direction, it does not constitute a novel legal principle since it largely reinforces existing policies. Confidence: 85% Complexity Score Assessment (6/10): • The case involved interpretation of statutory provisions and local policies, which can be complex due to multiple factors influencing planning decisions. • There were multiple parties (Appellant and two Respondents), adding to procedural complexity, although the issue itself was relatively straightforward in its statutory interpretation. • The case also included reference to prior assessments and local contextual factors, demonstrating significant factual consideration. Confidence: 75% Legal Significance: Important case with notable legal impact</t>
  </si>
  <si>
    <t>beff2d5f-922f-42e5-9aaa-8b70d7179f71</t>
  </si>
  <si>
    <t>Secretary of State for Communities and Local Government v West Berkshire District Council &amp; Anor [2016] EWCA Civ 441 (11 May 2016)</t>
  </si>
  <si>
    <t>beff2d5f-922f-42e5-9aaa-8b70d7179f71_case_analysis</t>
  </si>
  <si>
    <t>Overall case significance: high-impact guidance on policy articulation within statutory planning regime and on procedural/equality duties</t>
  </si>
  <si>
    <t>Case Analysis and Reasoning: Precedent Strength Assessment (9/10): • Court of Appeal (Civil Division) level provides strong persuasive authority for future planning policy challenges. • Addresses core tension between national policy and local development plans, clarifying that unqualified policy language can be lawful if not countermanding statute. • Reinforces flexibility in applying policy and weighing considerations under s38(6) and s70(2). • Cites and contrasts with established planning-law authorities (e.g., Alconbury, City of Edinburgh, Cala Homes 2) to articulate limits on fettering discretion and proper policy deployment. • High authority weight, but not a Supreme Court ruling, so not the ultimate binding precedent, though highly influential in planning administrative law. Confidence: 1% Complexity Score Assessment (8/10): • Multiple legal issues (Four grounds of challenge; statutory interpretation; procedural fairness; Equality Duty). • Dense statutory framework (PCPA 2004, TCPA 1990) and interplay with national planning policy and local plans. • Extensive doctrinal analysis (fettering discretion, unqualified policy, weight of policy vs plan, sedley consultation criteria, PSED). • Complex factual background (thresholds, rural exemptions, commuted sums, vacant building credit) and nuanced policy implications. • Protracted procedural history (High Court decision, two-day appeal hearing, subsequent judgment). Confidence: 1% Legal Significance: Highly significant case with strong precedential value</t>
  </si>
  <si>
    <t>Cala Homes 2 || Moseley || Bracking</t>
  </si>
  <si>
    <t>66a2adb7-bddd-44b0-98f8-695142e21b39</t>
  </si>
  <si>
    <t>66a2adb7-bddd-44b0-98f8-695142e21b39_case_analysis</t>
  </si>
  <si>
    <t>Overall analysis of the case's potential impact on future law.</t>
  </si>
  <si>
    <t>Case Analysis and Reasoning: Precedent Strength Assessment (8/10): • The case addresses a significant question in contract law regarding extrinsic evidence and the interpretation of undefined contractual terms. • It fills a gap in legal interpretational principles pertaining to the admissibility of negotiation evidence, a point not widely adjudicated. • The reasoning laid out may lead to future citation as it clarifies existing law regarding contract interpretation, especially in commercial contracts. Confidence: 85% Complexity Score Assessment (7/10): • There are multiple legal issues, including contract interpretation, the admissibility of extrinsic evidence, and factual disputes surrounding the contract's execution. • The case involves significant procedural history, including a prior decision by the High Court, which complicates the legal analysis. • The case requires nuanced understanding of contract law principles, especially regarding 'preferred supplier' contracts. Confidence: 80% Legal Significance: Important case with notable legal impact</t>
  </si>
  <si>
    <t>9d51b963-a1a2-4610-99cb-980f89f1b13f</t>
  </si>
  <si>
    <t>Tallington Lakes Ltd &amp; Ors v Larking Gowen [2014] EWCA Civ 959</t>
  </si>
  <si>
    <t>9d51b963-a1a2-4610-99cb-980f89f1b13f_case_analysis</t>
  </si>
  <si>
    <t>Evaluation of the case's implications for future legal situations and its significance in the context of contract law.</t>
  </si>
  <si>
    <t>Case Analysis and Reasoning: Precedent Strength Assessment (7/10): • This case involves a contractual interpretation that is not particularly novel but provides clarity on conditions in pricing agreements. • The ruling may serve as precedent due to its reaffirmation of basic contract law principles, specifically regarding the consequences of non-compliance with contractual conditions. Confidence: 80% Complexity Score Assessment (6/10): • The case involved multiple parties and issues, particularly concerning the conditions tied to pricing agreements. • However, the underlying legal questions were straightforward with established precedent. • The complexities arise from the mix of factual disputes regarding the adequacy of accounting records and the interpretation of contractual terms. • While there were significant legal arguments, the overall structure of the case followed conventional contractual disputes. Confidence: 75% Legal Significance: Moderately significant case with some precedential value</t>
  </si>
  <si>
    <t>2d2f67c0-33b8-47de-ade5-124c90fc1a95</t>
  </si>
  <si>
    <t>Chartbrook Ltd v Persimmon Homes Ltd &amp; Ors [2009] UKHL 38</t>
  </si>
  <si>
    <t>2d2f67c0-33b8-47de-ade5-124c90fc1a95_case_analysis</t>
  </si>
  <si>
    <t>Analyzes the implications of the case for contract law and interpretation of commercial agreements.</t>
  </si>
  <si>
    <t>Case Analysis and Reasoning: Precedent Strength Assessment (8/10): • The case was decided by the House of Lords, which adds significant weight to its precedent value as it is a highest court ruling. • The issues at stake involve well-established principles of contract law and interpretation, although there are elements of novelty regarding the specific application of those principles in this context. • The ruling may impact future contracts and interpretations around pre-contractual negotiations, leading to potential citation in future cases. Confidence: 85% Complexity Score Assessment (7/10): • The case involved complex commercial agreements that required a detailed understanding of both contractual terminology and the intentions of the parties involved during negotiations. • Multiple legal issues arose, including the ambiguity in contractual language and the application of established legal doctrines, which complicates the case. • However, the overall legal concepts were grounded in a traditional framework of contract interpretation, which delineated some clarity. Confidence: 80% Legal Significance: Important case with notable legal impact</t>
  </si>
  <si>
    <t>Investors Compensation Scheme Ltd v West Bromwich Building Society [1998] 1 WLR 896</t>
  </si>
  <si>
    <t>89eec5b0-6a53-4135-8ab9-17e062417bff</t>
  </si>
  <si>
    <t>Cornelius v Dubai Islamic Bank PJSC</t>
  </si>
  <si>
    <t>89eec5b0-6a53-4135-8ab9-17e062417bff_case_analysis</t>
  </si>
  <si>
    <t>Analyzes the implications of the case for future legal precedents and complexity levels.</t>
  </si>
  <si>
    <t>Case Analysis and Reasoning: Precedent Strength Assessment (6/10): • The case involves significant contractual interpretation within the context of commercial law, which is a common area of dispute, giving it reasonable precedent value. • While not novel in legal principles, the case delineates important procedural issues and emphasizes compliance with court orders. • This decision may not receive extensive citation in future cases due to its specific circumstances and lack of groundbreaking legal principles. Confidence: 75% Complexity Score Assessment (7/10): • The case involves multiple legal issues related to contractual interpretation, compliance with court orders, and procedural nuances, leading to higher complexity. • The absence of legal representation for one party and the procedural intricacies of the appeal add to the case's complexity. • However, it does not involve an exceptionally large number of parties or highly technical legal matters. Confidence: 80% Legal Significance: Moderately significant case with some precedential value</t>
  </si>
  <si>
    <t>5b14093d-7ccf-4e1d-b7d1-4d177b1f07f6</t>
  </si>
  <si>
    <t>African Minerals Ltd v Renaissance Capital Ltd [2015] EWCA Civ 448</t>
  </si>
  <si>
    <t>5b14093d-7ccf-4e1d-b7d1-4d177b1f07f6_case_analysis</t>
  </si>
  <si>
    <t>Critical analysis of the case's contributions to legal understanding and its implications for future cases.</t>
  </si>
  <si>
    <t>Case Analysis and Reasoning: Precedent Strength Assessment (7/10): • The case involved the interpretation of contractual language in a context relevant for commercial law, making it broadly applicable in similar future cases. • While the ruling provides important guidance on engagement agreements, its specificity limits broad applicability across different contract types. • The appellate court's reasoning may establish a precedent for similar contract-related disputes but is confined by its unique factual scenario. Confidence: 80% Complexity Score Assessment (6/10): • The case involved a moderately complex legal interpretation of contractual definitions and financial arrangements, which require a solid understanding of commercial law principles. • Factual complexities arose from multi-layered agreements and subsequent actions between different parties, including international considerations, while procedural aspects were relatively straightforward. • Both parties had extensive representation, indicating a level of sophistication in the legal dispute. Confidence: 75% Legal Significance: Moderately significant case with some precedential value</t>
  </si>
  <si>
    <t>43a869b0-cb33-4cec-96ac-72fc11b7bdd5</t>
  </si>
  <si>
    <t>PST Energy 7 Shipping LLC Product Shipping &amp; Trading S.A. v O.W. Bunker Malta Ltd &amp; Ors</t>
  </si>
  <si>
    <t>43a869b0-cb33-4cec-96ac-72fc11b7bdd5_case_analysis</t>
  </si>
  <si>
    <t>Analysis of the implications of the ruling for both parties and potential future cases.</t>
  </si>
  <si>
    <t>Case Analysis and Reasoning: Precedent Strength Assessment (7/10): • The case involves a court ruling on complex commercial law issues, specifically balancing contracts and property rights. • The appeals were heard in the Court of Appeal, which adds weight to its legal significance. • The judgments provide comprehensive reasoning regarding retention of title clauses that may influence future similar cases. Confidence: 85% Complexity Score Assessment (8/10): • The case involved multiple legal issues pertaining to commercial transactions and statutory interpretation. • There were complications relating to the nature of the contract and the implications of the retention of title clause. • Given the intricacies of the supply chain and the interplay of various parties in arbitration proceedings, the complexity was heightened. Confidence: 80% Legal Significance: Important case with notable legal impact</t>
  </si>
  <si>
    <t>2fdfa3b6-3d1a-4644-b9e6-2f97f850a87f</t>
  </si>
  <si>
    <t>Valilas v Januzaj [2014] EWCA Civ 436</t>
  </si>
  <si>
    <t>2fdfa3b6-3d1a-4644-b9e6-2f97f850a87f_case_analysis</t>
  </si>
  <si>
    <t>Discussion on the overall significance of the case within contract law and the factors influencing its precedent value.</t>
  </si>
  <si>
    <t>Case Analysis and Reasoning: Precedent Strength Assessment (7/10): • The case involves established principles of contract law, particularly relating to repudiation and notice. • The judgment builds on prior case law but presents nuances regarding oral agreements and implied terms in contracts. • While it stands as precedential due to its assessment of non-payment consequences, the complexity of the nature of the contract is not universally applicable. Confidence: 85% Complexity Score Assessment (6/10): • The case involves multiple legal issues regarding contract interpretation and the relationship between parties. • Factual disputes about payment and obligations made the case intricate; however, the core issues were manageable, resulting in a moderate complexity assessment. • The intricacies of oral agreements and contractual nuance elevate its complexity beyond typical cases. Confidence: 80% Legal Significance: Moderately significant case with some precedential value</t>
  </si>
  <si>
    <t>9adfee0f-c2c7-4caa-83ed-720a548a4aab</t>
  </si>
  <si>
    <t>Barton &amp; Ors v Morris &amp; Anor [2023] UKSC 3</t>
  </si>
  <si>
    <t>9adfee0f-c2c7-4caa-83ed-720a548a4aab_case_analysis</t>
  </si>
  <si>
    <t>An evaluation of the significance of the case as a legal precedent and its complexity.</t>
  </si>
  <si>
    <t>Case Analysis and Reasoning: Precedent Strength Assessment (8/10): • The case addresses significant issues of contract and unjust enrichment, which are fundamental in commercial law. • It reinforces the applicability of unjust enrichment principles in scenarios devoid of clear contractual terms. • The ruling provides clarity on implied terms in contracts and potential for future citation in similar disputes. Confidence: 85% Complexity Score Assessment (7/10): • The case involves multiple legal issues, including elements of contract interpretation, unjust enrichment, and the complexities of proving oral agreements. • Procedural aspects included a significant appeal trajectory from the High Court through to the Supreme Court, indicating a layered dispute. • Factual disputes were prevalent regarding the content and intentions behind communications between the parties. Confidence: 80% Legal Significance: Important case with notable legal impact</t>
  </si>
  <si>
    <t>e49dc831-4142-4181-82ed-1ebfb1029b4a</t>
  </si>
  <si>
    <t>Thorney Park Golf Ltd (t/a Laleham Golf Club) v Myers Catering Ltd [2015] EWCA Civ 19</t>
  </si>
  <si>
    <t>e49dc831-4142-4181-82ed-1ebfb1029b4a_case_analysis</t>
  </si>
  <si>
    <t>Evaluation of the case's significance in legal precedent and its complexity.</t>
  </si>
  <si>
    <t>Case Analysis and Reasoning: Precedent Strength Assessment (7/10): • Court of Appeal decision enhances understanding of contract law, particularly in commercial agreements. • It illustrates the importance of clear contractual language and parties' intentions in contractual disputes. • The decision builds on existing jurisprudence regarding fixed terms and notice provisions, though the court's interpretation could be seen as relatively straightforward.”], • • It is not higher due to the nature of the agreement being less novel and the outcome addressing established legal principles rather than introducing new law. Confidence: 85% Complexity Score Assessment (7/10): • The case involves detailed contractual interpretation, calling for expertise in both commercial practices and legal principles. • There were multiple background agreements leading up to the dispute, complicating the interpretation as each party had differing views on prior agreements and terms. Confidence: 80% Legal Significance: Important case with notable legal impact</t>
  </si>
  <si>
    <t>Jani-King (GB) Ltd v Pula Enterprise Ltd || Rainy Sky SA v Kookmin Bank</t>
  </si>
  <si>
    <t>d97e315a-5f7e-4079-b086-d9d366c5bdaf</t>
  </si>
  <si>
    <t>Hc12f01351 v Blueco Limited [2014] EWCA Civ 154</t>
  </si>
  <si>
    <t>d97e315a-5f7e-4079-b086-d9d366c5bdaf_case_analysis</t>
  </si>
  <si>
    <t>Discussion of the case’s complexity and its potential as a legal precedent for future cases.</t>
  </si>
  <si>
    <t>Case Analysis and Reasoning: Precedent Strength Assessment (8/10): • The court's ruling stems from a significant appellate confirmation of contract law principles regarding lease interpretation, reinforcing the clarity that parties must maintain in drafting and executing commercial agreements. • However, while the interpretation aligned with existing legal precedents, the rulings primarily serve to clarify existing interpretations rather than establish new legal principles, which slightly lowers the precedent strength. Confidence: 85% Complexity Score Assessment (7/10): • The case involves multiple complex legal issues, including intricate property and contract law dynamics, and significant financial implications in the region of £120 million, leading to complex bargaining outcomes. • Moreover, the court's engagement with the interpretation of contractual terms required substantial legal knowledge and comprehension of the financial structures involved, contributing to the overall complexity of the case. Confidence: 80% Legal Significance: Important case with notable legal impact</t>
  </si>
  <si>
    <t>7dc17ac1-9784-4bba-acf1-d5dd2feaf557</t>
  </si>
  <si>
    <t>Grizzy Business Ltd v Stena Drilling [2015] EWCA Civ 867</t>
  </si>
  <si>
    <t>7dc17ac1-9784-4bba-acf1-d5dd2feaf557_case_analysis</t>
  </si>
  <si>
    <t>Assessment of the case's overall significance in legal context.</t>
  </si>
  <si>
    <t>Case Analysis and Reasoning: Precedent Strength Assessment (7/10): • The case involves a higher court evaluating the findings of a lower court, which signifies precedence. • Legal issues are moderately novel, specifically around oral agreements in a commercial context, making the ruling potentially informative for similar cases. • However, the narrow focus on particular facts may limit broader applicability, reducing the strength of precedent compared to cases with wider legal principles. • Additionally, whilst the reasoning was thorough, there were strong debates around the interpretations offered by witnesses, indicating variability in how similar cases might be adjudicated. Confidence: 80% Complexity Score Assessment (8/10): • Multiple legal issues discussed, specifically regarding contract formation, witness credibility, and the recourse available to parties. • Factors involved include procedural complexity with appeals and disputes over evidential interpretations. • Procedural matters were intricate, considering the dual parties involved and the contestation of witness credibility. • This complexity is reinforced by the high monetary stakes and the impact on commercial practice, often requiring specialized legal understanding. Confidence: 75% Legal Significance: Important case with notable legal impact</t>
  </si>
  <si>
    <t>e61cabb4-ab09-4abb-81fb-83596fb9943d</t>
  </si>
  <si>
    <t>Northrop Grumman Missions Systems Europe Ltd v BAE Systems (AL Diriyah C4I) Ltd</t>
  </si>
  <si>
    <t>e61cabb4-ab09-4abb-81fb-83596fb9943d_case_analysis</t>
  </si>
  <si>
    <t>Analyzes the case's potential impact on future legal interpretations and similar contractual disputes.</t>
  </si>
  <si>
    <t>Case Analysis and Reasoning: Precedent Strength Assessment (8/10): • The court's ruling was based on solid contractual interpretation principles that are well-established and likely to influence future cases involving similar contractual structures. • The case deals with the incorporation of terms from enabling agreements, a frequently contested issue in commercial contracts, highlighting its relevance. • The overseeing Court of Appeal's review points to a broad applicability of principles discussed. Confidence: 85% Complexity Score Assessment (7/10): • The case involves multiple legal principles around contract interpretation and the relationship between contracts, showing significant procedural layers. • The presence of multiple clauses requiring detailed analysis adds complexity, though the core issue remained straightforward. • The specificity of the software licensing context necessitated a degree of technical understanding, but the fundamental principle was reasonably accessible. Confidence: 80% Legal Significance: Important case with notable legal impact</t>
  </si>
  <si>
    <t>Skips A/S Nordheim v Syrian Petroleum Co Limited || Aughton Limited v MF Kent Services Limited</t>
  </si>
  <si>
    <t>62d8dc74-7bd4-4c38-99cd-c68108c1d17e</t>
  </si>
  <si>
    <t>Novoship (UK) Ltd &amp; Ors v Mikhaylyuk &amp; Ors [2016] EWCA Civ 236</t>
  </si>
  <si>
    <t>62d8dc74-7bd4-4c38-99cd-c68108c1d17e_case_analysis</t>
  </si>
  <si>
    <t>Case analysis on precedent value and complexity; significance of interpreting settlement release clauses and potential guidance for future disputes.</t>
  </si>
  <si>
    <t>Case Analysis and Reasoning: Precedent Strength Assessment (6/10): • The decision rests on the appellate court’s discretion to allow further argument on a contract interpretation issue rather than a definitive appellate ruling on the contract’s effect. • The issue involves a potentially novel or at least unsettled interpretation of release clauses in settlement agreements, which could be cited in future disputes but is limited by the procedural posture (permitting appeal rather than resolving merits). • Authority is high given Court of Appeal status, but the lack of a substantive final ruling reduces broad precedential impact. Confidence: 60% Complexity Score Assessment (7/10): • Multiple layers of contractual interpretation (release clause, instalment structure, and discharge mechanics). • Ambiguity around whether payment should trigger discharge or merely suspend obligations, and the potential need for textual refinement (e.g., adding “when due”). • Procedural history involves renewal of permission to appeal rather than a final merits decision, adding a level of procedural complexity. • Number of parties is moderate; the case involves a commercial settlement among corporate actors with cross-references to procedural posture. Confidence: 70% Legal Significance: Moderately significant case with some precedential value</t>
  </si>
  <si>
    <t>2580e2fd-b358-469f-b94a-a83b12a8ae19</t>
  </si>
  <si>
    <t>Shafi v Rutherford [2014] EWCA Civ 1186: Expert Determination in Share Sale Dispute</t>
  </si>
  <si>
    <t>2580e2fd-b358-469f-b94a-a83b12a8ae19_case_analysis</t>
  </si>
  <si>
    <t>Critical assessment of the case's impact on legal precedents and its implications for future cases involving contract law and expert determinations.</t>
  </si>
  <si>
    <t>Case Analysis and Reasoning: Precedent Strength Assessment (7/10): • The ruling addresses significant contractual interpretation issues and expert determination applicability. • Court of Appeal decisions carry persuasive authority in future cases regarding similar contractual matters. • The case presents issues of sufficient complexity and nuance to potentially influence future interpretations, showing a broad application. Confidence: 80% Complexity Score Assessment (6/10): • The case involves multiple legal issues centered on the contractual obligations that require nuanced understanding of accounting principles and their application in law. • Disputes regarding definitions and classifications of financial leases versus operating leases complicate the case further. • There are a limited number of parties involved, but the intricate details of contractual language and accounting compliance contribute to overall complexity. Confidence: 75% Legal Significance: Moderately significant case with some precedential value</t>
  </si>
  <si>
    <t>65eb2911-0cb6-4cff-8074-0f7b169c2e75</t>
  </si>
  <si>
    <t>Seakom Ltd &amp; Anor v Knowledgepool Group Ltd</t>
  </si>
  <si>
    <t>65eb2911-0cb6-4cff-8074-0f7b169c2e75_case_analysis</t>
  </si>
  <si>
    <t>Analysis of the case's significance in terms of legal precedent and complexity.</t>
  </si>
  <si>
    <t>Case Analysis and Reasoning: Precedent Strength Assessment (8/10): • The case provides clarity on the interpretation of commission agreements in commercial contracts, offering valuable guidance for similar disputes. • The reasoning employed by the court is robust and thorough, enhancing the case's potential for citation in future cases. • The hierarchical level of the court adds weight, although it is not a groundbreaking decision. Confidence: 90% Complexity Score Assessment (7/10): • There are multiple legal issues including substantive contractual interpretation and procedural matters such as security for costs applications. • The presence of financial intricacies in evaluating the Appellants' ability to pay adds layers to the case complexity, though the core issues are relatively straightforward. • The case involves several complex financial assessments and interpretations that require expertise in both contract law and civil procedure. Confidence: 85% Legal Significance: Important case with notable legal impact</t>
  </si>
  <si>
    <t>Keary Developments Ltd v Tarmac Construction Ltd || Al Koronky v Time-Life Entertainment Group Ltd</t>
  </si>
  <si>
    <t>f691a5fb-3356-4b3d-8d02-23ef0631e1f6</t>
  </si>
  <si>
    <t>Hughes v Pendragon Sabre Ltd t/a Porsche Centre Bolton [2016] EWCA Civ 18</t>
  </si>
  <si>
    <t>f691a5fb-3356-4b3d-8d02-23ef0631e1f6_case_analysis</t>
  </si>
  <si>
    <t>Evaluates the case's legal significance, its complexity, and the strength of its precedent.</t>
  </si>
  <si>
    <t>Case Analysis and Reasoning: Precedent Strength Assessment (9/10): • Court of Appeal level provides strong binding authority in English law. • Addresses difficult issues of contract formation for future goods and collateral contracts in a high-value, unique product context. • Reasoning demonstrates accommodation of contingent price/ specification via statute (Sale of Goods Act 1979) and case law (e.g., Bear Stearns, Wake v Renault) to support a binding contract despite lack of a fixed price. • Determines that a collateral contract can modify or override terms of a standard contract in appropriate circumstances. • Potentially high future citation value due to clarified approach to 'agreement to sell' versus 'collateral contracts' in sale of goods. Confidence: 78% Complexity Score Assessment (8/10): • Multiple overlapping issues: contract formation for future goods, collateral contract effect, varying the sequencing clause, damages calculation under non-market conditions. • Technical statutory references (Sale of Goods Act sections 5, 8, 29, 51) and numerous common law authorities. • Factual complexity: scarcity of model, market illiquidity, and the interplay between allocations and assurances in a dealer network. • Combination of contract law, damages lore, and evidentiary considerations (expert reports, market comparisons). • Counterarguments: possible alternative readings (no contract, only an agreement to agree, or purely a collateral contract) were carefully addressed, but the court found a contract and a collateral agreement. Confidence: 80% Legal Significance: Highly significant case with strong precedential value</t>
  </si>
  <si>
    <t>Wake v Renault || Bear Stearns v Forum Global Equity || Dhanani v Crasnianski</t>
  </si>
  <si>
    <t>1e1f2245-dd9c-4a5a-b4a0-98c9113d4865</t>
  </si>
  <si>
    <t>OMV Supply and Trading AG v Kazmunaygaz Trading AG [2014] EWCA Civ 75</t>
  </si>
  <si>
    <t>1e1f2245-dd9c-4a5a-b4a0-98c9113d4865_case_analysis</t>
  </si>
  <si>
    <t>Analyzes the case's importance in the context of legal precedent and complexity factors involved.</t>
  </si>
  <si>
    <t>Case Analysis and Reasoning: Precedent Strength Assessment (7/10): • Court of Appeal's ruling provides clarity on the responsibilities imposed under c.i.f. contracts, especially regarding duties, which is applicable across international trade cases. • The ruling encapsulates significant principles of commercial contract law, offering potential for citation in future disputes involving similar contract language. • Novel issues concerning the treatment of customs duties under international sales law are addressed, making it valuable precedent. Confidence: 85% Complexity Score Assessment (7/10): • The case involves multiple parties and contracts which add layers of complexity in terms of contractual obligations and liabilities. • A significant number of legal issues have been raised, particularly in relation to the interpretation of specific contractual clauses and the implications of non-compliance in this context. • The factual complexity increased due to the international nature of the transaction and the varying interpretations of pertinent legal obligations. Confidence: 80% Legal Significance: Important case with notable legal impact</t>
  </si>
  <si>
    <t>43d4ac89-b448-44d9-9932-c5736983a48f</t>
  </si>
  <si>
    <t>Sharp Corp Ltd v Viterra BV [2023] EWCA Civ 7</t>
  </si>
  <si>
    <t>43d4ac89-b448-44d9-9932-c5736983a48f_case_analysis</t>
  </si>
  <si>
    <t>Analytical assessment of the case’s potential precedent value and complexity factors, including its impact on GAFTA arbitrations and English commercial courts.</t>
  </si>
  <si>
    <t>Case Analysis and Reasoning: Precedent Strength Assessment (7/10): • The Court of Appeal sits as a high-tier appellate authority in England and Wales, so its judgment on GAFTA arbitration has strong persuasive weight within English law and is likely to be cited in similar GAFTA-default disputes. • The issue involves a relatively technical area (GAFTA clause interpretation and international trade valuation), which increases its utility as precedent but may limit universal applicability to other contracts or jurisdictions. • NG: The court’s decision would clarify whether market value at discharge port or the alternative ‘theoretical cost’ method should be used, affecting numerous GAFTA-based trades; this breadth supports high precedent value if the court adopts a clear rule. • Quality of reasoning and the potential for wide citation by GAFTA arbitration tribunals and commercial courts enhance its authority, provided the Court presents a coherent test and rationale. • The lack of certainty from the excerpt about the final holding reduces perceived strength until the full judgment is reviewed. Confidence: 70% Complexity Score Assessment (7/10): • Single, narrowly-defined issue framed as a question of law under a specialized arbitration clause (GAFTA Default Clause (c)) • Involves understanding of contractual terms (free out, non-payment clause) and their interaction with damages, plus the valuation standard under a commercial contract for commodity trade • Incorporates cross-jurisdictional considerations (GAFTA arbitration, English court review, potential impact on Indian buyer-seller relationships) • Procedural history includes two GAFTA Awards, an appeal to the High Court (section 69), and an appeal to the Court of Appeal, with multiple hearing dates and counsel of record • Technical aspects of commodity trading, incoterms, and port-specific costs add to the factual and legal complexity Confidence: 75% Legal Significance: Important case with notable legal impact</t>
  </si>
  <si>
    <t>[2023] EWCA Civ 7 || GAFTA_defaults</t>
  </si>
  <si>
    <t>be5b4e91-38ef-4caa-ae4f-eb81c3f7b722</t>
  </si>
  <si>
    <t>Thevarajah v Riordan &amp; Ors [2015] EWCA Civ 41</t>
  </si>
  <si>
    <t>be5b4e91-38ef-4caa-ae4f-eb81c3f7b722_case_analysis</t>
  </si>
  <si>
    <t>Comprehensive analysis of the case's significance in establishing legal precedent and implications for similar future disputes.</t>
  </si>
  <si>
    <t>Case Analysis and Reasoning: Precedent Strength Assessment (8/10): • This ruling comes from a court at the appellate level, which increases its weight in terms of legal precedent. • The case encompasses contract law and involves issues likely to recur, concerning terms of business agreements and the expectations of liability. • The decision clarifies procedural standards in contracting and specific performance claims, making it highly relevant for future cases. Confidence: 90% Complexity Score Assessment (8/10): • The case involved multiple parties with different claims, underpinning a complicated transaction that included multiple assets and financial obligations. • There were extensive procedural histories, including appeals and sanctions, leading to broader issues concerning contract law and obligations. • The factual underpinnings were complex, as they involved interpretation of agreements that were not fully documented, requiring significant legal expertise to navigate. Confidence: 85% Legal Significance: Highly significant case with strong precedential value</t>
  </si>
  <si>
    <t>7326ea9d-e544-4864-8e4a-8eeae76e44fd</t>
  </si>
  <si>
    <t>Wood v Capita Insurance Services Ltd [2017] UKSC 24</t>
  </si>
  <si>
    <t>7326ea9d-e544-4864-8e4a-8eeae76e44fd_case_analysis</t>
  </si>
  <si>
    <t>Analysis of the case's impact on commercial law and precedent.</t>
  </si>
  <si>
    <t>Case Analysis and Reasoning: Precedent Strength Assessment (8/10): • The case sets a significant precedent in contractual interpretation, particularly regarding indemnity clauses, in a transactional context. • The court's ruling clarifies the scope of indemnity in relation to various forms of liability and potential future regulatory scrutiny, enhancing predictability in contractual agreements. Confidence: 85% Complexity Score Assessment (7/10): • The complexity arises from the detailed contractual language and competing statutory interpretations. • Addition of regulatory issues and interpretation of indemnities makes the case intricate, involving both factual and procedural nuances. • The case required consideration of multiple interpretations and legal precedents. Confidence: 80% Legal Significance: Important case with notable legal impact</t>
  </si>
  <si>
    <t>cmmxkcugu000304l7ace3awg9</t>
  </si>
  <si>
    <t>This case shows 76% similarity based on procedural history analysis.</t>
  </si>
  <si>
    <t>7f44d9a8-2459-4f6a-84fc-e475bb8f169a_procedural_history</t>
  </si>
  <si>
    <t>Procedural timeline and procedural posture of the case, including appellate grounds and judges.</t>
  </si>
  <si>
    <t>Procedural History: Court: England and Wales Court of Appeal (Civil Division) Lower Court: High Court of Justice Planning Court Judges: Lord Justice Lewison, Lord Justice Phillips, Lord Justice Lewis Case Number: CA-2023-000071 Last Hearing Date: 16 May 2023 Duration: 0 days</t>
  </si>
  <si>
    <t>[2022] EWHC 3209 (Admin)</t>
  </si>
  <si>
    <t>3fae9752-b3e5-4a98-a0e5-5ade79ee3e8d</t>
  </si>
  <si>
    <t>East Quayside 12 LLP v The Council of the City of Newcastle upon Tyne [2023] EWCA Civ 359</t>
  </si>
  <si>
    <t>3fae9752-b3e5-4a98-a0e5-5ade79ee3e8d_procedural_history</t>
  </si>
  <si>
    <t>Procedural steps from the initial planning decision through High Court challenge to the Court of Appeal, including the inquiry and key dates.</t>
  </si>
  <si>
    <t>Procedural History: Court: England and Wales Court of Appeal (Civil Division) Lower Court: High Court of Justice, King's Bench Division, Planning Court Judges: Sir Keith Lindblom (Senior President of Tribunals), Lord Justice Lewis, Lady Justice Elisabeth Laing Case Number: CA-2022-002218 Last Hearing Date: 31 March 2023 Duration: 7 days</t>
  </si>
  <si>
    <t>a1b35831-8ed8-43ad-bc7e-488100344627</t>
  </si>
  <si>
    <t>Corbett v Cornwall Council [2022] EWCA Civ 1069</t>
  </si>
  <si>
    <t>a1b35831-8ed8-43ad-bc7e-488100344627_procedural_history</t>
  </si>
  <si>
    <t>Procedural posture: appeal from the High Court (Planning Court) with a hearing on 22 June 2022; decision handed down by the Court of Appeal on 27 July 2022 before a panel including Sir Keith Lindblom, Moylan and Stuart-Smith; judgment circulated by email.</t>
  </si>
  <si>
    <t>Procedural History: Court: England and Wales Court of Appeal (Civil Division) Lower Court: High Court of Justice, Queen's Bench Division, Planning Court Judges: Sir Keith Lindblom, Lord Justice Moylan, Lord Justice Stuart-Smith Case Number: CA-2021-001629 Last Hearing Date: 2022-07-27 Duration: 35 days</t>
  </si>
  <si>
    <t>aa66d157-e659-4b1f-9c8a-39b98d92a107</t>
  </si>
  <si>
    <t>CAB Housing Limited v Secretary of State for Levelling Up, Housing and Communities &amp; Anor [2023] EWCA Civ 194</t>
  </si>
  <si>
    <t>aa66d157-e659-4b1f-9c8a-39b98d92a107_procedural_history</t>
  </si>
  <si>
    <t>Procedural trajectory from High Court to Court of Appeal with key dates and participants.</t>
  </si>
  <si>
    <t>Procedural History: Court: England and Wales Court of Appeal (Civil Division) Lower Court: High Court of Justice King’s Bench Division Planning Court Judges: Sir Keith Lindblom, Lady Justice Andrews, Lady Justice Whipple Case Number: CA-2022-000552 Last Hearing Date: 23 February 2023 Duration: 0 days</t>
  </si>
  <si>
    <t>[2022] EWHC 208 Admin</t>
  </si>
  <si>
    <t>This case shows 75% similarity based on procedural history analysis.</t>
  </si>
  <si>
    <t>90743ee0-c75d-4140-93eb-89a3938f7523</t>
  </si>
  <si>
    <t>Devine v Secretary of State for Levelling Up, Housing and Communities [2023] EWCA Civ 601</t>
  </si>
  <si>
    <t>90743ee0-c75d-4140-93eb-89a3938f7523_procedural_history</t>
  </si>
  <si>
    <t>Chronology of proceedings from enforcement notice through the appellate route and key judicial decisions.</t>
  </si>
  <si>
    <t>Procedural History: Court: England and Wales Court of Appeal (Civil Division) Lower Court: High Court of Justice, King's Bench Division, Planning Court [2022] EWHC 2031 (Admin) Judges: Sir Keith Lindblom, Senior President of Tribunals, Lord Justice Singh, Lady Justice Elisabeth Laing Case Number: CA-2022-001599 Last Hearing Date: 25 May 2023 Duration: 1500 days</t>
  </si>
  <si>
    <t>[2022] EWHC 2031 (Admin)</t>
  </si>
  <si>
    <t>3bdf2d7a-d886-4bb3-ba30-9c4b472a4f7c</t>
  </si>
  <si>
    <t>Gardiner v Hertsmere Borough Council &amp; Anor [2022] EWCA Civ 1162</t>
  </si>
  <si>
    <t>3bdf2d7a-d886-4bb3-ba30-9c4b472a4f7c_procedural_history</t>
  </si>
  <si>
    <t>Procedural path: Planning Court decision by Mrs Justice Thornton (High Court) appealed to Court of Appeal; hearing date and judgment date noted.</t>
  </si>
  <si>
    <t>Procedural History: Court: England and Wales Court of Appeal (Civil Division) Lower Court: High Court of Justice, Queen's Bench Division (Planning Court) Judges: Sir Keith Lindblom, Lord Justice Edis, Lord Justice William Davis Case Number: CA-2021-001796 Last Hearing Date: 16 August 2022 Duration: 1 days</t>
  </si>
  <si>
    <t>1f4a0cfb-5359-49da-93e8-89cbb817ebca</t>
  </si>
  <si>
    <t>Whitley Parish Council, R (On the Application Of) v North Yorkshire County Council &amp; Anor [2023] EWCA Civ 92</t>
  </si>
  <si>
    <t>1f4a0cfb-5359-49da-93e8-89cbb817ebca_procedural_history</t>
  </si>
  <si>
    <t>Procedural history: appeal against a High Court JR dismissal; appeal lodged with permission granted; key dates and judges involved.</t>
  </si>
  <si>
    <t>Procedural History: Court: England and Wales Court of Appeal (Civil Division) Lower Court: High Court of Justice, King's Bench Division, Planning Court Judges: Sir Keith Lindblom, Lord Justice Dingemans, Lord Justice Edis Case Number: CA-2022-000329 Last Hearing Date: 03/02/2023 Duration: 70 days</t>
  </si>
  <si>
    <t>c370bf30-4fed-4187-beea-6476e69f964f</t>
  </si>
  <si>
    <t>Braithwaite and Melton Meadows Properties Ltd, R (On the Application Of) v East Suffolk Council [2022] EWCA Civ 1716</t>
  </si>
  <si>
    <t>c370bf30-4fed-4187-beea-6476e69f964f_procedural_history</t>
  </si>
  <si>
    <t>Procedural trajectory: High Court decision (Lang J) on 28 March 2022; permission to appeal granted; hearing on 8 November 2022; judgment delivered 21 December 2022; panel of three judges.</t>
  </si>
  <si>
    <t>Procedural History: Court: England and Wales Court of Appeal (Civil Division) Lower Court: High Court of Justice, King's Bench Division, Planning Court Judges: Sir Keith Lindblom (Senior President of Tribunals), Lord Justice Singh, Lord Justice Males Case Number: CA-2022-000622 Last Hearing Date: 21 December 2022 Duration: 0 days</t>
  </si>
  <si>
    <t>4c3b8da7-6c82-4056-ab98-dea339f7af1d_procedural_history</t>
  </si>
  <si>
    <t>Procedural trajectory from High Court judgment to Court of Appeal decision, including the panel and hearing details.</t>
  </si>
  <si>
    <t>Procedural History: Court: England and Wales Court of Appeal (Civil Division) Lower Court: High Court of Justice, King’s Bench Division, Planning Court; [2022] EWHC 16 (Admin) Judges: Lady Justice Andrews, Lady Justice Elisabeth Laing, Lord Justice Warby Case Number: CA-2022-000371 Last Hearing Date: 07/02/2023 Duration: 56 days</t>
  </si>
  <si>
    <t>1fa1d79c-da17-4ba8-837f-04da48af3a19</t>
  </si>
  <si>
    <t>JZ v Secretary of State for the Home Department &amp; Ors [2023] EWCA Civ 178</t>
  </si>
  <si>
    <t>1fa1d79c-da17-4ba8-837f-04da48af3a19_procedural_history</t>
  </si>
  <si>
    <t>Timeline of proceedings, including the two applications, date of hearing, and final judgment.</t>
  </si>
  <si>
    <t>Procedural History: Court: England and Wales Court of Appeal (Civil Division) Lower Court: Administrative Court and Planning Court (High Court) Judges: Lord Justice Underhill, Lady Justice Simler, Lord Justice Warby Case Number: CA-2022-001790 Last Hearing Date: 22 February 2023 Duration: 1 days</t>
  </si>
  <si>
    <t>[2022] EWHC 2156 (Admin) || [2023] EWCA Civ 178</t>
  </si>
  <si>
    <t>1d957476-2c0d-4578-8a43-679ec600e382_procedural_history</t>
  </si>
  <si>
    <t>Procedural path: from the 2021 High Court dismissal of Wyatt’s judicial review to the Court of Appeal's permission to appeal on four grounds in 2022; hearings held on 5-6 April 2022; judgment released 15 July 2022.</t>
  </si>
  <si>
    <t>Procedural History: Court: England and Wales Court of Appeal (Civil Division) Lower Court: High Court of Justice Queen's Bench Division (Planning Court) Judges: Sir Keith Lindblom, Lord Justice Singh, Lord Justice Males Case Number: CA-2021-000658 Last Hearing Date: 15 July 2022 Duration: 0 days</t>
  </si>
  <si>
    <t>d8078437-185a-46df-8b83-bd5240184911</t>
  </si>
  <si>
    <t>MH (Eritrea) v Secretary of State for the Home Department (Rev1), [2022] EWCA Civ 1296</t>
  </si>
  <si>
    <t>d8078437-185a-46df-8b83-bd5240184911_procedural_history</t>
  </si>
  <si>
    <t>Procedural history: appeal from the High Court Administrative and Planning Court; leave granted by Popplewell LJ; hearing on 20 July 2022; judgment delivered 10 October 2022.</t>
  </si>
  <si>
    <t>Procedural History: Court: England and Wales Court of Appeal (Civil Division) Lower Court: High Court of Justice Administrative and Planning Court Judges: Lord Justice Baker, Lady Justice Elisabeth Laing, Lady Justice Whipple Case Number: CA-2020-000294 and CA-2021-000082 Last Hearing Date: 2022-10-10 Duration: 0 days</t>
  </si>
  <si>
    <t>This case shows 74% similarity based on procedural history analysis.</t>
  </si>
  <si>
    <t>671c3057-8376-4da1-82b8-7a83b79c33d1</t>
  </si>
  <si>
    <t>Kinnersley, R (On the Application Of) v Maidstone Borough Council [2023] EWCA Civ 172</t>
  </si>
  <si>
    <t>671c3057-8376-4da1-82b8-7a83b79c33d1_procedural_history</t>
  </si>
  <si>
    <t>Procedural trajectory: High Court challenge, CA permission on two grounds, formal proceedings and hearing dates noted in the text.</t>
  </si>
  <si>
    <t>Procedural History: Court: England and Wales Court of Appeal (Civil Division) Lower Court: High Court of Justice, Queen's Bench Division, Administrative Court, Planning Court; HHJ Walden-Smith; CO/836/2021; [2022] EWHC 1825 (Admin) Judges: Lord Justice Bean, Lord Justice Moylan, Lord Justice Lewis Case Number: C1/2022/001490 Last Hearing Date: 22 February 2023 Duration: 3 days</t>
  </si>
  <si>
    <t>This case shows 73% similarity based on procedural history analysis.</t>
  </si>
  <si>
    <t>3ff34419-ffbc-40f9-a087-a1cb1371d0e1</t>
  </si>
  <si>
    <t>Vicente &amp; Anor v Secretary of State for Communities and Local Government &amp; Anor [2014] EWCA Civ 1555</t>
  </si>
  <si>
    <t>3ff34419-ffbc-40f9-a087-a1cb1371d0e1_legal_classification</t>
  </si>
  <si>
    <t>Case classification focusing on legal areas involved in the appeal process and outcomes.</t>
  </si>
  <si>
    <t>Legal Classification: Primary Category: Administrative Law Legal Areas: Planning Law, Administrative Law Jurisdiction: England and Wales Court Level: Appellate Legal Issues: Procedural unfairness regarding notification of hearings. Whether residents had a reasonable opportunity to participate. Impact of planning policy on decision-making Keywords: procedural fairness, planning permission, inspector's decision, Town and Country Planning Act, appeal process</t>
  </si>
  <si>
    <t>cmmxkd3iz000904l7nk7i2nvv</t>
  </si>
  <si>
    <t>cmmxke1p1000f04l7zevv9jfz</t>
  </si>
  <si>
    <t>cmmxkf3xl000l04l7ld062u5d</t>
  </si>
  <si>
    <t>cmmxkffsr000r04l7pl679bka</t>
  </si>
  <si>
    <t>cmmxkiwpv000j04jfwcq5xfkd</t>
  </si>
  <si>
    <t>This case shows 76% similarity based on legal classification analysis.</t>
  </si>
  <si>
    <t>7f550baa-4c5b-40df-b47f-62be212502d8</t>
  </si>
  <si>
    <t>Abbasi &amp; Anor v Newcastle Upon Tyne Hospitals NHS Foundation Trust [2023] EWCA Civ 331</t>
  </si>
  <si>
    <t>7f550baa-4c5b-40df-b47f-62be212502d8_citations_precedents</t>
  </si>
  <si>
    <t>Cited authorities underpinning the balancing approach and anonymisation jurisprudence.</t>
  </si>
  <si>
    <t>Citations and Authorities: Neutral Citations: [2023] EWCA Civ 331, [2023] WLR(D) 166 Law Reports: WLR(D) 166 Referenced Cases: Campbell v. MGN Ltd [2004] UKHL 22, Re S (A Child) [2004] UKHL 3, In re BBC [2008] UKHL 35; BBC v Guardian News and Media [2010] UKSC 1, Guardian News and Media Ltd v. City of London Police? (as context) [2010] UKSC 1, Von Hannover v. Germany (2005) 40 EHRR 1, Petrina v. Romania (App. No. 78060/01) (unreported), Khuja v. Times Newspapers Ltd [2017] UKSC 49, Brearley v. Higgins &amp; Sons [2021] EWHC 1342 (Ch), Tenke Fungurme Mining SA v. Katanga Contracting Services SAS [2021] EWHC 3301 (Comm), Xanthopoulos v. Rakshina [2022] EWFC 30 Citation Count: 10</t>
  </si>
  <si>
    <t>Campbell v MGN Ltd || Re S (A Child) || In re BBC || Guardian News &amp; Media || Khuja v Times Newspapers Ltd || Brearley v Higgins || Tenke Fungurme Mining || Petrina v Romania || Von Hannover v Germany</t>
  </si>
  <si>
    <t>79ac9104-d023-4589-82c4-577d1cfc4c14</t>
  </si>
  <si>
    <t>Gray v Botwright [2014] EWCA Civ 1201</t>
  </si>
  <si>
    <t>79ac9104-d023-4589-82c4-577d1cfc4c14_legal_classification</t>
  </si>
  <si>
    <t>Legal classification discussing the applicable law areas involved in the case.</t>
  </si>
  <si>
    <t>Legal Classification: Primary Category: Tort Legal Areas: Negligence, Personal Injury, Traffic Law Jurisdiction: England and Wales Court Level: Appellate Legal Issues: Was the defendant's breach of duty causative of the accident?. Did the coincidence of location fallacy apply in this case?. How should liability be apportioned between both parties? Keywords: negligence, road traffic accident, duty of care, coincidence of location fallacy, liability, judicial damages</t>
  </si>
  <si>
    <t>56d8134a-2d5b-4486-9939-e5639c676c98</t>
  </si>
  <si>
    <t>Levi &amp; Anor v Bates &amp; Ors</t>
  </si>
  <si>
    <t>56d8134a-2d5b-4486-9939-e5639c676c98_citations_precedents</t>
  </si>
  <si>
    <t>Cites significant cases and legal principles that influenced the decision of this case.</t>
  </si>
  <si>
    <t>Citations and Authorities: Neutral Citations: [2015] EMLR 22, [2015] WLR(D) 119, [2015] EWCA Civ 206, [2015] 3 WLR 769, [2016] QB 91, [2015] 2 Cr App R 19, [2016] 1 All ER 625 Law Reports: Referenced Cases: Thomas v News Group Newspapers Limited [2001] EWCA Civ 1233, Dowson v Chief Constable of Northumbria Police [2010] EWHC 2612 (QB), Majrowski v Guy's and St. Thomas's NHS Trust [2005] EWCA Civ 251, Trimingham v Associated Newspapers Ltd [2012] EWHC 1296 (QB) Citation Count: 4</t>
  </si>
  <si>
    <t>Thomas v News Group Newspapers Limited || Dowson v Chief Constable of Northumbria Police || Majrowski v Guy's and St. Thomas's NHS Trust</t>
  </si>
  <si>
    <t>0ce57914-b433-4ea0-85e1-6db19c8a9b39</t>
  </si>
  <si>
    <t>Riley v Murray [2022] EWCA Civ 1146</t>
  </si>
  <si>
    <t>0ce57914-b433-4ea0-85e1-6db19c8a9b39_citations_precedents</t>
  </si>
  <si>
    <t>Authorities cited and relied upon to interpret defamation defences and statutory provisions.</t>
  </si>
  <si>
    <t>Citations and Authorities: Neutral Citations: [2022] EWCA Civ 1146, [2023] EMLR 3, [2022] WLR(D) 358 Law Reports: Referenced Cases: Koutsogiannis v The Random House Group Ltd [2019] EWHC 48 (QB), Slim v Daily Telegraph Ltd [1968] 2 QB 157, Begg v BBC [2016] EWHC 2688 (QB), Stocker v Stocker [2019] UKSC 17, Burki v SeventyThirty Ltd [2018] EWHC 2151 (QB), Joseph v Spiller [2010] UKSC 53, Spiller, London Artists Ltd v Littler Grade Organisation Ltd [1969] 2 QB 375, Tse Wai Chun v Cheng [2001] EMLR 31, Morgan v Associated Newspapers Ltd [2018] EWHC 3690 (QB), Yeo v Times Newspapers Ltd [2015] EWHC 3375 (QB), Serafin v Malkiewicz [2020] UKSC 23, Serafin v Malikiewicz [2019] EWCA Civ 852, Economou v de Freitas [2018] EWCA Civ 2591, R (Project for the Registration of Children as British Citizens) v Secretary of State for the Home Department [2022] UKSC 3, Bonnick v Morris [2002] UKPC 31, Banks v Cadwalladr [2022] EWHC 1417 (QB) Citation Count: 17</t>
  </si>
  <si>
    <t>Koutsogiannis v The Random House Group Ltd || Begg v BBC || Joseph v Spiller || Morgan v Associated Newspapers Ltd || Burki v SeventyThirty Ltd || Economou v de Freitas || Serafin v Malkiewicz || Serafin v Malikiewicz || Banks v Cadwalladr || Bonnick v Morris</t>
  </si>
  <si>
    <t>3054ae89-4fdf-4879-a9ae-0e7c8a19d90e</t>
  </si>
  <si>
    <t>Clifford v Millicom Services UK Ltd &amp; Ors [2023] EWCA Civ 50</t>
  </si>
  <si>
    <t>3054ae89-4fdf-4879-a9ae-0e7c8a19d90e_citations_precedents</t>
  </si>
  <si>
    <t>Cited authorities underpinning the balancing approach and confidentiality considerations in derogations and open justice.</t>
  </si>
  <si>
    <t>Citations and Authorities: Neutral Citations: [2023] EWCA Civ 50, [2023] WLR(D) 66, [2023] IRLR 295, [2023] ICR 663 Law Reports: Referenced Cases: R v Legal Aid Board, ex parte Kaim Todner [1999] QB 966, Moss v Information Commissioner [2020] EWCA Civ 580, Dring v Cape Intermediate Holdings Ltd [2019] UKSC 429, [2020] AC 629, ABC v Telegraph Group Ltd [2018] EWCA Civ 2329, [2019] EMLR 5, A v BBC [2020]? (Lord Reed) - referenced as 'A v BBC' in the judgment, HRH the Prince of Wales - case cited in the context of public interest in confidentiality, Libyan Investment Authority (No 2) Citation Count: 7</t>
  </si>
  <si>
    <t>R v Legal Aid Board, ex p Kaim Todner [1999] QB 966 || Moss v Information Commissioner [2020] EWCA Civ 580 || Dring v Cape Intermediate Holdings Ltd [2019] UKSC 429, [2020] AC 629 || ABC v Telegraph Group Ltd [2018] EWCA Civ 2329, [2019] EMLR 5 || A v BBC || HRH the Prince of Wales || Libyan Investment Authority (No 2)</t>
  </si>
  <si>
    <t>This case shows 67% similarity based on legal reasoning analysis.</t>
  </si>
  <si>
    <t>abc88167-90f9-4d9a-b6a0-8d4adaaf3242</t>
  </si>
  <si>
    <t>Vann &amp; Ors v Ocidental - Companhia De Seguros SA [2015] EWCA Civ 572</t>
  </si>
  <si>
    <t>abc88167-90f9-4d9a-b6a0-8d4adaaf3242_legal_classification</t>
  </si>
  <si>
    <t>The case falls under tort law, focusing on negligence concerning road traffic incidents.</t>
  </si>
  <si>
    <t>Legal Classification: Primary Category: Tort Legal Areas: Negligence, Road Traffic Accidents, Personal Injury Law Jurisdiction: England and Wales Court Level: Appellate Legal Issues: Whether there was contributory negligence by the claimants.. The applicability of Portuguese Highway Code to the case.. The speed of the defendant's vehicle and reasonable care standards. Keywords: negligence, contributory negligence, road traffic accident, Portugal, personal injuries</t>
  </si>
  <si>
    <t>ed70a00e-07d1-4bcc-ba19-9b0291138789</t>
  </si>
  <si>
    <t>Christian v South East London And Kent Bus Company [2014] EWCA Civ 944</t>
  </si>
  <si>
    <t>ed70a00e-07d1-4bcc-ba19-9b0291138789_legal_classification</t>
  </si>
  <si>
    <t>This chunk categorizes the legal nature of the case, emphasizing its relevance in tort law.</t>
  </si>
  <si>
    <t>Legal Classification: Primary Category: Tort Legal Areas: Personal Injury, Negligence Jurisdiction: England and Wales Court Level: Appellate Legal Issues: Was the bus driver negligent in his duty of care to the appellant?. Did the actions of the cutting vehicle constitute a legal causation for the injuries sustained?. Is contributory negligence a relevant issue? Keywords: personal injury, negligence, duty of care, liability, emergency braking</t>
  </si>
  <si>
    <t>de31f448-8314-4535-b841-75e23ab56a91</t>
  </si>
  <si>
    <t>Municipio de Mariana v BHP Group (UK) Ltd &amp; Anor [2022] EWCA Civ 951</t>
  </si>
  <si>
    <t>de31f448-8314-4535-b841-75e23ab56a91_citations_precedents</t>
  </si>
  <si>
    <t>Key authorities cited and their relevance to abuse of process, forum non conveniens, and related jurisdictional principles.</t>
  </si>
  <si>
    <t>Citations and Authorities: Neutral Citations: [2022] EWCA Civ 951, [2022] WLR 4691, [2023] 1 All ER 611, [2022] EWCA Civ 951, [2022] WLR(D) 300, [2022] 1 WLR 4691 Law Reports: Referenced Cases: Hunter v Chief Constable of the West Midlands Police [1981] UKHL 13, Her Majesty's Attorney General v Barker [2000] EWHC 453 (Admin), Johnson v Gore Wood &amp; Co [2000] UKHL 65, Wyeth v Commissioners of Customs and Excise [1999] EWHC 167 (Admin), Jameel (Yousef) v Dow Jones Co Inc [2005] EWCA Civ 75, Vedanta Resources plc v Foreign Trading Ltd; The Vedanta case, Owusu v Jackson [Case C-281/02], Spiliada Maritime Corp v Canaleux Ltd [1987] AC 460, Connelly v RTZ Corp [1998] AC 854, Kyrgyz Mobil Tel Ltd v AK Mobile, Privatbank v Kolomoisky [2019] EWCA Civ 1708, Mazur Meda Ltd v Mazur Media GmbH [2004] EWHC 1566 (Ch), OJSC VTB Bank v Parline Ltd [2013] EWHC 3538 (Comm) Citation Count: 13</t>
  </si>
  <si>
    <t>Hunter v Chief Constable of the West Midlands Police (1981) UKHL 13 || Her Majesty's Attorney General v Barker (Admin) [2000] EWHC 453 || Johnson v Gore Wood &amp; Co [2000] UKHL 65 || Wyeth v Commissioners of Customs and Excise [1999] EWHC 167 (Admin) || Jameel (Yousef) v Dow Jones Co Inc [2005] EWCA Civ 75 || Vedanta Resources plc v Foreign Trading Ltd || Owusu v Jackson [2005] QB 801 || Spiliada Maritime Corp v Canaleux Ltd [1987] AC 460 || Kyrgyz Mobil Tel Ltd v AK Mobile || Connelly v RTZ Corp [1998] AC 854 || Privatbank v Kolomoisky [2019] EWCA Civ 1708 || Mazur Meda Ltd v Mazur Media GmbH [2004] EWHC 1566 (Ch) || OJSC VTB Bank v Parline Ltd [2013] EWHC 3538 (Comm)</t>
  </si>
  <si>
    <t>77de6f74-22d2-4440-a98f-3e75819dc938</t>
  </si>
  <si>
    <t>Reed Elsevier UK Ltd (t/a LexisNexis) &amp; Anor v Bewry</t>
  </si>
  <si>
    <t>77de6f74-22d2-4440-a98f-3e75819dc938_citations_precedents</t>
  </si>
  <si>
    <t>A list of crucial legal authorities and cases referenced within the judgment and their implications for this case.</t>
  </si>
  <si>
    <t>Citations and Authorities: Neutral Citations: 2015] WLR 2565, [2014] EWCA Civ 1411, [2015] 1 WLR 2565, [2014] WLR(D) 474, [2015] EMLR 6 Law Reports: Referenced Cases: Duke of Brunswick v Harmer [1849] 14 QB 185, Steedman v BBC [2001] EWCA Civ 1534 ; [2002] EMLR 17, Jameel (Yousef) v Dow Jones &amp; Co Inc [2005] EWCA Civ 75, Halford v Brookes [1991] 1 WLR 428, Coad v Cornwall and Isles of Scilly Health Authority [1996] 1 WLR 189 Citation Count: 5</t>
  </si>
  <si>
    <t>Duke of Brunswick v Harmer [1849] 14 QB 185 || Steedman v BBC [2001] EWCA Civ 1534</t>
  </si>
  <si>
    <t>cmmxkldnz000p04jfxqte882b</t>
  </si>
  <si>
    <t>cmmxlo96z000304l1t60nqye9</t>
  </si>
  <si>
    <t>This case shows 76% similarity based on metadata summary analysis.</t>
  </si>
  <si>
    <t>f42492fd-8832-4f70-b315-d7597c15a5ef</t>
  </si>
  <si>
    <t>f42492fd-8832-4f70-b315-d7597c15a5ef_legal_classification</t>
  </si>
  <si>
    <t>Classification of the case under appropriate legal disciplines and areas of focus within planning law.</t>
  </si>
  <si>
    <t>Legal Classification: Primary Category: Administrative Law Legal Areas: Environmental Law, Planning Law, Judicial Review Jurisdiction: England and Wales Court Level: appellate Legal Issues: Whether the council's decision to grant planning permission was flawed due to errors in law.. The interpretation and application of the local development policy regarding need documentation.. Compliance with Green Belt policies and the requirements for development in areas of outstanding natural beauty. Keywords: Planning Permission, Judicial Review, Area of Outstanding Natural Beauty, Green Belt, Landscape Impact</t>
  </si>
  <si>
    <t>This case shows 74% similarity based on legal classification analysis.</t>
  </si>
  <si>
    <t>76cd3a35-03e9-4300-b6c9-27ac34a88301_legal_classification</t>
  </si>
  <si>
    <t>Classification of the legal nature of the case involving planning law and local government regulations.</t>
  </si>
  <si>
    <t>Legal Classification: Primary Category: Administrative Law Legal Areas: Planning Law, Administrative Law, Local Government Law Jurisdiction: England and Wales Court Level: Appellate Legal Issues: Did the inspector misinterpret the local planning policy CS9 regarding tall buildings?. Was the decision to grant planning permission consistent with statutory and local planning frameworks? Keywords: planning permission, town planning, development policy, local authority, administrative law</t>
  </si>
  <si>
    <t>8d10f639-afdd-4cee-893d-c3b4fbaefe7b</t>
  </si>
  <si>
    <t>Tesco Stores Ltd v Forest of Dean District Council [2015] EWCA Civ 800</t>
  </si>
  <si>
    <t>8d10f639-afdd-4cee-893d-c3b4fbaefe7b_legal_classification</t>
  </si>
  <si>
    <t>Classification within the administrative and planning law context, focusing on the appeal process and judicial review of public administrative actions.</t>
  </si>
  <si>
    <t>Legal Classification: Primary Category: Planning Law Legal Areas: Public Law, Administrative Law, Planning Law Jurisdiction: England and Wales Court Level: Appellate Legal Issues: Did the Forest of Dean District Council breach its statutory duty in granting planning permission?. Was the section 106 agreement compliant with the Community Infrastructure Levy Regulations 2010?. How should the balance between economic benefits and local impact be assessed in planning permission matters? Keywords: Judicial Review, Planning Permission, Section 106 Agreement, NPPF, Town Planning</t>
  </si>
  <si>
    <t>This case shows 72% similarity based on procedural history analysis.</t>
  </si>
  <si>
    <t>This case shows 75% similarity based on legal classification analysis.</t>
  </si>
  <si>
    <t>40629bba-06c5-4cf4-b83a-bc0badbc4848</t>
  </si>
  <si>
    <t>Dunnage v Randall &amp; UK Insurance Ltd [2015] EWCA Civ 673</t>
  </si>
  <si>
    <t>40629bba-06c5-4cf4-b83a-bc0badbc4848_citations_precedents</t>
  </si>
  <si>
    <t>Details of significant legal authorities referenced in the case.</t>
  </si>
  <si>
    <t>Citations and Authorities: Neutral Citations: [2015] EWCA Civ 673, [2016] 2 WLR 839, [2016] PIQR P1, [2016] QB 639, [2016] MHLR 117, [2015] WLR(D) 287 Law Reports: Referenced Cases: Caparo Industries plc v. Dickman [1990] 2 AC 605, Mansfield v. Weetabix [1998] 1 WLR 1263, Corr v IBC Vehicles Ltd [2008] 1 AC 884 Citation Count: 3</t>
  </si>
  <si>
    <t>Corr v IBC Vehicles Ltd || Caparo Industries plc v. Dickman</t>
  </si>
  <si>
    <t>6948a4df-0a45-4ddc-ae3d-8eafee44976a_citations_precedents</t>
  </si>
  <si>
    <t>Lists authorities cited in relation to causation, remoteness, and novus actus interveniens.</t>
  </si>
  <si>
    <t>Citations and Authorities: Neutral Citations: [2016] EWCA Civ 544 Law Reports: Referenced Cases: [1970] SC (HL) 20 (McKew v Holland &amp; Hannen &amp; Cubitts (Scotland) Ltd), [2009] EWCA Civ 1404 (Spencer v Wincanton Holdings Ltd), Hughes v Lord Advocate [1963] AC 837, Bourhill v Young [1943] AC 92, Lang v LTE [1959] 1 WLR 1168, Simmons v British Steel plc [2004] UKHL 20, Corr v IBC Vehicles Ltd [2008] UKHL 13, McKillen v Barclay Curle &amp; Co Ltd [1967] SLT 41, Page v Smith [1996] AC 155, Barings plc (in liquidation) v Coopers &amp; Lybrand (a firm) [2003] EWHC 1319 (Ch), Lambert v Lewis [1982] AC 225 Citation Count: 11</t>
  </si>
  <si>
    <t>McKew v Holland &amp; Hannen &amp; Cubitts (Scotland) Ltd || Spencer v Wincanton Holdings Ltd || Bourhill v Young || Lang v LTE || Corr v IBC Vehicles Ltd</t>
  </si>
  <si>
    <t>653f5240-7160-47e4-9009-db4466a660e2</t>
  </si>
  <si>
    <t>Liverpool Women's Hospital NHS Foundation Trust v Ronayne [2015] EWCA Civ 588</t>
  </si>
  <si>
    <t>653f5240-7160-47e4-9009-db4466a660e2_citations_precedents</t>
  </si>
  <si>
    <t>The Court referenced multiple precedents in determining the outcome, including relevant legal discussions around psychiatric injury.</t>
  </si>
  <si>
    <t>Citations and Authorities: Neutral Citations: [2015] EWCA Civ 588, [2015] WLR(D) 263 Law Reports: Referenced Cases: Alcock v Chief Constable of South Yorkshire Police [1992] 1 AC 310, White v Chief Constable of South Yorkshire Police [1999] 2 AC 455, McLoughlin v O'Brian [1983] AC 410, Taylor v Somerset Health Authority [1993] PIQR P262, Sion v Hampstead HA [1994] 5 Med LR 170-193-200, North Glamorgan NHS Trust v Walters [2003] PIQR P16, Galli-Atkinson v Seghal [2003] Lloyds Rep Med 285 Citation Count: 7</t>
  </si>
  <si>
    <t>McLoughlin v O'Brian [1983] AC 410 || North Glamorgan NHS Trust v Walters [2003] PIQR P16</t>
  </si>
  <si>
    <t>9adfee0f-c2c7-4caa-83ed-720a548a4aab_citations_precedents</t>
  </si>
  <si>
    <t>A list of cases and statutes that were cited in the judgment.</t>
  </si>
  <si>
    <t>Citations and Authorities: Neutral Citations: [2023] AC 684, [2023] UKSC 3, [2023] 2 WLR 269, [2023] WLR(D) 45 Law Reports: Referenced Cases: MacDonald Dickens &amp; Macklin v Costello [2012] QB 244, Carmichael v National Power Plc [1999] 1 WLR 2042, Firth v Hylane Ltd [1959] EWCA Civ J0211-3, Barnes v Eastenders Cash &amp; Carry plc [2014] UKSC 26, Roxborough v Rothmans of Pall Mall Australia Ltd [2001] HCA 68 Citation Count: 5</t>
  </si>
  <si>
    <t>Barnes v Eastenders Cash &amp; Carry plc [2014] UKSC 26 || Roxborough v Rothmans of Pall Mall Australia Ltd [2001] HCA 68</t>
  </si>
  <si>
    <t>57bf779f-da1f-4ee4-a60c-89018cb3b828</t>
  </si>
  <si>
    <t>Beaumont &amp; Anor v Ferrer [2016] EWCA Civ 768</t>
  </si>
  <si>
    <t>57bf779f-da1f-4ee4-a60c-89018cb3b828_citations_precedents</t>
  </si>
  <si>
    <t>List of authorities cited to frame the ex turpi analysis and causation principles.</t>
  </si>
  <si>
    <t>Citations and Authorities: Neutral Citations: [2016] EWCA Civ 768 Law Reports: Referenced Cases: Spencer v Wincanton Holdings Ltd [2010] PIQR. P.8, Sacco v Chief Constable of South Wales Constabulary (Unreported, 15 May 1998), Vellino v Chief Constable of the Greater Manchester Police [2002] 1 WLR 218, Gray v Thames Trains Ltd [2009] UKHL 33; [2009] AC 1339, Hounga v Allen [2014] 1 WLR 2889, Les Laboratories Servs v Apotex Inc [2015] AC 430, R (Best) v Chief Land Registrar [2016] QB 23, Joyce v O'Brien [2014] 1 WLR 70, Delaney v Pickett [2012] 1 WLR 2149, Revill v Newbery [1996] QB 567, The Theft Act 1978, s3, Law Reform (Contributory Negligence) Act 1945 Citation Count: 12</t>
  </si>
  <si>
    <t>Sacco v Chief Constable of South Wales Constabulary || Vellino v Chief Constable of the Greater Manchester Police || Gray v Thames Trains Ltd || Hounga v Allen || Les Laboratories Services v Apotex Inc || R (Best) v Chief Land Registrar || Joyce v O'Brien || Delaney v Pickett || Revill v Newbery || Spencer v Wincanton Holdings Ltd</t>
  </si>
  <si>
    <t>9f23ddf2-fa12-45c8-99f7-74539a06ee46</t>
  </si>
  <si>
    <t>Luton Borough Council, R (on the application of) v Central Bedfordshire Council &amp; Ors [2015] EWCA Civ 537</t>
  </si>
  <si>
    <t>9f23ddf2-fa12-45c8-99f7-74539a06ee46_legal_classification</t>
  </si>
  <si>
    <t>Classification of the legal areas involved in the case, underscoring the administrative and planning law aspects.</t>
  </si>
  <si>
    <t>Legal Classification: Primary Category: Administrative Law Legal Areas: Administrative Law, Planning Law, Land Law Jurisdiction: England and Wales Court Level: Appellate Legal Issues: Did the planning committee properly address the Green Belt designation?. Were very special circumstances present to justify the grant of planning permission?. Did the committee adequately consider the affordable housing obligations? Keywords: judicial review, planning permission, Green Belt, affordable housing, public interest</t>
  </si>
  <si>
    <t>72ae3a8b-04b1-4146-b2fc-cc57e1da7a25</t>
  </si>
  <si>
    <t>Howard &amp; Anor v Wigan Council &amp; Anor [2015] EWCA Civ 854</t>
  </si>
  <si>
    <t>72ae3a8b-04b1-4146-b2fc-cc57e1da7a25_legal_classification</t>
  </si>
  <si>
    <t>Legal classification of case under administrative and planning law.</t>
  </si>
  <si>
    <t>Legal Classification: Primary Category: Administrative Law Legal Areas: Planning Law, Judicial Review, Environmental Law Jurisdiction: England and Wales Court Level: Appellate Legal Issues: Whether the planning permission granted was adequately reviewed under judicial review principles.. The admissibility of fresh evidence post-judicial review denial. Keywords: Judicial Review, Planning Permission, Fresh Evidence, Environmental Impact Assessment, Soil Sampling</t>
  </si>
  <si>
    <t>a6ba2568-c81f-4703-8a5c-bff13cf0bef8</t>
  </si>
  <si>
    <t>Smech Properties v Runnymede Borough Council [2015] EWCA Civ 1017</t>
  </si>
  <si>
    <t>a6ba2568-c81f-4703-8a5c-bff13cf0bef8_legal_classification</t>
  </si>
  <si>
    <t>Categorization of the case under administrative and planning law with relevance to civil appeals.</t>
  </si>
  <si>
    <t>Legal Classification: Primary Category: Administrative Law Legal Areas: Planning Law, Judicial Review Jurisdiction: England and Wales Court Level: Appellate Legal Issues: Whether the judge erred in not quashing the planning permission based on material misdirection.. Whether alternative sites were correctly deemed non-material in the decision.. Should the matter be remanded to the council for reconsideration based on new information. Keywords: Planning Law, Green Belt, Mixed Use Development, Appeal Process, Material Misdirection</t>
  </si>
  <si>
    <t>This case shows 71% similarity based on procedural history analysis.</t>
  </si>
  <si>
    <t>85be361d-d4e8-464d-9b56-e7ba0996efd0</t>
  </si>
  <si>
    <t>Blacker, R (On the Application Of) v Chelmsford City Council (Rev1) [2023] EWCA Civ 25</t>
  </si>
  <si>
    <t>85be361d-d4e8-464d-9b56-e7ba0996efd0_legal_reasoning</t>
  </si>
  <si>
    <t>Not detailed in provided text; expected to address grounds of appeal and planning-law principles</t>
  </si>
  <si>
    <t>Legal Analysis: Legal Issues: Whether the High Court's planning decision was lawful on administrative law grounds. Grounds of appeal in relation to planning decision process and reasoning. Standards of judicial review applicable to planning authorities Reasoning: Not stated in the provided text Keywords: Court of Appeal (Civil Division), planning law, administrative law, judicial review, England and Wales, Edward Blacker, Chelmsford City Council, High Court Admin, EWCA Civ 25</t>
  </si>
  <si>
    <t>This case shows 71% similarity based on legal reasoning analysis.</t>
  </si>
  <si>
    <t>84fda74c-8775-4d1b-8cf6-853e7921ced2_legal_classification</t>
  </si>
  <si>
    <t>Classification of case under administrative law relating to planning.</t>
  </si>
  <si>
    <t>Legal Classification: Primary Category: Administrative Law Legal Areas: Planning Law, Public Law Jurisdiction: United Kingdom Court Level: Supreme Court Legal Issues: Interpretation of section 61N of the Town and Country Planning Act 1990. Timing of judicial review challenges in planning decisions. Effect of statutory time limits on legal challenges to neighbourhood plans Keywords: neighborhood development plans, judicial review, planning law, Town and Country Planning Act 1990, legal challenge</t>
  </si>
  <si>
    <t>4445024a-5f65-4083-8a26-f3cf974100af_legal_classification</t>
  </si>
  <si>
    <t>Classification of the legal areas implicated within the case including administrative law and public interest.</t>
  </si>
  <si>
    <t>Legal Classification: Primary Category: Administrative Law Legal Areas: Planning Law, Public Law, Judicial Review Jurisdiction: England and Wales Court Level: Appellate Legal Issues: Perceived bias in decision-making process. Failure to properly regard the best interests of children Keywords: Planning Law, Gypsy Sites, Perceived Bias, Children's Best Interests, Public Interest</t>
  </si>
  <si>
    <t>21aef08e-1e64-46d6-970a-6a9bfe8e9e6c</t>
  </si>
  <si>
    <t>Hampton Bishop Parish Council, R (On the Application Of) v Herefordshire Council</t>
  </si>
  <si>
    <t>21aef08e-1e64-46d6-970a-6a9bfe8e9e6c_legal_classification</t>
  </si>
  <si>
    <t>Categorization of the case within Administrative Law, focusing on Planning Law and Judicial Review.</t>
  </si>
  <si>
    <t>Legal Classification: Primary Category: Administrative Law Legal Areas: Planning Law, Judicial Review, Public Law Jurisdiction: England and Wales Court Level: Appellate Legal Issues: Did the Council fail to comply with section 38(6) of the Planning and Compulsory Purchase Act 2004?. Did the Council breach regulation 122 of the Community Infrastructure Levy Regulations 2010 when considering the S106 Agreement? Keywords: Judicial Review, Planning Permission, Community Infrastructure Levy, Planning and Compulsory Purchase Act, S106 Agreement</t>
  </si>
  <si>
    <t>edaa06d0-05a9-41c2-b34b-1408204f7ba3</t>
  </si>
  <si>
    <t>Chalfont St Peter Parish Council v Chiltern District Council</t>
  </si>
  <si>
    <t>edaa06d0-05a9-41c2-b34b-1408204f7ba3_legal_classification</t>
  </si>
  <si>
    <t>This section categorizes the primary legal areas and issues addressed in the case, emphasizing planning implications.</t>
  </si>
  <si>
    <t>Legal Classification: Primary Category: Administrative Law Legal Areas: Planning Law, Environmental Law, Public Law Jurisdiction: England and Wales Court Level: Appellate Legal Issues: Whether the District Council failed to consider reasonable alternatives in its environmental assessments.. Whether the decisions made regarding planning permission ignored the necessity for a 'like-for-like' community facility replacement. Keywords: planning permission, community facilities, environmental assessment, judicial review, public law</t>
  </si>
  <si>
    <t>a459497c-093a-4d72-b603-17566d05df21</t>
  </si>
  <si>
    <t>Holder v Gedling Borough Council &amp; Ors [2014] EWCA Civ 599</t>
  </si>
  <si>
    <t>a459497c-093a-4d72-b603-17566d05df21_legal_classification</t>
  </si>
  <si>
    <t>Legal classification regarding the areas of law affected by the case and its administrative character.</t>
  </si>
  <si>
    <t>Legal Classification: Primary Category: Administrative Law Legal Areas: Environmental Law, Planning Law, Public Law Jurisdiction: England and Wales Court Level: Appellate Legal Issues: Was the grant of planning permission in accordance with Green Belt policies?. Did the planning committee adequately consider the material circumstances of the case?. Was there a legal basis for regarding precedent as a non-material consideration? Keywords: Planning Permission, Green Belt, Judicial Review, Wind Turbine, Environmental Impact, Very Special Circumstances</t>
  </si>
  <si>
    <t>2dc2a7ac-d332-4112-93f1-122e3a9d7870</t>
  </si>
  <si>
    <t>Perry, R (on the application of) v London Borough of Hackney &amp; Ors</t>
  </si>
  <si>
    <t>2dc2a7ac-d332-4112-93f1-122e3a9d7870_legal_classification</t>
  </si>
  <si>
    <t>Categorization of the legal domains relevant to this case.</t>
  </si>
  <si>
    <t>Legal Classification: Primary Category: Administrative Law Legal Areas: Administrative Law, Planning Law, Judicial Review Jurisdiction: England and Wales Court Level: Appellate Legal Issues: Whether the refusal of document disclosure was justified under the necessity test for judicial review.. The impact of commercial confidentiality on public disclosure in planning processes.. The adequacy of the information provided to the planning committee regarding the effectiveness of the viability assessments. Keywords: Judicial Review, Document Disclosure, Planning Permission, Affordable Housing, Public Participation</t>
  </si>
  <si>
    <t>702e0527-fb33-427f-afbb-f906ba355802_legal_classification</t>
  </si>
  <si>
    <t>Classification of the legal framework governing the decision-making process, including statutory provisions and guidance.</t>
  </si>
  <si>
    <t>Legal Classification: Primary Category: Administrative Law / Planning Law Legal Areas: Planning Law, Administrative Law, Natural Justice / Procedural Fairness, Ministerial Decision-Making, Environmental / Renewable Energy Planning Jurisdiction: England and Wales Court Level: Court of Appeal (Civil Division) Legal Issues: Whether ministers owe a duty of fairness (audi alteram partem) in recover/decision-making for planning appeals.. Whether private representations by a Member of Parliament (and ministerial interactions) breached natural justice or planning propriety.. Effect of post-inquiry representations and new evidence on decision-making under Rule 17(5) and the duty to consult all parties.. The weight to be given to heritage assets in the planning balance under section 66(1) of the Planning (Listed Buildings and Conservation Areas) Act 1990.. Impact of Planning Propriety Guidance paragraphs 4, 11, 12 on procedural fairness in call-in/recovered decisions. Keywords: planning law, administrative fairness, quasi-judicial decision-making, MP representations, Planning Propriety Guidance, natural justice, ministerial decision-making, wind farm planning, Barnwell Manor</t>
  </si>
  <si>
    <t>R (Alconbury) v Secretary of State for the Environment [2003] 2 AC 295 || Barnwell Manor [2014] EWCA Civ 137 || Fox Land v SSCLG [2014] EWHC 15 (Admin)</t>
  </si>
  <si>
    <t>ed07cee8-284a-4c88-9681-37d30f80d1a1</t>
  </si>
  <si>
    <t>National AIDS Trust v National Health Service Commissioning Board (NHS England) &amp; Ors (EWCA Civ 1100) – PrEP and NHS England power to commission preventive HIV treatment</t>
  </si>
  <si>
    <t>ed07cee8-284a-4c88-9681-37d30f80d1a1_citations_precedents</t>
  </si>
  <si>
    <t>Authorities cited in the judgment; primary statutes/regulations and a leading common-law case used for interpretive guidance.</t>
  </si>
  <si>
    <t>Citations and Authorities: Neutral Citations: [2017] PTSR 366, (2017) 20 CCL Rep 30, 152 BMLR 1, [2016] WLR(D) 592, 20 CCL Rep 30, [2017] 3 All ER 993, [2017] 1 WLR 1477, [2016] EWCA Civ 1100, (2016) 152 BMLR 1 Law Reports: [2017] PTSR 366, (2017) 20 CCL Rep 30, 152 BMLR 1, [2016] WLR(D) 592, [2017] 3 All ER 993, [2017] 1 WLR 1477, [2016] EWCA Civ 1100, (2016) 152 BMLR 1 Referenced Cases: National Health Service Act 2006, Health and Social Care Act 2012, The National Health Service Commissioning Board and Clinical Commissioning Groups (Responsibilities and Standing Rules) Regulations 2012, The Local Authorities (Public Health Functions etc.) Regulations 2013, Regulation 11 and Schedule 4 (para 17) of the 2012 Regulations, Regulation 6 of the 2013 Regulations, Hanlon v Law Society [1981] A.C. 124 Citation Count: 7</t>
  </si>
  <si>
    <t>Hanlon v Law Society [1981] A.C. 124</t>
  </si>
  <si>
    <t>d60a5323-796e-4110-a6de-012ec16860c1_citations_precedents</t>
  </si>
  <si>
    <t>Citations and precedents referenced in the Court's analysis and decision-making.</t>
  </si>
  <si>
    <t>Citations and Authorities: Neutral Citations: [2015] EWCA Civ 819 Law Reports: Referenced Cases: Inland Revenue Commissioners v National Federation of Self Employed and Small Businesses Ltd [1982] AC 617, R v North &amp; East Devon Health Authority ex parte Coughlan [2001] QB 213, R (Smith) v East Kent Hospital NHS Trust [2002] EWHC 2640 (Admin), R v Home Secretary ex p Tarrant [1985] QB 251, R (Patel) v Lord Chancellor [2010] EWHC 2220 (Admin), R (Refugee Legal Centre) Secretary of State for the Home Department [2005] 1 WLR 2219, R (Medical Justice) v Secretary of State for the Home Department [2010] EWHC 1925 (Admin), R (Tabbakh) v Staffordshire Probation Trust [2014] 1 WLR 4620 Citation Count: 8</t>
  </si>
  <si>
    <t>R (Smith) v East Kent Hospital NHS Trust</t>
  </si>
  <si>
    <t>beff2d5f-922f-42e5-9aaa-8b70d7179f71_citations_precedents</t>
  </si>
  <si>
    <t>Authorities cited and engaged to ground the Court of Appeal's analysis</t>
  </si>
  <si>
    <t>Citations and Authorities: Neutral Citations: [2016] EWCA Civ 441, [2016] WLR 3923, [2016] PTSR 982, [2016] 1 WLR 3923, [2016] 2 P &amp;CR 8, [2016] JPL 1034, [2016] WLR(D) 260 Law Reports: [2016] WLR 3923, [2016] PTSR 982, [2016] 1 WLR 3923, [2016] 2 P &amp;CR 8, [2016] JPL 1034, [2016] EWCA Civ 441, [2016] WLR(D) 260 Referenced Cases: Cala Homes (South) Ltd v Secretary of State for Communities and Local Government [2011] EWCA Civ 639 (Cala Homes 2), Alconbury Developments Ltd v Secretary of State for the Environment, Transport and the Regions [2003] 2 AC 295, City of Edinburgh Council v Secretary of State [1977] 1 WLR 1477, R (London Criminal Courts Solicitors' Association) v Lord Chancellor [2014] EWHC 3020 (Admin), R (Maureen Smith) v East Kent Hospital NHS Trust [2002] EWHC 2640 (Admin), Padfield v Minister of Agriculture [1968] AC 997, R v Port of London Authority ex p. Kynoch Ltd [1919] 1 KB 176, R (Sandiford) v Secretary of State for Foreign and Commonwealth Affairs [2014] 1 WLR 2697, R (Unison) v Lord Chancellor (No 3) [2015] EWCA Civ 935, Bracking v Secretary of State for Work and Pensions [2013] EWCA Civ 1345, R (Findlay) [1985] AC 318, R (Moseley) v Haringey LBC [2014] 1 WLR 3947, R (C (a minor)) v Secretary of State for Justice [2008] EWCA Civ 882, R (Unison) v Lord Chancellor (No 3) [2015] EWCA Civ 935 Citation Count: 14</t>
  </si>
  <si>
    <t>Cala Homes (South) Ltd v Secretary of State for Communities and Local Government [2011] EWCA Civ 639 || Alconbury Developments Ltd v Secretary of State [2003] 2 AC 295 || City of Edinburgh Council v Secretary of State [1977] 1 WLR 1477</t>
  </si>
  <si>
    <t>9a3c763e-b455-414d-b2b1-1140496a3cc4</t>
  </si>
  <si>
    <t>Kent County Council v The Secretary of State for Health</t>
  </si>
  <si>
    <t>9a3c763e-b455-414d-b2b1-1140496a3cc4_factual_summary</t>
  </si>
  <si>
    <t>This chunk details the facts regarding NA's history of funding and the dispute over which local authority is responsible for covering costs after NHS support ended.</t>
  </si>
  <si>
    <t>Factual Summary: Parties: The Queen (on the application of Kent County Council) v The Secretary of State for Health v London Borough of Sutton v London Borough of Barking and Dagenham Key Facts: NA was a disabled adult requiring residential accommodation.. NHS funding was provided until it was ceased in February 2010.. There was a dispute between Kent, Sutton, and Barking regarding funding responsibilities. Case Summary: The case examines the responsibility of local authorities in funding residential accommodation for a disabled adult, NA, following the cessation of NHS funding. Kent County Council appealed a determination by the Secretary of State that they were liable for funding, arguing the interpretation of statutory provisions regarding residence. The court upheld that the statutory language clearly indicated Kent's responsibility, as NA was deemed ordinarily resident in Kent during the relevant time. The appeal was dismissed, affirming the Secretary of State's determination and rejecting Kent’s broad interpretation of 'residential accommodation'. Procedural Context: England and Wales Court of Appeal (Civil Division) case</t>
  </si>
  <si>
    <t>This case shows 63% similarity based on factual summary analysis.</t>
  </si>
  <si>
    <t>776a8070-aa6f-410e-b91e-2e1fcadadb9b_citations_precedents</t>
  </si>
  <si>
    <t>Authorities cited to interpret the public sector equality duty and due regard requirements.</t>
  </si>
  <si>
    <t>Citations and Authorities: Neutral Citations: [2022] EWCA Civ 457, [2022] PTSR 1315, [2022] WLR(D) 170 Law Reports: Referenced Cases: R. (on the application of Baker) v Secretary of State for Communities and Local Government [2008] EWCA Civ 141; [2009] PTSR 809, R. (Brown) v Secretary of State for Work and Pensions [2008] EWHC 3158; [2009] PTSR 1506, R. (Bailey) v Brent London Borough Council [2011] EWCA Civ 1586; [2012] Eq LR 168, R. (Bracking) v Secretary of State for Work and Pensions [2013] EWCA Civ 1345; [2014] Eq LR 60, R. (National Association of Health Stores) v Secretary of State for Health [2005] EWCA Civ 154, R. (Kaur and Shah) v Ealing London Borough Council [2008] EWHC 2062 (Admin), R. (Hurley &amp; Moore) v Secretary of State for Business, Innovation and Skills [2012] EWHC 201 (Admin), R. (Meany) v Harlow DC [2009] EWHC 559 (Admin), R v Secretary of State for Health (National Association of Health Stores) [2005] EWCA Civ 154 Citation Count: 9</t>
  </si>
  <si>
    <t>R. (on the application of Baker) v Secretary of State for Communities and Local Government [2008] EWCA Civ 141 || R. (Brown) v Secretary of State for Work and Pensions [2008] EWHC 3158 || R. (Bailey) v Brent LBC [2011] EWCA Civ 1586 || R. (Bracking) v Secretary of State for Work and Pensions [2013] EWCA Civ 1345 || R. (National Association of Health Stores) v Secretary of State for Health [2005] EWCA Civ 154 || R. (Kaur and Shah) v Ealing LBC [2008] EWHC 2062 (Admin) || R. (Hurley &amp; Moore) v BIS [2012] EWHC 201 (Admin) || R. (Meany) v Harlow DC [2009] EWHC 559 (Admin) || R v Secretary of State for Health (National Association of Health Stores) [2005] EWCA Civ 154</t>
  </si>
  <si>
    <t>fc44d6e6-6cbd-49d7-b2fd-492890e5556d</t>
  </si>
  <si>
    <t>LH v Shropshire Council [2014] EWCA Civ 404</t>
  </si>
  <si>
    <t>fc44d6e6-6cbd-49d7-b2fd-492890e5556d_citations_precedents</t>
  </si>
  <si>
    <t>Overview of key legal citations considered relevant by the Court for establishing precedential context.</t>
  </si>
  <si>
    <t>Citations and Authorities: Neutral Citations: [2014] EWCA Civ 404, [2014] PTSR 1052 Law Reports: Referenced Cases: R v Devon County Council, ex parte Baker [1995] 1 All E.R. 75, R v Brent London Borough Council, ex parte Gunning (1986) 84 L.G.R. 168, R (Wainwright) v Richmond Upon Thames London Borough Council [2001] EWCA Civ 2062 Citation Count: 3</t>
  </si>
  <si>
    <t>R v Devon County Council, ex parte Baker [1995] 1 All E.R. 75</t>
  </si>
  <si>
    <t>d30faf1d-ee41-4583-9671-6efcaf57e4e7</t>
  </si>
  <si>
    <t>Davey, R (on the application of) v Oxfordshire County Council &amp; Ors [2017] EWCA Civ 1308</t>
  </si>
  <si>
    <t>d30faf1d-ee41-4583-9671-6efcaf57e4e7_citations_precedents</t>
  </si>
  <si>
    <t>Listing of legal authorities referenced in the case.</t>
  </si>
  <si>
    <t>Citations and Authorities: Neutral Citations: [2018] PTSR 281, [2017] EWCA Civ 1308, [2017] WLR(D) 590 Law Reports: Referenced Cases: Care Act 2014, Wednesbury v. London Borough of Hillingdon Citation Count: 2</t>
  </si>
  <si>
    <t>31ec4914-0384-4442-a7c4-2067fe7c1aec</t>
  </si>
  <si>
    <t>London Borough of Southwark &amp; Anor v Transport for London</t>
  </si>
  <si>
    <t>31ec4914-0384-4442-a7c4-2067fe7c1aec_citations_precedents</t>
  </si>
  <si>
    <t>Legal authorities cited included various acts pertinent to highways and property rights.</t>
  </si>
  <si>
    <t>Citations and Authorities: Neutral Citations: [2017] WLR(D) 546, [2018] PTSR 333, [2017] EWCA Civ 1220 Law Reports: Referenced Cases: Greater London Authority Act 1999, Highways Act 1980, Bayliss Citation Count: 3</t>
  </si>
  <si>
    <t>Tunbridge Wells v Baird || Baylis</t>
  </si>
  <si>
    <t>6d61255d-47b5-4dd9-aed3-4fb7eaed4d29</t>
  </si>
  <si>
    <t>United Company Rusal Plc, R (on the application of) v The London Metal Exchange</t>
  </si>
  <si>
    <t>6d61255d-47b5-4dd9-aed3-4fb7eaed4d29_citations_precedents</t>
  </si>
  <si>
    <t>This section catalogs the legal authorities and cases cited within the judgment, enhancing its legal context.</t>
  </si>
  <si>
    <t>Citations and Authorities: Neutral Citations: [2014] WLR(D) 414, [2014] EWCA Civ 1271, [2015] 1 WLR 1375 Law Reports: Referenced Cases: R (Madden) v Bury Metropolitan Borough Council [2002] EWHC 1882 (Admin), R (Medway) Council v Secretary of State for Transport [2002] EWHC 2516 (Admin), R v North &amp; East Devon Health Authority Ex p. Coughlan [2001] QB 213, R (Forest Heath DC) v Electoral Commission [2010] PTSR 1227 Citation Count: 4</t>
  </si>
  <si>
    <t>R v North &amp; East Devon Health Authority Ex p. Coughlan [2001] QB 213 || R (Medway) Council v Secretary of State for Transport [2002] EWHC 2516 (Admin)</t>
  </si>
  <si>
    <t>c42ac4c8-4630-4f83-8b40-7cff59e33b34</t>
  </si>
  <si>
    <t>Torbay Council v Torbay Quality Care Forum Ltd</t>
  </si>
  <si>
    <t>c42ac4c8-4630-4f83-8b40-7cff59e33b34_citations_precedents</t>
  </si>
  <si>
    <t>List of legal authorities and cases cited in the decision.</t>
  </si>
  <si>
    <t>Citations and Authorities: Neutral Citations: 2017 Law Reports: [2017] WLR(D) 689, [2018] PTSR 923, [2017] EWCA Civ 1605 Referenced Cases: R v London Borough of Islington ex p. Rixon [1997] ELR 66, R (Members of the Committee of Care North East Northumberland) v Northumberland County Council [2013] EWCA Civ 1740, R (South Tyneside Care Home Owners Association) v South Tyneside Council [2013] EWHC 1827 (Admin) Citation Count: 3</t>
  </si>
  <si>
    <t>R (Members of the Committee of Care North East Northumberland) v Northumberland County Council [2013] EWCA Civ 1740</t>
  </si>
  <si>
    <t>7cce4927-35a4-4b74-90f4-ac2262bb34d7</t>
  </si>
  <si>
    <t>C7 v Secretary of State for the Home Department [2023] EWCA Civ 265</t>
  </si>
  <si>
    <t>7cce4927-35a4-4b74-90f4-ac2262bb34d7_citations_precedents</t>
  </si>
  <si>
    <t>Authorities cited to frame the limits of SIAC’s powers, costs jurisdiction, and tribunal-procedure governance.</t>
  </si>
  <si>
    <t>Citations and Authorities: Neutral Citations: [2023] EWCA Civ 265, [2023] WLR(D) 119 Law Reports: Referenced Cases: Cart v Upper Tribunal [2010] EWHC 3052 (Admin); [2011] QB 120, Al-Jedda v Secretary of State for the Home Department SC/66/2008 (7 February 2014), R (Cart) v Upper Tribunal, R(S) v Chief Constable of South Yorkshire [2004] UKHL 39; [2004] 1 WLR 2196, The Guardians of West Ham Union v the Churchwardens and Overseers and Guardians of the Poor of the Parish of St Matthew, Bethnal Green [1896] AC 477, R v Chief Metropolitan Magistrate ex p Osman (1990) 90 Cr App R 313, Municipio de Mariana v BHP Group plc [2021] EWCA Civ 1156, The Tasmania (1890) 15 App Cas 223 Citation Count: 8</t>
  </si>
  <si>
    <t>Cart v Upper Tribunal [2010] EWHC 3052 (Admin); [2011] QB 120 || Al-Jedda v Secretary of State for the Home Department SC/66/2008 || R(S) v Chief Constable of South Yorkshire [2004] UKHL 39; [2004] 1 WLR 2196 || The Guardians of West Ham Union v the Churchwardens and Overseers and Guardians of the Poor of the Parish of St Matthew, Bethnal Green [1896] AC 477 || R v Chief Metropolitan Magistrate ex p Osman (1990) 90 Cr App R 313 || Municipio de Mariana v BHP Group plc [2021] EWCA Civ 1156 || The Tasmania (1890) 15 App Cas 223</t>
  </si>
  <si>
    <t>22266eeb-429f-4bfb-806c-1f324f15797d</t>
  </si>
  <si>
    <t>The Project Management Institute, R (On the Application Of) v The Minister for the Cabinet Office &amp; Ors [2016] EWCA Civ 21 (22 January 2016)</t>
  </si>
  <si>
    <t>22266eeb-429f-4bfb-806c-1f324f15797d_citations_precedents</t>
  </si>
  <si>
    <t>Authorities cited to ground policy interpretation, bias standard, and public-interest reasoning.</t>
  </si>
  <si>
    <t>Citations and Authorities: Neutral Citations: [2016] EWCA Civ 21, [2016] 4 All ER 334, [2016] 1 WLR 1737, [2016] WLR(D) 48, [2016] EWCA Civ 21 Law Reports: [2016] EWCA Civ 21, [2016] 4 All ER 334, [2016] 1 WLR 1737, [2016] WLR(D) 48 Referenced Cases: Council of Civil Service Unions v Minister for the Civil Service [1985] 1 AC 374, R (Lumba) v Secretary of State for the Home Department [2012] UKSC 1, [2012] 1 AC 245, R v IRC ex p. MFK (Underwriting Agencies Ltd) [1990] 1 WLR 1545, R v Attorney General, ex p. ICI plc [1987] CMLR 72, Razgar v Secretary of State for the Home Department [2004] 2 AC 368, Alconbury Developments Ltd v SoS for the Environment [2003] 2 AC 525, Porter v Magill [2001] UKHL 67, R (LE (Jamaica)) v Secretary of State for the Home Department [2012] EWCA Civ 597, Tesco Stores Ltd v Dundee City Council [2012] UKSC 13, Council of Civil Service Unions v Minister for the Civil Service [1985] 1 AC 374 Citation Count: 10</t>
  </si>
  <si>
    <t>R (Lumba) v Secretary of State for the Home Department [2012] 1 AC 245 || Council of Civil Service Unions v Minister for the Civil Service [1985] 1 AC 374 || R v IRC ex p. MFK (Underwriting Agencies Ltd) [1990] 1 WLR 1545 || R v Attorney General, ex p. ICI plc [1987] CMLR 72 || Razgar v Secretary of State for the Home Department [2004] 2 AC 368</t>
  </si>
  <si>
    <t>970ca77e-942d-4dd9-93e4-6d8ed2dcb401</t>
  </si>
  <si>
    <t>Public and Commercial Services Union &amp; Ors, R (On the Application Of) v Secretary of State for the Home Department [2022] EWCA Civ 840</t>
  </si>
  <si>
    <t>970ca77e-942d-4dd9-93e4-6d8ed2dcb401_citations_precedents</t>
  </si>
  <si>
    <t>Authorities cited and relied upon in the judgment, spanning public law, immigration, refugee law, and injunction jurisprudence.</t>
  </si>
  <si>
    <t>Citations and Authorities: Neutral Citations: [2022] EWCA Civ 840 Law Reports: Referenced Cases: Secretary of State for Education and Science v Tameside MBC [1977] AC 1014, Gillick v West Norfolk and Wisbech AHA [1986] AC 112, 1951 Geneva Convention Relating to the Status of Refugees, Asylum and Immigration Appeals Act 1993, Immigration and Refugee Protection: UK Immigration Act 2002 (section 77), Part 5 of Schedule 3 to the 2004 Act (paras 17-18), Parliamentary control and rules: para 345A-D; 345B; 345C; para 345C, Frank Industries Pty UK v Nike Retail BV [2018] EWCA Civ 497, Re DB's Application for Judicial Review [2017] UKSC 7, Hadmor Productions Ltd v Hamilton [1983] 1 AC 191, Mercury Communications Ltd v Scott-Garner [1984] Ch 37, R (Governing Body of X) (citation as discussed in judgment) Citation Count: 12</t>
  </si>
  <si>
    <t>Secretary of State for Education and Science v Tameside MBC [1977] AC 1014 || Gillick v West Norfolk and Wisbech AHA [1986] AC 112 || 1951 Geneva Convention Relating to the Status of Refugees || Asylum and Immigration Appeals Act 1993 || Immigration and Refugee Act 2002 (s77) || Part 5 Schedule 3 (paras 17-18, 345A-D, 345B, 345C) || Frank Industries Pty UK v Nike Retail BV [2018] EWCA Civ 497 || Re DB's Application for Judicial Review [2017] UKSC 7 || Hadmor Productions Ltd v Hamilton [1983] 1 AC 191 || Mercury Communications Ltd v Scott-Garner [1984] Ch 37</t>
  </si>
  <si>
    <t>6b2e2714-ca39-4378-966c-1b3ff6b417b2</t>
  </si>
  <si>
    <t>QX v Secretary of State for the Home Department [2022] EWCA Civ 1541</t>
  </si>
  <si>
    <t>6b2e2714-ca39-4378-966c-1b3ff6b417b2_citations_precedents</t>
  </si>
  <si>
    <t>Key authorities cited in the decision, spanning 2009–2020, including AF (No 3), MB, Begum, Rehman, and related evidentiary rules.</t>
  </si>
  <si>
    <t>Citations and Authorities: Neutral Citations: [2022] EWCA Civ 1541, [2022] WLR(D) 465, [2023] 2 WLR 1103 Law Reports: Referenced Cases: AF (No 3) v SSHD [2009] UKHL 28; [2012] 2 AC 269, Pomiechowski v District Court of Legnica, Poland [2012] UKSC 220; [2020] 1 WLR 1604, MB v SSHD [2006] EWCA Civ 1140; [2007] QB 415, AL v SSHD [2018] EWCA Civ 278, Begum v SIAC, Rehman v Secretary of State for the Home Department [2003] 1 AC 153, Air Canada v SSHD [1983] 2 AC 394, Khiaban v Beard [2003] EWCA Civ 358, Sainsbury's Ltd v Mastercard Inc [2020] UKSC 24, XYZ v Various [2013] EWHC 3643 (QB), R (PG) v London Borough of Ealing [2002] EWHC 250 (Admin) Citation Count: 11</t>
  </si>
  <si>
    <t>AF (No 3) v SSHD || Pomiechowski v District Court of Legnica || MB v SSHD || AL v SSHD || Begum || Rehman || Air Canada || Khiaban || Sainsbury's v Mastercard || XYZ v Various || R(PG) v LBE</t>
  </si>
  <si>
    <t>148abf64-4d41-4cef-af10-c9c9986896a1</t>
  </si>
  <si>
    <t>Kanu, R (On the Application Of) v Secretary of State for Foreign, Commonwealth and Development Affairs [2023] EWCA Civ 796</t>
  </si>
  <si>
    <t>148abf64-4d41-4cef-af10-c9c9986896a1_citations_precedents</t>
  </si>
  <si>
    <t>Authorities cited underpinning the decision: Abbasi, Tameside, GCHQ and related human rights jurisprudence.</t>
  </si>
  <si>
    <t>Citations and Authorities: Neutral Citations: [2023] EWCA Civ 796 Law Reports: Abbasi v Secretary of State for Foreign and Commonwealth Affairs [2002] EWCA Civ 159, Abbasi v Secretary of State for Foreign and Commonwealth Affairs [2003] UKHRR 76 Referenced Cases: R (Abbasi) v Secretary of State for Foreign and Commonwealth Affairs [2002] EWCA Civ 159, Abbasi v Secretary of State for Foreign and Commonwealth Affairs [2003] UKHRR 76, Secretary of State for Education and Science v Tameside MBC [1977] AC 1014, GCHQ case (Council of Civil Service Unions v Minister for the Civil Service) [1985] AC 374 Citation Count: 4</t>
  </si>
  <si>
    <t>R (Abbasi) v Secretary of State for Foreign and Commonwealth Affairs [2002] EWCA Civ 159 || Abbasi v Secretary of State for Foreign and Commonwealth Affairs [2003] UKHRR 76 || Secretary of State for Education and Science v Tameside MBC [1977] AC 1014 || GCHQ (Council of Civil Service Unions v Minister for the Civil Service) [1985] AC 374</t>
  </si>
  <si>
    <t>7fe05ee5-91a6-43b5-ad81-c04b7cce8482</t>
  </si>
  <si>
    <t>Ali, R (on the application of) v The Secretary of State for the Home Department &amp; Anor</t>
  </si>
  <si>
    <t>7fe05ee5-91a6-43b5-ad81-c04b7cce8482_citations_precedents</t>
  </si>
  <si>
    <t>List of notable legal authorities and cases referenced in the judgment.</t>
  </si>
  <si>
    <t>Citations and Authorities: Neutral Citations: [2017] WLR 2894, [2017] EWCA Civ 138, [2017] WLR(D) 162, [2017] 1 WLR 2894 Law Reports: Referenced Cases: R (A) v Croydon London Borough Council [2009] 1 WLR 2557, AA (Afghanistan) v Secretary of State for the Home Department [2012] EWCA Civ 1383, R v Governor of Durham Prison ex p. Hardial Singh [1984] 1 WLR 704, R v Governor of Brockhill Prison, ex p. Evans (No. 2) [2001] 2 AC 19 Citation Count: 4</t>
  </si>
  <si>
    <t>AA (Afghanistan) v Secretary of State for the Home Department || R (A) v Croydon London Borough Council</t>
  </si>
  <si>
    <t>2081f703-fbd5-4bdc-b8b8-0a8424eb00b1</t>
  </si>
  <si>
    <t>Roche Registration Ltd, R (on the application of) v The Secretary of State for Health</t>
  </si>
  <si>
    <t>2081f703-fbd5-4bdc-b8b8-0a8424eb00b1_citations_precedents</t>
  </si>
  <si>
    <t>Legal authorities and cases referenced throughout the ruling.</t>
  </si>
  <si>
    <t>Citations and Authorities: Neutral Citations: [2015] WLR(D) 543, 149 BMLR 178, [2015] EWCA Civ 1311, (2016) 149 BMLR 178, [2016] 4 WLR 46 Law Reports: Referenced Cases: Case 314/85 Firma Foto-Frost v Haumpzollamt Lübeck-Ost [1988] 3 CMLR 57, R v Secretary of State for the Home Department, ex p. Doody [1994] 1 AC 531, R (Kent Pharmaceuticals Ltd) v Director of the Serious Fraud Office [2004] EWCA Civ 1494 Citation Count: 3</t>
  </si>
  <si>
    <t>Case 314/85 || R v Secretary of State for the Home Department, ex p. Doody || R (Kent Pharmaceuticals Ltd)</t>
  </si>
  <si>
    <t>ee81f896-3f6e-4a8c-86e9-7169799031ba</t>
  </si>
  <si>
    <t>Green &amp; Ors v The Commissioner of Police of the Metropolis [2022] EWCA Civ 1686</t>
  </si>
  <si>
    <t>ee81f896-3f6e-4a8c-86e9-7169799031ba_citations_precedents</t>
  </si>
  <si>
    <t>Authorities cited throughout the judgment, spanning core Article 12 cases, Article 8/14 interactions, and pension-specific decisions.</t>
  </si>
  <si>
    <t>Citations and Authorities: Neutral Citations: [2022] EWCA Civ 1686, [2023] WLR(D) 7, [2023] ICR 429 Law Reports: [2023] WLR(D) 7, [2022] EWCA Civ 1686, [2023] ICR 429 Referenced Cases: Hamer v United Kingdom (EComHR) 1979, Draper v United Kingdom (EComHR) 1980, F v Switzerland (EHRR) 1987, Goodwin v United Kingdom (EHRR) 2002, R v United Kingdom (R &amp; F v UK) App No. 35748/05 (ECHR 2006), Lennon v Department for Social Development (Northern Ireland) [2020] NIQB 15, In re Brewster (Supreme Court of the UK), Harvey v Haringey London Borough Council [2019] ICR 1059, Carter v Chief Constable of Essex Police [2020] EWHC 77 QB, In re Eccles [2021] NIQB 111, Baiai v United Kingdom (ECHR) 2014, O'Donoghue v United Kingdom (ECHR) 1994?, R (R) v Chief Constable of Greater Manchester Police [2018] UKSC 47, R (Z) v Hackney LBC [2019] EWCA Civ 1099, Baiai §38 (Article 12 proportionality framework), O'Donoghue §§85-86 (crystallised intention), R v HM Government cases cited in context Citation Count: 17</t>
  </si>
  <si>
    <t>Hamer v UK (EComHR) || Draper v UK (EComHR) || F v Switzerland (EHRR) || Goodwin v UK (EHRR) || R &amp; F v UK || Lennon v DoS || In re Brewster || Harvey v Haringey || Carter v Essex Police || In re Eccles || Baiai || O'Donoghue || R (R) v GM Police || R (Z) v Hackney</t>
  </si>
  <si>
    <t>5bc05b2e-6b7d-4270-b799-9d29ed174d14_citations_precedents</t>
  </si>
  <si>
    <t>Key authorities cited in the judgment and appellate reasoning; includes core discrimination jurisprudence (Thlimmenos), UKSC/UKCA authorities, and policy reform references.</t>
  </si>
  <si>
    <t>Citations and Authorities: Neutral Citations: [2022] EWCA Civ 336, [2022] PTSR 1182, [2022] WLR(D) 128 Law Reports: Referenced Cases: R (K and AM) v Secretary of State for the Home Department [2018] EWHC 2951 (Admin), [2019] 4 WLR 92 (Mostyn J), MN v Secretary of State for the Home Department [2020] EWCA Civ 1746, [2021] 1 WLR 1956, R (SC) v Secretary of State for Work and Pensions [2021] UKSC 26, [2022] AC 223, R (Salvato) v Secretary of State for Work and Pensions [2021] EWCA Civ 1482, Thlimmenos v Greece (2000) 31 EHRR 411, Kerr J judgment (High Court), Mostyn J (K and AM), Van Raalte line of authorities, Wilkinson (commentary in judgment), R (K and AM) v SSWP (para 47-50), MN v SSWP (Annex F guidance) Citation Count: 11</t>
  </si>
  <si>
    <t>Thlimmenos v Greece (2000) 31 EHRR 411 || R (Salvato) v SSWP [2021] EWCA Civ 1482 || R v Secretary of State for Work and Pensions [2021] UKSC 26 || MN v SSWD [2020] EWCA Civ 1746 || Kerr J judgment</t>
  </si>
  <si>
    <t>b47f516d-ad2e-4917-8acd-6c8206ffb6c5</t>
  </si>
  <si>
    <t>Re B (Children: Police Investigation) [2022] EWCA Civ 982</t>
  </si>
  <si>
    <t>b47f516d-ad2e-4917-8acd-6c8206ffb6c5_citations_precedents</t>
  </si>
  <si>
    <t>Lists authorities cited in developing the reasoning, including structural guidance on jurisdiction and welfare vs public-law considerations.</t>
  </si>
  <si>
    <t>Citations and Authorities: Neutral Citations: [2022] EWCA Civ 982, [2022] 1 WLR 5482, [2022] WLR(D) 310 Law Reports: Referenced Cases: R v Secretary of State for Home Department ex parte T [1995] 1 FLR 292, R Bermingham v Director of the Serious Fraud Office [2006] EWHC 200 (Admin), R Soma Oil and Gas Limited v Director of the Serious Fraud Office [2016] EWHC 2471 (Admin), Re W, Hoffmann LJ ex parte T, R A (A Child: Female Genital Mutilation: Asylum) [year missing in excerpt], Re A, R (Anton) and GD (Ghana) Citation Count: 7</t>
  </si>
  <si>
    <t>A v Liverpool City Council || R v Secretary of State for Home Department ex parte T || Re W || Re A, R (Anton) and GD (Ghana)</t>
  </si>
  <si>
    <t>215b4f1f-c45b-4b5a-83c7-d9ecf0c27585</t>
  </si>
  <si>
    <t>R3 v Secretary of State for the Home Department [2023] EWCA Civ 169</t>
  </si>
  <si>
    <t>215b4f1f-c45b-4b5a-83c7-d9ecf0c27585_citations_precedents</t>
  </si>
  <si>
    <t>Catalogues authorities cited; emphasizes ECHR jurisdiction and ‘in accordance with the law’ concepts in the context of deprivation and jurisdiction.</t>
  </si>
  <si>
    <t>Citations and Authorities: Neutral Citations: [2023] EWCA Civ 169 Law Reports: Referenced Cases: Al-Skeini v United Kingdom (applications to jurisdiction and Article 1 ECHR), S1 v Secretary of State for the Home Department, Gillan and others v United Kingdom, HF v France, Pham v Secretary of State for the Home Department [2015] UKSC 19, R (RJM) v Secretary of State for Work and Pensions, Abbas, Aziz, K2, Aziz (paras 80-81) Citation Count: 10</t>
  </si>
  <si>
    <t>Al-Skeini v UK || HF v France || Pham v SSHD || RJM v SSHD || S1 v SSHD || Abbas || Aziz || Gillan || K2</t>
  </si>
  <si>
    <t>b293e967-2f36-4ecf-b32f-db6614193b8b</t>
  </si>
  <si>
    <t>DJ (Pakistan) v Secretary of State for the Home Department [2022] EWCA Civ 1057</t>
  </si>
  <si>
    <t>b293e967-2f36-4ecf-b32f-db6614193b8b_citations_precedents</t>
  </si>
  <si>
    <t>Authorities cited: UT Rules 2008, TCEA 2002 (including 103A(7)(a), 103E(7)(a)), 2004 amendments, and related articles; discussion includes AEDO reference.</t>
  </si>
  <si>
    <t>Citations and Authorities: Neutral Citations: [2022] INLR 547, [2022] EWCA Civ 1057, [2022] WLR(D) 340, [2022] WLR 5381, [2022] 1 WLR 5381 Law Reports: Referenced Cases: Tribunal Procedure (Upper Tribunal) Rules 2008, Rule 43, Nationality, Immigration and Asylum Act 2002, ss. 82-106, Section 13(8) TCEA 2002, Asylum and Immigration (Treatment of Claimants, etc) Act 2004 (103A(7)(a), 103E(7)(a)), AEDO Article 3(m) (as cited in the text), Administrative Court / Court of Appeal (Civil Division) jurisprudence on jurisdiction of appellate review Citation Count: 6</t>
  </si>
  <si>
    <t>[2022] EWCA Civ 1057</t>
  </si>
  <si>
    <t>bab866ef-ca70-446c-a76d-a69bb3f7f15d_case_analysis</t>
  </si>
  <si>
    <t>Critical appraisal of the case’s future impact, complexity, and authority across similar statutory regimes.</t>
  </si>
  <si>
    <t>Case Analysis and Reasoning: Precedent Strength Assessment (7/10): • Court of Appeal decision provides a clear, authoritative interpretation of s.123D and s.123B within the Transport Act 2000 framework. • Clarifies that s.123D audits relate to s.123B assessments, not to ancillary reports (e.g., COVID Impact Reports), limiting potential overreach in requiring re-audits for non-assessments. • Novelty is moderate; the decision consolidates existing statutory reading and avoids creating a broad requirement to restart entire statutory processes on every material change in circumstances. • Positive: likelihood of citation in future franchising or similar statutory audit contexts within England and Wales. • Negative: limited universal applicability beyond the specific franchising statute and its amendments; some jurisdictions or statutory schemes may treat audit multiplicity differently. • Potential for misinterpretation remains where authorities treat sensitivity analyses as binding assessments; the court foregrounds the distinction. Confidence: 85% Complexity Score Assessment (7/10): • Multiple legal issues: statutory interpretation of s.123D vs s.123B; rationality and process concerns; scope of audit and disclosure to consultees. • Procedural complexity: appellate review of a High Court decision; interplay between administrative decisions and statutory requirements. • Factual complexity: pandemic-era context and its impact on procedural assessments, including affordability and value for money considerations. • Number of parties and interested parties adds procedural complexity; intergovernmental bodies and private operators involved. • Moderate analytic novelty: clarifying the statutory framework rather than creating a new legal doctrine; still non-trivial in its application to public transport franchising. Confidence: 88% Legal Significance: Important case with notable legal impact</t>
  </si>
  <si>
    <t>c671abf8-058b-4872-a1b9-82b27e8b0a0e</t>
  </si>
  <si>
    <t>Durham County Council v The Durham Company Limited [2023] EWCA Civ 729</t>
  </si>
  <si>
    <t>c671abf8-058b-4872-a1b9-82b27e8b0a0e_case_analysis</t>
  </si>
  <si>
    <t>Assessment of the case’s value as precedent and its complexity, including the novelty of a subsidy-control cost-cap framework and potential policy implications.</t>
  </si>
  <si>
    <t>Case Analysis and Reasoning: Precedent Strength Assessment (8/10): • This is a Court of Appeal (Civil Division) decision in a novel area: the first statutory judicial review under the Subsidy Control Act 2022 (s70). • The ruling will establish authoritative guidance on cost management in subsidy-control litigation, with potential impact on numerous future cases across England and Wales. • The issues involve established principles (Corner House, CPR 3.19) and their adaptation to subsidy-control contexts, presenting both clarity and potential for contestable interpretations. • As the Court of Appeal, its reasoning will carry strong persuasive authority, though the scope may be limited to subsidy-control contexts, potentially reducing universal applicability. • Uncertainties include the exact scope of the Court of Appeal’s guidance and how it interacts with existing procedural routes (cost budgeting, tariffs, and Rule 104 assessments). Confidence: 65% Complexity Score Assessment (7/10): • Multiple linked issues: cost capping in subsidy-control contexts, analogies to CPR 3.19, Corner House principles codified in CJCA 2015, quasi-private nature arguments, duty of candour, and differential treatment of pre- and post-CMC costs. • Procedural history includes CAT decision, court of appeal hearing, potential interplay of several statutes and authorities, which increases technical complexity. • Number of actors (two primary parties, counsel for both sides, reference to multiple authorities) and reliance on indirect authorities and procedural rules rather than merits-based issues adds to conceptual complexity. Confidence: 70% Legal Significance: Important case with notable legal impact</t>
  </si>
  <si>
    <t>a1f805a8-a05f-4642-a42e-5f073974259f</t>
  </si>
  <si>
    <t>Miah v The Independent Police Complaints Commission &amp; Anor</t>
  </si>
  <si>
    <t>a1f805a8-a05f-4642-a42e-5f073974259f_procedural_history</t>
  </si>
  <si>
    <t>This section outlines the procedural steps taken leading to the appeal and the significant findings by the investigating authorities.</t>
  </si>
  <si>
    <t>Procedural History: Court: England and Wales Court of Appeal (Civil Division) Lower Court: High Court (Admin Court) Judges: Lord Justice Rupert Jackson, Lord Justice Sales, Lord Justice Flaux Case Number: T3/2017/0173 Last Hearing Date: 14 December 2017 Duration: 120 days</t>
  </si>
  <si>
    <t>3e3e3bf7-ee19-4a93-a92d-d4e88a8038ec</t>
  </si>
  <si>
    <t>Bonsall v Secretary of State for Communities and Local Government &amp; Anor [2015] EWCA Civ 1246</t>
  </si>
  <si>
    <t>3e3e3bf7-ee19-4a93-a92d-d4e88a8038ec_citations_precedents</t>
  </si>
  <si>
    <t>List of significant legal authorities cited throughout the case, establishing the framework for the ruling.</t>
  </si>
  <si>
    <t>Citations and Authorities: Neutral Citations: 2016] 2 WLR 1407, [2015] EWCA Civ 1246, [2016] JPL 506, [2016] 1 P &amp;CR 20, [2016] QB 811, [2015] WLR(D) 514 Law Reports: Referenced Cases: Welwyn Hatfield Borough Council v Secretary of State for Communities and Local Government [2011] UKSC 15, R v Chief National Insurance Commissioner, ex p. Connor [1981] QB 758, R v Secretary of State for the Home Department, ex p. Puttick [1981] QB 767, R v South Ribble Borough Council, ex p. Hamilton (2001) 33 HLR 104 Citation Count: 4</t>
  </si>
  <si>
    <t>Welwyn Hatfield Borough Council v Secretary of State for Communities and Local Government [2011] UKSC 15 || R v Secretary of State for the Home Department, ex p. Puttick [1981] QB 767</t>
  </si>
  <si>
    <t>0f10aeb5-97b0-441b-a4b3-9ccc7a758b9f</t>
  </si>
  <si>
    <t>Amin v Director General of the Security Service &amp; Ors</t>
  </si>
  <si>
    <t>0f10aeb5-97b0-441b-a4b3-9ccc7a758b9f_procedural_history</t>
  </si>
  <si>
    <t>This section elaborates on the procedural history preceding the appeal, outlining significant court orders and appeals related to the case.</t>
  </si>
  <si>
    <t>Procedural History: Court: England and Wales Court of Appeal (Civil Division) Lower Court: High Court of Justice Queen's Bench Division Judges: LORD JUSTICE MOORE-BICK, LORD JUSTICE TOMLINSON, LORD JUSTICE UNDERHILL Case Number: T3/2013/1797 Last Hearing Date: 26 June 2015 Duration: 180 days</t>
  </si>
  <si>
    <t>9a308fff-9dbd-49af-a8ce-8219a3874ac4</t>
  </si>
  <si>
    <t>Bank Mellat v Her Majesty's Treasury [2015] EWCA Civ 1052</t>
  </si>
  <si>
    <t>9a308fff-9dbd-49af-a8ce-8219a3874ac4_procedural_history</t>
  </si>
  <si>
    <t>Timeline of procedural events leading up to the appeal including the initial judgment.</t>
  </si>
  <si>
    <t>Procedural History: Court: England and Wales Court of Appeal (Civil Division) Lower Court: High Court of Justice Queen's Bench Division Administrative Court Judges: The Master of the Rolls, Lord Justice Richards, Lord Justice Lewison Case Number: T3/2014/3965 Last Hearing Date: 23/10/2015 Duration: 360 days</t>
  </si>
  <si>
    <t>bfdd234f-62f5-43ff-afee-559e34362309</t>
  </si>
  <si>
    <t>The Law Society &amp; Ors v The Lord Chancellor: Judicial Review of Legal Aid Reforms [2015] EWCA Civ 230</t>
  </si>
  <si>
    <t>bfdd234f-62f5-43ff-afee-559e34362309_case_analysis</t>
  </si>
  <si>
    <t>Operational analysis of the case's significance and precedent.</t>
  </si>
  <si>
    <t>Case Analysis and Reasoning: Precedent Strength Assessment (7/10): • The case addresses significant issues in administrative law regarding the legal framework of public funding and procurement. • However, it concerns a specific aspect of legal aid reform without establishing a groundbreaking legal principle. • Court of Appeal judgments typically hold substantial persuasive authority but are subject to appeal at the Supreme Court, which affects citation potential. Confidence: 75% Complexity Score Assessment (8/10): • The case encompasses multiple legal issues including administrative law, public funding implications, and the assessment of financial models under LASPO. • The factual context involves complex interactions between legal frameworks, economic assessments, and stakeholder interests within the legal profession. • Numerous parties involved, alongside the variability in potential outcomes based on procedural requirements, increase the complexity significantly. Confidence: 85% Legal Significance: Important case with notable legal impact</t>
  </si>
  <si>
    <t>8e189a4f-dd48-4f90-87fb-fcbe67d39b28</t>
  </si>
  <si>
    <t>Milburn, R (On the Application Of) v Local Government and Social Care Ombudsman [2023] EWCA Civ 207 (28 February 2023)</t>
  </si>
  <si>
    <t>8e189a4f-dd48-4f90-87fb-fcbe67d39b28_citations_precedents</t>
  </si>
  <si>
    <t>Key authorities cited in interpreting s26(6)(a) and the Ombudsman's jurisdiction and the 'inextricably linked' concept.</t>
  </si>
  <si>
    <t>Citations and Authorities: Neutral Citations: [2023] EWCA Civ 207, [2023] WLR(D) 97 Law Reports: Referenced Cases: ER v The Commissioner for Local Government Administration [2014] EWCA Civ 1407, R v Commissioner for Local Government Administration ex parte Field [1999] EWHC 754 (Admin), R v Local Commissioner for Administration ex parte Bradford Metropolitan City Council [1979] QB 287, R v Commissioner for Local Administration ex parte Croydon London Borough Council [1989] 1 All ER 1033, R v Commissioner for Local Administration ex parte PH [unreported] 21 December 1988 Citation Count: 5</t>
  </si>
  <si>
    <t>ER v The Commissioner for Local Government Administration [2014] EWCA Civ 1407 || R v Commissioner for Local Government Administration ex parte Field [1999] EWHC 754 (Admin) || R v Local Commissioner for Administration ex parte Bradford Metropolitan City Council [1979] QB 287 || R v Commissioner for Local Administration ex parte Croydon London Borough Council [1989] 1 All ER 1033 || R v Commissioner for Local Administration ex parte PH [unreported] 1988</t>
  </si>
  <si>
    <t>95385a97-89c9-4dac-ba8f-3eea57d6be51</t>
  </si>
  <si>
    <t>AHK &amp; Ors, R (On the Application Of) v Secretary of State for the Home Department</t>
  </si>
  <si>
    <t>95385a97-89c9-4dac-ba8f-3eea57d6be51_procedural_history</t>
  </si>
  <si>
    <t>A chronological overview of the procedural history leading to the appeals and lower court judgments.</t>
  </si>
  <si>
    <t>Procedural History: Court: England and Wales Court of Appeal (Civil Division) Lower Court: High Court of Justice Administrative Court Judges: LORD JUSTICE RICHARDS Case Number: T3/2013/1774(A); T3/2013/1778(A); T3/2013/1815(A)(B); T3/2013/1893(A) Last Hearing Date: 21/02/2014 Duration: 365 days</t>
  </si>
  <si>
    <t>a01023c5-c3f7-4474-b50b-b4e9f4534b7a</t>
  </si>
  <si>
    <t>Williams v Devon County Council [2016] EWCA Civ 419</t>
  </si>
  <si>
    <t>a01023c5-c3f7-4474-b50b-b4e9f4534b7a_case_analysis</t>
  </si>
  <si>
    <t>Precedent and complexity assessment: high authority level but not higher than Supreme Court; significant for interpreting regulation 9 and public-inquiry triggers; potential policy impact on TROs.</t>
  </si>
  <si>
    <t>Case Analysis and Reasoning: Precedent Strength Assessment (8/10): • The decision is from the Court of Appeal, a high level of authority and likely to be cited in similar TRO/TRO-related statutory interpretation cases. • Novel issue on the scope of 'restrict' under regulation 9(3)(b): expands beyond physical restrictions, thus broadening potential applicability. • Clear articulation of an objective/functional test for 'restrict' by considering the effect on all public service vehicles, not just a single operator. • Strong reasoning on standing and CPR Part 19 substitution improves clarity for future similar procedural challenges. • Yet, it lacks a higher-level endorsement from the Supreme Court, and potential divergence in future cases could limit its universality. Confidence: 80% Complexity Score Assessment (7/10): • Multiple legal issues: interpretation of regulation 9(3)(b), public inquiry obligation, section 122 considerations, standing and substitution. • Interplay between ETOs and TROs, and between local government regulatory schemes (1984 Act, 1996 Regulations). • Factual complexity: multiple stakeholders (BTB, local businesses, residents) and a novel routing change with practical implications. • Procedural aspects: Administrative Court proceedings, CPR Part 19 substitution, and an appeal to the Court of Appeal with a nuanced evidentiary record. • Absence of final decision on section 122 within the appeal adds to interpretive ambiguity, though not affecting the primary holding. Confidence: 75% Legal Significance: Important case with notable legal impact</t>
  </si>
  <si>
    <t>475da4c1-c7bc-465e-97de-b7e84c625ddb</t>
  </si>
  <si>
    <t>Sanam v National Crime Agency [2015] EWCA Civ 1234</t>
  </si>
  <si>
    <t>475da4c1-c7bc-465e-97de-b7e84c625ddb_procedural_history</t>
  </si>
  <si>
    <t>An overview of the procedural history leading up to the appeal.</t>
  </si>
  <si>
    <t>Procedural History: Court: England and Wales Court of Appeal (Civil Division) Lower Court: Administrative Court Judges: The Chancellor (Sir Terence Etherton), Lord Justice Patten, Lord Justice Christopher Clarke Case Number: A2/2014/3876 Last Hearing Date: 02 December 2015 Duration: 100 days</t>
  </si>
  <si>
    <t>This case shows 65% similarity based on procedural history analysis.</t>
  </si>
  <si>
    <t>6fa3d0da-7143-471b-a26b-908ca5e65b60</t>
  </si>
  <si>
    <t>Turley v London Borough of Wandsworth &amp; Anor [2017] EWCA Civ 189</t>
  </si>
  <si>
    <t>6fa3d0da-7143-471b-a26b-908ca5e65b60_procedural_history</t>
  </si>
  <si>
    <t>The procedural history is explored, detailing the timeline from the High Court to the Appeal Court.</t>
  </si>
  <si>
    <t>Procedural History: Court: England and Wales Court of Appeal (Civil Division) Lower Court: High Court, Queen's Bench Division, Administrative Court Judges: Lord Justice Jackson, Lord Justice Underhill, Sir Stephen Tomlinson Case Number: C1/2014/4287 Last Hearing Date: 24/03/2017 Duration: 120 days</t>
  </si>
  <si>
    <t>bfa85128-3daf-4206-8d8f-d2dc5f32ab27</t>
  </si>
  <si>
    <t>Regency Factors Plc v HM Revenue &amp; Customs (Rev1) [2022] EWCA Civ 103</t>
  </si>
  <si>
    <t>bfa85128-3daf-4206-8d8f-d2dc5f32ab27_procedural_history</t>
  </si>
  <si>
    <t>Procedural trajectory from First-tier Tribunal to Upper Tribunal to Court of Appeal, including hearing dates and presiding judges.</t>
  </si>
  <si>
    <t>Procedural History: Court: England and Wales Court of Appeal (Civil Division) Lower Court: Upper Tribunal (Tax and Chancery Chamber) Judges: Lord Justice Underhill, Lord Justice Lewison, Lady Justice Macur Case Number: CA-2021-000506 (formerly A3/2021/0518) Last Hearing Date: 3 February 2022 Duration: 8 days</t>
  </si>
  <si>
    <t>[2020] UKUT 357 (TCC) || [2019] UKFTT 0144 (TC)</t>
  </si>
  <si>
    <t>This case shows 78% similarity based on case analysis analysis.</t>
  </si>
  <si>
    <t>cee945fc-95ce-4ed4-b003-4212c8b3f652</t>
  </si>
  <si>
    <t>R (Howard League for Penal Reform &amp; Anor) v The Lord Chancellor</t>
  </si>
  <si>
    <t>cee945fc-95ce-4ed4-b003-4212c8b3f652_case_analysis</t>
  </si>
  <si>
    <t>Detailed analysis of the case in terms of its significance and precedent effectiveness.</t>
  </si>
  <si>
    <t>Case Analysis and Reasoning: Precedent Strength Assessment (8/10): • The case involved a high court (Court of Appeal) ruling that sets out significant principles regarding systemic fairness in legal aid. • The legal issues are novel and related to the rights of vulnerable prisoners under the European Convention on Human Rights. • The reasoning was robust and detailed, evaluating the systemic implications of removing legal aid rather than addressing individual cases. • The potential for citation is high as it addresses critical issues around legal representation and fairness in judicial processes. Confidence: 90% Complexity Score Assessment (9/10): • The case featured multiple complex legal issues involving statutory interpretation and human rights considerations. • It involved extensive factual disputes regarding the conditions and capabilities of decision-making processes within prisons. • Numerous parties were involved, including various administrative bodies and witnesses, complicating the legal analysis necessary. • The level of expertise required to navigate through prison law and the intricacies of the legislative framework contributed to its complexity. Confidence: 85% Legal Significance: Highly significant case with strong precedential value</t>
  </si>
  <si>
    <t>Director of Legal Aid Casework v IS</t>
  </si>
  <si>
    <t>0dcbed84-c156-4a68-8ed1-5965dc040938</t>
  </si>
  <si>
    <t>Bowen v Secretary of State for Justice</t>
  </si>
  <si>
    <t>0dcbed84-c156-4a68-8ed1-5965dc040938_case_analysis</t>
  </si>
  <si>
    <t>Critical analysis on the precedent value and implications of the court’s ruling for future legal contexts.</t>
  </si>
  <si>
    <t>Case Analysis and Reasoning: Precedent Strength Assessment (7/10): • The case concerns a clear and relevant application of Article 5 of the ECHR, providing insight into post-release conditions for detained prisoners, which is significant within the legal landscape. • As a Court of Appeal decision, it carries weight and is likely to influence future cases regarding the timing of releases and procedural obligations under the Crime (Sentences) Act. • The reasoning provided in the decision is robust, but it falls short of establishing new legal principles, warranting a moderate strength score. Confidence: 85% Complexity Score Assessment (8/10): • The case operates within a complex interplay of statutory interpretation (s.28 of the CSA 1997) and human rights implications, notably under ECHR Article 5. • There are multiple legal issues involving public law duties, statutory interpretation, and the implications of administrative decisions regarding safety and rehabilitation. • The factual matrix involves an analysis of existing statutes, previous case law, and current policy considerations regarding the provision of Approved Premises. • The necessity for detailed understandings of the law related to public protection and the conditions of release adds layers of complexity. Confidence: 90% Legal Significance: Important case with notable legal impact</t>
  </si>
  <si>
    <t>R (Kaiyam) v Justice Secretary</t>
  </si>
  <si>
    <t>9cd8bb4c-43ff-49b2-8bc4-b8df5f3727d6_case_analysis</t>
  </si>
  <si>
    <t>Analytical assessment of the case’s precedential value, the factors contributing to complexity, and potential implications for future public law and Article 5 claims in prisoner rehabilitation.</t>
  </si>
  <si>
    <t>Case Analysis and Reasoning: Precedent Strength Assessment (7/10): • This is a Court of Appeal decision relying on Kaiyam and elaborating on the interaction between common law public duties and Article 5 rights; it is highly persuasive within England &amp; Wales public law/prisoner rehabilitation contexts but is not a Supreme Court ruling, limiting its binding force compared to a House of Lords/Supreme Court decision; it also clarifies that Article 5 ancillary liability is sensitive to individual circumstances and does not guarantee a remedy in every case. • precedent_strength_confidence”:85, • complexity_score":8, • complexity_score_reasoning":["Multiple intertwined legal issues (three public law duties; Article 5; rationality vs Wednesbury)","Difficult factual matrix (recall, memory disorders, compliance with programmes, phased release)","Judicial interpretation of Kaiyam and its narrow vs broad readings in domestic context","Diverse authorities cited (James, Walker, Cawser, Dunn, Pham, Hall)","Procedural history spanning Administrative Court and Court of Appeal with cross-appeal","Policy considerations about resource allocation and feasibility of programmes"], • complexity_score_confidence":82, • citations_referenced":[ Confidence: 85% Complexity Score Assessment (8/10): • Multiple intertwined legal issues (three public law duties; Article 5; rationality vs Wednesbury) • Difficult factual matrix (recall, memory disorders, compliance with programmes, phased release) • Judicial interpretation of Kaiyam and its narrow vs broad readings in domestic context • Diverse authorities cited (James, Walker, Cawser, Dunn, Pham, Hall) • Procedural history spanning Administrative Court and Court of Appeal with cross-appeal • Policy considerations about resource allocation and feasibility of programmes Confidence: 82% Legal Significance: Important case with notable legal impact</t>
  </si>
  <si>
    <t>Kaiyam || James || Walker || Cawser || Dunn || Pham</t>
  </si>
  <si>
    <t>3ade0032-d575-425c-850a-86f1701fb8bd</t>
  </si>
  <si>
    <t>Knights v Secretary of State for Justice [2017] EWCA Civ 1053</t>
  </si>
  <si>
    <t>3ade0032-d575-425c-850a-86f1701fb8bd_case_analysis</t>
  </si>
  <si>
    <t>In the case analysis, insights into the precedent strength and its implications for future cases are provided, along with complexity evaluations.</t>
  </si>
  <si>
    <t>Case Analysis and Reasoning: Precedent Strength Assessment (7/10): • The case reflects current interpretations of IPP sentences in light of evolving statutory frameworks; it demonstrates judicial reluctance to apply retrospective legislative changes for established sentences. • This appellate ruling reinforces the judicial interpretation of human rights legislation against the backdrop of public protection imperatives, thereby contributing to precedent. • While it builds on established principles, certain issues of law remain contentious, suggesting potential for future judicial review. Confidence: 80% Complexity Score Assessment (8/10): • The case involves numerous legal issues, particularly around statutory interpretation and human rights, reflecting significant judicial scrutiny. • Multiple procedural elements and extensive factual background increase complexity—particularly concerning the appellant’s previous convictions and rehabilitative efforts. • Legal novelty regarding the implications of legislative changes on existing sentences introduces an additional layer of complexity. Confidence: 85% Legal Significance: Important case with notable legal impact</t>
  </si>
  <si>
    <t>2fdeb3d5-a5cd-4c48-9438-38ffe4f4ee02</t>
  </si>
  <si>
    <t>RN v Secretary of State for the Home Department [2014] EWCA Civ 938</t>
  </si>
  <si>
    <t>2fdeb3d5-a5cd-4c48-9438-38ffe4f4ee02_case_analysis</t>
  </si>
  <si>
    <t>Evaluative commentary on the implications of the case and its precedent value.</t>
  </si>
  <si>
    <t>Case Analysis and Reasoning: Precedent Strength Assessment (7/10): • The case deals with significant principles of human rights and immigration law, especially concerning the implications of Article 3 of the ECHR. Confidence: 85% Complexity Score Assessment (8/10): • The case involves multiple legal issues including those concerning human rights, immigration status, and criminal law implications; procedures followed by both the Secretary of State and judicial review processes are complex. Confidence: 80% Legal Significance: Important case with notable legal impact</t>
  </si>
  <si>
    <t>31cfa701-5a3f-478d-bd6d-9990826f73d5</t>
  </si>
  <si>
    <t>Mansell v Tonbridge and Malling Borough Council</t>
  </si>
  <si>
    <t>31cfa701-5a3f-478d-bd6d-9990826f73d5_procedural_history</t>
  </si>
  <si>
    <t>Outline of the procedural history leading up to the appeal, including lower court actions and judicial review.</t>
  </si>
  <si>
    <t>Procedural History: Court: England and Wales Court of Appeal (Civil Division) Lower Court: Administrative Court Planning Court Judges: Lord Justice Lindblom, Lord Justice Hickinbottom Case Number: C1/2016/4488 Last Hearing Date: 08 September 2017 Duration: 60 days</t>
  </si>
  <si>
    <t>This case shows 71% similarity based on metadata summary analysis.</t>
  </si>
  <si>
    <t>c3dbe431-18cf-46e4-91ab-5d5b0ef0fdea</t>
  </si>
  <si>
    <t>Croke v Secretary of State for Communities and Local Government &amp; Anor [2017] EWCA Civ 423</t>
  </si>
  <si>
    <t>c3dbe431-18cf-46e4-91ab-5d5b0ef0fdea_procedural_history</t>
  </si>
  <si>
    <t>Chronology of the legal proceedings leading up to the appeal and key timelines in the case's history.</t>
  </si>
  <si>
    <t>Procedural History: Court: England and Wales Court of Appeal (Civil Division) Lower Court: High Court Queen's Bench Division (Planning Court) Judges: Lord Justice Hickinbottom Case Number: C1/2016/3929 Last Hearing Date: 06 June 2017 Duration: 70 days</t>
  </si>
  <si>
    <t>b9498527-3250-49cd-9d8e-ed7c0dda200e</t>
  </si>
  <si>
    <t>b9498527-3250-49cd-9d8e-ed7c0dda200e_metadata_summary</t>
  </si>
  <si>
    <t>Overview of the case involving VWFS's VAT claims against HMRC over residual input tax attribution.</t>
  </si>
  <si>
    <t>Case: Volkswagen Financial Services (UK) Ltd v HM Revenue &amp; Customs Court: England and Wales Court of Appeal (Civil Division) Category: Taxation Legal Areas: Value Added Tax, Tax Law Abstract: This Court of Appeal case addresses the deductibility of residual input tax related to general overheads incurred by Volkswagen Financial Services (VWFS) when supplying vehicles under hire-purchase agreements. The court ruled in favor of VWFS, allowing a partial attribution of input tax against the output tax on taxable supplies of vehicles, countering HMRC's stance that overhead costs were exclusively tied to exempt finance supplies. Keywords: VAT, input tax, exempt supplies, hire purchase, partial exemption special method Precedent Strength: 7/10 (85% confidence) Precedent Reasoning: The case is from a reputable appellate court and involves significant questions of VAT law. The reasoning provided by the court is clear and expansive, contributing to the existing precedent in VAT disputes regarding mixed-use businesses. However, the case largely turns on specific factual circumstances regarding VWFS's operations, which may limit its applicability to other similar cases. Complexity: 7/10 (80% confidence) Complexity Reasoning: The case involves multiple legal and factual issues regarding tax law interpretation, particularly the intricate relationship between taxable and exempt supplies. Determining the correct treatment of overhead costs under VAT requires a nuanced understanding of businesses' economic realities, adding complexity. The procedural history includes earlier tribunal decisions, which further complicate the legal standing and interpretations involved.</t>
  </si>
  <si>
    <t>Rompelman v Minister van Financiën</t>
  </si>
  <si>
    <t>This case shows 75% similarity based on metadata summary analysis.</t>
  </si>
  <si>
    <t>4ce131bd-2742-476d-a37a-0727c7980ebc</t>
  </si>
  <si>
    <t>Revenue and Customs v Mercedes-Benz Financial Services UK Ltd</t>
  </si>
  <si>
    <t>4ce131bd-2742-476d-a37a-0727c7980ebc_citations_precedents</t>
  </si>
  <si>
    <t>List of legal authorities and precedents cited during the decision-making process.</t>
  </si>
  <si>
    <t>Citations and Authorities: Neutral Citations: [2016] STC 392, [2015] STI 3371, [2016] 2 All ER 163, [2015] BVC 49, [2015] EWCA Civ 1211 Law Reports: Referenced Cases: Article 14 of the Principal VAT Directive (2006/112/EEC), Newey v HMRC Case C-653/11, Dixons Retail plc v HMRC Case C-494/12, Rodney Hogarth case Citation Count: 4</t>
  </si>
  <si>
    <t>Newey v HMRC Case C-653/11 || Dixons Retail plc v HMRC Case C-494/12</t>
  </si>
  <si>
    <t>This case shows 71% similarity based on citations precedents analysis.</t>
  </si>
  <si>
    <t>cd495d17-4a70-4b1a-ad32-713927ce6d8e</t>
  </si>
  <si>
    <t>Birmingham Hippodrome Theatre Trust Ltd v Revenue And Customs</t>
  </si>
  <si>
    <t>cd495d17-4a70-4b1a-ad32-713927ce6d8e_factual_summary</t>
  </si>
  <si>
    <t>This chunk summarizes the factual aspects of the case, highlighting the circumstances leading to the VAT disputes.</t>
  </si>
  <si>
    <t>Factual Summary: Parties: Birmingham Hippodrome Theatre Trust Ltd v The Commissioners for Her Majesty's Revenue and Customs Key Facts: The Birmingham Hippodrome Theatre Trust is a registered charity and operates the Birmingham Hippodrome.. The Trust originally treated its ticket sales as taxable, charging VAT until 2004 when it treated them as exempt.. HMRC erroneously paid input tax back to the Trust, which triggered a set off against the Trust's claims for output tax repayment. Case Summary: This case involves the Birmingham Hippodrome Theatre Trust, a registered charity that operates the theatre. The Trust sought repayment of VAT it had overpaid while HMRC set off amounts erroneously paid back to the Trust for input tax on refurbishment costs against the amount owed to the Trust. The Upper Tribunal held that HMRC was entitled to set off, which the Court of Appeal upheld, dismissing the Trust's appeal. The court’s decision clarified the application of VAT and the rights of claimants under EU law, particularly section 81 (3A) of VATA. Procedural Context: England and Wales Court of Appeal (Civil Division) case</t>
  </si>
  <si>
    <t>This case shows 71% similarity based on factual summary analysis.</t>
  </si>
  <si>
    <t>bfa85128-3daf-4206-8d8f-d2dc5f32ab27_citations_precedents</t>
  </si>
  <si>
    <t>Authorities cited within the judgment including prior tribunal decisions and relevant regulations.</t>
  </si>
  <si>
    <t>Citations and Authorities: Neutral Citations: [2022] EWCA Civ 103, [2022] WLR 3297, [2022] WLR(D) 84, [2022] STC 323, [2022] BVC 2, [2022] 1 WLR 3297 Law Reports: [2019] UKFTT 0144 (TC), [2019] STI 1015, [2020] UKUT 357 (TCC) Referenced Cases: [2022] EWCA Civ 103, [2020] UKUT 357 (TCC), [2019] UKFTT 0144 (TC), [2019] STI 1015, Regulation 166A of the VAT Regulations, Regulation 168, Regulation 172, VAT Directive Article 90 (PVD), CJEU VAT neutrality and proportionality jurisprudence Citation Count: 9</t>
  </si>
  <si>
    <t>[2019] UKFTT 0144 (TC) || [2020] UKUT 357 (TCC) || [2022] EWCA Civ 103</t>
  </si>
  <si>
    <t>5be7238d-b78e-4194-90ec-c036be53b377</t>
  </si>
  <si>
    <t>Leeds City Council v HM Revenue and Customs [2015] EWCA Civ 1293</t>
  </si>
  <si>
    <t>5be7238d-b78e-4194-90ec-c036be53b377_citations_precedents</t>
  </si>
  <si>
    <t>Outlines significant cases and authorities cited to support the court's decision.</t>
  </si>
  <si>
    <t>Citations and Authorities: Neutral Citations: 2016 STI 142, 2016 BVC 2, 2015 EWCA Civ 1293, 2016 STC 2256 Law Reports: Referenced Cases: VAT Act 1994, Finance Act 2008, Marks &amp; Spencer plc v Customs and Excise Comrs, Fleming v HMRC, Trustees of the BT Pension Scheme v HMRC, Banca Antoniana Popolare Veneta SpA v Ministero dell'Economia e Delle Finanze, Agenzia delle Entrate Citation Count: 6</t>
  </si>
  <si>
    <t>VAT Act 1994 || Marks &amp; Spencer plc v Customs and Excise Comrs || Fleming v HMRC</t>
  </si>
  <si>
    <t>88bb4a5f-a731-48de-9e0d-c8537ea915a0</t>
  </si>
  <si>
    <t>Littlewoods Ltd &amp; Ors v HM Revenue and Customs [2015] EWCA Civ 515</t>
  </si>
  <si>
    <t>88bb4a5f-a731-48de-9e0d-c8537ea915a0_citations_precedents</t>
  </si>
  <si>
    <t>This chunk lists legal authorities and cases cited in the analysis of the case.</t>
  </si>
  <si>
    <t>Citations and Authorities: Neutral Citations: 2016 Ch 373, 2015 WLR(D) 228, 2015 3 WLR 1748, 2015 BVC 26, 2015 STI 1791, 2015 STC 2014, 2015 EWCA Civ 515 Law Reports: Referenced Cases: Value Added Tax Act 1994, Kleinwort Benson v Lincoln City Council [1999] 2 AC 349, Woolwich Equitable Building Society v IRC [1993] AC 70, Sempra Metals Limited v Inland Revenue Commissioners [2007] UKHL 34 Citation Count: 4</t>
  </si>
  <si>
    <t>Kleinwort Benson v Lincoln City Council || San Giorgio || Metallgesellschaft</t>
  </si>
  <si>
    <t>5c2719bb-df7d-4d55-a473-dd5087c1d2e8</t>
  </si>
  <si>
    <t>Reed Employment Ltd v HM Revenue and Customs</t>
  </si>
  <si>
    <t>5c2719bb-df7d-4d55-a473-dd5087c1d2e8_legal_classification</t>
  </si>
  <si>
    <t>This section classifies the legal categories relevant to the case.</t>
  </si>
  <si>
    <t>Legal Classification: Primary Category: Financial Regulation Legal Areas: Tax Law, European Union Law, Administrative Law Jurisdiction: England and Wales Court Level: Appellate Legal Issues: Compatibility of UK VAT recovery legislation with EU law principles.. Whether the unjust enrichment defense breaches equal treatment and fiscal neutrality under EU law.. Assessment of the cut-off date's effects on claims for repayment. Keywords: VAT, EU Law, Unjust Enrichment, Equal Treatment, Fiscal Neutrality</t>
  </si>
  <si>
    <t>38eac6a9-6018-40fe-9d73-ab111162e65d</t>
  </si>
  <si>
    <t>ING Intermediate Holdings Ltd v HM Revenue and Customs [2017] EWCA Civ 2111</t>
  </si>
  <si>
    <t>38eac6a9-6018-40fe-9d73-ab111162e65d_citations_precedents</t>
  </si>
  <si>
    <t>This section details key legal authorities cited by the court which influenced its decision.</t>
  </si>
  <si>
    <t>Citations and Authorities: Neutral Citations: 2018] BVC 4, [2017] EWCA Civ 2111, [2018] STC 339 Law Reports: Referenced Cases: EU VAT Directive 2006/112/EC, C-4/94 BLP Group v Customs and Excise Commissioners, C-653/11 Revenue and Customs Commissioners v Newey, C-48/97 Kuwait Petroleum (GB) Ltd v Customs and Excise Commissioners Citation Count: 4</t>
  </si>
  <si>
    <t>C-4/94 BLP Group v Customs and Excise Commissioners || C-653/11 Revenue and Customs Commissioners v Newey</t>
  </si>
  <si>
    <t>52d1be75-0d9f-4b51-b6fc-183cfce77220</t>
  </si>
  <si>
    <t>Tower Bridge GP Ltd v Revenue And Customs [2022] EWCA Civ 998 (18 July 2022)</t>
  </si>
  <si>
    <t>52d1be75-0d9f-4b51-b6fc-183cfce77220_citations_precedents</t>
  </si>
  <si>
    <t>Catalog of authorities cited and relied upon in the judgment, reflecting EU and UK jurisprudence on VAT deduction and invoicing requirements.</t>
  </si>
  <si>
    <t>Citations and Authorities: Neutral Citations: [2022] EWCA Civ 998, [2022] STI 1060, [2022] STC 1324, [2022] BVC 9, [2023] 1 CMLR 16 Law Reports: Referenced Cases: Article 167, 168, 178, 179, 226 of Directive 2006/112/EC (VAT Directive), Article 178(a) and 226(3) of the VAT Directive, Barlis 06 (paras 40-44), Senatex [2017] STC 205, Geissel v Finanzamt Neuss (C‑374/16, C‑375/16), Zipvit Ltd v HMRC (Case C-156/20), Ferimet SL v Administracíon General del Estado (Case C-281/20), Kemwater ProChemie sro v Odvolací finanční ředitelství (Case C-154/20), Albert Collée v Finanzamt Limburg an der Lahn (Case C-146/05), Ecotrade SpA v Agenzia delle Entrate (Joined Cases C-95/07 and C-96/07), Geißel v Neuss (C-374/16, C-375/16) Citation Count: 11</t>
  </si>
  <si>
    <t>Albert Collée v Finanzamt Limburg an der Lahn (C-146/05) || Geissel v Finanzamt Neuss (C-374/16 and C-375/16) || Senatex (2017) STC 205 || Barlis 06 (2016) STC 43 || Zipvit Ltd v HMRC (C-156/20) || Ferimet SL v Administracíon General del Estado (C-281/20) || Kemwater ProChemie sro v Odvolací finanční ředitelství (C-154/20) || Ecotrade SpA v Agenzia delle Entrate (C-95/07 and C-96/07) || Albert Collée (C-146/05)</t>
  </si>
  <si>
    <t>3d0c1d2a-8c23-4f19-a7ba-587826b75f45</t>
  </si>
  <si>
    <t>University of Huddersfield Higher Education Corporation v HM Revenue and Customs</t>
  </si>
  <si>
    <t>3d0c1d2a-8c23-4f19-a7ba-587826b75f45_citations_precedents</t>
  </si>
  <si>
    <t>Authorities cited span EU case law and UK Supreme Court/UKSC and ECJ precedents on abuse of rights, deduction rules, and fiscal neutrality, forming the analytical backbone.</t>
  </si>
  <si>
    <t>Citations and Authorities: Neutral Citations: [2016] STC 1741, [2016] EWCA Civ 440, [2016] 4 All ER 652, [2016] STI 1654, [2016] BVC 16 Law Reports: [2014] UKUT 438 (TCC), [2015] STC 307, [2013] UKFTT 429 (TC), [2014] SFTD 78, [2002] 17854 (MAN/00/2630) Referenced Cases: Halifax plc v Customs and Excise Commissioners [2006] Ch 387, Case C-255/02 Halifax plc v Customs and Excise Commissioners, WHA Ltd v HMRC [2007] EWCA Civ 728; [2007] STC 1695, Pendragon plc v HMRC [2015] UKSC 37; [2015] 1 WLR 2838, HMRC v Weald Leasing Ltd [2011] STC 596, Case C-103/09 HMRC v Weald Leasing Ltd [2011] STC 596, Case C-110/99 Emsland-Stärke GmbH v Hauptzollamt Hamburg-Jonas [2000] ECR I-11569, Case C-255-02 Halifax plc v Customs and Excise Commissioners [2006] Ch 387, Poiares Maduro A-G in Halifax [2006] Ch 387, WHA Ltd v HMRC [2007] EWCA Civ 728, Weald Leasing Ltd (CJEU context on normality and abuse of rights), Case CJEU references: Halifax, Weald Leasing, Pendragon Citation Count: 12</t>
  </si>
  <si>
    <t>Halifax plc v CCE || WHA Ltd v HMRC || Pendragon plc v HMRC || HMRC v Weald Leasing Ltd || Emsland-Stärke GmbH v Hauptzollamt Hamburg-Jonas</t>
  </si>
  <si>
    <t>d18a7e9c-a930-43c5-a32d-bc205ffe00f8</t>
  </si>
  <si>
    <t>SAE Education Ltd v Revenue And Customs</t>
  </si>
  <si>
    <t>d18a7e9c-a930-43c5-a32d-bc205ffe00f8_citations_precedents</t>
  </si>
  <si>
    <t>This chunk lists all relevant case citations and statutory laws referenced throughout the judgement.</t>
  </si>
  <si>
    <t>Citations and Authorities: Neutral Citations: [2017] STC 2166, [2017] BVC 37, [2017] EWCA Civ 1116 Law Reports: Referenced Cases: VDAT Act 1994, Article 132(1)(i) PVD, Customs and Excise Commrs v University of Leicester Students' Union [2001] EWCA Civ 1972, SFM Ltd v Revenue and Customs [2001] STC 1690, London College of Computing Ltd v Revenue and Customs [2013] UKUT 404 Citation Count: 5</t>
  </si>
  <si>
    <t>VAT Act 1994 || University of Leicester Students' Union, [2001] EWCA Civ 1972</t>
  </si>
  <si>
    <t>dc715706-f35f-4a5c-8ad7-a824c23f5260</t>
  </si>
  <si>
    <t>Associated Newspapers Ltd v HM Revenue &amp; Customs [2017] EWCA Civ 54</t>
  </si>
  <si>
    <t>dc715706-f35f-4a5c-8ad7-a824c23f5260_citations_precedents</t>
  </si>
  <si>
    <t>Compilation of all legal authorities and relevant citations referenced throughout the judgment.</t>
  </si>
  <si>
    <t>Citations and Authorities: Neutral Citations: [2017] EWCA Civ 54, [2017] BVC 10, [2017] STC 843 Law Reports: Referenced Cases: [2015] UKUT 641 (TCC), Case C-288/94 Argos v HMRC, Case C-62/00 Marks &amp; Spencer, Case C-4/94 BLP Group v Customs and Excise Commissioners, Case C-98/98 Midland Bank plc v Customs and Excise Commissioners, Case C-126/14 Sveda UAB v Valstybine mokesciu inspekcija Citation Count: 6</t>
  </si>
  <si>
    <t>[2015] UKUT 641 (TCC) || Case C-288/94 Argos v HMRC || Case C-62/00 Marks &amp; Spencer || Case C-4/94 BLP Group v Customs and Excise Commissioners || Case C-98/98 Midland Bank plc v Customs and Excise Commissioners || Case C-126/14 Sveda UAB v Valstybine mokesciu inspekcija</t>
  </si>
  <si>
    <t>ff706e01-2911-4522-b7e2-4cb4ed7e3992</t>
  </si>
  <si>
    <t>Revenue And Customs v The Open University [2016] EWCA Civ 114</t>
  </si>
  <si>
    <t>ff706e01-2911-4522-b7e2-4cb4ed7e3992_citations_precedents</t>
  </si>
  <si>
    <t>List of cited authorities and cases underpinning the decision and its reasoning.</t>
  </si>
  <si>
    <t>Citations and Authorities: Neutral Citations: [2016] EWCA Civ 114, [2016] STI 519, [2016] BVC 10, [2016] STC 2273, [2017] 2 All ER 390, [2017] 4 WLR 113 Law Reports: Stichting Horizon College v Staatssecretaris van Financien (Horizon College) [2008] STC 2145, Case C-434/05 Stichting Regionaal Opleidingen Centrum Noord-Kennemerland/West-Friesland (Horizon College) v Staatssecretaris van Financiën, Cambridge University v HMRC [2009] EWHC 434 (Ch) [2009] STC 1288, Case C-319/12 Minister Finansów v MDDP sp z oo Akademia Biznesu [2014] STC 699, Case C-174/06 Ministero delle Finanze-Ufficio IVA di Milano v CO.GE.P Srl [2008] STC 2744, Case C-287/00 Commission v Germany [2002] ECR I-5811, Case C-85/11 Commission v Ireland [2013] STC 2336, Case C-98/07 Nordania Finans A/S v Skatteministerie [2008] ECR I-1281, Case C-595/13 Staatssecretaris van Financien v Fiscale Eenheid X NV cs [2015], Case C-445/05 Haderer v Finanzamt Wilmersdorf [2007] ECR I-4841, Case C-473/08 Eulitz v Finanzamt Dresden [2010] ECR I-0907, Case C-434/05 Horizon College (as above) Referenced Cases: Stichting Horizon College v Staatssecretaris van Financien [2008] STC 2145, Case C-434/05 Stichting Regionaal Opleidingen Centrum Noord-Kennemerland/West-Friesland (Horizon College) v Staatssecretaris van Financien, Cambridge University v HMRC [2009] EWHC 434 (Ch) [2009] STC 1288, Case C-319/12 Minister Finansów v MDDP sp z oo Akademia Biznesu [2014] STC 699, Case C-174/06 Ministero delle Finanze-Ufficio IVA di Milano v CO.GE.P Srl [2008] STC 2744, Case C-287/00 Commission v Germany [2002] ECR I-5811, Case C-85/11 Commission v Ireland [2013] STC 2336, Case C-98/07 Nordania Finans A/S v Skatteministerie [2008] ECR I-1281, Case C-595/13 Staatssecretaris van Financien v Fiscale Eenheid X NV cs [2015], Case C-445/05 Haderer v Finanzamt Wilmersdorf [2007] ECR I-4841, Case C-473/08 Eulitz v Finanzamt Dresden [2010] ECR I-0907, Case C-434/05 Horizon College (as above) Citation Count: 12</t>
  </si>
  <si>
    <t>Stichting Horizon College v Staatssecretaris van Financien || Case C-434/05 Horizon College || Cambridge University v HMRC || JP Morgan Fleming Claverhouse || Kingscrest Associates Ltd v Montecello Ltd || MDDP sp z oo Akademia Biznesu || Saudaçor v Fazenda Publica</t>
  </si>
  <si>
    <t>fb90f1ad-6132-491d-be89-35324c43b367</t>
  </si>
  <si>
    <t>HM Revenue and Customs v Brockenhurst College [2015] EWCA Civ 1196</t>
  </si>
  <si>
    <t>fb90f1ad-6132-491d-be89-35324c43b367_citations_precedents</t>
  </si>
  <si>
    <t>Compilation of legal authorities cited throughout the case that support the Court's assessment and provide context to the legal arguments.</t>
  </si>
  <si>
    <t>Citations and Authorities: Neutral Citations: 2016] STI 72, [2016] STC 2457, [2015] BVC 52, [2015] EWCA Civ 1196 Law Reports: Referenced Cases: Skatteverket v PFC Clinic AB (Case C-91/12), EC Commission v Federal Republic of Germany (Case C-287/00), EC Commission v France (Case C-76/99), Stichting Regionaal Opleidingen Centrum Noord-Kennemerland/West Friesland v Staatssecretaris van Financiën (Case C-434/05), Canterbury Hockey Club v Revenue and Customs Comrs (Case C-253/07) Citation Count: 5</t>
  </si>
  <si>
    <t>EC Commission v Federal Republic of Germany (Case C-287/00)</t>
  </si>
  <si>
    <t>690f2978-b410-456d-8745-0fd24cea8bf6</t>
  </si>
  <si>
    <t>Greenspace (UK) Ltd v Commissioners for HM Revenue and Customs [2023] EWCA Civ 106</t>
  </si>
  <si>
    <t>690f2978-b410-456d-8745-0fd24cea8bf6_citations_precedents</t>
  </si>
  <si>
    <t>Authorities and prior decisions cited in interpreting Note 1(a) and related VAT rules</t>
  </si>
  <si>
    <t>Citations and Authorities: Neutral Citations: [2023] EWCA Civ 106, [2023] WLR(D) 76, [2023] BVC 3 Law Reports: WLR(D) 76, BVC 3 Referenced Cases: Pinevale, Wetheralds, Coleborn (T) &amp; Sons Ltd v Blond, Customs and Excise Commissioners v Marchday Holdings Ltd, HMRC v Proctor &amp; Gamble UK, Stock v Jones, Finanzamt Steglitz v Zimmerman, Value Added Tax (Reduced Rate) (Energy-Saving Materials) Order 2019 (SI 2019/958), Finance Act 2000 s 135; Schedule 35, Finance Act 2001 s 99; Schedule 31 Citation Count: 10</t>
  </si>
  <si>
    <t>Pinevale || Wetheralds || Coleborn v Blond || Marchday Holdings || Proctor &amp; Gamble UK || Stock v Jones || Zimmerman</t>
  </si>
  <si>
    <t>34f65455-ab57-4843-8247-69713c6d5d1d</t>
  </si>
  <si>
    <t>Iveco Ltd v Revenue And Customs</t>
  </si>
  <si>
    <t>34f65455-ab57-4843-8247-69713c6d5d1d_legal_classification</t>
  </si>
  <si>
    <t>Categorization of the legal framework and laws involved in the case.</t>
  </si>
  <si>
    <t>Legal Classification: Primary Category: Tax Law Legal Areas: Value Added Tax, European Union Law, Administrative Law Jurisdiction: England and Wales Court Level: Appellate Legal Issues: Is Iveco's claim for VAT repayments time-barred?. What are the implications of the Sixth Directive on VAT claims in this case?. Under what conditions can a taxable amount be adjusted for VAT? Keywords: VAT, time-barred, refunds, EU directives, tax law</t>
  </si>
  <si>
    <t>c009622e-9e72-4c9c-a114-e74deba95ac2</t>
  </si>
  <si>
    <t>Revenue and Customs (HMRC) v London Clubs Management Ltd</t>
  </si>
  <si>
    <t>c009622e-9e72-4c9c-a114-e74deba95ac2_case_analysis</t>
  </si>
  <si>
    <t>Analysis of the legal significance of the case and its implications for future interpretations of gaming duty law.</t>
  </si>
  <si>
    <t>Case Analysis and Reasoning: Precedent Strength Assessment (8/10): • The case clarifies significant tax implications on a sector where non-negotiable chips have been used, making it a notable ruling in UK tax law. • The court's interpretation of statutory language regarding tax duties potentially influences future cases by similar authorities, thus indicating a strong precedent. Confidence: 85% Complexity Score Assessment (7/10): • The case involved multiple legal considerations, including statutory interpretation and the evaluation of economic realities concerning gaming duties. • The diversity of parties involved and legal arguments makes it a somewhat complex matter, but it does not reach maximum complexity due to its focused legal issue. Confidence: 80% Legal Significance: Important case with notable legal impact</t>
  </si>
  <si>
    <t>7253e952-4693-4c28-8c6d-f176b4e6f194_citations_precedents</t>
  </si>
  <si>
    <t>Authorities cited across EU and UK law underpinning EU-law rights, derogation, proportionality, and direct effect standards in VAT context.</t>
  </si>
  <si>
    <t>Citations and Authorities: Neutral Citations: [2016] EWCA Civ 1015, [2016] BVC 39, [2017] STC 1247 Law Reports: Referenced Cases: Case C-588/10 Minister Finansow v Kraft Foods Polska SA, Case C-230/87 Naturally Yours Cosmetics v Commissioners of Customs and Excise, Case C-317/94 Gibbs v Commissioners of Customs and Excise, Case C-33? (Goldsmiths) C-330/95, Case C-62/00 Marks &amp; Spencer plc v Commissioners of Customs and Excise, Case C-201/10 Ze-Fu Fleischhandel GmbH v Hauptzollamt Hamburg-Jonas, Case C-201/07 Almos Agrárkülkeskedelmi Kft v Nemzeti Adó- és Vámhivatal Közép-magyarországi Regionális Adó Főigazgatósága, Case C-487/01 Gemeente Leusden and C-7/02 Holin Groep v Finanzamt (time-limit transitional issues), Case C-201/08 Plantanol GmbH &amp; Co KG v Hauptzollamt Doemstadt, Case C-95/07 Ecotrade, Case C-95/07 Ecotrade (Grundig II references), BT Administrative Court decision [2014] EWCA Civ 433 (BT CA), Fleming (t/a Bodycraft) v HMRC [2008] UKHL 2, Autologic plc v Inland Revenue [2006] UKHL 37, Marks &amp; Spencer plc v Commissioners of Customs and Excise (C-62/00), Alstom Power Hydro v Valsts ieņēmumu dienests (C-472/08), Gibbs v CCE (C-317/94), Goldsmiths (Jewellers) Ltd v Customs and Excise Commissioners (C-330/95), Kraft Foods Polska SA v Minister Finansow (Case C-588/10), Gibbs, Naturally Yours Cosmetics, Leusden, Plantanol, Almos, Ze-Fu Fleischhandel Citation Count: 20</t>
  </si>
  <si>
    <t>Goldsmiths (C-330/95) || Marks &amp; Spencer (C-62/00) || Almos (C-337/13) || Plantanol (C-201/08) || Ze-Fu Fleischhandel (C-201/10; C-202/10)</t>
  </si>
  <si>
    <t>52d20bb9-6964-44a6-9c32-d191ef76297c_citations_precedents</t>
  </si>
  <si>
    <t>List of important legal precedents and statutory provisions cited in relation to the court's decision.</t>
  </si>
  <si>
    <t>Citations and Authorities: Neutral Citations: 2016] EWHC 1767 (QB) Law Reports: Referenced Cases: Highways Act 1980, Goodes v East Sussex CC [2000] 1 WLR 1356, Russell v West Sussex Council [2010] EWCA CIV 71, Gorringe v Calderdale MBC [2004] 1 WLR 1057 Citation Count: 4</t>
  </si>
  <si>
    <t>Highways Act 1980 || Goodes v East Sussex CC [2000] 1 WLR 1356</t>
  </si>
  <si>
    <t>This case shows 75% similarity based on citations precedents analysis.</t>
  </si>
  <si>
    <t>5a42b4bc-fe8f-47be-9b13-869933b2ddff_citations_precedents</t>
  </si>
  <si>
    <t>Case cites important precedents that clarify the extent of Local Authorities' duty of care in negligence claims.</t>
  </si>
  <si>
    <t>Citations and Authorities: Neutral Citations: 2010 RTR 462, 2010 EWCA Civ 776, 2011 QB 827, 2011 2 WLR 1073, 2011 PTSR 1295 Law Reports: Referenced Cases: Gorringe v Calderdale Metropolitan Borough Council [2004] 1 WLR 1057, Stovin v Wise [1996] AC 923, Larner v Solihull Metropolitan Borough Council [2001] RTR 469 Citation Count: 3</t>
  </si>
  <si>
    <t>fd2b8470-21d5-4110-8733-8d925e298b9d</t>
  </si>
  <si>
    <t>McGeer v McIntosh [2017] EWCA Civ 79</t>
  </si>
  <si>
    <t>fd2b8470-21d5-4110-8733-8d925e298b9d_citations_precedents</t>
  </si>
  <si>
    <t>Legal authorities and precedents referenced in the judgment.</t>
  </si>
  <si>
    <t>Citations and Authorities: Neutral Citations: 2017] EWCA Civ 79 Law Reports: Referenced Cases: Highway Code rules 72, 73, 211, Jackson v Murray [2015] UKSC 5 Citation Count: 2</t>
  </si>
  <si>
    <t>Jackson v Murray [2015] UKSC 5</t>
  </si>
  <si>
    <t>c4a822cc-6b52-4913-bf0d-44e5a274399e</t>
  </si>
  <si>
    <t>The Law Society of England and Wales v Schubert Murphy (A Firm) [2017] EWCA Civ 1295</t>
  </si>
  <si>
    <t>c4a822cc-6b52-4913-bf0d-44e5a274399e_citations_precedents</t>
  </si>
  <si>
    <t>This chunk identifies the cases and legal citations referred to within the judgment, providing relevant legal context.</t>
  </si>
  <si>
    <t>Citations and Authorities: Neutral Citations: [2017] WLR(D) 583, [2017] EWCA Civ 1295, [2017] 4 WLR 200 Law Reports: Referenced Cases: Yuen Kun Yeu v Attorney-General of Hong Kong [1988] AC 175, Caparo Industries plc v Dickman [1990] 2 AC 605, Smith v Littlewoods Organisation Ltd [1987] AC 241, Gooden v Northamptonshire County Council [2002] PNLR 18, T (a minor) v Surrey County Council [1994] 4 ER 577 Citation Count: 5</t>
  </si>
  <si>
    <t>Yuen Kun Yeu v Attorney-General of Hong Kong [1988] AC 175 || Caparo Industries plc v Dickman [1990] 2 AC 605</t>
  </si>
  <si>
    <t>0b882e45-d34e-49f7-baae-3d5657d1ccc6_citations_precedents</t>
  </si>
  <si>
    <t>List of legal authorities cited in the case, providing precedent for the decision.</t>
  </si>
  <si>
    <t>Citations and Authorities: Neutral Citations: [2001] EWHC Admin 616 Law Reports: Referenced Cases: Highways Act 1980, Burnside v Emerson [1968] 1 WLR 1490, Goodes v East Sussex County Council [2000] 1 WLR 1356 Citation Count: 3</t>
  </si>
  <si>
    <t>Goodes v East Sussex County Council [2000] || Burnside v Emerson [1968]</t>
  </si>
  <si>
    <t>0a18c66b-4753-4650-959e-afb376e78fef</t>
  </si>
  <si>
    <t>Pawar v JSD Haulage Ltd [2016] EWCA Civ 551</t>
  </si>
  <si>
    <t>0a18c66b-4753-4650-959e-afb376e78fef_outcome_holding</t>
  </si>
  <si>
    <t>Court of Appeal outcome: partial success for appellant, recalibration of several damage heads, and guidance on costs and interest.</t>
  </si>
  <si>
    <t>Case Outcome: Holding: Appeal allowed in part; the Court of Appeal increased the damages in the appellant’s favor and recalculated several heads of loss, while rejecting most fresh evidence. The overall award for pain, suffering and loss of amenity and special damages increased to approximately £96,292.10, with interest to be determined and costs to follow the appeal’s outcome. Outcome: plaintiff Precedent Strength: 8/10 Complexity Score: 9/10 Damages: 96292.1 Legal Significance: Highly significant case with strong precedential value</t>
  </si>
  <si>
    <t>2f6e33a1-8b12-43c8-8f96-e12ae90a4d33</t>
  </si>
  <si>
    <t>Manolete Partners Plc v Hastings Borough Council</t>
  </si>
  <si>
    <t>2f6e33a1-8b12-43c8-8f96-e12ae90a4d33_citations_precedents</t>
  </si>
  <si>
    <t>This chunk provides insight into the key legal authorities and statutes cited in the case.</t>
  </si>
  <si>
    <t>Citations and Authorities: Neutral Citations: [2014] 1 WLR 4030, [2014] WLR 4030, [2014] BLR 389, [2014] EWCA Civ 562, [2014] WLR(D) 193 Law Reports: Referenced Cases: R v Bristol City Council, ex parte Everett [1999] 1 WLR at 1180H, Hobbs v Winchester Corporation [1910] 2 KB 471, Gray v Thames Trains Ltd [2009] UKHL 33 Citation Count: 3</t>
  </si>
  <si>
    <t>R v Bristol City Council, ex parte Everett || Hobbs v Winchester Corporation</t>
  </si>
  <si>
    <t>46a37196-4d76-45b8-bbe2-7c9ca8f38f3b</t>
  </si>
  <si>
    <t>Landau v The Big Bus Company Ltd &amp; Anor [2014] EWCA Civ 1102</t>
  </si>
  <si>
    <t>46a37196-4d76-45b8-bbe2-7c9ca8f38f3b_case_analysis</t>
  </si>
  <si>
    <t>Analysis of the case's significance for future precedents in negligence and road safety law.</t>
  </si>
  <si>
    <t>Case Analysis and Reasoning: Precedent Strength Assessment (7/10): • The case is at the appellate level, providing a strong precedent within the jurisdiction. • It addresses key issues in road traffic law, especially regarding duties of care and visibility. • Legal conclusions drawn from factual assessments reflect comprehensive judicial reasoning. Confidence: 85% Complexity Score Assessment (6/10): • The case involves multiple parties and a traffic accident with nuances regarding visibility and driver behavior. • Legal complexity arises from the need to understand both procedural law regarding negligence and the specific facts that inform the legal standards applied. • The presence of conflicting testimonies and the necessity to assess the credibility of the witnesses adds layers of complexity. Confidence: 80% Legal Significance: Moderately significant case with some precedential value</t>
  </si>
  <si>
    <t>cca799a2-4754-4359-b06d-601ee3439fcf</t>
  </si>
  <si>
    <t>Taylor v Burton &amp; Anor [2015] EWCA Civ 142</t>
  </si>
  <si>
    <t>cca799a2-4754-4359-b06d-601ee3439fcf_outcome_holding</t>
  </si>
  <si>
    <t>The outcome reveals the court's decision to remand the case for further determination of property rights.</t>
  </si>
  <si>
    <t>Case Outcome: Holding: The appeal was allowed to the extent that the previous ruling was set aside, and the case was remitted for a retrial regarding the right of way's limits and other associated issues. Outcome: remanded Precedent Strength: 7/10 Complexity Score: 8/10 Damages: 500 Legal Significance: Important case with notable legal impact</t>
  </si>
  <si>
    <t>This case shows 67% similarity based on outcome holding analysis.</t>
  </si>
  <si>
    <t>880e79e1-325f-4cf1-a0c9-bdac6d491cba_case_analysis</t>
  </si>
  <si>
    <t>Analytical assessment of the case's precedent value and complexity, including factors that influence its weight in future cases.</t>
  </si>
  <si>
    <t>Case Analysis and Reasoning: Precedent Strength Assessment (7.5/10): • The case sits at the Court of Appeal level, providing a high-status appellate interpretation of Gestmin principles and evidence assessment in tort claims involving contested factual issues. • The decision clarifies the proper testing of conflicting evidence, including the cautious handling of expert accident reconstruction evidence and reliance on objective data. • The broad doctrinal impact is moderate because it reinforces established principles rather than announcing a radically new rule; however, it has potential to influence future road-traffic negligence trials and the weighting of eyewitness/technical evidence. • There is a risk of overgeneralisation given the case’s specific factual context (a single accident with limited documentary evidence). • Potential for citation by other courts exists as a clarification of Gestmin-style reasoning in road traffic cases. Confidence: 76% Complexity Score Assessment (7/10): • Multiple issues: (1) legal standards for evaluating conflicting evidence; (2) whether an unpleaded theory (wrap-around) can be considered; (3) evaluation of lay and expert evidence with limited hard data. • Factual complexity with a short-time, high-stakes injury event and conflicting eyewitness accounts plus expert testimony. • Procedural complexity due to appellate review of trial-level reasoning and application of Gestmin, including potential broader implications for similar cases. • Involves questions about standard of care in driving and duties in a pedestrian accident, requiring both legal analysis and factual assessment. • Moderate to high complexity given the attempt to reconcile competing narratives with limited objective data. Confidence: 72% Legal Significance: Important case with notable legal impact</t>
  </si>
  <si>
    <t>Gestmin SGPS (SA) v Credit Suisse (UK) Limited</t>
  </si>
  <si>
    <t>82d8ca93-47f5-468a-805f-22afbaf56924</t>
  </si>
  <si>
    <t>82d8ca93-47f5-468a-805f-22afbaf56924_citations_precedents</t>
  </si>
  <si>
    <t>List of significant legal precedents and citations referenced during the judgment.</t>
  </si>
  <si>
    <t>Citations and Authorities: Neutral Citations: 2016] 4 All ER 490, 2017] 1 All ER (Comm) 319, 2017] Ch 389, 2015] EWCA Civ 1023, 2017] 3 WLR 166, 2015] CN 1587 Law Reports: Referenced Cases: Legione v Hately (1983) 152 CLR 406, Amalgamated Investment &amp; Property Co Ltd (in Liquidation) v Texas Commerce International Bank Ltd [1982] 1 QB 84, Chitty on Contracts 31st ed. para 3-107, In re Zinotty Properties Ltd [1984] 1 WLR 1249 at 1260-1261., Gower and Davies, Principles of Modern Company Law 8th ed. page 944. Citation Count: 5</t>
  </si>
  <si>
    <t>Legione v Hately (1983) 152 CLR 406 || Amalgamated Investment &amp; Property Co Ltd (in Liquidation) v Texas Commerce International Bank Ltd [1982] 1 QB 84</t>
  </si>
  <si>
    <t>b8de63a1-be7b-4764-8d72-2b529e7812b8</t>
  </si>
  <si>
    <t>Tillman v Egon Zehnder Ltd [2017] EWCA Civ 1054</t>
  </si>
  <si>
    <t>b8de63a1-be7b-4764-8d72-2b529e7812b8_citations_precedents</t>
  </si>
  <si>
    <t>List of legal authorities referenced throughout the case to support arguments regarding covenant enforceability.</t>
  </si>
  <si>
    <t>Citations and Authorities: Neutral Citations: 2018] ICR 574, [2017] WLR(D) 492, [2017] EWCA Civ 1054, [2017] IRLR 906 Law Reports: Referenced Cases: Chitty on Contracts (32nd edition, 2015), Turner v Commonwealth and British Minerals Ltd [2000] IRLR 114, William Cory &amp; Son Ltd v C W Harrison [1906] AC 274, Scully UK Ltd v Lee [1998] IRLR 261, CEF Holdings Ltd v Munday [2012] IRLR 912, Traditional Financial Services Ltd v Gamberoni [2017] EWHC 768 (QB) Citation Count: 6</t>
  </si>
  <si>
    <t>William Cory &amp; Son Ltd v C W Harrison || Scully UK Ltd v Lee</t>
  </si>
  <si>
    <t>2f55d6fc-d021-46d3-babd-7424b10b0d23</t>
  </si>
  <si>
    <t>Transocean Drilling U.K. Ltd v Providence Resources Plc [2016] EWCA Civ 372</t>
  </si>
  <si>
    <t>2f55d6fc-d021-46d3-babd-7424b10b0d23_citations_precedents</t>
  </si>
  <si>
    <t>Compilation of authorities cited to support interpretation and doctrinal stance.</t>
  </si>
  <si>
    <t>Citations and Authorities: Neutral Citations: [2016] EWCA Civ 372, [2016] BLR 360, 165 Con LR 1, [2016] 2 Lloyd's Rep 51 Law Reports: BLR 360 (2016), EWCA Civ 372 (2016), 165 Con LR 1 (2016), [2016] 2 Lloyd's Rep 51 (2016) Referenced Cases: Photo Production Ltd v Securicor Transport Ltd [1980] AC 827, Gilbert-Ash (Northern) Ltd v Modern Engineering (Bristol) Ltd [1974] AC 689, Saint Line v Richardsons Westgarth &amp; Co Ltd [1940] 2 K.B. 99, Croudace Construction Ltd v Cawoods Concrete Products Ltd (1978) 8 B.L.R. 20, Deepak Fertilisers Ltd v ICI Chemicals and Polymers Ltd [1999] Lloyd's Rep. 387, Canada Steamship Lines Ltd v The King [1952] AC 192, Arnold v Britton [2015] UKSC 36, [2015] AC 1619, Chartbrook Ltd v Persimmon Homes Ltd [2009] UKHL 38, [2009] 1 AC 1101, Nobahar-Cookson v The Hut Group Ltd [2016] EWCA Civ 128, Tor Line A.B. v Alltrans Group of Canada Ltd (The 'T.F.L. Prosperity') [1984] 1 W.L.R. 48, Kudos Catering (UK) Ltd v Manchester Central Convention Complex Ltd [2013] EWCA Civ 38, [2013] 2 Lloyd's Rep. 270, Great North Eastern Railway Ltd v Avon Insurance Plc [2001] EWCA Civ 780, [2001] Lloyd's Rep IR 793, A Turtle Offshore S.A. v Superior Trading Inc. [2009] Lloyd's Rep. 177 (Admlty) (The 'A Turtle'), Tor Line v Alltrans (see above) and related cases cited in judgment Citation Count: 14</t>
  </si>
  <si>
    <t>Photo Production v Securicor || Gilbert-Ash || Saint Line || Croudace Construction || Deepak Fertilisers || Canada Steamship Lines || Arnold v Britton || Chartbrook || Nobahar-Cookson || Kudos Catering || Tor Line v Alltrans || Great North Eastern Railway || A Turtle Offshore</t>
  </si>
  <si>
    <t>481bab6a-1b92-467d-9838-15c341ee5a8c_case_analysis</t>
  </si>
  <si>
    <t>Assessment of the case’s precedent value and overall complexity, including its potential impact on contract-law practice and the boundaries of implied/relational contracts.</t>
  </si>
  <si>
    <t>Case Analysis and Reasoning: Precedent Strength Assessment (7/10): • The decision sits in the Court of Appeal, a high authority for Contract Law principles in England and Wales • It relies on established authorities (Trentham, Mamidoil, Carmichael, Notting Hill Finance, Spar Shipping, Heis v MF Global, Alpha, Hamsard) to evaluate master vs. implied contracts, repudiation, and notice periods • No novel legal rule announced; rather, the case clarifies the boundary between master contracts and individual contracts and the limitations of implied terms when not pleaded • It provides guidance on when new points on appeal may be raised and the dangers of attempting to reframe factual disputes post-trial • The holding is likely to have persuasive value for similar disputes in commercial distribution arrangements, but its precedential impact depends on the similarity of facts to other relational contract cases Confidence: 75% Complexity Score Assessment (8/10): • Multiple intertwined issues: existence of a master contract vs. five individual contracts • Question of exclusivity and conduct-based variations, including implied terms • Issues of repudiation vs. renunciation and their distinctions • Implied contracts and conduct-based evolution that were argued but not pleaded • Cross-appeal involving Bargain Booze and an assessment of notice periods • Heavy factual matrix with trial-level determinations and numerous authorities cited • Requirement to distinguish trial findings from appellate re-interpretation Confidence: 72% Legal Significance: Important case with notable legal impact</t>
  </si>
  <si>
    <t>0440b668-5c42-4aa2-af77-34dc98088648</t>
  </si>
  <si>
    <t>Reveille Independent LLC v Anotech International (UK) Ltd [2016] EWCA Civ 443 (06 May 2016)</t>
  </si>
  <si>
    <t>0440b668-5c42-4aa2-af77-34dc98088648_citations_precedents</t>
  </si>
  <si>
    <t>List of principal authorities and treatises cited to ground the reasoning on contract formation by conduct, waiver of signature, and related doctrines.</t>
  </si>
  <si>
    <t>Citations and Authorities: Neutral Citations: [2016] EWCA Civ 443, 166 Con LR 79 Law Reports: Referenced Cases: Brogden v Metropolitan Railway Co (1877) 2 App Cas 666, RTS Flexible Systems Ltd v Molkerei Alois Muller GmbH [2010] UKSC 14, Oceansografia SA de CV v DSND Subsea Services Ltd (The Botnica) [2006] EWHC 1360 (Comm), Chitty on Contracts, 32nd ed, 2015, MSM Consulting Ltd v United Republic of Tanzania [2009] EWHC 121 (QB), Cobbe v Yeoman's Row Management Ltd [2008] UKHL 55; [2008] 1 WLR 1752, FirstEnergy (UK) Ltd v Hungarian National Bank Ltd [1993] BCC 533, G. Percy Trentham Ltd v Archital Luxfer Ltd [1993] 1 Lloyd's Rep 27 Citation Count: 8</t>
  </si>
  <si>
    <t>Brogden v Metropolitan Railway Co (1877) 2 App Cas 666 || RTS Flexible Systems Ltd v Molkerei Alois Muller GmbH [2010] UKSC 14 || Oceaneografia SA de CV v DSND Subsea AS (The Botnica) [2007] 1 All ER 28 || Cobbe v Yeoman’s Row Management Ltd [2008] UKHL 55 || Percy Trentham Ltd v Archital Luxfer Ltd [1993] 1 Lloyd’s Rep 27 || FirstEnergy (UK) Ltd v Hungarian National Bank Ltd [1993]</t>
  </si>
  <si>
    <t>ac9e2aa7-8f93-4867-9f5c-72e9e84f3e82</t>
  </si>
  <si>
    <t>African Export-Import Bank &amp; Ors v Shebah Exploration &amp; Production Company Ltd &amp; Ors [2017] EWCA Civ 845</t>
  </si>
  <si>
    <t>ac9e2aa7-8f93-4867-9f5c-72e9e84f3e82_citations_precedents</t>
  </si>
  <si>
    <t>List of important cases and legal precedents cited in the court's judgment to support its conclusions.</t>
  </si>
  <si>
    <t>Citations and Authorities: Neutral Citations: [2017] EWCA Civ 845, [2017] 2 Lloyd's Rep 111, [2018 WLR 487, [2018] 1 All ER (Comm) 535, [2017] WLR(D) 431 Law Reports: Referenced Cases: L'Estrange v Graucob [1934] 2 KB 394, British Fermentation Products Ltd v Compair Reavell Ltd [1999] 2 All ER Comm 389, HSBC v Kloeckner &amp; Co AG [1990] 2 QB 514, St Albans City and District Council v International Computers Ltd [1996] 4 All ER 481, McCrone v Boots Farm Sales [1981] SLT 103, Hadley Design Associates v Westminster City Council [2003] EWHC 1617, Yuanda (UK) Co Ltd v WW Gear Construction Ltd [2011] Bus LR 360 Citation Count: 7</t>
  </si>
  <si>
    <t>L'Estrange v Graucob || HSBC v Kloeckner &amp; Co AG</t>
  </si>
  <si>
    <t>20c41856-c64f-4dad-b767-100e914e3e97</t>
  </si>
  <si>
    <t>Credit Suisse Asset Management LLC v Titan Europe 2006-1 PLC &amp; Ors [2016] EWCA Civ 1293</t>
  </si>
  <si>
    <t>20c41856-c64f-4dad-b767-100e914e3e97_citations_precedents</t>
  </si>
  <si>
    <t>Authorities cited to ground contract interpretation principles and CMBS context.</t>
  </si>
  <si>
    <t>Citations and Authorities: Neutral Citations: [2016] EWCA Civ 1293 Law Reports: Referenced Cases: Arnold v Britton [2015] AC 1619, Chartbrook Ltd v Persimmon Homes Ltd [2009] UKHL 38, Rainy Sky v Kookmin [2011] UKSC 56, Luxor (Eastbourne) v Cooper [1941] AC 108, Hayfin Opal Luxco 3 SARL and another v Windermere VII CMBS plc and others [2016] EWHC 782 (Ch) Citation Count: 5</t>
  </si>
  <si>
    <t>Arnold v Britton || Chartbrook || Rainy Sky v Kookmin || Luxor (Eastbourne) v Cooper || Hayfin Opal Luxco 3 v Windermere VII CMBS plc</t>
  </si>
  <si>
    <t>0a5f334d-2cf4-4784-ac73-187edc32d1a4</t>
  </si>
  <si>
    <t>Adaptive Spectrum and Signal Alignment Inc v British Telecommunications Plc [2023] EWCA Civ 451</t>
  </si>
  <si>
    <t>0a5f334d-2cf4-4784-ac73-187edc32d1a4_citations_precedents</t>
  </si>
  <si>
    <t>List of authorities cited to ground the interpretive framework and doctrinal approach.</t>
  </si>
  <si>
    <t>Citations and Authorities: Neutral Citations: [2023] EWCA Civ 451 Law Reports: Referenced Cases: Rainy Sky SA v Kookmin Bank [2011] UKSC 50, Arnold v Britton and others [2015] UKSC 36, Wood v Capita Insurance Services Ltd [2017] UKSC 24, Chartbrook Ltd v Persimmon Homes Ltd [2009] UKHL 38, Investors Compensation Scheme Ltd v West Bromwich Building Society [1998] 1 WLR 896, Britvic plc v Britvic Pensions Ltd [2021] EWCA Civ 867 Citation Count: 6</t>
  </si>
  <si>
    <t>Rainy Sky SA v Kookmin Bank || Arnold v Britton || Wood v Capita Insurance Services Ltd || Chartbrook Ltd v Persimmon Homes Ltd || Investors Compensation Scheme Ltd v West Bromwich Building Society || Britvic plc v Britvic Pensions Ltd</t>
  </si>
  <si>
    <t>4d33f167-56be-4e08-9ffb-5286e2d1942e</t>
  </si>
  <si>
    <t>Kupeli &amp; Ors v Atlasjet Havacilik Anonim Sirketi</t>
  </si>
  <si>
    <t>4d33f167-56be-4e08-9ffb-5286e2d1942e_legal_classification</t>
  </si>
  <si>
    <t>Classification of the legal issues involved as contract disputes under consumer protection law.</t>
  </si>
  <si>
    <t>Legal Classification: Primary Category: Contract Dispute Legal Areas: Commercial Law, Consumer Law, Contract Law Jurisdiction: England and Wales Court Level: Appellate Legal Issues: Enforceability of conditional fee agreements under consumer protection regulations.. Definition of 'excursion' as per consumer law directives.. Compliance with notice requirements under UK consumer regulations. Keywords: class action, conditional fee agreement, consumer protection, airline ticketing, breach of contract</t>
  </si>
  <si>
    <t>Cox v Woodlands Manor Care Home [2015] EWCA Civ 415</t>
  </si>
  <si>
    <t>9ad69869-4dab-46a0-9f04-c64fba98abda</t>
  </si>
  <si>
    <t>Balfour Beatty Regional Construction Limited v Grove Developments Limited</t>
  </si>
  <si>
    <t>9ad69869-4dab-46a0-9f04-c64fba98abda_citations_precedents</t>
  </si>
  <si>
    <t>Authorities cited in decision include the 1996 Act, Scheme Regulations, and a spectrum of contract interpretation precedents informing the court’s approach.</t>
  </si>
  <si>
    <t>Citations and Authorities: Neutral Citations: [2016] EWCA Civ 990, 168 Con LR 1, [2016] EWCA Civ 990, [2017] Bus LR 824, [2017] WLR 1893, [2017] BLR 1, [2017] 1 WLR 1893, [2016] WLR(D) 522 Law Reports: [2017] 1 All ER (Comm) 729, [2017] 1 All ER (Comm) 729, 168 Con LR 1, [2017] Bus LR 824, [2017] WLR 1893, [2017] BLR 1, [2017] 1 WLR 1893, [2016] WLR(D) 522 Referenced Cases: Housing Grants, Construction and Regeneration Act 1996, ss. 109, 110, Scheme for Construction Contracts (England and Wales) Regulations 1998, JCT Design and Build Contract 2011, Arnold v Britton [2015] UKSC 36, BP Refinery (Westernport) Pty Ltd v Shire of Hastings (1977) 180 CLR 266, Keating on Construction Contracts (10th ed), Marks and Spencer v BNP Paribas Securities Services Trust Co [2016] UKSC 72, Equitable Life Assurance Society v Hyman [2002] 1 AC 408, Clarke-Jervoise v Scutt (no year cited in case text), Aberdeen City Council v Stewart Milne Group Limited [2012] UKSC 34 (SC (UKSC) 240) Citation Count: 10</t>
  </si>
  <si>
    <t>Arnold v Britton || BP Refinery || Marks &amp; Spencer v BNP Paribas || Equitable Life v Hyman || Clarke-Jervoise v Scutt || Aberdeen City Council v Stewart Milne Group</t>
  </si>
  <si>
    <t>0637f79f-8d32-4067-bec7-17f10449cbe1</t>
  </si>
  <si>
    <t>Arnold v Britton &amp; Ors [2015] UKSC 36</t>
  </si>
  <si>
    <t>0637f79f-8d32-4067-bec7-17f10449cbe1_citations_precedents</t>
  </si>
  <si>
    <t>Collections of legal authorities referenced throughout the judgment provide supporting context for rulings.</t>
  </si>
  <si>
    <t>Citations and Authorities: Neutral Citations: [2015] AC 1619, [2016] 1 All ER 1, [2015] HLR 31, [2015] 2 WLR 1593, [2015] UKSC 36, [2015] WLR(D) 247 Law Reports: Referenced Cases: Prenn v Simmonds [1971] 1 WLR 1381, Rainy Sky SA v Kookmin Bank [2011] UKSC 50, Homburg Houtimport BV v Agrosin Private Ltd [2004] 1 AC 715, Chartbrook Ltd v Persimmon Homes Ltd [2009] 1 AC 1101, Aberdeen City Council v Stewart Milne Group Ltd [2011] UKSC 56 Citation Count: 5</t>
  </si>
  <si>
    <t>Prenn v Simmonds || Homburg Houtimport BV v Agrosin Private Ltd</t>
  </si>
  <si>
    <t>5aaf3307-a875-481c-b3a7-4f8657b7ab03</t>
  </si>
  <si>
    <t>Kason Kek-Gardner Ltd v Process Components Ltd [2017] EWCA Civ 2132</t>
  </si>
  <si>
    <t>5aaf3307-a875-481c-b3a7-4f8657b7ab03_citations_precedents</t>
  </si>
  <si>
    <t>This chunk details the legal authorities cited throughout the court's decision.</t>
  </si>
  <si>
    <t>Citations and Authorities: Neutral Citations: [2017] EWCA Civ 2132 Law Reports: Referenced Cases: Smith v Chadwick (1882) 20 Ch D 27, 62, Wood v Capita Insurance Services Ltd [2017] UKSC 24; [2017] 2 WLR 1095, Arnold v Britton [2015] UKSC 26; [2015] AC 1619, Chartbrook Ltd v Persimmon Homes Ltd [2009] UKHL 38; [2009] 1 AC 1101, Macdonald v Longbottom (1859) 1 E &amp; E 977, (1860) 1 E&amp; E 987 Citation Count: 5</t>
  </si>
  <si>
    <t>Arnold v Britton [2015] || Chartbrook Ltd v Persimmon Homes Ltd [2009]</t>
  </si>
  <si>
    <t>82e80ba1-3036-445d-847d-ee32403a256e</t>
  </si>
  <si>
    <t>TJH And Sons Consultancy Ltd v CPP Group Plc [2017] EWCA Civ 46</t>
  </si>
  <si>
    <t>82e80ba1-3036-445d-847d-ee32403a256e_citations_precedents</t>
  </si>
  <si>
    <t>List of legal precedents and authorities referenced within the court's decision.</t>
  </si>
  <si>
    <t>Citations and Authorities: Neutral Citations: [2017] EWCA Civ 46 Law Reports: Referenced Cases: Arnold v Britton [2015] UKSC 36, Chartbrook Ltd v Persimmon Homes Ltd [2009] 1 AC 1101, Tradigrain SA v King Diamond Marine Ltd [2000] 2 All ER (Comm) 542 Citation Count: 3</t>
  </si>
  <si>
    <t>Chartbrook Ltd v Persimmon Homes Ltd [2009] 1 AC 1101 || Arnold v Britton [2015] UKSC 36</t>
  </si>
  <si>
    <t>6cecd02f-6d40-4d13-80f4-06b5a5ada00e</t>
  </si>
  <si>
    <t>MSC Mediterranean Shipping Company S.A. v Cottonex Anstalt [2016] EWCA Civ 789</t>
  </si>
  <si>
    <t>6cecd02f-6d40-4d13-80f4-06b5a5ada00e_citations_precedents</t>
  </si>
  <si>
    <t>Authorities cited and applied to framing repudiation, frustration, and liquidated damages analysis.</t>
  </si>
  <si>
    <t>Citations and Authorities: Neutral Citations: [2016] EWCA Civ 789 Law Reports: Referenced Cases: White &amp; Carter (Councils) Ltd v McGregor [1962] AC 413, Makdessi v Cavendish Square Holdings B.V. [2013] EWCA Civ 1539, Geys v Société Générale [2013] 1 AC 523, Universal Cargo Carriers Corpn v Citati [1957] 2 Q.B. 401, Nitrate Corporation of Chile Ltd v Pansuiza Compania de Navegacion S.A. (The 'Hermosa') [1980] 1 Lloyd's Rep. 638, Pioneer Shipping Ltd. v B.T.P. Tioxide Ltd. (The 'Nema') [1982] AC 724, The Puerto Buitrago (Attica Sea Carriers Corp v Ferrostaal Poseidon Bulk Reederei) [1976] 1 Lloyd's Rep. 250, Isabella Shipowner S.A. v Shagang Shipping Co Ltd (The 'Aquafaith') [2012] EWHC 1077 (Comm), Decro-Wall International S.A. v Practitioners in Marketing Ltd [1971] 1 W.L.R. 361, The Odenfeld (Gator Shipping Corpn v Trans-Asiatic Oil Ltd S.A.) [1978] 2 Lloyd's Rep 357, Clea Shipping Corp v Bulk Oil International Ltd (The 'Alaskan Trader') [1984] 1 All E.R. 129, Arnold v Britton [2015] UKSC 36, Bhasin v Hrynew [2014] 3 S.C.R. 494, Geys (see above), The Aquafaith (Isabella Shipowner S.A. v Shagang Shipping Co Ltd) (2012) cited in judgment Citation Count: 15</t>
  </si>
  <si>
    <t>White &amp; Carter (Councils) Ltd v McGregor || Makdessi v Cavendish Square Holdings || Geys v Société Générale || The Puerto Buitrago (Attica Sea Carriers) || Clea Shipping Corp v Bulk Oil International (Alaskan Trader) || Isabella Shipowner S.A. v Shagang Shipping Co Ltd (Aquafaith) || Nema (Pioneer Shipping) and others</t>
  </si>
  <si>
    <t>2d2f67c0-33b8-47de-ade5-124c90fc1a95_metadata_summary</t>
  </si>
  <si>
    <t>This chunk provides an overview of the case, addressing the basic facts, parties involved, and the court's jurisdiction.</t>
  </si>
  <si>
    <t>Case: Chartbrook Ltd v Persimmon Homes Ltd &amp; Ors [2009] UKHL 38 Court: United Kingdom House of Lords Category: Commercial Law Legal Areas: Contract Law, Commercial Contracts, Interpretation of Contracts Abstract: In 'Chartbrook Ltd v Persimmon Homes Ltd &amp; Ors', the House of Lords addressed the contractual interpretation of an agreement concerning a mixed residential and commercial development. The Court ultimately favored Persimmon's understanding of payment structures over Chartbrook's, emphasizing the importance of the established rules regarding contract interpretation, particularly the inadmissibility of pre-contractual negotiations. Keywords: contract interpretation, pre-contractual negotiations, Balancing Payment, Minimum Guaranteed Residential Unit Value, Additional Residential Payment, House of Lords, commercial law Precedent Strength: 8/10 (85% confidence) Precedent Reasoning: The case was decided by the House of Lords, which adds significant weight to its precedent value as it is a highest court ruling. The issues at stake involve well-established principles of contract law and interpretation, although there are elements of novelty regarding the specific application of those principles in this context. The ruling may impact future contracts and interpretations around pre-contractual negotiations, leading to potential citation in future cases. Complexity: 7/10 (80% confidence) Complexity Reasoning: The case involved complex commercial agreements that required a detailed understanding of both contractual terminology and the intentions of the parties involved during negotiations. Multiple legal issues arose, including the ambiguity in contractual language and the application of established legal doctrines, which complicates the case. However, the overall legal concepts were grounded in a traditional framework of contract interpretation, which delineated some clarity.</t>
  </si>
  <si>
    <t>This case shows 66% similarity based on metadata summary analysis.</t>
  </si>
  <si>
    <t>18a7e76b-357b-4cb4-9eb8-0b151cce320d</t>
  </si>
  <si>
    <t>Persimmon Homes Ltd v Ove Arup &amp; Partners Ltd &amp; Anor [2017] EWCA Civ 373</t>
  </si>
  <si>
    <t>18a7e76b-357b-4cb4-9eb8-0b151cce320d_citations_precedents</t>
  </si>
  <si>
    <t>Citations and references to prior case law and principles relevant to the court's decision.</t>
  </si>
  <si>
    <t>Citations and Authorities: Neutral Citations: [2017] BLR 417, [2017] PNLR 29, [2017] EWCA Civ 373, 172 Con LR 1 Law Reports: Referenced Cases: Unfair Contract Terms Act 1977, Canada Steamship Lines Ltd v The King [1952] AC 192, K/S Victoria Street v House of Fraser (Stores Management) Ltd [2011] EWCA Civ 904, Transocean Drilling UK Ltd v Providence Resources PLC [2016] EWCA Civ 372 Citation Count: 4</t>
  </si>
  <si>
    <t>Canada Steamship Lines Ltd v The King [1952] AC 192</t>
  </si>
  <si>
    <t>4126051a-c7c4-46ba-9c04-d146114124eb</t>
  </si>
  <si>
    <t>FM Conway Limited v Rugby Football Union &amp; Ors [2023] EWCA Civ 418</t>
  </si>
  <si>
    <t>4126051a-c7c4-46ba-9c04-d146114124eb_citations_precedents</t>
  </si>
  <si>
    <t>A dedicated chunk listing the cited authorities and their relevance to co-insurance and contract construction.</t>
  </si>
  <si>
    <t>Citations and Authorities: Neutral Citations: [2023] EWCA Civ 418 Law Reports: Gard Marine Energy Limited v China National Chartering Co Limited &amp; Anr [2017] UKSC 35, National Oilwell (UK) Ltd v Davy Offshore Ltd [1993] 2 Lloyd's Rep 582, Co-operative Retail Services Ltd v Taylor Young Partnership Ltd [2002] UKHL 17, Tyco Fire &amp; Integrated Solutions (UK) Ltd v Rolls-Royce Motor Cars Ltd [2008] EWCA Civ 286, Haberdashers’ Aske’s Federation Trust v Lakehouse Contracts Ltd [2018] EWHC 558 (TCC), SSE Generation Ltd v Hochtief Solutions AG [2018] CSIH 26, Petrofina (UK) Ltd v Magnaload Ltd &amp; Anr [1984] 1 QB 127, Keighley Maxsted &amp; Co v Durant [1901] AC 240, Trollope &amp; Colls Ltd v Atomic Power Construction Ltd [1963] 1 WLR 333 Referenced Cases: Gard Marine Energy Limited v China National Chartering Co Limited &amp; Anr [2017] UKSC 35, National Oilwell (UK) Ltd v Davy Offshore Ltd [1993] 2 Lloyd's Rep 582, Co-operative Retail Services Ltd v Taylor Young Partnership Ltd [2002] UKHL 17, Tyco Fire &amp; Integrated Solutions (UK) Ltd v Rolls-Royce Motor Cars Ltd [2008] EWCA Civ 286, Haberdashers’ Aske’s Federation Trust v Lakehouse Contracts Ltd [2018] EWHC 558 (TCC), SSE Generation Ltd v Hochtief Solutions AG [2018] CSIH 26, Petrofina (UK) Ltd v Magnaload Ltd &amp; Anr [1984] 1 QB 127, Keighley Maxsted &amp; Co v Durant [1901] AC 240, Trollope &amp; Colls Ltd v Atomic Power Construction Ltd [1963] 1 WLR 333 Citation Count: 9</t>
  </si>
  <si>
    <t>Gard Marine Energy Limited v China National Chartering Co Limited &amp; Anr [2017] UKSC 35 || National Oilwell UK Ltd v Davy Offshore Ltd [1993] 2 Lloyd's Rep 582 || Petrofina (UK) Ltd v Magnaload Ltd &amp; Anr [1984] 1 QB 127 || Co-operative Retail Services Ltd v Taylor Young Partnership Ltd [2002] UKHL 17 || Tyco Fire &amp; Integrated Solutions (UK) Ltd v Rolls-Royce Motor Cars Ltd [2008] EWCA Civ 286 || Haberdashers' Aske's Federation Trust v Lakehouse Contracts Ltd [2018] EWHC 558 (TCC) || SSE Generation Ltd v Hochtief Solutions AG [2018] CSIH 26</t>
  </si>
  <si>
    <t>d360670d-fa4d-4fed-b79a-03f09fe7855c</t>
  </si>
  <si>
    <t>Evangelou &amp; Ors v McNicol (Rev 1) [2016] EWCA Civ 817</t>
  </si>
  <si>
    <t>d360670d-fa4d-4fed-b79a-03f09fe7855c_citations_precedents</t>
  </si>
  <si>
    <t>Key authorities cited or relied upon in interpreting contract terms and discretionary powers of governance bodies within associations.</t>
  </si>
  <si>
    <t>Citations and Authorities: Neutral Citations: [2016] EWCA Civ 817, [2016] WLR(D) 460, [2016] WLR(D) 470 Law Reports: Referenced Cases: Choudhry v Tresiman [2003] EWHC 1203 (Comm), John v Rees [1970] 1 Ch 345, Raggett v Musgrave (1827) 2 C &amp; P 556, Dawkins v Antrobus (1881) 17 Ch D 615, Harington v Sendall [1903] 1 Ch 921, Re Tobacco Trade Benevolent Society (Sinclair v Finlay) [1958] 3 All ER 353, Chartbrook Ltd v Persimmon Homes Ltd [2009] UKHL 38, Arnold v Britton [2015] UKSC 36, Marks &amp; Spencer PLC v BNP Paribas Security Services Trust Co (Jersey) Ltd [2015] UKSC 72, Sigma Finance Corp v Re Sigma Finance Corp [2009] UKSC 2, Socimer International Bank Ltd v Standard Bank London Ltd [2008] EWCA Civ 116, Braganza v BP Shipping [2015] UKSC 17, Wickman Machine Tool Sales Ltd v L Schuler AG [1974] AC 235, Arbuthnot v Fagan [1995] CLC 1396, Jeffers v The Labour Party [2011] EWHC 529 (QB), Foster v McNicol [2016] EWHC 1966 (QB) Citation Count: 16</t>
  </si>
  <si>
    <t>Socimer International Bank Ltd v Standard Bank London Ltd || Braganza v BP Shipping || Wickman Machine Tool Sales Ltd v L Schuler AG || Arbuthnot v Fagan || Arnold v Britton || Chartbrook Ltd v Persimmon Homes Ltd || Sigma Finance Corp v Re Sigma Finance Corp || Jeffers v The Labour Party || Foster v McNicol</t>
  </si>
  <si>
    <t>43d4ac89-b448-44d9-9932-c5736983a48f_metadata_summary</t>
  </si>
  <si>
    <t>Overview of the appeal, parties, and core GAFTA-related issues, including two contracts and the main valuation question under GAFTA Default Clause (c).</t>
  </si>
  <si>
    <t>Case: Sharp Corp Ltd v Viterra BV [2023] EWCA Civ 7 Court: England and Wales Court of Appeal (Civil Division) Category: Contract Dispute Legal Areas: Contract Law, Commercial Law, GAFTA arbitration, Arbitration Act 1996, International Trade Abstract: England and Wales Court of Appeal (Civil Division) considers a question of law arising from GAFTA arbitration awards about how to value goods on the date of default under GAFTA Default Clause (c). The excerpt provided records the appeal route from the High Court (Commercial Court) and the dates of hearing, but does not include the Court of Appeal’s final holding. The dispute centers on whether valuation should follow market value at the discharge port or the theoretical cost to repurchase at the original port plus freight. Keywords: GAFTA_arbitration, default_clause_c, valuation_method, discharge_port_value, Mundra_discharge, C&amp;F_free_out, Non_Payment_Clause, Arbitration_Act_1996_s69, EWCA_Civ_7 Precedent Strength: 7/10 (70% confidence) Precedent Reasoning: The Court of Appeal sits as a high-tier appellate authority in England and Wales, so its judgment on GAFTA arbitration has strong persuasive weight within English law and is likely to be cited in similar GAFTA-default disputes. The issue involves a relatively technical area (GAFTA clause interpretation and international trade valuation), which increases its utility as precedent but may limit universal applicability to other contracts or jurisdictions. NG: The court’s decision would clarify whether market value at discharge port or the alternative ‘theoretical cost’ method should be used, affecting numerous GAFTA-based trades; this breadth supports high precedent value if the court adopts a clear rule. Quality of reasoning and the potential for wide citation by GAFTA arbitration tribunals and commercial courts enhance its authority, provided the Court presents a coherent test and rationale. The lack of certainty from the excerpt about the final holding reduces perceived strength until the full judgment is reviewed. Complexity: 7/10 (75% confidence) Complexity Reasoning: Single, narrowly-defined issue framed as a question of law under a specialized arbitration clause (GAFTA Default Clause (c)) Involves understanding of contractual terms (free out, non-payment clause) and their interaction with damages, plus the valuation standard under a commercial contract fo…</t>
  </si>
  <si>
    <t>[2023] EWCA Civ 7 || [2022] EWHC 354 (Comm)</t>
  </si>
  <si>
    <t>f8755763-8d90-4b51-8a0a-d11efa528908</t>
  </si>
  <si>
    <t>f8755763-8d90-4b51-8a0a-d11efa528908_legal_classification</t>
  </si>
  <si>
    <t>Classification of the legal framework governing agency workers' information rights and EU-law transposition.</t>
  </si>
  <si>
    <t>Legal Classification: Primary Category: Employment Law Legal Areas: Agency Workers Regulations 2010, Directive 2008/104/EC, Non-discrimination in employment, Statutory interpretation, EU law and domestic implementation Jurisdiction: England and Wales Court Level: Court of Appeal (Civil Division) Legal Issues: Whether Regulation 13(1) AWR extends beyond informing agency workers of vacancies to a right to apply for and be considered for those vacancies.. How the Directive 2008/104/EC (specifically Article 6) informs the interpretation of Regulation 13(1) and its direct effect.. Whether Coles v Ministry of Defence should be treated as binding on the scope of information rights in agency work.. Purposive vs literal interpretation of AWR provisions in light of EU law.. Impact of redeployment pools and the balance between flexibility for employers and protection for agency workers. Keywords: Agency Workers Regulations 2010, Regulation 13, Directive 2008/104/EC, Day 1 rights, right to information, right to apply, Coles v Ministry of Defence, redeployment pool, purposive interpretation, Court of Appeal (Civil Division)</t>
  </si>
  <si>
    <t>Coles v MOD || Directive 2008/104/EC</t>
  </si>
  <si>
    <t>4f977444-ccac-4d7e-9884-b7b75680cfa6</t>
  </si>
  <si>
    <t>The Civil Aviation Authority v Ryanair DAC [2022] EWCA Civ 76</t>
  </si>
  <si>
    <t>4f977444-ccac-4d7e-9884-b7b75680cfa6_legal_classification</t>
  </si>
  <si>
    <t>Legal framework, jurisdiction, and taxonomy for applying Regulation 261/2004 in a post-Brexit UK context.</t>
  </si>
  <si>
    <t>Legal Classification: Primary Category: Regulatory/Administrative Law Legal Areas: EU Law, Regulatory Compliance, Air Transport Regulation, Consumer Protection, Public Law Jurisdiction: England and Wales Court Level: Court of Appeal (Civil Division) Legal Issues: Whether 2018 Ryanair strikes constitute 'extraordinary circumstances' under Article 5(3) of Regulation 261/2004.. Whether strikes caused by internal negotiations and paid/working-condition demands fall within the carrier’s 'normal activities' and thus are not 'extraordinary circumstances'.. How to apply the external/internal strike distinction as developed in Wallentin-Hermann, Krüsemann, Airhelp, and CS in a post-Brexit UK-retained-EU-law context.. The role and weight of Recital (14) and strict interpretation of Article 5(3) in determining liability for compensation.. Procedural validity and effect of the Enforcement Order under the Enterprise Act 2002 Part 8. Keywords: Regulation 261/2004, Article 5(3), Article 7 compensation, extraordinary circumstances, strike action, internal vs external strikes, Wallentin-Hermann, Krüsemann, Airhelp, CS, retained EU law</t>
  </si>
  <si>
    <t>Wallentin-Hermann || Krüsemann || Airhelp || CS || Finnair v Lassooy</t>
  </si>
  <si>
    <t>75a20b14-f8c3-4078-b7f8-35b3a7d3864f</t>
  </si>
  <si>
    <t>Ryanair Ltd v HM Revenue and Customs [2014] EWCA Civ 410</t>
  </si>
  <si>
    <t>75a20b14-f8c3-4078-b7f8-35b3a7d3864f_metadata_summary</t>
  </si>
  <si>
    <t>Overview of Ryanair's appeal regarding APD.</t>
  </si>
  <si>
    <t>Case: Ryanair Ltd v HM Revenue and Customs [2014] EWCA Civ 410 Court: England and Wales Court of Appeal (Civil Division) Category: Administrative Law Legal Areas: Tax Law, Administrative Law, Statutory Interpretation Abstract: The case concerns Ryanair's appeal against a decision by the Upper Tribunal (Tax and Chancery Chamber) regarding Air Passenger Duty (APD) exemptions for connected flights. Ryanair argued it was unfairly treated compared to other airlines, as it claimed to have overpaid APD of over £10 million. The Court concluded that Ryanair failed to meet the ticketing conditions necessary for the exemption. Keywords: Air Passenger Duty, Connected Flights, Tax Law, Judicial Review, Statutory Interpretation Precedent Strength: 8/10 (90% confidence) Precedent Reasoning: The case addresses a significant issue in tax law regarding APD and its exemptions, involving detailed statutory interpretation. The decision is made by a Court of Appeal, which enhances its status as a precedent, reinforcing the procedural and substantive requirements in tax claims. The comprehensive nature of the court's reasoning provides a solid foundation for future cases, indicating high relevance for similar disputes. Complexity: 7/10 (85% confidence) Complexity Reasoning: The case involves multiple legal issues, including statutory interpretation and application of tax regulations, marking it as complex. The procedural history features an appeal from a tribunal decision, adding layers to the legal analysis required. The evolving nature of technology and its impact on compliance requirements introduces a nuanced complexity, though not excessive in nature.</t>
  </si>
  <si>
    <t>9844702c-c2b0-4354-ac06-36da76a7fc64</t>
  </si>
  <si>
    <t>O'Brien v Ministry of Justice [2015] EWCA Civ 1000</t>
  </si>
  <si>
    <t>9844702c-c2b0-4354-ac06-36da76a7fc64_citations_precedents</t>
  </si>
  <si>
    <t>Catalogs significant cases and legal decisions cited in the dispute.</t>
  </si>
  <si>
    <t>Citations and Authorities: Neutral Citations: [2016] 1 CMLR 28, [2015] EWCA Civ 1000, [2015] Pens LR 543, [2016] ICR 1073, [2016] ICR 182, [2015] WLR(D) 406, [2015] IRLR 1005 Law Reports: Referenced Cases: Case C-162/00 Land Nordrhein-Westfalen v Pokrzeptowicz-Meyer, Case 68/69 Bundesknappschaft v Brock, Case 270/84 Licata v Economic and Social Committee, Case C-321/97 Andersson v Svenska Staten, Case C-57/93 Vroege v NCIV, Case C-170/84 Bilka-Kaufhaus v Weber von Harz Citation Count: 6</t>
  </si>
  <si>
    <t>419e6b34-408a-4082-a957-00fb1a643683</t>
  </si>
  <si>
    <t>Secretary of State for Justice v Windle &amp; Arada [2016] EWCA Civ 459</t>
  </si>
  <si>
    <t>419e6b34-408a-4082-a957-00fb1a643683_legal_classification</t>
  </si>
  <si>
    <t>Classification of the legal issues under Employment and Discrimination law, including statutory definitions and jurisdictional framework.</t>
  </si>
  <si>
    <t>Legal Classification: Primary Category: Employment Law / Discrimination Legal Areas: Employment Law, Discrimination under Equality Act 2010, Contractual status (employee/worker/independent contractor), Subordination and mutuality of obligation, EU-derived interpretations of worker status Jurisdiction: England and Wales Court Level: Court of Appeal (Civil Division) Legal Issues: Whether a per-assignment engagement can bind an individual as an 'employee' under Equality Act 2010 s83(2) (a).. The meaning and scope of 'contract personally to do work' in the Equality Act 2010 (and its relationship to 'contract of employment').. Distinction between 'worker' (limb (b)) and 'employee in the extended sense' in discrimination law.. Impact, if any, of the absence of an umbrella contract on status under the Equality Act.. Role of mutuality of obligation and subordination in determining status for discrimination claims. Keywords: employment status, Equality Act 2010, Court of Appeal (Civil Division), interpreters, framework agreement, umbrella contract, mutuality of obligation, subordination, worker vs employee, per-assignment engagement</t>
  </si>
  <si>
    <t>Hashwani v Jivraj || Allonby v Accrington &amp; Rossendale College || Bates van Winkelhof</t>
  </si>
  <si>
    <t>126904c3-76e4-4116-9766-06699aedc5c8</t>
  </si>
  <si>
    <t>Pimlico Plumbers Ltd &amp; Anor v Smith</t>
  </si>
  <si>
    <t>126904c3-76e4-4116-9766-06699aedc5c8_legal_classification</t>
  </si>
  <si>
    <t>Categorically identifies the legal framework and key laws applicable to the case.</t>
  </si>
  <si>
    <t>Legal Classification: Primary Category: Employment Law Legal Areas: Employment Rights, Discrimination Law, Contract Law Jurisdiction: England and Wales Court Level: Appellate Legal Issues: Whether Smith was a worker under the Employment Rights Act 1996.. Whether the contractual terms reflect a self-employment or worker relationship.. Interpretation of the 2009 Agreement and Company Manual regarding working conditions. Keywords: Employment Rights Act, worker status, self-employment, Employment Appeal Tribunal, disability discrimination</t>
  </si>
  <si>
    <t>046e1c8b-89e0-4a66-870e-3e9d763900a6</t>
  </si>
  <si>
    <t>Commissioners for HM Revenue and Customs v Atholl House Productions Ltd [2022] EWCA Civ 501 (IR35)</t>
  </si>
  <si>
    <t>046e1c8b-89e0-4a66-870e-3e9d763900a6_citations_precedents</t>
  </si>
  <si>
    <t>Compilation of authorities cited in the excerpt, spanning core employment-status jurisprudence and recent statutory interpretations guiding the IR35 analysis.</t>
  </si>
  <si>
    <t>Citations and Authorities: Neutral Citations: [2022] EWCA Civ 501, [2022] IRLR 698, [2022] STC 837, [2022] ICR 1059, [2022] WLR(D) 191, [2022] 4 All ER 461, [2022] BTC 12 Law Reports: Referenced Cases: Autoclenz Ltd v Belcher [2011] UKSC 41; [2011] ICR 1157, Ready Mixed Concrete (South East) Ltd v Minister of Pensions and National Insurance [1968] 2 QB 497, Hall v Lorimer [1992] ICR 672; [1992] 1 WLR 852, O'Kelly v Trusthouse Forte plc [1983] ICR 728, Davies v Braithwaite [1931] 2 KB 628, Nethermere (St Neots) Ltd v Gardiner [1984] ICR 612, Professional Game Match Officials Ltd v HMRC [2021] EWCA Civ 1370; [2021] STC 1956, Carmichael v National Power plc [1999] 1 WLR 2042, Usetech Ltd v Young [2004] EWHC 2248 (Ch) Citation Count: 9</t>
  </si>
  <si>
    <t>Autoclenz Ltd v Belcher || Ready Mixed Concrete (South East) Ltd v MPNI || Hall v Lorimer || O'Kelly v Trusthouse Forte || Davies v Braithwaite || Nethermere (St Neots) Ltd v Gardiner || Professional Game Match Officials Ltd v HMRC || Uber BV v Aslam</t>
  </si>
  <si>
    <t>This case shows 61% similarity based on citations precedents analysis.</t>
  </si>
  <si>
    <t>01024db6-688d-42da-bdbf-02dd0fa80e82</t>
  </si>
  <si>
    <t>Unison, R (On the Application Of) v The Lord Chancellor [2015] EWCA Civ 935</t>
  </si>
  <si>
    <t>01024db6-688d-42da-bdbf-02dd0fa80e82_citations_precedents</t>
  </si>
  <si>
    <t>A list of key cited legal authorities and precedents referenced during the ruling.</t>
  </si>
  <si>
    <t>Citations and Authorities: Neutral Citations: [2016] 4 All ER 25, [2015] IRLR 911, [2015] EWCA Civ 935, [2016] ICR 1, [2015] WLR(D) 370, [2016] 1 CMLR 25 Law Reports: Referenced Cases: Johnston v Chief Constable of Royal Ulster Constabulary (C-222/84), Levez v T.H. Jennings (Harlow Pools) Ltd (C-326/96), Airey v Ireland (1979) EHRR 305, MA (Roks) v Bestuur Van de Bedrijfsvereniging voor de Gezondheid (C-343/92) Citation Count: 4</t>
  </si>
  <si>
    <t>Johnston v Chief Constable of Royal Ulster Constabulary (C-222/84) || Levez v T.H. Jennings (Harlow Pools) Ltd (C-326/96</t>
  </si>
  <si>
    <t>1771150a-79c0-4f84-b72f-ec359226bb1b</t>
  </si>
  <si>
    <t>Bone v North Essex Partnership NHS Foundation Trust [2016] EWCA Civ 45</t>
  </si>
  <si>
    <t>1771150a-79c0-4f84-b72f-ec359226bb1b_citations_precedents</t>
  </si>
  <si>
    <t>Authorities cited to shape interpretation of 'purpose' and the legal test for detriment under s146.</t>
  </si>
  <si>
    <t>Citations and Authorities: Neutral Citations: [2016] IRLR 295, [2016] EWCA Civ 45 Law Reports: [2014] ICR 1053 Referenced Cases: Department of Transport v Gallacher [1994] ICR 967, James v Eastleigh Borough Council [1990] ICR 554, Associated British Ports v Palmer [1994] ICR 97, Vento v Chief Constable of West Yorkshire [2003] IRLR 102, Yeboah v Crofton [2002] IRLR 634, Gallacher (Department of Transport) – ICR 967 (2004 reference in judgment) Citation Count: 6</t>
  </si>
  <si>
    <t>Department of Transport v Gallacher [1994] ICR 967 || James v Eastleigh Borough Council [1990] ICR 554 || Associated British Ports v Palmer [1994] ICR 97 || Vento v Chief Constable of West Yorkshire [2003] IRLR 102 || Yeboah v Crofton [2002] IRLR 634</t>
  </si>
  <si>
    <t>7591076e-d646-4c3a-a274-13be78582f5c</t>
  </si>
  <si>
    <t>Rabess v The London Fire and Emergency Planning Authority [2016] EWCA Civ 1017</t>
  </si>
  <si>
    <t>7591076e-d646-4c3a-a274-13be78582f5c_citations_precedents</t>
  </si>
  <si>
    <t>Authorities cited to support ERA 1996 interpretation and EDT framework; highlights interplay between statute and common-law principles.</t>
  </si>
  <si>
    <t>Citations and Authorities: Neutral Citations: [2017] IRLR 147, [2016] EWCA Civ 1017 Law Reports: Referenced Cases: [2016] EWCA Civ 1017, [2017] IRLR 147, Gisda Cyf [2010] ICR 1475, Geys [2013] 1 AC 523, Robert Cort [1981] ICR 816, Stapp [1982] IRLR 326, Radecki [2009] ICR 1244, Hawes &amp; Curtis Ltd v Arfan [2012] ICR 1244, Dedman (contextual reference) Citation Count: 9</t>
  </si>
  <si>
    <t>Gisda Cyf [2010] ICR 1475 || Geys [2013] 1 AC 523 || Robert Cort [1981] ICR 816 || Stapp [1982] IRLR 326 || Radecki [2009] ICR 1244 || Hawes &amp; Curtis v Arfan [2012] ICR 1244 || Dedman</t>
  </si>
  <si>
    <t>4b0e95b4-9126-4cff-aaeb-54fd70eeddf2</t>
  </si>
  <si>
    <t>Parr v MSR Partners LLP &amp; Ors [2022] EWCA Civ 24</t>
  </si>
  <si>
    <t>4b0e95b4-9126-4cff-aaeb-54fd70eeddf2_citations_precedents</t>
  </si>
  <si>
    <t>Catalogues key authorities cited to frame the s123 analysis and the 'one‑off vs continuing' distinction; includes both older and more modern authorities guiding the Court of Appeal’s reasoning.</t>
  </si>
  <si>
    <t>Citations and Authorities: Neutral Citations: [2022] EWCA Civ 24, [2022] IRLR 528, [2022] WLR(D) 29, [2022] ICR 672 Law Reports: IRLR 528, WLR(D) 29, ICR 672 Referenced Cases: Amies v Inner London Education Authority [1977] ICR 308, Calder v James Finlay Corporation Ltd [1989] ICR 157, Barclays Bank plc v Kapur [1991] 2 AC 355, Seldon v Clarkson Wright &amp; Jakes [2012] ICR 716, Tyagi v BBC World Service [2001] IRLR 465, Cast v Croydon College [1998] ICR 500, Owusu (case reference cited in judgments), Sougrin v Haringey Health Authority [1992] ICR 650, Okoro v Taylor Woodrow Construction Ltd [2012] EWCA Civ 1590, [2013] ICR 580 Citation Count: 9</t>
  </si>
  <si>
    <t>Amies v Inner London Education Authority [1977] ICR 308 || Calder v James Finlay Corporation Ltd [1989] ICR 157 || Barclays Bank plc v Kapur [1991] 2 AC 355 || Seldon v Clarkson Wright &amp; Jakes [2012] ICR 716 || Tyagi v BBC World Service [2001] IRLR 465 || Cast v Croydon College [1998] ICR 500 || Okoro v Taylor Woodrow Construction Ltd [2012] EWCA Civ 1590, [2013] ICR 580 || Sougrin v Haringey Health Authority [1992] ICR 650</t>
  </si>
  <si>
    <t>aa8e9b5e-fa84-4fd8-ac44-75dccba74bf8</t>
  </si>
  <si>
    <t>Smith v Pimlico Plumbers Ltd (Rev1) [2022] EWCA Civ 70</t>
  </si>
  <si>
    <t>aa8e9b5e-fa84-4fd8-ac44-75dccba74bf8_citations_precedents</t>
  </si>
  <si>
    <t>Compilation of authorities cited in reasoning and context for the Court of Appeal decision, showing the progression of EU and domestic jurisprudence on paid annual leave and remedies.</t>
  </si>
  <si>
    <t>Citations and Authorities: Neutral Citations: [2022] EWCA Civ 70, [2022] ICR 818, [2022] WLR(D) 59, [2022] IRLR 347, [2022] 4 All ER 563 Law Reports: King v Sash Window Workshop (C-214/16) [2018] 2 CMLR 10; [2018] ICR 693, Shimizu (Max-Planck-Gesellschaft Zur Förderung Der Wissenschaften EV v Shimizu) (Case C-684/16) [2018/2019] 1 CMLR 35, Kreuziger v Land Berlin (Case C-619/16) [2019] 1 CMLR 34, Stadt Wuppertal v Bauer (Case C-569/16) [2019] 1 CMLR 36, Stringer v Revenue and Customs Comrs (Joined Cases C-350/06 and C-520/06) [2009] ICR 932, Schultz-Hoff v Deutsche Rentenversicherung Bund (Joined Cases C-520/06 and C-350/06) [2009] ICR 932, NHS Leeds Teaching Hospitals NHS Trust v Larner [2012] EWCA Civ 1034, Bear Scotland Ltd v Fulton [2015] ICR 221, Agnew (Chief Constable of Police v Agnew) [2019] NIC A 32, Bollacke v K+K Klaas &amp; Kock BV &amp; Co KG [2014] ICR 828, Marleasing SA v Commercial Internacional de Alimentacion SA (Case C-106/89) [1990] ECR I-4135, Neidel v Stadt Frankfurt am Main (Case C-337/10) [2012] ICR 1201, KHS AG v Schulte (Case C-? 2012) ICR D19, King v Sash Window Workshop (UKSC) (2018) ICR 1511 Referenced Cases: [2009] UKHL 31 (Stringer), [2009] ICR 932 (Stringer and Schultz-Hoff), King v Sash Window Workshop (Case C-214/16) [2018] 2 CMLR 10; [2018] ICR 693, Shimizu (Max-Planck-Gesellschaft Zur Förderung Der Wissenschaften EV v Shimizu) (Case C-684/16) [2018] CMLR, Kreuziger v Land Berlin (Case C-619/16) [2019] 1 CMLR 34, Stadt Wuppertal v Bauer (Case C-569/16) [2019] 1 CMLR 36, NHS Leeds Teaching Hospitals NHS Trust v Larner [2012] EWCA Civ 1034, Bear Scotland Ltd v Fulton [2015] ICR 221, Agnew (Chief Constable of Police v Agnew) [2019] NIC A 32, Bollacke v K+K Klaas &amp; Kock BV &amp; Co KG [2014] ICR 828, Marleasing SA v Commercial Internacional de Alimentacion SA (Case C-106/89) [1990] ECR I-4135, Neidel v Stadt Frankfurt am Main (Case C-337/10) [2012] ICR 1201, King v Sash Window Workshop (UKSC) 2018 ICR 1511, Bear Scotland Ltd v Fulton (addressed above) Citation Count: 14</t>
  </si>
  <si>
    <t>King v Sash Window Workshop || Shimizu || Kreuziger || Stringer || Marleasing || NHS Leeds v Larner || Bear Scotland || Agnew || Bollacke v K+K Klaas &amp; Kock BV</t>
  </si>
  <si>
    <t>a697864c-4a9b-448a-9c45-1589a5e13ac5</t>
  </si>
  <si>
    <t>British Gas Trading Limited v Lock &amp; Anor [2016] EWCA Civ 983</t>
  </si>
  <si>
    <t>a697864c-4a9b-448a-9c45-1589a5e13ac5_citations_precedents</t>
  </si>
  <si>
    <t>Key authorities cited in support of conforming interpretation and EU-law alignment, including CJEU and UK court decisions on holiday pay and normal remuneration.</t>
  </si>
  <si>
    <t>Citations and Authorities: Neutral Citations: [2016] EWCA Civ 983, [2016] IRLR 946, [2017] 4 All ER 291, [2017] 1 CMLR 25, [2016] WLR(D) 512, [2017] ICR 530, [2016] EWCA Civ 983, [2017] ICR 1 Law Reports: [2016] IRLR 946, [2017] 4 All ER 291, [2017] 1 CMLR 25, [2016] WLR(D) 512, [2017] ICR 530, [2016] EWCA Civ 983, [2017] ICR 1 Referenced Cases: Lock v British Gas Trading Ltd (Case C-539/12) [2014] ICR 813, Robinson-Steele v. RD Retail Services Ltd (Joined C-131/04 and C-257/04) [2006] ICR 932, Stringer v. Revenue and Customs Comrs (Joined Cases C-350/06 and C-520/06) [2009] ICR 932, British Airways plc v. Williams (Case C-155/10) [2012] ICR 847, Bear Scotland Ltd v. Fulton and another [2015] ICR 221, Bamsey v. Albon Engineering and Manufacturing plc [2004] EWCA Civ 359; [2004] ICR 1083, Evans v. The Malley Organisation Ltd [2003] ICR 432, Ghaidan v. Godin-Mendoza [2004] UKHL 30, Marleasing SA v La Comercial Internacional de Alimentacion SA [1990] ECR I-4135, Pfeiffer and others v. Deutsches Rotes Kreuz, Kreisverband Waldshut eV [2005] ICR 1307, Vodafone 2 v. Revenue and Customs Commissioners [2010] Ch 77, Swift (trading as A Swift Move) v. Robertson [2014] UKSC 50, Nolan v. United States of America [2015] UKSC 63, Duke v. GEC Reliance Ltd [1988] ICR 339, R (IDT Card Services Ireland Ltd) v. Customs and Excise Comrs [2006] STC 1252, Attridge Law v. Coleman [2010] ICR 242 Citation Count: 16</t>
  </si>
  <si>
    <t>Lock C-539/12 || Robinson-Steele || Stringer || Williams || Bear Scotland || Bamsey || Evans || Ghaidan || Marleasing || Pfeiffer</t>
  </si>
  <si>
    <t>577f094f-52eb-4539-b09d-d7a158f627df</t>
  </si>
  <si>
    <t>Dyson Technology Limited v Pellerey [2016] EWCA Civ 87</t>
  </si>
  <si>
    <t>577f094f-52eb-4539-b09d-d7a158f627df_citations_precedents</t>
  </si>
  <si>
    <t>Authorities cited and applied to interpret restraints and the discretionary grant of injunctions in the present case.</t>
  </si>
  <si>
    <t>Citations and Authorities: Neutral Citations: [2016] EWCA Civ 87, [2016] IRLR 355, [2016] ICR 688, [2016] CP Rep 21, [2016] WLR(D) 76 Law Reports: [2016] IRLR 355, [2016] ICR 688, [2016] CP Rep 21, [2016] WLR(D) 76 Referenced Cases: TFS Derivatives Ltd v. Morgan [2005] IRLR 246, Prophet v. Huggett [2014] EWCA Civ 1013, Ashcourt Rowan Financial Planning v. Hall [2013] EWHC 1185 (QB), Littlewoods Organisation v. Harris [1977] 1 WLR 1472, Faccenda Chicken v. Fowler [1987] Ch 117, Rolls v. Miller (1884) 27 Ch D 71, In re Sarflax Ltd [1979] 1 Ch 592, Insurance Co v Lloyd's Syndicate [1995] 1 Lloyd's LR 272, Lawrence and another v. Fen Tigers Ltd and others [2014] AC 822, Doherty v. Allman [1878] 3 App. Cas. 709, Scott (Morgan) v. Scott [1913] AC 417, Dyson Technology Limited v. Strutt [2005] EWHC 2814 (Ch), Roxburgh Ltd. v Builders Supply Co (Hayes) Ltd [1976] RPC 349 Citation Count: 13</t>
  </si>
  <si>
    <t>TFS Derivatives v Morgan || Prophet v Huggett || Ashcourt Rowan Financial Planning v Hall || Littlewoods Organisation v Harris || Faccenda Chicken v Fowler || Rolls v Miller || In re Sarflax Ltd || Insurance Co v Lloyd's Syndicate || Lawrence v Fen Tigers || Doherty v Allman || Dyson Technology Limited v Strutt || Roxburgh v Builders Supply Co (Hayes) Ltd</t>
  </si>
  <si>
    <t>cb8123f0-46c2-40c1-b7ee-cc9d5f5b4148</t>
  </si>
  <si>
    <t>Mackenzie v AA Ltd &amp; Anor [2022] EWCA Civ 901 (01 July 2022)</t>
  </si>
  <si>
    <t>cb8123f0-46c2-40c1-b7ee-cc9d5f5b4148_citations_precedents</t>
  </si>
  <si>
    <t>Authorities cited in the decision and their doctrinal relevance to the principles discussed.</t>
  </si>
  <si>
    <t>Citations and Authorities: Neutral Citations: [2022] IRLR 985, [2022] ICR 1362, [2022] WLR(D) 304, [2022] EWCA Civ 901 Law Reports: Referenced Cases: Lavarack v Woods of Colchester Ltd [1967] 1 QB 278, Cockburn v Alexander (1848) 6 C.B. 791, Abrahams v Herbert Reiach Ltd [1922] 1 KB 477, Braganza v BP Shipping Ltd [2015] ICR 449, Horkulak v Cantor Fitzgerald [2004] EWCA Civ 1287, Durham Tees Valley Airport Ltd v BMIbaby Ltd [2010] EWCA Civ 485, Rigby v Ferodo Ltd [1988] ICR 29, Bold v Brough, Nicholson and Hall [1964] 1 WLR 201, Mulvenna v Royal Bank of Scotland [2004] C.P. Rep 8, Bunge v Tradax [1981] 1 WLR 711, Abrahams v Reiach (reiteration) Citation Count: 11</t>
  </si>
  <si>
    <t>Cockburn v Alexander || Lavarack v Woods of Colchester || Abrahams v Herbert Reiach || Braganza v BP Shipping || Horkulak v Cantor Fitzgerald || Durham Tees Valley Airport v BMIbaby || Rigby v Ferodo || Bold v Brough, Nicholson and Hall || Mulvenna v Royal Bank of Scotland || Bunge v Tradax</t>
  </si>
  <si>
    <t>c6a09815-c7b3-4cfc-8057-35bbef5c2014</t>
  </si>
  <si>
    <t>Lewis v Narayanasamy &amp; Anor [2017] EWCA Civ 229</t>
  </si>
  <si>
    <t>c6a09815-c7b3-4cfc-8057-35bbef5c2014_legal_classification</t>
  </si>
  <si>
    <t>This section classifies the case within legal parameters relevant to employment law and contract law, emphasizing the court's jurisdiction.</t>
  </si>
  <si>
    <t>Legal Classification: Primary Category: Employment Law Legal Areas: Contract Law, Employment Law, Partner-Employee Classification, Judicial Reasoning, Corporate Law Jurisdiction: England and Wales Court Level: Appellate Legal Issues: Nature of employment contract. Legality of employment conditions. Classification of employee vs. partner. Non-disclosure and misrepresentation. Contract enforceability based on alleged illegality Keywords: Employment Contract, Legal Illegality, Partnership Law, Court of Appeal, Merit, Judicial Findings</t>
  </si>
  <si>
    <t>This case shows 60% similarity based on legal classification analysis.</t>
  </si>
  <si>
    <t>24cdd790-fb66-4e79-895a-0d7f73047839</t>
  </si>
  <si>
    <t>Halawi v WDFG UK Ltd (t/a World Duty Free) [2014] EWCA Civ 1387</t>
  </si>
  <si>
    <t>24cdd790-fb66-4e79-895a-0d7f73047839_legal_classification</t>
  </si>
  <si>
    <t>This case highlights the classification of employment relationships under domestic and EU law frameworks.</t>
  </si>
  <si>
    <t>Legal Classification: Primary Category: Employment Legal Areas: Employment Law, Discrimination Law, European Union Law Jurisdiction: England and Wales Court Level: Appellate Legal Issues: Determination of employee status under EU law and the Equality Act 2010.. Issues of discrimination concerning religious grounds when the airside pass was revoked. Keywords: Employment Law, Discrimination, EU Law, Framework Directive, Employee Status</t>
  </si>
  <si>
    <t>Framework Directive 2000/78</t>
  </si>
  <si>
    <t>61dd8025-2416-42b9-91eb-a789f5f98110</t>
  </si>
  <si>
    <t>Creditsights Ltd v Dhunna [2014] EWCA Civ 1238</t>
  </si>
  <si>
    <t>61dd8025-2416-42b9-91eb-a789f5f98110_citations_precedents</t>
  </si>
  <si>
    <t>Cited precedents include key employment law cases establishing standards for jurisdiction and employee rights in international contexts.</t>
  </si>
  <si>
    <t>Citations and Authorities: Neutral Citations: 2015 ICR 105, 2014 WLR(D) 404, 2014 EWCA Civ 1238, 2014 IRLR 953 Law Reports: Referenced Cases: Lawson v. Serco Ltd [2006] ICR 250, Duncombe v. Secretary of State for Children Schools and Families (No 2) [2011] ICR 1312, Ravat v. Halliburton Manufacturing and Services [2012] ICR 389, Bates van Winkelhof v. Clyde &amp; Co LLP and another [2013] ICR 883 Citation Count: 4</t>
  </si>
  <si>
    <t>Lawson v. Serco || Ravat v. Halliburton</t>
  </si>
  <si>
    <t>This case shows 60% similarity based on citations precedents analysis.</t>
  </si>
  <si>
    <t>c9936a53-fa3e-464f-9504-b22bdbbcc939</t>
  </si>
  <si>
    <t>Sunrise Brokers LLP v Rodgers [2014] EWCA Civ 1373</t>
  </si>
  <si>
    <t>c9936a53-fa3e-464f-9504-b22bdbbcc939_citations_precedents</t>
  </si>
  <si>
    <t>List of legal authorities cited within the case for supporting the judgment.</t>
  </si>
  <si>
    <t>Citations and Authorities: Neutral Citations: 2015 IRLR 57, 2014 WLR(D) 442, 2015 ICR 272, 2014 EWCA Civ 1373 Law Reports: Referenced Cases: Geys v Société Generale [2013] 1 AC 523, Miles v Wakefield Metropolitan District Council [1987] 1 AC 539, Credit Suisse Asset Management Ltd. v Armstrong [1996] ICR 882, Warren v Mendy [1989] 1 WLR 583 Citation Count: 4</t>
  </si>
  <si>
    <t>Geys v Société Generale [2013] 1 AC 523</t>
  </si>
  <si>
    <t>4a6e3c60-f40d-4a95-bd57-d62150508e45</t>
  </si>
  <si>
    <t>4a6e3c60-f40d-4a95-bd57-d62150508e45_citations_precedents</t>
  </si>
  <si>
    <t>Authorities referenced: development of 'irreducible minimum' concept and regulatory context; Uber as comparative benchmark; core statutory materials.</t>
  </si>
  <si>
    <t>Citations and Authorities: Neutral Citations: [2022] EWCA Civ 229, [2022] WLR(D) 101, [2022] ICR 755, [2022] IRLR 447 Law Reports: Referenced Cases: Nethermere (St Neots) Ltd v Gardiner [1984] ICR 612, Carmichael v National Power plc [1999] 1 WLR 2042, Uber London Ltd v Uber BV, Nursing and Midwifery Order 2011, Nursing Midwifery (Fitness to Practise) Rules 2004, Working Time Regulations 1998, NMC v Somerville [2022] EWCA Civ 229 Citation Count: 7</t>
  </si>
  <si>
    <t>Nethermere (St Neots) Ltd v Gardiner [1984] ICR 612 || Carmichael v National Power plc [1999] 1 WLR 2042 || Uber London Ltd v Uber BV</t>
  </si>
  <si>
    <t>f8755763-8d90-4b51-8a0a-d11efa528908_citations_precedents</t>
  </si>
  <si>
    <t>List of authorities relied upon to articulate statutory interpretation and EU-law alignment.</t>
  </si>
  <si>
    <t>Citations and Authorities: Neutral Citations: [2022] EWCA Civ 189, [2022] ICR 854, [2022] WLR(D) 88, [2022] IRLR 437 Law Reports: Referenced Cases: Agency Workers Regulations 2010, SI 2010/93, Directive 2008/104/EC, Coles v Ministry of Defence [2016] ICR 55, Kocur (Court of Appeal) – referenced approach to interpretation, Recitals of the Directive (10-19) illustrating flexicurity and non-discrimination principles Citation Count: 5</t>
  </si>
  <si>
    <t>Coles v MOD [2016] ICR 55 || Kocur 1 || Directive 2008/104/EC</t>
  </si>
  <si>
    <t>126904c3-76e4-4116-9766-06699aedc5c8_citations_precedents</t>
  </si>
  <si>
    <t>Details the legal citations and precedents referenced in the judgement.</t>
  </si>
  <si>
    <t>Citations and Authorities: Neutral Citations: 2017] WLR(D) 120, [2017] IRLR 323, [2017] ICR 657, [2017] EWCA Civ 51 Law Reports: Referenced Cases: Employment Rights Act 1996, Working Time Regulations 1998, Equality Act 2010, Ready Mixed Concrete (South East) Ltd v Minister of Pensions and National Insurance, Autoclenz Ltd v Belcher, Bates van Winkelhof v Clyde &amp; Co LLP Citation Count: 6</t>
  </si>
  <si>
    <t>Bates van Winkelhof v Clyde &amp; Co || Autoclenz Ltd v Belcher</t>
  </si>
  <si>
    <t>419e6b34-408a-4082-a957-00fb1a643683_citations_precedents</t>
  </si>
  <si>
    <t>Authorities cited in support of the Court's reasoning on worker/employee status.</t>
  </si>
  <si>
    <t>Citations and Authorities: Neutral Citations: [2017] ICR 83, [2016] ICR 721, [2016] WLR(D) 256, [2016] IRLR 628, [2016] EWCA Civ 459 Law Reports: Referenced Cases: Hashwani v Jivraj [2011] UKSC 40, Allonby v Accrington and Rossendale College [2004] ICR 1328, Bates van Winkelhof v Clyde &amp; Co LLP [2014] UKSC 32, Quashie v Stringfellows Restaurant Ltd [2012] EWCA Civ 1735, Jafri v Lincoln College [2014] EWCA Civ 449, Lawrie-Blum v Land Baden-Wurttemberg (Case C-66/85) [1987], Mehu v. Meeusen (reliance on ECJ formulations) [various ECJ authorities cited in judgment] Citation Count: 7</t>
  </si>
  <si>
    <t>Hashwani v Jivraj || Allonby v Accrington || Bates van Winkelhof || Quashie v Stringfellows || Jafri v Lincoln College || Lawrie-Blum v Baden Württemberg</t>
  </si>
  <si>
    <t>82db284e-faee-4799-9ffc-79a4767f263d</t>
  </si>
  <si>
    <t>Hottak &amp; Anor, R (On the Application Of) v The Secretary of State for Foreign and Commonwealth Affairs &amp; Anor [2016] EWCA Civ 438</t>
  </si>
  <si>
    <t>82db284e-faee-4799-9ffc-79a4767f263d_citations_precedents</t>
  </si>
  <si>
    <t>Catalogues authorities cited for jurisdiction, extraterritorial reach, and discrimination principles relevant to UK law abroad.</t>
  </si>
  <si>
    <t>Citations and Authorities: Neutral Citations: [2016] EWCA Civ 438, [2016] 3 All ER 935, [2016] ICR 975, [2016] 1 WLR 3791, [2016] IRLR 534, [2016] WLR 3791, [2016] WLR(D) 243 Law Reports: [2016] EWCA Civ 438, [2016] 3 All ER 935, [2016] ICR 975, [2016] 1 WLR 3791, [2016] IRLR 534, [2016] WLR 3791, [2016] WLR(D) 243 Referenced Cases: Lawson v Serco Ltd [2006] ICR 250, Duncombe v Secretary of State for Children, Schools and Families (No 2) [2011] UKSC 36; [2011] ICR 1312, Ravat v Halliburton Manufacturing &amp; Services Ltd [2012] UKSC 1; [2012] 2 All ER 905, Dhunna v CreditSights Ltd [2014] EWCA Civ 1238; [2015] ICR 105, Bryant v Foreign and Commonwealth Office [2003] ICR 174 (EAT), Regina (European Roma Rights Centre and others) v Immigration Officer at Prague Airport and another [2004] UKHL 55; [2005] 2 AC 1, Regina (E) v Governing Body of JFS [2009] UKSC 15; [2010] 2 AC 728, Nagarajan v London Regional Transport [2000] 1 AC 501, James v Eastleigh Borough Council [1990] 2 AC 751, BAPIO Action Ltd v Secretary of State for the Home Department [2007] EWCA Civ 1139, Bracking and others v Secretary of State for Work and Pensions [2013] EWCA Civ 1345, Re C (the case cited in Bracking discussion), Regina (C (A Minor)) v Secretary of State for Justice [2009] QB 657; [2008] EWCA Civ 882, Bates van Winkelhof v Clyde &amp; Co LLP [2013] ICR 883 Citation Count: 14</t>
  </si>
  <si>
    <t>Lawson v Serco Ltd [2006] ICR 250 || Duncombe v Secretary of State for Children, Schools and Families (No 2) [2011] UKSC 36 || Ravat v Halliburton Manufacturing &amp; Services Ltd [2012] UKSC 1 || Dhunna v CreditSights Ltd [2014] EWCA Civ 1238 || Bryant v Foreign and Commonwealth Office [2003] ICR 174 (EAT) || Regina (European Roma Rights Centre and others) v Immigration Officer at Prague Airport and another [2004] UKHL 55 || Regina (E) v Governing Body of JFS [2009] UKSC 15 || Nagarajan v London Regional Transport [2000] 1 AC 501 || James v Eastleigh Borough Council [1990] 2 AC 751 || BAPIO Action Ltd v Secretary of State for the Home Department [2007] EWCA Civ 1139 || Bracking and others v Secretary of State for Work and Pensions [2013] EWCA Civ 1345 || Regina (C (A Minor)) v Secretary of State for Justice [2009] QB 657</t>
  </si>
  <si>
    <t>3f9ea643-73f4-4f17-b89a-f4861c2d62c0</t>
  </si>
  <si>
    <t>Smith v Carillion (JM) Ltd &amp; Anor [2015] EWCA Civ 209</t>
  </si>
  <si>
    <t>3f9ea643-73f4-4f17-b89a-f4861c2d62c0_citations_precedents</t>
  </si>
  <si>
    <t>List of significant legal precedents and statutes referenced during the appeal process.</t>
  </si>
  <si>
    <t>Citations and Authorities: Neutral Citations: [2015] IRLR 467, [2015] EWCA Civ 209 Law Reports: Referenced Cases: Wilson and Palmer v United Kingdom [2002] IRLR 568, James v Greenwich London Borough Council [2008] EWCA Civ 35, Tilson v Alstom Transport [2010] EWCA Civ 169, Autoclenz v Belcher [2011] ICR 1157, Okoro v Taylor Woodrow Construction Ltd [2012] EWCA Civ 1590 Citation Count: 5</t>
  </si>
  <si>
    <t>James v Greenwich London Borough Council [2008] EWCA Civ 35</t>
  </si>
  <si>
    <t>dd1fb906-0a37-4792-a4fa-7bf180ef6926</t>
  </si>
  <si>
    <t>Tyne and Wear Passenger Transport Executive (trading as Nexus) v National Union of Rail, Maritime and Transport Workers &amp; Unite the Union [2022] EWCA Civ 1408</t>
  </si>
  <si>
    <t>dd1fb906-0a37-4792-a4fa-7bf180ef6926_citations_precedents</t>
  </si>
  <si>
    <t>Authorities cited for rectification, estoppel, abuse of process, privity, and ET jurisdiction across contract/employment contexts.</t>
  </si>
  <si>
    <t>Citations and Authorities: Neutral Citations: [2022] EWCA Civ 1408, [2023] ICR 148, [2023] IRLR 235, [2022] WLR(D) 421 Law Reports: Referenced Cases: [2022] EWCA Civ 1408, [2018] EWCA Civ 2084, [2019] ICR 433, Agarwal v Cardiff University, Delaney v Staples, Mostyn v The West Mostyn Coal and Iron Co, Breslauer v Barwick, Snell on Equity, Toastmaster v Ainscough, Johnson v Gore-Wood &amp; Co, Lloyd v Google LLC, Resolution Chemicals Ltd v H Lundbeck A/S, Saanich Police Association v District of Saanich Police Board, Public Service Alliance of Canada v NAV Canada, Persimmon Homes Ltd v Hillier Citation Count: 15</t>
  </si>
  <si>
    <t>[2022] EWCA Civ 1408 || Agarwal v Cardiff University || Mostyn v West Mostyn Coal and Iron Co || Breslauer v Barwick || Snell on Equity || Delaney v Staples || Toastmaster v Ainscough || Johnson v Gore-Wood &amp; Co || Lloyd v Google LLC || Persimmon Homes Ltd v Hillier || Saanich Police Association v District of Saanich Police Board || Public Service Alliance of Canada v NAV Canada || Resolution Chemicals Ltd v H Lundbeck A/S</t>
  </si>
  <si>
    <t>806f118b-d6b0-4939-ad11-753dafd57638</t>
  </si>
  <si>
    <t>Nayif v The High Commission of Brunei Darussalam [2014] EWCA Civ 1521</t>
  </si>
  <si>
    <t>806f118b-d6b0-4939-ad11-753dafd57638_citations_precedents</t>
  </si>
  <si>
    <t>Lists and discusses the legal authorities cited within the case.</t>
  </si>
  <si>
    <t>Citations and Authorities: Neutral Citations: [2015] IRLR 134, [2014] WLR(D) 508, [2015] CP Rep 11, [2014] EWCA Civ 1521, [2015] ICR 517, [2015] 4 All ER 159 Law Reports: Referenced Cases: Lennon v Birmingham City Council [2001] IRLR 826, Barber v Staffordshire City Council [1995] ICR 379, Virgin Atlantic Airways v Zodiac Seats UK Limited [2013] UKSC 46, Staffordshire BC v Barber [1996] ICR 379 Citation Count: 4</t>
  </si>
  <si>
    <t>9c5985b6-eaaf-4a06-86c8-f415cd027261</t>
  </si>
  <si>
    <t>Onu v Akwiwu &amp; Anor [2014] EWCA Civ 279</t>
  </si>
  <si>
    <t>9c5985b6-eaaf-4a06-86c8-f415cd027261_citations_precedents</t>
  </si>
  <si>
    <t>Citations and references used within the judgement.</t>
  </si>
  <si>
    <t>Citations and Authorities: Neutral Citations: 2014 WLR 3636, 2014 IRLR 448, 2014 EWCA Civ 279, 2014 WLR(D) 128, 2014 Eq LR 243, 2014 1 WLR 3636, 2014 ICR 571 Law Reports: Referenced Cases: Mehmet v Aduna UKEAT/0574/06, Rowstock Ltd. v Jessemey [2013] ICR 807, Igen Ltd v Wong [2005] ICR 931, Madarassy v Nomura International plc [2007] ICR 936, Stockton on Tees Borough Council v Aylott [2009] ICR 872 Citation Count: 5</t>
  </si>
  <si>
    <t>Mehmet v Aduna UKEAT/0574/06 || Rowstock Ltd. v Jessemey [2013] ICR 807</t>
  </si>
  <si>
    <t>29190db1-6f4f-49a2-84d9-84e5a2091581</t>
  </si>
  <si>
    <t>Jafri v Lincoln College [2014] EWCA Civ 449</t>
  </si>
  <si>
    <t>29190db1-6f4f-49a2-84d9-84e5a2091581_citations_precedents</t>
  </si>
  <si>
    <t>Key legal citations referenced in the case and their significance.</t>
  </si>
  <si>
    <t>Citations and Authorities: Neutral Citations: [2014] EWCA Civ 449, [2014] IRLR 544, [2014] 3 WLR 933, [2014] WLR(D) 178, [2014] ICR 920, [2014] 3 All ER 709, [2015] QB 781 Law Reports: Referenced Cases: Dobie v Burns [1984] IRLR 329, Hellyer Bros. Ltd v McLeod [1987] ICR 526, Willow Oak Developments v Silverwood [2006] IRLR 607 Citation Count: 3</t>
  </si>
  <si>
    <t>Willow Oak Developments v Silverwood [2006] IRLR 607</t>
  </si>
  <si>
    <t>99e499ed-5641-4f75-8c33-a3c4e6031823_citations_precedents</t>
  </si>
  <si>
    <t>Catalogues the authorities and statutes underpinning the immunity and salvage analyses.</t>
  </si>
  <si>
    <t>Citations and Authorities: Neutral Citations: [2022] EWCA Civ 1318, [2023] 2 WLR 209, [2022] WLR(D) 395 Law Reports: EWCA Civ 1318, The Law Reports (WLR) 2023 vol. 2, WLR(D) 395 Referenced Cases: [2017] UKSC 62, Benkharbouche v Embassy of The Republic of Sudan, [2019] AC 777, State Immunity Act 1978, Salvage Convention 1989, Merchant Shipping Act 1995, Benkharbouche principles cited (two forms of state immunity) Citation Count: 6</t>
  </si>
  <si>
    <t>Benkharbouche v Embassy of The Republic of Sudan [2017] UKSC 62 || Benkharbouche v Embassy of The Republic of Sudan [2019] AC 777</t>
  </si>
  <si>
    <t>2e88bc46-6293-4125-beac-79bb041f2d4c</t>
  </si>
  <si>
    <t>Sayn-Wittgenstein-Sayn v HM Juan Carlos Alfonso Victor María de Borbón y Borbón (Rev1) [2022] EWCA Civ 1595</t>
  </si>
  <si>
    <t>2e88bc46-6293-4125-beac-79bb041f2d4c_legal_reasoning</t>
  </si>
  <si>
    <t>Core legal reasoning on whether pre-abdication acts fall within functional immunity and when contractors can be state-actors.</t>
  </si>
  <si>
    <t>Legal Analysis: Legal Issues: Whether pre-abdication acts fall within state immunity under s14(1) SIA.. Whether acts undertaken by General Sanz Roldán or CNI personnel could be treated as state actions for immunity purposes.. Whether the private contractor involvement and “colour of authority” can be used to attribute acts to the state.. Whether the claim could be pursued under s5 SIA personal injury exception.. Impact of pleading amendments on immunity determinations.. Whether immunity would preclude jurisdiction for extra-territorial conduct. Reasoning: The court applied the colour-of-authority framework to assess whether the alleged acts could be considered state acts. It cited I Congreso and Surkis v Poroshenko, reaffirming that the focus is on the character of the act within its context, rather than its label. The court found the harassment claim, as pleaded, is not inherently a government act; however, when framed as acts by state actors (e.g., CNI personnel or General Sanz Roldán acting in a state capacity), those acts could be immune if attributable to the state. The judge found insufficient evidence at this stage to conclude that the Monaco operation and other pre-abdication acts were state acts, but left room for revisiting if credible evidence emerges that the operation was state-sanctioned. The court held that the pre-abdication acts, as pleaded, could be within state immunity, whereas post-abdation acts would not be immune. It also rejected the personal injury exception under s5 SIA since the claim was not pleaded as a recognised psychiatric injury, and amendments to pleadings should have been formalized, not casual. Keywords: state immunity, State Immunity Act 1978, functional immunity, colour of authority, pre-abdication conduct, harassment claim, extra-territorial acts, contractors as state actors, monaco operation, CNI, Surkis v Poroshenko, I Congreso</t>
  </si>
  <si>
    <t>I Congreso || Surkis v Poroshenko || Mallén v United States || Fernando v Sathananthan</t>
  </si>
  <si>
    <t>This case shows 74% similarity based on legal reasoning analysis.</t>
  </si>
  <si>
    <t>48a6c9aa-6aaf-46f0-a0a1-db486992f637</t>
  </si>
  <si>
    <t>Benkharbouche &amp; Anor v Embassy of the Republic of Sudan</t>
  </si>
  <si>
    <t>48a6c9aa-6aaf-46f0-a0a1-db486992f637_legal_classification</t>
  </si>
  <si>
    <t>Categorization of the case under legal frameworks and implications for future cases</t>
  </si>
  <si>
    <t>Legal Classification: Primary Category: Civil Procedure/Employment Law Legal Areas: Employment Law, International Law, Human Rights Law Jurisdiction: United Kingdom Court Level: Appellate Legal Issues: Compatibility of State Immunity Act 1978 with ECHR Article 6. Jurisdictional limitations under international law for employment claims. Direct applicability of EU law and the EU Charter in domestic courts of the UK.. Whether sections 4(2)(b) and 16(1)(a) can be disapplied to allow claims. Keywords: State Immunity, Employment Rights, ECHR Article 6, EU Charter Article 47, Diplomatic Privileges</t>
  </si>
  <si>
    <t>f1db17d9-c809-4f44-a350-a7c506f9683c</t>
  </si>
  <si>
    <t>Reyes &amp; Anor v Al-Malki &amp; Anor</t>
  </si>
  <si>
    <t>f1db17d9-c809-4f44-a350-a7c506f9683c_factual_summary</t>
  </si>
  <si>
    <t>Details regarding the facts of the claimants' employment and their assertive allegations.</t>
  </si>
  <si>
    <t>Factual Summary: Parties: Ms C Reyes v Ms T Suryadi v Mr J Al-Malki v Mrs Al-Malki v Kalayaan (Intervener) v Secretary of State for Foreign and Commonwealth Affairs (Intervener) Key Facts: Claimants worked for Saudi diplomats as domestic workers.. Claimants alleged trafficking, racial discrimination, and unpaid wages.. The Employment Tribunal initially sided with claimants, but higher courts upheld the respondents' immunity. Case Summary: The case involved two claimants, domestic workers employed by a Saudi diplomatic agent and his wife, who alleged racial discrimination and unfair payment. The respondents claimed diplomatic immunity under the Vienna Convention. The Employment Tribunal initially favored the claimants, but the Employment Appeal Tribunal and subsequently the Court of Appeal upheld the respondents' immunity based on the Vienna Convention, concluding that employment did not constitute commercial activity outside official functions. The claims related to trafficking were deemed not sufficient to negate immunity, despite the seriousness of the allegations. Procedural Context: England and Wales Court of Appeal (Civil Division) case</t>
  </si>
  <si>
    <t>47b7ca59-4dae-4e38-9b19-66a4d28a1d9e</t>
  </si>
  <si>
    <t>Belhaj &amp; Anor v Straw &amp; Ors [2014] EWCA Civ 1394</t>
  </si>
  <si>
    <t>47b7ca59-4dae-4e38-9b19-66a4d28a1d9e_citations_precedents</t>
  </si>
  <si>
    <t>List and discussion of significant legal precedents referenced in the ruling and their implications for the case.</t>
  </si>
  <si>
    <t>Citations and Authorities: Neutral Citations: [2014] WLR(D) 459, [2014] EWCA Civ 1394, [2016] 1 All ER 121, [2015] 2 WLR 1105 Law Reports: Referenced Cases: Oppenheimer v. Cattermole [1976] AC 249, Kuwait Airways v. Iraqi Airways Co (Nos 4 and 5) [2002] 2 AC 883, Buttes Gas and Oil Co. v. Hammer [1982] AC 888, Jones v. Saudi Arabia [2007] 1 AC 270, Yukos Capital Sarl v. OJSC Rosneft Oil Co (No. 2) [2014] QB 458, R (Al-Haq) v. Secretary of State for Foreign and Commonwealth Affairs [2009] EWHC 1910 (Admin) Citation Count: 6</t>
  </si>
  <si>
    <t>Oppenheimer v. Cattermole || Kuwait Airways || Buttes Gas || Jones v. Saudi Arabia</t>
  </si>
  <si>
    <t>d2d218fb-5cb2-4d42-9835-3e293c334cd3</t>
  </si>
  <si>
    <t>HRH Prince Abdul Aziz Bin Fahd Bin Abdul Aziz v Harb</t>
  </si>
  <si>
    <t>d2d218fb-5cb2-4d42-9835-3e293c334cd3_citations_precedents</t>
  </si>
  <si>
    <t>Compilation of all legal authorities and precedents referenced throughout the case with particular focus on statutes and prior judgments.</t>
  </si>
  <si>
    <t>Citations and Authorities: Neutral Citations: 2016] 3 All ER 902, [2016] Ch 308, [2015] EWCA Civ 481, [2015] WLR(D) 213, [2016] 2 WLR 533 Law Reports: Referenced Cases: State Immunity Act 1978, Diplomatic Privileges Act 1964, Article 39 of the Vienna Convention on Diplomatic Relations 1961, Jones v. United Kingdom, Aziz v Aziz Citation Count: 5</t>
  </si>
  <si>
    <t>State Immunity Act 1978 || Pinochet No 3</t>
  </si>
  <si>
    <t>ee5ed42e-d552-49f7-ae34-ee6ddf99593b</t>
  </si>
  <si>
    <t>The United States of America v Nolan</t>
  </si>
  <si>
    <t>ee5ed42e-d552-49f7-ae34-ee6ddf99593b_legal_classification</t>
  </si>
  <si>
    <t>Classification of the case's legal framework.</t>
  </si>
  <si>
    <t>Legal Classification: Primary Category: Employment Law Legal Areas: International Law, Employment Law, European Union Law Jurisdiction: England and Wales Court Level: Appellate Legal Issues: Whether the USA was subject to the collective redundancy consultation obligations under UK law.. Whether state immunity could be claimed by the USA with respect to employment disputes.. The applicability of EU directives to non-member states. Keywords: collective redundancy, consultation obligations, sovereign immunity, Employment Appeal Tribunal, EU law</t>
  </si>
  <si>
    <t>56ebcb77-2936-4ffe-9d4e-4334c394df46</t>
  </si>
  <si>
    <t>IPCO (Nigeria) Ltd v Nigerian National Petroleum Corporation [2015] EWCA Civ 1144</t>
  </si>
  <si>
    <t>56ebcb77-2936-4ffe-9d4e-4334c394df46_citations_precedents</t>
  </si>
  <si>
    <t>Referencing significant cases and statutes that shaped the court's decision, particularly relating to international arbitration.</t>
  </si>
  <si>
    <t>Citations and Authorities: Neutral Citations: [2016] 1 Lloyd's Rep 5, [2015] EWCA Civ 1144 Law Reports: Referenced Cases: Soleh Boneh International Ltd v Government of the Republic of Uganda [1993] 2 Lloyd's Rep 208, Continental Transfer Technique Ltd v Federal Government of Nigeria 697 F. Supp.2d 46 (2010), Europcar Italia S.p.A. v Maiellano Tours 156 F.3d 319 (1998) Citation Count: 3</t>
  </si>
  <si>
    <t>Soleh Boneh International Ltd v Government of the Republic of Uganda [1993] 2 Lloyd's Rep 208 || Europcar Italia S.p.A. v Maiellano Tours 156 F.3d 319 (1998)</t>
  </si>
  <si>
    <t>95a09909-d350-4cc6-8e33-4153cfe28a7f</t>
  </si>
  <si>
    <t>Bestfort Developments LLP &amp; Ors v Ras Al Khaimah Investment Authority &amp; Ors [2016] EWCA Civ 1099</t>
  </si>
  <si>
    <t>95a09909-d350-4cc6-8e33-4153cfe28a7f_citations_precedents</t>
  </si>
  <si>
    <t>List of cited authorities underpinning the Court’s reasoning on threshold, discrimination, and enforcement.</t>
  </si>
  <si>
    <t>Citations and Authorities: Neutral Citations: [2016] EWCA Civ 1099 Law Reports: Referenced Cases: Nasser v United Bank of Kuwait [2002] 1 WLR 1868, Dumrul v Standard Chartered Bank [2010] EWHC 2625 (Comm), Star Reefers Pool Inc v JFC Group [2011] EWCA Civ 1065, Texuna International Ltd v Cairn Energy Plc [2004] EWHC 1102 (Comm), Aim Asset Management Sdn. Bhd &amp; Anor v Kazakhstan Investment Fund Ltd (unreported, 22 May 2002), De Beer v Kanaar, Carson v United Kingdom (2010) 51 EHRR 13, R (on the application of Carson) v Secretary of State for Work and Pensions [2006] UKHL 35, Public Law Project v Lord Chancellor [2015] EWCA Civ 1193, LB v Austria (Judgment no. 39802/98, 18 April 2002), Runkee v United Kingdom [2007] ECHR 42989/98 Citation Count: 11</t>
  </si>
  <si>
    <t>Nasser v United Bank of Kuwait [2002] 1 WLR 1868 || Dumrul v Standard Chartered Bank [2010] EWHC 2625 (Comm) || Star Reefers Pool Inc v JFC Group [2011] EWCA Civ 1065 || Texuna International Ltd v Cairn Energy Plc [2004] EWHC 1102 (Comm) || Aim Asset Management Sdn. Bhd &amp; Anor v Kazakhstan Investment Fund Ltd (unreported, 22 May 2002) || De Beer v Kanaar || Carson v United Kingdom (2010) 51 EHRR 13 || Runkee v United Kingdom [2007] ECHR 42989/98 || Public Law Project v Lord Chancellor [2015] EWCA Civ 1193 || LB v Austria (2002) 34 EHRR 21</t>
  </si>
  <si>
    <t>f867230d-587a-4c73-ba9b-3ab93ed9d9d7</t>
  </si>
  <si>
    <t>Zubaydah v Foreign and Commonwealth Office &amp; Ors [2022] EWCA Civ 334 (Court of Appeal, Civil Division)</t>
  </si>
  <si>
    <t>f867230d-587a-4c73-ba9b-3ab93ed9d9d7_legal_classification</t>
  </si>
  <si>
    <t>Classification of the case within tort and private international law, identifying the relevant laws and jurisdictional framework under the 1995 Act.</t>
  </si>
  <si>
    <t>Legal Classification: Primary Category: Private International Law; Tort; Conflict of Laws Legal Areas: Tort Law, Private International Law, Conflict of Laws, Public Law, International Security, Domestic Jurisdiction Jurisdiction: England and Wales Court Level: Court of Appeal (Civil Division) Legal Issues: Choice of law for torts under the Private International Law (Miscellaneous Provisions) Act 1995 (sections 11 and 12). Whether the general rule in section 11(2)(a) or (2)(c) is displaced. The meaning and application of 'substantially more appropriate' in s12(2). Center of gravity/most significant relationship as a criterion for displacement. Impact of parties' reasonable expectations on the choice of law. Role of English tort law in holding executive power to account (Entick v Carrington, etc.). Effect of international operations by foreign powers on domestic law application Keywords: private international law, conflict of laws, English law applies, tort claims, Six Countries, PIL 1995 Act, center of gravity, reasonable expectations, tortious conduct by security services, international security</t>
  </si>
  <si>
    <t>R (Al-Jedda) v Secretary of State for Defence || VTB Capital v Nutritek</t>
  </si>
  <si>
    <t>53e4e4d6-7fe9-4d97-a56c-d55311748151</t>
  </si>
  <si>
    <t>Yapp v Foreign and Commonwealth Office</t>
  </si>
  <si>
    <t>53e4e4d6-7fe9-4d97-a56c-d55311748151_legal_classification</t>
  </si>
  <si>
    <t>Categorization of legal areas involved in the case, primarily focusing on employment and contract law.</t>
  </si>
  <si>
    <t>Legal Classification: Primary Category: Employment Law Legal Areas: Contract Law, Tort Law Jurisdiction: England and Wales Court Level: Appellate Legal Issues: Was the withdrawal a breach of contract?. Did the FCO owe a duty of care to the Claimant?. Was the psychiatric injury as a result of the FCO's actions too remote? Keywords: Breach of Contract, Duty of Care, Psychiatric Injury, Employment Law, Operational Grounds</t>
  </si>
  <si>
    <t>ce109720-ac8c-4042-bd77-82733a79fb6c</t>
  </si>
  <si>
    <t>London Borough of Croydon v Y [2016] EWCA Civ 398</t>
  </si>
  <si>
    <t>ce109720-ac8c-4042-bd77-82733a79fb6c_citations_precedents</t>
  </si>
  <si>
    <t>Key authorities cited or discussed, including Starr v NCB and related public/private-law authorities shaping the decision.</t>
  </si>
  <si>
    <t>Citations and Authorities: Neutral Citations: [2016] Imm AR 965, (2016) 152 BMLR 77, (2016) 19 CCL Rep 229, [2016] WLR(D) 211, 152 BMLR 77, [2016] EWCA Civ 398, [2016] WLR 2895, [2016] 1 WLR 2895 Law Reports: Imm AR 965, 152 BMLR 77, 19 CCL Rep 229, WLR(D) 211, EWCA Civ 398, WLR 2895, 1 WLR 2895 Referenced Cases: Starr v National Coal Board [1977] 1 WLR 63, R (A) v Croydon London Borough Council [2009] UKSC 8, A v London Borough of Croydon [2009] EWHC 939 (Admin), Royal and Sun Alliance v T &amp; N Ltd [2002] EWCA Civ 1964, Walbrook Trust (Jersey) Ltd v Fattal [2008] EWCA Civ 427 Citation Count: 5</t>
  </si>
  <si>
    <t>Starr v National Coal Board [1977] 1 WLR 63 || R (A) v Croydon London Borough Council [2009] UKSC 8 || A v London Borough of Croydon [2009] EWHC 939 (Admin) || Royal and Sun Alliance v T &amp; N Ltd [2002] EWCA Civ 1964 || Walbrook Trust (Jersey) Ltd v Fattal [2008] EWCA Civ 427</t>
  </si>
  <si>
    <t>7650f4cb-dc69-470f-a3c0-941784304d41</t>
  </si>
  <si>
    <t>Al-Saadoon &amp; Ors v The Secretary of State for Defence &amp; Ors; Rahmatullah &amp; Anr v Secretary of State for Defence &amp; Anr [2016] EWCA Civ 811 (Admin Court of Appeal, Civil Division)</t>
  </si>
  <si>
    <t>7650f4cb-dc69-470f-a3c0-941784304d41_citations_precedents</t>
  </si>
  <si>
    <t>Comprehensive list of Strasbourg and UK precedents cited in shaping extraterritorial jurisdiction and Article 3/5 investigations.</t>
  </si>
  <si>
    <t>Citations and Authorities: Neutral Citations: [2016] EWCA Civ 811, [2016] EWCA Civ 811, [2017] 2 All ER 453, [2016] HRLR 20, [2016] WLR(D) 491, [2017] 2 WLR 219 Law Reports: Referenced Cases: Bankovic v Belgium &amp; Others (Grand Chamber), Al-Skeini v United Kingdom (Grand Chamber), Issa v Turkey (Chamber), Öcalan v Turkey (ECtHR), Medvedyev v France (ECtHR), Hassan v United Kingdom (Grand Chamber), Jaloud v Netherlands (Grand Chamber), El-Masri v Former Yugoslav Republic of Macedonia, Kurt v Turkey, Loizidou v Turkey, Cyprus v Turkey, Edwards v United Kingdom, Kurt v Turkey, Edwards v UK, Gisaye v Russia, El-Masri (Grand Chamber), Soering v United Kingdom, Loizidou v Turkey, Cyprus v Turkey, Issa (and related), Hassan (UK detention context), Al-Adsani v United Kingdom (public law), Aydin v Turkey, Assenov v Bulgaria, Ilhan v Turkey, El-Masri Citation Count: 26</t>
  </si>
  <si>
    <t>Bankovic || Al-Skeini || Issa || Ocalan || Medvedyev || Hassan || Jaloud || El-Masri || Kurt || Edwards || Loizidou || Cyprus v Turkey</t>
  </si>
  <si>
    <t>806f118b-d6b0-4939-ad11-753dafd57638_factual_summary</t>
  </si>
  <si>
    <t>Summarizes the factual background of the appellant's claims.</t>
  </si>
  <si>
    <t>Factual Summary: Parties: Mr Eyad Zaki Nayif v The High Commission of Brunei Darussalam Key Facts: Appellant employed as chauffeur from 2003 to 2010.. Complaints of bullying, harassment, and abuse were made.. Initial tribunal claim dismissed as out of time.. Subsequent High Court action brought for negligence and breach of contract. Case Summary: Eyad Zaki Nayif, the appellant, was employed as a chauffeur by the High Commission of Brunei Darussalam and had made numerous complaints about his treatment, culminating in a claim of psychiatric injury linked to race discrimination. His initial claim to the Employment Tribunal was dismissed for being out of time, and an appeal was not pursued. Subsequently, he brought a claim in the High Court for negligence and breach of contract based on the same facts. The High Commission raised an issue estoppel defense based on the earlier dismissal. The Court of Appeal concluded that the dismissal of the Tribunal claim did not preclude the negligence action since there was no substantive adjudication on the merits. Procedural Context: England and Wales Court of Appeal (Civil Division) case</t>
  </si>
  <si>
    <t>7107ec67-0fe1-4e2a-a665-6949d1c2b554</t>
  </si>
  <si>
    <t>Sayn-Wittgenstein-Sayn v His Majesty Juan Carlos Alfonso Victor Maria de Borbón y Borbón [2022] EWCA Civ 1052</t>
  </si>
  <si>
    <t>7107ec67-0fe1-4e2a-a665-6949d1c2b554_legal_classification</t>
  </si>
  <si>
    <t>Classifies the legal framework, including jurisdiction, areas of law, and the relevant statutes and international-law sources.</t>
  </si>
  <si>
    <t>Legal Classification: Primary Category: Civil - Immunities and Diplomatic Privileges Legal Areas: Diplomatic immunity, State immunity, Constitutional law, International law, Public international law, Statutory interpretation Jurisdiction: England and Wales Court Level: Court of Appeal (Civil Division) Legal Issues: Whether the defendant qualifies as a sovereign under s.20(1)(a) DPA 1978 (head of state immunity).. Whether the defendant qualifies as a ‘member of his family forming part of his household’ under s.20(1)(b) DPA 1978.. Whether section 20 applies to acts pre- or post-abdication and how the phrase ‘subject to the provisions of this section and to any necessary modifications’ affects immunity.. Whether the defendant falls within the immunity framework under the 1964 Act for heads of state per Vienna Convention.. The extent and potential binding effect of Apex on the interpretation of s.20(1)(b). Keywords: immunity, Diplomatic Privileges Act 1964, Diplomatic Privileges Act 1978, Head of State, household, Apex, Vienna Convention, civil jurisdiction, pre-abdication acts, private/public acts</t>
  </si>
  <si>
    <t>Apex || Vienna Convention on Diplomatic Relations</t>
  </si>
  <si>
    <t>ef2a3b5f-c840-4290-9574-fe29eee1c165</t>
  </si>
  <si>
    <t>Secretary of State for the Home Department v Lisa Smith [2023] EWCA Civ 376</t>
  </si>
  <si>
    <t>ef2a3b5f-c840-4290-9574-fe29eee1c165_procedural_history</t>
  </si>
  <si>
    <t>Procedural trajectory: from SIAC judgment and stay arrangements to appellate hearing and remote judgment delivery.</t>
  </si>
  <si>
    <t>Procedural History: Court: England and Wales Court of Appeal (Civil Division) Lower Court: Special Immigration Appeals Commission (SIAC) Judges: Lord Justice Underhill, Lord Justice Lewis, Lady Justice Elisabeth Laing Case Number: CA-2021-000698 Last Hearing Date: 2023-04-05 Duration: 1280 days</t>
  </si>
  <si>
    <t>7cce4927-35a4-4b74-90f4-ac2262bb34d7_procedural_history</t>
  </si>
  <si>
    <t>Procedural history: SIAC decision on statelessness preliminary issue; A’s costs application; appeal to the CA; permission granted for substantive appeal; hearing held February 14, 2023; judgment delivered March 13, 2023.</t>
  </si>
  <si>
    <t>Procedural History: Court: England and Wales Court of Appeal (Civil Division) Lower Court: Special Immigration Appeals Commission Judges: Lord Justice Underhill, Lord Justice Dingemans, Lady Justice Elisabeth Laing Case Number: CA-2021-001833+A Last Hearing Date: 13 March 2023 Duration: 0 days</t>
  </si>
  <si>
    <t>3a069494-6968-477a-a4ad-002ee5f30904</t>
  </si>
  <si>
    <t>Ali v Washwood Heath Technology College &amp; Ors [2014] EWCA Civ 97</t>
  </si>
  <si>
    <t>3a069494-6968-477a-a4ad-002ee5f30904_legal_reasoning</t>
  </si>
  <si>
    <t>Covers the reasoning behind the tribunal's rulings and Court of Appeal's decisions.</t>
  </si>
  <si>
    <t>Legal Analysis: Legal Issues: Did the Employment Tribunal err in dismissing Mr. Ali's claims based on jurisdiction over protected disclosures?. Was the EAT correct to affirm the Tribunal's decisions regarding findings of fact?. Did the Tribunal's rulings on the manufacturing of documents affect the outcome? Reasoning: The Court concluded that the Employment Tribunal had appropriately assessed the evidence and correctly found that Ali had not made his disclosures in good faith and did not suffer any detriment. It noted the rare circumstances under which findings of fact by the Tribunal can be challenged, which Ali did not meet. Keywords: race discrimination, unfair dismissal, Employment Tribunal, Court of Appeal, protected disclosures, victimization, jurisdiction, appeal, employment law</t>
  </si>
  <si>
    <t>015f5896-7d13-46d4-8c6d-5c7317ecf054</t>
  </si>
  <si>
    <t>Al-Juffali v Estrada [2016] EWCA Civ 176</t>
  </si>
  <si>
    <t>015f5896-7d13-46d4-8c6d-5c7317ecf054_legal_classification</t>
  </si>
  <si>
    <t>Classification of legal regimes governing immunity (Specialised Agencies Convention, Headquarters Agreement, IMO Order) and their domestic interpretation.</t>
  </si>
  <si>
    <t>Legal Classification: Primary Category: Civil procedure / International law / Family finance Legal Areas: International Law, Diplomatic Immunity, Domestic Law, Public International Law, Constitutional/European Human Rights considerations Jurisdiction: England and Wales Court Level: Court of Appeal (Civil Division) Legal Issues: Whether a Permanent Representative to an international organisation is entitled in principle to immunity from suit in English courts under international law and domestic law.. Whether the IMO Order and Headquarters Agreement extend immunity to the same extent as diplomatic immunity under the VCDR, including Article 31 and Article 39.. Whether a court can or should conduct a 'functional' inquiry into whether the diplomat has taken up and discharged functions; the proper scope of immunity determinations.. The application of Article 6 ECHR proportionality to immunities in a private-law claim (Part III) against a diplomat.. The effect of a FCO certificate under the International Organisations Act 1968 as conclusive evidence of appointment and status, and whether that certificate can be reconciled with factual findings. Keywords: diplomatic immunity, Permanent Representative to an international organisation, IMO, Headquarters Agreement, Specialised Agencies Convention, VCDR, IMO Order, Article 39/31/39(2)/43, permanent residence, public international law, Article 6 ECHR, Matrimonial and Family Proceedings Act 1984, Part III, cross-border family disputes</t>
  </si>
  <si>
    <t>9c4e33c9-91d3-464b-b025-a46e5f3673af</t>
  </si>
  <si>
    <t>9c4e33c9-91d3-464b-b025-a46e5f3673af_procedural_history</t>
  </si>
  <si>
    <t>Procedural history: Appeal from High Court [2021] EWHC 3032 (Pat). Hearing on 30 November 2022; Appellant PMI; Respondents BAT and Nicoventures; Five grounds; Court of Appeal decision 16 December 2022; Case CA-2021-000302.</t>
  </si>
  <si>
    <t>Procedural History: Court: England and Wales Court of Appeal (Civil Division) Lower Court: High Court of Justice, Intellectual Property List (ChD), Patents Court Judges: Lord Justice Arnold, Lord Justice Nugee, Sir Christopher Floyd Case Number: CA-2021-000302 Last Hearing Date: 16 December 2022 Duration: 0 days</t>
  </si>
  <si>
    <t>[2021] EWHC 3032 (Pat)</t>
  </si>
  <si>
    <t>1c816bf0-70b4-46bd-9a31-9d036faff956</t>
  </si>
  <si>
    <t>Idenix Pharmaceuticals Inc v Gilead Sciences Inc &amp; Ors [2016] EWCA Civ 1089</t>
  </si>
  <si>
    <t>1c816bf0-70b4-46bd-9a31-9d036faff956_case_analysis</t>
  </si>
  <si>
    <t>Overall assessment of the case’s precedent value and its significance for patent practice: high complexity with a very broad claim set, heavy reliance on plausibility as a constraint, and an important illustration of how common general knowledge and post-published evidence interact with enablement and sufficiency; confirms limits on “land grab” style broad claims in pharma patents.</t>
  </si>
  <si>
    <t>Case Analysis and Reasoning: Precedent Strength Assessment (9/10): • Court of Appeal (Civil Division) level provides strong binding authority for future UK patent cases. • The decision engages core patent-law doctrines (plausibility, sufficiency, added matter, common general knowledge) and anchors them to established principles (Human Genome Sciences v Lilly; Warner-Lambert v Generics). • The case addresses high-stakes pharmaceutical compounds and the non-obvious requirement of a technical contribution across a broad class of compounds, which strengthens its role as a precedent for similar cases in the UK and potentially influencing EPO-style reasonings on plausibility. • The decision is likely to be cited in future cases dealing with large chemical spaces and the threshold for enabling a broad class of compounds; however its specific factual matrix (nucleoside analogues for HCV) may limit universal applicability across all technical fields. Confidence: 78% Complexity Score Assessment (9/10): • Multiple intertwined issues: priority in US law; lack of common general knowledge; plausibility standard; insufficiency across billions of compounds; enablement challenges; added matter; cross-referencing with multiple publications and conference data; heavy factual and technical complexity in medicinal chemistry and patent law. • The case involves both UK patent-law concepts and transnational elements (US 35 USC §261, Paris Convention), increasing complexity in analysis and reasoning. • High reliance on expert testimony and post-patent literature; retrospective synthesis debates add to complexity. Confidence: 82% Legal Significance: Landmark case with exceptional legal significance</t>
  </si>
  <si>
    <t>Human Genome Sciences v Lilly || Warner-Lambert v Generics (Mylan) || Regeneron v Genentech || Conor Medsystems v Angiotech || KCI Licensing v Smith &amp; Nephew || Kirin-Amgen v Hoechst Marion Roussel || Nokia v IPCom</t>
  </si>
  <si>
    <t>71033cf6-55d5-450b-8f5c-b4e0192b644a</t>
  </si>
  <si>
    <t>Hospira UK Limited v Genentech, Inc. [2016] EWCA Civ 1185</t>
  </si>
  <si>
    <t>71033cf6-55d5-450b-8f5c-b4e0192b644a_case_analysis</t>
  </si>
  <si>
    <t>Analytical assessment of the decision’s value as precedent and the factors contributing to its complexity.</t>
  </si>
  <si>
    <t>Case Analysis and Reasoning: Precedent Strength Assessment (9/10): • The decision sits at the Court of Appeal level, reinforcing and clarifying the law of obviousness for pharmaceutical patents. • It endorses a flexible, multi-factorial approach to determining obviousness, emphasizing 'fair expectation of success' and distinguishing it from a simplistic 'obvious to try' test. • The ruling clarifies that a mental element linked to the intended clinical outcome is a factor in claim construction, affecting novelty analysis. • The decision is likely to be cited in future UK/EU patent cases involving combination therapies and therapeutic outcomes. • However, it remains a Court of Appeal decision and is not a Supreme Court ruling, so the potential for interpretation variance remains. Confidence: 88% Complexity Score Assessment (9/10): • Multiple intertwined issues: novelty vs inventive step, claim construction (for-intent), and the role of 'obvious to try' in a pharmaceutical context. • Heavy reliance on a broad set of authorities (Baselga 97, Saint Gobain, Synthon, Conor, Regeneron, Novartis, etc.). • Evaluation of scientific evidence (mouse xenografts, phase III trial design, and underlying pharmacology) and their predictive value for humans. • Judicial balancing of practical burdens (cost, time, burden of purification/formulation) against the expected benefit. • The case sits at the intersection of legal doctrine and highly technical biomedical evidence, increasing analytical complexity. Confidence: 86% Legal Significance: Landmark case with exceptional legal significance</t>
  </si>
  <si>
    <t>Saint Gobain || Conor Medsystems || Synthon || Regeneron</t>
  </si>
  <si>
    <t>cb8c8a45-aef5-4216-9a7b-d3b254e3b53a</t>
  </si>
  <si>
    <t>Warner-Lambert Company LLC v Generics (UK) Ltd (t/a Mylan) &amp; Ors [2016] EWCA Civ 1006</t>
  </si>
  <si>
    <t>cb8c8a45-aef5-4216-9a7b-d3b254e3b53a_procedural_history</t>
  </si>
  <si>
    <t>Procedural journey: from High Court trial to Court of Appeal, including interim injunction, strike-out, main judgment, abuse judgment, and post-judgment amendment procedure.</t>
  </si>
  <si>
    <t>Procedural History: Court: England and Wales Court of Appeal (Civil Division) Lower Court: High Court of Justice, Chancery Division, Patents Court Judges: Lord Justice Patten, Lord Justice Kitchin, Lord Justice Floyd Case Number: A3/2015/3602; A3/2015/3415; A3/2015/3615; A3/2016/0017 Last Hearing Date: 13 October 2016 Duration: 90 days</t>
  </si>
  <si>
    <t>Nikken || Johnson v Gore Wood || Warner-Lambert CoA (interim injunction)</t>
  </si>
  <si>
    <t>d2737a8b-f6d7-473c-83e0-4e50adcfcdc4</t>
  </si>
  <si>
    <t>Nokia Technologies OY &amp; Anor v OnePlus Technology (Shenzhen) Co Ltd &amp; Ors</t>
  </si>
  <si>
    <t>d2737a8b-f6d7-473c-83e0-4e50adcfcdc4_procedural_history</t>
  </si>
  <si>
    <t>Procedural posture: appeal from the High Court’s order; permission granted; hearing held; decision handed down by CA; deference to the trial judge’s case-management discretion.</t>
  </si>
  <si>
    <t>Procedural History: Court: England and Wales Court of Appeal (Civil Division) Lower Court: High Court of Justice, Business and Property Courts of England and Wales, Intellectual Property List (ChD), Patents Court Judges: Lord Justice Peter Jackson, Lord Justice Arnold, Lord Justice Phillips Case Number: CA-2021-003304 Last Hearing Date: 11 July 2022 Duration: 375 days</t>
  </si>
  <si>
    <t>Reichhold Norway (for context on stay standards and compelling circumstances) || Harrods Buenos Aires (for context on cross-border dispute characterisation)</t>
  </si>
  <si>
    <t>a1a08eab-f66f-48ea-a2b4-e885be7c07df</t>
  </si>
  <si>
    <t>a1a08eab-f66f-48ea-a2b4-e885be7c07df_case_analysis</t>
  </si>
  <si>
    <t>This chunk reviews the significance of the case's outcome within legal discourse.</t>
  </si>
  <si>
    <t>Case Analysis and Reasoning: Precedent Strength Assessment (8/10): • The case involves important issues in pharmaceutical patent law, particularly regarding the validity of patents under the criterion of obviousness. • The court provided a detailed explanation of patent sciences, which may lead to the case being cited in future patent disputes. • The case's outcome reaffirms legal principles surrounding patent validity that may be persuasive to lower courts. Confidence: 85% Complexity Score Assessment (7/10): • The case involved multiple legal issues, particularly around patent claims, obviousness, and prior art, which necessitated significant legal and scientific expertise to elucidate. • Issues of valid patent claims contribute to its complexity, including assessments of arguments from expert witnesses. • However, the arguments advanced were interconnected, which helps streamline the complexity as opposed to more multifaceted legal battles in other patent cases. Confidence: 80% Legal Significance: Important case with notable legal impact</t>
  </si>
  <si>
    <t>024940b7-32ce-4a89-be24-ef0977f9eecd</t>
  </si>
  <si>
    <t>Neurim Pharmaceuticals (1991) Limited &amp; Flynn Pharma Limited v Generics (UK) Limited &amp; Viatris UK Healthcare Limited [2022] EWCA Civ 699</t>
  </si>
  <si>
    <t>024940b7-32ce-4a89-be24-ef0977f9eecd_procedural_history</t>
  </si>
  <si>
    <t>Procedural history: The case moved from the High Court Intellectual Property List (ChD) to the Court of Appeal; underlying judgments in December and March; the appeal was heard on 19 May 2022 with hand-down on 27 May 2022 by a panel comprising Newey, Arnold, and Birss.</t>
  </si>
  <si>
    <t>Procedural History: Court: England and Wales Court of Appeal (Civil Division) Lower Court: High Court of Justice, Intellectual Property List (ChD), Patents Court Judges: Lord Justice Newey, Lord Justice Arnold, Lord Justice Birss Case Number: CA-2022-000413 Last Hearing Date: 27 May 2022 Duration: 0 days</t>
  </si>
  <si>
    <t>08ccb4b2-db3c-4132-87d7-ba219d5957a0</t>
  </si>
  <si>
    <t>Interdigital Technology Corporation &amp; Ors v Lenovo Group Ltd &amp; Ors [2023] EWCA Civ 57</t>
  </si>
  <si>
    <t>08ccb4b2-db3c-4132-87d7-ba219d5957a0_procedural_history</t>
  </si>
  <si>
    <t>Procedural history indicating an appeal from the High Court's IP List (Patents Court) to the Court of Appeal, with the judgment date noted as 30 January 2023 and the presiding judges named.</t>
  </si>
  <si>
    <t>Procedural History: Court: England and Wales Court of Appeal (Civil Division) Lower Court: High Court of Justice, Intellectual Property List (Patents Court) – [2021] EWHC 2152 (Pat) (HHJ Hacon) Judges: Lord Justice Birss, Lord Justice Warby, Lady Justice Falk Case Number: CA-2021-003431 Last Hearing Date: 2023-01-30 Duration: 2 days</t>
  </si>
  <si>
    <t>7311cc70-1cfb-4513-97ab-71a6251af9db</t>
  </si>
  <si>
    <t>Interdigital Technology Corporation &amp; Ors v Lenovo Group Ltd &amp; Ors [2023] EWCA Civ 105</t>
  </si>
  <si>
    <t>7311cc70-1cfb-4513-97ab-71a6251af9db_procedural_history</t>
  </si>
  <si>
    <t>Procedural path from High Court revocation to Court of Appeal, with hearing dates and hand-down date.</t>
  </si>
  <si>
    <t>Procedural History: Court: England and Wales Court of Appeal (Civil Division) Lower Court: High Court of Justice, Business and Property Courts of England and Wales, Intellectual Property List (ChD), Patents Court Judges: Lord Justice Lewison, Lady Justice Asplin, Lord Justice Arnold Case Number: CA-2022-001060 Last Hearing Date: 9 February 2023 Duration: 2 days</t>
  </si>
  <si>
    <t>[2022] EWHC 10 (Pat)</t>
  </si>
  <si>
    <t>c0f3fdb2-6414-4841-8590-b7c4efeabf5e</t>
  </si>
  <si>
    <t>Neurim Pharmaceuticals (1991) Limited &amp; Anor v Generics (UK) Limited &amp; Anor [2022] EWCA Civ 370</t>
  </si>
  <si>
    <t>c0f3fdb2-6414-4841-8590-b7c4efeabf5e_procedural_history</t>
  </si>
  <si>
    <t>Procedural history: appeal originates from High Court IP list decision; hearing occurred 16 March 2022; judgment delivered 29 March 2022 by the Court of Appeal with a panel of three Lord Justices.</t>
  </si>
  <si>
    <t>Procedural History: Court: England and Wales Court of Appeal (Civil Division) Lower Court: High Court of Justice, Business and Property Courts of England and Wales, Intellectual Property List (ChD), Patents Court Judges: Lord Justice Newey, Lord Justice Arnold, Lord Justice Birss Case Number: CA-2022-000413 Last Hearing Date: 29 March 2022 Duration: 13 days</t>
  </si>
  <si>
    <t>[2022] EWCA Civ 370</t>
  </si>
  <si>
    <t>6ba97045-0b3f-40c9-b06f-d6c5cc32ad55</t>
  </si>
  <si>
    <t>Teva UK Limited &amp; Teva Pharmaceutical Industries Limited v Novartis AG &amp; Novartis Pharmaceuticals UK Limited [2022] EWCA Civ 1617</t>
  </si>
  <si>
    <t>6ba97045-0b3f-40c9-b06f-d6c5cc32ad55_procedural_history</t>
  </si>
  <si>
    <t>Procedural chronology from initial High Court proceedings through interim injunction rulings, amendments, and final Court of Appeal hearing.</t>
  </si>
  <si>
    <t>Procedural History: Court: England and Wales Court of Appeal (Civil Division) Lower Court: High Court of Justice, Business and Property Courts of England and Wales, Intellectual Property List (ChD), Patents Court Judges: Lord Justice Arnold, Lord Justice Nugee, Sir Christopher Floyd Case Number: CA-2022-002097, 002098 Last Hearing Date: 8 December 2022 Duration: 0 days</t>
  </si>
  <si>
    <t>[2022] EWHC 959 (Ch) || [2022] Bus LR 888 || [2022] EWCA Civ 775</t>
  </si>
  <si>
    <t>466ad3d5-2323-4234-9361-33c5f1c8d976</t>
  </si>
  <si>
    <t>Optis Cellular Technology LLC &amp; Ors v Apple Retail UK Ltd &amp; Ors [2023] EWCA Civ 758</t>
  </si>
  <si>
    <t>466ad3d5-2323-4234-9361-33c5f1c8d976_procedural_history</t>
  </si>
  <si>
    <t>Procedural path from trial to appeal: trial decision on validity/infringement, and subsequent appellate arguments and ruling.</t>
  </si>
  <si>
    <t>Procedural History: Court: England and Wales Court of Appeal (Civil Division) Lower Court: High Court of Justice, Intellectual Property List (ChD), Patents Court Judges: Lord Justice Newey, Lord Justice Arnold, Lord Justice Birss Case Number: CA-2022-001086 Last Hearing Date: 2023-07-04 Duration: 49 days</t>
  </si>
  <si>
    <t>IPCom v Vodafone || Coflexip v Stolt</t>
  </si>
  <si>
    <t>f462ecd6-c4d2-4d24-997f-71bddff50aab</t>
  </si>
  <si>
    <t>Sandoz Limited v Bristol-Myers Squibb Holdings Ireland Unlimited Company (Re Patent - Plausibility when determining validity) [2023] EWCA Civ 472</t>
  </si>
  <si>
    <t>f462ecd6-c4d2-4d24-997f-71bddff50aab_procedural_history</t>
  </si>
  <si>
    <t>Procedural posture: Appeal from the High Court; hearing dates in April 2023; judgment delivered on 4 May 2023 by three-judge panel of the Court of Appeal.</t>
  </si>
  <si>
    <t>Procedural History: Court: England and Wales Court of Appeal (Civil Division) Lower Court: [2022] EWHC 822 (Pat) (ChD, Intellectual Property List, Patents Court) Judges: Lord Justice Arnold, Lord Justice Nugee, Lord Justice Warby Case Number: CA-2022-001183, 001203 Last Hearing Date: 2023-05-04 Duration: 14 days</t>
  </si>
  <si>
    <t>33d3386d-e19e-4140-bd36-3e7d208b6e5a</t>
  </si>
  <si>
    <t>Alcon Research LLC &amp; Anor v Pharmathen SA &amp; Anor [2022] EWCA Civ 845 (28 June 2022)</t>
  </si>
  <si>
    <t>33d3386d-e19e-4140-bd36-3e7d208b6e5a_procedural_history</t>
  </si>
  <si>
    <t>Procedural trajectory from interim injunction to High Court trial and Court of Appeal hearing, with dates and key judicial figures identified.</t>
  </si>
  <si>
    <t>Procedural History: Court: England and Wales Court of Appeal (Civil Division) Lower Court: High Court of Justice, Business and Property Courts of England and Wales, Intellectual Property List (ChD), Patents Court Judges: Lady Justice King, Lord Justice Arnold, Lord Justice Nugee Case Number: CA-2021-001749 Last Hearing Date: 28 June 2022 Duration: 2920 days</t>
  </si>
  <si>
    <t>[2021] EWHC 1026 (Pat) || Halliburton (2006)</t>
  </si>
  <si>
    <t>ce8d542e-c788-49dc-95c2-e97c961e144e</t>
  </si>
  <si>
    <t>Optis Cellular Technology LLC et al v Apple Retail UK Ltd et al [2023] EWCA Civ 438</t>
  </si>
  <si>
    <t>ce8d542e-c788-49dc-95c2-e97c961e144e_procedural_history</t>
  </si>
  <si>
    <t>Procedural trajectory: appeal from the High Court (Meade J) to the Court of Appeal; hearing dates; judgment date; three patents in question; FRAND context.</t>
  </si>
  <si>
    <t>Procedural History: Court: England and Wales Court of Appeal (Civil Division) Lower Court: High Court of Justice, Business and Property Courts of England and Wales, Intellectual Property List (ChD), Patents Court Judges: Lord Justice Arnold, Lord Justice Nugee, Lord Justice Birss Case Number: CA-2022-000108 Last Hearing Date: 25 April 2023 Duration: 2 days</t>
  </si>
  <si>
    <t>5484c0b3-68e5-4332-8ca9-7879a400b8de</t>
  </si>
  <si>
    <t>Optis Cellular Technology LLC &amp; Ors v Apple Retail UK Ltd &amp; Ors [2022] EWCA Civ 1411</t>
  </si>
  <si>
    <t>5484c0b3-68e5-4332-8ca9-7879a400b8de_procedural_history</t>
  </si>
  <si>
    <t>Procedural arc: Meade J’s order, subsequent appeal and cross-appeal, leading to Court of Appeal decision on FRAND injunction mechanics.</t>
  </si>
  <si>
    <t>Procedural History: Court: England and Wales Court of Appeal (Civil Division) Lower Court: High Court of Justice, Business and Property Courts of England and Wales, Intellectual Property List (ChD), Patents Court Judges: Lady Justice Asplin, Lord Justice Arnold, Lady Justice Elisabeth Laing Case Number: CA-2021-003153 Last Hearing Date: 27 October 2022 Duration: 2 days</t>
  </si>
  <si>
    <t>[2021] EWHC 2564 (Pat) || [2022] EWCA Civ 1411</t>
  </si>
  <si>
    <t>11464556-955b-4142-86d7-0d80daa5ca11</t>
  </si>
  <si>
    <t>Dr Reddy's Laboratories (UK) Ltd &amp; Ors v Warner-Lambert Company LLC [2023] EWCA Civ 73 (Court of Appeal, Civil Division)</t>
  </si>
  <si>
    <t>11464556-955b-4142-86d7-0d80daa5ca11_procedural_history</t>
  </si>
  <si>
    <t>Chronology of the proceedings from the High Court decision to the Court of Appeal hearing, including stays, interim orders, cross-undertakings, and the Birss Order in the Dr Reddy's case.</t>
  </si>
  <si>
    <t>Procedural History: Court: England and Wales Court of Appeal (Civil Division) Lower Court: High Court of Justice, Business and Property Courts of England and Wales, Intellectual Property List (ChD), Patents Court Judges: Lord Justice Males, Lord Justice Arnold, Lord Justice Nugee Case Number: CA-2022-000735 Last Hearing Date: 2023-02-02 Duration: 2 days</t>
  </si>
  <si>
    <t>[2020] Birss Order; Dexter v Vlieland-Boddy (case context)</t>
  </si>
  <si>
    <t>df131dd9-a363-4ffe-8782-01767cbb4625</t>
  </si>
  <si>
    <t>Optis Cellular Technology LLC &amp; Ors v Apple Retail UK Limited &amp; Ors [2022] EWCA Civ 792</t>
  </si>
  <si>
    <t>df131dd9-a363-4ffe-8782-01767cbb4625_procedural_history</t>
  </si>
  <si>
    <t>Procedural history of the case: initial infringement action (Feb 2019), multiple trials including FRAND; Meade J’s 2021 decision; permission to appeal on novelty; hearing in May 2022; judgment delivered 13 June 2022.</t>
  </si>
  <si>
    <t>Procedural History: Court: England and Wales Court of Appeal (Civil Division) Lower Court: Business and Property Courts Intellectual Property List, High Court (Patents) Judges: Lord Justice Arnold, Lord Justice Phillips, Lord Justice Birss Case Number: CA-2021-000725 Last Hearing Date: 13/06/2022 Duration: 42 days</t>
  </si>
  <si>
    <t>Meade J [2021] EWHC 1739 (Pat)</t>
  </si>
  <si>
    <t>220f5941-b918-42be-ba08-5254bcf34586</t>
  </si>
  <si>
    <t>Hospira (UK) Ltd v Genentech, Inc.</t>
  </si>
  <si>
    <t>220f5941-b918-42be-ba08-5254bcf34586_case_analysis</t>
  </si>
  <si>
    <t>The analysis evaluates the case’s potential precedent value and discusses the complexity of its legal reasoning.</t>
  </si>
  <si>
    <t>Case Analysis and Reasoning: Precedent Strength Assessment (8/10): • The case deals with patent law and patentability principles applicable across jurisdictions, which strengthens its precedent value. • The court engaged in a detailed examination of pharmacokinetics and expectations regarding clinical trials, contributing significant insights into patent law. • The ruling addresses a crucial aspect of how patents are assessed regarding inventive step that may be referenced in future cases. Confidence: 85% Complexity Score Assessment (7/10): • The case involves multiple legal issues, including the validity of an inventive step based on prior art and pharmacokinetics. • There are complexities related to the scientific and medical evidence regarding drug administration and pharmacokinetics, requiring specialized knowledge in both law and pharmaceuticals. • The ongoing disputes between the parties regarding interpretations added layers of procedural complexity. Confidence: 80% Legal Significance: Important case with notable legal impact</t>
  </si>
  <si>
    <t>9a6c35d9-2f41-4d9b-bdea-d545c0053749</t>
  </si>
  <si>
    <t>Novartis AG and Novartis Pharmaceuticals UK Limited v Teva UK Ltd &amp; Ors [2022] EWCA Civ 775</t>
  </si>
  <si>
    <t>9a6c35d9-2f41-4d9b-bdea-d545c0053749_factual_summary</t>
  </si>
  <si>
    <t>Factual snapshot: Appellants/claimants are Novartis AG and Novartis Pharmaceuticals UK Limited; respondents/defendants include Teva UK Limited and others; the matter is an appeal from the High Court Intellectual Property List (ChD) in the Patents Court; decision date recorded as 25 May 2022.</t>
  </si>
  <si>
    <t>Factual Summary: Parties: Novartis AG v Novartis Pharmaceuticals UK Limited v Teva UK Limited v Dr. Reddy's Laboratories (UK) Limited v Glenmark Pharmaceuticals Europe Limited v Tillomed Laboratories Limited v Zenvita Pharma UK Limited v Aristo Pharma GmbH v Viatis UK Healthcare Limited Key Facts: Parties: appellants/claimants are Novartis AG and Novartis Pharmaceuticals UK Limited.. Respondents/defendants include Teva UK Limited and multiple pharmaceutical companies.. Appeal relates to patent dispute arising out of High Court (ChD) proceedings in the IP List/Patents Court.. Date of decision: 25 May 2022.. Citation: [2022] EWCA Civ 775. Case Summary: Appeal No. CA-2020-000835; HP-2022-000006. An appeal to the England and Wales Court of Appeal (Civil Division) from the High Court’s Intellectual Property list (ChD), Patents Court, involving appellants Novartis AG and Novartis Pharmaceuticals UK Ltd and numerous respondents/defendants including Teva UK Ltd and others. The date recorded is 25 May 2022. The provided text includes court location and counsel appearances but contains no substantive judgment, holding, or reasoning. Procedural Context: England and Wales Court of Appeal (Civil Division) case</t>
  </si>
  <si>
    <t>This case shows 67% similarity based on factual summary analysis.</t>
  </si>
  <si>
    <t>This case shows 72% similarity based on factual summary analysis.</t>
  </si>
  <si>
    <t>29106524-22a0-4410-a8a6-c9fc60308a2a</t>
  </si>
  <si>
    <t>Smith &amp; Nephew Plc v Convatec Technologies Inc &amp; Ors [2015] EWCA Civ 803</t>
  </si>
  <si>
    <t>29106524-22a0-4410-a8a6-c9fc60308a2a_case_analysis</t>
  </si>
  <si>
    <t>A critical analysis on the precedent strength indicates its significance in future patent discussions among courts regarding injunctions and patents.</t>
  </si>
  <si>
    <t>Case Analysis and Reasoning: Precedent Strength Assessment (8/10): • High Court of Justice judgments are pivotal in patent law interpretations and tend to set strong precedents. • The court's reasoning aligned with established patent law, and the issues raised are significant for future patent cases postulated on public policy considerations. • The case raises significant questions on interim relief standards under patent laws, which are likely to be cited in future cases. Confidence: 90% Complexity Score Assessment (7/10): • The case involves multiple legal issues, including a complicated patent interpretation, injunctions, and ongoing opposition proceedings before the EPO, which increase its complexity. • Factual disputes surrounding the patent's validity and the effects of the injunction heighten the need for nuanced understanding of patent law. • The procedural history includes appeals and considerations for both monetary damages and injunctions, adding layers of complexity. Confidence: 85% Legal Significance: Important case with notable legal impact</t>
  </si>
  <si>
    <t>4d61560d-ecf9-4ce9-a7f2-63d5c1787b6e</t>
  </si>
  <si>
    <t>Warner-Lambert Company, LLC v Actavis Group Ptc EHF &amp; Ors</t>
  </si>
  <si>
    <t>4d61560d-ecf9-4ce9-a7f2-63d5c1787b6e_case_analysis</t>
  </si>
  <si>
    <t>An evaluative analysis of the case in relation to its broader legal significance and potential future implications for patent law.</t>
  </si>
  <si>
    <t>Case Analysis and Reasoning: Precedent Strength Assessment (8/10): • The case deals with complex issues of patent law, particularly concerning recent developments in the interpretation of Swiss-form claims. • The hierarchical level of the court (Court of Appeal) suggests strong authority on the subject matter, with potential implications for future patent law interpretations. • Existing case law provides a solid precedent structure, although the novelty of applying current interpretations to the pharmaceutical field underlines its unique significance. Confidence: 90% Complexity Score Assessment (8/10): • The case involves multiple legal points, including the interpretation of patent claims, direct and indirect infringement nuances, and the impact of pharmaceutical regulations. • The detailed examination of marketing practices, evidential requirements, and the need for careful navigating through patent law adds significant procedural depth to the case. • The interaction between pharmaceutical industry practices and patent laws introduces factual complexities that may complicate future interpretations. Confidence: 85% Legal Significance: Highly significant case with strong precedential value</t>
  </si>
  <si>
    <t>Eisai (Second Medical Indication) [1985] OJ EPO 64 || Actavis UK Ltd v Merck &amp; Co Inc (2008) EWCA Civ 444</t>
  </si>
  <si>
    <t>5699a187-b0d8-4bcc-b655-7c3e525cb13a</t>
  </si>
  <si>
    <t>Samsung Electronics Co Ltd v Apple Retail UK Ltd &amp; Anor [2014] EWCA Civ 250</t>
  </si>
  <si>
    <t>5699a187-b0d8-4bcc-b655-7c3e525cb13a_case_analysis</t>
  </si>
  <si>
    <t>Analysis of the ruling’s implications for future patent cases and its position within current legal frameworks.</t>
  </si>
  <si>
    <t>Case Analysis and Reasoning: Precedent Strength Assessment (7/10): • Strength of the legal reasoning demonstrates an understanding of both national and European patent law intricacies. • The ruling's guidance on procedural matters in patent cases is likely to be referenced by other courts. • It contrasts past rulings and strategically addresses the intersection between national and EU law, setting a potentially impactful precedent. Confidence: 85% Complexity Score Assessment (8/10): • Involvement of multiple parties including international entities and concurrent proceedings leads to higher complexity. • Legal issues surrounding patent validity and infringement often involve intricate factual and procedural deliberations. • The interplay of EPO processes with national court procedures adds layers of complexity to the legal arguments. Confidence: 80% Legal Significance: Important case with notable legal impact</t>
  </si>
  <si>
    <t>Palmaz's European Patents (UK)</t>
  </si>
  <si>
    <t>c4b78e7a-84ea-48ee-8153-38286d8f9094</t>
  </si>
  <si>
    <t>Blue Gentian LLC &amp; Anor v Tristar Products (UK) Ltd &amp; Anor [2015] EWCA Civ 746</t>
  </si>
  <si>
    <t>c4b78e7a-84ea-48ee-8153-38286d8f9094_case_analysis</t>
  </si>
  <si>
    <t>This section provides an analysis of the significance of the case within patent law and its implications for future cases.</t>
  </si>
  <si>
    <t>Case Analysis and Reasoning: Precedent Strength Assessment (8/10): • High court level indicates strong precedent strength. • The case involves a clear and significant issue of patent law that is pertinent across various jurisdictions. • The reasoning provided by the court is thorough and engages with multiple aspects of patent examination and analysis. Confidence: 85% Complexity Score Assessment (7/10): • There are multiple legal issues involved, particularly regarding issues of novelty and obviousness. • The technical nature of the patent requires a strong understanding of patent law and prior arts. • The appeal involved several prior art cases and expert testimonies, complicating the legal evaluation. Confidence: 75% Legal Significance: Important case with notable legal impact</t>
  </si>
  <si>
    <t>c19711c9-1a63-43a5-b855-7b938194803b</t>
  </si>
  <si>
    <t>Teva UK Limited v Boehringer Ingelheim Pharma GmbH &amp; Co KG [2016] EWCA Civ 1296</t>
  </si>
  <si>
    <t>c19711c9-1a63-43a5-b855-7b938194803b_case_analysis</t>
  </si>
  <si>
    <t>Assessment of the case’s value as precedent and its impact on future patent-appeal practice, including the de-emphasis of technical complexity in permission decisions and the adoption of paper-based determinations under CPR 52.5.</t>
  </si>
  <si>
    <t>Case Analysis and Reasoning: Precedent Strength Assessment (8/10): • High court hierarchy (Court of Appeal) supports strong binding value for patent-appeal standards. • Overruled Pozzoli approach, signaling a significant shift in practice for patent cases, with important guidance on CPR 52.5's paper-based determination. • The decision aligns with the public-interest arguments in patents, balancing innovation with competition, while reaffirming the need for careful evaluation of arguable points. • Limitations: Applies primarily to patent-appeal practice in England and Wales; not a broad doctrinal overhaul for all areas of law. Confidence: 85% Complexity Score Assessment (7/10): • Multiple legal issues: permission to appeal standards, changes to CPR 52, interaction between technical evidence and appellate review. • Factual background involves technical pharmaceutical formulation with references to Ogura, Buckton, and the patent specifics, increasing complexity. • Procedural nuances: oral vs. paper determination, timing of decision, and the Court’s guidance on future practice in patent appeals. • Limited scope of the decision to patent appeals rather than general appellate procedure; however, still a relatively sophisticated area for practitioners. Confidence: 80% Legal Significance: Important case with notable legal impact</t>
  </si>
  <si>
    <t>Pozzoli SPA v BDMO SA [2007] EWCA Civ 588 || Skanska Construction UK Ltd v Egger (Barony) Ltd [2002] EWCA Civ 1914 || Biogen v Medeva [1997] RPC 1 || Les Laboratoires Servier v Apotex [2008] EWCA Civ 445</t>
  </si>
  <si>
    <t>33d3386d-e19e-4140-bd36-3e7d208b6e5a_case_analysis</t>
  </si>
  <si>
    <t>Analytical assessment of the case's legal significance, including its impact on obviousness jurisprudence in pharma, the use of a multidisciplinary skilled addressee, and the treatment of long-past priority dates and Stjernschantz-based reasoning.</t>
  </si>
  <si>
    <t>Case Analysis and Reasoning: Precedent Strength Assessment (8/10): • Decisions from a leading appellate court (Court of Appeal) on an important pharmaceutical patent issue. • Addresses the nuanced, multi-factorial obviousness test, including notional skilled addressee, CGK, motivation, and expectation of success. • Engages with established authorities (Stjernschantz, Halliburton, KCI Licensing, Generics) and traditional patent-law literature (Hansch, Coleman) to frame the analysis. • Provides guidance on the interpretation of claim language in pharmaceutical contexts and on how to weigh prior art that is not a direct filing disclosure but a teaching with actionable implications. • Not a sweeping reform of obviousness law; rather a careful refinement of applying existing tests to a complex, long-past priority patent with technical pharmacology/medicinal chemistry details. • Risk of divergence in future cases: the final disposition is not settled in the excerpt; the decision could be cited for approach but not for a definitive outcome on validity. Confidence: 75% Complexity Score Assessment (8/10): • Multiple legal issues: novelty, obviousness, insufficiency; interpretation of claim language; and the 'skilled addressee' concept. • Complex technical context: pharmacology and medicinal chemistry; structure-activity relationships; side effects vs efficacy data (irritation, hyperemia, IOP reduction). • Long gestation and timing issues: very old priority date (1993) and long lead time to trial; expert evidence from multiple disciplines; cross-disciplinary reasoning. • Diverse authorities cited: Stjernschantz, CGK/ Coleman framework, Hansch literature, and various patent-law authorities. • Potential for broad impact on future pharmaceutical patent litigations, depending on the final outcome and appellate guidance. • However, the excerpt does not present a final dispositive ruling, limiting the definitiveness of the holding. Confidence: 80% Legal Significance: Highly significant case with strong precedential value</t>
  </si>
  <si>
    <t>Halliburton (2006) || KCI Licensing (2010) || Generics (UK) (2015) || Stjernschantz (1992)</t>
  </si>
  <si>
    <t>5c199301-9fa7-4657-b7d3-4d6b6da9e61b</t>
  </si>
  <si>
    <t>Neurim Pharmaceuticals (1991) Limited &amp; Anor v Generics (UK) Limited &amp; Anor [2022] EWCA Civ 359</t>
  </si>
  <si>
    <t>5c199301-9fa7-4657-b7d3-4d6b6da9e61b_case_analysis</t>
  </si>
  <si>
    <t>Assessment of the case’s precedent value and complexity: impact on exclusive-licensee doctrine, costs in patent litigation with parallel EPO proceedings, and implications for future UK IP cases and divisional patents.</t>
  </si>
  <si>
    <t>Case Analysis and Reasoning: Precedent Strength Assessment (7/10): • Court sits at the Court of Appeal level, maintaining high authority and broad persuasive impact; however, the precise novelty of the legal issues (exclusive licensee standing and costs in the wake of patent revocation) is moderate given established principles in Patents Act case law. • The holding builds on established authorities such as Spring Form (exclusive licensee concept) and IPCom guidance on adjournment and costs, but applies them to a novel factual matrix involving EPO revocation and a divisional patent, which moderately expands reach. • The uncertainty about the final remedy (costs) in this exact procedural context reduces the potential for universal citation without the final order in the present case. • The presence of parallel EPO proceedings and abinitio revocation introduces a unique factual nuance, limiting the breadth of binding application without further appellate refinement. Confidence: 62% Complexity Score Assessment (8/10): • Multiple intertwined issues: exclusive licensee standing; cost allocation; effect of EPO revocation; interaction with divisional patent EP443; procedural questions about adjournment and timing; presence of parallel proceedings increases factual and legal complexity. • Significant number of parties and license structures, plus historical decisions (2020-2021) feeding into 2022 appellate reasoning; the factual matrix requires careful synthesis of statute, case law, and procedural history. • Technical IP law concepts (exclusive licensees, ab initio revocation, divisional patents) and strategic cost considerations elevate complexity beyond standard patent infringement appeals. • The absence of a final appellate outcome in the provided text somewhat tempers the perceived finality and scope of the ruling, though the legal framework and reasoning demonstrate high complexity. Confidence: 68% Legal Significance: Important case with notable legal impact</t>
  </si>
  <si>
    <t>Spring Form Inc v Toy Brokers Ltd || IPCom v HTC Europe Co Ltd || Floyd LJ guidance || SCT Finance Ltd v Bolton</t>
  </si>
  <si>
    <t>5125ebbe-5915-4ab9-b2d2-c4236db40365</t>
  </si>
  <si>
    <t>Novartis AG &amp; Ors v Focus Pharmaceuticals UK Ltd &amp; Ors; TEVA UK Ltd [2016] EWCA Civ 1295 (Court of Appeal, Civil Division)</t>
  </si>
  <si>
    <t>5125ebbe-5915-4ab9-b2d2-c4236db40365_case_analysis</t>
  </si>
  <si>
    <t>Case significance: clarifies added matter and intermediate generalisation; impact on future patent drafting and litigation; high complexity due to multiple doctrines and cross-referencing authorities.</t>
  </si>
  <si>
    <t>Case Analysis and Reasoning: Precedent Strength Assessment (8/10): • The court is at the Court of Appeal level, which grants strong precedential value in UK patent law. • The issues involve fundamental concepts (added matter, intermediate generalisation, obviousness) that frequently arise in prosecution and litigation of patents, giving high potential for citation. • The ruling aligns with and clarifies established authorities (Vector, Nokia, Napp) to assess added matter and the proper reading of disclosure versus claims. • However, it is not a Supreme Court decision and thus has some limitation in ultimate authority, slightly reducing potential weight compared to a UK Supreme Court ruling. Confidence: 85% Complexity Score Assessment (9/10): • Multiple intertwined legal issues (added matter, claim construction, obviousness, insufficiency) • Heavy reliance on prior authorities and nuanced interpretation of disclosure vs. claim scope • Involves complex pharmacological technical background (transdermal delivery, rivastigmine pharmacokinetics) and patent drafting practice (three-layer patch vs reference patch) • High number of parties and procedural history (two linked actions, settlements with some defendants) • The case requires synthesis of doctrinal authorities alongside technical patent prosecution history, increasing complexity. Confidence: 82% Legal Significance: Highly significant case with strong precedential value</t>
  </si>
  <si>
    <t>Vector || Nokia || Napp || US_031</t>
  </si>
  <si>
    <t>b5913f39-0611-4550-b7a3-d97e1fc4f9c9</t>
  </si>
  <si>
    <t>b5913f39-0611-4550-b7a3-d97e1fc4f9c9_case_analysis</t>
  </si>
  <si>
    <t>Analysis of the case's implications for future discrimination claims and procedural rulings in similar contexts.</t>
  </si>
  <si>
    <t>Case Analysis and Reasoning: Precedent Strength Assessment (7/10): • The case involved significant issues of procedural fairness and discrimination law, common in such claims. • The Court of Appeal supported existing precedents regarding relevance of evidence, reinforcing legal clarity. • As it was a decision from the Court of Appeal, it stands strong for future discrimination claims handling. Confidence: 85% Complexity Score Assessment (6/10): • The case involved multiple legal issues stemming from procedural and evidentiary exclusion in a discrimination context, making it multifaceted. • However, the core questions were relatively straightforward and related to existing legal principles, which kept overall complexity moderate. Confidence: 80% Legal Significance: Moderately significant case with some precedential value</t>
  </si>
  <si>
    <t>Anya v University of Oxford</t>
  </si>
  <si>
    <t>060fb5e3-4e14-487d-89e2-170c04ebf40c</t>
  </si>
  <si>
    <t>Gaurilcikiene v Tesco Stores Ltd [2014] EWCA Civ 1213</t>
  </si>
  <si>
    <t>060fb5e3-4e14-487d-89e2-170c04ebf40c_case_analysis</t>
  </si>
  <si>
    <t>Analysis of the case's implications for current and future legal precedent is discussed here.</t>
  </si>
  <si>
    <t>Case Analysis and Reasoning: Precedent Strength Assessment (7/10): • The ruling is from the Court of Appeal, enhancing its precedent authority. • The decision addresses substantive issues regarding the treatment of grievance letters in race discrimination cases. • The clarity of the ruling may influence future race discrimination claims, particularly regarding procedural expectations. • Not the first case of its kind, affecting its novelty to some degree. Confidence: 85% Complexity Score Assessment (6/10): • The case involves multiple legal issues regarding discrimination, procedural fairness, and evidentiary submissions. • The presence of conflicting testimonies and the intricacies of procedural law add to its complexity. • The legal claims require a nuanced understanding of employment law and race relations law, but the core issues themselves are not overwhelmingly novel. Confidence: 75% Legal Significance: Moderately significant case with some precedential value</t>
  </si>
  <si>
    <t>7b9b0d5a-dc61-43d4-9626-d82e18f8c8dd</t>
  </si>
  <si>
    <t>South Wales Police Authority v Johnson [2014] EWCA Civ 73</t>
  </si>
  <si>
    <t>7b9b0d5a-dc61-43d4-9626-d82e18f8c8dd_case_analysis</t>
  </si>
  <si>
    <t>An analysis of the case's impact on precedent in discrimination law and the complexities involved in the court's reasoning.</t>
  </si>
  <si>
    <t>Case Analysis and Reasoning: Precedent Strength Assessment (5/10): • The case involves established discrimination principles, particularly around the burden of proof in racial discrimination claims. • However, the findings were overturned, indicating potential limitations on its precedential effect. • Given the rigorous scrutiny of Employment Tribunal findings and the importance of evidential sufficiency, it provides moderate precedent strength. Confidence: 75% Complexity Score Assessment (7/10): • The case involved multiple legal concepts, including numerous claims of discrimination and procedural complexities over an extended timeline. • There were substantial factual disputes concerning the evidence of discrimination related to race, which adds to the complexity. • The case now has implications for interpreting the Race Relations Act, creating a clear layer of legal nuance. Confidence: 80% Legal Significance: Moderately significant case with some precedential value</t>
  </si>
  <si>
    <t>Igen Ltd v Wong [2005] ICR 931</t>
  </si>
  <si>
    <t>9ae4bb2e-75ef-4733-a35d-66d61620f6e5</t>
  </si>
  <si>
    <t>Home Office (UK Border Agency) v Essop &amp; Ors</t>
  </si>
  <si>
    <t>9ae4bb2e-75ef-4733-a35d-66d61620f6e5_case_analysis</t>
  </si>
  <si>
    <t>Analyzes the case's significance and potential impact on future discrimination claims.</t>
  </si>
  <si>
    <t>Case Analysis and Reasoning: Precedent Strength Assessment (8/10): • The case is significant as it addresses novel interpretations of the Equality Act 2010, particularly concerning indirect discrimination and burden of proof. • The court's decision clarifies legal standards and facilitates claims of discrimination, contributing to future case law in employment discrimination. • Given the Court of Appeal's elevation of claimants’ standing in discrimination cases, the outcome is likely to influence subsequent rulings. Confidence: 85% Complexity Score Assessment (7/10): • The case deals with multiple legal issues surrounding discrimination, particularly indirect forms under the Equality Act 2010. • The procedural history involves detailed statistical evidence and interpretations of individual versus group disadvantages, which complicates proceedings. • While legal precedents exist, the nuanced interpretation required to apply these to specific circumstances makes the case moderately complex. Confidence: 75% Legal Significance: Important case with notable legal impact</t>
  </si>
  <si>
    <t>3b44a16a-76b8-49d4-8f00-6e1767c46005</t>
  </si>
  <si>
    <t>Khan v Royal Mail Group Ltd &amp; Ors [2014] EWCA Civ 1082</t>
  </si>
  <si>
    <t>3b44a16a-76b8-49d4-8f00-6e1767c46005_case_analysis</t>
  </si>
  <si>
    <t>Evaluation of how the ruling impacts future discrimination cases and the legal understanding surrounding burdens of proof.</t>
  </si>
  <si>
    <t>Case Analysis and Reasoning: Precedent Strength Assessment (7/10): • The case reinforces existing legal standards regarding burden of proof in discrimination cases, particularly under the Race Relations Act. • Given the clarity of the holding and adherence to precedent (notably referencing Igen Ltd v Wong and Madarassy v Nomura), its rationale will likely be cited in future related cases. Confidence: 85% Complexity Score Assessment (6/10): • There are multiple allegations involved, requiring careful analysis of discrimination claims under different legal frameworks. This case also involves an employer's response to claims of victimization and the subtleties of proof standards. • However, the case primarily turned on legal principles rather than substantial factual disputes, which mitigated overall case complexity. Confidence: 80% Legal Significance: Moderately significant case with some precedential value</t>
  </si>
  <si>
    <t>9106dcdb-cf09-4bda-8712-36474df03834</t>
  </si>
  <si>
    <t>Agbenowossi-Koffi v Donvand Ltd [2014] EWCA Civ 855</t>
  </si>
  <si>
    <t>9106dcdb-cf09-4bda-8712-36474df03834_case_analysis</t>
  </si>
  <si>
    <t>Discusses the case's significance in the context of similar future cases.</t>
  </si>
  <si>
    <t>Case Analysis and Reasoning: Precedent Strength Assessment (7/10): • Court's ruling set a standard for future discrimination claims regarding timely submissions and procedural adherence. • The case discusses the principles of abuse of process and cause of action estoppel, which are pertinent for future claims. • However, its narrow focus on procedural issues may limit wide applicability. • Quality of reasoning in ruling adds credibility, but future cases may vary based on specific facts. Confidence: 85% Complexity Score Assessment (6/10): • Case involves multiple legal issues surrounding discrimination and the procedural aspects of employment law. • Factors such as the timeline, legal representation, and psychological impact on the claimant contribute to a layered analysis. • While there are indeed no multiple parties or highly technical issues, the complexity arises from the nuances of handling discrimination claims over time. Confidence: 80% Legal Significance: Moderately significant case with some precedential value</t>
  </si>
  <si>
    <t>29190db1-6f4f-49a2-84d9-84e5a2091581_case_analysis</t>
  </si>
  <si>
    <t>Evaluation of the case's precedent value and its complexity factors.</t>
  </si>
  <si>
    <t>Case Analysis and Reasoning: Precedent Strength Assessment (7/10): • The case involves appellate review from a high court (Court of Appeal) which generally provides strong authority for subsequent cases. • It raises significant employment law issues, particularly regarding fairness and procedural correctness in dismissals due to third-party allegations. • The reasoning was thorough, but the reliance on specific factual findings and local issues means it may not be broadly applicable in other contexts. Confidence: 85% Complexity Score Assessment (6/10): • The case involves multiple allegations, procedural evaluations by both the Employment Tribunal and Employment Appeal Tribunal, and considerable factual analysis regarding workplace dynamics and employer responsibilities. • The presence of multiple parties and procedural layers adds complexity, but it primarily revolves around a singular employment law principle, which prevents excessive complexity. Confidence: 80% Legal Significance: Moderately significant case with some precedential value</t>
  </si>
  <si>
    <t>9505adbf-4b10-41b0-bc0d-d71d70aa9210</t>
  </si>
  <si>
    <t>Ayodele v Citylink Ltd &amp; Anor</t>
  </si>
  <si>
    <t>9505adbf-4b10-41b0-bc0d-d71d70aa9210_case_analysis</t>
  </si>
  <si>
    <t>A detailed analysis of the case’s impact on future legal instances and its complexity within the field.</t>
  </si>
  <si>
    <t>Case Analysis and Reasoning: Precedent Strength Assessment (7/10): • Court of Appeal decision adds clarity to the burden of proof in discrimination cases, reinforcing established law. • The case serves as an important precedent regarding the application of the burden of proof outlined in Section 136 of the Equality Act. • While the decision did not introduce new legal principles, it confirmed the interpretation of existing laws, which adds weight as a reference in future similar cases. Confidence: 85% Complexity Score Assessment (6/10): • The case involved multiple legal issues including several types of discrimination claims, raising complexities regarding the burden of proof. • The factual background included various complaints spanning a lengthy employment period, further increasing complexities regarding the assessment of discrimination. • Legal nuances regarding established case law on discrimination and inconsistencies in tribunal rulings contributed to the overall case complexity. Confidence: 80% Legal Significance: Moderately significant case with some precedential value</t>
  </si>
  <si>
    <t>Igen Limited v Wong [2005] IRLR 258 || Efobi v Royal Mail Group Limited UKEAT/0203/16</t>
  </si>
  <si>
    <t>87fe7360-158a-49e4-8725-7a68e18ba9ac</t>
  </si>
  <si>
    <t>Coventry University v Mian [2014] EWCA Civ 1275</t>
  </si>
  <si>
    <t>87fe7360-158a-49e4-8725-7a68e18ba9ac_case_analysis</t>
  </si>
  <si>
    <t>In-depth analysis of the case's precedent value and implications for future employment law cases.</t>
  </si>
  <si>
    <t>Case Analysis and Reasoning: Precedent Strength Assessment (8/10): • The case involves significant legal principles concerning the application of employment law, particularly the duty of care in disciplinary matters. • The decision was delivered by a respectable appellate court, enhancing its potential to be cited in future cases. • The court's reasoning provided clarity on the thresholds for initiating disciplinary proceedings, which could influence future cases. Confidence: 85% Complexity Score Assessment (7/10): • The case involved multiple legal arguments regarding procedural norms, the complexities of employment relationships, and the assessment of evidence. • The presence of procedural challenges and conflicting narratives contributed to the case's overall complexity. Confidence: 80% Legal Significance: Important case with notable legal impact</t>
  </si>
  <si>
    <t>48b2068c-80e9-4d0c-81f5-46a177a4c560</t>
  </si>
  <si>
    <t>Burrell v Micheldever Tyre Services Ltd</t>
  </si>
  <si>
    <t>48b2068c-80e9-4d0c-81f5-46a177a4c560_case_analysis</t>
  </si>
  <si>
    <t>Critical analysis of the case's potential precedent value and complexity of the legal issues involved.</t>
  </si>
  <si>
    <t>Case Analysis and Reasoning: Precedent Strength Assessment (8/10): • The court addressed significant legal principles related to employment law, particularly regarding victimization under the Race Relations Act 1976. • The case is likely to be cited in future similar employment law issues, which enhances its precedent value. • The ruling reaffirms the EAT's limitations and the importance of remittal in cases involving legal errors. Confidence: 85% Complexity Score Assessment (7/10): • The case involves multiple layers of legal reasoning regarding discrimination and procedural fairness, which contribute to its complexity. • The nuances of employee grievance procedures and the particularities of victimization claims add to the legal intricacies. • The lengthy procedural history and the need to assess multiple parties' actions and decisions increases the case's overall complexity. Confidence: 80% Legal Significance: Important case with notable legal impact</t>
  </si>
  <si>
    <t>Bournemouth University Higher Education Corporation v Buckland</t>
  </si>
  <si>
    <t>d6938848-6263-4913-8294-68c6e5aca496</t>
  </si>
  <si>
    <t>Xerox (UK) Ltd &amp; Ors v Zeb [2017] EWCA Civ 2137</t>
  </si>
  <si>
    <t>d6938848-6263-4913-8294-68c6e5aca496_case_analysis</t>
  </si>
  <si>
    <t>This chunk analyzes the precedent value of the decision, its implications for future cases, and its complexity.</t>
  </si>
  <si>
    <t>Case Analysis and Reasoning: Precedent Strength Assessment (7/10): • Appeal involved significant legal principles regarding discrimination claims under the Equality Act 2010. • Court hierarchy (Appeal Court) reinforces the decision, lending it a considerable degree of importance as precedent. • Broad implications for how redundancy cases are treated in discrimination contexts. • Not a ground-breaking decision but clarifies procedural interpretations. Confidence: 85% Complexity Score Assessment (6/10): • Multiple legal issues surrounding discrimination law and procedural fairness. • Procedural history included various tribunal levels which adds depth and complexity. • The nature of discrimination claims often involves nuanced factual determinations that complicate straightforward rulings. • The interplay between time limits and ongoing treatment complicates factual issues. Confidence: 80% Legal Significance: Moderately significant case with some precedential value</t>
  </si>
  <si>
    <t>Madarassy v Nomura International plc</t>
  </si>
  <si>
    <t>9365ac87-002c-4767-beb5-daa394718251</t>
  </si>
  <si>
    <t>Adeshina v St. George's University Hospitals NHS Foundation Trust &amp; Ors [2017] EWCA Civ 257</t>
  </si>
  <si>
    <t>9365ac87-002c-4767-beb5-daa394718251_case_analysis</t>
  </si>
  <si>
    <t>Analyzes the significance of the case for future precedents and its complexity in the context of employment law.</t>
  </si>
  <si>
    <t>Case Analysis and Reasoning: Precedent Strength Assessment (8/10): • The case involved a significant decision from a Court of Appeal, which holds substantial precedential weight in employment law matters. • It addressed novel issues concerning the intersection of misconduct and operational change, relevant for future cases concerning employment discipline. • The quality of reasoning was robust, linking factual findings directly to legal principles governing dismissal. Confidence: 90% Complexity Score Assessment (7/10): • The case involved multiple parties with overlapping roles in the disciplinary process, which adds layers of complexity. • The nature of the claims included both procedural and substantive elements of law regarding unfair dismissal and discrimination, requiring in-depth legal analysis. • The procedural history also indicated prolonged hearings and numerous legal arguments, reflecting complexity in adjudication. Confidence: 85% Legal Significance: Important case with notable legal impact</t>
  </si>
  <si>
    <t>e740795c-9249-45f8-aba9-1ab82a3274ca</t>
  </si>
  <si>
    <t>Gala Tent Ltd v Chambers &amp; Anor [2015] EWCA Civ 1063</t>
  </si>
  <si>
    <t>e740795c-9249-45f8-aba9-1ab82a3274ca_case_analysis</t>
  </si>
  <si>
    <t>Critical analysis of the case's significance and its potential to influence future legal interpretations.</t>
  </si>
  <si>
    <t>Case Analysis and Reasoning: Precedent Strength Assessment (7/10): • The case was heard at the appellate level, indicating its importance in establishing judicial interpretations in employment contexts. • The legal issues involve fundamental rights concerning discrimination and employment procedures that are frequently cited in subsequent cases. • The quality of the reasoning involving procedural rules reinforces its likely citation in future employment law cases. Confidence: 85% Complexity Score Assessment (6/10): • The procedural aspects regarding the appeal's timing and delivery add layers of complexity, requiring detailed legal knowledge. • Multiple legal issues are interwoven, such as the interplay between procedural fairness and substantive justice in employment cases. • The lack of legal representation for the respondent may indicate challenges in understanding procedural intricacies, adding to the case's complexity. Confidence: 75% Legal Significance: Moderately significant case with some precedential value</t>
  </si>
  <si>
    <t>4b1144b2-2c97-48a1-8fd0-8ebbb0e8a2ce</t>
  </si>
  <si>
    <t>Ahir v British Airways Plc [2017] EWCA Civ 1392</t>
  </si>
  <si>
    <t>4b1144b2-2c97-48a1-8fd0-8ebbb0e8a2ce_case_analysis</t>
  </si>
  <si>
    <t>Evaluates the case's relevance as a precedent and its implications for future legal matters regarding employee rights and employer defenses.</t>
  </si>
  <si>
    <t>Case Analysis and Reasoning: Precedent Strength Assessment (7/10): • The case establishes a precedent for the high threshold required to strike out claims involving alleged discrimination and victimization, reinforcing established legal principles from cases like Anyanwu and Ezsias. • The Court's reasoning aligns well with previous rulings, ensuring consistent application of standards across similar cases. Confidence: 85% Complexity Score Assessment (6/10): • The case involves multiple legal issues, primarily focusing on discrimination within employment and the procedural standards for striking out cases. • However, the factual background was relatively straightforward, leading to a more direct assessment of the legal principles involved. Confidence: 80% Legal Significance: Moderately significant case with some precedential value</t>
  </si>
  <si>
    <t>e099b583-4ed3-4598-a6cb-0f3565312f05</t>
  </si>
  <si>
    <t>Pye v Queen Mary University of London [2017] EWCA Civ 1820</t>
  </si>
  <si>
    <t>e099b583-4ed3-4598-a6cb-0f3565312f05_case_analysis</t>
  </si>
  <si>
    <t>Provides a critical analysis regarding the case's value as a precedent and assesses complexities surrounding the legal issues involved.</t>
  </si>
  <si>
    <t>Case Analysis and Reasoning: Precedent Strength Assessment (7/10): • The case involved a detailed examination of procedural fairness in employment disputes, which is of considerable interest to future employment cases. • The ruling highlighted balancing rights in litigation which could be cited in similar future cases regarding plaintiffs' health issues. • The Employment Tribunal's discretion in ensuring a fair trial can set a precedent for future cases involving the striking out of claims. Confidence: 85% Complexity Score Assessment (8/10): • The case had numerous legal issues related to employment law, race discrimination, and extensive procedural history due to the claimant's health. • Multiple medical reports and a lengthy delay meant substantial factual complexity. • The issue of evidence related to mental health further complicated the tribunal's decisions. Confidence: 90% Legal Significance: Important case with notable legal impact</t>
  </si>
  <si>
    <t>d0274784-a003-4439-8e79-06947376b0e7</t>
  </si>
  <si>
    <t>CLFIS (UK) Ltd v Reynolds</t>
  </si>
  <si>
    <t>d0274784-a003-4439-8e79-06947376b0e7_case_analysis</t>
  </si>
  <si>
    <t>Case analysis delves into its precedent applicability and complexity, demonstrating its judicial significance in employment law.</t>
  </si>
  <si>
    <t>Case Analysis and Reasoning: Precedent Strength Assessment (8/10): • The case sets a significant precedent in employment discrimination cases by clarifying the focus on decision-makers' motivations during appeals. • The quality of judicial reasoning was thorough and acknowledged existing laws on age discrimination, which boosts its applicability in future cases. Confidence: 85% Complexity Score Assessment (7/10): • The case involved multiple levels of legal scrutiny including Employment Tribunal, Employment Appeal Tribunal, and a Court of Appeal ruling, which adds to its complexity. • Issues regarding the standard of proof and the intricacies of age discrimination laws deepen the complexity assessment. Confidence: 80% Legal Significance: Important case with notable legal impact</t>
  </si>
  <si>
    <t>b6038737-31bb-4cfe-ba4c-5199070a3616</t>
  </si>
  <si>
    <t>Shrestha v Genesis Housing Association Ltd [2015] EWCA Civ 94</t>
  </si>
  <si>
    <t>b6038737-31bb-4cfe-ba4c-5199070a3616_case_analysis</t>
  </si>
  <si>
    <t>Evaluation of the case's implications on employment law and its complexity factors.</t>
  </si>
  <si>
    <t>Case Analysis and Reasoning: Precedent Strength Assessment (7/10): • Mid-level court ruling establishes key principles on the reasonable investigation requirement in misconduct cases. • Cited existing case law including Burchell, enhancing its relevance in employment-related findings. • This ruling may have broader implications for similar cases regarding employee conduct and investigation procedures. Confidence: 85% Complexity Score Assessment (6/10): • The case involved multiple legal issues such as procedural fairness, the reasonableness of investigations, and definitions of gross misconduct. • The factual matrix was complex due to differing interpretations of mileage claims and explanations from the appellant. • However, the legal principles applied are well-established, which reduces the overall complexity. Confidence: 80% Legal Significance: Moderately significant case with some precedential value</t>
  </si>
  <si>
    <t>71cd4995-e726-4ac0-861a-ef9b3e0c3f4d</t>
  </si>
  <si>
    <t>Rochford v WNS Global Services (UK) Ltd &amp; Ors [2017] EWCA Civ 2205</t>
  </si>
  <si>
    <t>71cd4995-e726-4ac0-861a-ef9b3e0c3f4d_case_analysis</t>
  </si>
  <si>
    <t>A detailed look at the precedent set by the case and its implications for future employment law cases, assessing complexity and potential citation.</t>
  </si>
  <si>
    <t>Case Analysis and Reasoning: Precedent Strength Assessment (7/10): • The case's significance in employment law revolves around the interpretation of disability discrimination and the intricacies of employer obligations under the Equality Act 2010. • The ruling clarifies the obligations of employees regarding performing work when able, establishing a nuanced interpretation of lawful dismissal procedures. • Due to its courtroom hierarchy (Court of Appeal), it provides clarity that may influence future similar cases. Confidence: 85% Complexity Score Assessment (6/10): • The case involves multiple legal issues, including discrimination, wrongful dismissal, and procedural fairness. • The Employment Tribunal's findings exhibited procedural complexities and issues related to the interpretation of legal rights under employment law. • However, clarity in the legal reasoning presented by the Tribunal and the Court of Appeal contributes to a manageable complexity level. Confidence: 80% Legal Significance: Moderately significant case with some precedential value</t>
  </si>
  <si>
    <t>Taylor v OCS Group Limited</t>
  </si>
  <si>
    <t>58d08b20-69c9-47be-8f81-5be69b31e088</t>
  </si>
  <si>
    <t>Kuznetsov v The Royal Bank of Scotland Plc</t>
  </si>
  <si>
    <t>58d08b20-69c9-47be-8f81-5be69b31e088_case_analysis</t>
  </si>
  <si>
    <t>Analysis of precedent value and the complexity involved in the case.</t>
  </si>
  <si>
    <t>Case Analysis and Reasoning: Precedent Strength Assessment (7/10): • The case involves significant employment law principles, particularly surrounding redundancy processes and employee protection under whistleblower laws, which can impact broader employment practices and policies. • Ultimately, the reasoning was clear and substantial, but the outcome was tied closely to the specifics of the claim management by the Tribunal, highlighting procedural adherence over substantive outcome. Confidence: 85% Complexity Score Assessment (8/10): • Numerous claims were presented in a convoluted manner, involving significant prior procedural history that affected the potential resolution of the case. The interplay of multiple claims and the delay in presenting whistleblower claims added complexity. • The differences between the claims raised and the legal implications of the timing added layers of factual and legal assessments. Confidence: 80% Legal Significance: Important case with notable legal impact</t>
  </si>
  <si>
    <t>Jafri v Lincoln College [2015] QB 781</t>
  </si>
  <si>
    <t>c7763be7-d3d8-4e78-acc8-2eae10851872</t>
  </si>
  <si>
    <t>Bhardwaj v FDA &amp; Ors [2015] EWCA Civ 658</t>
  </si>
  <si>
    <t>c7763be7-d3d8-4e78-acc8-2eae10851872_case_analysis</t>
  </si>
  <si>
    <t>Analyzes the case's precedent-setting potential and complexity, emphasizing its significance in employment law.</t>
  </si>
  <si>
    <t>Case Analysis and Reasoning: Precedent Strength Assessment (8/10): • The case presents important principles regarding bias in tribunal proceedings, has the potential for future citation, and involves a high court's reasoning. • The decision demonstrates nuanced understanding and guidance for future tribunal operations, marking it as significant in employment law. • While it might not have universal applicability, its implications resonate widely, especially in cases of institutional bias. Confidence: 85% Complexity Score Assessment (7/10): • The case involves intricate legal principles regarding bias and waiver, requiring understanding of administrative law and tribunal processes. • The number of parties and the procedural history add layers of complexity; the involvement of rights of individuals against tribunal structures introduces nuanced factual and legal considerations. • The absence of straightforward resolutions increases the complexity. Confidence: 80% Legal Significance: Important case with notable legal impact</t>
  </si>
  <si>
    <t>a1fcbe31-60cf-480d-aa88-19492f68df24</t>
  </si>
  <si>
    <t>a1fcbe31-60cf-480d-aa88-19492f68df24_legal_classification</t>
  </si>
  <si>
    <t>Identifies the legal classifications under which the case falls, primarily focusing on negligence and tort law.</t>
  </si>
  <si>
    <t>Legal Classification: Primary Category: Tort Law Legal Areas: Negligence, Contract Law, Financial Regulation Jurisdiction: England and Wales Court Level: Appellate Legal Issues: Was a duty of care owed by the respondents beyond mere information provision?. Did the respondents fulfill their duty regarding disclosures about break costs?. Was the High Court correct in dismissing the negligence claim? Keywords: negligence, economic loss, interest rate swap, duty of care, financial advice</t>
  </si>
  <si>
    <t>187b7b96-3c95-4093-96a7-389bc96a5dea</t>
  </si>
  <si>
    <t>Saville v Central Capital Ltd [2014] EWCA Civ 337</t>
  </si>
  <si>
    <t>187b7b96-3c95-4093-96a7-389bc96a5dea_legal_classification</t>
  </si>
  <si>
    <t>Categorization of the legal areas involved in the case.</t>
  </si>
  <si>
    <t>Legal Classification: Primary Category: Consumer Protection Legal Areas: Insurance Law, Contract Law, Consumer Law Jurisdiction: England and Wales Court Level: Appellate Legal Issues: Misrepresentation regarding PPI necessity. Breach of ICOB regulations. Causation of loss due to mis-selling Keywords: Payment Protection Insurance, PPI, Financial Services and Markets Act 2000, Insurance Conduct of Business Rules, Causation</t>
  </si>
  <si>
    <t>5efa7b7e-80f2-4a0e-ad80-5ab0db7a9c17</t>
  </si>
  <si>
    <t>Deutsche Bank AG v Unitech Global Limited &amp; Ors [2016] EWCA Civ 119</t>
  </si>
  <si>
    <t>5efa7b7e-80f2-4a0e-ad80-5ab0db7a9c17_legal_classification</t>
  </si>
  <si>
    <t>Legal categorization and jurisdiction: Court of Appeal; matters involve contract, competition, and international finance law under English law.</t>
  </si>
  <si>
    <t>Legal Classification: Primary Category: Contract Dispute; Financial Litigation; Banking and Finance; LIBOR-related Misrepresentation Legal Areas: Contract Law, Financial Markets Regulation, Competition Law, International Finance Law, European Union Law (Competition) and UK Statutory Framework, Interim Relief and Civil Procedure Rules Jurisdiction: England and Wales Court Level: Court of Appeal (Civil Division) Legal Issues: LIBOR integrity and misrepresentation in loan and swap contracts. whether implied representations (A)-(D) can be pleaded and their effect on rescission. distinction between guarantee and indemnity; interpretation of clause 15.1(c). whether non-disclosure of unusual features can discharge guarantor. whether the contracts were illegal as IMF exchange contracts or under place-of-performance rules. competition law defenses under TFEU Article 101 and Competition Act 1998. interim relief: whether and how an interim payment or conditional payment into court can be ordered under CPR Part 25 and Part 3.1. novation vs assignment and whether the credit facility was novated Keywords: LIBOR litigation, misrepresentation, interim payment, conditional order, guarantee vs indemnity, novation vs assignment, IMF/Brettton Woods exchange contracts, competition law, Article 101 TFEU, Competition Act 1998, CPR Part 25 interim relief, Article 85/EC influence on English law, rescission, damages assessment, Lenders Action, Swap Action</t>
  </si>
  <si>
    <t>Courage Ltd v Crehan || United City Merchants v Royal Bank of Canada || Kleinwort Sons &amp; Co. v Ungarische Baumwolle Industrie A.G.</t>
  </si>
  <si>
    <t>0c0d315b-921c-4764-bbf2-256f21063551</t>
  </si>
  <si>
    <t>The Financial Conduct Authority v Ferreira [2022] EWCA Civ 397</t>
  </si>
  <si>
    <t>0c0d315b-921c-4764-bbf2-256f21063551_legal_classification</t>
  </si>
  <si>
    <t>Classification of the case within the regulatory and statutory framework governing knowlingly concerned liability under FSMA; situates the issue as one of statutory construction and regulatory remedies.</t>
  </si>
  <si>
    <t>Legal Classification: Primary Category: Regulatory/Enforcement (FSMA) Legal Areas: Financial Services and Markets Act 2000, Section 382 (knowingly concerned), Section 21(1) FSMA (investment invitations/inductions in the course of business), Section 21(2) FSMA (exemptions), FSA 1986 drafting vs FSMA drafting, Regulatory remedies and quasi-rescission, Judicial interpretation of knowledge in regulatory violations Jurisdiction: England and Wales Court Level: Court of Appeal (Civil Division) Legal Issues: Interpretation of FSMA s382: what constitutes 'knowing[ly concerned]' in relation to a contravention. interaction between s21(1) elements and s21(2) exemptions in assessing knowledge. whether the court should adopt a narrow vs broad construction of knowledge for regulatory liability. whether approvals/authorisations affect the establishment of 'knowing concern' under s382 Keywords: FSMA 2000, section 382, section 21(1), knowingly concerned, regulatory liability, investor communications, in the course of business, quasi-rescission, Court of Appeal (Civil Division)</t>
  </si>
  <si>
    <t>Scandex || FSMA provisions</t>
  </si>
  <si>
    <t>4bab60a4-405b-418a-b7ed-7995d0a7b4d5</t>
  </si>
  <si>
    <t>WW Property Investments Ltd v National Westminster Bank Plc [2016] EWCA Civ 1142 (Court of Appeal, Civil Division)</t>
  </si>
  <si>
    <t>4bab60a4-405b-418a-b7ed-7995d0a7b4d5_legal_classification</t>
  </si>
  <si>
    <t>Classification of the legal issues: wagering contract doctrine vs modern regime; interplay of pre- and post-regulatory regime; the law surrounding CFDs and hedging; and the scope of FSMA 2000/Gambling Act 2005.</t>
  </si>
  <si>
    <t>Legal Classification: Primary Category: Contract and Financial Regulation - wagering contracts, hedging products, and regulatory framework Legal Areas: Contract Law, Commercial/Financial Regulation, Wagering Contracts, Contracts for Differences (CFDs), Interest Rate Hedging Products (IRHP), Tort (Misrepresentation, Duty of Care), Regulatory Regimes (FSMA 2000, Gambling Act 2005), Jurisdiction - England and Wales Jurisdiction: England and Wales Court Level: Court of Appeal (Civil Division) Legal Issues: Whether collars and swap are wagering contracts under common law and statutory framework. Impact of Financial Services Act 1986 s63 and FSMA 2000/ Gambling Act 2005 on wagering doctrine. Whether there was an implied duty or misrepresentation in LIBOR manipulation claims. Effect of IRHP Review and Category A/B classification on redress and speculative claims (Consequence Losses). Whether the Wagering/CFD framework is consistent with hedging purpose (commercial vs wagering). Compromise and enforceability of settlement terms in relation to subsequent claims for consequences. Whether WW can amend pleadings to pursue IRHPR-related duty of care claims. Appropriate approach and potential for appeal from strike-out decisions Keywords: Court of Appeal (Civil Division), hedging contracts, collars, swap, wagering contracts, IRHP Review, consequential losses, amendments, compromise, regulatory regime</t>
  </si>
  <si>
    <t>City Index v Leslie || Morgan Grenfell || Nextia || Ivey</t>
  </si>
  <si>
    <t>83821fb0-ba9c-43e6-bb47-76a85327b471</t>
  </si>
  <si>
    <t>CGL Group Ltd &amp; Ors v The Royal Bank of Scotland Plc &amp; National Westminster Bank Plc &amp; Ors</t>
  </si>
  <si>
    <t>83821fb0-ba9c-43e6-bb47-76a85327b471_legal_classification</t>
  </si>
  <si>
    <t>This case primarily involves regulatory compliance and mis-selling under financial services law.</t>
  </si>
  <si>
    <t>Legal Classification: Primary Category: Financial Services Regulation Legal Areas: Commercial Law, Banking Law, Regulatory Compliance Jurisdiction: England and Wales Court Level: Appellate Legal Issues: Did the banks owe a duty of care to the appellants in conducting the review?. Was reliance on the review agreement justified for imposing common law duty?. Are the banks subject to liability for purported failures in the reviews under regulatory frameworks? Keywords: mis-selling, interest rate hedging, duty of care, Financial Conduct Authority, regulatory framework</t>
  </si>
  <si>
    <t>Financial Services and Markets Act 2000</t>
  </si>
  <si>
    <t>e3367bf1-963c-47c9-aea9-8dc4a1dc25bc</t>
  </si>
  <si>
    <t>e3367bf1-963c-47c9-aea9-8dc4a1dc25bc_legal_classification</t>
  </si>
  <si>
    <t>Classification of the legal areas addressed in this case, including financial services law and investment regulation.</t>
  </si>
  <si>
    <t>Legal Classification: Primary Category: Financial Regulation Legal Areas: Financial Services Law, Regulatory Compliance, Investment Law Jurisdiction: England and Wales Court Level: Appellate Legal Issues: Definition of Collective Investment Schemes under FSMA 2000. Liability of unauthorised operators. Impact of the FCA's ruling on ongoing investment schemes. Legal interpretations of profit pooling in investment schemes Keywords: Collective Investment Schemes, Financial Conduct Authority, Financial Services and Markets Act, Regulated Activities, Investment Fraud</t>
  </si>
  <si>
    <t>a30b2ade-6e0c-4b33-a0cd-099ae990e876</t>
  </si>
  <si>
    <t>Property Alliance Group Ltd v The Royal Bank of Scotland Plc [2018] EWCA Civ 355</t>
  </si>
  <si>
    <t>a30b2ade-6e0c-4b33-a0cd-099ae990e876_legal_classification</t>
  </si>
  <si>
    <t>Classification of legal areas applicable to the case.</t>
  </si>
  <si>
    <t>Legal Classification: Primary Category: Commercial Law Legal Areas: Contract Law, Tort Law, Financial Regulation Jurisdiction: England and Wales Court Level: appellate Legal Issues: Negligent Misstatement Claim. Misrepresentation Claim. LIBOR Manipulation Claim. Valuation Claim Keywords: interest rate swaps, negligent misstatement, LIBOR, misrepresentation, contractual obligations</t>
  </si>
  <si>
    <t>8fd0b714-5fa9-43cf-9e51-5c74a6e3d911</t>
  </si>
  <si>
    <t>Banco Santander Totta SA v Companhia Carris De Ferro De Lisboa SA &amp; Ors [2016] EWCA Civ 1267</t>
  </si>
  <si>
    <t>8fd0b714-5fa9-43cf-9e51-5c74a6e3d911_outcome_holding</t>
  </si>
  <si>
    <t>The appeal was dismissed; the lower court’s declarations that the swaps are enforceable remain in force; no termination or modification under Article 437 granted.</t>
  </si>
  <si>
    <t>Case Outcome: Holding: Appeal dismissed. The Court of Appeal upheld the Commercial Court’s declarations that the swaps are legal, valid, and binding obligations enforceable under their terms. Article 3(3) was not engaged to require termination or modification of the swaps, and the discussion of Article 437 did not lead to a reversal of the lower court’s decision. Outcome: plaintiff Precedent Strength: 8/10 Complexity Score: 9/10 Damages: 0 Legal Significance: Highly significant case with strong precedential value</t>
  </si>
  <si>
    <t>ee25b714-a850-4788-bcd3-623a5cbe4ede</t>
  </si>
  <si>
    <t>Electro Mechanical Installations Ltd v Royal Bank of Scotland [2014] EWCA Civ 77</t>
  </si>
  <si>
    <t>ee25b714-a850-4788-bcd3-623a5cbe4ede_citations_precedents</t>
  </si>
  <si>
    <t>This chunk lists the cases and legal authorities cited within the judgment that influenced the ruling.</t>
  </si>
  <si>
    <t>Citations and Authorities: Neutral Citations: [2014] EWCA Civ 77 Law Reports: Referenced Cases: Barclays Bank v Quincecare Ltd [1992] 4 All ER 363, Lipkin Gorman v Karpnale Ltd [1988] UKHL 12, Redmond v Allied Irish Banks [1987] FLR 307, Winnetka Trading v Julius Baer [2012] 1 BCLC 588 Citation Count: 4</t>
  </si>
  <si>
    <t>Barclays Bank v Quincecare Ltd || Lipkin Gorman v Karpnale Ltd || Redmond v Allied Irish Banks || Winnetka Trading v Julius Baer</t>
  </si>
  <si>
    <t>b4e5eb9c-82c1-4910-beaf-c30269939bbe</t>
  </si>
  <si>
    <t>Asset Land Investment Plc &amp; Anor v The Financial Conduct Authority (FCA)</t>
  </si>
  <si>
    <t>b4e5eb9c-82c1-4910-beaf-c30269939bbe_legal_classification</t>
  </si>
  <si>
    <t>This case falls under financial regulation and consumer protection laws, focusing on unauthorized investment schemes.</t>
  </si>
  <si>
    <t>Legal Classification: Primary Category: Financial Services Regulation Legal Areas: Securities Law, Regulatory Compliance, Consumer Protection, Investment Schemes Jurisdiction: England and Wales Court Level: Appellate Legal Issues: Definition of collective investment scheme under FSMA. Control over management of property. Investor's understanding of arrangements. Nature of arrangements and their characteristics under FSMA Keywords: collective investment scheme, Financial Services and Markets Act 2000, land banking, investor protection, regulatory compliance</t>
  </si>
  <si>
    <t>727d863a-b385-45df-96e6-d8dba00144f9</t>
  </si>
  <si>
    <t>Philipp v Barclays Bank UK Plc [2022] EWCA Civ 318</t>
  </si>
  <si>
    <t>727d863a-b385-45df-96e6-d8dba00144f9_citations_precedents</t>
  </si>
  <si>
    <t>Lists and contextualizes authorities cited in support of the Court of Appeal's analysis of the Quincecare duty and its potential expansion.</t>
  </si>
  <si>
    <t>Citations and Authorities: Neutral Citations: [2022] 2 WLR 872, [2022] WLR(D) 121, [2022] EWCA Civ 318, [2022] Bus LR 353, [2022] QB 578 Law Reports: Quincecare, Verjee v CIBC Bank, Paget's Law of Banking 15th ed. paras. 22.51-22.52, Barclays Bank v Simms [1980] QB 677, Lipkin Gorman, Singularis, Sekers Fabrics v Clydesdale Bank [2021] CSOH 89, Luk Wing Yan v CMB Wing Lung Bank Ltd [2021] HKCFI 279, Tidal Energy (Lord Dyson paragraph 57) Referenced Cases: Quincecare, Verjee v CIBC Bank, Paget's Law of Banking 15th ed. paras. 22.51-22.52, Barclays Bank v Simms [1980] QB 677, Lipkin Gorman, Singularis, Sekers Fabrics v Clydesdale Bank [2021] CSOH 89, Luk Wing Yan v CMB Wing Lung Bank Ltd [2021] HKCFI 279, Tidal Energy, Luk Wing Yan v CMB Wing Lung Bank Ltd Citation Count: 10</t>
  </si>
  <si>
    <t>Quincecare || Verjee v CIBC Bank || Paget's Law of Banking || Barclays Bank v Simms || Lipkin Gorman || Singularis || Sekers Fabrics v Clydesdale Bank || Luk Wing Yan v CMB Wing Lung Bank Ltd || Tidal Energy</t>
  </si>
  <si>
    <t>50f3324e-7e20-444c-b5c6-18d53dfb80ed</t>
  </si>
  <si>
    <t>MTR Bailey Trading Ltd v Barclays Bank Plc [2015] EWCA Civ 667</t>
  </si>
  <si>
    <t>50f3324e-7e20-444c-b5c6-18d53dfb80ed_case_analysis</t>
  </si>
  <si>
    <t>Discussion on the significance of the case's precedential value and its complexity.</t>
  </si>
  <si>
    <t>Case Analysis and Reasoning: Precedent Strength Assessment (7/10): • The court's ruling addresses significant points of financial regulatory law, particularly the COBS rules, making it potentially influential. • The case has a reasonable chance of being cited in future cases concerning financial misrepresentations and obligations of banks towards non-sophisticated consumers. • The court's ruling is grounded in established principles but raises novel issues regarding the interpretation of client responsibilities in financial agreements. Confidence: 85% Complexity Score Assessment (6/10): • This case involves multiple legal issues surrounding financial regulations and fiduciary duties, making it complex. • The facts also encompass distinctions between personal and corporate liability, requiring nuanced understanding. • However, the case is limited by the fact that some claims were discontinued, reducing the overall procedural complexity. Confidence: 75% Legal Significance: Moderately significant case with some precedential value</t>
  </si>
  <si>
    <t>c31d4c82-88f9-42c8-968b-efc3ee876ec7</t>
  </si>
  <si>
    <t>Figurasin &amp; Anor v Central Capital Ltd [2014] EWCA Civ 504</t>
  </si>
  <si>
    <t>c31d4c82-88f9-42c8-968b-efc3ee876ec7_legal_classification</t>
  </si>
  <si>
    <t>Classification of legal areas relevant to the case, emphasizing consumer and insurance law.</t>
  </si>
  <si>
    <t>Legal Classification: Primary Category: Consumer Protection Legal Areas: Contract Law, Insurance Law, Consumer Protection Law Jurisdiction: England Court Level: appellate Legal Issues: Whether the communication of PPI costs was clear and fair under ICOB rules.. Validity of claimants' reliance on oral statements made during the loan application process. Keywords: mis-selling, payment protection insurance, PPI, Insurance Conduct of Business Rules, ICOB, England and Wales Court of Appeal, Consumer Protection, Financial Services and Markets Act</t>
  </si>
  <si>
    <t>ab7f6563-ffbc-46f8-a354-e1a0f0fdf80b</t>
  </si>
  <si>
    <t>Calland v Financial Conduct Authority [2015] EWCA Civ 192</t>
  </si>
  <si>
    <t>ab7f6563-ffbc-46f8-a354-e1a0f0fdf80b_legal_classification</t>
  </si>
  <si>
    <t>This chunk details the legal categorization of the case, focusing on tort law and harassment definitions.</t>
  </si>
  <si>
    <t>Legal Classification: Primary Category: Tort Legal Areas: Harassment Law, Administrative Law, Financial Regulation Jurisdiction: England and Wales Court Level: Appellate Legal Issues: Whether the communications from the Financial Conduct Authority constituted harassment under the Protection from Harassment Act 1997.. The interpretation of 'course of conduct' and what constitutes distress or alarm under the Act.. Assessment of the appropriateness of the regulatory communications in relation to the duties imposed by financial regulation. Keywords: Harassment Law, Financial Conduct Authority, Pensions Review, Protection from Harassment Act, Regulatory Communications</t>
  </si>
  <si>
    <t>c21e0bef-b8ff-4f7a-8747-96ed5c2813e1</t>
  </si>
  <si>
    <t>Crossfield v Jackson [2014] EWCA Civ 1548</t>
  </si>
  <si>
    <t>c21e0bef-b8ff-4f7a-8747-96ed5c2813e1_citations_precedents</t>
  </si>
  <si>
    <t>List of legal precedents and authorities cited within the court's reasoning and judgment.</t>
  </si>
  <si>
    <t>Citations and Authorities: Neutral Citations: [2014] EWCA Civ 1548, [2015] HLR 13, [2015] WTLR 1519 Law Reports: Referenced Cases: Royal Bank Of Scotland v Etridge [2002] 2 AC 773, Goldsworthy v Brickell [1987] Ch 378, Allcard v Skinner (1887) 36 Ch. D. 145 Citation Count: 3</t>
  </si>
  <si>
    <t>Allcard v Skinner (1887) 36 Ch. D. 145 || Royal Bank Of Scotland v Etridge [2002] 2 AC 773</t>
  </si>
  <si>
    <t>e55b2bcd-c806-49f1-8b91-647450f700cf</t>
  </si>
  <si>
    <t>O'Sullivan v Financial Services Authority [2015] EWCA Civ 896</t>
  </si>
  <si>
    <t>e55b2bcd-c806-49f1-8b91-647450f700cf_legal_classification</t>
  </si>
  <si>
    <t>Legal classification of the case within administrative law and its implications regarding regulatory oversight.</t>
  </si>
  <si>
    <t>Legal Classification: Primary Category: Administrative Law Legal Areas: Judicial Review, Financial Regulation, Public Law Jurisdiction: England and Wales Court Level: Appellate Legal Issues: Whether the FSA had a duty of care to investigate CCE adequately.. Whether the FSA's actions amounted to bad faith justifying a claim for damages.. The appropriateness of a judicial review application given the nature of the claims. Keywords: Judicial Review, Financial Services Authority, Crown Currency Exchange, Supervisory Failures, Public Law</t>
  </si>
  <si>
    <t>fc3a7d73-0542-421b-9be1-12f07edcfd92</t>
  </si>
  <si>
    <t>Group Seven Ltd &amp; Anor v Allied Investment Corporation Ltd &amp; Ors [2015] EWCA Civ 631</t>
  </si>
  <si>
    <t>fc3a7d73-0542-421b-9be1-12f07edcfd92_legal_classification</t>
  </si>
  <si>
    <t>The classification of the case within civil fraud and contract law contexts highlights its legal implications in financial dealings.</t>
  </si>
  <si>
    <t>Legal Classification: Primary Category: Civil Fraud Legal Areas: Contract law, Tort law, Civil procedure, Maltese law Jurisdiction: England and Wales Court Level: Appellate Legal Issues: Was the judge correct to reject the arguments regarding liability for contributory negligence?. Is the standard for establishing damages under Maltese law appropriate in this case?. Did the judge err in his conclusions regarding Article 1051 of the Maltese Civil Code? Keywords: fraud, contributory negligence, Maltese law, Court of Appeal, damages, civil liability, rescission, dolus, culpa, investment</t>
  </si>
  <si>
    <t>edb9880b-ba30-4e1e-a2b3-52b1d6fb2f64</t>
  </si>
  <si>
    <t>Napier Park European Credit Opportunities Fund Ltd v Harbourmaster Pro-Rata Clo 2 B.V. &amp; Ors [2014] EWCA Civ 984</t>
  </si>
  <si>
    <t>edb9880b-ba30-4e1e-a2b3-52b1d6fb2f64_legal_classification</t>
  </si>
  <si>
    <t>Classification of legal areas and principles applied in the case.</t>
  </si>
  <si>
    <t>Legal Classification: Primary Category: Commercial Financial Dispute Legal Areas: Contract Law, Banking and Finance Law, Securities Regulation Jurisdiction: England and Wales Court Level: Appellate Legal Issues: Interpretation of the Reinvestment Criteria in the context of downgrades of the Senior Notes.. The applicability of UPP towards redemption of notes based on previous ratings. Keywords: CLO, Unscheduled Principal Proceeds, credit ratings, Senior Noteholders, Junior Noteholders, contract interpretation, reinvestment criteria, financial instruments, legal obligations</t>
  </si>
  <si>
    <t>5b3c080f-c58b-40db-acc4-59aca37b2a05</t>
  </si>
  <si>
    <t>5b3c080f-c58b-40db-acc4-59aca37b2a05_legal_reasoning</t>
  </si>
  <si>
    <t>This detail outlines the reasoning behind the court’s decision, focusing on the obligations of solicitors and the particular breaches identified by the judge.</t>
  </si>
  <si>
    <t>Legal Analysis: Legal Issues: Duty of solicitors to provide adequate due diligence. Determination of equitable compensation. Validity of planning permissions. Failure to disclose risks of criminal activity Reasoning: The court emphasized that proper legal safeguards were not in place for the clients’ deposits, and the failure to inform clients about the inadequacy of guarantees and the risks involved constituted a breach of trust. The firm's role in safeguarding client money required more diligence than was displayed, particularly given the nature of the real estate venture and previous allegations surrounding it. Keywords: breach of trust, equitable compensation, solicitor liability, due diligence, real estate, client funds, legal representation, foreign property transactions</t>
  </si>
  <si>
    <t>South Australia Asset Management Corporation v York Montague Ltd [1997] AC 191 || AIB Group (UK) PLC v Mark Redler &amp; Co Solicitors [2014] UKSC 58</t>
  </si>
  <si>
    <t>This case shows 72% similarity based on legal reasoning analysis.</t>
  </si>
  <si>
    <t>2bd10c54-07db-4985-85eb-0568607ef9f3</t>
  </si>
  <si>
    <t>Procter v Raleys Solicitors [2015] EWCA Civ 400</t>
  </si>
  <si>
    <t>2bd10c54-07db-4985-85eb-0568607ef9f3_case_analysis</t>
  </si>
  <si>
    <t>Discussion of the case's significance in legal precedent and complexity understanding.</t>
  </si>
  <si>
    <t>Case Analysis and Reasoning: Precedent Strength Assessment (8/10): • The case sets important standards on the level of care expected from solicitors in advising clients, particularly in negligence claims. • It highlights the critical need for clear communication and understanding of clients' rights in specialized scenarios such as compensation schemes. • Given the appeal did not succeed, the decision reinforces the court's expectation of a solicitor's duty in ensuring clients receive appropriate and comprehensive advice. Confidence: 85% Complexity Score Assessment (7/10): • The case involves multiple legal issues surrounding negligence and professional duty, requiring extensive legal analysis. • The procedural history included numerous communications and document reviews, indicating a convoluted timeline with significant factual detail. • Complex emotions and misunderstandings from a client with limited education were central to the case, adding to the intricacies of legal interpretation. Confidence: 75% Legal Significance: Important case with notable legal impact</t>
  </si>
  <si>
    <t>a95c38a6-976a-4d35-a1bc-ccbc2a65b561</t>
  </si>
  <si>
    <t>Watson Farley and Williams (a firm) v Ostrovizky [2015] EWCA Civ 457</t>
  </si>
  <si>
    <t>a95c38a6-976a-4d35-a1bc-ccbc2a65b561_case_analysis</t>
  </si>
  <si>
    <t>Assessment of the complexity and precedent implications of the case.</t>
  </si>
  <si>
    <t>Case Analysis and Reasoning: Precedent Strength Assessment (8/10): • This case is decided by an appellate court, which gives it a higher weight as precedent, particularly within contractual and professional negligence contexts. • The decision addresses established duties owed by solicitors, which are well-defined in law, but applies them in a novel factual context, contributing to its precedent importance. • The court provided thorough reasoning through a detailed analysis of factual findings, enhancing future applications of similar legal principles. • Overall, while it sets a solid precedent, the specific context diminishes its broader applicability as compared to landmark cases. Confidence: 85% Complexity Score Assessment (7/10): • The case involved multiple legal issues, including professional negligence and causation, which inherently add to its complexity. • The factual background was extensive, involving numerous events and actors influencing the outcome of the investments. • The appeal process itself involved rigorous examination of trial findings and witness credibility, adding layers of procedural complexity. • Despite this, all principal arguments remained somewhat focused on the alleged negligence, which prevented complexity from reaching the highest level. Confidence: 80% Legal Significance: Important case with notable legal impact</t>
  </si>
  <si>
    <t>Levicom International Holdings v Linklaters [2010] EWCA Civ 494</t>
  </si>
  <si>
    <t>3939ad83-3116-4c2b-9d35-73b063345d71</t>
  </si>
  <si>
    <t>Goldsmith Williams Solicitors v E.Surv Ltd: Duty of Solicitors to Report Discrepancies in Property Valuation</t>
  </si>
  <si>
    <t>3939ad83-3116-4c2b-9d35-73b063345d71_legal_classification</t>
  </si>
  <si>
    <t>Categorization of the case as a negligence claim within property law.</t>
  </si>
  <si>
    <t>Legal Classification: Primary Category: Negligence Legal Areas: Tort Law, Property Law, Professional Negligence Jurisdiction: England and Wales Court Level: Appellate Legal Issues: Did the solicitors owe a duty to report discrepancies in property valuation?. Was the failure of the solicitors to report these discrepancies a contributing factor to the lender's loss? Keywords: Solicitors' Duty, Property Valuation, Negligence, Civil Liability, Mortgage Law</t>
  </si>
  <si>
    <t>fdbc6a3c-8f8a-46d6-bced-8407ae440500</t>
  </si>
  <si>
    <t>AW Group Ltd v Taylor Walton (a firm) [2014] EWCA Civ 592</t>
  </si>
  <si>
    <t>fdbc6a3c-8f8a-46d6-bced-8407ae440500_legal_classification</t>
  </si>
  <si>
    <t>Categorization of the case under relevant legal classifications and areas of law.</t>
  </si>
  <si>
    <t>Legal Classification: Primary Category: Civil Legal Areas: Negligence, Property Law, Professional Liability Jurisdiction: England and Wales Court Level: appellate Legal Issues: Did the defendant solicitors' negligence cause a loss to the claimant?. Was the handling of procedural fairness adequate during the trial? Keywords: professional negligence, causation, planning advice, legal representation, court appeal</t>
  </si>
  <si>
    <t>8d3566aa-9c6c-4af2-aae2-6c7f72b4a711</t>
  </si>
  <si>
    <t>Ashraf v Lester Dominic Solicitors &amp; Ors [2023] EWCA Civ 4</t>
  </si>
  <si>
    <t>8d3566aa-9c6c-4af2-aae2-6c7f72b4a711_case_analysis</t>
  </si>
  <si>
    <t>Analyses the case’s value as precedent and its complexity, noting the narrow scope for extending non-client duties in similar contexts.</t>
  </si>
  <si>
    <t>Case Analysis and Reasoning: Precedent Strength Assessment (7/10): • This is a Court of Appeal decision, a high level of authority for future similar disputes. • The issues involve the narrow, historically evolving area of non-client duties owed by solicitors, which can be highly fact-specific and jurisdiction-dependent. • The court relies on standard authorities governing summary judgment and the general rule that solicitors owe duties to clients unless a recognized exception applies; the novelty is limited to the specific factual context (fraudulent conveyancing and forged documents). • The holding may be cited in future cases involving alleged third-party duties but its reach is constrained by the fact-intensive nature of such exceptions and the need for a solid evidentiary basis. Confidence: 78% Complexity Score Assessment (6/10): • Multiple parties and overlapping factual disputes around conveyancing and forged documents. • Application of complex tort/professional negligence principles to the solicitor-client relationship in a property transaction. • Judicial consideration of summary judgment standards and the admissibility of disputed facts. • Moderate novelty in the sense of exceptional-duty theories, but grounded in established authorities. • Case duration spanned several years before appellate resolution, indicating procedural complexity but not extraordinary technical complexity. Confidence: 72% Legal Significance: Moderately significant case with some precedential value</t>
  </si>
  <si>
    <t>Three Rivers v Bank of England (No 3) || Optaglio v Tethal || ED&amp;F Man Liquid Products v Patel || Royal Brompton NHS Trust v Hammond (No 5)</t>
  </si>
  <si>
    <t>9319b0b6-6588-44c5-bf0a-837a7f81aaa9</t>
  </si>
  <si>
    <t>Lejonvarn v Burgess &amp; Anor [2017] EWCA Civ 254</t>
  </si>
  <si>
    <t>9319b0b6-6588-44c5-bf0a-837a7f81aaa9_legal_classification</t>
  </si>
  <si>
    <t>Classification of the case under relevant areas of law.</t>
  </si>
  <si>
    <t>Legal Classification: Primary Category: Tort Law Legal Areas: Negligence, Contract Law Jurisdiction: England and Wales Court Level: appellate Legal Issues: Whether a duty of care was owed in the absence of a formal contract.. The standards of care required in professional services.. The implications of providing services gratuitously. Keywords: Duty of Care, Negligence, Professional Services, Contractual Relationship, Tort Law</t>
  </si>
  <si>
    <t>ab4da4b0-f2a2-4d27-9757-dd8b98b5c0d4</t>
  </si>
  <si>
    <t>Orientfield Holdings Ltd v Bird &amp; Bird LLP [2017] EWCA Civ 348</t>
  </si>
  <si>
    <t>ab4da4b0-f2a2-4d27-9757-dd8b98b5c0d4_case_analysis</t>
  </si>
  <si>
    <t>Analysis of the precedent setting nature of the ruling and its implications for future cases, including complexity assessments.</t>
  </si>
  <si>
    <t>Case Analysis and Reasoning: Precedent Strength Assessment (8/10): • This case involves well-established principles of negligence and solicitor-client relationships. • The court's ruling is aligned with existing legal standards regarding solicitors' duties in property law, enhancing its precedential value. • The quality of reasoning provided significant insights into the duties of solicitors and was supported by extensive citations of prior rulings. Confidence: 90% Complexity Score Assessment (7/10): • There are multiple legal issues addressed including causation, the duty of care, and the adequacy of professional advice which necessitate thorough legal analysis. • The procedural history includes a lengthy trial and multiple appeals, indicating a complicated litigation process. • There were factual disputes regarding the interpretation of the Plansearch report and the actions taken by the claimant and solicitors. Confidence: 85% Legal Significance: Important case with notable legal impact</t>
  </si>
  <si>
    <t>7bc4d59e-cc60-4942-af27-745ffc1ad26d</t>
  </si>
  <si>
    <t>Spire Property Development LLP &amp; Hortensia Property Development LLP v Withers LLP [2022] EWCA Civ 970</t>
  </si>
  <si>
    <t>7bc4d59e-cc60-4942-af27-745ffc1ad26d_case_analysis</t>
  </si>
  <si>
    <t>Assessment of potential precedent value and complexity: may influence solicitor duties in advising on statutory remedies; high complexity due to dual claims, statutory analysis, and reliance considerations.</t>
  </si>
  <si>
    <t>Case Analysis and Reasoning: Precedent Strength Assessment (7/10): • The case is a Court of Appeal decision (high authority) on a nuanced duty-of-care issue in professional negligence, potentially shaping solicitor obligations in similar contexts. • The issue engages well-established negligence doctrines (duty of care, reliance) and White v Jones, Bolam, Amersfort, and related authorities, providing a credible framework for later cases. • However, the specific question—whether a solicitor owes a duty to advise on a client’s rights against a third party (UKPN) under the Electricity Act 1989 in the context of failed or partial advice—appears fact-specific and jurisdiction-specific, curbing universal applicability. • The appellate outcome is not provided in the extracted text; without the holding, the precedential impact cannot be fully assessed, slightly dampening strength until the decision is read in full. Confidence: 70% Complexity Score Assessment (8/10): • Multiple overlapping claims (2012 breach of contract and negligence; 2014 alleged duty-of-care) increase legal complexity. • The 2014 issue hinges on statutory interpretation of the Electricity Act 1989, especially Schedule 4, with potential Lands Tribunal remedies, creating technical legal intricacy. • A substantial factual record exists (emails between developers and solicitor, pre- and post-acquisition due diligence, the LEB Drawing, etc.), requiring careful synthesis. • Issues of reasonable reliance, scope of retainer, and whether advice constitutes a positive duty add to complexity, particularly given Bolam and White v Jones references. • Three-judge appellate panel, high-value prime properties, and cross-cutting areas of contract, tort, professional negligence, and property/energy law further increase complexity. Confidence: 75% Legal Significance: Important case with notable legal impact</t>
  </si>
  <si>
    <t>White v Jones || Bolam || Amersfort</t>
  </si>
  <si>
    <t>28d8ec74-fee2-499a-b0c5-a348db1ba836</t>
  </si>
  <si>
    <t>Hughmans (a firm) v Dunhill [2015] EWCA Civ 1307</t>
  </si>
  <si>
    <t>28d8ec74-fee2-499a-b0c5-a348db1ba836_legal_reasoning</t>
  </si>
  <si>
    <t>Legal reasoning behind the court's decisions regarding the adequacy of the summary judgment and the standard of care required from solicitors when advising clients.</t>
  </si>
  <si>
    <t>Legal Analysis: Legal Issues: Negligence in a legal retainer context. Duty of care owed by solicitors. Validity of non-disclosure claims. Counterclaims in professional negligence Reasoning: The court reasoned that the issues of factual misrepresentation and prior rulings related to trust assets and non-disclosure warranted a closer examination during an appeal, especially concerning the solicitor's duty in matrimonial matters and the implications of previous judgments on the current claims. Keywords: Solicitor's Fees, Negligence, Civil Appeal, Matrimonial Law, Counterclaim, Summary Judgment, Legal Duty, Trust Assets</t>
  </si>
  <si>
    <t>37322248-7ff9-40fc-81db-2c85731a6f2d</t>
  </si>
  <si>
    <t>Commodities Research Unit International (Holdings) Ltd &amp; Ors v QSP Residual Recoveries LLP</t>
  </si>
  <si>
    <t>37322248-7ff9-40fc-81db-2c85731a6f2d_legal_classification</t>
  </si>
  <si>
    <t>Legal classification emphasizes the professional negligence aspect of the case and its implications.</t>
  </si>
  <si>
    <t>Legal Classification: Primary Category: Professional Negligence Legal Areas: Tort, Contract Law, Professional Liability Jurisdiction: England and Wales Court Level: Appellate Legal Issues: Was the law firm negligent in its advice regarding the termination agreement?. Did the trial judge err in factual findings?. Was the damages assessment appropriately made? Keywords: professional negligence, duty of care, termination agreement, damages, appeal</t>
  </si>
  <si>
    <t>bb52ee0e-510f-47b7-86fc-020bbda6c8af</t>
  </si>
  <si>
    <t>Barker v Baxendale Walker Solicitors (a firm) &amp; Anor</t>
  </si>
  <si>
    <t>bb52ee0e-510f-47b7-86fc-020bbda6c8af_legal_reasoning</t>
  </si>
  <si>
    <t>Analysis of the court's reasoning in determining the negligence claim against the solicitors.</t>
  </si>
  <si>
    <t>Legal Analysis: Legal Issues: Whether solicitors breached their duty of care by failing to provide specific warnings about risks associated with the tax scheme.. The interpretation of Section 28 of the Inheritance Tax Act 1984 regarding beneficiary exclusions in trusts. Reasoning: The court determined that a reasonably competent solicitor would have recognized the significant risks involved and should have explicitly communicated these to the client. Evidence suggested that ignoring the potential for HMRC's challenge to the trust's validity under existing tax law was a failure of professional responsibility and care. Keywords: professional negligence, tax avoidance scheme, employee benefit trust, duty of care, Inheritance Tax Act 1984</t>
  </si>
  <si>
    <t>e6e0e725-7038-447c-a905-f4f0ffb8294c</t>
  </si>
  <si>
    <t>Minkin v Lesley Landsberg (Practising As Barnet Family Law)</t>
  </si>
  <si>
    <t>e6e0e725-7038-447c-a905-f4f0ffb8294c_outcome_holding</t>
  </si>
  <si>
    <t>The court dismissed the claimant's appeal affirming the decision on grounds of limited duty.</t>
  </si>
  <si>
    <t>Case Outcome: Holding: The Court upheld the lower court's ruling, finding the solicitor operated under a limited retainer and owed no broader duty of care to the claimant. Outcome: defendant Precedent Strength: 7/10 Complexity Score: 5/10 Damages: 0 Legal Significance: Moderately significant case with some precedential value</t>
  </si>
  <si>
    <t>0c23fc23-4a82-438e-8579-7c9774beb588</t>
  </si>
  <si>
    <t>Thomas v Hugh James Ford Simey Solicitors [2017] EWCA Civ 1303</t>
  </si>
  <si>
    <t>0c23fc23-4a82-438e-8579-7c9774beb588_legal_classification</t>
  </si>
  <si>
    <t>Classification of the legal nature of the dispute.</t>
  </si>
  <si>
    <t>Legal Classification: Primary Category: Professional Negligence Legal Areas: Tort Law, Contract Law, Professional Responsibility, Civil Procedure Jurisdiction: England and Wales Court Level: Appellate Legal Issues: Did the solicitors breach their duty of care in advising the client?. What constitutes adequate legal advice concerning special damages?. Is a solicitor obligated to challenge a client's decision not to pursue a claim? Keywords: Professional Negligence, Duty of Care, Solicitors, Personal Injury, Vibration White Finger, Claims Handling Arrangement, Special Damages, Legal Advice</t>
  </si>
  <si>
    <t>a1fcbe31-60cf-480d-aa88-19492f68df24_case_analysis</t>
  </si>
  <si>
    <t>Analysis of the case's significance as a legal precedent, looking at complexity, issues raised, and potential future ramifications.</t>
  </si>
  <si>
    <t>Case Analysis and Reasoning: Precedent Strength Assessment (7/10): • The Court of Appeal is an appellate court, and its decision can set significant legal standards going forward. • The case addresses the evolving nature of duty of care in financial transactions, particularly regarding information disclosure. • The reasoning put forth by the judges indicated that this could reshape expectations of financial service providers. Confidence: 85% Complexity Score Assessment (6/10): • Multiple legal issues were raised, which included differing interpretations of duty of care in a financial context. • Procedural complexity arose from the appeal process, with previous rulings influencing the current decision. • The novelty of the legal issue (duty of care in financial advice) adds a layer of complexity, though the factual background is relatively straightforward. Confidence: 80% Legal Significance: Moderately significant case with some precedential value</t>
  </si>
  <si>
    <t>9a27264c-bfec-4468-9e44-c8016d416f24</t>
  </si>
  <si>
    <t>Jacobs v Sesame Ltd [2014] EWCA Civ 1410: Limitation Act and Negligence Claim</t>
  </si>
  <si>
    <t>9a27264c-bfec-4468-9e44-c8016d416f24_case_analysis</t>
  </si>
  <si>
    <t>Analysis of the case's significance within the legal landscape and its complexities.</t>
  </si>
  <si>
    <t>Case Analysis and Reasoning: Precedent Strength Assessment (7/10): • The case presents a significant interpretation of section 14A of the Limitation Act 1980, particularly regarding knowledge in negligence claims. Its rulings address the delicate balance between investor understanding and financial advisor obligations. • The court is of a high appellate tier which enhances its precedent authority, though its applicability may be limited due to specific facts of the case. Confidence: 85% Complexity Score Assessment (6/10): • The case includes multiple dimensions such as the investor’s understanding of financial products, the relevance of historical financial performance, and the appropriate legal standards under the Limitation Act. • While the case centers on a single statutory provision, the intertwining of factual nuances, witness credibility, and interpretation contributes to its complexity. Confidence: 80% Legal Significance: Moderately significant case with some precedential value</t>
  </si>
  <si>
    <t>644ed609-0437-4a2d-8cad-997c3b4deba0</t>
  </si>
  <si>
    <t>Murphy v The Law Society</t>
  </si>
  <si>
    <t>644ed609-0437-4a2d-8cad-997c3b4deba0_legal_classification</t>
  </si>
  <si>
    <t>Classification of the case as falling under Tort Law, focusing specifically on negligence and duty of care issues.</t>
  </si>
  <si>
    <t>Legal Classification: Primary Category: Negligence Legal Areas: Tort Law, Duty of Care, Negligence Law Jurisdiction: England and Wales Court Level: Appellate Legal Issues: Did the Law Society owe a duty of care to the claimant?. What is the standard for establishing a duty of care under statutory functions? Keywords: duty of care, negligence, legal society, case law, appeal</t>
  </si>
  <si>
    <t>8b6843e2-a05d-4712-8f61-9132cd4bb585</t>
  </si>
  <si>
    <t>8b6843e2-a05d-4712-8f61-9132cd4bb585_metadata_summary</t>
  </si>
  <si>
    <t>Overview of the case focusing on the appeal context and primary parties involved.</t>
  </si>
  <si>
    <t>Case: Chesterton Global Ltd &amp; Anor v Nurmohamed &amp; Anor Court: England and Wales Court of Appeal (Civil Division) Category: Employment Law Legal Areas: Employment Rights, Whistleblower Protection, Unfair Dismissal Abstract: This case concerns an appeal regarding the unfair dismissal claim brought by Mr. Nurmohamed against Chesterton Global Ltd. The Employment Tribunal upheld the claim, finding that Nurmohamed had made protected disclosures and that the dismissal was unfair, invoking the provisions of the Employment Rights Act 1996. Keywords: whistleblower, unfair dismissal, protected disclosure, Employment Rights Act 1996, public interest Precedent Strength: 8/10 (85% confidence) Precedent Reasoning: The case addresses a novel interpretation of public interest concerning whistleblower disclosures, indicating its potential for future citation. The court confirmed the role of the recent amendments to the Employment Rights Act 1996, which adds importance to its rationale in employment case law. The decision effectively clarifies the meaning of 'public interest' which has not been precisely defined in previous cases. Complexity: 7/10 (80% confidence) Complexity Reasoning: This case involves multiple legal issues regarding employment law, specifically relating to whistleblower protections, which adds complexity. The factual background of commission payments and internal misconduct needed careful consideration by the court. The analysis required from the judges involved detailed statutory interpretation and judicial precedent, showcasing legal intricacies.</t>
  </si>
  <si>
    <t>This case shows 69% similarity based on metadata summary analysis.</t>
  </si>
  <si>
    <t>27be67b1-3e6c-4a07-90e1-cbb8420b8cee</t>
  </si>
  <si>
    <t>Beatt v Croydon Health Services NHS Trust</t>
  </si>
  <si>
    <t>27be67b1-3e6c-4a07-90e1-cbb8420b8cee_citations_precedents</t>
  </si>
  <si>
    <t>Insights into the legal citations and precedents that support the case's findings on whistleblowing rights and protections.</t>
  </si>
  <si>
    <t>Citations and Authorities: Neutral Citations: 2017 IRLR 748, 2017 EWCA Civ 401, 2017 ICR 1240, 2017 WLR(D) 374 Law Reports: [2017] IRLR 748, [2017] EWCA Civ 401, [2017] ICR 1240, [2017] WLR(D) 374 Referenced Cases: Public Interest Disclosure Act 1998, Employment Rights Act 1996, Street v Derbyshire Unemployed Workers Centre [2003] UKEAT/0508/02, Panayiotou v Chief Constable of Hampshire Police [2014] UKEAT/0436/13, Blackbay Ventures Ltd v Gahir [2014] UKEAT 0449/12 Citation Count: 5</t>
  </si>
  <si>
    <t>Panayiotou v Chief Constable of Hampshire Police [2014] UKEAT/0436/13</t>
  </si>
  <si>
    <t>384e0c8e-cdd6-4cc9-b403-66e1f4f34acd</t>
  </si>
  <si>
    <t>Royal Mail Ltd v Jhuti [2017] EWCA Civ 1632</t>
  </si>
  <si>
    <t>384e0c8e-cdd6-4cc9-b403-66e1f4f34acd_citations_precedents</t>
  </si>
  <si>
    <t>Lists the statutes and cases cited in the decision that influence the ruling and its implications for future cases.</t>
  </si>
  <si>
    <t>Citations and Authorities: Neutral Citations: [2017] WLR(D) 697, [2017] EWCA Civ 1632, [2018] IRLR 251, [2018] ICR 982 Law Reports: Referenced Cases: Public Interest Disclosure Act 1998, Enterprise and Regulatory Reform Act 2013, NHS Manchester v Fecitt [2011] EWCA Civ 1190 Citation Count: 3</t>
  </si>
  <si>
    <t>Public Interest Disclosure Act 1998 || Enterprise and Regulatory Reform Act 2013</t>
  </si>
  <si>
    <t>66ef0e4f-af5f-406d-9033-1d688a8ab299</t>
  </si>
  <si>
    <t>Ojikutu v London Borough of Camden [2014] EWCA Civ 978</t>
  </si>
  <si>
    <t>66ef0e4f-af5f-406d-9033-1d688a8ab299_legal_classification</t>
  </si>
  <si>
    <t>This section details the legal classifications relevant to the case, focusing on employment and discrimination law.</t>
  </si>
  <si>
    <t>Legal Classification: Primary Category: Employment Law Legal Areas: Employment Disputes, Discrimination Law, Appeal Procedures Jurisdiction: England and Wales Court Level: Appellate Legal Issues: Was the dismissal of the appellant justified?. Did the appellant provide sufficient grounds for extension of time for her appeal?. Did the lower court apply the correct legal standards in its decision? Keywords: unfair dismissal, discrimination, employment law, legal representation, appeal process</t>
  </si>
  <si>
    <t>0b85ba33-95d2-4cf3-a08d-ed6833230187</t>
  </si>
  <si>
    <t>Co-Operative Group Ltd v Baddeley [2014] EWCA Civ 658</t>
  </si>
  <si>
    <t>0b85ba33-95d2-4cf3-a08d-ed6833230187_legal_reasoning</t>
  </si>
  <si>
    <t>Overview of the legal reasoning applied by the courts in determining the case's outcome, including statutory interpretations.</t>
  </si>
  <si>
    <t>Legal Analysis: Legal Issues: Whether Mr. Baddeley's dismissal was due to protected disclosures.. The application of section 103A of the Employment Rights Act 1996.. Procedural fairness in the dismissal process. Reasoning: The judgment emphasized that the employer's motive for dismissal was primarily based on the protected disclosures made by Mr. Baddeley. The Court upheld the lower court's original findings, emphasizing the inadequacies in the investigation and reasoning from the Employment Tribunal while affirming the core finding of automatic unfair dismissal under section 103A. Keywords: whistleblower, unfair dismissal, Employment Rights Act 1996, section 103A, protected disclosures</t>
  </si>
  <si>
    <t>British Homes Stores v Burchell [1980] ICR 303</t>
  </si>
  <si>
    <t>f23c3571-33ba-4a67-b917-2c6f40b74593</t>
  </si>
  <si>
    <t>Barnes v London Borough of Lewisham [2016] EWCA Civ 582</t>
  </si>
  <si>
    <t>f23c3571-33ba-4a67-b917-2c6f40b74593_outcome_holding</t>
  </si>
  <si>
    <t>Holding and remedies: appeal dismissed; tribunal’s findings on constructive dismissal and protected disclosure upheld.</t>
  </si>
  <si>
    <t>Case Outcome: Holding: The appeal is dismissed. The Court of Appeal upheld the Employment Tribunal’s findings: there was no qualifying protected disclosure proven, no detriment attributable to such disclosure, and no repudiatory breach to sustain a constructive dismissal claim. Consequently, the constructive dismissal and automatic unfair dismissal claims fail. Outcome: defendant Precedent Strength: 7/10 Complexity Score: 7/10 Damages: 0 Legal Significance: Important case with notable legal impact</t>
  </si>
  <si>
    <t>b95f1402-e7e1-473c-80dc-2f1763e8cc02</t>
  </si>
  <si>
    <t>Edwards v Parabis Law LLP t/a Cogent Law [2016] EWCA Civ 35</t>
  </si>
  <si>
    <t>b95f1402-e7e1-473c-80dc-2f1763e8cc02_procedural_history</t>
  </si>
  <si>
    <t>Procedural chronology from the Employment Tribunal hearing to the Court of Appeal, including reconsideration applications and permission stages.</t>
  </si>
  <si>
    <t>Procedural History: Court: England and Wales Court of Appeal (Civil Division) Lower Court: Employment Tribunal Judges: Lord Justice Arden, Lord Justice Underhill Case Number: A2/2014/3034 Last Hearing Date: 06 October 2016 Duration: 6 days</t>
  </si>
  <si>
    <t>Laws LJ permission 15 Oct 2015</t>
  </si>
  <si>
    <t>abcffa50-4a75-4ad4-9667-e3dfe47a4411</t>
  </si>
  <si>
    <t>O'Brien v Bolton St Catherine's Academy [2017] EWCA Civ 145</t>
  </si>
  <si>
    <t>abcffa50-4a75-4ad4-9667-e3dfe47a4411_procedural_history</t>
  </si>
  <si>
    <t>Summary of the procedural history of the case, outlining the timelines and outcomes of the different tribunal hearings.</t>
  </si>
  <si>
    <t>Procedural History: Court: England and Wales Court of Appeal (Civil Division) Lower Court: Employment Appeal Tribunal Judges: Sir Terence Etherton, Lord Justice Davis, Lord Justice Underhill Case Number: A2/2015/3377 Last Hearing Date: 15 March 2017 Duration: 170 days</t>
  </si>
  <si>
    <t>0845a137-08c0-4495-8d95-5cb333f9d947</t>
  </si>
  <si>
    <t>Kong v Gulf International Bank (UK) Limited [2022] EWCA Civ 941</t>
  </si>
  <si>
    <t>0845a137-08c0-4495-8d95-5cb333f9d947_procedural_history</t>
  </si>
  <si>
    <t>Procedural journey from ET decision in 2020 to CA decision in 2022, including EAT permission and reserved judgments.</t>
  </si>
  <si>
    <t>Procedural History: Court: England and Wales Court of Appeal (Civil Division) Lower Court: Employment Appeal Tribunal Judges: Lord Justice Underhill, Lady Justice Simler, Lady Justice Elisabeth Laing Case Number: CA/202100/1961 Last Hearing Date: 2022-07-08 Duration: 30 days</t>
  </si>
  <si>
    <t>b28ef1e1-4ef7-4015-9008-5cb657f48023</t>
  </si>
  <si>
    <t>Rodgers v Leeds Laser Cutting Ltd [2022] EWCA Civ 1659</t>
  </si>
  <si>
    <t>b28ef1e1-4ef7-4015-9008-5cb657f48023_procedural_history</t>
  </si>
  <si>
    <t>Outline of the procedural history from Employment Tribunal through the Court of Appeal.</t>
  </si>
  <si>
    <t>Procedural History: Court: England and Wales Court of Appeal (Civil Division) Lower Court: Employment Appeal Tribunal Judges: Lord Justice Underhill, Lady Justice Nicola Davies, Lord Justice Stuart-Smith Case Number: CA-2022-001244 Last Hearing Date: 2022-12-20 Duration: 1 days</t>
  </si>
  <si>
    <t>979b8f09-db67-4037-bb54-2a5a9cc60534</t>
  </si>
  <si>
    <t>Lawson v the Governing Body of Aylesford School &amp; Anr [2014] EWCA Civ 491</t>
  </si>
  <si>
    <t>979b8f09-db67-4037-bb54-2a5a9cc60534_procedural_history</t>
  </si>
  <si>
    <t>A detailed timeline capturing the evolution of the case from initial tribunal hearings through to the appeal processes experienced in the Court of Appeal.</t>
  </si>
  <si>
    <t>Procedural History: Court: England and Wales Court of Appeal (Civil Division) Lower Court: Employment Appeal Tribunal Judges: LORD JUSTICE TOMLINSON, LORD JUSTICE KITCHIN, LORD JUSTICE UNDERHILL Case Number: A2/2008/2535 Last Hearing Date: 25 March 2014 Duration: 40 days</t>
  </si>
  <si>
    <t>b09fb158-eea2-4246-afa6-9a119107834a</t>
  </si>
  <si>
    <t>Phipps v Priory Education Services Ltd [2023] EWCA Civ 652 (Court of Appeal, Civil Division)</t>
  </si>
  <si>
    <t>b09fb158-eea2-4246-afa6-9a119107834a_procedural_history</t>
  </si>
  <si>
    <t>Procedural history from ET strike-out through EAT reconsideration and Court of Appeal appeal, with key dates and decisions (including the 9 Mar 2018 order, 4 Jan 2019 strike-out, 3 July 2019 reconsideration decision, and 9 June 2023 CA judgment).</t>
  </si>
  <si>
    <t>Procedural History: Court: England and Wales Court of Appeal (Civil Division) Lower Court: Employment Appeal Tribunal Judges: Lord Justice Bean, Lady Justice Nicola Davies, Lady Justice Simler Case Number: CA/2021/003092 Last Hearing Date: 9 June 2023 Duration: 0 days</t>
  </si>
  <si>
    <t>Lindsay v Ironsides Ray &amp; Vials || Outasight VB Ltd v Brown</t>
  </si>
  <si>
    <t>126904c3-76e4-4116-9766-06699aedc5c8_procedural_history</t>
  </si>
  <si>
    <t>Highlights the procedural history and steps leading to the appeal.</t>
  </si>
  <si>
    <t>Procedural History: Court: England and Wales Court of Appeal (Civil Division) Lower Court: Employment Appeal Tribunal Judges: Sir Terence Etherton, Lord Justice Davis, Lord Justice Underhill Case Number: A2/2015/0196 Last Hearing Date: 10/02/2017 Duration: 3 days</t>
  </si>
  <si>
    <t>7ebe446f-f92d-4a1c-9bb1-3a15dfc2675a</t>
  </si>
  <si>
    <t>Vining v London Borough of Wandsworth [2017] EWCA Civ 1092</t>
  </si>
  <si>
    <t>7ebe446f-f92d-4a1c-9bb1-3a15dfc2675a_procedural_history</t>
  </si>
  <si>
    <t>A summary of procedural developments prior to the final ruling, highlighting significant appeals and decisions along the timeline.</t>
  </si>
  <si>
    <t>Procedural History: Court: England and Wales Court of Appeal (Civil Division) Lower Court: Employment Appeal Tribunal Judges: Sir Terence Etherton MR, Lord Justice Beatson, Lord Justice Underhill Case Number: A2/2016/0201 Last Hearing Date: 28 July 2017 Duration: 30 days</t>
  </si>
  <si>
    <t>9365ac87-002c-4767-beb5-daa394718251_legal_reasoning</t>
  </si>
  <si>
    <t>Explores the legal reasoning applied by the court in evaluating the fairness of the dismissal based on misconduct standards.</t>
  </si>
  <si>
    <t>Legal Analysis: Legal Issues: Whether the dismissal was fair under the Employment Rights Act 1996.. Whether the Trust's decision constituted racial discrimination.. Whether the procedures followed in the disciplinary hearing were reasonable. Reasoning: The court found that the extensive evidence supported the Trust's decision, dismissing claims of unfair dismissal, wrongful dismissal, and discrimination by demonstrating a reasonable belief in misconduct on the appellant's part. Keywords: Employment Law, Unfair Dismissal, Racial Discrimination, Whistleblower Protections, Misconduct</t>
  </si>
  <si>
    <t>Taylor v OCS Group Ltd [2006] EWCA Civ 702</t>
  </si>
  <si>
    <t>7a524f94-2932-4f6f-895d-481394129f94</t>
  </si>
  <si>
    <t>Athanasopoulos v The Institute for Orthodox Christian Studies</t>
  </si>
  <si>
    <t>7a524f94-2932-4f6f-895d-481394129f94_procedural_history</t>
  </si>
  <si>
    <t>Chronology of the case proceedings leading to the appeal.</t>
  </si>
  <si>
    <t>Procedural History: Court: England and Wales Court of Appeal (Civil Division) Lower Court: Employment Tribunal Judges: Lady Justice Sharp Case Number: A2/2014/3487 Last Hearing Date: 21 October 2015 Duration: 30 days</t>
  </si>
  <si>
    <t>24cdd790-fb66-4e79-895a-0d7f73047839_procedural_history</t>
  </si>
  <si>
    <t>The case was successively appealed from an Employment Tribunal to the Employment Appeal Tribunal and then to the Court of Appeal.</t>
  </si>
  <si>
    <t>Procedural History: Court: England and Wales Court of Appeal (Civil Division) Lower Court: Employment Appeal Tribunal Judges: Lady Justice Arden, Lord Justice Christopher Clarke, Mr Justice Barling Case Number: A2/2013/3278 Last Hearing Date: 28/10/2014 Duration: 150 days</t>
  </si>
  <si>
    <t>7b9b0d5a-dc61-43d4-9626-d82e18f8c8dd_procedural_history</t>
  </si>
  <si>
    <t>Description of the procedural journey of the case, including pivotal hearings and the judges presiding over them.</t>
  </si>
  <si>
    <t>Procedural History: Court: England and Wales Court of Appeal (Civil Division) Lower Court: Employment Appeal Tribunal Judges: Master of the Rolls, Lord Justice Underhill, Lady Justice Macur Case Number: A2/2013/0925 Last Hearing Date: 05 February 2014 Duration: 23 days</t>
  </si>
  <si>
    <t>2861fb0d-fcc7-440d-86e2-45b40fd61ddc</t>
  </si>
  <si>
    <t>2861fb0d-fcc7-440d-86e2-45b40fd61ddc_case_analysis</t>
  </si>
  <si>
    <t>Examining the legal implications of the case, its potential as a precedent, and the broader context of trademark law evolution.</t>
  </si>
  <si>
    <t>Case Analysis and Reasoning: Precedent Strength Assessment (8/10): • Court of Appeal ruling establishes a clear precedent in trademark law regarding the balancing of rights for similar marks and the application of honest practices. • This decision can be cited in future cases involving trademark disputes, especially those concerning the comparative use of similar signs in distinct markets. • The case reflects the evolution of the law regarding trade marks in the UK, particularly in relation to the online retail space. Confidence: 85% Complexity Score Assessment (7/10): • Multiple legal issues were presented, particularly around trademark law, which required nuanced differentiation between likelihood of confusion standards and the interpretation of honest practices. • Procedurally complex due to appeals and the historical development of the parties' brands over many years. • Factors included the involvement of various jurisdictions (UK and EU) and the interpretation of community versus national trade mark rights. Confidence: 80% Legal Significance: Important case with notable legal impact</t>
  </si>
  <si>
    <t>b9f08a72-1e62-405b-9fe9-eaba231f1c88</t>
  </si>
  <si>
    <t>Lidl Great Britain Ltd &amp; Lidl Stiftung &amp; Co KG v Tesco Stores Ltd &amp; Tesco PLC [2022] EWCA Civ 1433</t>
  </si>
  <si>
    <t>b9f08a72-1e62-405b-9fe9-eaba231f1c88_case_analysis</t>
  </si>
  <si>
    <t>Analytical assessment of the case’s precedential value and complexity for UK IP practice; it is a high-complexity, high-value decision shaping bad-faith pleadings in trade mark actions and the evaluation of defensive/evergreening strategies under UK/EU law.</t>
  </si>
  <si>
    <t>Case Analysis and Reasoning: Precedent Strength Assessment (8/10): • Court of Appeal level provides strong binding authority for similar cases in the UK on bad-faith pleadings in trade mark registrations. • The decision clarifies the test under CPR 3.4(2)(a) for striking out bad-faith claims, indicating that a claim may proceed if there are objective indicia of possible bad faith; this enhances predictability for IP litigants. • The use of EU jurisprudence (Hasbro, Sky, Specsavers, Il Ponte) demonstrates cross-jurisdictional influence, but the judgment remains rooted in UK procedural law, which can limit its reach outside the UK context. Confidence: 82% Complexity Score Assessment (8/10): • Multiple intertwined legal issues (good faith presumption, objective indicia, burden shifting, defensive marks, evergreening, use vs non-use, overlap of marks, and EU law interaction). • Procedural nuance of CPR 3.4(2)(a) strike-out standard; evidence-based assessment at trial vs. pre-trial strikings. • Substantial factual matrix (timeline of registrations, use, and marketing activities) requiring detailed factual resolution at trial. Confidence: 80% Legal Significance: Highly significant case with strong precedential value</t>
  </si>
  <si>
    <t>Walton International || Hasbro || Il Ponte || Target Ventures || Specsavers || Ferrero || Rintisch v Eder</t>
  </si>
  <si>
    <t>fd1ee879-efef-4fc1-b6e0-617683d3c841</t>
  </si>
  <si>
    <t>Maier &amp; Anor v Asos Plc &amp; Anor [2015] EWCA Civ 377</t>
  </si>
  <si>
    <t>fd1ee879-efef-4fc1-b6e0-617683d3c841_legal_classification</t>
  </si>
  <si>
    <t>Classification of the legal issues, highlighting the specific areas of law involved in this case.</t>
  </si>
  <si>
    <t>Legal Classification: Primary Category: Intellectual Property Legal Areas: Trademark Law, Civil Procedure, Chancery Procedure Jurisdiction: England and Wales Court Level: Appellate Legal Issues: Trademark infringement under Article 9(1)(b) and (c) of the Regulation.. Invalidity of the EU Community Trade Mark (CTM) under Article 8(4) of the Regulation.. Validity of the UK mark under s.5(2)(b) of the Trade Marks Act 1994. Keywords: Trademark Infringement, Intellectual Property, Appeal, Court of Appeal, Injunctive Relief</t>
  </si>
  <si>
    <t>ea009eb1-d609-4034-8ed9-7ba71d1129a2</t>
  </si>
  <si>
    <t>Caspian Pizza Ltd &amp; Ors v Shah &amp; Anor</t>
  </si>
  <si>
    <t>ea009eb1-d609-4034-8ed9-7ba71d1129a2_case_analysis</t>
  </si>
  <si>
    <t>The case's outcome has significant implications for future trademark disputes, especially regarding local goodwill and trademark validity.</t>
  </si>
  <si>
    <t>Case Analysis and Reasoning: Precedent Strength Assessment (8/10): • The appeal came from a high-level court (Court of Appeal), giving it significant authority. • The ruling clarifies the applicability of goodwill in trademark law under competing local usages, likely affecting future cases. • Quality of reasoning was robust and considered existing case law with significant implications for similar disputes. Confidence: 85% Complexity Score Assessment (7/10): • The case involved several layers of trademark law, including passing off, validity issues, and interpretation of statutory provisions. • The dispute included multiple parties with conflicting claims of goodwill and required expert legal reasoning concerning trademark law nuances. • However, the relatively clear factual background reduced complexity somewhat. Confidence: 80% Legal Significance: Important case with notable legal impact</t>
  </si>
  <si>
    <t>b88b59e2-6c25-4730-93fe-b134e9a5176b</t>
  </si>
  <si>
    <t>Comic Enterprises Ltd v Twentieth Century Fox Film Corporation [2016] EWCA Civ 41</t>
  </si>
  <si>
    <t>b88b59e2-6c25-4730-93fe-b134e9a5176b_case_analysis</t>
  </si>
  <si>
    <t>Analytical assessment of the case's precedent value, complexity, and its implications for UK trade mark practice, including context-specific analysis, evidentiary standards, and EU-law considerations for series marks.</t>
  </si>
  <si>
    <t>Case Analysis and Reasoning: Precedent Strength Assessment (9/10): • A Court of Appeal decision on core trademark infringement (s.10(2) and s.10(3)) from a high-profile media dispute between a UK trademark holder and a major US studio. • Clarifies the interpretation of likelihood of confusion in light of average consumer, context, and interdependence between mark and sign. • Addresses the treatment of 'wrong way round' confusion evidence and its admissibility and probative value when assessing infringement. • Discusses the extent of protection for marks with a reputation (s.10(3)) and the requirement of showing a change in economic behaviour or a serious risk of detriment. • Engages with EU law considerations regarding series marks (s.41) and the compatibility with Directive 2008/95/EC, albeit leaving a substantive ruling to future directions. • Cites and relies upon a spectrum of established authorities (Specsavers, Intel, Canon, Interflora, L'Oréal, Leidseplein, etc.), reinforcing general harmonization of EU trademark principles within UK law. Confidence: 85% Complexity Score Assessment (8/10): • Multiple legal issues: infringement under s.10(2) and s.10(3), passing off, and EU-law compatibility with s.41; cross-appeal dynamics. • Dense doctrinal framework: assessment of similarity, relatedness of goods/services, average consumer, context of use, interdependence principle, and reputational protection. • Extensive evidentiary considerations, including consumer confusion across different venues, marketing responses, and 'wrong way round' vs 'right way round' confusion. • Procedural history spans trial court (2013-2014) and appellate proceedings (2015-2016), with issues reserved for potential UKIPO submissions and future directions on EU-law compatibility. Confidence: 80% Legal Significance: Highly significant case with strong precedential value</t>
  </si>
  <si>
    <t>Specsavers || Intel || Interflora || L’Oréal || Leidseplein || Red Bull (Zeit) cases</t>
  </si>
  <si>
    <t>8c9b650b-8e76-4cea-a0df-2825ec328e59</t>
  </si>
  <si>
    <t>Société des Produits Nestlé SA v Cadbury UK Ltd</t>
  </si>
  <si>
    <t>8c9b650b-8e76-4cea-a0df-2825ec328e59_case_analysis</t>
  </si>
  <si>
    <t>Critical analysis of the case’s impact on the law regarding trademarks and legal standards.</t>
  </si>
  <si>
    <t>Case Analysis and Reasoning: Precedent Strength Assessment (8/10): • This case addresses an important aspect of trademark law regarding acquired distinctiveness, which is often cited in subsequent trade mark disputes. The court's detailed analysis of consumer perception and identification sets a substantive precedent for similar cases, particularly those involving shape marks. • The ruling comes from the England and Wales Court of Appeal, which gives it higher authority than lower courts, thus enhancing its value as a precedent in trademark discussions. Confidence: 85% Complexity Score Assessment (7/10): • This case involves multiple legal concepts, including trademark distinctiveness, consumer perception, and the interpretation of EU directives which require nuanced understanding of intellectual property law. • The complexities increase due to the procedural findings from several levels of court and the interactions between different legal precedents, as well as the variety of evidence submitted regarding consumer behavior and market research. Confidence: 80% Legal Significance: Important case with notable legal impact</t>
  </si>
  <si>
    <t>Case C-299/99 || Nestlé v Mars</t>
  </si>
  <si>
    <t>af3d8c05-af20-4f3a-af95-fc67f6813dbc</t>
  </si>
  <si>
    <t>Match Group, LLC &amp; Ors v Muzmatch Limited &amp; Anor [2023] EWCA Civ 454</t>
  </si>
  <si>
    <t>af3d8c05-af20-4f3a-af95-fc67f6813dbc_case_analysis</t>
  </si>
  <si>
    <t>Analytical assessment of the case’s significance for future IP disputes, highlighting its high precedent value, substantial complexity, and the impact of Brexit transitional rules on EU/UK rights.</t>
  </si>
  <si>
    <t>Case Analysis and Reasoning: Precedent Strength Assessment (9/10): • Court level: Court of Appeal (high authority in UK IP law). • Novelty: post-Brexit transition issues and the applicability of EU regime concepts to UK rights create novel, periodically cited questions. • Breadth of holding: relies on fundamental, widely cited EU trade mark principles (Articles 5-7, 89/104 directives; CJEU harmonisation cases). • Quality of reasoning: extensive engagement with leading authorities (Budweiser/Budvar line, Silhouette, Zino Davidoff, Ford v Wheeltrims, Supreme Petfoods, DaimlerChrysler v Alavi). • Citations: frequent cross-jurisdictional authorities; likely to influence future Brexit-related IP disputes. • Jurisdictional authority: strong because appellate decision interprets core EU law in the UK context and references CJEU jurisprudence. • Limitations: final disposition on infringement/passing off not fully stated in the excerpt; potential for variability in subsequent proceedings. Confidence: 1% Complexity Score Assessment (9/10): • Multiple legal issues: infringement, passing off, honest concurrent use, Brexit transitional law, SEO implications, and EU/UK harmonisation. • Procedural complexity: appeal from IPEC to CA with grounds for permission to appeal; interpretative tasks around EU law post-Brexit. • Factual complexity: long history of branding, marketing activity, and consumer recognition; significant branding and advertising evidence. • Legal novelty: the interaction of EU trade mark concepts with UK rights after Brexit creates novel questions. • Number of parties: five named parties (Claimants and Defendants) with multiple corporate entities and individuals. • Duration and technical aspects: case spans years of marketing activity, digital/SEO considerations, and a broad set of jurisprudence. Confidence: 1% Legal Significance: Landmark case with exceptional legal significance</t>
  </si>
  <si>
    <t>Silhouette || Budweiser || DaimlerChrysler || Supreme Petfoods || Martin Y Paz</t>
  </si>
  <si>
    <t>53ca6ceb-c06a-4774-86f1-8cbf9fe4917e</t>
  </si>
  <si>
    <t>IPC Media Ltd v Media 10 Ltd [2014] EWCA Civ 1439</t>
  </si>
  <si>
    <t>53ca6ceb-c06a-4774-86f1-8cbf9fe4917e_legal_classification</t>
  </si>
  <si>
    <t>This case falls within the categories of intellectual property and trademark law.</t>
  </si>
  <si>
    <t>Legal Classification: Primary Category: Intellectual Property Legal Areas: Trademark Law, Intellectual Property, Consumer Protection Jurisdiction: England and Wales Court Level: Appellate Legal Issues: Trademark infringement under Article 5(1) of the European Directive.. Protection against passing off as asserted by Media 10.. Validity of IPC's trade mark registration under Article 4(4) of the Directive. Keywords: trademark infringement, Intellectual Property, trade marks, confusion, passing off, court of appeal, registration, brand recognition</t>
  </si>
  <si>
    <t>0b12642c-08c7-4aad-a122-705d9a620c76</t>
  </si>
  <si>
    <t>Merck KGaA v Merck Sharp &amp; Dohme Corp &amp; Ors [2017] EWCA Civ 1834</t>
  </si>
  <si>
    <t>0b12642c-08c7-4aad-a122-705d9a620c76_case_analysis</t>
  </si>
  <si>
    <t>Analyzes the implications of the case's ruling on future trademark disputes and the landscape of intellectual property law internationally.</t>
  </si>
  <si>
    <t>Case Analysis and Reasoning: Precedent Strength Assessment (8/10): • The case is from the England and Wales Court of Appeal, establishing strong legal precedent within this jurisdiction. • It addresses significant legal principles regarding trademark law and contractual obligations in a contemporary commercial context. • The agreements and historical context of the case provide a depth of legal analysis likely to be cited in future cases concerning brands and international trade. Confidence: 85% Complexity Score Assessment (6/10): • The case involves multiple parties and complex historical agreements that require nuanced understanding of trademark law and contract law principles. • Issues of geographical identifiers add layers of complexity to standard trademark claims. • Multiple legal positions from both the claimant and the defendants were presented, necessitating thorough legal reasoning. Confidence: 80% Legal Significance: Important case with notable legal impact</t>
  </si>
  <si>
    <t>5a5730f5-7269-488b-886a-cdc8a0d6ec8a</t>
  </si>
  <si>
    <t>Lifestyle Equities CV &amp; Anor v Amazon UK Services Ltd &amp; Ors [2022] EWCA Civ 552 (Court of Appeal, Civil Division)</t>
  </si>
  <si>
    <t>5a5730f5-7269-488b-886a-cdc8a0d6ec8a_citations_precedents</t>
  </si>
  <si>
    <t>Cited authorities forming the doctrinal backbone: EU TM Regulation, CJEU and English High Court precedents shaping the use/targeting analysis.</t>
  </si>
  <si>
    <t>Citations and Authorities: Neutral Citations: [2022] EWCA Civ 552, [2023] 1 All ER 905, [2023] 1 All ER (Comm) 189, [2022] FSR 20, [2022] WLR(D) 199 Law Reports: Referenced Cases: Regulation (EU) 2017/1001 on the European Union Trade Mark, Merck v Merck (cited in discussion of use and targeting), Argos v Argos (cited on targeting and use), Walton International Ltd v Verweij Fashion BV (EWHC), Abanka d.d. v Abanca Corporación S.A. (EWHC), Stichting BDO v BDO Unibank Inc (cited in EU TM context), Case C-98/13 Blomqvist v Rolex SA (EU CJEU), Danish case references in the discussion of customs and cross-border enforcement Citation Count: 8</t>
  </si>
  <si>
    <t>Merck v Merck || Argos v Argos || Stichting BDO v BDO Unibank Inc || Abanka v Abanca || Walton Int’l Ltd v Verweij Fashion BV || Blomqvist v Rolex SA</t>
  </si>
  <si>
    <t>6d14378c-6460-413e-aad7-aeaafc197873</t>
  </si>
  <si>
    <t>Bayerische Motoren Werke Aktiengesellschaft v Technosport London Ltd &amp; Anor [2017] EWCA Civ 779</t>
  </si>
  <si>
    <t>6d14378c-6460-413e-aad7-aeaafc197873_case_analysis</t>
  </si>
  <si>
    <t>A critical analysis of the case regarding its implications for future trademark law.</t>
  </si>
  <si>
    <t>Case Analysis and Reasoning: Precedent Strength Assessment (7/10): • The case emerged from a well-respected court hierarchy, enhancing its precedent value. • The complexities of trademark law and consumer perceptions feature prominently in the holding, showcasing novel legal interpretations. • The ruling is likely to have broad implications for future cases regarding brand usage in similar contexts. Confidence: 85% Complexity Score Assessment (8/10): • The case involves multiple trademarks and legal principles under both UK trademark law and EU regulations, increasing its complexity. • It required detailed evaluation of consumer psychology and context-specific interpretation of trademark usage, necessitating a higher level of legal expertise. • The procedural aspects, including the appeal process and earlier court rulings, added layers of complexity. Confidence: 80% Legal Significance: Important case with notable legal impact</t>
  </si>
  <si>
    <t>44076886-527c-494a-b49b-273d2a7b44ee</t>
  </si>
  <si>
    <t>Glaxo Wellcome UK Ltd (t/a Allen &amp; Hanburys) &amp; Anor v Sandoz Ltd [2017] EWCA Civ 335</t>
  </si>
  <si>
    <t>44076886-527c-494a-b49b-273d2a7b44ee_case_analysis</t>
  </si>
  <si>
    <t>An analysis of the case's implications for future trade mark law.</t>
  </si>
  <si>
    <t>Case Analysis and Reasoning: Precedent Strength Assessment (8/10): • The ruling comes from a high appellate court, establishing important legal precedents regarding trade mark clarity and interpretation. • The use of EU law principles, notably Article 4 of the EUTMR, signals adherence to significant European legal standards in intellectual property. • The court's clear reasoning in relation to legal standards may inform future cases regarding color trade marks. Confidence: 90% Complexity Score Assessment (7/10): • The case involves significant legal nuances surrounding trade mark validity and representation, making it more complex than a straightforward infringement case. • Issues arose from multiple interpretations of the trade mark, requiring deep understanding of both statutory language and EU law applications. • The involvement of multiple parties and distinct legal arguments also adds to the case's complexity. Confidence: 85% Legal Significance: Important case with notable legal impact</t>
  </si>
  <si>
    <t>17444891-cc20-479e-9b00-d543c68baa31</t>
  </si>
  <si>
    <t>Lifestyle Equities CV &amp; Anor v Amazon UK Services Ltd &amp; Ors (Consequential Issues) [2022] EWCA Civ 634 (12 May 2022)</t>
  </si>
  <si>
    <t>17444891-cc20-479e-9b00-d543c68baa31_case_analysis</t>
  </si>
  <si>
    <t>Critical analysis of the case's legal significance, including potential impact on future IP enforcement in online marketplaces and the reasoning quality.</t>
  </si>
  <si>
    <t>Case Analysis and Reasoning: Precedent Strength Assessment (7.5/10): • The case is before the Court of Appeal (Civil Division), a high-level appellate court, which enhances potential precedential value. • The issues involve declaratory relief in the IP/trademark domain within a modern online marketplace context, indicating potential broad relevance for future platform-related IP disputes. • Judicial reasoning on the appropriateness and scope of declaratory relief in cross-border EU/UK trademark situations tends to be influential but may be limited to the precise procedural posture and the specific relief sought in this case. • Because the full holding is not stated in the provided excerpt, there is caution about extrapolating a broad, expansive precedent from this decision without the court’s explicit declarations. • Counterarguments include the possibility that the decision may be narrowly tailored to the specific consequential issues at stake, reducing breadth of effect in other contexts. Confidence: 75% Complexity Score Assessment (7/10): • Multiple overlapping issues: IP rights, infringement concepts, declaratory relief, and cross-border EU/UK considerations. • Procedural posture includes an appeal from the High Court (ChD) IP list, with references to both domestic and cross-border elements. • Factual elements involve marketplace listings and consumer visibility across EU/UK, requiring understanding of online commerce dynamics. • The excerpt provides limited substantive reasoning, requiring careful interpretation of procedural and substantive legal questions, which adds to interpretive complexity. • Potentially many parties and a broad set of authorities could be relevant, though only a single main authority is explicitly cited in the excerpt. Confidence: 75% Legal Significance: Important case with notable legal impact</t>
  </si>
  <si>
    <t>[2022] EWCA Civ 634 || [2021] EWHC 118 (Ch)</t>
  </si>
  <si>
    <t>5da92288-1430-4969-a0b4-c741183ef090</t>
  </si>
  <si>
    <t>Zuma's Choice Pet Products Ltd &amp; Anor v Azumi Ltd &amp; Ors</t>
  </si>
  <si>
    <t>5da92288-1430-4969-a0b4-c741183ef090_case_analysis</t>
  </si>
  <si>
    <t>Analysis of the case's significance regarding precedent and complexity.</t>
  </si>
  <si>
    <t>Case Analysis and Reasoning: Precedent Strength Assessment (7/10): • Court hierarchy (appellate level decision at the Court of Appeal). • Some novelty regarding the interpretation of judicial bias in the context of trade mark proceedings. • Quality of reasoning was thorough, addressing multiple aspects of bias and legal principles. Confidence: 85% Complexity Score Assessment (6/10): • The case involved multiple legal issues, including procedural history and allegations of bias. • There was a need for understanding complex trade mark law and procedural aspects of civil litigation. • The litigation history involved multiple parties and actions, which complicated the proceedings. Confidence: 80% Legal Significance: Moderately significant case with some precedential value</t>
  </si>
  <si>
    <t>00b6e9f9-877b-484a-bac5-0f77f0c40d13</t>
  </si>
  <si>
    <t>Hearst Holdings Inc &amp; Anor v AVELA Inc &amp; Ors</t>
  </si>
  <si>
    <t>00b6e9f9-877b-484a-bac5-0f77f0c40d13_case_analysis</t>
  </si>
  <si>
    <t>This chunk provides a comprehensive analysis of the case's implications on legal precedent and complexity settings.</t>
  </si>
  <si>
    <t>Case Analysis and Reasoning: Precedent Strength Assessment (7/10): • The case is significant in the context of interim costs orders and trade mark law, offering a clear precedent on how financial evidence must be handled in appeals. • The involvement of high-profile parties increases its potential for citation in future intellectual property cases. Confidence: 85% Complexity Score Assessment (8/10): • The case involves multiple legal issues spanning trade mark and copyright law, along with procedural complexities surrounding interim costs. • Disputes about financial evidence and the impact of insolvency on the ability to pursue the appeal illustrate a significant factual and legal mix. Confidence: 80% Legal Significance: Important case with notable legal impact</t>
  </si>
  <si>
    <t>ec489fb6-b45c-4053-bbab-900da03d83e1</t>
  </si>
  <si>
    <t>The London Taxi Corporation Ltd (t/a the London Taxi Company) v Frazer-Nash Research Ltd &amp; Anor</t>
  </si>
  <si>
    <t>ec489fb6-b45c-4053-bbab-900da03d83e1_outcome_holding</t>
  </si>
  <si>
    <t>The Appeal Court ruled that the marks were not valid due to insufficient distinctiveness and dismissed the passing off claim.</t>
  </si>
  <si>
    <t>Case Outcome: Holding: The appeal is dismissed; both trade marks are declared invalid for lack of distinctive character, and the passing off claim is also dismissed. Outcome: defendant Precedent Strength: 7/10 Complexity Score: 8/10 Damages: 0 Legal Significance: Important case with notable legal impact</t>
  </si>
  <si>
    <t>[2017] EWCA Civ 1729</t>
  </si>
  <si>
    <t>This case shows 70% similarity based on outcome holding analysis.</t>
  </si>
  <si>
    <t>d08ad219-0f05-47df-9e24-93b1f7f11355</t>
  </si>
  <si>
    <t>Lifestyle Equities CV &amp; Anor v Hornby Street (MCR) Ltd &amp; Ors [2022] EWCA Civ 51</t>
  </si>
  <si>
    <t>d08ad219-0f05-47df-9e24-93b1f7f11355_citations_precedents</t>
  </si>
  <si>
    <t>Authorities cited for burdens attaching to IP rights, cross-border enforcement, and conflict-of-laws principles.</t>
  </si>
  <si>
    <t>Citations and Authorities: Neutral Citations: [2022] EWCA Civ 51, [2022] WLR(D) 60, [2022] Bus LR 619, [2022] 2 All ER (Comm) 990 Law Reports: Referenced Cases: Mag Instrument v Vinsi Technology Limited (2014) WL 12567835, Russell Road Food &amp; Beverage LLC v Spencer, 829 F.3d 1152 (2016), Parkasho v Singh [1968] P 23, Dalmia Dairy Industries v National Bank of Pakistan [1978] 2 Lloyd's Rep 223, Macmillan Inc v Bishopsgate Investment Trust (No.3) [1996] 1 WLR 387, Raiffeisen Zentralbank v Five Star Trading LLC [2001] QB 825, Regulation (EU) 2017/1001 on EU Trade Marks, Trade Marks Act 1994, Dicey, Morris &amp; Collins on Conflict of Laws (Rule 64) Citation Count: 9</t>
  </si>
  <si>
    <t>Mag Instrument v Vinsi Technology Limited (2014) || Russell Road Food &amp; Beverage LLC v Spencer (2016) || Parkasho v Singh (1968) || Dalmia Dairy Industries v National Bank of Pakistan (1978) || Macmillan Inc v Bishopsgate Investment Trust (No.3) (1996) || Raiffeisen Zentralbank v Five Star Trading LLC (2001)</t>
  </si>
  <si>
    <t>7ea5c28b-94ef-4d70-ad10-5a29b6c4a5ec</t>
  </si>
  <si>
    <t>Comic Enterprises Ltd v Twentieth Century Fox Film Corporation (2016) EWCA Civ 455</t>
  </si>
  <si>
    <t>7ea5c28b-94ef-4d70-ad10-5a29b6c4a5ec_case_analysis</t>
  </si>
  <si>
    <t>Analytical takeaway: strengthens UK practice on s41 series registrations, clarifies that series are bundles under a single reference, and underscores EU-law compatibility while recognizing remaining interpretive complexities.</t>
  </si>
  <si>
    <t>Case Analysis and Reasoning: Precedent Strength Assessment (9/10): • High court level (Court of Appeal) provides strong persuasive authority for UK practice on s41 series registrations. • Addresses a recurring debate over whether a series is a single sign or a bundle of marks, clarifying the nature of registration under s41. • Engages with ECJ authorities to justify compatibility with EU law without a referral, increasing relevance for future cases. • Factors such as the breadth of the holding and potential impact on the conduct of search and registration in IP offices support strong precedent value. • Limitations: not a direct ECJ ruling; reliance on interpretation of UK statute within EU framework; potential divergence if future ECJ rulings diverge. Confidence: 78% Complexity Score Assessment (9/10): • Multiple layered issues: statutory interpretation of s41(2) and (3), EU law compatibility, interpretation of 'series' in a way that preserves register certainty. • Extensive analysis of ECJ case law (Sieckmann, Libertel, IP Translator, LTJ Diffusion, Il Ponte) and UK authorities (Logica, Digeo, Gateway, Sony Ericsson, O2 Holdings) increases complexity. • Interplay between procedural UK regime and EU framework; no ECJ referral adds further interpretive nuance. • Factual and legal nuance around 'identity' of a trade mark within a series and 'single point of comparison' discussions add depth. Confidence: 82% Legal Significance: Landmark case with exceptional legal significance</t>
  </si>
  <si>
    <t>Logica || Sony Ericsson || Il Ponte || LTJ Diffusion</t>
  </si>
  <si>
    <t>1824a2e2-858b-4b54-b4fd-6580a8062660</t>
  </si>
  <si>
    <t>Zee Entertainment Enterprises Ltd &amp; Ors v Zeebox Ltd [2014] EWCA Civ 82</t>
  </si>
  <si>
    <t>1824a2e2-858b-4b54-b4fd-6580a8062660_legal_classification</t>
  </si>
  <si>
    <t>The case falls within the realm of intellectual property law, specifically focusing on passing off and trademark issues.</t>
  </si>
  <si>
    <t>Legal Classification: Primary Category: Intellectual Property Legal Areas: Trademark Law, Commercial Law, Civil Procedure Jurisdiction: England and Wales Court Level: Appellate Legal Issues: Whether the survey evidence is admissible for demonstrating passing off.. The relevance of defining the relevant audience for the survey.. The strict criteria for surveys established in previous cases. Keywords: Passing off, Trademark infringement, Survey evidence, Intellectual property, Court of Appeal</t>
  </si>
  <si>
    <t>Marks and Spencer v Interflora</t>
  </si>
  <si>
    <t>4c6cd5ef-4ae9-48c5-a864-218b5c3212d6</t>
  </si>
  <si>
    <t>Specsavers International Healthcare Ltd &amp; Ors v ASDA Stores Ltd &amp; Anor [2014] EWCA Civ 1294</t>
  </si>
  <si>
    <t>4c6cd5ef-4ae9-48c5-a864-218b5c3212d6_case_analysis</t>
  </si>
  <si>
    <t>Analysis of the implications and legal importance of the ruling.</t>
  </si>
  <si>
    <t>Case Analysis and Reasoning: Precedent Strength Assessment (8/10): • The case is from a distinguished court, enhancing its significance as a precedent. • Involves a detailed analysis of trademark law, specifically Articles 9, 15, and 51 of the Regulation, which are often cited in trademark cases. • The ruling addressed highly relevant questions in trademark law regarding genuine use and distinctive character, making it potentially influential. Confidence: 90% Complexity Score Assessment (7/10): • Complexity arises from multiple legal and factual issues, including the interpretation of European Union trademark law. • The factual context requires understanding marketing strategies and trademark recognition, which adds layers of complexity to the case. • The interplay between the marks and consumer perception introduces nuances that necessitate a thorough legal analysis. Confidence: 85% Legal Significance: Important case with notable legal impact</t>
  </si>
  <si>
    <t>dbcf0178-be49-4907-95d1-ab35a968b855</t>
  </si>
  <si>
    <t>Allianz Global Investors GmbH &amp; Ors v Barclays Bank Plc &amp; Ors (Rev1) [2022] EWCA Civ 353</t>
  </si>
  <si>
    <t>dbcf0178-be49-4907-95d1-ab35a968b855_legal_reasoning</t>
  </si>
  <si>
    <t>Analysis of reflective loss, title to sue for funds vs investors, and the possibility of pass-on without double recovery; collateral-benefit as a potential legal answer.</t>
  </si>
  <si>
    <t>Legal Analysis: Legal Issues: Whether a fund can sue for losses caused to the fund when investors redeem at a NAV lower due to alleged infringements (pass-on/avoided loss) and whether reflective loss limits apply to redeemed investors.. Whether the damages claims by funds are subject to a 'collateral benefit' (res inter alios acta) or are otherwise extinguished by investor redemptions.. Whether Article 101 rights accrued under EU law remain actionable in domestic courts post-Brexit, and whether effectiveness/equivalence principles require a remedy.. Whether the duty owed under Article 101 to investors is direct or remains owed to the fund (trust/partnership/company) and the implications for standing and remedies.. Implications of Marex, Primeo, Nectrus, Swynson, and Courage for determining if redeemed shareholders can pursue independent actions. Reasoning: The Court of Appeal rejects the premise that the reflective loss rule or the title to sue resolves the issues of pass-on in redemption; it emphasizes that the central question concerns whether redemption at a lower NAV has avoided the fund’s loss and whether the Banks’ collateral-benefit argument can be resolved on appeal. It acknowledges that the judge’s high-level determinations may be distinguished from the detailed facts that would be discovered at trial. It discusses the interplay of domestic law with EU competition rights, including Courage and the post-Brexit context, and it notes that collateral benefit exceptions (Swynson) may allow certain reductions in damages while not restoring the original loss. The decision thus defers a full ruling on avoided loss, indicating these issues require trial-level factual determinations and further legal analysis. Keywords: FX market manipulation, pass-on / avoided loss, reflective loss, collateral benefit (res inter alios acta), Article 101 TFEU, Competition Act 1998, Foss v Harbottle, Marex / Primeo / Nectrus, Brexit / post-implementation EU rights, trusts / company / partnership, CA-2021-000556</t>
  </si>
  <si>
    <t>Marex || Primeo || Nectrus || Elliott v Hattens</t>
  </si>
  <si>
    <t>cfb9db03-44c0-4604-926a-a76e01575d88_legal_classification</t>
  </si>
  <si>
    <t>Legal categorization of the dispute: civil appeal involving fiduciary duties, transfer of funds, and trust principles within an offshore fund framework.</t>
  </si>
  <si>
    <t>Legal Classification: Primary Category: Civil Dispute – Fiduciary Duty, Constructive Trust, Dishonest Assistance, Knowing Receipt Legal Areas: Fiduciary Duty, Dishonest Assistance, Conspiracy, Constructive Trust / Equitable Proprietary Claim, Knowing Receipt, Company / Partnership Law, Offshore Fund / Investment Management Jurisdiction: Court of Appeal, England and Wales Court Level: Court of Appeal (Civil Division) Legal Issues: Whether the Defendants breached fiduciary duties owed to the Fund by diverting a termination fee without authority. Whether the diversion constitutes dishonest assistance in a breach of fiduciary duty by the Fund’s Investment Manager. Whether there was a conspiracy to injure the Fund by unlawful means. Whether the Fund has an equitable proprietary claim (constructive trust) to the Diverted Sum or its traceable proceeds. Whether the Defendants held the Diverted Sum on trust for the Fund and/or were liable for knowing receipt. Whether Mutaz Otaibi’s authority was sufficient to bind the Fund’s assets and the implications for agency/partnership arrangements. The NAV assessment requirement and its impact on distributions to the Investment Manager. The legal status and scope of any alleged profit-sharing arrangement between the Defendants and Mutaz Otaibi Keywords: fiduciary duty, dishonest assistance, constructive trust, knowing receipt, diversion of funds, Court of Appeal (Civil Division), offshore fund structure, NAV assessment, profit-sharing agreement, constructive knowledge vs actual knowledge</t>
  </si>
  <si>
    <t>f267189c-abb2-4e08-9ad3-2d255e4734f9</t>
  </si>
  <si>
    <t>Pitalia &amp; Anor v NHS England [2023] EWCA Civ 657</t>
  </si>
  <si>
    <t>f267189c-abb2-4e08-9ad3-2d255e4734f9_procedural_history</t>
  </si>
  <si>
    <t>Chronology of proceedings across County Court, and successive appellate steps up to the Court of Appeal.</t>
  </si>
  <si>
    <t>Procedural History: Court: England and Wales Court of Appeal (Civil Division) Lower Court: Manchester County Court Judges: Lord Justice Bean, Lord Justice Underhill, Lady Justice Nicola Davies Case Number: CA-2022-001955 Last Hearing Date: 2023-06-09 Duration: 1300 days</t>
  </si>
  <si>
    <t>Hoddinott || Caine v Advertiser and Times</t>
  </si>
  <si>
    <t>1a244569-1234-46aa-8e7d-57a6a32b758e</t>
  </si>
  <si>
    <t>The Financial Conduct Authority v. Avacade Ltd &amp; Ors</t>
  </si>
  <si>
    <t>1a244569-1234-46aa-8e7d-57a6a32b758e_legal_classification</t>
  </si>
  <si>
    <t>Legal classification surrounding the enforcement actions taken under financial regulation.</t>
  </si>
  <si>
    <t>Legal Classification: Primary Category: Regulatory Enforcement Legal Areas: Financial Regulation, Consumer Protection, Pension Law, Corporate Law Jurisdiction: England and Wales Court Level: Appellate Legal Issues: Whether Avacade and associated parties engaged in regulated activities under FSMA.. The liability of directors for their involvement in unauthorized schemes.. The legal definition and classification of regulated vs unregulated investments under FSMA. Keywords: Financial Conduct Authority, Avacade Ltd, pensions, financial regulation, unregulated investments, FSMA, FSA, SIPPs, UK case law</t>
  </si>
  <si>
    <t>8facda75-653c-4200-b172-498d6a3d7ae6</t>
  </si>
  <si>
    <t>Lakatamia Shipping Company Ltd &amp; Ors v Su &amp; Ors [2021] EWCA Civ 1187</t>
  </si>
  <si>
    <t>8facda75-653c-4200-b172-498d6a3d7ae6_procedural_history</t>
  </si>
  <si>
    <t>Chronology of significant actions taken in the legal process leading to the appeal.</t>
  </si>
  <si>
    <t>Procedural History: Court: England and Wales Court of Appeal (Civil Division) Lower Court: High Court of Justice Queen's Bench Division Commercial Court Judges: Lady Justice Asplin, Lady Justice Carr, Sir Nicholas Patten Case Number: A4/2021/0419 Last Hearing Date: 30 July 2021 Duration: 300 days</t>
  </si>
  <si>
    <t>54bbd778-02b8-472d-8914-8d6b4032100e</t>
  </si>
  <si>
    <t>Malik v Henley Homes Plc [2023] EWCA Civ 726</t>
  </si>
  <si>
    <t>54bbd778-02b8-472d-8914-8d6b4032100e_procedural_history</t>
  </si>
  <si>
    <t>Procedural path: High Court judgment, appeal permission by Newey LJ, stay, hearing and timing of the Court of Appeal decision.</t>
  </si>
  <si>
    <t>Procedural History: Court: England and Wales Court of Appeal (Civil Division) Lower Court: High Court of Justice (ChD), Business List Judges: Lord Justice Lewison, Lady Justice King, Lord Justice Nugee Case Number: CA-2022-002309 Last Hearing Date: 27 June 2023 Duration: 270 days</t>
  </si>
  <si>
    <t>01d73959-4b54-4b29-8624-940f8e46afdd</t>
  </si>
  <si>
    <t>Goknur Gida Maddeleri Enerji Imalet Ithalat Ihracat Ticaret Ve Sanayi AS v Aytacli</t>
  </si>
  <si>
    <t>01d73959-4b54-4b29-8624-940f8e46afdd_procedural_history</t>
  </si>
  <si>
    <t>An overview of the procedural steps taken leading up to the appeal, including key dates and judicial decisions.</t>
  </si>
  <si>
    <t>Procedural History: Court: England and Wales Court of Appeal (Civil Division) Lower Court: High Court (Queen's Bench Division) Judges: LORD JUSTICE LEWISON, LORD JUSTICE COULSON, LORD JUSTICE DINGEMANS Case Number: A2/2020/1970 Last Hearing Date: 13 July 2021 Duration: 366 days</t>
  </si>
  <si>
    <t>565f5e91-7c54-4337-a905-cf672da54e73</t>
  </si>
  <si>
    <t>Ciftci v London Borough of Haringey</t>
  </si>
  <si>
    <t>565f5e91-7c54-4337-a905-cf672da54e73_procedural_history</t>
  </si>
  <si>
    <t>Outline of the procedural history leading up to the appeal in the Court of Appeal.</t>
  </si>
  <si>
    <t>Procedural History: Court: England and Wales Court of Appeal (Civil Division) Lower Court: County Court at Central London Judges: LORD JUSTICE LEWISON, LORD JUSTICE MOYLAN, LORD JUSTICE NUGEE Case Number: B5/2021/0056 Last Hearing Date: 26 November 2021 Duration: 10 days</t>
  </si>
  <si>
    <t>31447129-c494-44ca-9329-afa62c74d705</t>
  </si>
  <si>
    <t>Deutsche Bank AG v Sebastian Holdings Inc &amp; Anor [2023] EWCA Civ 191</t>
  </si>
  <si>
    <t>31447129-c494-44ca-9329-afa62c74d705_procedural_history</t>
  </si>
  <si>
    <t>Procedural trajectory from 2013 trial through the 2022 contempt ruling, the 2022 Committal Order, and the 2023 Court of Appeal decision, including Part 71 examination and timing considerations.</t>
  </si>
  <si>
    <t>Procedural History: Court: England and Wales Court of Appeal (Civil Division) Lower Court: High Court of Justice, Business &amp; Property Courts of England and Wales, Queen's Bench Division, Commercial Court Judges: Lord Justice Males, Lady Justice Andrews, Lord Justice Nugee Case Number: CA-2022-001542, CA-2022-001552, CA-2022-001552-C, CA-2022-001542-C, CA-2022-001542-A Last Hearing Date: 24 February 2023 Duration: 4745 days</t>
  </si>
  <si>
    <t>Masri || Nambiar || Arlidge on Contempt</t>
  </si>
  <si>
    <t>9b104a0b-0f68-42d9-a5c4-e7111bd55fdf</t>
  </si>
  <si>
    <t>Verition Advisors (UK Partners) LLP v Jump Trading International Limited [2023] EWCA Civ 701</t>
  </si>
  <si>
    <t>9b104a0b-0f68-42d9-a5c4-e7111bd55fdf_procedural_history</t>
  </si>
  <si>
    <t>Timeline of procedural steps from the King's Bench Division to the Court of Appeal; hearing date and judgment date.</t>
  </si>
  <si>
    <t>Procedural History: Court: England and Wales Court of Appeal (Civil Division) Lower Court: King's Bench Division Judges: Lady Justice Simler, Lady Justice Elisabeth Laing Case Number: CA2023 000837 Last Hearing Date: 20 June 2023 Duration: 14 days</t>
  </si>
  <si>
    <t>f0022e90-d6b2-4255-aa84-750a85644748</t>
  </si>
  <si>
    <t>Wood v Commercial First Business Ltd &amp; Ors</t>
  </si>
  <si>
    <t>f0022e90-d6b2-4255-aa84-750a85644748_procedural_history</t>
  </si>
  <si>
    <t>Chronological narrative of case proceedings from the lower court to the Court of Appeal.</t>
  </si>
  <si>
    <t>Procedural History: Court: England and Wales Court of Appeal (Civil Division) Lower Court: High Court of Justice in the Business and Property Courts Judges: Lord Justice David Richards, Lord Justice Males, Lady Justice Elisabeth Laing Case Number: A3/2019/2949 and A3/2020/1424 Last Hearing Date: 31 March 2021 Duration: 263 days</t>
  </si>
  <si>
    <t>a206a973-506b-4cfb-a0fa-79b98d0ca831</t>
  </si>
  <si>
    <t>a206a973-506b-4cfb-a0fa-79b98d0ca831_metadata_summary</t>
  </si>
  <si>
    <t>Overview of the court's jurisdiction, parties involved and key themes surrounding privacy and data misuse.</t>
  </si>
  <si>
    <t>Case: Google Inc v Vidal-Hall &amp; Ors [2015] EWCA Civ 311 Court: England and Wales Court of Appeal (Civil Division) Category: Tort Legal Areas: Data Protection, Privacy Law, Tort Law, Contracts Abstract: This case involved the Court of Appeal's determination of whether misuse of private information constitutes a tort under the Data Protection Act 1998, and whether non-pecuniary damages could be claimed without proof of financial loss. The court upheld the claimants' rights, ruling that the defendant had unlawfully tracked and collated private information from Safari browser users, constituting a serious cause of action under both tort law and data protection principles. Keywords: data protection, private information, tort, jurisdiction, jurisprudence, compensation, cookies, Safari browser Precedent Strength: 8/10 (90% confidence) Precedent Reasoning: The case represents a significant development in interpreting data privacy law and usage of private information. The ruling affirms the tort nature of misuse of private information, enhancing legal precedent in privacy law. The court's ruling clarifies ambiguity surrounding the rights of users regarding their data privacy, which is expected to influence subsequent legal actions and interpretations. Furthermore, the case could be referenced in lower courts with similar jurisdictional issues concerning data privacy. Complexity: 7/10 (85% confidence) Complexity Reasoning: The case comprises multiple nuanced legal issues including the interpretation of tort, jurisdictional nuances concerning international parties, and the evaluation of privacy laws relevant to technology and data. The procedural history indicative of extensive legal argumentation and the diversity of cases cited suggests a complex engagement with both legal principles and factual determination, thus elevating its complexity. The interplay of evolving data protection norms, particularly in the context of technological advancement and user consent mechanisms, adds layers of complexity that require considerable judicial scrutiny.</t>
  </si>
  <si>
    <t>ed93b9d5-e1f3-4dd6-921b-548b30e24f80</t>
  </si>
  <si>
    <t>Jalla &amp; Anor v Shell International Trading And Shipping Co Ltd &amp; Anor (Appeal (2): Representative Action)</t>
  </si>
  <si>
    <t>ed93b9d5-e1f3-4dd6-921b-548b30e24f80_citations_precedents</t>
  </si>
  <si>
    <t>Citations and precedents that influenced the court's decision.</t>
  </si>
  <si>
    <t>Citations and Authorities: Neutral Citations: [2021] EWCA Civ 1389 Law Reports: Referenced Cases: Lloyd v Google [2020] QB 747, The Duke of Bedford v Ellis [1901] AC 1, Prudential Assurance Co Ltd v Newman Industries [1981] 1 Ch 229 Citation Count: 3</t>
  </si>
  <si>
    <t>The Duke of Bedford v Ellis [1901] AC 1 || Prudential Assurance Co Ltd v Newman Industries [1981] 1 Ch 229</t>
  </si>
  <si>
    <t>65645a3e-7e49-4a88-ba46-adb686908b02</t>
  </si>
  <si>
    <t>Grace &amp; Anor v Black Horse Ltd [2014] EWCA Civ 1413</t>
  </si>
  <si>
    <t>65645a3e-7e49-4a88-ba46-adb686908b02_case_analysis</t>
  </si>
  <si>
    <t>Analysis of the case's potential impact on future legal proceedings and complexity.</t>
  </si>
  <si>
    <t>Case Analysis and Reasoning: Precedent Strength Assessment (8/10): • The court hierarchy (Court of Appeal) contributes significant weight to the decision as it sets important precedents in consumer credit and data protection law. • The novel interpretation of the intersection between the Consumer Credit Act and Data Protection Act is likely to be cited by future courts. • Quality of reasoning provided by the judges supports its strength as a precedent, particularly concerning consumer rights. • The case addresses significant changes in liabilities under consumer credit legislation. Confidence: 90% Complexity Score Assessment (7/10): • The case involves multiple legal issues, including procedural history, statutory interpretation, and consumer rights, contributing to its complexity. • The interplay between different areas of law (consumer protection and data privacy) requires expertise to navigate. • Several hearings and appeals with complex arguments add layers of procedural complexity to the case. • Limited resource representation (litigants in person) further complicates the legal arguments presented. Confidence: 85% Legal Significance: Important case with notable legal impact</t>
  </si>
  <si>
    <t>c5862648-7e3b-469f-82bc-3214c17b5096</t>
  </si>
  <si>
    <t>Strain v Chief Constable of Greater Manchester Police [2023] EWCA Civ 240 (Court of Appeal, Civil Division)</t>
  </si>
  <si>
    <t>c5862648-7e3b-469f-82bc-3214c17b5096_legal_reasoning</t>
  </si>
  <si>
    <t>Legal arguments considered by the Court of Appeal in relation to Ground 9, data-protection processing, and the adequacy of an alternative remedy.</t>
  </si>
  <si>
    <t>Legal Analysis: Legal Issues: Whether there is an adequate alternative remedy to bring a judicial review claim.. Whether the processing of the appellant’s personal data (GDPR/DPA 2018) in the Intelligence Report was unfair, irrelevant, inaccurate, or not up to date, giving rise to a duty to erase.. Whether the court should grant remedies for any established breach.. Impact of permission grounds on the appeal’s scope and whether the matter should be remitted to the Administrative Court. Reasoning: The court limits its consideration to the issues identified within Warby LJ’s Ground 9 grant. It emphasizes examining whether an adequate alternative remedy exists and whether the Administrative Court properly refused permission. The reasoning reflects the need to constrain the appellate review to issues already raised as arguable in the permission stage, particularly relating to GDPR/DPA 2018 in the context of police data processing and erasure rights. The background facts are used to frame the argument about whether the Intelligence Report’s retention constitutes unfair processing or requires erasure, but the final merits remain undecided in the provided text. Keywords: Judicial Review, Data Protection, GDPR, DPA 2018, Intelligence Report, Erasure, Court of Appeal (Civil Division), Ground 9, Alternative remedy, Police records</t>
  </si>
  <si>
    <t>GDPR || DPA 2018</t>
  </si>
  <si>
    <t>e1e338c3-b6dc-4e51-a39b-422579694f4f</t>
  </si>
  <si>
    <t>The Open Rights Group &amp; Anor v The Secretary of State for the Home Department &amp; Anor</t>
  </si>
  <si>
    <t>e1e338c3-b6dc-4e51-a39b-422579694f4f_citations_precedents</t>
  </si>
  <si>
    <t>Citations and legal precedents referenced throughout the case.</t>
  </si>
  <si>
    <t>Citations and Authorities: Neutral Citations: [2021] HRLR 10, [2021] EWCA Civ 800, [2021] 1 WLR 3611, [2021] WLR 3611, [2021] WLR(D) 303 Law Reports: Referenced Cases: Benkharbouche v Embassy of Sudan [2015] EWCA Civ 33, Vidal-Hall v Google Inc [2015] EWCA Civ 311, R (Liberty) v Secretary of State for the Home Department [2019] EWHC 2057 (Admin) Citation Count: 3</t>
  </si>
  <si>
    <t>Benkharbouche v Embassy of Sudan [2015] EWCA Civ 33 || Vidal-Hall v Google Inc [2015] EWCA Civ 311</t>
  </si>
  <si>
    <t>8353388e-8422-4bcc-9dc0-16f9ba582ec3</t>
  </si>
  <si>
    <t>BT Group plc v Le Paturel [2022] EWCA Civ 593 (BT Group PLC v Patourel)</t>
  </si>
  <si>
    <t>8353388e-8422-4bcc-9dc0-16f9ba582ec3_citations_precedents</t>
  </si>
  <si>
    <t>List of authorities cited or relied upon in the decision, including Supreme Court precedents and CAT Rules.</t>
  </si>
  <si>
    <t>Citations and Authorities: Neutral Citations: [2022] EWCA Civ 593, [2022] Bus LR 660, [2022] WLR(D) 218 Law Reports: Referenced Cases: Mastercard v Merricks [2020] UKSC 51, Lloyd v Google Inc [2021] UKSC 50, Merricks (UKSC) - relevance to certification and purpose of collective proceedings, Courage v Crehan [2001] ECR I-6297, Various Claimants v Wm Morrisons Supermarkets plc [2019] QB 772 (relevant discussion in the judgment), JJB Sports Ltd [2009] CAT 2, Competition Act 1998, Competition Appeal Tribunal Rules 2015 (SI 2015/1648), Legal Services Act 2007 (section 194 references), Communications Act 2003 (ex ante vs ex post regimes), Regulatory framework guidance in Lloyd and Merricks, The Guide to Proceedings 2015 (CAT Guide) Citation Count: 12</t>
  </si>
  <si>
    <t>Merricks [2020] UKSC 51 || Lloyd v Google Inc [2021] UKSC 50 || Courage v Crehan [2001] ECR I-6297 || Various Claimants v Wm Morrisons Supermarkets plc [2019] QB 772 || Consumers’ Association v JJB Sports plc [2009] CAT 2</t>
  </si>
  <si>
    <t>5625f8b5-22c9-48ba-895c-2aa4f9467a9d</t>
  </si>
  <si>
    <t>Open Rights Group &amp; Anor v Secretary of State for the Home Department &amp; Anor</t>
  </si>
  <si>
    <t>5625f8b5-22c9-48ba-895c-2aa4f9467a9d_citations_precedents</t>
  </si>
  <si>
    <t>List of significant legal authorities and cases referenced by the court.</t>
  </si>
  <si>
    <t>Citations and Authorities: Neutral Citations: 2021] EWCA Civ 1573, [2022] QB 166, [2021] WLR(D) 548 Law Reports: Referenced Cases: Data Protection Act 2018, General Data Protection Regulation (GDPR), EU Withdrawal Act 2018 Citation Count: 3</t>
  </si>
  <si>
    <t>[2021] EWCA Civ 800 || [2021] 1 WLR 3611</t>
  </si>
  <si>
    <t>fd26b18c-791c-454c-b969-9e2452a97a2d</t>
  </si>
  <si>
    <t>Edem v The Information Commissioner &amp; Anor</t>
  </si>
  <si>
    <t>fd26b18c-791c-454c-b969-9e2452a97a2d_case_analysis</t>
  </si>
  <si>
    <t>Examination of the case's significance in terms of legal precedent and its implications for future legal interpretations regarding data privacy.</t>
  </si>
  <si>
    <t>Case Analysis and Reasoning: Precedent Strength Assessment (7/10): • The case establishes important principles regarding the definition of personal data under the Data Protection Act 1998 and clarifies the limits of legitimate interest in disclosing that data. • The legal arguments presented were well-reasoned, referencing established case law from the Court of Justice of the European Union, indicating high quality in reasoning and potential for future citations. Confidence: 85% Complexity Score Assessment (6/10): • The case involves multiple legal principles, including the interpretation of data protection laws and the assessment of personal data status, making it somewhat complex. • However, the issues are relatively straightforward in terms of the legal questions posed, resulting in a moderate complexity score. Confidence: 75% Legal Significance: Moderately significant case with some precedential value</t>
  </si>
  <si>
    <t>Durant v FSA</t>
  </si>
  <si>
    <t>167786cc-e950-4a09-8195-ecf83b86f69f</t>
  </si>
  <si>
    <t>Gemalto Holding BV v Infineon Technologies AG &amp; Ors [2022] EWCA Civ 782</t>
  </si>
  <si>
    <t>167786cc-e950-4a09-8195-ecf83b86f69f_citations_precedents</t>
  </si>
  <si>
    <t>Key authorities and cases relied upon to frame discovery standards and the interpretation of 32(1)(b), with emphasis on CA rulings and regulatory practice.</t>
  </si>
  <si>
    <t>Citations and Authorities: Neutral Citations: [2022] EWCA Civ 782, [2022] WLR(D) 268, [2022] 3 WLR 1141, [2023] 1 All ER (Comm) 477, [2023] 1 All ER 418, [2023] Ch 169 Law Reports: Referenced Cases: Arcadia Group Brands v Visa [2015] EWCA Civ 883, DSG Retail v Mastercard [2020] EWCA Civ 671, Granville Technology Group v Infineon Technologies [2020] EWHC 415 (Comm), OT Computers v Infineon Technologies [2021] EWCA Civ 501, Franked Investment Group Litigation v HMRC [2020] UKSC 47, Halford v. Brookes [1991] 1 WLR 428, Best Practice Notice (European Commission) paragraphs 82, 109-112, Article 101 TFEU, Article 53 EEA, Commission Regulation (EC) No 773/2004 (as amended) Citation Count: 10</t>
  </si>
  <si>
    <t>Arcadia Group Brands v Visa [2015] EWCA Civ 883 || DSG Retail v Mastercard [2020] EWCA Civ 671 || Granville Technology Group v Infineon Technologies [2020] EWHC 415 (Comm) || OT Computers v Infineon Technologies [2021] EWCA Civ 501 || Franked Investment Group Litigation v HMRC [2020] UKSC 47 || Halford v. Brookes [1991] 1 WLR 428</t>
  </si>
  <si>
    <t>14f24903-de2d-4d46-8ac6-aab9f39d9cee</t>
  </si>
  <si>
    <t>PJS v News Group Newspapers Ltd [2016] EWCA Civ 393 (Court of Appeal, Civil Division) – Interim injunction on publication set aside in light of public-domain information and HRA section 12 balancing</t>
  </si>
  <si>
    <t>14f24903-de2d-4d46-8ac6-aab9f39d9cee_citations_precedents</t>
  </si>
  <si>
    <t>Compilation of authorities cited by the Court of Appeal to ground its decision (privacy, confidentiality, HRA, public-domain doctrine).</t>
  </si>
  <si>
    <t>Citations and Authorities: Neutral Citations: [2016] EWCA Civ 393 Law Reports: [2016] EWCA Civ 393, [2016] EWCA Civ 100 (redacted judgment), Mosley v News Group Newspapers Ltd [2008] EWHC 687 (QB), CTB v News Group [2011] EWHC 1326 (QB), Google Inc v Vidal-Hall [2015] EWCA Civ 311, K v News Group Newspapers Ltd [2011] EWCA Civ 439, Rocknroll v News Group [2013] EWHC 24 (Ch), McKennitt v Ash [2005] EWHC 3003 (QB), Cream Holdings v Banerjee [2004] UKHL 44, Attorney-General v Guardian Newspapers (No.2) [1990] 1 AC 109, Editions Plon v France (2006) 42 EHRR 36, Douglas v Hello! Ltd [2006] QB 125 Referenced Cases: Google Inc v Vidal-Hall [2015] EWCA Civ 311, Mosley v News Group Newspapers Ltd [2008] EWHC 687 (QB), CTB v News Group [2011] EWHC 1326 (QB), K v News Group Newspapers Ltd [2011] EWCA Civ 439, Rocknroll v News Group [2013] EWHC 24 (Ch), McKennitt v Ash [2005] EWHC 3003 (QB), Cream Holdings v Banerjee [2004] UKHL 44, Attorney-General v Guardian Newspapers (No.2) [1990] 1 AC 109, Editions Plon v France (2006) 42 EHRR 36, Douglas v Hello! Ltd [2006] QB 125 Citation Count: 10</t>
  </si>
  <si>
    <t>Google Inc v Vidal-Hall [2015] EWCA Civ 311 || Mosley v NGN [2008] EWHC 687 (QB) || CTB v News Group [2011] EWHC 1326 (QB) || K v News Group [2011] EWCA Civ 439 || Rocknroll v NGN [2013] EWHC 24 (Ch) || McKennitt v Ash [2005] EWHC 3003 (QB) || Cream Holdings v Banerjee [2004] UKHL 44 || Attorney-General v Guardian Newspapers (No.2) [1990] 1 AC 109 || Editions Plon v France (2006) 42 EHRR 36 || Douglas v Hello! Ltd [2006] QB 125</t>
  </si>
  <si>
    <t>d8942524-7e14-46b2-953c-a1eca28ae6cb</t>
  </si>
  <si>
    <t>Soriano v Forensic News LLC &amp; Ors (Rev1) [2021] EWCA Civ 1952</t>
  </si>
  <si>
    <t>d8942524-7e14-46b2-953c-a1eca28ae6cb_legal_classification</t>
  </si>
  <si>
    <t>The classification of the legal areas relevant to the appeal, specifically focusing on defamation law and jurisdictional issues.</t>
  </si>
  <si>
    <t>Legal Classification: Primary Category: Defamation Legal Areas: Defamation Law, Data Protection Law, Privacy Law Jurisdiction: England and Wales Court Level: Appellate Legal Issues: Jurisdiction under the Defamation Act 2013. Application of GDPR concerning data protection claims. Validity of malicious falsehood claims Keywords: defamation, jurisdiction, libel, data protection, private information</t>
  </si>
  <si>
    <t>1f4ab223-a277-4d8a-ab79-35f9f867a4ad</t>
  </si>
  <si>
    <t>Representative Claimants v MGN Ltd [2015] EWCA Civ 1291</t>
  </si>
  <si>
    <t>1f4ab223-a277-4d8a-ab79-35f9f867a4ad_citations_precedents</t>
  </si>
  <si>
    <t>Lists significant cases referenced throughout the decision that shaped the court's ruling.</t>
  </si>
  <si>
    <t>Citations and Authorities: Neutral Citations: [2016] FSR 13, [2016] EMLR 9, [2017] QB 149, [2016] 3 All ER 799, [2016] 2 WLR 1217, [2015] WLR(D) 535, [2015] EWCA Civ 1291 Law Reports: Referenced Cases: Armory v Delamirie (1722) 1 Strange 505, AAA v Associated Newspapers Ltd [2012] EWHC 2103 (QB), Weller v Associated Newspapers Ltd [2014] EMLR 24, Campbell v MGN Ltd [2004] 2 AC 457, Mosley v News Group Newspapers Limited [2008] EMLR 20, Vidal-Hall v Google Inc [2015] 3 WLR 409, R (Lumba) v Secretary of State for the Home Department [2012] 1 AC 245 Citation Count: 7</t>
  </si>
  <si>
    <t>R (Lumba) v Secretary of State for the Home Department</t>
  </si>
  <si>
    <t>2367c914-824f-473c-acfb-247f204c96b9</t>
  </si>
  <si>
    <t>Moge v London Borough of Ealing [2023] EWCA Civ 464</t>
  </si>
  <si>
    <t>2367c914-824f-473c-acfb-247f204c96b9_procedural_history</t>
  </si>
  <si>
    <t>Procedural trajectory from County Court dismissal to Court of Appeal appeal with new evidence considerations.</t>
  </si>
  <si>
    <t>Procedural History: Court: England and Wales Court of Appeal (Civil Division) Lower Court: County Court at Central London Judges: Lady Justice Thirlwall, Lord Justice Males, Lord Justice Snowden Case Number: CA-2022-000343 Last Hearing Date: 27 April 2023 Duration: 92 days</t>
  </si>
  <si>
    <t>Nzolameso || Abdikadir</t>
  </si>
  <si>
    <t>d1c34b40-ca07-41ac-be04-f52393d978ca</t>
  </si>
  <si>
    <t>Phones 4U Ltd v EE Ltd &amp; Ors [2021] EWCA Civ 116</t>
  </si>
  <si>
    <t>d1c34b40-ca07-41ac-be04-f52393d978ca_case_analysis</t>
  </si>
  <si>
    <t>Provides an analysis of the precedent value and complexity factors of the case, assessing the implications for future litigations.</t>
  </si>
  <si>
    <t>Case Analysis and Reasoning: Precedent Strength Assessment (8/10): • The case involved significant legal principles regarding disclosure obligations and privacy rights, which are frequently litigated in civil cases. • The clarity and detail in the judgment provide a strong basis for future citations. • The court's decision in balancing public interest in disclosure with individual privacy rights sets a clear precedent for similar cases. • However, as this case deals specifically with its unique factual scenario, the precedent may have limitations in broader applications. Confidence: 85% Complexity Score Assessment (7/10): • The case involved multiple legal issues surrounding disclosure, privacy rights, and GDPR compliance, indicating a need for considerable legal expertise. • Factual complexity arose from the use of personal devices in allegedly competitive communications, requiring nuanced understanding of corporate and privacy law. • The presence of multiple parties, each with distinct interests, added to procedural complexity. Confidence: 80% Legal Significance: Important case with notable legal impact</t>
  </si>
  <si>
    <t>487b93ce-f29b-46a3-a396-ca4acc6406e7</t>
  </si>
  <si>
    <t>TuneIn Inc v Warner Music UK Ltd &amp; Anor [2021] EWCA Civ 441</t>
  </si>
  <si>
    <t>487b93ce-f29b-46a3-a396-ca4acc6406e7_citations_precedents</t>
  </si>
  <si>
    <t>The court referenced numerous precedents to bolster its reasoning and confirm the legal standards for communication in copyright law.</t>
  </si>
  <si>
    <t>Citations and Authorities: Neutral Citations: [2021] EWCA Civ 441, [2022] 2 All ER 35, [2021] EMLR 18, [2021] RPC 11, [2021] WLR(D) 183, [2021] ECDR 14, [2021] Bus LR 1119 Law Reports: [2019] EWHC 2923 (Ch) Referenced Cases: Svensson case, GS Media case, Renckhoff case, Tom Kabinet case, Filmspeler case Citation Count: 5</t>
  </si>
  <si>
    <t>Svensson || GS Media || Renckhoff</t>
  </si>
  <si>
    <t>39bc2d3f-5d5b-4aca-af67-3fed3701d32e</t>
  </si>
  <si>
    <t>Cartier International AG &amp; Ors v British Sky Broadcasting Ltd &amp; Ors [2016] EWCA Civ 658</t>
  </si>
  <si>
    <t>39bc2d3f-5d5b-4aca-af67-3fed3701d32e_citations_precedents</t>
  </si>
  <si>
    <t>Key authorities cited in decision, spanning EU Court of Justice rulings and UK jurisprudence on injunctions, intermediaries, and Norwich Pharmacal-type relief.</t>
  </si>
  <si>
    <t>Citations and Authorities: Neutral Citations: [2016] EWCA Civ 658, [2016] Info TLR 1, [2016] EMLR 23, [2017] RPC 3, [2016] EWCA Civ 658, [2017] Bus LR 1, [2016] ETMR 43, [2017] 1 All ER (Comm) 507, [2016] WLR(D) 389, [2017] Bus LR 723, [2017] 1 All ER 700 Law Reports: [2016] EWCA Civ 658, [2016] EMLR 23, [2017] RPC 3, [2017] Bus LR 1, [2016] ETMR 43, [2017] 1 All ER (Comm) 507, [2016] WLR(D) 389, [2017] Bus LR 723, [2017] 1 All ER 700 Referenced Cases: Fourie v Le Roux (UKHL), Broadmoor Special Hospital Authority v Robinson ([2000] QB 775), Norwich Pharmacal Co v Customs and Excise Commissioners ([1974] AC 133), Samsung Electronics (UK) Ltd v Apple Inc ([2012] EWCA Civ 1339), L’Oréal SA v eBay International AG (Case C-324/09), UPC Telekabel Wien GmbH v Constantin Film Verleih GmbH (Case C-314/12), Tele2 Telecommunication GmbH (Case C-557/07), Tele2 v LSG-Gesellschaft (CJEU Tele2), Siskina Owners v Distos (A.C. 210), South Carolina Insurance Co v Assurantie Maatschappij De Zeven Provincien (HL), Scarlet Extended SABAM (C-360/10, C-70/10), Scarlet Extended SABAM (ECR), Totalise plc v The Motley Fool Ltd, 20C Fox v BT (No.2), Fourie v Le Roux, Amazon/European IP jurisprudence (UPC v Constantin), Mercedes-Benz Leiduck v Mercedes-Benz AG, Upmann v Elkan, North London Ry. Co. v Great Northern Ry. Co., Bankers Trust Co v Shapira, RBS/EU law jurisprudence (Marleasing), Siskina (HL), Samsung Electronics (UK) Ltd v Apple Inc (2012), L’Oréal v eBay (CJEU) Citation Count: 24</t>
  </si>
  <si>
    <t>L’Oréal v eBay || UPC Telekabel Wien v Constantin Film || Tele2 Telecommunication || Scarlet Extended SABAM || Siskina || South Carolina Insurance Co v Assurantie Maatschappij || Norwich Pharmacal Co v Customs and Excise Commissioners || Fourie v Le Roux || Samsung Electronics (UK) Ltd v Apple Inc || Bankers Trust Co v Shapira || Broadmoor || Mercedes-Benz Leiduck || Upmann v Elkan || Totalise plc v Motley Fool || 20C Fox v BT (No 2) || Totalise</t>
  </si>
  <si>
    <t>45c67ef4-ed1d-405a-aea7-9863023f3850</t>
  </si>
  <si>
    <t>Ittihadieh v 5-11 Cheyne Gardens RTM Company Ltd &amp; Ors; Deer v University of Oxford</t>
  </si>
  <si>
    <t>45c67ef4-ed1d-405a-aea7-9863023f3850_case_analysis</t>
  </si>
  <si>
    <t>This section provides analysis on the precedent value, complexity, and significance of the case to legal practice.</t>
  </si>
  <si>
    <t>Case Analysis and Reasoning: Precedent Strength Assessment (8/10): • The case is from a higher court (Court of Appeal) which lends significant weight to its precedent value. • Involved pivotal interpretations of DPA aspects which are frequently cited in other data protection cases, enhancing its relevance and applicability. • The quality of reasoning is robust and comprehensive, providing clarity on legal definitions and principles. Confidence: 90% Complexity Score Assessment (8/10): • Multiple legal issues surrounding data protection laws, which involve both procedural and substantive complexities, were presented, necessitating nuanced legal understanding. • Complicated interplay between individual rights and data controller obligations adds layers to the interpretations required. • High number of distinct parties and legal arguments increases the case's complexity. Confidence: 85% Legal Significance: Highly significant case with strong precedential value</t>
  </si>
  <si>
    <t>Ittihadieh v 5-11 Cheyne Gardens RTM Company Ltd || Dawson-Damer v Taylor Wessing</t>
  </si>
  <si>
    <t>3a179ef6-662e-4069-97c7-e5daae179b0b</t>
  </si>
  <si>
    <t>YZ v Chief Constable of South Wales Police [2022] EWCA Civ 683</t>
  </si>
  <si>
    <t>3a179ef6-662e-4069-97c7-e5daae179b0b_case_analysis</t>
  </si>
  <si>
    <t>Assessment of the case’s significance for future jurisprudence and its complexity.</t>
  </si>
  <si>
    <t>Case Analysis and Reasoning: Precedent Strength Assessment (7/10): • Court of Appeal level gives strong persuasive authority within England and Wales for administrative and data-protection-related rulings. • The decision clarifies the interpretation of DPA 2018 in the context of police data retention and the interaction with MoPI APP guidance. • The ruling reinforces that the burden to erase data does not automatically lie on the applicant and that data-retention decisions remain with the data controller, which is a commonly accepted principle in data-protection jurisprudence. • The case is not a Supreme Court decision, limiting its status as binding beyond the immediate jurisdiction, but it will be highly persuasive for similar PNC/local-record retention disputes and data-protection challenges involving policing data. • It resolves a nuanced area involving acquired acquittal information and potential health or personal data retained on local records, providing a template for reasoning in similar cases. Confidence: 85% Complexity Score Assessment (7/10): • Multiple legal issues were considered (DPA 2018 compatibility, burden of proof, Guidance interpretation, MoPI APP interaction, and public interest). • There is a mix of policy interpretation, statutory interpretation, and administrative decision-making by a data controller, increasing complexity. • Procedural history includes an expanded ground on appeal and a hearing date in 2022, with interaction between High Court and Court of Appeal. • The factual backdrop involves police data (PNC) and local records, with nuanced distinctions between categories of data (events history vs health/personal data). • The case requires understanding data-protection principles, law enforcement needs, and the balancing exercise described in the guidance. Confidence: 80% Legal Significance: Important case with notable legal impact</t>
  </si>
  <si>
    <t>[2022] EWCA Civ 683</t>
  </si>
  <si>
    <t>0f98ab6b-b6cc-4bf2-977c-80ea02105f27</t>
  </si>
  <si>
    <t>Secretary of State for Business, Innovation And Skills v PLT Anti-Marketing Ltd [2015] EWCA Civ 76</t>
  </si>
  <si>
    <t>0f98ab6b-b6cc-4bf2-977c-80ea02105f27_citations_precedents</t>
  </si>
  <si>
    <t>List of important legal authorities and regulations identified in the case.</t>
  </si>
  <si>
    <t>Citations and Authorities: Neutral Citations: 2015 CTLC 8, 2015 BUS LR 959, 2015 ECC 12, 2015 WLR(D) 63, 2015 EWCA Civ 76, 2015 Bus LR 959 Law Reports: Referenced Cases: Consumer Protection from Unfair Trading Regulations 2008, Electronic Communications (EC Directive) Regulations 2003, Directive 2002/58/EC, Council Directive 2005/29 on Unfair Commercial Practices Citation Count: 4</t>
  </si>
  <si>
    <t>c335446a-45bc-4e2b-b9df-2012c7f47750</t>
  </si>
  <si>
    <t>Durrant v Chief Constable of Avon &amp; Somerset Constabulary</t>
  </si>
  <si>
    <t>c335446a-45bc-4e2b-b9df-2012c7f47750_outcome_holding</t>
  </si>
  <si>
    <t>Final decision and compensation awarded to the plaintiff.</t>
  </si>
  <si>
    <t>Case Outcome: Holding: The court awarded £14,000 in compensation for the injury to feelings of the appellant, taking into account the cumulative experience of discriminatory acts. Outcome: plaintiff Precedent Strength: 7/10 Complexity Score: 7/10 Damages: 14000 Legal Significance: Important case with notable legal impact</t>
  </si>
  <si>
    <t>Metric</t>
  </si>
  <si>
    <t>Value</t>
  </si>
  <si>
    <t>Holding accuracy — R1 by R2</t>
  </si>
  <si>
    <t>R1 \ R2</t>
  </si>
  <si>
    <t>R1 total</t>
  </si>
  <si>
    <t>R1 holding labels completed</t>
  </si>
  <si>
    <t>R2 holding labels completed</t>
  </si>
  <si>
    <t>R1 grounding labels completed</t>
  </si>
  <si>
    <t>R2 grounding labels completed</t>
  </si>
  <si>
    <t>Both reviewers complete</t>
  </si>
  <si>
    <t>R2 total</t>
  </si>
  <si>
    <t>Interpretation</t>
  </si>
  <si>
    <t>Guideline</t>
  </si>
  <si>
    <t>Eligible paired labels (both n/a excluded)</t>
  </si>
  <si>
    <t>&lt; 0.40</t>
  </si>
  <si>
    <t>weak</t>
  </si>
  <si>
    <t>Observed agreement</t>
  </si>
  <si>
    <t>0.40–0.59</t>
  </si>
  <si>
    <t>moderate</t>
  </si>
  <si>
    <t>Expected agreement</t>
  </si>
  <si>
    <t>0.60–0.79</t>
  </si>
  <si>
    <t>substantial</t>
  </si>
  <si>
    <t>Cohen's kappa</t>
  </si>
  <si>
    <t>≥ 0.80</t>
  </si>
  <si>
    <t>strong</t>
  </si>
  <si>
    <t>Reasoning grounding — R1 by R2</t>
  </si>
  <si>
    <t>Reporting note</t>
  </si>
  <si>
    <t>Report raw agreement and kappa separately for holding accuracy and grounding.</t>
  </si>
  <si>
    <t>No second reviewer</t>
  </si>
  <si>
    <t>Do not claim inter-rater reliability; report that the second review was not completed.</t>
  </si>
  <si>
    <t>Exploratory sample</t>
  </si>
  <si>
    <t>The sample contains repeated runs, so kappa describes annotation consistency, not model-performance independence.</t>
  </si>
  <si>
    <t>Adjudication</t>
  </si>
  <si>
    <t>Use adjudicated labels for final failure-rate estimates, but use independent R1/R2 labels for kappa.</t>
  </si>
  <si>
    <t>R1</t>
  </si>
  <si>
    <t>R2</t>
  </si>
  <si>
    <t>reviewer_date_R1</t>
  </si>
  <si>
    <t>reviewer_date_R2</t>
  </si>
  <si>
    <t>[2000] 1 WLR 377, 381G–382D (Henry LJ)</t>
  </si>
  <si>
    <t>Flannery establishes a judicial duty to give adequate reasons, particularly when resolving competing expert evidence. The generated principle preserves the general duty but incorrectly reframes it as a financial-services duty.</t>
  </si>
  <si>
    <t>No supporting Flannery passage was retrieved. Closest results: rank 1, case ID a1fcbe31-60cf-480d-aa88-19492f68df24, chunk a1fcbe31-60cf-480d-aa88-19492f68df24_legal_classification; rank 15, case ID c31d4c82-88f9-42c8-968b-efc3ee876ec7, chunk c31d4c82-88f9-42c8-968b-efc3ee876ec7_legal_classification.</t>
  </si>
  <si>
    <t>The cited authority was not retrieved. The retrieved passages concern financial-product disclosure and mis-selling generally, but they do not establish a duty to ensure that clients fully understand product risks or support the application attributed to Flannery.</t>
  </si>
  <si>
    <t>[2002] EWCA Civ 605, paras 1–2 and 15–20</t>
  </si>
  <si>
    <t>The Court of Appeal confirmed that a judgment must provide sufficient reasons to make the basis of the decision apparent. The generated principle is a materially faithful summary of that duty.</t>
  </si>
  <si>
    <t>English v Emery was not retrieved. Closest maintenance results: rank 1, Gorringe, case ID bc30491e-9ae6-48da-90d0-71d8a8069b22, chunk bc30491e-9ae6-48da-90d0-71d8a8069b22_legal_classification; rank 2, King Lifting, case ID 52d20bb9-6964-44a6-9c32-d191ef76297c, chunk 52d20bb9-6964-44a6-9c32-d191ef76297c_legal_classification; rank 11, Griffiths, case ID 70c75405-8cba-40e2-92ff-8302ea4f6789, chunk 70c75405-8cba-40e2-92ff-8302ea4f6789_legal_classification.</t>
  </si>
  <si>
    <t>The cited authority was present in the corpus but was not retrieved for this generation. The retrieved passages concern highway-maintenance duties and negligence, not the judicial duty to give adequate reasons. They do not support applying English v Emery to the justification of maintenance practices.</t>
  </si>
  <si>
    <t>[1998] Ch 241, 253H–254B and 254E–256A (Millett LJ)</t>
  </si>
  <si>
    <t>Armitage concerned the scope and validity of trustee exemption clauses. It recognised an irreducible obligation to perform the trust honestly and in good faith, but permitted exemption from liability for other breaches. The generated principle is broadly related but omits this central context and overstates the holding as a general requirement to comply with all fiduciary obligations.</t>
  </si>
  <si>
    <t>Rank 10, Barnsley v Noble, case ID 8c2741c2-7eeb-471a-91de-bc6accd97a3c, chunk 8c2741c2-7eeb-471a-91de-bc6accd97a3c_case_analysis, discusses self-dealing, transaction and exoneration clauses and cites Armitage. Rank 4, Cotton v Brudenell-Bruce, case ID 0f564d6f-98e5-402b-abc8-a39f1fa33427, chunk 0f564d6f-98e5-402b-abc8-a39f1fa33427_case_analysis, concerns trustee conduct, property sales, honesty and disclosure.</t>
  </si>
  <si>
    <t>The linked retrieval provides limited support that self-dealing and conflicts are relevant to trustee transactions. However, Armitage was not retrieved as a standalone case, and no passage establishes a requirement for “independent transactions.” The application therefore exceeds the retrieved evidence.</t>
  </si>
  <si>
    <t>[3]–[5], [20]–[23], [80]</t>
  </si>
  <si>
    <t>[20] confirms the duty to act as a reasonable and prudent trustee with reasonable care and skill. However, [3]–[5] and [21]–[23] show that the appeal concerned exoneration from liability for gross negligence under Guernsey law. The Board did not determine whether the alleged investment conduct constituted a breach. The generated principle therefore captures a general duty-of-care idea but mischaracterises the case as an investment-diligence holding.</t>
  </si>
  <si>
    <t>Rank 10, Barnsley v Noble, chunk 8c2741c2-7eeb-471a-91de-bc6accd97a3c_case_analysis, discusses trustee exoneration clauses and fiduciary duties and lists Spread Trustee among the cited cases.</t>
  </si>
  <si>
    <t>The retrieval provides limited support for the general fiduciary-duty/exoneration theme. It does not support assessing breaches through performance metrics, and the Spread Trustee judgment itself was not retrieved as a standalone authority.</t>
  </si>
  <si>
    <t>381G-382C (Henry LJ)</t>
  </si>
  <si>
    <t>search cmst43r4x...; 20 records, ranks 1-3 Crestsign / Saville / Deutsche Bank v Unitech; 16 of 20 matched on legal_classification chunks; cited authority absent</t>
  </si>
  <si>
    <t>Ratio is the professional judge's general duty to give reasons (Henry LJ, four general comments; exceptions noted for magistrates and summary costs discretion). The duty-to-give-reasons kernel is faithful, but the judgment does not confine the duty to financial services; it arose in a valuer's negligence claim over a mortgage valuation. Context substituted rather than preserved. "Adequate" also imports the later English v Emery Reimbold standard; Flannery itself makes the required extent subject-matter dependent (comment 3).</t>
  </si>
  <si>
    <t>20 records returned; cited authority absent. 16 of 20 matched on legal_classification chunks, which are area/keyword metadata rather than propositions, so supply no premise. Remaining chunks are an unrelated swaps outcome, two citation lists and a precedent-strength note. Retrieval contains financial mis-selling material (Crestsign, Saville, Figurasin, CGL v RBS) topically adjacent to the application, but nothing supporting a reasons-based duty or the transposition from the cited authority.</t>
  </si>
  <si>
    <t>[3]–[12], [14]–[15]</t>
  </si>
  <si>
    <t>[3]–[4] identify the elements of direct discrimination as less favourable treatment on a prohibited ground, using an actual or hypothetical comparator whose circumstances are materially the same. [8]–[12] explain that the comparator and reason-why questions may be intertwined and that the tribunal may examine all the facts to determine why the treatment occurred. The generated principle captures the relevance of surrounding circumstances but omits the comparator, less-favourable-treatment and prohibited-ground requirements.</t>
  </si>
  <si>
    <t>Rank 1 Kalu, chunk b5913f39-0611-4550-b7a3-d97e1fc4f9c9_case_analysis; rank 2 Gaurilcikiene, chunk 060fb5e3-4e14-487d-89e2-170c04ebf40c_case_analysis; and rank 3 South Wales Police Authority v Johnson, chunk 7b9b0d5a-dc61-43d4-9626-d82e18f8c8dd_case_analysis. These contain only general discussion of discrimination claims, evidence and burden of proof.</t>
  </si>
  <si>
    <t>one of the retrieved passages mentions microaggressions, a discriminatory environment or facts establishing that the alleged treatment occurred because of a protected characteristic. A perceived discriminatory environment is also not, without more, the direct-discrimination test stated in Shamoon.</t>
  </si>
  <si>
    <t>[71]–[76], especially [76] Annex items (1), (2) and (9)–(13)</t>
  </si>
  <si>
    <t>The guidance annexed at [76] provides that the claimant must first prove facts from which the tribunal could conclude, absent an adequate explanation, that unlawful discrimination occurred. Once those facts are proved, the burden passes to the respondent to prove that the treatment was in no sense based on the prohibited ground. The generated principle materially and accurately summarises this two-stage rule.</t>
  </si>
  <si>
    <t>Rank 3, South Wales Police Authority v Johnson, chunk 7b9b0d5a-dc61-43d4-9626-d82e18f8c8dd_case_analysis, discusses burden of proof and evidential sufficiency and expressly cites Igen. Rank 5, Khan v Royal Mail Group, chunk 3b44a16a-76b8-49d4-8f00-6e1767c46005_case_analysis, states that Igen and Madarassy govern discrimination burdens. Rank 8, Ayodele v Citylink, chunk 9505adbf-4b10-41b0-bc0d-d71d70aa9210_case_analysis, confirms the section 136 burden-of-proof framework and cites Igen.</t>
  </si>
  <si>
    <t>The retrieved passages directly support applying the burden-shifting framework to employment discrimination allegations. Ranks 17 and 18 additionally concern employee conduct, dismissal and employer explanations. Read with the generated principle’s prima-facie-case condition, the application does not materially exceed the retrieval evidence.</t>
  </si>
  <si>
    <t>[1]–[2], [20]–[23], [27]–[35]</t>
  </si>
  <si>
    <t>[1]–[2] identify the case as concerning discriminatory denial of British citizenship and consequential deportation liability. [27]–[30] address Articles 8 and 14 and the proportionality of discrimination based on birth outside marriage. [34]–[35] hold that the present deportation distinction lacked justification. The case does not establish a threshold balancing prisoners’ rights against institutional security.</t>
  </si>
  <si>
    <t>Rank 1, Bristow v Secretary of State for Justice, chunk 1dbb4242-42ac-456f-989f-5098066d87ca_legal_classification, contains only a broad classification covering prisoner rights, Article 14 and public law. Rank 2, Howard League for Penal Reform v Lord Chancellor, chunk d60a5323-796e-4110-a6de-012ec16860c1_case_analysis, concerns prisoners’ legal aid, fair-trial rights and access to justice. Ranks 3–10 are predominantly procedural histories unrelated to the asserted balancing exercise.</t>
  </si>
  <si>
    <t>The retrieved material does not discuss institutional security measures or a proportionality balance between those measures and prisoners’ rights. General references to human rights and prison law are insufficient to support the generated application.</t>
  </si>
  <si>
    <t>pp. 381G–382C ([2000] 1 WLR 377)</t>
  </si>
  <si>
    <t>The Court of Appeal held that a trial judge must give sufficient reasons to explain the decision, particularly why one expert’s evidence was preferred. However, Flannery concerns judicial decisions and does not itself establish a general duty for administrative decision-makers.</t>
  </si>
  <si>
    <t>1dbb4242-42ac-456f-989f-5098066d87ca_legal_classification; d60a5323-796e-4110-a6de-012ec16860c1_case_analysis; the remaining retrieved passages contain procedural history only.</t>
  </si>
  <si>
    <t>None of the retrieved passages mentions Flannery or provides a premise concerning adequate reasons, transparency, or explaining administrative decisions. General references to administrative law, rights, or systemic fairness are insufficient.</t>
  </si>
  <si>
    <t>[16], [19]; see also [25]</t>
  </si>
  <si>
    <t xml:space="preserve"> Faithful one-line statement of the ratio (Lord Phillips MR at [16], [19]): the judgment must make apparent to the parties why one won and the other lost. Adequacy is case-dependent and there is no duty to address every argument ([19]), but those limits qualify the extent of the duty rather than the proposition asserted. No wrong context or duty-holder introduced.</t>
  </si>
  <si>
    <t>search cmmxp9veu000b04i838upwih8; 20 records; cited authority absent (in corpus, not retrieved); 14/20 matched on citations_precedents chunks; ranks 1-3 Gorringe v Calderdale, King Lifting v Oxfordshire, Yetkin v Newham (legal_classification); rank 14 Tindall (legal_reasoning)</t>
  </si>
  <si>
    <t>[15]–[21], especially [16], [19]–[21]; [118]</t>
  </si>
  <si>
    <t>English v Emery Reimbold &amp; Strick Ltd confirms that judges must give reasons sufficient for the parties to understand why they won or lost and for an appellate court to identify the reasoning essential to the decision. Reasons need not address every argument or evidential factor.</t>
  </si>
  <si>
    <t>No supporting passage was retrieved. The closest item, 2081f703-fbd5-4bdc-b8b8-0a8424eb00b1_citations_precedents, merely lists R v SSHD ex p Doody among cited authorities; it does not state a reason-giving principle. The other linked chunks are also citation lists.</t>
  </si>
  <si>
    <t>English v Emery was not retrieved for the linked generation. None of the 20 retrieved chunks supplies the premise that judicial decisions require clear or adequate reasoning. Citation lists alone do not clearly support the generated application.</t>
  </si>
  <si>
    <t>~251-256 (Millett LJ: irreducible core; cl 15 exemption)</t>
  </si>
  <si>
    <t>search cmm0chr9w000n04i37bx1uiqp; 10 records (cf 20 elsewhere); cited authority absent and not in corpus registry; 6/10 case_analysis, 3/10 procedural_history, 1/10 legal_reasoning; rank 10 Barnsley v Noble closest (exoneration clause applied to self-dealing); ranks 4 Cotton v Brudenell-Bruce, 9 Floreat (fiduciary duties)</t>
  </si>
  <si>
    <t xml:space="preserve"> Armitage absent from retrieval and not in corpus registry. Only 10 records returned; 6 of 10 matched case_analysis chunks (precedent-strength and complexity scores, i.e. evaluative metadata rather than propositions) and 3 procedural_history chunks (court/judge/date listings, two unrelated: Braintree planning, Hassam whiplash). Rank 10 Barnsley v Noble references exoneration clauses applied to self-dealing and rank 4 Cotton v Brudenell-Bruce fiduciary duty, so fiduciary material is topically present, but no retrieved chunk states a self-dealing proposition. Application invokes the self-dealing rule, a doctrine distinct from the cited authority's ratio.</t>
  </si>
  <si>
    <t>[54]-[61], [111]; Baroness Hale and Lord Kerr dissenting</t>
  </si>
  <si>
    <t xml:space="preserve"> search cmm0chr9w000n04i37bx1uiqp (shared with citation_index 1); 10 records; cited authority absent and not in corpus registry; 6/10 case_analysis, 3/10 procedural_history, 1/10 legal_reasoning; nearest fiduciary material at ranks 4 Cotton v Brudenell-Bruce, 9 Floreat, 10 Barnsley v Noble; no investment or performance material at any rank</t>
  </si>
  <si>
    <t>Spread Trustee absent from retrieval and not in corpus registry. The 10 records concern limitation for trust claims (Creggy, Burnden), solicitors' handling of trust funds (Santander), trustee conduct in property sales (Cotton), dishonest assistance and constructive trusts (Floreat) and exoneration clauses (Barnsley), plus three procedural_history listings, two unrelated. Nothing addresses investment duties or performance-based assessment of breach, so the application's premise is absent from the linked retrieval entirely.</t>
  </si>
  <si>
    <t>Flannery confirms that a professional judge generally has a duty to explain why a decision was reached, with the required detail depending on the subject matter. “Duty to give reasons” captures the core idea but omits its judicial context, qualifications and exceptions. The case does not establish a universal duty on administrative decision-makers.</t>
  </si>
  <si>
    <t>No supporting passage was retrieved. All 20 linked chunks are citations_precedents lists. The closest, 2081f703-fbd5-4bdc-b8b8-0a8424eb00b1_citations_precedents, merely lists R v SSHD ex p Doody without stating any reason-giving rule.</t>
  </si>
  <si>
    <t>Flannery was not retrieved and was not found as a standalone corpus record. None of the linked passages states that administrative parties must be informed of a decision’s rationale when their rights are substantially affected. The generated administrative-law extension therefore lacks retrieved support.</t>
  </si>
  <si>
    <t>[7]-[12] (Lord Nicholls); [64]-[74] (Lord Hope); [110]-[136] (Lord Scott)</t>
  </si>
  <si>
    <t>HL, NI appeal. Lord Nicholls's guidance is that tribunals may avoid the rigid two-stage less-favourable-treatment/comparator sequence and instead ask directly why the claimant was treated as she was, since the two questions are intertwined; the comparator must be someone whose relevant circumstances are the same (s.7 NI Order 1976 / RRA analogue). The generated principle captures the shift toward examining surrounding circumstances but omits the essentials: the requirement of less favourable treatment than a genuine comparator, the "reason why" question, and that the guidance concerns the order of tribunal enquiry rather than a free-standing route to establishing discrimination. Correct general idea, important test omitted.</t>
  </si>
  <si>
    <t xml:space="preserve"> search cmst3ztkq000e04labxjacu4p; 20 records, 20/20 case_analysis; cited authority absent and not in corpus registry; ranks 1-5 Kalu, Gaurilcikiene, South Wales Police v Johnson, Home Office v Essop, Khan v Royal Mail; sim band 0.706-0.735</t>
  </si>
  <si>
    <t xml:space="preserve"> Shamoon absent from retrieval and not in corpus registry. All 20 records matched on case_analysis chunks, which are precedent-strength and complexity scores (each ending "Confidence: 85%") rather than legal propositions, so none supplies a premise. The retrieved cases are discrimination and employment matters (Kalu, Gaurilcikiene, Essop, Khan, Ayodele) and are topically adjacent, but nothing addresses microaggressions, perceived discrimination, or a comparator/"reason why" analysis. The application also advances a proposition the cited authority does not support: Shamoon requires less favourable treatment than a comparator, not an environment of perceived discrimination.</t>
  </si>
  <si>
    <t>[5], [30]–[51], especially [37] and [51]</t>
  </si>
  <si>
    <t>Burkett principally concerns the time limit for judicial review of planning permission. The House of Lords held that, when the formal grant is challenged, time runs from the date planning permission is granted rather than the earlier resolution. It did not establish the attributed general rule concerning procedural transparency, unfairness or bias.</t>
  </si>
  <si>
    <t>379d4f20-62f5-403b-a082-fa36b82fe1c1_metadata_summary states the correct Burkett rule concerning the starting date for judicial-review time limits. 3ff34419-ffbc-40f9-a087-a1cb1371d0e1_legal_classification identifies procedural unfairness, inadequate notification and lack of an opportunity to participate in Vicente.</t>
  </si>
  <si>
    <t>he Vicente passage supplies some support for the application’s procedural-fairness component. However, neither it nor the retrieved Burkett summary supports the additional claims about transparency or avoiding allegations of bias. The application is therefore only partially grounded.</t>
  </si>
  <si>
    <t>~[17]-[27] and revised Barton guidance at Annex (Peter Gibson LJ) — verify pinpoints on BAILII</t>
  </si>
  <si>
    <t>CA, three conjoined appeals (Igen v Wong; Chamberlin Solicitors v Emokpae; Brunel University v Webster). Revised the Barton v Investec guidelines on the two-stage burden of proof under s.63A SDA 1975 / s.54A RRA 1976: the claimant must first prove facts from which the tribunal could conclude, absent an adequate explanation, that the respondent committed an unlawful act; the burden then passes to the respondent to prove it did not discriminate. The generated principle is a compressed but faithful statement of that shift. "Prima facie case" is not the judgment's own language and glosses the "could conclude" threshold later clarified in Madarassy v Nomura, but this is compression rather than an omitted limitation.</t>
  </si>
  <si>
    <t xml:space="preserve"> search cmst3ztkq000e04labxjacu4p (shared with citation_index 1); 20 records, 20/20 case_analysis; cited authority absent as a record but named in rank 5 chunk text; rank 5 Khan v Royal Mail (references Igen Ltd v Wong and Madarassy v Nomura), rank 8 Ayodele v Citylink (burden of proof, s.136 Equality Act), rank 3 South Wales Police v Johnson (burden of proof in race discrimination), rank 4 Essop (indirect discrimination and burden of proof)</t>
  </si>
  <si>
    <t xml:space="preserve"> Igen absent from retrieval as a record and not in corpus registry, but the linked retrieval is squarely on topic: four chunks concern the burden of proof in discrimination claims, and rank 5 names Igen v Wong and Madarassy expressly. That supplies genuine relevance to the application's claim that the respondent bears a burden of explanation. It is insufficient, however, because all 20 records are case_analysis precedent-strength commentary: they reference burden of proof as a subject descriptor without stating the two-stage test or any proposition from which the application's step could be drawn. Relevant but insufficient for the full application.</t>
  </si>
  <si>
    <t>n/a - authority not reliably identifiable</t>
  </si>
  <si>
    <t>Citation is name-only with no year or report reference, and R (Johnson) v SSHD matches several distinct authorities. The URL recorded in column Q resolves to UKSC 2016-0042, R (Johnson) v SSHD [2016] UKSC 56, which concerns automatic deportation and Article 14 discrimination arising from illegitimacy at birth, not proportionality or prison security. The draft concerns Ellis v Secretary of State for Justice; prison conditions fall to the MoJ rather than the Home Office, so the named respondent is also inconsistent with the proposition. The intended authority cannot be determined without substituting a different case, which §10 prohibits. unclear under §4 (source cannot be reliably obtained), recorded rather than resolved.</t>
  </si>
  <si>
    <t xml:space="preserve"> search cmmc48b4h000b04jxrxrp3idf (shared with citation_index 2); 10 records; 8/10 procedural_history, rank 1 Bristow v SSJ (legal_classification: Administrative Law, Human Rights, Prison Law, Article 14 ECHR, Repatriation of Prisoners Act), rank 2 Howard League v Lord Chancellor (case_analysis: prisoner legal aid, ECHR fair trial, access to justice); sim band 0.678-0.697</t>
  </si>
  <si>
    <t xml:space="preserve"> Eight of ten records matched on procedural_history chunks listing court, judges, case numbers and hearing dates with no legal content. Ranks 1 and 2 are topically adjacent — prisoner rights, Article 14, ECHR — and are the strongest material in the retrieval, but rank 1 is a taxonomy chunk naming legal areas without stating any test, and rank 2 is precedent-strength commentary on legal aid. Nothing supplies a proportionality framework or any premise for balancing rights against institutional security. Assessed against the retrieval independently of the unresolved citation.</t>
  </si>
  <si>
    <t>[2000] 1 WLR 377 at 381G-382C (Henry LJ, four general comments); duty-holder passage citing R v Knightsbridge Crown Court ex p International Sporting Club</t>
  </si>
  <si>
    <t xml:space="preserve"> Ratio is the professional judge's general duty to give reasons, arising in a valuer's negligence claim; Henry LJ notes exceptions including magistrates and summary costs discretion, and the extent of the duty depends on subject-matter (comment 3). Flannery concerns judicial reasons, not administrative decision-making. Extending the duty to "administrative settings" is a decontextualised extension the judgment does not make, though the judgment cites administrative-law authority (ex p Dave, ex p International Sporting Club, De Smith) as the source of the general duty, so the extension is not wholly unsupported. "Adequately" also imports the later English v Emery Reimbold standard.</t>
  </si>
  <si>
    <t xml:space="preserve"> search cmmc48b4h000b04jxrxrp3idf (shared with citation_index 1); 10 records; cited authority absent and not in corpus registry; 8/10 procedural_history, 1 legal_classification (rank 1 Bristow v SSJ), 1 case_analysis (rank 2 Howard League); sim band 0.678-0.697</t>
  </si>
  <si>
    <t>Flannery absent from retrieval and not in corpus registry. Eight of ten records matched on procedural_history chunks, which list court, lower court, judges, case number and hearing dates only, and contain no legal content of any kind (Pearce, C3, AAA (Syria), Richards, Elkundi, MD, Cleeland). Rank 1 Bristow is an Article 14 / Repatriation of Prisoners Act classification chunk and rank 2 Howard League concerns legal aid and access to justice. Nothing in the retrieval addresses a duty to give reasons or transparency in administrative decision-making, so no premise supports the application.</t>
  </si>
  <si>
    <t>Flannery establishes that professional judges generally must give sufficient reasons so the parties understand why they won or lost and an appeal remains effective. The generated principle captures this core idea but overgeneralises it to all decisions affecting rights and omits the judicial context and qualifications.</t>
  </si>
  <si>
    <t>379d4f20-62f5-403b-a082-fa36b82fe1c1_metadata_summary concerns judicial review of planning permission and citizens’ ability to challenge planning decisions. 3ff34419-ffbc-40f9-a087-a1cb1371d0e1_legal_classification identifies procedural unfairness concerning notification and residents’ opportunity to participate.</t>
  </si>
  <si>
    <t>The retrieved material supports the general relevance of procedural fairness to challenges against planning decisions. However, no retrieved passage states that failure to give reasons constitutes procedural impropriety or invalidates a planning decision. The essential reason-giving premise is therefore unsupported.</t>
  </si>
  <si>
    <t>Correctly identifies the subject-matter of the authority: adequacy of reasons in judgments is precisely what English decides (Lord Phillips MR at [16], [19] - the judgment must make apparent to the parties why one won and the other lost, adequacy depending on the nature of the case). The principle is a bare topic label rather than a stated rule, so it asserts nothing capable of being inaccurate. No wrong context, duty-holder or doctrine introduced. Labelled yes on the narrow ground that nothing attributed is unfaithful; note the near-vacuity as a limitation of the field rather than as an inaccuracy.</t>
  </si>
  <si>
    <t>search cms1u714o000304jxq0x5fnl6 (shared with citation_index 2); 20 records, 20/20 citations_precedents; cited authority in corpus registry but not retrieved; ranks 1-5 Howard League, Good Law Project, C7 v SSHD, SSCLG v West Berkshire, Enfield v SST; sim band 0.648-0.686</t>
  </si>
  <si>
    <t>English is in the corpus registry but was not retrieved for the linked generation. All 20 records matched on citations_precedents chunks, which are bare inventories of neutral citations, law reports and referenced cases with a citation count, and state no propositions at all. The retrieved cases are public-law and judicial-review matters (legal aid, procurement, SIAC costs, planning, PSED, deprivation of citizenship) and none concerns adequacy of judicial reasons or accountability through reasoning. No premise in the linked retrieval supports the application.</t>
  </si>
  <si>
    <t>Correctly identifies the subject-matter: the duty to give reasons is what Flannery decides (Henry LJ, four general comments at 381G-382C; the duty is a function of due process, want of reasons may be a self-standing ground of appeal, extent depends on subject-matter). The principle is a bare topic label rather than a stated rule, so nothing is overstated, decontextualised or misattributed. Labelled yes on the same narrow convention applied at citation_index 1 of this draft. Note that the administrative-context extension appears in the application field rather than the principle, so it falls to be assessed under grounding rather than here.</t>
  </si>
  <si>
    <t>search cms1u714o000304jxq0x5fnl6 (shared with citation_index 1); 20 records, 20/20 citations_precedents; cited authority absent and not in corpus registry; nearest material rank 13 Roche Registration (chunk lists ex p Doody among referenced cases) and rank 1 Howard League (lists ex p Tarrant, Coughlan); sim band 0.648-0.686</t>
  </si>
  <si>
    <t xml:space="preserve"> Flannery absent from retrieval and not in corpus registry. All 20 records matched on citations_precedents chunks, which are inventories of neutral citations, law reports and referenced cases with a citation count, and state no propositions. Two chunks incidentally list authorities associated with the public-law duty to give reasons (ex p Doody at rank 13; ex p Tarrant and Coughlan at rank 1), but a case name appearing in another judgment's bibliography supplies no premise. Nothing in the linked retrieval addresses informing parties of the rationale for a decision.</t>
  </si>
  <si>
    <t>[6]-[9], [39]-[46] (Lord Steyn) - HL judgment on time limits; verify pinpoints</t>
  </si>
  <si>
    <t>Burkett decides a narrow procedural question: when time begins to run for judicial review of a planning permission. The House of Lords held the period runs from the date of the actual grant of permission, not from the earlier resolution to permit development. The generated principle attributes a general obligation on public authorities to follow established procedures to avoid unfairness and maintain transparency. That proposition is not established by the judgment, which concerns the claimant's time limit rather than any duty owed by the authority. Different doctrine; §4 no.</t>
  </si>
  <si>
    <t>search cmmxtwenv000304jr7vxcmpae; 20 records; rank 1 IS the cited authority - Burkett [2002] UKHL 23, metadata_summary chunk, sim 0.761 - contradicting citation_in_linked_retrieval = no in column M; remainder 15/20 procedural_history, 4/20 legal_classification; rank 17 Vicente (legal_classification: procedural unfairness, opportunity to participate)</t>
  </si>
  <si>
    <t xml:space="preserve"> The cited authority was retrieved at rank 1, but the matched chunk is a metadata_summary: a case overview stating that the time limit for judicial review runs from the grant of permission rather than the resolution. That is the only proposition available from it, and it does not support the application's claim that decision-making procedures must be transparent and fair to avoid allegations of bias. Of the remaining records, 15 are procedural_history listings with no legal content and 4 are classification taxonomies; rank 17 Vicente names procedural unfairness as a legal issue but states no test. Retrieval contained the right case and still supplied no premise for the reasoning advanced.</t>
  </si>
  <si>
    <t>Ratio is the professional judge's general duty to give reasons, arising in a valuer's negligence claim; comment 1 states the duty is a function of due process and that the losing party should be left in no doubt why they lost, which the generated principle captures in substance. But the principle omits the duty-holder: Flannery concerns the court's obligation in delivering judgment, not a general entitlement of parties against any decision-maker affecting their rights, and Henry LJ notes exceptions (magistrates, summary costs discretion) and that extent depends on subject-matter (comment 3). Closer to the ratio than the "administrative settings" formulations at rows 5 and 6 because it does not relocate the duty, but the decontextualisation from judicial reasons to decisions generally is material.</t>
  </si>
  <si>
    <t>search cmmxtwenv000304jr7vxcmpae (shared with citation_index 1); 20 records; cited authority absent and not in corpus registry; 15/20 procedural_history, 4/20 legal_classification, 1 metadata_summary (rank 1 Burkett); rank 5 Save Britain's Heritage v Davies present but matched on procedural_history; rank 17 Vicente (legal_classification: procedural unfairness, opportunity to participate)</t>
  </si>
  <si>
    <t>Flannery absent from retrieval and not in corpus registry. Fifteen of twenty records matched on procedural_history chunks listing court, lower court, judges, case number and hearing duration only, with no legal content. Four legal_classification chunks are planning-law taxonomies (Cherkley, Ashburton, Tesco Stores, Vicente); rank 17 Vicente names procedural unfairness and opportunity to participate as legal issues but states no test. Rank 5 Save Britain's Heritage v Davies is on point in its actual subject-matter (reasons for planning decisions) but the chunk retrieved is its procedural history, supplying no proposition. Nothing in the linked retrieval supports the claim that failure to give reasons can invalidate a planning decision for procedural impropriety.</t>
  </si>
  <si>
    <t>[15]–[21], especially [16] and [19]–[21]; [118]</t>
  </si>
  <si>
    <t>English v Emery confirms that judicial reasons must enable the parties to understand why they won or lost and enable an appellate body to analyse the reasoning essential to the decision. The required detail depends on the issues and evidence; every argument or evidential factor need not be addressed.</t>
  </si>
  <si>
    <t>No supporting reason-giving passage was retrieved. 445f0437-9772-49a4-bfbc-53967e1e53ac_legal_classification discusses insurance-contract interpretation and jurisdiction. 2f9fd02a-26e6-4859-90a8-5d64d042f0b9_citations_precedents concerns aggregation clauses, but merely lists authorities.</t>
  </si>
  <si>
    <t>The retrieved material concerns insurance coverage, aggregation, jurisdiction and contract interpretation. It does not state any standard for the adequacy or required detail of a court or tribunal’s reasons. English v Emery itself was not retrieved for this generation, so the application is ungrounded despite being legally plausible.</t>
  </si>
  <si>
    <t>Faithful statement of the ratio (Lord Phillips MR at [16], [19]): the judgment must make apparent to the parties why one won and the other lost, adequacy depending on the nature of the case; the duty is grounded in fairness and the losing party's ability to consider an appeal. Adding "fairness and transparency" as the purpose is consistent with the judgment's own rationale. Adequacy is case-dependent and there is no duty to address every argument ([19]), but those limits qualify the extent of the duty rather than the proposition asserted. No wrong context or duty-holder introduced.</t>
  </si>
  <si>
    <t>search cmmcaho67000b04k3d50f98in (shared with citation_index 2); 20 records; cited authority in corpus registry but not retrieved; 12/20 citations_precedents, 7/20 legal_classification, 1 factual_summary (rank 20 Aviva); ranks 1-4 Al Mana Lifestyle, AIG Europe v OC320301, Great Lakes Reinsurance, BNY Mellon v Cine-UK; sim band 0.642-0.705</t>
  </si>
  <si>
    <t>English is in the corpus registry but was not retrieved for the linked generation. The retrieval is entirely insurance and contract-interpretation material: 12 citations_precedents chunks listing referenced authorities on aggregation clauses, insurable interest and policy construction, and 7 legal_classification taxonomy chunks (Al Mana, Trust Risk Group, Ted Baker, Wood v Sureterm, Aspen, AIG v John Wood, Starlight). None addresses adequacy of reasons, judicial or tribunal reasoning standards, or the sufficiency of a tribunal's findings. No premise supports the application's claim about how detailed the tribunal's reasoning on catastrophe classification should have been.</t>
  </si>
  <si>
    <t>Flannery concerns a judge’s duty to provide adequate reasons, particularly when resolving conflicting expert evidence. It does not establish that contracting parties must understand legal concepts or prescribe how insurance agreements should be interpreted.</t>
  </si>
  <si>
    <t>445f0437-9772-49a4-bfbc-53967e1e53ac_legal_classification; 638613f3-f321-4ccd-8055-aebfec6cec82_legal_classification; 394294db-f0b6-4f0f-a9df-ced441c7f6f1_legal_classification</t>
  </si>
  <si>
    <t>The retrieved material supports the general subject of interpreting insurance-policy wording, definitions and coverage. However, it does not support attributing that principle to Flannery or state the specific standard asserted in the generated application.</t>
  </si>
  <si>
    <t>Flannery concerns a judge's duty to give reasons for a judgment, arising in a valuer's negligence claim over a mortgage valuation; the four general comments at 381G-382C address due process, want of reasons as a ground of appeal, and the subject-matter dependent extent of the duty. The generated principle attributes a proposition about parties to an agreement understanding relevant legal concepts in the context of claims. That is a contractual-interpretation proposition and the judgment establishes nothing of the kind: it concerns neither contracts, nor agreements, nor the parties' understanding of legal concepts. Unlike the other Flannery occurrences in this sample, there is no wrong-context extension of the reasons duty to argue about; the doctrine attributed is unrelated. §4 no.</t>
  </si>
  <si>
    <t>search cmmcaho67000b04k3d50f98in (shared with citation_index 1); 20 records; cited authority absent and not in corpus registry; 12/20 citations_precedents, 7/20 legal_classification, 1 factual_summary; contract-interpretation material at ranks 8 Wood v Sureterm (indemnity clause construction), 14 Steve Ward Services (chunk lists Rainy Sky, Arnold v Britton, Wood v Capita), 6 Ted Baker (policy construction, estoppel)</t>
  </si>
  <si>
    <t>Flannery absent from retrieval and not in corpus registry. The retrieval is topically adjacent to the application, since several records concern construction of insurance policies and indemnity clauses (Ted Baker, Wood v Sureterm, Great Lakes, Aspen) and rank 14 lists the leading interpretation authorities Rainy Sky, Arnold v Britton and Wood v Capita. But all are citations_precedents inventories or legal_classification taxonomies stating no propositions, and none is connected to the cited authority: the retrieved material relates to the draft's insurance subject matter rather than to anything Flannery decides. No premise supports the application, which in any event rests on a principle the authority does not establish.</t>
  </si>
  <si>
    <t>[15]–[21], especially [16], [19] and [21]</t>
  </si>
  <si>
    <t>English v Emery confirms that judgments must contain sufficient reasons for the parties and any appellate court to understand why the decision was reached. The generated principle accurately summarises this authority.</t>
  </si>
  <si>
    <t>d5d573a1-ee1c-4a42-99b1-728063f8ced3_legal_classification; a86c8039-4dcd-41c2-bbee-f72673a10ba2_outcome_holding</t>
  </si>
  <si>
    <t>The linked retrieval contains environmental and public-law material about funding decisions, international obligations and statutory decision-making. None of the retrieved passages states or supports a judicial duty to provide clear reasons. English v Emery was not retrieved for this generation.</t>
  </si>
  <si>
    <t>Correctly identifies the subject-matter of the authority: adequacy of reasons in judgments is precisely what English decides (Lord Phillips MR at [16], [19] - the judgment must make apparent to the parties why one won and the other lost, adequacy depending on the nature of the case). The principle is a bare topic label rather than a stated rule, so it asserts nothing capable of being inaccurate. No wrong context, duty-holder or doctrine introduced. Labelled yes on the same convention applied at row 6 (both units) and consistently with row 8 index 1, where the same authority was stated as a rule.</t>
  </si>
  <si>
    <t>English is in the corpus registry but was not retrieved for the linked generation. The retrieval is environmental and public-law material: six citations_precedents inventories (Finch, Solar Century, Wyatt, Enfield, Mott, Northern Gas Networks) listing referenced authorities on EIA scope, statutory interpretation and review of regulatory decisions; two procedural_history listings with no legal content; one classification taxonomy on treaty obligations and funding decisions; and one outcome_holding recording that funding decisions were upheld as within legal bounds. None addresses adequacy of reasons or the standard of judicial reasoning, and nothing supports the application's claim that judicial decisions must reason in compliance with statutory frameworks.</t>
  </si>
  <si>
    <t xml:space="preserve"> English absent from linked retrieval. 14 of 20 records matched on citations_precedents chunks, which are bare lists of cited authorities and supply no proposition. Remainder are highway/occupiers' liability classification (Gorringe, King Lifting, Yetkin, Griffiths v Gwynedd) plus one omissions-liability reasoning chunk (Tindall). Highway-maintenance material is present, but nothing supports the reasons-adequacy principle invoked, and the application transposes a judge's duty to explain a judgment into the authority's justification of its maintenance regime.</t>
  </si>
  <si>
    <t xml:space="preserve">Principal issue was the validity of a trustee exemption clause (cl 15): liability for breach including gross negligence may be excluded, but not for fraud or dishonesty; an irreducible core of honesty and good faith survives (Millett LJ, ~251-256). The generated principle is a vague generality that omits that context and sits awkwardly with the ratio, since Armitage confirms duties of care can be excluded. </t>
  </si>
  <si>
    <t xml:space="preserve">Appeal from Guernsey. Sole issue was whether a trust deed could exclude a trustee's liability for gross negligence before the Trusts (Amendment) (Guernsey) Law 1990. Held 3-2 that Guernsey customary law and s.34(7) of the 1989 Law permitted such exclusion, the 1990 prohibition not being retrospective. The judgment says nothing about a duty of diligent investment; investment duties were not in issue. Proposition attributed is not established by the authority. </t>
  </si>
  <si>
    <t>Flannery establishes a general duty on professional judges to give adequate reasons. “Duty to give reasons” captures the general idea but omits the essential judicial context and the qualification that the required extent of reasons depends on the case’s subject matter.</t>
  </si>
  <si>
    <t>The retrieved passages concern public-authority funding decisions, including climate-finance compliance and regional funding allocations. This supports the application’s general setting, but none states that public authorities must articulate reasons for significant funding decisions. The generated application therefore adds an unsupported legal requirement.</t>
  </si>
  <si>
    <t>Correctly identifies the subject-matter: the duty to give reasons is what Flannery decides (Henry LJ, four general comments at 381G-382C; the duty is a function of due process, want of reasons may be a self-standing ground of appeal, extent depends on subject-matter). The principle is a bare topic label rather than a stated rule, so nothing is overstated, decontextualised or misattributed. Labelled yes on the same convention applied at row 6 (both units) and row 9 index 1. The extension to public authorities' funding decisions appears in the application field, not the principle, so it falls to be assessed under grounding. Column J records this Court of Appeal decision as persuasive; recorded, not amended.</t>
  </si>
  <si>
    <t>search cmm0k0854000b04l440eijrw0 (shared with citation_index 1); 10 records; cited authority absent and not in corpus registry; 6/10 citations_precedents, 2/10 procedural_history, 1 legal_classification, 1 outcome_holding; funding-decision material at rank 2 Friends of the Earth v UKEF (classification: funding decision and Paris Agreement compliance, Tameside principle) and rank 6 Rotherham BC (outcome_holding: funding decisions upheld); rank 5 Enfield chunk lists ex p Coughlan and ex p Baker</t>
  </si>
  <si>
    <t>search cmm0k0854000b04l440eijrw0 (shared with citation_index 2); 10 records; cited authority in corpus registry but not retrieved; 6/10 citations_precedents, 2/10 procedural_history, 1 legal_classification (rank 2 Friends of the Earth v UKEF), 1 outcome_holding (rank 6 Rotherham BC - funding decisions upheld); sim band 0.629-0.727</t>
  </si>
  <si>
    <t>Flannery absent from retrieval and not in corpus registry. Two records concern funding decisions and so are topically adjacent to the application: rank 2 Friends of the Earth v UKEF is a classification taxonomy naming the funding decision and the Tameside principle as legal issues without stating any test, and rank 6 Rotherham BC is an outcome_holding recording only that the funding decisions were upheld as within legal bounds. Neither addresses a duty to articulate reasons. Rank 5 Enfield lists ex p Coughlan and ex p Baker among referenced cases, but a case name in another judgment's bibliography supplies no premise. Nothing in the linked retrieval supports a reasons-giving obligation on public authorities.</t>
  </si>
  <si>
    <t>Inter-reviewer Agreement : Sampled Citation Units</t>
  </si>
  <si>
    <t>English v Emery confirms that judges must give reasons sufficient for the parties and an appellate court to understand the resolution of the critical issues. The generated principle is materially faithful, although the required detail varies with the nature of the case.</t>
  </si>
  <si>
    <t>88f81617-3d05-4cec-a001-5edf306bd117_metadata_summary; d60a5323-796e-4110-a6de-012ec16860c1_case_analysis</t>
  </si>
  <si>
    <t>The retrieved SPM passage concerns detainee access to justice and expressly identifies whether the lower court provided adequate reasoning as an issue. The Howard League passage also concerns fair-trial rights and decisions affecting prisoners. These passages support the rights-related context, but the SPM excerpt lacks the final holding and neither passage establishes a general requirement for “thorough” reasoning whenever individual rights are affected.</t>
  </si>
  <si>
    <t xml:space="preserve"> Faithful statement of the ratio (Lord Phillips MR at [16], [19]): the judgment must make apparent to the parties why one won and the other lost, adequacy depending on the nature of the case; the duty rests on fairness and the losing party's ability to consider an appeal, with Article 6 ECHR considered in the early paragraphs. "Compliance with legal obligations" is a loose but not inaccurate gloss on that footing. Adequacy is case-dependent and there is no duty to address every argument ([19]), but those limits qualify the extent of the duty rather than the proposition asserted. Principle correctly confined to judgments; the extension to decisions affecting individual rights appears in the application field and is assessed under grounding.</t>
  </si>
  <si>
    <t xml:space="preserve"> search cmmafsf07000304l4huaorple; 10 records; cited authority in corpus registry but not retrieved; 6/10 legal_classification, 2/10 case_analysis, 1 citations_precedents, 1 metadata_summary; ranks 1 Howard League, 3 James v HM Prison Birmingham, 4 Rowan v Governor HMP Berwyn, 5 Bristow v SSJ, 6 Brooks v Independent Adjudicator; sim band 0.633-0.673</t>
  </si>
  <si>
    <t>English is in the corpus registry but was not retrieved for the linked generation. The retrieval is prison and detention public-law material: six legal_classification taxonomies naming areas of law and legal issues (remand time and civil contempt, licence recall, Article 14 and prisoner repatriation, additional days awarded by an independent adjudicator, immigration detention conditions), two case_analysis precedent-strength commentaries, one citations inventory and one case abstract. Several records concern decisions affecting individual rights, so the retrieval is topically adjacent to the application, but none addresses adequacy of reasons or any standard of reasoning, and rank 4's reference to public law duties and Wednesbury reasonableness names a different ground of review. No premise supports the application.</t>
  </si>
  <si>
    <t>[16], [19], [21], [25]–[26] and [118]</t>
  </si>
  <si>
    <t>English v Emery requires a judgment to explain the essential reasoning sufficiently for the parties and appellate court to understand the decision. A failure may justify appellate intervention, although it does not automatically require the judgment to be set aside. The generated principle’s use of “may” preserves that qualification.</t>
  </si>
  <si>
    <t>da4b6be7-2b22-4bd1-af6b-a68873f0af8d_legal_classification; 1d58611b-b062-4aa4-81ee-fd9ff8ad13e0_legal_classification</t>
  </si>
  <si>
    <t>The closest retrieved passages identify fair decision-making and procedural fairness as issues in prison and recall decisions. They do not state that reasons must be given, explain the required legal basis of a decision, or contain the English v Emery rule. The cited authority was not retrieved for this generation.</t>
  </si>
  <si>
    <t xml:space="preserve"> Faithful and, of the English occurrences in this sample, the most complete statement of the ratio. Lord Phillips MR at [16], [19]: the judgment must make apparent to the parties why one won and the other lost, adequacy depending on the nature of the case. The second limb - that failure may amount to an error of law - reflects the position that inadequacy of reasons is a self-standing ground of appeal, and the qualification "may" preserves the case-dependency the judgment insists on ([19]: no duty to address every argument). Principle correctly confined to judgments; no wrong context or duty-holder introduced.</t>
  </si>
  <si>
    <t xml:space="preserve"> search cmmrr3vbb000b04jvglqzb8az (shared with citation_index 2); 20 records; cited authority in corpus registry but not retrieved; 17/20 legal_classification, 3/20 procedural_history; ranks 1 Bristow, 2 Velyo Velev v Bulgaria (ECtHR), 3 Bright v SSJ, 5 Howard League, 14 Foster v SSJ (procedural fairness, oral hearing before recall); sim band 0.670-0.735</t>
  </si>
  <si>
    <t xml:space="preserve"> English is in the corpus registry but was not retrieved for the linked generation. Seventeen of twenty records matched on legal_classification chunks, which list primary category, legal areas, jurisdiction, court level, legal issues and keywords and state no propositions; the remaining three are procedural_history listings with no legal content. The retrieved cases are prison and detention human-rights matters (Bristow, Bright, Smith, Idira, BK, Foster, Parratt, Vowles). Rank 14 Foster names procedural fairness and entitlement to an oral hearing before recall as legal issues and rank 3 Bright names procedural obligations inherent in Article 8, so procedural-fairness material is topically present, but none addresses adequacy of reasons or the standard of judicial reasoning. Nothing in the linked retrieval supplies a premise for the application.</t>
  </si>
  <si>
    <t>[1], [10]–[17] and [19]–[30]</t>
  </si>
  <si>
    <t>Gorringe rejects a general duty on highway authorities to ensure highways are safe or to warn users of obvious dangers. The authority’s statutory duty under section 41 of the Highways Act 1980 is narrower: it concerns keeping the physical highway in repair. It does not create the broad safety duty asserted by the generated principle.</t>
  </si>
  <si>
    <t>bc30491e-9ae6-48da-90d0-71d8a8069b22_legal_classification; 52d20bb9-6964-44a6-9c32-d191ef76297c_citations_precedents; 70c75405-8cba-40e2-92ff-8302ea4f6789_legal_classification</t>
  </si>
  <si>
    <t>The linked retrieval includes Gorringe and identifies the distinction between common-law liability and statutory highway duties. King Lifting links Gorringe with the Highways Act 1980, while Griffiths addresses road defects and reasonable maintenance steps. These passages clearly support the application’s general statement that the scope and limits of highway-maintenance obligations are relevant.</t>
  </si>
  <si>
    <t>[2]-[5], [31]-[38] (Lord Hoffmann); [70]-[76] (Lord Scott) - HL judgment via publications.parliament.uk; verify pinpoints</t>
  </si>
  <si>
    <t>Gorringe reaches the opposite position on the proposition attributed. The claimant collided with a bus after cresting a hill and argued the authority should have painted a warning on the carriageway. The House of Lords held that no common law duty of care arises out of the statutory duty under s.39 Road Traffic Act 1988 to promote road safety, that a highway authority owes no duty to warn of dangers a reasonably careful driver would observe, and that the claim failed; drivers bear responsibility for their own safety. The generated principle asserts a general duty of reasonable care to ensure highways are safe for all users, which is the duty Gorringe declines to recognise. The s.41 Highways Act 1980 duty to maintain the fabric of the highway survives (cf Goodes v East Sussex), so partial was considered, but the principle is framed as a common law reasonable-care duty of the kind the House rejected, not as the statutory maintenance duty.</t>
  </si>
  <si>
    <t>search cmsbr997n001l04l4etg0c8qb; 20 records; cited authority retrieved at rank 2 (Gorringe, legal_classification, sim 0.741); 11/20 citations_precedents, 4/20 legal_classification, 2 outcome_holding, 2 case_analysis, 1 legal_reasoning; rank 1 King Lifting (chunk lists Highways Act 1980, Goodes, Russell, Gorringe), rank 9 Tindall (legal_reasoning: duty of care to road users, omissions liability), rank 11 Griffiths v Gwynedd (reasonable steps to maintain the highway)</t>
  </si>
  <si>
    <t>The retrieval genuinely supports part of the application. The cited authority was retrieved at rank 2; rank 11 Griffiths names whether the defendant took reasonable steps to maintain the highway; rank 9 Tindall is a substantive legal_reasoning chunk on duty of care to road users and public authority liability for omissions; rank 1 lists the Highways Act 1980 and Goodes. Highway-authority duty and maintenance material is therefore present, so the application's general reference to established principles is not unsupported. It is insufficient, however, because the retrieved Gorringe chunk is a legal_classification taxonomy naming "duty of care of highway authorities in negligence cases" as a legal issue without recording that the claim failed or that no such common law duty was recognised. The retrieval supplies the topic and omits the outcome, and Hercules supplied the missing step in the wrong direction.</t>
  </si>
  <si>
    <t>[5]–[27], especially [14]–[25]</t>
  </si>
  <si>
    <t>Chartbrook concerned the interpretation and correction of an express but badly drafted contractual pricing formula. It did not establish a power to imply reasonable terms or a reasonable price where pricing was unstated. The generated principle confuses contractual interpretation with implication of terms.</t>
  </si>
  <si>
    <t>2d2f67c0-33b8-47de-ade5-124c90fc1a95_case_analysis; f691a5fb-3356-4b3d-8d02-23ef0631e1f6_case_analysis; 9adfee0f-c2c7-4caa-83ed-720a548a4aab_case_analysis</t>
  </si>
  <si>
    <t>The Chartbrook passage supports interpreting ambiguous contractual language in context. Other retrieved passages—Hughes and Barton—address contracts lacking a fixed price and implied terms. This provides some support for examining whether a price can be inferred, but it does not support attributing a reasonable-price implication rule to Chartbrook or state the applicable legal test.</t>
  </si>
  <si>
    <t>[14]-[15], [21]-[25], [38]-[42] (Lord Hoffmann, corrective construction); [28]-[41] (exclusionary rule and pre-contractual negotiations); HL judgment via publications.parliament.uk - verify pinpoints</t>
  </si>
  <si>
    <t>Chartbrook concerns the construction of an existing contractual term, not the implication of terms and not pricing left unexplicit. The dispute was over the meaning of a defined "Additional Residential Payment" in a development agreement whose formula produced a commercially irrational result. The House of Lords held that where it is clear a reasonable person would understand the parties to have used the wrong words or syntax, the court may correct the mistake as a matter of construction, and separately reaffirmed the exclusionary rule barring evidence of pre-contractual negotiations. Implication of a reasonable term where price is unstated is a distinct doctrine (cf s.8 Sale of Goods Act 1979; Barton v Morris; Mamidoil v Okta at citation_index 1). The generated principle attributes to Chartbrook a proposition it does not establish; the pricing term in issue was expressly stated, and the case is about correcting its language rather than supplying a missing one.</t>
  </si>
  <si>
    <t>search cmmxi0nl9000n04l8myv0bd76 (shared with citation_index 1); 20 records, 20/20 case_analysis; cited authority retrieved at rank 3 (Chartbrook, case_analysis, sim 0.746); nearest substantive material rank 8 Barton v Morris (chunk mentions implied terms and unjust enrichment absent clear contractual terms) and rank 16 Hughes v Pendragon (chunk mentions contract formation despite lack of a fixed price, Sale of Goods Act 1979)</t>
  </si>
  <si>
    <t xml:space="preserve"> The cited authority was retrieved at rank 3, but every one of the 20 records matched on case_analysis chunks: precedent-strength and complexity scores with confidence percentages. The Chartbrook chunk states only that a House of Lords ruling carries weight, that the issues involve well-established contract principles, and that the case may affect future interpretation of pre-contractual negotiations. It contains no proposition about the case's holding and nothing about pricing or implied terms. Ranks 8 and 16 incidentally mention implied terms and contracts without a fixed price, but as evaluative commentary on other cases, not as premises. Nothing in the linked retrieval supports inferring a reasonable price from context, and the retrieved chunk for the cited authority could not have disclosed what Chartbrook actually decided.</t>
  </si>
  <si>
    <t>Gorringe does not establish a general need for highway authorities to take proactive road-safety measures. It rejects a private-law duty to warn of obvious dangers or improve road safety merely because the authority possesses statutory powers. The actionable section 41 duty is limited to keeping the physical highway in repair.</t>
  </si>
  <si>
    <t>bc30491e-9ae6-48da-90d0-71d8a8069b22_legal_classification; 52d20bb9-6964-44a6-9c32-d191ef76297c_citations_precedents; 70c75405-8cba-40e2-92ff-8302ea4f6789_legal_classification; 4685ad0e-87e7-4f59-8991-823ab27d9393_legal_reasoning</t>
  </si>
  <si>
    <t>The retrieval supports the general relevance of highway-maintenance duties, road defects and public-authority negligence. However, it contains no evidence about cycle-path maintenance or a legally enforceable “public expectation.” The Tindall passage also states that liability for public-authority omissions is constrained, undermining the asserted proactive-duty step.</t>
  </si>
  <si>
    <t>Gorringe reaches the opposite position on the proposition attributed, and more directly than at row 14. The claim was precisely that the authority should have taken a proactive road-safety measure - painting a warning on the carriageway approaching a crest. The House of Lords held that the statutory duty under s.39 Road Traffic Act 1988 to promote road safety generates no common law duty of care, that no duty arises to warn of dangers a reasonably careful driver would observe, and dismissed the claim. A "need for highway authorities to take proactive measures to ensure road safety" is the duty the House expressly declined to recognise. The s.41 Highways Act 1980 duty to maintain the fabric of the highway is unaffected (cf Goodes v East Sussex), but that is a maintenance duty, not a proactive safety duty.</t>
  </si>
  <si>
    <t>search cmsbr997n001l04l4etg0c8qb (same retrieval event as sample_order 14; also shared with citation_index 2 of this draft); 20 records; cited authority retrieved at rank 2 (Gorringe, legal_classification, sim 0.741); 11/20 citations_precedents, 4/20 legal_classification, 2 outcome_holding, 2 case_analysis, 1 legal_reasoning; rank 11 Griffiths v Gwynedd (reasonable steps to maintain the highway), rank 1 King Lifting (Highways Act 1980, Goodes), rank 9 Tindall (legal_reasoning: duty of care to road users, omissions)</t>
  </si>
  <si>
    <t>Assessed on the same basis as sample_order 14, which shares this retrieval. Highway-maintenance and duty material is genuinely present: rank 11 Griffiths addresses whether reasonable steps were taken to maintain the highway, rank 1 lists the Highways Act 1980 and Goodes, and rank 9 Tindall discusses duty of care to road users and liability for omissions. Nothing addresses cycle paths, signage-based safety measures, or any notion of public expectation as a legal standard, and the retrieved Gorringe chunk is a legal_classification taxonomy naming highway-authority duty of care as a legal issue without recording that the claim failed. Relevant but insufficient, with the "public's expectation" step unsupported.</t>
  </si>
  <si>
    <t>[25], [33]</t>
  </si>
  <si>
    <t>Yetkin establishes that a highway authority may be liable where its positive acts in creating or maintaining a crossing facility create a foreseeable hazard. The generated principle captures the highway-safety and maintenance context, but omits this important created-hazard limitation and states the rule too generally.</t>
  </si>
  <si>
    <t>5a42b4bc-fe8f-47be-9b13-869933b2ddff_citations_precedents; 4685ad0e-87e7-4f59-8991-823ab27d9393_legal_reasoning; 70c75405-8cba-40e2-92ff-8302ea4f6789_legal_classification</t>
  </si>
  <si>
    <t>The retrieval supports the general highway-safety context and the distinction between positive acts and omissions. However, it contains no substantive Yetkin passage and does not mention signage, cycle paths, or public awareness. The claimed direct application is therefore only partly grounded.</t>
  </si>
  <si>
    <t>[2010] EWCA Civ 776, [2011] QB 827 - judgment of Smith LJ on duty arising from the authority's own positive act; verify pinpoints on BAILII</t>
  </si>
  <si>
    <t>Yetkin concerned a pedestrian struck while crossing a dual carriageway where the council had planted shrubs in the central reservation and allowed them to grow so as to obscure sight lines. The Court of Appeal held the authority owed a common law duty of care because it had itself created the danger by a positive act, distinguishing Gorringe, which bars a duty derived from mere failure to exercise statutory powers; liability was established subject to a substantial reduction for contributory negligence. The generated principle captures a genuine element - failure to maintain planting endangering highway users - but omits the ratio that makes the case significant, namely the created-danger/positive-act distinction that permits liability notwithstanding Gorringe. "Maintenance standards" also risks conflation with the distinct s.41 Highways Act 1980 duty, which was not the basis of liability. Correct general idea with the operative test omitted;</t>
  </si>
  <si>
    <t>search cmsbr997n001l04l4etg0c8qb (same retrieval event as sample_order 14; shared with citation_index 1); 20 records; cited authority retrieved at rank 3 (Yetkin, citations_precedents, sim 0.729 - chunk lists Gorringe, Stovin v Wise, Larner v Solihull); rank 9 Tindall (legal_reasoning: whether removing a warning sign amounted to making matters worse, creating proximity or assumed responsibility; duty of care to road users); rank 11 Griffiths (reasonable steps to maintain the highway)</t>
  </si>
  <si>
    <t>The strongest grounding case in the sample so far. Rank 9 Tindall is the retrieval's only legal_reasoning chunk and it addresses warning signage directly - whether police attending an accident, warning motorists and then removing the warning sign made matters worse and gave rise to a duty to road users - which is doctrinally adjacent to the application's claim about signage and highway user safety. Rank 11 supplies maintenance material and the cited authority itself was retrieved at rank 3. The retrieval is insufficient rather than absent: the Yetkin chunk is a bare citations inventory listing Gorringe, Stovin v Wise and Larner, giving no indication that Yetkin found a duty owed, and nothing addresses cycle paths or public awareness.</t>
  </si>
  <si>
    <t>[4]–[5], [38]–[51]</t>
  </si>
  <si>
    <t>Burkett specifically determines when the judicial-review time limit begins for a challenge to planning permission: time runs from the actual grant, not an earlier conditional resolution. It supports fair and certain access to judicial review, but does not establish a general rule about procedural impropriety in planning decision-making.</t>
  </si>
  <si>
    <t>379d4f20-62f5-403b-a082-fa36b82fe1c1_metadata_summary states that Burkett concerns judicial-review timing in planning law and protection of citizens’ rights. 3ff34419-ffbc-40f9-a087-a1cb1371d0e1_legal_classification expressly concerns procedural fairness and a reasonable opportunity to participate in planning proceedings.</t>
  </si>
  <si>
    <t>The linked retrieval clearly supports the general proposition that planning procedures must respect procedural fairness. The application is broad, but it does not add a specific unsupported factual conclusion.</t>
  </si>
  <si>
    <t>[6]-[9], [39]-[46] (Lord Steyn) - HL judgment via publications.parliament.uk; verify pinpoints</t>
  </si>
  <si>
    <t>Burkett decides when time begins to run for judicial review of a planning permission: the period runs from the date of the actual grant, not from the earlier resolution to grant subject to conditions. It is a procedural decision in a planning judicial review, so identifying the case as concerning procedure in planning decisions is broadly right, but "procedural impropriety" names a distinct ground of review concerning breach of procedural rules or natural justice, which Burkett does not address. The topic is in the right territory and the specific doctrine named is wrong. Distinguished from sample_order 7 citation_index 1, where the same authority was made to assert a substantive duty on public authorities and was labelled no; here the claim is only that the case "addresses issues of", which the procedural subject-matter partly supports. no is defensible if the misnamed doctrine is treated as decisive.</t>
  </si>
  <si>
    <t xml:space="preserve"> search cmmxtwenv000304jr7vxcmpae (same retrieval event as sample_order 7; shared with citation_index 2); 20 records; cited authority retrieved at rank 1 (Burkett, metadata_summary, sim 0.761); 15/20 procedural_history, 4/20 legal_classification; rank 17 Vicente (legal_classification: procedural unfairness, opportunity to participate)</t>
  </si>
  <si>
    <t xml:space="preserve"> The cited authority was retrieved at rank 1, but the matched chunk is a metadata_summary whose only proposition is that the judicial review time limit runs from the grant of permission rather than the resolution. That does not support a requirement of adherence to procedural fairness. Of the remaining records, 15 are procedural_history listings with no legal content and 4 are planning-law classification taxonomies; rank 17 Vicente names procedural unfairness and opportunity to participate among its legal issues but states no test, consistent with the treatment of taxonomy chunks at sample_order 5 and 9. No premise in the linked retrieval supports the application.</t>
  </si>
  <si>
    <t>[2000] 1 WLR 377, 381G–382C; general comments (1)–(4)</t>
  </si>
  <si>
    <t>Flannery confirms that judges generally have a duty to give adequate reasons. Reasons must enable the parties, particularly the losing party, to understand why the decision was reached and whether an appeal may be available. The generated principle and application materially reflect that rule.</t>
  </si>
  <si>
    <t>The linked search retrieved 20 prison, administrative-law and human-rights cases. The closest passages mention procedural fairness generally, but none contains Flannery or a proposition requiring judges to explain why particular conclusions were reached.</t>
  </si>
  <si>
    <t>The cited authority was not retrieved and the specific duty-to-give-reasons proposition is absent from the linked evidence. General references to procedural fairness are insufficient to support the generated application.</t>
  </si>
  <si>
    <t xml:space="preserve"> The most accurate Flannery formulation in the sample. It correctly locates the duty in judicial decisions rather than extending it to administrative or contractual settings, which distinguishes it from the occurrences at sample_order 5, 6, 7 and 8. Henry LJ's four general comments at 381G-382C support both limbs: the duty is a function of due process, and want of reasons may be a good self-standing ground of appeal because absent reasons the losing party cannot tell whether the court misdirected itself. "May indicate a wrongful analysis" is a loose paraphrase of that appellate consequence, and the hedge "may" preserves the case-dependency of comment 3 and the exceptions Henry LJ notes for magistrates and summary costs discretion. No wrong context or duty-holder introduced.</t>
  </si>
  <si>
    <t xml:space="preserve"> search cmmrr3vbb000b04jvglqzb8az (shared with citation_index 1); 20 records; cited authority absent and not in corpus registry; 17/20 legal_classification, 3/20 procedural_history; ranks 1 Bristow, 3 Bright v SSJ (procedural obligations inherent in Article 8), 14 Foster v SSJ (procedural fairness, oral hearing before recall); sim band 0.670-0.735</t>
  </si>
  <si>
    <t>Flannery absent from retrieval and not in corpus registry. Seventeen of twenty records matched on legal_classification chunks listing primary category, legal areas, jurisdiction, court level, legal issues and keywords, which state no propositions; the remaining three are procedural_history listings with no legal content. The retrieved cases are prison and detention human-rights matters. Rank 14 Foster names procedural fairness and entitlement to an oral hearing before recall, and rank 3 Bright names procedural obligations inherent in Article 8, so procedural-fairness material is topically present, but nothing addresses a duty to give reasons or the articulation of grounds for a decision. Treated consistently with the taxonomy chunks at sample_order 5, 9 and 47. No premise supports the application.</t>
  </si>
  <si>
    <t>[5], [33]–[35]</t>
  </si>
  <si>
    <t>Phones 4U concerns passing off arising from a confusingly similar domain name. It addresses evidence of goodwill, deceptive misrepresentation and whether the domain name constituted an instrument of fraud. It does not establish general conditions under which a trade-mark or domain-name registration must be refused.</t>
  </si>
  <si>
    <t>b9f08a72-1e62-405b-9fe9-eaba231f1c88_case_analysis discusses bad-faith claims concerning trade-mark registrations. ea009eb1-d609-4034-8ed9-7ba71d1129a2_case_analysis discusses established goodwill and trade-mark validity. Phones 4U itself was not retrieved.</t>
  </si>
  <si>
    <t>The retrieval supports the general topics of bad faith and goodwill, but it does not retrieve the cited authority or support the claim that Phones 4U established conditions for refusing registration.</t>
  </si>
  <si>
    <t>[2006] EWCA Civ 244 - Jacob LJ on goodwill and passing off; verify pinpoints on BAILII</t>
  </si>
  <si>
    <t xml:space="preserve"> Phones 4U Ltd v Phone4u.co.uk Internet Ltd was a passing-off and trade mark action in which the Court of Appeal allowed the claimant's appeal, finding the defendant's adoption of a confusingly similar domain name amounted to passing off and rejecting the trial judge's approach to evidence of confusion and honest concurrent use. It is principally a passing-off and infringement decision, not a decision on the grounds for refusing registration. Refusal or invalidity of registration under ss.3 and 5 Trade Marks Act 1994 is a distinct question. The generated principle is therefore in the right field but names the wrong operative issue; the case does engage goodwill and the defendant's state of mind, which the application field picks up, so some support exists. no is defensible if naming the wrong statutory question is treated as decisive. Note external_citation_correct = incomplete: the citation carries no year or report reference.</t>
  </si>
  <si>
    <t>search cmst4iu9u000b04jsb3vxyexj (shared with citation_index 2); 20 records; cited authority absent and not in corpus registry; 14/20 case_analysis, 3/20 legal_classification, 2 citations_precedents, 1 outcome_holding; rank 2 Lidl v Tesco (bad-faith pleadings in trade mark registrations, CPR 3.4(2)(a) strike-out test, Hasbro/Sky/Specsavers), rank 4 Caspian Pizza (goodwill under competing local usages, trade mark validity), rank 16 London Taxi Corp (outcome_holding: marks invalid for lack of distinctive character, passing off dismissed)</t>
  </si>
  <si>
    <t>The retrieval is doctrinally on point for the application, which is the first time in this sample that has occurred without the cited authority being present. Rank 2 Lidl v Tesco addresses bad-faith claims in trade mark registrations and the test for striking them out; rank 4 Caspian Pizza addresses goodwill and trade mark validity where local usages compete; rank 16 is an outcome_holding recording marks declared invalid for lack of distinctive character with the passing-off claim dismissed. The application's two elements, bad faith and established goodwill, are each addressed by retrieved material. It remains insufficient because 14 of 20 records are case_analysis precedent-strength commentary rather than statements of the tests, the cited authority is absent, and nothing supplies the conditions for refusing registration that the principle asserts.</t>
  </si>
  <si>
    <t>Flannery establishes a judicial duty to give adequate reasons for decisions. It does not impose duties on parties to explain actions in trade-mark disputes and does not concern a respondent’s awareness, bad faith or malice.</t>
  </si>
  <si>
    <t>Flannery was not retrieved. b9f08a72-1e62-405b-9fe9-eaba231f1c88_case_analysis discusses bad-faith pleadings in trade-mark registration, but it does not concern judicial reasons or establish that Flannery is relevant to awareness or malice.</t>
  </si>
  <si>
    <t>Although the retrieval contains general trade-mark and bad-faith material, it provides no support for connecting Flannery’s judicial-reasons principle with the Respondent’s awareness or possible malice.</t>
  </si>
  <si>
    <t xml:space="preserve"> Ratio is the professional judge's general duty to give reasons for a judgment, arising in a valuer's negligence claim; Henry LJ notes exceptions for magistrates and summary costs discretion, and that the extent of the duty depends on subject-matter (comment 3). The generated principle confines the duty to trade mark disputes, a subject the judgment does not address, and frames it as duties owed to provide reasons "for actions taken", which shifts the obligation from the court's judgment to a party's conduct. The kernel of a reasons duty is present and comment 3 makes the duty's reach subject-matter dependent, so some support exists, but the relocation is material. Treated consistently with sample_order 5 index 2 ("administrative settings") and distinguished from sample_order 8 index 2, where the doctrine attributed was unrelated and labelled no. Column J records this Court of Appeal decision as persuasive; recorded, not amended.</t>
  </si>
  <si>
    <t xml:space="preserve"> search cmst4iu9u000b04jsb3vxyexj (shared with citation_index 1); 20 records; cited authority absent and not in corpus registry; 14/20 case_analysis, 3/20 legal_classification, 2 citations_precedents, 1 outcome_holding; nearest procedural material rank 14 Zuma's Choice (case_analysis: judicial bias in trade mark proceedings, quality of reasoning); rank 2 Lidl v Tesco (bad faith in trade mark registrations)</t>
  </si>
  <si>
    <t>Flannery absent from retrieval and not in corpus registry. The retrieval is trade mark and passing-off material and contains nothing on a duty to give reasons. Rank 14 Zuma's Choice is the closest, mentioning judicial bias in trade mark proceedings and the thoroughness of reasoning, but as precedent-strength commentary on another case rather than as a proposition, and bias is a distinct ground from inadequacy of reasons. Rank 2 addresses bad faith in registration, which touches the application's reference to awareness and malice, but bad faith in trade mark law is a statutory concept unconnected to the reasons duty the principle asserts. Nothing supplies a premise for the application.</t>
  </si>
  <si>
    <t>[1998] Ch 241, 253H–254B</t>
  </si>
  <si>
    <t>Armitage recognises trustee obligations to beneficiaries, but its central holding is that skill, care, prudence and diligence are not part of the irreducible core and may be covered by a valid exemption clause. The minimum non-excludable duty is to act honestly and in good faith for the beneficiaries. The generated principle therefore omits an essential qualification.</t>
  </si>
  <si>
    <t>af98350e-e553-4a58-8a45-9d7b2067b530_case_analysis discusses honesty and care in handling trust funds. 0f564d6f-98e5-402b-abc8-a39f1fa33427_case_analysis concerns trustee decisions, property sales, honesty and disclosure. cfb9db03-44c0-4604-926a-a76e01575d88_case_analysis concerns investment management and fiduciary duties. Armitage itself was not retrieved.</t>
  </si>
  <si>
    <t>The retrieval supports the general context of trustee duties and investment or estate-management decisions. However, it does not clearly address self-dealing or supply Armitage’s exemption-clause qualification, so the complete application is not grounded.</t>
  </si>
  <si>
    <t>Principal issue was the validity of a trustee exemption clause (cl 15): liability for breach of trust including gross negligence may be excluded, but not for fraud or dishonesty, and an irreducible core of honesty and good faith survives (Millett LJ, ~251-256). The generated principle asserts a duty to administer with reasonable skill and care, omitting that context and sitting awkwardly with the ratio, since Armitage confirms that liability for want of skill and care can be excluded by clause. This is close to the worked example at codebook §4.1 (Armitage cited for a general duty of prudence while omitting the exemption-clause issue), which is labelled partial. Treated consistently with sample_order 3 index 1. no is defensible on the basis that the case points the other way on the duty asserted.</t>
  </si>
  <si>
    <t>search cmm0cqleo000z04i321gtuvf1 (shared with two further drafts in the sample; also shared with citation_index 2); 10 records; cited authority absent and not in corpus registry; 5/10 case_analysis, 4/10 procedural_history, 1 legal_reasoning (rank 2 Burnden Holdings, s.21 Limitation Act 1980); nearest fiduciary material ranks 6 Cotton v Brudenell-Bruce (fiduciary duty, estate management, trustee conduct in property sales), 9 Floreat (fiduciary duties, dishonest assistance, constructive trusts), 7 Gangat (fiduciary-like duties, accounting remedies)</t>
  </si>
  <si>
    <t>Armitage absent from retrieval and not in corpus registry. Four of ten records matched on procedural_history chunks listing court, judges, case numbers and hearing durations with no legal content, two of them wholly unrelated (Braintree, planning; Hassam v Rabot, whiplash tariff). Five are case_analysis precedent-strength commentaries and the single legal_reasoning chunk concerns limitation under s.21 Limitation Act 1980. Fiduciary-duty material is topically present at ranks 6, 7 and 9, but nothing addresses the self-dealing rule or trustee investment decisions, which are the two doctrines the application invokes. Unlike sample_order 3 index 1, no exoneration-clause or self-dealing chunk was returned at all, so no partial-support argument arises.</t>
  </si>
  <si>
    <t>Flannery establishes that judges generally must provide adequate reasons so parties understand why they won or lost and can assess an appeal. The generated principle captures the need for reasons but omits the essential judicial-decision context.</t>
  </si>
  <si>
    <t>The retrieval includes trust-law material concerning fiduciary duties, trust-property accounting, honesty and care. It does not retrieve Flannery or contain a judicial-reasons principle requiring a trustee or respondent to justify trust-administration actions.</t>
  </si>
  <si>
    <t>Flannery’s duty applies to judges and tribunals, not to a litigant or trustee explaining their conduct. Trust-law accountability in the retrieved cases does not support the generated application.</t>
  </si>
  <si>
    <t>Ratio is the professional judge's general duty to give reasons for a judgment, arising in a valuer's negligence claim; comment 1 states that fairness requires the parties, especially the loser, to be left in no doubt why they won or lost, which the generated principle captures in substance. The principle omits the duty-holder, however: the obligation is the court's in delivering judgment, not a general requirement attaching to any decision affecting parties, and Henry LJ notes exceptions (magistrates, summary costs discretion) and that extent depends on subject-matter (comment 3). Materially identical in form to sample_order 7 index 2 ("Parties must be given reasons for decisions affecting their rights") and labelled consistently with it. Distinguished from sample_order 11 index 2, where the principle expressly confined the duty to judicial decisions and was labelled</t>
  </si>
  <si>
    <t xml:space="preserve"> search cmm0cqleo000z04i321gtuvf1 (shared with citation_index 1 and two further drafts in the sample); 10 records; cited authority absent and not in corpus registry; 5/10 case_analysis, 4/10 procedural_history, 1 legal_reasoning (rank 2 Burnden Holdings, s.21 Limitation Act 1980); trust-administration material at ranks 5 Santander (s.61 Trustee Act, solicitors' conduct over trust funds), 6 Cotton (trustee conduct in property sales, approval process for significant trust decisions), 7 Gangat (accounting remedies where control over assets is conferred)</t>
  </si>
  <si>
    <t>Flannery absent from retrieval and not in corpus registry. The retrieval is trust and fiduciary material and contains nothing on a duty to give reasons. Ranks 5, 6 and 7 concern trustee conduct, the approval process for significant trust decisions and equitable accounting, which are topically adjacent to the application's reference to justifying actions in trust administration, but a trustee's duty to account is a distinct doctrine from a reasons-giving obligation and none of these chunks states any test. Four of ten records are procedural_history listings with no legal content, two of them unrelated (Braintree, planning; Hassam v Rabot, whiplash tariff). Nothing supplies a premise for the application.</t>
  </si>
  <si>
    <t>[2000] 1 WLR 377, 381G–382C</t>
  </si>
  <si>
    <t>Flannery establishes that courts must provide adequate reasons so the parties can understand why the decision was reached and whether there may be grounds for appeal. The generated principle accurately captures this rule.</t>
  </si>
  <si>
    <t>The retrieved passages concern highway negligence, maintenance obligations and whether a duty of care arose. They do not state the judicial duty to give adequate reasons, and Flannery was not retrieved.</t>
  </si>
  <si>
    <t>The duty-of-care dispute provides relevant factual context, but the application’s reasons-based proposition depends on Flannery, which is absent from the retrieved material.</t>
  </si>
  <si>
    <t xml:space="preserve"> Faithful and correctly located. The duty is placed on courts, which is where Henry LJ puts it (the professional judge owes a general duty to give reasons, citing ex p International Sporting Club), and the four general comments at 381G-382C support the substance: the duty is a function of due process, the losing party should be left in no doubt why they lost, and want of reasons may be a self-standing ground of appeal. "Adequate" is a reasonable gloss given comment 3, which makes the reach of the duty subject-matter dependent, and comment 4's requirement that the judge explain why the decision was reached. No wrong context or duty-holder introduced. Consistent with sample_order 11 index 2 and distinguished from sample_order 7 index 2 and 13 index 2, where the duty-holder was dropped.</t>
  </si>
  <si>
    <t>search cmsbr997n001l04l4etg0c8qb (same retrieval event as sample_order 38; shared with citation_index 1); 20 records; cited authority absent and not in corpus registry; 11/20 citations_precedents, 4/20 legal_classification, 2 outcome_holding, 2 case_analysis, 1 legal_reasoning (rank 9 Tindall, duty of care to road users and omissions liability)</t>
  </si>
  <si>
    <t>Flannery absent from retrieval and not in corpus registry. The retrieval is highway and occupiers' liability material returned for the Karpasitis cycle-path claim: eleven citations_precedents inventories listing statutes and referenced cases (Highways Act 1980, Goodes, Gorringe, Tomlinson), four negligence classification taxonomies, two outcome_holding chunks on damages recalculation and a right-of-way retrial, two case_analysis commentaries, and one legal_reasoning chunk on omissions liability. Nothing addresses adequacy of judicial reasons, and the application's reference to reasoning where duty of care is contested finds no premise: the retrieval supplies duty-of-care material but nothing about how a judgment must be reasoned. The two questions coincide only in the phrase "duty of care".</t>
  </si>
  <si>
    <t>Lord Bridge on the threefold requirement (foreseeability, proximity, fair just and reasonable); Lord Oliver on the purpose for which the statement was made; [1990] 2 AC 605 - verify pinpoints on BAILII UKHL/1990/2</t>
  </si>
  <si>
    <t xml:space="preserve"> Faithful. Caparo concerned auditors' liability to a takeover bidder who relied on statutory audited accounts, and is the leading authority for the threefold requirement of foreseeability, proximity and whether it is fair, just and reasonable to impose a duty. Attributing that test to the case is accurate, and the negligent-misstatement framing reflects the context in which the House stated it. Two points considered and not treated as defects: the threefold requirement is generally stated as a test for duty of care in novel situations rather than one confined to misstatement, and the House in fact held no duty was owed to the bidder, but the principle claims only that the case establishes the test, which it does.</t>
  </si>
  <si>
    <t>search cmmmucao8000b04l4jyq8av83 (shared with citation_index 2); 20 records; cited authority absent as a corpus record but named in rank 6 chunk text; 16/20 procedural_history, 3/20 legal_classification, 1 citations_precedents; rank 6 Taberna Europe CDO II v Selskabet (citations inventory: misrepresentation, duty of care and disclaimers; lists Caparo v Dickman [1990] 2 AC 605, discussed as a proximate reliance framework, with Peek v Gurney, HIH Casualty, IFE Fund v Goldman Sachs); ranks 1 Dowling v Griffin, 2 Wellesley Partners v Withers (concurrent liability in tort and contract for professional negligence), 5 Chinnock v Wasbrough (duty of care by solicitors and barristers)</t>
  </si>
  <si>
    <t xml:space="preserve"> The retrieval supports part of the application. Rank 6 is a citations inventory for a decision on misrepresentation, duty of care and disclaimers, and it names the cited authority expressly, describing Caparo as a proximate reliance framework; ranks 1, 2 and 5 are professional-negligence classifications naming duty of care and concurrent liability among their legal issues. Reliance on an inaccurate report is therefore doctrinally addressed rather than absent. It is insufficient because rank 6 states no test, only a list of referenced authorities, the classification chunks are keyword taxonomies, and sixteen of twenty records are procedural_history listings of courts, judges, case numbers and hearing durations with no legal content at all, several from wholly unrelated matters (Cox, Prior, Zanatta, Dooley). §5 partial, on the same basis as sample_order 4 index 2.</t>
  </si>
  <si>
    <t>Lord Bridge, [1990] 2 AC 605, 617–618 and 621–624</t>
  </si>
  <si>
    <t>Caparo identifies foreseeability, proximity, and whether imposing the duty would be fair, just and reasonable. The case itself concerned auditors’ responsibility for allegedly inaccurate financial information, so the generated principle is materially accurate.</t>
  </si>
  <si>
    <t>Retrieved chunk 49bf433c..._citations_precedents identifies Caparo as a “proximate reliance framework” in the context of misrepresentation, duty of care and disclaimers. Other retrieved cases concern professional negligence.</t>
  </si>
  <si>
    <t>The retrieval supports examining proximity and reliance concerning professional information. However, it does not set out the complete three-part test or establish that the diligence report was prepared for the Appellant’s particular purpose and reliance.</t>
  </si>
  <si>
    <t>Lord Phillips, paragraphs 1–5, 18–19</t>
  </si>
  <si>
    <t>The judgment recognises auditors’ duty to exercise reasonable skill and care and notes responsibilities where fraud is suspected. However, it does not impose a general responsibility to “provide accurate information”; its principal issue was whether illegality barred the company’s negligence claim.</t>
  </si>
  <si>
    <t>Chunks 3f8f64bf..._legal_classification and 5bbb3770..._legal_classification concern general professional negligence. The Taberna chunk concerns misrepresentation, reliance and disclaimers. None states an auditor’s fraud-detection responsibilities or retrieves Moore Stephens.</t>
  </si>
  <si>
    <t>The retrieval does not support the specific expectations asserted about financial diligence and fraud detection. General professional-negligence material is insufficient for this application.</t>
  </si>
  <si>
    <t>[2009] UKHL 39, [2009] 1 AC 1391 - Lord Phillips on attribution and the sole actor; Lord Walker and Lord Brown concurring; Lord Scott and Lord Mance dissenting; HL judgment via publications.parliament.uk - verify pinpoints</t>
  </si>
  <si>
    <t xml:space="preserve"> Stone &amp; Rolls does not set standards for auditor responsibility. The company was the vehicle of its sole director and beneficial owner, who used it to defraud a bank; the company in liquidation sued its auditors for failing to detect the fraud. The House proceeded on the assumed basis that the auditors had been negligent and decided the appeal on the illegality defence: by a majority of three to two, the fraudster's dishonesty was attributed to the one-man company, so ex turpi causa non oritur actio barred the claim and the auditors escaped liability. The ratio is attribution and illegality, not the standard of an audit, and the case cannot have established standards it expressly assumed. Different doctrine, opposite outcome, and proposition not established; §4 no. Considered and rejected: partial under §4.2, on the basis that Lord Phillips discussed the purpose of an audit and whether detecting fraud was the very thing the auditors were retained to do. That discussion is materially relevant but was not the basis of decision, and treating it as the case's standard-setting would overstate it well beyond the §4.2 threshold.</t>
  </si>
  <si>
    <t>search cmmmucao8000b04l4jyq8av83 (shared with citation_index 1); 20 records; cited authority absent and not in corpus registry, and not named in any retrieved chunk; 16/20 procedural_history, 3/20 legal_classification (Dowling, Wellesley Partners, Chinnock - professional negligence duty of care), 1 citations_precedents (rank 6 Taberna: misrepresentation, duty of care, disclaimers)</t>
  </si>
  <si>
    <t>Stone &amp; Rolls is absent from the retrieval, absent from the corpus registry, and unlike the cited authority at citation_index 1 is not named in any retrieved chunk. Nothing in the retrieval concerns auditors, audit standards, fraud detection, attribution or the illegality defence. The three legal_classification chunks name professional negligence and duty of care among their legal issues, so the general field is present, but they are keyword taxonomies stating no test - treated consistently with sample_order 5 index 1, 9 index 2 and 47 index 1, where naming a doctrine without stating it was held insufficient. Sixteen of twenty records are procedural_history listings with no legal content. No premise supports the application's claim about financial diligence and fraud-detection expectations.</t>
  </si>
  <si>
    <t>English v Emery, paragraphs 15–18 and 26</t>
  </si>
  <si>
    <t>The Court of Appeal confirms that judicial reasons must adequately explain the basis of the decision. Their required detail depends on the issues and evidence involved.</t>
  </si>
  <si>
    <t>Chunk 263eee40..._legal_classification (Youssefi v Mussellwhite) expressly concerns whether lease breaches were sufficiently substantial to justify termination. Chunk 18a014eb..._case_analysis (Freifeld) also concerns breaches and relief from forfeiture.</t>
  </si>
  <si>
    <t>The retrieval supports the importance of assessing the substantiality of breaches in a forfeiture dispute. However, English v Emery was not retrieved, and no retrieved passage states that the judgment’s reasons must address that assessment.</t>
  </si>
  <si>
    <t>Faithful statement of the ratio (Lord Phillips MR at [16], [19]): the judgment must make apparent to the parties why one won and the other lost, adequacy depending on the nature of the case. Framing the duty as establishing the court's rationale tracks the transparency purpose the judgment identifies, and the principle correctly attaches the duty to the court. Adequacy is case-dependent and there is no duty to address every argument ([19]), but those limits qualify the extent of the duty rather than the proposition asserted. No wrong context or duty-holder introduced. Consistent with sample_order 8, 10 and 11 index 1.</t>
  </si>
  <si>
    <t>search cmmlryf16000304l5d3mrnfu5; 20 records; cited authority in corpus registry but not retrieved; 19/20 case_analysis, 1/20 legal_classification (rank 7 Youssefi v Mussellwhite: substantial nature of alleged breaches under the Landlord and Tenant Act 1954); forfeiture material at ranks 1 Freifeld (relief from forfeiture), 10 SWA Developments (exercise of discretion in forfeiture relief, Shiloh Spinners, Magnic), 12 Magnic v Ul-Hassan (relief from forfeiture)</t>
  </si>
  <si>
    <t>English is in the corpus registry but was not retrieved for the linked generation. Nineteen of twenty records matched on case_analysis chunks, which are precedent-strength and complexity scores with confidence percentages, and the twentieth is a classification taxonomy. The retrieval is landlord-and-tenant material and is genuinely on point for the forfeiture half of the application: ranks 1, 10 and 12 concern relief from forfeiture and rank 7 names the assessment of the substantial nature of alleged breaches under the 1954 Act. But the proposition being applied is a reasoning-adequacy standard, and nothing in the retrieval addresses how a judgment must be reasoned; rank 5 Bishop v Chhokar mentions procedural fairness only as a factor in a precedent score. Assessed on the doctrine-level basis applied throughout: subject-matter adjacency to the draft's dispute is not support for the cited authority's proposition.</t>
  </si>
  <si>
    <t>The concise principle accurately identifies the judgment’s subject: the adequacy of reasons in judicial decisions. The required extent of reasons is context-dependent.</t>
  </si>
  <si>
    <t>18a014eb..._case_analysis describes Freifeld as involving forfeiture, numerous breaches and factually complex statutory issues. 263eee40..._legal_classification concerns the substantial nature of lease breaches.</t>
  </si>
  <si>
    <t>The retrieval establishes a complex forfeiture context that may require explanation, but it contains no legal duty to provide “detailed” reasons. English v Emery was not retrieved, and it requires adequate—not invariably detailed—reasons.</t>
  </si>
  <si>
    <t xml:space="preserve"> Bare topic label correctly identifying the subject-matter of the authority: adequacy of reasons in judgments is what English decides (Lord Phillips MR at [16], [19]). Asserts no rule and so nothing capable of being inaccurate. Labelled yes on the convention applied at sample_order 6 (both units) and 9 index 1. Note separately that the application's requirement of "detailed reasoning" sits uneasily with [19], where the court holds reasons need not be extensive and there is no duty to address every argument; because the principle here is a bare topic, that overstatement falls outside the holding assessment.</t>
  </si>
  <si>
    <t>search cmmdjmbqo000b04js13axm03c (shared with citation_index 2); 20 records; cited authority in corpus registry but not retrieved; 19/20 case_analysis, 1/20 legal_classification (rank 7 Youssefi: substantial nature of alleged breaches under the Landlord and Tenant Act 1954); forfeiture material at ranks 1 Freifeld, 10 SWA Developments, 12 Magnic v Ul-Hassan. Near-identical to the retrieval at sample_order 16 despite being a separate search event: same 19 cases at the same ranks and similarity scores, differing only in the tail (Lankester dropped, South Essex added).</t>
  </si>
  <si>
    <t>English is in the corpus registry but was not retrieved. Nineteen of twenty records matched on case_analysis precedent-strength chunks; the twentieth is a classification taxonomy. The retrieval is landlord-and-tenant material addressing relief from forfeiture (ranks 1, 10, 12) and the substantiality of lease breaches (rank 7), so it is on point for the draft's dispute but not for the proposition being applied. Nothing addresses how a judgment must be reasoned. Assessed on the doctrine-level basis applied throughout; consistent with sample_order 16, which shares this input.</t>
  </si>
  <si>
    <t>Flannery establishes a general judicial duty to provide adequate reasons so the parties understand why they won or lost and whether an appeal may be available.</t>
  </si>
  <si>
    <t>The retrieval concerns property and forfeiture disputes. 263eee40..._legal_classification addresses substantial lease breaches, while f12362ca..._case_analysis refers to a clear rationale concerning what constitutes a breach.</t>
  </si>
  <si>
    <t>The retrieval supports the property-rights context and the importance of explaining breaches, but it does not establish a legal requirement for “explicit” reasoning. Flannery was not retrieved, and reasons may sometimes be apparent from the decision rather than expressly detailed.</t>
  </si>
  <si>
    <t xml:space="preserve"> Bare topic label correctly identifying the subject-matter: the duty to give reasons is what Flannery decides (Henry LJ, four general comments at 381G-382C; the duty is a function of due process, want of reasons may be a self-standing ground of appeal, and its extent depends on subject-matter). Asserts no rule and so nothing capable of being inaccurate. Labelled yes on the convention applied at sample_order 6 index 2 and 9 index 2. The application keeps the duty with the court, which is where the judgment places it, so no relocation arises here unlike sample_order 5, 12 and 13.</t>
  </si>
  <si>
    <t>search cmmdjmbqo000b04js13axm03c (shared with citation_index 1); 20 records; cited authority absent and not in corpus registry; 19/20 case_analysis precedent-strength chunks, 1/20 legal_classification (rank 7 Youssefi, Landlord and Tenant Act 1954); nearest procedural reference rank 5 Bishop v Chhokar (procedural fairness named as a factor within a precedent score)</t>
  </si>
  <si>
    <t>Flannery absent from retrieval and not in corpus registry. The retrieval is landlord-and-tenant material concerning relief from forfeiture, lease interpretation and surety obligations, returned for the draft's property dispute. Property-rights material is therefore present, which is topically adjacent to the application, but nothing addresses a duty to give reasons or how a court must explain its decisions; rank 5 mentions procedural fairness only as a factor contributing to a precedent-strength score. Assessed on the doctrine-level basis applied throughout: adjacency to the draft's subject matter is not support for the cited authority's proposition.</t>
  </si>
  <si>
    <t>The principle accurately identifies the judgment’s treatment of the adequacy of judicial reasons. Reasons must enable the parties to understand the basis of the decision.</t>
  </si>
  <si>
    <t>43ef5de1..._legal_classification concerns whether vessels qualified for capital allowances. df2f12d2..._case_analysis addresses deemed ownership, plant classification and capital allowances for satellites. 969f076d..._case_analysis concerns detailed purposive interpretation of tax legislation.</t>
  </si>
  <si>
    <t>The retrieval clearly supports the taxation, statutory-interpretation and asset-classification context. However, English v Emery was not retrieved, and no retrieved passage supplies the separate judicial-duty premise requiring adequate reasons.</t>
  </si>
  <si>
    <t xml:space="preserve"> Bare topic label correctly identifying the subject-matter of the authority: adequacy of reasons in judgments is what English decides (Lord Phillips MR at [16], [19]). Asserts no rule and so nothing capable of being inaccurate. Labelled yes on the convention applied at sample_order 6 (both units), 9 index 1 and 17 (both units). Note separately that the application shifts the subject from adequacy of judicial reasons to clarity in statutory interpretation of tax provisions, which the authority does not address; because the principle is a bare topic that shift falls outside the holding assessment and is dealt with under grounding.</t>
  </si>
  <si>
    <t>search cmmc2vi4u000b04l2jn766kai (shared with citation_index 2); 10 records; cited authority in corpus registry but not retrieved; 4/10 case_analysis, 2/10 legal_classification, 2/10 citations_precedents, 1 metadata_summary, 1 outcome_holding; sim band 0.619-0.694, the lowest of any search labelled so far; ranks 1 Lloyds TSB Equipment Leasing (qualifying purpose under the Capital Allowances Act), 2 Chappell (Ramsay-style statutory construction), 3 Inmarsat Global (interpretation of deeming provisions, s61(4) and s78), 9 Cobalt Data Centre (outcome_holding on contract variations and EZA availability)</t>
  </si>
  <si>
    <t>English is in the corpus registry but was not retrieved. The retrieval is tax material returned for the draft's asset-classification dispute: capital allowances, deeming provisions, Ramsay-style construction and double taxation relief. Statutory-interpretation material is therefore present and topically adjacent to the application, and rank 9 is a genuine outcome_holding, but nothing addresses adequacy of reasons or the standard of judicial reasoning, which is the proposition the cited authority is being used for. Ranks 2, 3 and 4 concern how a court construes tax provisions, not how it must explain its decision. Assessed on the doctrine-level basis applied throughout.</t>
  </si>
  <si>
    <t>Flannery establishes the general judicial duty to give adequate reasons, allowing the parties to understand the decision and assess whether an appeal is available.</t>
  </si>
  <si>
    <t>43ef5de1..._legal_classification addresses the tax classification of vessels and capital allowances. df2f12d2..._case_analysis concerns ownership and plant classification for satellites. Other retrieved passages address detailed statutory interpretation in taxation.</t>
  </si>
  <si>
    <t>The retrieval supports the asset-classification and tax context. It does not establish a requirement of “rigorous” justification, explain why the issue is critical for future determinations, or retrieve Flannery’s reasons principle.</t>
  </si>
  <si>
    <t>Bare topic label correctly identifying the subject-matter: the duty to give reasons is what Flannery decides (Henry LJ, four general comments at 381G-382C). Asserts no rule and so nothing capable of being inaccurate. Labelled yes on the convention applied at sample_order 6 index 2, 9 index 2 and 17 index 2. Note separately that the application relocates the obligation from the court's judgment to the presentation of a party's asset classification and its tax implications, which the judgment does not support; because the principle is a bare topic that relocation falls outside the holding assessment and is dealt with under grounding.</t>
  </si>
  <si>
    <t>search cmmc2vi4u000b04l2jn766kai (shared with citation_index 1); 10 records; cited authority absent and not in corpus registry; 4/10 case_analysis, 2/10 legal_classification, 2/10 citations_precedents, 1 metadata_summary, 1 outcome_holding; sim band 0.619-0.694; ranks 1 Lloyds TSB Equipment Leasing (capital allowances, qualifying purpose), 5 Altrad (procedural pleading and timing of grounds of appeal), 9 Cobalt Data Centre (outcome_holding on contract variations and EZA availability)</t>
  </si>
  <si>
    <t>Flannery absent from retrieval and not in corpus registry. The retrieval is tax material on capital allowances, deeming provisions and statutory construction, returned for the draft's asset-classification dispute. Nothing addresses a duty to give reasons or any standard of justification. Rank 5 Altrad is the nearest procedural reference, concerning the proper timing of grounds of appeal, which is a distinct question from reasons adequacy. The application's demand that a party present its classification with rigorous clarity and justification finds no premise in the retrieval, and in any event transfers to a party an obligation the authority places on the court. Assessed on the doctrine-level basis applied throughout.</t>
  </si>
  <si>
    <t>The authority confirms that judgments must provide sufficient reasons for the parties to understand the decision. The necessary detail depends on the issues and evidence.</t>
  </si>
  <si>
    <t>dfa97e6e..._case_analysis concerns prisoners’ educational rights in Velyo Velev and describes the ECtHR’s reasoning as thorough. b15fdd53..._case_analysis and 522b4f69..._case_analysis also concern education rights under the Convention.</t>
  </si>
  <si>
    <t>The retrieval strongly supports the education-rights context and the importance of careful legal analysis. However, English v Emery was not retrieved, and no retrieved passage establishes that judgments affecting education rights are subject to a specially heightened reasons duty.</t>
  </si>
  <si>
    <t xml:space="preserve"> Bare topic label correctly identifying the subject-matter of the authority: adequacy of reasons in judgments is what English decides (Lord Phillips MR at [16], [19]). Asserts no rule and so nothing capable of being inaccurate. Labelled yes on the convention applied at sample_order 6 (both units), 9 index 1, 17 (both units) and 18 index 1. The application here keeps the duty on judgments, which is where the authority places it, and adds only a context of substantive rights; that extension is assessed under grounding.</t>
  </si>
  <si>
    <t xml:space="preserve"> search cmmjtjuc3000304l46doynpvf (shared with citation_index 2); 20 records; cited authority in corpus registry but not retrieved; 20/20 case_analysis; highest similarity of any search labelled so far, rank 1 at 0.7942 (Velyo Velev v Bulgaria, prisoner education rights); ranks 2 Howard League (legal aid, ECHR fair trial), 3 Kalda v Estonia (prisoner access to information), 10 Use of Languages in Education in Belgium (1968), 15 Catan v Moldova and Russia (education rights), 17 Tabbakh (procedural fairness in licence conditions)</t>
  </si>
  <si>
    <t>English is in the corpus registry but was not retrieved. All twenty records matched on case_analysis chunks, which are precedent-strength and complexity scores rather than statements of law. The retrieval is prisoner-rights and education-rights material, evidently matched to the application's reference to education: ranks 1, 10 and 15 concern educational rights under the Convention and ranks 2 to 20 concern prisoners' rights, parole and detention. Nothing addresses adequacy of judicial reasons or the standard of reasoning in a judgment; rank 17 Tabbakh mentions procedural fairness relating to licence conditions, which is a distinct question. Assessed on the doctrine-level basis applied throughout.</t>
  </si>
  <si>
    <t>Flannery establishes that courts must give adequate reasons so the parties understand why the conclusions were reached and whether an appeal may be available.</t>
  </si>
  <si>
    <t>dfa97e6e..._case_analysis describes thorough reasoning concerning prisoners’ education rights. facdee26..._case_analysis describes a well-reasoned assessment balancing prisoners’ rights and security. Other retrieved cases address substantive Convention rights.</t>
  </si>
  <si>
    <t>The retrieval supports the rights context and contains examples of clear judicial analysis. However, those descriptions do not establish the legal duty to give reasons, and Flannery itself was not retrieved.</t>
  </si>
  <si>
    <t>Faithful and correctly located. "Duty to give reasons for judgments" places the duty on the court in respect of its judgment, which is exactly where Henry LJ places it (the professional judge owes a general duty to give reasons, citing ex p International Sporting Club), and the four general comments at 381G-382C support the substance. More precise than the bare "Duty to give reasons" formulations at sample_order 6, 9, 17 and 18 index 2, because it specifies judgments; this yes therefore rests on the ordinary §4 test rather than on the bare-topic convention. No wrong context or duty-holder introduced.</t>
  </si>
  <si>
    <t xml:space="preserve"> search cmmjtjuc3000304l46doynpvf (shared with citation_index 1); 20 records; cited authority absent and not in corpus registry; 20/20 case_analysis; sim band 0.698-0.794; nearest procedural material rank 17 Tabbakh (procedural fairness relating to criminal licence conditions), rank 8 Parratt (delays in Parole Board hearings, Article 5.4 obligations)</t>
  </si>
  <si>
    <t>Flannery absent from retrieval and not in corpus registry. All twenty records matched on case_analysis precedent-strength chunks, which state no propositions. The retrieval is prisoner-rights, parole and education-rights material and contains nothing on a duty to give reasons or on how conclusions about rights must be justified. Rank 17 Tabbakh names procedural fairness in relation to licence conditions and rank 8 Parratt concerns Article 5.4 obligations arising from hearing delays; both are distinct from reasons adequacy. The application also broadens the duty-holder from the court to "legal authorities" generally, which the retrieval does not support either. Assessed on the doctrine-level basis applied throughout.</t>
  </si>
  <si>
    <t xml:space="preserve"> Bare topic label correctly identifying the subject-matter of the authority: adequacy of reasons in judgments is what English decides (Lord Phillips MR at [16], [19]). Asserts no rule and so nothing capable of being inaccurate. Labelled yes on the convention applied at sample_order 6 (both units), 9 index 1, 17 (both units), 18 index 1 and 19 index 1. The application is too thin to add anything - it describes the authority only as a precedent affecting clarity in decision-making - and is assessed under grounding.</t>
  </si>
  <si>
    <t xml:space="preserve"> search cmsbquoo1000b04jnq0yxkb5g (shared with citation_index 2); 20 records; cited authority in corpus registry but not retrieved; 20/20 case_analysis; sim band 0.695-0.784; retrieval closely parallels sample_order 19 despite a different input document and a separate search event: Velyo Velev at rank 1 in both, with Howard League, BK, Parratt, Idira, Kalda, Zenati, Bayliss, Bright, Abedin, Tabbakh, AE (Algeria), BB PP W U and Smith common to both</t>
  </si>
  <si>
    <t xml:space="preserve"> English is in the corpus registry but was not retrieved. All twenty records matched on case_analysis chunks, which are precedent-strength and complexity scores rather than statements of law. The retrieval is prisoner-rights, parole and detention material under the ECHR, returned for the draft's subject matter. Nothing addresses adequacy of judicial reasons or the standard of reasoning in a judgment. Rank 17 Tabbakh names procedural fairness relating to licence conditions and rank 5 Howard League concerns systemic fairness in legal aid; both are distinct from reasons adequacy, and neither states a test. Assessed on the doctrine-level basis applied throughout.</t>
  </si>
  <si>
    <t>The authority concerns the adequacy of judicial reasons and requires decisions to explain sufficiently why the relevant conclusion was reached.</t>
  </si>
  <si>
    <t>cee945fc..._case_analysis concerns systemic fairness and decision-making processes affecting prisoners and describes the reasoning as robust and detailed. dfa97e6e..._case_analysis describes clear guidance on prisoner-education claims.</t>
  </si>
  <si>
    <t>The retrieval provides relevant prisoner-rights claims and examples of careful decision-making. However, the application is vague about which precedent and claim it means, while English v Emery and its legal reasons requirement were not retrieved.</t>
  </si>
  <si>
    <t>Flannery establishes that courts must provide adequate reasons so the parties understand why the decision was reached and can assess any possible appeal.</t>
  </si>
  <si>
    <t>dfa97e6e..._case_analysis concerns prisoners’ educational rights in Velyo Velev and describes the Court’s reasoning as thorough. Other retrieved passages concern prisoners’ Convention rights and public-law decision-making.</t>
  </si>
  <si>
    <t>The retrieval supports the education-rights context relevant to A2P1. However, it does not expressly identify A2P1 in the retrieved passage, specify which previous decisions are being assessed, or retrieve Flannery’s legal duty to give adequate reasons.</t>
  </si>
  <si>
    <t xml:space="preserve"> Bare topic label correctly identifying the subject-matter: the duty to give reasons is what Flannery decides (Henry LJ, four general comments at 381G-382C - the duty is a function of due process, want of reasons may be a self-standing ground of appeal, and its extent depends on subject-matter). "Adequate" is a reasonable gloss given comment 3, though the adequacy standard was worked out later in English v Emery Reimbold. Asserts no rule and no duty-holder, so nothing capable of being inaccurate; labelled yes on the convention applied at sample_order 6, 9, 17 and 18 index 2.</t>
  </si>
  <si>
    <t>search cmsbquoo1000b04jnq0yxkb5g (shared with citation_index 1); 20 records; cited authority absent and not in corpus registry; 20/20 case_analysis; sim band 0.695-0.784; closest candidates rank 5 R (Howard League) v Lord Chancellor (systemic fairness in legal aid), rank 17 Tabbakh (procedural fairness relating to licence conditions), rank 1 Velyo Velev v Bulgaria (prisoner education rights, A2P1 territory)</t>
  </si>
  <si>
    <t>Flannery absent from retrieval and not in corpus registry. All twenty records matched on case_analysis chunks: precedent-strength and complexity scores with confidence percentages, which characterise a case's importance rather than stating what it decided. The application raises the sufficiency of reasons in earlier decisions under A2P1, and the retrieval does contain A2P1-adjacent material (rank 1, prisoner education rights) and fairness material (rank 5 systemic fairness in legal aid, rank 17 procedural fairness in licence conditions), so the general territory is present. It is nevertheless insufficient to the point of supplying no premise: systemic fairness in the availability of legal aid and procedural fairness in setting licence conditions are distinct doctrines from the adequacy of reasons in a decision, and none of these chunks states any test for reasons or their sufficiency. §5 no, though partial is arguable on ranks 5 and 17.</t>
  </si>
  <si>
    <t>[2015] UKSC 11 at [82]-[87] (materiality test), [75]-[81] (departure from Sidaway), [90] (therapeutic exception); Lords Kerr and Reed - verify pinpoints via UKSC 2013-0136</t>
  </si>
  <si>
    <t xml:space="preserve"> Montgomery concerns the duty to advise. The Supreme Court held that a doctor must take reasonable care to ensure a patient is aware of material risks inherent in a proposed treatment and of reasonable alternatives, materiality being whether a reasonable person in the patient's position would attach significance to the risk or the doctor should reasonably be aware that this particular patient would; Bolam was held inapplicable to the duty of disclosure, departing from Sidaway. It does not govern the standard of care generally: diagnosis and treatment remain governed by Bolam and Bolitho. The generated principle states the case governs "the standard of care owed by healthcare professionals" without that limitation, which is the central boundary of the decision. Correct general idea with an important limitation omitted; §4 partial. The application compounds this by extending the principles to the duty to "investigate the symptoms", which is diagnostic conduct outside Montgomery's scope.</t>
  </si>
  <si>
    <t xml:space="preserve"> search cmm93cs0n000304l46op6ul80 (shared with citation_index 1 and 2); 10 records; cited authority absent as a corpus record but named in three retrieved chunks; 4/10 citations_precedents, 3/10 case_analysis, 1 metadata_summary, 1 legal_classification, 1 legal_reasoning; rank 1 Bilal v St George's (lists Bolam, Montgomery [2015] UKSC 11 [2015] AC 1430, Chester v Afshar, Sidaway, Rogers), rank 3 Worrall v Antoniadou (lists Montgomery, Sidaway, Faunch), rank 4 Duce v Worcestershire (patient information obligations), rank 8 C v North Cumbria (Bolam, Maynard, Bolitho)</t>
  </si>
  <si>
    <t xml:space="preserve"> The retrieval supports part of the application. The cited authority is named expressly in two citations inventories (ranks 1 and 3), each alongside Sidaway and Bolam, which is the doctrinal line Montgomery decides; rank 4 Duce concerns patient information obligations and rank 8 lists the Bolam/Bolitho line for the standard of care in treatment. Material on the duty to inform is therefore present rather than absent. It is insufficient because ranks 1, 3 and 8 are bare lists of referenced authorities stating no test, rank 4 is precedent-strength commentary, and nothing states the materiality test or its limits. Nothing at all supports the extension to a duty to investigate symptoms. Note rank 5 O'Connor names Montgomery v HM Advocate [2003] 1 AC 641, a different case entirely, so the name match at that rank is spurious. §5 partial, on the same basis as sample_order 4 index 2 and 15 index 1.</t>
  </si>
  <si>
    <t>Montgomery, paragraphs 74–91, especially 87–89</t>
  </si>
  <si>
    <t>Montgomery governs clinicians’ duty to inform patients about material risks and reasonable alternative treatments. The generated principle is overbroad because the decision does not govern every aspect of healthcare professionals’ standard of care, such as diagnosis or symptom investigation.</t>
  </si>
  <si>
    <t>031797cd..._citations_precedents and 6c956002..._citations_precedents identify Montgomery within the consent-and-disclosure framework. 2c529d3c..._case_analysis addresses patient-information obligations, while 90d7a223..._case_analysis concerns diagnosis, treatment and informed consent.</t>
  </si>
  <si>
    <t>The retrieval supports evaluating whether the Respondent adequately informed the patient. It also contains general diagnosis and treatment material, but it does not support treating symptom investigation as part of the Montgomery disclosure duty.</t>
  </si>
  <si>
    <t>[2002] EWCA Civ 605, [15]–[21], especially [16], [19]–[21]</t>
  </si>
  <si>
    <t>English v Emery requires reasons sufficient to show why the parties won or lost and how the critical issues were resolved. The generated principle is materially faithful.</t>
  </si>
  <si>
    <t>The retrieval supports the agency-worker context only. It does not provide the reason-giving rule or show that the Tribunal’s reasons were sufficient.</t>
  </si>
  <si>
    <t>[2000] 1 WLR 377, 381G–382D, Henry LJ</t>
  </si>
  <si>
    <t>Flannery establishes a general judicial duty to provide sufficient reasons, with the required detail depending on the nature of the case.</t>
  </si>
  <si>
    <t>The linked results contain agency-worker material, principally Kocur, but no Flannery passage or judicial reason-giving rule.</t>
  </si>
  <si>
    <t>Agency-worker material does not support the Tribunal-reasons proposition attributed to Flannery.</t>
  </si>
  <si>
    <t>Senior Courts Act 1981, s 35A(1)–(4)</t>
  </si>
  <si>
    <t>Section 35A gives the High Court discretion to award simple interest on qualifying debts or damages. It is legislation rather than a case holding.</t>
  </si>
  <si>
    <t>No linked result addresses section 35A or interest. Rank 1 concerns agency-worker information rights.</t>
  </si>
  <si>
    <t>The retrieval does not support the claimed interest consequence or connect interest to the worker-classification decision.</t>
  </si>
  <si>
    <t>[2002] EWCA Civ 605, [15]–[21]</t>
  </si>
  <si>
    <t>The concise proposition concerning the adequacy of judicial reasons accurately states the subject and effect of English v Emery.</t>
  </si>
  <si>
    <t>The insurance retrieval does not address judicial reasons, transparency or judicial review.</t>
  </si>
  <si>
    <t>[2008] EWCA Civ 35, [30]–[35], [50]–[51]</t>
  </si>
  <si>
    <t>James concerns when a contract of employment between an agency worker and end user must be implied as necessary. It does not generally define all agency-worker rights.</t>
  </si>
  <si>
    <t>The retrieval supports the general classification context but not James’s necessity test for implying an employment contract.</t>
  </si>
  <si>
    <t>[2021] UKSC 5, [68]–[76], [87]–[101], [118]–[119]</t>
  </si>
  <si>
    <t>Uber determines statutory worker status by reference to the legislation and practical relationship. The generated principle is broadly relevant but vague and does not distinguish worker from employee status.</t>
  </si>
  <si>
    <t>The retrieval supports the employment-status context but does not provide the operative Uber test or support the full application.</t>
  </si>
  <si>
    <t>English v Emery establishes that judicial decisions must contain adequate reasons. The general principle remains accurate in a negligence case.</t>
  </si>
  <si>
    <t>The retrieval supports the public-authority negligence context but not the separate judicial reason-giving requirement.</t>
  </si>
  <si>
    <t>[2000] 1 WLR 377, 381G–382D</t>
  </si>
  <si>
    <t>“Duty to give reasons” accurately captures Flannery’s central judicial principle.</t>
  </si>
  <si>
    <t>Gorringe and Yetkin provide public-authority negligence material. Flannery was not retrieved.</t>
  </si>
  <si>
    <t>The negligence context is supported, but the retrieved passages do not establish the duty to give judicial reasons.</t>
  </si>
  <si>
    <t>[2001] EWCA Civ 406, especially [69] and the reasonable-fee analysis</t>
  </si>
  <si>
    <t>Mamidoil upheld a long-term contract despite the absence of an agreed future price and permitted the implication of a reasonable fee.</t>
  </si>
  <si>
    <t>The retrieval supports part of the missing-price reasoning but does not retrieve Mamidoil or fully state its reasonable-fee analysis.</t>
  </si>
  <si>
    <t>English v Emery establishes a duty concerning judicial judgments. It does not itself impose a general reason-giving duty on a Secretary making administrative funding decisions.</t>
  </si>
  <si>
    <t>The public-funding setting is partly supported, but no retrieved passage establishes the asserted reason-giving duty.</t>
  </si>
  <si>
    <t>Flannery concerns adequate judicial reasons. The draft overgeneralises it into a universal transparency duty for administrative funding decisions.</t>
  </si>
  <si>
    <t>Rotala and Durham provide public-policy and funding context, while other results concern public authorities. Flannery was not retrieved.</t>
  </si>
  <si>
    <t>The retrieval supports the subject area but not a duty to explain deviations from previous funding commitments.</t>
  </si>
  <si>
    <t>[1998] Ch 241, 253H–254B and 254E–256A</t>
  </si>
  <si>
    <t>Armitage principally concerns trustee exemption clauses and the irreducible obligation of honesty and good faith. The draft overgeneralises it into broad conflict and self-dealing duties.</t>
  </si>
  <si>
    <t>The retrieval supports the trust and fiduciary context but not the complete rule or the specific self-dealing application.</t>
  </si>
  <si>
    <t>[2011] UKPC 13, [3]–[5], [20]–[23], [80]</t>
  </si>
  <si>
    <t>Spread Trustee recognises a reasonable-and-prudent-trustee standard but principally concerns exemption from gross-negligence liability under Guernsey law.</t>
  </si>
  <si>
    <t>Creggy and Burnden provide trustee-liability and misapplied-funds context. Spread Trustee was not retrieved as a substantive judgment.</t>
  </si>
  <si>
    <t>The retrieval supports general trustee-liability issues but not the claimed breadth of fiduciary obligations.</t>
  </si>
  <si>
    <t>The proposition that adequate reasoning is necessary in judicial decisions is materially faithful to English v Emery.</t>
  </si>
  <si>
    <t>The retrieval does not support the funding application or contain the English v Emery reason-giving rule.</t>
  </si>
  <si>
    <t>Flannery concerns adequate judicial reasons, not a specialised duty to justify public-funding decisions.</t>
  </si>
  <si>
    <t>The linked results are predominantly planning and public-law citation lists. No substantive Flannery or public-funding reasons passage was retrieved.</t>
  </si>
  <si>
    <t>The relevant reason-giving and funding propositions are absent from the retrieval.</t>
  </si>
  <si>
    <t>CPR PD52D, paragraphs 1.1 and 2.1</t>
  </si>
  <si>
    <t>PD52D regulates statutory appeals and appeals subject to special provision. It does not establish general citation-formatting or authority-relevance standards.</t>
  </si>
  <si>
    <t>No retrieved passage addresses PD52D or citation-formatting requirements.</t>
  </si>
  <si>
    <t>The retrieval does not support either the generated description of the rule or its application.</t>
  </si>
  <si>
    <t>English v Emery supports adequate reasons for transparency and appellate review. “Comprehensive” is stronger than necessary, but the core principle is accurate.</t>
  </si>
  <si>
    <t>The retrieval supports the VAT input-tax context but not a requirement for comprehensive judicial reasons.</t>
  </si>
  <si>
    <t>English v Emery confirms that judicial reasons must make the basis of the decision understandable and reviewable.</t>
  </si>
  <si>
    <t>The clinical context is supported, but no passage establishes that the respondent failed to justify the clinical action or states the judicial-reasons rule.</t>
  </si>
  <si>
    <t>Flannery establishes judicial reason-giving. It does not impose a direct duty on clinicians to document why an MRI was not performed.</t>
  </si>
  <si>
    <t>Bilal and Worrall provide clinical-negligence context. No retrieved passage concerns the relevant consultations or MRI decision.</t>
  </si>
  <si>
    <t>The clinical setting is supported, but the specific MRI and reason-giving steps are unsupported.</t>
  </si>
  <si>
    <t>Armitage contains relevant trustee-duty principles but principally addresses exemption clauses and the irreducible duty of honesty and good faith.</t>
  </si>
  <si>
    <t>Creggy and Burnden concern trust assets, fiduciary claims and limitation.</t>
  </si>
  <si>
    <t>The retrieval supports the trustee context but not the specific self-dealing allegation or the full prudence rule.</t>
  </si>
  <si>
    <t>Spread Trustee discusses reasonable care and prudence but did not determine whether the alleged investment conduct breached that standard.</t>
  </si>
  <si>
    <t>Creggy and Burnden provide general trustee-liability and trust-asset context.</t>
  </si>
  <si>
    <t>The retrieval does not substantiate improper management or distribution of the trust assets.</t>
  </si>
  <si>
    <t>[1964] AC 465, 482–487, 502–503 and 528–530</t>
  </si>
  <si>
    <t>Hedley Byrne requires an assumption of responsibility and reasonable reliance. Describing it merely as a financial-advice duty omits important conditions.</t>
  </si>
  <si>
    <t>The retrieval supports the financial-investment setting but not Hedley Byrne’s assumption-of-responsibility test.</t>
  </si>
  <si>
    <t>[1995] 2 AC 145, 180–181 and 193–194</t>
  </si>
  <si>
    <t>Henderson concerns assumption of responsibility and concurrent tort and contractual duties. The generated fiduciary-investment description is too broad.</t>
  </si>
  <si>
    <t>FCA v Capital Alternatives and Floreat concern financial regulation, investment management and fiduciary issues.</t>
  </si>
  <si>
    <t>The retrieval supports the context but not the assumption-of-responsibility test or asserted statutory standards.</t>
  </si>
  <si>
    <t>[1957] 1 WLR 582, 587</t>
  </si>
  <si>
    <t>Bolam states the responsible-body-of-professional-opinion test in medical negligence. Its unqualified extension to financial portfolio management is overbroad.</t>
  </si>
  <si>
    <t>The linked results concern investment regulation and fiduciary duties, including FCA v Capital Alternatives and Floreat.</t>
  </si>
  <si>
    <t>The retrieval supports the financial setting but does not establish that Bolam governs investment-management negligence.</t>
  </si>
  <si>
    <t>Flannery concerns adequate reasons in judicial judgments. It does not require reasoning or documentation to accompany parties’ claims, defences or commercial decisions.</t>
  </si>
  <si>
    <t>The retrieval contains investment and fiduciary cases but no Flannery passage or documentation requirement.</t>
  </si>
  <si>
    <t>Neither the attributed authority nor the generated application is supported by the linked retrieval.</t>
  </si>
  <si>
    <t>[2002] EWCA Civ 605, [15]–[21], [25]–[26]</t>
  </si>
  <si>
    <t>English v Emery requires adequate reasons and recognises that deficient reasons may cause unfairness or hinder effective appeal.</t>
  </si>
  <si>
    <t>The retrieval supports the statutory and public-authority context but not the judicial reason-giving requirement.</t>
  </si>
  <si>
    <t>Flannery supports clear judicial reasons but not a universal duty covering every statutory decision affecting a person’s interests.</t>
  </si>
  <si>
    <t>Gorringe and Griffiths provide public-authority and statutory-duty material.</t>
  </si>
  <si>
    <t>The context is partly supported, but the transparency and reason-giving step is absent.</t>
  </si>
  <si>
    <t>English v Emery establishes the need for adequate judicial reasons. The patent context does not alter the accuracy of that general proposition.</t>
  </si>
  <si>
    <t>The patent context is supported, but the retrieval does not provide the judicial-reasons rule.</t>
  </si>
  <si>
    <t>Case C-153/17, [42]–[59], especially [51]–[58]</t>
  </si>
  <si>
    <t>VWFS concerns residual input VAT, mixed taxable and exempt supplies, and methods that more precisely reflect the use of overhead costs.</t>
  </si>
  <si>
    <t>The retrieval directly supports the VAT dispute but does not contain the operative CJEU test concerning the accuracy of special methods.</t>
  </si>
  <si>
    <t>[2006] EWHC 3306 (Ch), [16], [63]–[75], especially [75]</t>
  </si>
  <si>
    <t>St Helen’s requires a fair and reasonable proxy reflecting real economic use, which is not necessarily identical to physical use.</t>
  </si>
  <si>
    <t>The retrieval supports the VAT-method issue but does not retrieve the substantive St Helen’s economic-use analysis.</t>
  </si>
  <si>
    <t>Flannery requires adequate, context-dependent reasons. It does not require invariably detailed reasoning or create a tax-specific standard.</t>
  </si>
  <si>
    <t>VWFS and Birmingham Hippodrome provide strong VAT-recoverability context. Flannery was not retrieved.</t>
  </si>
  <si>
    <t>The tax context is supported, but the judicial reason-giving requirement is absent.</t>
  </si>
  <si>
    <t>The generated adequacy-of-reasons proposition is materially faithful to English v Emery.</t>
  </si>
  <si>
    <t>The retrieval does not address judicial reasons or the asserted fairness conclusion.</t>
  </si>
  <si>
    <t>“Duty to give reasons” accurately states Flannery’s general judicial principle.</t>
  </si>
  <si>
    <t>The linked results concern public-authority negligence and highway duties, not judicial reasons.</t>
  </si>
  <si>
    <t>No retrieved passage supports the asserted evidential reason-giving requirement.</t>
  </si>
  <si>
    <t>Section 35A authorises discretionary interest. It does not automatically entitle every successful claimant to interest from the incident date.</t>
  </si>
  <si>
    <t>No linked passage concerns section 35A or statutory interest.</t>
  </si>
  <si>
    <t>The public-authority negligence retrieval does not support the interest application.</t>
  </si>
  <si>
    <t>[2020] EWCA Civ 408, especially [53]–[82] and [106]</t>
  </si>
  <si>
    <t>Bank St Petersburg concerns proof of dishonesty, evaluation of evidence and an unsafe judgment. It does not address maintenance, safety or statutory defences.</t>
  </si>
  <si>
    <t>Gorringe, Yetkin and King Lifting concern highway maintenance, safety and public-authority negligence.</t>
  </si>
  <si>
    <t>The retrieval supports part of the maintenance and safety context but not the attributed case or full due-diligence proposition.</t>
  </si>
  <si>
    <t>English v Emery explains the context-dependent standard for adequate judicial explanations.</t>
  </si>
  <si>
    <t>Solicitors’ professional duties do not support the judicial reason-giving proposition in this application.</t>
  </si>
  <si>
    <t>Flannery establishes the general judicial duty to give sufficient reasons.</t>
  </si>
  <si>
    <t>Main v Giambrone and other retrieved cases concern solicitors’ professional obligations and negligence.</t>
  </si>
  <si>
    <t>The solicitor-obligations context is supported, but the connection to judicial reasons is not.</t>
  </si>
  <si>
    <t>(1969) 20 P&amp;CR 909, 918–919</t>
  </si>
  <si>
    <t>Neilson concerns boundary agreements, particularly agreements demarcating uncertain boundaries. It does not establish a general holding on historical evidence.</t>
  </si>
  <si>
    <t>The retrieval supports the boundary context but not the claimed historical-evidence principle.</t>
  </si>
  <si>
    <t>[2002] UKHL 30, [37]–[43]</t>
  </si>
  <si>
    <t>Pye requires possession without consent for the requisite period, including factual possession and an intention to possess. Long occupation alone is insufficient.</t>
  </si>
  <si>
    <t>The retrieval contains general boundary and land-registration material, principally White v Amirtharaja.</t>
  </si>
  <si>
    <t>No retrieved passage states the adverse-possession test or substantively retrieves Pye.</t>
  </si>
  <si>
    <t>[2023] EWHC 1290 (KB), especially [1]–[3]</t>
  </si>
  <si>
    <t>Chapman is a clinical-negligence case involving delayed diagnosis and treatment of a thoracic disc prolapse. It does not concern cyclists, pedestrians or public-safety regulation.</t>
  </si>
  <si>
    <t>The retrieved passages clearly support the generated public-authority-negligence application, although the application was attributed to the wrong case.</t>
  </si>
  <si>
    <t>Flannery concerns adequate judicial reasons, not proof that a defendant exercised adequate care in a liability case.</t>
  </si>
  <si>
    <t>Gorringe and Griffiths support negligence, duty and liability issues.</t>
  </si>
  <si>
    <t>The liability context is supported, but the retrieval does not establish a duty to provide comprehensive reasons for the respondent’s defences.</t>
  </si>
  <si>
    <t>English v Emery requires courts to articulate the essential reasoning behind their determinations.</t>
  </si>
  <si>
    <t>The retrieval does not provide any judicial reason-giving premise.</t>
  </si>
  <si>
    <t>Flannery establishes the judicial duty to provide comprehensible and adequate reasons.</t>
  </si>
  <si>
    <t>The linked tax and procedural results do not contain Flannery or an adequate-reasons proposition.</t>
  </si>
  <si>
    <t>No retrieved passage supports the generated application.</t>
  </si>
  <si>
    <t>Section 35A authorises discretionary interest on qualifying debts and damages.</t>
  </si>
  <si>
    <t>The retrieved tax and procedural cases do not concern section 35A or interest on judgments.</t>
  </si>
  <si>
    <t>The late-payment and compensation application is unsupported by the linked retrieval.</t>
  </si>
  <si>
    <t>English v Emery requires reasons that adequately explain the essential decision-making process.</t>
  </si>
  <si>
    <t>The patent context is supported, but no retrieved passage establishes the judicial-reasons requirement.</t>
  </si>
  <si>
    <t>English v Emery supports adequate judicial reasons for transparency and effective appellate review.</t>
  </si>
  <si>
    <t>Citation lists do not establish a statutory clarity obligation or the English v Emery rule.</t>
  </si>
  <si>
    <t>Flannery concerns judicial reasons. It does not establish that all public decisions require reasons or that inadequate reasons automatically prove unlawfulness.</t>
  </si>
  <si>
    <t>The retrieved public-law citation lists do not state the asserted reason-giving or unlawfulness proposition.</t>
  </si>
  <si>
    <t>The relevant legal premise and claimed inference are absent from the linked retrieval.</t>
  </si>
  <si>
    <t>English v Emery recognises that inadequate reasons may hinder appellate review, although deficient reasons do not automatically invalidate a judgment.</t>
  </si>
  <si>
    <t>The retrieval supports the damages and appeal context but not the judicial reason-giving rule.</t>
  </si>
  <si>
    <t>Flannery confirms that parties should be able to understand why the judicial decision was reached.</t>
  </si>
  <si>
    <t>Google v Vidal-Hall and other retrieved cases support privacy, distress and damages claims.</t>
  </si>
  <si>
    <t>The subject context is supported, but no special reason-giving requirement for distress or damages claims was retrieved.</t>
  </si>
  <si>
    <t>The general adequacy-of-reasons rule is accurate and can apply to judgments involving contractual terms.</t>
  </si>
  <si>
    <t>The contractual setting is supported, but no retrieved passage provides the judicial-reasons rule.</t>
  </si>
  <si>
    <t>“Duty to give reasons” accurately reflects Flannery’s central judicial principle.</t>
  </si>
  <si>
    <t>Dixon, Tillman and Transocean provide contract interpretation and enforceability context.</t>
  </si>
  <si>
    <t>The retrieval does not support the additional requirement for explicit reasoning attributed to Flannery.</t>
  </si>
  <si>
    <t>Flannery states a general judicial duty subject to context and exceptions. “All judicial decisions” is too absolute, and the case is not a planning-engagement authority.</t>
  </si>
  <si>
    <t>The retrieval does not support public engagement or the judicial reason-giving proposition.</t>
  </si>
  <si>
    <t>English v Emery requires resolution of vital issues but does not require discussion of every argument or evidential factor. “All material facts” overstates the rule.</t>
  </si>
  <si>
    <t>Smith, Arnold White Estates and Sheakh provide planning procedural histories.</t>
  </si>
  <si>
    <t>No retrieved passage supports a duty to consider all material facts or the asserted due-process conclusion.</t>
  </si>
  <si>
    <t>[2023] EWHC 1995 (Admin), approximately [37]–[53] and [111]–[146]</t>
  </si>
  <si>
    <t>Worcestershire concerns an NHS request for planning contributions and public access to background papers. “Public notice” is an imprecise and overgeneral description.</t>
  </si>
  <si>
    <t>The retrieval supports the planning setting but not the NHS-contribution or background-paper rules applied in Worcestershire.</t>
  </si>
  <si>
    <t>[2002] UKHL 23, [29]–[51], especially [37] and [45]–[51]</t>
  </si>
  <si>
    <t>Burkett determines when time begins for judicial review of planning permission. It does not establish a general fairness and transparency duty governing councillors.</t>
  </si>
  <si>
    <t>The retrieval supports part of the planning-fairness context but not the broad rule attributed to Burkett.</t>
  </si>
  <si>
    <t>English v Emery requires adequate judicial reasons generally. It does not state a tax-specific rule about asset relevance or operational use.</t>
  </si>
  <si>
    <t>The retrieval supports the tax and asset-classification context but not the separate judicial-reasons premise.</t>
  </si>
  <si>
    <t>Judgments must provide adequate reasons for their legal conclusions. Applying that general principle to A2P1 findings is legally plausible.</t>
  </si>
  <si>
    <t>The retrieval supports the rights and A2P1 context but does not provide the English v Emery reason-giving rule.</t>
  </si>
  <si>
    <t>Twenty results were linked. Rank 1 was Kocur, chunk f8755763-8d90-4b51-8a0a-d11efa528908_legal_classification, concerning agency-worker information rights. English v Emery was not retrieved.</t>
  </si>
  <si>
    <t>Rank 1 was Great Lakes, chunk e050e594-d197-45f1-ba15-7d110c0d93c4_outcome_holding, concerning insurance indemnity and remedies.</t>
  </si>
  <si>
    <t>Kocur, chunk f8755763-8d90-4b51-8a0a-d11efa528908_citations_precedents, and Halawi provide agency-worker and employment-classification context. James was not substantively retrieved.</t>
  </si>
  <si>
    <t>Somerville, chunk 4a6e3c60-f40d-4a95-bd57-d62150508e45_citations_precedents, mentions Uber comparatively. Atholl House also concerns employment status.</t>
  </si>
  <si>
    <t>Gorringe, chunk bc30491e-9ae6-48da-90d0-71d8a8069b22_legal_classification, and Yetkin concern negligence and public-authority duties.</t>
  </si>
  <si>
    <t>Chartbrook, chunk 2d2f67c0-33b8-47de-ade5-124c90fc1a95_case_analysis, and later Hughes and Barton chunks address contract interpretation, missing prices and implied terms.</t>
  </si>
  <si>
    <t>Rotala, chunk bab866ef-ca70-446c-a76d-a69bb3f7f15d_case_analysis, and Durham, chunk c671abf8-058b-4872-a1b9-82b27e8b0a0e_case_analysis, provide public-policy and funding-related context.</t>
  </si>
  <si>
    <t>Creggy, chunk 4f894b7c-50f6-46f4-b08a-7d5f549411bb_case_analysis, and Burnden, chunk 63f1ceea-1ae6-4e29-9f3b-c354ab3fba11_legal_reasoning, concern fiduciary claims and misapplied trust funds.</t>
  </si>
  <si>
    <t>Rank 1 was Finch, chunk 968e5c88-1f2c-4da8-9290-4111f416ec6e_citations_precedents. The remaining results are mainly planning and public-law citation lists.</t>
  </si>
  <si>
    <t>Rank 1 was VWFS, chunk b9498527-3250-49cd-9d8e-ed7c0dda200e_metadata_summary, concerning residual input-tax attribution.</t>
  </si>
  <si>
    <t>Bilal, chunk 031797cd-b2d5-42dc-9292-4485d3c8553c_citations_precedents, and Worrall concern clinical negligence and consent.</t>
  </si>
  <si>
    <t>FCA v Capital Alternatives, chunk e3367bf1-963c-47c9-aea9-8dc4a1dc25bc_legal_classification, and Floreat provide investment and fiduciary context.</t>
  </si>
  <si>
    <t>Gorringe, chunk bc30491e-9ae6-48da-90d0-71d8a8069b22_legal_reasoning, and Griffiths concern statutory duties and public-authority liability.</t>
  </si>
  <si>
    <t>Philip Morris, chunk 9c4e33c9-91d3-464b-b025-a46e5f3673af_procedural_history, and Idenix concern patent validity and sufficiency.</t>
  </si>
  <si>
    <t>Rank 1 was VWFS, chunk b9498527-3250-49cd-9d8e-ed7c0dda200e_metadata_summary, describing residual input-tax attribution.</t>
  </si>
  <si>
    <t>VWFS and Birmingham Hippodrome, chunk cd495d17-4a70-4b1a-ad32-713927ce6d8e_factual_summary, provide mixed-use VAT and attribution context.</t>
  </si>
  <si>
    <t>Gorringe, chunk bc30491e-9ae6-48da-90d0-71d8a8069b22_legal_classification, and Yetkin concern public-authority negligence and highways.</t>
  </si>
  <si>
    <t>Main v Giambrone, chunk 5b3c080f-c58b-40db-acc4-59aca37b2a05_legal_reasoning, and other results concern solicitors’ duties.</t>
  </si>
  <si>
    <t>White v Amirtharaja, chunk 34dfb3bd-01bb-45bf-b18a-fce4ecb24b45_case_analysis, concerns boundaries and land-registration practice.</t>
  </si>
  <si>
    <t>Gorringe, chunk bc30491e-9ae6-48da-90d0-71d8a8069b22_legal_reasoning, and Griffiths discuss statutory duties, public authorities and negligence liability.</t>
  </si>
  <si>
    <t>Altrad, chunk d23d9f9f-4d0a-455a-bab1-0ce1a023b722_legal_classification, and the other results concern tax procedure and capital allowances.</t>
  </si>
  <si>
    <t>Synthon, chunk a1a08eab-f66f-48ea-a2b4-e885be7c07df_case_analysis, and Novartis concern patent disputes.</t>
  </si>
  <si>
    <t>The linked results are principally public-law citation lists, starting with Enfield, chunk f5a5b44e-fcf0-40c0-9bf9-69f026b1b438_citations_precedents.</t>
  </si>
  <si>
    <t>Google v Vidal-Hall, chunk a206a973-506b-4cfb-a0fa-79b98d0ca831_metadata_summary, and Strain concern privacy, damages and appellate remedies.</t>
  </si>
  <si>
    <t>Dixon, chunk 82d8ca93-47f5-468a-805f-22afbaf56924_citations_precedents, and Tillman concern contract interpretation and enforceability.</t>
  </si>
  <si>
    <t>The results are largely planning procedural histories, beginning with Smith, chunk 6cd7db33-7ee1-44c0-9219-b2cc7d57d88b_procedural_history.</t>
  </si>
  <si>
    <t>Burkett, chunk 379d4f20-62f5-403b-a082-fa36b82fe1c1_metadata_summary, and Cherkley provide planning and public-law context.</t>
  </si>
  <si>
    <t>Cherkley, chunk f42492fd-8832-4f70-b315-d7597c15a5ef_legal_classification, and Vicente, chunk 3ff34419-ffbc-40f9-a087-a1cb1371d0e1_legal_classification, support planning and procedural-fairness context.</t>
  </si>
  <si>
    <t>Lloyds TSB Equipment Leasing, chunk 43ef5de1-aec0-41aa-83ef-7f2ecf54e8b8_legal_reasoning, and Inmarsat concern tax, assets and classification.</t>
  </si>
  <si>
    <t>Velyo Velev, chunk dfa97e6e-7e32-4c80-9f6f-5e4f398f9d82_case_analysis, and Howard League concern prisoners’ Convention and education rights.</t>
  </si>
  <si>
    <t>[15]–[20], especially [16] and [19]</t>
  </si>
  <si>
    <t>The judgment confirms a contextual duty to give reasons sufficient to show why the judge reached the decision; it does not require discussion of every argument.</t>
  </si>
  <si>
    <t>Top linked retrievals: 1. Kocur v Angard Staffing Solutions Limited &amp; Anor [2022] EWCA Civ 189 — Classification of the legal framework governing agency workers' information rights and EU-law transposition. | 2. The Civil Aviation Authority v Ryanair DAC [2022] EWCA Civ 76 — Legal framework, jurisdiction, and taxonomy for applying Regulation 261/2004 in a post-Brexit UK context. | 3. Ryanair Ltd v HM Revenue and Customs [2014] EWCA Civ 410 — Overview of Ryanair's appeal regarding APD.. The cited authority itself was not retrieved.</t>
  </si>
  <si>
    <t>Linked search cmsbrv0ui000x04jpfm1qjd05 did not retrieve the cited authority. Under Codebook §5, this warrants reasoning_grounding = no; the returned chunks do not supply the relied-upon authority for this application.</t>
  </si>
  <si>
    <t>[2000] 1 WLR 377 at 381G–382D</t>
  </si>
  <si>
    <t>Flannery recognises a general, context-dependent duty on judges to give reasons; a failure to explain the basis of a decision may justify an appeal.</t>
  </si>
  <si>
    <t>Senior Courts Act 1981, s 35A(1)–(2)</t>
  </si>
  <si>
    <t>Non-case reference: holding accuracy is n/a under the codebook. Section 35A gives the High Court power to include simple interest on debts or damages, subject to its terms and rules of court.</t>
  </si>
  <si>
    <t>Top linked retrievals: 1. Great Lakes Reinsurance (UK) SE v Western Trading Ltd [2016] EWCA Civ 1003 (11 October 2016) — Outcome and remedial posture: declaration affirmed with corrected wording, reinstatement cost as the measure of indemnity up to the policy limit; damages not awarded; costs decided. | 2. Shipowners' Mutual Protection and Indemnity Association (Luxembourg) v Containerships Denizcilik Nakliyat ve Ticaret A.S. ("Yusuf Cepnioglu") [2016] EWCA Civ 386 — Authorities cited: Padre Island, Hari Bhum (No.1), Prestige (No.2), Jay Bola, Charterers' Mutual, Angelic Grace, Hari Bhum, Turner v Grovit, Erich Gasser, Front Comor, Akai, DVA v Voest Alpine and others. | 3. Bate v Aviva Insurance UK Ltd [2014] EWCA Civ 334 — Analysis discussing the precedent value of the case and its legal implications.. The cited authority itself was not retrieved.</t>
  </si>
  <si>
    <t>Linked search cmm0b91t5000e04ibf7gf6ujr did not retrieve the cited authority. Under Codebook §5, this warrants reasoning_grounding = no; the returned chunks do not supply the relied-upon authority for this application.</t>
  </si>
  <si>
    <t>[6], [23] and [35] (necessity to imply a contract)</t>
  </si>
  <si>
    <t>James concerned whether a contract of employment had to be implied between an agency worker and the end-user. It did not define agency workers generally or establish their broader rights.</t>
  </si>
  <si>
    <t>Top linked retrievals: 1. Nursing and Midwifery Council v Somerville [2022] EWCA Civ 229 — Authorities referenced: development of 'irreducible minimum' concept and regulatory context; Uber as comparative benchmark; core statutory materials. | 2. Kocur v Angard Staffing Solutions Limited &amp; Anor [2022] EWCA Civ 189 — List of authorities relied upon to articulate statutory interpretation and EU-law alignment. | 3. Commissioners for HM Revenue and Customs v Atholl House Productions Ltd [2022] EWCA Civ 501 (IR35) — Compilation of authorities cited in the excerpt, spanning core employment-status jurisprudence and recent statutory interpretations guiding the IR35 analysis.. The cited authority itself was not retrieved.</t>
  </si>
  <si>
    <t>Linked search cmsbsjzo7000b04ji6xjyj7y5 did not retrieve the cited authority. Under Codebook §5, this warrants reasoning_grounding = no; the returned chunks do not supply the relied-upon authority for this application.</t>
  </si>
  <si>
    <t>[68]–[76] and [90]–[101]</t>
  </si>
  <si>
    <t>Uber addresses statutory worker status and requires the statutory purpose and practical relationship to be examined rather than treating contractual wording as conclusive. The draft is directionally related but too broad and blurs 'worker' with traditional employee status.</t>
  </si>
  <si>
    <t>Top linked retrievals: 1. Gorringe v. Calderdale Metropolitan Borough Council — Classification of legal issues around negligence and statutory duties for public authorities. | 2. Yetkin v London Borough of Newham ([2010] EWCA Civ 776) — The case relates to the nuances of negligence law as it applies to Local Authorities. | 3. Griffiths v Gwynedd County Council [2015] EWCA Civ 1440 — Categorization of the case within tort law, focusing on negligence.. The cited authority itself was not retrieved.</t>
  </si>
  <si>
    <t>Linked search cmmxkq28b000304jo5eard9id did not retrieve the cited authority. Under Codebook §5, this warrants reasoning_grounding = no; the returned chunks do not supply the relied-upon authority for this application.</t>
  </si>
  <si>
    <t>[69] and the pricing/uncertainty discussion that follows</t>
  </si>
  <si>
    <t>Mamidoil sets out principles for contractual certainty and supports implying an objectively reasonable price where commercial parties intended to be bound but had not agreed the future price.</t>
  </si>
  <si>
    <t>Top linked retrievals: 1. Proforce Recruit Ltd v The Rugby Group Ltd [2006] EWCA Civ 69 — Overall analysis of the case's potential impact on future law. | 2. Tallington Lakes Ltd &amp; Ors v Larking Gowen [2014] EWCA Civ 959 — Evaluation of the case's implications for future legal situations and its significance in the context of contract law. | 3. Chartbrook Ltd v Persimmon Homes Ltd &amp; Ors [2009] UKHL 38 — Analyzes the implications of the case for contract law and interpretation of commercial agreements.. The cited authority itself was not retrieved.</t>
  </si>
  <si>
    <t>Linked search cmmxi0nl9000n04l8myv0bd76 did not retrieve the cited authority. Under Codebook §5, this warrants reasoning_grounding = no; the returned chunks do not supply the relied-upon authority for this application.</t>
  </si>
  <si>
    <t>The authority supports adequacy of reasons in judicial judgments. The draft preserves that core idea but recasts it as a duty governing a funding decision, without preserving the judicial context.</t>
  </si>
  <si>
    <t>Top linked retrievals: 1. Rotala Plc, R (On the Application Of) v Greater Manchester Combined Authority &amp; Anor [2022] EWCA Civ 1048 — Critical appraisal of the case’s future impact, complexity, and authority across similar statutory regimes. | 2. Durham County Council v The Durham Company Limited [2023] EWCA Civ 729 — Assessment of the case’s value as precedent and its complexity, including the novelty of a subsidy-control cost-cap framework and potential policy implications. | 3. The Howard League for Penal Reform and Prisoners' Advice Service v The Lord Chancellor — Citations and precedents referenced in the Court's analysis and decision-making.. The cited authority itself was not retrieved.</t>
  </si>
  <si>
    <t>Linked search cmsbj2peo000b04jw4kua4pz9 did not retrieve the cited authority. Under Codebook §5, this warrants reasoning_grounding = no; the returned chunks do not supply the relied-upon authority for this application.</t>
  </si>
  <si>
    <t>The judicial-reasons principle is present, but the wording broadens Flannery into a general entitlement to reasons for any decision affecting a party.</t>
  </si>
  <si>
    <t>[1998] Ch 241 at 251H–254H</t>
  </si>
  <si>
    <t>Armitage is principally about trustee exemption clauses and the irreducible core of honest, good-faith performance. General duties of prudence and conflict avoidance are related trust-law ideas, but the draft omits the case's controlling context.</t>
  </si>
  <si>
    <t>Top linked retrievals: 1. Creggy v Barnett &amp; Anor [2016] EWCA Civ 1004 (Court of Appeal (Civil Division)) — Case analysis highlighting the precedent value and complexity: it clarifies limitation for fiduciary/trust claims, showing competing viewpoints and the potential for future refinement, with significant implications for practitioners dealing with misapplied trust funds. | 2. Burnden Holdings (UK) Limited (in Liquidation) v Fielding &amp; Anor [2016] EWCA Civ 557 — Detailed analysis of limitation provisions, accrual timing, and the interpretation of indirect receipt via controlled entities. | 3. Braintree District Council v Secretary of State for the Home Department &amp; Anor [2023] EWCA Civ 727 (23 June 2023) — Procedural path of the case: appellate review of a High Court decision, with a hearing date and judgment date, and participation by interveners; Class Q addressed but not decided on appeal.. The cited authority itself was not retrieved.</t>
  </si>
  <si>
    <t>Linked search cmm0cqleo000z04i321gtuvf1 did not retrieve the cited authority. Under Codebook §5, this warrants reasoning_grounding = no; the returned chunks do not supply the relied-upon authority for this application.</t>
  </si>
  <si>
    <t>[51]–[61] and [117]–[122]</t>
  </si>
  <si>
    <t>Spread Trustee concerns whether Guernsey trust law permitted exclusion of liability for gross negligence. It discusses trustee liability, but the generated statement is too vague and overstates it as a general guide to the full breadth of fiduciary obligations.</t>
  </si>
  <si>
    <t>Top linked retrievals: 1. Finch On Behalf of the Weald Action Group, R (On the Application Of) v Surrey County Council &amp; Ors [2022] EWCA Civ 187 — Authorities cited in the judgment underpinning the Court of Appeal's reasoning on EIA scope and indirect effects. | 2. Wyatt v Fareham Borough Council (Rev1) [2022] EWCA Civ 983 — Compendium of authorities cited in the judgment and its legal framework, spanning EU cases and UK authorities on appropriate assessment, precaution, and supervisory review. | 3. London Borough of Enfield, R (on the application of) v Secretary of State for Transport &amp; Ors [2016] EWCA Civ 480 — Authorities cited and relied upon to frame the legal standards and interpretations in the decision.. The cited authority itself was not retrieved.</t>
  </si>
  <si>
    <t>Linked search cmlzy6by600ft04i8cpz0rrjt did not retrieve the cited authority. Under Codebook §5, this warrants reasoning_grounding = no; the returned chunks do not supply the relied-upon authority for this application.</t>
  </si>
  <si>
    <t>Flannery concerns reasons in judicial judgments. It does not establish a free-standing duty on public bodies to justify decisions involving public funds.</t>
  </si>
  <si>
    <t>CPR Practice Direction 52D, introductory scope and applicable appeal provisions</t>
  </si>
  <si>
    <t>Non-case reference: holding accuracy is n/a. As a source-description check, PD52D governs statutory appeals and appeals subject to special provision; it is not a general rule on citation formatting and relevance.</t>
  </si>
  <si>
    <t>Top linked retrievals: 1. Volkswagen Financial Services (UK) Ltd v HM Revenue &amp; Customs — Overview of the case involving VWFS's VAT claims against HMRC over residual input tax attribution. | 2. Revenue and Customs v Mercedes-Benz Financial Services UK Ltd — List of legal authorities and precedents cited during the decision-making process. | 3. Birmingham Hippodrome Theatre Trust Ltd v Revenue And Customs — This chunk summarizes the factual aspects of the case, highlighting the circumstances leading to the VAT disputes.. The cited authority itself was not retrieved.</t>
  </si>
  <si>
    <t>Linked search cmsbr3gmj000p04l4jzoye2ph did not retrieve the cited authority. Under Codebook §5, this warrants reasoning_grounding = no; the returned chunks do not supply the relied-upon authority for this application.</t>
  </si>
  <si>
    <t>Top linked retrievals: 1. Bilal &amp; Anor v St George's University Hospital NHS Foundation Trust [2023] EWCA Civ 605 — Lists the principal authorities referenced in the case, illustrating the doctrinal framework for consent and negligence. | 2. Collins v Secretary of State for Business Innovation and Skills &amp; Anor — An overview of the case, detailing the court and parties involved. | 3. Worrall v Antoniadou [2016] EWCA Civ 1219 — Authorities cited in the judgment that frame duty, disclosure, and interpretation in medical negligence.. The cited authority itself was not retrieved.</t>
  </si>
  <si>
    <t>Linked search cmm93cs0n000304l46op6ul80 did not retrieve the cited authority. Under Codebook §5, this warrants reasoning_grounding = no; the returned chunks do not supply the relied-upon authority for this application.</t>
  </si>
  <si>
    <t>Armitage is principally about trustee exemption clauses and the irreducible core of honest, good-faith performance. The draft's prudence/conflict proposition is related but decontextualised.</t>
  </si>
  <si>
    <t>Spread Trustee decides whether liability for gross negligence could be excluded under Guernsey trust law. It does not establish the general investment-management standard of prudence attributed to it here.</t>
  </si>
  <si>
    <t>House of Lords speeches on special relationship, assumption of responsibility and disclaimer</t>
  </si>
  <si>
    <t>Hedley Byrne supports a duty of care for negligent advice or information where responsibility is assumed and reliance is reasonable. The draft omits those conditions and the effective disclaimer in the case.</t>
  </si>
  <si>
    <t>Top linked retrievals: 1. The Financial Conduct Authority v Capital Alternatives Ltd &amp; Ors — Classification of the legal areas addressed in this case, including financial services law and investment regulation. | 2. Allianz Global Investors GmbH &amp; Ors v Barclays Bank Plc &amp; Ors (Rev1) [2022] EWCA Civ 353 — Analysis of reflective loss, title to sue for funds vs investors, and the possibility of pass-on without double recovery; collateral-benefit as a potential legal answer. | 3. Floreat Investment Management Ltd v Churchill &amp; Ors [2023] EWCA Civ 440 — Legal categorization of the dispute: civil appeal involving fiduciary duties, transfer of funds, and trust principles within an offshore fund framework.. The cited authority itself was not retrieved.</t>
  </si>
  <si>
    <t>Linked search cmst7t5an00d204l5jrwmz7m1 did not retrieve the cited authority. Under Codebook §5, this warrants reasoning_grounding = no; the returned chunks do not supply the relied-upon authority for this application.</t>
  </si>
  <si>
    <t>[1995] 2 AC 145 at 180–194 (Lord Goff)</t>
  </si>
  <si>
    <t>Henderson supports duties of reasonable skill and care for Lloyd's managing agents and concurrent liability in tort and contract based on assumption of responsibility. Calling it a general fiduciary investment-management standard is imprecise.</t>
  </si>
  <si>
    <t>[1957] 1 WLR 582 at 586–587</t>
  </si>
  <si>
    <t>Bolam states a professional-negligence standard by reference to responsible professional practice, but the case concerned medical treatment and did not itself establish a finance-specific portfolio-management standard.</t>
  </si>
  <si>
    <t>Flannery requires judges to explain the basis of their conclusions. It does not require parties to accompany claims and defences with adequate documentation or substantiation.</t>
  </si>
  <si>
    <t>Top linked retrievals: 1. Gorringe v. Calderdale Metropolitan Borough Council — Court's reasoning on the interpretation of statutory duties and common law liabilities. | 2. Griffiths v Gwynedd County Council [2015] EWCA Civ 1440 — Analysis of the court's reasoning regarding liability and duty of care. | 3. The Secretary of State for Transport &amp; Anor v Cuciurean [2022] EWCA Civ 661 — Key authorities cited: Crosland and Heyatawin as central to costs in contempt; others for civil/criminal distinction and proportionality.. The cited authority itself was not retrieved.</t>
  </si>
  <si>
    <t>Linked search cmmshur54000b04jsgyo6bz98 did not retrieve the cited authority. Under Codebook §5, this warrants reasoning_grounding = no; the returned chunks do not supply the relied-upon authority for this application.</t>
  </si>
  <si>
    <t>The core judicial duty to give reasons is supported, but the proposition is framed as a broad procedural entitlement covering decisions made under any statutory obligation.</t>
  </si>
  <si>
    <t>Top linked retrievals: 1. Philip Morris Products, S.A. v Nicoventures Trading Limited &amp; Anor (Re Invalidity of Patents) [2022] EWCA Civ 1638 — Procedural history: Appeal from High Court [2021] EWHC 3032 (Pat). Hearing on 30 November 2022; Appellant PMI; Respondents BAT and Nicoventures; Five grounds; Court of Appeal decision 16 December 2022; Case CA-2021-000302. | 2. Idenix Pharmaceuticals Inc v Gilead Sciences Inc &amp; Ors [2016] EWCA Civ 1089 — Overall assessment of the case’s precedent value and its significance for patent practice: high complexity with a very broad claim set, heavy reliance on plausibility as a constraint, and an important illustration of how common general knowledge and post-published evidence interact with enablement and sufficiency; confirms limits on “land grab” style broad claims in pharma patents. | 3. Hospira UK Limited v Genentech, Inc. [2016] EWCA Civ 1185 — Analytical assessment of the decision’s value as precedent and the factors contributing to its complexity.. The cited authority itself was not retrieved.</t>
  </si>
  <si>
    <t>Linked search cmsbsuhsv001r04jiv19ukl8u did not retrieve the cited authority. Under Codebook §5, this warrants reasoning_grounding = no; the returned chunks do not supply the relied-upon authority for this application.</t>
  </si>
  <si>
    <t>CJEU judgment [43]–[59] and the operative ruling</t>
  </si>
  <si>
    <t>VWFS concerns residual input VAT on overheads used for both taxable and exempt hire-purchase transactions and the permissibility of a special apportionment method. The draft is broadly related but omits the specific conditions and precision requirement.</t>
  </si>
  <si>
    <t>Linked search cmsbr1xgb000d04l4kki35x9j did not retrieve the cited authority. Under Codebook §5, this warrants reasoning_grounding = no; the returned chunks do not supply the relied-upon authority for this application.</t>
  </si>
  <si>
    <t>[26]–[38] (direct link, actual use and special-method analysis)</t>
  </si>
  <si>
    <t>St Helen's School addresses VAT attribution, a proposed partial-exemption special method and whether actual-use measures reflected the taxpayer's taxable use. 'Operational purposes' is imprecise and omits the direct-and-immediate-link analysis.</t>
  </si>
  <si>
    <t>The general judicial duty to give reasons is supported, but Flannery does not create a tax-specific obligation or require detailed reasons in every complex tax case.</t>
  </si>
  <si>
    <t>Top linked retrievals: 1. Gorringe v. Calderdale Metropolitan Borough Council — Classification of legal issues around negligence and statutory duties for public authorities. | 2. Yetkin v London Borough of Newham ([2010] EWCA Civ 776) — The case relates to the nuances of negligence law as it applies to Local Authorities. | 3. Brown &amp; Ors v South West Lakes Trust &amp; Ors [2022] EWCA Civ 18 — Classification of legal categories, governing statutes, and court hierarchy applicable to the case.. The cited authority itself was not retrieved.</t>
  </si>
  <si>
    <t>Linked search cmmxgv6n0000b04kt94o7km5w did not retrieve the cited authority. Under Codebook §5, this warrants reasoning_grounding = no; the returned chunks do not supply the relied-upon authority for this application.</t>
  </si>
  <si>
    <t>Non-case reference: holding accuracy is n/a. As a source-description check, section 35A is a power to award simple interest and does not create an automatic entitlement from the incident until payment.</t>
  </si>
  <si>
    <t>[78]–[84]</t>
  </si>
  <si>
    <t>[2020] 4 WLR 55 is Bank St Petersburg PJSC v Arkhangelsky, concerning delayed judgment, assessment of evidence and the safety of findings. It does not establish a statutory-defence test about maintenance, safety or due diligence.</t>
  </si>
  <si>
    <t>Top linked retrievals: 1. Main &amp; Orsv v Giambrone &amp; Law (2017) - Liability for Breach of Trust — This detail outlines the reasoning behind the court’s decision, focusing on the obligations of solicitors and the particular breaches identified by the judge. | 2. Procter v Raleys Solicitors [2015] EWCA Civ 400 — Discussion of the case's significance in legal precedent and complexity understanding. | 3. Wellesley Partners LLP v Withers LLP [2015] EWCA Civ 1146 — Legal classification of the case, focusing on the intersection of contract law and tort law as it pertains to professional services.. The cited authority itself was not retrieved.</t>
  </si>
  <si>
    <t>Linked search cmst47zkn000v04l7hdoa66wv did not retrieve the cited authority. Under Codebook §5, this warrants reasoning_grounding = no; the returned chunks do not supply the relied-upon authority for this application.</t>
  </si>
  <si>
    <t>20 P&amp;CR 909 at 918–919; HM Land Registry Practice Guide 40 supplement 4, §2.1</t>
  </si>
  <si>
    <t>Neilson supports use of extrinsic or later-conveyance evidence in resolving uncertain boundaries and discusses boundary agreements. The draft's general 'historical evidence' formulation is related but lacks the uncertainty and probative-value limits.</t>
  </si>
  <si>
    <t>Top linked retrievals: 1. White &amp; Anor v Amirtharaja &amp; Anor [2022] EWCA Civ 11 — Provides assessment of the case’s precedent value and its complexity, including how it affects future appeals and land-registration practice. | 2. Healey v Fraine &amp; Ors [2023] EWCA Civ 549 — Appellate reasoning on Ground 1: pleading amendments must be proper and not salvage defective pleadings; analysis of the permissible scope and timing of amendments. | 3. Secretary of State for the Home Department v Cox &amp; Ors [2023] EWCA Civ 551 (19 May 2023) — Procedural path from High Court decisions to Court of Appeal with hearings in March 2023.. The cited authority itself was not retrieved.</t>
  </si>
  <si>
    <t>Linked search cmlzpfjvk000b04jtl1v4uh8a did not retrieve the cited authority. Under Codebook §5, this warrants reasoning_grounding = no; the returned chunks do not supply the relied-upon authority for this application.</t>
  </si>
  <si>
    <t>House of Lords judgment on factual possession and intention to possess</t>
  </si>
  <si>
    <t>Pye confirms adverse possession through factual possession plus an intention to possess for the statutory period. 'Long occupation' alone is incomplete and may misstate the test.</t>
  </si>
  <si>
    <t>[1]–[8] and the liability/causation findings</t>
  </si>
  <si>
    <t>Chapman is a clinical-negligence case about delayed diagnosis and treatment of a thoracic disc prolapse. It does not concern statutory safety regulation for cyclists or pedestrians or public-authority negligence.</t>
  </si>
  <si>
    <t>The general need for reasons in judicial decisions is supported, but the draft conflates reason-giving with proof that a party exercised adequate care in a liability case.</t>
  </si>
  <si>
    <t>Top linked retrievals: 1. Altrad Services Ltd &amp; Anor v Commissioners for HMRC [2023] EWCA Civ 474 (03 May 2023) — Classification of legal framework: tax law, capital allowances, and the Ramsay principle, with focus on statutory sections relevant to the dispute and the appellate process. | 2. BPP Holdings v Revenue And Customs [2016] EWCA Civ 121 — Procedural history: FtT decision (Judge Mosedale) and UT decision (Judge Bishopp) concerning a debarment issue; CA appeal on 01 Mar 2016; hearing held 16 Dec 2015; reflection on rule 8 and case management practices. | 3. Totel Limited v HM Revenue and Customs [2016] EWCA Civ 1310 — Procedural history: Case progresses from the Upper Tribunal to the Court of Appeal; case number A3/2015/1980; hearing on 21-22 November 2016; decision delivered 20 December 2016.. The cited authority itself was not retrieved.</t>
  </si>
  <si>
    <t>Linked search cmlzp9luh000304l29ip4sjki did not retrieve the cited authority. Under Codebook §5, this warrants reasoning_grounding = no; the returned chunks do not supply the relied-upon authority for this application.</t>
  </si>
  <si>
    <t>Non-case reference: holding accuracy is n/a. Section 35A permits simple interest to be included on debts or damages, subject to the statutory wording and court rules.</t>
  </si>
  <si>
    <t>Top linked retrievals: 1. Synthon BV v Teva Pharmaceutical Industries Ltd [2017] EWCA Civ 148 — This chunk reviews the significance of the case's outcome within legal discourse. | 2. Novartis AG and Novartis Pharmaceuticals UK Limited v Teva UK Ltd &amp; Ors [2022] EWCA Civ 775 — Factual snapshot: Appellants/claimants are Novartis AG and Novartis Pharmaceuticals UK Limited; respondents/defendants include Teva UK Limited and others; the matter is an appeal from the High Court Intellectual Property List (ChD) in the Patents Court; decision date recorded as 25 May 2022. | 3. Smith &amp; Nephew Plc v Convatec Technologies Inc &amp; Ors [2015] EWCA Civ 803 — A critical analysis on the precedent strength indicates its significance in future patent discussions among courts regarding injunctions and patents.. The cited authority itself was not retrieved.</t>
  </si>
  <si>
    <t>Linked search cmsbtb7sw002n04jipbuqxu0i did not retrieve the cited authority. Under Codebook §5, this warrants reasoning_grounding = no; the returned chunks do not supply the relied-upon authority for this application.</t>
  </si>
  <si>
    <t>Top linked retrievals: 1. London Borough of Enfield, R (on the application of) v Secretary of State for Transport &amp; Ors [2016] EWCA Civ 480 — Authorities cited and relied upon to frame the legal standards and interpretations in the decision. | 2. National AIDS Trust v National Health Service Commissioning Board (NHS England) &amp; Ors (EWCA Civ 1100) – PrEP and NHS England power to commission preventive HIV treatment — Authorities cited in the judgment; primary statutes/regulations and a leading common-law case used for interpretive guidance. | 3. The Howard League for Penal Reform and Prisoners' Advice Service v The Lord Chancellor — Citations and precedents referenced in the Court's analysis and decision-making.. The cited authority itself was not retrieved.</t>
  </si>
  <si>
    <t>Linked search cms1pq4rm000d04js91x46eaf did not retrieve the cited authority. Under Codebook §5, this warrants reasoning_grounding = no; the returned chunks do not supply the relied-upon authority for this application.</t>
  </si>
  <si>
    <t>Flannery concerns the reasons given by judges. It does not establish a general administrative-law rule that failure to give reasons for a public decision creates an assumption of unlawfulness.</t>
  </si>
  <si>
    <t>Top linked retrievals: 1. Google Inc v Vidal-Hall &amp; Ors [2015] EWCA Civ 311 — Overview of the court's jurisdiction, parties involved and key themes surrounding privacy and data misuse. | 2. Jalla &amp; Anor v Shell International Trading And Shipping Co Ltd &amp; Anor (Appeal (2): Representative Action) — Citations and precedents that influenced the court's decision. | 3. Grace &amp; Anor v Black Horse Ltd [2014] EWCA Civ 1413 — Analysis of the case's potential impact on future legal proceedings and complexity.. The cited authority itself was not retrieved.</t>
  </si>
  <si>
    <t>Linked search cmst7yrwi000b04i90ncdwp78 did not retrieve the cited authority. Under Codebook §5, this warrants reasoning_grounding = no; the returned chunks do not supply the relied-upon authority for this application.</t>
  </si>
  <si>
    <t>Top linked retrievals: 1. Dixon &amp; Anor v Blindley Heath Investments Ltd &amp; Anor [2015] EWCA Civ 1023 — List of significant legal precedents and citations referenced during the judgment. | 2. Tillman v Egon Zehnder Ltd [2017] EWCA Civ 1054 — List of legal authorities referenced throughout the case to support arguments regarding covenant enforceability. | 3. Transocean Drilling U.K. Ltd v Providence Resources Plc [2016] EWCA Civ 372 — Compilation of authorities cited to support interpretation and doctrinal stance.. The cited authority itself was not retrieved.</t>
  </si>
  <si>
    <t>Linked search cmsbrpoz0000d04jp4gktumzo did not retrieve the cited authority. Under Codebook §5, this warrants reasoning_grounding = no; the returned chunks do not supply the relied-upon authority for this application.</t>
  </si>
  <si>
    <t>The general duty to give reasons is supported, but 'all judicial decisions' is too absolute because Flannery recognises exceptions and says the required extent depends on context.</t>
  </si>
  <si>
    <t>Top linked retrievals: 1. Smith v Secretary of State for Levelling Up, Housing &amp; Communities &amp; Anor [2022] EWCA Civ 1391 — Procedural path: High Court decision under s.288; Court of Appeal appeal with hearing on 29-30 June 2022; judgment delivered 31 Oct 2022. | 2. Arnold White Estates Ltd v The Forestry Commission [2022] EWCA Civ 1304 — Procedure chronology: High Court decision on time limits and merits, Court of Appeal permission on grounds, and eventual hand-down details. | 3. Sheakh, R (On the Application Of) v London Borough of Lambeth Council [2022] EWCA Civ 457 (05 April 2022) — Procedural arc from initial challenge to appellate decision; key dates and decisions.. The cited authority itself was not retrieved.</t>
  </si>
  <si>
    <t>Linked search cmsbqyu3t000v04jnza4ym1n9 did not retrieve the cited authority. Under Codebook §5, this warrants reasoning_grounding = no; the returned chunks do not supply the relied-upon authority for this application.</t>
  </si>
  <si>
    <t>English requires reasons sufficient to explain the result but does not require a judgment expressly to address every fact or argument. 'All material facts' is therefore broader than the authority.</t>
  </si>
  <si>
    <t>[49]–[64] (planning obligations/statutory framework) and [73]–[77] (reasons)</t>
  </si>
  <si>
    <t>Worcestershire concerns planning obligations, healthcare-funding evidence, committee material and reasons. It does not formulate a general rule described as 'planning obligations and public notice', so the draft is only partly faithful.</t>
  </si>
  <si>
    <t>Top linked retrievals: 1. Regina v. London Borough of Hammersmith and Fulham (Burkett) [2002] UKHL 23 — Overview of the case involving judicial review of planning permission granted by a local authority. | 2. Corbett v Cornwall Council [2022] EWCA Civ 1069 — Procedural posture: appeal from the High Court (Planning Court) with a hearing on 22 June 2022; decision handed down by the Court of Appeal on 27 July 2022 before a panel including Sir Keith Lindblom, Moylan and Stuart-Smith; judgment circulated by email. | 3. Cherkley Campaign Ltd, R (on the application of) v Mole Valley District Council &amp; Anor — Classification of the case under appropriate legal disciplines and areas of focus within planning law.. The cited authority itself was not retrieved.</t>
  </si>
  <si>
    <t>Linked search cmmxtwenv000304jr7vxcmpae did not retrieve the cited authority. Under Codebook §5, this warrants reasoning_grounding = no; the returned chunks do not supply the relied-upon authority for this application.</t>
  </si>
  <si>
    <t>[1]–[5] and [41]–[49]</t>
  </si>
  <si>
    <t>Burkett principally decides when the judicial-review time limit runs for a challenge to the grant of planning permission. It does not establish the broad fairness and transparency duty attributed to public bodies here.</t>
  </si>
  <si>
    <t>Top linked retrievals: 1. Cherkley Campaign Ltd, R (on the application of) v Mole Valley District Council &amp; Anor — Classification of the case under appropriate legal disciplines and areas of focus within planning law. | 2. Vicente &amp; Anor v Secretary of State for Communities and Local Government &amp; Anor [2014] EWCA Civ 1555 — Case classification focusing on legal areas involved in the appeal process and outcomes. | 3. Georgiou v London Borough of Enfield &amp; Ors [2004] EWHC 779 (Admin) — Insightful analysis into the potential ramifications of the ruling.. The cited authority itself was not retrieved.</t>
  </si>
  <si>
    <t>Linked search cmmxsgyjb000b04ld1tvzyr07 did not retrieve the cited authority. Under Codebook §5, this warrants reasoning_grounding = no; the returned chunks do not supply the relied-upon authority for this application.</t>
  </si>
  <si>
    <t>The general adequacy-of-reasons principle is supported, but the tax-specific asset-relevance formulation is not a holding of English and adds an unsupported doctrinal gloss.</t>
  </si>
  <si>
    <t>Top linked retrievals: 1. Revenue and Customs v Lloyds TSB Equipment Leasing (No 1) Ltd [2014] EWCA Civ 1062 — Court's interpretation of legislative text and its implications. | 2. Naghshineh v Commissioners for HM Revenue and Customs [2022] EWCA Civ 19 — Summary of the outcome as described: HMRC's position upheld; sideways relief denied for the disputed years by UT. | 3. Inmarsat Global Limited v Commissioners for Her Majesty's Revenue and Customs [2022] EWCA Civ 1076 — Analytical assessment of the decision’s value as precedent and its complexity; highlights the limits of deeming provisions, the nuanced interaction between s61(4) and s78, and the practical implications for similar tax-structuring arrangements.. The cited authority itself was not retrieved.</t>
  </si>
  <si>
    <t>Linked search cmmf20sg7000b04jxh5i54iyz did not retrieve the cited authority. Under Codebook §5, this warrants reasoning_grounding = no; the returned chunks do not supply the relied-upon authority for this application.</t>
  </si>
  <si>
    <t>Top linked retrievals: 1. Velyo Velev v. Bulgaria (Application No. 16032/07) — Analysis of the significance and implications of the ruling for future cases and legal interpretations. | 2. The Howard League for Penal Reform and Prisoners' Advice Service v The Lord Chancellor — Analysis of the case's precedent value and implications for future legal contexts. | 3. Kalda v. Estonia - Access to Information Rights for Prisoners — Analyzing the implications of the case's ruling on future legal interpretations of rights under the Convention, especially concerning prisoners.. The cited authority itself was not retrieved.</t>
  </si>
  <si>
    <t>Linked search cmmjsjnvz000k04js5ptftolc did not retrieve the cited authority. Under Codebook §5, this warrants reasoning_grounding = no; the returned chunks do not supply the relied-upon authority for this application.</t>
  </si>
  <si>
    <t>Holding (partial): Ratio is the professional judge's general duty to give reasons (Henry LJ, four general comments; exceptions noted for magistrates and summary costs… Grounding (no): 20 records returned; cited authority absent. 16 of 20 matched on legal_classification chunks, which are area/keyword metadata rather than propositions, so supply no premise…</t>
  </si>
  <si>
    <t>Holding (yes): Faithful one-line statement of the ratio (Lord Phillips MR at [16], [19]): the judgment must make apparent to the parties why one won and the other… Grounding (no): English absent from linked retrieval. 14 of 20 records matched on citations_precedents chunks, which are bare lists of cited authorities and supply no proposition. Remainder are…</t>
  </si>
  <si>
    <t>Holding (partial): Principal issue was the validity of a trustee exemption clause (cl 15): liability for breach including gross negligence may be excluded, but not for… Grounding (no): Armitage absent from retrieval and not in corpus registry. Only 10 records returned; 6 of 10 matched case_analysis chunks (precedent-strength and complexity scores, i.e. evaluative…</t>
  </si>
  <si>
    <t>Holding (no): The appeal decided whether Guernsey law permitted exclusion of gross-negligence liability, not a duty of diligent investment; the attributed… Grounding (no): Spread Trustee absent from retrieval and not in corpus registry. The 10 records concern limitation for trust claims (Creggy, Burnden), solicitors' handling of trust funds…</t>
  </si>
  <si>
    <t>Holding (partial): HL, NI appeal. Lord Nicholls's guidance is that tribunals may avoid the rigid two-stage less-favourable-treatment/comparator sequence and instead ask… Grounding (no): Shamoon absent from retrieval and not in corpus registry. All 20 records matched on case_analysis chunks, which are precedent-strength and complexity scores (each ending…</t>
  </si>
  <si>
    <t>Holding (yes): CA, three conjoined appeals (Igen v Wong; Chamberlin Solicitors v Emokpae; Brunel University v Webster). Revised the Barton v Investec guidelines on… Grounding (partial): Igen absent from retrieval as a record and not in corpus registry, but the linked retrieval is squarely on topic: four chunks concern the burden of proof in discrimination claims…</t>
  </si>
  <si>
    <t>Holding (no): The supplied authoritative source resolves to Johnson [2016] UKSC 56, which concerns deportation and Article 14 discrimination rather than prison… Grounding (no): Eight of ten records matched on procedural_history chunks listing court, judges, case numbers and hearing dates with no legal content. Ranks 1 and 2 are topically adjacent —…</t>
  </si>
  <si>
    <t>Holding (partial): Ratio is the professional judge's general duty to give reasons, arising in a valuer's negligence claim; Henry LJ notes exceptions including… Grounding (no): Flannery absent from retrieval and not in corpus registry. Eight of ten records matched on procedural_history chunks, which list court, lower court, judges, case number and hearing…</t>
  </si>
  <si>
    <t>Holding (yes): Correctly identifies the subject-matter of the authority: adequacy of reasons in judgments is precisely what English decides (Lord Phillips MR at… Grounding (no): English is in the corpus registry but was not retrieved for the linked generation. All 20 records matched on citations_precedents chunks, which are bare inventories of neutral…</t>
  </si>
  <si>
    <t>Holding (yes): The concise topic label accurately identifies Flannery's judicial duty to give reasons; the administrative extension appears only in the application… Grounding (no): Flannery absent from retrieval and not in corpus registry. All 20 records matched on citations_precedents chunks, which are inventories of neutral citations, law reports and…</t>
  </si>
  <si>
    <t>Holding (no): Burkett decides a narrow procedural question: when time begins to run for judicial review of a planning permission. The House of Lords held the period… Grounding (no): The cited authority was retrieved at rank 1, but the matched chunk is a metadata_summary: a case overview stating that the time limit for judicial review runs from the grant of…</t>
  </si>
  <si>
    <t>Holding (partial): Ratio is the professional judge's general duty to give reasons, arising in a valuer's negligence claim; comment 1 states the duty is a function of due… Grounding (no): Flannery absent from retrieval and not in corpus registry. Fifteen of twenty records matched on procedural_history chunks listing court, lower court, judges, case number and…</t>
  </si>
  <si>
    <t>Holding (yes): Faithful statement of the ratio (Lord Phillips MR at [16], [19]): the judgment must make apparent to the parties why one won and the other lost… Grounding (no): English is in the corpus registry but was not retrieved for the linked generation. The retrieval is entirely insurance and contract-interpretation material: 12 citations_precedents…</t>
  </si>
  <si>
    <t>Holding (no): Flannery concerns a judge's duty to give reasons for a judgment, arising in a valuer's negligence claim over a mortgage valuation; the four general… Grounding (no): Flannery absent from retrieval and not in corpus registry. The retrieval is topically adjacent to the application, since several records concern construction of insurance policies…</t>
  </si>
  <si>
    <t>Holding (yes): Correctly identifies the subject-matter of the authority: adequacy of reasons in judgments is precisely what English decides (Lord Phillips MR at… Grounding (no): English is in the corpus registry but was not retrieved for the linked generation. The retrieval is environmental and public-law material: six citations_precedents inventories…</t>
  </si>
  <si>
    <t>Holding (yes): The concise topic label accurately identifies Flannery's judicial duty to give reasons; the public-funding extension appears only in the application… Grounding (no): Flannery absent from retrieval and not in corpus registry. Two records concern funding decisions and so are topically adjacent to the application: rank 2 Friends of the Earth v…</t>
  </si>
  <si>
    <t>Holding (yes): Faithful statement of the ratio (Lord Phillips MR at [16], [19]): the judgment must make apparent to the parties why one won and the other lost… Grounding (no): English is in the corpus registry but was not retrieved for the linked generation. The retrieval is prison and detention public-law material: six legal_classification taxonomies…</t>
  </si>
  <si>
    <t>Holding (yes): Faithful and, of the English occurrences in this sample, the most complete statement of the ratio. Lord Phillips MR at [16], [19]: the judgment must… Grounding (no): English is in the corpus registry but was not retrieved for the linked generation. Seventeen of twenty records matched on legal_classification chunks, which list primary category…</t>
  </si>
  <si>
    <t>Holding (yes): The most accurate Flannery formulation in the sample. It correctly locates the duty in judicial decisions rather than extending it to administrative… Grounding (no): Flannery absent from retrieval and not in corpus registry. Seventeen of twenty records matched on legal_classification chunks listing primary category, legal areas, jurisdiction…</t>
  </si>
  <si>
    <t>Holding (no): Phones 4U is a passing-off and infringement decision, not an authority establishing conditions for refusing registration. Grounding (partial): The retrieval is doctrinally on point for the application, which is the first time in this sample that has occurred without the cited authority being present. Rank 2 Lidl v Tesco…</t>
  </si>
  <si>
    <t>Holding (no): The draft relocates Flannery's judicial reason-giving duty to parties' conduct in trade-mark disputes, a materially different proposition. Grounding (no): Flannery absent from retrieval and not in corpus registry. The retrieval is trade mark and passing-off material and contains nothing on a duty to give reasons. Rank 14 Zuma's…</t>
  </si>
  <si>
    <t>Holding (partial): Principal issue was the validity of a trustee exemption clause (cl 15): liability for breach of trust including gross negligence may be excluded, but… Grounding (no): Armitage absent from retrieval and not in corpus registry. Four of ten records matched on procedural_history chunks listing court, judges, case numbers and hearing durations with…</t>
  </si>
  <si>
    <t>Holding (partial): Ratio is the professional judge's general duty to give reasons for a judgment, arising in a valuer's negligence claim; comment 1 states that fairness… Grounding (no): Flannery absent from retrieval and not in corpus registry. The retrieval is trust and fiduciary material and contains nothing on a duty to give reasons. Ranks 5, 6 and 7 concern…</t>
  </si>
  <si>
    <t>Holding (no): Gorringe reaches the opposite position on the proposition attributed. The claimant collided with a bus after cresting a hill and argued the authority… Grounding (partial): The retrieval genuinely supports part of the application. The cited authority was retrieved at rank 2; rank 11 Griffiths names whether the defendant took reasonable steps to…</t>
  </si>
  <si>
    <t>Holding (yes): Faithful and correctly located. The duty is placed on courts, which is where Henry LJ puts it (the professional judge owes a general duty to give… Grounding (no): Flannery absent from retrieval and not in corpus registry. The retrieval is highway and occupiers' liability material returned for the Karpasitis cycle-path claim: eleven…</t>
  </si>
  <si>
    <t>Holding (yes): Faithful. Caparo concerned auditors' liability to a takeover bidder who relied on statutory audited accounts, and is the leading authority for the… Grounding (partial): The retrieval supports part of the application. Rank 6 is a citations inventory for a decision on misrepresentation, duty of care and disclaimers, and it names the cited authority…</t>
  </si>
  <si>
    <t>Holding (no): Stone &amp; Rolls was decided on attribution and illegality on an assumed case of auditor negligence; it did not set audit-information standards. Grounding (no): Stone &amp; Rolls is absent from the retrieval, absent from the corpus registry, and unlike the cited authority at citation_index 1 is not named in any retrieved chunk. Nothing in the…</t>
  </si>
  <si>
    <t>Holding (yes): Faithful statement of the ratio (Lord Phillips MR at [16], [19]): the judgment must make apparent to the parties why one won and the other lost… Grounding (no): English is in the corpus registry but was not retrieved for the linked generation. Nineteen of twenty records matched on case_analysis chunks, which are precedent-strength and…</t>
  </si>
  <si>
    <t>Holding (yes): Bare topic label correctly identifying the subject-matter of the authority: adequacy of reasons in judgments is what English decides (Lord Phillips MR… Grounding (no): English is in the corpus registry but was not retrieved. Nineteen of twenty records matched on case_analysis precedent-strength chunks; the twentieth is a classification taxonomy…</t>
  </si>
  <si>
    <t>Holding (yes): Bare topic label correctly identifying the subject-matter: the duty to give reasons is what Flannery decides (Henry LJ, four general comments at… Grounding (no): Flannery absent from retrieval and not in corpus registry. The retrieval is landlord-and-tenant material concerning relief from forfeiture, lease interpretation and surety…</t>
  </si>
  <si>
    <t>Holding (yes): Bare topic label correctly identifying the subject-matter of the authority: adequacy of reasons in judgments is what English decides (Lord Phillips MR… Grounding (no): English is in the corpus registry but was not retrieved. The retrieval is tax material returned for the draft's asset-classification dispute: capital allowances, deeming…</t>
  </si>
  <si>
    <t>Holding (yes): Bare topic label correctly identifying the subject-matter: the duty to give reasons is what Flannery decides (Henry LJ, four general comments at… Grounding (no): Flannery absent from retrieval and not in corpus registry. The retrieval is tax material on capital allowances, deeming provisions and statutory construction, returned for the…</t>
  </si>
  <si>
    <t>Holding (yes): Bare topic label correctly identifying the subject-matter of the authority: adequacy of reasons in judgments is what English decides (Lord Phillips MR… Grounding (no): English is in the corpus registry but was not retrieved. All twenty records matched on case_analysis chunks, which are precedent-strength and complexity scores rather than…</t>
  </si>
  <si>
    <t>Holding (yes): Faithful and correctly located. "Duty to give reasons for judgments" places the duty on the court in respect of its judgment, which is exactly where… Grounding (no): Flannery absent from retrieval and not in corpus registry. All twenty records matched on case_analysis precedent-strength chunks, which state no propositions. The retrieval is…</t>
  </si>
  <si>
    <t>Holding (yes): Bare topic label correctly identifying the subject-matter: the duty to give reasons is what Flannery decides (Henry LJ, four general comments at… Grounding (no): Flannery absent from retrieval and not in corpus registry. All twenty records matched on case_analysis chunks: precedent-strength and complexity scores with confidence percentages…</t>
  </si>
  <si>
    <t>Holding (yes): The judgment confirms a contextual duty to give reasons sufficient to show why the judge reached the decision; it does not require discussion of every… Grounding (no): Linked search cmsbrv0ui000x04jpfm1qjd05 did not retrieve the cited authority. Under Codebook §5, this warrants reasoning_grounding = no; the returned chunks do not supply the…</t>
  </si>
  <si>
    <t>Holding (yes): Flannery recognises a general, context-dependent duty on judges to give reasons; a failure to explain the basis of a decision may justify an appeal. Grounding (no): Linked search cmsbrv0ui000x04jpfm1qjd05 did not retrieve the cited authority. Under Codebook §5, this warrants reasoning_grounding = no; the returned chunks do not supply the…</t>
  </si>
  <si>
    <t>Holding (n/a): Non-case reference: holding accuracy is n/a under the codebook. Section 35A gives the High Court power to include simple interest on debts or damages… Grounding (no): Linked search cmsbrv0ui000x04jpfm1qjd05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</si>
  <si>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cmm0b91t5000e04ibf7gf6ujr did not retrieve the cited authority. Under Codebook §5, this warrants reasoning_grounding = no; the returned chunks do not supply the…</t>
  </si>
  <si>
    <t>Holding (partial): James is relevant to agency-worker status but specifically concerns when an employment contract with the end user must be implied; the broader… Grounding (no): Linked search cmsbsjzo7000b04ji6xjyj7y5 did not retrieve the cited authority. Under Codebook §5, this warrants reasoning_grounding = no; the returned chunks do not supply the…</t>
  </si>
  <si>
    <t>Holding (partial): Uber addresses statutory worker status and requires the statutory purpose and practical relationship to be examined rather than treating contractual… Grounding (no): Linked search cmsbsjzo7000b04ji6xjyj7y5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</si>
  <si>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cmmxkq28b000304jo5eard9id did not retrieve the cited authority. Under Codebook §5, this warrants reasoning_grounding = no; the returned chunks do not supply the…</t>
  </si>
  <si>
    <t>Holding (yes): Flannery recognises a general, context-dependent duty on judges to give reasons; a failure to explain the basis of a decision may justify an appeal. Grounding (no): Linked search cmmxkq28b000304jo5eard9id did not retrieve the cited authority. Under Codebook §5, this warrants reasoning_grounding = no; the returned chunks do not supply the…</t>
  </si>
  <si>
    <t>Holding (yes): Mamidoil sets out principles for contractual certainty and supports implying an objectively reasonable price where commercial parties intended to be… Grounding (partial): Hughes and Barton provide some linked support for contracts without fixed prices and implied terms, but the retrieval does not state Mamidoil's full reasonable-price analysis.</t>
  </si>
  <si>
    <t>Holding (no): Chartbrook concerns the construction of an existing contractual term, not the implication of terms and not pricing left unexplicit. The dispute was… Grounding (no): The cited authority was retrieved at rank 3, but every one of the 20 records matched on case_analysis chunks: precedent-strength and complexity scores with confidence percentages…</t>
  </si>
  <si>
    <t>Holding (partial): The authority supports adequacy of reasons in judicial judgments. The draft preserves that core idea but recasts it as a duty governing a funding… Grounding (no): Linked search cmsbj2peo000b04jw4kua4pz9 did not retrieve the cited authority. Under Codebook §5, this warrants reasoning_grounding = no; the returned chunks do not supply the…</t>
  </si>
  <si>
    <t>Holding (partial): The judicial-reasons principle is present, but the wording broadens Flannery into a general entitlement to reasons for any decision affecting a party. Grounding (no): Linked search cmsbj2peo000b04jw4kua4pz9 did not retrieve the cited authority. Under Codebook §5, this warrants reasoning_grounding = no; the returned chunks do not supply the…</t>
  </si>
  <si>
    <t>Holding (partial): Armitage is principally about trustee exemption clauses and the irreducible core of honest, good-faith performance. General duties of prudence and… Grounding (no): Linked search cmm0cqleo000z04i321gtuvf1 did not retrieve the cited authority. Under Codebook §5, this warrants reasoning_grounding = no; the returned chunks do not supply the…</t>
  </si>
  <si>
    <t>Holding (partial): Spread Trustee concerns whether Guernsey trust law permitted exclusion of liability for gross negligence. It discusses trustee liability, but the… Grounding (no): Linked search cmm0cqleo000z04i321gtuvf1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</si>
  <si>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cmlzy6by600ft04i8cpz0rrjt did not retrieve the cited authority. Under Codebook §5, this warrants reasoning_grounding = no; the returned chunks do not supply the…</t>
  </si>
  <si>
    <t>Holding (no): Flannery concerns reasons in judicial judgments and does not establish a free-standing public-funding justification duty. Grounding (no): Linked search cmlzy6by600ft04i8cpz0rrjt did not retrieve the cited authority. Under Codebook §5, this warrants reasoning_grounding = no; the returned chunks do not supply the…</t>
  </si>
  <si>
    <t>Holding (n/a): Non-case reference: holding accuracy is n/a. As a source-description check, PD52D governs statutory appeals and appeals subject to special provision… Grounding (no): Linked search cmlzy6by600ft04i8cpz0rrjt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</si>
  <si>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cmsbr3gmj000p04l4jzoye2ph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</si>
  <si>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cmm93cs0n000304l46op6ul80 did not retrieve the cited authority. Under Codebook §5, this warrants reasoning_grounding = no; the returned chunks do not supply the…</t>
  </si>
  <si>
    <t>Holding (yes): The principle keeps the duty with judicial determinations and is materially accurate; the unsupported transfer to a clinician occurs in the… Grounding (no): Linked search cmm93cs0n000304l46op6ul80 did not retrieve the cited authority. Under Codebook §5, this warrants reasoning_grounding = no; the returned chunks do not supply the…</t>
  </si>
  <si>
    <t>Holding (partial): Montgomery concerns the duty to advise. The Supreme Court held that a doctor must take reasonable care to ensure a patient is aware of material risks… Grounding (partial): The retrieval supports part of the application. The cited authority is named expressly in two citations inventories (ranks 1 and 3), each alongside Sidaway and Bolam, which is the…</t>
  </si>
  <si>
    <t>Holding (partial): Armitage is principally about trustee exemption clauses and the irreducible core of honest, good-faith performance. The draft's prudence/conflict… Grounding (no): Linked search cmm0cqleo000z04i321gtuvf1 did not retrieve the cited authority. Under Codebook §5, this warrants reasoning_grounding = no; the returned chunks do not supply the…</t>
  </si>
  <si>
    <t>Holding (no): Spread Trustee decided exoneration from gross-negligence liability under Guernsey law, not a general prudence standard for investment management. Grounding (no): Linked search cmm0cqleo000z04i321gtuvf1 did not retrieve the cited authority. Under Codebook §5, this warrants reasoning_grounding = no; the returned chunks do not supply the…</t>
  </si>
  <si>
    <t>Holding (partial): Hedley Byrne supports a duty of care for negligent advice or information where responsibility is assumed and reliance is reasonable. The draft omits… Grounding (no): Linked search cmst7t5an00d204l5jrwmz7m1 did not retrieve the cited authority. Under Codebook §5, this warrants reasoning_grounding = no; the returned chunks do not supply the…</t>
  </si>
  <si>
    <t>Holding (partial): Henderson supports duties of reasonable skill and care for Lloyd's managing agents and concurrent liability in tort and contract based on assumption… Grounding (no): Linked search cmst7t5an00d204l5jrwmz7m1 did not retrieve the cited authority. Under Codebook §5, this warrants reasoning_grounding = no; the returned chunks do not supply the…</t>
  </si>
  <si>
    <t>Holding (partial): Bolam states a professional-negligence standard by reference to responsible professional practice, but the case concerned medical treatment and did… Grounding (no): Linked search cmst7t5an00d204l5jrwmz7m1 did not retrieve the cited authority. Under Codebook §5, this warrants reasoning_grounding = no; the returned chunks do not supply the…</t>
  </si>
  <si>
    <t>Holding (no): Flannery requires judges to explain the basis of their conclusions. It does not require parties to accompany claims and defences with adequate… Grounding (no): Linked search cmst7t5an00d204l5jrwmz7m1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</si>
  <si>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cmmshur54000b04jsgyo6bz98 did not retrieve the cited authority. Under Codebook §5, this warrants reasoning_grounding = no; the returned chunks do not supply the…</t>
  </si>
  <si>
    <t>Holding (partial): The core judicial duty to give reasons is supported, but the proposition is framed as a broad procedural entitlement covering decisions made under any… Grounding (no): Linked search cmmshur54000b04jsgyo6bz98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</si>
  <si>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cmsbsuhsv001r04jiv19ukl8u did not retrieve the cited authority. Under Codebook §5, this warrants reasoning_grounding = no; the returned chunks do not supply the…</t>
  </si>
  <si>
    <t>Holding (yes): The proposition materially identifies VWFS's subject: residual input VAT, mixed supplies and special apportionment methods; omitted detail does not… Grounding (yes): The rank-1 VWFS record directly describes residual input-tax attribution across taxable and exempt supplies and the business's economic reality, supporting the application.</t>
  </si>
  <si>
    <t>Holding (partial): St Helen's is relevant to VAT attribution and special-method analysis, but 'operational purposes' omits the direct-and-immediate-link and fair-proxy… Grounding (yes): The rank-1 VWFS record directly addresses a partial-exemption special method and partial attribution, supporting the application to method selection.</t>
  </si>
  <si>
    <t>Holding (partial): The general judicial duty to give reasons is supported, but Flannery does not create a tax-specific obligation or require detailed reasons in every… Grounding (no): Linked search cmsbr1xgb000d04l4kki35x9j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</si>
  <si>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cmmxgv6n0000b04kt94o7km5w did not retrieve the cited authority. Under Codebook §5, this warrants reasoning_grounding = no; the returned chunks do not supply the…</t>
  </si>
  <si>
    <t>Holding (yes): Flannery recognises a general, context-dependent duty on judges to give reasons; a failure to explain the basis of a decision may justify an appeal. Grounding (no): Linked search cmmxgv6n0000b04kt94o7km5w did not retrieve the cited authority. Under Codebook §5, this warrants reasoning_grounding = no; the returned chunks do not supply the…</t>
  </si>
  <si>
    <t>Holding (n/a): Non-case reference: holding accuracy is n/a. As a source-description check, section 35A is a power to award simple interest and does not create an… Grounding (no): Linked search cmmxgv6n0000b04kt94o7km5w did not retrieve the cited authority. Under Codebook §5, this warrants reasoning_grounding = no; the returned chunks do not supply the…</t>
  </si>
  <si>
    <t>Holding (no): [2020] 4 WLR 55 is Bank St Petersburg PJSC v Arkhangelsky, concerning delayed judgment, assessment of evidence and the safety of findings. It does not… Grounding (partial): The retrieval substantively addresses public-authority negligence, road safety and statutory highway duties, but not the asserted due-diligence defence in full.</t>
  </si>
  <si>
    <t>Holding (yes): The judgment confirms a contextual duty to give reasons sufficient to show why the judge reached the decision; it does not require discussion of every… Grounding (no): Linked search cmst47zkn000v04l7hdoa66wv did not retrieve the cited authority. Under Codebook §5, this warrants reasoning_grounding = no; the returned chunks do not supply the…</t>
  </si>
  <si>
    <t>Holding (yes): Flannery recognises a general, context-dependent duty on judges to give reasons; a failure to explain the basis of a decision may justify an appeal. Grounding (no): Linked search cmst47zkn000v04l7hdoa66wv did not retrieve the cited authority. Under Codebook §5, this warrants reasoning_grounding = no; the returned chunks do not supply the…</t>
  </si>
  <si>
    <t>Holding (no): Gorringe reaches the opposite position on the proposition attributed, and more directly than at row 14. The claim was precisely that the authority… Grounding (partial): Assessed on the same basis as sample_order 14, which shares this retrieval. Highway-maintenance and duty material is genuinely present: rank 11 Griffiths addresses whether…</t>
  </si>
  <si>
    <t>Holding (partial): Yetkin concerned a pedestrian struck while crossing a dual carriageway where the council had planted shrubs in the central reservation and allowed… Grounding (partial): The strongest grounding case in the sample so far. Rank 9 Tindall is the retrieval's only legal_reasoning chunk and it addresses warning signage directly - whether police attending…</t>
  </si>
  <si>
    <t>Holding (partial): Neilson supports extrinsic evidence and boundary agreements where boundaries are uncertain, but the broad historical-evidence formulation omits those… Grounding (no): Linked search cmlzpfjvk000b04jtl1v4uh8a did not retrieve the cited authority. Under Codebook §5, this warrants reasoning_grounding = no; the returned chunks do not supply the…</t>
  </si>
  <si>
    <t>Holding (partial): Pye confirms adverse possession through factual possession plus an intention to possess for the statutory period. 'Long occupation' alone is… Grounding (no): Linked search cmlzpfjvk000b04jtl1v4uh8a did not retrieve the cited authority. Under Codebook §5, this warrants reasoning_grounding = no; the returned chunks do not supply the…</t>
  </si>
  <si>
    <t>Holding (no): Chapman is a clinical-negligence case about delayed diagnosis and treatment of a thoracic disc prolapse. It does not concern statutory safety… Grounding (yes): The linked Gorringe and Griffiths legal-reasoning chunks directly explain how statutory duties and public-authority conduct affect negligence liability, even though the cited…</t>
  </si>
  <si>
    <t>Holding (partial): The general need for reasons in judicial decisions is supported, but the draft conflates reason-giving with proof that a party exercised adequate care… Grounding (no): Linked search cmmshur54000b04jsgyo6bz98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</si>
  <si>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cmlzp9luh000304l29ip4sjki did not retrieve the cited authority. Under Codebook §5, this warrants reasoning_grounding = no; the returned chunks do not supply the…</t>
  </si>
  <si>
    <t>Holding (yes): Flannery recognises a general, context-dependent duty on judges to give reasons; a failure to explain the basis of a decision may justify an appeal. Grounding (no): Linked search cmlzp9luh000304l29ip4sjki did not retrieve the cited authority. Under Codebook §5, this warrants reasoning_grounding = no; the returned chunks do not supply the…</t>
  </si>
  <si>
    <t>Holding (n/a): Non-case reference: holding accuracy is n/a. Section 35A permits simple interest to be included on debts or damages, subject to the statutory wording… Grounding (no): Linked search cmlzp9luh000304l29ip4sjki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</si>
  <si>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cmsbtb7sw002n04jipbuqxu0i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</si>
  <si>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cms1pq4rm000d04js91x46eaf did not retrieve the cited authority. Under Codebook §5, this warrants reasoning_grounding = no; the returned chunks do not supply the…</t>
  </si>
  <si>
    <t>Holding (no): Flannery concerns judicial reasons and does not create a presumption that inadequately reasoned public decisions are unlawful. Grounding (no): Linked search cms1pq4rm000d04js91x46eaf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</si>
  <si>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cmst7yrwi000b04i90ncdwp78 did not retrieve the cited authority. Under Codebook §5, this warrants reasoning_grounding = no; the returned chunks do not supply the…</t>
  </si>
  <si>
    <t>Holding (yes): Flannery recognises a general, context-dependent duty on judges to give reasons; a failure to explain the basis of a decision may justify an appeal. Grounding (no): Linked search cmst7yrwi000b04i90ncdwp78 did not retrieve the cited authority. Under Codebook §5, this warrants reasoning_grounding = no; the returned chunks do not supply the…</t>
  </si>
  <si>
    <t>Holding (yes): The judgment confirms a contextual duty to give reasons sufficient to show why the judge reached the decision; it does not require discussion of every… Grounding (no): Linked search cmsbrpoz0000d04jp4gktumzo did not retrieve the cited authority. Under Codebook §5, this warrants reasoning_grounding = no; the returned chunks do not supply the…</t>
  </si>
  <si>
    <t>Holding (yes): Flannery recognises a general, context-dependent duty on judges to give reasons; a failure to explain the basis of a decision may justify an appeal. Grounding (no): Linked search cmsbrpoz0000d04jp4gktumzo did not retrieve the cited authority. Under Codebook §5, this warrants reasoning_grounding = no; the returned chunks do not supply the…</t>
  </si>
  <si>
    <t>Holding (partial): The general duty to give reasons is supported, but 'all judicial decisions' is too absolute because Flannery recognises exceptions and says the… Grounding (no): Linked search cmsbqyu3t000v04jnza4ym1n9 did not retrieve the cited authority. Under Codebook §5, this warrants reasoning_grounding = no; the returned chunks do not supply the…</t>
  </si>
  <si>
    <t>Holding (partial): English requires reasons sufficient to explain the result but does not require a judgment expressly to address every fact or argument. 'All material… Grounding (no): Linked search cmsbqyu3t000v04jnza4ym1n9 did not retrieve the cited authority. Under Codebook §5, this warrants reasoning_grounding = no; the returned chunks do not supply the…</t>
  </si>
  <si>
    <t>Holding (partial): Burkett decides when time begins to run for judicial review of a planning permission: the period runs from the date of the actual grant, not from the… Grounding (partial): The Burkett summary and planning-law material support the procedural setting, but no retrieved chunk states a general procedural-fairness test.</t>
  </si>
  <si>
    <t>Holding (partial): Worcestershire concerns planning obligations, healthcare-funding evidence, committee material and reasons. It does not formulate a general rule… Grounding (no): Linked search cmmxtwenv000304jr7vxcmpae did not retrieve the cited authority. Under Codebook §5, this warrants reasoning_grounding = no; the returned chunks do not supply the…</t>
  </si>
  <si>
    <t>Holding (no): Burkett principally decides when the judicial-review time limit runs for a challenge to the grant of planning permission. It does not establish the… Grounding (no): Linked search cmmxsgyjb000b04ld1tvzyr07 did not retrieve the cited authority. Under Codebook §5, this warrants reasoning_grounding = no; the returned chunks do not supply the…</t>
  </si>
  <si>
    <t>Holding (partial): The general adequacy-of-reasons principle is supported, but the tax-specific asset-relevance formulation is not a holding of English and adds an… Grounding (partial): The rank-1 Lloyds legal-reasoning chunk supports qualifying-use and asset-classification analysis, but it does not supply the separate reasons-adequacy premise.</t>
  </si>
  <si>
    <t>Holding (yes): The judgment confirms a contextual duty to give reasons sufficient to show why the judge reached the decision; it does not require discussion of every… Grounding (no): Linked search cmmjsjnvz000k04js5ptftolc did not retrieve the cited authority. Under Codebook §5, this warrants reasoning_grounding = no; the returned chunks do not supply the…</t>
  </si>
  <si>
    <t>Holding-Accuracy and Reasoning-Grounding Annotation Workbook</t>
  </si>
  <si>
    <t>R3_reasoning_grounding</t>
  </si>
  <si>
    <t>R3_grounding_evidence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</si>
</sst>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3">
    <font>
      <sz val="11"/>
      <name val="Carlito"/>
    </font>
    <font>
      <sz val="11"/>
      <name val="Aptos"/>
    </font>
    <font>
      <b/>
      <sz val="10"/>
      <color rgb="FFFFFFFF"/>
      <name val="Aptos"/>
    </font>
    <font>
      <sz val="10"/>
      <name val="Aptos"/>
    </font>
    <font>
      <b/>
      <sz val="15"/>
      <color rgb="FFFFFFFF"/>
      <name val="Aptos Display"/>
    </font>
    <font>
      <sz val="9"/>
      <name val="Aptos"/>
    </font>
    <font>
      <b/>
      <sz val="11"/>
      <color rgb="FF1F1F1F"/>
      <name val="Aptos"/>
    </font>
    <font>
      <b/>
      <sz val="9"/>
      <color rgb="FFFFFFFF"/>
      <name val="Aptos"/>
    </font>
    <font>
      <b/>
      <sz val="9"/>
      <name val="Aptos"/>
    </font>
    <font>
      <u/>
      <sz val="11"/>
      <color theme="10"/>
      <name val="Carlito"/>
    </font>
    <font>
      <sz val="9"/>
      <name val="Aptos"/>
      <family val="2"/>
    </font>
    <font>
      <b/>
      <sz val="16"/>
      <color rgb="FFFFFFFF"/>
      <name val="Aptos Display"/>
      <family val="2"/>
    </font>
    <font>
      <sz val="8"/>
      <name val="Carlito"/>
    </font>
  </fonts>
  <fills count="9">
    <fill>
      <patternFill patternType="none"/>
    </fill>
    <fill>
      <patternFill patternType="gray125"/>
    </fill>
    <fill>
      <patternFill patternType="solid">
        <fgColor rgb="FF17365D"/>
      </patternFill>
    </fill>
    <fill>
      <patternFill patternType="solid">
        <fgColor rgb="FFDDEBF7"/>
      </patternFill>
    </fill>
    <fill>
      <patternFill patternType="solid">
        <fgColor rgb="FFD6A84B"/>
      </patternFill>
    </fill>
    <fill>
      <patternFill patternType="solid">
        <fgColor rgb="FFFFF2CC"/>
      </patternFill>
    </fill>
    <fill>
      <patternFill patternType="solid">
        <fgColor rgb="FFE7E6E6"/>
      </patternFill>
    </fill>
    <fill>
      <patternFill patternType="solid">
        <fgColor rgb="FFE4DFEC"/>
      </patternFill>
    </fill>
    <fill>
      <patternFill patternType="solid">
        <fgColor rgb="FFD9EAF7"/>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33">
    <xf numFmtId="0" fontId="0" fillId="0" borderId="0" xfId="0"/>
    <xf numFmtId="0" fontId="1" fillId="3" borderId="0" xfId="0" applyFont="1" applyFill="1" applyAlignment="1">
      <alignment wrapText="1"/>
    </xf>
    <xf numFmtId="0" fontId="2" fillId="2" borderId="0" xfId="0" applyFont="1" applyFill="1" applyAlignment="1">
      <alignment wrapText="1"/>
    </xf>
    <xf numFmtId="0" fontId="3" fillId="0" borderId="0" xfId="0" applyFont="1" applyAlignment="1">
      <alignment vertical="top" wrapText="1"/>
    </xf>
    <xf numFmtId="0" fontId="5" fillId="3" borderId="0" xfId="0" applyFont="1" applyFill="1" applyAlignment="1">
      <alignment vertical="center" wrapText="1"/>
    </xf>
    <xf numFmtId="0" fontId="7" fillId="2" borderId="0" xfId="0" applyFont="1" applyFill="1"/>
    <xf numFmtId="0" fontId="7" fillId="2" borderId="0" xfId="0" applyFont="1" applyFill="1" applyAlignment="1">
      <alignment wrapText="1"/>
    </xf>
    <xf numFmtId="0" fontId="8" fillId="3" borderId="0" xfId="0" applyFont="1" applyFill="1"/>
    <xf numFmtId="0" fontId="5" fillId="5" borderId="0" xfId="0" applyFont="1" applyFill="1" applyAlignment="1">
      <alignment wrapText="1"/>
    </xf>
    <xf numFmtId="164" fontId="5" fillId="5" borderId="0" xfId="0" applyNumberFormat="1" applyFont="1" applyFill="1" applyAlignment="1">
      <alignment wrapText="1"/>
    </xf>
    <xf numFmtId="0" fontId="5" fillId="3" borderId="0" xfId="0" applyFont="1" applyFill="1" applyAlignment="1">
      <alignment vertical="top" wrapText="1"/>
    </xf>
    <xf numFmtId="0" fontId="7" fillId="2" borderId="0" xfId="0" applyFont="1" applyFill="1" applyAlignment="1">
      <alignment vertical="center" wrapText="1"/>
    </xf>
    <xf numFmtId="0" fontId="5" fillId="0" borderId="0" xfId="0" applyFont="1" applyAlignment="1">
      <alignment vertical="top"/>
    </xf>
    <xf numFmtId="0" fontId="5" fillId="0" borderId="0" xfId="0" applyFont="1" applyAlignment="1">
      <alignment vertical="top" wrapText="1"/>
    </xf>
    <xf numFmtId="165" fontId="5" fillId="0" borderId="0" xfId="0" applyNumberFormat="1" applyFont="1" applyAlignment="1">
      <alignment vertical="top" wrapText="1"/>
    </xf>
    <xf numFmtId="0" fontId="5" fillId="3" borderId="0" xfId="0" applyFont="1" applyFill="1" applyAlignment="1">
      <alignment vertical="top"/>
    </xf>
    <xf numFmtId="0" fontId="5" fillId="5" borderId="0" xfId="0" applyFont="1" applyFill="1" applyAlignment="1">
      <alignment vertical="top"/>
    </xf>
    <xf numFmtId="0" fontId="5" fillId="6" borderId="0" xfId="0" applyFont="1" applyFill="1" applyAlignment="1">
      <alignment vertical="top"/>
    </xf>
    <xf numFmtId="0" fontId="5" fillId="7" borderId="0" xfId="0" applyFont="1" applyFill="1" applyAlignment="1">
      <alignment vertical="top"/>
    </xf>
    <xf numFmtId="0" fontId="5" fillId="8" borderId="0" xfId="0" applyFont="1" applyFill="1" applyAlignment="1">
      <alignment vertical="top"/>
    </xf>
    <xf numFmtId="0" fontId="7" fillId="2" borderId="0" xfId="0" applyFont="1" applyFill="1" applyAlignment="1">
      <alignment vertical="center"/>
    </xf>
    <xf numFmtId="165" fontId="5" fillId="8" borderId="0" xfId="0" applyNumberFormat="1" applyFont="1" applyFill="1" applyAlignment="1">
      <alignment vertical="top"/>
    </xf>
    <xf numFmtId="14" fontId="5" fillId="5" borderId="0" xfId="0" applyNumberFormat="1" applyFont="1" applyFill="1" applyAlignment="1">
      <alignment vertical="top"/>
    </xf>
    <xf numFmtId="0" fontId="9" fillId="3" borderId="0" xfId="1" applyFill="1" applyAlignment="1">
      <alignment vertical="top"/>
    </xf>
    <xf numFmtId="0" fontId="7" fillId="2" borderId="0" xfId="0" applyFont="1" applyFill="1" applyAlignment="1">
      <alignment horizontal="center" wrapText="1"/>
    </xf>
    <xf numFmtId="0" fontId="0" fillId="0" borderId="0" xfId="0" applyAlignment="1">
      <alignment horizontal="center"/>
    </xf>
    <xf numFmtId="0" fontId="0" fillId="0" borderId="0" xfId="0" applyAlignment="1">
      <alignment vertical="top" wrapText="1"/>
    </xf>
    <xf numFmtId="0" fontId="10" fillId="5" borderId="0" xfId="0" applyFont="1" applyFill="1" applyAlignment="1">
      <alignment vertical="top"/>
    </xf>
    <xf numFmtId="0" fontId="10" fillId="7" borderId="0" xfId="0" applyFont="1" applyFill="1" applyAlignment="1">
      <alignment vertical="top"/>
    </xf>
    <xf numFmtId="0" fontId="11" fillId="2" borderId="0" xfId="0" applyFont="1" applyFill="1" applyAlignment="1">
      <alignment vertical="center"/>
    </xf>
    <xf numFmtId="0" fontId="0" fillId="0" borderId="0" xfId="0"/>
    <xf numFmtId="0" fontId="4" fillId="2" borderId="0" xfId="0" applyFont="1" applyFill="1"/>
    <xf numFmtId="0" fontId="6" fillId="4" borderId="0" xfId="0" applyFont="1" applyFill="1"/>
  </cellXfs>
  <cellStyles count="2">
    <cellStyle name="Hyperlink" xfId="1" builtinId="8"/>
    <cellStyle name="Normal" xfId="0" builtinId="0"/>
  </cellStyles>
  <dxfs count="108">
    <dxf>
      <fill>
        <patternFill patternType="solid">
          <bgColor rgb="FFE7E6E6"/>
        </patternFill>
      </fill>
    </dxf>
    <dxf>
      <fill>
        <patternFill patternType="solid">
          <bgColor rgb="FFF4CCCC"/>
        </patternFill>
      </fill>
    </dxf>
    <dxf>
      <fill>
        <patternFill patternType="solid">
          <bgColor rgb="FFFFF2CC"/>
        </patternFill>
      </fill>
    </dxf>
    <dxf>
      <fill>
        <patternFill patternType="solid">
          <bgColor rgb="FFE2F0D9"/>
        </patternFill>
      </fill>
    </dxf>
    <dxf>
      <font>
        <b val="0"/>
        <i val="0"/>
        <strike val="0"/>
        <condense val="0"/>
        <extend val="0"/>
        <outline val="0"/>
        <shadow val="0"/>
        <u val="none"/>
        <vertAlign val="baseline"/>
        <sz val="9"/>
        <color auto="1"/>
        <name val="Aptos"/>
        <scheme val="none"/>
      </font>
      <fill>
        <patternFill patternType="solid">
          <fgColor indexed="64"/>
          <bgColor rgb="FFFFF2CC"/>
        </patternFill>
      </fill>
      <alignment horizontal="general" vertical="top" textRotation="0" wrapText="0" indent="0" justifyLastLine="0" shrinkToFit="0" readingOrder="0"/>
    </dxf>
    <dxf>
      <fill>
        <patternFill patternType="solid">
          <bgColor rgb="FFE2F0D9"/>
        </patternFill>
      </fill>
    </dxf>
    <dxf>
      <fill>
        <patternFill patternType="solid">
          <bgColor rgb="FFFFF2CC"/>
        </patternFill>
      </fill>
    </dxf>
    <dxf>
      <fill>
        <patternFill patternType="solid">
          <bgColor rgb="FFE7E6E6"/>
        </patternFill>
      </fill>
    </dxf>
    <dxf>
      <fill>
        <patternFill patternType="solid">
          <bgColor rgb="FFF4CCCC"/>
        </patternFill>
      </fill>
    </dxf>
    <dxf>
      <fill>
        <patternFill patternType="solid">
          <bgColor rgb="FFFFF2CC"/>
        </patternFill>
      </fill>
    </dxf>
    <dxf>
      <fill>
        <patternFill patternType="solid">
          <bgColor rgb="FFE2F0D9"/>
        </patternFill>
      </fill>
    </dxf>
    <dxf>
      <fill>
        <patternFill>
          <bgColor rgb="FFE7E6E6"/>
        </patternFill>
      </fill>
    </dxf>
    <dxf>
      <fill>
        <patternFill>
          <bgColor rgb="FFF4CCCC"/>
        </patternFill>
      </fill>
    </dxf>
    <dxf>
      <fill>
        <patternFill>
          <bgColor rgb="FFFFF2CC"/>
        </patternFill>
      </fill>
    </dxf>
    <dxf>
      <fill>
        <patternFill>
          <bgColor rgb="FFE2F0D9"/>
        </patternFill>
      </fill>
    </dxf>
    <dxf>
      <fill>
        <patternFill patternType="solid">
          <bgColor rgb="FFE7E6E6"/>
        </patternFill>
      </fill>
    </dxf>
    <dxf>
      <fill>
        <patternFill patternType="solid">
          <bgColor rgb="FFF4CCCC"/>
        </patternFill>
      </fill>
    </dxf>
    <dxf>
      <fill>
        <patternFill patternType="solid">
          <bgColor rgb="FFFFF2CC"/>
        </patternFill>
      </fill>
    </dxf>
    <dxf>
      <fill>
        <patternFill patternType="solid">
          <bgColor rgb="FFE2F0D9"/>
        </patternFill>
      </fill>
    </dxf>
    <dxf>
      <fill>
        <patternFill>
          <bgColor rgb="FFE7E6E6"/>
        </patternFill>
      </fill>
    </dxf>
    <dxf>
      <fill>
        <patternFill>
          <bgColor rgb="FFF4CCCC"/>
        </patternFill>
      </fill>
    </dxf>
    <dxf>
      <fill>
        <patternFill>
          <bgColor rgb="FFFFF2CC"/>
        </patternFill>
      </fill>
    </dxf>
    <dxf>
      <fill>
        <patternFill>
          <bgColor rgb="FFE2F0D9"/>
        </patternFill>
      </fill>
    </dxf>
    <dxf>
      <fill>
        <patternFill patternType="solid">
          <bgColor rgb="FFE7E6E6"/>
        </patternFill>
      </fill>
    </dxf>
    <dxf>
      <fill>
        <patternFill patternType="solid">
          <bgColor rgb="FFF4CCCC"/>
        </patternFill>
      </fill>
    </dxf>
    <dxf>
      <fill>
        <patternFill patternType="solid">
          <bgColor rgb="FFFFF2CC"/>
        </patternFill>
      </fill>
    </dxf>
    <dxf>
      <fill>
        <patternFill patternType="solid">
          <bgColor rgb="FFE2F0D9"/>
        </patternFill>
      </fill>
    </dxf>
    <dxf>
      <fill>
        <patternFill patternType="solid">
          <bgColor rgb="FFE7E6E6"/>
        </patternFill>
      </fill>
    </dxf>
    <dxf>
      <fill>
        <patternFill patternType="solid">
          <bgColor rgb="FFF4CCCC"/>
        </patternFill>
      </fill>
    </dxf>
    <dxf>
      <fill>
        <patternFill patternType="solid">
          <bgColor rgb="FFFFF2CC"/>
        </patternFill>
      </fill>
    </dxf>
    <dxf>
      <fill>
        <patternFill patternType="solid">
          <bgColor rgb="FFE2F0D9"/>
        </patternFill>
      </fill>
    </dxf>
    <dxf>
      <fill>
        <patternFill patternType="solid">
          <bgColor rgb="FFE7E6E6"/>
        </patternFill>
      </fill>
    </dxf>
    <dxf>
      <fill>
        <patternFill patternType="solid">
          <bgColor rgb="FFF4CCCC"/>
        </patternFill>
      </fill>
    </dxf>
    <dxf>
      <fill>
        <patternFill patternType="solid">
          <bgColor rgb="FFFFF2CC"/>
        </patternFill>
      </fill>
    </dxf>
    <dxf>
      <fill>
        <patternFill patternType="solid">
          <bgColor rgb="FFE2F0D9"/>
        </patternFill>
      </fill>
    </dxf>
    <dxf>
      <fill>
        <patternFill patternType="solid">
          <bgColor rgb="FFE7E6E6"/>
        </patternFill>
      </fill>
    </dxf>
    <dxf>
      <fill>
        <patternFill patternType="solid">
          <bgColor rgb="FFF4CCCC"/>
        </patternFill>
      </fill>
    </dxf>
    <dxf>
      <fill>
        <patternFill patternType="solid">
          <bgColor rgb="FFFFF2CC"/>
        </patternFill>
      </fill>
    </dxf>
    <dxf>
      <fill>
        <patternFill patternType="solid">
          <bgColor rgb="FFE2F0D9"/>
        </patternFill>
      </fill>
    </dxf>
    <dxf>
      <font>
        <b/>
        <color rgb="FF375623"/>
      </font>
      <fill>
        <patternFill patternType="solid">
          <bgColor rgb="FFE2F0D9"/>
        </patternFill>
      </fill>
    </dxf>
    <dxf>
      <fill>
        <patternFill patternType="solid">
          <bgColor rgb="FFE2F0D9"/>
        </patternFill>
      </fill>
    </dxf>
    <dxf>
      <fill>
        <patternFill patternType="solid">
          <bgColor rgb="FFFFF2CC"/>
        </patternFill>
      </fill>
    </dxf>
    <dxf>
      <fill>
        <patternFill patternType="solid">
          <bgColor rgb="FFFFF2CC"/>
        </patternFill>
      </fill>
    </dxf>
    <dxf>
      <fill>
        <patternFill patternType="solid">
          <bgColor rgb="FFDDEBF7"/>
        </patternFill>
      </fill>
    </dxf>
    <dxf>
      <font>
        <b/>
        <color rgb="FF375623"/>
      </font>
      <fill>
        <patternFill patternType="solid">
          <bgColor rgb="FFE2F0D9"/>
        </patternFill>
      </fill>
    </dxf>
    <dxf>
      <font>
        <b val="0"/>
        <i val="0"/>
        <strike val="0"/>
        <condense val="0"/>
        <extend val="0"/>
        <outline val="0"/>
        <shadow val="0"/>
        <u val="none"/>
        <vertAlign val="baseline"/>
        <sz val="9"/>
        <color auto="1"/>
        <name val="Aptos"/>
        <scheme val="none"/>
      </font>
      <fill>
        <patternFill patternType="solid">
          <fgColor indexed="64"/>
          <bgColor rgb="FFFFF2CC"/>
        </patternFill>
      </fill>
      <alignment horizontal="general" vertical="top" textRotation="0" wrapText="0" indent="0" justifyLastLine="0" shrinkToFit="0" readingOrder="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otationInstructionsTable" displayName="AnnotationInstructionsTable" ref="A5:B22" totalsRowShown="0">
  <tableColumns count="2">
    <tableColumn id="1" xr3:uid="{00000000-0010-0000-0000-000001000000}" name="Step"/>
    <tableColumn id="2" xr3:uid="{00000000-0010-0000-0000-000002000000}" name="Required ac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alidationSampleTable" displayName="ValidationSampleTable" ref="A5:P64" totalsRowShown="0">
  <tableColumns count="16">
    <tableColumn id="1" xr3:uid="{00000000-0010-0000-0100-000001000000}" name="sample_order"/>
    <tableColumn id="2" xr3:uid="{00000000-0010-0000-0100-000002000000}" name="in_validation_sample"/>
    <tableColumn id="3" xr3:uid="{00000000-0010-0000-0100-000003000000}" name="draft_id"/>
    <tableColumn id="4" xr3:uid="{00000000-0010-0000-0100-000004000000}" name="case_doc_id"/>
    <tableColumn id="5" xr3:uid="{00000000-0010-0000-0100-000005000000}" name="case_title"/>
    <tableColumn id="6" xr3:uid="{00000000-0010-0000-0100-000006000000}" name="input_type"/>
    <tableColumn id="7" xr3:uid="{00000000-0010-0000-0100-000007000000}" name="model_used"/>
    <tableColumn id="8" xr3:uid="{00000000-0010-0000-0100-000008000000}" name="generated_at"/>
    <tableColumn id="9" xr3:uid="{00000000-0010-0000-0100-000009000000}" name="search_id"/>
    <tableColumn id="10" xr3:uid="{00000000-0010-0000-0100-00000A000000}" name="searched_at"/>
    <tableColumn id="11" xr3:uid="{00000000-0010-0000-0100-00000B000000}" name="link_method"/>
    <tableColumn id="12" xr3:uid="{00000000-0010-0000-0100-00000C000000}" name="citation_count"/>
    <tableColumn id="13" xr3:uid="{00000000-0010-0000-0100-00000D000000}" name="average_similarity"/>
    <tableColumn id="14" xr3:uid="{00000000-0010-0000-0100-00000E000000}" name="top_retrieved_case"/>
    <tableColumn id="15" xr3:uid="{00000000-0010-0000-0100-00000F000000}" name="retrieved_result_count"/>
    <tableColumn id="16" xr3:uid="{00000000-0010-0000-0100-000010000000}" name="annotation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HoldingGroundingAnnotationsTable" displayName="HoldingGroundingAnnotationsTable" ref="A1:AT116" totalsRowShown="0" headerRowDxfId="107" dataDxfId="106">
  <autoFilter ref="A1:AT116" xr:uid="{00000000-000C-0000-FFFF-FFFF02000000}">
    <filterColumn colId="1">
      <filters>
        <filter val="yes"/>
      </filters>
    </filterColumn>
  </autoFilter>
  <tableColumns count="46">
    <tableColumn id="1" xr3:uid="{00000000-0010-0000-0200-000001000000}" name="sample_order" dataDxfId="105"/>
    <tableColumn id="2" xr3:uid="{00000000-0010-0000-0200-000002000000}" name="in_validation_sample" dataDxfId="104"/>
    <tableColumn id="3" xr3:uid="{00000000-0010-0000-0200-000003000000}" name="draft_id" dataDxfId="103"/>
    <tableColumn id="4" xr3:uid="{00000000-0010-0000-0200-000004000000}" name="case_doc_id" dataDxfId="102"/>
    <tableColumn id="5" xr3:uid="{00000000-0010-0000-0200-000005000000}" name="input_type" dataDxfId="101"/>
    <tableColumn id="6" xr3:uid="{00000000-0010-0000-0200-000006000000}" name="citation_index" dataDxfId="100"/>
    <tableColumn id="7" xr3:uid="{00000000-0010-0000-0200-000007000000}" name="citation" dataDxfId="99"/>
    <tableColumn id="8" xr3:uid="{00000000-0010-0000-0200-000008000000}" name="citation_type" dataDxfId="98"/>
    <tableColumn id="9" xr3:uid="{00000000-0010-0000-0200-000009000000}" name="generated_principle" dataDxfId="97"/>
    <tableColumn id="10" xr3:uid="{00000000-0010-0000-0200-00000A000000}" name="generated_application" dataDxfId="96"/>
    <tableColumn id="11" xr3:uid="{00000000-0010-0000-0200-00000B000000}" name="binding_authority" dataDxfId="95"/>
    <tableColumn id="12" xr3:uid="{00000000-0010-0000-0200-00000C000000}" name="citation_verification_status" dataDxfId="94"/>
    <tableColumn id="13" xr3:uid="{00000000-0010-0000-0200-00000D000000}" name="citation_in_linked_retrieval" dataDxfId="93"/>
    <tableColumn id="14" xr3:uid="{00000000-0010-0000-0200-00000E000000}" name="citation_in_corpus_registry" dataDxfId="92"/>
    <tableColumn id="15" xr3:uid="{00000000-0010-0000-0200-00000F000000}" name="external_case_exists" dataDxfId="91"/>
    <tableColumn id="16" xr3:uid="{00000000-0010-0000-0200-000010000000}" name="external_citation_correct" dataDxfId="90"/>
    <tableColumn id="17" xr3:uid="{00000000-0010-0000-0200-000011000000}" name="authoritative_source_url" dataDxfId="89"/>
    <tableColumn id="18" xr3:uid="{00000000-0010-0000-0200-000012000000}" name="search_id" dataDxfId="88"/>
    <tableColumn id="19" xr3:uid="{00000000-0010-0000-0200-000013000000}" name="retrieved_case_ids" dataDxfId="87"/>
    <tableColumn id="20" xr3:uid="{00000000-0010-0000-0200-000014000000}" name="retrieved_case_titles" dataDxfId="86"/>
    <tableColumn id="21" xr3:uid="{00000000-0010-0000-0200-000015000000}" name="reviewer_id_R1" dataDxfId="85"/>
    <tableColumn id="22" xr3:uid="{00000000-0010-0000-0200-000016000000}" name="holding_accuracy_R1" dataDxfId="84"/>
    <tableColumn id="23" xr3:uid="{00000000-0010-0000-0200-000017000000}" name="source_paragraphs_R1" dataDxfId="83"/>
    <tableColumn id="24" xr3:uid="{00000000-0010-0000-0200-000018000000}" name="holding_evidence_R1" dataDxfId="82"/>
    <tableColumn id="25" xr3:uid="{00000000-0010-0000-0200-000019000000}" name="reasoning_grounding_R1" dataDxfId="81"/>
    <tableColumn id="26" xr3:uid="{00000000-0010-0000-0200-00001A000000}" name="retrieved_evidence_R1" dataDxfId="80"/>
    <tableColumn id="27" xr3:uid="{00000000-0010-0000-0200-00001B000000}" name="grounding_evidence_R1" dataDxfId="79"/>
    <tableColumn id="28" xr3:uid="{00000000-0010-0000-0200-00001C000000}" name="reviewer_confidence_R1" dataDxfId="78"/>
    <tableColumn id="29" xr3:uid="{00000000-0010-0000-0200-00001D000000}" name="reviewer_date_R1" dataDxfId="77"/>
    <tableColumn id="30" xr3:uid="{00000000-0010-0000-0200-00001E000000}" name="reviewer_id_R2" dataDxfId="76"/>
    <tableColumn id="31" xr3:uid="{00000000-0010-0000-0200-00001F000000}" name="holding_accuracy_R2" dataDxfId="75"/>
    <tableColumn id="32" xr3:uid="{00000000-0010-0000-0200-000020000000}" name="source_paragraphs_R2" dataDxfId="74"/>
    <tableColumn id="33" xr3:uid="{00000000-0010-0000-0200-000021000000}" name="holding_evidence_R2" dataDxfId="73"/>
    <tableColumn id="34" xr3:uid="{00000000-0010-0000-0200-000022000000}" name="reasoning_grounding_R2" dataDxfId="72"/>
    <tableColumn id="35" xr3:uid="{00000000-0010-0000-0200-000023000000}" name="retrieved_evidence_R2" dataDxfId="71"/>
    <tableColumn id="36" xr3:uid="{00000000-0010-0000-0200-000024000000}" name="grounding_evidence_R2" dataDxfId="70"/>
    <tableColumn id="37" xr3:uid="{00000000-0010-0000-0200-000025000000}" name="reviewer_confidence_R2" dataDxfId="69"/>
    <tableColumn id="38" xr3:uid="{00000000-0010-0000-0200-000026000000}" name="reviewer_date_R2" dataDxfId="68"/>
    <tableColumn id="45" xr3:uid="{DB8D6C97-D539-4B18-9A98-9E1A92C648B8}" name="R3_reasoning_grounding" dataDxfId="45"/>
    <tableColumn id="46" xr3:uid="{661070BD-645E-4EA3-8BBD-4712CBD536D6}" name="R3_grounding_evidence" dataDxfId="4"/>
    <tableColumn id="39" xr3:uid="{00000000-0010-0000-0200-000027000000}" name="holding_agreement" dataDxfId="67"/>
    <tableColumn id="40" xr3:uid="{00000000-0010-0000-0200-000028000000}" name="grounding_agreement" dataDxfId="66"/>
    <tableColumn id="41" xr3:uid="{00000000-0010-0000-0200-000029000000}" name="adjudicated_holding_accuracy" dataDxfId="65"/>
    <tableColumn id="42" xr3:uid="{00000000-0010-0000-0200-00002A000000}" name="adjudicated_reasoning_grounding" dataDxfId="64"/>
    <tableColumn id="43" xr3:uid="{00000000-0010-0000-0200-00002B000000}" name="adjudication_notes" dataDxfId="63"/>
    <tableColumn id="44" xr3:uid="{00000000-0010-0000-0200-00002C000000}" name="annotation_status" dataDxfId="6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trievedEvidenceTable" displayName="RetrievedEvidenceTable" ref="A1:N1161" totalsRowShown="0" headerRowDxfId="61" dataDxfId="60">
  <autoFilter ref="A1:N1161" xr:uid="{00000000-000C-0000-FFFF-FFFF03000000}"/>
  <tableColumns count="14">
    <tableColumn id="1" xr3:uid="{00000000-0010-0000-0300-000001000000}" name="search_id" dataDxfId="59"/>
    <tableColumn id="2" xr3:uid="{00000000-0010-0000-0300-000002000000}" name="retrieval_rank" dataDxfId="58"/>
    <tableColumn id="3" xr3:uid="{00000000-0010-0000-0300-000003000000}" name="retrieved_case_id" dataDxfId="57"/>
    <tableColumn id="4" xr3:uid="{00000000-0010-0000-0300-000004000000}" name="retrieved_case_title" dataDxfId="56"/>
    <tableColumn id="5" xr3:uid="{00000000-0010-0000-0300-000005000000}" name="court" dataDxfId="55"/>
    <tableColumn id="6" xr3:uid="{00000000-0010-0000-0300-000006000000}" name="case_year" dataDxfId="54"/>
    <tableColumn id="7" xr3:uid="{00000000-0010-0000-0300-000007000000}" name="overall_similarity" dataDxfId="53"/>
    <tableColumn id="8" xr3:uid="{00000000-0010-0000-0300-000008000000}" name="best_chunk_id" dataDxfId="52"/>
    <tableColumn id="9" xr3:uid="{00000000-0010-0000-0300-000009000000}" name="best_chunk_type" dataDxfId="51"/>
    <tableColumn id="10" xr3:uid="{00000000-0010-0000-0300-00000A000000}" name="best_chunk_similarity" dataDxfId="50"/>
    <tableColumn id="11" xr3:uid="{00000000-0010-0000-0300-00000B000000}" name="chunk_summary" dataDxfId="49"/>
    <tableColumn id="12" xr3:uid="{00000000-0010-0000-0300-00000C000000}" name="chunk_content" dataDxfId="48"/>
    <tableColumn id="13" xr3:uid="{00000000-0010-0000-0300-00000D000000}" name="cited_cases" dataDxfId="47"/>
    <tableColumn id="14" xr3:uid="{00000000-0010-0000-0300-00000E000000}" name="relevance_explanation" dataDxfId="4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bailii.org/ew/cases/EWCA/Civ/1999/811.html" TargetMode="External"/><Relationship Id="rId13" Type="http://schemas.openxmlformats.org/officeDocument/2006/relationships/hyperlink" Target="https://www.bailii.org/ew/cases/EWCA/Civ/2002/605.html" TargetMode="External"/><Relationship Id="rId18" Type="http://schemas.openxmlformats.org/officeDocument/2006/relationships/hyperlink" Target="https://www.bailii.org/ew/cases/EWCA/Civ/2002/605.html" TargetMode="External"/><Relationship Id="rId3" Type="http://schemas.openxmlformats.org/officeDocument/2006/relationships/hyperlink" Target="https://www.bailii.org/ew/cases/EWCA/Civ/1997/1279.html" TargetMode="External"/><Relationship Id="rId7" Type="http://schemas.openxmlformats.org/officeDocument/2006/relationships/hyperlink" Target="https://www.supremecourt.uk/cases/uksc-2016-0042" TargetMode="External"/><Relationship Id="rId12" Type="http://schemas.openxmlformats.org/officeDocument/2006/relationships/hyperlink" Target="https://www.bailii.org/ew/cases/EWCA/Civ/1999/811.html" TargetMode="External"/><Relationship Id="rId17" Type="http://schemas.openxmlformats.org/officeDocument/2006/relationships/hyperlink" Target="https://www.bailii.org/ew/cases/EWCA/Civ/2002/605.html" TargetMode="External"/><Relationship Id="rId2" Type="http://schemas.openxmlformats.org/officeDocument/2006/relationships/hyperlink" Target="https://www.bailii.org/ew/cases/EWCA/Civ/2002/605.html" TargetMode="External"/><Relationship Id="rId16" Type="http://schemas.openxmlformats.org/officeDocument/2006/relationships/hyperlink" Target="https://www.bailii.org/ew/cases/EWCA/Civ/1999/811.html" TargetMode="External"/><Relationship Id="rId1" Type="http://schemas.openxmlformats.org/officeDocument/2006/relationships/hyperlink" Target="https://www.bailii.org/ew/cases/EWCA/Civ/1999/811.html" TargetMode="External"/><Relationship Id="rId6" Type="http://schemas.openxmlformats.org/officeDocument/2006/relationships/hyperlink" Target="https://www.bailii.org/ew/cases/EWCA/Civ/2005/142.html" TargetMode="External"/><Relationship Id="rId11" Type="http://schemas.openxmlformats.org/officeDocument/2006/relationships/hyperlink" Target="https://publications.parliament.uk/pa/ld200102/ldjudgmt/jd020523/burket-1.htm" TargetMode="External"/><Relationship Id="rId5" Type="http://schemas.openxmlformats.org/officeDocument/2006/relationships/hyperlink" Target="https://publications.parliament.uk/pa/ld200203/ldjudgmt/jd030227/sham-1.htm" TargetMode="External"/><Relationship Id="rId15" Type="http://schemas.openxmlformats.org/officeDocument/2006/relationships/hyperlink" Target="https://www.bailii.org/ew/cases/EWCA/Civ/2002/605.html" TargetMode="External"/><Relationship Id="rId10" Type="http://schemas.openxmlformats.org/officeDocument/2006/relationships/hyperlink" Target="https://www.bailii.org/ew/cases/EWCA/Civ/1999/811.html" TargetMode="External"/><Relationship Id="rId19" Type="http://schemas.openxmlformats.org/officeDocument/2006/relationships/table" Target="../tables/table3.xml"/><Relationship Id="rId4" Type="http://schemas.openxmlformats.org/officeDocument/2006/relationships/hyperlink" Target="https://jcpc.uk/cases/jcpc-2010-0007" TargetMode="External"/><Relationship Id="rId9" Type="http://schemas.openxmlformats.org/officeDocument/2006/relationships/hyperlink" Target="https://www.bailii.org/ew/cases/EWCA/Civ/2002/605.html" TargetMode="External"/><Relationship Id="rId14" Type="http://schemas.openxmlformats.org/officeDocument/2006/relationships/hyperlink" Target="https://www.bailii.org/ew/cases/EWCA/Civ/1999/811.html"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workbookViewId="0">
      <selection activeCell="A2" sqref="A2"/>
    </sheetView>
  </sheetViews>
  <sheetFormatPr defaultRowHeight="13.8"/>
  <cols>
    <col min="1" max="1" width="21.09765625" customWidth="1"/>
    <col min="2" max="2" width="108.8984375" customWidth="1"/>
  </cols>
  <sheetData>
    <row r="1" spans="1:2" ht="25.5" customHeight="1">
      <c r="A1" s="29" t="s">
        <v>4979</v>
      </c>
      <c r="B1" s="30"/>
    </row>
    <row r="3" spans="1:2" ht="28.8" customHeight="1">
      <c r="A3" s="1" t="s">
        <v>587</v>
      </c>
      <c r="B3" s="1" t="s">
        <v>588</v>
      </c>
    </row>
    <row r="5" spans="1:2" ht="14.4" customHeight="1">
      <c r="A5" s="2" t="s">
        <v>589</v>
      </c>
      <c r="B5" s="2" t="s">
        <v>590</v>
      </c>
    </row>
    <row r="6" spans="1:2" ht="35.25" customHeight="1">
      <c r="A6" s="3" t="s">
        <v>591</v>
      </c>
      <c r="B6" s="3" t="s">
        <v>592</v>
      </c>
    </row>
    <row r="7" spans="1:2" ht="35.25" customHeight="1">
      <c r="A7" s="3" t="s">
        <v>593</v>
      </c>
      <c r="B7" s="3" t="s">
        <v>594</v>
      </c>
    </row>
    <row r="8" spans="1:2" ht="35.25" customHeight="1">
      <c r="A8" s="3" t="s">
        <v>595</v>
      </c>
      <c r="B8" s="3" t="s">
        <v>596</v>
      </c>
    </row>
    <row r="9" spans="1:2" ht="35.25" customHeight="1">
      <c r="A9" s="3" t="s">
        <v>597</v>
      </c>
      <c r="B9" s="3" t="s">
        <v>598</v>
      </c>
    </row>
    <row r="10" spans="1:2" ht="35.25" customHeight="1">
      <c r="A10" s="3" t="s">
        <v>599</v>
      </c>
      <c r="B10" s="3" t="s">
        <v>600</v>
      </c>
    </row>
    <row r="11" spans="1:2" ht="35.25" customHeight="1">
      <c r="A11" s="3" t="s">
        <v>601</v>
      </c>
      <c r="B11" s="3" t="s">
        <v>602</v>
      </c>
    </row>
    <row r="12" spans="1:2" ht="35.25" customHeight="1">
      <c r="A12" s="3" t="s">
        <v>603</v>
      </c>
      <c r="B12" s="3" t="s">
        <v>604</v>
      </c>
    </row>
    <row r="13" spans="1:2" ht="35.25" customHeight="1">
      <c r="A13" s="3" t="s">
        <v>605</v>
      </c>
      <c r="B13" s="3" t="s">
        <v>606</v>
      </c>
    </row>
    <row r="14" spans="1:2" ht="35.25" customHeight="1">
      <c r="A14" s="3" t="s">
        <v>607</v>
      </c>
      <c r="B14" s="3" t="s">
        <v>608</v>
      </c>
    </row>
    <row r="15" spans="1:2" ht="35.25" customHeight="1">
      <c r="A15" s="3" t="s">
        <v>609</v>
      </c>
      <c r="B15" s="3" t="s">
        <v>610</v>
      </c>
    </row>
    <row r="16" spans="1:2" ht="35.25" customHeight="1">
      <c r="A16" s="3" t="s">
        <v>611</v>
      </c>
      <c r="B16" s="3" t="s">
        <v>612</v>
      </c>
    </row>
    <row r="17" spans="1:2" ht="35.25" customHeight="1">
      <c r="A17" s="3" t="s">
        <v>613</v>
      </c>
      <c r="B17" s="3" t="s">
        <v>612</v>
      </c>
    </row>
    <row r="18" spans="1:2" ht="35.25" customHeight="1">
      <c r="A18" s="3" t="s">
        <v>614</v>
      </c>
      <c r="B18" s="3" t="s">
        <v>615</v>
      </c>
    </row>
    <row r="19" spans="1:2" ht="35.25" customHeight="1">
      <c r="A19" s="3" t="s">
        <v>616</v>
      </c>
      <c r="B19" s="3" t="s">
        <v>617</v>
      </c>
    </row>
    <row r="20" spans="1:2" ht="35.25" customHeight="1">
      <c r="A20" s="3" t="s">
        <v>618</v>
      </c>
      <c r="B20" s="3" t="s">
        <v>619</v>
      </c>
    </row>
    <row r="21" spans="1:2" ht="35.25" customHeight="1">
      <c r="A21" s="3" t="s">
        <v>620</v>
      </c>
      <c r="B21" s="3" t="s">
        <v>621</v>
      </c>
    </row>
    <row r="22" spans="1:2" ht="35.25" customHeight="1">
      <c r="A22" s="3" t="s">
        <v>622</v>
      </c>
      <c r="B22" s="3" t="s">
        <v>623</v>
      </c>
    </row>
  </sheetData>
  <mergeCells count="1">
    <mergeCell ref="A1:B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4"/>
  <sheetViews>
    <sheetView showGridLines="0" workbookViewId="0">
      <selection activeCell="A55" sqref="A55"/>
    </sheetView>
  </sheetViews>
  <sheetFormatPr defaultRowHeight="13.8"/>
  <cols>
    <col min="1" max="1" width="9.3984375" customWidth="1"/>
    <col min="2" max="2" width="12.796875" customWidth="1"/>
    <col min="3" max="3" width="21.09765625" customWidth="1"/>
    <col min="4" max="5" width="34.3984375" customWidth="1"/>
    <col min="6" max="6" width="10" customWidth="1"/>
    <col min="7" max="7" width="11.09765625" customWidth="1"/>
    <col min="8" max="8" width="16.69921875" customWidth="1"/>
    <col min="9" max="9" width="21.09765625" customWidth="1"/>
    <col min="10" max="10" width="16.69921875" customWidth="1"/>
    <col min="11" max="11" width="18.8984375" customWidth="1"/>
    <col min="12" max="12" width="10.59765625" customWidth="1"/>
    <col min="13" max="13" width="12.796875" customWidth="1"/>
    <col min="14" max="14" width="43.296875" customWidth="1"/>
    <col min="15" max="15" width="12.19921875" customWidth="1"/>
    <col min="16" max="16" width="13.296875" customWidth="1"/>
  </cols>
  <sheetData>
    <row r="1" spans="1:16" ht="24" customHeight="1">
      <c r="A1" s="31" t="s">
        <v>624</v>
      </c>
      <c r="B1" s="30"/>
      <c r="C1" s="30"/>
      <c r="D1" s="30"/>
      <c r="E1" s="30"/>
      <c r="F1" s="30"/>
      <c r="G1" s="30"/>
      <c r="H1" s="30"/>
      <c r="I1" s="30"/>
      <c r="J1" s="30"/>
      <c r="K1" s="30"/>
      <c r="L1" s="30"/>
      <c r="M1" s="30"/>
      <c r="N1" s="30"/>
      <c r="O1" s="30"/>
      <c r="P1" s="30"/>
    </row>
    <row r="2" spans="1:16" ht="24" customHeight="1">
      <c r="A2" s="4" t="s">
        <v>625</v>
      </c>
      <c r="B2" s="4">
        <v>59</v>
      </c>
      <c r="C2" s="4" t="s">
        <v>626</v>
      </c>
      <c r="D2" s="4">
        <v>50</v>
      </c>
      <c r="E2" s="4" t="s">
        <v>627</v>
      </c>
      <c r="F2" s="4">
        <v>29</v>
      </c>
      <c r="G2" s="4" t="s">
        <v>628</v>
      </c>
      <c r="H2" s="4">
        <v>21</v>
      </c>
      <c r="I2" s="4" t="s">
        <v>629</v>
      </c>
      <c r="J2" s="4">
        <v>98</v>
      </c>
      <c r="K2" s="4" t="s">
        <v>630</v>
      </c>
      <c r="L2" s="4">
        <v>748</v>
      </c>
      <c r="M2" s="4" t="s">
        <v>631</v>
      </c>
      <c r="N2" s="4" t="s">
        <v>632</v>
      </c>
      <c r="O2" s="4" t="s">
        <v>633</v>
      </c>
      <c r="P2" s="4" t="s">
        <v>634</v>
      </c>
    </row>
    <row r="3" spans="1:16" ht="48" customHeight="1">
      <c r="A3" s="4" t="s">
        <v>587</v>
      </c>
      <c r="B3" s="4" t="s">
        <v>635</v>
      </c>
      <c r="C3" s="4" t="s">
        <v>636</v>
      </c>
      <c r="D3" s="4" t="s">
        <v>637</v>
      </c>
      <c r="E3" s="4" t="s">
        <v>638</v>
      </c>
      <c r="F3" s="4" t="s">
        <v>2</v>
      </c>
      <c r="G3" s="4" t="s">
        <v>639</v>
      </c>
      <c r="H3" s="4" t="s">
        <v>640</v>
      </c>
      <c r="I3" s="4" t="s">
        <v>641</v>
      </c>
      <c r="J3" s="4" t="s">
        <v>642</v>
      </c>
      <c r="K3" s="4" t="s">
        <v>643</v>
      </c>
      <c r="L3" s="4" t="s">
        <v>644</v>
      </c>
      <c r="M3" s="4" t="s">
        <v>645</v>
      </c>
      <c r="N3" s="4" t="s">
        <v>646</v>
      </c>
      <c r="O3" s="4" t="s">
        <v>647</v>
      </c>
      <c r="P3" s="4" t="s">
        <v>648</v>
      </c>
    </row>
    <row r="5" spans="1:16" ht="24" customHeight="1">
      <c r="A5" s="11" t="s">
        <v>0</v>
      </c>
      <c r="B5" s="11" t="s">
        <v>1</v>
      </c>
      <c r="C5" s="11" t="s">
        <v>2</v>
      </c>
      <c r="D5" s="11" t="s">
        <v>3</v>
      </c>
      <c r="E5" s="11" t="s">
        <v>649</v>
      </c>
      <c r="F5" s="11" t="s">
        <v>4</v>
      </c>
      <c r="G5" s="11" t="s">
        <v>650</v>
      </c>
      <c r="H5" s="11" t="s">
        <v>651</v>
      </c>
      <c r="I5" s="11" t="s">
        <v>17</v>
      </c>
      <c r="J5" s="11" t="s">
        <v>652</v>
      </c>
      <c r="K5" s="11" t="s">
        <v>653</v>
      </c>
      <c r="L5" s="11" t="s">
        <v>654</v>
      </c>
      <c r="M5" s="11" t="s">
        <v>655</v>
      </c>
      <c r="N5" s="11" t="s">
        <v>656</v>
      </c>
      <c r="O5" s="11" t="s">
        <v>657</v>
      </c>
      <c r="P5" s="11" t="s">
        <v>41</v>
      </c>
    </row>
    <row r="6" spans="1:16" ht="24" customHeight="1">
      <c r="A6" s="12">
        <v>1</v>
      </c>
      <c r="B6" s="12" t="s">
        <v>42</v>
      </c>
      <c r="C6" s="12" t="s">
        <v>43</v>
      </c>
      <c r="D6" s="12" t="s">
        <v>44</v>
      </c>
      <c r="E6" s="13" t="s">
        <v>658</v>
      </c>
      <c r="F6" s="13" t="s">
        <v>45</v>
      </c>
      <c r="G6" s="13" t="s">
        <v>659</v>
      </c>
      <c r="H6" s="13" t="s">
        <v>660</v>
      </c>
      <c r="I6" s="13" t="s">
        <v>54</v>
      </c>
      <c r="J6" s="13" t="s">
        <v>661</v>
      </c>
      <c r="K6" s="13" t="s">
        <v>662</v>
      </c>
      <c r="L6" s="13">
        <v>1</v>
      </c>
      <c r="M6" s="14">
        <v>0.67510092799999999</v>
      </c>
      <c r="N6" s="13" t="s">
        <v>663</v>
      </c>
      <c r="O6" s="13">
        <v>20</v>
      </c>
      <c r="P6" s="26" t="str">
        <f>IF(B6="no","not sampled",IF(COUNTIFS(Annotations!$C$2:$C$116,C6,Annotations!$AT$2:$AT$116,"complete")=COUNTIF(Annotations!$C$2:$C$116,C6),"complete","pending"))</f>
        <v>complete</v>
      </c>
    </row>
    <row r="7" spans="1:16" ht="24" customHeight="1">
      <c r="A7" s="12">
        <v>2</v>
      </c>
      <c r="B7" s="12" t="s">
        <v>42</v>
      </c>
      <c r="C7" s="12" t="s">
        <v>58</v>
      </c>
      <c r="D7" s="12" t="s">
        <v>59</v>
      </c>
      <c r="E7" s="13" t="s">
        <v>664</v>
      </c>
      <c r="F7" s="13" t="s">
        <v>60</v>
      </c>
      <c r="G7" s="13" t="s">
        <v>659</v>
      </c>
      <c r="H7" s="13" t="s">
        <v>665</v>
      </c>
      <c r="I7" s="13" t="s">
        <v>66</v>
      </c>
      <c r="J7" s="13" t="s">
        <v>666</v>
      </c>
      <c r="K7" s="13" t="s">
        <v>662</v>
      </c>
      <c r="L7" s="13">
        <v>1</v>
      </c>
      <c r="M7" s="14">
        <v>0.69000791750000001</v>
      </c>
      <c r="N7" s="13" t="s">
        <v>415</v>
      </c>
      <c r="O7" s="13">
        <v>20</v>
      </c>
      <c r="P7" s="26" t="str">
        <f>IF(B7="no","not sampled",IF(COUNTIFS(Annotations!$C$2:$C$116,C7,Annotations!$AT$2:$AT$116,"complete")=COUNTIF(Annotations!$C$2:$C$116,C7),"complete","pending"))</f>
        <v>complete</v>
      </c>
    </row>
    <row r="8" spans="1:16" ht="24" customHeight="1">
      <c r="A8" s="12">
        <v>3</v>
      </c>
      <c r="B8" s="12" t="s">
        <v>42</v>
      </c>
      <c r="C8" s="12" t="s">
        <v>69</v>
      </c>
      <c r="D8" s="12" t="s">
        <v>70</v>
      </c>
      <c r="E8" s="13" t="s">
        <v>667</v>
      </c>
      <c r="F8" s="13" t="s">
        <v>45</v>
      </c>
      <c r="G8" s="13" t="s">
        <v>659</v>
      </c>
      <c r="H8" s="13" t="s">
        <v>668</v>
      </c>
      <c r="I8" s="13" t="s">
        <v>75</v>
      </c>
      <c r="J8" s="13" t="s">
        <v>669</v>
      </c>
      <c r="K8" s="13" t="s">
        <v>662</v>
      </c>
      <c r="L8" s="13">
        <v>2</v>
      </c>
      <c r="M8" s="14">
        <v>0.67713532100000018</v>
      </c>
      <c r="N8" s="13" t="s">
        <v>670</v>
      </c>
      <c r="O8" s="13">
        <v>10</v>
      </c>
      <c r="P8" s="26" t="str">
        <f>IF(B8="no","not sampled",IF(COUNTIFS(Annotations!$C$2:$C$116,C8,Annotations!$AT$2:$AT$116,"complete")=COUNTIF(Annotations!$C$2:$C$116,C8),"complete","pending"))</f>
        <v>complete</v>
      </c>
    </row>
    <row r="9" spans="1:16" ht="24" customHeight="1">
      <c r="A9" s="12">
        <v>4</v>
      </c>
      <c r="B9" s="12" t="s">
        <v>42</v>
      </c>
      <c r="C9" s="12" t="s">
        <v>82</v>
      </c>
      <c r="D9" s="12" t="s">
        <v>83</v>
      </c>
      <c r="E9" s="13" t="s">
        <v>671</v>
      </c>
      <c r="F9" s="13" t="s">
        <v>45</v>
      </c>
      <c r="G9" s="13" t="s">
        <v>659</v>
      </c>
      <c r="H9" s="13" t="s">
        <v>672</v>
      </c>
      <c r="I9" s="13" t="s">
        <v>90</v>
      </c>
      <c r="J9" s="13" t="s">
        <v>673</v>
      </c>
      <c r="K9" s="13" t="s">
        <v>662</v>
      </c>
      <c r="L9" s="13">
        <v>2</v>
      </c>
      <c r="M9" s="14">
        <v>0.71589963549999991</v>
      </c>
      <c r="N9" s="13" t="s">
        <v>674</v>
      </c>
      <c r="O9" s="13">
        <v>20</v>
      </c>
      <c r="P9" s="26" t="str">
        <f>IF(B9="no","not sampled",IF(COUNTIFS(Annotations!$C$2:$C$116,C9,Annotations!$AT$2:$AT$116,"complete")=COUNTIF(Annotations!$C$2:$C$116,C9),"complete","pending"))</f>
        <v>complete</v>
      </c>
    </row>
    <row r="10" spans="1:16" ht="24" customHeight="1">
      <c r="A10" s="12">
        <v>5</v>
      </c>
      <c r="B10" s="12" t="s">
        <v>42</v>
      </c>
      <c r="C10" s="12" t="s">
        <v>97</v>
      </c>
      <c r="D10" s="12" t="s">
        <v>98</v>
      </c>
      <c r="E10" s="13" t="s">
        <v>675</v>
      </c>
      <c r="F10" s="13" t="s">
        <v>60</v>
      </c>
      <c r="G10" s="13" t="s">
        <v>659</v>
      </c>
      <c r="H10" s="13" t="s">
        <v>676</v>
      </c>
      <c r="I10" s="13" t="s">
        <v>104</v>
      </c>
      <c r="J10" s="13" t="s">
        <v>677</v>
      </c>
      <c r="K10" s="13" t="s">
        <v>662</v>
      </c>
      <c r="L10" s="13">
        <v>2</v>
      </c>
      <c r="M10" s="14">
        <v>0.68496762900000008</v>
      </c>
      <c r="N10" s="13" t="s">
        <v>678</v>
      </c>
      <c r="O10" s="13">
        <v>10</v>
      </c>
      <c r="P10" s="26" t="str">
        <f>IF(B10="no","not sampled",IF(COUNTIFS(Annotations!$C$2:$C$116,C10,Annotations!$AT$2:$AT$116,"complete")=COUNTIF(Annotations!$C$2:$C$116,C10),"complete","pending"))</f>
        <v>complete</v>
      </c>
    </row>
    <row r="11" spans="1:16" ht="24" customHeight="1">
      <c r="A11" s="12">
        <v>6</v>
      </c>
      <c r="B11" s="12" t="s">
        <v>42</v>
      </c>
      <c r="C11" s="12" t="s">
        <v>111</v>
      </c>
      <c r="D11" s="12" t="s">
        <v>112</v>
      </c>
      <c r="E11" s="13" t="s">
        <v>679</v>
      </c>
      <c r="F11" s="13" t="s">
        <v>60</v>
      </c>
      <c r="G11" s="13" t="s">
        <v>659</v>
      </c>
      <c r="H11" s="13" t="s">
        <v>680</v>
      </c>
      <c r="I11" s="13" t="s">
        <v>116</v>
      </c>
      <c r="J11" s="13" t="s">
        <v>681</v>
      </c>
      <c r="K11" s="13" t="s">
        <v>662</v>
      </c>
      <c r="L11" s="13">
        <v>2</v>
      </c>
      <c r="M11" s="14">
        <v>0.65644003350000002</v>
      </c>
      <c r="N11" s="13" t="s">
        <v>682</v>
      </c>
      <c r="O11" s="13">
        <v>20</v>
      </c>
      <c r="P11" s="26" t="str">
        <f>IF(B11="no","not sampled",IF(COUNTIFS(Annotations!$C$2:$C$116,C11,Annotations!$AT$2:$AT$116,"complete")=COUNTIF(Annotations!$C$2:$C$116,C11),"complete","pending"))</f>
        <v>complete</v>
      </c>
    </row>
    <row r="12" spans="1:16" ht="24" customHeight="1">
      <c r="A12" s="12">
        <v>7</v>
      </c>
      <c r="B12" s="12" t="s">
        <v>42</v>
      </c>
      <c r="C12" s="12" t="s">
        <v>121</v>
      </c>
      <c r="D12" s="12" t="s">
        <v>122</v>
      </c>
      <c r="E12" s="13" t="s">
        <v>683</v>
      </c>
      <c r="F12" s="13" t="s">
        <v>60</v>
      </c>
      <c r="G12" s="13" t="s">
        <v>659</v>
      </c>
      <c r="H12" s="13" t="s">
        <v>684</v>
      </c>
      <c r="I12" s="13" t="s">
        <v>127</v>
      </c>
      <c r="J12" s="13" t="s">
        <v>685</v>
      </c>
      <c r="K12" s="13" t="s">
        <v>662</v>
      </c>
      <c r="L12" s="13">
        <v>2</v>
      </c>
      <c r="M12" s="14">
        <v>0.72857794600000003</v>
      </c>
      <c r="N12" s="13" t="s">
        <v>493</v>
      </c>
      <c r="O12" s="13">
        <v>20</v>
      </c>
      <c r="P12" s="26" t="str">
        <f>IF(B12="no","not sampled",IF(COUNTIFS(Annotations!$C$2:$C$116,C12,Annotations!$AT$2:$AT$116,"complete")=COUNTIF(Annotations!$C$2:$C$116,C12),"complete","pending"))</f>
        <v>complete</v>
      </c>
    </row>
    <row r="13" spans="1:16" ht="24" customHeight="1">
      <c r="A13" s="12">
        <v>8</v>
      </c>
      <c r="B13" s="12" t="s">
        <v>42</v>
      </c>
      <c r="C13" s="12" t="s">
        <v>133</v>
      </c>
      <c r="D13" s="12" t="s">
        <v>134</v>
      </c>
      <c r="E13" s="13" t="s">
        <v>686</v>
      </c>
      <c r="F13" s="13" t="s">
        <v>60</v>
      </c>
      <c r="G13" s="13" t="s">
        <v>659</v>
      </c>
      <c r="H13" s="13" t="s">
        <v>687</v>
      </c>
      <c r="I13" s="13" t="s">
        <v>137</v>
      </c>
      <c r="J13" s="13" t="s">
        <v>688</v>
      </c>
      <c r="K13" s="13" t="s">
        <v>662</v>
      </c>
      <c r="L13" s="13">
        <v>2</v>
      </c>
      <c r="M13" s="14">
        <v>0.66443149300000004</v>
      </c>
      <c r="N13" s="13" t="s">
        <v>689</v>
      </c>
      <c r="O13" s="13">
        <v>20</v>
      </c>
      <c r="P13" s="26" t="str">
        <f>IF(B13="no","not sampled",IF(COUNTIFS(Annotations!$C$2:$C$116,C13,Annotations!$AT$2:$AT$116,"complete")=COUNTIF(Annotations!$C$2:$C$116,C13),"complete","pending"))</f>
        <v>complete</v>
      </c>
    </row>
    <row r="14" spans="1:16" ht="36" customHeight="1">
      <c r="A14" s="12">
        <v>9</v>
      </c>
      <c r="B14" s="12" t="s">
        <v>42</v>
      </c>
      <c r="C14" s="12" t="s">
        <v>142</v>
      </c>
      <c r="D14" s="12" t="s">
        <v>143</v>
      </c>
      <c r="E14" s="13" t="s">
        <v>679</v>
      </c>
      <c r="F14" s="13" t="s">
        <v>45</v>
      </c>
      <c r="G14" s="13" t="s">
        <v>659</v>
      </c>
      <c r="H14" s="13" t="s">
        <v>690</v>
      </c>
      <c r="I14" s="13" t="s">
        <v>146</v>
      </c>
      <c r="J14" s="13" t="s">
        <v>691</v>
      </c>
      <c r="K14" s="13" t="s">
        <v>662</v>
      </c>
      <c r="L14" s="13">
        <v>2</v>
      </c>
      <c r="M14" s="14">
        <v>0.66902640400000002</v>
      </c>
      <c r="N14" s="13" t="s">
        <v>692</v>
      </c>
      <c r="O14" s="13">
        <v>10</v>
      </c>
      <c r="P14" s="26" t="str">
        <f>IF(B14="no","not sampled",IF(COUNTIFS(Annotations!$C$2:$C$116,C14,Annotations!$AT$2:$AT$116,"complete")=COUNTIF(Annotations!$C$2:$C$116,C14),"complete","pending"))</f>
        <v>complete</v>
      </c>
    </row>
    <row r="15" spans="1:16" ht="24" customHeight="1">
      <c r="A15" s="12">
        <v>10</v>
      </c>
      <c r="B15" s="12" t="s">
        <v>42</v>
      </c>
      <c r="C15" s="12" t="s">
        <v>151</v>
      </c>
      <c r="D15" s="12" t="s">
        <v>152</v>
      </c>
      <c r="E15" s="13" t="s">
        <v>693</v>
      </c>
      <c r="F15" s="13" t="s">
        <v>45</v>
      </c>
      <c r="G15" s="13" t="s">
        <v>659</v>
      </c>
      <c r="H15" s="13" t="s">
        <v>694</v>
      </c>
      <c r="I15" s="13" t="s">
        <v>155</v>
      </c>
      <c r="J15" s="13" t="s">
        <v>695</v>
      </c>
      <c r="K15" s="13" t="s">
        <v>662</v>
      </c>
      <c r="L15" s="13">
        <v>1</v>
      </c>
      <c r="M15" s="14">
        <v>0.64864107999999998</v>
      </c>
      <c r="N15" s="13" t="s">
        <v>682</v>
      </c>
      <c r="O15" s="13">
        <v>10</v>
      </c>
      <c r="P15" s="26" t="str">
        <f>IF(B15="no","not sampled",IF(COUNTIFS(Annotations!$C$2:$C$116,C15,Annotations!$AT$2:$AT$116,"complete")=COUNTIF(Annotations!$C$2:$C$116,C15),"complete","pending"))</f>
        <v>complete</v>
      </c>
    </row>
    <row r="16" spans="1:16" ht="24" customHeight="1">
      <c r="A16" s="12">
        <v>11</v>
      </c>
      <c r="B16" s="12" t="s">
        <v>42</v>
      </c>
      <c r="C16" s="12" t="s">
        <v>158</v>
      </c>
      <c r="D16" s="12" t="s">
        <v>98</v>
      </c>
      <c r="E16" s="13" t="s">
        <v>696</v>
      </c>
      <c r="F16" s="13" t="s">
        <v>60</v>
      </c>
      <c r="G16" s="13" t="s">
        <v>659</v>
      </c>
      <c r="H16" s="13" t="s">
        <v>697</v>
      </c>
      <c r="I16" s="13" t="s">
        <v>161</v>
      </c>
      <c r="J16" s="13" t="s">
        <v>698</v>
      </c>
      <c r="K16" s="13" t="s">
        <v>662</v>
      </c>
      <c r="L16" s="13">
        <v>2</v>
      </c>
      <c r="M16" s="14">
        <v>0.69141448050000009</v>
      </c>
      <c r="N16" s="13" t="s">
        <v>678</v>
      </c>
      <c r="O16" s="13">
        <v>20</v>
      </c>
      <c r="P16" s="26" t="str">
        <f>IF(B16="no","not sampled",IF(COUNTIFS(Annotations!$C$2:$C$116,C16,Annotations!$AT$2:$AT$116,"complete")=COUNTIF(Annotations!$C$2:$C$116,C16),"complete","pending"))</f>
        <v>complete</v>
      </c>
    </row>
    <row r="17" spans="1:16" ht="24" customHeight="1">
      <c r="A17" s="12">
        <v>12</v>
      </c>
      <c r="B17" s="12" t="s">
        <v>42</v>
      </c>
      <c r="C17" s="12" t="s">
        <v>166</v>
      </c>
      <c r="D17" s="12" t="s">
        <v>167</v>
      </c>
      <c r="E17" s="13" t="s">
        <v>699</v>
      </c>
      <c r="F17" s="13" t="s">
        <v>45</v>
      </c>
      <c r="G17" s="13" t="s">
        <v>659</v>
      </c>
      <c r="H17" s="13" t="s">
        <v>700</v>
      </c>
      <c r="I17" s="13" t="s">
        <v>172</v>
      </c>
      <c r="J17" s="13" t="s">
        <v>701</v>
      </c>
      <c r="K17" s="13" t="s">
        <v>662</v>
      </c>
      <c r="L17" s="13">
        <v>2</v>
      </c>
      <c r="M17" s="14">
        <v>0.71757605850000006</v>
      </c>
      <c r="N17" s="13" t="s">
        <v>702</v>
      </c>
      <c r="O17" s="13">
        <v>20</v>
      </c>
      <c r="P17" s="26" t="str">
        <f>IF(B17="no","not sampled",IF(COUNTIFS(Annotations!$C$2:$C$116,C17,Annotations!$AT$2:$AT$116,"complete")=COUNTIF(Annotations!$C$2:$C$116,C17),"complete","pending"))</f>
        <v>complete</v>
      </c>
    </row>
    <row r="18" spans="1:16" ht="24" customHeight="1">
      <c r="A18" s="12">
        <v>13</v>
      </c>
      <c r="B18" s="12" t="s">
        <v>42</v>
      </c>
      <c r="C18" s="12" t="s">
        <v>177</v>
      </c>
      <c r="D18" s="12" t="s">
        <v>70</v>
      </c>
      <c r="E18" s="13" t="s">
        <v>703</v>
      </c>
      <c r="F18" s="13" t="s">
        <v>45</v>
      </c>
      <c r="G18" s="13" t="s">
        <v>659</v>
      </c>
      <c r="H18" s="13" t="s">
        <v>704</v>
      </c>
      <c r="I18" s="13" t="s">
        <v>180</v>
      </c>
      <c r="J18" s="13" t="s">
        <v>705</v>
      </c>
      <c r="K18" s="13" t="s">
        <v>662</v>
      </c>
      <c r="L18" s="13">
        <v>2</v>
      </c>
      <c r="M18" s="14">
        <v>0.67759868199999995</v>
      </c>
      <c r="N18" s="13" t="s">
        <v>670</v>
      </c>
      <c r="O18" s="13">
        <v>10</v>
      </c>
      <c r="P18" s="26" t="str">
        <f>IF(B18="no","not sampled",IF(COUNTIFS(Annotations!$C$2:$C$116,C18,Annotations!$AT$2:$AT$116,"complete")=COUNTIF(Annotations!$C$2:$C$116,C18),"complete","pending"))</f>
        <v>complete</v>
      </c>
    </row>
    <row r="19" spans="1:16" ht="24" customHeight="1">
      <c r="A19" s="12">
        <v>14</v>
      </c>
      <c r="B19" s="12" t="s">
        <v>42</v>
      </c>
      <c r="C19" s="12" t="s">
        <v>185</v>
      </c>
      <c r="D19" s="12" t="s">
        <v>186</v>
      </c>
      <c r="E19" s="13" t="s">
        <v>706</v>
      </c>
      <c r="F19" s="13" t="s">
        <v>60</v>
      </c>
      <c r="G19" s="13" t="s">
        <v>659</v>
      </c>
      <c r="H19" s="13" t="s">
        <v>707</v>
      </c>
      <c r="I19" s="13" t="s">
        <v>192</v>
      </c>
      <c r="J19" s="13" t="s">
        <v>708</v>
      </c>
      <c r="K19" s="13" t="s">
        <v>662</v>
      </c>
      <c r="L19" s="13">
        <v>2</v>
      </c>
      <c r="M19" s="14">
        <v>0.69348854599999998</v>
      </c>
      <c r="N19" s="13" t="s">
        <v>709</v>
      </c>
      <c r="O19" s="13">
        <v>20</v>
      </c>
      <c r="P19" s="26" t="str">
        <f>IF(B19="no","not sampled",IF(COUNTIFS(Annotations!$C$2:$C$116,C19,Annotations!$AT$2:$AT$116,"complete")=COUNTIF(Annotations!$C$2:$C$116,C19),"complete","pending"))</f>
        <v>complete</v>
      </c>
    </row>
    <row r="20" spans="1:16" ht="24" customHeight="1">
      <c r="A20" s="12">
        <v>15</v>
      </c>
      <c r="B20" s="12" t="s">
        <v>42</v>
      </c>
      <c r="C20" s="12" t="s">
        <v>197</v>
      </c>
      <c r="D20" s="12" t="s">
        <v>198</v>
      </c>
      <c r="E20" s="13" t="s">
        <v>710</v>
      </c>
      <c r="F20" s="13" t="s">
        <v>45</v>
      </c>
      <c r="G20" s="13" t="s">
        <v>659</v>
      </c>
      <c r="H20" s="13" t="s">
        <v>711</v>
      </c>
      <c r="I20" s="13" t="s">
        <v>203</v>
      </c>
      <c r="J20" s="13" t="s">
        <v>712</v>
      </c>
      <c r="K20" s="13" t="s">
        <v>662</v>
      </c>
      <c r="L20" s="13">
        <v>2</v>
      </c>
      <c r="M20" s="14">
        <v>0.68208480150000006</v>
      </c>
      <c r="N20" s="13" t="s">
        <v>713</v>
      </c>
      <c r="O20" s="13">
        <v>20</v>
      </c>
      <c r="P20" s="26" t="str">
        <f>IF(B20="no","not sampled",IF(COUNTIFS(Annotations!$C$2:$C$116,C20,Annotations!$AT$2:$AT$116,"complete")=COUNTIF(Annotations!$C$2:$C$116,C20),"complete","pending"))</f>
        <v>complete</v>
      </c>
    </row>
    <row r="21" spans="1:16" ht="24" customHeight="1">
      <c r="A21" s="12">
        <v>16</v>
      </c>
      <c r="B21" s="12" t="s">
        <v>42</v>
      </c>
      <c r="C21" s="12" t="s">
        <v>210</v>
      </c>
      <c r="D21" s="12" t="s">
        <v>211</v>
      </c>
      <c r="E21" s="13" t="s">
        <v>714</v>
      </c>
      <c r="F21" s="13" t="s">
        <v>45</v>
      </c>
      <c r="G21" s="13" t="s">
        <v>659</v>
      </c>
      <c r="H21" s="13" t="s">
        <v>715</v>
      </c>
      <c r="I21" s="13" t="s">
        <v>214</v>
      </c>
      <c r="J21" s="13" t="s">
        <v>716</v>
      </c>
      <c r="K21" s="13" t="s">
        <v>662</v>
      </c>
      <c r="L21" s="13">
        <v>1</v>
      </c>
      <c r="M21" s="14">
        <v>0.71529667250000006</v>
      </c>
      <c r="N21" s="13" t="s">
        <v>717</v>
      </c>
      <c r="O21" s="13">
        <v>20</v>
      </c>
      <c r="P21" s="26" t="str">
        <f>IF(B21="no","not sampled",IF(COUNTIFS(Annotations!$C$2:$C$116,C21,Annotations!$AT$2:$AT$116,"complete")=COUNTIF(Annotations!$C$2:$C$116,C21),"complete","pending"))</f>
        <v>complete</v>
      </c>
    </row>
    <row r="22" spans="1:16" ht="24" customHeight="1">
      <c r="A22" s="12">
        <v>17</v>
      </c>
      <c r="B22" s="12" t="s">
        <v>42</v>
      </c>
      <c r="C22" s="12" t="s">
        <v>217</v>
      </c>
      <c r="D22" s="12" t="s">
        <v>211</v>
      </c>
      <c r="E22" s="13" t="s">
        <v>714</v>
      </c>
      <c r="F22" s="13" t="s">
        <v>45</v>
      </c>
      <c r="G22" s="13" t="s">
        <v>659</v>
      </c>
      <c r="H22" s="13" t="s">
        <v>718</v>
      </c>
      <c r="I22" s="13" t="s">
        <v>219</v>
      </c>
      <c r="J22" s="13" t="s">
        <v>719</v>
      </c>
      <c r="K22" s="13" t="s">
        <v>662</v>
      </c>
      <c r="L22" s="13">
        <v>2</v>
      </c>
      <c r="M22" s="14">
        <v>0.71504954000000009</v>
      </c>
      <c r="N22" s="13" t="s">
        <v>717</v>
      </c>
      <c r="O22" s="13">
        <v>20</v>
      </c>
      <c r="P22" s="26" t="str">
        <f>IF(B22="no","not sampled",IF(COUNTIFS(Annotations!$C$2:$C$116,C22,Annotations!$AT$2:$AT$116,"complete")=COUNTIF(Annotations!$C$2:$C$116,C22),"complete","pending"))</f>
        <v>complete</v>
      </c>
    </row>
    <row r="23" spans="1:16" ht="24" customHeight="1">
      <c r="A23" s="12">
        <v>18</v>
      </c>
      <c r="B23" s="12" t="s">
        <v>42</v>
      </c>
      <c r="C23" s="12" t="s">
        <v>223</v>
      </c>
      <c r="D23" s="12" t="s">
        <v>224</v>
      </c>
      <c r="E23" s="13" t="s">
        <v>720</v>
      </c>
      <c r="F23" s="13" t="s">
        <v>45</v>
      </c>
      <c r="G23" s="13" t="s">
        <v>659</v>
      </c>
      <c r="H23" s="13" t="s">
        <v>721</v>
      </c>
      <c r="I23" s="13" t="s">
        <v>226</v>
      </c>
      <c r="J23" s="13" t="s">
        <v>722</v>
      </c>
      <c r="K23" s="13" t="s">
        <v>662</v>
      </c>
      <c r="L23" s="13">
        <v>2</v>
      </c>
      <c r="M23" s="14">
        <v>0.64350241400000008</v>
      </c>
      <c r="N23" s="13" t="s">
        <v>723</v>
      </c>
      <c r="O23" s="13">
        <v>10</v>
      </c>
      <c r="P23" s="26" t="str">
        <f>IF(B23="no","not sampled",IF(COUNTIFS(Annotations!$C$2:$C$116,C23,Annotations!$AT$2:$AT$116,"complete")=COUNTIF(Annotations!$C$2:$C$116,C23),"complete","pending"))</f>
        <v>complete</v>
      </c>
    </row>
    <row r="24" spans="1:16" ht="24" customHeight="1">
      <c r="A24" s="12">
        <v>19</v>
      </c>
      <c r="B24" s="12" t="s">
        <v>42</v>
      </c>
      <c r="C24" s="12" t="s">
        <v>230</v>
      </c>
      <c r="D24" s="12" t="s">
        <v>98</v>
      </c>
      <c r="E24" s="13" t="s">
        <v>696</v>
      </c>
      <c r="F24" s="13" t="s">
        <v>60</v>
      </c>
      <c r="G24" s="13" t="s">
        <v>659</v>
      </c>
      <c r="H24" s="13" t="s">
        <v>724</v>
      </c>
      <c r="I24" s="13" t="s">
        <v>232</v>
      </c>
      <c r="J24" s="13" t="s">
        <v>725</v>
      </c>
      <c r="K24" s="13" t="s">
        <v>662</v>
      </c>
      <c r="L24" s="13">
        <v>2</v>
      </c>
      <c r="M24" s="14">
        <v>0.72089852749999994</v>
      </c>
      <c r="N24" s="13" t="s">
        <v>726</v>
      </c>
      <c r="O24" s="13">
        <v>20</v>
      </c>
      <c r="P24" s="26" t="str">
        <f>IF(B24="no","not sampled",IF(COUNTIFS(Annotations!$C$2:$C$116,C24,Annotations!$AT$2:$AT$116,"complete")=COUNTIF(Annotations!$C$2:$C$116,C24),"complete","pending"))</f>
        <v>complete</v>
      </c>
    </row>
    <row r="25" spans="1:16" ht="24" customHeight="1">
      <c r="A25" s="12">
        <v>20</v>
      </c>
      <c r="B25" s="12" t="s">
        <v>42</v>
      </c>
      <c r="C25" s="12" t="s">
        <v>237</v>
      </c>
      <c r="D25" s="12" t="s">
        <v>238</v>
      </c>
      <c r="E25" s="13" t="s">
        <v>727</v>
      </c>
      <c r="F25" s="13" t="s">
        <v>60</v>
      </c>
      <c r="G25" s="13" t="s">
        <v>659</v>
      </c>
      <c r="H25" s="13" t="s">
        <v>728</v>
      </c>
      <c r="I25" s="13" t="s">
        <v>240</v>
      </c>
      <c r="J25" s="13" t="s">
        <v>729</v>
      </c>
      <c r="K25" s="13" t="s">
        <v>662</v>
      </c>
      <c r="L25" s="13">
        <v>2</v>
      </c>
      <c r="M25" s="14">
        <v>0.71230354100000004</v>
      </c>
      <c r="N25" s="13" t="s">
        <v>726</v>
      </c>
      <c r="O25" s="13">
        <v>20</v>
      </c>
      <c r="P25" s="26" t="str">
        <f>IF(B25="no","not sampled",IF(COUNTIFS(Annotations!$C$2:$C$116,C25,Annotations!$AT$2:$AT$116,"complete")=COUNTIF(Annotations!$C$2:$C$116,C25),"complete","pending"))</f>
        <v>complete</v>
      </c>
    </row>
    <row r="26" spans="1:16" ht="24" customHeight="1">
      <c r="A26" s="12">
        <v>21</v>
      </c>
      <c r="B26" s="12" t="s">
        <v>42</v>
      </c>
      <c r="C26" s="12" t="s">
        <v>245</v>
      </c>
      <c r="D26" s="12" t="s">
        <v>246</v>
      </c>
      <c r="E26" s="13" t="s">
        <v>730</v>
      </c>
      <c r="F26" s="13" t="s">
        <v>60</v>
      </c>
      <c r="G26" s="13" t="s">
        <v>659</v>
      </c>
      <c r="H26" s="13" t="s">
        <v>731</v>
      </c>
      <c r="I26" s="13" t="s">
        <v>249</v>
      </c>
      <c r="J26" s="13" t="s">
        <v>732</v>
      </c>
      <c r="K26" s="13" t="s">
        <v>662</v>
      </c>
      <c r="L26" s="13">
        <v>3</v>
      </c>
      <c r="M26" s="14">
        <v>0.61745158249999998</v>
      </c>
      <c r="N26" s="13" t="s">
        <v>733</v>
      </c>
      <c r="O26" s="13">
        <v>20</v>
      </c>
      <c r="P26" s="26" t="str">
        <f>IF(B26="no","not sampled",IF(COUNTIFS(Annotations!$C$2:$C$116,C26,Annotations!$AT$2:$AT$116,"complete")=COUNTIF(Annotations!$C$2:$C$116,C26),"complete","pending"))</f>
        <v>complete</v>
      </c>
    </row>
    <row r="27" spans="1:16" ht="24" customHeight="1">
      <c r="A27" s="12">
        <v>22</v>
      </c>
      <c r="B27" s="12" t="s">
        <v>42</v>
      </c>
      <c r="C27" s="12" t="s">
        <v>261</v>
      </c>
      <c r="D27" s="12" t="s">
        <v>262</v>
      </c>
      <c r="E27" s="13" t="s">
        <v>734</v>
      </c>
      <c r="F27" s="13" t="s">
        <v>45</v>
      </c>
      <c r="G27" s="13" t="s">
        <v>659</v>
      </c>
      <c r="H27" s="13" t="s">
        <v>735</v>
      </c>
      <c r="I27" s="13" t="s">
        <v>264</v>
      </c>
      <c r="J27" s="13" t="s">
        <v>736</v>
      </c>
      <c r="K27" s="13" t="s">
        <v>662</v>
      </c>
      <c r="L27" s="13">
        <v>1</v>
      </c>
      <c r="M27" s="14">
        <v>0.67869092499999994</v>
      </c>
      <c r="N27" s="13" t="s">
        <v>737</v>
      </c>
      <c r="O27" s="13">
        <v>10</v>
      </c>
      <c r="P27" s="26" t="str">
        <f>IF(B27="no","not sampled",IF(COUNTIFS(Annotations!$C$2:$C$116,C27,Annotations!$AT$2:$AT$116,"complete")=COUNTIF(Annotations!$C$2:$C$116,C27),"complete","pending"))</f>
        <v>complete</v>
      </c>
    </row>
    <row r="28" spans="1:16" ht="24" customHeight="1">
      <c r="A28" s="12">
        <v>23</v>
      </c>
      <c r="B28" s="12" t="s">
        <v>42</v>
      </c>
      <c r="C28" s="12" t="s">
        <v>267</v>
      </c>
      <c r="D28" s="12" t="s">
        <v>268</v>
      </c>
      <c r="E28" s="13" t="s">
        <v>738</v>
      </c>
      <c r="F28" s="13" t="s">
        <v>60</v>
      </c>
      <c r="G28" s="13" t="s">
        <v>659</v>
      </c>
      <c r="H28" s="13" t="s">
        <v>739</v>
      </c>
      <c r="I28" s="13" t="s">
        <v>273</v>
      </c>
      <c r="J28" s="13" t="s">
        <v>740</v>
      </c>
      <c r="K28" s="13" t="s">
        <v>662</v>
      </c>
      <c r="L28" s="13">
        <v>2</v>
      </c>
      <c r="M28" s="14">
        <v>0.66175566949999998</v>
      </c>
      <c r="N28" s="13" t="s">
        <v>741</v>
      </c>
      <c r="O28" s="13">
        <v>20</v>
      </c>
      <c r="P28" s="26" t="str">
        <f>IF(B28="no","not sampled",IF(COUNTIFS(Annotations!$C$2:$C$116,C28,Annotations!$AT$2:$AT$116,"complete")=COUNTIF(Annotations!$C$2:$C$116,C28),"complete","pending"))</f>
        <v>complete</v>
      </c>
    </row>
    <row r="29" spans="1:16" ht="24" customHeight="1">
      <c r="A29" s="12">
        <v>24</v>
      </c>
      <c r="B29" s="12" t="s">
        <v>42</v>
      </c>
      <c r="C29" s="12" t="s">
        <v>280</v>
      </c>
      <c r="D29" s="12" t="s">
        <v>59</v>
      </c>
      <c r="E29" s="13" t="s">
        <v>664</v>
      </c>
      <c r="F29" s="13" t="s">
        <v>60</v>
      </c>
      <c r="G29" s="13" t="s">
        <v>659</v>
      </c>
      <c r="H29" s="13" t="s">
        <v>742</v>
      </c>
      <c r="I29" s="13" t="s">
        <v>282</v>
      </c>
      <c r="J29" s="13" t="s">
        <v>743</v>
      </c>
      <c r="K29" s="13" t="s">
        <v>662</v>
      </c>
      <c r="L29" s="13">
        <v>2</v>
      </c>
      <c r="M29" s="14">
        <v>0.68209154500000002</v>
      </c>
      <c r="N29" s="13" t="s">
        <v>415</v>
      </c>
      <c r="O29" s="13">
        <v>20</v>
      </c>
      <c r="P29" s="26" t="str">
        <f>IF(B29="no","not sampled",IF(COUNTIFS(Annotations!$C$2:$C$116,C29,Annotations!$AT$2:$AT$116,"complete")=COUNTIF(Annotations!$C$2:$C$116,C29),"complete","pending"))</f>
        <v>complete</v>
      </c>
    </row>
    <row r="30" spans="1:16" ht="24" customHeight="1">
      <c r="A30" s="12">
        <v>25</v>
      </c>
      <c r="B30" s="12" t="s">
        <v>42</v>
      </c>
      <c r="C30" s="12" t="s">
        <v>286</v>
      </c>
      <c r="D30" s="12" t="s">
        <v>287</v>
      </c>
      <c r="E30" s="13" t="s">
        <v>744</v>
      </c>
      <c r="F30" s="13" t="s">
        <v>60</v>
      </c>
      <c r="G30" s="13" t="s">
        <v>659</v>
      </c>
      <c r="H30" s="13" t="s">
        <v>745</v>
      </c>
      <c r="I30" s="13" t="s">
        <v>292</v>
      </c>
      <c r="J30" s="13" t="s">
        <v>746</v>
      </c>
      <c r="K30" s="13" t="s">
        <v>662</v>
      </c>
      <c r="L30" s="13">
        <v>2</v>
      </c>
      <c r="M30" s="14">
        <v>0.73016883949999989</v>
      </c>
      <c r="N30" s="13" t="s">
        <v>747</v>
      </c>
      <c r="O30" s="13">
        <v>20</v>
      </c>
      <c r="P30" s="26" t="str">
        <f>IF(B30="no","not sampled",IF(COUNTIFS(Annotations!$C$2:$C$116,C30,Annotations!$AT$2:$AT$116,"complete")=COUNTIF(Annotations!$C$2:$C$116,C30),"complete","pending"))</f>
        <v>complete</v>
      </c>
    </row>
    <row r="31" spans="1:16" ht="24" customHeight="1">
      <c r="A31" s="12">
        <v>26</v>
      </c>
      <c r="B31" s="12" t="s">
        <v>42</v>
      </c>
      <c r="C31" s="12" t="s">
        <v>299</v>
      </c>
      <c r="D31" s="12" t="s">
        <v>112</v>
      </c>
      <c r="E31" s="13" t="s">
        <v>679</v>
      </c>
      <c r="F31" s="13" t="s">
        <v>60</v>
      </c>
      <c r="G31" s="13" t="s">
        <v>659</v>
      </c>
      <c r="H31" s="13" t="s">
        <v>748</v>
      </c>
      <c r="I31" s="13" t="s">
        <v>303</v>
      </c>
      <c r="J31" s="13" t="s">
        <v>749</v>
      </c>
      <c r="K31" s="13" t="s">
        <v>662</v>
      </c>
      <c r="L31" s="13">
        <v>2</v>
      </c>
      <c r="M31" s="14">
        <v>0.66294923150000007</v>
      </c>
      <c r="N31" s="13" t="s">
        <v>750</v>
      </c>
      <c r="O31" s="13">
        <v>20</v>
      </c>
      <c r="P31" s="26" t="str">
        <f>IF(B31="no","not sampled",IF(COUNTIFS(Annotations!$C$2:$C$116,C31,Annotations!$AT$2:$AT$116,"complete")=COUNTIF(Annotations!$C$2:$C$116,C31),"complete","pending"))</f>
        <v>complete</v>
      </c>
    </row>
    <row r="32" spans="1:16" ht="24" customHeight="1">
      <c r="A32" s="12">
        <v>27</v>
      </c>
      <c r="B32" s="12" t="s">
        <v>42</v>
      </c>
      <c r="C32" s="12" t="s">
        <v>308</v>
      </c>
      <c r="D32" s="12" t="s">
        <v>70</v>
      </c>
      <c r="E32" s="13" t="s">
        <v>751</v>
      </c>
      <c r="F32" s="13" t="s">
        <v>45</v>
      </c>
      <c r="G32" s="13" t="s">
        <v>659</v>
      </c>
      <c r="H32" s="13" t="s">
        <v>752</v>
      </c>
      <c r="I32" s="13" t="s">
        <v>180</v>
      </c>
      <c r="J32" s="13" t="s">
        <v>705</v>
      </c>
      <c r="K32" s="13" t="s">
        <v>662</v>
      </c>
      <c r="L32" s="13">
        <v>2</v>
      </c>
      <c r="M32" s="14">
        <v>0.67759868199999995</v>
      </c>
      <c r="N32" s="13" t="s">
        <v>670</v>
      </c>
      <c r="O32" s="13">
        <v>10</v>
      </c>
      <c r="P32" s="26" t="str">
        <f>IF(B32="no","not sampled",IF(COUNTIFS(Annotations!$C$2:$C$116,C32,Annotations!$AT$2:$AT$116,"complete")=COUNTIF(Annotations!$C$2:$C$116,C32),"complete","pending"))</f>
        <v>complete</v>
      </c>
    </row>
    <row r="33" spans="1:16" ht="36" customHeight="1">
      <c r="A33" s="12">
        <v>28</v>
      </c>
      <c r="B33" s="12" t="s">
        <v>42</v>
      </c>
      <c r="C33" s="12" t="s">
        <v>313</v>
      </c>
      <c r="D33" s="12" t="s">
        <v>143</v>
      </c>
      <c r="E33" s="13" t="s">
        <v>679</v>
      </c>
      <c r="F33" s="13" t="s">
        <v>45</v>
      </c>
      <c r="G33" s="13" t="s">
        <v>659</v>
      </c>
      <c r="H33" s="13" t="s">
        <v>753</v>
      </c>
      <c r="I33" s="13" t="s">
        <v>316</v>
      </c>
      <c r="J33" s="13" t="s">
        <v>754</v>
      </c>
      <c r="K33" s="13" t="s">
        <v>662</v>
      </c>
      <c r="L33" s="13">
        <v>3</v>
      </c>
      <c r="M33" s="14">
        <v>0.68206753200000003</v>
      </c>
      <c r="N33" s="13" t="s">
        <v>692</v>
      </c>
      <c r="O33" s="13">
        <v>10</v>
      </c>
      <c r="P33" s="26" t="str">
        <f>IF(B33="no","not sampled",IF(COUNTIFS(Annotations!$C$2:$C$116,C33,Annotations!$AT$2:$AT$116,"complete")=COUNTIF(Annotations!$C$2:$C$116,C33),"complete","pending"))</f>
        <v>complete</v>
      </c>
    </row>
    <row r="34" spans="1:16" ht="24" customHeight="1">
      <c r="A34" s="12">
        <v>29</v>
      </c>
      <c r="B34" s="12" t="s">
        <v>42</v>
      </c>
      <c r="C34" s="12" t="s">
        <v>325</v>
      </c>
      <c r="D34" s="12" t="s">
        <v>326</v>
      </c>
      <c r="E34" s="13" t="s">
        <v>755</v>
      </c>
      <c r="F34" s="13" t="s">
        <v>60</v>
      </c>
      <c r="G34" s="13" t="s">
        <v>659</v>
      </c>
      <c r="H34" s="13" t="s">
        <v>756</v>
      </c>
      <c r="I34" s="13" t="s">
        <v>329</v>
      </c>
      <c r="J34" s="13" t="s">
        <v>757</v>
      </c>
      <c r="K34" s="13" t="s">
        <v>662</v>
      </c>
      <c r="L34" s="13">
        <v>1</v>
      </c>
      <c r="M34" s="14">
        <v>0.69269880750000001</v>
      </c>
      <c r="N34" s="13" t="s">
        <v>758</v>
      </c>
      <c r="O34" s="13">
        <v>20</v>
      </c>
      <c r="P34" s="26" t="str">
        <f>IF(B34="no","not sampled",IF(COUNTIFS(Annotations!$C$2:$C$116,C34,Annotations!$AT$2:$AT$116,"complete")=COUNTIF(Annotations!$C$2:$C$116,C34),"complete","pending"))</f>
        <v>complete</v>
      </c>
    </row>
    <row r="35" spans="1:16" ht="24" customHeight="1">
      <c r="A35" s="12">
        <v>30</v>
      </c>
      <c r="B35" s="12" t="s">
        <v>42</v>
      </c>
      <c r="C35" s="12" t="s">
        <v>332</v>
      </c>
      <c r="D35" s="12" t="s">
        <v>333</v>
      </c>
      <c r="E35" s="13" t="s">
        <v>759</v>
      </c>
      <c r="F35" s="13" t="s">
        <v>45</v>
      </c>
      <c r="G35" s="13" t="s">
        <v>659</v>
      </c>
      <c r="H35" s="13" t="s">
        <v>760</v>
      </c>
      <c r="I35" s="13" t="s">
        <v>336</v>
      </c>
      <c r="J35" s="13" t="s">
        <v>761</v>
      </c>
      <c r="K35" s="13" t="s">
        <v>662</v>
      </c>
      <c r="L35" s="13">
        <v>3</v>
      </c>
      <c r="M35" s="14">
        <v>0.67439987299999993</v>
      </c>
      <c r="N35" s="13" t="s">
        <v>762</v>
      </c>
      <c r="O35" s="13">
        <v>10</v>
      </c>
      <c r="P35" s="26" t="str">
        <f>IF(B35="no","not sampled",IF(COUNTIFS(Annotations!$C$2:$C$116,C35,Annotations!$AT$2:$AT$116,"complete")=COUNTIF(Annotations!$C$2:$C$116,C35),"complete","pending"))</f>
        <v>complete</v>
      </c>
    </row>
    <row r="36" spans="1:16" ht="24" customHeight="1">
      <c r="A36" s="12">
        <v>31</v>
      </c>
      <c r="B36" s="12" t="s">
        <v>42</v>
      </c>
      <c r="C36" s="12" t="s">
        <v>345</v>
      </c>
      <c r="D36" s="12" t="s">
        <v>70</v>
      </c>
      <c r="E36" s="13" t="s">
        <v>763</v>
      </c>
      <c r="F36" s="13" t="s">
        <v>45</v>
      </c>
      <c r="G36" s="13" t="s">
        <v>659</v>
      </c>
      <c r="H36" s="13" t="s">
        <v>764</v>
      </c>
      <c r="I36" s="13" t="s">
        <v>180</v>
      </c>
      <c r="J36" s="13" t="s">
        <v>705</v>
      </c>
      <c r="K36" s="13" t="s">
        <v>662</v>
      </c>
      <c r="L36" s="13">
        <v>2</v>
      </c>
      <c r="M36" s="14">
        <v>0.67759868199999995</v>
      </c>
      <c r="N36" s="13" t="s">
        <v>670</v>
      </c>
      <c r="O36" s="13">
        <v>10</v>
      </c>
      <c r="P36" s="26" t="str">
        <f>IF(B36="no","not sampled",IF(COUNTIFS(Annotations!$C$2:$C$116,C36,Annotations!$AT$2:$AT$116,"complete")=COUNTIF(Annotations!$C$2:$C$116,C36),"complete","pending"))</f>
        <v>complete</v>
      </c>
    </row>
    <row r="37" spans="1:16" ht="24" customHeight="1">
      <c r="A37" s="12">
        <v>32</v>
      </c>
      <c r="B37" s="12" t="s">
        <v>42</v>
      </c>
      <c r="C37" s="12" t="s">
        <v>350</v>
      </c>
      <c r="D37" s="12" t="s">
        <v>351</v>
      </c>
      <c r="E37" s="13" t="s">
        <v>765</v>
      </c>
      <c r="F37" s="13" t="s">
        <v>45</v>
      </c>
      <c r="G37" s="13" t="s">
        <v>659</v>
      </c>
      <c r="H37" s="13" t="s">
        <v>766</v>
      </c>
      <c r="I37" s="13" t="s">
        <v>356</v>
      </c>
      <c r="J37" s="13" t="s">
        <v>767</v>
      </c>
      <c r="K37" s="13" t="s">
        <v>662</v>
      </c>
      <c r="L37" s="13">
        <v>4</v>
      </c>
      <c r="M37" s="14">
        <v>0.65646390149999989</v>
      </c>
      <c r="N37" s="13" t="s">
        <v>768</v>
      </c>
      <c r="O37" s="13">
        <v>20</v>
      </c>
      <c r="P37" s="26" t="str">
        <f>IF(B37="no","not sampled",IF(COUNTIFS(Annotations!$C$2:$C$116,C37,Annotations!$AT$2:$AT$116,"complete")=COUNTIF(Annotations!$C$2:$C$116,C37),"complete","pending"))</f>
        <v>complete</v>
      </c>
    </row>
    <row r="38" spans="1:16" ht="24" customHeight="1">
      <c r="A38" s="12">
        <v>33</v>
      </c>
      <c r="B38" s="12" t="s">
        <v>42</v>
      </c>
      <c r="C38" s="12" t="s">
        <v>368</v>
      </c>
      <c r="D38" s="12" t="s">
        <v>59</v>
      </c>
      <c r="E38" s="13" t="s">
        <v>664</v>
      </c>
      <c r="F38" s="13" t="s">
        <v>60</v>
      </c>
      <c r="G38" s="13" t="s">
        <v>659</v>
      </c>
      <c r="H38" s="13" t="s">
        <v>769</v>
      </c>
      <c r="I38" s="13" t="s">
        <v>371</v>
      </c>
      <c r="J38" s="13" t="s">
        <v>770</v>
      </c>
      <c r="K38" s="13" t="s">
        <v>662</v>
      </c>
      <c r="L38" s="13">
        <v>2</v>
      </c>
      <c r="M38" s="14">
        <v>0.68089042550000012</v>
      </c>
      <c r="N38" s="13" t="s">
        <v>415</v>
      </c>
      <c r="O38" s="13">
        <v>20</v>
      </c>
      <c r="P38" s="26" t="str">
        <f>IF(B38="no","not sampled",IF(COUNTIFS(Annotations!$C$2:$C$116,C38,Annotations!$AT$2:$AT$116,"complete")=COUNTIF(Annotations!$C$2:$C$116,C38),"complete","pending"))</f>
        <v>complete</v>
      </c>
    </row>
    <row r="39" spans="1:16" ht="24" customHeight="1">
      <c r="A39" s="12">
        <v>34</v>
      </c>
      <c r="B39" s="12" t="s">
        <v>42</v>
      </c>
      <c r="C39" s="12" t="s">
        <v>376</v>
      </c>
      <c r="D39" s="12" t="s">
        <v>377</v>
      </c>
      <c r="E39" s="13" t="s">
        <v>771</v>
      </c>
      <c r="F39" s="13" t="s">
        <v>60</v>
      </c>
      <c r="G39" s="13" t="s">
        <v>659</v>
      </c>
      <c r="H39" s="13" t="s">
        <v>772</v>
      </c>
      <c r="I39" s="13" t="s">
        <v>380</v>
      </c>
      <c r="J39" s="13" t="s">
        <v>773</v>
      </c>
      <c r="K39" s="13" t="s">
        <v>662</v>
      </c>
      <c r="L39" s="13">
        <v>1</v>
      </c>
      <c r="M39" s="14">
        <v>0.68141345799999997</v>
      </c>
      <c r="N39" s="13" t="s">
        <v>774</v>
      </c>
      <c r="O39" s="13">
        <v>20</v>
      </c>
      <c r="P39" s="26" t="str">
        <f>IF(B39="no","not sampled",IF(COUNTIFS(Annotations!$C$2:$C$116,C39,Annotations!$AT$2:$AT$116,"complete")=COUNTIF(Annotations!$C$2:$C$116,C39),"complete","pending"))</f>
        <v>complete</v>
      </c>
    </row>
    <row r="40" spans="1:16" ht="24" customHeight="1">
      <c r="A40" s="12">
        <v>35</v>
      </c>
      <c r="B40" s="12" t="s">
        <v>42</v>
      </c>
      <c r="C40" s="12" t="s">
        <v>383</v>
      </c>
      <c r="D40" s="12" t="s">
        <v>326</v>
      </c>
      <c r="E40" s="13" t="s">
        <v>755</v>
      </c>
      <c r="F40" s="13" t="s">
        <v>60</v>
      </c>
      <c r="G40" s="13" t="s">
        <v>659</v>
      </c>
      <c r="H40" s="13" t="s">
        <v>775</v>
      </c>
      <c r="I40" s="13" t="s">
        <v>388</v>
      </c>
      <c r="J40" s="13" t="s">
        <v>776</v>
      </c>
      <c r="K40" s="13" t="s">
        <v>662</v>
      </c>
      <c r="L40" s="13">
        <v>3</v>
      </c>
      <c r="M40" s="14">
        <v>0.69269880750000001</v>
      </c>
      <c r="N40" s="13" t="s">
        <v>758</v>
      </c>
      <c r="O40" s="13">
        <v>20</v>
      </c>
      <c r="P40" s="26" t="str">
        <f>IF(B40="no","not sampled",IF(COUNTIFS(Annotations!$C$2:$C$116,C40,Annotations!$AT$2:$AT$116,"complete")=COUNTIF(Annotations!$C$2:$C$116,C40),"complete","pending"))</f>
        <v>complete</v>
      </c>
    </row>
    <row r="41" spans="1:16" ht="24" customHeight="1">
      <c r="A41" s="12">
        <v>36</v>
      </c>
      <c r="B41" s="12" t="s">
        <v>42</v>
      </c>
      <c r="C41" s="12" t="s">
        <v>395</v>
      </c>
      <c r="D41" s="12" t="s">
        <v>59</v>
      </c>
      <c r="E41" s="13" t="s">
        <v>664</v>
      </c>
      <c r="F41" s="13" t="s">
        <v>60</v>
      </c>
      <c r="G41" s="13" t="s">
        <v>659</v>
      </c>
      <c r="H41" s="13" t="s">
        <v>777</v>
      </c>
      <c r="I41" s="13" t="s">
        <v>397</v>
      </c>
      <c r="J41" s="13" t="s">
        <v>778</v>
      </c>
      <c r="K41" s="13" t="s">
        <v>662</v>
      </c>
      <c r="L41" s="13">
        <v>4</v>
      </c>
      <c r="M41" s="14">
        <v>0.66530986949999982</v>
      </c>
      <c r="N41" s="13" t="s">
        <v>415</v>
      </c>
      <c r="O41" s="13">
        <v>20</v>
      </c>
      <c r="P41" s="26" t="str">
        <f>IF(B41="no","not sampled",IF(COUNTIFS(Annotations!$C$2:$C$116,C41,Annotations!$AT$2:$AT$116,"complete")=COUNTIF(Annotations!$C$2:$C$116,C41),"complete","pending"))</f>
        <v>complete</v>
      </c>
    </row>
    <row r="42" spans="1:16" ht="24" customHeight="1">
      <c r="A42" s="12">
        <v>37</v>
      </c>
      <c r="B42" s="12" t="s">
        <v>42</v>
      </c>
      <c r="C42" s="12" t="s">
        <v>407</v>
      </c>
      <c r="D42" s="12" t="s">
        <v>408</v>
      </c>
      <c r="E42" s="13" t="s">
        <v>779</v>
      </c>
      <c r="F42" s="13" t="s">
        <v>45</v>
      </c>
      <c r="G42" s="13" t="s">
        <v>659</v>
      </c>
      <c r="H42" s="13" t="s">
        <v>780</v>
      </c>
      <c r="I42" s="13" t="s">
        <v>410</v>
      </c>
      <c r="J42" s="13" t="s">
        <v>781</v>
      </c>
      <c r="K42" s="13" t="s">
        <v>662</v>
      </c>
      <c r="L42" s="13">
        <v>2</v>
      </c>
      <c r="M42" s="14">
        <v>0.68418941900000008</v>
      </c>
      <c r="N42" s="13" t="s">
        <v>782</v>
      </c>
      <c r="O42" s="13">
        <v>20</v>
      </c>
      <c r="P42" s="26" t="str">
        <f>IF(B42="no","not sampled",IF(COUNTIFS(Annotations!$C$2:$C$116,C42,Annotations!$AT$2:$AT$116,"complete")=COUNTIF(Annotations!$C$2:$C$116,C42),"complete","pending"))</f>
        <v>complete</v>
      </c>
    </row>
    <row r="43" spans="1:16" ht="24" customHeight="1">
      <c r="A43" s="12">
        <v>38</v>
      </c>
      <c r="B43" s="12" t="s">
        <v>42</v>
      </c>
      <c r="C43" s="12" t="s">
        <v>414</v>
      </c>
      <c r="D43" s="12" t="s">
        <v>186</v>
      </c>
      <c r="E43" s="13" t="s">
        <v>706</v>
      </c>
      <c r="F43" s="13" t="s">
        <v>60</v>
      </c>
      <c r="G43" s="13" t="s">
        <v>659</v>
      </c>
      <c r="H43" s="13" t="s">
        <v>783</v>
      </c>
      <c r="I43" s="13" t="s">
        <v>192</v>
      </c>
      <c r="J43" s="13" t="s">
        <v>708</v>
      </c>
      <c r="K43" s="13" t="s">
        <v>662</v>
      </c>
      <c r="L43" s="13">
        <v>2</v>
      </c>
      <c r="M43" s="14">
        <v>0.69348854599999998</v>
      </c>
      <c r="N43" s="13" t="s">
        <v>709</v>
      </c>
      <c r="O43" s="13">
        <v>20</v>
      </c>
      <c r="P43" s="26" t="str">
        <f>IF(B43="no","not sampled",IF(COUNTIFS(Annotations!$C$2:$C$116,C43,Annotations!$AT$2:$AT$116,"complete")=COUNTIF(Annotations!$C$2:$C$116,C43),"complete","pending"))</f>
        <v>complete</v>
      </c>
    </row>
    <row r="44" spans="1:16" ht="24" customHeight="1">
      <c r="A44" s="12">
        <v>39</v>
      </c>
      <c r="B44" s="12" t="s">
        <v>42</v>
      </c>
      <c r="C44" s="12" t="s">
        <v>422</v>
      </c>
      <c r="D44" s="12" t="s">
        <v>423</v>
      </c>
      <c r="E44" s="13" t="s">
        <v>784</v>
      </c>
      <c r="F44" s="13" t="s">
        <v>45</v>
      </c>
      <c r="G44" s="13" t="s">
        <v>659</v>
      </c>
      <c r="H44" s="13" t="s">
        <v>785</v>
      </c>
      <c r="I44" s="13" t="s">
        <v>428</v>
      </c>
      <c r="J44" s="13" t="s">
        <v>786</v>
      </c>
      <c r="K44" s="13" t="s">
        <v>662</v>
      </c>
      <c r="L44" s="13">
        <v>2</v>
      </c>
      <c r="M44" s="14">
        <v>0.63306473399999996</v>
      </c>
      <c r="N44" s="13" t="s">
        <v>787</v>
      </c>
      <c r="O44" s="13">
        <v>10</v>
      </c>
      <c r="P44" s="26" t="str">
        <f>IF(B44="no","not sampled",IF(COUNTIFS(Annotations!$C$2:$C$116,C44,Annotations!$AT$2:$AT$116,"complete")=COUNTIF(Annotations!$C$2:$C$116,C44),"complete","pending"))</f>
        <v>complete</v>
      </c>
    </row>
    <row r="45" spans="1:16" ht="24" customHeight="1">
      <c r="A45" s="12">
        <v>40</v>
      </c>
      <c r="B45" s="12" t="s">
        <v>42</v>
      </c>
      <c r="C45" s="12" t="s">
        <v>435</v>
      </c>
      <c r="D45" s="12" t="s">
        <v>59</v>
      </c>
      <c r="E45" s="13" t="s">
        <v>664</v>
      </c>
      <c r="F45" s="13" t="s">
        <v>60</v>
      </c>
      <c r="G45" s="13" t="s">
        <v>659</v>
      </c>
      <c r="H45" s="13" t="s">
        <v>788</v>
      </c>
      <c r="I45" s="13" t="s">
        <v>371</v>
      </c>
      <c r="J45" s="13" t="s">
        <v>770</v>
      </c>
      <c r="K45" s="13" t="s">
        <v>662</v>
      </c>
      <c r="L45" s="13">
        <v>2</v>
      </c>
      <c r="M45" s="14">
        <v>0.68089042550000012</v>
      </c>
      <c r="N45" s="13" t="s">
        <v>415</v>
      </c>
      <c r="O45" s="13">
        <v>20</v>
      </c>
      <c r="P45" s="26" t="str">
        <f>IF(B45="no","not sampled",IF(COUNTIFS(Annotations!$C$2:$C$116,C45,Annotations!$AT$2:$AT$116,"complete")=COUNTIF(Annotations!$C$2:$C$116,C45),"complete","pending"))</f>
        <v>complete</v>
      </c>
    </row>
    <row r="46" spans="1:16" ht="24" customHeight="1">
      <c r="A46" s="12">
        <v>41</v>
      </c>
      <c r="B46" s="12" t="s">
        <v>42</v>
      </c>
      <c r="C46" s="12" t="s">
        <v>442</v>
      </c>
      <c r="D46" s="12" t="s">
        <v>224</v>
      </c>
      <c r="E46" s="13" t="s">
        <v>720</v>
      </c>
      <c r="F46" s="13" t="s">
        <v>45</v>
      </c>
      <c r="G46" s="13" t="s">
        <v>659</v>
      </c>
      <c r="H46" s="13" t="s">
        <v>789</v>
      </c>
      <c r="I46" s="13" t="s">
        <v>445</v>
      </c>
      <c r="J46" s="13" t="s">
        <v>790</v>
      </c>
      <c r="K46" s="13" t="s">
        <v>662</v>
      </c>
      <c r="L46" s="13">
        <v>3</v>
      </c>
      <c r="M46" s="14">
        <v>0.66972185399999995</v>
      </c>
      <c r="N46" s="13" t="s">
        <v>791</v>
      </c>
      <c r="O46" s="13">
        <v>10</v>
      </c>
      <c r="P46" s="26" t="str">
        <f>IF(B46="no","not sampled",IF(COUNTIFS(Annotations!$C$2:$C$116,C46,Annotations!$AT$2:$AT$116,"complete")=COUNTIF(Annotations!$C$2:$C$116,C46),"complete","pending"))</f>
        <v>complete</v>
      </c>
    </row>
    <row r="47" spans="1:16" ht="24" customHeight="1">
      <c r="A47" s="12">
        <v>42</v>
      </c>
      <c r="B47" s="12" t="s">
        <v>42</v>
      </c>
      <c r="C47" s="12" t="s">
        <v>452</v>
      </c>
      <c r="D47" s="12" t="s">
        <v>453</v>
      </c>
      <c r="E47" s="13" t="s">
        <v>792</v>
      </c>
      <c r="F47" s="13" t="s">
        <v>60</v>
      </c>
      <c r="G47" s="13" t="s">
        <v>659</v>
      </c>
      <c r="H47" s="13" t="s">
        <v>793</v>
      </c>
      <c r="I47" s="13" t="s">
        <v>456</v>
      </c>
      <c r="J47" s="13" t="s">
        <v>794</v>
      </c>
      <c r="K47" s="13" t="s">
        <v>662</v>
      </c>
      <c r="L47" s="13">
        <v>1</v>
      </c>
      <c r="M47" s="14">
        <v>0.70205418149999999</v>
      </c>
      <c r="N47" s="13" t="s">
        <v>795</v>
      </c>
      <c r="O47" s="13">
        <v>20</v>
      </c>
      <c r="P47" s="26" t="str">
        <f>IF(B47="no","not sampled",IF(COUNTIFS(Annotations!$C$2:$C$116,C47,Annotations!$AT$2:$AT$116,"complete")=COUNTIF(Annotations!$C$2:$C$116,C47),"complete","pending"))</f>
        <v>complete</v>
      </c>
    </row>
    <row r="48" spans="1:16" ht="24" customHeight="1">
      <c r="A48" s="12">
        <v>43</v>
      </c>
      <c r="B48" s="12" t="s">
        <v>42</v>
      </c>
      <c r="C48" s="12" t="s">
        <v>459</v>
      </c>
      <c r="D48" s="12" t="s">
        <v>112</v>
      </c>
      <c r="E48" s="13" t="s">
        <v>796</v>
      </c>
      <c r="F48" s="13" t="s">
        <v>60</v>
      </c>
      <c r="G48" s="13" t="s">
        <v>659</v>
      </c>
      <c r="H48" s="13" t="s">
        <v>797</v>
      </c>
      <c r="I48" s="13" t="s">
        <v>462</v>
      </c>
      <c r="J48" s="13" t="s">
        <v>798</v>
      </c>
      <c r="K48" s="13" t="s">
        <v>662</v>
      </c>
      <c r="L48" s="13">
        <v>2</v>
      </c>
      <c r="M48" s="14">
        <v>0.62773408949999998</v>
      </c>
      <c r="N48" s="13" t="s">
        <v>799</v>
      </c>
      <c r="O48" s="13">
        <v>20</v>
      </c>
      <c r="P48" s="26" t="str">
        <f>IF(B48="no","not sampled",IF(COUNTIFS(Annotations!$C$2:$C$116,C48,Annotations!$AT$2:$AT$116,"complete")=COUNTIF(Annotations!$C$2:$C$116,C48),"complete","pending"))</f>
        <v>complete</v>
      </c>
    </row>
    <row r="49" spans="1:16" ht="24" customHeight="1">
      <c r="A49" s="12">
        <v>44</v>
      </c>
      <c r="B49" s="12" t="s">
        <v>42</v>
      </c>
      <c r="C49" s="12" t="s">
        <v>467</v>
      </c>
      <c r="D49" s="12" t="s">
        <v>468</v>
      </c>
      <c r="E49" s="13" t="s">
        <v>800</v>
      </c>
      <c r="F49" s="13" t="s">
        <v>45</v>
      </c>
      <c r="G49" s="13" t="s">
        <v>659</v>
      </c>
      <c r="H49" s="13" t="s">
        <v>801</v>
      </c>
      <c r="I49" s="13" t="s">
        <v>471</v>
      </c>
      <c r="J49" s="13" t="s">
        <v>802</v>
      </c>
      <c r="K49" s="13" t="s">
        <v>662</v>
      </c>
      <c r="L49" s="13">
        <v>2</v>
      </c>
      <c r="M49" s="14">
        <v>0.64947055650000007</v>
      </c>
      <c r="N49" s="13" t="s">
        <v>803</v>
      </c>
      <c r="O49" s="13">
        <v>20</v>
      </c>
      <c r="P49" s="26" t="str">
        <f>IF(B49="no","not sampled",IF(COUNTIFS(Annotations!$C$2:$C$116,C49,Annotations!$AT$2:$AT$116,"complete")=COUNTIF(Annotations!$C$2:$C$116,C49),"complete","pending"))</f>
        <v>complete</v>
      </c>
    </row>
    <row r="50" spans="1:16" ht="24" customHeight="1">
      <c r="A50" s="12">
        <v>45</v>
      </c>
      <c r="B50" s="12" t="s">
        <v>42</v>
      </c>
      <c r="C50" s="12" t="s">
        <v>476</v>
      </c>
      <c r="D50" s="12" t="s">
        <v>477</v>
      </c>
      <c r="E50" s="13" t="s">
        <v>804</v>
      </c>
      <c r="F50" s="13" t="s">
        <v>60</v>
      </c>
      <c r="G50" s="13" t="s">
        <v>659</v>
      </c>
      <c r="H50" s="13" t="s">
        <v>805</v>
      </c>
      <c r="I50" s="13" t="s">
        <v>479</v>
      </c>
      <c r="J50" s="13" t="s">
        <v>806</v>
      </c>
      <c r="K50" s="13" t="s">
        <v>662</v>
      </c>
      <c r="L50" s="13">
        <v>2</v>
      </c>
      <c r="M50" s="14">
        <v>0.66402849450000001</v>
      </c>
      <c r="N50" s="13" t="s">
        <v>807</v>
      </c>
      <c r="O50" s="13">
        <v>20</v>
      </c>
      <c r="P50" s="26" t="str">
        <f>IF(B50="no","not sampled",IF(COUNTIFS(Annotations!$C$2:$C$116,C50,Annotations!$AT$2:$AT$116,"complete")=COUNTIF(Annotations!$C$2:$C$116,C50),"complete","pending"))</f>
        <v>complete</v>
      </c>
    </row>
    <row r="51" spans="1:16" ht="24" customHeight="1">
      <c r="A51" s="12">
        <v>46</v>
      </c>
      <c r="B51" s="12" t="s">
        <v>42</v>
      </c>
      <c r="C51" s="12" t="s">
        <v>483</v>
      </c>
      <c r="D51" s="12" t="s">
        <v>484</v>
      </c>
      <c r="E51" s="13" t="s">
        <v>683</v>
      </c>
      <c r="F51" s="13" t="s">
        <v>60</v>
      </c>
      <c r="G51" s="13" t="s">
        <v>659</v>
      </c>
      <c r="H51" s="13" t="s">
        <v>808</v>
      </c>
      <c r="I51" s="13" t="s">
        <v>487</v>
      </c>
      <c r="J51" s="13" t="s">
        <v>809</v>
      </c>
      <c r="K51" s="13" t="s">
        <v>662</v>
      </c>
      <c r="L51" s="13">
        <v>2</v>
      </c>
      <c r="M51" s="14">
        <v>0.71847438450000012</v>
      </c>
      <c r="N51" s="13" t="s">
        <v>810</v>
      </c>
      <c r="O51" s="13">
        <v>20</v>
      </c>
      <c r="P51" s="26" t="str">
        <f>IF(B51="no","not sampled",IF(COUNTIFS(Annotations!$C$2:$C$116,C51,Annotations!$AT$2:$AT$116,"complete")=COUNTIF(Annotations!$C$2:$C$116,C51),"complete","pending"))</f>
        <v>complete</v>
      </c>
    </row>
    <row r="52" spans="1:16" ht="24" customHeight="1">
      <c r="A52" s="12">
        <v>47</v>
      </c>
      <c r="B52" s="12" t="s">
        <v>42</v>
      </c>
      <c r="C52" s="12" t="s">
        <v>492</v>
      </c>
      <c r="D52" s="12" t="s">
        <v>122</v>
      </c>
      <c r="E52" s="13" t="s">
        <v>683</v>
      </c>
      <c r="F52" s="13" t="s">
        <v>60</v>
      </c>
      <c r="G52" s="13" t="s">
        <v>659</v>
      </c>
      <c r="H52" s="13" t="s">
        <v>811</v>
      </c>
      <c r="I52" s="13" t="s">
        <v>127</v>
      </c>
      <c r="J52" s="13" t="s">
        <v>685</v>
      </c>
      <c r="K52" s="13" t="s">
        <v>662</v>
      </c>
      <c r="L52" s="13">
        <v>2</v>
      </c>
      <c r="M52" s="14">
        <v>0.72857794600000003</v>
      </c>
      <c r="N52" s="13" t="s">
        <v>493</v>
      </c>
      <c r="O52" s="13">
        <v>20</v>
      </c>
      <c r="P52" s="26" t="str">
        <f>IF(B52="no","not sampled",IF(COUNTIFS(Annotations!$C$2:$C$116,C52,Annotations!$AT$2:$AT$116,"complete")=COUNTIF(Annotations!$C$2:$C$116,C52),"complete","pending"))</f>
        <v>complete</v>
      </c>
    </row>
    <row r="53" spans="1:16" ht="24" customHeight="1">
      <c r="A53" s="12">
        <v>48</v>
      </c>
      <c r="B53" s="12" t="s">
        <v>42</v>
      </c>
      <c r="C53" s="12" t="s">
        <v>500</v>
      </c>
      <c r="D53" s="12" t="s">
        <v>122</v>
      </c>
      <c r="E53" s="13" t="s">
        <v>683</v>
      </c>
      <c r="F53" s="13" t="s">
        <v>60</v>
      </c>
      <c r="G53" s="13" t="s">
        <v>659</v>
      </c>
      <c r="H53" s="13" t="s">
        <v>812</v>
      </c>
      <c r="I53" s="13" t="s">
        <v>503</v>
      </c>
      <c r="J53" s="13" t="s">
        <v>813</v>
      </c>
      <c r="K53" s="13" t="s">
        <v>662</v>
      </c>
      <c r="L53" s="13">
        <v>1</v>
      </c>
      <c r="M53" s="14">
        <v>0.71254844299999986</v>
      </c>
      <c r="N53" s="13" t="s">
        <v>814</v>
      </c>
      <c r="O53" s="13">
        <v>20</v>
      </c>
      <c r="P53" s="26" t="str">
        <f>IF(B53="no","not sampled",IF(COUNTIFS(Annotations!$C$2:$C$116,C53,Annotations!$AT$2:$AT$116,"complete")=COUNTIF(Annotations!$C$2:$C$116,C53),"complete","pending"))</f>
        <v>complete</v>
      </c>
    </row>
    <row r="54" spans="1:16" ht="24" customHeight="1">
      <c r="A54" s="12">
        <v>49</v>
      </c>
      <c r="B54" s="12" t="s">
        <v>42</v>
      </c>
      <c r="C54" s="12" t="s">
        <v>506</v>
      </c>
      <c r="D54" s="12" t="s">
        <v>507</v>
      </c>
      <c r="E54" s="13" t="s">
        <v>720</v>
      </c>
      <c r="F54" s="13" t="s">
        <v>60</v>
      </c>
      <c r="G54" s="13" t="s">
        <v>659</v>
      </c>
      <c r="H54" s="13" t="s">
        <v>815</v>
      </c>
      <c r="I54" s="13" t="s">
        <v>510</v>
      </c>
      <c r="J54" s="13" t="s">
        <v>816</v>
      </c>
      <c r="K54" s="13" t="s">
        <v>662</v>
      </c>
      <c r="L54" s="13">
        <v>1</v>
      </c>
      <c r="M54" s="14">
        <v>0.63725260250000004</v>
      </c>
      <c r="N54" s="13" t="s">
        <v>723</v>
      </c>
      <c r="O54" s="13">
        <v>20</v>
      </c>
      <c r="P54" s="26" t="str">
        <f>IF(B54="no","not sampled",IF(COUNTIFS(Annotations!$C$2:$C$116,C54,Annotations!$AT$2:$AT$116,"complete")=COUNTIF(Annotations!$C$2:$C$116,C54),"complete","pending"))</f>
        <v>complete</v>
      </c>
    </row>
    <row r="55" spans="1:16" ht="24" customHeight="1">
      <c r="A55" s="12">
        <v>50</v>
      </c>
      <c r="B55" s="12" t="s">
        <v>42</v>
      </c>
      <c r="C55" s="12" t="s">
        <v>513</v>
      </c>
      <c r="D55" s="12" t="s">
        <v>98</v>
      </c>
      <c r="E55" s="13" t="s">
        <v>696</v>
      </c>
      <c r="F55" s="13" t="s">
        <v>60</v>
      </c>
      <c r="G55" s="13" t="s">
        <v>659</v>
      </c>
      <c r="H55" s="13" t="s">
        <v>817</v>
      </c>
      <c r="I55" s="13" t="s">
        <v>516</v>
      </c>
      <c r="J55" s="13" t="s">
        <v>818</v>
      </c>
      <c r="K55" s="13" t="s">
        <v>662</v>
      </c>
      <c r="L55" s="13">
        <v>1</v>
      </c>
      <c r="M55" s="14">
        <v>0.72093930950000007</v>
      </c>
      <c r="N55" s="13" t="s">
        <v>726</v>
      </c>
      <c r="O55" s="13">
        <v>20</v>
      </c>
      <c r="P55" s="26" t="str">
        <f>IF(B55="no","not sampled",IF(COUNTIFS(Annotations!$C$2:$C$116,C55,Annotations!$AT$2:$AT$116,"complete")=COUNTIF(Annotations!$C$2:$C$116,C55),"complete","pending"))</f>
        <v>complete</v>
      </c>
    </row>
    <row r="56" spans="1:16" ht="24" customHeight="1">
      <c r="A56" s="12"/>
      <c r="B56" s="12" t="s">
        <v>52</v>
      </c>
      <c r="C56" s="12" t="s">
        <v>519</v>
      </c>
      <c r="D56" s="12" t="s">
        <v>520</v>
      </c>
      <c r="E56" s="13" t="s">
        <v>664</v>
      </c>
      <c r="F56" s="13" t="s">
        <v>45</v>
      </c>
      <c r="G56" s="13" t="s">
        <v>659</v>
      </c>
      <c r="H56" s="13" t="s">
        <v>819</v>
      </c>
      <c r="I56" s="13" t="s">
        <v>524</v>
      </c>
      <c r="J56" s="13" t="s">
        <v>820</v>
      </c>
      <c r="K56" s="13" t="s">
        <v>662</v>
      </c>
      <c r="L56" s="13">
        <v>2</v>
      </c>
      <c r="M56" s="14">
        <v>0.67972328800000004</v>
      </c>
      <c r="N56" s="13" t="s">
        <v>821</v>
      </c>
      <c r="O56" s="13">
        <v>10</v>
      </c>
      <c r="P56" s="26" t="str">
        <f>IF(B56="no","not sampled",IF(COUNTIFS(Annotations!$C$2:$C$116,C56,Annotations!$AT$2:$AT$116,"complete")=COUNTIF(Annotations!$C$2:$C$116,C56),"complete","pending"))</f>
        <v>not sampled</v>
      </c>
    </row>
    <row r="57" spans="1:16" ht="24" customHeight="1">
      <c r="A57" s="12"/>
      <c r="B57" s="12" t="s">
        <v>52</v>
      </c>
      <c r="C57" s="12" t="s">
        <v>531</v>
      </c>
      <c r="D57" s="12" t="s">
        <v>152</v>
      </c>
      <c r="E57" s="13" t="s">
        <v>693</v>
      </c>
      <c r="F57" s="13" t="s">
        <v>45</v>
      </c>
      <c r="G57" s="13" t="s">
        <v>659</v>
      </c>
      <c r="H57" s="13" t="s">
        <v>822</v>
      </c>
      <c r="I57" s="13" t="s">
        <v>534</v>
      </c>
      <c r="J57" s="13" t="s">
        <v>823</v>
      </c>
      <c r="K57" s="13" t="s">
        <v>662</v>
      </c>
      <c r="L57" s="13">
        <v>2</v>
      </c>
      <c r="M57" s="14">
        <v>0.63831415000000002</v>
      </c>
      <c r="N57" s="13" t="s">
        <v>824</v>
      </c>
      <c r="O57" s="13">
        <v>10</v>
      </c>
      <c r="P57" s="26" t="str">
        <f>IF(B57="no","not sampled",IF(COUNTIFS(Annotations!$C$2:$C$116,C57,Annotations!$AT$2:$AT$116,"complete")=COUNTIF(Annotations!$C$2:$C$116,C57),"complete","pending"))</f>
        <v>not sampled</v>
      </c>
    </row>
    <row r="58" spans="1:16" ht="24" customHeight="1">
      <c r="A58" s="12"/>
      <c r="B58" s="12" t="s">
        <v>52</v>
      </c>
      <c r="C58" s="12" t="s">
        <v>538</v>
      </c>
      <c r="D58" s="12" t="s">
        <v>211</v>
      </c>
      <c r="E58" s="13" t="s">
        <v>714</v>
      </c>
      <c r="F58" s="13" t="s">
        <v>45</v>
      </c>
      <c r="G58" s="13" t="s">
        <v>659</v>
      </c>
      <c r="H58" s="13" t="s">
        <v>825</v>
      </c>
      <c r="I58" s="13" t="s">
        <v>219</v>
      </c>
      <c r="J58" s="13" t="s">
        <v>719</v>
      </c>
      <c r="K58" s="13" t="s">
        <v>662</v>
      </c>
      <c r="L58" s="13">
        <v>3</v>
      </c>
      <c r="M58" s="14">
        <v>0.71504954000000009</v>
      </c>
      <c r="N58" s="13" t="s">
        <v>717</v>
      </c>
      <c r="O58" s="13">
        <v>20</v>
      </c>
      <c r="P58" s="26" t="str">
        <f>IF(B58="no","not sampled",IF(COUNTIFS(Annotations!$C$2:$C$116,C58,Annotations!$AT$2:$AT$116,"complete")=COUNTIF(Annotations!$C$2:$C$116,C58),"complete","pending"))</f>
        <v>not sampled</v>
      </c>
    </row>
    <row r="59" spans="1:16" ht="24" customHeight="1">
      <c r="A59" s="12"/>
      <c r="B59" s="12" t="s">
        <v>52</v>
      </c>
      <c r="C59" s="12" t="s">
        <v>545</v>
      </c>
      <c r="D59" s="12" t="s">
        <v>326</v>
      </c>
      <c r="E59" s="13" t="s">
        <v>826</v>
      </c>
      <c r="F59" s="13" t="s">
        <v>60</v>
      </c>
      <c r="G59" s="13" t="s">
        <v>659</v>
      </c>
      <c r="H59" s="13" t="s">
        <v>827</v>
      </c>
      <c r="I59" s="13" t="s">
        <v>549</v>
      </c>
      <c r="J59" s="13" t="s">
        <v>828</v>
      </c>
      <c r="K59" s="13" t="s">
        <v>662</v>
      </c>
      <c r="L59" s="13">
        <v>1</v>
      </c>
      <c r="M59" s="14">
        <v>0.69269880750000001</v>
      </c>
      <c r="N59" s="13" t="s">
        <v>758</v>
      </c>
      <c r="O59" s="13">
        <v>20</v>
      </c>
      <c r="P59" s="26" t="str">
        <f>IF(B59="no","not sampled",IF(COUNTIFS(Annotations!$C$2:$C$116,C59,Annotations!$AT$2:$AT$116,"complete")=COUNTIF(Annotations!$C$2:$C$116,C59),"complete","pending"))</f>
        <v>not sampled</v>
      </c>
    </row>
    <row r="60" spans="1:16" ht="36" customHeight="1">
      <c r="A60" s="12"/>
      <c r="B60" s="12" t="s">
        <v>52</v>
      </c>
      <c r="C60" s="12" t="s">
        <v>550</v>
      </c>
      <c r="D60" s="12" t="s">
        <v>551</v>
      </c>
      <c r="E60" s="13" t="s">
        <v>829</v>
      </c>
      <c r="F60" s="13" t="s">
        <v>60</v>
      </c>
      <c r="G60" s="13" t="s">
        <v>659</v>
      </c>
      <c r="H60" s="13" t="s">
        <v>830</v>
      </c>
      <c r="I60" s="13" t="s">
        <v>554</v>
      </c>
      <c r="J60" s="13" t="s">
        <v>831</v>
      </c>
      <c r="K60" s="13" t="s">
        <v>662</v>
      </c>
      <c r="L60" s="13">
        <v>2</v>
      </c>
      <c r="M60" s="14">
        <v>0.67225626049999998</v>
      </c>
      <c r="N60" s="13" t="s">
        <v>832</v>
      </c>
      <c r="O60" s="13">
        <v>20</v>
      </c>
      <c r="P60" s="26" t="str">
        <f>IF(B60="no","not sampled",IF(COUNTIFS(Annotations!$C$2:$C$116,C60,Annotations!$AT$2:$AT$116,"complete")=COUNTIF(Annotations!$C$2:$C$116,C60),"complete","pending"))</f>
        <v>not sampled</v>
      </c>
    </row>
    <row r="61" spans="1:16" ht="36" customHeight="1">
      <c r="A61" s="12"/>
      <c r="B61" s="12" t="s">
        <v>52</v>
      </c>
      <c r="C61" s="12" t="s">
        <v>559</v>
      </c>
      <c r="D61" s="12" t="s">
        <v>551</v>
      </c>
      <c r="E61" s="13" t="s">
        <v>829</v>
      </c>
      <c r="F61" s="13" t="s">
        <v>60</v>
      </c>
      <c r="G61" s="13" t="s">
        <v>659</v>
      </c>
      <c r="H61" s="13" t="s">
        <v>833</v>
      </c>
      <c r="I61" s="13" t="s">
        <v>564</v>
      </c>
      <c r="J61" s="13" t="s">
        <v>834</v>
      </c>
      <c r="K61" s="13" t="s">
        <v>662</v>
      </c>
      <c r="L61" s="13">
        <v>1</v>
      </c>
      <c r="M61" s="14">
        <v>0.67225238050000002</v>
      </c>
      <c r="N61" s="13" t="s">
        <v>832</v>
      </c>
      <c r="O61" s="13">
        <v>20</v>
      </c>
      <c r="P61" s="26" t="str">
        <f>IF(B61="no","not sampled",IF(COUNTIFS(Annotations!$C$2:$C$116,C61,Annotations!$AT$2:$AT$116,"complete")=COUNTIF(Annotations!$C$2:$C$116,C61),"complete","pending"))</f>
        <v>not sampled</v>
      </c>
    </row>
    <row r="62" spans="1:16" ht="24" customHeight="1">
      <c r="A62" s="12"/>
      <c r="B62" s="12" t="s">
        <v>52</v>
      </c>
      <c r="C62" s="12" t="s">
        <v>565</v>
      </c>
      <c r="D62" s="12" t="s">
        <v>377</v>
      </c>
      <c r="E62" s="13" t="s">
        <v>771</v>
      </c>
      <c r="F62" s="13" t="s">
        <v>60</v>
      </c>
      <c r="G62" s="13" t="s">
        <v>659</v>
      </c>
      <c r="H62" s="13" t="s">
        <v>835</v>
      </c>
      <c r="I62" s="13" t="s">
        <v>380</v>
      </c>
      <c r="J62" s="13" t="s">
        <v>773</v>
      </c>
      <c r="K62" s="13" t="s">
        <v>662</v>
      </c>
      <c r="L62" s="13">
        <v>2</v>
      </c>
      <c r="M62" s="14">
        <v>0.68141345799999997</v>
      </c>
      <c r="N62" s="13" t="s">
        <v>774</v>
      </c>
      <c r="O62" s="13">
        <v>20</v>
      </c>
      <c r="P62" s="26" t="str">
        <f>IF(B62="no","not sampled",IF(COUNTIFS(Annotations!$C$2:$C$116,C62,Annotations!$AT$2:$AT$116,"complete")=COUNTIF(Annotations!$C$2:$C$116,C62),"complete","pending"))</f>
        <v>not sampled</v>
      </c>
    </row>
    <row r="63" spans="1:16" ht="24" customHeight="1">
      <c r="A63" s="12"/>
      <c r="B63" s="12" t="s">
        <v>52</v>
      </c>
      <c r="C63" s="12" t="s">
        <v>570</v>
      </c>
      <c r="D63" s="12" t="s">
        <v>377</v>
      </c>
      <c r="E63" s="13" t="s">
        <v>792</v>
      </c>
      <c r="F63" s="13" t="s">
        <v>60</v>
      </c>
      <c r="G63" s="13" t="s">
        <v>659</v>
      </c>
      <c r="H63" s="13" t="s">
        <v>836</v>
      </c>
      <c r="I63" s="13" t="s">
        <v>380</v>
      </c>
      <c r="J63" s="13" t="s">
        <v>773</v>
      </c>
      <c r="K63" s="13" t="s">
        <v>662</v>
      </c>
      <c r="L63" s="13">
        <v>2</v>
      </c>
      <c r="M63" s="14">
        <v>0.68141345799999997</v>
      </c>
      <c r="N63" s="13" t="s">
        <v>774</v>
      </c>
      <c r="O63" s="13">
        <v>20</v>
      </c>
      <c r="P63" s="26" t="str">
        <f>IF(B63="no","not sampled",IF(COUNTIFS(Annotations!$C$2:$C$116,C63,Annotations!$AT$2:$AT$116,"complete")=COUNTIF(Annotations!$C$2:$C$116,C63),"complete","pending"))</f>
        <v>not sampled</v>
      </c>
    </row>
    <row r="64" spans="1:16" ht="24" customHeight="1">
      <c r="A64" s="12"/>
      <c r="B64" s="12" t="s">
        <v>52</v>
      </c>
      <c r="C64" s="12" t="s">
        <v>573</v>
      </c>
      <c r="D64" s="12" t="s">
        <v>574</v>
      </c>
      <c r="E64" s="13" t="s">
        <v>837</v>
      </c>
      <c r="F64" s="13" t="s">
        <v>45</v>
      </c>
      <c r="G64" s="13" t="s">
        <v>659</v>
      </c>
      <c r="H64" s="13" t="s">
        <v>838</v>
      </c>
      <c r="I64" s="13" t="s">
        <v>579</v>
      </c>
      <c r="J64" s="13" t="s">
        <v>839</v>
      </c>
      <c r="K64" s="13" t="s">
        <v>662</v>
      </c>
      <c r="L64" s="13">
        <v>2</v>
      </c>
      <c r="M64" s="14">
        <v>0.66150279500000009</v>
      </c>
      <c r="N64" s="13" t="s">
        <v>840</v>
      </c>
      <c r="O64" s="13">
        <v>20</v>
      </c>
      <c r="P64" s="26" t="str">
        <f>IF(B64="no","not sampled",IF(COUNTIFS(Annotations!$C$2:$C$116,C64,Annotations!$AT$2:$AT$116,"complete")=COUNTIF(Annotations!$C$2:$C$116,C64),"complete","pending"))</f>
        <v>not sampled</v>
      </c>
    </row>
  </sheetData>
  <mergeCells count="1">
    <mergeCell ref="A1:P1"/>
  </mergeCells>
  <conditionalFormatting sqref="A6:B64">
    <cfRule type="containsText" dxfId="44" priority="1" operator="containsText" text="yes"/>
  </conditionalFormatting>
  <conditionalFormatting sqref="F6:F64">
    <cfRule type="containsText" dxfId="43" priority="2" operator="containsText" text="real"/>
    <cfRule type="containsText" dxfId="42" priority="3" operator="containsText" text="synthetic"/>
  </conditionalFormatting>
  <conditionalFormatting sqref="P6:P64">
    <cfRule type="containsText" dxfId="41" priority="4" operator="containsText" text="pending"/>
    <cfRule type="containsText" dxfId="40" priority="5" operator="containsText" text="complet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116"/>
  <sheetViews>
    <sheetView showGridLines="0" tabSelected="1" workbookViewId="0">
      <selection activeCell="AM2" sqref="AM2"/>
    </sheetView>
  </sheetViews>
  <sheetFormatPr defaultRowHeight="13.8"/>
  <cols>
    <col min="1" max="1" width="8.8984375" customWidth="1"/>
    <col min="2" max="2" width="12.19921875" customWidth="1"/>
    <col min="3" max="3" width="21.09765625" customWidth="1"/>
    <col min="4" max="4" width="33.296875" customWidth="1"/>
    <col min="5" max="6" width="9.3984375" customWidth="1"/>
    <col min="7" max="7" width="36.69921875" customWidth="1"/>
    <col min="8" max="8" width="12.796875" customWidth="1"/>
    <col min="9" max="10" width="46.69921875" customWidth="1"/>
    <col min="11" max="11" width="12.19921875" customWidth="1"/>
    <col min="12" max="12" width="22.19921875" customWidth="1"/>
    <col min="13" max="14" width="13.296875" customWidth="1"/>
    <col min="15" max="15" width="12.19921875" customWidth="1"/>
    <col min="16" max="16" width="13.296875" customWidth="1"/>
    <col min="17" max="17" width="34.3984375" customWidth="1"/>
    <col min="18" max="18" width="21.09765625" customWidth="1"/>
    <col min="19" max="19" width="42.19921875" customWidth="1"/>
    <col min="20" max="20" width="57.796875" customWidth="1"/>
    <col min="21" max="21" width="12.19921875" customWidth="1"/>
    <col min="22" max="22" width="13.296875" customWidth="1"/>
    <col min="23" max="23" width="20" customWidth="1"/>
    <col min="24" max="24" width="46.69921875" customWidth="1"/>
    <col min="25" max="25" width="14.3984375" customWidth="1"/>
    <col min="26" max="26" width="26.69921875" customWidth="1"/>
    <col min="27" max="27" width="46.69921875" customWidth="1"/>
    <col min="28" max="28" width="12.796875" customWidth="1"/>
    <col min="29" max="29" width="16.69921875" customWidth="1"/>
    <col min="30" max="30" width="12.19921875" customWidth="1"/>
    <col min="31" max="31" width="13.296875" customWidth="1"/>
    <col min="32" max="32" width="20" customWidth="1"/>
    <col min="33" max="33" width="46.69921875" customWidth="1"/>
    <col min="34" max="34" width="14.3984375" customWidth="1"/>
    <col min="35" max="35" width="26.69921875" customWidth="1"/>
    <col min="36" max="36" width="46.69921875" customWidth="1"/>
    <col min="37" max="37" width="12.796875" customWidth="1"/>
    <col min="38" max="40" width="16.69921875" customWidth="1"/>
    <col min="41" max="41" width="13.296875" customWidth="1"/>
    <col min="42" max="42" width="15" customWidth="1"/>
    <col min="43" max="43" width="16.69921875" customWidth="1"/>
    <col min="44" max="44" width="18.8984375" customWidth="1"/>
    <col min="45" max="45" width="46.69921875" customWidth="1"/>
    <col min="46" max="46" width="13.296875" customWidth="1"/>
    <col min="47" max="47" width="8.796875" customWidth="1"/>
  </cols>
  <sheetData>
    <row r="1" spans="1:46">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c r="X1" s="20" t="s">
        <v>23</v>
      </c>
      <c r="Y1" s="20" t="s">
        <v>24</v>
      </c>
      <c r="Z1" s="20" t="s">
        <v>25</v>
      </c>
      <c r="AA1" s="20" t="s">
        <v>26</v>
      </c>
      <c r="AB1" s="20" t="s">
        <v>27</v>
      </c>
      <c r="AC1" s="20" t="s">
        <v>4290</v>
      </c>
      <c r="AD1" s="20" t="s">
        <v>28</v>
      </c>
      <c r="AE1" s="20" t="s">
        <v>29</v>
      </c>
      <c r="AF1" s="20" t="s">
        <v>30</v>
      </c>
      <c r="AG1" s="20" t="s">
        <v>31</v>
      </c>
      <c r="AH1" s="20" t="s">
        <v>32</v>
      </c>
      <c r="AI1" s="20" t="s">
        <v>33</v>
      </c>
      <c r="AJ1" s="20" t="s">
        <v>34</v>
      </c>
      <c r="AK1" s="20" t="s">
        <v>35</v>
      </c>
      <c r="AL1" s="20" t="s">
        <v>4291</v>
      </c>
      <c r="AM1" s="20" t="s">
        <v>4980</v>
      </c>
      <c r="AN1" s="20" t="s">
        <v>4981</v>
      </c>
      <c r="AO1" s="20" t="s">
        <v>36</v>
      </c>
      <c r="AP1" s="20" t="s">
        <v>37</v>
      </c>
      <c r="AQ1" s="20" t="s">
        <v>38</v>
      </c>
      <c r="AR1" s="20" t="s">
        <v>39</v>
      </c>
      <c r="AS1" s="20" t="s">
        <v>40</v>
      </c>
      <c r="AT1" s="20" t="s">
        <v>41</v>
      </c>
    </row>
    <row r="2" spans="1:46">
      <c r="A2" s="15">
        <v>1</v>
      </c>
      <c r="B2" s="15" t="s">
        <v>42</v>
      </c>
      <c r="C2" s="15" t="s">
        <v>43</v>
      </c>
      <c r="D2" s="15" t="s">
        <v>44</v>
      </c>
      <c r="E2" s="15" t="s">
        <v>45</v>
      </c>
      <c r="F2" s="15">
        <v>1</v>
      </c>
      <c r="G2" s="15" t="s">
        <v>46</v>
      </c>
      <c r="H2" s="15" t="s">
        <v>47</v>
      </c>
      <c r="I2" s="15" t="s">
        <v>48</v>
      </c>
      <c r="J2" s="15" t="s">
        <v>49</v>
      </c>
      <c r="K2" s="15" t="s">
        <v>50</v>
      </c>
      <c r="L2" s="15" t="s">
        <v>51</v>
      </c>
      <c r="M2" s="15" t="s">
        <v>52</v>
      </c>
      <c r="N2" s="15" t="s">
        <v>52</v>
      </c>
      <c r="O2" s="15" t="s">
        <v>42</v>
      </c>
      <c r="P2" s="15" t="s">
        <v>42</v>
      </c>
      <c r="Q2" s="23" t="s">
        <v>53</v>
      </c>
      <c r="R2" s="15" t="s">
        <v>54</v>
      </c>
      <c r="S2" s="15" t="s">
        <v>55</v>
      </c>
      <c r="T2" s="15" t="s">
        <v>56</v>
      </c>
      <c r="U2" s="16" t="s">
        <v>4288</v>
      </c>
      <c r="V2" s="16" t="s">
        <v>57</v>
      </c>
      <c r="W2" s="16" t="s">
        <v>4292</v>
      </c>
      <c r="X2" s="16" t="s">
        <v>4293</v>
      </c>
      <c r="Y2" s="16" t="s">
        <v>52</v>
      </c>
      <c r="Z2" s="16" t="s">
        <v>4294</v>
      </c>
      <c r="AA2" s="16" t="s">
        <v>4295</v>
      </c>
      <c r="AB2" s="16">
        <v>4</v>
      </c>
      <c r="AC2" s="22">
        <v>46250</v>
      </c>
      <c r="AD2" s="16" t="s">
        <v>4289</v>
      </c>
      <c r="AE2" s="16" t="s">
        <v>57</v>
      </c>
      <c r="AF2" s="16" t="s">
        <v>4308</v>
      </c>
      <c r="AG2" s="16" t="s">
        <v>4310</v>
      </c>
      <c r="AH2" s="16" t="s">
        <v>52</v>
      </c>
      <c r="AI2" s="16" t="s">
        <v>4309</v>
      </c>
      <c r="AJ2" s="16" t="s">
        <v>4311</v>
      </c>
      <c r="AK2" s="16">
        <v>4</v>
      </c>
      <c r="AL2" s="22">
        <v>46250</v>
      </c>
      <c r="AM2" s="16"/>
      <c r="AN2" s="22"/>
      <c r="AO2" s="17" t="str">
        <f t="shared" ref="AO2:AO33" si="0">IF(OR(V2="",AE2=""),"",IF(V2=AE2,"agree","disagree"))</f>
        <v>agree</v>
      </c>
      <c r="AP2" s="17" t="str">
        <f t="shared" ref="AP2:AP33" si="1">IF(OR(Y2="",AH2=""),"",IF(Y2=AH2,"agree","disagree"))</f>
        <v>agree</v>
      </c>
      <c r="AQ2" s="28" t="s">
        <v>57</v>
      </c>
      <c r="AR2" s="28" t="s">
        <v>52</v>
      </c>
      <c r="AS2" s="28" t="s">
        <v>4882</v>
      </c>
      <c r="AT2" s="17" t="str">
        <f t="shared" ref="AT2:AT33" si="2">IF(B2="no","not sampled",IF(AND(V2&lt;&gt;"",Y2&lt;&gt;""),"complete","pending"))</f>
        <v>complete</v>
      </c>
    </row>
    <row r="3" spans="1:46">
      <c r="A3" s="15">
        <v>2</v>
      </c>
      <c r="B3" s="15" t="s">
        <v>42</v>
      </c>
      <c r="C3" s="15" t="s">
        <v>58</v>
      </c>
      <c r="D3" s="15" t="s">
        <v>59</v>
      </c>
      <c r="E3" s="15" t="s">
        <v>60</v>
      </c>
      <c r="F3" s="15">
        <v>1</v>
      </c>
      <c r="G3" s="15" t="s">
        <v>61</v>
      </c>
      <c r="H3" s="15" t="s">
        <v>47</v>
      </c>
      <c r="I3" s="15" t="s">
        <v>62</v>
      </c>
      <c r="J3" s="15" t="s">
        <v>63</v>
      </c>
      <c r="K3" s="15" t="s">
        <v>50</v>
      </c>
      <c r="L3" s="15" t="s">
        <v>64</v>
      </c>
      <c r="M3" s="15" t="s">
        <v>52</v>
      </c>
      <c r="N3" s="15" t="s">
        <v>42</v>
      </c>
      <c r="O3" s="15" t="s">
        <v>42</v>
      </c>
      <c r="P3" s="15" t="s">
        <v>42</v>
      </c>
      <c r="Q3" s="23" t="s">
        <v>65</v>
      </c>
      <c r="R3" s="15" t="s">
        <v>66</v>
      </c>
      <c r="S3" s="15" t="s">
        <v>67</v>
      </c>
      <c r="T3" s="15" t="s">
        <v>68</v>
      </c>
      <c r="U3" s="16" t="s">
        <v>4288</v>
      </c>
      <c r="V3" s="16" t="s">
        <v>42</v>
      </c>
      <c r="W3" s="16" t="s">
        <v>4296</v>
      </c>
      <c r="X3" s="16" t="s">
        <v>4297</v>
      </c>
      <c r="Y3" s="16" t="s">
        <v>52</v>
      </c>
      <c r="Z3" s="16" t="s">
        <v>4298</v>
      </c>
      <c r="AA3" s="16" t="s">
        <v>4299</v>
      </c>
      <c r="AB3" s="16">
        <v>5</v>
      </c>
      <c r="AC3" s="22">
        <v>46250</v>
      </c>
      <c r="AD3" s="16" t="s">
        <v>4289</v>
      </c>
      <c r="AE3" s="16" t="s">
        <v>42</v>
      </c>
      <c r="AF3" s="16" t="s">
        <v>4328</v>
      </c>
      <c r="AG3" s="16" t="s">
        <v>4329</v>
      </c>
      <c r="AH3" s="16" t="s">
        <v>52</v>
      </c>
      <c r="AI3" s="16" t="s">
        <v>4330</v>
      </c>
      <c r="AJ3" s="16" t="s">
        <v>4399</v>
      </c>
      <c r="AK3" s="16">
        <v>4</v>
      </c>
      <c r="AL3" s="22">
        <v>46251</v>
      </c>
      <c r="AM3" s="16"/>
      <c r="AN3" s="22"/>
      <c r="AO3" s="17" t="str">
        <f t="shared" si="0"/>
        <v>agree</v>
      </c>
      <c r="AP3" s="17" t="str">
        <f t="shared" si="1"/>
        <v>agree</v>
      </c>
      <c r="AQ3" s="28" t="s">
        <v>42</v>
      </c>
      <c r="AR3" s="28" t="s">
        <v>52</v>
      </c>
      <c r="AS3" s="28" t="s">
        <v>4883</v>
      </c>
      <c r="AT3" s="17" t="str">
        <f t="shared" si="2"/>
        <v>complete</v>
      </c>
    </row>
    <row r="4" spans="1:46">
      <c r="A4" s="15">
        <v>3</v>
      </c>
      <c r="B4" s="15" t="s">
        <v>42</v>
      </c>
      <c r="C4" s="15" t="s">
        <v>69</v>
      </c>
      <c r="D4" s="15" t="s">
        <v>70</v>
      </c>
      <c r="E4" s="15" t="s">
        <v>45</v>
      </c>
      <c r="F4" s="15">
        <v>1</v>
      </c>
      <c r="G4" s="15" t="s">
        <v>71</v>
      </c>
      <c r="H4" s="15" t="s">
        <v>47</v>
      </c>
      <c r="I4" s="15" t="s">
        <v>72</v>
      </c>
      <c r="J4" s="15" t="s">
        <v>73</v>
      </c>
      <c r="K4" s="15" t="s">
        <v>50</v>
      </c>
      <c r="L4" s="15" t="s">
        <v>51</v>
      </c>
      <c r="M4" s="15" t="s">
        <v>52</v>
      </c>
      <c r="N4" s="15" t="s">
        <v>52</v>
      </c>
      <c r="O4" s="15" t="s">
        <v>42</v>
      </c>
      <c r="P4" s="15" t="s">
        <v>42</v>
      </c>
      <c r="Q4" s="23" t="s">
        <v>74</v>
      </c>
      <c r="R4" s="15" t="s">
        <v>75</v>
      </c>
      <c r="S4" s="15" t="s">
        <v>76</v>
      </c>
      <c r="T4" s="15" t="s">
        <v>77</v>
      </c>
      <c r="U4" s="16" t="s">
        <v>4288</v>
      </c>
      <c r="V4" s="16" t="s">
        <v>57</v>
      </c>
      <c r="W4" s="16" t="s">
        <v>4300</v>
      </c>
      <c r="X4" s="16" t="s">
        <v>4301</v>
      </c>
      <c r="Y4" s="16" t="s">
        <v>57</v>
      </c>
      <c r="Z4" s="16" t="s">
        <v>4302</v>
      </c>
      <c r="AA4" s="16" t="s">
        <v>4303</v>
      </c>
      <c r="AB4" s="16">
        <v>4</v>
      </c>
      <c r="AC4" s="22">
        <v>46250</v>
      </c>
      <c r="AD4" s="16" t="s">
        <v>4289</v>
      </c>
      <c r="AE4" s="16" t="s">
        <v>57</v>
      </c>
      <c r="AF4" s="16" t="s">
        <v>4335</v>
      </c>
      <c r="AG4" s="16" t="s">
        <v>4400</v>
      </c>
      <c r="AH4" s="16" t="s">
        <v>52</v>
      </c>
      <c r="AI4" s="16" t="s">
        <v>4336</v>
      </c>
      <c r="AJ4" s="16" t="s">
        <v>4337</v>
      </c>
      <c r="AK4" s="16">
        <v>3</v>
      </c>
      <c r="AL4" s="22">
        <v>46251</v>
      </c>
      <c r="AM4" s="16"/>
      <c r="AN4" s="22"/>
      <c r="AO4" s="17" t="str">
        <f t="shared" si="0"/>
        <v>agree</v>
      </c>
      <c r="AP4" s="17" t="str">
        <f t="shared" si="1"/>
        <v>disagree</v>
      </c>
      <c r="AQ4" s="28" t="s">
        <v>57</v>
      </c>
      <c r="AR4" s="28" t="s">
        <v>52</v>
      </c>
      <c r="AS4" s="28" t="s">
        <v>4884</v>
      </c>
      <c r="AT4" s="17" t="str">
        <f t="shared" si="2"/>
        <v>complete</v>
      </c>
    </row>
    <row r="5" spans="1:46">
      <c r="A5" s="15">
        <v>3</v>
      </c>
      <c r="B5" s="15" t="s">
        <v>42</v>
      </c>
      <c r="C5" s="15" t="s">
        <v>69</v>
      </c>
      <c r="D5" s="15" t="s">
        <v>70</v>
      </c>
      <c r="E5" s="15" t="s">
        <v>45</v>
      </c>
      <c r="F5" s="15">
        <v>2</v>
      </c>
      <c r="G5" s="15" t="s">
        <v>78</v>
      </c>
      <c r="H5" s="15" t="s">
        <v>47</v>
      </c>
      <c r="I5" s="15" t="s">
        <v>79</v>
      </c>
      <c r="J5" s="15" t="s">
        <v>80</v>
      </c>
      <c r="K5" s="15" t="s">
        <v>50</v>
      </c>
      <c r="L5" s="15" t="s">
        <v>51</v>
      </c>
      <c r="M5" s="15" t="s">
        <v>52</v>
      </c>
      <c r="N5" s="15" t="s">
        <v>52</v>
      </c>
      <c r="O5" s="15" t="s">
        <v>42</v>
      </c>
      <c r="P5" s="15" t="s">
        <v>42</v>
      </c>
      <c r="Q5" s="23" t="s">
        <v>81</v>
      </c>
      <c r="R5" s="15" t="s">
        <v>75</v>
      </c>
      <c r="S5" s="15" t="s">
        <v>76</v>
      </c>
      <c r="T5" s="15" t="s">
        <v>77</v>
      </c>
      <c r="U5" s="16" t="s">
        <v>4288</v>
      </c>
      <c r="V5" s="16" t="s">
        <v>57</v>
      </c>
      <c r="W5" s="16" t="s">
        <v>4304</v>
      </c>
      <c r="X5" s="16" t="s">
        <v>4305</v>
      </c>
      <c r="Y5" s="16" t="s">
        <v>57</v>
      </c>
      <c r="Z5" s="16" t="s">
        <v>4306</v>
      </c>
      <c r="AA5" s="16" t="s">
        <v>4307</v>
      </c>
      <c r="AB5" s="16">
        <v>4</v>
      </c>
      <c r="AC5" s="22">
        <v>46250</v>
      </c>
      <c r="AD5" s="16" t="s">
        <v>4289</v>
      </c>
      <c r="AE5" s="16" t="s">
        <v>52</v>
      </c>
      <c r="AF5" s="16" t="s">
        <v>4338</v>
      </c>
      <c r="AG5" s="16" t="s">
        <v>4401</v>
      </c>
      <c r="AH5" s="16" t="s">
        <v>52</v>
      </c>
      <c r="AI5" s="16" t="s">
        <v>4339</v>
      </c>
      <c r="AJ5" s="16" t="s">
        <v>4340</v>
      </c>
      <c r="AK5" s="16">
        <v>4</v>
      </c>
      <c r="AL5" s="22">
        <v>46251</v>
      </c>
      <c r="AM5" s="16"/>
      <c r="AN5" s="22"/>
      <c r="AO5" s="17" t="str">
        <f t="shared" si="0"/>
        <v>disagree</v>
      </c>
      <c r="AP5" s="17" t="str">
        <f t="shared" si="1"/>
        <v>disagree</v>
      </c>
      <c r="AQ5" s="28" t="s">
        <v>52</v>
      </c>
      <c r="AR5" s="28" t="s">
        <v>52</v>
      </c>
      <c r="AS5" s="28" t="s">
        <v>4885</v>
      </c>
      <c r="AT5" s="17" t="str">
        <f t="shared" si="2"/>
        <v>complete</v>
      </c>
    </row>
    <row r="6" spans="1:46">
      <c r="A6" s="15">
        <v>4</v>
      </c>
      <c r="B6" s="15" t="s">
        <v>42</v>
      </c>
      <c r="C6" s="15" t="s">
        <v>82</v>
      </c>
      <c r="D6" s="15" t="s">
        <v>83</v>
      </c>
      <c r="E6" s="15" t="s">
        <v>45</v>
      </c>
      <c r="F6" s="15">
        <v>1</v>
      </c>
      <c r="G6" s="15" t="s">
        <v>84</v>
      </c>
      <c r="H6" s="15" t="s">
        <v>47</v>
      </c>
      <c r="I6" s="15" t="s">
        <v>85</v>
      </c>
      <c r="J6" s="15" t="s">
        <v>86</v>
      </c>
      <c r="K6" s="15" t="s">
        <v>87</v>
      </c>
      <c r="L6" s="15" t="s">
        <v>51</v>
      </c>
      <c r="M6" s="15" t="s">
        <v>52</v>
      </c>
      <c r="N6" s="15" t="s">
        <v>52</v>
      </c>
      <c r="O6" s="15" t="s">
        <v>42</v>
      </c>
      <c r="P6" s="15" t="s">
        <v>88</v>
      </c>
      <c r="Q6" s="23" t="s">
        <v>89</v>
      </c>
      <c r="R6" s="15" t="s">
        <v>90</v>
      </c>
      <c r="S6" s="15" t="s">
        <v>91</v>
      </c>
      <c r="T6" s="15" t="s">
        <v>92</v>
      </c>
      <c r="U6" s="16" t="s">
        <v>4288</v>
      </c>
      <c r="V6" s="16" t="s">
        <v>57</v>
      </c>
      <c r="W6" s="16" t="s">
        <v>4312</v>
      </c>
      <c r="X6" s="16" t="s">
        <v>4313</v>
      </c>
      <c r="Y6" s="16" t="s">
        <v>52</v>
      </c>
      <c r="Z6" s="16" t="s">
        <v>4314</v>
      </c>
      <c r="AA6" s="16" t="s">
        <v>4315</v>
      </c>
      <c r="AB6" s="16">
        <v>4</v>
      </c>
      <c r="AC6" s="22">
        <v>46250</v>
      </c>
      <c r="AD6" s="16" t="s">
        <v>4289</v>
      </c>
      <c r="AE6" s="16" t="s">
        <v>57</v>
      </c>
      <c r="AF6" s="16" t="s">
        <v>4344</v>
      </c>
      <c r="AG6" s="16" t="s">
        <v>4345</v>
      </c>
      <c r="AH6" s="16" t="s">
        <v>52</v>
      </c>
      <c r="AI6" s="16" t="s">
        <v>4346</v>
      </c>
      <c r="AJ6" s="16" t="s">
        <v>4347</v>
      </c>
      <c r="AK6" s="16">
        <v>4</v>
      </c>
      <c r="AL6" s="22">
        <v>46251</v>
      </c>
      <c r="AM6" s="16"/>
      <c r="AN6" s="22"/>
      <c r="AO6" s="17" t="str">
        <f t="shared" si="0"/>
        <v>agree</v>
      </c>
      <c r="AP6" s="17" t="str">
        <f t="shared" si="1"/>
        <v>agree</v>
      </c>
      <c r="AQ6" s="28" t="s">
        <v>57</v>
      </c>
      <c r="AR6" s="28" t="s">
        <v>52</v>
      </c>
      <c r="AS6" s="28" t="s">
        <v>4886</v>
      </c>
      <c r="AT6" s="17" t="str">
        <f t="shared" si="2"/>
        <v>complete</v>
      </c>
    </row>
    <row r="7" spans="1:46">
      <c r="A7" s="15">
        <v>4</v>
      </c>
      <c r="B7" s="15" t="s">
        <v>42</v>
      </c>
      <c r="C7" s="15" t="s">
        <v>82</v>
      </c>
      <c r="D7" s="15" t="s">
        <v>83</v>
      </c>
      <c r="E7" s="15" t="s">
        <v>45</v>
      </c>
      <c r="F7" s="15">
        <v>2</v>
      </c>
      <c r="G7" s="15" t="s">
        <v>93</v>
      </c>
      <c r="H7" s="15" t="s">
        <v>47</v>
      </c>
      <c r="I7" s="15" t="s">
        <v>94</v>
      </c>
      <c r="J7" s="15" t="s">
        <v>95</v>
      </c>
      <c r="K7" s="15" t="s">
        <v>50</v>
      </c>
      <c r="L7" s="15" t="s">
        <v>51</v>
      </c>
      <c r="M7" s="15" t="s">
        <v>52</v>
      </c>
      <c r="N7" s="15" t="s">
        <v>52</v>
      </c>
      <c r="O7" s="15" t="s">
        <v>42</v>
      </c>
      <c r="P7" s="15" t="s">
        <v>88</v>
      </c>
      <c r="Q7" s="23" t="s">
        <v>96</v>
      </c>
      <c r="R7" s="15" t="s">
        <v>90</v>
      </c>
      <c r="S7" s="15" t="s">
        <v>91</v>
      </c>
      <c r="T7" s="15" t="s">
        <v>92</v>
      </c>
      <c r="U7" s="16" t="s">
        <v>4288</v>
      </c>
      <c r="V7" s="16" t="s">
        <v>42</v>
      </c>
      <c r="W7" s="16" t="s">
        <v>4316</v>
      </c>
      <c r="X7" s="16" t="s">
        <v>4317</v>
      </c>
      <c r="Y7" s="16" t="s">
        <v>42</v>
      </c>
      <c r="Z7" s="16" t="s">
        <v>4318</v>
      </c>
      <c r="AA7" s="16" t="s">
        <v>4319</v>
      </c>
      <c r="AB7" s="16">
        <v>4</v>
      </c>
      <c r="AC7" s="22">
        <v>46251</v>
      </c>
      <c r="AD7" s="16" t="s">
        <v>4289</v>
      </c>
      <c r="AE7" s="16" t="s">
        <v>42</v>
      </c>
      <c r="AF7" s="16" t="s">
        <v>4352</v>
      </c>
      <c r="AG7" s="16" t="s">
        <v>4353</v>
      </c>
      <c r="AH7" s="16" t="s">
        <v>57</v>
      </c>
      <c r="AI7" s="16" t="s">
        <v>4354</v>
      </c>
      <c r="AJ7" s="16" t="s">
        <v>4355</v>
      </c>
      <c r="AK7" s="16">
        <v>3</v>
      </c>
      <c r="AL7" s="22">
        <v>46251</v>
      </c>
      <c r="AM7" s="16"/>
      <c r="AN7" s="22"/>
      <c r="AO7" s="17" t="str">
        <f t="shared" si="0"/>
        <v>agree</v>
      </c>
      <c r="AP7" s="17" t="str">
        <f t="shared" si="1"/>
        <v>disagree</v>
      </c>
      <c r="AQ7" s="28" t="s">
        <v>42</v>
      </c>
      <c r="AR7" s="28" t="s">
        <v>57</v>
      </c>
      <c r="AS7" s="28" t="s">
        <v>4887</v>
      </c>
      <c r="AT7" s="17" t="str">
        <f t="shared" si="2"/>
        <v>complete</v>
      </c>
    </row>
    <row r="8" spans="1:46">
      <c r="A8" s="15">
        <v>5</v>
      </c>
      <c r="B8" s="15" t="s">
        <v>42</v>
      </c>
      <c r="C8" s="15" t="s">
        <v>97</v>
      </c>
      <c r="D8" s="15" t="s">
        <v>98</v>
      </c>
      <c r="E8" s="15" t="s">
        <v>60</v>
      </c>
      <c r="F8" s="15">
        <v>1</v>
      </c>
      <c r="G8" s="15" t="s">
        <v>99</v>
      </c>
      <c r="H8" s="15" t="s">
        <v>47</v>
      </c>
      <c r="I8" s="15" t="s">
        <v>100</v>
      </c>
      <c r="J8" s="15" t="s">
        <v>101</v>
      </c>
      <c r="K8" s="15" t="s">
        <v>50</v>
      </c>
      <c r="L8" s="15" t="s">
        <v>51</v>
      </c>
      <c r="M8" s="15" t="s">
        <v>52</v>
      </c>
      <c r="N8" s="15" t="s">
        <v>52</v>
      </c>
      <c r="O8" s="15" t="s">
        <v>102</v>
      </c>
      <c r="P8" s="15" t="s">
        <v>52</v>
      </c>
      <c r="Q8" s="23" t="s">
        <v>103</v>
      </c>
      <c r="R8" s="15" t="s">
        <v>104</v>
      </c>
      <c r="S8" s="15" t="s">
        <v>105</v>
      </c>
      <c r="T8" s="15" t="s">
        <v>106</v>
      </c>
      <c r="U8" s="16" t="s">
        <v>4288</v>
      </c>
      <c r="V8" s="16" t="s">
        <v>52</v>
      </c>
      <c r="W8" s="16" t="s">
        <v>4320</v>
      </c>
      <c r="X8" s="16" t="s">
        <v>4321</v>
      </c>
      <c r="Y8" s="16" t="s">
        <v>52</v>
      </c>
      <c r="Z8" s="16" t="s">
        <v>4322</v>
      </c>
      <c r="AA8" s="16" t="s">
        <v>4323</v>
      </c>
      <c r="AB8" s="16">
        <v>4</v>
      </c>
      <c r="AC8" s="22">
        <v>46251</v>
      </c>
      <c r="AD8" s="16" t="s">
        <v>4289</v>
      </c>
      <c r="AE8" s="16" t="s">
        <v>107</v>
      </c>
      <c r="AF8" s="16" t="s">
        <v>4356</v>
      </c>
      <c r="AG8" s="16" t="s">
        <v>4357</v>
      </c>
      <c r="AH8" s="16" t="s">
        <v>52</v>
      </c>
      <c r="AI8" s="16" t="s">
        <v>4358</v>
      </c>
      <c r="AJ8" s="16" t="s">
        <v>4359</v>
      </c>
      <c r="AK8" s="16">
        <v>2</v>
      </c>
      <c r="AL8" s="22">
        <v>46251</v>
      </c>
      <c r="AM8" s="16"/>
      <c r="AN8" s="22"/>
      <c r="AO8" s="17" t="str">
        <f t="shared" si="0"/>
        <v>disagree</v>
      </c>
      <c r="AP8" s="17" t="str">
        <f t="shared" si="1"/>
        <v>agree</v>
      </c>
      <c r="AQ8" s="28" t="s">
        <v>52</v>
      </c>
      <c r="AR8" s="28" t="s">
        <v>52</v>
      </c>
      <c r="AS8" s="28" t="s">
        <v>4888</v>
      </c>
      <c r="AT8" s="17" t="str">
        <f t="shared" si="2"/>
        <v>complete</v>
      </c>
    </row>
    <row r="9" spans="1:46">
      <c r="A9" s="15">
        <v>5</v>
      </c>
      <c r="B9" s="15" t="s">
        <v>42</v>
      </c>
      <c r="C9" s="15" t="s">
        <v>97</v>
      </c>
      <c r="D9" s="15" t="s">
        <v>98</v>
      </c>
      <c r="E9" s="15" t="s">
        <v>60</v>
      </c>
      <c r="F9" s="15">
        <v>2</v>
      </c>
      <c r="G9" s="15" t="s">
        <v>108</v>
      </c>
      <c r="H9" s="15" t="s">
        <v>47</v>
      </c>
      <c r="I9" s="15" t="s">
        <v>109</v>
      </c>
      <c r="J9" s="15" t="s">
        <v>110</v>
      </c>
      <c r="K9" s="15" t="s">
        <v>50</v>
      </c>
      <c r="L9" s="15" t="s">
        <v>51</v>
      </c>
      <c r="M9" s="15" t="s">
        <v>52</v>
      </c>
      <c r="N9" s="15" t="s">
        <v>52</v>
      </c>
      <c r="O9" s="15" t="s">
        <v>42</v>
      </c>
      <c r="P9" s="15" t="s">
        <v>42</v>
      </c>
      <c r="Q9" s="23" t="s">
        <v>53</v>
      </c>
      <c r="R9" s="15" t="s">
        <v>104</v>
      </c>
      <c r="S9" s="15" t="s">
        <v>105</v>
      </c>
      <c r="T9" s="15" t="s">
        <v>106</v>
      </c>
      <c r="U9" s="16" t="s">
        <v>4288</v>
      </c>
      <c r="V9" s="16" t="s">
        <v>57</v>
      </c>
      <c r="W9" s="16" t="s">
        <v>4324</v>
      </c>
      <c r="X9" s="16" t="s">
        <v>4325</v>
      </c>
      <c r="Y9" s="16" t="s">
        <v>52</v>
      </c>
      <c r="Z9" s="16" t="s">
        <v>4326</v>
      </c>
      <c r="AA9" s="16" t="s">
        <v>4327</v>
      </c>
      <c r="AB9" s="16">
        <v>4</v>
      </c>
      <c r="AC9" s="22">
        <v>46251</v>
      </c>
      <c r="AD9" s="16" t="s">
        <v>4289</v>
      </c>
      <c r="AE9" s="16" t="s">
        <v>57</v>
      </c>
      <c r="AF9" s="16" t="s">
        <v>4360</v>
      </c>
      <c r="AG9" s="16" t="s">
        <v>4361</v>
      </c>
      <c r="AH9" s="16" t="s">
        <v>52</v>
      </c>
      <c r="AI9" s="16" t="s">
        <v>4362</v>
      </c>
      <c r="AJ9" s="16" t="s">
        <v>4363</v>
      </c>
      <c r="AK9" s="16">
        <v>4</v>
      </c>
      <c r="AL9" s="22">
        <v>46251</v>
      </c>
      <c r="AM9" s="16"/>
      <c r="AN9" s="22"/>
      <c r="AO9" s="17" t="str">
        <f t="shared" si="0"/>
        <v>agree</v>
      </c>
      <c r="AP9" s="17" t="str">
        <f t="shared" si="1"/>
        <v>agree</v>
      </c>
      <c r="AQ9" s="28" t="s">
        <v>57</v>
      </c>
      <c r="AR9" s="28" t="s">
        <v>52</v>
      </c>
      <c r="AS9" s="28" t="s">
        <v>4889</v>
      </c>
      <c r="AT9" s="17" t="str">
        <f t="shared" si="2"/>
        <v>complete</v>
      </c>
    </row>
    <row r="10" spans="1:46">
      <c r="A10" s="15">
        <v>6</v>
      </c>
      <c r="B10" s="15" t="s">
        <v>42</v>
      </c>
      <c r="C10" s="15" t="s">
        <v>111</v>
      </c>
      <c r="D10" s="15" t="s">
        <v>112</v>
      </c>
      <c r="E10" s="15" t="s">
        <v>60</v>
      </c>
      <c r="F10" s="15">
        <v>1</v>
      </c>
      <c r="G10" s="15" t="s">
        <v>113</v>
      </c>
      <c r="H10" s="15" t="s">
        <v>47</v>
      </c>
      <c r="I10" s="15" t="s">
        <v>114</v>
      </c>
      <c r="J10" s="15" t="s">
        <v>115</v>
      </c>
      <c r="K10" s="15" t="s">
        <v>50</v>
      </c>
      <c r="L10" s="15" t="s">
        <v>64</v>
      </c>
      <c r="M10" s="15" t="s">
        <v>52</v>
      </c>
      <c r="N10" s="15" t="s">
        <v>42</v>
      </c>
      <c r="O10" s="15" t="s">
        <v>42</v>
      </c>
      <c r="P10" s="15" t="s">
        <v>42</v>
      </c>
      <c r="Q10" s="23" t="s">
        <v>65</v>
      </c>
      <c r="R10" s="15" t="s">
        <v>116</v>
      </c>
      <c r="S10" s="15" t="s">
        <v>117</v>
      </c>
      <c r="T10" s="15" t="s">
        <v>118</v>
      </c>
      <c r="U10" s="16" t="s">
        <v>4288</v>
      </c>
      <c r="V10" s="16" t="s">
        <v>42</v>
      </c>
      <c r="W10" s="16" t="s">
        <v>4331</v>
      </c>
      <c r="X10" s="16" t="s">
        <v>4332</v>
      </c>
      <c r="Y10" s="16" t="s">
        <v>52</v>
      </c>
      <c r="Z10" s="16" t="s">
        <v>4333</v>
      </c>
      <c r="AA10" s="16" t="s">
        <v>4334</v>
      </c>
      <c r="AB10" s="16">
        <v>5</v>
      </c>
      <c r="AC10" s="22">
        <v>46251</v>
      </c>
      <c r="AD10" s="16" t="s">
        <v>4289</v>
      </c>
      <c r="AE10" s="16" t="s">
        <v>42</v>
      </c>
      <c r="AF10" s="16" t="s">
        <v>4328</v>
      </c>
      <c r="AG10" s="16" t="s">
        <v>4367</v>
      </c>
      <c r="AH10" s="16" t="s">
        <v>52</v>
      </c>
      <c r="AI10" s="16" t="s">
        <v>4368</v>
      </c>
      <c r="AJ10" s="16" t="s">
        <v>4369</v>
      </c>
      <c r="AK10" s="16">
        <v>3</v>
      </c>
      <c r="AL10" s="22">
        <v>46251</v>
      </c>
      <c r="AM10" s="16"/>
      <c r="AN10" s="22"/>
      <c r="AO10" s="17" t="str">
        <f t="shared" si="0"/>
        <v>agree</v>
      </c>
      <c r="AP10" s="17" t="str">
        <f t="shared" si="1"/>
        <v>agree</v>
      </c>
      <c r="AQ10" s="28" t="s">
        <v>42</v>
      </c>
      <c r="AR10" s="28" t="s">
        <v>52</v>
      </c>
      <c r="AS10" s="28" t="s">
        <v>4890</v>
      </c>
      <c r="AT10" s="17" t="str">
        <f t="shared" si="2"/>
        <v>complete</v>
      </c>
    </row>
    <row r="11" spans="1:46">
      <c r="A11" s="15">
        <v>6</v>
      </c>
      <c r="B11" s="15" t="s">
        <v>42</v>
      </c>
      <c r="C11" s="15" t="s">
        <v>111</v>
      </c>
      <c r="D11" s="15" t="s">
        <v>112</v>
      </c>
      <c r="E11" s="15" t="s">
        <v>60</v>
      </c>
      <c r="F11" s="15">
        <v>2</v>
      </c>
      <c r="G11" s="15" t="s">
        <v>46</v>
      </c>
      <c r="H11" s="15" t="s">
        <v>47</v>
      </c>
      <c r="I11" s="15" t="s">
        <v>119</v>
      </c>
      <c r="J11" s="15" t="s">
        <v>120</v>
      </c>
      <c r="K11" s="15" t="s">
        <v>50</v>
      </c>
      <c r="L11" s="15" t="s">
        <v>51</v>
      </c>
      <c r="M11" s="15" t="s">
        <v>52</v>
      </c>
      <c r="N11" s="15" t="s">
        <v>52</v>
      </c>
      <c r="O11" s="15" t="s">
        <v>42</v>
      </c>
      <c r="P11" s="15" t="s">
        <v>42</v>
      </c>
      <c r="Q11" s="23" t="s">
        <v>53</v>
      </c>
      <c r="R11" s="15" t="s">
        <v>116</v>
      </c>
      <c r="S11" s="15" t="s">
        <v>117</v>
      </c>
      <c r="T11" s="15" t="s">
        <v>118</v>
      </c>
      <c r="U11" s="16" t="s">
        <v>4288</v>
      </c>
      <c r="V11" s="16" t="s">
        <v>57</v>
      </c>
      <c r="W11" s="16" t="s">
        <v>4324</v>
      </c>
      <c r="X11" s="16" t="s">
        <v>4341</v>
      </c>
      <c r="Y11" s="16" t="s">
        <v>52</v>
      </c>
      <c r="Z11" s="16" t="s">
        <v>4342</v>
      </c>
      <c r="AA11" s="16" t="s">
        <v>4343</v>
      </c>
      <c r="AB11" s="16">
        <v>5</v>
      </c>
      <c r="AC11" s="22">
        <v>46251</v>
      </c>
      <c r="AD11" s="16" t="s">
        <v>4289</v>
      </c>
      <c r="AE11" s="16" t="s">
        <v>42</v>
      </c>
      <c r="AF11" s="16" t="s">
        <v>4360</v>
      </c>
      <c r="AG11" s="16" t="s">
        <v>4370</v>
      </c>
      <c r="AH11" s="16" t="s">
        <v>52</v>
      </c>
      <c r="AI11" s="16" t="s">
        <v>4371</v>
      </c>
      <c r="AJ11" s="16" t="s">
        <v>4372</v>
      </c>
      <c r="AK11" s="16">
        <v>3</v>
      </c>
      <c r="AL11" s="22">
        <v>46251</v>
      </c>
      <c r="AM11" s="16"/>
      <c r="AN11" s="22"/>
      <c r="AO11" s="17" t="str">
        <f t="shared" si="0"/>
        <v>disagree</v>
      </c>
      <c r="AP11" s="17" t="str">
        <f t="shared" si="1"/>
        <v>agree</v>
      </c>
      <c r="AQ11" s="28" t="s">
        <v>42</v>
      </c>
      <c r="AR11" s="28" t="s">
        <v>52</v>
      </c>
      <c r="AS11" s="28" t="s">
        <v>4891</v>
      </c>
      <c r="AT11" s="17" t="str">
        <f t="shared" si="2"/>
        <v>complete</v>
      </c>
    </row>
    <row r="12" spans="1:46">
      <c r="A12" s="15">
        <v>7</v>
      </c>
      <c r="B12" s="15" t="s">
        <v>42</v>
      </c>
      <c r="C12" s="15" t="s">
        <v>121</v>
      </c>
      <c r="D12" s="15" t="s">
        <v>122</v>
      </c>
      <c r="E12" s="15" t="s">
        <v>60</v>
      </c>
      <c r="F12" s="15">
        <v>1</v>
      </c>
      <c r="G12" s="15" t="s">
        <v>123</v>
      </c>
      <c r="H12" s="15" t="s">
        <v>47</v>
      </c>
      <c r="I12" s="15" t="s">
        <v>124</v>
      </c>
      <c r="J12" s="15" t="s">
        <v>125</v>
      </c>
      <c r="K12" s="15" t="s">
        <v>87</v>
      </c>
      <c r="L12" s="15" t="s">
        <v>51</v>
      </c>
      <c r="M12" s="15" t="s">
        <v>52</v>
      </c>
      <c r="N12" s="15" t="s">
        <v>52</v>
      </c>
      <c r="O12" s="15" t="s">
        <v>42</v>
      </c>
      <c r="P12" s="15" t="s">
        <v>42</v>
      </c>
      <c r="Q12" s="23" t="s">
        <v>126</v>
      </c>
      <c r="R12" s="15" t="s">
        <v>127</v>
      </c>
      <c r="S12" s="15" t="s">
        <v>128</v>
      </c>
      <c r="T12" s="15" t="s">
        <v>129</v>
      </c>
      <c r="U12" s="16" t="s">
        <v>4288</v>
      </c>
      <c r="V12" s="16" t="s">
        <v>52</v>
      </c>
      <c r="W12" s="16" t="s">
        <v>4348</v>
      </c>
      <c r="X12" s="16" t="s">
        <v>4349</v>
      </c>
      <c r="Y12" s="16" t="s">
        <v>57</v>
      </c>
      <c r="Z12" s="16" t="s">
        <v>4350</v>
      </c>
      <c r="AA12" s="16" t="s">
        <v>4351</v>
      </c>
      <c r="AB12" s="16">
        <v>5</v>
      </c>
      <c r="AC12" s="22">
        <v>46251</v>
      </c>
      <c r="AD12" s="16" t="s">
        <v>4289</v>
      </c>
      <c r="AE12" s="16" t="s">
        <v>52</v>
      </c>
      <c r="AF12" s="16" t="s">
        <v>4373</v>
      </c>
      <c r="AG12" s="16" t="s">
        <v>4374</v>
      </c>
      <c r="AH12" s="16" t="s">
        <v>52</v>
      </c>
      <c r="AI12" s="16" t="s">
        <v>4375</v>
      </c>
      <c r="AJ12" s="16" t="s">
        <v>4376</v>
      </c>
      <c r="AK12" s="16">
        <v>4</v>
      </c>
      <c r="AL12" s="22">
        <v>46251</v>
      </c>
      <c r="AM12" s="16"/>
      <c r="AN12" s="22"/>
      <c r="AO12" s="17" t="str">
        <f t="shared" si="0"/>
        <v>agree</v>
      </c>
      <c r="AP12" s="17" t="str">
        <f t="shared" si="1"/>
        <v>disagree</v>
      </c>
      <c r="AQ12" s="28" t="s">
        <v>52</v>
      </c>
      <c r="AR12" s="28" t="s">
        <v>52</v>
      </c>
      <c r="AS12" s="28" t="s">
        <v>4892</v>
      </c>
      <c r="AT12" s="17" t="str">
        <f t="shared" si="2"/>
        <v>complete</v>
      </c>
    </row>
    <row r="13" spans="1:46">
      <c r="A13" s="15">
        <v>7</v>
      </c>
      <c r="B13" s="15" t="s">
        <v>42</v>
      </c>
      <c r="C13" s="15" t="s">
        <v>121</v>
      </c>
      <c r="D13" s="15" t="s">
        <v>122</v>
      </c>
      <c r="E13" s="15" t="s">
        <v>60</v>
      </c>
      <c r="F13" s="15">
        <v>2</v>
      </c>
      <c r="G13" s="15" t="s">
        <v>130</v>
      </c>
      <c r="H13" s="15" t="s">
        <v>47</v>
      </c>
      <c r="I13" s="15" t="s">
        <v>131</v>
      </c>
      <c r="J13" s="15" t="s">
        <v>132</v>
      </c>
      <c r="K13" s="15" t="s">
        <v>50</v>
      </c>
      <c r="L13" s="15" t="s">
        <v>51</v>
      </c>
      <c r="M13" s="15" t="s">
        <v>52</v>
      </c>
      <c r="N13" s="15" t="s">
        <v>52</v>
      </c>
      <c r="O13" s="15" t="s">
        <v>42</v>
      </c>
      <c r="P13" s="15" t="s">
        <v>42</v>
      </c>
      <c r="Q13" s="23" t="s">
        <v>53</v>
      </c>
      <c r="R13" s="15" t="s">
        <v>127</v>
      </c>
      <c r="S13" s="15" t="s">
        <v>128</v>
      </c>
      <c r="T13" s="15" t="s">
        <v>129</v>
      </c>
      <c r="U13" s="16" t="s">
        <v>4288</v>
      </c>
      <c r="V13" s="16" t="s">
        <v>57</v>
      </c>
      <c r="W13" s="16" t="s">
        <v>4324</v>
      </c>
      <c r="X13" s="16" t="s">
        <v>4364</v>
      </c>
      <c r="Y13" s="16" t="s">
        <v>57</v>
      </c>
      <c r="Z13" s="16" t="s">
        <v>4365</v>
      </c>
      <c r="AA13" s="16" t="s">
        <v>4366</v>
      </c>
      <c r="AB13" s="16">
        <v>4</v>
      </c>
      <c r="AC13" s="22">
        <v>46251</v>
      </c>
      <c r="AD13" s="16" t="s">
        <v>4289</v>
      </c>
      <c r="AE13" s="16" t="s">
        <v>57</v>
      </c>
      <c r="AF13" s="16" t="s">
        <v>4360</v>
      </c>
      <c r="AG13" s="16" t="s">
        <v>4377</v>
      </c>
      <c r="AH13" s="16" t="s">
        <v>52</v>
      </c>
      <c r="AI13" s="16" t="s">
        <v>4378</v>
      </c>
      <c r="AJ13" s="16" t="s">
        <v>4379</v>
      </c>
      <c r="AK13" s="16">
        <v>3</v>
      </c>
      <c r="AL13" s="22">
        <v>46251</v>
      </c>
      <c r="AM13" s="16"/>
      <c r="AN13" s="22"/>
      <c r="AO13" s="17" t="str">
        <f t="shared" si="0"/>
        <v>agree</v>
      </c>
      <c r="AP13" s="17" t="str">
        <f t="shared" si="1"/>
        <v>disagree</v>
      </c>
      <c r="AQ13" s="28" t="s">
        <v>57</v>
      </c>
      <c r="AR13" s="28" t="s">
        <v>52</v>
      </c>
      <c r="AS13" s="28" t="s">
        <v>4893</v>
      </c>
      <c r="AT13" s="17" t="str">
        <f t="shared" si="2"/>
        <v>complete</v>
      </c>
    </row>
    <row r="14" spans="1:46">
      <c r="A14" s="15">
        <v>8</v>
      </c>
      <c r="B14" s="15" t="s">
        <v>42</v>
      </c>
      <c r="C14" s="15" t="s">
        <v>133</v>
      </c>
      <c r="D14" s="15" t="s">
        <v>134</v>
      </c>
      <c r="E14" s="15" t="s">
        <v>60</v>
      </c>
      <c r="F14" s="15">
        <v>1</v>
      </c>
      <c r="G14" s="15" t="s">
        <v>113</v>
      </c>
      <c r="H14" s="15" t="s">
        <v>47</v>
      </c>
      <c r="I14" s="15" t="s">
        <v>135</v>
      </c>
      <c r="J14" s="15" t="s">
        <v>136</v>
      </c>
      <c r="K14" s="15" t="s">
        <v>50</v>
      </c>
      <c r="L14" s="15" t="s">
        <v>64</v>
      </c>
      <c r="M14" s="15" t="s">
        <v>52</v>
      </c>
      <c r="N14" s="15" t="s">
        <v>42</v>
      </c>
      <c r="O14" s="15" t="s">
        <v>42</v>
      </c>
      <c r="P14" s="15" t="s">
        <v>42</v>
      </c>
      <c r="Q14" s="23" t="s">
        <v>65</v>
      </c>
      <c r="R14" s="15" t="s">
        <v>137</v>
      </c>
      <c r="S14" s="15" t="s">
        <v>138</v>
      </c>
      <c r="T14" s="15" t="s">
        <v>139</v>
      </c>
      <c r="U14" s="16" t="s">
        <v>4288</v>
      </c>
      <c r="V14" s="16" t="s">
        <v>42</v>
      </c>
      <c r="W14" s="16" t="s">
        <v>4380</v>
      </c>
      <c r="X14" s="16" t="s">
        <v>4381</v>
      </c>
      <c r="Y14" s="16" t="s">
        <v>52</v>
      </c>
      <c r="Z14" s="16" t="s">
        <v>4382</v>
      </c>
      <c r="AA14" s="16" t="s">
        <v>4383</v>
      </c>
      <c r="AB14" s="16">
        <v>5</v>
      </c>
      <c r="AC14" s="22">
        <v>46251</v>
      </c>
      <c r="AD14" s="16" t="s">
        <v>4289</v>
      </c>
      <c r="AE14" s="16" t="s">
        <v>42</v>
      </c>
      <c r="AF14" s="16" t="s">
        <v>4328</v>
      </c>
      <c r="AG14" s="16" t="s">
        <v>4384</v>
      </c>
      <c r="AH14" s="16" t="s">
        <v>52</v>
      </c>
      <c r="AI14" s="16" t="s">
        <v>4385</v>
      </c>
      <c r="AJ14" s="16" t="s">
        <v>4386</v>
      </c>
      <c r="AK14" s="16">
        <v>4</v>
      </c>
      <c r="AL14" s="22">
        <v>46251</v>
      </c>
      <c r="AM14" s="16"/>
      <c r="AN14" s="22"/>
      <c r="AO14" s="17" t="str">
        <f t="shared" si="0"/>
        <v>agree</v>
      </c>
      <c r="AP14" s="17" t="str">
        <f t="shared" si="1"/>
        <v>agree</v>
      </c>
      <c r="AQ14" s="28" t="s">
        <v>42</v>
      </c>
      <c r="AR14" s="28" t="s">
        <v>52</v>
      </c>
      <c r="AS14" s="28" t="s">
        <v>4894</v>
      </c>
      <c r="AT14" s="17" t="str">
        <f t="shared" si="2"/>
        <v>complete</v>
      </c>
    </row>
    <row r="15" spans="1:46">
      <c r="A15" s="15">
        <v>8</v>
      </c>
      <c r="B15" s="15" t="s">
        <v>42</v>
      </c>
      <c r="C15" s="15" t="s">
        <v>133</v>
      </c>
      <c r="D15" s="15" t="s">
        <v>134</v>
      </c>
      <c r="E15" s="15" t="s">
        <v>60</v>
      </c>
      <c r="F15" s="15">
        <v>2</v>
      </c>
      <c r="G15" s="15" t="s">
        <v>46</v>
      </c>
      <c r="H15" s="15" t="s">
        <v>47</v>
      </c>
      <c r="I15" s="15" t="s">
        <v>140</v>
      </c>
      <c r="J15" s="15" t="s">
        <v>141</v>
      </c>
      <c r="K15" s="15" t="s">
        <v>50</v>
      </c>
      <c r="L15" s="15" t="s">
        <v>51</v>
      </c>
      <c r="M15" s="15" t="s">
        <v>52</v>
      </c>
      <c r="N15" s="15" t="s">
        <v>52</v>
      </c>
      <c r="O15" s="15" t="s">
        <v>42</v>
      </c>
      <c r="P15" s="15" t="s">
        <v>42</v>
      </c>
      <c r="Q15" s="23" t="s">
        <v>53</v>
      </c>
      <c r="R15" s="15" t="s">
        <v>137</v>
      </c>
      <c r="S15" s="15" t="s">
        <v>138</v>
      </c>
      <c r="T15" s="15" t="s">
        <v>139</v>
      </c>
      <c r="U15" s="16" t="s">
        <v>4288</v>
      </c>
      <c r="V15" s="16" t="s">
        <v>52</v>
      </c>
      <c r="W15" s="16" t="s">
        <v>4324</v>
      </c>
      <c r="X15" s="16" t="s">
        <v>4387</v>
      </c>
      <c r="Y15" s="16" t="s">
        <v>57</v>
      </c>
      <c r="Z15" s="16" t="s">
        <v>4388</v>
      </c>
      <c r="AA15" s="16" t="s">
        <v>4389</v>
      </c>
      <c r="AB15" s="16">
        <v>4</v>
      </c>
      <c r="AC15" s="22">
        <v>46251</v>
      </c>
      <c r="AD15" s="16" t="s">
        <v>4289</v>
      </c>
      <c r="AE15" s="16" t="s">
        <v>52</v>
      </c>
      <c r="AF15" s="16" t="s">
        <v>4360</v>
      </c>
      <c r="AG15" s="16" t="s">
        <v>4390</v>
      </c>
      <c r="AH15" s="16" t="s">
        <v>52</v>
      </c>
      <c r="AI15" s="16" t="s">
        <v>4391</v>
      </c>
      <c r="AJ15" s="16" t="s">
        <v>4392</v>
      </c>
      <c r="AK15" s="16">
        <v>4</v>
      </c>
      <c r="AL15" s="22">
        <v>46251</v>
      </c>
      <c r="AM15" s="16"/>
      <c r="AN15" s="22"/>
      <c r="AO15" s="17" t="str">
        <f t="shared" si="0"/>
        <v>agree</v>
      </c>
      <c r="AP15" s="17" t="str">
        <f t="shared" si="1"/>
        <v>disagree</v>
      </c>
      <c r="AQ15" s="28" t="s">
        <v>52</v>
      </c>
      <c r="AR15" s="28" t="s">
        <v>52</v>
      </c>
      <c r="AS15" s="28" t="s">
        <v>4895</v>
      </c>
      <c r="AT15" s="17" t="str">
        <f t="shared" si="2"/>
        <v>complete</v>
      </c>
    </row>
    <row r="16" spans="1:46">
      <c r="A16" s="15">
        <v>9</v>
      </c>
      <c r="B16" s="15" t="s">
        <v>42</v>
      </c>
      <c r="C16" s="15" t="s">
        <v>142</v>
      </c>
      <c r="D16" s="15" t="s">
        <v>143</v>
      </c>
      <c r="E16" s="15" t="s">
        <v>45</v>
      </c>
      <c r="F16" s="15">
        <v>1</v>
      </c>
      <c r="G16" s="15" t="s">
        <v>113</v>
      </c>
      <c r="H16" s="15" t="s">
        <v>47</v>
      </c>
      <c r="I16" s="15" t="s">
        <v>144</v>
      </c>
      <c r="J16" s="15" t="s">
        <v>145</v>
      </c>
      <c r="K16" s="15" t="s">
        <v>50</v>
      </c>
      <c r="L16" s="15" t="s">
        <v>64</v>
      </c>
      <c r="M16" s="15" t="s">
        <v>52</v>
      </c>
      <c r="N16" s="15" t="s">
        <v>42</v>
      </c>
      <c r="O16" s="15" t="s">
        <v>42</v>
      </c>
      <c r="P16" s="15" t="s">
        <v>42</v>
      </c>
      <c r="Q16" s="23" t="s">
        <v>65</v>
      </c>
      <c r="R16" s="15" t="s">
        <v>146</v>
      </c>
      <c r="S16" s="15" t="s">
        <v>147</v>
      </c>
      <c r="T16" s="15" t="s">
        <v>148</v>
      </c>
      <c r="U16" s="16" t="s">
        <v>4288</v>
      </c>
      <c r="V16" s="16" t="s">
        <v>42</v>
      </c>
      <c r="W16" s="16" t="s">
        <v>4393</v>
      </c>
      <c r="X16" s="16" t="s">
        <v>4394</v>
      </c>
      <c r="Y16" s="16" t="s">
        <v>52</v>
      </c>
      <c r="Z16" s="16" t="s">
        <v>4395</v>
      </c>
      <c r="AA16" s="16" t="s">
        <v>4396</v>
      </c>
      <c r="AB16" s="16">
        <v>5</v>
      </c>
      <c r="AC16" s="22">
        <v>46251</v>
      </c>
      <c r="AD16" s="16" t="s">
        <v>4289</v>
      </c>
      <c r="AE16" s="16" t="s">
        <v>42</v>
      </c>
      <c r="AF16" s="16" t="s">
        <v>4328</v>
      </c>
      <c r="AG16" s="16" t="s">
        <v>4397</v>
      </c>
      <c r="AH16" s="16" t="s">
        <v>52</v>
      </c>
      <c r="AI16" s="16" t="s">
        <v>4406</v>
      </c>
      <c r="AJ16" s="16" t="s">
        <v>4398</v>
      </c>
      <c r="AK16" s="16">
        <v>3</v>
      </c>
      <c r="AL16" s="22">
        <v>46251</v>
      </c>
      <c r="AM16" s="16"/>
      <c r="AN16" s="22"/>
      <c r="AO16" s="17" t="str">
        <f t="shared" si="0"/>
        <v>agree</v>
      </c>
      <c r="AP16" s="17" t="str">
        <f t="shared" si="1"/>
        <v>agree</v>
      </c>
      <c r="AQ16" s="28" t="s">
        <v>42</v>
      </c>
      <c r="AR16" s="28" t="s">
        <v>52</v>
      </c>
      <c r="AS16" s="28" t="s">
        <v>4896</v>
      </c>
      <c r="AT16" s="17" t="str">
        <f t="shared" si="2"/>
        <v>complete</v>
      </c>
    </row>
    <row r="17" spans="1:46">
      <c r="A17" s="15">
        <v>9</v>
      </c>
      <c r="B17" s="15" t="s">
        <v>42</v>
      </c>
      <c r="C17" s="15" t="s">
        <v>142</v>
      </c>
      <c r="D17" s="15" t="s">
        <v>143</v>
      </c>
      <c r="E17" s="15" t="s">
        <v>45</v>
      </c>
      <c r="F17" s="15">
        <v>2</v>
      </c>
      <c r="G17" s="15" t="s">
        <v>46</v>
      </c>
      <c r="H17" s="15" t="s">
        <v>47</v>
      </c>
      <c r="I17" s="15" t="s">
        <v>149</v>
      </c>
      <c r="J17" s="15" t="s">
        <v>150</v>
      </c>
      <c r="K17" s="15" t="s">
        <v>87</v>
      </c>
      <c r="L17" s="15" t="s">
        <v>51</v>
      </c>
      <c r="M17" s="15" t="s">
        <v>52</v>
      </c>
      <c r="N17" s="15" t="s">
        <v>52</v>
      </c>
      <c r="O17" s="15" t="s">
        <v>42</v>
      </c>
      <c r="P17" s="15" t="s">
        <v>42</v>
      </c>
      <c r="Q17" s="23" t="s">
        <v>53</v>
      </c>
      <c r="R17" s="15" t="s">
        <v>146</v>
      </c>
      <c r="S17" s="15" t="s">
        <v>147</v>
      </c>
      <c r="T17" s="15" t="s">
        <v>148</v>
      </c>
      <c r="U17" s="16" t="s">
        <v>4288</v>
      </c>
      <c r="V17" s="16" t="s">
        <v>57</v>
      </c>
      <c r="W17" s="16" t="s">
        <v>4324</v>
      </c>
      <c r="X17" s="16" t="s">
        <v>4402</v>
      </c>
      <c r="Y17" s="16" t="s">
        <v>57</v>
      </c>
      <c r="Z17" s="16" t="s">
        <v>4395</v>
      </c>
      <c r="AA17" s="16" t="s">
        <v>4403</v>
      </c>
      <c r="AB17" s="16">
        <v>4</v>
      </c>
      <c r="AC17" s="22">
        <v>46251</v>
      </c>
      <c r="AD17" s="16" t="s">
        <v>4289</v>
      </c>
      <c r="AE17" s="16" t="s">
        <v>42</v>
      </c>
      <c r="AF17" s="16" t="s">
        <v>4360</v>
      </c>
      <c r="AG17" s="16" t="s">
        <v>4404</v>
      </c>
      <c r="AH17" s="16" t="s">
        <v>52</v>
      </c>
      <c r="AI17" s="16" t="s">
        <v>4405</v>
      </c>
      <c r="AJ17" s="16" t="s">
        <v>4407</v>
      </c>
      <c r="AK17" s="16">
        <v>3</v>
      </c>
      <c r="AL17" s="22">
        <v>46251</v>
      </c>
      <c r="AM17" s="16"/>
      <c r="AN17" s="22"/>
      <c r="AO17" s="17" t="str">
        <f t="shared" si="0"/>
        <v>disagree</v>
      </c>
      <c r="AP17" s="17" t="str">
        <f t="shared" si="1"/>
        <v>disagree</v>
      </c>
      <c r="AQ17" s="28" t="s">
        <v>42</v>
      </c>
      <c r="AR17" s="28" t="s">
        <v>52</v>
      </c>
      <c r="AS17" s="28" t="s">
        <v>4897</v>
      </c>
      <c r="AT17" s="17" t="str">
        <f t="shared" si="2"/>
        <v>complete</v>
      </c>
    </row>
    <row r="18" spans="1:46">
      <c r="A18" s="15">
        <v>10</v>
      </c>
      <c r="B18" s="15" t="s">
        <v>42</v>
      </c>
      <c r="C18" s="15" t="s">
        <v>151</v>
      </c>
      <c r="D18" s="15" t="s">
        <v>152</v>
      </c>
      <c r="E18" s="15" t="s">
        <v>45</v>
      </c>
      <c r="F18" s="15">
        <v>1</v>
      </c>
      <c r="G18" s="15" t="s">
        <v>61</v>
      </c>
      <c r="H18" s="15" t="s">
        <v>47</v>
      </c>
      <c r="I18" s="15" t="s">
        <v>153</v>
      </c>
      <c r="J18" s="15" t="s">
        <v>154</v>
      </c>
      <c r="K18" s="15" t="s">
        <v>50</v>
      </c>
      <c r="L18" s="15" t="s">
        <v>64</v>
      </c>
      <c r="M18" s="15" t="s">
        <v>52</v>
      </c>
      <c r="N18" s="15" t="s">
        <v>42</v>
      </c>
      <c r="O18" s="15" t="s">
        <v>42</v>
      </c>
      <c r="P18" s="15" t="s">
        <v>42</v>
      </c>
      <c r="Q18" s="23" t="s">
        <v>65</v>
      </c>
      <c r="R18" s="15" t="s">
        <v>155</v>
      </c>
      <c r="S18" s="15" t="s">
        <v>156</v>
      </c>
      <c r="T18" s="15" t="s">
        <v>157</v>
      </c>
      <c r="U18" s="16" t="s">
        <v>4288</v>
      </c>
      <c r="V18" s="16" t="s">
        <v>42</v>
      </c>
      <c r="W18" s="16" t="s">
        <v>4393</v>
      </c>
      <c r="X18" s="16" t="s">
        <v>4409</v>
      </c>
      <c r="Y18" s="16" t="s">
        <v>57</v>
      </c>
      <c r="Z18" s="16" t="s">
        <v>4410</v>
      </c>
      <c r="AA18" s="16" t="s">
        <v>4411</v>
      </c>
      <c r="AB18" s="16">
        <v>4</v>
      </c>
      <c r="AC18" s="22">
        <v>46251</v>
      </c>
      <c r="AD18" s="16" t="s">
        <v>4289</v>
      </c>
      <c r="AE18" s="16" t="s">
        <v>42</v>
      </c>
      <c r="AF18" s="16" t="s">
        <v>4328</v>
      </c>
      <c r="AG18" s="16" t="s">
        <v>4412</v>
      </c>
      <c r="AH18" s="16" t="s">
        <v>52</v>
      </c>
      <c r="AI18" s="16" t="s">
        <v>4413</v>
      </c>
      <c r="AJ18" s="16" t="s">
        <v>4414</v>
      </c>
      <c r="AK18" s="16">
        <v>4</v>
      </c>
      <c r="AL18" s="22">
        <v>46251</v>
      </c>
      <c r="AM18" s="16"/>
      <c r="AN18" s="22"/>
      <c r="AO18" s="17" t="str">
        <f t="shared" si="0"/>
        <v>agree</v>
      </c>
      <c r="AP18" s="17" t="str">
        <f t="shared" si="1"/>
        <v>disagree</v>
      </c>
      <c r="AQ18" s="28" t="s">
        <v>42</v>
      </c>
      <c r="AR18" s="28" t="s">
        <v>52</v>
      </c>
      <c r="AS18" s="28" t="s">
        <v>4898</v>
      </c>
      <c r="AT18" s="17" t="str">
        <f t="shared" si="2"/>
        <v>complete</v>
      </c>
    </row>
    <row r="19" spans="1:46">
      <c r="A19" s="15">
        <v>11</v>
      </c>
      <c r="B19" s="15" t="s">
        <v>42</v>
      </c>
      <c r="C19" s="15" t="s">
        <v>158</v>
      </c>
      <c r="D19" s="15" t="s">
        <v>98</v>
      </c>
      <c r="E19" s="15" t="s">
        <v>60</v>
      </c>
      <c r="F19" s="15">
        <v>1</v>
      </c>
      <c r="G19" s="15" t="s">
        <v>113</v>
      </c>
      <c r="H19" s="15" t="s">
        <v>47</v>
      </c>
      <c r="I19" s="15" t="s">
        <v>159</v>
      </c>
      <c r="J19" s="15" t="s">
        <v>160</v>
      </c>
      <c r="K19" s="15" t="s">
        <v>50</v>
      </c>
      <c r="L19" s="15" t="s">
        <v>64</v>
      </c>
      <c r="M19" s="15" t="s">
        <v>52</v>
      </c>
      <c r="N19" s="15" t="s">
        <v>42</v>
      </c>
      <c r="O19" s="15" t="s">
        <v>42</v>
      </c>
      <c r="P19" s="15" t="s">
        <v>42</v>
      </c>
      <c r="Q19" s="23" t="s">
        <v>65</v>
      </c>
      <c r="R19" s="15" t="s">
        <v>161</v>
      </c>
      <c r="S19" s="15" t="s">
        <v>162</v>
      </c>
      <c r="T19" s="15" t="s">
        <v>163</v>
      </c>
      <c r="U19" s="16" t="s">
        <v>4288</v>
      </c>
      <c r="V19" s="16" t="s">
        <v>42</v>
      </c>
      <c r="W19" s="16" t="s">
        <v>4415</v>
      </c>
      <c r="X19" s="16" t="s">
        <v>4416</v>
      </c>
      <c r="Y19" s="16" t="s">
        <v>52</v>
      </c>
      <c r="Z19" s="16" t="s">
        <v>4417</v>
      </c>
      <c r="AA19" s="16" t="s">
        <v>4418</v>
      </c>
      <c r="AB19" s="16">
        <v>5</v>
      </c>
      <c r="AC19" s="22">
        <v>46251</v>
      </c>
      <c r="AD19" s="16" t="s">
        <v>4289</v>
      </c>
      <c r="AE19" s="16" t="s">
        <v>42</v>
      </c>
      <c r="AF19" s="16" t="s">
        <v>4328</v>
      </c>
      <c r="AG19" s="16" t="s">
        <v>4419</v>
      </c>
      <c r="AH19" s="16" t="s">
        <v>52</v>
      </c>
      <c r="AI19" s="16" t="s">
        <v>4420</v>
      </c>
      <c r="AJ19" s="16" t="s">
        <v>4421</v>
      </c>
      <c r="AK19" s="16">
        <v>4</v>
      </c>
      <c r="AL19" s="22">
        <v>46251</v>
      </c>
      <c r="AM19" s="16"/>
      <c r="AN19" s="22"/>
      <c r="AO19" s="17" t="str">
        <f t="shared" si="0"/>
        <v>agree</v>
      </c>
      <c r="AP19" s="17" t="str">
        <f t="shared" si="1"/>
        <v>agree</v>
      </c>
      <c r="AQ19" s="28" t="s">
        <v>42</v>
      </c>
      <c r="AR19" s="28" t="s">
        <v>52</v>
      </c>
      <c r="AS19" s="28" t="s">
        <v>4899</v>
      </c>
      <c r="AT19" s="17" t="str">
        <f t="shared" si="2"/>
        <v>complete</v>
      </c>
    </row>
    <row r="20" spans="1:46">
      <c r="A20" s="15">
        <v>11</v>
      </c>
      <c r="B20" s="15" t="s">
        <v>42</v>
      </c>
      <c r="C20" s="15" t="s">
        <v>158</v>
      </c>
      <c r="D20" s="15" t="s">
        <v>98</v>
      </c>
      <c r="E20" s="15" t="s">
        <v>60</v>
      </c>
      <c r="F20" s="15">
        <v>2</v>
      </c>
      <c r="G20" s="15" t="s">
        <v>46</v>
      </c>
      <c r="H20" s="15" t="s">
        <v>47</v>
      </c>
      <c r="I20" s="15" t="s">
        <v>164</v>
      </c>
      <c r="J20" s="15" t="s">
        <v>165</v>
      </c>
      <c r="K20" s="15" t="s">
        <v>50</v>
      </c>
      <c r="L20" s="15" t="s">
        <v>51</v>
      </c>
      <c r="M20" s="15" t="s">
        <v>52</v>
      </c>
      <c r="N20" s="15" t="s">
        <v>52</v>
      </c>
      <c r="O20" s="15" t="s">
        <v>42</v>
      </c>
      <c r="P20" s="15" t="s">
        <v>42</v>
      </c>
      <c r="Q20" s="15" t="s">
        <v>53</v>
      </c>
      <c r="R20" s="15" t="s">
        <v>161</v>
      </c>
      <c r="S20" s="15" t="s">
        <v>162</v>
      </c>
      <c r="T20" s="15" t="s">
        <v>163</v>
      </c>
      <c r="U20" s="16" t="s">
        <v>4288</v>
      </c>
      <c r="V20" s="16" t="s">
        <v>42</v>
      </c>
      <c r="W20" s="16" t="s">
        <v>4460</v>
      </c>
      <c r="X20" s="16" t="s">
        <v>4461</v>
      </c>
      <c r="Y20" s="16" t="s">
        <v>52</v>
      </c>
      <c r="Z20" s="16" t="s">
        <v>4462</v>
      </c>
      <c r="AA20" s="16" t="s">
        <v>4463</v>
      </c>
      <c r="AB20" s="16">
        <v>5</v>
      </c>
      <c r="AC20" s="22">
        <v>46251</v>
      </c>
      <c r="AD20" s="16" t="s">
        <v>4289</v>
      </c>
      <c r="AE20" s="16" t="s">
        <v>42</v>
      </c>
      <c r="AF20" s="16" t="s">
        <v>4360</v>
      </c>
      <c r="AG20" s="16" t="s">
        <v>4464</v>
      </c>
      <c r="AH20" s="16" t="s">
        <v>52</v>
      </c>
      <c r="AI20" s="16" t="s">
        <v>4465</v>
      </c>
      <c r="AJ20" s="16" t="s">
        <v>4466</v>
      </c>
      <c r="AK20" s="16">
        <v>4</v>
      </c>
      <c r="AL20" s="22">
        <v>46251</v>
      </c>
      <c r="AM20" s="16"/>
      <c r="AN20" s="22"/>
      <c r="AO20" s="17" t="str">
        <f t="shared" si="0"/>
        <v>agree</v>
      </c>
      <c r="AP20" s="17" t="str">
        <f t="shared" si="1"/>
        <v>agree</v>
      </c>
      <c r="AQ20" s="28" t="s">
        <v>42</v>
      </c>
      <c r="AR20" s="28" t="s">
        <v>52</v>
      </c>
      <c r="AS20" s="28" t="s">
        <v>4900</v>
      </c>
      <c r="AT20" s="17" t="str">
        <f t="shared" si="2"/>
        <v>complete</v>
      </c>
    </row>
    <row r="21" spans="1:46">
      <c r="A21" s="15">
        <v>12</v>
      </c>
      <c r="B21" s="15" t="s">
        <v>42</v>
      </c>
      <c r="C21" s="15" t="s">
        <v>166</v>
      </c>
      <c r="D21" s="15" t="s">
        <v>167</v>
      </c>
      <c r="E21" s="15" t="s">
        <v>45</v>
      </c>
      <c r="F21" s="15">
        <v>1</v>
      </c>
      <c r="G21" s="15" t="s">
        <v>168</v>
      </c>
      <c r="H21" s="15" t="s">
        <v>47</v>
      </c>
      <c r="I21" s="15" t="s">
        <v>169</v>
      </c>
      <c r="J21" s="15" t="s">
        <v>170</v>
      </c>
      <c r="K21" s="15" t="s">
        <v>50</v>
      </c>
      <c r="L21" s="15" t="s">
        <v>51</v>
      </c>
      <c r="M21" s="15" t="s">
        <v>52</v>
      </c>
      <c r="N21" s="15" t="s">
        <v>52</v>
      </c>
      <c r="O21" s="15" t="s">
        <v>42</v>
      </c>
      <c r="P21" s="15" t="s">
        <v>88</v>
      </c>
      <c r="Q21" s="15" t="s">
        <v>171</v>
      </c>
      <c r="R21" s="15" t="s">
        <v>172</v>
      </c>
      <c r="S21" s="15" t="s">
        <v>173</v>
      </c>
      <c r="T21" s="15" t="s">
        <v>174</v>
      </c>
      <c r="U21" s="16" t="s">
        <v>4288</v>
      </c>
      <c r="V21" s="16" t="s">
        <v>52</v>
      </c>
      <c r="W21" s="16" t="s">
        <v>4467</v>
      </c>
      <c r="X21" s="16" t="s">
        <v>4468</v>
      </c>
      <c r="Y21" s="16" t="s">
        <v>57</v>
      </c>
      <c r="Z21" s="16" t="s">
        <v>4469</v>
      </c>
      <c r="AA21" s="16" t="s">
        <v>4470</v>
      </c>
      <c r="AB21" s="16">
        <v>4</v>
      </c>
      <c r="AC21" s="22">
        <v>46251</v>
      </c>
      <c r="AD21" s="16" t="s">
        <v>4289</v>
      </c>
      <c r="AE21" s="16" t="s">
        <v>57</v>
      </c>
      <c r="AF21" s="16" t="s">
        <v>4471</v>
      </c>
      <c r="AG21" s="16" t="s">
        <v>4472</v>
      </c>
      <c r="AH21" s="16" t="s">
        <v>57</v>
      </c>
      <c r="AI21" s="16" t="s">
        <v>4473</v>
      </c>
      <c r="AJ21" s="16" t="s">
        <v>4474</v>
      </c>
      <c r="AK21" s="16">
        <v>3</v>
      </c>
      <c r="AL21" s="22">
        <v>46251</v>
      </c>
      <c r="AM21" s="16"/>
      <c r="AN21" s="22"/>
      <c r="AO21" s="17" t="str">
        <f t="shared" si="0"/>
        <v>disagree</v>
      </c>
      <c r="AP21" s="17" t="str">
        <f t="shared" si="1"/>
        <v>agree</v>
      </c>
      <c r="AQ21" s="28" t="s">
        <v>52</v>
      </c>
      <c r="AR21" s="28" t="s">
        <v>57</v>
      </c>
      <c r="AS21" s="28" t="s">
        <v>4901</v>
      </c>
      <c r="AT21" s="17" t="str">
        <f t="shared" si="2"/>
        <v>complete</v>
      </c>
    </row>
    <row r="22" spans="1:46">
      <c r="A22" s="15">
        <v>12</v>
      </c>
      <c r="B22" s="15" t="s">
        <v>42</v>
      </c>
      <c r="C22" s="15" t="s">
        <v>166</v>
      </c>
      <c r="D22" s="15" t="s">
        <v>167</v>
      </c>
      <c r="E22" s="15" t="s">
        <v>45</v>
      </c>
      <c r="F22" s="15">
        <v>2</v>
      </c>
      <c r="G22" s="15" t="s">
        <v>108</v>
      </c>
      <c r="H22" s="15" t="s">
        <v>47</v>
      </c>
      <c r="I22" s="15" t="s">
        <v>175</v>
      </c>
      <c r="J22" s="15" t="s">
        <v>176</v>
      </c>
      <c r="K22" s="15" t="s">
        <v>87</v>
      </c>
      <c r="L22" s="15" t="s">
        <v>51</v>
      </c>
      <c r="M22" s="15" t="s">
        <v>52</v>
      </c>
      <c r="N22" s="15" t="s">
        <v>52</v>
      </c>
      <c r="O22" s="15" t="s">
        <v>42</v>
      </c>
      <c r="P22" s="15" t="s">
        <v>42</v>
      </c>
      <c r="Q22" s="15" t="s">
        <v>53</v>
      </c>
      <c r="R22" s="15" t="s">
        <v>172</v>
      </c>
      <c r="S22" s="15" t="s">
        <v>173</v>
      </c>
      <c r="T22" s="15" t="s">
        <v>174</v>
      </c>
      <c r="U22" s="16" t="s">
        <v>4288</v>
      </c>
      <c r="V22" s="16" t="s">
        <v>52</v>
      </c>
      <c r="W22" s="16" t="s">
        <v>4460</v>
      </c>
      <c r="X22" s="16" t="s">
        <v>4475</v>
      </c>
      <c r="Y22" s="16" t="s">
        <v>52</v>
      </c>
      <c r="Z22" s="16" t="s">
        <v>4476</v>
      </c>
      <c r="AA22" s="16" t="s">
        <v>4477</v>
      </c>
      <c r="AB22" s="16">
        <v>5</v>
      </c>
      <c r="AC22" s="22">
        <v>46251</v>
      </c>
      <c r="AD22" s="16" t="s">
        <v>4289</v>
      </c>
      <c r="AE22" s="16" t="s">
        <v>57</v>
      </c>
      <c r="AF22" s="16" t="s">
        <v>4360</v>
      </c>
      <c r="AG22" s="16" t="s">
        <v>4478</v>
      </c>
      <c r="AH22" s="16" t="s">
        <v>52</v>
      </c>
      <c r="AI22" s="16" t="s">
        <v>4479</v>
      </c>
      <c r="AJ22" s="16" t="s">
        <v>4480</v>
      </c>
      <c r="AK22" s="16">
        <v>3</v>
      </c>
      <c r="AL22" s="22">
        <v>46251</v>
      </c>
      <c r="AM22" s="16"/>
      <c r="AN22" s="22"/>
      <c r="AO22" s="17" t="str">
        <f t="shared" si="0"/>
        <v>disagree</v>
      </c>
      <c r="AP22" s="17" t="str">
        <f t="shared" si="1"/>
        <v>agree</v>
      </c>
      <c r="AQ22" s="28" t="s">
        <v>52</v>
      </c>
      <c r="AR22" s="28" t="s">
        <v>52</v>
      </c>
      <c r="AS22" s="28" t="s">
        <v>4902</v>
      </c>
      <c r="AT22" s="17" t="str">
        <f t="shared" si="2"/>
        <v>complete</v>
      </c>
    </row>
    <row r="23" spans="1:46">
      <c r="A23" s="15">
        <v>13</v>
      </c>
      <c r="B23" s="15" t="s">
        <v>42</v>
      </c>
      <c r="C23" s="15" t="s">
        <v>177</v>
      </c>
      <c r="D23" s="15" t="s">
        <v>70</v>
      </c>
      <c r="E23" s="15" t="s">
        <v>45</v>
      </c>
      <c r="F23" s="15">
        <v>1</v>
      </c>
      <c r="G23" s="15" t="s">
        <v>71</v>
      </c>
      <c r="H23" s="15" t="s">
        <v>47</v>
      </c>
      <c r="I23" s="15" t="s">
        <v>178</v>
      </c>
      <c r="J23" s="15" t="s">
        <v>179</v>
      </c>
      <c r="K23" s="15" t="s">
        <v>50</v>
      </c>
      <c r="L23" s="15" t="s">
        <v>51</v>
      </c>
      <c r="M23" s="15" t="s">
        <v>52</v>
      </c>
      <c r="N23" s="15" t="s">
        <v>52</v>
      </c>
      <c r="O23" s="15" t="s">
        <v>42</v>
      </c>
      <c r="P23" s="15" t="s">
        <v>42</v>
      </c>
      <c r="Q23" s="15" t="s">
        <v>74</v>
      </c>
      <c r="R23" s="15" t="s">
        <v>180</v>
      </c>
      <c r="S23" s="15" t="s">
        <v>181</v>
      </c>
      <c r="T23" s="15" t="s">
        <v>182</v>
      </c>
      <c r="U23" s="16" t="s">
        <v>4288</v>
      </c>
      <c r="V23" s="16" t="s">
        <v>57</v>
      </c>
      <c r="W23" s="16" t="s">
        <v>4481</v>
      </c>
      <c r="X23" s="16" t="s">
        <v>4482</v>
      </c>
      <c r="Y23" s="16" t="s">
        <v>57</v>
      </c>
      <c r="Z23" s="16" t="s">
        <v>4483</v>
      </c>
      <c r="AA23" s="16" t="s">
        <v>4484</v>
      </c>
      <c r="AB23" s="16">
        <v>5</v>
      </c>
      <c r="AC23" s="22">
        <v>46251</v>
      </c>
      <c r="AD23" s="16" t="s">
        <v>4289</v>
      </c>
      <c r="AE23" s="16" t="s">
        <v>57</v>
      </c>
      <c r="AF23" s="16" t="s">
        <v>4335</v>
      </c>
      <c r="AG23" s="16" t="s">
        <v>4485</v>
      </c>
      <c r="AH23" s="16" t="s">
        <v>52</v>
      </c>
      <c r="AI23" s="16" t="s">
        <v>4486</v>
      </c>
      <c r="AJ23" s="16" t="s">
        <v>4487</v>
      </c>
      <c r="AK23" s="16">
        <v>3</v>
      </c>
      <c r="AL23" s="22">
        <v>46251</v>
      </c>
      <c r="AM23" s="16"/>
      <c r="AN23" s="22"/>
      <c r="AO23" s="17" t="str">
        <f t="shared" si="0"/>
        <v>agree</v>
      </c>
      <c r="AP23" s="17" t="str">
        <f t="shared" si="1"/>
        <v>disagree</v>
      </c>
      <c r="AQ23" s="28" t="s">
        <v>57</v>
      </c>
      <c r="AR23" s="28" t="s">
        <v>52</v>
      </c>
      <c r="AS23" s="28" t="s">
        <v>4903</v>
      </c>
      <c r="AT23" s="17" t="str">
        <f t="shared" si="2"/>
        <v>complete</v>
      </c>
    </row>
    <row r="24" spans="1:46">
      <c r="A24" s="15">
        <v>13</v>
      </c>
      <c r="B24" s="15" t="s">
        <v>42</v>
      </c>
      <c r="C24" s="15" t="s">
        <v>177</v>
      </c>
      <c r="D24" s="15" t="s">
        <v>70</v>
      </c>
      <c r="E24" s="15" t="s">
        <v>45</v>
      </c>
      <c r="F24" s="15">
        <v>2</v>
      </c>
      <c r="G24" s="15" t="s">
        <v>130</v>
      </c>
      <c r="H24" s="15" t="s">
        <v>47</v>
      </c>
      <c r="I24" s="15" t="s">
        <v>183</v>
      </c>
      <c r="J24" s="15" t="s">
        <v>184</v>
      </c>
      <c r="K24" s="15" t="s">
        <v>50</v>
      </c>
      <c r="L24" s="15" t="s">
        <v>51</v>
      </c>
      <c r="M24" s="15" t="s">
        <v>52</v>
      </c>
      <c r="N24" s="15" t="s">
        <v>52</v>
      </c>
      <c r="O24" s="15" t="s">
        <v>42</v>
      </c>
      <c r="P24" s="15" t="s">
        <v>42</v>
      </c>
      <c r="Q24" s="15" t="s">
        <v>53</v>
      </c>
      <c r="R24" s="15" t="s">
        <v>180</v>
      </c>
      <c r="S24" s="15" t="s">
        <v>181</v>
      </c>
      <c r="T24" s="15" t="s">
        <v>182</v>
      </c>
      <c r="U24" s="16" t="s">
        <v>4288</v>
      </c>
      <c r="V24" s="16" t="s">
        <v>57</v>
      </c>
      <c r="W24" s="16" t="s">
        <v>4460</v>
      </c>
      <c r="X24" s="16" t="s">
        <v>4488</v>
      </c>
      <c r="Y24" s="16" t="s">
        <v>52</v>
      </c>
      <c r="Z24" s="16" t="s">
        <v>4489</v>
      </c>
      <c r="AA24" s="16" t="s">
        <v>4490</v>
      </c>
      <c r="AB24" s="16">
        <v>5</v>
      </c>
      <c r="AC24" s="22">
        <v>46251</v>
      </c>
      <c r="AD24" s="16" t="s">
        <v>4289</v>
      </c>
      <c r="AE24" s="16" t="s">
        <v>57</v>
      </c>
      <c r="AF24" s="16" t="s">
        <v>4360</v>
      </c>
      <c r="AG24" s="16" t="s">
        <v>4491</v>
      </c>
      <c r="AH24" s="16" t="s">
        <v>52</v>
      </c>
      <c r="AI24" s="16" t="s">
        <v>4492</v>
      </c>
      <c r="AJ24" s="16" t="s">
        <v>4493</v>
      </c>
      <c r="AK24" s="16">
        <v>4</v>
      </c>
      <c r="AL24" s="22">
        <v>46251</v>
      </c>
      <c r="AM24" s="16"/>
      <c r="AN24" s="22"/>
      <c r="AO24" s="17" t="str">
        <f t="shared" si="0"/>
        <v>agree</v>
      </c>
      <c r="AP24" s="17" t="str">
        <f t="shared" si="1"/>
        <v>agree</v>
      </c>
      <c r="AQ24" s="28" t="s">
        <v>57</v>
      </c>
      <c r="AR24" s="28" t="s">
        <v>52</v>
      </c>
      <c r="AS24" s="28" t="s">
        <v>4904</v>
      </c>
      <c r="AT24" s="17" t="str">
        <f t="shared" si="2"/>
        <v>complete</v>
      </c>
    </row>
    <row r="25" spans="1:46">
      <c r="A25" s="15">
        <v>14</v>
      </c>
      <c r="B25" s="15" t="s">
        <v>42</v>
      </c>
      <c r="C25" s="15" t="s">
        <v>185</v>
      </c>
      <c r="D25" s="15" t="s">
        <v>186</v>
      </c>
      <c r="E25" s="15" t="s">
        <v>60</v>
      </c>
      <c r="F25" s="15">
        <v>1</v>
      </c>
      <c r="G25" s="15" t="s">
        <v>187</v>
      </c>
      <c r="H25" s="15" t="s">
        <v>47</v>
      </c>
      <c r="I25" s="15" t="s">
        <v>188</v>
      </c>
      <c r="J25" s="15" t="s">
        <v>189</v>
      </c>
      <c r="K25" s="15" t="s">
        <v>50</v>
      </c>
      <c r="L25" s="15" t="s">
        <v>190</v>
      </c>
      <c r="M25" s="15" t="s">
        <v>42</v>
      </c>
      <c r="N25" s="15" t="s">
        <v>42</v>
      </c>
      <c r="O25" s="15" t="s">
        <v>42</v>
      </c>
      <c r="P25" s="15" t="s">
        <v>42</v>
      </c>
      <c r="Q25" s="15" t="s">
        <v>191</v>
      </c>
      <c r="R25" s="15" t="s">
        <v>192</v>
      </c>
      <c r="S25" s="15" t="s">
        <v>193</v>
      </c>
      <c r="T25" s="15" t="s">
        <v>194</v>
      </c>
      <c r="U25" s="16" t="s">
        <v>4288</v>
      </c>
      <c r="V25" s="16" t="s">
        <v>52</v>
      </c>
      <c r="W25" s="16" t="s">
        <v>4422</v>
      </c>
      <c r="X25" s="16" t="s">
        <v>4423</v>
      </c>
      <c r="Y25" s="16" t="s">
        <v>42</v>
      </c>
      <c r="Z25" s="16" t="s">
        <v>4424</v>
      </c>
      <c r="AA25" s="16" t="s">
        <v>4425</v>
      </c>
      <c r="AB25" s="16">
        <v>5</v>
      </c>
      <c r="AC25" s="22">
        <v>46251</v>
      </c>
      <c r="AD25" s="16" t="s">
        <v>4289</v>
      </c>
      <c r="AE25" s="16" t="s">
        <v>52</v>
      </c>
      <c r="AF25" s="16" t="s">
        <v>4426</v>
      </c>
      <c r="AG25" s="16" t="s">
        <v>4427</v>
      </c>
      <c r="AH25" s="16" t="s">
        <v>57</v>
      </c>
      <c r="AI25" s="16" t="s">
        <v>4428</v>
      </c>
      <c r="AJ25" s="16" t="s">
        <v>4429</v>
      </c>
      <c r="AK25" s="16">
        <v>3</v>
      </c>
      <c r="AL25" s="22">
        <v>46251</v>
      </c>
      <c r="AM25" s="16"/>
      <c r="AN25" s="22"/>
      <c r="AO25" s="17" t="str">
        <f t="shared" si="0"/>
        <v>agree</v>
      </c>
      <c r="AP25" s="17" t="str">
        <f t="shared" si="1"/>
        <v>disagree</v>
      </c>
      <c r="AQ25" s="28" t="s">
        <v>52</v>
      </c>
      <c r="AR25" s="28" t="s">
        <v>57</v>
      </c>
      <c r="AS25" s="28" t="s">
        <v>4905</v>
      </c>
      <c r="AT25" s="17" t="str">
        <f t="shared" si="2"/>
        <v>complete</v>
      </c>
    </row>
    <row r="26" spans="1:46">
      <c r="A26" s="15">
        <v>14</v>
      </c>
      <c r="B26" s="15" t="s">
        <v>42</v>
      </c>
      <c r="C26" s="15" t="s">
        <v>185</v>
      </c>
      <c r="D26" s="15" t="s">
        <v>186</v>
      </c>
      <c r="E26" s="15" t="s">
        <v>60</v>
      </c>
      <c r="F26" s="15">
        <v>2</v>
      </c>
      <c r="G26" s="15" t="s">
        <v>130</v>
      </c>
      <c r="H26" s="15" t="s">
        <v>47</v>
      </c>
      <c r="I26" s="15" t="s">
        <v>195</v>
      </c>
      <c r="J26" s="15" t="s">
        <v>196</v>
      </c>
      <c r="K26" s="15" t="s">
        <v>50</v>
      </c>
      <c r="L26" s="15" t="s">
        <v>51</v>
      </c>
      <c r="M26" s="15" t="s">
        <v>52</v>
      </c>
      <c r="N26" s="15" t="s">
        <v>52</v>
      </c>
      <c r="O26" s="15" t="s">
        <v>42</v>
      </c>
      <c r="P26" s="15" t="s">
        <v>42</v>
      </c>
      <c r="Q26" s="15" t="s">
        <v>53</v>
      </c>
      <c r="R26" s="15" t="s">
        <v>192</v>
      </c>
      <c r="S26" s="15" t="s">
        <v>193</v>
      </c>
      <c r="T26" s="15" t="s">
        <v>194</v>
      </c>
      <c r="U26" s="16" t="s">
        <v>4288</v>
      </c>
      <c r="V26" s="16" t="s">
        <v>42</v>
      </c>
      <c r="W26" s="16" t="s">
        <v>4494</v>
      </c>
      <c r="X26" s="16" t="s">
        <v>4495</v>
      </c>
      <c r="Y26" s="16" t="s">
        <v>52</v>
      </c>
      <c r="Z26" s="16" t="s">
        <v>4496</v>
      </c>
      <c r="AA26" s="16" t="s">
        <v>4497</v>
      </c>
      <c r="AB26" s="16">
        <v>5</v>
      </c>
      <c r="AC26" s="22">
        <v>46251</v>
      </c>
      <c r="AD26" s="16" t="s">
        <v>4289</v>
      </c>
      <c r="AE26" s="16" t="s">
        <v>42</v>
      </c>
      <c r="AF26" s="16" t="s">
        <v>4360</v>
      </c>
      <c r="AG26" s="16" t="s">
        <v>4498</v>
      </c>
      <c r="AH26" s="16" t="s">
        <v>52</v>
      </c>
      <c r="AI26" s="16" t="s">
        <v>4499</v>
      </c>
      <c r="AJ26" s="16" t="s">
        <v>4500</v>
      </c>
      <c r="AK26" s="16">
        <v>4</v>
      </c>
      <c r="AL26" s="22">
        <v>46251</v>
      </c>
      <c r="AM26" s="16"/>
      <c r="AN26" s="22"/>
      <c r="AO26" s="17" t="str">
        <f t="shared" si="0"/>
        <v>agree</v>
      </c>
      <c r="AP26" s="17" t="str">
        <f t="shared" si="1"/>
        <v>agree</v>
      </c>
      <c r="AQ26" s="28" t="s">
        <v>42</v>
      </c>
      <c r="AR26" s="28" t="s">
        <v>52</v>
      </c>
      <c r="AS26" s="28" t="s">
        <v>4906</v>
      </c>
      <c r="AT26" s="17" t="str">
        <f t="shared" si="2"/>
        <v>complete</v>
      </c>
    </row>
    <row r="27" spans="1:46">
      <c r="A27" s="15">
        <v>15</v>
      </c>
      <c r="B27" s="15" t="s">
        <v>42</v>
      </c>
      <c r="C27" s="15" t="s">
        <v>197</v>
      </c>
      <c r="D27" s="15" t="s">
        <v>198</v>
      </c>
      <c r="E27" s="15" t="s">
        <v>45</v>
      </c>
      <c r="F27" s="15">
        <v>1</v>
      </c>
      <c r="G27" s="15" t="s">
        <v>199</v>
      </c>
      <c r="H27" s="15" t="s">
        <v>47</v>
      </c>
      <c r="I27" s="15" t="s">
        <v>200</v>
      </c>
      <c r="J27" s="15" t="s">
        <v>201</v>
      </c>
      <c r="K27" s="15" t="s">
        <v>50</v>
      </c>
      <c r="L27" s="15" t="s">
        <v>51</v>
      </c>
      <c r="M27" s="15" t="s">
        <v>52</v>
      </c>
      <c r="N27" s="15" t="s">
        <v>52</v>
      </c>
      <c r="O27" s="15" t="s">
        <v>42</v>
      </c>
      <c r="P27" s="15" t="s">
        <v>42</v>
      </c>
      <c r="Q27" s="15" t="s">
        <v>202</v>
      </c>
      <c r="R27" s="15" t="s">
        <v>203</v>
      </c>
      <c r="S27" s="15" t="s">
        <v>204</v>
      </c>
      <c r="T27" s="15" t="s">
        <v>205</v>
      </c>
      <c r="U27" s="16" t="s">
        <v>4288</v>
      </c>
      <c r="V27" s="16" t="s">
        <v>42</v>
      </c>
      <c r="W27" s="16" t="s">
        <v>4505</v>
      </c>
      <c r="X27" s="16" t="s">
        <v>4506</v>
      </c>
      <c r="Y27" s="16" t="s">
        <v>57</v>
      </c>
      <c r="Z27" s="16" t="s">
        <v>4507</v>
      </c>
      <c r="AA27" s="16" t="s">
        <v>4508</v>
      </c>
      <c r="AB27" s="16">
        <v>4</v>
      </c>
      <c r="AC27" s="22">
        <v>46251</v>
      </c>
      <c r="AD27" s="16" t="s">
        <v>4289</v>
      </c>
      <c r="AE27" s="16" t="s">
        <v>42</v>
      </c>
      <c r="AF27" s="16" t="s">
        <v>4501</v>
      </c>
      <c r="AG27" s="16" t="s">
        <v>4502</v>
      </c>
      <c r="AH27" s="16" t="s">
        <v>57</v>
      </c>
      <c r="AI27" s="16" t="s">
        <v>4503</v>
      </c>
      <c r="AJ27" s="16" t="s">
        <v>4504</v>
      </c>
      <c r="AK27" s="16">
        <v>3</v>
      </c>
      <c r="AL27" s="22">
        <v>46251</v>
      </c>
      <c r="AM27" s="16"/>
      <c r="AN27" s="22"/>
      <c r="AO27" s="17" t="str">
        <f t="shared" si="0"/>
        <v>agree</v>
      </c>
      <c r="AP27" s="17" t="str">
        <f t="shared" si="1"/>
        <v>agree</v>
      </c>
      <c r="AQ27" s="28" t="s">
        <v>42</v>
      </c>
      <c r="AR27" s="28" t="s">
        <v>57</v>
      </c>
      <c r="AS27" s="28" t="s">
        <v>4907</v>
      </c>
      <c r="AT27" s="17" t="str">
        <f t="shared" si="2"/>
        <v>complete</v>
      </c>
    </row>
    <row r="28" spans="1:46">
      <c r="A28" s="15">
        <v>15</v>
      </c>
      <c r="B28" s="15" t="s">
        <v>42</v>
      </c>
      <c r="C28" s="15" t="s">
        <v>197</v>
      </c>
      <c r="D28" s="15" t="s">
        <v>198</v>
      </c>
      <c r="E28" s="15" t="s">
        <v>45</v>
      </c>
      <c r="F28" s="15">
        <v>2</v>
      </c>
      <c r="G28" s="15" t="s">
        <v>206</v>
      </c>
      <c r="H28" s="15" t="s">
        <v>47</v>
      </c>
      <c r="I28" s="15" t="s">
        <v>207</v>
      </c>
      <c r="J28" s="15" t="s">
        <v>208</v>
      </c>
      <c r="K28" s="15" t="s">
        <v>50</v>
      </c>
      <c r="L28" s="15" t="s">
        <v>51</v>
      </c>
      <c r="M28" s="15" t="s">
        <v>52</v>
      </c>
      <c r="N28" s="15" t="s">
        <v>52</v>
      </c>
      <c r="O28" s="15" t="s">
        <v>42</v>
      </c>
      <c r="P28" s="15" t="s">
        <v>42</v>
      </c>
      <c r="Q28" s="15" t="s">
        <v>209</v>
      </c>
      <c r="R28" s="15" t="s">
        <v>203</v>
      </c>
      <c r="S28" s="15" t="s">
        <v>204</v>
      </c>
      <c r="T28" s="15" t="s">
        <v>205</v>
      </c>
      <c r="U28" s="16" t="s">
        <v>4288</v>
      </c>
      <c r="V28" s="16" t="s">
        <v>57</v>
      </c>
      <c r="W28" s="16" t="s">
        <v>4509</v>
      </c>
      <c r="X28" s="16" t="s">
        <v>4510</v>
      </c>
      <c r="Y28" s="16" t="s">
        <v>52</v>
      </c>
      <c r="Z28" s="16" t="s">
        <v>4511</v>
      </c>
      <c r="AA28" s="16" t="s">
        <v>4512</v>
      </c>
      <c r="AB28" s="16">
        <v>5</v>
      </c>
      <c r="AC28" s="22">
        <v>46251</v>
      </c>
      <c r="AD28" s="16" t="s">
        <v>4289</v>
      </c>
      <c r="AE28" s="16" t="s">
        <v>52</v>
      </c>
      <c r="AF28" s="16" t="s">
        <v>4513</v>
      </c>
      <c r="AG28" s="16" t="s">
        <v>4514</v>
      </c>
      <c r="AH28" s="16" t="s">
        <v>52</v>
      </c>
      <c r="AI28" s="16" t="s">
        <v>4515</v>
      </c>
      <c r="AJ28" s="16" t="s">
        <v>4516</v>
      </c>
      <c r="AK28" s="16">
        <v>3</v>
      </c>
      <c r="AL28" s="22">
        <v>46251</v>
      </c>
      <c r="AM28" s="16"/>
      <c r="AN28" s="22"/>
      <c r="AO28" s="17" t="str">
        <f t="shared" si="0"/>
        <v>disagree</v>
      </c>
      <c r="AP28" s="17" t="str">
        <f t="shared" si="1"/>
        <v>agree</v>
      </c>
      <c r="AQ28" s="28" t="s">
        <v>52</v>
      </c>
      <c r="AR28" s="28" t="s">
        <v>52</v>
      </c>
      <c r="AS28" s="28" t="s">
        <v>4908</v>
      </c>
      <c r="AT28" s="17" t="str">
        <f t="shared" si="2"/>
        <v>complete</v>
      </c>
    </row>
    <row r="29" spans="1:46">
      <c r="A29" s="15">
        <v>16</v>
      </c>
      <c r="B29" s="15" t="s">
        <v>42</v>
      </c>
      <c r="C29" s="15" t="s">
        <v>210</v>
      </c>
      <c r="D29" s="15" t="s">
        <v>211</v>
      </c>
      <c r="E29" s="15" t="s">
        <v>45</v>
      </c>
      <c r="F29" s="15">
        <v>1</v>
      </c>
      <c r="G29" s="15" t="s">
        <v>113</v>
      </c>
      <c r="H29" s="15" t="s">
        <v>47</v>
      </c>
      <c r="I29" s="15" t="s">
        <v>212</v>
      </c>
      <c r="J29" s="15" t="s">
        <v>213</v>
      </c>
      <c r="K29" s="15" t="s">
        <v>50</v>
      </c>
      <c r="L29" s="15" t="s">
        <v>64</v>
      </c>
      <c r="M29" s="15" t="s">
        <v>52</v>
      </c>
      <c r="N29" s="15" t="s">
        <v>42</v>
      </c>
      <c r="O29" s="15" t="s">
        <v>42</v>
      </c>
      <c r="P29" s="15" t="s">
        <v>42</v>
      </c>
      <c r="Q29" s="15" t="s">
        <v>65</v>
      </c>
      <c r="R29" s="15" t="s">
        <v>214</v>
      </c>
      <c r="S29" s="15" t="s">
        <v>215</v>
      </c>
      <c r="T29" s="15" t="s">
        <v>216</v>
      </c>
      <c r="U29" s="16" t="s">
        <v>4288</v>
      </c>
      <c r="V29" s="16" t="s">
        <v>42</v>
      </c>
      <c r="W29" s="16" t="s">
        <v>4517</v>
      </c>
      <c r="X29" s="16" t="s">
        <v>4518</v>
      </c>
      <c r="Y29" s="16" t="s">
        <v>57</v>
      </c>
      <c r="Z29" s="16" t="s">
        <v>4519</v>
      </c>
      <c r="AA29" s="16" t="s">
        <v>4520</v>
      </c>
      <c r="AB29" s="16">
        <v>5</v>
      </c>
      <c r="AC29" s="22">
        <v>46251</v>
      </c>
      <c r="AD29" s="16" t="s">
        <v>4289</v>
      </c>
      <c r="AE29" s="16" t="s">
        <v>42</v>
      </c>
      <c r="AF29" s="16" t="s">
        <v>4328</v>
      </c>
      <c r="AG29" s="16" t="s">
        <v>4521</v>
      </c>
      <c r="AH29" s="16" t="s">
        <v>52</v>
      </c>
      <c r="AI29" s="16" t="s">
        <v>4522</v>
      </c>
      <c r="AJ29" s="16" t="s">
        <v>4523</v>
      </c>
      <c r="AK29" s="16">
        <v>4</v>
      </c>
      <c r="AL29" s="22">
        <v>46251</v>
      </c>
      <c r="AM29" s="16"/>
      <c r="AN29" s="22"/>
      <c r="AO29" s="17" t="str">
        <f t="shared" si="0"/>
        <v>agree</v>
      </c>
      <c r="AP29" s="17" t="str">
        <f t="shared" si="1"/>
        <v>disagree</v>
      </c>
      <c r="AQ29" s="28" t="s">
        <v>42</v>
      </c>
      <c r="AR29" s="28" t="s">
        <v>52</v>
      </c>
      <c r="AS29" s="28" t="s">
        <v>4909</v>
      </c>
      <c r="AT29" s="17" t="str">
        <f t="shared" si="2"/>
        <v>complete</v>
      </c>
    </row>
    <row r="30" spans="1:46">
      <c r="A30" s="15">
        <v>17</v>
      </c>
      <c r="B30" s="15" t="s">
        <v>42</v>
      </c>
      <c r="C30" s="15" t="s">
        <v>217</v>
      </c>
      <c r="D30" s="15" t="s">
        <v>211</v>
      </c>
      <c r="E30" s="15" t="s">
        <v>45</v>
      </c>
      <c r="F30" s="15">
        <v>1</v>
      </c>
      <c r="G30" s="15" t="s">
        <v>61</v>
      </c>
      <c r="H30" s="15" t="s">
        <v>47</v>
      </c>
      <c r="I30" s="15" t="s">
        <v>144</v>
      </c>
      <c r="J30" s="15" t="s">
        <v>218</v>
      </c>
      <c r="K30" s="15" t="s">
        <v>50</v>
      </c>
      <c r="L30" s="15" t="s">
        <v>64</v>
      </c>
      <c r="M30" s="15" t="s">
        <v>52</v>
      </c>
      <c r="N30" s="15" t="s">
        <v>42</v>
      </c>
      <c r="O30" s="15" t="s">
        <v>42</v>
      </c>
      <c r="P30" s="15" t="s">
        <v>42</v>
      </c>
      <c r="Q30" s="15" t="s">
        <v>65</v>
      </c>
      <c r="R30" s="15" t="s">
        <v>219</v>
      </c>
      <c r="S30" s="15" t="s">
        <v>220</v>
      </c>
      <c r="T30" s="15" t="s">
        <v>221</v>
      </c>
      <c r="U30" s="16" t="s">
        <v>4288</v>
      </c>
      <c r="V30" s="16" t="s">
        <v>42</v>
      </c>
      <c r="W30" s="16" t="s">
        <v>4517</v>
      </c>
      <c r="X30" s="16" t="s">
        <v>4524</v>
      </c>
      <c r="Y30" s="16" t="s">
        <v>57</v>
      </c>
      <c r="Z30" s="16" t="s">
        <v>4525</v>
      </c>
      <c r="AA30" s="16" t="s">
        <v>4526</v>
      </c>
      <c r="AB30" s="16">
        <v>5</v>
      </c>
      <c r="AC30" s="22">
        <v>46251</v>
      </c>
      <c r="AD30" s="16" t="s">
        <v>4289</v>
      </c>
      <c r="AE30" s="16" t="s">
        <v>42</v>
      </c>
      <c r="AF30" s="16" t="s">
        <v>4328</v>
      </c>
      <c r="AG30" s="16" t="s">
        <v>4527</v>
      </c>
      <c r="AH30" s="16" t="s">
        <v>52</v>
      </c>
      <c r="AI30" s="16" t="s">
        <v>4528</v>
      </c>
      <c r="AJ30" s="16" t="s">
        <v>4529</v>
      </c>
      <c r="AK30" s="16">
        <v>4</v>
      </c>
      <c r="AL30" s="22">
        <v>46251</v>
      </c>
      <c r="AM30" s="16"/>
      <c r="AN30" s="22"/>
      <c r="AO30" s="17" t="str">
        <f t="shared" si="0"/>
        <v>agree</v>
      </c>
      <c r="AP30" s="17" t="str">
        <f t="shared" si="1"/>
        <v>disagree</v>
      </c>
      <c r="AQ30" s="28" t="s">
        <v>42</v>
      </c>
      <c r="AR30" s="28" t="s">
        <v>52</v>
      </c>
      <c r="AS30" s="28" t="s">
        <v>4910</v>
      </c>
      <c r="AT30" s="17" t="str">
        <f t="shared" si="2"/>
        <v>complete</v>
      </c>
    </row>
    <row r="31" spans="1:46">
      <c r="A31" s="15">
        <v>17</v>
      </c>
      <c r="B31" s="15" t="s">
        <v>42</v>
      </c>
      <c r="C31" s="15" t="s">
        <v>217</v>
      </c>
      <c r="D31" s="15" t="s">
        <v>211</v>
      </c>
      <c r="E31" s="15" t="s">
        <v>45</v>
      </c>
      <c r="F31" s="15">
        <v>2</v>
      </c>
      <c r="G31" s="15" t="s">
        <v>130</v>
      </c>
      <c r="H31" s="15" t="s">
        <v>47</v>
      </c>
      <c r="I31" s="15" t="s">
        <v>149</v>
      </c>
      <c r="J31" s="15" t="s">
        <v>222</v>
      </c>
      <c r="K31" s="15" t="s">
        <v>50</v>
      </c>
      <c r="L31" s="15" t="s">
        <v>51</v>
      </c>
      <c r="M31" s="15" t="s">
        <v>52</v>
      </c>
      <c r="N31" s="15" t="s">
        <v>52</v>
      </c>
      <c r="O31" s="15" t="s">
        <v>42</v>
      </c>
      <c r="P31" s="15" t="s">
        <v>42</v>
      </c>
      <c r="Q31" s="15" t="s">
        <v>53</v>
      </c>
      <c r="R31" s="15" t="s">
        <v>219</v>
      </c>
      <c r="S31" s="15" t="s">
        <v>220</v>
      </c>
      <c r="T31" s="15" t="s">
        <v>221</v>
      </c>
      <c r="U31" s="16" t="s">
        <v>4288</v>
      </c>
      <c r="V31" s="16" t="s">
        <v>42</v>
      </c>
      <c r="W31" s="16" t="s">
        <v>4494</v>
      </c>
      <c r="X31" s="16" t="s">
        <v>4530</v>
      </c>
      <c r="Y31" s="16" t="s">
        <v>57</v>
      </c>
      <c r="Z31" s="16" t="s">
        <v>4531</v>
      </c>
      <c r="AA31" s="16" t="s">
        <v>4532</v>
      </c>
      <c r="AB31" s="16">
        <v>5</v>
      </c>
      <c r="AC31" s="22">
        <v>46251</v>
      </c>
      <c r="AD31" s="16" t="s">
        <v>4289</v>
      </c>
      <c r="AE31" s="16" t="s">
        <v>42</v>
      </c>
      <c r="AF31" s="16" t="s">
        <v>4360</v>
      </c>
      <c r="AG31" s="16" t="s">
        <v>4533</v>
      </c>
      <c r="AH31" s="16" t="s">
        <v>52</v>
      </c>
      <c r="AI31" s="16" t="s">
        <v>4534</v>
      </c>
      <c r="AJ31" s="16" t="s">
        <v>4535</v>
      </c>
      <c r="AK31" s="16">
        <v>4</v>
      </c>
      <c r="AL31" s="22">
        <v>46251</v>
      </c>
      <c r="AM31" s="16"/>
      <c r="AN31" s="22"/>
      <c r="AO31" s="17" t="str">
        <f t="shared" si="0"/>
        <v>agree</v>
      </c>
      <c r="AP31" s="17" t="str">
        <f t="shared" si="1"/>
        <v>disagree</v>
      </c>
      <c r="AQ31" s="28" t="s">
        <v>42</v>
      </c>
      <c r="AR31" s="28" t="s">
        <v>52</v>
      </c>
      <c r="AS31" s="28" t="s">
        <v>4911</v>
      </c>
      <c r="AT31" s="17" t="str">
        <f t="shared" si="2"/>
        <v>complete</v>
      </c>
    </row>
    <row r="32" spans="1:46">
      <c r="A32" s="15">
        <v>18</v>
      </c>
      <c r="B32" s="15" t="s">
        <v>42</v>
      </c>
      <c r="C32" s="15" t="s">
        <v>223</v>
      </c>
      <c r="D32" s="15" t="s">
        <v>224</v>
      </c>
      <c r="E32" s="15" t="s">
        <v>45</v>
      </c>
      <c r="F32" s="15">
        <v>1</v>
      </c>
      <c r="G32" s="15" t="s">
        <v>61</v>
      </c>
      <c r="H32" s="15" t="s">
        <v>47</v>
      </c>
      <c r="I32" s="15" t="s">
        <v>144</v>
      </c>
      <c r="J32" s="15" t="s">
        <v>225</v>
      </c>
      <c r="K32" s="15" t="s">
        <v>50</v>
      </c>
      <c r="L32" s="15" t="s">
        <v>64</v>
      </c>
      <c r="M32" s="15" t="s">
        <v>52</v>
      </c>
      <c r="N32" s="15" t="s">
        <v>42</v>
      </c>
      <c r="O32" s="15" t="s">
        <v>42</v>
      </c>
      <c r="P32" s="15" t="s">
        <v>42</v>
      </c>
      <c r="Q32" s="15" t="s">
        <v>65</v>
      </c>
      <c r="R32" s="15" t="s">
        <v>226</v>
      </c>
      <c r="S32" s="15" t="s">
        <v>227</v>
      </c>
      <c r="T32" s="15" t="s">
        <v>228</v>
      </c>
      <c r="U32" s="16" t="s">
        <v>4288</v>
      </c>
      <c r="V32" s="16" t="s">
        <v>42</v>
      </c>
      <c r="W32" s="16" t="s">
        <v>4517</v>
      </c>
      <c r="X32" s="16" t="s">
        <v>4536</v>
      </c>
      <c r="Y32" s="16" t="s">
        <v>57</v>
      </c>
      <c r="Z32" s="16" t="s">
        <v>4537</v>
      </c>
      <c r="AA32" s="16" t="s">
        <v>4538</v>
      </c>
      <c r="AB32" s="16">
        <v>5</v>
      </c>
      <c r="AC32" s="22">
        <v>46251</v>
      </c>
      <c r="AD32" s="16" t="s">
        <v>4289</v>
      </c>
      <c r="AE32" s="16" t="s">
        <v>42</v>
      </c>
      <c r="AF32" s="16" t="s">
        <v>4328</v>
      </c>
      <c r="AG32" s="16" t="s">
        <v>4539</v>
      </c>
      <c r="AH32" s="16" t="s">
        <v>52</v>
      </c>
      <c r="AI32" s="16" t="s">
        <v>4540</v>
      </c>
      <c r="AJ32" s="16" t="s">
        <v>4541</v>
      </c>
      <c r="AK32" s="16">
        <v>4</v>
      </c>
      <c r="AL32" s="22">
        <v>46251</v>
      </c>
      <c r="AM32" s="16"/>
      <c r="AN32" s="22"/>
      <c r="AO32" s="17" t="str">
        <f t="shared" si="0"/>
        <v>agree</v>
      </c>
      <c r="AP32" s="17" t="str">
        <f t="shared" si="1"/>
        <v>disagree</v>
      </c>
      <c r="AQ32" s="28" t="s">
        <v>42</v>
      </c>
      <c r="AR32" s="28" t="s">
        <v>52</v>
      </c>
      <c r="AS32" s="28" t="s">
        <v>4912</v>
      </c>
      <c r="AT32" s="17" t="str">
        <f t="shared" si="2"/>
        <v>complete</v>
      </c>
    </row>
    <row r="33" spans="1:46">
      <c r="A33" s="15">
        <v>18</v>
      </c>
      <c r="B33" s="15" t="s">
        <v>42</v>
      </c>
      <c r="C33" s="15" t="s">
        <v>223</v>
      </c>
      <c r="D33" s="15" t="s">
        <v>224</v>
      </c>
      <c r="E33" s="15" t="s">
        <v>45</v>
      </c>
      <c r="F33" s="15">
        <v>2</v>
      </c>
      <c r="G33" s="15" t="s">
        <v>130</v>
      </c>
      <c r="H33" s="15" t="s">
        <v>47</v>
      </c>
      <c r="I33" s="15" t="s">
        <v>149</v>
      </c>
      <c r="J33" s="15" t="s">
        <v>229</v>
      </c>
      <c r="K33" s="15" t="s">
        <v>50</v>
      </c>
      <c r="L33" s="15" t="s">
        <v>51</v>
      </c>
      <c r="M33" s="15" t="s">
        <v>52</v>
      </c>
      <c r="N33" s="15" t="s">
        <v>52</v>
      </c>
      <c r="O33" s="15" t="s">
        <v>42</v>
      </c>
      <c r="P33" s="15" t="s">
        <v>42</v>
      </c>
      <c r="Q33" s="15" t="s">
        <v>53</v>
      </c>
      <c r="R33" s="15" t="s">
        <v>226</v>
      </c>
      <c r="S33" s="15" t="s">
        <v>227</v>
      </c>
      <c r="T33" s="15" t="s">
        <v>228</v>
      </c>
      <c r="U33" s="16" t="s">
        <v>4288</v>
      </c>
      <c r="V33" s="16" t="s">
        <v>42</v>
      </c>
      <c r="W33" s="16" t="s">
        <v>4494</v>
      </c>
      <c r="X33" s="16" t="s">
        <v>4542</v>
      </c>
      <c r="Y33" s="16" t="s">
        <v>57</v>
      </c>
      <c r="Z33" s="16" t="s">
        <v>4543</v>
      </c>
      <c r="AA33" s="16" t="s">
        <v>4544</v>
      </c>
      <c r="AB33" s="16">
        <v>5</v>
      </c>
      <c r="AC33" s="22">
        <v>46251</v>
      </c>
      <c r="AD33" s="16" t="s">
        <v>4289</v>
      </c>
      <c r="AE33" s="16" t="s">
        <v>42</v>
      </c>
      <c r="AF33" s="16" t="s">
        <v>4360</v>
      </c>
      <c r="AG33" s="16" t="s">
        <v>4545</v>
      </c>
      <c r="AH33" s="16" t="s">
        <v>52</v>
      </c>
      <c r="AI33" s="16" t="s">
        <v>4546</v>
      </c>
      <c r="AJ33" s="16" t="s">
        <v>4547</v>
      </c>
      <c r="AK33" s="16">
        <v>4</v>
      </c>
      <c r="AL33" s="22">
        <v>46251</v>
      </c>
      <c r="AM33" s="16"/>
      <c r="AN33" s="22"/>
      <c r="AO33" s="17" t="str">
        <f t="shared" si="0"/>
        <v>agree</v>
      </c>
      <c r="AP33" s="17" t="str">
        <f t="shared" si="1"/>
        <v>disagree</v>
      </c>
      <c r="AQ33" s="28" t="s">
        <v>42</v>
      </c>
      <c r="AR33" s="28" t="s">
        <v>52</v>
      </c>
      <c r="AS33" s="28" t="s">
        <v>4913</v>
      </c>
      <c r="AT33" s="17" t="str">
        <f t="shared" si="2"/>
        <v>complete</v>
      </c>
    </row>
    <row r="34" spans="1:46">
      <c r="A34" s="15">
        <v>19</v>
      </c>
      <c r="B34" s="15" t="s">
        <v>42</v>
      </c>
      <c r="C34" s="15" t="s">
        <v>230</v>
      </c>
      <c r="D34" s="15" t="s">
        <v>98</v>
      </c>
      <c r="E34" s="15" t="s">
        <v>60</v>
      </c>
      <c r="F34" s="15">
        <v>1</v>
      </c>
      <c r="G34" s="15" t="s">
        <v>61</v>
      </c>
      <c r="H34" s="15" t="s">
        <v>47</v>
      </c>
      <c r="I34" s="15" t="s">
        <v>144</v>
      </c>
      <c r="J34" s="15" t="s">
        <v>231</v>
      </c>
      <c r="K34" s="15" t="s">
        <v>50</v>
      </c>
      <c r="L34" s="15" t="s">
        <v>64</v>
      </c>
      <c r="M34" s="15" t="s">
        <v>52</v>
      </c>
      <c r="N34" s="15" t="s">
        <v>42</v>
      </c>
      <c r="O34" s="15" t="s">
        <v>42</v>
      </c>
      <c r="P34" s="15" t="s">
        <v>42</v>
      </c>
      <c r="Q34" s="15" t="s">
        <v>65</v>
      </c>
      <c r="R34" s="15" t="s">
        <v>232</v>
      </c>
      <c r="S34" s="15" t="s">
        <v>233</v>
      </c>
      <c r="T34" s="15" t="s">
        <v>234</v>
      </c>
      <c r="U34" s="16" t="s">
        <v>4288</v>
      </c>
      <c r="V34" s="16" t="s">
        <v>42</v>
      </c>
      <c r="W34" s="16" t="s">
        <v>4517</v>
      </c>
      <c r="X34" s="16" t="s">
        <v>4548</v>
      </c>
      <c r="Y34" s="16" t="s">
        <v>57</v>
      </c>
      <c r="Z34" s="16" t="s">
        <v>4549</v>
      </c>
      <c r="AA34" s="16" t="s">
        <v>4550</v>
      </c>
      <c r="AB34" s="16">
        <v>5</v>
      </c>
      <c r="AC34" s="22">
        <v>46251</v>
      </c>
      <c r="AD34" s="16" t="s">
        <v>4289</v>
      </c>
      <c r="AE34" s="16" t="s">
        <v>42</v>
      </c>
      <c r="AF34" s="16" t="s">
        <v>4328</v>
      </c>
      <c r="AG34" s="16" t="s">
        <v>4551</v>
      </c>
      <c r="AH34" s="16" t="s">
        <v>52</v>
      </c>
      <c r="AI34" s="16" t="s">
        <v>4552</v>
      </c>
      <c r="AJ34" s="16" t="s">
        <v>4553</v>
      </c>
      <c r="AK34" s="16">
        <v>4</v>
      </c>
      <c r="AL34" s="22">
        <v>46251</v>
      </c>
      <c r="AM34" s="16"/>
      <c r="AN34" s="22"/>
      <c r="AO34" s="17" t="str">
        <f t="shared" ref="AO34:AO65" si="3">IF(OR(V34="",AE34=""),"",IF(V34=AE34,"agree","disagree"))</f>
        <v>agree</v>
      </c>
      <c r="AP34" s="17" t="str">
        <f t="shared" ref="AP34:AP65" si="4">IF(OR(Y34="",AH34=""),"",IF(Y34=AH34,"agree","disagree"))</f>
        <v>disagree</v>
      </c>
      <c r="AQ34" s="28" t="s">
        <v>42</v>
      </c>
      <c r="AR34" s="28" t="s">
        <v>52</v>
      </c>
      <c r="AS34" s="28" t="s">
        <v>4914</v>
      </c>
      <c r="AT34" s="17" t="str">
        <f t="shared" ref="AT34:AT65" si="5">IF(B34="no","not sampled",IF(AND(V34&lt;&gt;"",Y34&lt;&gt;""),"complete","pending"))</f>
        <v>complete</v>
      </c>
    </row>
    <row r="35" spans="1:46">
      <c r="A35" s="15">
        <v>19</v>
      </c>
      <c r="B35" s="15" t="s">
        <v>42</v>
      </c>
      <c r="C35" s="15" t="s">
        <v>230</v>
      </c>
      <c r="D35" s="15" t="s">
        <v>98</v>
      </c>
      <c r="E35" s="15" t="s">
        <v>60</v>
      </c>
      <c r="F35" s="15">
        <v>2</v>
      </c>
      <c r="G35" s="15" t="s">
        <v>130</v>
      </c>
      <c r="H35" s="15" t="s">
        <v>47</v>
      </c>
      <c r="I35" s="15" t="s">
        <v>235</v>
      </c>
      <c r="J35" s="15" t="s">
        <v>236</v>
      </c>
      <c r="K35" s="15" t="s">
        <v>50</v>
      </c>
      <c r="L35" s="15" t="s">
        <v>51</v>
      </c>
      <c r="M35" s="15" t="s">
        <v>52</v>
      </c>
      <c r="N35" s="15" t="s">
        <v>52</v>
      </c>
      <c r="O35" s="15" t="s">
        <v>42</v>
      </c>
      <c r="P35" s="15" t="s">
        <v>42</v>
      </c>
      <c r="Q35" s="15" t="s">
        <v>53</v>
      </c>
      <c r="R35" s="15" t="s">
        <v>232</v>
      </c>
      <c r="S35" s="15" t="s">
        <v>233</v>
      </c>
      <c r="T35" s="15" t="s">
        <v>234</v>
      </c>
      <c r="U35" s="16" t="s">
        <v>4288</v>
      </c>
      <c r="V35" s="16" t="s">
        <v>42</v>
      </c>
      <c r="W35" s="16" t="s">
        <v>4494</v>
      </c>
      <c r="X35" s="16" t="s">
        <v>4554</v>
      </c>
      <c r="Y35" s="16" t="s">
        <v>57</v>
      </c>
      <c r="Z35" s="16" t="s">
        <v>4555</v>
      </c>
      <c r="AA35" s="16" t="s">
        <v>4556</v>
      </c>
      <c r="AB35" s="16">
        <v>5</v>
      </c>
      <c r="AC35" s="22">
        <v>46251</v>
      </c>
      <c r="AD35" s="16" t="s">
        <v>4289</v>
      </c>
      <c r="AE35" s="16" t="s">
        <v>42</v>
      </c>
      <c r="AF35" s="16" t="s">
        <v>4360</v>
      </c>
      <c r="AG35" s="16" t="s">
        <v>4557</v>
      </c>
      <c r="AH35" s="16" t="s">
        <v>52</v>
      </c>
      <c r="AI35" s="16" t="s">
        <v>4558</v>
      </c>
      <c r="AJ35" s="16" t="s">
        <v>4559</v>
      </c>
      <c r="AK35" s="16">
        <v>4</v>
      </c>
      <c r="AL35" s="22">
        <v>46251</v>
      </c>
      <c r="AM35" s="16"/>
      <c r="AN35" s="22"/>
      <c r="AO35" s="17" t="str">
        <f t="shared" si="3"/>
        <v>agree</v>
      </c>
      <c r="AP35" s="17" t="str">
        <f t="shared" si="4"/>
        <v>disagree</v>
      </c>
      <c r="AQ35" s="28" t="s">
        <v>42</v>
      </c>
      <c r="AR35" s="28" t="s">
        <v>52</v>
      </c>
      <c r="AS35" s="28" t="s">
        <v>4915</v>
      </c>
      <c r="AT35" s="17" t="str">
        <f t="shared" si="5"/>
        <v>complete</v>
      </c>
    </row>
    <row r="36" spans="1:46">
      <c r="A36" s="15">
        <v>20</v>
      </c>
      <c r="B36" s="15" t="s">
        <v>42</v>
      </c>
      <c r="C36" s="15" t="s">
        <v>237</v>
      </c>
      <c r="D36" s="15" t="s">
        <v>238</v>
      </c>
      <c r="E36" s="15" t="s">
        <v>60</v>
      </c>
      <c r="F36" s="15">
        <v>1</v>
      </c>
      <c r="G36" s="15" t="s">
        <v>61</v>
      </c>
      <c r="H36" s="15" t="s">
        <v>47</v>
      </c>
      <c r="I36" s="15" t="s">
        <v>144</v>
      </c>
      <c r="J36" s="15" t="s">
        <v>239</v>
      </c>
      <c r="K36" s="15" t="s">
        <v>50</v>
      </c>
      <c r="L36" s="15" t="s">
        <v>64</v>
      </c>
      <c r="M36" s="15" t="s">
        <v>52</v>
      </c>
      <c r="N36" s="15" t="s">
        <v>42</v>
      </c>
      <c r="O36" s="15" t="s">
        <v>42</v>
      </c>
      <c r="P36" s="15" t="s">
        <v>42</v>
      </c>
      <c r="Q36" s="15" t="s">
        <v>65</v>
      </c>
      <c r="R36" s="15" t="s">
        <v>240</v>
      </c>
      <c r="S36" s="15" t="s">
        <v>241</v>
      </c>
      <c r="T36" s="15" t="s">
        <v>242</v>
      </c>
      <c r="U36" s="16" t="s">
        <v>4288</v>
      </c>
      <c r="V36" s="16" t="s">
        <v>42</v>
      </c>
      <c r="W36" s="16" t="s">
        <v>4517</v>
      </c>
      <c r="X36" s="16" t="s">
        <v>4563</v>
      </c>
      <c r="Y36" s="16" t="s">
        <v>57</v>
      </c>
      <c r="Z36" s="16" t="s">
        <v>4564</v>
      </c>
      <c r="AA36" s="16" t="s">
        <v>4565</v>
      </c>
      <c r="AB36" s="16">
        <v>5</v>
      </c>
      <c r="AC36" s="22">
        <v>46251</v>
      </c>
      <c r="AD36" s="16" t="s">
        <v>4289</v>
      </c>
      <c r="AE36" s="16" t="s">
        <v>42</v>
      </c>
      <c r="AF36" s="16" t="s">
        <v>4328</v>
      </c>
      <c r="AG36" s="16" t="s">
        <v>4560</v>
      </c>
      <c r="AH36" s="16" t="s">
        <v>52</v>
      </c>
      <c r="AI36" s="16" t="s">
        <v>4561</v>
      </c>
      <c r="AJ36" s="16" t="s">
        <v>4562</v>
      </c>
      <c r="AK36" s="16">
        <v>4</v>
      </c>
      <c r="AL36" s="22">
        <v>46251</v>
      </c>
      <c r="AM36" s="16"/>
      <c r="AN36" s="22"/>
      <c r="AO36" s="17" t="str">
        <f t="shared" si="3"/>
        <v>agree</v>
      </c>
      <c r="AP36" s="17" t="str">
        <f t="shared" si="4"/>
        <v>disagree</v>
      </c>
      <c r="AQ36" s="28" t="s">
        <v>42</v>
      </c>
      <c r="AR36" s="28" t="s">
        <v>52</v>
      </c>
      <c r="AS36" s="28" t="s">
        <v>4914</v>
      </c>
      <c r="AT36" s="17" t="str">
        <f t="shared" si="5"/>
        <v>complete</v>
      </c>
    </row>
    <row r="37" spans="1:46">
      <c r="A37" s="15">
        <v>20</v>
      </c>
      <c r="B37" s="15" t="s">
        <v>42</v>
      </c>
      <c r="C37" s="15" t="s">
        <v>237</v>
      </c>
      <c r="D37" s="15" t="s">
        <v>238</v>
      </c>
      <c r="E37" s="15" t="s">
        <v>60</v>
      </c>
      <c r="F37" s="15">
        <v>2</v>
      </c>
      <c r="G37" s="15" t="s">
        <v>130</v>
      </c>
      <c r="H37" s="15" t="s">
        <v>47</v>
      </c>
      <c r="I37" s="15" t="s">
        <v>243</v>
      </c>
      <c r="J37" s="15" t="s">
        <v>244</v>
      </c>
      <c r="K37" s="15" t="s">
        <v>50</v>
      </c>
      <c r="L37" s="15" t="s">
        <v>51</v>
      </c>
      <c r="M37" s="15" t="s">
        <v>52</v>
      </c>
      <c r="N37" s="15" t="s">
        <v>52</v>
      </c>
      <c r="O37" s="15" t="s">
        <v>42</v>
      </c>
      <c r="P37" s="15" t="s">
        <v>42</v>
      </c>
      <c r="Q37" s="15" t="s">
        <v>53</v>
      </c>
      <c r="R37" s="15" t="s">
        <v>240</v>
      </c>
      <c r="S37" s="15" t="s">
        <v>241</v>
      </c>
      <c r="T37" s="15" t="s">
        <v>242</v>
      </c>
      <c r="U37" s="16" t="s">
        <v>4288</v>
      </c>
      <c r="V37" s="16" t="s">
        <v>42</v>
      </c>
      <c r="W37" s="16" t="s">
        <v>4494</v>
      </c>
      <c r="X37" s="16" t="s">
        <v>4566</v>
      </c>
      <c r="Y37" s="16" t="s">
        <v>57</v>
      </c>
      <c r="Z37" s="16" t="s">
        <v>4567</v>
      </c>
      <c r="AA37" s="16" t="s">
        <v>4568</v>
      </c>
      <c r="AB37" s="16">
        <v>5</v>
      </c>
      <c r="AC37" s="22">
        <v>46251</v>
      </c>
      <c r="AD37" s="16" t="s">
        <v>4289</v>
      </c>
      <c r="AE37" s="16" t="s">
        <v>42</v>
      </c>
      <c r="AF37" s="16" t="s">
        <v>4360</v>
      </c>
      <c r="AG37" s="16" t="s">
        <v>4569</v>
      </c>
      <c r="AH37" s="16" t="s">
        <v>52</v>
      </c>
      <c r="AI37" s="16" t="s">
        <v>4570</v>
      </c>
      <c r="AJ37" s="16" t="s">
        <v>4571</v>
      </c>
      <c r="AK37" s="16">
        <v>3</v>
      </c>
      <c r="AL37" s="22">
        <v>46251</v>
      </c>
      <c r="AM37" s="16"/>
      <c r="AN37" s="22"/>
      <c r="AO37" s="17" t="str">
        <f t="shared" si="3"/>
        <v>agree</v>
      </c>
      <c r="AP37" s="17" t="str">
        <f t="shared" si="4"/>
        <v>disagree</v>
      </c>
      <c r="AQ37" s="28" t="s">
        <v>42</v>
      </c>
      <c r="AR37" s="28" t="s">
        <v>52</v>
      </c>
      <c r="AS37" s="28" t="s">
        <v>4916</v>
      </c>
      <c r="AT37" s="17" t="str">
        <f t="shared" si="5"/>
        <v>complete</v>
      </c>
    </row>
    <row r="38" spans="1:46">
      <c r="A38" s="15">
        <v>21</v>
      </c>
      <c r="B38" s="15" t="s">
        <v>42</v>
      </c>
      <c r="C38" s="15" t="s">
        <v>245</v>
      </c>
      <c r="D38" s="15" t="s">
        <v>246</v>
      </c>
      <c r="E38" s="15" t="s">
        <v>60</v>
      </c>
      <c r="F38" s="15">
        <v>1</v>
      </c>
      <c r="G38" s="15" t="s">
        <v>61</v>
      </c>
      <c r="H38" s="15" t="s">
        <v>47</v>
      </c>
      <c r="I38" s="15" t="s">
        <v>247</v>
      </c>
      <c r="J38" s="15" t="s">
        <v>248</v>
      </c>
      <c r="K38" s="15" t="s">
        <v>50</v>
      </c>
      <c r="L38" s="15" t="s">
        <v>64</v>
      </c>
      <c r="M38" s="15" t="s">
        <v>52</v>
      </c>
      <c r="N38" s="15" t="s">
        <v>42</v>
      </c>
      <c r="O38" s="15" t="s">
        <v>42</v>
      </c>
      <c r="P38" s="15" t="s">
        <v>42</v>
      </c>
      <c r="Q38" s="15" t="s">
        <v>65</v>
      </c>
      <c r="R38" s="15" t="s">
        <v>249</v>
      </c>
      <c r="S38" s="15" t="s">
        <v>250</v>
      </c>
      <c r="T38" s="15" t="s">
        <v>251</v>
      </c>
      <c r="U38" s="16" t="s">
        <v>4288</v>
      </c>
      <c r="V38" s="16" t="s">
        <v>42</v>
      </c>
      <c r="W38" s="16" t="s">
        <v>4580</v>
      </c>
      <c r="X38" s="16" t="s">
        <v>4581</v>
      </c>
      <c r="Y38" s="16" t="s">
        <v>52</v>
      </c>
      <c r="Z38" s="16" t="s">
        <v>4744</v>
      </c>
      <c r="AA38" s="16" t="s">
        <v>4582</v>
      </c>
      <c r="AB38" s="16">
        <v>5</v>
      </c>
      <c r="AC38" s="22">
        <v>46252</v>
      </c>
      <c r="AD38" s="16" t="s">
        <v>4289</v>
      </c>
      <c r="AE38" s="16" t="s">
        <v>42</v>
      </c>
      <c r="AF38" s="27" t="s">
        <v>4774</v>
      </c>
      <c r="AG38" s="27" t="s">
        <v>4775</v>
      </c>
      <c r="AH38" s="27" t="s">
        <v>52</v>
      </c>
      <c r="AI38" s="27" t="s">
        <v>4776</v>
      </c>
      <c r="AJ38" s="27" t="s">
        <v>4777</v>
      </c>
      <c r="AK38" s="16">
        <v>4</v>
      </c>
      <c r="AL38" s="22">
        <v>46252</v>
      </c>
      <c r="AM38" s="16"/>
      <c r="AN38" s="22"/>
      <c r="AO38" s="17" t="str">
        <f t="shared" si="3"/>
        <v>agree</v>
      </c>
      <c r="AP38" s="17" t="str">
        <f t="shared" si="4"/>
        <v>agree</v>
      </c>
      <c r="AQ38" s="28" t="s">
        <v>42</v>
      </c>
      <c r="AR38" s="28" t="s">
        <v>52</v>
      </c>
      <c r="AS38" s="28" t="s">
        <v>4917</v>
      </c>
      <c r="AT38" s="17" t="str">
        <f t="shared" si="5"/>
        <v>complete</v>
      </c>
    </row>
    <row r="39" spans="1:46">
      <c r="A39" s="15">
        <v>21</v>
      </c>
      <c r="B39" s="15" t="s">
        <v>42</v>
      </c>
      <c r="C39" s="15" t="s">
        <v>245</v>
      </c>
      <c r="D39" s="15" t="s">
        <v>246</v>
      </c>
      <c r="E39" s="15" t="s">
        <v>60</v>
      </c>
      <c r="F39" s="15">
        <v>2</v>
      </c>
      <c r="G39" s="15" t="s">
        <v>130</v>
      </c>
      <c r="H39" s="15" t="s">
        <v>47</v>
      </c>
      <c r="I39" s="15" t="s">
        <v>252</v>
      </c>
      <c r="J39" s="15" t="s">
        <v>253</v>
      </c>
      <c r="K39" s="15" t="s">
        <v>50</v>
      </c>
      <c r="L39" s="15" t="s">
        <v>51</v>
      </c>
      <c r="M39" s="15" t="s">
        <v>52</v>
      </c>
      <c r="N39" s="15" t="s">
        <v>52</v>
      </c>
      <c r="O39" s="15" t="s">
        <v>42</v>
      </c>
      <c r="P39" s="15" t="s">
        <v>42</v>
      </c>
      <c r="Q39" s="15" t="s">
        <v>53</v>
      </c>
      <c r="R39" s="15" t="s">
        <v>249</v>
      </c>
      <c r="S39" s="15" t="s">
        <v>250</v>
      </c>
      <c r="T39" s="15" t="s">
        <v>251</v>
      </c>
      <c r="U39" s="16" t="s">
        <v>4288</v>
      </c>
      <c r="V39" s="16" t="s">
        <v>42</v>
      </c>
      <c r="W39" s="16" t="s">
        <v>4583</v>
      </c>
      <c r="X39" s="16" t="s">
        <v>4584</v>
      </c>
      <c r="Y39" s="16" t="s">
        <v>52</v>
      </c>
      <c r="Z39" s="16" t="s">
        <v>4585</v>
      </c>
      <c r="AA39" s="16" t="s">
        <v>4586</v>
      </c>
      <c r="AB39" s="16">
        <v>5</v>
      </c>
      <c r="AC39" s="22">
        <v>46250</v>
      </c>
      <c r="AD39" s="16" t="s">
        <v>4289</v>
      </c>
      <c r="AE39" s="16" t="s">
        <v>42</v>
      </c>
      <c r="AF39" s="16" t="s">
        <v>4778</v>
      </c>
      <c r="AG39" s="16" t="s">
        <v>4779</v>
      </c>
      <c r="AH39" s="16" t="s">
        <v>52</v>
      </c>
      <c r="AI39" s="16" t="s">
        <v>4776</v>
      </c>
      <c r="AJ39" s="16" t="s">
        <v>4777</v>
      </c>
      <c r="AK39" s="16">
        <v>4</v>
      </c>
      <c r="AL39" s="22">
        <v>46250</v>
      </c>
      <c r="AM39" s="16"/>
      <c r="AN39" s="22"/>
      <c r="AO39" s="17" t="str">
        <f t="shared" si="3"/>
        <v>agree</v>
      </c>
      <c r="AP39" s="17" t="str">
        <f t="shared" si="4"/>
        <v>agree</v>
      </c>
      <c r="AQ39" s="28" t="s">
        <v>42</v>
      </c>
      <c r="AR39" s="28" t="s">
        <v>52</v>
      </c>
      <c r="AS39" s="28" t="s">
        <v>4918</v>
      </c>
      <c r="AT39" s="17" t="str">
        <f t="shared" si="5"/>
        <v>complete</v>
      </c>
    </row>
    <row r="40" spans="1:46">
      <c r="A40" s="15">
        <v>21</v>
      </c>
      <c r="B40" s="15" t="s">
        <v>42</v>
      </c>
      <c r="C40" s="15" t="s">
        <v>245</v>
      </c>
      <c r="D40" s="15" t="s">
        <v>246</v>
      </c>
      <c r="E40" s="15" t="s">
        <v>60</v>
      </c>
      <c r="F40" s="15">
        <v>3</v>
      </c>
      <c r="G40" s="15" t="s">
        <v>254</v>
      </c>
      <c r="H40" s="15" t="s">
        <v>255</v>
      </c>
      <c r="I40" s="15" t="s">
        <v>256</v>
      </c>
      <c r="J40" s="15" t="s">
        <v>257</v>
      </c>
      <c r="K40" s="15" t="s">
        <v>50</v>
      </c>
      <c r="L40" s="15" t="s">
        <v>258</v>
      </c>
      <c r="M40" s="15" t="s">
        <v>52</v>
      </c>
      <c r="N40" s="15" t="s">
        <v>52</v>
      </c>
      <c r="O40" s="15" t="s">
        <v>259</v>
      </c>
      <c r="P40" s="15" t="s">
        <v>42</v>
      </c>
      <c r="Q40" s="15" t="s">
        <v>260</v>
      </c>
      <c r="R40" s="15" t="s">
        <v>249</v>
      </c>
      <c r="S40" s="15" t="s">
        <v>250</v>
      </c>
      <c r="T40" s="15" t="s">
        <v>251</v>
      </c>
      <c r="U40" s="16" t="s">
        <v>4288</v>
      </c>
      <c r="V40" s="16" t="s">
        <v>259</v>
      </c>
      <c r="W40" s="16" t="s">
        <v>4587</v>
      </c>
      <c r="X40" s="16" t="s">
        <v>4588</v>
      </c>
      <c r="Y40" s="16" t="s">
        <v>52</v>
      </c>
      <c r="Z40" s="16" t="s">
        <v>4589</v>
      </c>
      <c r="AA40" s="16" t="s">
        <v>4590</v>
      </c>
      <c r="AB40" s="16">
        <v>5</v>
      </c>
      <c r="AC40" s="22">
        <v>46250</v>
      </c>
      <c r="AD40" s="16" t="s">
        <v>4289</v>
      </c>
      <c r="AE40" s="16" t="s">
        <v>259</v>
      </c>
      <c r="AF40" s="16" t="s">
        <v>4780</v>
      </c>
      <c r="AG40" s="16" t="s">
        <v>4781</v>
      </c>
      <c r="AH40" s="16" t="s">
        <v>52</v>
      </c>
      <c r="AI40" s="16" t="s">
        <v>4776</v>
      </c>
      <c r="AJ40" s="16" t="s">
        <v>4777</v>
      </c>
      <c r="AK40" s="16">
        <v>5</v>
      </c>
      <c r="AL40" s="22">
        <v>46250</v>
      </c>
      <c r="AM40" s="16"/>
      <c r="AN40" s="22"/>
      <c r="AO40" s="17" t="str">
        <f t="shared" si="3"/>
        <v>agree</v>
      </c>
      <c r="AP40" s="17" t="str">
        <f t="shared" si="4"/>
        <v>agree</v>
      </c>
      <c r="AQ40" s="28" t="s">
        <v>259</v>
      </c>
      <c r="AR40" s="28" t="s">
        <v>52</v>
      </c>
      <c r="AS40" s="28" t="s">
        <v>4919</v>
      </c>
      <c r="AT40" s="17" t="str">
        <f t="shared" si="5"/>
        <v>complete</v>
      </c>
    </row>
    <row r="41" spans="1:46">
      <c r="A41" s="15">
        <v>22</v>
      </c>
      <c r="B41" s="15" t="s">
        <v>42</v>
      </c>
      <c r="C41" s="15" t="s">
        <v>261</v>
      </c>
      <c r="D41" s="15" t="s">
        <v>262</v>
      </c>
      <c r="E41" s="15" t="s">
        <v>45</v>
      </c>
      <c r="F41" s="15">
        <v>1</v>
      </c>
      <c r="G41" s="15" t="s">
        <v>113</v>
      </c>
      <c r="H41" s="15" t="s">
        <v>47</v>
      </c>
      <c r="I41" s="15" t="s">
        <v>144</v>
      </c>
      <c r="J41" s="15" t="s">
        <v>263</v>
      </c>
      <c r="K41" s="15" t="s">
        <v>50</v>
      </c>
      <c r="L41" s="15" t="s">
        <v>64</v>
      </c>
      <c r="M41" s="15" t="s">
        <v>52</v>
      </c>
      <c r="N41" s="15" t="s">
        <v>42</v>
      </c>
      <c r="O41" s="15" t="s">
        <v>42</v>
      </c>
      <c r="P41" s="15" t="s">
        <v>42</v>
      </c>
      <c r="Q41" s="15" t="s">
        <v>65</v>
      </c>
      <c r="R41" s="15" t="s">
        <v>264</v>
      </c>
      <c r="S41" s="15" t="s">
        <v>265</v>
      </c>
      <c r="T41" s="15" t="s">
        <v>266</v>
      </c>
      <c r="U41" s="16" t="s">
        <v>4288</v>
      </c>
      <c r="V41" s="16" t="s">
        <v>42</v>
      </c>
      <c r="W41" s="16" t="s">
        <v>4591</v>
      </c>
      <c r="X41" s="16" t="s">
        <v>4592</v>
      </c>
      <c r="Y41" s="16" t="s">
        <v>52</v>
      </c>
      <c r="Z41" s="16" t="s">
        <v>4745</v>
      </c>
      <c r="AA41" s="16" t="s">
        <v>4593</v>
      </c>
      <c r="AB41" s="16">
        <v>5</v>
      </c>
      <c r="AC41" s="22">
        <v>46250</v>
      </c>
      <c r="AD41" s="16" t="s">
        <v>4289</v>
      </c>
      <c r="AE41" s="16" t="s">
        <v>42</v>
      </c>
      <c r="AF41" s="16" t="s">
        <v>4774</v>
      </c>
      <c r="AG41" s="16" t="s">
        <v>4775</v>
      </c>
      <c r="AH41" s="16" t="s">
        <v>52</v>
      </c>
      <c r="AI41" s="16" t="s">
        <v>4782</v>
      </c>
      <c r="AJ41" s="16" t="s">
        <v>4783</v>
      </c>
      <c r="AK41" s="16">
        <v>4</v>
      </c>
      <c r="AL41" s="22">
        <v>46250</v>
      </c>
      <c r="AM41" s="16"/>
      <c r="AN41" s="22"/>
      <c r="AO41" s="17" t="str">
        <f t="shared" si="3"/>
        <v>agree</v>
      </c>
      <c r="AP41" s="17" t="str">
        <f t="shared" si="4"/>
        <v>agree</v>
      </c>
      <c r="AQ41" s="28" t="s">
        <v>42</v>
      </c>
      <c r="AR41" s="28" t="s">
        <v>52</v>
      </c>
      <c r="AS41" s="28" t="s">
        <v>4920</v>
      </c>
      <c r="AT41" s="17" t="str">
        <f t="shared" si="5"/>
        <v>complete</v>
      </c>
    </row>
    <row r="42" spans="1:46">
      <c r="A42" s="15">
        <v>23</v>
      </c>
      <c r="B42" s="15" t="s">
        <v>42</v>
      </c>
      <c r="C42" s="15" t="s">
        <v>267</v>
      </c>
      <c r="D42" s="15" t="s">
        <v>268</v>
      </c>
      <c r="E42" s="15" t="s">
        <v>60</v>
      </c>
      <c r="F42" s="15">
        <v>1</v>
      </c>
      <c r="G42" s="15" t="s">
        <v>269</v>
      </c>
      <c r="H42" s="15" t="s">
        <v>47</v>
      </c>
      <c r="I42" s="15" t="s">
        <v>270</v>
      </c>
      <c r="J42" s="15" t="s">
        <v>271</v>
      </c>
      <c r="K42" s="15" t="s">
        <v>87</v>
      </c>
      <c r="L42" s="15" t="s">
        <v>51</v>
      </c>
      <c r="M42" s="15" t="s">
        <v>52</v>
      </c>
      <c r="N42" s="15" t="s">
        <v>52</v>
      </c>
      <c r="O42" s="15" t="s">
        <v>42</v>
      </c>
      <c r="P42" s="15" t="s">
        <v>42</v>
      </c>
      <c r="Q42" s="15" t="s">
        <v>272</v>
      </c>
      <c r="R42" s="15" t="s">
        <v>273</v>
      </c>
      <c r="S42" s="15" t="s">
        <v>274</v>
      </c>
      <c r="T42" s="15" t="s">
        <v>275</v>
      </c>
      <c r="U42" s="16" t="s">
        <v>4288</v>
      </c>
      <c r="V42" s="16" t="s">
        <v>57</v>
      </c>
      <c r="W42" s="16" t="s">
        <v>4594</v>
      </c>
      <c r="X42" s="16" t="s">
        <v>4595</v>
      </c>
      <c r="Y42" s="16" t="s">
        <v>57</v>
      </c>
      <c r="Z42" s="16" t="s">
        <v>4746</v>
      </c>
      <c r="AA42" s="16" t="s">
        <v>4596</v>
      </c>
      <c r="AB42" s="16">
        <v>4</v>
      </c>
      <c r="AC42" s="22">
        <v>46250</v>
      </c>
      <c r="AD42" s="16" t="s">
        <v>4289</v>
      </c>
      <c r="AE42" s="16" t="s">
        <v>52</v>
      </c>
      <c r="AF42" s="16" t="s">
        <v>4784</v>
      </c>
      <c r="AG42" s="16" t="s">
        <v>4785</v>
      </c>
      <c r="AH42" s="16" t="s">
        <v>52</v>
      </c>
      <c r="AI42" s="16" t="s">
        <v>4786</v>
      </c>
      <c r="AJ42" s="16" t="s">
        <v>4787</v>
      </c>
      <c r="AK42" s="16">
        <v>5</v>
      </c>
      <c r="AL42" s="22">
        <v>46250</v>
      </c>
      <c r="AM42" s="16"/>
      <c r="AN42" s="22"/>
      <c r="AO42" s="17" t="str">
        <f t="shared" si="3"/>
        <v>disagree</v>
      </c>
      <c r="AP42" s="17" t="str">
        <f t="shared" si="4"/>
        <v>disagree</v>
      </c>
      <c r="AQ42" s="28" t="s">
        <v>57</v>
      </c>
      <c r="AR42" s="28" t="s">
        <v>52</v>
      </c>
      <c r="AS42" s="28" t="s">
        <v>4921</v>
      </c>
      <c r="AT42" s="17" t="str">
        <f t="shared" si="5"/>
        <v>complete</v>
      </c>
    </row>
    <row r="43" spans="1:46">
      <c r="A43" s="15">
        <v>23</v>
      </c>
      <c r="B43" s="15" t="s">
        <v>42</v>
      </c>
      <c r="C43" s="15" t="s">
        <v>267</v>
      </c>
      <c r="D43" s="15" t="s">
        <v>268</v>
      </c>
      <c r="E43" s="15" t="s">
        <v>60</v>
      </c>
      <c r="F43" s="15">
        <v>2</v>
      </c>
      <c r="G43" s="15" t="s">
        <v>276</v>
      </c>
      <c r="H43" s="15" t="s">
        <v>47</v>
      </c>
      <c r="I43" s="15" t="s">
        <v>277</v>
      </c>
      <c r="J43" s="15" t="s">
        <v>278</v>
      </c>
      <c r="K43" s="15" t="s">
        <v>50</v>
      </c>
      <c r="L43" s="15" t="s">
        <v>51</v>
      </c>
      <c r="M43" s="15" t="s">
        <v>52</v>
      </c>
      <c r="N43" s="15" t="s">
        <v>52</v>
      </c>
      <c r="O43" s="15" t="s">
        <v>42</v>
      </c>
      <c r="P43" s="15" t="s">
        <v>42</v>
      </c>
      <c r="Q43" s="15" t="s">
        <v>279</v>
      </c>
      <c r="R43" s="15" t="s">
        <v>273</v>
      </c>
      <c r="S43" s="15" t="s">
        <v>274</v>
      </c>
      <c r="T43" s="15" t="s">
        <v>275</v>
      </c>
      <c r="U43" s="16" t="s">
        <v>4288</v>
      </c>
      <c r="V43" s="16" t="s">
        <v>57</v>
      </c>
      <c r="W43" s="16" t="s">
        <v>4597</v>
      </c>
      <c r="X43" s="16" t="s">
        <v>4598</v>
      </c>
      <c r="Y43" s="16" t="s">
        <v>57</v>
      </c>
      <c r="Z43" s="16" t="s">
        <v>4747</v>
      </c>
      <c r="AA43" s="16" t="s">
        <v>4599</v>
      </c>
      <c r="AB43" s="16">
        <v>4</v>
      </c>
      <c r="AC43" s="22">
        <v>46250</v>
      </c>
      <c r="AD43" s="16" t="s">
        <v>4289</v>
      </c>
      <c r="AE43" s="16" t="s">
        <v>57</v>
      </c>
      <c r="AF43" s="16" t="s">
        <v>4788</v>
      </c>
      <c r="AG43" s="16" t="s">
        <v>4789</v>
      </c>
      <c r="AH43" s="16" t="s">
        <v>52</v>
      </c>
      <c r="AI43" s="16" t="s">
        <v>4786</v>
      </c>
      <c r="AJ43" s="16" t="s">
        <v>4787</v>
      </c>
      <c r="AK43" s="16">
        <v>4</v>
      </c>
      <c r="AL43" s="22">
        <v>46250</v>
      </c>
      <c r="AM43" s="16"/>
      <c r="AN43" s="22"/>
      <c r="AO43" s="17" t="str">
        <f t="shared" si="3"/>
        <v>agree</v>
      </c>
      <c r="AP43" s="17" t="str">
        <f t="shared" si="4"/>
        <v>disagree</v>
      </c>
      <c r="AQ43" s="28" t="s">
        <v>57</v>
      </c>
      <c r="AR43" s="28" t="s">
        <v>52</v>
      </c>
      <c r="AS43" s="28" t="s">
        <v>4922</v>
      </c>
      <c r="AT43" s="17" t="str">
        <f t="shared" si="5"/>
        <v>complete</v>
      </c>
    </row>
    <row r="44" spans="1:46">
      <c r="A44" s="15">
        <v>24</v>
      </c>
      <c r="B44" s="15" t="s">
        <v>42</v>
      </c>
      <c r="C44" s="15" t="s">
        <v>280</v>
      </c>
      <c r="D44" s="15" t="s">
        <v>59</v>
      </c>
      <c r="E44" s="15" t="s">
        <v>60</v>
      </c>
      <c r="F44" s="15">
        <v>1</v>
      </c>
      <c r="G44" s="15" t="s">
        <v>61</v>
      </c>
      <c r="H44" s="15" t="s">
        <v>47</v>
      </c>
      <c r="I44" s="15" t="s">
        <v>144</v>
      </c>
      <c r="J44" s="15" t="s">
        <v>281</v>
      </c>
      <c r="K44" s="15" t="s">
        <v>50</v>
      </c>
      <c r="L44" s="15" t="s">
        <v>64</v>
      </c>
      <c r="M44" s="15" t="s">
        <v>52</v>
      </c>
      <c r="N44" s="15" t="s">
        <v>42</v>
      </c>
      <c r="O44" s="15" t="s">
        <v>42</v>
      </c>
      <c r="P44" s="15" t="s">
        <v>42</v>
      </c>
      <c r="Q44" s="15" t="s">
        <v>65</v>
      </c>
      <c r="R44" s="15" t="s">
        <v>282</v>
      </c>
      <c r="S44" s="15" t="s">
        <v>283</v>
      </c>
      <c r="T44" s="15" t="s">
        <v>284</v>
      </c>
      <c r="U44" s="16" t="s">
        <v>4288</v>
      </c>
      <c r="V44" s="16" t="s">
        <v>42</v>
      </c>
      <c r="W44" s="16" t="s">
        <v>4591</v>
      </c>
      <c r="X44" s="16" t="s">
        <v>4600</v>
      </c>
      <c r="Y44" s="16" t="s">
        <v>57</v>
      </c>
      <c r="Z44" s="16" t="s">
        <v>4748</v>
      </c>
      <c r="AA44" s="16" t="s">
        <v>4601</v>
      </c>
      <c r="AB44" s="16">
        <v>5</v>
      </c>
      <c r="AC44" s="22">
        <v>46250</v>
      </c>
      <c r="AD44" s="16" t="s">
        <v>4289</v>
      </c>
      <c r="AE44" s="16" t="s">
        <v>42</v>
      </c>
      <c r="AF44" s="16" t="s">
        <v>4774</v>
      </c>
      <c r="AG44" s="16" t="s">
        <v>4775</v>
      </c>
      <c r="AH44" s="16" t="s">
        <v>52</v>
      </c>
      <c r="AI44" s="16" t="s">
        <v>4790</v>
      </c>
      <c r="AJ44" s="16" t="s">
        <v>4791</v>
      </c>
      <c r="AK44" s="16">
        <v>4</v>
      </c>
      <c r="AL44" s="22">
        <v>46250</v>
      </c>
      <c r="AM44" s="16"/>
      <c r="AN44" s="22"/>
      <c r="AO44" s="17" t="str">
        <f t="shared" si="3"/>
        <v>agree</v>
      </c>
      <c r="AP44" s="17" t="str">
        <f t="shared" si="4"/>
        <v>disagree</v>
      </c>
      <c r="AQ44" s="28" t="s">
        <v>42</v>
      </c>
      <c r="AR44" s="28" t="s">
        <v>52</v>
      </c>
      <c r="AS44" s="28" t="s">
        <v>4923</v>
      </c>
      <c r="AT44" s="17" t="str">
        <f t="shared" si="5"/>
        <v>complete</v>
      </c>
    </row>
    <row r="45" spans="1:46">
      <c r="A45" s="15">
        <v>24</v>
      </c>
      <c r="B45" s="15" t="s">
        <v>42</v>
      </c>
      <c r="C45" s="15" t="s">
        <v>280</v>
      </c>
      <c r="D45" s="15" t="s">
        <v>59</v>
      </c>
      <c r="E45" s="15" t="s">
        <v>60</v>
      </c>
      <c r="F45" s="15">
        <v>2</v>
      </c>
      <c r="G45" s="15" t="s">
        <v>130</v>
      </c>
      <c r="H45" s="15" t="s">
        <v>47</v>
      </c>
      <c r="I45" s="15" t="s">
        <v>149</v>
      </c>
      <c r="J45" s="15" t="s">
        <v>285</v>
      </c>
      <c r="K45" s="15" t="s">
        <v>50</v>
      </c>
      <c r="L45" s="15" t="s">
        <v>51</v>
      </c>
      <c r="M45" s="15" t="s">
        <v>52</v>
      </c>
      <c r="N45" s="15" t="s">
        <v>52</v>
      </c>
      <c r="O45" s="15" t="s">
        <v>42</v>
      </c>
      <c r="P45" s="15" t="s">
        <v>42</v>
      </c>
      <c r="Q45" s="15" t="s">
        <v>53</v>
      </c>
      <c r="R45" s="15" t="s">
        <v>282</v>
      </c>
      <c r="S45" s="15" t="s">
        <v>283</v>
      </c>
      <c r="T45" s="15" t="s">
        <v>284</v>
      </c>
      <c r="U45" s="16" t="s">
        <v>4288</v>
      </c>
      <c r="V45" s="16" t="s">
        <v>42</v>
      </c>
      <c r="W45" s="16" t="s">
        <v>4602</v>
      </c>
      <c r="X45" s="16" t="s">
        <v>4603</v>
      </c>
      <c r="Y45" s="16" t="s">
        <v>57</v>
      </c>
      <c r="Z45" s="16" t="s">
        <v>4604</v>
      </c>
      <c r="AA45" s="16" t="s">
        <v>4605</v>
      </c>
      <c r="AB45" s="16">
        <v>5</v>
      </c>
      <c r="AC45" s="22">
        <v>46250</v>
      </c>
      <c r="AD45" s="16" t="s">
        <v>4289</v>
      </c>
      <c r="AE45" s="16" t="s">
        <v>42</v>
      </c>
      <c r="AF45" s="16" t="s">
        <v>4778</v>
      </c>
      <c r="AG45" s="16" t="s">
        <v>4779</v>
      </c>
      <c r="AH45" s="16" t="s">
        <v>52</v>
      </c>
      <c r="AI45" s="16" t="s">
        <v>4790</v>
      </c>
      <c r="AJ45" s="16" t="s">
        <v>4791</v>
      </c>
      <c r="AK45" s="16">
        <v>4</v>
      </c>
      <c r="AL45" s="22">
        <v>46250</v>
      </c>
      <c r="AM45" s="16"/>
      <c r="AN45" s="22"/>
      <c r="AO45" s="17" t="str">
        <f t="shared" si="3"/>
        <v>agree</v>
      </c>
      <c r="AP45" s="17" t="str">
        <f t="shared" si="4"/>
        <v>disagree</v>
      </c>
      <c r="AQ45" s="28" t="s">
        <v>42</v>
      </c>
      <c r="AR45" s="28" t="s">
        <v>52</v>
      </c>
      <c r="AS45" s="28" t="s">
        <v>4924</v>
      </c>
      <c r="AT45" s="17" t="str">
        <f t="shared" si="5"/>
        <v>complete</v>
      </c>
    </row>
    <row r="46" spans="1:46">
      <c r="A46" s="15">
        <v>25</v>
      </c>
      <c r="B46" s="15" t="s">
        <v>42</v>
      </c>
      <c r="C46" s="15" t="s">
        <v>286</v>
      </c>
      <c r="D46" s="15" t="s">
        <v>287</v>
      </c>
      <c r="E46" s="15" t="s">
        <v>60</v>
      </c>
      <c r="F46" s="15">
        <v>1</v>
      </c>
      <c r="G46" s="15" t="s">
        <v>288</v>
      </c>
      <c r="H46" s="15" t="s">
        <v>47</v>
      </c>
      <c r="I46" s="15" t="s">
        <v>289</v>
      </c>
      <c r="J46" s="15" t="s">
        <v>290</v>
      </c>
      <c r="K46" s="15" t="s">
        <v>87</v>
      </c>
      <c r="L46" s="15" t="s">
        <v>51</v>
      </c>
      <c r="M46" s="15" t="s">
        <v>52</v>
      </c>
      <c r="N46" s="15" t="s">
        <v>52</v>
      </c>
      <c r="O46" s="15" t="s">
        <v>42</v>
      </c>
      <c r="P46" s="15" t="s">
        <v>42</v>
      </c>
      <c r="Q46" s="15" t="s">
        <v>291</v>
      </c>
      <c r="R46" s="15" t="s">
        <v>292</v>
      </c>
      <c r="S46" s="15" t="s">
        <v>293</v>
      </c>
      <c r="T46" s="15" t="s">
        <v>294</v>
      </c>
      <c r="U46" s="16" t="s">
        <v>4288</v>
      </c>
      <c r="V46" s="16" t="s">
        <v>42</v>
      </c>
      <c r="W46" s="16" t="s">
        <v>4606</v>
      </c>
      <c r="X46" s="16" t="s">
        <v>4607</v>
      </c>
      <c r="Y46" s="16" t="s">
        <v>57</v>
      </c>
      <c r="Z46" s="16" t="s">
        <v>4749</v>
      </c>
      <c r="AA46" s="16" t="s">
        <v>4608</v>
      </c>
      <c r="AB46" s="16">
        <v>4</v>
      </c>
      <c r="AC46" s="22">
        <v>46250</v>
      </c>
      <c r="AD46" s="16" t="s">
        <v>4289</v>
      </c>
      <c r="AE46" s="16" t="s">
        <v>42</v>
      </c>
      <c r="AF46" s="16" t="s">
        <v>4792</v>
      </c>
      <c r="AG46" s="16" t="s">
        <v>4793</v>
      </c>
      <c r="AH46" s="16" t="s">
        <v>52</v>
      </c>
      <c r="AI46" s="16" t="s">
        <v>4794</v>
      </c>
      <c r="AJ46" s="16" t="s">
        <v>4795</v>
      </c>
      <c r="AK46" s="16">
        <v>4</v>
      </c>
      <c r="AL46" s="22">
        <v>46250</v>
      </c>
      <c r="AM46" s="16"/>
      <c r="AN46" s="22"/>
      <c r="AO46" s="17" t="str">
        <f t="shared" si="3"/>
        <v>agree</v>
      </c>
      <c r="AP46" s="17" t="str">
        <f t="shared" si="4"/>
        <v>disagree</v>
      </c>
      <c r="AQ46" s="28" t="s">
        <v>42</v>
      </c>
      <c r="AR46" s="28" t="s">
        <v>57</v>
      </c>
      <c r="AS46" s="28" t="s">
        <v>4925</v>
      </c>
      <c r="AT46" s="17" t="str">
        <f t="shared" si="5"/>
        <v>complete</v>
      </c>
    </row>
    <row r="47" spans="1:46">
      <c r="A47" s="15">
        <v>25</v>
      </c>
      <c r="B47" s="15" t="s">
        <v>42</v>
      </c>
      <c r="C47" s="15" t="s">
        <v>286</v>
      </c>
      <c r="D47" s="15" t="s">
        <v>287</v>
      </c>
      <c r="E47" s="15" t="s">
        <v>60</v>
      </c>
      <c r="F47" s="15">
        <v>2</v>
      </c>
      <c r="G47" s="15" t="s">
        <v>295</v>
      </c>
      <c r="H47" s="15" t="s">
        <v>47</v>
      </c>
      <c r="I47" s="15" t="s">
        <v>296</v>
      </c>
      <c r="J47" s="15" t="s">
        <v>297</v>
      </c>
      <c r="K47" s="15" t="s">
        <v>50</v>
      </c>
      <c r="L47" s="15" t="s">
        <v>190</v>
      </c>
      <c r="M47" s="15" t="s">
        <v>42</v>
      </c>
      <c r="N47" s="15" t="s">
        <v>42</v>
      </c>
      <c r="O47" s="15" t="s">
        <v>42</v>
      </c>
      <c r="P47" s="15" t="s">
        <v>42</v>
      </c>
      <c r="Q47" s="15" t="s">
        <v>298</v>
      </c>
      <c r="R47" s="15" t="s">
        <v>292</v>
      </c>
      <c r="S47" s="15" t="s">
        <v>293</v>
      </c>
      <c r="T47" s="15" t="s">
        <v>294</v>
      </c>
      <c r="U47" s="16" t="s">
        <v>4288</v>
      </c>
      <c r="V47" s="16" t="s">
        <v>52</v>
      </c>
      <c r="W47" s="16" t="s">
        <v>4430</v>
      </c>
      <c r="X47" s="16" t="s">
        <v>4431</v>
      </c>
      <c r="Y47" s="16" t="s">
        <v>57</v>
      </c>
      <c r="Z47" s="16" t="s">
        <v>4432</v>
      </c>
      <c r="AA47" s="16" t="s">
        <v>4433</v>
      </c>
      <c r="AB47" s="16">
        <v>4</v>
      </c>
      <c r="AC47" s="22">
        <v>46251</v>
      </c>
      <c r="AD47" s="16" t="s">
        <v>4289</v>
      </c>
      <c r="AE47" s="16" t="s">
        <v>52</v>
      </c>
      <c r="AF47" s="16" t="s">
        <v>4434</v>
      </c>
      <c r="AG47" s="16" t="s">
        <v>4435</v>
      </c>
      <c r="AH47" s="16" t="s">
        <v>52</v>
      </c>
      <c r="AI47" s="16" t="s">
        <v>4436</v>
      </c>
      <c r="AJ47" s="16" t="s">
        <v>4437</v>
      </c>
      <c r="AK47" s="16">
        <v>4</v>
      </c>
      <c r="AL47" s="22">
        <v>46251</v>
      </c>
      <c r="AM47" s="16"/>
      <c r="AN47" s="22"/>
      <c r="AO47" s="17" t="str">
        <f t="shared" si="3"/>
        <v>agree</v>
      </c>
      <c r="AP47" s="17" t="str">
        <f t="shared" si="4"/>
        <v>disagree</v>
      </c>
      <c r="AQ47" s="28" t="s">
        <v>52</v>
      </c>
      <c r="AR47" s="28" t="s">
        <v>52</v>
      </c>
      <c r="AS47" s="28" t="s">
        <v>4926</v>
      </c>
      <c r="AT47" s="17" t="str">
        <f t="shared" si="5"/>
        <v>complete</v>
      </c>
    </row>
    <row r="48" spans="1:46">
      <c r="A48" s="15">
        <v>26</v>
      </c>
      <c r="B48" s="15" t="s">
        <v>42</v>
      </c>
      <c r="C48" s="15" t="s">
        <v>299</v>
      </c>
      <c r="D48" s="15" t="s">
        <v>112</v>
      </c>
      <c r="E48" s="15" t="s">
        <v>60</v>
      </c>
      <c r="F48" s="15">
        <v>1</v>
      </c>
      <c r="G48" s="15" t="s">
        <v>61</v>
      </c>
      <c r="H48" s="15" t="s">
        <v>47</v>
      </c>
      <c r="I48" s="15" t="s">
        <v>300</v>
      </c>
      <c r="J48" s="15" t="s">
        <v>301</v>
      </c>
      <c r="K48" s="15" t="s">
        <v>87</v>
      </c>
      <c r="L48" s="15" t="s">
        <v>302</v>
      </c>
      <c r="M48" s="15" t="s">
        <v>52</v>
      </c>
      <c r="N48" s="15" t="s">
        <v>42</v>
      </c>
      <c r="O48" s="15" t="s">
        <v>42</v>
      </c>
      <c r="P48" s="15" t="s">
        <v>42</v>
      </c>
      <c r="Q48" s="15" t="s">
        <v>65</v>
      </c>
      <c r="R48" s="15" t="s">
        <v>303</v>
      </c>
      <c r="S48" s="15" t="s">
        <v>304</v>
      </c>
      <c r="T48" s="15" t="s">
        <v>305</v>
      </c>
      <c r="U48" s="16" t="s">
        <v>4288</v>
      </c>
      <c r="V48" s="16" t="s">
        <v>57</v>
      </c>
      <c r="W48" s="16" t="s">
        <v>4591</v>
      </c>
      <c r="X48" s="16" t="s">
        <v>4609</v>
      </c>
      <c r="Y48" s="16" t="s">
        <v>57</v>
      </c>
      <c r="Z48" s="16" t="s">
        <v>4750</v>
      </c>
      <c r="AA48" s="16" t="s">
        <v>4610</v>
      </c>
      <c r="AB48" s="16">
        <v>4</v>
      </c>
      <c r="AC48" s="22">
        <v>46250</v>
      </c>
      <c r="AD48" s="16" t="s">
        <v>4289</v>
      </c>
      <c r="AE48" s="16" t="s">
        <v>57</v>
      </c>
      <c r="AF48" s="16" t="s">
        <v>4774</v>
      </c>
      <c r="AG48" s="16" t="s">
        <v>4796</v>
      </c>
      <c r="AH48" s="16" t="s">
        <v>52</v>
      </c>
      <c r="AI48" s="16" t="s">
        <v>4797</v>
      </c>
      <c r="AJ48" s="16" t="s">
        <v>4798</v>
      </c>
      <c r="AK48" s="16">
        <v>4</v>
      </c>
      <c r="AL48" s="22">
        <v>46250</v>
      </c>
      <c r="AM48" s="16"/>
      <c r="AN48" s="22"/>
      <c r="AO48" s="17" t="str">
        <f t="shared" si="3"/>
        <v>agree</v>
      </c>
      <c r="AP48" s="17" t="str">
        <f t="shared" si="4"/>
        <v>disagree</v>
      </c>
      <c r="AQ48" s="28" t="s">
        <v>57</v>
      </c>
      <c r="AR48" s="28" t="s">
        <v>52</v>
      </c>
      <c r="AS48" s="28" t="s">
        <v>4927</v>
      </c>
      <c r="AT48" s="17" t="str">
        <f t="shared" si="5"/>
        <v>complete</v>
      </c>
    </row>
    <row r="49" spans="1:46">
      <c r="A49" s="15">
        <v>26</v>
      </c>
      <c r="B49" s="15" t="s">
        <v>42</v>
      </c>
      <c r="C49" s="15" t="s">
        <v>299</v>
      </c>
      <c r="D49" s="15" t="s">
        <v>112</v>
      </c>
      <c r="E49" s="15" t="s">
        <v>60</v>
      </c>
      <c r="F49" s="15">
        <v>2</v>
      </c>
      <c r="G49" s="15" t="s">
        <v>130</v>
      </c>
      <c r="H49" s="15" t="s">
        <v>47</v>
      </c>
      <c r="I49" s="15" t="s">
        <v>306</v>
      </c>
      <c r="J49" s="15" t="s">
        <v>307</v>
      </c>
      <c r="K49" s="15" t="s">
        <v>50</v>
      </c>
      <c r="L49" s="15" t="s">
        <v>302</v>
      </c>
      <c r="M49" s="15" t="s">
        <v>52</v>
      </c>
      <c r="N49" s="15" t="s">
        <v>52</v>
      </c>
      <c r="O49" s="15" t="s">
        <v>42</v>
      </c>
      <c r="P49" s="15" t="s">
        <v>42</v>
      </c>
      <c r="Q49" s="15" t="s">
        <v>53</v>
      </c>
      <c r="R49" s="15" t="s">
        <v>303</v>
      </c>
      <c r="S49" s="15" t="s">
        <v>304</v>
      </c>
      <c r="T49" s="15" t="s">
        <v>305</v>
      </c>
      <c r="U49" s="16" t="s">
        <v>4288</v>
      </c>
      <c r="V49" s="16" t="s">
        <v>57</v>
      </c>
      <c r="W49" s="16" t="s">
        <v>4602</v>
      </c>
      <c r="X49" s="16" t="s">
        <v>4611</v>
      </c>
      <c r="Y49" s="16" t="s">
        <v>57</v>
      </c>
      <c r="Z49" s="16" t="s">
        <v>4612</v>
      </c>
      <c r="AA49" s="16" t="s">
        <v>4613</v>
      </c>
      <c r="AB49" s="16">
        <v>4</v>
      </c>
      <c r="AC49" s="22">
        <v>46250</v>
      </c>
      <c r="AD49" s="16" t="s">
        <v>4289</v>
      </c>
      <c r="AE49" s="16" t="s">
        <v>57</v>
      </c>
      <c r="AF49" s="16" t="s">
        <v>4778</v>
      </c>
      <c r="AG49" s="16" t="s">
        <v>4799</v>
      </c>
      <c r="AH49" s="16" t="s">
        <v>52</v>
      </c>
      <c r="AI49" s="16" t="s">
        <v>4797</v>
      </c>
      <c r="AJ49" s="16" t="s">
        <v>4798</v>
      </c>
      <c r="AK49" s="16">
        <v>4</v>
      </c>
      <c r="AL49" s="22">
        <v>46250</v>
      </c>
      <c r="AM49" s="16"/>
      <c r="AN49" s="22"/>
      <c r="AO49" s="17" t="str">
        <f t="shared" si="3"/>
        <v>agree</v>
      </c>
      <c r="AP49" s="17" t="str">
        <f t="shared" si="4"/>
        <v>disagree</v>
      </c>
      <c r="AQ49" s="28" t="s">
        <v>57</v>
      </c>
      <c r="AR49" s="28" t="s">
        <v>52</v>
      </c>
      <c r="AS49" s="28" t="s">
        <v>4928</v>
      </c>
      <c r="AT49" s="17" t="str">
        <f t="shared" si="5"/>
        <v>complete</v>
      </c>
    </row>
    <row r="50" spans="1:46">
      <c r="A50" s="15">
        <v>27</v>
      </c>
      <c r="B50" s="15" t="s">
        <v>42</v>
      </c>
      <c r="C50" s="15" t="s">
        <v>308</v>
      </c>
      <c r="D50" s="15" t="s">
        <v>70</v>
      </c>
      <c r="E50" s="15" t="s">
        <v>45</v>
      </c>
      <c r="F50" s="15">
        <v>1</v>
      </c>
      <c r="G50" s="15" t="s">
        <v>71</v>
      </c>
      <c r="H50" s="15" t="s">
        <v>47</v>
      </c>
      <c r="I50" s="15" t="s">
        <v>309</v>
      </c>
      <c r="J50" s="15" t="s">
        <v>310</v>
      </c>
      <c r="K50" s="15" t="s">
        <v>50</v>
      </c>
      <c r="L50" s="15" t="s">
        <v>51</v>
      </c>
      <c r="M50" s="15" t="s">
        <v>52</v>
      </c>
      <c r="N50" s="15" t="s">
        <v>52</v>
      </c>
      <c r="O50" s="15" t="s">
        <v>42</v>
      </c>
      <c r="P50" s="15" t="s">
        <v>42</v>
      </c>
      <c r="Q50" s="15" t="s">
        <v>74</v>
      </c>
      <c r="R50" s="15" t="s">
        <v>180</v>
      </c>
      <c r="S50" s="15" t="s">
        <v>181</v>
      </c>
      <c r="T50" s="15" t="s">
        <v>182</v>
      </c>
      <c r="U50" s="16" t="s">
        <v>4288</v>
      </c>
      <c r="V50" s="16" t="s">
        <v>57</v>
      </c>
      <c r="W50" s="16" t="s">
        <v>4614</v>
      </c>
      <c r="X50" s="16" t="s">
        <v>4615</v>
      </c>
      <c r="Y50" s="16" t="s">
        <v>57</v>
      </c>
      <c r="Z50" s="16" t="s">
        <v>4751</v>
      </c>
      <c r="AA50" s="16" t="s">
        <v>4616</v>
      </c>
      <c r="AB50" s="16">
        <v>4</v>
      </c>
      <c r="AC50" s="22">
        <v>46250</v>
      </c>
      <c r="AD50" s="16" t="s">
        <v>4289</v>
      </c>
      <c r="AE50" s="16" t="s">
        <v>57</v>
      </c>
      <c r="AF50" s="16" t="s">
        <v>4800</v>
      </c>
      <c r="AG50" s="16" t="s">
        <v>4801</v>
      </c>
      <c r="AH50" s="16" t="s">
        <v>52</v>
      </c>
      <c r="AI50" s="16" t="s">
        <v>4802</v>
      </c>
      <c r="AJ50" s="16" t="s">
        <v>4803</v>
      </c>
      <c r="AK50" s="16">
        <v>4</v>
      </c>
      <c r="AL50" s="22">
        <v>46250</v>
      </c>
      <c r="AM50" s="16"/>
      <c r="AN50" s="22"/>
      <c r="AO50" s="17" t="str">
        <f t="shared" si="3"/>
        <v>agree</v>
      </c>
      <c r="AP50" s="17" t="str">
        <f t="shared" si="4"/>
        <v>disagree</v>
      </c>
      <c r="AQ50" s="28" t="s">
        <v>57</v>
      </c>
      <c r="AR50" s="28" t="s">
        <v>52</v>
      </c>
      <c r="AS50" s="28" t="s">
        <v>4929</v>
      </c>
      <c r="AT50" s="17" t="str">
        <f t="shared" si="5"/>
        <v>complete</v>
      </c>
    </row>
    <row r="51" spans="1:46">
      <c r="A51" s="15">
        <v>27</v>
      </c>
      <c r="B51" s="15" t="s">
        <v>42</v>
      </c>
      <c r="C51" s="15" t="s">
        <v>308</v>
      </c>
      <c r="D51" s="15" t="s">
        <v>70</v>
      </c>
      <c r="E51" s="15" t="s">
        <v>45</v>
      </c>
      <c r="F51" s="15">
        <v>2</v>
      </c>
      <c r="G51" s="15" t="s">
        <v>78</v>
      </c>
      <c r="H51" s="15" t="s">
        <v>47</v>
      </c>
      <c r="I51" s="15" t="s">
        <v>311</v>
      </c>
      <c r="J51" s="15" t="s">
        <v>312</v>
      </c>
      <c r="K51" s="15" t="s">
        <v>50</v>
      </c>
      <c r="L51" s="15" t="s">
        <v>51</v>
      </c>
      <c r="M51" s="15" t="s">
        <v>52</v>
      </c>
      <c r="N51" s="15" t="s">
        <v>52</v>
      </c>
      <c r="O51" s="15" t="s">
        <v>42</v>
      </c>
      <c r="P51" s="15" t="s">
        <v>42</v>
      </c>
      <c r="Q51" s="15" t="s">
        <v>81</v>
      </c>
      <c r="R51" s="15" t="s">
        <v>180</v>
      </c>
      <c r="S51" s="15" t="s">
        <v>181</v>
      </c>
      <c r="T51" s="15" t="s">
        <v>182</v>
      </c>
      <c r="U51" s="16" t="s">
        <v>4288</v>
      </c>
      <c r="V51" s="16" t="s">
        <v>57</v>
      </c>
      <c r="W51" s="16" t="s">
        <v>4617</v>
      </c>
      <c r="X51" s="16" t="s">
        <v>4618</v>
      </c>
      <c r="Y51" s="16" t="s">
        <v>57</v>
      </c>
      <c r="Z51" s="16" t="s">
        <v>4619</v>
      </c>
      <c r="AA51" s="16" t="s">
        <v>4620</v>
      </c>
      <c r="AB51" s="16">
        <v>4</v>
      </c>
      <c r="AC51" s="22">
        <v>46250</v>
      </c>
      <c r="AD51" s="16" t="s">
        <v>4289</v>
      </c>
      <c r="AE51" s="16" t="s">
        <v>57</v>
      </c>
      <c r="AF51" s="16" t="s">
        <v>4804</v>
      </c>
      <c r="AG51" s="16" t="s">
        <v>4805</v>
      </c>
      <c r="AH51" s="16" t="s">
        <v>52</v>
      </c>
      <c r="AI51" s="16" t="s">
        <v>4802</v>
      </c>
      <c r="AJ51" s="16" t="s">
        <v>4803</v>
      </c>
      <c r="AK51" s="16">
        <v>3</v>
      </c>
      <c r="AL51" s="22">
        <v>46250</v>
      </c>
      <c r="AM51" s="16"/>
      <c r="AN51" s="22"/>
      <c r="AO51" s="17" t="str">
        <f t="shared" si="3"/>
        <v>agree</v>
      </c>
      <c r="AP51" s="17" t="str">
        <f t="shared" si="4"/>
        <v>disagree</v>
      </c>
      <c r="AQ51" s="28" t="s">
        <v>57</v>
      </c>
      <c r="AR51" s="28" t="s">
        <v>52</v>
      </c>
      <c r="AS51" s="28" t="s">
        <v>4930</v>
      </c>
      <c r="AT51" s="17" t="str">
        <f t="shared" si="5"/>
        <v>complete</v>
      </c>
    </row>
    <row r="52" spans="1:46">
      <c r="A52" s="15">
        <v>28</v>
      </c>
      <c r="B52" s="15" t="s">
        <v>42</v>
      </c>
      <c r="C52" s="15" t="s">
        <v>313</v>
      </c>
      <c r="D52" s="15" t="s">
        <v>143</v>
      </c>
      <c r="E52" s="15" t="s">
        <v>45</v>
      </c>
      <c r="F52" s="15">
        <v>1</v>
      </c>
      <c r="G52" s="15" t="s">
        <v>61</v>
      </c>
      <c r="H52" s="15" t="s">
        <v>47</v>
      </c>
      <c r="I52" s="15" t="s">
        <v>314</v>
      </c>
      <c r="J52" s="15" t="s">
        <v>315</v>
      </c>
      <c r="K52" s="15" t="s">
        <v>50</v>
      </c>
      <c r="L52" s="15" t="s">
        <v>64</v>
      </c>
      <c r="M52" s="15" t="s">
        <v>52</v>
      </c>
      <c r="N52" s="15" t="s">
        <v>42</v>
      </c>
      <c r="O52" s="15" t="s">
        <v>42</v>
      </c>
      <c r="P52" s="15" t="s">
        <v>42</v>
      </c>
      <c r="Q52" s="15" t="s">
        <v>65</v>
      </c>
      <c r="R52" s="15" t="s">
        <v>316</v>
      </c>
      <c r="S52" s="15" t="s">
        <v>317</v>
      </c>
      <c r="T52" s="15" t="s">
        <v>318</v>
      </c>
      <c r="U52" s="16" t="s">
        <v>4288</v>
      </c>
      <c r="V52" s="16" t="s">
        <v>42</v>
      </c>
      <c r="W52" s="16" t="s">
        <v>4591</v>
      </c>
      <c r="X52" s="16" t="s">
        <v>4621</v>
      </c>
      <c r="Y52" s="16" t="s">
        <v>52</v>
      </c>
      <c r="Z52" s="16" t="s">
        <v>4752</v>
      </c>
      <c r="AA52" s="16" t="s">
        <v>4622</v>
      </c>
      <c r="AB52" s="16">
        <v>5</v>
      </c>
      <c r="AC52" s="22">
        <v>46250</v>
      </c>
      <c r="AD52" s="16" t="s">
        <v>4289</v>
      </c>
      <c r="AE52" s="16" t="s">
        <v>42</v>
      </c>
      <c r="AF52" s="16" t="s">
        <v>4774</v>
      </c>
      <c r="AG52" s="16" t="s">
        <v>4775</v>
      </c>
      <c r="AH52" s="16" t="s">
        <v>52</v>
      </c>
      <c r="AI52" s="16" t="s">
        <v>4806</v>
      </c>
      <c r="AJ52" s="16" t="s">
        <v>4807</v>
      </c>
      <c r="AK52" s="16">
        <v>4</v>
      </c>
      <c r="AL52" s="22">
        <v>46250</v>
      </c>
      <c r="AM52" s="16"/>
      <c r="AN52" s="22"/>
      <c r="AO52" s="17" t="str">
        <f t="shared" si="3"/>
        <v>agree</v>
      </c>
      <c r="AP52" s="17" t="str">
        <f t="shared" si="4"/>
        <v>agree</v>
      </c>
      <c r="AQ52" s="28" t="s">
        <v>42</v>
      </c>
      <c r="AR52" s="28" t="s">
        <v>52</v>
      </c>
      <c r="AS52" s="28" t="s">
        <v>4931</v>
      </c>
      <c r="AT52" s="17" t="str">
        <f t="shared" si="5"/>
        <v>complete</v>
      </c>
    </row>
    <row r="53" spans="1:46">
      <c r="A53" s="15">
        <v>28</v>
      </c>
      <c r="B53" s="15" t="s">
        <v>42</v>
      </c>
      <c r="C53" s="15" t="s">
        <v>313</v>
      </c>
      <c r="D53" s="15" t="s">
        <v>143</v>
      </c>
      <c r="E53" s="15" t="s">
        <v>45</v>
      </c>
      <c r="F53" s="15">
        <v>2</v>
      </c>
      <c r="G53" s="15" t="s">
        <v>130</v>
      </c>
      <c r="H53" s="15" t="s">
        <v>47</v>
      </c>
      <c r="I53" s="15" t="s">
        <v>319</v>
      </c>
      <c r="J53" s="15" t="s">
        <v>320</v>
      </c>
      <c r="K53" s="15" t="s">
        <v>50</v>
      </c>
      <c r="L53" s="15" t="s">
        <v>51</v>
      </c>
      <c r="M53" s="15" t="s">
        <v>52</v>
      </c>
      <c r="N53" s="15" t="s">
        <v>52</v>
      </c>
      <c r="O53" s="15" t="s">
        <v>42</v>
      </c>
      <c r="P53" s="15" t="s">
        <v>42</v>
      </c>
      <c r="Q53" s="15" t="s">
        <v>53</v>
      </c>
      <c r="R53" s="15" t="s">
        <v>316</v>
      </c>
      <c r="S53" s="15" t="s">
        <v>317</v>
      </c>
      <c r="T53" s="15" t="s">
        <v>318</v>
      </c>
      <c r="U53" s="16" t="s">
        <v>4288</v>
      </c>
      <c r="V53" s="16" t="s">
        <v>57</v>
      </c>
      <c r="W53" s="16" t="s">
        <v>4602</v>
      </c>
      <c r="X53" s="16" t="s">
        <v>4623</v>
      </c>
      <c r="Y53" s="16" t="s">
        <v>52</v>
      </c>
      <c r="Z53" s="16" t="s">
        <v>4624</v>
      </c>
      <c r="AA53" s="16" t="s">
        <v>4625</v>
      </c>
      <c r="AB53" s="16">
        <v>4</v>
      </c>
      <c r="AC53" s="22">
        <v>46250</v>
      </c>
      <c r="AD53" s="16" t="s">
        <v>4289</v>
      </c>
      <c r="AE53" s="16" t="s">
        <v>52</v>
      </c>
      <c r="AF53" s="16" t="s">
        <v>4778</v>
      </c>
      <c r="AG53" s="16" t="s">
        <v>4808</v>
      </c>
      <c r="AH53" s="16" t="s">
        <v>52</v>
      </c>
      <c r="AI53" s="16" t="s">
        <v>4806</v>
      </c>
      <c r="AJ53" s="16" t="s">
        <v>4807</v>
      </c>
      <c r="AK53" s="16">
        <v>5</v>
      </c>
      <c r="AL53" s="22">
        <v>46250</v>
      </c>
      <c r="AM53" s="16"/>
      <c r="AN53" s="22"/>
      <c r="AO53" s="17" t="str">
        <f t="shared" si="3"/>
        <v>disagree</v>
      </c>
      <c r="AP53" s="17" t="str">
        <f t="shared" si="4"/>
        <v>agree</v>
      </c>
      <c r="AQ53" s="28" t="s">
        <v>52</v>
      </c>
      <c r="AR53" s="28" t="s">
        <v>52</v>
      </c>
      <c r="AS53" s="28" t="s">
        <v>4932</v>
      </c>
      <c r="AT53" s="17" t="str">
        <f t="shared" si="5"/>
        <v>complete</v>
      </c>
    </row>
    <row r="54" spans="1:46">
      <c r="A54" s="15">
        <v>28</v>
      </c>
      <c r="B54" s="15" t="s">
        <v>42</v>
      </c>
      <c r="C54" s="15" t="s">
        <v>313</v>
      </c>
      <c r="D54" s="15" t="s">
        <v>143</v>
      </c>
      <c r="E54" s="15" t="s">
        <v>45</v>
      </c>
      <c r="F54" s="15">
        <v>3</v>
      </c>
      <c r="G54" s="15" t="s">
        <v>321</v>
      </c>
      <c r="H54" s="15" t="s">
        <v>255</v>
      </c>
      <c r="I54" s="15" t="s">
        <v>322</v>
      </c>
      <c r="J54" s="15" t="s">
        <v>323</v>
      </c>
      <c r="K54" s="15" t="s">
        <v>50</v>
      </c>
      <c r="L54" s="15" t="s">
        <v>258</v>
      </c>
      <c r="M54" s="15" t="s">
        <v>52</v>
      </c>
      <c r="N54" s="15" t="s">
        <v>52</v>
      </c>
      <c r="O54" s="15" t="s">
        <v>259</v>
      </c>
      <c r="P54" s="15" t="s">
        <v>42</v>
      </c>
      <c r="Q54" s="15" t="s">
        <v>324</v>
      </c>
      <c r="R54" s="15" t="s">
        <v>316</v>
      </c>
      <c r="S54" s="15" t="s">
        <v>317</v>
      </c>
      <c r="T54" s="15" t="s">
        <v>318</v>
      </c>
      <c r="U54" s="16" t="s">
        <v>4288</v>
      </c>
      <c r="V54" s="16" t="s">
        <v>259</v>
      </c>
      <c r="W54" s="16" t="s">
        <v>4626</v>
      </c>
      <c r="X54" s="16" t="s">
        <v>4627</v>
      </c>
      <c r="Y54" s="16" t="s">
        <v>52</v>
      </c>
      <c r="Z54" s="16" t="s">
        <v>4628</v>
      </c>
      <c r="AA54" s="16" t="s">
        <v>4629</v>
      </c>
      <c r="AB54" s="16">
        <v>5</v>
      </c>
      <c r="AC54" s="22">
        <v>46250</v>
      </c>
      <c r="AD54" s="16" t="s">
        <v>4289</v>
      </c>
      <c r="AE54" s="16" t="s">
        <v>259</v>
      </c>
      <c r="AF54" s="16" t="s">
        <v>4809</v>
      </c>
      <c r="AG54" s="16" t="s">
        <v>4810</v>
      </c>
      <c r="AH54" s="16" t="s">
        <v>52</v>
      </c>
      <c r="AI54" s="16" t="s">
        <v>4806</v>
      </c>
      <c r="AJ54" s="16" t="s">
        <v>4807</v>
      </c>
      <c r="AK54" s="16">
        <v>5</v>
      </c>
      <c r="AL54" s="22">
        <v>46250</v>
      </c>
      <c r="AM54" s="16"/>
      <c r="AN54" s="22"/>
      <c r="AO54" s="17" t="str">
        <f t="shared" si="3"/>
        <v>agree</v>
      </c>
      <c r="AP54" s="17" t="str">
        <f t="shared" si="4"/>
        <v>agree</v>
      </c>
      <c r="AQ54" s="28" t="s">
        <v>259</v>
      </c>
      <c r="AR54" s="28" t="s">
        <v>52</v>
      </c>
      <c r="AS54" s="28" t="s">
        <v>4933</v>
      </c>
      <c r="AT54" s="17" t="str">
        <f t="shared" si="5"/>
        <v>complete</v>
      </c>
    </row>
    <row r="55" spans="1:46">
      <c r="A55" s="15">
        <v>29</v>
      </c>
      <c r="B55" s="15" t="s">
        <v>42</v>
      </c>
      <c r="C55" s="15" t="s">
        <v>325</v>
      </c>
      <c r="D55" s="15" t="s">
        <v>326</v>
      </c>
      <c r="E55" s="15" t="s">
        <v>60</v>
      </c>
      <c r="F55" s="15">
        <v>1</v>
      </c>
      <c r="G55" s="15" t="s">
        <v>61</v>
      </c>
      <c r="H55" s="15" t="s">
        <v>47</v>
      </c>
      <c r="I55" s="15" t="s">
        <v>327</v>
      </c>
      <c r="J55" s="15" t="s">
        <v>328</v>
      </c>
      <c r="K55" s="15" t="s">
        <v>50</v>
      </c>
      <c r="L55" s="15" t="s">
        <v>64</v>
      </c>
      <c r="M55" s="15" t="s">
        <v>52</v>
      </c>
      <c r="N55" s="15" t="s">
        <v>42</v>
      </c>
      <c r="O55" s="15" t="s">
        <v>42</v>
      </c>
      <c r="P55" s="15" t="s">
        <v>42</v>
      </c>
      <c r="Q55" s="15" t="s">
        <v>65</v>
      </c>
      <c r="R55" s="15" t="s">
        <v>329</v>
      </c>
      <c r="S55" s="15" t="s">
        <v>330</v>
      </c>
      <c r="T55" s="15" t="s">
        <v>331</v>
      </c>
      <c r="U55" s="16" t="s">
        <v>4288</v>
      </c>
      <c r="V55" s="16" t="s">
        <v>42</v>
      </c>
      <c r="W55" s="16" t="s">
        <v>4591</v>
      </c>
      <c r="X55" s="16" t="s">
        <v>4630</v>
      </c>
      <c r="Y55" s="16" t="s">
        <v>57</v>
      </c>
      <c r="Z55" s="16" t="s">
        <v>4753</v>
      </c>
      <c r="AA55" s="16" t="s">
        <v>4631</v>
      </c>
      <c r="AB55" s="16">
        <v>5</v>
      </c>
      <c r="AC55" s="22">
        <v>46250</v>
      </c>
      <c r="AD55" s="16" t="s">
        <v>4289</v>
      </c>
      <c r="AE55" s="16" t="s">
        <v>42</v>
      </c>
      <c r="AF55" s="16" t="s">
        <v>4774</v>
      </c>
      <c r="AG55" s="16" t="s">
        <v>4775</v>
      </c>
      <c r="AH55" s="16" t="s">
        <v>52</v>
      </c>
      <c r="AI55" s="16" t="s">
        <v>4811</v>
      </c>
      <c r="AJ55" s="16" t="s">
        <v>4812</v>
      </c>
      <c r="AK55" s="16">
        <v>4</v>
      </c>
      <c r="AL55" s="22">
        <v>46250</v>
      </c>
      <c r="AM55" s="16"/>
      <c r="AN55" s="22"/>
      <c r="AO55" s="17" t="str">
        <f t="shared" si="3"/>
        <v>agree</v>
      </c>
      <c r="AP55" s="17" t="str">
        <f t="shared" si="4"/>
        <v>disagree</v>
      </c>
      <c r="AQ55" s="28" t="s">
        <v>42</v>
      </c>
      <c r="AR55" s="28" t="s">
        <v>52</v>
      </c>
      <c r="AS55" s="28" t="s">
        <v>4934</v>
      </c>
      <c r="AT55" s="17" t="str">
        <f t="shared" si="5"/>
        <v>complete</v>
      </c>
    </row>
    <row r="56" spans="1:46">
      <c r="A56" s="15">
        <v>30</v>
      </c>
      <c r="B56" s="15" t="s">
        <v>42</v>
      </c>
      <c r="C56" s="15" t="s">
        <v>332</v>
      </c>
      <c r="D56" s="15" t="s">
        <v>333</v>
      </c>
      <c r="E56" s="15" t="s">
        <v>45</v>
      </c>
      <c r="F56" s="15">
        <v>1</v>
      </c>
      <c r="G56" s="15" t="s">
        <v>113</v>
      </c>
      <c r="H56" s="15" t="s">
        <v>47</v>
      </c>
      <c r="I56" s="15" t="s">
        <v>334</v>
      </c>
      <c r="J56" s="15" t="s">
        <v>335</v>
      </c>
      <c r="K56" s="15" t="s">
        <v>87</v>
      </c>
      <c r="L56" s="15" t="s">
        <v>64</v>
      </c>
      <c r="M56" s="15" t="s">
        <v>52</v>
      </c>
      <c r="N56" s="15" t="s">
        <v>42</v>
      </c>
      <c r="O56" s="15" t="s">
        <v>42</v>
      </c>
      <c r="P56" s="15" t="s">
        <v>42</v>
      </c>
      <c r="Q56" s="15" t="s">
        <v>65</v>
      </c>
      <c r="R56" s="15" t="s">
        <v>336</v>
      </c>
      <c r="S56" s="15" t="s">
        <v>337</v>
      </c>
      <c r="T56" s="15" t="s">
        <v>338</v>
      </c>
      <c r="U56" s="16" t="s">
        <v>4288</v>
      </c>
      <c r="V56" s="16" t="s">
        <v>42</v>
      </c>
      <c r="W56" s="16" t="s">
        <v>4591</v>
      </c>
      <c r="X56" s="16" t="s">
        <v>4632</v>
      </c>
      <c r="Y56" s="16" t="s">
        <v>57</v>
      </c>
      <c r="Z56" s="16" t="s">
        <v>4754</v>
      </c>
      <c r="AA56" s="16" t="s">
        <v>4633</v>
      </c>
      <c r="AB56" s="16">
        <v>5</v>
      </c>
      <c r="AC56" s="22">
        <v>46250</v>
      </c>
      <c r="AD56" s="16" t="s">
        <v>4289</v>
      </c>
      <c r="AE56" s="16" t="s">
        <v>42</v>
      </c>
      <c r="AF56" s="16" t="s">
        <v>4774</v>
      </c>
      <c r="AG56" s="16" t="s">
        <v>4775</v>
      </c>
      <c r="AH56" s="16" t="s">
        <v>52</v>
      </c>
      <c r="AI56" s="16" t="s">
        <v>4813</v>
      </c>
      <c r="AJ56" s="16" t="s">
        <v>4814</v>
      </c>
      <c r="AK56" s="16">
        <v>4</v>
      </c>
      <c r="AL56" s="22">
        <v>46250</v>
      </c>
      <c r="AM56" s="16"/>
      <c r="AN56" s="22"/>
      <c r="AO56" s="17" t="str">
        <f t="shared" si="3"/>
        <v>agree</v>
      </c>
      <c r="AP56" s="17" t="str">
        <f t="shared" si="4"/>
        <v>disagree</v>
      </c>
      <c r="AQ56" s="28" t="s">
        <v>42</v>
      </c>
      <c r="AR56" s="28" t="s">
        <v>52</v>
      </c>
      <c r="AS56" s="28" t="s">
        <v>4935</v>
      </c>
      <c r="AT56" s="17" t="str">
        <f t="shared" si="5"/>
        <v>complete</v>
      </c>
    </row>
    <row r="57" spans="1:46">
      <c r="A57" s="15">
        <v>30</v>
      </c>
      <c r="B57" s="15" t="s">
        <v>42</v>
      </c>
      <c r="C57" s="15" t="s">
        <v>332</v>
      </c>
      <c r="D57" s="15" t="s">
        <v>333</v>
      </c>
      <c r="E57" s="15" t="s">
        <v>45</v>
      </c>
      <c r="F57" s="15">
        <v>2</v>
      </c>
      <c r="G57" s="15" t="s">
        <v>46</v>
      </c>
      <c r="H57" s="15" t="s">
        <v>47</v>
      </c>
      <c r="I57" s="15" t="s">
        <v>339</v>
      </c>
      <c r="J57" s="15" t="s">
        <v>340</v>
      </c>
      <c r="K57" s="15" t="s">
        <v>87</v>
      </c>
      <c r="L57" s="15" t="s">
        <v>51</v>
      </c>
      <c r="M57" s="15" t="s">
        <v>52</v>
      </c>
      <c r="N57" s="15" t="s">
        <v>52</v>
      </c>
      <c r="O57" s="15" t="s">
        <v>42</v>
      </c>
      <c r="P57" s="15" t="s">
        <v>42</v>
      </c>
      <c r="Q57" s="15" t="s">
        <v>53</v>
      </c>
      <c r="R57" s="15" t="s">
        <v>336</v>
      </c>
      <c r="S57" s="15" t="s">
        <v>337</v>
      </c>
      <c r="T57" s="15" t="s">
        <v>338</v>
      </c>
      <c r="U57" s="16" t="s">
        <v>4288</v>
      </c>
      <c r="V57" s="16" t="s">
        <v>57</v>
      </c>
      <c r="W57" s="16" t="s">
        <v>4602</v>
      </c>
      <c r="X57" s="16" t="s">
        <v>4634</v>
      </c>
      <c r="Y57" s="16" t="s">
        <v>57</v>
      </c>
      <c r="Z57" s="16" t="s">
        <v>4635</v>
      </c>
      <c r="AA57" s="16" t="s">
        <v>4636</v>
      </c>
      <c r="AB57" s="16">
        <v>4</v>
      </c>
      <c r="AC57" s="22">
        <v>46250</v>
      </c>
      <c r="AD57" s="16" t="s">
        <v>4289</v>
      </c>
      <c r="AE57" s="16" t="s">
        <v>42</v>
      </c>
      <c r="AF57" s="16" t="s">
        <v>4778</v>
      </c>
      <c r="AG57" s="16" t="s">
        <v>4779</v>
      </c>
      <c r="AH57" s="16" t="s">
        <v>52</v>
      </c>
      <c r="AI57" s="16" t="s">
        <v>4813</v>
      </c>
      <c r="AJ57" s="16" t="s">
        <v>4814</v>
      </c>
      <c r="AK57" s="16">
        <v>4</v>
      </c>
      <c r="AL57" s="22">
        <v>46250</v>
      </c>
      <c r="AM57" s="16"/>
      <c r="AN57" s="22"/>
      <c r="AO57" s="17" t="str">
        <f t="shared" si="3"/>
        <v>disagree</v>
      </c>
      <c r="AP57" s="17" t="str">
        <f t="shared" si="4"/>
        <v>disagree</v>
      </c>
      <c r="AQ57" s="28" t="s">
        <v>42</v>
      </c>
      <c r="AR57" s="28" t="s">
        <v>52</v>
      </c>
      <c r="AS57" s="28" t="s">
        <v>4936</v>
      </c>
      <c r="AT57" s="17" t="str">
        <f t="shared" si="5"/>
        <v>complete</v>
      </c>
    </row>
    <row r="58" spans="1:46">
      <c r="A58" s="15">
        <v>30</v>
      </c>
      <c r="B58" s="15" t="s">
        <v>42</v>
      </c>
      <c r="C58" s="15" t="s">
        <v>332</v>
      </c>
      <c r="D58" s="15" t="s">
        <v>333</v>
      </c>
      <c r="E58" s="15" t="s">
        <v>45</v>
      </c>
      <c r="F58" s="15">
        <v>3</v>
      </c>
      <c r="G58" s="15" t="s">
        <v>341</v>
      </c>
      <c r="H58" s="15" t="s">
        <v>47</v>
      </c>
      <c r="I58" s="15" t="s">
        <v>342</v>
      </c>
      <c r="J58" s="15" t="s">
        <v>343</v>
      </c>
      <c r="K58" s="15" t="s">
        <v>50</v>
      </c>
      <c r="L58" s="15" t="s">
        <v>51</v>
      </c>
      <c r="M58" s="15" t="s">
        <v>52</v>
      </c>
      <c r="N58" s="15" t="s">
        <v>52</v>
      </c>
      <c r="O58" s="15" t="s">
        <v>42</v>
      </c>
      <c r="P58" s="15" t="s">
        <v>42</v>
      </c>
      <c r="Q58" s="15" t="s">
        <v>344</v>
      </c>
      <c r="R58" s="15" t="s">
        <v>336</v>
      </c>
      <c r="S58" s="15" t="s">
        <v>337</v>
      </c>
      <c r="T58" s="15" t="s">
        <v>338</v>
      </c>
      <c r="U58" s="16" t="s">
        <v>4288</v>
      </c>
      <c r="V58" s="16" t="s">
        <v>57</v>
      </c>
      <c r="W58" s="16" t="s">
        <v>4576</v>
      </c>
      <c r="X58" s="16" t="s">
        <v>4577</v>
      </c>
      <c r="Y58" s="16" t="s">
        <v>57</v>
      </c>
      <c r="Z58" s="16" t="s">
        <v>4578</v>
      </c>
      <c r="AA58" s="16" t="s">
        <v>4579</v>
      </c>
      <c r="AB58" s="16">
        <v>5</v>
      </c>
      <c r="AC58" s="22">
        <v>46251</v>
      </c>
      <c r="AD58" s="16" t="s">
        <v>4289</v>
      </c>
      <c r="AE58" s="16" t="s">
        <v>57</v>
      </c>
      <c r="AF58" s="16" t="s">
        <v>4572</v>
      </c>
      <c r="AG58" s="16" t="s">
        <v>4573</v>
      </c>
      <c r="AH58" s="16" t="s">
        <v>57</v>
      </c>
      <c r="AI58" s="16" t="s">
        <v>4574</v>
      </c>
      <c r="AJ58" s="16" t="s">
        <v>4575</v>
      </c>
      <c r="AK58" s="16">
        <v>3</v>
      </c>
      <c r="AL58" s="22">
        <v>46251</v>
      </c>
      <c r="AM58" s="16"/>
      <c r="AN58" s="22"/>
      <c r="AO58" s="17" t="str">
        <f t="shared" si="3"/>
        <v>agree</v>
      </c>
      <c r="AP58" s="17" t="str">
        <f t="shared" si="4"/>
        <v>agree</v>
      </c>
      <c r="AQ58" s="28" t="s">
        <v>57</v>
      </c>
      <c r="AR58" s="28" t="s">
        <v>57</v>
      </c>
      <c r="AS58" s="28" t="s">
        <v>4937</v>
      </c>
      <c r="AT58" s="17" t="str">
        <f t="shared" si="5"/>
        <v>complete</v>
      </c>
    </row>
    <row r="59" spans="1:46">
      <c r="A59" s="15">
        <v>31</v>
      </c>
      <c r="B59" s="15" t="s">
        <v>42</v>
      </c>
      <c r="C59" s="15" t="s">
        <v>345</v>
      </c>
      <c r="D59" s="15" t="s">
        <v>70</v>
      </c>
      <c r="E59" s="15" t="s">
        <v>45</v>
      </c>
      <c r="F59" s="15">
        <v>1</v>
      </c>
      <c r="G59" s="15" t="s">
        <v>71</v>
      </c>
      <c r="H59" s="15" t="s">
        <v>47</v>
      </c>
      <c r="I59" s="15" t="s">
        <v>346</v>
      </c>
      <c r="J59" s="15" t="s">
        <v>347</v>
      </c>
      <c r="K59" s="15" t="s">
        <v>50</v>
      </c>
      <c r="L59" s="15" t="s">
        <v>51</v>
      </c>
      <c r="M59" s="15" t="s">
        <v>52</v>
      </c>
      <c r="N59" s="15" t="s">
        <v>52</v>
      </c>
      <c r="O59" s="15" t="s">
        <v>42</v>
      </c>
      <c r="P59" s="15" t="s">
        <v>42</v>
      </c>
      <c r="Q59" s="15" t="s">
        <v>74</v>
      </c>
      <c r="R59" s="15" t="s">
        <v>180</v>
      </c>
      <c r="S59" s="15" t="s">
        <v>181</v>
      </c>
      <c r="T59" s="15" t="s">
        <v>182</v>
      </c>
      <c r="U59" s="16" t="s">
        <v>4288</v>
      </c>
      <c r="V59" s="16" t="s">
        <v>57</v>
      </c>
      <c r="W59" s="16" t="s">
        <v>4614</v>
      </c>
      <c r="X59" s="16" t="s">
        <v>4637</v>
      </c>
      <c r="Y59" s="16" t="s">
        <v>57</v>
      </c>
      <c r="Z59" s="16" t="s">
        <v>4638</v>
      </c>
      <c r="AA59" s="16" t="s">
        <v>4639</v>
      </c>
      <c r="AB59" s="16">
        <v>4</v>
      </c>
      <c r="AC59" s="22">
        <v>46250</v>
      </c>
      <c r="AD59" s="16" t="s">
        <v>4289</v>
      </c>
      <c r="AE59" s="16" t="s">
        <v>57</v>
      </c>
      <c r="AF59" s="16" t="s">
        <v>4800</v>
      </c>
      <c r="AG59" s="16" t="s">
        <v>4815</v>
      </c>
      <c r="AH59" s="16" t="s">
        <v>52</v>
      </c>
      <c r="AI59" s="16" t="s">
        <v>4802</v>
      </c>
      <c r="AJ59" s="16" t="s">
        <v>4803</v>
      </c>
      <c r="AK59" s="16">
        <v>4</v>
      </c>
      <c r="AL59" s="22">
        <v>46250</v>
      </c>
      <c r="AM59" s="16"/>
      <c r="AN59" s="22"/>
      <c r="AO59" s="17" t="str">
        <f t="shared" si="3"/>
        <v>agree</v>
      </c>
      <c r="AP59" s="17" t="str">
        <f t="shared" si="4"/>
        <v>disagree</v>
      </c>
      <c r="AQ59" s="28" t="s">
        <v>57</v>
      </c>
      <c r="AR59" s="28" t="s">
        <v>52</v>
      </c>
      <c r="AS59" s="28" t="s">
        <v>4938</v>
      </c>
      <c r="AT59" s="17" t="str">
        <f t="shared" si="5"/>
        <v>complete</v>
      </c>
    </row>
    <row r="60" spans="1:46">
      <c r="A60" s="15">
        <v>31</v>
      </c>
      <c r="B60" s="15" t="s">
        <v>42</v>
      </c>
      <c r="C60" s="15" t="s">
        <v>345</v>
      </c>
      <c r="D60" s="15" t="s">
        <v>70</v>
      </c>
      <c r="E60" s="15" t="s">
        <v>45</v>
      </c>
      <c r="F60" s="15">
        <v>2</v>
      </c>
      <c r="G60" s="15" t="s">
        <v>78</v>
      </c>
      <c r="H60" s="15" t="s">
        <v>47</v>
      </c>
      <c r="I60" s="15" t="s">
        <v>348</v>
      </c>
      <c r="J60" s="15" t="s">
        <v>349</v>
      </c>
      <c r="K60" s="15" t="s">
        <v>50</v>
      </c>
      <c r="L60" s="15" t="s">
        <v>51</v>
      </c>
      <c r="M60" s="15" t="s">
        <v>52</v>
      </c>
      <c r="N60" s="15" t="s">
        <v>52</v>
      </c>
      <c r="O60" s="15" t="s">
        <v>42</v>
      </c>
      <c r="P60" s="15" t="s">
        <v>42</v>
      </c>
      <c r="Q60" s="15" t="s">
        <v>81</v>
      </c>
      <c r="R60" s="15" t="s">
        <v>180</v>
      </c>
      <c r="S60" s="15" t="s">
        <v>181</v>
      </c>
      <c r="T60" s="15" t="s">
        <v>182</v>
      </c>
      <c r="U60" s="16" t="s">
        <v>4288</v>
      </c>
      <c r="V60" s="16" t="s">
        <v>57</v>
      </c>
      <c r="W60" s="16" t="s">
        <v>4617</v>
      </c>
      <c r="X60" s="16" t="s">
        <v>4640</v>
      </c>
      <c r="Y60" s="16" t="s">
        <v>57</v>
      </c>
      <c r="Z60" s="16" t="s">
        <v>4641</v>
      </c>
      <c r="AA60" s="16" t="s">
        <v>4642</v>
      </c>
      <c r="AB60" s="16">
        <v>4</v>
      </c>
      <c r="AC60" s="22">
        <v>46250</v>
      </c>
      <c r="AD60" s="16" t="s">
        <v>4289</v>
      </c>
      <c r="AE60" s="16" t="s">
        <v>52</v>
      </c>
      <c r="AF60" s="16" t="s">
        <v>4804</v>
      </c>
      <c r="AG60" s="16" t="s">
        <v>4816</v>
      </c>
      <c r="AH60" s="16" t="s">
        <v>52</v>
      </c>
      <c r="AI60" s="16" t="s">
        <v>4802</v>
      </c>
      <c r="AJ60" s="16" t="s">
        <v>4803</v>
      </c>
      <c r="AK60" s="16">
        <v>4</v>
      </c>
      <c r="AL60" s="22">
        <v>46250</v>
      </c>
      <c r="AM60" s="16"/>
      <c r="AN60" s="22"/>
      <c r="AO60" s="17" t="str">
        <f t="shared" si="3"/>
        <v>disagree</v>
      </c>
      <c r="AP60" s="17" t="str">
        <f t="shared" si="4"/>
        <v>disagree</v>
      </c>
      <c r="AQ60" s="28" t="s">
        <v>52</v>
      </c>
      <c r="AR60" s="28" t="s">
        <v>52</v>
      </c>
      <c r="AS60" s="28" t="s">
        <v>4939</v>
      </c>
      <c r="AT60" s="17" t="str">
        <f t="shared" si="5"/>
        <v>complete</v>
      </c>
    </row>
    <row r="61" spans="1:46">
      <c r="A61" s="15">
        <v>32</v>
      </c>
      <c r="B61" s="15" t="s">
        <v>42</v>
      </c>
      <c r="C61" s="15" t="s">
        <v>350</v>
      </c>
      <c r="D61" s="15" t="s">
        <v>351</v>
      </c>
      <c r="E61" s="15" t="s">
        <v>45</v>
      </c>
      <c r="F61" s="15">
        <v>1</v>
      </c>
      <c r="G61" s="15" t="s">
        <v>352</v>
      </c>
      <c r="H61" s="15" t="s">
        <v>47</v>
      </c>
      <c r="I61" s="15" t="s">
        <v>353</v>
      </c>
      <c r="J61" s="15" t="s">
        <v>354</v>
      </c>
      <c r="K61" s="15" t="s">
        <v>50</v>
      </c>
      <c r="L61" s="15" t="s">
        <v>51</v>
      </c>
      <c r="M61" s="15" t="s">
        <v>52</v>
      </c>
      <c r="N61" s="15" t="s">
        <v>52</v>
      </c>
      <c r="O61" s="15" t="s">
        <v>42</v>
      </c>
      <c r="P61" s="15" t="s">
        <v>88</v>
      </c>
      <c r="Q61" s="15" t="s">
        <v>355</v>
      </c>
      <c r="R61" s="15" t="s">
        <v>356</v>
      </c>
      <c r="S61" s="15" t="s">
        <v>357</v>
      </c>
      <c r="T61" s="15" t="s">
        <v>358</v>
      </c>
      <c r="U61" s="16" t="s">
        <v>4288</v>
      </c>
      <c r="V61" s="16" t="s">
        <v>57</v>
      </c>
      <c r="W61" s="16" t="s">
        <v>4643</v>
      </c>
      <c r="X61" s="16" t="s">
        <v>4644</v>
      </c>
      <c r="Y61" s="16" t="s">
        <v>57</v>
      </c>
      <c r="Z61" s="16" t="s">
        <v>4755</v>
      </c>
      <c r="AA61" s="16" t="s">
        <v>4645</v>
      </c>
      <c r="AB61" s="16">
        <v>4</v>
      </c>
      <c r="AC61" s="22">
        <v>46250</v>
      </c>
      <c r="AD61" s="16" t="s">
        <v>4289</v>
      </c>
      <c r="AE61" s="16" t="s">
        <v>57</v>
      </c>
      <c r="AF61" s="16" t="s">
        <v>4817</v>
      </c>
      <c r="AG61" s="16" t="s">
        <v>4818</v>
      </c>
      <c r="AH61" s="16" t="s">
        <v>52</v>
      </c>
      <c r="AI61" s="16" t="s">
        <v>4819</v>
      </c>
      <c r="AJ61" s="16" t="s">
        <v>4820</v>
      </c>
      <c r="AK61" s="16">
        <v>4</v>
      </c>
      <c r="AL61" s="22">
        <v>46250</v>
      </c>
      <c r="AM61" s="16"/>
      <c r="AN61" s="22"/>
      <c r="AO61" s="17" t="str">
        <f t="shared" si="3"/>
        <v>agree</v>
      </c>
      <c r="AP61" s="17" t="str">
        <f t="shared" si="4"/>
        <v>disagree</v>
      </c>
      <c r="AQ61" s="28" t="s">
        <v>57</v>
      </c>
      <c r="AR61" s="28" t="s">
        <v>52</v>
      </c>
      <c r="AS61" s="28" t="s">
        <v>4940</v>
      </c>
      <c r="AT61" s="17" t="str">
        <f t="shared" si="5"/>
        <v>complete</v>
      </c>
    </row>
    <row r="62" spans="1:46">
      <c r="A62" s="15">
        <v>32</v>
      </c>
      <c r="B62" s="15" t="s">
        <v>42</v>
      </c>
      <c r="C62" s="15" t="s">
        <v>350</v>
      </c>
      <c r="D62" s="15" t="s">
        <v>351</v>
      </c>
      <c r="E62" s="15" t="s">
        <v>45</v>
      </c>
      <c r="F62" s="15">
        <v>2</v>
      </c>
      <c r="G62" s="15" t="s">
        <v>359</v>
      </c>
      <c r="H62" s="15" t="s">
        <v>47</v>
      </c>
      <c r="I62" s="15" t="s">
        <v>360</v>
      </c>
      <c r="J62" s="15" t="s">
        <v>361</v>
      </c>
      <c r="K62" s="15" t="s">
        <v>50</v>
      </c>
      <c r="L62" s="15" t="s">
        <v>51</v>
      </c>
      <c r="M62" s="15" t="s">
        <v>52</v>
      </c>
      <c r="N62" s="15" t="s">
        <v>52</v>
      </c>
      <c r="O62" s="15" t="s">
        <v>42</v>
      </c>
      <c r="P62" s="15" t="s">
        <v>88</v>
      </c>
      <c r="Q62" s="15" t="s">
        <v>362</v>
      </c>
      <c r="R62" s="15" t="s">
        <v>356</v>
      </c>
      <c r="S62" s="15" t="s">
        <v>357</v>
      </c>
      <c r="T62" s="15" t="s">
        <v>358</v>
      </c>
      <c r="U62" s="16" t="s">
        <v>4288</v>
      </c>
      <c r="V62" s="16" t="s">
        <v>57</v>
      </c>
      <c r="W62" s="16" t="s">
        <v>4646</v>
      </c>
      <c r="X62" s="16" t="s">
        <v>4647</v>
      </c>
      <c r="Y62" s="16" t="s">
        <v>57</v>
      </c>
      <c r="Z62" s="16" t="s">
        <v>4648</v>
      </c>
      <c r="AA62" s="16" t="s">
        <v>4649</v>
      </c>
      <c r="AB62" s="16">
        <v>4</v>
      </c>
      <c r="AC62" s="22">
        <v>46250</v>
      </c>
      <c r="AD62" s="16" t="s">
        <v>4289</v>
      </c>
      <c r="AE62" s="16" t="s">
        <v>57</v>
      </c>
      <c r="AF62" s="16" t="s">
        <v>4821</v>
      </c>
      <c r="AG62" s="16" t="s">
        <v>4822</v>
      </c>
      <c r="AH62" s="16" t="s">
        <v>52</v>
      </c>
      <c r="AI62" s="16" t="s">
        <v>4819</v>
      </c>
      <c r="AJ62" s="16" t="s">
        <v>4820</v>
      </c>
      <c r="AK62" s="16">
        <v>4</v>
      </c>
      <c r="AL62" s="22">
        <v>46250</v>
      </c>
      <c r="AM62" s="16"/>
      <c r="AN62" s="22"/>
      <c r="AO62" s="17" t="str">
        <f t="shared" si="3"/>
        <v>agree</v>
      </c>
      <c r="AP62" s="17" t="str">
        <f t="shared" si="4"/>
        <v>disagree</v>
      </c>
      <c r="AQ62" s="28" t="s">
        <v>57</v>
      </c>
      <c r="AR62" s="28" t="s">
        <v>52</v>
      </c>
      <c r="AS62" s="28" t="s">
        <v>4941</v>
      </c>
      <c r="AT62" s="17" t="str">
        <f t="shared" si="5"/>
        <v>complete</v>
      </c>
    </row>
    <row r="63" spans="1:46">
      <c r="A63" s="15">
        <v>32</v>
      </c>
      <c r="B63" s="15" t="s">
        <v>42</v>
      </c>
      <c r="C63" s="15" t="s">
        <v>350</v>
      </c>
      <c r="D63" s="15" t="s">
        <v>351</v>
      </c>
      <c r="E63" s="15" t="s">
        <v>45</v>
      </c>
      <c r="F63" s="15">
        <v>3</v>
      </c>
      <c r="G63" s="15" t="s">
        <v>363</v>
      </c>
      <c r="H63" s="15" t="s">
        <v>47</v>
      </c>
      <c r="I63" s="15" t="s">
        <v>364</v>
      </c>
      <c r="J63" s="15" t="s">
        <v>365</v>
      </c>
      <c r="K63" s="15" t="s">
        <v>50</v>
      </c>
      <c r="L63" s="15" t="s">
        <v>51</v>
      </c>
      <c r="M63" s="15" t="s">
        <v>52</v>
      </c>
      <c r="N63" s="15" t="s">
        <v>52</v>
      </c>
      <c r="O63" s="15" t="s">
        <v>42</v>
      </c>
      <c r="P63" s="15" t="s">
        <v>88</v>
      </c>
      <c r="Q63" s="15" t="s">
        <v>344</v>
      </c>
      <c r="R63" s="15" t="s">
        <v>356</v>
      </c>
      <c r="S63" s="15" t="s">
        <v>357</v>
      </c>
      <c r="T63" s="15" t="s">
        <v>358</v>
      </c>
      <c r="U63" s="16" t="s">
        <v>4288</v>
      </c>
      <c r="V63" s="16" t="s">
        <v>57</v>
      </c>
      <c r="W63" s="16" t="s">
        <v>4650</v>
      </c>
      <c r="X63" s="16" t="s">
        <v>4651</v>
      </c>
      <c r="Y63" s="16" t="s">
        <v>57</v>
      </c>
      <c r="Z63" s="16" t="s">
        <v>4652</v>
      </c>
      <c r="AA63" s="16" t="s">
        <v>4653</v>
      </c>
      <c r="AB63" s="16">
        <v>4</v>
      </c>
      <c r="AC63" s="22">
        <v>46250</v>
      </c>
      <c r="AD63" s="16" t="s">
        <v>4289</v>
      </c>
      <c r="AE63" s="16" t="s">
        <v>57</v>
      </c>
      <c r="AF63" s="16" t="s">
        <v>4823</v>
      </c>
      <c r="AG63" s="16" t="s">
        <v>4824</v>
      </c>
      <c r="AH63" s="16" t="s">
        <v>52</v>
      </c>
      <c r="AI63" s="16" t="s">
        <v>4819</v>
      </c>
      <c r="AJ63" s="16" t="s">
        <v>4820</v>
      </c>
      <c r="AK63" s="16">
        <v>4</v>
      </c>
      <c r="AL63" s="22">
        <v>46250</v>
      </c>
      <c r="AM63" s="16"/>
      <c r="AN63" s="22"/>
      <c r="AO63" s="17" t="str">
        <f t="shared" si="3"/>
        <v>agree</v>
      </c>
      <c r="AP63" s="17" t="str">
        <f t="shared" si="4"/>
        <v>disagree</v>
      </c>
      <c r="AQ63" s="28" t="s">
        <v>57</v>
      </c>
      <c r="AR63" s="28" t="s">
        <v>52</v>
      </c>
      <c r="AS63" s="28" t="s">
        <v>4942</v>
      </c>
      <c r="AT63" s="17" t="str">
        <f t="shared" si="5"/>
        <v>complete</v>
      </c>
    </row>
    <row r="64" spans="1:46">
      <c r="A64" s="15">
        <v>32</v>
      </c>
      <c r="B64" s="15" t="s">
        <v>42</v>
      </c>
      <c r="C64" s="15" t="s">
        <v>350</v>
      </c>
      <c r="D64" s="15" t="s">
        <v>351</v>
      </c>
      <c r="E64" s="15" t="s">
        <v>45</v>
      </c>
      <c r="F64" s="15">
        <v>4</v>
      </c>
      <c r="G64" s="15" t="s">
        <v>130</v>
      </c>
      <c r="H64" s="15" t="s">
        <v>47</v>
      </c>
      <c r="I64" s="15" t="s">
        <v>366</v>
      </c>
      <c r="J64" s="15" t="s">
        <v>367</v>
      </c>
      <c r="K64" s="15" t="s">
        <v>50</v>
      </c>
      <c r="L64" s="15" t="s">
        <v>51</v>
      </c>
      <c r="M64" s="15" t="s">
        <v>52</v>
      </c>
      <c r="N64" s="15" t="s">
        <v>52</v>
      </c>
      <c r="O64" s="15" t="s">
        <v>42</v>
      </c>
      <c r="P64" s="15" t="s">
        <v>42</v>
      </c>
      <c r="Q64" s="15" t="s">
        <v>53</v>
      </c>
      <c r="R64" s="15" t="s">
        <v>356</v>
      </c>
      <c r="S64" s="15" t="s">
        <v>357</v>
      </c>
      <c r="T64" s="15" t="s">
        <v>358</v>
      </c>
      <c r="U64" s="16" t="s">
        <v>4288</v>
      </c>
      <c r="V64" s="16" t="s">
        <v>52</v>
      </c>
      <c r="W64" s="16" t="s">
        <v>4602</v>
      </c>
      <c r="X64" s="16" t="s">
        <v>4654</v>
      </c>
      <c r="Y64" s="16" t="s">
        <v>52</v>
      </c>
      <c r="Z64" s="16" t="s">
        <v>4655</v>
      </c>
      <c r="AA64" s="16" t="s">
        <v>4656</v>
      </c>
      <c r="AB64" s="16">
        <v>5</v>
      </c>
      <c r="AC64" s="22">
        <v>46250</v>
      </c>
      <c r="AD64" s="16" t="s">
        <v>4289</v>
      </c>
      <c r="AE64" s="16" t="s">
        <v>52</v>
      </c>
      <c r="AF64" s="16" t="s">
        <v>4778</v>
      </c>
      <c r="AG64" s="16" t="s">
        <v>4825</v>
      </c>
      <c r="AH64" s="16" t="s">
        <v>52</v>
      </c>
      <c r="AI64" s="16" t="s">
        <v>4819</v>
      </c>
      <c r="AJ64" s="16" t="s">
        <v>4820</v>
      </c>
      <c r="AK64" s="16">
        <v>5</v>
      </c>
      <c r="AL64" s="22">
        <v>46250</v>
      </c>
      <c r="AM64" s="16"/>
      <c r="AN64" s="22"/>
      <c r="AO64" s="17" t="str">
        <f t="shared" si="3"/>
        <v>agree</v>
      </c>
      <c r="AP64" s="17" t="str">
        <f t="shared" si="4"/>
        <v>agree</v>
      </c>
      <c r="AQ64" s="28" t="s">
        <v>52</v>
      </c>
      <c r="AR64" s="28" t="s">
        <v>52</v>
      </c>
      <c r="AS64" s="28" t="s">
        <v>4943</v>
      </c>
      <c r="AT64" s="17" t="str">
        <f t="shared" si="5"/>
        <v>complete</v>
      </c>
    </row>
    <row r="65" spans="1:46">
      <c r="A65" s="15">
        <v>33</v>
      </c>
      <c r="B65" s="15" t="s">
        <v>42</v>
      </c>
      <c r="C65" s="15" t="s">
        <v>368</v>
      </c>
      <c r="D65" s="15" t="s">
        <v>59</v>
      </c>
      <c r="E65" s="15" t="s">
        <v>60</v>
      </c>
      <c r="F65" s="15">
        <v>1</v>
      </c>
      <c r="G65" s="15" t="s">
        <v>61</v>
      </c>
      <c r="H65" s="15" t="s">
        <v>47</v>
      </c>
      <c r="I65" s="15" t="s">
        <v>369</v>
      </c>
      <c r="J65" s="15" t="s">
        <v>370</v>
      </c>
      <c r="K65" s="15" t="s">
        <v>50</v>
      </c>
      <c r="L65" s="15" t="s">
        <v>64</v>
      </c>
      <c r="M65" s="15" t="s">
        <v>52</v>
      </c>
      <c r="N65" s="15" t="s">
        <v>42</v>
      </c>
      <c r="O65" s="15" t="s">
        <v>42</v>
      </c>
      <c r="P65" s="15" t="s">
        <v>42</v>
      </c>
      <c r="Q65" s="15" t="s">
        <v>65</v>
      </c>
      <c r="R65" s="15" t="s">
        <v>371</v>
      </c>
      <c r="S65" s="15" t="s">
        <v>372</v>
      </c>
      <c r="T65" s="15" t="s">
        <v>373</v>
      </c>
      <c r="U65" s="16" t="s">
        <v>4288</v>
      </c>
      <c r="V65" s="16" t="s">
        <v>42</v>
      </c>
      <c r="W65" s="16" t="s">
        <v>4657</v>
      </c>
      <c r="X65" s="16" t="s">
        <v>4658</v>
      </c>
      <c r="Y65" s="16" t="s">
        <v>57</v>
      </c>
      <c r="Z65" s="16" t="s">
        <v>4756</v>
      </c>
      <c r="AA65" s="16" t="s">
        <v>4659</v>
      </c>
      <c r="AB65" s="16">
        <v>5</v>
      </c>
      <c r="AC65" s="22">
        <v>46250</v>
      </c>
      <c r="AD65" s="16" t="s">
        <v>4289</v>
      </c>
      <c r="AE65" s="16" t="s">
        <v>42</v>
      </c>
      <c r="AF65" s="16" t="s">
        <v>4774</v>
      </c>
      <c r="AG65" s="16" t="s">
        <v>4775</v>
      </c>
      <c r="AH65" s="16" t="s">
        <v>52</v>
      </c>
      <c r="AI65" s="16" t="s">
        <v>4826</v>
      </c>
      <c r="AJ65" s="16" t="s">
        <v>4827</v>
      </c>
      <c r="AK65" s="16">
        <v>4</v>
      </c>
      <c r="AL65" s="22">
        <v>46250</v>
      </c>
      <c r="AM65" s="16"/>
      <c r="AN65" s="22"/>
      <c r="AO65" s="17" t="str">
        <f t="shared" si="3"/>
        <v>agree</v>
      </c>
      <c r="AP65" s="17" t="str">
        <f t="shared" si="4"/>
        <v>disagree</v>
      </c>
      <c r="AQ65" s="28" t="s">
        <v>42</v>
      </c>
      <c r="AR65" s="28" t="s">
        <v>52</v>
      </c>
      <c r="AS65" s="28" t="s">
        <v>4944</v>
      </c>
      <c r="AT65" s="17" t="str">
        <f t="shared" si="5"/>
        <v>complete</v>
      </c>
    </row>
    <row r="66" spans="1:46">
      <c r="A66" s="15">
        <v>33</v>
      </c>
      <c r="B66" s="15" t="s">
        <v>42</v>
      </c>
      <c r="C66" s="15" t="s">
        <v>368</v>
      </c>
      <c r="D66" s="15" t="s">
        <v>59</v>
      </c>
      <c r="E66" s="15" t="s">
        <v>60</v>
      </c>
      <c r="F66" s="15">
        <v>2</v>
      </c>
      <c r="G66" s="15" t="s">
        <v>130</v>
      </c>
      <c r="H66" s="15" t="s">
        <v>47</v>
      </c>
      <c r="I66" s="15" t="s">
        <v>374</v>
      </c>
      <c r="J66" s="15" t="s">
        <v>375</v>
      </c>
      <c r="K66" s="15" t="s">
        <v>50</v>
      </c>
      <c r="L66" s="15" t="s">
        <v>51</v>
      </c>
      <c r="M66" s="15" t="s">
        <v>52</v>
      </c>
      <c r="N66" s="15" t="s">
        <v>52</v>
      </c>
      <c r="O66" s="15" t="s">
        <v>42</v>
      </c>
      <c r="P66" s="15" t="s">
        <v>42</v>
      </c>
      <c r="Q66" s="15" t="s">
        <v>53</v>
      </c>
      <c r="R66" s="15" t="s">
        <v>371</v>
      </c>
      <c r="S66" s="15" t="s">
        <v>372</v>
      </c>
      <c r="T66" s="15" t="s">
        <v>373</v>
      </c>
      <c r="U66" s="16" t="s">
        <v>4288</v>
      </c>
      <c r="V66" s="16" t="s">
        <v>57</v>
      </c>
      <c r="W66" s="16" t="s">
        <v>4602</v>
      </c>
      <c r="X66" s="16" t="s">
        <v>4660</v>
      </c>
      <c r="Y66" s="16" t="s">
        <v>57</v>
      </c>
      <c r="Z66" s="16" t="s">
        <v>4661</v>
      </c>
      <c r="AA66" s="16" t="s">
        <v>4662</v>
      </c>
      <c r="AB66" s="16">
        <v>4</v>
      </c>
      <c r="AC66" s="22">
        <v>46250</v>
      </c>
      <c r="AD66" s="16" t="s">
        <v>4289</v>
      </c>
      <c r="AE66" s="16" t="s">
        <v>57</v>
      </c>
      <c r="AF66" s="16" t="s">
        <v>4778</v>
      </c>
      <c r="AG66" s="16" t="s">
        <v>4828</v>
      </c>
      <c r="AH66" s="16" t="s">
        <v>52</v>
      </c>
      <c r="AI66" s="16" t="s">
        <v>4826</v>
      </c>
      <c r="AJ66" s="16" t="s">
        <v>4827</v>
      </c>
      <c r="AK66" s="16">
        <v>4</v>
      </c>
      <c r="AL66" s="22">
        <v>46250</v>
      </c>
      <c r="AM66" s="16"/>
      <c r="AN66" s="22"/>
      <c r="AO66" s="17" t="str">
        <f t="shared" ref="AO66:AO97" si="6">IF(OR(V66="",AE66=""),"",IF(V66=AE66,"agree","disagree"))</f>
        <v>agree</v>
      </c>
      <c r="AP66" s="17" t="str">
        <f t="shared" ref="AP66:AP97" si="7">IF(OR(Y66="",AH66=""),"",IF(Y66=AH66,"agree","disagree"))</f>
        <v>disagree</v>
      </c>
      <c r="AQ66" s="28" t="s">
        <v>57</v>
      </c>
      <c r="AR66" s="28" t="s">
        <v>52</v>
      </c>
      <c r="AS66" s="28" t="s">
        <v>4945</v>
      </c>
      <c r="AT66" s="17" t="str">
        <f t="shared" ref="AT66:AT97" si="8">IF(B66="no","not sampled",IF(AND(V66&lt;&gt;"",Y66&lt;&gt;""),"complete","pending"))</f>
        <v>complete</v>
      </c>
    </row>
    <row r="67" spans="1:46">
      <c r="A67" s="15">
        <v>34</v>
      </c>
      <c r="B67" s="15" t="s">
        <v>42</v>
      </c>
      <c r="C67" s="15" t="s">
        <v>376</v>
      </c>
      <c r="D67" s="15" t="s">
        <v>377</v>
      </c>
      <c r="E67" s="15" t="s">
        <v>60</v>
      </c>
      <c r="F67" s="15">
        <v>1</v>
      </c>
      <c r="G67" s="15" t="s">
        <v>113</v>
      </c>
      <c r="H67" s="15" t="s">
        <v>47</v>
      </c>
      <c r="I67" s="15" t="s">
        <v>378</v>
      </c>
      <c r="J67" s="15" t="s">
        <v>379</v>
      </c>
      <c r="K67" s="15" t="s">
        <v>50</v>
      </c>
      <c r="L67" s="15" t="s">
        <v>64</v>
      </c>
      <c r="M67" s="15" t="s">
        <v>52</v>
      </c>
      <c r="N67" s="15" t="s">
        <v>42</v>
      </c>
      <c r="O67" s="15" t="s">
        <v>42</v>
      </c>
      <c r="P67" s="15" t="s">
        <v>42</v>
      </c>
      <c r="Q67" s="15" t="s">
        <v>65</v>
      </c>
      <c r="R67" s="15" t="s">
        <v>380</v>
      </c>
      <c r="S67" s="15" t="s">
        <v>381</v>
      </c>
      <c r="T67" s="15" t="s">
        <v>382</v>
      </c>
      <c r="U67" s="16" t="s">
        <v>4288</v>
      </c>
      <c r="V67" s="16" t="s">
        <v>42</v>
      </c>
      <c r="W67" s="16" t="s">
        <v>4591</v>
      </c>
      <c r="X67" s="16" t="s">
        <v>4663</v>
      </c>
      <c r="Y67" s="16" t="s">
        <v>57</v>
      </c>
      <c r="Z67" s="16" t="s">
        <v>4757</v>
      </c>
      <c r="AA67" s="16" t="s">
        <v>4664</v>
      </c>
      <c r="AB67" s="16">
        <v>5</v>
      </c>
      <c r="AC67" s="22">
        <v>46250</v>
      </c>
      <c r="AD67" s="16" t="s">
        <v>4289</v>
      </c>
      <c r="AE67" s="16" t="s">
        <v>42</v>
      </c>
      <c r="AF67" s="16" t="s">
        <v>4774</v>
      </c>
      <c r="AG67" s="16" t="s">
        <v>4775</v>
      </c>
      <c r="AH67" s="16" t="s">
        <v>52</v>
      </c>
      <c r="AI67" s="16" t="s">
        <v>4829</v>
      </c>
      <c r="AJ67" s="16" t="s">
        <v>4830</v>
      </c>
      <c r="AK67" s="16">
        <v>4</v>
      </c>
      <c r="AL67" s="22">
        <v>46250</v>
      </c>
      <c r="AM67" s="16"/>
      <c r="AN67" s="22"/>
      <c r="AO67" s="17" t="str">
        <f t="shared" si="6"/>
        <v>agree</v>
      </c>
      <c r="AP67" s="17" t="str">
        <f t="shared" si="7"/>
        <v>disagree</v>
      </c>
      <c r="AQ67" s="28" t="s">
        <v>42</v>
      </c>
      <c r="AR67" s="28" t="s">
        <v>52</v>
      </c>
      <c r="AS67" s="28" t="s">
        <v>4946</v>
      </c>
      <c r="AT67" s="17" t="str">
        <f t="shared" si="8"/>
        <v>complete</v>
      </c>
    </row>
    <row r="68" spans="1:46">
      <c r="A68" s="15">
        <v>35</v>
      </c>
      <c r="B68" s="15" t="s">
        <v>42</v>
      </c>
      <c r="C68" s="15" t="s">
        <v>383</v>
      </c>
      <c r="D68" s="15" t="s">
        <v>326</v>
      </c>
      <c r="E68" s="15" t="s">
        <v>60</v>
      </c>
      <c r="F68" s="15">
        <v>1</v>
      </c>
      <c r="G68" s="15" t="s">
        <v>384</v>
      </c>
      <c r="H68" s="15" t="s">
        <v>47</v>
      </c>
      <c r="I68" s="15" t="s">
        <v>385</v>
      </c>
      <c r="J68" s="15" t="s">
        <v>386</v>
      </c>
      <c r="K68" s="15" t="s">
        <v>50</v>
      </c>
      <c r="L68" s="15" t="s">
        <v>51</v>
      </c>
      <c r="M68" s="15" t="s">
        <v>52</v>
      </c>
      <c r="N68" s="15" t="s">
        <v>52</v>
      </c>
      <c r="O68" s="15" t="s">
        <v>42</v>
      </c>
      <c r="P68" s="15" t="s">
        <v>42</v>
      </c>
      <c r="Q68" s="15" t="s">
        <v>387</v>
      </c>
      <c r="R68" s="15" t="s">
        <v>388</v>
      </c>
      <c r="S68" s="15" t="s">
        <v>330</v>
      </c>
      <c r="T68" s="15" t="s">
        <v>331</v>
      </c>
      <c r="U68" s="16" t="s">
        <v>4288</v>
      </c>
      <c r="V68" s="16" t="s">
        <v>42</v>
      </c>
      <c r="W68" s="16" t="s">
        <v>4665</v>
      </c>
      <c r="X68" s="16" t="s">
        <v>4666</v>
      </c>
      <c r="Y68" s="16" t="s">
        <v>57</v>
      </c>
      <c r="Z68" s="16" t="s">
        <v>4758</v>
      </c>
      <c r="AA68" s="16" t="s">
        <v>4667</v>
      </c>
      <c r="AB68" s="16">
        <v>4</v>
      </c>
      <c r="AC68" s="22">
        <v>46250</v>
      </c>
      <c r="AD68" s="16" t="s">
        <v>4289</v>
      </c>
      <c r="AE68" s="16" t="s">
        <v>57</v>
      </c>
      <c r="AF68" s="16" t="s">
        <v>4831</v>
      </c>
      <c r="AG68" s="16" t="s">
        <v>4832</v>
      </c>
      <c r="AH68" s="16" t="s">
        <v>52</v>
      </c>
      <c r="AI68" s="16" t="s">
        <v>4811</v>
      </c>
      <c r="AJ68" s="16" t="s">
        <v>4833</v>
      </c>
      <c r="AK68" s="16">
        <v>4</v>
      </c>
      <c r="AL68" s="22">
        <v>46250</v>
      </c>
      <c r="AM68" s="16"/>
      <c r="AN68" s="22"/>
      <c r="AO68" s="17" t="str">
        <f t="shared" si="6"/>
        <v>disagree</v>
      </c>
      <c r="AP68" s="17" t="str">
        <f t="shared" si="7"/>
        <v>disagree</v>
      </c>
      <c r="AQ68" s="28" t="s">
        <v>42</v>
      </c>
      <c r="AR68" s="28" t="s">
        <v>42</v>
      </c>
      <c r="AS68" s="28" t="s">
        <v>4947</v>
      </c>
      <c r="AT68" s="17" t="str">
        <f t="shared" si="8"/>
        <v>complete</v>
      </c>
    </row>
    <row r="69" spans="1:46">
      <c r="A69" s="15">
        <v>35</v>
      </c>
      <c r="B69" s="15" t="s">
        <v>42</v>
      </c>
      <c r="C69" s="15" t="s">
        <v>383</v>
      </c>
      <c r="D69" s="15" t="s">
        <v>326</v>
      </c>
      <c r="E69" s="15" t="s">
        <v>60</v>
      </c>
      <c r="F69" s="15">
        <v>2</v>
      </c>
      <c r="G69" s="15" t="s">
        <v>389</v>
      </c>
      <c r="H69" s="15" t="s">
        <v>47</v>
      </c>
      <c r="I69" s="15" t="s">
        <v>390</v>
      </c>
      <c r="J69" s="15" t="s">
        <v>391</v>
      </c>
      <c r="K69" s="15" t="s">
        <v>87</v>
      </c>
      <c r="L69" s="15" t="s">
        <v>51</v>
      </c>
      <c r="M69" s="15" t="s">
        <v>52</v>
      </c>
      <c r="N69" s="15" t="s">
        <v>52</v>
      </c>
      <c r="O69" s="15" t="s">
        <v>42</v>
      </c>
      <c r="P69" s="15" t="s">
        <v>88</v>
      </c>
      <c r="Q69" s="15" t="s">
        <v>392</v>
      </c>
      <c r="R69" s="15" t="s">
        <v>388</v>
      </c>
      <c r="S69" s="15" t="s">
        <v>330</v>
      </c>
      <c r="T69" s="15" t="s">
        <v>331</v>
      </c>
      <c r="U69" s="16" t="s">
        <v>4288</v>
      </c>
      <c r="V69" s="16" t="s">
        <v>42</v>
      </c>
      <c r="W69" s="16" t="s">
        <v>4668</v>
      </c>
      <c r="X69" s="16" t="s">
        <v>4669</v>
      </c>
      <c r="Y69" s="16" t="s">
        <v>57</v>
      </c>
      <c r="Z69" s="16" t="s">
        <v>4759</v>
      </c>
      <c r="AA69" s="16" t="s">
        <v>4670</v>
      </c>
      <c r="AB69" s="16">
        <v>4</v>
      </c>
      <c r="AC69" s="22">
        <v>46250</v>
      </c>
      <c r="AD69" s="16" t="s">
        <v>4289</v>
      </c>
      <c r="AE69" s="16" t="s">
        <v>57</v>
      </c>
      <c r="AF69" s="16" t="s">
        <v>4834</v>
      </c>
      <c r="AG69" s="16" t="s">
        <v>4835</v>
      </c>
      <c r="AH69" s="16" t="s">
        <v>52</v>
      </c>
      <c r="AI69" s="16" t="s">
        <v>4811</v>
      </c>
      <c r="AJ69" s="16" t="s">
        <v>4833</v>
      </c>
      <c r="AK69" s="16">
        <v>3</v>
      </c>
      <c r="AL69" s="22">
        <v>46250</v>
      </c>
      <c r="AM69" s="16"/>
      <c r="AN69" s="22"/>
      <c r="AO69" s="17" t="str">
        <f t="shared" si="6"/>
        <v>disagree</v>
      </c>
      <c r="AP69" s="17" t="str">
        <f t="shared" si="7"/>
        <v>disagree</v>
      </c>
      <c r="AQ69" s="28" t="s">
        <v>57</v>
      </c>
      <c r="AR69" s="28" t="s">
        <v>42</v>
      </c>
      <c r="AS69" s="28" t="s">
        <v>4948</v>
      </c>
      <c r="AT69" s="17" t="str">
        <f t="shared" si="8"/>
        <v>complete</v>
      </c>
    </row>
    <row r="70" spans="1:46">
      <c r="A70" s="15">
        <v>35</v>
      </c>
      <c r="B70" s="15" t="s">
        <v>42</v>
      </c>
      <c r="C70" s="15" t="s">
        <v>383</v>
      </c>
      <c r="D70" s="15" t="s">
        <v>326</v>
      </c>
      <c r="E70" s="15" t="s">
        <v>60</v>
      </c>
      <c r="F70" s="15">
        <v>3</v>
      </c>
      <c r="G70" s="15" t="s">
        <v>130</v>
      </c>
      <c r="H70" s="15" t="s">
        <v>47</v>
      </c>
      <c r="I70" s="15" t="s">
        <v>393</v>
      </c>
      <c r="J70" s="15" t="s">
        <v>394</v>
      </c>
      <c r="K70" s="15" t="s">
        <v>50</v>
      </c>
      <c r="L70" s="15" t="s">
        <v>302</v>
      </c>
      <c r="M70" s="15" t="s">
        <v>52</v>
      </c>
      <c r="N70" s="15" t="s">
        <v>52</v>
      </c>
      <c r="O70" s="15" t="s">
        <v>42</v>
      </c>
      <c r="P70" s="15" t="s">
        <v>42</v>
      </c>
      <c r="Q70" s="15" t="s">
        <v>53</v>
      </c>
      <c r="R70" s="15" t="s">
        <v>388</v>
      </c>
      <c r="S70" s="15" t="s">
        <v>330</v>
      </c>
      <c r="T70" s="15" t="s">
        <v>331</v>
      </c>
      <c r="U70" s="16" t="s">
        <v>4288</v>
      </c>
      <c r="V70" s="16" t="s">
        <v>57</v>
      </c>
      <c r="W70" s="16" t="s">
        <v>4602</v>
      </c>
      <c r="X70" s="16" t="s">
        <v>4671</v>
      </c>
      <c r="Y70" s="16" t="s">
        <v>57</v>
      </c>
      <c r="Z70" s="16" t="s">
        <v>4672</v>
      </c>
      <c r="AA70" s="16" t="s">
        <v>4673</v>
      </c>
      <c r="AB70" s="16">
        <v>4</v>
      </c>
      <c r="AC70" s="22">
        <v>46250</v>
      </c>
      <c r="AD70" s="16" t="s">
        <v>4289</v>
      </c>
      <c r="AE70" s="16" t="s">
        <v>57</v>
      </c>
      <c r="AF70" s="16" t="s">
        <v>4778</v>
      </c>
      <c r="AG70" s="16" t="s">
        <v>4836</v>
      </c>
      <c r="AH70" s="16" t="s">
        <v>52</v>
      </c>
      <c r="AI70" s="16" t="s">
        <v>4811</v>
      </c>
      <c r="AJ70" s="16" t="s">
        <v>4833</v>
      </c>
      <c r="AK70" s="16">
        <v>4</v>
      </c>
      <c r="AL70" s="22">
        <v>46250</v>
      </c>
      <c r="AM70" s="16"/>
      <c r="AN70" s="22"/>
      <c r="AO70" s="17" t="str">
        <f t="shared" si="6"/>
        <v>agree</v>
      </c>
      <c r="AP70" s="17" t="str">
        <f t="shared" si="7"/>
        <v>disagree</v>
      </c>
      <c r="AQ70" s="28" t="s">
        <v>57</v>
      </c>
      <c r="AR70" s="28" t="s">
        <v>52</v>
      </c>
      <c r="AS70" s="28" t="s">
        <v>4949</v>
      </c>
      <c r="AT70" s="17" t="str">
        <f t="shared" si="8"/>
        <v>complete</v>
      </c>
    </row>
    <row r="71" spans="1:46">
      <c r="A71" s="15">
        <v>36</v>
      </c>
      <c r="B71" s="15" t="s">
        <v>42</v>
      </c>
      <c r="C71" s="15" t="s">
        <v>395</v>
      </c>
      <c r="D71" s="15" t="s">
        <v>59</v>
      </c>
      <c r="E71" s="15" t="s">
        <v>60</v>
      </c>
      <c r="F71" s="15">
        <v>1</v>
      </c>
      <c r="G71" s="15" t="s">
        <v>113</v>
      </c>
      <c r="H71" s="15" t="s">
        <v>47</v>
      </c>
      <c r="I71" s="15" t="s">
        <v>144</v>
      </c>
      <c r="J71" s="15" t="s">
        <v>396</v>
      </c>
      <c r="K71" s="15" t="s">
        <v>50</v>
      </c>
      <c r="L71" s="15" t="s">
        <v>64</v>
      </c>
      <c r="M71" s="15" t="s">
        <v>52</v>
      </c>
      <c r="N71" s="15" t="s">
        <v>42</v>
      </c>
      <c r="O71" s="15" t="s">
        <v>42</v>
      </c>
      <c r="P71" s="15" t="s">
        <v>42</v>
      </c>
      <c r="Q71" s="15" t="s">
        <v>65</v>
      </c>
      <c r="R71" s="15" t="s">
        <v>397</v>
      </c>
      <c r="S71" s="15" t="s">
        <v>398</v>
      </c>
      <c r="T71" s="15" t="s">
        <v>399</v>
      </c>
      <c r="U71" s="16" t="s">
        <v>4288</v>
      </c>
      <c r="V71" s="16" t="s">
        <v>42</v>
      </c>
      <c r="W71" s="16" t="s">
        <v>4591</v>
      </c>
      <c r="X71" s="16" t="s">
        <v>4674</v>
      </c>
      <c r="Y71" s="16" t="s">
        <v>52</v>
      </c>
      <c r="Z71" s="16" t="s">
        <v>4760</v>
      </c>
      <c r="AA71" s="16" t="s">
        <v>4675</v>
      </c>
      <c r="AB71" s="16">
        <v>5</v>
      </c>
      <c r="AC71" s="22">
        <v>46250</v>
      </c>
      <c r="AD71" s="16" t="s">
        <v>4289</v>
      </c>
      <c r="AE71" s="16" t="s">
        <v>42</v>
      </c>
      <c r="AF71" s="16" t="s">
        <v>4774</v>
      </c>
      <c r="AG71" s="16" t="s">
        <v>4775</v>
      </c>
      <c r="AH71" s="16" t="s">
        <v>52</v>
      </c>
      <c r="AI71" s="16" t="s">
        <v>4837</v>
      </c>
      <c r="AJ71" s="16" t="s">
        <v>4838</v>
      </c>
      <c r="AK71" s="16">
        <v>4</v>
      </c>
      <c r="AL71" s="22">
        <v>46250</v>
      </c>
      <c r="AM71" s="16"/>
      <c r="AN71" s="22"/>
      <c r="AO71" s="17" t="str">
        <f t="shared" si="6"/>
        <v>agree</v>
      </c>
      <c r="AP71" s="17" t="str">
        <f t="shared" si="7"/>
        <v>agree</v>
      </c>
      <c r="AQ71" s="28" t="s">
        <v>42</v>
      </c>
      <c r="AR71" s="28" t="s">
        <v>52</v>
      </c>
      <c r="AS71" s="28" t="s">
        <v>4950</v>
      </c>
      <c r="AT71" s="17" t="str">
        <f t="shared" si="8"/>
        <v>complete</v>
      </c>
    </row>
    <row r="72" spans="1:46">
      <c r="A72" s="15">
        <v>36</v>
      </c>
      <c r="B72" s="15" t="s">
        <v>42</v>
      </c>
      <c r="C72" s="15" t="s">
        <v>395</v>
      </c>
      <c r="D72" s="15" t="s">
        <v>59</v>
      </c>
      <c r="E72" s="15" t="s">
        <v>60</v>
      </c>
      <c r="F72" s="15">
        <v>2</v>
      </c>
      <c r="G72" s="15" t="s">
        <v>46</v>
      </c>
      <c r="H72" s="15" t="s">
        <v>47</v>
      </c>
      <c r="I72" s="15" t="s">
        <v>149</v>
      </c>
      <c r="J72" s="15" t="s">
        <v>400</v>
      </c>
      <c r="K72" s="15" t="s">
        <v>50</v>
      </c>
      <c r="L72" s="15" t="s">
        <v>302</v>
      </c>
      <c r="M72" s="15" t="s">
        <v>52</v>
      </c>
      <c r="N72" s="15" t="s">
        <v>52</v>
      </c>
      <c r="O72" s="15" t="s">
        <v>42</v>
      </c>
      <c r="P72" s="15" t="s">
        <v>42</v>
      </c>
      <c r="Q72" s="15" t="s">
        <v>53</v>
      </c>
      <c r="R72" s="15" t="s">
        <v>397</v>
      </c>
      <c r="S72" s="15" t="s">
        <v>398</v>
      </c>
      <c r="T72" s="15" t="s">
        <v>399</v>
      </c>
      <c r="U72" s="16" t="s">
        <v>4288</v>
      </c>
      <c r="V72" s="16" t="s">
        <v>42</v>
      </c>
      <c r="W72" s="16" t="s">
        <v>4602</v>
      </c>
      <c r="X72" s="16" t="s">
        <v>4676</v>
      </c>
      <c r="Y72" s="16" t="s">
        <v>52</v>
      </c>
      <c r="Z72" s="16" t="s">
        <v>4677</v>
      </c>
      <c r="AA72" s="16" t="s">
        <v>4678</v>
      </c>
      <c r="AB72" s="16">
        <v>5</v>
      </c>
      <c r="AC72" s="22">
        <v>46250</v>
      </c>
      <c r="AD72" s="16" t="s">
        <v>4289</v>
      </c>
      <c r="AE72" s="16" t="s">
        <v>42</v>
      </c>
      <c r="AF72" s="16" t="s">
        <v>4778</v>
      </c>
      <c r="AG72" s="16" t="s">
        <v>4779</v>
      </c>
      <c r="AH72" s="16" t="s">
        <v>52</v>
      </c>
      <c r="AI72" s="16" t="s">
        <v>4837</v>
      </c>
      <c r="AJ72" s="16" t="s">
        <v>4838</v>
      </c>
      <c r="AK72" s="16">
        <v>4</v>
      </c>
      <c r="AL72" s="22">
        <v>46250</v>
      </c>
      <c r="AM72" s="16"/>
      <c r="AN72" s="22"/>
      <c r="AO72" s="17" t="str">
        <f t="shared" si="6"/>
        <v>agree</v>
      </c>
      <c r="AP72" s="17" t="str">
        <f t="shared" si="7"/>
        <v>agree</v>
      </c>
      <c r="AQ72" s="28" t="s">
        <v>42</v>
      </c>
      <c r="AR72" s="28" t="s">
        <v>52</v>
      </c>
      <c r="AS72" s="28" t="s">
        <v>4951</v>
      </c>
      <c r="AT72" s="17" t="str">
        <f t="shared" si="8"/>
        <v>complete</v>
      </c>
    </row>
    <row r="73" spans="1:46">
      <c r="A73" s="15">
        <v>36</v>
      </c>
      <c r="B73" s="15" t="s">
        <v>42</v>
      </c>
      <c r="C73" s="15" t="s">
        <v>395</v>
      </c>
      <c r="D73" s="15" t="s">
        <v>59</v>
      </c>
      <c r="E73" s="15" t="s">
        <v>60</v>
      </c>
      <c r="F73" s="15">
        <v>3</v>
      </c>
      <c r="G73" s="15" t="s">
        <v>254</v>
      </c>
      <c r="H73" s="15" t="s">
        <v>255</v>
      </c>
      <c r="I73" s="15" t="s">
        <v>401</v>
      </c>
      <c r="J73" s="15" t="s">
        <v>402</v>
      </c>
      <c r="K73" s="15" t="s">
        <v>50</v>
      </c>
      <c r="L73" s="15" t="s">
        <v>258</v>
      </c>
      <c r="M73" s="15" t="s">
        <v>52</v>
      </c>
      <c r="N73" s="15" t="s">
        <v>52</v>
      </c>
      <c r="O73" s="15" t="s">
        <v>259</v>
      </c>
      <c r="P73" s="15" t="s">
        <v>42</v>
      </c>
      <c r="Q73" s="15" t="s">
        <v>260</v>
      </c>
      <c r="R73" s="15" t="s">
        <v>397</v>
      </c>
      <c r="S73" s="15" t="s">
        <v>398</v>
      </c>
      <c r="T73" s="15" t="s">
        <v>399</v>
      </c>
      <c r="U73" s="16" t="s">
        <v>4288</v>
      </c>
      <c r="V73" s="16" t="s">
        <v>259</v>
      </c>
      <c r="W73" s="16" t="s">
        <v>4587</v>
      </c>
      <c r="X73" s="16" t="s">
        <v>4679</v>
      </c>
      <c r="Y73" s="16" t="s">
        <v>52</v>
      </c>
      <c r="Z73" s="16" t="s">
        <v>4680</v>
      </c>
      <c r="AA73" s="16" t="s">
        <v>4681</v>
      </c>
      <c r="AB73" s="16">
        <v>5</v>
      </c>
      <c r="AC73" s="22">
        <v>46250</v>
      </c>
      <c r="AD73" s="16" t="s">
        <v>4289</v>
      </c>
      <c r="AE73" s="16" t="s">
        <v>259</v>
      </c>
      <c r="AF73" s="16" t="s">
        <v>4780</v>
      </c>
      <c r="AG73" s="16" t="s">
        <v>4839</v>
      </c>
      <c r="AH73" s="16" t="s">
        <v>52</v>
      </c>
      <c r="AI73" s="16" t="s">
        <v>4837</v>
      </c>
      <c r="AJ73" s="16" t="s">
        <v>4838</v>
      </c>
      <c r="AK73" s="16">
        <v>5</v>
      </c>
      <c r="AL73" s="22">
        <v>46250</v>
      </c>
      <c r="AM73" s="16"/>
      <c r="AN73" s="22"/>
      <c r="AO73" s="17" t="str">
        <f t="shared" si="6"/>
        <v>agree</v>
      </c>
      <c r="AP73" s="17" t="str">
        <f t="shared" si="7"/>
        <v>agree</v>
      </c>
      <c r="AQ73" s="28" t="s">
        <v>259</v>
      </c>
      <c r="AR73" s="28" t="s">
        <v>52</v>
      </c>
      <c r="AS73" s="28" t="s">
        <v>4952</v>
      </c>
      <c r="AT73" s="17" t="str">
        <f t="shared" si="8"/>
        <v>complete</v>
      </c>
    </row>
    <row r="74" spans="1:46">
      <c r="A74" s="15">
        <v>36</v>
      </c>
      <c r="B74" s="15" t="s">
        <v>42</v>
      </c>
      <c r="C74" s="15" t="s">
        <v>395</v>
      </c>
      <c r="D74" s="15" t="s">
        <v>59</v>
      </c>
      <c r="E74" s="15" t="s">
        <v>60</v>
      </c>
      <c r="F74" s="15">
        <v>4</v>
      </c>
      <c r="G74" s="15" t="s">
        <v>403</v>
      </c>
      <c r="H74" s="15" t="s">
        <v>47</v>
      </c>
      <c r="I74" s="15" t="s">
        <v>404</v>
      </c>
      <c r="J74" s="15" t="s">
        <v>405</v>
      </c>
      <c r="K74" s="15" t="s">
        <v>87</v>
      </c>
      <c r="L74" s="15" t="s">
        <v>302</v>
      </c>
      <c r="M74" s="15" t="s">
        <v>52</v>
      </c>
      <c r="N74" s="15" t="s">
        <v>52</v>
      </c>
      <c r="O74" s="15" t="s">
        <v>42</v>
      </c>
      <c r="P74" s="15" t="s">
        <v>42</v>
      </c>
      <c r="Q74" s="15" t="s">
        <v>406</v>
      </c>
      <c r="R74" s="15" t="s">
        <v>397</v>
      </c>
      <c r="S74" s="15" t="s">
        <v>398</v>
      </c>
      <c r="T74" s="15" t="s">
        <v>399</v>
      </c>
      <c r="U74" s="16" t="s">
        <v>4288</v>
      </c>
      <c r="V74" s="16" t="s">
        <v>52</v>
      </c>
      <c r="W74" s="16" t="s">
        <v>4682</v>
      </c>
      <c r="X74" s="16" t="s">
        <v>4683</v>
      </c>
      <c r="Y74" s="16" t="s">
        <v>57</v>
      </c>
      <c r="Z74" s="16" t="s">
        <v>4684</v>
      </c>
      <c r="AA74" s="16" t="s">
        <v>4685</v>
      </c>
      <c r="AB74" s="16">
        <v>5</v>
      </c>
      <c r="AC74" s="22">
        <v>46250</v>
      </c>
      <c r="AD74" s="16" t="s">
        <v>4289</v>
      </c>
      <c r="AE74" s="16" t="s">
        <v>52</v>
      </c>
      <c r="AF74" s="16" t="s">
        <v>4840</v>
      </c>
      <c r="AG74" s="16" t="s">
        <v>4841</v>
      </c>
      <c r="AH74" s="16" t="s">
        <v>52</v>
      </c>
      <c r="AI74" s="16" t="s">
        <v>4837</v>
      </c>
      <c r="AJ74" s="16" t="s">
        <v>4838</v>
      </c>
      <c r="AK74" s="16">
        <v>5</v>
      </c>
      <c r="AL74" s="22">
        <v>46250</v>
      </c>
      <c r="AM74" s="16"/>
      <c r="AN74" s="22"/>
      <c r="AO74" s="17" t="str">
        <f t="shared" si="6"/>
        <v>agree</v>
      </c>
      <c r="AP74" s="17" t="str">
        <f t="shared" si="7"/>
        <v>disagree</v>
      </c>
      <c r="AQ74" s="28" t="s">
        <v>52</v>
      </c>
      <c r="AR74" s="28" t="s">
        <v>57</v>
      </c>
      <c r="AS74" s="28" t="s">
        <v>4953</v>
      </c>
      <c r="AT74" s="17" t="str">
        <f t="shared" si="8"/>
        <v>complete</v>
      </c>
    </row>
    <row r="75" spans="1:46">
      <c r="A75" s="15">
        <v>37</v>
      </c>
      <c r="B75" s="15" t="s">
        <v>42</v>
      </c>
      <c r="C75" s="15" t="s">
        <v>407</v>
      </c>
      <c r="D75" s="15" t="s">
        <v>408</v>
      </c>
      <c r="E75" s="15" t="s">
        <v>45</v>
      </c>
      <c r="F75" s="15">
        <v>1</v>
      </c>
      <c r="G75" s="15" t="s">
        <v>113</v>
      </c>
      <c r="H75" s="15" t="s">
        <v>47</v>
      </c>
      <c r="I75" s="15" t="s">
        <v>114</v>
      </c>
      <c r="J75" s="15" t="s">
        <v>409</v>
      </c>
      <c r="K75" s="15" t="s">
        <v>50</v>
      </c>
      <c r="L75" s="15" t="s">
        <v>64</v>
      </c>
      <c r="M75" s="15" t="s">
        <v>52</v>
      </c>
      <c r="N75" s="15" t="s">
        <v>42</v>
      </c>
      <c r="O75" s="15" t="s">
        <v>42</v>
      </c>
      <c r="P75" s="15" t="s">
        <v>42</v>
      </c>
      <c r="Q75" s="15" t="s">
        <v>65</v>
      </c>
      <c r="R75" s="15" t="s">
        <v>410</v>
      </c>
      <c r="S75" s="15" t="s">
        <v>411</v>
      </c>
      <c r="T75" s="15" t="s">
        <v>412</v>
      </c>
      <c r="U75" s="16" t="s">
        <v>4288</v>
      </c>
      <c r="V75" s="16" t="s">
        <v>42</v>
      </c>
      <c r="W75" s="16" t="s">
        <v>4591</v>
      </c>
      <c r="X75" s="16" t="s">
        <v>4686</v>
      </c>
      <c r="Y75" s="16" t="s">
        <v>52</v>
      </c>
      <c r="Z75" s="16" t="s">
        <v>4761</v>
      </c>
      <c r="AA75" s="16" t="s">
        <v>4687</v>
      </c>
      <c r="AB75" s="16">
        <v>5</v>
      </c>
      <c r="AC75" s="22">
        <v>46250</v>
      </c>
      <c r="AD75" s="16" t="s">
        <v>4289</v>
      </c>
      <c r="AE75" s="16" t="s">
        <v>42</v>
      </c>
      <c r="AF75" s="16" t="s">
        <v>4774</v>
      </c>
      <c r="AG75" s="16" t="s">
        <v>4775</v>
      </c>
      <c r="AH75" s="16" t="s">
        <v>52</v>
      </c>
      <c r="AI75" s="16" t="s">
        <v>4842</v>
      </c>
      <c r="AJ75" s="16" t="s">
        <v>4843</v>
      </c>
      <c r="AK75" s="16">
        <v>4</v>
      </c>
      <c r="AL75" s="22">
        <v>46250</v>
      </c>
      <c r="AM75" s="16"/>
      <c r="AN75" s="22"/>
      <c r="AO75" s="17" t="str">
        <f t="shared" si="6"/>
        <v>agree</v>
      </c>
      <c r="AP75" s="17" t="str">
        <f t="shared" si="7"/>
        <v>agree</v>
      </c>
      <c r="AQ75" s="28" t="s">
        <v>42</v>
      </c>
      <c r="AR75" s="28" t="s">
        <v>52</v>
      </c>
      <c r="AS75" s="28" t="s">
        <v>4954</v>
      </c>
      <c r="AT75" s="17" t="str">
        <f t="shared" si="8"/>
        <v>complete</v>
      </c>
    </row>
    <row r="76" spans="1:46">
      <c r="A76" s="15">
        <v>37</v>
      </c>
      <c r="B76" s="15" t="s">
        <v>42</v>
      </c>
      <c r="C76" s="15" t="s">
        <v>407</v>
      </c>
      <c r="D76" s="15" t="s">
        <v>408</v>
      </c>
      <c r="E76" s="15" t="s">
        <v>45</v>
      </c>
      <c r="F76" s="15">
        <v>2</v>
      </c>
      <c r="G76" s="15" t="s">
        <v>46</v>
      </c>
      <c r="H76" s="15" t="s">
        <v>47</v>
      </c>
      <c r="I76" s="15" t="s">
        <v>119</v>
      </c>
      <c r="J76" s="15" t="s">
        <v>413</v>
      </c>
      <c r="K76" s="15" t="s">
        <v>50</v>
      </c>
      <c r="L76" s="15" t="s">
        <v>51</v>
      </c>
      <c r="M76" s="15" t="s">
        <v>52</v>
      </c>
      <c r="N76" s="15" t="s">
        <v>52</v>
      </c>
      <c r="O76" s="15" t="s">
        <v>42</v>
      </c>
      <c r="P76" s="15" t="s">
        <v>42</v>
      </c>
      <c r="Q76" s="15" t="s">
        <v>53</v>
      </c>
      <c r="R76" s="15" t="s">
        <v>410</v>
      </c>
      <c r="S76" s="15" t="s">
        <v>411</v>
      </c>
      <c r="T76" s="15" t="s">
        <v>412</v>
      </c>
      <c r="U76" s="16" t="s">
        <v>4288</v>
      </c>
      <c r="V76" s="16" t="s">
        <v>42</v>
      </c>
      <c r="W76" s="16" t="s">
        <v>4602</v>
      </c>
      <c r="X76" s="16" t="s">
        <v>4688</v>
      </c>
      <c r="Y76" s="16" t="s">
        <v>57</v>
      </c>
      <c r="Z76" s="16" t="s">
        <v>4689</v>
      </c>
      <c r="AA76" s="16" t="s">
        <v>4690</v>
      </c>
      <c r="AB76" s="16">
        <v>5</v>
      </c>
      <c r="AC76" s="22">
        <v>46250</v>
      </c>
      <c r="AD76" s="16" t="s">
        <v>4289</v>
      </c>
      <c r="AE76" s="16" t="s">
        <v>42</v>
      </c>
      <c r="AF76" s="16" t="s">
        <v>4778</v>
      </c>
      <c r="AG76" s="16" t="s">
        <v>4779</v>
      </c>
      <c r="AH76" s="16" t="s">
        <v>52</v>
      </c>
      <c r="AI76" s="16" t="s">
        <v>4842</v>
      </c>
      <c r="AJ76" s="16" t="s">
        <v>4843</v>
      </c>
      <c r="AK76" s="16">
        <v>4</v>
      </c>
      <c r="AL76" s="22">
        <v>46250</v>
      </c>
      <c r="AM76" s="16"/>
      <c r="AN76" s="22"/>
      <c r="AO76" s="17" t="str">
        <f t="shared" si="6"/>
        <v>agree</v>
      </c>
      <c r="AP76" s="17" t="str">
        <f t="shared" si="7"/>
        <v>disagree</v>
      </c>
      <c r="AQ76" s="28" t="s">
        <v>42</v>
      </c>
      <c r="AR76" s="28" t="s">
        <v>52</v>
      </c>
      <c r="AS76" s="28" t="s">
        <v>4955</v>
      </c>
      <c r="AT76" s="17" t="str">
        <f t="shared" si="8"/>
        <v>complete</v>
      </c>
    </row>
    <row r="77" spans="1:46">
      <c r="A77" s="15">
        <v>38</v>
      </c>
      <c r="B77" s="15" t="s">
        <v>42</v>
      </c>
      <c r="C77" s="15" t="s">
        <v>414</v>
      </c>
      <c r="D77" s="15" t="s">
        <v>186</v>
      </c>
      <c r="E77" s="15" t="s">
        <v>60</v>
      </c>
      <c r="F77" s="15">
        <v>1</v>
      </c>
      <c r="G77" s="15" t="s">
        <v>415</v>
      </c>
      <c r="H77" s="15" t="s">
        <v>47</v>
      </c>
      <c r="I77" s="15" t="s">
        <v>416</v>
      </c>
      <c r="J77" s="15" t="s">
        <v>417</v>
      </c>
      <c r="K77" s="15" t="s">
        <v>50</v>
      </c>
      <c r="L77" s="15" t="s">
        <v>190</v>
      </c>
      <c r="M77" s="15" t="s">
        <v>42</v>
      </c>
      <c r="N77" s="15" t="s">
        <v>42</v>
      </c>
      <c r="O77" s="15" t="s">
        <v>42</v>
      </c>
      <c r="P77" s="15" t="s">
        <v>42</v>
      </c>
      <c r="Q77" s="15" t="s">
        <v>191</v>
      </c>
      <c r="R77" s="15" t="s">
        <v>192</v>
      </c>
      <c r="S77" s="15" t="s">
        <v>193</v>
      </c>
      <c r="T77" s="15" t="s">
        <v>194</v>
      </c>
      <c r="U77" s="16" t="s">
        <v>4288</v>
      </c>
      <c r="V77" s="16" t="s">
        <v>52</v>
      </c>
      <c r="W77" s="16" t="s">
        <v>4422</v>
      </c>
      <c r="X77" s="16" t="s">
        <v>4438</v>
      </c>
      <c r="Y77" s="16" t="s">
        <v>57</v>
      </c>
      <c r="Z77" s="16" t="s">
        <v>4439</v>
      </c>
      <c r="AA77" s="16" t="s">
        <v>4440</v>
      </c>
      <c r="AB77" s="16">
        <v>4</v>
      </c>
      <c r="AC77" s="22">
        <v>46251</v>
      </c>
      <c r="AD77" s="16" t="s">
        <v>4289</v>
      </c>
      <c r="AE77" s="16" t="s">
        <v>52</v>
      </c>
      <c r="AF77" s="16" t="s">
        <v>4426</v>
      </c>
      <c r="AG77" s="16" t="s">
        <v>4441</v>
      </c>
      <c r="AH77" s="16" t="s">
        <v>57</v>
      </c>
      <c r="AI77" s="16" t="s">
        <v>4442</v>
      </c>
      <c r="AJ77" s="16" t="s">
        <v>4443</v>
      </c>
      <c r="AK77" s="16">
        <v>3</v>
      </c>
      <c r="AL77" s="22">
        <v>46251</v>
      </c>
      <c r="AM77" s="16"/>
      <c r="AN77" s="22"/>
      <c r="AO77" s="17" t="str">
        <f t="shared" si="6"/>
        <v>agree</v>
      </c>
      <c r="AP77" s="17" t="str">
        <f t="shared" si="7"/>
        <v>agree</v>
      </c>
      <c r="AQ77" s="28" t="s">
        <v>52</v>
      </c>
      <c r="AR77" s="28" t="s">
        <v>57</v>
      </c>
      <c r="AS77" s="28" t="s">
        <v>4956</v>
      </c>
      <c r="AT77" s="17" t="str">
        <f t="shared" si="8"/>
        <v>complete</v>
      </c>
    </row>
    <row r="78" spans="1:46">
      <c r="A78" s="15">
        <v>38</v>
      </c>
      <c r="B78" s="15" t="s">
        <v>42</v>
      </c>
      <c r="C78" s="15" t="s">
        <v>414</v>
      </c>
      <c r="D78" s="15" t="s">
        <v>186</v>
      </c>
      <c r="E78" s="15" t="s">
        <v>60</v>
      </c>
      <c r="F78" s="15">
        <v>2</v>
      </c>
      <c r="G78" s="15" t="s">
        <v>418</v>
      </c>
      <c r="H78" s="15" t="s">
        <v>47</v>
      </c>
      <c r="I78" s="15" t="s">
        <v>419</v>
      </c>
      <c r="J78" s="15" t="s">
        <v>420</v>
      </c>
      <c r="K78" s="15" t="s">
        <v>50</v>
      </c>
      <c r="L78" s="15" t="s">
        <v>190</v>
      </c>
      <c r="M78" s="15" t="s">
        <v>42</v>
      </c>
      <c r="N78" s="15" t="s">
        <v>42</v>
      </c>
      <c r="O78" s="15" t="s">
        <v>42</v>
      </c>
      <c r="P78" s="15" t="s">
        <v>88</v>
      </c>
      <c r="Q78" s="15" t="s">
        <v>421</v>
      </c>
      <c r="R78" s="15" t="s">
        <v>192</v>
      </c>
      <c r="S78" s="15" t="s">
        <v>193</v>
      </c>
      <c r="T78" s="15" t="s">
        <v>194</v>
      </c>
      <c r="U78" s="16" t="s">
        <v>4288</v>
      </c>
      <c r="V78" s="16" t="s">
        <v>57</v>
      </c>
      <c r="W78" s="16" t="s">
        <v>4444</v>
      </c>
      <c r="X78" s="16" t="s">
        <v>4445</v>
      </c>
      <c r="Y78" s="16" t="s">
        <v>57</v>
      </c>
      <c r="Z78" s="16" t="s">
        <v>4446</v>
      </c>
      <c r="AA78" s="16" t="s">
        <v>4447</v>
      </c>
      <c r="AB78" s="16">
        <v>4</v>
      </c>
      <c r="AC78" s="22">
        <v>46251</v>
      </c>
      <c r="AD78" s="16" t="s">
        <v>4289</v>
      </c>
      <c r="AE78" s="16" t="s">
        <v>57</v>
      </c>
      <c r="AF78" s="16" t="s">
        <v>4448</v>
      </c>
      <c r="AG78" s="16" t="s">
        <v>4449</v>
      </c>
      <c r="AH78" s="16" t="s">
        <v>57</v>
      </c>
      <c r="AI78" s="16" t="s">
        <v>4450</v>
      </c>
      <c r="AJ78" s="16" t="s">
        <v>4451</v>
      </c>
      <c r="AK78" s="16">
        <v>3</v>
      </c>
      <c r="AL78" s="22">
        <v>46251</v>
      </c>
      <c r="AM78" s="16"/>
      <c r="AN78" s="22"/>
      <c r="AO78" s="17" t="str">
        <f t="shared" si="6"/>
        <v>agree</v>
      </c>
      <c r="AP78" s="17" t="str">
        <f t="shared" si="7"/>
        <v>agree</v>
      </c>
      <c r="AQ78" s="28" t="s">
        <v>57</v>
      </c>
      <c r="AR78" s="28" t="s">
        <v>57</v>
      </c>
      <c r="AS78" s="28" t="s">
        <v>4957</v>
      </c>
      <c r="AT78" s="17" t="str">
        <f t="shared" si="8"/>
        <v>complete</v>
      </c>
    </row>
    <row r="79" spans="1:46">
      <c r="A79" s="15">
        <v>39</v>
      </c>
      <c r="B79" s="15" t="s">
        <v>42</v>
      </c>
      <c r="C79" s="15" t="s">
        <v>422</v>
      </c>
      <c r="D79" s="15" t="s">
        <v>423</v>
      </c>
      <c r="E79" s="15" t="s">
        <v>45</v>
      </c>
      <c r="F79" s="15">
        <v>1</v>
      </c>
      <c r="G79" s="15" t="s">
        <v>424</v>
      </c>
      <c r="H79" s="15" t="s">
        <v>47</v>
      </c>
      <c r="I79" s="15" t="s">
        <v>425</v>
      </c>
      <c r="J79" s="15" t="s">
        <v>426</v>
      </c>
      <c r="K79" s="15" t="s">
        <v>87</v>
      </c>
      <c r="L79" s="15" t="s">
        <v>51</v>
      </c>
      <c r="M79" s="15" t="s">
        <v>52</v>
      </c>
      <c r="N79" s="15" t="s">
        <v>52</v>
      </c>
      <c r="O79" s="15" t="s">
        <v>42</v>
      </c>
      <c r="P79" s="15" t="s">
        <v>42</v>
      </c>
      <c r="Q79" s="15" t="s">
        <v>427</v>
      </c>
      <c r="R79" s="15" t="s">
        <v>428</v>
      </c>
      <c r="S79" s="15" t="s">
        <v>429</v>
      </c>
      <c r="T79" s="15" t="s">
        <v>430</v>
      </c>
      <c r="U79" s="16" t="s">
        <v>4288</v>
      </c>
      <c r="V79" s="16" t="s">
        <v>52</v>
      </c>
      <c r="W79" s="16" t="s">
        <v>4691</v>
      </c>
      <c r="X79" s="16" t="s">
        <v>4692</v>
      </c>
      <c r="Y79" s="16" t="s">
        <v>57</v>
      </c>
      <c r="Z79" s="16" t="s">
        <v>4762</v>
      </c>
      <c r="AA79" s="16" t="s">
        <v>4693</v>
      </c>
      <c r="AB79" s="16">
        <v>4</v>
      </c>
      <c r="AC79" s="22">
        <v>46250</v>
      </c>
      <c r="AD79" s="16" t="s">
        <v>4289</v>
      </c>
      <c r="AE79" s="16" t="s">
        <v>57</v>
      </c>
      <c r="AF79" s="16" t="s">
        <v>4844</v>
      </c>
      <c r="AG79" s="16" t="s">
        <v>4845</v>
      </c>
      <c r="AH79" s="16" t="s">
        <v>52</v>
      </c>
      <c r="AI79" s="16" t="s">
        <v>4846</v>
      </c>
      <c r="AJ79" s="16" t="s">
        <v>4847</v>
      </c>
      <c r="AK79" s="16">
        <v>3</v>
      </c>
      <c r="AL79" s="22">
        <v>46250</v>
      </c>
      <c r="AM79" s="16"/>
      <c r="AN79" s="22"/>
      <c r="AO79" s="17" t="str">
        <f t="shared" si="6"/>
        <v>disagree</v>
      </c>
      <c r="AP79" s="17" t="str">
        <f t="shared" si="7"/>
        <v>disagree</v>
      </c>
      <c r="AQ79" s="28" t="s">
        <v>57</v>
      </c>
      <c r="AR79" s="28" t="s">
        <v>52</v>
      </c>
      <c r="AS79" s="28" t="s">
        <v>4958</v>
      </c>
      <c r="AT79" s="17" t="str">
        <f t="shared" si="8"/>
        <v>complete</v>
      </c>
    </row>
    <row r="80" spans="1:46">
      <c r="A80" s="15">
        <v>39</v>
      </c>
      <c r="B80" s="15" t="s">
        <v>42</v>
      </c>
      <c r="C80" s="15" t="s">
        <v>422</v>
      </c>
      <c r="D80" s="15" t="s">
        <v>423</v>
      </c>
      <c r="E80" s="15" t="s">
        <v>45</v>
      </c>
      <c r="F80" s="15">
        <v>2</v>
      </c>
      <c r="G80" s="15" t="s">
        <v>431</v>
      </c>
      <c r="H80" s="15" t="s">
        <v>47</v>
      </c>
      <c r="I80" s="15" t="s">
        <v>432</v>
      </c>
      <c r="J80" s="15" t="s">
        <v>433</v>
      </c>
      <c r="K80" s="15" t="s">
        <v>50</v>
      </c>
      <c r="L80" s="15" t="s">
        <v>302</v>
      </c>
      <c r="M80" s="15" t="s">
        <v>52</v>
      </c>
      <c r="N80" s="15" t="s">
        <v>52</v>
      </c>
      <c r="O80" s="15" t="s">
        <v>42</v>
      </c>
      <c r="P80" s="15" t="s">
        <v>42</v>
      </c>
      <c r="Q80" s="15" t="s">
        <v>434</v>
      </c>
      <c r="R80" s="15" t="s">
        <v>428</v>
      </c>
      <c r="S80" s="15" t="s">
        <v>429</v>
      </c>
      <c r="T80" s="15" t="s">
        <v>430</v>
      </c>
      <c r="U80" s="16" t="s">
        <v>4288</v>
      </c>
      <c r="V80" s="16" t="s">
        <v>57</v>
      </c>
      <c r="W80" s="16" t="s">
        <v>4694</v>
      </c>
      <c r="X80" s="16" t="s">
        <v>4695</v>
      </c>
      <c r="Y80" s="16" t="s">
        <v>52</v>
      </c>
      <c r="Z80" s="16" t="s">
        <v>4696</v>
      </c>
      <c r="AA80" s="16" t="s">
        <v>4697</v>
      </c>
      <c r="AB80" s="16">
        <v>4</v>
      </c>
      <c r="AC80" s="22">
        <v>46250</v>
      </c>
      <c r="AD80" s="16" t="s">
        <v>4289</v>
      </c>
      <c r="AE80" s="16" t="s">
        <v>57</v>
      </c>
      <c r="AF80" s="16" t="s">
        <v>4848</v>
      </c>
      <c r="AG80" s="16" t="s">
        <v>4849</v>
      </c>
      <c r="AH80" s="16" t="s">
        <v>52</v>
      </c>
      <c r="AI80" s="16" t="s">
        <v>4846</v>
      </c>
      <c r="AJ80" s="16" t="s">
        <v>4847</v>
      </c>
      <c r="AK80" s="16">
        <v>4</v>
      </c>
      <c r="AL80" s="22">
        <v>46250</v>
      </c>
      <c r="AM80" s="16"/>
      <c r="AN80" s="22"/>
      <c r="AO80" s="17" t="str">
        <f t="shared" si="6"/>
        <v>agree</v>
      </c>
      <c r="AP80" s="17" t="str">
        <f t="shared" si="7"/>
        <v>agree</v>
      </c>
      <c r="AQ80" s="28" t="s">
        <v>57</v>
      </c>
      <c r="AR80" s="28" t="s">
        <v>52</v>
      </c>
      <c r="AS80" s="28" t="s">
        <v>4959</v>
      </c>
      <c r="AT80" s="17" t="str">
        <f t="shared" si="8"/>
        <v>complete</v>
      </c>
    </row>
    <row r="81" spans="1:46">
      <c r="A81" s="15">
        <v>40</v>
      </c>
      <c r="B81" s="15" t="s">
        <v>42</v>
      </c>
      <c r="C81" s="15" t="s">
        <v>435</v>
      </c>
      <c r="D81" s="15" t="s">
        <v>59</v>
      </c>
      <c r="E81" s="15" t="s">
        <v>60</v>
      </c>
      <c r="F81" s="15">
        <v>1</v>
      </c>
      <c r="G81" s="15" t="s">
        <v>436</v>
      </c>
      <c r="H81" s="15" t="s">
        <v>47</v>
      </c>
      <c r="I81" s="15" t="s">
        <v>437</v>
      </c>
      <c r="J81" s="15" t="s">
        <v>438</v>
      </c>
      <c r="K81" s="15" t="s">
        <v>87</v>
      </c>
      <c r="L81" s="15" t="s">
        <v>51</v>
      </c>
      <c r="M81" s="15" t="s">
        <v>52</v>
      </c>
      <c r="N81" s="15" t="s">
        <v>52</v>
      </c>
      <c r="O81" s="15" t="s">
        <v>42</v>
      </c>
      <c r="P81" s="15" t="s">
        <v>52</v>
      </c>
      <c r="Q81" s="15" t="s">
        <v>439</v>
      </c>
      <c r="R81" s="15" t="s">
        <v>371</v>
      </c>
      <c r="S81" s="15" t="s">
        <v>372</v>
      </c>
      <c r="T81" s="15" t="s">
        <v>373</v>
      </c>
      <c r="U81" s="16" t="s">
        <v>4288</v>
      </c>
      <c r="V81" s="16" t="s">
        <v>52</v>
      </c>
      <c r="W81" s="16" t="s">
        <v>4698</v>
      </c>
      <c r="X81" s="16" t="s">
        <v>4699</v>
      </c>
      <c r="Y81" s="16" t="s">
        <v>42</v>
      </c>
      <c r="Z81" s="16" t="s">
        <v>4763</v>
      </c>
      <c r="AA81" s="16" t="s">
        <v>4700</v>
      </c>
      <c r="AB81" s="16">
        <v>5</v>
      </c>
      <c r="AC81" s="22">
        <v>46250</v>
      </c>
      <c r="AD81" s="16" t="s">
        <v>4289</v>
      </c>
      <c r="AE81" s="16" t="s">
        <v>52</v>
      </c>
      <c r="AF81" s="16" t="s">
        <v>4850</v>
      </c>
      <c r="AG81" s="16" t="s">
        <v>4851</v>
      </c>
      <c r="AH81" s="16" t="s">
        <v>52</v>
      </c>
      <c r="AI81" s="16" t="s">
        <v>4826</v>
      </c>
      <c r="AJ81" s="16" t="s">
        <v>4827</v>
      </c>
      <c r="AK81" s="16">
        <v>5</v>
      </c>
      <c r="AL81" s="22">
        <v>46250</v>
      </c>
      <c r="AM81" s="16"/>
      <c r="AN81" s="22"/>
      <c r="AO81" s="17" t="str">
        <f t="shared" si="6"/>
        <v>agree</v>
      </c>
      <c r="AP81" s="17" t="str">
        <f t="shared" si="7"/>
        <v>disagree</v>
      </c>
      <c r="AQ81" s="28" t="s">
        <v>52</v>
      </c>
      <c r="AR81" s="28" t="s">
        <v>42</v>
      </c>
      <c r="AS81" s="28" t="s">
        <v>4960</v>
      </c>
      <c r="AT81" s="17" t="str">
        <f t="shared" si="8"/>
        <v>complete</v>
      </c>
    </row>
    <row r="82" spans="1:46">
      <c r="A82" s="15">
        <v>40</v>
      </c>
      <c r="B82" s="15" t="s">
        <v>42</v>
      </c>
      <c r="C82" s="15" t="s">
        <v>435</v>
      </c>
      <c r="D82" s="15" t="s">
        <v>59</v>
      </c>
      <c r="E82" s="15" t="s">
        <v>60</v>
      </c>
      <c r="F82" s="15">
        <v>2</v>
      </c>
      <c r="G82" s="15" t="s">
        <v>130</v>
      </c>
      <c r="H82" s="15" t="s">
        <v>47</v>
      </c>
      <c r="I82" s="15" t="s">
        <v>440</v>
      </c>
      <c r="J82" s="15" t="s">
        <v>441</v>
      </c>
      <c r="K82" s="15" t="s">
        <v>50</v>
      </c>
      <c r="L82" s="15" t="s">
        <v>51</v>
      </c>
      <c r="M82" s="15" t="s">
        <v>52</v>
      </c>
      <c r="N82" s="15" t="s">
        <v>52</v>
      </c>
      <c r="O82" s="15" t="s">
        <v>42</v>
      </c>
      <c r="P82" s="15" t="s">
        <v>42</v>
      </c>
      <c r="Q82" s="15" t="s">
        <v>53</v>
      </c>
      <c r="R82" s="15" t="s">
        <v>371</v>
      </c>
      <c r="S82" s="15" t="s">
        <v>372</v>
      </c>
      <c r="T82" s="15" t="s">
        <v>373</v>
      </c>
      <c r="U82" s="16" t="s">
        <v>4288</v>
      </c>
      <c r="V82" s="16" t="s">
        <v>57</v>
      </c>
      <c r="W82" s="16" t="s">
        <v>4602</v>
      </c>
      <c r="X82" s="16" t="s">
        <v>4701</v>
      </c>
      <c r="Y82" s="16" t="s">
        <v>57</v>
      </c>
      <c r="Z82" s="16" t="s">
        <v>4702</v>
      </c>
      <c r="AA82" s="16" t="s">
        <v>4703</v>
      </c>
      <c r="AB82" s="16">
        <v>4</v>
      </c>
      <c r="AC82" s="22">
        <v>46250</v>
      </c>
      <c r="AD82" s="16" t="s">
        <v>4289</v>
      </c>
      <c r="AE82" s="16" t="s">
        <v>57</v>
      </c>
      <c r="AF82" s="16" t="s">
        <v>4778</v>
      </c>
      <c r="AG82" s="16" t="s">
        <v>4852</v>
      </c>
      <c r="AH82" s="16" t="s">
        <v>52</v>
      </c>
      <c r="AI82" s="16" t="s">
        <v>4826</v>
      </c>
      <c r="AJ82" s="16" t="s">
        <v>4827</v>
      </c>
      <c r="AK82" s="16">
        <v>4</v>
      </c>
      <c r="AL82" s="22">
        <v>46250</v>
      </c>
      <c r="AM82" s="16"/>
      <c r="AN82" s="22"/>
      <c r="AO82" s="17" t="str">
        <f t="shared" si="6"/>
        <v>agree</v>
      </c>
      <c r="AP82" s="17" t="str">
        <f t="shared" si="7"/>
        <v>disagree</v>
      </c>
      <c r="AQ82" s="28" t="s">
        <v>57</v>
      </c>
      <c r="AR82" s="28" t="s">
        <v>52</v>
      </c>
      <c r="AS82" s="28" t="s">
        <v>4961</v>
      </c>
      <c r="AT82" s="17" t="str">
        <f t="shared" si="8"/>
        <v>complete</v>
      </c>
    </row>
    <row r="83" spans="1:46">
      <c r="A83" s="15">
        <v>41</v>
      </c>
      <c r="B83" s="15" t="s">
        <v>42</v>
      </c>
      <c r="C83" s="15" t="s">
        <v>442</v>
      </c>
      <c r="D83" s="15" t="s">
        <v>224</v>
      </c>
      <c r="E83" s="15" t="s">
        <v>45</v>
      </c>
      <c r="F83" s="15">
        <v>1</v>
      </c>
      <c r="G83" s="15" t="s">
        <v>61</v>
      </c>
      <c r="H83" s="15" t="s">
        <v>47</v>
      </c>
      <c r="I83" s="15" t="s">
        <v>443</v>
      </c>
      <c r="J83" s="15" t="s">
        <v>444</v>
      </c>
      <c r="K83" s="15" t="s">
        <v>50</v>
      </c>
      <c r="L83" s="15" t="s">
        <v>64</v>
      </c>
      <c r="M83" s="15" t="s">
        <v>52</v>
      </c>
      <c r="N83" s="15" t="s">
        <v>42</v>
      </c>
      <c r="O83" s="15" t="s">
        <v>42</v>
      </c>
      <c r="P83" s="15" t="s">
        <v>42</v>
      </c>
      <c r="Q83" s="15" t="s">
        <v>65</v>
      </c>
      <c r="R83" s="15" t="s">
        <v>445</v>
      </c>
      <c r="S83" s="15" t="s">
        <v>446</v>
      </c>
      <c r="T83" s="15" t="s">
        <v>447</v>
      </c>
      <c r="U83" s="16" t="s">
        <v>4288</v>
      </c>
      <c r="V83" s="16" t="s">
        <v>42</v>
      </c>
      <c r="W83" s="16" t="s">
        <v>4591</v>
      </c>
      <c r="X83" s="16" t="s">
        <v>4704</v>
      </c>
      <c r="Y83" s="16" t="s">
        <v>52</v>
      </c>
      <c r="Z83" s="16" t="s">
        <v>4764</v>
      </c>
      <c r="AA83" s="16" t="s">
        <v>4705</v>
      </c>
      <c r="AB83" s="16">
        <v>5</v>
      </c>
      <c r="AC83" s="22">
        <v>46250</v>
      </c>
      <c r="AD83" s="16" t="s">
        <v>4289</v>
      </c>
      <c r="AE83" s="16" t="s">
        <v>42</v>
      </c>
      <c r="AF83" s="16" t="s">
        <v>4774</v>
      </c>
      <c r="AG83" s="16" t="s">
        <v>4775</v>
      </c>
      <c r="AH83" s="16" t="s">
        <v>52</v>
      </c>
      <c r="AI83" s="16" t="s">
        <v>4853</v>
      </c>
      <c r="AJ83" s="16" t="s">
        <v>4854</v>
      </c>
      <c r="AK83" s="16">
        <v>4</v>
      </c>
      <c r="AL83" s="22">
        <v>46250</v>
      </c>
      <c r="AM83" s="16"/>
      <c r="AN83" s="22"/>
      <c r="AO83" s="17" t="str">
        <f t="shared" si="6"/>
        <v>agree</v>
      </c>
      <c r="AP83" s="17" t="str">
        <f t="shared" si="7"/>
        <v>agree</v>
      </c>
      <c r="AQ83" s="28" t="s">
        <v>42</v>
      </c>
      <c r="AR83" s="28" t="s">
        <v>52</v>
      </c>
      <c r="AS83" s="28" t="s">
        <v>4962</v>
      </c>
      <c r="AT83" s="17" t="str">
        <f t="shared" si="8"/>
        <v>complete</v>
      </c>
    </row>
    <row r="84" spans="1:46">
      <c r="A84" s="15">
        <v>41</v>
      </c>
      <c r="B84" s="15" t="s">
        <v>42</v>
      </c>
      <c r="C84" s="15" t="s">
        <v>442</v>
      </c>
      <c r="D84" s="15" t="s">
        <v>224</v>
      </c>
      <c r="E84" s="15" t="s">
        <v>45</v>
      </c>
      <c r="F84" s="15">
        <v>2</v>
      </c>
      <c r="G84" s="15" t="s">
        <v>130</v>
      </c>
      <c r="H84" s="15" t="s">
        <v>47</v>
      </c>
      <c r="I84" s="15" t="s">
        <v>448</v>
      </c>
      <c r="J84" s="15" t="s">
        <v>449</v>
      </c>
      <c r="K84" s="15" t="s">
        <v>50</v>
      </c>
      <c r="L84" s="15" t="s">
        <v>51</v>
      </c>
      <c r="M84" s="15" t="s">
        <v>52</v>
      </c>
      <c r="N84" s="15" t="s">
        <v>52</v>
      </c>
      <c r="O84" s="15" t="s">
        <v>42</v>
      </c>
      <c r="P84" s="15" t="s">
        <v>42</v>
      </c>
      <c r="Q84" s="15" t="s">
        <v>53</v>
      </c>
      <c r="R84" s="15" t="s">
        <v>445</v>
      </c>
      <c r="S84" s="15" t="s">
        <v>446</v>
      </c>
      <c r="T84" s="15" t="s">
        <v>447</v>
      </c>
      <c r="U84" s="16" t="s">
        <v>4288</v>
      </c>
      <c r="V84" s="16" t="s">
        <v>42</v>
      </c>
      <c r="W84" s="16" t="s">
        <v>4602</v>
      </c>
      <c r="X84" s="16" t="s">
        <v>4706</v>
      </c>
      <c r="Y84" s="16" t="s">
        <v>52</v>
      </c>
      <c r="Z84" s="16" t="s">
        <v>4707</v>
      </c>
      <c r="AA84" s="16" t="s">
        <v>4708</v>
      </c>
      <c r="AB84" s="16">
        <v>5</v>
      </c>
      <c r="AC84" s="22">
        <v>46250</v>
      </c>
      <c r="AD84" s="16" t="s">
        <v>4289</v>
      </c>
      <c r="AE84" s="16" t="s">
        <v>42</v>
      </c>
      <c r="AF84" s="16" t="s">
        <v>4778</v>
      </c>
      <c r="AG84" s="16" t="s">
        <v>4779</v>
      </c>
      <c r="AH84" s="16" t="s">
        <v>52</v>
      </c>
      <c r="AI84" s="16" t="s">
        <v>4853</v>
      </c>
      <c r="AJ84" s="16" t="s">
        <v>4854</v>
      </c>
      <c r="AK84" s="16">
        <v>4</v>
      </c>
      <c r="AL84" s="22">
        <v>46250</v>
      </c>
      <c r="AM84" s="16"/>
      <c r="AN84" s="22"/>
      <c r="AO84" s="17" t="str">
        <f t="shared" si="6"/>
        <v>agree</v>
      </c>
      <c r="AP84" s="17" t="str">
        <f t="shared" si="7"/>
        <v>agree</v>
      </c>
      <c r="AQ84" s="28" t="s">
        <v>42</v>
      </c>
      <c r="AR84" s="28" t="s">
        <v>52</v>
      </c>
      <c r="AS84" s="28" t="s">
        <v>4963</v>
      </c>
      <c r="AT84" s="17" t="str">
        <f t="shared" si="8"/>
        <v>complete</v>
      </c>
    </row>
    <row r="85" spans="1:46">
      <c r="A85" s="15">
        <v>41</v>
      </c>
      <c r="B85" s="15" t="s">
        <v>42</v>
      </c>
      <c r="C85" s="15" t="s">
        <v>442</v>
      </c>
      <c r="D85" s="15" t="s">
        <v>224</v>
      </c>
      <c r="E85" s="15" t="s">
        <v>45</v>
      </c>
      <c r="F85" s="15">
        <v>3</v>
      </c>
      <c r="G85" s="15" t="s">
        <v>254</v>
      </c>
      <c r="H85" s="15" t="s">
        <v>255</v>
      </c>
      <c r="I85" s="15" t="s">
        <v>450</v>
      </c>
      <c r="J85" s="15" t="s">
        <v>451</v>
      </c>
      <c r="K85" s="15" t="s">
        <v>50</v>
      </c>
      <c r="L85" s="15" t="s">
        <v>258</v>
      </c>
      <c r="M85" s="15" t="s">
        <v>52</v>
      </c>
      <c r="N85" s="15" t="s">
        <v>52</v>
      </c>
      <c r="O85" s="15" t="s">
        <v>259</v>
      </c>
      <c r="P85" s="15" t="s">
        <v>42</v>
      </c>
      <c r="Q85" s="15" t="s">
        <v>260</v>
      </c>
      <c r="R85" s="15" t="s">
        <v>445</v>
      </c>
      <c r="S85" s="15" t="s">
        <v>446</v>
      </c>
      <c r="T85" s="15" t="s">
        <v>447</v>
      </c>
      <c r="U85" s="16" t="s">
        <v>4288</v>
      </c>
      <c r="V85" s="16" t="s">
        <v>259</v>
      </c>
      <c r="W85" s="16" t="s">
        <v>4587</v>
      </c>
      <c r="X85" s="16" t="s">
        <v>4709</v>
      </c>
      <c r="Y85" s="16" t="s">
        <v>52</v>
      </c>
      <c r="Z85" s="16" t="s">
        <v>4710</v>
      </c>
      <c r="AA85" s="16" t="s">
        <v>4711</v>
      </c>
      <c r="AB85" s="16">
        <v>5</v>
      </c>
      <c r="AC85" s="22">
        <v>46250</v>
      </c>
      <c r="AD85" s="16" t="s">
        <v>4289</v>
      </c>
      <c r="AE85" s="16" t="s">
        <v>259</v>
      </c>
      <c r="AF85" s="16" t="s">
        <v>4780</v>
      </c>
      <c r="AG85" s="16" t="s">
        <v>4855</v>
      </c>
      <c r="AH85" s="16" t="s">
        <v>52</v>
      </c>
      <c r="AI85" s="16" t="s">
        <v>4853</v>
      </c>
      <c r="AJ85" s="16" t="s">
        <v>4854</v>
      </c>
      <c r="AK85" s="16">
        <v>5</v>
      </c>
      <c r="AL85" s="22">
        <v>46250</v>
      </c>
      <c r="AM85" s="16"/>
      <c r="AN85" s="22"/>
      <c r="AO85" s="17" t="str">
        <f t="shared" si="6"/>
        <v>agree</v>
      </c>
      <c r="AP85" s="17" t="str">
        <f t="shared" si="7"/>
        <v>agree</v>
      </c>
      <c r="AQ85" s="28" t="s">
        <v>259</v>
      </c>
      <c r="AR85" s="28" t="s">
        <v>52</v>
      </c>
      <c r="AS85" s="28" t="s">
        <v>4964</v>
      </c>
      <c r="AT85" s="17" t="str">
        <f t="shared" si="8"/>
        <v>complete</v>
      </c>
    </row>
    <row r="86" spans="1:46">
      <c r="A86" s="15">
        <v>42</v>
      </c>
      <c r="B86" s="15" t="s">
        <v>42</v>
      </c>
      <c r="C86" s="15" t="s">
        <v>452</v>
      </c>
      <c r="D86" s="15" t="s">
        <v>453</v>
      </c>
      <c r="E86" s="15" t="s">
        <v>60</v>
      </c>
      <c r="F86" s="15">
        <v>1</v>
      </c>
      <c r="G86" s="15" t="s">
        <v>113</v>
      </c>
      <c r="H86" s="15" t="s">
        <v>47</v>
      </c>
      <c r="I86" s="15" t="s">
        <v>454</v>
      </c>
      <c r="J86" s="15" t="s">
        <v>455</v>
      </c>
      <c r="K86" s="15" t="s">
        <v>50</v>
      </c>
      <c r="L86" s="15" t="s">
        <v>64</v>
      </c>
      <c r="M86" s="15" t="s">
        <v>52</v>
      </c>
      <c r="N86" s="15" t="s">
        <v>42</v>
      </c>
      <c r="O86" s="15" t="s">
        <v>42</v>
      </c>
      <c r="P86" s="15" t="s">
        <v>42</v>
      </c>
      <c r="Q86" s="15" t="s">
        <v>65</v>
      </c>
      <c r="R86" s="15" t="s">
        <v>456</v>
      </c>
      <c r="S86" s="15" t="s">
        <v>457</v>
      </c>
      <c r="T86" s="15" t="s">
        <v>458</v>
      </c>
      <c r="U86" s="16" t="s">
        <v>4288</v>
      </c>
      <c r="V86" s="16" t="s">
        <v>42</v>
      </c>
      <c r="W86" s="16" t="s">
        <v>4591</v>
      </c>
      <c r="X86" s="16" t="s">
        <v>4712</v>
      </c>
      <c r="Y86" s="16" t="s">
        <v>57</v>
      </c>
      <c r="Z86" s="16" t="s">
        <v>4765</v>
      </c>
      <c r="AA86" s="16" t="s">
        <v>4713</v>
      </c>
      <c r="AB86" s="16">
        <v>5</v>
      </c>
      <c r="AC86" s="22">
        <v>46250</v>
      </c>
      <c r="AD86" s="16" t="s">
        <v>4289</v>
      </c>
      <c r="AE86" s="16" t="s">
        <v>42</v>
      </c>
      <c r="AF86" s="16" t="s">
        <v>4774</v>
      </c>
      <c r="AG86" s="16" t="s">
        <v>4775</v>
      </c>
      <c r="AH86" s="16" t="s">
        <v>52</v>
      </c>
      <c r="AI86" s="16" t="s">
        <v>4856</v>
      </c>
      <c r="AJ86" s="16" t="s">
        <v>4857</v>
      </c>
      <c r="AK86" s="16">
        <v>4</v>
      </c>
      <c r="AL86" s="22">
        <v>46250</v>
      </c>
      <c r="AM86" s="16"/>
      <c r="AN86" s="22"/>
      <c r="AO86" s="17" t="str">
        <f t="shared" si="6"/>
        <v>agree</v>
      </c>
      <c r="AP86" s="17" t="str">
        <f t="shared" si="7"/>
        <v>disagree</v>
      </c>
      <c r="AQ86" s="28" t="s">
        <v>42</v>
      </c>
      <c r="AR86" s="28" t="s">
        <v>52</v>
      </c>
      <c r="AS86" s="28" t="s">
        <v>4965</v>
      </c>
      <c r="AT86" s="17" t="str">
        <f t="shared" si="8"/>
        <v>complete</v>
      </c>
    </row>
    <row r="87" spans="1:46">
      <c r="A87" s="15">
        <v>43</v>
      </c>
      <c r="B87" s="15" t="s">
        <v>42</v>
      </c>
      <c r="C87" s="15" t="s">
        <v>459</v>
      </c>
      <c r="D87" s="15" t="s">
        <v>112</v>
      </c>
      <c r="E87" s="15" t="s">
        <v>60</v>
      </c>
      <c r="F87" s="15">
        <v>1</v>
      </c>
      <c r="G87" s="15" t="s">
        <v>61</v>
      </c>
      <c r="H87" s="15" t="s">
        <v>47</v>
      </c>
      <c r="I87" s="15" t="s">
        <v>460</v>
      </c>
      <c r="J87" s="15" t="s">
        <v>461</v>
      </c>
      <c r="K87" s="15" t="s">
        <v>50</v>
      </c>
      <c r="L87" s="15" t="s">
        <v>64</v>
      </c>
      <c r="M87" s="15" t="s">
        <v>52</v>
      </c>
      <c r="N87" s="15" t="s">
        <v>42</v>
      </c>
      <c r="O87" s="15" t="s">
        <v>42</v>
      </c>
      <c r="P87" s="15" t="s">
        <v>42</v>
      </c>
      <c r="Q87" s="15" t="s">
        <v>65</v>
      </c>
      <c r="R87" s="15" t="s">
        <v>462</v>
      </c>
      <c r="S87" s="15" t="s">
        <v>463</v>
      </c>
      <c r="T87" s="15" t="s">
        <v>464</v>
      </c>
      <c r="U87" s="16" t="s">
        <v>4288</v>
      </c>
      <c r="V87" s="16" t="s">
        <v>42</v>
      </c>
      <c r="W87" s="16" t="s">
        <v>4591</v>
      </c>
      <c r="X87" s="16" t="s">
        <v>4714</v>
      </c>
      <c r="Y87" s="16" t="s">
        <v>52</v>
      </c>
      <c r="Z87" s="16" t="s">
        <v>4766</v>
      </c>
      <c r="AA87" s="16" t="s">
        <v>4715</v>
      </c>
      <c r="AB87" s="16">
        <v>5</v>
      </c>
      <c r="AC87" s="22">
        <v>46250</v>
      </c>
      <c r="AD87" s="16" t="s">
        <v>4289</v>
      </c>
      <c r="AE87" s="16" t="s">
        <v>42</v>
      </c>
      <c r="AF87" s="16" t="s">
        <v>4774</v>
      </c>
      <c r="AG87" s="16" t="s">
        <v>4775</v>
      </c>
      <c r="AH87" s="16" t="s">
        <v>52</v>
      </c>
      <c r="AI87" s="16" t="s">
        <v>4858</v>
      </c>
      <c r="AJ87" s="16" t="s">
        <v>4859</v>
      </c>
      <c r="AK87" s="16">
        <v>4</v>
      </c>
      <c r="AL87" s="22">
        <v>46250</v>
      </c>
      <c r="AM87" s="16"/>
      <c r="AN87" s="22"/>
      <c r="AO87" s="17" t="str">
        <f t="shared" si="6"/>
        <v>agree</v>
      </c>
      <c r="AP87" s="17" t="str">
        <f t="shared" si="7"/>
        <v>agree</v>
      </c>
      <c r="AQ87" s="28" t="s">
        <v>42</v>
      </c>
      <c r="AR87" s="28" t="s">
        <v>52</v>
      </c>
      <c r="AS87" s="28" t="s">
        <v>4966</v>
      </c>
      <c r="AT87" s="17" t="str">
        <f t="shared" si="8"/>
        <v>complete</v>
      </c>
    </row>
    <row r="88" spans="1:46">
      <c r="A88" s="15">
        <v>43</v>
      </c>
      <c r="B88" s="15" t="s">
        <v>42</v>
      </c>
      <c r="C88" s="15" t="s">
        <v>459</v>
      </c>
      <c r="D88" s="15" t="s">
        <v>112</v>
      </c>
      <c r="E88" s="15" t="s">
        <v>60</v>
      </c>
      <c r="F88" s="15">
        <v>2</v>
      </c>
      <c r="G88" s="15" t="s">
        <v>130</v>
      </c>
      <c r="H88" s="15" t="s">
        <v>47</v>
      </c>
      <c r="I88" s="15" t="s">
        <v>465</v>
      </c>
      <c r="J88" s="15" t="s">
        <v>466</v>
      </c>
      <c r="K88" s="15" t="s">
        <v>50</v>
      </c>
      <c r="L88" s="15" t="s">
        <v>302</v>
      </c>
      <c r="M88" s="15" t="s">
        <v>52</v>
      </c>
      <c r="N88" s="15" t="s">
        <v>52</v>
      </c>
      <c r="O88" s="15" t="s">
        <v>42</v>
      </c>
      <c r="P88" s="15" t="s">
        <v>42</v>
      </c>
      <c r="Q88" s="15" t="s">
        <v>53</v>
      </c>
      <c r="R88" s="15" t="s">
        <v>462</v>
      </c>
      <c r="S88" s="15" t="s">
        <v>463</v>
      </c>
      <c r="T88" s="15" t="s">
        <v>464</v>
      </c>
      <c r="U88" s="16" t="s">
        <v>4288</v>
      </c>
      <c r="V88" s="16" t="s">
        <v>57</v>
      </c>
      <c r="W88" s="16" t="s">
        <v>4602</v>
      </c>
      <c r="X88" s="16" t="s">
        <v>4716</v>
      </c>
      <c r="Y88" s="16" t="s">
        <v>52</v>
      </c>
      <c r="Z88" s="16" t="s">
        <v>4717</v>
      </c>
      <c r="AA88" s="16" t="s">
        <v>4718</v>
      </c>
      <c r="AB88" s="16">
        <v>4</v>
      </c>
      <c r="AC88" s="22">
        <v>46250</v>
      </c>
      <c r="AD88" s="16" t="s">
        <v>4289</v>
      </c>
      <c r="AE88" s="16" t="s">
        <v>52</v>
      </c>
      <c r="AF88" s="16" t="s">
        <v>4778</v>
      </c>
      <c r="AG88" s="16" t="s">
        <v>4860</v>
      </c>
      <c r="AH88" s="16" t="s">
        <v>52</v>
      </c>
      <c r="AI88" s="16" t="s">
        <v>4858</v>
      </c>
      <c r="AJ88" s="16" t="s">
        <v>4859</v>
      </c>
      <c r="AK88" s="16">
        <v>5</v>
      </c>
      <c r="AL88" s="22">
        <v>46250</v>
      </c>
      <c r="AM88" s="16"/>
      <c r="AN88" s="22"/>
      <c r="AO88" s="17" t="str">
        <f t="shared" si="6"/>
        <v>disagree</v>
      </c>
      <c r="AP88" s="17" t="str">
        <f t="shared" si="7"/>
        <v>agree</v>
      </c>
      <c r="AQ88" s="28" t="s">
        <v>52</v>
      </c>
      <c r="AR88" s="28" t="s">
        <v>52</v>
      </c>
      <c r="AS88" s="28" t="s">
        <v>4967</v>
      </c>
      <c r="AT88" s="17" t="str">
        <f t="shared" si="8"/>
        <v>complete</v>
      </c>
    </row>
    <row r="89" spans="1:46">
      <c r="A89" s="15">
        <v>44</v>
      </c>
      <c r="B89" s="15" t="s">
        <v>42</v>
      </c>
      <c r="C89" s="15" t="s">
        <v>467</v>
      </c>
      <c r="D89" s="15" t="s">
        <v>468</v>
      </c>
      <c r="E89" s="15" t="s">
        <v>45</v>
      </c>
      <c r="F89" s="15">
        <v>1</v>
      </c>
      <c r="G89" s="15" t="s">
        <v>113</v>
      </c>
      <c r="H89" s="15" t="s">
        <v>47</v>
      </c>
      <c r="I89" s="15" t="s">
        <v>469</v>
      </c>
      <c r="J89" s="15" t="s">
        <v>470</v>
      </c>
      <c r="K89" s="15" t="s">
        <v>50</v>
      </c>
      <c r="L89" s="15" t="s">
        <v>64</v>
      </c>
      <c r="M89" s="15" t="s">
        <v>52</v>
      </c>
      <c r="N89" s="15" t="s">
        <v>42</v>
      </c>
      <c r="O89" s="15" t="s">
        <v>42</v>
      </c>
      <c r="P89" s="15" t="s">
        <v>42</v>
      </c>
      <c r="Q89" s="15" t="s">
        <v>65</v>
      </c>
      <c r="R89" s="15" t="s">
        <v>471</v>
      </c>
      <c r="S89" s="15" t="s">
        <v>472</v>
      </c>
      <c r="T89" s="15" t="s">
        <v>473</v>
      </c>
      <c r="U89" s="16" t="s">
        <v>4288</v>
      </c>
      <c r="V89" s="16" t="s">
        <v>42</v>
      </c>
      <c r="W89" s="16" t="s">
        <v>4657</v>
      </c>
      <c r="X89" s="16" t="s">
        <v>4719</v>
      </c>
      <c r="Y89" s="16" t="s">
        <v>57</v>
      </c>
      <c r="Z89" s="16" t="s">
        <v>4767</v>
      </c>
      <c r="AA89" s="16" t="s">
        <v>4720</v>
      </c>
      <c r="AB89" s="16">
        <v>5</v>
      </c>
      <c r="AC89" s="22">
        <v>46250</v>
      </c>
      <c r="AD89" s="16" t="s">
        <v>4289</v>
      </c>
      <c r="AE89" s="16" t="s">
        <v>42</v>
      </c>
      <c r="AF89" s="16" t="s">
        <v>4774</v>
      </c>
      <c r="AG89" s="16" t="s">
        <v>4775</v>
      </c>
      <c r="AH89" s="16" t="s">
        <v>52</v>
      </c>
      <c r="AI89" s="16" t="s">
        <v>4861</v>
      </c>
      <c r="AJ89" s="16" t="s">
        <v>4862</v>
      </c>
      <c r="AK89" s="16">
        <v>4</v>
      </c>
      <c r="AL89" s="22">
        <v>46250</v>
      </c>
      <c r="AM89" s="16"/>
      <c r="AN89" s="22"/>
      <c r="AO89" s="17" t="str">
        <f t="shared" si="6"/>
        <v>agree</v>
      </c>
      <c r="AP89" s="17" t="str">
        <f t="shared" si="7"/>
        <v>disagree</v>
      </c>
      <c r="AQ89" s="28" t="s">
        <v>42</v>
      </c>
      <c r="AR89" s="28" t="s">
        <v>52</v>
      </c>
      <c r="AS89" s="28" t="s">
        <v>4968</v>
      </c>
      <c r="AT89" s="17" t="str">
        <f t="shared" si="8"/>
        <v>complete</v>
      </c>
    </row>
    <row r="90" spans="1:46">
      <c r="A90" s="15">
        <v>44</v>
      </c>
      <c r="B90" s="15" t="s">
        <v>42</v>
      </c>
      <c r="C90" s="15" t="s">
        <v>467</v>
      </c>
      <c r="D90" s="15" t="s">
        <v>468</v>
      </c>
      <c r="E90" s="15" t="s">
        <v>45</v>
      </c>
      <c r="F90" s="15">
        <v>2</v>
      </c>
      <c r="G90" s="15" t="s">
        <v>46</v>
      </c>
      <c r="H90" s="15" t="s">
        <v>47</v>
      </c>
      <c r="I90" s="15" t="s">
        <v>474</v>
      </c>
      <c r="J90" s="15" t="s">
        <v>475</v>
      </c>
      <c r="K90" s="15" t="s">
        <v>50</v>
      </c>
      <c r="L90" s="15" t="s">
        <v>51</v>
      </c>
      <c r="M90" s="15" t="s">
        <v>52</v>
      </c>
      <c r="N90" s="15" t="s">
        <v>52</v>
      </c>
      <c r="O90" s="15" t="s">
        <v>42</v>
      </c>
      <c r="P90" s="15" t="s">
        <v>42</v>
      </c>
      <c r="Q90" s="15" t="s">
        <v>53</v>
      </c>
      <c r="R90" s="15" t="s">
        <v>471</v>
      </c>
      <c r="S90" s="15" t="s">
        <v>472</v>
      </c>
      <c r="T90" s="15" t="s">
        <v>473</v>
      </c>
      <c r="U90" s="16" t="s">
        <v>4288</v>
      </c>
      <c r="V90" s="16" t="s">
        <v>42</v>
      </c>
      <c r="W90" s="16" t="s">
        <v>4602</v>
      </c>
      <c r="X90" s="16" t="s">
        <v>4721</v>
      </c>
      <c r="Y90" s="16" t="s">
        <v>57</v>
      </c>
      <c r="Z90" s="16" t="s">
        <v>4722</v>
      </c>
      <c r="AA90" s="16" t="s">
        <v>4723</v>
      </c>
      <c r="AB90" s="16">
        <v>5</v>
      </c>
      <c r="AC90" s="22">
        <v>46250</v>
      </c>
      <c r="AD90" s="16" t="s">
        <v>4289</v>
      </c>
      <c r="AE90" s="16" t="s">
        <v>42</v>
      </c>
      <c r="AF90" s="16" t="s">
        <v>4778</v>
      </c>
      <c r="AG90" s="16" t="s">
        <v>4779</v>
      </c>
      <c r="AH90" s="16" t="s">
        <v>52</v>
      </c>
      <c r="AI90" s="16" t="s">
        <v>4861</v>
      </c>
      <c r="AJ90" s="16" t="s">
        <v>4862</v>
      </c>
      <c r="AK90" s="16">
        <v>4</v>
      </c>
      <c r="AL90" s="22">
        <v>46250</v>
      </c>
      <c r="AM90" s="16"/>
      <c r="AN90" s="22"/>
      <c r="AO90" s="17" t="str">
        <f t="shared" si="6"/>
        <v>agree</v>
      </c>
      <c r="AP90" s="17" t="str">
        <f t="shared" si="7"/>
        <v>disagree</v>
      </c>
      <c r="AQ90" s="28" t="s">
        <v>42</v>
      </c>
      <c r="AR90" s="28" t="s">
        <v>52</v>
      </c>
      <c r="AS90" s="28" t="s">
        <v>4969</v>
      </c>
      <c r="AT90" s="17" t="str">
        <f t="shared" si="8"/>
        <v>complete</v>
      </c>
    </row>
    <row r="91" spans="1:46">
      <c r="A91" s="15">
        <v>45</v>
      </c>
      <c r="B91" s="15" t="s">
        <v>42</v>
      </c>
      <c r="C91" s="15" t="s">
        <v>476</v>
      </c>
      <c r="D91" s="15" t="s">
        <v>477</v>
      </c>
      <c r="E91" s="15" t="s">
        <v>60</v>
      </c>
      <c r="F91" s="15">
        <v>1</v>
      </c>
      <c r="G91" s="15" t="s">
        <v>61</v>
      </c>
      <c r="H91" s="15" t="s">
        <v>47</v>
      </c>
      <c r="I91" s="15" t="s">
        <v>144</v>
      </c>
      <c r="J91" s="15" t="s">
        <v>478</v>
      </c>
      <c r="K91" s="15" t="s">
        <v>50</v>
      </c>
      <c r="L91" s="15" t="s">
        <v>64</v>
      </c>
      <c r="M91" s="15" t="s">
        <v>52</v>
      </c>
      <c r="N91" s="15" t="s">
        <v>42</v>
      </c>
      <c r="O91" s="15" t="s">
        <v>42</v>
      </c>
      <c r="P91" s="15" t="s">
        <v>42</v>
      </c>
      <c r="Q91" s="15" t="s">
        <v>65</v>
      </c>
      <c r="R91" s="15" t="s">
        <v>479</v>
      </c>
      <c r="S91" s="15" t="s">
        <v>480</v>
      </c>
      <c r="T91" s="15" t="s">
        <v>481</v>
      </c>
      <c r="U91" s="16" t="s">
        <v>4288</v>
      </c>
      <c r="V91" s="16" t="s">
        <v>42</v>
      </c>
      <c r="W91" s="16" t="s">
        <v>4591</v>
      </c>
      <c r="X91" s="16" t="s">
        <v>4724</v>
      </c>
      <c r="Y91" s="16" t="s">
        <v>57</v>
      </c>
      <c r="Z91" s="16" t="s">
        <v>4768</v>
      </c>
      <c r="AA91" s="16" t="s">
        <v>4725</v>
      </c>
      <c r="AB91" s="16">
        <v>5</v>
      </c>
      <c r="AC91" s="22">
        <v>46250</v>
      </c>
      <c r="AD91" s="16" t="s">
        <v>4289</v>
      </c>
      <c r="AE91" s="16" t="s">
        <v>42</v>
      </c>
      <c r="AF91" s="16" t="s">
        <v>4774</v>
      </c>
      <c r="AG91" s="16" t="s">
        <v>4775</v>
      </c>
      <c r="AH91" s="16" t="s">
        <v>52</v>
      </c>
      <c r="AI91" s="16" t="s">
        <v>4863</v>
      </c>
      <c r="AJ91" s="16" t="s">
        <v>4864</v>
      </c>
      <c r="AK91" s="16">
        <v>4</v>
      </c>
      <c r="AL91" s="22">
        <v>46250</v>
      </c>
      <c r="AM91" s="16"/>
      <c r="AN91" s="22"/>
      <c r="AO91" s="17" t="str">
        <f t="shared" si="6"/>
        <v>agree</v>
      </c>
      <c r="AP91" s="17" t="str">
        <f t="shared" si="7"/>
        <v>disagree</v>
      </c>
      <c r="AQ91" s="28" t="s">
        <v>42</v>
      </c>
      <c r="AR91" s="28" t="s">
        <v>52</v>
      </c>
      <c r="AS91" s="28" t="s">
        <v>4970</v>
      </c>
      <c r="AT91" s="17" t="str">
        <f t="shared" si="8"/>
        <v>complete</v>
      </c>
    </row>
    <row r="92" spans="1:46">
      <c r="A92" s="15">
        <v>45</v>
      </c>
      <c r="B92" s="15" t="s">
        <v>42</v>
      </c>
      <c r="C92" s="15" t="s">
        <v>476</v>
      </c>
      <c r="D92" s="15" t="s">
        <v>477</v>
      </c>
      <c r="E92" s="15" t="s">
        <v>60</v>
      </c>
      <c r="F92" s="15">
        <v>2</v>
      </c>
      <c r="G92" s="15" t="s">
        <v>130</v>
      </c>
      <c r="H92" s="15" t="s">
        <v>47</v>
      </c>
      <c r="I92" s="15" t="s">
        <v>149</v>
      </c>
      <c r="J92" s="15" t="s">
        <v>482</v>
      </c>
      <c r="K92" s="15" t="s">
        <v>50</v>
      </c>
      <c r="L92" s="15" t="s">
        <v>51</v>
      </c>
      <c r="M92" s="15" t="s">
        <v>52</v>
      </c>
      <c r="N92" s="15" t="s">
        <v>52</v>
      </c>
      <c r="O92" s="15" t="s">
        <v>42</v>
      </c>
      <c r="P92" s="15" t="s">
        <v>42</v>
      </c>
      <c r="Q92" s="15" t="s">
        <v>53</v>
      </c>
      <c r="R92" s="15" t="s">
        <v>479</v>
      </c>
      <c r="S92" s="15" t="s">
        <v>480</v>
      </c>
      <c r="T92" s="15" t="s">
        <v>481</v>
      </c>
      <c r="U92" s="16" t="s">
        <v>4288</v>
      </c>
      <c r="V92" s="16" t="s">
        <v>42</v>
      </c>
      <c r="W92" s="16" t="s">
        <v>4602</v>
      </c>
      <c r="X92" s="16" t="s">
        <v>4726</v>
      </c>
      <c r="Y92" s="16" t="s">
        <v>57</v>
      </c>
      <c r="Z92" s="16" t="s">
        <v>4727</v>
      </c>
      <c r="AA92" s="16" t="s">
        <v>4728</v>
      </c>
      <c r="AB92" s="16">
        <v>5</v>
      </c>
      <c r="AC92" s="22">
        <v>46250</v>
      </c>
      <c r="AD92" s="16" t="s">
        <v>4289</v>
      </c>
      <c r="AE92" s="16" t="s">
        <v>42</v>
      </c>
      <c r="AF92" s="16" t="s">
        <v>4778</v>
      </c>
      <c r="AG92" s="16" t="s">
        <v>4779</v>
      </c>
      <c r="AH92" s="16" t="s">
        <v>52</v>
      </c>
      <c r="AI92" s="16" t="s">
        <v>4863</v>
      </c>
      <c r="AJ92" s="16" t="s">
        <v>4864</v>
      </c>
      <c r="AK92" s="16">
        <v>4</v>
      </c>
      <c r="AL92" s="22">
        <v>46250</v>
      </c>
      <c r="AM92" s="16"/>
      <c r="AN92" s="22"/>
      <c r="AO92" s="17" t="str">
        <f t="shared" si="6"/>
        <v>agree</v>
      </c>
      <c r="AP92" s="17" t="str">
        <f t="shared" si="7"/>
        <v>disagree</v>
      </c>
      <c r="AQ92" s="28" t="s">
        <v>42</v>
      </c>
      <c r="AR92" s="28" t="s">
        <v>52</v>
      </c>
      <c r="AS92" s="28" t="s">
        <v>4971</v>
      </c>
      <c r="AT92" s="17" t="str">
        <f t="shared" si="8"/>
        <v>complete</v>
      </c>
    </row>
    <row r="93" spans="1:46">
      <c r="A93" s="15">
        <v>46</v>
      </c>
      <c r="B93" s="15" t="s">
        <v>42</v>
      </c>
      <c r="C93" s="15" t="s">
        <v>483</v>
      </c>
      <c r="D93" s="15" t="s">
        <v>484</v>
      </c>
      <c r="E93" s="15" t="s">
        <v>60</v>
      </c>
      <c r="F93" s="15">
        <v>1</v>
      </c>
      <c r="G93" s="15" t="s">
        <v>108</v>
      </c>
      <c r="H93" s="15" t="s">
        <v>47</v>
      </c>
      <c r="I93" s="15" t="s">
        <v>485</v>
      </c>
      <c r="J93" s="15" t="s">
        <v>486</v>
      </c>
      <c r="K93" s="15" t="s">
        <v>50</v>
      </c>
      <c r="L93" s="15" t="s">
        <v>51</v>
      </c>
      <c r="M93" s="15" t="s">
        <v>52</v>
      </c>
      <c r="N93" s="15" t="s">
        <v>52</v>
      </c>
      <c r="O93" s="15" t="s">
        <v>42</v>
      </c>
      <c r="P93" s="15" t="s">
        <v>42</v>
      </c>
      <c r="Q93" s="15" t="s">
        <v>53</v>
      </c>
      <c r="R93" s="15" t="s">
        <v>487</v>
      </c>
      <c r="S93" s="15" t="s">
        <v>488</v>
      </c>
      <c r="T93" s="15" t="s">
        <v>489</v>
      </c>
      <c r="U93" s="16" t="s">
        <v>4288</v>
      </c>
      <c r="V93" s="16" t="s">
        <v>57</v>
      </c>
      <c r="W93" s="16" t="s">
        <v>4602</v>
      </c>
      <c r="X93" s="16" t="s">
        <v>4729</v>
      </c>
      <c r="Y93" s="16" t="s">
        <v>52</v>
      </c>
      <c r="Z93" s="16" t="s">
        <v>4769</v>
      </c>
      <c r="AA93" s="16" t="s">
        <v>4730</v>
      </c>
      <c r="AB93" s="16">
        <v>4</v>
      </c>
      <c r="AC93" s="22">
        <v>46250</v>
      </c>
      <c r="AD93" s="16" t="s">
        <v>4289</v>
      </c>
      <c r="AE93" s="16" t="s">
        <v>57</v>
      </c>
      <c r="AF93" s="16" t="s">
        <v>4778</v>
      </c>
      <c r="AG93" s="16" t="s">
        <v>4865</v>
      </c>
      <c r="AH93" s="16" t="s">
        <v>52</v>
      </c>
      <c r="AI93" s="16" t="s">
        <v>4866</v>
      </c>
      <c r="AJ93" s="16" t="s">
        <v>4867</v>
      </c>
      <c r="AK93" s="16">
        <v>4</v>
      </c>
      <c r="AL93" s="22">
        <v>46250</v>
      </c>
      <c r="AM93" s="16"/>
      <c r="AN93" s="22"/>
      <c r="AO93" s="17" t="str">
        <f t="shared" si="6"/>
        <v>agree</v>
      </c>
      <c r="AP93" s="17" t="str">
        <f t="shared" si="7"/>
        <v>agree</v>
      </c>
      <c r="AQ93" s="28" t="s">
        <v>57</v>
      </c>
      <c r="AR93" s="28" t="s">
        <v>52</v>
      </c>
      <c r="AS93" s="28" t="s">
        <v>4972</v>
      </c>
      <c r="AT93" s="17" t="str">
        <f t="shared" si="8"/>
        <v>complete</v>
      </c>
    </row>
    <row r="94" spans="1:46">
      <c r="A94" s="15">
        <v>46</v>
      </c>
      <c r="B94" s="15" t="s">
        <v>42</v>
      </c>
      <c r="C94" s="15" t="s">
        <v>483</v>
      </c>
      <c r="D94" s="15" t="s">
        <v>484</v>
      </c>
      <c r="E94" s="15" t="s">
        <v>60</v>
      </c>
      <c r="F94" s="15">
        <v>2</v>
      </c>
      <c r="G94" s="15" t="s">
        <v>61</v>
      </c>
      <c r="H94" s="15" t="s">
        <v>47</v>
      </c>
      <c r="I94" s="15" t="s">
        <v>490</v>
      </c>
      <c r="J94" s="15" t="s">
        <v>491</v>
      </c>
      <c r="K94" s="15" t="s">
        <v>50</v>
      </c>
      <c r="L94" s="15" t="s">
        <v>64</v>
      </c>
      <c r="M94" s="15" t="s">
        <v>52</v>
      </c>
      <c r="N94" s="15" t="s">
        <v>42</v>
      </c>
      <c r="O94" s="15" t="s">
        <v>42</v>
      </c>
      <c r="P94" s="15" t="s">
        <v>42</v>
      </c>
      <c r="Q94" s="15" t="s">
        <v>65</v>
      </c>
      <c r="R94" s="15" t="s">
        <v>487</v>
      </c>
      <c r="S94" s="15" t="s">
        <v>488</v>
      </c>
      <c r="T94" s="15" t="s">
        <v>489</v>
      </c>
      <c r="U94" s="16" t="s">
        <v>4288</v>
      </c>
      <c r="V94" s="16" t="s">
        <v>57</v>
      </c>
      <c r="W94" s="16" t="s">
        <v>4591</v>
      </c>
      <c r="X94" s="16" t="s">
        <v>4731</v>
      </c>
      <c r="Y94" s="16" t="s">
        <v>52</v>
      </c>
      <c r="Z94" s="16" t="s">
        <v>4732</v>
      </c>
      <c r="AA94" s="16" t="s">
        <v>4733</v>
      </c>
      <c r="AB94" s="16">
        <v>4</v>
      </c>
      <c r="AC94" s="22">
        <v>46250</v>
      </c>
      <c r="AD94" s="16" t="s">
        <v>4289</v>
      </c>
      <c r="AE94" s="16" t="s">
        <v>57</v>
      </c>
      <c r="AF94" s="16" t="s">
        <v>4774</v>
      </c>
      <c r="AG94" s="16" t="s">
        <v>4868</v>
      </c>
      <c r="AH94" s="16" t="s">
        <v>52</v>
      </c>
      <c r="AI94" s="16" t="s">
        <v>4866</v>
      </c>
      <c r="AJ94" s="16" t="s">
        <v>4867</v>
      </c>
      <c r="AK94" s="16">
        <v>4</v>
      </c>
      <c r="AL94" s="22">
        <v>46250</v>
      </c>
      <c r="AM94" s="16"/>
      <c r="AN94" s="22"/>
      <c r="AO94" s="17" t="str">
        <f t="shared" si="6"/>
        <v>agree</v>
      </c>
      <c r="AP94" s="17" t="str">
        <f t="shared" si="7"/>
        <v>agree</v>
      </c>
      <c r="AQ94" s="28" t="s">
        <v>57</v>
      </c>
      <c r="AR94" s="28" t="s">
        <v>52</v>
      </c>
      <c r="AS94" s="28" t="s">
        <v>4973</v>
      </c>
      <c r="AT94" s="17" t="str">
        <f t="shared" si="8"/>
        <v>complete</v>
      </c>
    </row>
    <row r="95" spans="1:46">
      <c r="A95" s="15">
        <v>47</v>
      </c>
      <c r="B95" s="15" t="s">
        <v>42</v>
      </c>
      <c r="C95" s="15" t="s">
        <v>492</v>
      </c>
      <c r="D95" s="15" t="s">
        <v>122</v>
      </c>
      <c r="E95" s="15" t="s">
        <v>60</v>
      </c>
      <c r="F95" s="15">
        <v>1</v>
      </c>
      <c r="G95" s="15" t="s">
        <v>493</v>
      </c>
      <c r="H95" s="15" t="s">
        <v>47</v>
      </c>
      <c r="I95" s="15" t="s">
        <v>494</v>
      </c>
      <c r="J95" s="15" t="s">
        <v>495</v>
      </c>
      <c r="K95" s="15" t="s">
        <v>50</v>
      </c>
      <c r="L95" s="15" t="s">
        <v>190</v>
      </c>
      <c r="M95" s="15" t="s">
        <v>42</v>
      </c>
      <c r="N95" s="15" t="s">
        <v>42</v>
      </c>
      <c r="O95" s="15" t="s">
        <v>42</v>
      </c>
      <c r="P95" s="15" t="s">
        <v>42</v>
      </c>
      <c r="Q95" s="15" t="s">
        <v>126</v>
      </c>
      <c r="R95" s="15" t="s">
        <v>127</v>
      </c>
      <c r="S95" s="15" t="s">
        <v>128</v>
      </c>
      <c r="T95" s="15" t="s">
        <v>129</v>
      </c>
      <c r="U95" s="16" t="s">
        <v>4288</v>
      </c>
      <c r="V95" s="16" t="s">
        <v>57</v>
      </c>
      <c r="W95" s="16" t="s">
        <v>4452</v>
      </c>
      <c r="X95" s="16" t="s">
        <v>4453</v>
      </c>
      <c r="Y95" s="16" t="s">
        <v>42</v>
      </c>
      <c r="Z95" s="16" t="s">
        <v>4454</v>
      </c>
      <c r="AA95" s="16" t="s">
        <v>4455</v>
      </c>
      <c r="AB95" s="16">
        <v>4</v>
      </c>
      <c r="AC95" s="22">
        <v>46251</v>
      </c>
      <c r="AD95" s="16" t="s">
        <v>4289</v>
      </c>
      <c r="AE95" s="16" t="s">
        <v>57</v>
      </c>
      <c r="AF95" s="16" t="s">
        <v>4456</v>
      </c>
      <c r="AG95" s="16" t="s">
        <v>4457</v>
      </c>
      <c r="AH95" s="16" t="s">
        <v>52</v>
      </c>
      <c r="AI95" s="16" t="s">
        <v>4458</v>
      </c>
      <c r="AJ95" s="16" t="s">
        <v>4459</v>
      </c>
      <c r="AK95" s="16">
        <v>3</v>
      </c>
      <c r="AL95" s="22">
        <v>46251</v>
      </c>
      <c r="AM95" s="16"/>
      <c r="AN95" s="22"/>
      <c r="AO95" s="17" t="str">
        <f t="shared" si="6"/>
        <v>agree</v>
      </c>
      <c r="AP95" s="17" t="str">
        <f t="shared" si="7"/>
        <v>disagree</v>
      </c>
      <c r="AQ95" s="28" t="s">
        <v>57</v>
      </c>
      <c r="AR95" s="28" t="s">
        <v>57</v>
      </c>
      <c r="AS95" s="28" t="s">
        <v>4974</v>
      </c>
      <c r="AT95" s="17" t="str">
        <f t="shared" si="8"/>
        <v>complete</v>
      </c>
    </row>
    <row r="96" spans="1:46">
      <c r="A96" s="15">
        <v>47</v>
      </c>
      <c r="B96" s="15" t="s">
        <v>42</v>
      </c>
      <c r="C96" s="15" t="s">
        <v>492</v>
      </c>
      <c r="D96" s="15" t="s">
        <v>122</v>
      </c>
      <c r="E96" s="15" t="s">
        <v>60</v>
      </c>
      <c r="F96" s="15">
        <v>2</v>
      </c>
      <c r="G96" s="15" t="s">
        <v>496</v>
      </c>
      <c r="H96" s="15" t="s">
        <v>47</v>
      </c>
      <c r="I96" s="15" t="s">
        <v>497</v>
      </c>
      <c r="J96" s="15" t="s">
        <v>498</v>
      </c>
      <c r="K96" s="15" t="s">
        <v>87</v>
      </c>
      <c r="L96" s="15" t="s">
        <v>51</v>
      </c>
      <c r="M96" s="15" t="s">
        <v>52</v>
      </c>
      <c r="N96" s="15" t="s">
        <v>52</v>
      </c>
      <c r="O96" s="15" t="s">
        <v>42</v>
      </c>
      <c r="P96" s="15" t="s">
        <v>42</v>
      </c>
      <c r="Q96" s="15" t="s">
        <v>499</v>
      </c>
      <c r="R96" s="15" t="s">
        <v>127</v>
      </c>
      <c r="S96" s="15" t="s">
        <v>128</v>
      </c>
      <c r="T96" s="15" t="s">
        <v>129</v>
      </c>
      <c r="U96" s="16" t="s">
        <v>4288</v>
      </c>
      <c r="V96" s="16" t="s">
        <v>57</v>
      </c>
      <c r="W96" s="16" t="s">
        <v>4734</v>
      </c>
      <c r="X96" s="16" t="s">
        <v>4735</v>
      </c>
      <c r="Y96" s="16" t="s">
        <v>57</v>
      </c>
      <c r="Z96" s="16" t="s">
        <v>4770</v>
      </c>
      <c r="AA96" s="16" t="s">
        <v>4736</v>
      </c>
      <c r="AB96" s="16">
        <v>4</v>
      </c>
      <c r="AC96" s="22">
        <v>46250</v>
      </c>
      <c r="AD96" s="16" t="s">
        <v>4289</v>
      </c>
      <c r="AE96" s="16" t="s">
        <v>57</v>
      </c>
      <c r="AF96" s="16" t="s">
        <v>4869</v>
      </c>
      <c r="AG96" s="16" t="s">
        <v>4870</v>
      </c>
      <c r="AH96" s="16" t="s">
        <v>52</v>
      </c>
      <c r="AI96" s="16" t="s">
        <v>4871</v>
      </c>
      <c r="AJ96" s="16" t="s">
        <v>4872</v>
      </c>
      <c r="AK96" s="16">
        <v>3</v>
      </c>
      <c r="AL96" s="22">
        <v>46250</v>
      </c>
      <c r="AM96" s="16"/>
      <c r="AN96" s="22"/>
      <c r="AO96" s="17" t="str">
        <f t="shared" si="6"/>
        <v>agree</v>
      </c>
      <c r="AP96" s="17" t="str">
        <f t="shared" si="7"/>
        <v>disagree</v>
      </c>
      <c r="AQ96" s="28" t="s">
        <v>57</v>
      </c>
      <c r="AR96" s="28" t="s">
        <v>52</v>
      </c>
      <c r="AS96" s="28" t="s">
        <v>4975</v>
      </c>
      <c r="AT96" s="17" t="str">
        <f t="shared" si="8"/>
        <v>complete</v>
      </c>
    </row>
    <row r="97" spans="1:46">
      <c r="A97" s="15">
        <v>48</v>
      </c>
      <c r="B97" s="15" t="s">
        <v>42</v>
      </c>
      <c r="C97" s="15" t="s">
        <v>500</v>
      </c>
      <c r="D97" s="15" t="s">
        <v>122</v>
      </c>
      <c r="E97" s="15" t="s">
        <v>60</v>
      </c>
      <c r="F97" s="15">
        <v>1</v>
      </c>
      <c r="G97" s="15" t="s">
        <v>123</v>
      </c>
      <c r="H97" s="15" t="s">
        <v>47</v>
      </c>
      <c r="I97" s="15" t="s">
        <v>501</v>
      </c>
      <c r="J97" s="15" t="s">
        <v>502</v>
      </c>
      <c r="K97" s="15" t="s">
        <v>50</v>
      </c>
      <c r="L97" s="15" t="s">
        <v>51</v>
      </c>
      <c r="M97" s="15" t="s">
        <v>52</v>
      </c>
      <c r="N97" s="15" t="s">
        <v>52</v>
      </c>
      <c r="O97" s="15" t="s">
        <v>42</v>
      </c>
      <c r="P97" s="15" t="s">
        <v>42</v>
      </c>
      <c r="Q97" s="15" t="s">
        <v>126</v>
      </c>
      <c r="R97" s="15" t="s">
        <v>503</v>
      </c>
      <c r="S97" s="15" t="s">
        <v>504</v>
      </c>
      <c r="T97" s="15" t="s">
        <v>505</v>
      </c>
      <c r="U97" s="16" t="s">
        <v>4288</v>
      </c>
      <c r="V97" s="16" t="s">
        <v>52</v>
      </c>
      <c r="W97" s="16" t="s">
        <v>4737</v>
      </c>
      <c r="X97" s="16" t="s">
        <v>4738</v>
      </c>
      <c r="Y97" s="16" t="s">
        <v>57</v>
      </c>
      <c r="Z97" s="16" t="s">
        <v>4771</v>
      </c>
      <c r="AA97" s="16" t="s">
        <v>4739</v>
      </c>
      <c r="AB97" s="16">
        <v>5</v>
      </c>
      <c r="AC97" s="22">
        <v>46250</v>
      </c>
      <c r="AD97" s="16" t="s">
        <v>4289</v>
      </c>
      <c r="AE97" s="16" t="s">
        <v>52</v>
      </c>
      <c r="AF97" s="16" t="s">
        <v>4873</v>
      </c>
      <c r="AG97" s="16" t="s">
        <v>4874</v>
      </c>
      <c r="AH97" s="16" t="s">
        <v>52</v>
      </c>
      <c r="AI97" s="16" t="s">
        <v>4875</v>
      </c>
      <c r="AJ97" s="16" t="s">
        <v>4876</v>
      </c>
      <c r="AK97" s="16">
        <v>5</v>
      </c>
      <c r="AL97" s="22">
        <v>46250</v>
      </c>
      <c r="AM97" s="16"/>
      <c r="AN97" s="22"/>
      <c r="AO97" s="17" t="str">
        <f t="shared" si="6"/>
        <v>agree</v>
      </c>
      <c r="AP97" s="17" t="str">
        <f t="shared" si="7"/>
        <v>disagree</v>
      </c>
      <c r="AQ97" s="28" t="s">
        <v>52</v>
      </c>
      <c r="AR97" s="28" t="s">
        <v>52</v>
      </c>
      <c r="AS97" s="28" t="s">
        <v>4976</v>
      </c>
      <c r="AT97" s="17" t="str">
        <f t="shared" si="8"/>
        <v>complete</v>
      </c>
    </row>
    <row r="98" spans="1:46">
      <c r="A98" s="15">
        <v>49</v>
      </c>
      <c r="B98" s="15" t="s">
        <v>42</v>
      </c>
      <c r="C98" s="15" t="s">
        <v>506</v>
      </c>
      <c r="D98" s="15" t="s">
        <v>507</v>
      </c>
      <c r="E98" s="15" t="s">
        <v>60</v>
      </c>
      <c r="F98" s="15">
        <v>1</v>
      </c>
      <c r="G98" s="15" t="s">
        <v>61</v>
      </c>
      <c r="H98" s="15" t="s">
        <v>47</v>
      </c>
      <c r="I98" s="15" t="s">
        <v>508</v>
      </c>
      <c r="J98" s="15" t="s">
        <v>509</v>
      </c>
      <c r="K98" s="15" t="s">
        <v>50</v>
      </c>
      <c r="L98" s="15" t="s">
        <v>64</v>
      </c>
      <c r="M98" s="15" t="s">
        <v>52</v>
      </c>
      <c r="N98" s="15" t="s">
        <v>42</v>
      </c>
      <c r="O98" s="15" t="s">
        <v>42</v>
      </c>
      <c r="P98" s="15" t="s">
        <v>42</v>
      </c>
      <c r="Q98" s="15" t="s">
        <v>65</v>
      </c>
      <c r="R98" s="15" t="s">
        <v>510</v>
      </c>
      <c r="S98" s="15" t="s">
        <v>511</v>
      </c>
      <c r="T98" s="15" t="s">
        <v>512</v>
      </c>
      <c r="U98" s="16" t="s">
        <v>4288</v>
      </c>
      <c r="V98" s="16" t="s">
        <v>57</v>
      </c>
      <c r="W98" s="16" t="s">
        <v>4591</v>
      </c>
      <c r="X98" s="16" t="s">
        <v>4740</v>
      </c>
      <c r="Y98" s="16" t="s">
        <v>57</v>
      </c>
      <c r="Z98" s="16" t="s">
        <v>4772</v>
      </c>
      <c r="AA98" s="16" t="s">
        <v>4741</v>
      </c>
      <c r="AB98" s="16">
        <v>4</v>
      </c>
      <c r="AC98" s="22">
        <v>46250</v>
      </c>
      <c r="AD98" s="16" t="s">
        <v>4289</v>
      </c>
      <c r="AE98" s="16" t="s">
        <v>57</v>
      </c>
      <c r="AF98" s="16" t="s">
        <v>4774</v>
      </c>
      <c r="AG98" s="16" t="s">
        <v>4877</v>
      </c>
      <c r="AH98" s="16" t="s">
        <v>52</v>
      </c>
      <c r="AI98" s="16" t="s">
        <v>4878</v>
      </c>
      <c r="AJ98" s="16" t="s">
        <v>4879</v>
      </c>
      <c r="AK98" s="16">
        <v>4</v>
      </c>
      <c r="AL98" s="22">
        <v>46250</v>
      </c>
      <c r="AM98" s="16"/>
      <c r="AN98" s="22"/>
      <c r="AO98" s="17" t="str">
        <f t="shared" ref="AO98:AO116" si="9">IF(OR(V98="",AE98=""),"",IF(V98=AE98,"agree","disagree"))</f>
        <v>agree</v>
      </c>
      <c r="AP98" s="17" t="str">
        <f t="shared" ref="AP98:AP116" si="10">IF(OR(Y98="",AH98=""),"",IF(Y98=AH98,"agree","disagree"))</f>
        <v>disagree</v>
      </c>
      <c r="AQ98" s="28" t="s">
        <v>57</v>
      </c>
      <c r="AR98" s="28" t="s">
        <v>57</v>
      </c>
      <c r="AS98" s="28" t="s">
        <v>4977</v>
      </c>
      <c r="AT98" s="17" t="str">
        <f t="shared" ref="AT98:AT116" si="11">IF(B98="no","not sampled",IF(AND(V98&lt;&gt;"",Y98&lt;&gt;""),"complete","pending"))</f>
        <v>complete</v>
      </c>
    </row>
    <row r="99" spans="1:46">
      <c r="A99" s="15">
        <v>50</v>
      </c>
      <c r="B99" s="15" t="s">
        <v>42</v>
      </c>
      <c r="C99" s="15" t="s">
        <v>513</v>
      </c>
      <c r="D99" s="15" t="s">
        <v>98</v>
      </c>
      <c r="E99" s="15" t="s">
        <v>60</v>
      </c>
      <c r="F99" s="15">
        <v>1</v>
      </c>
      <c r="G99" s="15" t="s">
        <v>61</v>
      </c>
      <c r="H99" s="15" t="s">
        <v>47</v>
      </c>
      <c r="I99" s="15" t="s">
        <v>514</v>
      </c>
      <c r="J99" s="15" t="s">
        <v>515</v>
      </c>
      <c r="K99" s="15" t="s">
        <v>50</v>
      </c>
      <c r="L99" s="15" t="s">
        <v>64</v>
      </c>
      <c r="M99" s="15" t="s">
        <v>52</v>
      </c>
      <c r="N99" s="15" t="s">
        <v>42</v>
      </c>
      <c r="O99" s="15" t="s">
        <v>42</v>
      </c>
      <c r="P99" s="15" t="s">
        <v>42</v>
      </c>
      <c r="Q99" s="15" t="s">
        <v>65</v>
      </c>
      <c r="R99" s="15" t="s">
        <v>516</v>
      </c>
      <c r="S99" s="15" t="s">
        <v>517</v>
      </c>
      <c r="T99" s="15" t="s">
        <v>518</v>
      </c>
      <c r="U99" s="16" t="s">
        <v>4288</v>
      </c>
      <c r="V99" s="16" t="s">
        <v>42</v>
      </c>
      <c r="W99" s="16" t="s">
        <v>4591</v>
      </c>
      <c r="X99" s="16" t="s">
        <v>4742</v>
      </c>
      <c r="Y99" s="16" t="s">
        <v>57</v>
      </c>
      <c r="Z99" s="16" t="s">
        <v>4773</v>
      </c>
      <c r="AA99" s="16" t="s">
        <v>4743</v>
      </c>
      <c r="AB99" s="16">
        <v>5</v>
      </c>
      <c r="AC99" s="22">
        <v>46250</v>
      </c>
      <c r="AD99" s="16" t="s">
        <v>4289</v>
      </c>
      <c r="AE99" s="16" t="s">
        <v>42</v>
      </c>
      <c r="AF99" s="16" t="s">
        <v>4774</v>
      </c>
      <c r="AG99" s="16" t="s">
        <v>4775</v>
      </c>
      <c r="AH99" s="16" t="s">
        <v>52</v>
      </c>
      <c r="AI99" s="16" t="s">
        <v>4880</v>
      </c>
      <c r="AJ99" s="16" t="s">
        <v>4881</v>
      </c>
      <c r="AK99" s="16">
        <v>4</v>
      </c>
      <c r="AL99" s="22">
        <v>46250</v>
      </c>
      <c r="AM99" s="16"/>
      <c r="AN99" s="22"/>
      <c r="AO99" s="17" t="str">
        <f t="shared" si="9"/>
        <v>agree</v>
      </c>
      <c r="AP99" s="17" t="str">
        <f t="shared" si="10"/>
        <v>disagree</v>
      </c>
      <c r="AQ99" s="28" t="s">
        <v>42</v>
      </c>
      <c r="AR99" s="28" t="s">
        <v>52</v>
      </c>
      <c r="AS99" s="28" t="s">
        <v>4978</v>
      </c>
      <c r="AT99" s="17" t="str">
        <f t="shared" si="11"/>
        <v>complete</v>
      </c>
    </row>
    <row r="100" spans="1:46" hidden="1">
      <c r="A100" s="15"/>
      <c r="B100" s="15" t="s">
        <v>52</v>
      </c>
      <c r="C100" s="15" t="s">
        <v>519</v>
      </c>
      <c r="D100" s="15" t="s">
        <v>520</v>
      </c>
      <c r="E100" s="15" t="s">
        <v>45</v>
      </c>
      <c r="F100" s="15">
        <v>1</v>
      </c>
      <c r="G100" s="15" t="s">
        <v>521</v>
      </c>
      <c r="H100" s="15" t="s">
        <v>47</v>
      </c>
      <c r="I100" s="15" t="s">
        <v>522</v>
      </c>
      <c r="J100" s="15" t="s">
        <v>523</v>
      </c>
      <c r="K100" s="15" t="s">
        <v>50</v>
      </c>
      <c r="L100" s="15" t="s">
        <v>302</v>
      </c>
      <c r="M100" s="15" t="s">
        <v>52</v>
      </c>
      <c r="N100" s="15" t="s">
        <v>42</v>
      </c>
      <c r="O100" s="15" t="s">
        <v>42</v>
      </c>
      <c r="P100" s="15" t="s">
        <v>42</v>
      </c>
      <c r="Q100" s="15" t="s">
        <v>191</v>
      </c>
      <c r="R100" s="15" t="s">
        <v>524</v>
      </c>
      <c r="S100" s="15" t="s">
        <v>525</v>
      </c>
      <c r="T100" s="15" t="s">
        <v>526</v>
      </c>
      <c r="U100" s="16"/>
      <c r="V100" s="16"/>
      <c r="W100" s="16"/>
      <c r="X100" s="16"/>
      <c r="Y100" s="16"/>
      <c r="Z100" s="16"/>
      <c r="AA100" s="16"/>
      <c r="AB100" s="16"/>
      <c r="AC100" s="16"/>
      <c r="AD100" s="16"/>
      <c r="AE100" s="16"/>
      <c r="AF100" s="16"/>
      <c r="AG100" s="16"/>
      <c r="AH100" s="16"/>
      <c r="AI100" s="16"/>
      <c r="AJ100" s="16"/>
      <c r="AK100" s="16"/>
      <c r="AL100" s="16"/>
      <c r="AM100" s="16"/>
      <c r="AN100" s="16"/>
      <c r="AO100" s="17" t="str">
        <f t="shared" si="9"/>
        <v/>
      </c>
      <c r="AP100" s="17" t="str">
        <f t="shared" si="10"/>
        <v/>
      </c>
      <c r="AQ100" s="18"/>
      <c r="AR100" s="18"/>
      <c r="AS100" s="18"/>
      <c r="AT100" s="17" t="str">
        <f t="shared" si="11"/>
        <v>not sampled</v>
      </c>
    </row>
    <row r="101" spans="1:46" hidden="1">
      <c r="A101" s="15"/>
      <c r="B101" s="15" t="s">
        <v>52</v>
      </c>
      <c r="C101" s="15" t="s">
        <v>519</v>
      </c>
      <c r="D101" s="15" t="s">
        <v>520</v>
      </c>
      <c r="E101" s="15" t="s">
        <v>45</v>
      </c>
      <c r="F101" s="15">
        <v>2</v>
      </c>
      <c r="G101" s="15" t="s">
        <v>527</v>
      </c>
      <c r="H101" s="15" t="s">
        <v>47</v>
      </c>
      <c r="I101" s="15" t="s">
        <v>528</v>
      </c>
      <c r="J101" s="15" t="s">
        <v>529</v>
      </c>
      <c r="K101" s="15" t="s">
        <v>50</v>
      </c>
      <c r="L101" s="15" t="s">
        <v>302</v>
      </c>
      <c r="M101" s="15" t="s">
        <v>52</v>
      </c>
      <c r="N101" s="15" t="s">
        <v>42</v>
      </c>
      <c r="O101" s="15" t="s">
        <v>42</v>
      </c>
      <c r="P101" s="15" t="s">
        <v>42</v>
      </c>
      <c r="Q101" s="15" t="s">
        <v>530</v>
      </c>
      <c r="R101" s="15" t="s">
        <v>524</v>
      </c>
      <c r="S101" s="15" t="s">
        <v>525</v>
      </c>
      <c r="T101" s="15" t="s">
        <v>526</v>
      </c>
      <c r="U101" s="16"/>
      <c r="V101" s="16"/>
      <c r="W101" s="16"/>
      <c r="X101" s="16"/>
      <c r="Y101" s="16"/>
      <c r="Z101" s="16"/>
      <c r="AA101" s="16"/>
      <c r="AB101" s="16"/>
      <c r="AC101" s="16"/>
      <c r="AD101" s="16"/>
      <c r="AE101" s="16"/>
      <c r="AF101" s="16"/>
      <c r="AG101" s="16"/>
      <c r="AH101" s="16"/>
      <c r="AI101" s="16"/>
      <c r="AJ101" s="16"/>
      <c r="AK101" s="16"/>
      <c r="AL101" s="16"/>
      <c r="AM101" s="16"/>
      <c r="AN101" s="16"/>
      <c r="AO101" s="17" t="str">
        <f t="shared" si="9"/>
        <v/>
      </c>
      <c r="AP101" s="17" t="str">
        <f t="shared" si="10"/>
        <v/>
      </c>
      <c r="AQ101" s="18"/>
      <c r="AR101" s="18"/>
      <c r="AS101" s="18"/>
      <c r="AT101" s="17" t="str">
        <f t="shared" si="11"/>
        <v>not sampled</v>
      </c>
    </row>
    <row r="102" spans="1:46" hidden="1">
      <c r="A102" s="15"/>
      <c r="B102" s="15" t="s">
        <v>52</v>
      </c>
      <c r="C102" s="15" t="s">
        <v>531</v>
      </c>
      <c r="D102" s="15" t="s">
        <v>152</v>
      </c>
      <c r="E102" s="15" t="s">
        <v>45</v>
      </c>
      <c r="F102" s="15">
        <v>1</v>
      </c>
      <c r="G102" s="15" t="s">
        <v>130</v>
      </c>
      <c r="H102" s="15" t="s">
        <v>47</v>
      </c>
      <c r="I102" s="15" t="s">
        <v>532</v>
      </c>
      <c r="J102" s="15" t="s">
        <v>533</v>
      </c>
      <c r="K102" s="15" t="s">
        <v>50</v>
      </c>
      <c r="L102" s="15" t="s">
        <v>51</v>
      </c>
      <c r="M102" s="15" t="s">
        <v>52</v>
      </c>
      <c r="N102" s="15" t="s">
        <v>52</v>
      </c>
      <c r="O102" s="15" t="s">
        <v>42</v>
      </c>
      <c r="P102" s="15" t="s">
        <v>42</v>
      </c>
      <c r="Q102" s="15" t="s">
        <v>53</v>
      </c>
      <c r="R102" s="15" t="s">
        <v>534</v>
      </c>
      <c r="S102" s="15" t="s">
        <v>535</v>
      </c>
      <c r="T102" s="15" t="s">
        <v>536</v>
      </c>
      <c r="U102" s="16"/>
      <c r="V102" s="16"/>
      <c r="W102" s="16"/>
      <c r="X102" s="16"/>
      <c r="Y102" s="16"/>
      <c r="Z102" s="16"/>
      <c r="AA102" s="16"/>
      <c r="AB102" s="16"/>
      <c r="AC102" s="16"/>
      <c r="AD102" s="16"/>
      <c r="AE102" s="16"/>
      <c r="AF102" s="16"/>
      <c r="AG102" s="16"/>
      <c r="AH102" s="16"/>
      <c r="AI102" s="16"/>
      <c r="AJ102" s="16"/>
      <c r="AK102" s="16"/>
      <c r="AL102" s="16"/>
      <c r="AM102" s="16"/>
      <c r="AN102" s="16"/>
      <c r="AO102" s="17" t="str">
        <f t="shared" si="9"/>
        <v/>
      </c>
      <c r="AP102" s="17" t="str">
        <f t="shared" si="10"/>
        <v/>
      </c>
      <c r="AQ102" s="18"/>
      <c r="AR102" s="18"/>
      <c r="AS102" s="18"/>
      <c r="AT102" s="17" t="str">
        <f t="shared" si="11"/>
        <v>not sampled</v>
      </c>
    </row>
    <row r="103" spans="1:46" hidden="1">
      <c r="A103" s="15"/>
      <c r="B103" s="15" t="s">
        <v>52</v>
      </c>
      <c r="C103" s="15" t="s">
        <v>531</v>
      </c>
      <c r="D103" s="15" t="s">
        <v>152</v>
      </c>
      <c r="E103" s="15" t="s">
        <v>45</v>
      </c>
      <c r="F103" s="15">
        <v>2</v>
      </c>
      <c r="G103" s="15" t="s">
        <v>61</v>
      </c>
      <c r="H103" s="15" t="s">
        <v>47</v>
      </c>
      <c r="I103" s="15" t="s">
        <v>114</v>
      </c>
      <c r="J103" s="15" t="s">
        <v>537</v>
      </c>
      <c r="K103" s="15" t="s">
        <v>50</v>
      </c>
      <c r="L103" s="15" t="s">
        <v>64</v>
      </c>
      <c r="M103" s="15" t="s">
        <v>52</v>
      </c>
      <c r="N103" s="15" t="s">
        <v>42</v>
      </c>
      <c r="O103" s="15" t="s">
        <v>42</v>
      </c>
      <c r="P103" s="15" t="s">
        <v>42</v>
      </c>
      <c r="Q103" s="15" t="s">
        <v>65</v>
      </c>
      <c r="R103" s="15" t="s">
        <v>534</v>
      </c>
      <c r="S103" s="15" t="s">
        <v>535</v>
      </c>
      <c r="T103" s="15" t="s">
        <v>536</v>
      </c>
      <c r="U103" s="16"/>
      <c r="V103" s="16"/>
      <c r="W103" s="16"/>
      <c r="X103" s="16"/>
      <c r="Y103" s="16"/>
      <c r="Z103" s="16"/>
      <c r="AA103" s="16"/>
      <c r="AB103" s="16"/>
      <c r="AC103" s="16"/>
      <c r="AD103" s="16"/>
      <c r="AE103" s="16"/>
      <c r="AF103" s="16"/>
      <c r="AG103" s="16"/>
      <c r="AH103" s="16"/>
      <c r="AI103" s="16"/>
      <c r="AJ103" s="16"/>
      <c r="AK103" s="16"/>
      <c r="AL103" s="16"/>
      <c r="AM103" s="16"/>
      <c r="AN103" s="16"/>
      <c r="AO103" s="17" t="str">
        <f t="shared" si="9"/>
        <v/>
      </c>
      <c r="AP103" s="17" t="str">
        <f t="shared" si="10"/>
        <v/>
      </c>
      <c r="AQ103" s="18"/>
      <c r="AR103" s="18"/>
      <c r="AS103" s="18"/>
      <c r="AT103" s="17" t="str">
        <f t="shared" si="11"/>
        <v>not sampled</v>
      </c>
    </row>
    <row r="104" spans="1:46" hidden="1">
      <c r="A104" s="15"/>
      <c r="B104" s="15" t="s">
        <v>52</v>
      </c>
      <c r="C104" s="15" t="s">
        <v>538</v>
      </c>
      <c r="D104" s="15" t="s">
        <v>211</v>
      </c>
      <c r="E104" s="15" t="s">
        <v>45</v>
      </c>
      <c r="F104" s="15">
        <v>1</v>
      </c>
      <c r="G104" s="15" t="s">
        <v>61</v>
      </c>
      <c r="H104" s="15" t="s">
        <v>47</v>
      </c>
      <c r="I104" s="15" t="s">
        <v>539</v>
      </c>
      <c r="J104" s="15" t="s">
        <v>540</v>
      </c>
      <c r="K104" s="15" t="s">
        <v>50</v>
      </c>
      <c r="L104" s="15" t="s">
        <v>64</v>
      </c>
      <c r="M104" s="15" t="s">
        <v>52</v>
      </c>
      <c r="N104" s="15" t="s">
        <v>42</v>
      </c>
      <c r="O104" s="15" t="s">
        <v>42</v>
      </c>
      <c r="P104" s="15" t="s">
        <v>42</v>
      </c>
      <c r="Q104" s="15" t="s">
        <v>65</v>
      </c>
      <c r="R104" s="15" t="s">
        <v>219</v>
      </c>
      <c r="S104" s="15" t="s">
        <v>220</v>
      </c>
      <c r="T104" s="15" t="s">
        <v>221</v>
      </c>
      <c r="U104" s="16"/>
      <c r="V104" s="16"/>
      <c r="W104" s="16"/>
      <c r="X104" s="16"/>
      <c r="Y104" s="16"/>
      <c r="Z104" s="16"/>
      <c r="AA104" s="16"/>
      <c r="AB104" s="16"/>
      <c r="AC104" s="16"/>
      <c r="AD104" s="16"/>
      <c r="AE104" s="16"/>
      <c r="AF104" s="16"/>
      <c r="AG104" s="16"/>
      <c r="AH104" s="16"/>
      <c r="AI104" s="16"/>
      <c r="AJ104" s="16"/>
      <c r="AK104" s="16"/>
      <c r="AL104" s="16"/>
      <c r="AM104" s="16"/>
      <c r="AN104" s="16"/>
      <c r="AO104" s="17" t="str">
        <f t="shared" si="9"/>
        <v/>
      </c>
      <c r="AP104" s="17" t="str">
        <f t="shared" si="10"/>
        <v/>
      </c>
      <c r="AQ104" s="18"/>
      <c r="AR104" s="18"/>
      <c r="AS104" s="18"/>
      <c r="AT104" s="17" t="str">
        <f t="shared" si="11"/>
        <v>not sampled</v>
      </c>
    </row>
    <row r="105" spans="1:46" hidden="1">
      <c r="A105" s="15"/>
      <c r="B105" s="15" t="s">
        <v>52</v>
      </c>
      <c r="C105" s="15" t="s">
        <v>538</v>
      </c>
      <c r="D105" s="15" t="s">
        <v>211</v>
      </c>
      <c r="E105" s="15" t="s">
        <v>45</v>
      </c>
      <c r="F105" s="15">
        <v>2</v>
      </c>
      <c r="G105" s="15" t="s">
        <v>130</v>
      </c>
      <c r="H105" s="15" t="s">
        <v>47</v>
      </c>
      <c r="I105" s="15" t="s">
        <v>541</v>
      </c>
      <c r="J105" s="15" t="s">
        <v>542</v>
      </c>
      <c r="K105" s="15" t="s">
        <v>50</v>
      </c>
      <c r="L105" s="15" t="s">
        <v>51</v>
      </c>
      <c r="M105" s="15" t="s">
        <v>52</v>
      </c>
      <c r="N105" s="15" t="s">
        <v>52</v>
      </c>
      <c r="O105" s="15" t="s">
        <v>42</v>
      </c>
      <c r="P105" s="15" t="s">
        <v>42</v>
      </c>
      <c r="Q105" s="15" t="s">
        <v>53</v>
      </c>
      <c r="R105" s="15" t="s">
        <v>219</v>
      </c>
      <c r="S105" s="15" t="s">
        <v>220</v>
      </c>
      <c r="T105" s="15" t="s">
        <v>221</v>
      </c>
      <c r="U105" s="16"/>
      <c r="V105" s="16"/>
      <c r="W105" s="16"/>
      <c r="X105" s="16"/>
      <c r="Y105" s="16"/>
      <c r="Z105" s="16"/>
      <c r="AA105" s="16"/>
      <c r="AB105" s="16"/>
      <c r="AC105" s="16"/>
      <c r="AD105" s="16"/>
      <c r="AE105" s="16"/>
      <c r="AF105" s="16"/>
      <c r="AG105" s="16"/>
      <c r="AH105" s="16"/>
      <c r="AI105" s="16"/>
      <c r="AJ105" s="16"/>
      <c r="AK105" s="16"/>
      <c r="AL105" s="16"/>
      <c r="AM105" s="16"/>
      <c r="AN105" s="16"/>
      <c r="AO105" s="17" t="str">
        <f t="shared" si="9"/>
        <v/>
      </c>
      <c r="AP105" s="17" t="str">
        <f t="shared" si="10"/>
        <v/>
      </c>
      <c r="AQ105" s="18"/>
      <c r="AR105" s="18"/>
      <c r="AS105" s="18"/>
      <c r="AT105" s="17" t="str">
        <f t="shared" si="11"/>
        <v>not sampled</v>
      </c>
    </row>
    <row r="106" spans="1:46" hidden="1">
      <c r="A106" s="15"/>
      <c r="B106" s="15" t="s">
        <v>52</v>
      </c>
      <c r="C106" s="15" t="s">
        <v>538</v>
      </c>
      <c r="D106" s="15" t="s">
        <v>211</v>
      </c>
      <c r="E106" s="15" t="s">
        <v>45</v>
      </c>
      <c r="F106" s="15">
        <v>3</v>
      </c>
      <c r="G106" s="15" t="s">
        <v>254</v>
      </c>
      <c r="H106" s="15" t="s">
        <v>255</v>
      </c>
      <c r="I106" s="15" t="s">
        <v>543</v>
      </c>
      <c r="J106" s="15" t="s">
        <v>544</v>
      </c>
      <c r="K106" s="15" t="s">
        <v>50</v>
      </c>
      <c r="L106" s="15" t="s">
        <v>258</v>
      </c>
      <c r="M106" s="15" t="s">
        <v>52</v>
      </c>
      <c r="N106" s="15" t="s">
        <v>52</v>
      </c>
      <c r="O106" s="15" t="s">
        <v>259</v>
      </c>
      <c r="P106" s="15" t="s">
        <v>42</v>
      </c>
      <c r="Q106" s="15" t="s">
        <v>260</v>
      </c>
      <c r="R106" s="15" t="s">
        <v>219</v>
      </c>
      <c r="S106" s="15" t="s">
        <v>220</v>
      </c>
      <c r="T106" s="15" t="s">
        <v>221</v>
      </c>
      <c r="U106" s="16"/>
      <c r="V106" s="16"/>
      <c r="W106" s="16"/>
      <c r="X106" s="16"/>
      <c r="Y106" s="16"/>
      <c r="Z106" s="16"/>
      <c r="AA106" s="16"/>
      <c r="AB106" s="16"/>
      <c r="AC106" s="16"/>
      <c r="AD106" s="16"/>
      <c r="AE106" s="16"/>
      <c r="AF106" s="16"/>
      <c r="AG106" s="16"/>
      <c r="AH106" s="16"/>
      <c r="AI106" s="16"/>
      <c r="AJ106" s="16"/>
      <c r="AK106" s="16"/>
      <c r="AL106" s="16"/>
      <c r="AM106" s="16"/>
      <c r="AN106" s="16"/>
      <c r="AO106" s="17" t="str">
        <f t="shared" si="9"/>
        <v/>
      </c>
      <c r="AP106" s="17" t="str">
        <f t="shared" si="10"/>
        <v/>
      </c>
      <c r="AQ106" s="18"/>
      <c r="AR106" s="18"/>
      <c r="AS106" s="18"/>
      <c r="AT106" s="17" t="str">
        <f t="shared" si="11"/>
        <v>not sampled</v>
      </c>
    </row>
    <row r="107" spans="1:46" hidden="1">
      <c r="A107" s="15"/>
      <c r="B107" s="15" t="s">
        <v>52</v>
      </c>
      <c r="C107" s="15" t="s">
        <v>545</v>
      </c>
      <c r="D107" s="15" t="s">
        <v>326</v>
      </c>
      <c r="E107" s="15" t="s">
        <v>60</v>
      </c>
      <c r="F107" s="15">
        <v>1</v>
      </c>
      <c r="G107" s="15" t="s">
        <v>546</v>
      </c>
      <c r="H107" s="15" t="s">
        <v>47</v>
      </c>
      <c r="I107" s="15" t="s">
        <v>547</v>
      </c>
      <c r="J107" s="15" t="s">
        <v>548</v>
      </c>
      <c r="K107" s="15" t="s">
        <v>50</v>
      </c>
      <c r="L107" s="15" t="s">
        <v>51</v>
      </c>
      <c r="M107" s="15" t="s">
        <v>52</v>
      </c>
      <c r="N107" s="15" t="s">
        <v>52</v>
      </c>
      <c r="O107" s="15" t="s">
        <v>42</v>
      </c>
      <c r="P107" s="15" t="s">
        <v>42</v>
      </c>
      <c r="Q107" s="15" t="s">
        <v>387</v>
      </c>
      <c r="R107" s="15" t="s">
        <v>549</v>
      </c>
      <c r="S107" s="15" t="s">
        <v>330</v>
      </c>
      <c r="T107" s="15" t="s">
        <v>331</v>
      </c>
      <c r="U107" s="16"/>
      <c r="V107" s="16"/>
      <c r="W107" s="16"/>
      <c r="X107" s="16"/>
      <c r="Y107" s="16"/>
      <c r="Z107" s="16"/>
      <c r="AA107" s="16"/>
      <c r="AB107" s="16"/>
      <c r="AC107" s="16"/>
      <c r="AD107" s="16"/>
      <c r="AE107" s="16"/>
      <c r="AF107" s="16"/>
      <c r="AG107" s="16"/>
      <c r="AH107" s="16"/>
      <c r="AI107" s="16"/>
      <c r="AJ107" s="16"/>
      <c r="AK107" s="16"/>
      <c r="AL107" s="16"/>
      <c r="AM107" s="16"/>
      <c r="AN107" s="16"/>
      <c r="AO107" s="17" t="str">
        <f t="shared" si="9"/>
        <v/>
      </c>
      <c r="AP107" s="17" t="str">
        <f t="shared" si="10"/>
        <v/>
      </c>
      <c r="AQ107" s="18"/>
      <c r="AR107" s="18"/>
      <c r="AS107" s="18"/>
      <c r="AT107" s="17" t="str">
        <f t="shared" si="11"/>
        <v>not sampled</v>
      </c>
    </row>
    <row r="108" spans="1:46" hidden="1">
      <c r="A108" s="15"/>
      <c r="B108" s="15" t="s">
        <v>52</v>
      </c>
      <c r="C108" s="15" t="s">
        <v>550</v>
      </c>
      <c r="D108" s="15" t="s">
        <v>551</v>
      </c>
      <c r="E108" s="15" t="s">
        <v>60</v>
      </c>
      <c r="F108" s="15">
        <v>1</v>
      </c>
      <c r="G108" s="15" t="s">
        <v>113</v>
      </c>
      <c r="H108" s="15" t="s">
        <v>47</v>
      </c>
      <c r="I108" s="15" t="s">
        <v>552</v>
      </c>
      <c r="J108" s="15" t="s">
        <v>553</v>
      </c>
      <c r="K108" s="15" t="s">
        <v>50</v>
      </c>
      <c r="L108" s="15" t="s">
        <v>64</v>
      </c>
      <c r="M108" s="15" t="s">
        <v>52</v>
      </c>
      <c r="N108" s="15" t="s">
        <v>42</v>
      </c>
      <c r="O108" s="15" t="s">
        <v>42</v>
      </c>
      <c r="P108" s="15" t="s">
        <v>42</v>
      </c>
      <c r="Q108" s="15" t="s">
        <v>65</v>
      </c>
      <c r="R108" s="15" t="s">
        <v>554</v>
      </c>
      <c r="S108" s="15" t="s">
        <v>555</v>
      </c>
      <c r="T108" s="15" t="s">
        <v>556</v>
      </c>
      <c r="U108" s="16"/>
      <c r="V108" s="16"/>
      <c r="W108" s="16"/>
      <c r="X108" s="16"/>
      <c r="Y108" s="16"/>
      <c r="Z108" s="16"/>
      <c r="AA108" s="16"/>
      <c r="AB108" s="16"/>
      <c r="AC108" s="16"/>
      <c r="AD108" s="16"/>
      <c r="AE108" s="16"/>
      <c r="AF108" s="16"/>
      <c r="AG108" s="16"/>
      <c r="AH108" s="16"/>
      <c r="AI108" s="16"/>
      <c r="AJ108" s="16"/>
      <c r="AK108" s="16"/>
      <c r="AL108" s="16"/>
      <c r="AM108" s="16"/>
      <c r="AN108" s="16"/>
      <c r="AO108" s="17" t="str">
        <f t="shared" si="9"/>
        <v/>
      </c>
      <c r="AP108" s="17" t="str">
        <f t="shared" si="10"/>
        <v/>
      </c>
      <c r="AQ108" s="18"/>
      <c r="AR108" s="18"/>
      <c r="AS108" s="18"/>
      <c r="AT108" s="17" t="str">
        <f t="shared" si="11"/>
        <v>not sampled</v>
      </c>
    </row>
    <row r="109" spans="1:46" hidden="1">
      <c r="A109" s="15"/>
      <c r="B109" s="15" t="s">
        <v>52</v>
      </c>
      <c r="C109" s="15" t="s">
        <v>550</v>
      </c>
      <c r="D109" s="15" t="s">
        <v>551</v>
      </c>
      <c r="E109" s="15" t="s">
        <v>60</v>
      </c>
      <c r="F109" s="15">
        <v>2</v>
      </c>
      <c r="G109" s="15" t="s">
        <v>46</v>
      </c>
      <c r="H109" s="15" t="s">
        <v>47</v>
      </c>
      <c r="I109" s="15" t="s">
        <v>557</v>
      </c>
      <c r="J109" s="15" t="s">
        <v>558</v>
      </c>
      <c r="K109" s="15" t="s">
        <v>50</v>
      </c>
      <c r="L109" s="15" t="s">
        <v>51</v>
      </c>
      <c r="M109" s="15" t="s">
        <v>52</v>
      </c>
      <c r="N109" s="15" t="s">
        <v>52</v>
      </c>
      <c r="O109" s="15" t="s">
        <v>42</v>
      </c>
      <c r="P109" s="15" t="s">
        <v>42</v>
      </c>
      <c r="Q109" s="15" t="s">
        <v>53</v>
      </c>
      <c r="R109" s="15" t="s">
        <v>554</v>
      </c>
      <c r="S109" s="15" t="s">
        <v>555</v>
      </c>
      <c r="T109" s="15" t="s">
        <v>556</v>
      </c>
      <c r="U109" s="16"/>
      <c r="V109" s="16"/>
      <c r="W109" s="16"/>
      <c r="X109" s="16"/>
      <c r="Y109" s="16"/>
      <c r="Z109" s="16"/>
      <c r="AA109" s="16"/>
      <c r="AB109" s="16"/>
      <c r="AC109" s="16"/>
      <c r="AD109" s="16"/>
      <c r="AE109" s="16"/>
      <c r="AF109" s="16"/>
      <c r="AG109" s="16"/>
      <c r="AH109" s="16"/>
      <c r="AI109" s="16"/>
      <c r="AJ109" s="16"/>
      <c r="AK109" s="16"/>
      <c r="AL109" s="16"/>
      <c r="AM109" s="16"/>
      <c r="AN109" s="16"/>
      <c r="AO109" s="17" t="str">
        <f t="shared" si="9"/>
        <v/>
      </c>
      <c r="AP109" s="17" t="str">
        <f t="shared" si="10"/>
        <v/>
      </c>
      <c r="AQ109" s="18"/>
      <c r="AR109" s="18"/>
      <c r="AS109" s="18"/>
      <c r="AT109" s="17" t="str">
        <f t="shared" si="11"/>
        <v>not sampled</v>
      </c>
    </row>
    <row r="110" spans="1:46" hidden="1">
      <c r="A110" s="15"/>
      <c r="B110" s="15" t="s">
        <v>52</v>
      </c>
      <c r="C110" s="15" t="s">
        <v>559</v>
      </c>
      <c r="D110" s="15" t="s">
        <v>551</v>
      </c>
      <c r="E110" s="15" t="s">
        <v>60</v>
      </c>
      <c r="F110" s="15">
        <v>1</v>
      </c>
      <c r="G110" s="15" t="s">
        <v>560</v>
      </c>
      <c r="H110" s="15" t="s">
        <v>47</v>
      </c>
      <c r="I110" s="15" t="s">
        <v>561</v>
      </c>
      <c r="J110" s="15" t="s">
        <v>562</v>
      </c>
      <c r="K110" s="15" t="s">
        <v>50</v>
      </c>
      <c r="L110" s="15" t="s">
        <v>190</v>
      </c>
      <c r="M110" s="15" t="s">
        <v>42</v>
      </c>
      <c r="N110" s="15" t="s">
        <v>42</v>
      </c>
      <c r="O110" s="15" t="s">
        <v>42</v>
      </c>
      <c r="P110" s="15" t="s">
        <v>42</v>
      </c>
      <c r="Q110" s="15" t="s">
        <v>563</v>
      </c>
      <c r="R110" s="15" t="s">
        <v>564</v>
      </c>
      <c r="S110" s="15" t="s">
        <v>555</v>
      </c>
      <c r="T110" s="15" t="s">
        <v>556</v>
      </c>
      <c r="U110" s="16"/>
      <c r="V110" s="16"/>
      <c r="W110" s="16"/>
      <c r="X110" s="16"/>
      <c r="Y110" s="16"/>
      <c r="Z110" s="16"/>
      <c r="AA110" s="16"/>
      <c r="AB110" s="16"/>
      <c r="AC110" s="16"/>
      <c r="AD110" s="16"/>
      <c r="AE110" s="16"/>
      <c r="AF110" s="16"/>
      <c r="AG110" s="16"/>
      <c r="AH110" s="16"/>
      <c r="AI110" s="16"/>
      <c r="AJ110" s="16"/>
      <c r="AK110" s="16"/>
      <c r="AL110" s="16"/>
      <c r="AM110" s="16"/>
      <c r="AN110" s="16"/>
      <c r="AO110" s="17" t="str">
        <f t="shared" si="9"/>
        <v/>
      </c>
      <c r="AP110" s="17" t="str">
        <f t="shared" si="10"/>
        <v/>
      </c>
      <c r="AQ110" s="18"/>
      <c r="AR110" s="18"/>
      <c r="AS110" s="18"/>
      <c r="AT110" s="17" t="str">
        <f t="shared" si="11"/>
        <v>not sampled</v>
      </c>
    </row>
    <row r="111" spans="1:46" hidden="1">
      <c r="A111" s="15"/>
      <c r="B111" s="15" t="s">
        <v>52</v>
      </c>
      <c r="C111" s="15" t="s">
        <v>565</v>
      </c>
      <c r="D111" s="15" t="s">
        <v>377</v>
      </c>
      <c r="E111" s="15" t="s">
        <v>60</v>
      </c>
      <c r="F111" s="15">
        <v>1</v>
      </c>
      <c r="G111" s="15" t="s">
        <v>61</v>
      </c>
      <c r="H111" s="15" t="s">
        <v>47</v>
      </c>
      <c r="I111" s="15" t="s">
        <v>566</v>
      </c>
      <c r="J111" s="15" t="s">
        <v>567</v>
      </c>
      <c r="K111" s="15" t="s">
        <v>50</v>
      </c>
      <c r="L111" s="15" t="s">
        <v>64</v>
      </c>
      <c r="M111" s="15" t="s">
        <v>52</v>
      </c>
      <c r="N111" s="15" t="s">
        <v>42</v>
      </c>
      <c r="O111" s="15" t="s">
        <v>42</v>
      </c>
      <c r="P111" s="15" t="s">
        <v>42</v>
      </c>
      <c r="Q111" s="15" t="s">
        <v>65</v>
      </c>
      <c r="R111" s="15" t="s">
        <v>380</v>
      </c>
      <c r="S111" s="15" t="s">
        <v>381</v>
      </c>
      <c r="T111" s="15" t="s">
        <v>382</v>
      </c>
      <c r="U111" s="16"/>
      <c r="V111" s="16"/>
      <c r="W111" s="16"/>
      <c r="X111" s="16"/>
      <c r="Y111" s="16"/>
      <c r="Z111" s="16"/>
      <c r="AA111" s="16"/>
      <c r="AB111" s="16"/>
      <c r="AC111" s="16"/>
      <c r="AD111" s="16"/>
      <c r="AE111" s="16"/>
      <c r="AF111" s="16"/>
      <c r="AG111" s="16"/>
      <c r="AH111" s="16"/>
      <c r="AI111" s="16"/>
      <c r="AJ111" s="16"/>
      <c r="AK111" s="16"/>
      <c r="AL111" s="16"/>
      <c r="AM111" s="16"/>
      <c r="AN111" s="16"/>
      <c r="AO111" s="17" t="str">
        <f t="shared" si="9"/>
        <v/>
      </c>
      <c r="AP111" s="17" t="str">
        <f t="shared" si="10"/>
        <v/>
      </c>
      <c r="AQ111" s="18"/>
      <c r="AR111" s="18"/>
      <c r="AS111" s="18"/>
      <c r="AT111" s="17" t="str">
        <f t="shared" si="11"/>
        <v>not sampled</v>
      </c>
    </row>
    <row r="112" spans="1:46" hidden="1">
      <c r="A112" s="15"/>
      <c r="B112" s="15" t="s">
        <v>52</v>
      </c>
      <c r="C112" s="15" t="s">
        <v>565</v>
      </c>
      <c r="D112" s="15" t="s">
        <v>377</v>
      </c>
      <c r="E112" s="15" t="s">
        <v>60</v>
      </c>
      <c r="F112" s="15">
        <v>2</v>
      </c>
      <c r="G112" s="15" t="s">
        <v>130</v>
      </c>
      <c r="H112" s="15" t="s">
        <v>47</v>
      </c>
      <c r="I112" s="15" t="s">
        <v>568</v>
      </c>
      <c r="J112" s="15" t="s">
        <v>569</v>
      </c>
      <c r="K112" s="15" t="s">
        <v>50</v>
      </c>
      <c r="L112" s="15" t="s">
        <v>51</v>
      </c>
      <c r="M112" s="15" t="s">
        <v>52</v>
      </c>
      <c r="N112" s="15" t="s">
        <v>52</v>
      </c>
      <c r="O112" s="15" t="s">
        <v>42</v>
      </c>
      <c r="P112" s="15" t="s">
        <v>42</v>
      </c>
      <c r="Q112" s="15" t="s">
        <v>53</v>
      </c>
      <c r="R112" s="15" t="s">
        <v>380</v>
      </c>
      <c r="S112" s="15" t="s">
        <v>381</v>
      </c>
      <c r="T112" s="15" t="s">
        <v>382</v>
      </c>
      <c r="U112" s="16"/>
      <c r="V112" s="16"/>
      <c r="W112" s="16"/>
      <c r="X112" s="16"/>
      <c r="Y112" s="16"/>
      <c r="Z112" s="16"/>
      <c r="AA112" s="16"/>
      <c r="AB112" s="16"/>
      <c r="AC112" s="16"/>
      <c r="AD112" s="16"/>
      <c r="AE112" s="16"/>
      <c r="AF112" s="16"/>
      <c r="AG112" s="16"/>
      <c r="AH112" s="16"/>
      <c r="AI112" s="16"/>
      <c r="AJ112" s="16"/>
      <c r="AK112" s="16"/>
      <c r="AL112" s="16"/>
      <c r="AM112" s="16"/>
      <c r="AN112" s="16"/>
      <c r="AO112" s="17" t="str">
        <f t="shared" si="9"/>
        <v/>
      </c>
      <c r="AP112" s="17" t="str">
        <f t="shared" si="10"/>
        <v/>
      </c>
      <c r="AQ112" s="18"/>
      <c r="AR112" s="18"/>
      <c r="AS112" s="18"/>
      <c r="AT112" s="17" t="str">
        <f t="shared" si="11"/>
        <v>not sampled</v>
      </c>
    </row>
    <row r="113" spans="1:46" hidden="1">
      <c r="A113" s="15"/>
      <c r="B113" s="15" t="s">
        <v>52</v>
      </c>
      <c r="C113" s="15" t="s">
        <v>570</v>
      </c>
      <c r="D113" s="15" t="s">
        <v>377</v>
      </c>
      <c r="E113" s="15" t="s">
        <v>60</v>
      </c>
      <c r="F113" s="15">
        <v>1</v>
      </c>
      <c r="G113" s="15" t="s">
        <v>61</v>
      </c>
      <c r="H113" s="15" t="s">
        <v>47</v>
      </c>
      <c r="I113" s="15" t="s">
        <v>144</v>
      </c>
      <c r="J113" s="15" t="s">
        <v>571</v>
      </c>
      <c r="K113" s="15" t="s">
        <v>50</v>
      </c>
      <c r="L113" s="15" t="s">
        <v>64</v>
      </c>
      <c r="M113" s="15" t="s">
        <v>52</v>
      </c>
      <c r="N113" s="15" t="s">
        <v>42</v>
      </c>
      <c r="O113" s="15" t="s">
        <v>42</v>
      </c>
      <c r="P113" s="15" t="s">
        <v>42</v>
      </c>
      <c r="Q113" s="15" t="s">
        <v>65</v>
      </c>
      <c r="R113" s="15" t="s">
        <v>380</v>
      </c>
      <c r="S113" s="15" t="s">
        <v>381</v>
      </c>
      <c r="T113" s="15" t="s">
        <v>382</v>
      </c>
      <c r="U113" s="16"/>
      <c r="V113" s="16"/>
      <c r="W113" s="16"/>
      <c r="X113" s="16"/>
      <c r="Y113" s="16"/>
      <c r="Z113" s="16"/>
      <c r="AA113" s="16"/>
      <c r="AB113" s="16"/>
      <c r="AC113" s="16"/>
      <c r="AD113" s="16"/>
      <c r="AE113" s="16"/>
      <c r="AF113" s="16"/>
      <c r="AG113" s="16"/>
      <c r="AH113" s="16"/>
      <c r="AI113" s="16"/>
      <c r="AJ113" s="16"/>
      <c r="AK113" s="16"/>
      <c r="AL113" s="16"/>
      <c r="AM113" s="16"/>
      <c r="AN113" s="16"/>
      <c r="AO113" s="17" t="str">
        <f t="shared" si="9"/>
        <v/>
      </c>
      <c r="AP113" s="17" t="str">
        <f t="shared" si="10"/>
        <v/>
      </c>
      <c r="AQ113" s="18"/>
      <c r="AR113" s="18"/>
      <c r="AS113" s="18"/>
      <c r="AT113" s="17" t="str">
        <f t="shared" si="11"/>
        <v>not sampled</v>
      </c>
    </row>
    <row r="114" spans="1:46" hidden="1">
      <c r="A114" s="15"/>
      <c r="B114" s="15" t="s">
        <v>52</v>
      </c>
      <c r="C114" s="15" t="s">
        <v>570</v>
      </c>
      <c r="D114" s="15" t="s">
        <v>377</v>
      </c>
      <c r="E114" s="15" t="s">
        <v>60</v>
      </c>
      <c r="F114" s="15">
        <v>2</v>
      </c>
      <c r="G114" s="15" t="s">
        <v>130</v>
      </c>
      <c r="H114" s="15" t="s">
        <v>47</v>
      </c>
      <c r="I114" s="15" t="s">
        <v>149</v>
      </c>
      <c r="J114" s="15" t="s">
        <v>572</v>
      </c>
      <c r="K114" s="15" t="s">
        <v>50</v>
      </c>
      <c r="L114" s="15" t="s">
        <v>51</v>
      </c>
      <c r="M114" s="15" t="s">
        <v>52</v>
      </c>
      <c r="N114" s="15" t="s">
        <v>52</v>
      </c>
      <c r="O114" s="15" t="s">
        <v>42</v>
      </c>
      <c r="P114" s="15" t="s">
        <v>42</v>
      </c>
      <c r="Q114" s="15" t="s">
        <v>53</v>
      </c>
      <c r="R114" s="15" t="s">
        <v>380</v>
      </c>
      <c r="S114" s="15" t="s">
        <v>381</v>
      </c>
      <c r="T114" s="15" t="s">
        <v>382</v>
      </c>
      <c r="U114" s="16"/>
      <c r="V114" s="16"/>
      <c r="W114" s="16"/>
      <c r="X114" s="16"/>
      <c r="Y114" s="16"/>
      <c r="Z114" s="16"/>
      <c r="AA114" s="16"/>
      <c r="AB114" s="16"/>
      <c r="AC114" s="16"/>
      <c r="AD114" s="16"/>
      <c r="AE114" s="16"/>
      <c r="AF114" s="16"/>
      <c r="AG114" s="16"/>
      <c r="AH114" s="16"/>
      <c r="AI114" s="16"/>
      <c r="AJ114" s="16"/>
      <c r="AK114" s="16"/>
      <c r="AL114" s="16"/>
      <c r="AM114" s="16"/>
      <c r="AN114" s="16"/>
      <c r="AO114" s="17" t="str">
        <f t="shared" si="9"/>
        <v/>
      </c>
      <c r="AP114" s="17" t="str">
        <f t="shared" si="10"/>
        <v/>
      </c>
      <c r="AQ114" s="18"/>
      <c r="AR114" s="18"/>
      <c r="AS114" s="18"/>
      <c r="AT114" s="17" t="str">
        <f t="shared" si="11"/>
        <v>not sampled</v>
      </c>
    </row>
    <row r="115" spans="1:46" hidden="1">
      <c r="A115" s="15"/>
      <c r="B115" s="15" t="s">
        <v>52</v>
      </c>
      <c r="C115" s="15" t="s">
        <v>573</v>
      </c>
      <c r="D115" s="15" t="s">
        <v>574</v>
      </c>
      <c r="E115" s="15" t="s">
        <v>45</v>
      </c>
      <c r="F115" s="15">
        <v>1</v>
      </c>
      <c r="G115" s="15" t="s">
        <v>575</v>
      </c>
      <c r="H115" s="15" t="s">
        <v>47</v>
      </c>
      <c r="I115" s="15" t="s">
        <v>576</v>
      </c>
      <c r="J115" s="15" t="s">
        <v>577</v>
      </c>
      <c r="K115" s="15" t="s">
        <v>50</v>
      </c>
      <c r="L115" s="15" t="s">
        <v>190</v>
      </c>
      <c r="M115" s="15" t="s">
        <v>42</v>
      </c>
      <c r="N115" s="15" t="s">
        <v>42</v>
      </c>
      <c r="O115" s="15" t="s">
        <v>42</v>
      </c>
      <c r="P115" s="15" t="s">
        <v>52</v>
      </c>
      <c r="Q115" s="15" t="s">
        <v>578</v>
      </c>
      <c r="R115" s="15" t="s">
        <v>579</v>
      </c>
      <c r="S115" s="15" t="s">
        <v>580</v>
      </c>
      <c r="T115" s="15" t="s">
        <v>581</v>
      </c>
      <c r="U115" s="16"/>
      <c r="V115" s="16"/>
      <c r="W115" s="16"/>
      <c r="X115" s="16"/>
      <c r="Y115" s="16"/>
      <c r="Z115" s="16"/>
      <c r="AA115" s="16"/>
      <c r="AB115" s="16"/>
      <c r="AC115" s="16"/>
      <c r="AD115" s="16"/>
      <c r="AE115" s="16"/>
      <c r="AF115" s="16"/>
      <c r="AG115" s="16"/>
      <c r="AH115" s="16"/>
      <c r="AI115" s="16"/>
      <c r="AJ115" s="16"/>
      <c r="AK115" s="16"/>
      <c r="AL115" s="16"/>
      <c r="AM115" s="16"/>
      <c r="AN115" s="16"/>
      <c r="AO115" s="17" t="str">
        <f t="shared" si="9"/>
        <v/>
      </c>
      <c r="AP115" s="17" t="str">
        <f t="shared" si="10"/>
        <v/>
      </c>
      <c r="AQ115" s="18"/>
      <c r="AR115" s="18"/>
      <c r="AS115" s="18"/>
      <c r="AT115" s="17" t="str">
        <f t="shared" si="11"/>
        <v>not sampled</v>
      </c>
    </row>
    <row r="116" spans="1:46" hidden="1">
      <c r="A116" s="15"/>
      <c r="B116" s="15" t="s">
        <v>52</v>
      </c>
      <c r="C116" s="15" t="s">
        <v>573</v>
      </c>
      <c r="D116" s="15" t="s">
        <v>574</v>
      </c>
      <c r="E116" s="15" t="s">
        <v>45</v>
      </c>
      <c r="F116" s="15">
        <v>2</v>
      </c>
      <c r="G116" s="15" t="s">
        <v>582</v>
      </c>
      <c r="H116" s="15" t="s">
        <v>47</v>
      </c>
      <c r="I116" s="15" t="s">
        <v>583</v>
      </c>
      <c r="J116" s="15" t="s">
        <v>584</v>
      </c>
      <c r="K116" s="15" t="s">
        <v>50</v>
      </c>
      <c r="L116" s="15" t="s">
        <v>585</v>
      </c>
      <c r="M116" s="15" t="s">
        <v>42</v>
      </c>
      <c r="N116" s="15" t="s">
        <v>42</v>
      </c>
      <c r="O116" s="15" t="s">
        <v>42</v>
      </c>
      <c r="P116" s="15" t="s">
        <v>52</v>
      </c>
      <c r="Q116" s="15" t="s">
        <v>586</v>
      </c>
      <c r="R116" s="15" t="s">
        <v>579</v>
      </c>
      <c r="S116" s="15" t="s">
        <v>580</v>
      </c>
      <c r="T116" s="15" t="s">
        <v>581</v>
      </c>
      <c r="U116" s="16"/>
      <c r="V116" s="16"/>
      <c r="W116" s="16"/>
      <c r="X116" s="16"/>
      <c r="Y116" s="16"/>
      <c r="Z116" s="16"/>
      <c r="AA116" s="16"/>
      <c r="AB116" s="16"/>
      <c r="AC116" s="16"/>
      <c r="AD116" s="16"/>
      <c r="AE116" s="16"/>
      <c r="AF116" s="16"/>
      <c r="AG116" s="16"/>
      <c r="AH116" s="16"/>
      <c r="AI116" s="16"/>
      <c r="AJ116" s="16"/>
      <c r="AK116" s="16"/>
      <c r="AL116" s="16"/>
      <c r="AM116" s="16"/>
      <c r="AN116" s="16"/>
      <c r="AO116" s="17" t="str">
        <f t="shared" si="9"/>
        <v/>
      </c>
      <c r="AP116" s="17" t="str">
        <f t="shared" si="10"/>
        <v/>
      </c>
      <c r="AQ116" s="18"/>
      <c r="AR116" s="18"/>
      <c r="AS116" s="18"/>
      <c r="AT116" s="17" t="str">
        <f t="shared" si="11"/>
        <v>not sampled</v>
      </c>
    </row>
  </sheetData>
  <phoneticPr fontId="12" type="noConversion"/>
  <conditionalFormatting sqref="B2:B116">
    <cfRule type="containsText" dxfId="39" priority="13" operator="containsText" text="yes"/>
  </conditionalFormatting>
  <conditionalFormatting sqref="V2:V116">
    <cfRule type="containsText" dxfId="38" priority="14" operator="containsText" text="yes"/>
    <cfRule type="containsText" dxfId="37" priority="15" operator="containsText" text="partial"/>
    <cfRule type="containsText" dxfId="36" priority="16" operator="containsText" text="no"/>
    <cfRule type="containsText" dxfId="35" priority="17" operator="containsText" text="unclear"/>
  </conditionalFormatting>
  <conditionalFormatting sqref="Y2:Y116">
    <cfRule type="containsText" dxfId="34" priority="18" operator="containsText" text="yes"/>
    <cfRule type="containsText" dxfId="33" priority="19" operator="containsText" text="partial"/>
    <cfRule type="containsText" dxfId="32" priority="20" operator="containsText" text="no"/>
    <cfRule type="containsText" dxfId="31" priority="21" operator="containsText" text="unclear"/>
  </conditionalFormatting>
  <conditionalFormatting sqref="AE2:AE116">
    <cfRule type="containsText" dxfId="30" priority="22" operator="containsText" text="yes"/>
    <cfRule type="containsText" dxfId="29" priority="23" operator="containsText" text="partial"/>
    <cfRule type="containsText" dxfId="28" priority="24" operator="containsText" text="no"/>
    <cfRule type="containsText" dxfId="27" priority="25" operator="containsText" text="unclear"/>
  </conditionalFormatting>
  <conditionalFormatting sqref="AH2:AH116">
    <cfRule type="containsText" dxfId="26" priority="26" operator="containsText" text="yes"/>
    <cfRule type="containsText" dxfId="25" priority="27" operator="containsText" text="partial"/>
    <cfRule type="containsText" dxfId="24" priority="28" operator="containsText" text="no"/>
    <cfRule type="containsText" dxfId="23" priority="29" operator="containsText" text="unclear"/>
  </conditionalFormatting>
  <conditionalFormatting sqref="AQ2:AQ99">
    <cfRule type="containsText" dxfId="22" priority="5" operator="containsText" text="yes"/>
    <cfRule type="containsText" dxfId="21" priority="6" operator="containsText" text="partial"/>
    <cfRule type="containsText" dxfId="20" priority="7" operator="containsText" text="no"/>
    <cfRule type="containsText" dxfId="19" priority="8" operator="containsText" text="unclear"/>
  </conditionalFormatting>
  <conditionalFormatting sqref="AQ100:AQ116">
    <cfRule type="containsText" dxfId="18" priority="30" operator="containsText" text="yes"/>
    <cfRule type="containsText" dxfId="17" priority="31" operator="containsText" text="partial"/>
    <cfRule type="containsText" dxfId="16" priority="32" operator="containsText" text="no"/>
    <cfRule type="containsText" dxfId="15" priority="33" operator="containsText" text="unclear"/>
  </conditionalFormatting>
  <conditionalFormatting sqref="AR2:AR99">
    <cfRule type="containsText" dxfId="14" priority="9" operator="containsText" text="yes"/>
    <cfRule type="containsText" dxfId="13" priority="10" operator="containsText" text="partial"/>
    <cfRule type="containsText" dxfId="12" priority="11" operator="containsText" text="no"/>
    <cfRule type="containsText" dxfId="11" priority="12" operator="containsText" text="unclear"/>
  </conditionalFormatting>
  <conditionalFormatting sqref="AR100:AR116">
    <cfRule type="containsText" dxfId="10" priority="34" operator="containsText" text="yes"/>
    <cfRule type="containsText" dxfId="9" priority="35" operator="containsText" text="partial"/>
    <cfRule type="containsText" dxfId="8" priority="36" operator="containsText" text="no"/>
    <cfRule type="containsText" dxfId="7" priority="37" operator="containsText" text="unclear"/>
  </conditionalFormatting>
  <conditionalFormatting sqref="AT2:AT116">
    <cfRule type="containsText" dxfId="6" priority="38" operator="containsText" text="pending"/>
    <cfRule type="containsText" dxfId="5" priority="39" operator="containsText" text="complete"/>
  </conditionalFormatting>
  <conditionalFormatting sqref="AM2:AM99">
    <cfRule type="containsText" dxfId="3" priority="1" operator="containsText" text="yes"/>
    <cfRule type="containsText" dxfId="2" priority="2" operator="containsText" text="partial"/>
    <cfRule type="containsText" dxfId="1" priority="3" operator="containsText" text="no"/>
    <cfRule type="containsText" dxfId="0" priority="4" operator="containsText" text="unclear"/>
  </conditionalFormatting>
  <dataValidations count="2">
    <dataValidation type="list" sqref="AH2:AH116 Y2:Y116 V2:V116 AE2:AE116 AQ2:AR116 AM2:AM99" xr:uid="{00000000-0002-0000-0200-000000000000}">
      <formula1>"yes,partial,no,unclear,n/a"</formula1>
    </dataValidation>
    <dataValidation type="list" sqref="AB2:AB116 AK2:AK116" xr:uid="{00000000-0002-0000-0200-000001000000}">
      <formula1>"1,2,3,4,5"</formula1>
    </dataValidation>
  </dataValidations>
  <hyperlinks>
    <hyperlink ref="Q2" r:id="rId1" xr:uid="{1DF43E4C-80ED-489D-8DDB-1FC7E26D5A8C}"/>
    <hyperlink ref="Q3" r:id="rId2" xr:uid="{74182BF1-E454-4542-B079-D082F933EDEE}"/>
    <hyperlink ref="Q4" r:id="rId3" xr:uid="{B0EBA5C5-4388-46A5-99C5-D96279C3591C}"/>
    <hyperlink ref="Q5" r:id="rId4" xr:uid="{556800FF-E3FE-4E72-A9EB-4F5D55D107E4}"/>
    <hyperlink ref="Q6" r:id="rId5" xr:uid="{710AF594-CE74-49F0-A45E-5217681D8497}"/>
    <hyperlink ref="Q7" r:id="rId6" xr:uid="{04719E74-F2EF-4A11-A3F6-B02BA3848877}"/>
    <hyperlink ref="Q8" r:id="rId7" xr:uid="{C8AE843A-C6DA-4720-BF7B-758900F64FD7}"/>
    <hyperlink ref="Q9" r:id="rId8" xr:uid="{C2A6ADAC-4EBC-4D37-B6C4-5CC2BDEAD22E}"/>
    <hyperlink ref="Q10" r:id="rId9" xr:uid="{13C07EBC-D2DE-4C5F-B2BC-12A6168DA90A}"/>
    <hyperlink ref="Q11" r:id="rId10" xr:uid="{5EE9939C-8B98-4417-80FB-99186BACDCA8}"/>
    <hyperlink ref="Q12" r:id="rId11" xr:uid="{3E14C019-E941-4C00-A644-1360FE1A27B3}"/>
    <hyperlink ref="Q13" r:id="rId12" xr:uid="{7B72371A-4AEB-480B-A241-D433BED16078}"/>
    <hyperlink ref="Q14" r:id="rId13" xr:uid="{20FB7077-DB4A-4EC7-ABA7-750BE2CE52EC}"/>
    <hyperlink ref="Q15" r:id="rId14" xr:uid="{8B4C046A-9962-4B21-BE94-18129CF44179}"/>
    <hyperlink ref="Q16" r:id="rId15" xr:uid="{C9810F41-A929-44BC-8651-E8A342618B9F}"/>
    <hyperlink ref="Q17" r:id="rId16" xr:uid="{B2CF161D-F137-4841-97B9-21B255D82B47}"/>
    <hyperlink ref="Q18" r:id="rId17" xr:uid="{2072B146-7663-4945-B94F-E03FDA9C8BA3}"/>
    <hyperlink ref="Q19" r:id="rId18" xr:uid="{B3D33389-7C09-4911-A3B5-F1231CE1326E}"/>
  </hyperlinks>
  <pageMargins left="0.7" right="0.7" top="0.75" bottom="0.75" header="0.3" footer="0.3"/>
  <tableParts count="1">
    <tablePart r:id="rId1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61"/>
  <sheetViews>
    <sheetView showGridLines="0" workbookViewId="0">
      <selection activeCell="A22" sqref="A22"/>
    </sheetView>
  </sheetViews>
  <sheetFormatPr defaultRowHeight="13.8"/>
  <cols>
    <col min="1" max="1" width="21.09765625" customWidth="1"/>
    <col min="2" max="2" width="10" customWidth="1"/>
    <col min="3" max="3" width="26.69921875" customWidth="1"/>
    <col min="4" max="4" width="43.296875" customWidth="1"/>
    <col min="5" max="5" width="31.09765625" customWidth="1"/>
    <col min="6" max="6" width="10" customWidth="1"/>
    <col min="7" max="7" width="12.796875" customWidth="1"/>
    <col min="8" max="8" width="32.19921875" customWidth="1"/>
    <col min="9" max="9" width="16.69921875" customWidth="1"/>
    <col min="10" max="10" width="13.8984375" customWidth="1"/>
    <col min="11" max="11" width="42.19921875" customWidth="1"/>
    <col min="12" max="12" width="68.8984375" customWidth="1"/>
    <col min="13" max="14" width="46.69921875" customWidth="1"/>
    <col min="15" max="15" width="8.796875" customWidth="1"/>
  </cols>
  <sheetData>
    <row r="1" spans="1:14">
      <c r="A1" s="20" t="s">
        <v>17</v>
      </c>
      <c r="B1" s="20" t="s">
        <v>841</v>
      </c>
      <c r="C1" s="20" t="s">
        <v>842</v>
      </c>
      <c r="D1" s="20" t="s">
        <v>843</v>
      </c>
      <c r="E1" s="20" t="s">
        <v>844</v>
      </c>
      <c r="F1" s="20" t="s">
        <v>845</v>
      </c>
      <c r="G1" s="20" t="s">
        <v>846</v>
      </c>
      <c r="H1" s="20" t="s">
        <v>847</v>
      </c>
      <c r="I1" s="20" t="s">
        <v>848</v>
      </c>
      <c r="J1" s="20" t="s">
        <v>849</v>
      </c>
      <c r="K1" s="20" t="s">
        <v>850</v>
      </c>
      <c r="L1" s="20" t="s">
        <v>851</v>
      </c>
      <c r="M1" s="20" t="s">
        <v>852</v>
      </c>
      <c r="N1" s="20" t="s">
        <v>853</v>
      </c>
    </row>
    <row r="2" spans="1:14">
      <c r="A2" s="19" t="s">
        <v>445</v>
      </c>
      <c r="B2" s="19">
        <v>1</v>
      </c>
      <c r="C2" s="19" t="s">
        <v>854</v>
      </c>
      <c r="D2" s="19" t="s">
        <v>791</v>
      </c>
      <c r="E2" s="19" t="s">
        <v>855</v>
      </c>
      <c r="F2" s="19">
        <v>2023</v>
      </c>
      <c r="G2" s="21">
        <v>0.68272363999999996</v>
      </c>
      <c r="H2" s="19" t="s">
        <v>856</v>
      </c>
      <c r="I2" s="19" t="s">
        <v>857</v>
      </c>
      <c r="J2" s="21">
        <v>0.68272363999999996</v>
      </c>
      <c r="K2" s="19" t="s">
        <v>858</v>
      </c>
      <c r="L2" s="19" t="s">
        <v>859</v>
      </c>
      <c r="M2" s="19" t="s">
        <v>860</v>
      </c>
      <c r="N2" s="19" t="s">
        <v>861</v>
      </c>
    </row>
    <row r="3" spans="1:14">
      <c r="A3" s="19" t="s">
        <v>445</v>
      </c>
      <c r="B3" s="19">
        <v>2</v>
      </c>
      <c r="C3" s="19" t="s">
        <v>862</v>
      </c>
      <c r="D3" s="19" t="s">
        <v>863</v>
      </c>
      <c r="E3" s="19" t="s">
        <v>855</v>
      </c>
      <c r="F3" s="19">
        <v>2016</v>
      </c>
      <c r="G3" s="21">
        <v>0.67462646999999998</v>
      </c>
      <c r="H3" s="19" t="s">
        <v>864</v>
      </c>
      <c r="I3" s="19" t="s">
        <v>865</v>
      </c>
      <c r="J3" s="21">
        <v>0.67462646999999998</v>
      </c>
      <c r="K3" s="19" t="s">
        <v>866</v>
      </c>
      <c r="L3" s="19" t="s">
        <v>867</v>
      </c>
      <c r="M3" s="19" t="s">
        <v>868</v>
      </c>
      <c r="N3" s="19" t="s">
        <v>869</v>
      </c>
    </row>
    <row r="4" spans="1:14">
      <c r="A4" s="19" t="s">
        <v>445</v>
      </c>
      <c r="B4" s="19">
        <v>3</v>
      </c>
      <c r="C4" s="19" t="s">
        <v>870</v>
      </c>
      <c r="D4" s="19" t="s">
        <v>871</v>
      </c>
      <c r="E4" s="19" t="s">
        <v>855</v>
      </c>
      <c r="F4" s="19">
        <v>2016</v>
      </c>
      <c r="G4" s="21">
        <v>0.67187154000000004</v>
      </c>
      <c r="H4" s="19" t="s">
        <v>872</v>
      </c>
      <c r="I4" s="19" t="s">
        <v>865</v>
      </c>
      <c r="J4" s="21">
        <v>0.67187154000000004</v>
      </c>
      <c r="K4" s="19" t="s">
        <v>873</v>
      </c>
      <c r="L4" s="19" t="s">
        <v>874</v>
      </c>
      <c r="M4" s="19" t="s">
        <v>875</v>
      </c>
      <c r="N4" s="19" t="s">
        <v>869</v>
      </c>
    </row>
    <row r="5" spans="1:14">
      <c r="A5" s="19" t="s">
        <v>445</v>
      </c>
      <c r="B5" s="19">
        <v>4</v>
      </c>
      <c r="C5" s="19" t="s">
        <v>876</v>
      </c>
      <c r="D5" s="19" t="s">
        <v>877</v>
      </c>
      <c r="E5" s="19" t="s">
        <v>855</v>
      </c>
      <c r="F5" s="19">
        <v>2022</v>
      </c>
      <c r="G5" s="21">
        <v>0.6712979</v>
      </c>
      <c r="H5" s="19" t="s">
        <v>878</v>
      </c>
      <c r="I5" s="19" t="s">
        <v>865</v>
      </c>
      <c r="J5" s="21">
        <v>0.6712979</v>
      </c>
      <c r="K5" s="19" t="s">
        <v>879</v>
      </c>
      <c r="L5" s="19" t="s">
        <v>880</v>
      </c>
      <c r="M5" s="19"/>
      <c r="N5" s="19" t="s">
        <v>869</v>
      </c>
    </row>
    <row r="6" spans="1:14">
      <c r="A6" s="19" t="s">
        <v>445</v>
      </c>
      <c r="B6" s="19">
        <v>5</v>
      </c>
      <c r="C6" s="19" t="s">
        <v>881</v>
      </c>
      <c r="D6" s="19" t="s">
        <v>882</v>
      </c>
      <c r="E6" s="19" t="s">
        <v>855</v>
      </c>
      <c r="F6" s="19">
        <v>2023</v>
      </c>
      <c r="G6" s="21">
        <v>0.66977350000000002</v>
      </c>
      <c r="H6" s="19" t="s">
        <v>883</v>
      </c>
      <c r="I6" s="19" t="s">
        <v>865</v>
      </c>
      <c r="J6" s="21">
        <v>0.66977350000000002</v>
      </c>
      <c r="K6" s="19" t="s">
        <v>884</v>
      </c>
      <c r="L6" s="19" t="s">
        <v>885</v>
      </c>
      <c r="M6" s="19" t="s">
        <v>886</v>
      </c>
      <c r="N6" s="19" t="s">
        <v>869</v>
      </c>
    </row>
    <row r="7" spans="1:14">
      <c r="A7" s="19" t="s">
        <v>445</v>
      </c>
      <c r="B7" s="19">
        <v>6</v>
      </c>
      <c r="C7" s="19" t="s">
        <v>887</v>
      </c>
      <c r="D7" s="19" t="s">
        <v>888</v>
      </c>
      <c r="E7" s="19" t="s">
        <v>855</v>
      </c>
      <c r="F7" s="19">
        <v>2016</v>
      </c>
      <c r="G7" s="21">
        <v>0.66954230000000003</v>
      </c>
      <c r="H7" s="19" t="s">
        <v>889</v>
      </c>
      <c r="I7" s="19" t="s">
        <v>865</v>
      </c>
      <c r="J7" s="21">
        <v>0.66954230000000003</v>
      </c>
      <c r="K7" s="19" t="s">
        <v>890</v>
      </c>
      <c r="L7" s="19" t="s">
        <v>891</v>
      </c>
      <c r="M7" s="19" t="s">
        <v>892</v>
      </c>
      <c r="N7" s="19" t="s">
        <v>869</v>
      </c>
    </row>
    <row r="8" spans="1:14">
      <c r="A8" s="19" t="s">
        <v>445</v>
      </c>
      <c r="B8" s="19">
        <v>7</v>
      </c>
      <c r="C8" s="19" t="s">
        <v>893</v>
      </c>
      <c r="D8" s="19" t="s">
        <v>894</v>
      </c>
      <c r="E8" s="19" t="s">
        <v>855</v>
      </c>
      <c r="F8" s="19">
        <v>2016</v>
      </c>
      <c r="G8" s="21">
        <v>0.66658890000000004</v>
      </c>
      <c r="H8" s="19" t="s">
        <v>895</v>
      </c>
      <c r="I8" s="19" t="s">
        <v>865</v>
      </c>
      <c r="J8" s="21">
        <v>0.66658890000000004</v>
      </c>
      <c r="K8" s="19" t="s">
        <v>896</v>
      </c>
      <c r="L8" s="19" t="s">
        <v>897</v>
      </c>
      <c r="M8" s="19" t="s">
        <v>898</v>
      </c>
      <c r="N8" s="19" t="s">
        <v>869</v>
      </c>
    </row>
    <row r="9" spans="1:14">
      <c r="A9" s="19" t="s">
        <v>445</v>
      </c>
      <c r="B9" s="19">
        <v>8</v>
      </c>
      <c r="C9" s="19" t="s">
        <v>899</v>
      </c>
      <c r="D9" s="19" t="s">
        <v>900</v>
      </c>
      <c r="E9" s="19" t="s">
        <v>855</v>
      </c>
      <c r="F9" s="19">
        <v>2023</v>
      </c>
      <c r="G9" s="21">
        <v>0.66656879999999996</v>
      </c>
      <c r="H9" s="19" t="s">
        <v>901</v>
      </c>
      <c r="I9" s="19" t="s">
        <v>865</v>
      </c>
      <c r="J9" s="21">
        <v>0.66656879999999996</v>
      </c>
      <c r="K9" s="19" t="s">
        <v>902</v>
      </c>
      <c r="L9" s="19" t="s">
        <v>903</v>
      </c>
      <c r="M9" s="19" t="s">
        <v>904</v>
      </c>
      <c r="N9" s="19" t="s">
        <v>869</v>
      </c>
    </row>
    <row r="10" spans="1:14">
      <c r="A10" s="19" t="s">
        <v>445</v>
      </c>
      <c r="B10" s="19">
        <v>9</v>
      </c>
      <c r="C10" s="19" t="s">
        <v>905</v>
      </c>
      <c r="D10" s="19" t="s">
        <v>906</v>
      </c>
      <c r="E10" s="19" t="s">
        <v>855</v>
      </c>
      <c r="F10" s="19">
        <v>2022</v>
      </c>
      <c r="G10" s="21">
        <v>0.66280985000000003</v>
      </c>
      <c r="H10" s="19" t="s">
        <v>907</v>
      </c>
      <c r="I10" s="19" t="s">
        <v>908</v>
      </c>
      <c r="J10" s="21">
        <v>0.66280985000000003</v>
      </c>
      <c r="K10" s="19" t="s">
        <v>909</v>
      </c>
      <c r="L10" s="19" t="s">
        <v>910</v>
      </c>
      <c r="M10" s="19"/>
      <c r="N10" s="19" t="s">
        <v>911</v>
      </c>
    </row>
    <row r="11" spans="1:14">
      <c r="A11" s="19" t="s">
        <v>445</v>
      </c>
      <c r="B11" s="19">
        <v>10</v>
      </c>
      <c r="C11" s="19" t="s">
        <v>912</v>
      </c>
      <c r="D11" s="19" t="s">
        <v>832</v>
      </c>
      <c r="E11" s="19" t="s">
        <v>855</v>
      </c>
      <c r="F11" s="19">
        <v>2022</v>
      </c>
      <c r="G11" s="21">
        <v>0.66141563999999997</v>
      </c>
      <c r="H11" s="19" t="s">
        <v>913</v>
      </c>
      <c r="I11" s="19" t="s">
        <v>914</v>
      </c>
      <c r="J11" s="21">
        <v>0.66141563999999997</v>
      </c>
      <c r="K11" s="19" t="s">
        <v>915</v>
      </c>
      <c r="L11" s="19" t="s">
        <v>916</v>
      </c>
      <c r="M11" s="19"/>
      <c r="N11" s="19" t="s">
        <v>917</v>
      </c>
    </row>
    <row r="12" spans="1:14">
      <c r="A12" s="19" t="s">
        <v>428</v>
      </c>
      <c r="B12" s="19">
        <v>1</v>
      </c>
      <c r="C12" s="19" t="s">
        <v>918</v>
      </c>
      <c r="D12" s="19" t="s">
        <v>787</v>
      </c>
      <c r="E12" s="19" t="s">
        <v>855</v>
      </c>
      <c r="F12" s="19">
        <v>2022</v>
      </c>
      <c r="G12" s="21">
        <v>0.65815495999999996</v>
      </c>
      <c r="H12" s="19" t="s">
        <v>919</v>
      </c>
      <c r="I12" s="19" t="s">
        <v>914</v>
      </c>
      <c r="J12" s="21">
        <v>0.65815495999999996</v>
      </c>
      <c r="K12" s="19" t="s">
        <v>920</v>
      </c>
      <c r="L12" s="19" t="s">
        <v>921</v>
      </c>
      <c r="M12" s="19"/>
      <c r="N12" s="19" t="s">
        <v>917</v>
      </c>
    </row>
    <row r="13" spans="1:14">
      <c r="A13" s="19" t="s">
        <v>428</v>
      </c>
      <c r="B13" s="19">
        <v>2</v>
      </c>
      <c r="C13" s="19" t="s">
        <v>922</v>
      </c>
      <c r="D13" s="19" t="s">
        <v>923</v>
      </c>
      <c r="E13" s="19" t="s">
        <v>855</v>
      </c>
      <c r="F13" s="19">
        <v>2023</v>
      </c>
      <c r="G13" s="21">
        <v>0.65435030000000005</v>
      </c>
      <c r="H13" s="19" t="s">
        <v>924</v>
      </c>
      <c r="I13" s="19" t="s">
        <v>925</v>
      </c>
      <c r="J13" s="21">
        <v>0.65435030000000005</v>
      </c>
      <c r="K13" s="19" t="s">
        <v>926</v>
      </c>
      <c r="L13" s="19" t="s">
        <v>927</v>
      </c>
      <c r="M13" s="19"/>
      <c r="N13" s="19" t="s">
        <v>928</v>
      </c>
    </row>
    <row r="14" spans="1:14">
      <c r="A14" s="19" t="s">
        <v>428</v>
      </c>
      <c r="B14" s="19">
        <v>3</v>
      </c>
      <c r="C14" s="19" t="s">
        <v>929</v>
      </c>
      <c r="D14" s="19" t="s">
        <v>930</v>
      </c>
      <c r="E14" s="19" t="s">
        <v>855</v>
      </c>
      <c r="F14" s="19">
        <v>2023</v>
      </c>
      <c r="G14" s="21">
        <v>0.63672196999999997</v>
      </c>
      <c r="H14" s="19" t="s">
        <v>931</v>
      </c>
      <c r="I14" s="19" t="s">
        <v>865</v>
      </c>
      <c r="J14" s="21">
        <v>0.63672196999999997</v>
      </c>
      <c r="K14" s="19" t="s">
        <v>932</v>
      </c>
      <c r="L14" s="19" t="s">
        <v>933</v>
      </c>
      <c r="M14" s="19"/>
      <c r="N14" s="19" t="s">
        <v>934</v>
      </c>
    </row>
    <row r="15" spans="1:14">
      <c r="A15" s="19" t="s">
        <v>428</v>
      </c>
      <c r="B15" s="19">
        <v>4</v>
      </c>
      <c r="C15" s="19" t="s">
        <v>935</v>
      </c>
      <c r="D15" s="19" t="s">
        <v>936</v>
      </c>
      <c r="E15" s="19" t="s">
        <v>855</v>
      </c>
      <c r="F15" s="19"/>
      <c r="G15" s="21">
        <v>0.63617469999999998</v>
      </c>
      <c r="H15" s="19" t="s">
        <v>937</v>
      </c>
      <c r="I15" s="19" t="s">
        <v>857</v>
      </c>
      <c r="J15" s="21">
        <v>0.63617469999999998</v>
      </c>
      <c r="K15" s="19" t="s">
        <v>938</v>
      </c>
      <c r="L15" s="19" t="s">
        <v>939</v>
      </c>
      <c r="M15" s="19"/>
      <c r="N15" s="19" t="s">
        <v>940</v>
      </c>
    </row>
    <row r="16" spans="1:14">
      <c r="A16" s="19" t="s">
        <v>428</v>
      </c>
      <c r="B16" s="19">
        <v>5</v>
      </c>
      <c r="C16" s="19" t="s">
        <v>941</v>
      </c>
      <c r="D16" s="19" t="s">
        <v>942</v>
      </c>
      <c r="E16" s="19" t="s">
        <v>855</v>
      </c>
      <c r="F16" s="19">
        <v>2016</v>
      </c>
      <c r="G16" s="21">
        <v>0.62874985000000005</v>
      </c>
      <c r="H16" s="19" t="s">
        <v>943</v>
      </c>
      <c r="I16" s="19" t="s">
        <v>914</v>
      </c>
      <c r="J16" s="21">
        <v>0.62874985000000005</v>
      </c>
      <c r="K16" s="19" t="s">
        <v>944</v>
      </c>
      <c r="L16" s="19" t="s">
        <v>945</v>
      </c>
      <c r="M16" s="19" t="s">
        <v>946</v>
      </c>
      <c r="N16" s="19" t="s">
        <v>947</v>
      </c>
    </row>
    <row r="17" spans="1:14">
      <c r="A17" s="19" t="s">
        <v>428</v>
      </c>
      <c r="B17" s="19">
        <v>6</v>
      </c>
      <c r="C17" s="19" t="s">
        <v>948</v>
      </c>
      <c r="D17" s="19" t="s">
        <v>949</v>
      </c>
      <c r="E17" s="19" t="s">
        <v>855</v>
      </c>
      <c r="F17" s="19">
        <v>2016</v>
      </c>
      <c r="G17" s="21">
        <v>0.62585959999999996</v>
      </c>
      <c r="H17" s="19" t="s">
        <v>950</v>
      </c>
      <c r="I17" s="19" t="s">
        <v>951</v>
      </c>
      <c r="J17" s="21">
        <v>0.62585959999999996</v>
      </c>
      <c r="K17" s="19" t="s">
        <v>952</v>
      </c>
      <c r="L17" s="19" t="s">
        <v>953</v>
      </c>
      <c r="M17" s="19" t="s">
        <v>954</v>
      </c>
      <c r="N17" s="19" t="s">
        <v>955</v>
      </c>
    </row>
    <row r="18" spans="1:14">
      <c r="A18" s="19" t="s">
        <v>428</v>
      </c>
      <c r="B18" s="19">
        <v>7</v>
      </c>
      <c r="C18" s="19" t="s">
        <v>956</v>
      </c>
      <c r="D18" s="19" t="s">
        <v>957</v>
      </c>
      <c r="E18" s="19" t="s">
        <v>855</v>
      </c>
      <c r="F18" s="19">
        <v>2022</v>
      </c>
      <c r="G18" s="21">
        <v>0.62310684000000005</v>
      </c>
      <c r="H18" s="19" t="s">
        <v>958</v>
      </c>
      <c r="I18" s="19" t="s">
        <v>865</v>
      </c>
      <c r="J18" s="21">
        <v>0.62310684000000005</v>
      </c>
      <c r="K18" s="19" t="s">
        <v>959</v>
      </c>
      <c r="L18" s="19" t="s">
        <v>960</v>
      </c>
      <c r="M18" s="19" t="s">
        <v>961</v>
      </c>
      <c r="N18" s="19" t="s">
        <v>962</v>
      </c>
    </row>
    <row r="19" spans="1:14">
      <c r="A19" s="19" t="s">
        <v>428</v>
      </c>
      <c r="B19" s="19">
        <v>8</v>
      </c>
      <c r="C19" s="19" t="s">
        <v>963</v>
      </c>
      <c r="D19" s="19" t="s">
        <v>964</v>
      </c>
      <c r="E19" s="19" t="s">
        <v>855</v>
      </c>
      <c r="F19" s="19">
        <v>2022</v>
      </c>
      <c r="G19" s="21">
        <v>0.62303036000000001</v>
      </c>
      <c r="H19" s="19" t="s">
        <v>965</v>
      </c>
      <c r="I19" s="19" t="s">
        <v>865</v>
      </c>
      <c r="J19" s="21">
        <v>0.62303036000000001</v>
      </c>
      <c r="K19" s="19" t="s">
        <v>966</v>
      </c>
      <c r="L19" s="19" t="s">
        <v>967</v>
      </c>
      <c r="M19" s="19" t="s">
        <v>968</v>
      </c>
      <c r="N19" s="19" t="s">
        <v>962</v>
      </c>
    </row>
    <row r="20" spans="1:14">
      <c r="A20" s="19" t="s">
        <v>428</v>
      </c>
      <c r="B20" s="19">
        <v>9</v>
      </c>
      <c r="C20" s="19" t="s">
        <v>969</v>
      </c>
      <c r="D20" s="19" t="s">
        <v>970</v>
      </c>
      <c r="E20" s="19" t="s">
        <v>855</v>
      </c>
      <c r="F20" s="19">
        <v>2023</v>
      </c>
      <c r="G20" s="21">
        <v>0.62245165999999996</v>
      </c>
      <c r="H20" s="19" t="s">
        <v>971</v>
      </c>
      <c r="I20" s="19" t="s">
        <v>865</v>
      </c>
      <c r="J20" s="21">
        <v>0.62245165999999996</v>
      </c>
      <c r="K20" s="19" t="s">
        <v>972</v>
      </c>
      <c r="L20" s="19" t="s">
        <v>973</v>
      </c>
      <c r="M20" s="19" t="s">
        <v>974</v>
      </c>
      <c r="N20" s="19" t="s">
        <v>962</v>
      </c>
    </row>
    <row r="21" spans="1:14">
      <c r="A21" s="19" t="s">
        <v>428</v>
      </c>
      <c r="B21" s="19">
        <v>10</v>
      </c>
      <c r="C21" s="19" t="s">
        <v>975</v>
      </c>
      <c r="D21" s="19" t="s">
        <v>976</v>
      </c>
      <c r="E21" s="19" t="s">
        <v>855</v>
      </c>
      <c r="F21" s="19">
        <v>2022</v>
      </c>
      <c r="G21" s="21">
        <v>0.62204709999999996</v>
      </c>
      <c r="H21" s="19" t="s">
        <v>977</v>
      </c>
      <c r="I21" s="19" t="s">
        <v>865</v>
      </c>
      <c r="J21" s="21">
        <v>0.62204709999999996</v>
      </c>
      <c r="K21" s="19" t="s">
        <v>978</v>
      </c>
      <c r="L21" s="19" t="s">
        <v>979</v>
      </c>
      <c r="M21" s="19" t="s">
        <v>980</v>
      </c>
      <c r="N21" s="19" t="s">
        <v>962</v>
      </c>
    </row>
    <row r="22" spans="1:14">
      <c r="A22" s="19" t="s">
        <v>524</v>
      </c>
      <c r="B22" s="19">
        <v>1</v>
      </c>
      <c r="C22" s="19" t="s">
        <v>981</v>
      </c>
      <c r="D22" s="19" t="s">
        <v>821</v>
      </c>
      <c r="E22" s="19" t="s">
        <v>855</v>
      </c>
      <c r="F22" s="19">
        <v>2022</v>
      </c>
      <c r="G22" s="21">
        <v>0.69961709999999999</v>
      </c>
      <c r="H22" s="19" t="s">
        <v>982</v>
      </c>
      <c r="I22" s="19" t="s">
        <v>857</v>
      </c>
      <c r="J22" s="21">
        <v>0.69961709999999999</v>
      </c>
      <c r="K22" s="19" t="s">
        <v>983</v>
      </c>
      <c r="L22" s="19" t="s">
        <v>984</v>
      </c>
      <c r="M22" s="19" t="s">
        <v>985</v>
      </c>
      <c r="N22" s="19" t="s">
        <v>986</v>
      </c>
    </row>
    <row r="23" spans="1:14">
      <c r="A23" s="19" t="s">
        <v>524</v>
      </c>
      <c r="B23" s="19">
        <v>2</v>
      </c>
      <c r="C23" s="19" t="s">
        <v>987</v>
      </c>
      <c r="D23" s="19" t="s">
        <v>988</v>
      </c>
      <c r="E23" s="19" t="s">
        <v>855</v>
      </c>
      <c r="F23" s="19">
        <v>2016</v>
      </c>
      <c r="G23" s="21">
        <v>0.69414790000000004</v>
      </c>
      <c r="H23" s="19" t="s">
        <v>989</v>
      </c>
      <c r="I23" s="19" t="s">
        <v>951</v>
      </c>
      <c r="J23" s="21">
        <v>0.69414790000000004</v>
      </c>
      <c r="K23" s="19" t="s">
        <v>990</v>
      </c>
      <c r="L23" s="19" t="s">
        <v>991</v>
      </c>
      <c r="M23" s="19" t="s">
        <v>992</v>
      </c>
      <c r="N23" s="19" t="s">
        <v>993</v>
      </c>
    </row>
    <row r="24" spans="1:14">
      <c r="A24" s="19" t="s">
        <v>524</v>
      </c>
      <c r="B24" s="19">
        <v>3</v>
      </c>
      <c r="C24" s="19" t="s">
        <v>994</v>
      </c>
      <c r="D24" s="19" t="s">
        <v>995</v>
      </c>
      <c r="E24" s="19" t="s">
        <v>855</v>
      </c>
      <c r="F24" s="19">
        <v>2022</v>
      </c>
      <c r="G24" s="21">
        <v>0.68254422999999997</v>
      </c>
      <c r="H24" s="19" t="s">
        <v>996</v>
      </c>
      <c r="I24" s="19" t="s">
        <v>951</v>
      </c>
      <c r="J24" s="21">
        <v>0.68254422999999997</v>
      </c>
      <c r="K24" s="19" t="s">
        <v>997</v>
      </c>
      <c r="L24" s="19" t="s">
        <v>998</v>
      </c>
      <c r="M24" s="19" t="s">
        <v>999</v>
      </c>
      <c r="N24" s="19" t="s">
        <v>1000</v>
      </c>
    </row>
    <row r="25" spans="1:14">
      <c r="A25" s="19" t="s">
        <v>524</v>
      </c>
      <c r="B25" s="19">
        <v>4</v>
      </c>
      <c r="C25" s="19" t="s">
        <v>1001</v>
      </c>
      <c r="D25" s="19" t="s">
        <v>1002</v>
      </c>
      <c r="E25" s="19" t="s">
        <v>855</v>
      </c>
      <c r="F25" s="19">
        <v>2016</v>
      </c>
      <c r="G25" s="21">
        <v>0.67922400000000005</v>
      </c>
      <c r="H25" s="19" t="s">
        <v>1003</v>
      </c>
      <c r="I25" s="19" t="s">
        <v>951</v>
      </c>
      <c r="J25" s="21">
        <v>0.67922400000000005</v>
      </c>
      <c r="K25" s="19" t="s">
        <v>1004</v>
      </c>
      <c r="L25" s="19" t="s">
        <v>1005</v>
      </c>
      <c r="M25" s="19" t="s">
        <v>1006</v>
      </c>
      <c r="N25" s="19" t="s">
        <v>1000</v>
      </c>
    </row>
    <row r="26" spans="1:14">
      <c r="A26" s="19" t="s">
        <v>524</v>
      </c>
      <c r="B26" s="19">
        <v>5</v>
      </c>
      <c r="C26" s="19" t="s">
        <v>1007</v>
      </c>
      <c r="D26" s="19" t="s">
        <v>1008</v>
      </c>
      <c r="E26" s="19" t="s">
        <v>855</v>
      </c>
      <c r="F26" s="19">
        <v>2016</v>
      </c>
      <c r="G26" s="21">
        <v>0.67876579999999997</v>
      </c>
      <c r="H26" s="19" t="s">
        <v>1009</v>
      </c>
      <c r="I26" s="19" t="s">
        <v>951</v>
      </c>
      <c r="J26" s="21">
        <v>0.67876579999999997</v>
      </c>
      <c r="K26" s="19" t="s">
        <v>1010</v>
      </c>
      <c r="L26" s="19" t="s">
        <v>1011</v>
      </c>
      <c r="M26" s="19" t="s">
        <v>1012</v>
      </c>
      <c r="N26" s="19" t="s">
        <v>1000</v>
      </c>
    </row>
    <row r="27" spans="1:14">
      <c r="A27" s="19" t="s">
        <v>524</v>
      </c>
      <c r="B27" s="19">
        <v>6</v>
      </c>
      <c r="C27" s="19" t="s">
        <v>1013</v>
      </c>
      <c r="D27" s="19" t="s">
        <v>1014</v>
      </c>
      <c r="E27" s="19" t="s">
        <v>855</v>
      </c>
      <c r="F27" s="19">
        <v>2016</v>
      </c>
      <c r="G27" s="21">
        <v>0.674535</v>
      </c>
      <c r="H27" s="19" t="s">
        <v>1015</v>
      </c>
      <c r="I27" s="19" t="s">
        <v>951</v>
      </c>
      <c r="J27" s="21">
        <v>0.674535</v>
      </c>
      <c r="K27" s="19" t="s">
        <v>1016</v>
      </c>
      <c r="L27" s="19" t="s">
        <v>1017</v>
      </c>
      <c r="M27" s="19" t="s">
        <v>1018</v>
      </c>
      <c r="N27" s="19" t="s">
        <v>1019</v>
      </c>
    </row>
    <row r="28" spans="1:14">
      <c r="A28" s="19" t="s">
        <v>524</v>
      </c>
      <c r="B28" s="19">
        <v>7</v>
      </c>
      <c r="C28" s="19" t="s">
        <v>1020</v>
      </c>
      <c r="D28" s="19" t="s">
        <v>1021</v>
      </c>
      <c r="E28" s="19" t="s">
        <v>855</v>
      </c>
      <c r="F28" s="19">
        <v>2016</v>
      </c>
      <c r="G28" s="21">
        <v>0.67432479999999995</v>
      </c>
      <c r="H28" s="19" t="s">
        <v>1022</v>
      </c>
      <c r="I28" s="19" t="s">
        <v>951</v>
      </c>
      <c r="J28" s="21">
        <v>0.67432479999999995</v>
      </c>
      <c r="K28" s="19" t="s">
        <v>1023</v>
      </c>
      <c r="L28" s="19" t="s">
        <v>1024</v>
      </c>
      <c r="M28" s="19" t="s">
        <v>1025</v>
      </c>
      <c r="N28" s="19" t="s">
        <v>1019</v>
      </c>
    </row>
    <row r="29" spans="1:14">
      <c r="A29" s="19" t="s">
        <v>524</v>
      </c>
      <c r="B29" s="19">
        <v>8</v>
      </c>
      <c r="C29" s="19" t="s">
        <v>1026</v>
      </c>
      <c r="D29" s="19" t="s">
        <v>1027</v>
      </c>
      <c r="E29" s="19" t="s">
        <v>855</v>
      </c>
      <c r="F29" s="19">
        <v>2016</v>
      </c>
      <c r="G29" s="21">
        <v>0.67418325000000001</v>
      </c>
      <c r="H29" s="19" t="s">
        <v>1028</v>
      </c>
      <c r="I29" s="19" t="s">
        <v>951</v>
      </c>
      <c r="J29" s="21">
        <v>0.67418325000000001</v>
      </c>
      <c r="K29" s="19" t="s">
        <v>1029</v>
      </c>
      <c r="L29" s="19" t="s">
        <v>1030</v>
      </c>
      <c r="M29" s="19" t="s">
        <v>1031</v>
      </c>
      <c r="N29" s="19" t="s">
        <v>1019</v>
      </c>
    </row>
    <row r="30" spans="1:14">
      <c r="A30" s="19" t="s">
        <v>524</v>
      </c>
      <c r="B30" s="19">
        <v>9</v>
      </c>
      <c r="C30" s="19" t="s">
        <v>1032</v>
      </c>
      <c r="D30" s="19" t="s">
        <v>1033</v>
      </c>
      <c r="E30" s="19" t="s">
        <v>855</v>
      </c>
      <c r="F30" s="19">
        <v>2016</v>
      </c>
      <c r="G30" s="21">
        <v>0.67298820000000004</v>
      </c>
      <c r="H30" s="19" t="s">
        <v>1034</v>
      </c>
      <c r="I30" s="19" t="s">
        <v>857</v>
      </c>
      <c r="J30" s="21">
        <v>0.67298820000000004</v>
      </c>
      <c r="K30" s="19" t="s">
        <v>1035</v>
      </c>
      <c r="L30" s="19" t="s">
        <v>1036</v>
      </c>
      <c r="M30" s="19" t="s">
        <v>1037</v>
      </c>
      <c r="N30" s="19" t="s">
        <v>1038</v>
      </c>
    </row>
    <row r="31" spans="1:14">
      <c r="A31" s="19" t="s">
        <v>524</v>
      </c>
      <c r="B31" s="19">
        <v>10</v>
      </c>
      <c r="C31" s="19" t="s">
        <v>1039</v>
      </c>
      <c r="D31" s="19" t="s">
        <v>1040</v>
      </c>
      <c r="E31" s="19" t="s">
        <v>855</v>
      </c>
      <c r="F31" s="19">
        <v>2022</v>
      </c>
      <c r="G31" s="21">
        <v>0.66690260000000001</v>
      </c>
      <c r="H31" s="19" t="s">
        <v>1041</v>
      </c>
      <c r="I31" s="19" t="s">
        <v>951</v>
      </c>
      <c r="J31" s="21">
        <v>0.66690260000000001</v>
      </c>
      <c r="K31" s="19" t="s">
        <v>1042</v>
      </c>
      <c r="L31" s="19" t="s">
        <v>1043</v>
      </c>
      <c r="M31" s="19" t="s">
        <v>1044</v>
      </c>
      <c r="N31" s="19" t="s">
        <v>1019</v>
      </c>
    </row>
    <row r="32" spans="1:14">
      <c r="A32" s="19" t="s">
        <v>316</v>
      </c>
      <c r="B32" s="19">
        <v>1</v>
      </c>
      <c r="C32" s="19" t="s">
        <v>1045</v>
      </c>
      <c r="D32" s="19" t="s">
        <v>692</v>
      </c>
      <c r="E32" s="19" t="s">
        <v>855</v>
      </c>
      <c r="F32" s="19">
        <v>2022</v>
      </c>
      <c r="G32" s="21">
        <v>0.73531765000000004</v>
      </c>
      <c r="H32" s="19" t="s">
        <v>1046</v>
      </c>
      <c r="I32" s="19" t="s">
        <v>951</v>
      </c>
      <c r="J32" s="21">
        <v>0.73531765000000004</v>
      </c>
      <c r="K32" s="19" t="s">
        <v>1047</v>
      </c>
      <c r="L32" s="19" t="s">
        <v>1048</v>
      </c>
      <c r="M32" s="19" t="s">
        <v>1049</v>
      </c>
      <c r="N32" s="19" t="s">
        <v>1050</v>
      </c>
    </row>
    <row r="33" spans="1:14">
      <c r="A33" s="19" t="s">
        <v>316</v>
      </c>
      <c r="B33" s="19">
        <v>2</v>
      </c>
      <c r="C33" s="19" t="s">
        <v>1051</v>
      </c>
      <c r="D33" s="19" t="s">
        <v>1052</v>
      </c>
      <c r="E33" s="19" t="s">
        <v>855</v>
      </c>
      <c r="F33" s="19">
        <v>2022</v>
      </c>
      <c r="G33" s="21">
        <v>0.68962789999999996</v>
      </c>
      <c r="H33" s="19" t="s">
        <v>1053</v>
      </c>
      <c r="I33" s="19" t="s">
        <v>951</v>
      </c>
      <c r="J33" s="21">
        <v>0.68962789999999996</v>
      </c>
      <c r="K33" s="19" t="s">
        <v>1054</v>
      </c>
      <c r="L33" s="19" t="s">
        <v>1055</v>
      </c>
      <c r="M33" s="19" t="s">
        <v>1056</v>
      </c>
      <c r="N33" s="19" t="s">
        <v>993</v>
      </c>
    </row>
    <row r="34" spans="1:14">
      <c r="A34" s="19" t="s">
        <v>316</v>
      </c>
      <c r="B34" s="19">
        <v>3</v>
      </c>
      <c r="C34" s="19" t="s">
        <v>1057</v>
      </c>
      <c r="D34" s="19" t="s">
        <v>799</v>
      </c>
      <c r="E34" s="19" t="s">
        <v>855</v>
      </c>
      <c r="F34" s="19">
        <v>2016</v>
      </c>
      <c r="G34" s="21">
        <v>0.68071216000000001</v>
      </c>
      <c r="H34" s="19" t="s">
        <v>1058</v>
      </c>
      <c r="I34" s="19" t="s">
        <v>951</v>
      </c>
      <c r="J34" s="21">
        <v>0.68071216000000001</v>
      </c>
      <c r="K34" s="19" t="s">
        <v>1059</v>
      </c>
      <c r="L34" s="19" t="s">
        <v>1060</v>
      </c>
      <c r="M34" s="19" t="s">
        <v>1061</v>
      </c>
      <c r="N34" s="19" t="s">
        <v>1000</v>
      </c>
    </row>
    <row r="35" spans="1:14">
      <c r="A35" s="19" t="s">
        <v>316</v>
      </c>
      <c r="B35" s="19">
        <v>4</v>
      </c>
      <c r="C35" s="19" t="s">
        <v>1062</v>
      </c>
      <c r="D35" s="19" t="s">
        <v>750</v>
      </c>
      <c r="E35" s="19" t="s">
        <v>855</v>
      </c>
      <c r="F35" s="19">
        <v>2022</v>
      </c>
      <c r="G35" s="21">
        <v>0.68057160000000005</v>
      </c>
      <c r="H35" s="19" t="s">
        <v>1063</v>
      </c>
      <c r="I35" s="19" t="s">
        <v>951</v>
      </c>
      <c r="J35" s="21">
        <v>0.68057160000000005</v>
      </c>
      <c r="K35" s="19" t="s">
        <v>1064</v>
      </c>
      <c r="L35" s="19" t="s">
        <v>1065</v>
      </c>
      <c r="M35" s="19" t="s">
        <v>1066</v>
      </c>
      <c r="N35" s="19" t="s">
        <v>1000</v>
      </c>
    </row>
    <row r="36" spans="1:14">
      <c r="A36" s="19" t="s">
        <v>316</v>
      </c>
      <c r="B36" s="19">
        <v>5</v>
      </c>
      <c r="C36" s="19" t="s">
        <v>1067</v>
      </c>
      <c r="D36" s="19" t="s">
        <v>1068</v>
      </c>
      <c r="E36" s="19" t="s">
        <v>855</v>
      </c>
      <c r="F36" s="19">
        <v>2016</v>
      </c>
      <c r="G36" s="21">
        <v>0.67992246000000001</v>
      </c>
      <c r="H36" s="19" t="s">
        <v>1069</v>
      </c>
      <c r="I36" s="19" t="s">
        <v>951</v>
      </c>
      <c r="J36" s="21">
        <v>0.67992246000000001</v>
      </c>
      <c r="K36" s="19" t="s">
        <v>1070</v>
      </c>
      <c r="L36" s="19" t="s">
        <v>1071</v>
      </c>
      <c r="M36" s="19" t="s">
        <v>1072</v>
      </c>
      <c r="N36" s="19" t="s">
        <v>1000</v>
      </c>
    </row>
    <row r="37" spans="1:14">
      <c r="A37" s="19" t="s">
        <v>316</v>
      </c>
      <c r="B37" s="19">
        <v>6</v>
      </c>
      <c r="C37" s="19" t="s">
        <v>1073</v>
      </c>
      <c r="D37" s="19" t="s">
        <v>1074</v>
      </c>
      <c r="E37" s="19" t="s">
        <v>855</v>
      </c>
      <c r="F37" s="19">
        <v>2014</v>
      </c>
      <c r="G37" s="21">
        <v>0.67910680000000001</v>
      </c>
      <c r="H37" s="19" t="s">
        <v>1075</v>
      </c>
      <c r="I37" s="19" t="s">
        <v>908</v>
      </c>
      <c r="J37" s="21">
        <v>0.67910680000000001</v>
      </c>
      <c r="K37" s="19" t="s">
        <v>1076</v>
      </c>
      <c r="L37" s="19" t="s">
        <v>1077</v>
      </c>
      <c r="M37" s="19"/>
      <c r="N37" s="19" t="s">
        <v>1078</v>
      </c>
    </row>
    <row r="38" spans="1:14">
      <c r="A38" s="19" t="s">
        <v>316</v>
      </c>
      <c r="B38" s="19">
        <v>7</v>
      </c>
      <c r="C38" s="19" t="s">
        <v>1079</v>
      </c>
      <c r="D38" s="19" t="s">
        <v>1080</v>
      </c>
      <c r="E38" s="19" t="s">
        <v>855</v>
      </c>
      <c r="F38" s="19">
        <v>2022</v>
      </c>
      <c r="G38" s="21">
        <v>0.67299545000000005</v>
      </c>
      <c r="H38" s="19" t="s">
        <v>1081</v>
      </c>
      <c r="I38" s="19" t="s">
        <v>951</v>
      </c>
      <c r="J38" s="21">
        <v>0.67299545000000005</v>
      </c>
      <c r="K38" s="19" t="s">
        <v>1082</v>
      </c>
      <c r="L38" s="19" t="s">
        <v>1083</v>
      </c>
      <c r="M38" s="19" t="s">
        <v>1084</v>
      </c>
      <c r="N38" s="19" t="s">
        <v>1019</v>
      </c>
    </row>
    <row r="39" spans="1:14">
      <c r="A39" s="19" t="s">
        <v>316</v>
      </c>
      <c r="B39" s="19">
        <v>8</v>
      </c>
      <c r="C39" s="19" t="s">
        <v>1085</v>
      </c>
      <c r="D39" s="19" t="s">
        <v>1086</v>
      </c>
      <c r="E39" s="19" t="s">
        <v>855</v>
      </c>
      <c r="F39" s="19">
        <v>2022</v>
      </c>
      <c r="G39" s="21">
        <v>0.67146720000000004</v>
      </c>
      <c r="H39" s="19" t="s">
        <v>1087</v>
      </c>
      <c r="I39" s="19" t="s">
        <v>951</v>
      </c>
      <c r="J39" s="21">
        <v>0.67146720000000004</v>
      </c>
      <c r="K39" s="19" t="s">
        <v>1088</v>
      </c>
      <c r="L39" s="19" t="s">
        <v>1089</v>
      </c>
      <c r="M39" s="19" t="s">
        <v>1090</v>
      </c>
      <c r="N39" s="19" t="s">
        <v>1019</v>
      </c>
    </row>
    <row r="40" spans="1:14">
      <c r="A40" s="19" t="s">
        <v>316</v>
      </c>
      <c r="B40" s="19">
        <v>9</v>
      </c>
      <c r="C40" s="19" t="s">
        <v>1091</v>
      </c>
      <c r="D40" s="19" t="s">
        <v>1092</v>
      </c>
      <c r="E40" s="19" t="s">
        <v>855</v>
      </c>
      <c r="F40" s="19">
        <v>2023</v>
      </c>
      <c r="G40" s="21">
        <v>0.66750790000000004</v>
      </c>
      <c r="H40" s="19" t="s">
        <v>1093</v>
      </c>
      <c r="I40" s="19" t="s">
        <v>951</v>
      </c>
      <c r="J40" s="21">
        <v>0.66750790000000004</v>
      </c>
      <c r="K40" s="19" t="s">
        <v>1094</v>
      </c>
      <c r="L40" s="19" t="s">
        <v>1095</v>
      </c>
      <c r="M40" s="19" t="s">
        <v>1096</v>
      </c>
      <c r="N40" s="19" t="s">
        <v>1019</v>
      </c>
    </row>
    <row r="41" spans="1:14">
      <c r="A41" s="19" t="s">
        <v>316</v>
      </c>
      <c r="B41" s="19">
        <v>10</v>
      </c>
      <c r="C41" s="19" t="s">
        <v>1097</v>
      </c>
      <c r="D41" s="19" t="s">
        <v>1098</v>
      </c>
      <c r="E41" s="19" t="s">
        <v>855</v>
      </c>
      <c r="F41" s="19">
        <v>2022</v>
      </c>
      <c r="G41" s="21">
        <v>0.66344619999999999</v>
      </c>
      <c r="H41" s="19" t="s">
        <v>1099</v>
      </c>
      <c r="I41" s="19" t="s">
        <v>951</v>
      </c>
      <c r="J41" s="21">
        <v>0.66344619999999999</v>
      </c>
      <c r="K41" s="19" t="s">
        <v>1100</v>
      </c>
      <c r="L41" s="19" t="s">
        <v>1101</v>
      </c>
      <c r="M41" s="19" t="s">
        <v>1102</v>
      </c>
      <c r="N41" s="19" t="s">
        <v>1103</v>
      </c>
    </row>
    <row r="42" spans="1:14">
      <c r="A42" s="19" t="s">
        <v>264</v>
      </c>
      <c r="B42" s="19">
        <v>1</v>
      </c>
      <c r="C42" s="19" t="s">
        <v>1104</v>
      </c>
      <c r="D42" s="19" t="s">
        <v>737</v>
      </c>
      <c r="E42" s="19" t="s">
        <v>855</v>
      </c>
      <c r="F42" s="19">
        <v>2016</v>
      </c>
      <c r="G42" s="21">
        <v>0.72396386000000001</v>
      </c>
      <c r="H42" s="19" t="s">
        <v>1105</v>
      </c>
      <c r="I42" s="19" t="s">
        <v>908</v>
      </c>
      <c r="J42" s="21">
        <v>0.72396386000000001</v>
      </c>
      <c r="K42" s="19" t="s">
        <v>1106</v>
      </c>
      <c r="L42" s="19" t="s">
        <v>1107</v>
      </c>
      <c r="M42" s="19"/>
      <c r="N42" s="19" t="s">
        <v>1108</v>
      </c>
    </row>
    <row r="43" spans="1:14">
      <c r="A43" s="19" t="s">
        <v>264</v>
      </c>
      <c r="B43" s="19">
        <v>2</v>
      </c>
      <c r="C43" s="19" t="s">
        <v>1109</v>
      </c>
      <c r="D43" s="19" t="s">
        <v>1110</v>
      </c>
      <c r="E43" s="19" t="s">
        <v>855</v>
      </c>
      <c r="F43" s="19">
        <v>2016</v>
      </c>
      <c r="G43" s="21">
        <v>0.69324540000000001</v>
      </c>
      <c r="H43" s="19" t="s">
        <v>1111</v>
      </c>
      <c r="I43" s="19" t="s">
        <v>951</v>
      </c>
      <c r="J43" s="21">
        <v>0.69324540000000001</v>
      </c>
      <c r="K43" s="19" t="s">
        <v>1112</v>
      </c>
      <c r="L43" s="19" t="s">
        <v>1113</v>
      </c>
      <c r="M43" s="19" t="s">
        <v>1114</v>
      </c>
      <c r="N43" s="19" t="s">
        <v>993</v>
      </c>
    </row>
    <row r="44" spans="1:14">
      <c r="A44" s="19" t="s">
        <v>264</v>
      </c>
      <c r="B44" s="19">
        <v>3</v>
      </c>
      <c r="C44" s="19" t="s">
        <v>1115</v>
      </c>
      <c r="D44" s="19" t="s">
        <v>1116</v>
      </c>
      <c r="E44" s="19" t="s">
        <v>855</v>
      </c>
      <c r="F44" s="19">
        <v>2014</v>
      </c>
      <c r="G44" s="21">
        <v>0.68960330000000003</v>
      </c>
      <c r="H44" s="19" t="s">
        <v>1117</v>
      </c>
      <c r="I44" s="19" t="s">
        <v>914</v>
      </c>
      <c r="J44" s="21">
        <v>0.68960330000000003</v>
      </c>
      <c r="K44" s="19" t="s">
        <v>1118</v>
      </c>
      <c r="L44" s="19" t="s">
        <v>1119</v>
      </c>
      <c r="M44" s="19"/>
      <c r="N44" s="19" t="s">
        <v>1120</v>
      </c>
    </row>
    <row r="45" spans="1:14">
      <c r="A45" s="19" t="s">
        <v>264</v>
      </c>
      <c r="B45" s="19">
        <v>4</v>
      </c>
      <c r="C45" s="19" t="s">
        <v>1121</v>
      </c>
      <c r="D45" s="19" t="s">
        <v>1122</v>
      </c>
      <c r="E45" s="19" t="s">
        <v>855</v>
      </c>
      <c r="F45" s="19">
        <v>2023</v>
      </c>
      <c r="G45" s="21">
        <v>0.67706924999999996</v>
      </c>
      <c r="H45" s="19" t="s">
        <v>1123</v>
      </c>
      <c r="I45" s="19" t="s">
        <v>951</v>
      </c>
      <c r="J45" s="21">
        <v>0.67706924999999996</v>
      </c>
      <c r="K45" s="19" t="s">
        <v>1124</v>
      </c>
      <c r="L45" s="19" t="s">
        <v>1125</v>
      </c>
      <c r="M45" s="19" t="s">
        <v>1126</v>
      </c>
      <c r="N45" s="19" t="s">
        <v>1000</v>
      </c>
    </row>
    <row r="46" spans="1:14">
      <c r="A46" s="19" t="s">
        <v>264</v>
      </c>
      <c r="B46" s="19">
        <v>5</v>
      </c>
      <c r="C46" s="19" t="s">
        <v>1127</v>
      </c>
      <c r="D46" s="19" t="s">
        <v>1128</v>
      </c>
      <c r="E46" s="19" t="s">
        <v>855</v>
      </c>
      <c r="F46" s="19">
        <v>2014</v>
      </c>
      <c r="G46" s="21">
        <v>0.67543715000000004</v>
      </c>
      <c r="H46" s="19" t="s">
        <v>1129</v>
      </c>
      <c r="I46" s="19" t="s">
        <v>1130</v>
      </c>
      <c r="J46" s="21">
        <v>0.67543715000000004</v>
      </c>
      <c r="K46" s="19" t="s">
        <v>1131</v>
      </c>
      <c r="L46" s="19" t="s">
        <v>1132</v>
      </c>
      <c r="M46" s="19"/>
      <c r="N46" s="19" t="s">
        <v>1133</v>
      </c>
    </row>
    <row r="47" spans="1:14">
      <c r="A47" s="19" t="s">
        <v>264</v>
      </c>
      <c r="B47" s="19">
        <v>6</v>
      </c>
      <c r="C47" s="19" t="s">
        <v>1134</v>
      </c>
      <c r="D47" s="19" t="s">
        <v>1135</v>
      </c>
      <c r="E47" s="19" t="s">
        <v>855</v>
      </c>
      <c r="F47" s="19">
        <v>2016</v>
      </c>
      <c r="G47" s="21">
        <v>0.67494655000000003</v>
      </c>
      <c r="H47" s="19" t="s">
        <v>1136</v>
      </c>
      <c r="I47" s="19" t="s">
        <v>951</v>
      </c>
      <c r="J47" s="21">
        <v>0.67494655000000003</v>
      </c>
      <c r="K47" s="19" t="s">
        <v>1137</v>
      </c>
      <c r="L47" s="19" t="s">
        <v>1138</v>
      </c>
      <c r="M47" s="19" t="s">
        <v>1139</v>
      </c>
      <c r="N47" s="19" t="s">
        <v>1019</v>
      </c>
    </row>
    <row r="48" spans="1:14">
      <c r="A48" s="19" t="s">
        <v>264</v>
      </c>
      <c r="B48" s="19">
        <v>7</v>
      </c>
      <c r="C48" s="19" t="s">
        <v>1140</v>
      </c>
      <c r="D48" s="19" t="s">
        <v>1141</v>
      </c>
      <c r="E48" s="19" t="s">
        <v>855</v>
      </c>
      <c r="F48" s="19">
        <v>2014</v>
      </c>
      <c r="G48" s="21">
        <v>0.6715544</v>
      </c>
      <c r="H48" s="19" t="s">
        <v>1142</v>
      </c>
      <c r="I48" s="19" t="s">
        <v>857</v>
      </c>
      <c r="J48" s="21">
        <v>0.6715544</v>
      </c>
      <c r="K48" s="19" t="s">
        <v>1143</v>
      </c>
      <c r="L48" s="19" t="s">
        <v>1144</v>
      </c>
      <c r="M48" s="19"/>
      <c r="N48" s="19" t="s">
        <v>1038</v>
      </c>
    </row>
    <row r="49" spans="1:14">
      <c r="A49" s="19" t="s">
        <v>264</v>
      </c>
      <c r="B49" s="19">
        <v>8</v>
      </c>
      <c r="C49" s="19" t="s">
        <v>1145</v>
      </c>
      <c r="D49" s="19" t="s">
        <v>1146</v>
      </c>
      <c r="E49" s="19" t="s">
        <v>855</v>
      </c>
      <c r="F49" s="19">
        <v>2016</v>
      </c>
      <c r="G49" s="21">
        <v>0.66167330000000002</v>
      </c>
      <c r="H49" s="19" t="s">
        <v>1147</v>
      </c>
      <c r="I49" s="19" t="s">
        <v>951</v>
      </c>
      <c r="J49" s="21">
        <v>0.66167330000000002</v>
      </c>
      <c r="K49" s="19" t="s">
        <v>1148</v>
      </c>
      <c r="L49" s="19" t="s">
        <v>1149</v>
      </c>
      <c r="M49" s="19" t="s">
        <v>1150</v>
      </c>
      <c r="N49" s="19" t="s">
        <v>1103</v>
      </c>
    </row>
    <row r="50" spans="1:14">
      <c r="A50" s="19" t="s">
        <v>264</v>
      </c>
      <c r="B50" s="19">
        <v>9</v>
      </c>
      <c r="C50" s="19" t="s">
        <v>1151</v>
      </c>
      <c r="D50" s="19" t="s">
        <v>1152</v>
      </c>
      <c r="E50" s="19" t="s">
        <v>855</v>
      </c>
      <c r="F50" s="19">
        <v>2023</v>
      </c>
      <c r="G50" s="21">
        <v>0.65996414000000003</v>
      </c>
      <c r="H50" s="19" t="s">
        <v>1153</v>
      </c>
      <c r="I50" s="19" t="s">
        <v>1130</v>
      </c>
      <c r="J50" s="21">
        <v>0.65996414000000003</v>
      </c>
      <c r="K50" s="19" t="s">
        <v>1154</v>
      </c>
      <c r="L50" s="19" t="s">
        <v>1155</v>
      </c>
      <c r="M50" s="19" t="s">
        <v>1156</v>
      </c>
      <c r="N50" s="19" t="s">
        <v>1157</v>
      </c>
    </row>
    <row r="51" spans="1:14">
      <c r="A51" s="19" t="s">
        <v>264</v>
      </c>
      <c r="B51" s="19">
        <v>10</v>
      </c>
      <c r="C51" s="19" t="s">
        <v>929</v>
      </c>
      <c r="D51" s="19" t="s">
        <v>930</v>
      </c>
      <c r="E51" s="19" t="s">
        <v>855</v>
      </c>
      <c r="F51" s="19">
        <v>2023</v>
      </c>
      <c r="G51" s="21">
        <v>0.65945189999999998</v>
      </c>
      <c r="H51" s="19" t="s">
        <v>931</v>
      </c>
      <c r="I51" s="19" t="s">
        <v>865</v>
      </c>
      <c r="J51" s="21">
        <v>0.65945189999999998</v>
      </c>
      <c r="K51" s="19" t="s">
        <v>932</v>
      </c>
      <c r="L51" s="19" t="s">
        <v>933</v>
      </c>
      <c r="M51" s="19"/>
      <c r="N51" s="19" t="s">
        <v>1158</v>
      </c>
    </row>
    <row r="52" spans="1:14">
      <c r="A52" s="19" t="s">
        <v>1159</v>
      </c>
      <c r="B52" s="19">
        <v>1</v>
      </c>
      <c r="C52" s="19" t="s">
        <v>1104</v>
      </c>
      <c r="D52" s="19" t="s">
        <v>737</v>
      </c>
      <c r="E52" s="19" t="s">
        <v>855</v>
      </c>
      <c r="F52" s="19">
        <v>2016</v>
      </c>
      <c r="G52" s="21">
        <v>0.72393609999999997</v>
      </c>
      <c r="H52" s="19" t="s">
        <v>1105</v>
      </c>
      <c r="I52" s="19" t="s">
        <v>908</v>
      </c>
      <c r="J52" s="21">
        <v>0.72393609999999997</v>
      </c>
      <c r="K52" s="19" t="s">
        <v>1106</v>
      </c>
      <c r="L52" s="19" t="s">
        <v>1107</v>
      </c>
      <c r="M52" s="19"/>
      <c r="N52" s="19" t="s">
        <v>1108</v>
      </c>
    </row>
    <row r="53" spans="1:14">
      <c r="A53" s="19" t="s">
        <v>1159</v>
      </c>
      <c r="B53" s="19">
        <v>2</v>
      </c>
      <c r="C53" s="19" t="s">
        <v>1109</v>
      </c>
      <c r="D53" s="19" t="s">
        <v>1110</v>
      </c>
      <c r="E53" s="19" t="s">
        <v>855</v>
      </c>
      <c r="F53" s="19">
        <v>2016</v>
      </c>
      <c r="G53" s="21">
        <v>0.69325970000000003</v>
      </c>
      <c r="H53" s="19" t="s">
        <v>1111</v>
      </c>
      <c r="I53" s="19" t="s">
        <v>951</v>
      </c>
      <c r="J53" s="21">
        <v>0.69325970000000003</v>
      </c>
      <c r="K53" s="19" t="s">
        <v>1112</v>
      </c>
      <c r="L53" s="19" t="s">
        <v>1113</v>
      </c>
      <c r="M53" s="19" t="s">
        <v>1114</v>
      </c>
      <c r="N53" s="19" t="s">
        <v>993</v>
      </c>
    </row>
    <row r="54" spans="1:14">
      <c r="A54" s="19" t="s">
        <v>1159</v>
      </c>
      <c r="B54" s="19">
        <v>3</v>
      </c>
      <c r="C54" s="19" t="s">
        <v>1115</v>
      </c>
      <c r="D54" s="19" t="s">
        <v>1116</v>
      </c>
      <c r="E54" s="19" t="s">
        <v>855</v>
      </c>
      <c r="F54" s="19">
        <v>2014</v>
      </c>
      <c r="G54" s="21">
        <v>0.68952369999999996</v>
      </c>
      <c r="H54" s="19" t="s">
        <v>1117</v>
      </c>
      <c r="I54" s="19" t="s">
        <v>914</v>
      </c>
      <c r="J54" s="21">
        <v>0.68952369999999996</v>
      </c>
      <c r="K54" s="19" t="s">
        <v>1118</v>
      </c>
      <c r="L54" s="19" t="s">
        <v>1119</v>
      </c>
      <c r="M54" s="19"/>
      <c r="N54" s="19" t="s">
        <v>1120</v>
      </c>
    </row>
    <row r="55" spans="1:14">
      <c r="A55" s="19" t="s">
        <v>1159</v>
      </c>
      <c r="B55" s="19">
        <v>4</v>
      </c>
      <c r="C55" s="19" t="s">
        <v>1121</v>
      </c>
      <c r="D55" s="19" t="s">
        <v>1122</v>
      </c>
      <c r="E55" s="19" t="s">
        <v>855</v>
      </c>
      <c r="F55" s="19">
        <v>2023</v>
      </c>
      <c r="G55" s="21">
        <v>0.67706040000000001</v>
      </c>
      <c r="H55" s="19" t="s">
        <v>1123</v>
      </c>
      <c r="I55" s="19" t="s">
        <v>951</v>
      </c>
      <c r="J55" s="21">
        <v>0.67706040000000001</v>
      </c>
      <c r="K55" s="19" t="s">
        <v>1124</v>
      </c>
      <c r="L55" s="19" t="s">
        <v>1125</v>
      </c>
      <c r="M55" s="19" t="s">
        <v>1126</v>
      </c>
      <c r="N55" s="19" t="s">
        <v>1000</v>
      </c>
    </row>
    <row r="56" spans="1:14">
      <c r="A56" s="19" t="s">
        <v>1159</v>
      </c>
      <c r="B56" s="19">
        <v>5</v>
      </c>
      <c r="C56" s="19" t="s">
        <v>1127</v>
      </c>
      <c r="D56" s="19" t="s">
        <v>1128</v>
      </c>
      <c r="E56" s="19" t="s">
        <v>855</v>
      </c>
      <c r="F56" s="19">
        <v>2014</v>
      </c>
      <c r="G56" s="21">
        <v>0.67578280000000002</v>
      </c>
      <c r="H56" s="19" t="s">
        <v>1129</v>
      </c>
      <c r="I56" s="19" t="s">
        <v>1130</v>
      </c>
      <c r="J56" s="21">
        <v>0.67578280000000002</v>
      </c>
      <c r="K56" s="19" t="s">
        <v>1131</v>
      </c>
      <c r="L56" s="19" t="s">
        <v>1132</v>
      </c>
      <c r="M56" s="19"/>
      <c r="N56" s="19" t="s">
        <v>1133</v>
      </c>
    </row>
    <row r="57" spans="1:14">
      <c r="A57" s="19" t="s">
        <v>1159</v>
      </c>
      <c r="B57" s="19">
        <v>6</v>
      </c>
      <c r="C57" s="19" t="s">
        <v>1134</v>
      </c>
      <c r="D57" s="19" t="s">
        <v>1135</v>
      </c>
      <c r="E57" s="19" t="s">
        <v>855</v>
      </c>
      <c r="F57" s="19">
        <v>2016</v>
      </c>
      <c r="G57" s="21">
        <v>0.67497669999999999</v>
      </c>
      <c r="H57" s="19" t="s">
        <v>1136</v>
      </c>
      <c r="I57" s="19" t="s">
        <v>951</v>
      </c>
      <c r="J57" s="21">
        <v>0.67497669999999999</v>
      </c>
      <c r="K57" s="19" t="s">
        <v>1137</v>
      </c>
      <c r="L57" s="19" t="s">
        <v>1138</v>
      </c>
      <c r="M57" s="19" t="s">
        <v>1139</v>
      </c>
      <c r="N57" s="19" t="s">
        <v>1019</v>
      </c>
    </row>
    <row r="58" spans="1:14">
      <c r="A58" s="19" t="s">
        <v>1159</v>
      </c>
      <c r="B58" s="19">
        <v>7</v>
      </c>
      <c r="C58" s="19" t="s">
        <v>1140</v>
      </c>
      <c r="D58" s="19" t="s">
        <v>1141</v>
      </c>
      <c r="E58" s="19" t="s">
        <v>855</v>
      </c>
      <c r="F58" s="19">
        <v>2014</v>
      </c>
      <c r="G58" s="21">
        <v>0.67132579999999997</v>
      </c>
      <c r="H58" s="19" t="s">
        <v>1142</v>
      </c>
      <c r="I58" s="19" t="s">
        <v>857</v>
      </c>
      <c r="J58" s="21">
        <v>0.67132579999999997</v>
      </c>
      <c r="K58" s="19" t="s">
        <v>1143</v>
      </c>
      <c r="L58" s="19" t="s">
        <v>1144</v>
      </c>
      <c r="M58" s="19"/>
      <c r="N58" s="19" t="s">
        <v>1038</v>
      </c>
    </row>
    <row r="59" spans="1:14">
      <c r="A59" s="19" t="s">
        <v>1159</v>
      </c>
      <c r="B59" s="19">
        <v>8</v>
      </c>
      <c r="C59" s="19" t="s">
        <v>1145</v>
      </c>
      <c r="D59" s="19" t="s">
        <v>1146</v>
      </c>
      <c r="E59" s="19" t="s">
        <v>855</v>
      </c>
      <c r="F59" s="19">
        <v>2016</v>
      </c>
      <c r="G59" s="21">
        <v>0.66150427000000001</v>
      </c>
      <c r="H59" s="19" t="s">
        <v>1147</v>
      </c>
      <c r="I59" s="19" t="s">
        <v>951</v>
      </c>
      <c r="J59" s="21">
        <v>0.66150427000000001</v>
      </c>
      <c r="K59" s="19" t="s">
        <v>1148</v>
      </c>
      <c r="L59" s="19" t="s">
        <v>1149</v>
      </c>
      <c r="M59" s="19" t="s">
        <v>1150</v>
      </c>
      <c r="N59" s="19" t="s">
        <v>1103</v>
      </c>
    </row>
    <row r="60" spans="1:14">
      <c r="A60" s="19" t="s">
        <v>1159</v>
      </c>
      <c r="B60" s="19">
        <v>9</v>
      </c>
      <c r="C60" s="19" t="s">
        <v>1151</v>
      </c>
      <c r="D60" s="19" t="s">
        <v>1152</v>
      </c>
      <c r="E60" s="19" t="s">
        <v>855</v>
      </c>
      <c r="F60" s="19">
        <v>2023</v>
      </c>
      <c r="G60" s="21">
        <v>0.65996414000000003</v>
      </c>
      <c r="H60" s="19" t="s">
        <v>1153</v>
      </c>
      <c r="I60" s="19" t="s">
        <v>1130</v>
      </c>
      <c r="J60" s="21">
        <v>0.65996414000000003</v>
      </c>
      <c r="K60" s="19" t="s">
        <v>1154</v>
      </c>
      <c r="L60" s="19" t="s">
        <v>1155</v>
      </c>
      <c r="M60" s="19" t="s">
        <v>1156</v>
      </c>
      <c r="N60" s="19" t="s">
        <v>1157</v>
      </c>
    </row>
    <row r="61" spans="1:14">
      <c r="A61" s="19" t="s">
        <v>1159</v>
      </c>
      <c r="B61" s="19">
        <v>10</v>
      </c>
      <c r="C61" s="19" t="s">
        <v>929</v>
      </c>
      <c r="D61" s="19" t="s">
        <v>930</v>
      </c>
      <c r="E61" s="19" t="s">
        <v>855</v>
      </c>
      <c r="F61" s="19">
        <v>2023</v>
      </c>
      <c r="G61" s="21">
        <v>0.65945189999999998</v>
      </c>
      <c r="H61" s="19" t="s">
        <v>931</v>
      </c>
      <c r="I61" s="19" t="s">
        <v>865</v>
      </c>
      <c r="J61" s="21">
        <v>0.65945189999999998</v>
      </c>
      <c r="K61" s="19" t="s">
        <v>932</v>
      </c>
      <c r="L61" s="19" t="s">
        <v>933</v>
      </c>
      <c r="M61" s="19"/>
      <c r="N61" s="19" t="s">
        <v>1158</v>
      </c>
    </row>
    <row r="62" spans="1:14">
      <c r="A62" s="19" t="s">
        <v>1160</v>
      </c>
      <c r="B62" s="19">
        <v>1</v>
      </c>
      <c r="C62" s="19" t="s">
        <v>1161</v>
      </c>
      <c r="D62" s="19" t="s">
        <v>670</v>
      </c>
      <c r="E62" s="19" t="s">
        <v>855</v>
      </c>
      <c r="F62" s="19">
        <v>2016</v>
      </c>
      <c r="G62" s="21">
        <v>0.69117890000000004</v>
      </c>
      <c r="H62" s="19" t="s">
        <v>1162</v>
      </c>
      <c r="I62" s="19" t="s">
        <v>914</v>
      </c>
      <c r="J62" s="21">
        <v>0.69117890000000004</v>
      </c>
      <c r="K62" s="19" t="s">
        <v>1163</v>
      </c>
      <c r="L62" s="19" t="s">
        <v>1164</v>
      </c>
      <c r="M62" s="19" t="s">
        <v>1165</v>
      </c>
      <c r="N62" s="19" t="s">
        <v>1120</v>
      </c>
    </row>
    <row r="63" spans="1:14">
      <c r="A63" s="19" t="s">
        <v>1160</v>
      </c>
      <c r="B63" s="19">
        <v>2</v>
      </c>
      <c r="C63" s="19" t="s">
        <v>1166</v>
      </c>
      <c r="D63" s="19" t="s">
        <v>1167</v>
      </c>
      <c r="E63" s="19" t="s">
        <v>855</v>
      </c>
      <c r="F63" s="19">
        <v>2016</v>
      </c>
      <c r="G63" s="21">
        <v>0.68117930000000004</v>
      </c>
      <c r="H63" s="19" t="s">
        <v>1168</v>
      </c>
      <c r="I63" s="19" t="s">
        <v>925</v>
      </c>
      <c r="J63" s="21">
        <v>0.68117930000000004</v>
      </c>
      <c r="K63" s="19" t="s">
        <v>1169</v>
      </c>
      <c r="L63" s="19" t="s">
        <v>1170</v>
      </c>
      <c r="M63" s="19" t="s">
        <v>1171</v>
      </c>
      <c r="N63" s="19" t="s">
        <v>1172</v>
      </c>
    </row>
    <row r="64" spans="1:14">
      <c r="A64" s="19" t="s">
        <v>1160</v>
      </c>
      <c r="B64" s="19">
        <v>3</v>
      </c>
      <c r="C64" s="19" t="s">
        <v>1173</v>
      </c>
      <c r="D64" s="19" t="s">
        <v>1174</v>
      </c>
      <c r="E64" s="19" t="s">
        <v>855</v>
      </c>
      <c r="F64" s="19">
        <v>2023</v>
      </c>
      <c r="G64" s="21">
        <v>0.67770549999999996</v>
      </c>
      <c r="H64" s="19" t="s">
        <v>1175</v>
      </c>
      <c r="I64" s="19" t="s">
        <v>865</v>
      </c>
      <c r="J64" s="21">
        <v>0.67770549999999996</v>
      </c>
      <c r="K64" s="19" t="s">
        <v>1176</v>
      </c>
      <c r="L64" s="19" t="s">
        <v>1177</v>
      </c>
      <c r="M64" s="19"/>
      <c r="N64" s="19" t="s">
        <v>1178</v>
      </c>
    </row>
    <row r="65" spans="1:14">
      <c r="A65" s="19" t="s">
        <v>1160</v>
      </c>
      <c r="B65" s="19">
        <v>4</v>
      </c>
      <c r="C65" s="19" t="s">
        <v>1179</v>
      </c>
      <c r="D65" s="19" t="s">
        <v>1180</v>
      </c>
      <c r="E65" s="19" t="s">
        <v>855</v>
      </c>
      <c r="F65" s="19">
        <v>2023</v>
      </c>
      <c r="G65" s="21">
        <v>0.67724633000000001</v>
      </c>
      <c r="H65" s="19" t="s">
        <v>1181</v>
      </c>
      <c r="I65" s="19" t="s">
        <v>865</v>
      </c>
      <c r="J65" s="21">
        <v>0.67724633000000001</v>
      </c>
      <c r="K65" s="19" t="s">
        <v>1182</v>
      </c>
      <c r="L65" s="19" t="s">
        <v>1183</v>
      </c>
      <c r="M65" s="19"/>
      <c r="N65" s="19" t="s">
        <v>1178</v>
      </c>
    </row>
    <row r="66" spans="1:14">
      <c r="A66" s="19" t="s">
        <v>1160</v>
      </c>
      <c r="B66" s="19">
        <v>5</v>
      </c>
      <c r="C66" s="19" t="s">
        <v>1184</v>
      </c>
      <c r="D66" s="19" t="s">
        <v>1185</v>
      </c>
      <c r="E66" s="19" t="s">
        <v>855</v>
      </c>
      <c r="F66" s="19">
        <v>2014</v>
      </c>
      <c r="G66" s="21">
        <v>0.67688630000000005</v>
      </c>
      <c r="H66" s="19" t="s">
        <v>1186</v>
      </c>
      <c r="I66" s="19" t="s">
        <v>914</v>
      </c>
      <c r="J66" s="21">
        <v>0.67688630000000005</v>
      </c>
      <c r="K66" s="19" t="s">
        <v>1187</v>
      </c>
      <c r="L66" s="19" t="s">
        <v>1188</v>
      </c>
      <c r="M66" s="19"/>
      <c r="N66" s="19" t="s">
        <v>1189</v>
      </c>
    </row>
    <row r="67" spans="1:14">
      <c r="A67" s="19" t="s">
        <v>1160</v>
      </c>
      <c r="B67" s="19">
        <v>6</v>
      </c>
      <c r="C67" s="19" t="s">
        <v>1190</v>
      </c>
      <c r="D67" s="19" t="s">
        <v>1191</v>
      </c>
      <c r="E67" s="19" t="s">
        <v>855</v>
      </c>
      <c r="F67" s="19">
        <v>2014</v>
      </c>
      <c r="G67" s="21">
        <v>0.67677546</v>
      </c>
      <c r="H67" s="19" t="s">
        <v>1192</v>
      </c>
      <c r="I67" s="19" t="s">
        <v>914</v>
      </c>
      <c r="J67" s="21">
        <v>0.67677546</v>
      </c>
      <c r="K67" s="19" t="s">
        <v>1193</v>
      </c>
      <c r="L67" s="19" t="s">
        <v>1194</v>
      </c>
      <c r="M67" s="19"/>
      <c r="N67" s="19" t="s">
        <v>1189</v>
      </c>
    </row>
    <row r="68" spans="1:14">
      <c r="A68" s="19" t="s">
        <v>1160</v>
      </c>
      <c r="B68" s="19">
        <v>7</v>
      </c>
      <c r="C68" s="19" t="s">
        <v>1195</v>
      </c>
      <c r="D68" s="19" t="s">
        <v>1196</v>
      </c>
      <c r="E68" s="19" t="s">
        <v>855</v>
      </c>
      <c r="F68" s="19">
        <v>2022</v>
      </c>
      <c r="G68" s="21">
        <v>0.67580569999999995</v>
      </c>
      <c r="H68" s="19" t="s">
        <v>1197</v>
      </c>
      <c r="I68" s="19" t="s">
        <v>914</v>
      </c>
      <c r="J68" s="21">
        <v>0.67580569999999995</v>
      </c>
      <c r="K68" s="19" t="s">
        <v>1198</v>
      </c>
      <c r="L68" s="19" t="s">
        <v>1199</v>
      </c>
      <c r="M68" s="19" t="s">
        <v>1200</v>
      </c>
      <c r="N68" s="19" t="s">
        <v>1189</v>
      </c>
    </row>
    <row r="69" spans="1:14">
      <c r="A69" s="19" t="s">
        <v>1160</v>
      </c>
      <c r="B69" s="19">
        <v>8</v>
      </c>
      <c r="C69" s="19" t="s">
        <v>1201</v>
      </c>
      <c r="D69" s="19" t="s">
        <v>1202</v>
      </c>
      <c r="E69" s="19" t="s">
        <v>855</v>
      </c>
      <c r="F69" s="19">
        <v>2023</v>
      </c>
      <c r="G69" s="21">
        <v>0.67542939999999996</v>
      </c>
      <c r="H69" s="19" t="s">
        <v>1203</v>
      </c>
      <c r="I69" s="19" t="s">
        <v>865</v>
      </c>
      <c r="J69" s="21">
        <v>0.67542939999999996</v>
      </c>
      <c r="K69" s="19" t="s">
        <v>1204</v>
      </c>
      <c r="L69" s="19" t="s">
        <v>1205</v>
      </c>
      <c r="M69" s="19" t="s">
        <v>1206</v>
      </c>
      <c r="N69" s="19" t="s">
        <v>1178</v>
      </c>
    </row>
    <row r="70" spans="1:14">
      <c r="A70" s="19" t="s">
        <v>1160</v>
      </c>
      <c r="B70" s="19">
        <v>9</v>
      </c>
      <c r="C70" s="19" t="s">
        <v>1207</v>
      </c>
      <c r="D70" s="19" t="s">
        <v>1208</v>
      </c>
      <c r="E70" s="19" t="s">
        <v>855</v>
      </c>
      <c r="F70" s="19">
        <v>2023</v>
      </c>
      <c r="G70" s="21">
        <v>0.67215924999999999</v>
      </c>
      <c r="H70" s="19" t="s">
        <v>1209</v>
      </c>
      <c r="I70" s="19" t="s">
        <v>914</v>
      </c>
      <c r="J70" s="21">
        <v>0.67215924999999999</v>
      </c>
      <c r="K70" s="19" t="s">
        <v>1210</v>
      </c>
      <c r="L70" s="19" t="s">
        <v>1211</v>
      </c>
      <c r="M70" s="19"/>
      <c r="N70" s="19" t="s">
        <v>1212</v>
      </c>
    </row>
    <row r="71" spans="1:14">
      <c r="A71" s="19" t="s">
        <v>1160</v>
      </c>
      <c r="B71" s="19">
        <v>10</v>
      </c>
      <c r="C71" s="19" t="s">
        <v>1213</v>
      </c>
      <c r="D71" s="19" t="s">
        <v>1214</v>
      </c>
      <c r="E71" s="19" t="s">
        <v>855</v>
      </c>
      <c r="F71" s="19">
        <v>2023</v>
      </c>
      <c r="G71" s="21">
        <v>0.67171840000000005</v>
      </c>
      <c r="H71" s="19" t="s">
        <v>1215</v>
      </c>
      <c r="I71" s="19" t="s">
        <v>865</v>
      </c>
      <c r="J71" s="21">
        <v>0.67171840000000005</v>
      </c>
      <c r="K71" s="19" t="s">
        <v>1216</v>
      </c>
      <c r="L71" s="19" t="s">
        <v>1217</v>
      </c>
      <c r="M71" s="19"/>
      <c r="N71" s="19" t="s">
        <v>869</v>
      </c>
    </row>
    <row r="72" spans="1:14">
      <c r="A72" s="19" t="s">
        <v>75</v>
      </c>
      <c r="B72" s="19">
        <v>1</v>
      </c>
      <c r="C72" s="19" t="s">
        <v>1161</v>
      </c>
      <c r="D72" s="19" t="s">
        <v>670</v>
      </c>
      <c r="E72" s="19" t="s">
        <v>855</v>
      </c>
      <c r="F72" s="19">
        <v>2016</v>
      </c>
      <c r="G72" s="21">
        <v>0.69114850000000005</v>
      </c>
      <c r="H72" s="19" t="s">
        <v>1162</v>
      </c>
      <c r="I72" s="19" t="s">
        <v>914</v>
      </c>
      <c r="J72" s="21">
        <v>0.69114850000000005</v>
      </c>
      <c r="K72" s="19" t="s">
        <v>1163</v>
      </c>
      <c r="L72" s="19" t="s">
        <v>1164</v>
      </c>
      <c r="M72" s="19" t="s">
        <v>1165</v>
      </c>
      <c r="N72" s="19" t="s">
        <v>1120</v>
      </c>
    </row>
    <row r="73" spans="1:14">
      <c r="A73" s="19" t="s">
        <v>75</v>
      </c>
      <c r="B73" s="19">
        <v>2</v>
      </c>
      <c r="C73" s="19" t="s">
        <v>1166</v>
      </c>
      <c r="D73" s="19" t="s">
        <v>1167</v>
      </c>
      <c r="E73" s="19" t="s">
        <v>855</v>
      </c>
      <c r="F73" s="19">
        <v>2016</v>
      </c>
      <c r="G73" s="21">
        <v>0.6813072</v>
      </c>
      <c r="H73" s="19" t="s">
        <v>1168</v>
      </c>
      <c r="I73" s="19" t="s">
        <v>925</v>
      </c>
      <c r="J73" s="21">
        <v>0.6813072</v>
      </c>
      <c r="K73" s="19" t="s">
        <v>1169</v>
      </c>
      <c r="L73" s="19" t="s">
        <v>1170</v>
      </c>
      <c r="M73" s="19" t="s">
        <v>1171</v>
      </c>
      <c r="N73" s="19" t="s">
        <v>1172</v>
      </c>
    </row>
    <row r="74" spans="1:14">
      <c r="A74" s="19" t="s">
        <v>75</v>
      </c>
      <c r="B74" s="19">
        <v>3</v>
      </c>
      <c r="C74" s="19" t="s">
        <v>1184</v>
      </c>
      <c r="D74" s="19" t="s">
        <v>1185</v>
      </c>
      <c r="E74" s="19" t="s">
        <v>855</v>
      </c>
      <c r="F74" s="19">
        <v>2014</v>
      </c>
      <c r="G74" s="21">
        <v>0.67687870000000006</v>
      </c>
      <c r="H74" s="19" t="s">
        <v>1186</v>
      </c>
      <c r="I74" s="19" t="s">
        <v>914</v>
      </c>
      <c r="J74" s="21">
        <v>0.67687870000000006</v>
      </c>
      <c r="K74" s="19" t="s">
        <v>1187</v>
      </c>
      <c r="L74" s="19" t="s">
        <v>1188</v>
      </c>
      <c r="M74" s="19"/>
      <c r="N74" s="19" t="s">
        <v>1189</v>
      </c>
    </row>
    <row r="75" spans="1:14">
      <c r="A75" s="19" t="s">
        <v>75</v>
      </c>
      <c r="B75" s="19">
        <v>4</v>
      </c>
      <c r="C75" s="19" t="s">
        <v>1190</v>
      </c>
      <c r="D75" s="19" t="s">
        <v>1191</v>
      </c>
      <c r="E75" s="19" t="s">
        <v>855</v>
      </c>
      <c r="F75" s="19">
        <v>2014</v>
      </c>
      <c r="G75" s="21">
        <v>0.67672560000000004</v>
      </c>
      <c r="H75" s="19" t="s">
        <v>1192</v>
      </c>
      <c r="I75" s="19" t="s">
        <v>914</v>
      </c>
      <c r="J75" s="21">
        <v>0.67672560000000004</v>
      </c>
      <c r="K75" s="19" t="s">
        <v>1193</v>
      </c>
      <c r="L75" s="19" t="s">
        <v>1194</v>
      </c>
      <c r="M75" s="19"/>
      <c r="N75" s="19" t="s">
        <v>1189</v>
      </c>
    </row>
    <row r="76" spans="1:14">
      <c r="A76" s="19" t="s">
        <v>75</v>
      </c>
      <c r="B76" s="19">
        <v>5</v>
      </c>
      <c r="C76" s="19" t="s">
        <v>1173</v>
      </c>
      <c r="D76" s="19" t="s">
        <v>1174</v>
      </c>
      <c r="E76" s="19" t="s">
        <v>855</v>
      </c>
      <c r="F76" s="19">
        <v>2023</v>
      </c>
      <c r="G76" s="21">
        <v>0.67641839999999998</v>
      </c>
      <c r="H76" s="19" t="s">
        <v>1175</v>
      </c>
      <c r="I76" s="19" t="s">
        <v>865</v>
      </c>
      <c r="J76" s="21">
        <v>0.67641839999999998</v>
      </c>
      <c r="K76" s="19" t="s">
        <v>1176</v>
      </c>
      <c r="L76" s="19" t="s">
        <v>1177</v>
      </c>
      <c r="M76" s="19"/>
      <c r="N76" s="19" t="s">
        <v>1178</v>
      </c>
    </row>
    <row r="77" spans="1:14">
      <c r="A77" s="19" t="s">
        <v>75</v>
      </c>
      <c r="B77" s="19">
        <v>6</v>
      </c>
      <c r="C77" s="19" t="s">
        <v>1179</v>
      </c>
      <c r="D77" s="19" t="s">
        <v>1180</v>
      </c>
      <c r="E77" s="19" t="s">
        <v>855</v>
      </c>
      <c r="F77" s="19">
        <v>2023</v>
      </c>
      <c r="G77" s="21">
        <v>0.67637557000000004</v>
      </c>
      <c r="H77" s="19" t="s">
        <v>1181</v>
      </c>
      <c r="I77" s="19" t="s">
        <v>865</v>
      </c>
      <c r="J77" s="21">
        <v>0.67637557000000004</v>
      </c>
      <c r="K77" s="19" t="s">
        <v>1182</v>
      </c>
      <c r="L77" s="19" t="s">
        <v>1183</v>
      </c>
      <c r="M77" s="19"/>
      <c r="N77" s="19" t="s">
        <v>1178</v>
      </c>
    </row>
    <row r="78" spans="1:14">
      <c r="A78" s="19" t="s">
        <v>75</v>
      </c>
      <c r="B78" s="19">
        <v>7</v>
      </c>
      <c r="C78" s="19" t="s">
        <v>1195</v>
      </c>
      <c r="D78" s="19" t="s">
        <v>1196</v>
      </c>
      <c r="E78" s="19" t="s">
        <v>855</v>
      </c>
      <c r="F78" s="19">
        <v>2022</v>
      </c>
      <c r="G78" s="21">
        <v>0.67577374000000001</v>
      </c>
      <c r="H78" s="19" t="s">
        <v>1197</v>
      </c>
      <c r="I78" s="19" t="s">
        <v>914</v>
      </c>
      <c r="J78" s="21">
        <v>0.67577374000000001</v>
      </c>
      <c r="K78" s="19" t="s">
        <v>1198</v>
      </c>
      <c r="L78" s="19" t="s">
        <v>1199</v>
      </c>
      <c r="M78" s="19" t="s">
        <v>1200</v>
      </c>
      <c r="N78" s="19" t="s">
        <v>1189</v>
      </c>
    </row>
    <row r="79" spans="1:14">
      <c r="A79" s="19" t="s">
        <v>75</v>
      </c>
      <c r="B79" s="19">
        <v>8</v>
      </c>
      <c r="C79" s="19" t="s">
        <v>1201</v>
      </c>
      <c r="D79" s="19" t="s">
        <v>1202</v>
      </c>
      <c r="E79" s="19" t="s">
        <v>855</v>
      </c>
      <c r="F79" s="19">
        <v>2023</v>
      </c>
      <c r="G79" s="21">
        <v>0.67397063999999995</v>
      </c>
      <c r="H79" s="19" t="s">
        <v>1203</v>
      </c>
      <c r="I79" s="19" t="s">
        <v>865</v>
      </c>
      <c r="J79" s="21">
        <v>0.67397063999999995</v>
      </c>
      <c r="K79" s="19" t="s">
        <v>1204</v>
      </c>
      <c r="L79" s="19" t="s">
        <v>1205</v>
      </c>
      <c r="M79" s="19" t="s">
        <v>1206</v>
      </c>
      <c r="N79" s="19" t="s">
        <v>869</v>
      </c>
    </row>
    <row r="80" spans="1:14">
      <c r="A80" s="19" t="s">
        <v>75</v>
      </c>
      <c r="B80" s="19">
        <v>9</v>
      </c>
      <c r="C80" s="19" t="s">
        <v>1207</v>
      </c>
      <c r="D80" s="19" t="s">
        <v>1208</v>
      </c>
      <c r="E80" s="19" t="s">
        <v>855</v>
      </c>
      <c r="F80" s="19">
        <v>2023</v>
      </c>
      <c r="G80" s="21">
        <v>0.67215466000000001</v>
      </c>
      <c r="H80" s="19" t="s">
        <v>1209</v>
      </c>
      <c r="I80" s="19" t="s">
        <v>914</v>
      </c>
      <c r="J80" s="21">
        <v>0.67215466000000001</v>
      </c>
      <c r="K80" s="19" t="s">
        <v>1210</v>
      </c>
      <c r="L80" s="19" t="s">
        <v>1211</v>
      </c>
      <c r="M80" s="19"/>
      <c r="N80" s="19" t="s">
        <v>1212</v>
      </c>
    </row>
    <row r="81" spans="1:14">
      <c r="A81" s="19" t="s">
        <v>75</v>
      </c>
      <c r="B81" s="19">
        <v>10</v>
      </c>
      <c r="C81" s="19" t="s">
        <v>1218</v>
      </c>
      <c r="D81" s="19" t="s">
        <v>1219</v>
      </c>
      <c r="E81" s="19" t="s">
        <v>1220</v>
      </c>
      <c r="F81" s="19">
        <v>2016</v>
      </c>
      <c r="G81" s="21">
        <v>0.67060019999999998</v>
      </c>
      <c r="H81" s="19" t="s">
        <v>1221</v>
      </c>
      <c r="I81" s="19" t="s">
        <v>914</v>
      </c>
      <c r="J81" s="21">
        <v>0.67060019999999998</v>
      </c>
      <c r="K81" s="19" t="s">
        <v>1222</v>
      </c>
      <c r="L81" s="19" t="s">
        <v>1223</v>
      </c>
      <c r="M81" s="19" t="s">
        <v>1224</v>
      </c>
      <c r="N81" s="19" t="s">
        <v>1212</v>
      </c>
    </row>
    <row r="82" spans="1:14">
      <c r="A82" s="19" t="s">
        <v>180</v>
      </c>
      <c r="B82" s="19">
        <v>1</v>
      </c>
      <c r="C82" s="19" t="s">
        <v>1161</v>
      </c>
      <c r="D82" s="19" t="s">
        <v>670</v>
      </c>
      <c r="E82" s="19" t="s">
        <v>855</v>
      </c>
      <c r="F82" s="19">
        <v>2016</v>
      </c>
      <c r="G82" s="21">
        <v>0.69113029999999998</v>
      </c>
      <c r="H82" s="19" t="s">
        <v>1162</v>
      </c>
      <c r="I82" s="19" t="s">
        <v>914</v>
      </c>
      <c r="J82" s="21">
        <v>0.69113029999999998</v>
      </c>
      <c r="K82" s="19" t="s">
        <v>1163</v>
      </c>
      <c r="L82" s="19" t="s">
        <v>1164</v>
      </c>
      <c r="M82" s="19" t="s">
        <v>1165</v>
      </c>
      <c r="N82" s="19" t="s">
        <v>1120</v>
      </c>
    </row>
    <row r="83" spans="1:14">
      <c r="A83" s="19" t="s">
        <v>180</v>
      </c>
      <c r="B83" s="19">
        <v>2</v>
      </c>
      <c r="C83" s="19" t="s">
        <v>1166</v>
      </c>
      <c r="D83" s="19" t="s">
        <v>1167</v>
      </c>
      <c r="E83" s="19" t="s">
        <v>855</v>
      </c>
      <c r="F83" s="19">
        <v>2016</v>
      </c>
      <c r="G83" s="21">
        <v>0.68127733000000001</v>
      </c>
      <c r="H83" s="19" t="s">
        <v>1168</v>
      </c>
      <c r="I83" s="19" t="s">
        <v>925</v>
      </c>
      <c r="J83" s="21">
        <v>0.68127733000000001</v>
      </c>
      <c r="K83" s="19" t="s">
        <v>1169</v>
      </c>
      <c r="L83" s="19" t="s">
        <v>1170</v>
      </c>
      <c r="M83" s="19" t="s">
        <v>1171</v>
      </c>
      <c r="N83" s="19" t="s">
        <v>1172</v>
      </c>
    </row>
    <row r="84" spans="1:14">
      <c r="A84" s="19" t="s">
        <v>180</v>
      </c>
      <c r="B84" s="19">
        <v>3</v>
      </c>
      <c r="C84" s="19" t="s">
        <v>1173</v>
      </c>
      <c r="D84" s="19" t="s">
        <v>1174</v>
      </c>
      <c r="E84" s="19" t="s">
        <v>855</v>
      </c>
      <c r="F84" s="19">
        <v>2023</v>
      </c>
      <c r="G84" s="21">
        <v>0.67770549999999996</v>
      </c>
      <c r="H84" s="19" t="s">
        <v>1175</v>
      </c>
      <c r="I84" s="19" t="s">
        <v>865</v>
      </c>
      <c r="J84" s="21">
        <v>0.67770549999999996</v>
      </c>
      <c r="K84" s="19" t="s">
        <v>1176</v>
      </c>
      <c r="L84" s="19" t="s">
        <v>1177</v>
      </c>
      <c r="M84" s="19"/>
      <c r="N84" s="19" t="s">
        <v>1178</v>
      </c>
    </row>
    <row r="85" spans="1:14">
      <c r="A85" s="19" t="s">
        <v>180</v>
      </c>
      <c r="B85" s="19">
        <v>4</v>
      </c>
      <c r="C85" s="19" t="s">
        <v>1179</v>
      </c>
      <c r="D85" s="19" t="s">
        <v>1180</v>
      </c>
      <c r="E85" s="19" t="s">
        <v>855</v>
      </c>
      <c r="F85" s="19">
        <v>2023</v>
      </c>
      <c r="G85" s="21">
        <v>0.67724633000000001</v>
      </c>
      <c r="H85" s="19" t="s">
        <v>1181</v>
      </c>
      <c r="I85" s="19" t="s">
        <v>865</v>
      </c>
      <c r="J85" s="21">
        <v>0.67724633000000001</v>
      </c>
      <c r="K85" s="19" t="s">
        <v>1182</v>
      </c>
      <c r="L85" s="19" t="s">
        <v>1183</v>
      </c>
      <c r="M85" s="19"/>
      <c r="N85" s="19" t="s">
        <v>1178</v>
      </c>
    </row>
    <row r="86" spans="1:14">
      <c r="A86" s="19" t="s">
        <v>180</v>
      </c>
      <c r="B86" s="19">
        <v>5</v>
      </c>
      <c r="C86" s="19" t="s">
        <v>1184</v>
      </c>
      <c r="D86" s="19" t="s">
        <v>1185</v>
      </c>
      <c r="E86" s="19" t="s">
        <v>855</v>
      </c>
      <c r="F86" s="19">
        <v>2014</v>
      </c>
      <c r="G86" s="21">
        <v>0.67685675999999995</v>
      </c>
      <c r="H86" s="19" t="s">
        <v>1186</v>
      </c>
      <c r="I86" s="19" t="s">
        <v>914</v>
      </c>
      <c r="J86" s="21">
        <v>0.67685675999999995</v>
      </c>
      <c r="K86" s="19" t="s">
        <v>1187</v>
      </c>
      <c r="L86" s="19" t="s">
        <v>1188</v>
      </c>
      <c r="M86" s="19"/>
      <c r="N86" s="19" t="s">
        <v>1189</v>
      </c>
    </row>
    <row r="87" spans="1:14">
      <c r="A87" s="19" t="s">
        <v>180</v>
      </c>
      <c r="B87" s="19">
        <v>6</v>
      </c>
      <c r="C87" s="19" t="s">
        <v>1190</v>
      </c>
      <c r="D87" s="19" t="s">
        <v>1191</v>
      </c>
      <c r="E87" s="19" t="s">
        <v>855</v>
      </c>
      <c r="F87" s="19">
        <v>2014</v>
      </c>
      <c r="G87" s="21">
        <v>0.67671859999999995</v>
      </c>
      <c r="H87" s="19" t="s">
        <v>1192</v>
      </c>
      <c r="I87" s="19" t="s">
        <v>914</v>
      </c>
      <c r="J87" s="21">
        <v>0.67671859999999995</v>
      </c>
      <c r="K87" s="19" t="s">
        <v>1193</v>
      </c>
      <c r="L87" s="19" t="s">
        <v>1194</v>
      </c>
      <c r="M87" s="19"/>
      <c r="N87" s="19" t="s">
        <v>1189</v>
      </c>
    </row>
    <row r="88" spans="1:14">
      <c r="A88" s="19" t="s">
        <v>180</v>
      </c>
      <c r="B88" s="19">
        <v>7</v>
      </c>
      <c r="C88" s="19" t="s">
        <v>1195</v>
      </c>
      <c r="D88" s="19" t="s">
        <v>1196</v>
      </c>
      <c r="E88" s="19" t="s">
        <v>855</v>
      </c>
      <c r="F88" s="19">
        <v>2022</v>
      </c>
      <c r="G88" s="21">
        <v>0.67576720000000001</v>
      </c>
      <c r="H88" s="19" t="s">
        <v>1197</v>
      </c>
      <c r="I88" s="19" t="s">
        <v>914</v>
      </c>
      <c r="J88" s="21">
        <v>0.67576720000000001</v>
      </c>
      <c r="K88" s="19" t="s">
        <v>1198</v>
      </c>
      <c r="L88" s="19" t="s">
        <v>1199</v>
      </c>
      <c r="M88" s="19" t="s">
        <v>1200</v>
      </c>
      <c r="N88" s="19" t="s">
        <v>1189</v>
      </c>
    </row>
    <row r="89" spans="1:14">
      <c r="A89" s="19" t="s">
        <v>180</v>
      </c>
      <c r="B89" s="19">
        <v>8</v>
      </c>
      <c r="C89" s="19" t="s">
        <v>1201</v>
      </c>
      <c r="D89" s="19" t="s">
        <v>1202</v>
      </c>
      <c r="E89" s="19" t="s">
        <v>855</v>
      </c>
      <c r="F89" s="19">
        <v>2023</v>
      </c>
      <c r="G89" s="21">
        <v>0.67542939999999996</v>
      </c>
      <c r="H89" s="19" t="s">
        <v>1203</v>
      </c>
      <c r="I89" s="19" t="s">
        <v>865</v>
      </c>
      <c r="J89" s="21">
        <v>0.67542939999999996</v>
      </c>
      <c r="K89" s="19" t="s">
        <v>1204</v>
      </c>
      <c r="L89" s="19" t="s">
        <v>1205</v>
      </c>
      <c r="M89" s="19" t="s">
        <v>1206</v>
      </c>
      <c r="N89" s="19" t="s">
        <v>1178</v>
      </c>
    </row>
    <row r="90" spans="1:14">
      <c r="A90" s="19" t="s">
        <v>180</v>
      </c>
      <c r="B90" s="19">
        <v>9</v>
      </c>
      <c r="C90" s="19" t="s">
        <v>1207</v>
      </c>
      <c r="D90" s="19" t="s">
        <v>1208</v>
      </c>
      <c r="E90" s="19" t="s">
        <v>855</v>
      </c>
      <c r="F90" s="19">
        <v>2023</v>
      </c>
      <c r="G90" s="21">
        <v>0.67213699999999998</v>
      </c>
      <c r="H90" s="19" t="s">
        <v>1209</v>
      </c>
      <c r="I90" s="19" t="s">
        <v>914</v>
      </c>
      <c r="J90" s="21">
        <v>0.67213699999999998</v>
      </c>
      <c r="K90" s="19" t="s">
        <v>1210</v>
      </c>
      <c r="L90" s="19" t="s">
        <v>1211</v>
      </c>
      <c r="M90" s="19"/>
      <c r="N90" s="19" t="s">
        <v>1212</v>
      </c>
    </row>
    <row r="91" spans="1:14">
      <c r="A91" s="19" t="s">
        <v>180</v>
      </c>
      <c r="B91" s="19">
        <v>10</v>
      </c>
      <c r="C91" s="19" t="s">
        <v>1213</v>
      </c>
      <c r="D91" s="19" t="s">
        <v>1214</v>
      </c>
      <c r="E91" s="19" t="s">
        <v>855</v>
      </c>
      <c r="F91" s="19">
        <v>2023</v>
      </c>
      <c r="G91" s="21">
        <v>0.67171840000000005</v>
      </c>
      <c r="H91" s="19" t="s">
        <v>1215</v>
      </c>
      <c r="I91" s="19" t="s">
        <v>865</v>
      </c>
      <c r="J91" s="21">
        <v>0.67171840000000005</v>
      </c>
      <c r="K91" s="19" t="s">
        <v>1216</v>
      </c>
      <c r="L91" s="19" t="s">
        <v>1217</v>
      </c>
      <c r="M91" s="19"/>
      <c r="N91" s="19" t="s">
        <v>869</v>
      </c>
    </row>
    <row r="92" spans="1:14">
      <c r="A92" s="19" t="s">
        <v>146</v>
      </c>
      <c r="B92" s="19">
        <v>1</v>
      </c>
      <c r="C92" s="19" t="s">
        <v>1045</v>
      </c>
      <c r="D92" s="19" t="s">
        <v>692</v>
      </c>
      <c r="E92" s="19" t="s">
        <v>855</v>
      </c>
      <c r="F92" s="19">
        <v>2022</v>
      </c>
      <c r="G92" s="21">
        <v>0.72719336000000001</v>
      </c>
      <c r="H92" s="19" t="s">
        <v>1046</v>
      </c>
      <c r="I92" s="19" t="s">
        <v>951</v>
      </c>
      <c r="J92" s="21">
        <v>0.72719336000000001</v>
      </c>
      <c r="K92" s="19" t="s">
        <v>1047</v>
      </c>
      <c r="L92" s="19" t="s">
        <v>1048</v>
      </c>
      <c r="M92" s="19" t="s">
        <v>1049</v>
      </c>
      <c r="N92" s="19" t="s">
        <v>1225</v>
      </c>
    </row>
    <row r="93" spans="1:14">
      <c r="A93" s="19" t="s">
        <v>146</v>
      </c>
      <c r="B93" s="19">
        <v>2</v>
      </c>
      <c r="C93" s="19" t="s">
        <v>1226</v>
      </c>
      <c r="D93" s="19" t="s">
        <v>1227</v>
      </c>
      <c r="E93" s="19" t="s">
        <v>855</v>
      </c>
      <c r="F93" s="19">
        <v>2023</v>
      </c>
      <c r="G93" s="21">
        <v>0.69989425000000005</v>
      </c>
      <c r="H93" s="19" t="s">
        <v>1228</v>
      </c>
      <c r="I93" s="19" t="s">
        <v>857</v>
      </c>
      <c r="J93" s="21">
        <v>0.69989425000000005</v>
      </c>
      <c r="K93" s="19" t="s">
        <v>1229</v>
      </c>
      <c r="L93" s="19" t="s">
        <v>1230</v>
      </c>
      <c r="M93" s="19" t="s">
        <v>1231</v>
      </c>
      <c r="N93" s="19" t="s">
        <v>986</v>
      </c>
    </row>
    <row r="94" spans="1:14">
      <c r="A94" s="19" t="s">
        <v>146</v>
      </c>
      <c r="B94" s="19">
        <v>3</v>
      </c>
      <c r="C94" s="19" t="s">
        <v>1067</v>
      </c>
      <c r="D94" s="19" t="s">
        <v>1068</v>
      </c>
      <c r="E94" s="19" t="s">
        <v>855</v>
      </c>
      <c r="F94" s="19">
        <v>2016</v>
      </c>
      <c r="G94" s="21">
        <v>0.68808340000000001</v>
      </c>
      <c r="H94" s="19" t="s">
        <v>1069</v>
      </c>
      <c r="I94" s="19" t="s">
        <v>951</v>
      </c>
      <c r="J94" s="21">
        <v>0.68808340000000001</v>
      </c>
      <c r="K94" s="19" t="s">
        <v>1070</v>
      </c>
      <c r="L94" s="19" t="s">
        <v>1071</v>
      </c>
      <c r="M94" s="19" t="s">
        <v>1072</v>
      </c>
      <c r="N94" s="19" t="s">
        <v>993</v>
      </c>
    </row>
    <row r="95" spans="1:14">
      <c r="A95" s="19" t="s">
        <v>146</v>
      </c>
      <c r="B95" s="19">
        <v>4</v>
      </c>
      <c r="C95" s="19" t="s">
        <v>1051</v>
      </c>
      <c r="D95" s="19" t="s">
        <v>1052</v>
      </c>
      <c r="E95" s="19" t="s">
        <v>855</v>
      </c>
      <c r="F95" s="19">
        <v>2022</v>
      </c>
      <c r="G95" s="21">
        <v>0.67453050000000003</v>
      </c>
      <c r="H95" s="19" t="s">
        <v>1053</v>
      </c>
      <c r="I95" s="19" t="s">
        <v>951</v>
      </c>
      <c r="J95" s="21">
        <v>0.67453050000000003</v>
      </c>
      <c r="K95" s="19" t="s">
        <v>1054</v>
      </c>
      <c r="L95" s="19" t="s">
        <v>1055</v>
      </c>
      <c r="M95" s="19" t="s">
        <v>1056</v>
      </c>
      <c r="N95" s="19" t="s">
        <v>1019</v>
      </c>
    </row>
    <row r="96" spans="1:14">
      <c r="A96" s="19" t="s">
        <v>146</v>
      </c>
      <c r="B96" s="19">
        <v>5</v>
      </c>
      <c r="C96" s="19" t="s">
        <v>1057</v>
      </c>
      <c r="D96" s="19" t="s">
        <v>799</v>
      </c>
      <c r="E96" s="19" t="s">
        <v>855</v>
      </c>
      <c r="F96" s="19">
        <v>2016</v>
      </c>
      <c r="G96" s="21">
        <v>0.67111449999999995</v>
      </c>
      <c r="H96" s="19" t="s">
        <v>1058</v>
      </c>
      <c r="I96" s="19" t="s">
        <v>951</v>
      </c>
      <c r="J96" s="21">
        <v>0.67111449999999995</v>
      </c>
      <c r="K96" s="19" t="s">
        <v>1059</v>
      </c>
      <c r="L96" s="19" t="s">
        <v>1060</v>
      </c>
      <c r="M96" s="19" t="s">
        <v>1061</v>
      </c>
      <c r="N96" s="19" t="s">
        <v>1019</v>
      </c>
    </row>
    <row r="97" spans="1:14">
      <c r="A97" s="19" t="s">
        <v>146</v>
      </c>
      <c r="B97" s="19">
        <v>6</v>
      </c>
      <c r="C97" s="19" t="s">
        <v>1073</v>
      </c>
      <c r="D97" s="19" t="s">
        <v>1074</v>
      </c>
      <c r="E97" s="19" t="s">
        <v>855</v>
      </c>
      <c r="F97" s="19">
        <v>2014</v>
      </c>
      <c r="G97" s="21">
        <v>0.65789089999999995</v>
      </c>
      <c r="H97" s="19" t="s">
        <v>1075</v>
      </c>
      <c r="I97" s="19" t="s">
        <v>908</v>
      </c>
      <c r="J97" s="21">
        <v>0.65789089999999995</v>
      </c>
      <c r="K97" s="19" t="s">
        <v>1076</v>
      </c>
      <c r="L97" s="19" t="s">
        <v>1077</v>
      </c>
      <c r="M97" s="19"/>
      <c r="N97" s="19" t="s">
        <v>911</v>
      </c>
    </row>
    <row r="98" spans="1:14">
      <c r="A98" s="19" t="s">
        <v>146</v>
      </c>
      <c r="B98" s="19">
        <v>7</v>
      </c>
      <c r="C98" s="19" t="s">
        <v>1232</v>
      </c>
      <c r="D98" s="19" t="s">
        <v>1233</v>
      </c>
      <c r="E98" s="19" t="s">
        <v>855</v>
      </c>
      <c r="F98" s="19">
        <v>2016</v>
      </c>
      <c r="G98" s="21">
        <v>0.65662396000000001</v>
      </c>
      <c r="H98" s="19" t="s">
        <v>1234</v>
      </c>
      <c r="I98" s="19" t="s">
        <v>951</v>
      </c>
      <c r="J98" s="21">
        <v>0.65662396000000001</v>
      </c>
      <c r="K98" s="19" t="s">
        <v>1235</v>
      </c>
      <c r="L98" s="19" t="s">
        <v>1236</v>
      </c>
      <c r="M98" s="19" t="s">
        <v>1237</v>
      </c>
      <c r="N98" s="19" t="s">
        <v>1103</v>
      </c>
    </row>
    <row r="99" spans="1:14">
      <c r="A99" s="19" t="s">
        <v>146</v>
      </c>
      <c r="B99" s="19">
        <v>8</v>
      </c>
      <c r="C99" s="19" t="s">
        <v>1085</v>
      </c>
      <c r="D99" s="19" t="s">
        <v>1086</v>
      </c>
      <c r="E99" s="19" t="s">
        <v>855</v>
      </c>
      <c r="F99" s="19">
        <v>2022</v>
      </c>
      <c r="G99" s="21">
        <v>0.64932449999999997</v>
      </c>
      <c r="H99" s="19" t="s">
        <v>1087</v>
      </c>
      <c r="I99" s="19" t="s">
        <v>951</v>
      </c>
      <c r="J99" s="21">
        <v>0.64932449999999997</v>
      </c>
      <c r="K99" s="19" t="s">
        <v>1088</v>
      </c>
      <c r="L99" s="19" t="s">
        <v>1089</v>
      </c>
      <c r="M99" s="19" t="s">
        <v>1090</v>
      </c>
      <c r="N99" s="19" t="s">
        <v>1238</v>
      </c>
    </row>
    <row r="100" spans="1:14">
      <c r="A100" s="19" t="s">
        <v>146</v>
      </c>
      <c r="B100" s="19">
        <v>9</v>
      </c>
      <c r="C100" s="19" t="s">
        <v>1239</v>
      </c>
      <c r="D100" s="19" t="s">
        <v>1240</v>
      </c>
      <c r="E100" s="19" t="s">
        <v>855</v>
      </c>
      <c r="F100" s="19">
        <v>2022</v>
      </c>
      <c r="G100" s="21">
        <v>0.63640379999999996</v>
      </c>
      <c r="H100" s="19" t="s">
        <v>1241</v>
      </c>
      <c r="I100" s="19" t="s">
        <v>865</v>
      </c>
      <c r="J100" s="21">
        <v>0.63640379999999996</v>
      </c>
      <c r="K100" s="19" t="s">
        <v>1242</v>
      </c>
      <c r="L100" s="19" t="s">
        <v>1243</v>
      </c>
      <c r="M100" s="19" t="s">
        <v>1244</v>
      </c>
      <c r="N100" s="19" t="s">
        <v>934</v>
      </c>
    </row>
    <row r="101" spans="1:14">
      <c r="A101" s="19" t="s">
        <v>146</v>
      </c>
      <c r="B101" s="19">
        <v>10</v>
      </c>
      <c r="C101" s="19" t="s">
        <v>1245</v>
      </c>
      <c r="D101" s="19" t="s">
        <v>1246</v>
      </c>
      <c r="E101" s="19" t="s">
        <v>855</v>
      </c>
      <c r="F101" s="19">
        <v>2022</v>
      </c>
      <c r="G101" s="21">
        <v>0.62920487000000003</v>
      </c>
      <c r="H101" s="19" t="s">
        <v>1247</v>
      </c>
      <c r="I101" s="19" t="s">
        <v>865</v>
      </c>
      <c r="J101" s="21">
        <v>0.62920487000000003</v>
      </c>
      <c r="K101" s="19" t="s">
        <v>1248</v>
      </c>
      <c r="L101" s="19" t="s">
        <v>1249</v>
      </c>
      <c r="M101" s="19" t="s">
        <v>1250</v>
      </c>
      <c r="N101" s="19" t="s">
        <v>1251</v>
      </c>
    </row>
    <row r="102" spans="1:14">
      <c r="A102" s="19" t="s">
        <v>534</v>
      </c>
      <c r="B102" s="19">
        <v>1</v>
      </c>
      <c r="C102" s="19" t="s">
        <v>1252</v>
      </c>
      <c r="D102" s="19" t="s">
        <v>824</v>
      </c>
      <c r="E102" s="19" t="s">
        <v>855</v>
      </c>
      <c r="F102" s="19">
        <v>2014</v>
      </c>
      <c r="G102" s="21">
        <v>0.66142374000000004</v>
      </c>
      <c r="H102" s="19" t="s">
        <v>1253</v>
      </c>
      <c r="I102" s="19" t="s">
        <v>951</v>
      </c>
      <c r="J102" s="21">
        <v>0.66142374000000004</v>
      </c>
      <c r="K102" s="19" t="s">
        <v>1254</v>
      </c>
      <c r="L102" s="19" t="s">
        <v>1255</v>
      </c>
      <c r="M102" s="19" t="s">
        <v>1256</v>
      </c>
      <c r="N102" s="19" t="s">
        <v>1103</v>
      </c>
    </row>
    <row r="103" spans="1:14">
      <c r="A103" s="19" t="s">
        <v>534</v>
      </c>
      <c r="B103" s="19">
        <v>2</v>
      </c>
      <c r="C103" s="19" t="s">
        <v>1257</v>
      </c>
      <c r="D103" s="19" t="s">
        <v>1258</v>
      </c>
      <c r="E103" s="19" t="s">
        <v>855</v>
      </c>
      <c r="F103" s="19">
        <v>2023</v>
      </c>
      <c r="G103" s="21">
        <v>0.65265059999999997</v>
      </c>
      <c r="H103" s="19" t="s">
        <v>1259</v>
      </c>
      <c r="I103" s="19" t="s">
        <v>857</v>
      </c>
      <c r="J103" s="21">
        <v>0.65265059999999997</v>
      </c>
      <c r="K103" s="19" t="s">
        <v>1260</v>
      </c>
      <c r="L103" s="19" t="s">
        <v>1261</v>
      </c>
      <c r="M103" s="19" t="s">
        <v>1262</v>
      </c>
      <c r="N103" s="19" t="s">
        <v>1263</v>
      </c>
    </row>
    <row r="104" spans="1:14">
      <c r="A104" s="19" t="s">
        <v>534</v>
      </c>
      <c r="B104" s="19">
        <v>3</v>
      </c>
      <c r="C104" s="19" t="s">
        <v>1264</v>
      </c>
      <c r="D104" s="19" t="s">
        <v>1265</v>
      </c>
      <c r="E104" s="19" t="s">
        <v>855</v>
      </c>
      <c r="F104" s="19">
        <v>2016</v>
      </c>
      <c r="G104" s="21">
        <v>0.64519360000000003</v>
      </c>
      <c r="H104" s="19" t="s">
        <v>1266</v>
      </c>
      <c r="I104" s="19" t="s">
        <v>857</v>
      </c>
      <c r="J104" s="21">
        <v>0.64519360000000003</v>
      </c>
      <c r="K104" s="19" t="s">
        <v>1267</v>
      </c>
      <c r="L104" s="19" t="s">
        <v>1268</v>
      </c>
      <c r="M104" s="19" t="s">
        <v>1269</v>
      </c>
      <c r="N104" s="19" t="s">
        <v>1263</v>
      </c>
    </row>
    <row r="105" spans="1:14">
      <c r="A105" s="19" t="s">
        <v>534</v>
      </c>
      <c r="B105" s="19">
        <v>4</v>
      </c>
      <c r="C105" s="19" t="s">
        <v>1270</v>
      </c>
      <c r="D105" s="19" t="s">
        <v>1271</v>
      </c>
      <c r="E105" s="19" t="s">
        <v>855</v>
      </c>
      <c r="F105" s="19">
        <v>2014</v>
      </c>
      <c r="G105" s="21">
        <v>0.64379512999999999</v>
      </c>
      <c r="H105" s="19" t="s">
        <v>1272</v>
      </c>
      <c r="I105" s="19" t="s">
        <v>914</v>
      </c>
      <c r="J105" s="21">
        <v>0.64379512999999999</v>
      </c>
      <c r="K105" s="19" t="s">
        <v>1273</v>
      </c>
      <c r="L105" s="19" t="s">
        <v>1274</v>
      </c>
      <c r="M105" s="19" t="s">
        <v>1275</v>
      </c>
      <c r="N105" s="19" t="s">
        <v>1276</v>
      </c>
    </row>
    <row r="106" spans="1:14">
      <c r="A106" s="19" t="s">
        <v>534</v>
      </c>
      <c r="B106" s="19">
        <v>5</v>
      </c>
      <c r="C106" s="19" t="s">
        <v>1277</v>
      </c>
      <c r="D106" s="19" t="s">
        <v>1278</v>
      </c>
      <c r="E106" s="19" t="s">
        <v>855</v>
      </c>
      <c r="F106" s="19">
        <v>2016</v>
      </c>
      <c r="G106" s="21">
        <v>0.64024959999999997</v>
      </c>
      <c r="H106" s="19" t="s">
        <v>1279</v>
      </c>
      <c r="I106" s="19" t="s">
        <v>857</v>
      </c>
      <c r="J106" s="21">
        <v>0.64024959999999997</v>
      </c>
      <c r="K106" s="19" t="s">
        <v>1280</v>
      </c>
      <c r="L106" s="19" t="s">
        <v>1281</v>
      </c>
      <c r="M106" s="19" t="s">
        <v>1282</v>
      </c>
      <c r="N106" s="19" t="s">
        <v>940</v>
      </c>
    </row>
    <row r="107" spans="1:14">
      <c r="A107" s="19" t="s">
        <v>534</v>
      </c>
      <c r="B107" s="19">
        <v>6</v>
      </c>
      <c r="C107" s="19" t="s">
        <v>1283</v>
      </c>
      <c r="D107" s="19" t="s">
        <v>1284</v>
      </c>
      <c r="E107" s="19" t="s">
        <v>855</v>
      </c>
      <c r="F107" s="19">
        <v>2023</v>
      </c>
      <c r="G107" s="21">
        <v>0.63330140000000001</v>
      </c>
      <c r="H107" s="19" t="s">
        <v>1285</v>
      </c>
      <c r="I107" s="19" t="s">
        <v>1286</v>
      </c>
      <c r="J107" s="21">
        <v>0.63330140000000001</v>
      </c>
      <c r="K107" s="19" t="s">
        <v>1287</v>
      </c>
      <c r="L107" s="19" t="s">
        <v>1288</v>
      </c>
      <c r="M107" s="19" t="s">
        <v>1289</v>
      </c>
      <c r="N107" s="19" t="s">
        <v>1290</v>
      </c>
    </row>
    <row r="108" spans="1:14">
      <c r="A108" s="19" t="s">
        <v>534</v>
      </c>
      <c r="B108" s="19">
        <v>7</v>
      </c>
      <c r="C108" s="19" t="s">
        <v>1291</v>
      </c>
      <c r="D108" s="19" t="s">
        <v>1292</v>
      </c>
      <c r="E108" s="19" t="s">
        <v>855</v>
      </c>
      <c r="F108" s="19">
        <v>2016</v>
      </c>
      <c r="G108" s="21">
        <v>0.62763696999999996</v>
      </c>
      <c r="H108" s="19" t="s">
        <v>1293</v>
      </c>
      <c r="I108" s="19" t="s">
        <v>925</v>
      </c>
      <c r="J108" s="21">
        <v>0.62763696999999996</v>
      </c>
      <c r="K108" s="19" t="s">
        <v>1294</v>
      </c>
      <c r="L108" s="19" t="s">
        <v>1295</v>
      </c>
      <c r="M108" s="19" t="s">
        <v>1296</v>
      </c>
      <c r="N108" s="19" t="s">
        <v>1297</v>
      </c>
    </row>
    <row r="109" spans="1:14">
      <c r="A109" s="19" t="s">
        <v>534</v>
      </c>
      <c r="B109" s="19">
        <v>8</v>
      </c>
      <c r="C109" s="19" t="s">
        <v>1298</v>
      </c>
      <c r="D109" s="19" t="s">
        <v>1299</v>
      </c>
      <c r="E109" s="19" t="s">
        <v>855</v>
      </c>
      <c r="F109" s="19">
        <v>2016</v>
      </c>
      <c r="G109" s="21">
        <v>0.627193</v>
      </c>
      <c r="H109" s="19" t="s">
        <v>1300</v>
      </c>
      <c r="I109" s="19" t="s">
        <v>951</v>
      </c>
      <c r="J109" s="21">
        <v>0.627193</v>
      </c>
      <c r="K109" s="19" t="s">
        <v>1301</v>
      </c>
      <c r="L109" s="19" t="s">
        <v>1302</v>
      </c>
      <c r="M109" s="19" t="s">
        <v>1303</v>
      </c>
      <c r="N109" s="19" t="s">
        <v>955</v>
      </c>
    </row>
    <row r="110" spans="1:14">
      <c r="A110" s="19" t="s">
        <v>534</v>
      </c>
      <c r="B110" s="19">
        <v>9</v>
      </c>
      <c r="C110" s="19" t="s">
        <v>1304</v>
      </c>
      <c r="D110" s="19" t="s">
        <v>1305</v>
      </c>
      <c r="E110" s="19" t="s">
        <v>855</v>
      </c>
      <c r="F110" s="19">
        <v>2022</v>
      </c>
      <c r="G110" s="21">
        <v>0.62614566000000005</v>
      </c>
      <c r="H110" s="19" t="s">
        <v>1306</v>
      </c>
      <c r="I110" s="19" t="s">
        <v>951</v>
      </c>
      <c r="J110" s="21">
        <v>0.62614566000000005</v>
      </c>
      <c r="K110" s="19" t="s">
        <v>1307</v>
      </c>
      <c r="L110" s="19" t="s">
        <v>1308</v>
      </c>
      <c r="M110" s="19" t="s">
        <v>1309</v>
      </c>
      <c r="N110" s="19" t="s">
        <v>955</v>
      </c>
    </row>
    <row r="111" spans="1:14">
      <c r="A111" s="19" t="s">
        <v>534</v>
      </c>
      <c r="B111" s="19">
        <v>10</v>
      </c>
      <c r="C111" s="19" t="s">
        <v>1310</v>
      </c>
      <c r="D111" s="19" t="s">
        <v>1311</v>
      </c>
      <c r="E111" s="19" t="s">
        <v>855</v>
      </c>
      <c r="F111" s="19">
        <v>2014</v>
      </c>
      <c r="G111" s="21">
        <v>0.62555179999999999</v>
      </c>
      <c r="H111" s="19" t="s">
        <v>1312</v>
      </c>
      <c r="I111" s="19" t="s">
        <v>857</v>
      </c>
      <c r="J111" s="21">
        <v>0.62555179999999999</v>
      </c>
      <c r="K111" s="19" t="s">
        <v>1313</v>
      </c>
      <c r="L111" s="19" t="s">
        <v>1314</v>
      </c>
      <c r="M111" s="19"/>
      <c r="N111" s="19" t="s">
        <v>1315</v>
      </c>
    </row>
    <row r="112" spans="1:14">
      <c r="A112" s="19" t="s">
        <v>336</v>
      </c>
      <c r="B112" s="19">
        <v>1</v>
      </c>
      <c r="C112" s="19" t="s">
        <v>1316</v>
      </c>
      <c r="D112" s="19" t="s">
        <v>762</v>
      </c>
      <c r="E112" s="19" t="s">
        <v>855</v>
      </c>
      <c r="F112" s="19">
        <v>2023</v>
      </c>
      <c r="G112" s="21">
        <v>0.72063124000000001</v>
      </c>
      <c r="H112" s="19" t="s">
        <v>1317</v>
      </c>
      <c r="I112" s="19" t="s">
        <v>951</v>
      </c>
      <c r="J112" s="21">
        <v>0.72063124000000001</v>
      </c>
      <c r="K112" s="19" t="s">
        <v>1318</v>
      </c>
      <c r="L112" s="19" t="s">
        <v>1319</v>
      </c>
      <c r="M112" s="19" t="s">
        <v>1320</v>
      </c>
      <c r="N112" s="19" t="s">
        <v>1321</v>
      </c>
    </row>
    <row r="113" spans="1:14">
      <c r="A113" s="19" t="s">
        <v>336</v>
      </c>
      <c r="B113" s="19">
        <v>2</v>
      </c>
      <c r="C113" s="19" t="s">
        <v>1322</v>
      </c>
      <c r="D113" s="19" t="s">
        <v>1323</v>
      </c>
      <c r="E113" s="19" t="s">
        <v>855</v>
      </c>
      <c r="F113" s="19">
        <v>2014</v>
      </c>
      <c r="G113" s="21">
        <v>0.69751680000000005</v>
      </c>
      <c r="H113" s="19" t="s">
        <v>1324</v>
      </c>
      <c r="I113" s="19" t="s">
        <v>1286</v>
      </c>
      <c r="J113" s="21">
        <v>0.69751680000000005</v>
      </c>
      <c r="K113" s="19" t="s">
        <v>1325</v>
      </c>
      <c r="L113" s="19" t="s">
        <v>1326</v>
      </c>
      <c r="M113" s="19"/>
      <c r="N113" s="19" t="s">
        <v>1327</v>
      </c>
    </row>
    <row r="114" spans="1:14">
      <c r="A114" s="19" t="s">
        <v>336</v>
      </c>
      <c r="B114" s="19">
        <v>3</v>
      </c>
      <c r="C114" s="19" t="s">
        <v>1328</v>
      </c>
      <c r="D114" s="19" t="s">
        <v>1329</v>
      </c>
      <c r="E114" s="19" t="s">
        <v>855</v>
      </c>
      <c r="F114" s="19">
        <v>2016</v>
      </c>
      <c r="G114" s="21">
        <v>0.68147469999999999</v>
      </c>
      <c r="H114" s="19" t="s">
        <v>1330</v>
      </c>
      <c r="I114" s="19" t="s">
        <v>951</v>
      </c>
      <c r="J114" s="21">
        <v>0.68147469999999999</v>
      </c>
      <c r="K114" s="19" t="s">
        <v>1331</v>
      </c>
      <c r="L114" s="19" t="s">
        <v>1332</v>
      </c>
      <c r="M114" s="19" t="s">
        <v>1333</v>
      </c>
      <c r="N114" s="19" t="s">
        <v>1000</v>
      </c>
    </row>
    <row r="115" spans="1:14">
      <c r="A115" s="19" t="s">
        <v>336</v>
      </c>
      <c r="B115" s="19">
        <v>4</v>
      </c>
      <c r="C115" s="19" t="s">
        <v>1334</v>
      </c>
      <c r="D115" s="19" t="s">
        <v>1335</v>
      </c>
      <c r="E115" s="19" t="s">
        <v>855</v>
      </c>
      <c r="F115" s="19">
        <v>2014</v>
      </c>
      <c r="G115" s="21">
        <v>0.67970989999999998</v>
      </c>
      <c r="H115" s="19" t="s">
        <v>1336</v>
      </c>
      <c r="I115" s="19" t="s">
        <v>914</v>
      </c>
      <c r="J115" s="21">
        <v>0.67970989999999998</v>
      </c>
      <c r="K115" s="19" t="s">
        <v>1337</v>
      </c>
      <c r="L115" s="19" t="s">
        <v>1338</v>
      </c>
      <c r="M115" s="19"/>
      <c r="N115" s="19" t="s">
        <v>1189</v>
      </c>
    </row>
    <row r="116" spans="1:14">
      <c r="A116" s="19" t="s">
        <v>336</v>
      </c>
      <c r="B116" s="19">
        <v>5</v>
      </c>
      <c r="C116" s="19" t="s">
        <v>1339</v>
      </c>
      <c r="D116" s="19" t="s">
        <v>1340</v>
      </c>
      <c r="E116" s="19" t="s">
        <v>855</v>
      </c>
      <c r="F116" s="19">
        <v>2016</v>
      </c>
      <c r="G116" s="21">
        <v>0.66508149999999999</v>
      </c>
      <c r="H116" s="19" t="s">
        <v>1341</v>
      </c>
      <c r="I116" s="19" t="s">
        <v>951</v>
      </c>
      <c r="J116" s="21">
        <v>0.66508149999999999</v>
      </c>
      <c r="K116" s="19" t="s">
        <v>1342</v>
      </c>
      <c r="L116" s="19" t="s">
        <v>1343</v>
      </c>
      <c r="M116" s="19" t="s">
        <v>1344</v>
      </c>
      <c r="N116" s="19" t="s">
        <v>1019</v>
      </c>
    </row>
    <row r="117" spans="1:14">
      <c r="A117" s="19" t="s">
        <v>336</v>
      </c>
      <c r="B117" s="19">
        <v>6</v>
      </c>
      <c r="C117" s="19" t="s">
        <v>1345</v>
      </c>
      <c r="D117" s="19" t="s">
        <v>1346</v>
      </c>
      <c r="E117" s="19" t="s">
        <v>855</v>
      </c>
      <c r="F117" s="19">
        <v>2014</v>
      </c>
      <c r="G117" s="21">
        <v>0.66475624</v>
      </c>
      <c r="H117" s="19" t="s">
        <v>1347</v>
      </c>
      <c r="I117" s="19" t="s">
        <v>857</v>
      </c>
      <c r="J117" s="21">
        <v>0.66475624</v>
      </c>
      <c r="K117" s="19" t="s">
        <v>1348</v>
      </c>
      <c r="L117" s="19" t="s">
        <v>1349</v>
      </c>
      <c r="M117" s="19"/>
      <c r="N117" s="19" t="s">
        <v>1350</v>
      </c>
    </row>
    <row r="118" spans="1:14">
      <c r="A118" s="19" t="s">
        <v>336</v>
      </c>
      <c r="B118" s="19">
        <v>7</v>
      </c>
      <c r="C118" s="19" t="s">
        <v>1351</v>
      </c>
      <c r="D118" s="19" t="s">
        <v>1352</v>
      </c>
      <c r="E118" s="19" t="s">
        <v>855</v>
      </c>
      <c r="F118" s="19">
        <v>2016</v>
      </c>
      <c r="G118" s="21">
        <v>0.66252904999999995</v>
      </c>
      <c r="H118" s="19" t="s">
        <v>1353</v>
      </c>
      <c r="I118" s="19" t="s">
        <v>914</v>
      </c>
      <c r="J118" s="21">
        <v>0.66252904999999995</v>
      </c>
      <c r="K118" s="19" t="s">
        <v>1354</v>
      </c>
      <c r="L118" s="19" t="s">
        <v>1355</v>
      </c>
      <c r="M118" s="19" t="s">
        <v>1356</v>
      </c>
      <c r="N118" s="19" t="s">
        <v>917</v>
      </c>
    </row>
    <row r="119" spans="1:14">
      <c r="A119" s="19" t="s">
        <v>336</v>
      </c>
      <c r="B119" s="19">
        <v>8</v>
      </c>
      <c r="C119" s="19" t="s">
        <v>1357</v>
      </c>
      <c r="D119" s="19" t="s">
        <v>1358</v>
      </c>
      <c r="E119" s="19" t="s">
        <v>855</v>
      </c>
      <c r="F119" s="19">
        <v>2014</v>
      </c>
      <c r="G119" s="21">
        <v>0.66000040000000004</v>
      </c>
      <c r="H119" s="19" t="s">
        <v>1359</v>
      </c>
      <c r="I119" s="19" t="s">
        <v>951</v>
      </c>
      <c r="J119" s="21">
        <v>0.66000040000000004</v>
      </c>
      <c r="K119" s="19" t="s">
        <v>1360</v>
      </c>
      <c r="L119" s="19" t="s">
        <v>1361</v>
      </c>
      <c r="M119" s="19" t="s">
        <v>1362</v>
      </c>
      <c r="N119" s="19" t="s">
        <v>1103</v>
      </c>
    </row>
    <row r="120" spans="1:14">
      <c r="A120" s="19" t="s">
        <v>336</v>
      </c>
      <c r="B120" s="19">
        <v>9</v>
      </c>
      <c r="C120" s="19" t="s">
        <v>1363</v>
      </c>
      <c r="D120" s="19" t="s">
        <v>1364</v>
      </c>
      <c r="E120" s="19" t="s">
        <v>855</v>
      </c>
      <c r="F120" s="19">
        <v>2014</v>
      </c>
      <c r="G120" s="21">
        <v>0.65955229999999998</v>
      </c>
      <c r="H120" s="19" t="s">
        <v>1365</v>
      </c>
      <c r="I120" s="19" t="s">
        <v>925</v>
      </c>
      <c r="J120" s="21">
        <v>0.65955229999999998</v>
      </c>
      <c r="K120" s="19" t="s">
        <v>1366</v>
      </c>
      <c r="L120" s="19" t="s">
        <v>1367</v>
      </c>
      <c r="M120" s="19"/>
      <c r="N120" s="19" t="s">
        <v>1368</v>
      </c>
    </row>
    <row r="121" spans="1:14">
      <c r="A121" s="19" t="s">
        <v>336</v>
      </c>
      <c r="B121" s="19">
        <v>10</v>
      </c>
      <c r="C121" s="19" t="s">
        <v>1369</v>
      </c>
      <c r="D121" s="19" t="s">
        <v>1370</v>
      </c>
      <c r="E121" s="19" t="s">
        <v>855</v>
      </c>
      <c r="F121" s="19">
        <v>2014</v>
      </c>
      <c r="G121" s="21">
        <v>0.65274659999999995</v>
      </c>
      <c r="H121" s="19" t="s">
        <v>1371</v>
      </c>
      <c r="I121" s="19" t="s">
        <v>914</v>
      </c>
      <c r="J121" s="21">
        <v>0.65274659999999995</v>
      </c>
      <c r="K121" s="19" t="s">
        <v>1372</v>
      </c>
      <c r="L121" s="19" t="s">
        <v>1373</v>
      </c>
      <c r="M121" s="19"/>
      <c r="N121" s="19" t="s">
        <v>1374</v>
      </c>
    </row>
    <row r="122" spans="1:14">
      <c r="A122" s="19" t="s">
        <v>1375</v>
      </c>
      <c r="B122" s="19">
        <v>1</v>
      </c>
      <c r="C122" s="19" t="s">
        <v>1316</v>
      </c>
      <c r="D122" s="19" t="s">
        <v>762</v>
      </c>
      <c r="E122" s="19" t="s">
        <v>855</v>
      </c>
      <c r="F122" s="19">
        <v>2023</v>
      </c>
      <c r="G122" s="21">
        <v>0.72063124000000001</v>
      </c>
      <c r="H122" s="19" t="s">
        <v>1317</v>
      </c>
      <c r="I122" s="19" t="s">
        <v>951</v>
      </c>
      <c r="J122" s="21">
        <v>0.72063124000000001</v>
      </c>
      <c r="K122" s="19" t="s">
        <v>1318</v>
      </c>
      <c r="L122" s="19" t="s">
        <v>1319</v>
      </c>
      <c r="M122" s="19" t="s">
        <v>1320</v>
      </c>
      <c r="N122" s="19" t="s">
        <v>1321</v>
      </c>
    </row>
    <row r="123" spans="1:14">
      <c r="A123" s="19" t="s">
        <v>1375</v>
      </c>
      <c r="B123" s="19">
        <v>2</v>
      </c>
      <c r="C123" s="19" t="s">
        <v>1322</v>
      </c>
      <c r="D123" s="19" t="s">
        <v>1323</v>
      </c>
      <c r="E123" s="19" t="s">
        <v>855</v>
      </c>
      <c r="F123" s="19">
        <v>2014</v>
      </c>
      <c r="G123" s="21">
        <v>0.69751680000000005</v>
      </c>
      <c r="H123" s="19" t="s">
        <v>1324</v>
      </c>
      <c r="I123" s="19" t="s">
        <v>1286</v>
      </c>
      <c r="J123" s="21">
        <v>0.69751680000000005</v>
      </c>
      <c r="K123" s="19" t="s">
        <v>1325</v>
      </c>
      <c r="L123" s="19" t="s">
        <v>1326</v>
      </c>
      <c r="M123" s="19"/>
      <c r="N123" s="19" t="s">
        <v>1327</v>
      </c>
    </row>
    <row r="124" spans="1:14">
      <c r="A124" s="19" t="s">
        <v>1375</v>
      </c>
      <c r="B124" s="19">
        <v>3</v>
      </c>
      <c r="C124" s="19" t="s">
        <v>1328</v>
      </c>
      <c r="D124" s="19" t="s">
        <v>1329</v>
      </c>
      <c r="E124" s="19" t="s">
        <v>855</v>
      </c>
      <c r="F124" s="19">
        <v>2016</v>
      </c>
      <c r="G124" s="21">
        <v>0.68147469999999999</v>
      </c>
      <c r="H124" s="19" t="s">
        <v>1330</v>
      </c>
      <c r="I124" s="19" t="s">
        <v>951</v>
      </c>
      <c r="J124" s="21">
        <v>0.68147469999999999</v>
      </c>
      <c r="K124" s="19" t="s">
        <v>1331</v>
      </c>
      <c r="L124" s="19" t="s">
        <v>1332</v>
      </c>
      <c r="M124" s="19" t="s">
        <v>1333</v>
      </c>
      <c r="N124" s="19" t="s">
        <v>1000</v>
      </c>
    </row>
    <row r="125" spans="1:14">
      <c r="A125" s="19" t="s">
        <v>1375</v>
      </c>
      <c r="B125" s="19">
        <v>4</v>
      </c>
      <c r="C125" s="19" t="s">
        <v>1334</v>
      </c>
      <c r="D125" s="19" t="s">
        <v>1335</v>
      </c>
      <c r="E125" s="19" t="s">
        <v>855</v>
      </c>
      <c r="F125" s="19">
        <v>2014</v>
      </c>
      <c r="G125" s="21">
        <v>0.67970989999999998</v>
      </c>
      <c r="H125" s="19" t="s">
        <v>1336</v>
      </c>
      <c r="I125" s="19" t="s">
        <v>914</v>
      </c>
      <c r="J125" s="21">
        <v>0.67970989999999998</v>
      </c>
      <c r="K125" s="19" t="s">
        <v>1337</v>
      </c>
      <c r="L125" s="19" t="s">
        <v>1338</v>
      </c>
      <c r="M125" s="19"/>
      <c r="N125" s="19" t="s">
        <v>1189</v>
      </c>
    </row>
    <row r="126" spans="1:14">
      <c r="A126" s="19" t="s">
        <v>1375</v>
      </c>
      <c r="B126" s="19">
        <v>5</v>
      </c>
      <c r="C126" s="19" t="s">
        <v>1376</v>
      </c>
      <c r="D126" s="19" t="s">
        <v>1377</v>
      </c>
      <c r="E126" s="19" t="s">
        <v>855</v>
      </c>
      <c r="F126" s="19">
        <v>2015</v>
      </c>
      <c r="G126" s="21">
        <v>0.67414030000000003</v>
      </c>
      <c r="H126" s="19" t="s">
        <v>1378</v>
      </c>
      <c r="I126" s="19" t="s">
        <v>914</v>
      </c>
      <c r="J126" s="21">
        <v>0.67414030000000003</v>
      </c>
      <c r="K126" s="19" t="s">
        <v>1379</v>
      </c>
      <c r="L126" s="19" t="s">
        <v>1380</v>
      </c>
      <c r="M126" s="19"/>
      <c r="N126" s="19" t="s">
        <v>1212</v>
      </c>
    </row>
    <row r="127" spans="1:14">
      <c r="A127" s="19" t="s">
        <v>1375</v>
      </c>
      <c r="B127" s="19">
        <v>6</v>
      </c>
      <c r="C127" s="19" t="s">
        <v>1339</v>
      </c>
      <c r="D127" s="19" t="s">
        <v>1340</v>
      </c>
      <c r="E127" s="19" t="s">
        <v>855</v>
      </c>
      <c r="F127" s="19">
        <v>2016</v>
      </c>
      <c r="G127" s="21">
        <v>0.66508149999999999</v>
      </c>
      <c r="H127" s="19" t="s">
        <v>1341</v>
      </c>
      <c r="I127" s="19" t="s">
        <v>951</v>
      </c>
      <c r="J127" s="21">
        <v>0.66508149999999999</v>
      </c>
      <c r="K127" s="19" t="s">
        <v>1342</v>
      </c>
      <c r="L127" s="19" t="s">
        <v>1343</v>
      </c>
      <c r="M127" s="19" t="s">
        <v>1344</v>
      </c>
      <c r="N127" s="19" t="s">
        <v>1019</v>
      </c>
    </row>
    <row r="128" spans="1:14">
      <c r="A128" s="19" t="s">
        <v>1375</v>
      </c>
      <c r="B128" s="19">
        <v>7</v>
      </c>
      <c r="C128" s="19" t="s">
        <v>1345</v>
      </c>
      <c r="D128" s="19" t="s">
        <v>1346</v>
      </c>
      <c r="E128" s="19" t="s">
        <v>855</v>
      </c>
      <c r="F128" s="19">
        <v>2014</v>
      </c>
      <c r="G128" s="21">
        <v>0.66475624</v>
      </c>
      <c r="H128" s="19" t="s">
        <v>1347</v>
      </c>
      <c r="I128" s="19" t="s">
        <v>857</v>
      </c>
      <c r="J128" s="21">
        <v>0.66475624</v>
      </c>
      <c r="K128" s="19" t="s">
        <v>1348</v>
      </c>
      <c r="L128" s="19" t="s">
        <v>1349</v>
      </c>
      <c r="M128" s="19"/>
      <c r="N128" s="19" t="s">
        <v>1350</v>
      </c>
    </row>
    <row r="129" spans="1:14">
      <c r="A129" s="19" t="s">
        <v>1375</v>
      </c>
      <c r="B129" s="19">
        <v>8</v>
      </c>
      <c r="C129" s="19" t="s">
        <v>1351</v>
      </c>
      <c r="D129" s="19" t="s">
        <v>1352</v>
      </c>
      <c r="E129" s="19" t="s">
        <v>855</v>
      </c>
      <c r="F129" s="19">
        <v>2016</v>
      </c>
      <c r="G129" s="21">
        <v>0.66252904999999995</v>
      </c>
      <c r="H129" s="19" t="s">
        <v>1353</v>
      </c>
      <c r="I129" s="19" t="s">
        <v>914</v>
      </c>
      <c r="J129" s="21">
        <v>0.66252904999999995</v>
      </c>
      <c r="K129" s="19" t="s">
        <v>1354</v>
      </c>
      <c r="L129" s="19" t="s">
        <v>1355</v>
      </c>
      <c r="M129" s="19" t="s">
        <v>1356</v>
      </c>
      <c r="N129" s="19" t="s">
        <v>917</v>
      </c>
    </row>
    <row r="130" spans="1:14">
      <c r="A130" s="19" t="s">
        <v>1375</v>
      </c>
      <c r="B130" s="19">
        <v>9</v>
      </c>
      <c r="C130" s="19" t="s">
        <v>1381</v>
      </c>
      <c r="D130" s="19" t="s">
        <v>1382</v>
      </c>
      <c r="E130" s="19" t="s">
        <v>855</v>
      </c>
      <c r="F130" s="19">
        <v>2015</v>
      </c>
      <c r="G130" s="21">
        <v>0.66134360000000003</v>
      </c>
      <c r="H130" s="19" t="s">
        <v>1383</v>
      </c>
      <c r="I130" s="19" t="s">
        <v>914</v>
      </c>
      <c r="J130" s="21">
        <v>0.66134360000000003</v>
      </c>
      <c r="K130" s="19" t="s">
        <v>1384</v>
      </c>
      <c r="L130" s="19" t="s">
        <v>1385</v>
      </c>
      <c r="M130" s="19"/>
      <c r="N130" s="19" t="s">
        <v>917</v>
      </c>
    </row>
    <row r="131" spans="1:14">
      <c r="A131" s="19" t="s">
        <v>1375</v>
      </c>
      <c r="B131" s="19">
        <v>10</v>
      </c>
      <c r="C131" s="19" t="s">
        <v>1357</v>
      </c>
      <c r="D131" s="19" t="s">
        <v>1358</v>
      </c>
      <c r="E131" s="19" t="s">
        <v>855</v>
      </c>
      <c r="F131" s="19">
        <v>2014</v>
      </c>
      <c r="G131" s="21">
        <v>0.66000040000000004</v>
      </c>
      <c r="H131" s="19" t="s">
        <v>1359</v>
      </c>
      <c r="I131" s="19" t="s">
        <v>951</v>
      </c>
      <c r="J131" s="21">
        <v>0.66000040000000004</v>
      </c>
      <c r="K131" s="19" t="s">
        <v>1360</v>
      </c>
      <c r="L131" s="19" t="s">
        <v>1361</v>
      </c>
      <c r="M131" s="19" t="s">
        <v>1362</v>
      </c>
      <c r="N131" s="19" t="s">
        <v>1103</v>
      </c>
    </row>
    <row r="132" spans="1:14">
      <c r="A132" s="19" t="s">
        <v>155</v>
      </c>
      <c r="B132" s="19">
        <v>1</v>
      </c>
      <c r="C132" s="19" t="s">
        <v>1386</v>
      </c>
      <c r="D132" s="19" t="s">
        <v>682</v>
      </c>
      <c r="E132" s="19" t="s">
        <v>855</v>
      </c>
      <c r="F132" s="19">
        <v>2015</v>
      </c>
      <c r="G132" s="21">
        <v>0.67327135999999999</v>
      </c>
      <c r="H132" s="19" t="s">
        <v>1387</v>
      </c>
      <c r="I132" s="19" t="s">
        <v>914</v>
      </c>
      <c r="J132" s="21">
        <v>0.67327135999999999</v>
      </c>
      <c r="K132" s="19" t="s">
        <v>1388</v>
      </c>
      <c r="L132" s="19" t="s">
        <v>1389</v>
      </c>
      <c r="M132" s="19" t="s">
        <v>1390</v>
      </c>
      <c r="N132" s="19" t="s">
        <v>1212</v>
      </c>
    </row>
    <row r="133" spans="1:14">
      <c r="A133" s="19" t="s">
        <v>155</v>
      </c>
      <c r="B133" s="19">
        <v>2</v>
      </c>
      <c r="C133" s="19" t="s">
        <v>1252</v>
      </c>
      <c r="D133" s="19" t="s">
        <v>824</v>
      </c>
      <c r="E133" s="19" t="s">
        <v>855</v>
      </c>
      <c r="F133" s="19">
        <v>2014</v>
      </c>
      <c r="G133" s="21">
        <v>0.66142374000000004</v>
      </c>
      <c r="H133" s="19" t="s">
        <v>1253</v>
      </c>
      <c r="I133" s="19" t="s">
        <v>951</v>
      </c>
      <c r="J133" s="21">
        <v>0.66142374000000004</v>
      </c>
      <c r="K133" s="19" t="s">
        <v>1254</v>
      </c>
      <c r="L133" s="19" t="s">
        <v>1255</v>
      </c>
      <c r="M133" s="19" t="s">
        <v>1256</v>
      </c>
      <c r="N133" s="19" t="s">
        <v>1103</v>
      </c>
    </row>
    <row r="134" spans="1:14">
      <c r="A134" s="19" t="s">
        <v>155</v>
      </c>
      <c r="B134" s="19">
        <v>3</v>
      </c>
      <c r="C134" s="19" t="s">
        <v>1391</v>
      </c>
      <c r="D134" s="19" t="s">
        <v>1392</v>
      </c>
      <c r="E134" s="19" t="s">
        <v>855</v>
      </c>
      <c r="F134" s="19">
        <v>2015</v>
      </c>
      <c r="G134" s="21">
        <v>0.65273800000000004</v>
      </c>
      <c r="H134" s="19" t="s">
        <v>1393</v>
      </c>
      <c r="I134" s="19" t="s">
        <v>857</v>
      </c>
      <c r="J134" s="21">
        <v>0.65273800000000004</v>
      </c>
      <c r="K134" s="19" t="s">
        <v>1394</v>
      </c>
      <c r="L134" s="19" t="s">
        <v>1395</v>
      </c>
      <c r="M134" s="19"/>
      <c r="N134" s="19" t="s">
        <v>1263</v>
      </c>
    </row>
    <row r="135" spans="1:14">
      <c r="A135" s="19" t="s">
        <v>155</v>
      </c>
      <c r="B135" s="19">
        <v>4</v>
      </c>
      <c r="C135" s="19" t="s">
        <v>1257</v>
      </c>
      <c r="D135" s="19" t="s">
        <v>1258</v>
      </c>
      <c r="E135" s="19" t="s">
        <v>855</v>
      </c>
      <c r="F135" s="19">
        <v>2023</v>
      </c>
      <c r="G135" s="21">
        <v>0.65265059999999997</v>
      </c>
      <c r="H135" s="19" t="s">
        <v>1259</v>
      </c>
      <c r="I135" s="19" t="s">
        <v>857</v>
      </c>
      <c r="J135" s="21">
        <v>0.65265059999999997</v>
      </c>
      <c r="K135" s="19" t="s">
        <v>1260</v>
      </c>
      <c r="L135" s="19" t="s">
        <v>1261</v>
      </c>
      <c r="M135" s="19" t="s">
        <v>1262</v>
      </c>
      <c r="N135" s="19" t="s">
        <v>1263</v>
      </c>
    </row>
    <row r="136" spans="1:14">
      <c r="A136" s="19" t="s">
        <v>155</v>
      </c>
      <c r="B136" s="19">
        <v>5</v>
      </c>
      <c r="C136" s="19" t="s">
        <v>1396</v>
      </c>
      <c r="D136" s="19" t="s">
        <v>678</v>
      </c>
      <c r="E136" s="19" t="s">
        <v>855</v>
      </c>
      <c r="F136" s="19">
        <v>2015</v>
      </c>
      <c r="G136" s="21">
        <v>0.64963126000000004</v>
      </c>
      <c r="H136" s="19" t="s">
        <v>1397</v>
      </c>
      <c r="I136" s="19" t="s">
        <v>857</v>
      </c>
      <c r="J136" s="21">
        <v>0.64963126000000004</v>
      </c>
      <c r="K136" s="19" t="s">
        <v>1398</v>
      </c>
      <c r="L136" s="19" t="s">
        <v>1399</v>
      </c>
      <c r="M136" s="19"/>
      <c r="N136" s="19" t="s">
        <v>1263</v>
      </c>
    </row>
    <row r="137" spans="1:14">
      <c r="A137" s="19" t="s">
        <v>155</v>
      </c>
      <c r="B137" s="19">
        <v>6</v>
      </c>
      <c r="C137" s="19" t="s">
        <v>1264</v>
      </c>
      <c r="D137" s="19" t="s">
        <v>1265</v>
      </c>
      <c r="E137" s="19" t="s">
        <v>855</v>
      </c>
      <c r="F137" s="19">
        <v>2016</v>
      </c>
      <c r="G137" s="21">
        <v>0.64522630000000003</v>
      </c>
      <c r="H137" s="19" t="s">
        <v>1266</v>
      </c>
      <c r="I137" s="19" t="s">
        <v>857</v>
      </c>
      <c r="J137" s="21">
        <v>0.64522630000000003</v>
      </c>
      <c r="K137" s="19" t="s">
        <v>1267</v>
      </c>
      <c r="L137" s="19" t="s">
        <v>1268</v>
      </c>
      <c r="M137" s="19" t="s">
        <v>1269</v>
      </c>
      <c r="N137" s="19" t="s">
        <v>1263</v>
      </c>
    </row>
    <row r="138" spans="1:14">
      <c r="A138" s="19" t="s">
        <v>155</v>
      </c>
      <c r="B138" s="19">
        <v>7</v>
      </c>
      <c r="C138" s="19" t="s">
        <v>1270</v>
      </c>
      <c r="D138" s="19" t="s">
        <v>1271</v>
      </c>
      <c r="E138" s="19" t="s">
        <v>855</v>
      </c>
      <c r="F138" s="19">
        <v>2014</v>
      </c>
      <c r="G138" s="21">
        <v>0.64377224</v>
      </c>
      <c r="H138" s="19" t="s">
        <v>1272</v>
      </c>
      <c r="I138" s="19" t="s">
        <v>914</v>
      </c>
      <c r="J138" s="21">
        <v>0.64377224</v>
      </c>
      <c r="K138" s="19" t="s">
        <v>1273</v>
      </c>
      <c r="L138" s="19" t="s">
        <v>1274</v>
      </c>
      <c r="M138" s="19" t="s">
        <v>1275</v>
      </c>
      <c r="N138" s="19" t="s">
        <v>1276</v>
      </c>
    </row>
    <row r="139" spans="1:14">
      <c r="A139" s="19" t="s">
        <v>155</v>
      </c>
      <c r="B139" s="19">
        <v>8</v>
      </c>
      <c r="C139" s="19" t="s">
        <v>1277</v>
      </c>
      <c r="D139" s="19" t="s">
        <v>1278</v>
      </c>
      <c r="E139" s="19" t="s">
        <v>855</v>
      </c>
      <c r="F139" s="19">
        <v>2016</v>
      </c>
      <c r="G139" s="21">
        <v>0.64031539999999998</v>
      </c>
      <c r="H139" s="19" t="s">
        <v>1279</v>
      </c>
      <c r="I139" s="19" t="s">
        <v>857</v>
      </c>
      <c r="J139" s="21">
        <v>0.64031539999999998</v>
      </c>
      <c r="K139" s="19" t="s">
        <v>1280</v>
      </c>
      <c r="L139" s="19" t="s">
        <v>1281</v>
      </c>
      <c r="M139" s="19" t="s">
        <v>1282</v>
      </c>
      <c r="N139" s="19" t="s">
        <v>940</v>
      </c>
    </row>
    <row r="140" spans="1:14">
      <c r="A140" s="19" t="s">
        <v>155</v>
      </c>
      <c r="B140" s="19">
        <v>9</v>
      </c>
      <c r="C140" s="19" t="s">
        <v>1400</v>
      </c>
      <c r="D140" s="19" t="s">
        <v>1401</v>
      </c>
      <c r="E140" s="19" t="s">
        <v>855</v>
      </c>
      <c r="F140" s="19">
        <v>2015</v>
      </c>
      <c r="G140" s="21">
        <v>0.63409789999999999</v>
      </c>
      <c r="H140" s="19" t="s">
        <v>1402</v>
      </c>
      <c r="I140" s="19" t="s">
        <v>857</v>
      </c>
      <c r="J140" s="21">
        <v>0.63409789999999999</v>
      </c>
      <c r="K140" s="19" t="s">
        <v>1403</v>
      </c>
      <c r="L140" s="19" t="s">
        <v>1404</v>
      </c>
      <c r="M140" s="19"/>
      <c r="N140" s="19" t="s">
        <v>1315</v>
      </c>
    </row>
    <row r="141" spans="1:14">
      <c r="A141" s="19" t="s">
        <v>155</v>
      </c>
      <c r="B141" s="19">
        <v>10</v>
      </c>
      <c r="C141" s="19" t="s">
        <v>1283</v>
      </c>
      <c r="D141" s="19" t="s">
        <v>1284</v>
      </c>
      <c r="E141" s="19" t="s">
        <v>855</v>
      </c>
      <c r="F141" s="19">
        <v>2023</v>
      </c>
      <c r="G141" s="21">
        <v>0.63328399999999996</v>
      </c>
      <c r="H141" s="19" t="s">
        <v>1285</v>
      </c>
      <c r="I141" s="19" t="s">
        <v>1286</v>
      </c>
      <c r="J141" s="21">
        <v>0.63328399999999996</v>
      </c>
      <c r="K141" s="19" t="s">
        <v>1287</v>
      </c>
      <c r="L141" s="19" t="s">
        <v>1288</v>
      </c>
      <c r="M141" s="19" t="s">
        <v>1289</v>
      </c>
      <c r="N141" s="19" t="s">
        <v>1290</v>
      </c>
    </row>
    <row r="142" spans="1:14">
      <c r="A142" s="19" t="s">
        <v>226</v>
      </c>
      <c r="B142" s="19">
        <v>1</v>
      </c>
      <c r="C142" s="19" t="s">
        <v>1405</v>
      </c>
      <c r="D142" s="19" t="s">
        <v>723</v>
      </c>
      <c r="E142" s="19" t="s">
        <v>855</v>
      </c>
      <c r="F142" s="19">
        <v>2014</v>
      </c>
      <c r="G142" s="21">
        <v>0.69387279999999996</v>
      </c>
      <c r="H142" s="19" t="s">
        <v>1406</v>
      </c>
      <c r="I142" s="19" t="s">
        <v>857</v>
      </c>
      <c r="J142" s="21">
        <v>0.69387279999999996</v>
      </c>
      <c r="K142" s="19" t="s">
        <v>1407</v>
      </c>
      <c r="L142" s="19" t="s">
        <v>1408</v>
      </c>
      <c r="M142" s="19"/>
      <c r="N142" s="19" t="s">
        <v>1409</v>
      </c>
    </row>
    <row r="143" spans="1:14">
      <c r="A143" s="19" t="s">
        <v>226</v>
      </c>
      <c r="B143" s="19">
        <v>2</v>
      </c>
      <c r="C143" s="19" t="s">
        <v>1410</v>
      </c>
      <c r="D143" s="19" t="s">
        <v>1411</v>
      </c>
      <c r="E143" s="19" t="s">
        <v>855</v>
      </c>
      <c r="F143" s="19">
        <v>2016</v>
      </c>
      <c r="G143" s="21">
        <v>0.65310144000000003</v>
      </c>
      <c r="H143" s="19" t="s">
        <v>1412</v>
      </c>
      <c r="I143" s="19" t="s">
        <v>914</v>
      </c>
      <c r="J143" s="21">
        <v>0.65310144000000003</v>
      </c>
      <c r="K143" s="19" t="s">
        <v>1413</v>
      </c>
      <c r="L143" s="19" t="s">
        <v>1414</v>
      </c>
      <c r="M143" s="19" t="s">
        <v>1415</v>
      </c>
      <c r="N143" s="19" t="s">
        <v>1374</v>
      </c>
    </row>
    <row r="144" spans="1:14">
      <c r="A144" s="19" t="s">
        <v>226</v>
      </c>
      <c r="B144" s="19">
        <v>3</v>
      </c>
      <c r="C144" s="19" t="s">
        <v>1416</v>
      </c>
      <c r="D144" s="19" t="s">
        <v>1417</v>
      </c>
      <c r="E144" s="19" t="s">
        <v>855</v>
      </c>
      <c r="F144" s="19">
        <v>2022</v>
      </c>
      <c r="G144" s="21">
        <v>0.65104675000000001</v>
      </c>
      <c r="H144" s="19" t="s">
        <v>1418</v>
      </c>
      <c r="I144" s="19" t="s">
        <v>914</v>
      </c>
      <c r="J144" s="21">
        <v>0.65104675000000001</v>
      </c>
      <c r="K144" s="19" t="s">
        <v>1419</v>
      </c>
      <c r="L144" s="19" t="s">
        <v>1420</v>
      </c>
      <c r="M144" s="19" t="s">
        <v>1421</v>
      </c>
      <c r="N144" s="19" t="s">
        <v>1374</v>
      </c>
    </row>
    <row r="145" spans="1:14">
      <c r="A145" s="19" t="s">
        <v>226</v>
      </c>
      <c r="B145" s="19">
        <v>4</v>
      </c>
      <c r="C145" s="19" t="s">
        <v>1422</v>
      </c>
      <c r="D145" s="19" t="s">
        <v>1423</v>
      </c>
      <c r="E145" s="19" t="s">
        <v>855</v>
      </c>
      <c r="F145" s="19">
        <v>2016</v>
      </c>
      <c r="G145" s="21">
        <v>0.65036539999999998</v>
      </c>
      <c r="H145" s="19" t="s">
        <v>1424</v>
      </c>
      <c r="I145" s="19" t="s">
        <v>1286</v>
      </c>
      <c r="J145" s="21">
        <v>0.65036539999999998</v>
      </c>
      <c r="K145" s="19" t="s">
        <v>1425</v>
      </c>
      <c r="L145" s="19" t="s">
        <v>1426</v>
      </c>
      <c r="M145" s="19"/>
      <c r="N145" s="19" t="s">
        <v>1427</v>
      </c>
    </row>
    <row r="146" spans="1:14">
      <c r="A146" s="19" t="s">
        <v>226</v>
      </c>
      <c r="B146" s="19">
        <v>5</v>
      </c>
      <c r="C146" s="19" t="s">
        <v>854</v>
      </c>
      <c r="D146" s="19" t="s">
        <v>791</v>
      </c>
      <c r="E146" s="19" t="s">
        <v>855</v>
      </c>
      <c r="F146" s="19">
        <v>2023</v>
      </c>
      <c r="G146" s="21">
        <v>0.64700376999999998</v>
      </c>
      <c r="H146" s="19" t="s">
        <v>1428</v>
      </c>
      <c r="I146" s="19" t="s">
        <v>914</v>
      </c>
      <c r="J146" s="21">
        <v>0.64700376999999998</v>
      </c>
      <c r="K146" s="19" t="s">
        <v>1429</v>
      </c>
      <c r="L146" s="19" t="s">
        <v>1430</v>
      </c>
      <c r="M146" s="19" t="s">
        <v>1431</v>
      </c>
      <c r="N146" s="19" t="s">
        <v>1374</v>
      </c>
    </row>
    <row r="147" spans="1:14">
      <c r="A147" s="19" t="s">
        <v>226</v>
      </c>
      <c r="B147" s="19">
        <v>6</v>
      </c>
      <c r="C147" s="19" t="s">
        <v>1432</v>
      </c>
      <c r="D147" s="19" t="s">
        <v>1433</v>
      </c>
      <c r="E147" s="19" t="s">
        <v>855</v>
      </c>
      <c r="F147" s="19">
        <v>2014</v>
      </c>
      <c r="G147" s="21">
        <v>0.64635969999999998</v>
      </c>
      <c r="H147" s="19" t="s">
        <v>1434</v>
      </c>
      <c r="I147" s="19" t="s">
        <v>914</v>
      </c>
      <c r="J147" s="21">
        <v>0.64635969999999998</v>
      </c>
      <c r="K147" s="19" t="s">
        <v>1435</v>
      </c>
      <c r="L147" s="19" t="s">
        <v>1436</v>
      </c>
      <c r="M147" s="19"/>
      <c r="N147" s="19" t="s">
        <v>1374</v>
      </c>
    </row>
    <row r="148" spans="1:14">
      <c r="A148" s="19" t="s">
        <v>226</v>
      </c>
      <c r="B148" s="19">
        <v>7</v>
      </c>
      <c r="C148" s="19" t="s">
        <v>1437</v>
      </c>
      <c r="D148" s="19" t="s">
        <v>1438</v>
      </c>
      <c r="E148" s="19" t="s">
        <v>855</v>
      </c>
      <c r="F148" s="19">
        <v>2023</v>
      </c>
      <c r="G148" s="21">
        <v>0.63349235000000004</v>
      </c>
      <c r="H148" s="19" t="s">
        <v>1439</v>
      </c>
      <c r="I148" s="19" t="s">
        <v>951</v>
      </c>
      <c r="J148" s="21">
        <v>0.63349235000000004</v>
      </c>
      <c r="K148" s="19" t="s">
        <v>1440</v>
      </c>
      <c r="L148" s="19" t="s">
        <v>1441</v>
      </c>
      <c r="M148" s="19" t="s">
        <v>1442</v>
      </c>
      <c r="N148" s="19" t="s">
        <v>955</v>
      </c>
    </row>
    <row r="149" spans="1:14">
      <c r="A149" s="19" t="s">
        <v>226</v>
      </c>
      <c r="B149" s="19">
        <v>8</v>
      </c>
      <c r="C149" s="19" t="s">
        <v>1443</v>
      </c>
      <c r="D149" s="19" t="s">
        <v>1444</v>
      </c>
      <c r="E149" s="19" t="s">
        <v>855</v>
      </c>
      <c r="F149" s="19">
        <v>2023</v>
      </c>
      <c r="G149" s="21">
        <v>0.62158400000000003</v>
      </c>
      <c r="H149" s="19" t="s">
        <v>1445</v>
      </c>
      <c r="I149" s="19" t="s">
        <v>951</v>
      </c>
      <c r="J149" s="21">
        <v>0.62158400000000003</v>
      </c>
      <c r="K149" s="19" t="s">
        <v>1446</v>
      </c>
      <c r="L149" s="19" t="s">
        <v>1447</v>
      </c>
      <c r="M149" s="19" t="s">
        <v>1448</v>
      </c>
      <c r="N149" s="19" t="s">
        <v>1449</v>
      </c>
    </row>
    <row r="150" spans="1:14">
      <c r="A150" s="19" t="s">
        <v>226</v>
      </c>
      <c r="B150" s="19">
        <v>9</v>
      </c>
      <c r="C150" s="19" t="s">
        <v>1450</v>
      </c>
      <c r="D150" s="19" t="s">
        <v>1451</v>
      </c>
      <c r="E150" s="19" t="s">
        <v>855</v>
      </c>
      <c r="F150" s="19"/>
      <c r="G150" s="21">
        <v>0.61968213000000005</v>
      </c>
      <c r="H150" s="19" t="s">
        <v>1452</v>
      </c>
      <c r="I150" s="19" t="s">
        <v>908</v>
      </c>
      <c r="J150" s="21">
        <v>0.61968213000000005</v>
      </c>
      <c r="K150" s="19" t="s">
        <v>1453</v>
      </c>
      <c r="L150" s="19" t="s">
        <v>1454</v>
      </c>
      <c r="M150" s="19" t="s">
        <v>1455</v>
      </c>
      <c r="N150" s="19" t="s">
        <v>1456</v>
      </c>
    </row>
    <row r="151" spans="1:14">
      <c r="A151" s="19" t="s">
        <v>226</v>
      </c>
      <c r="B151" s="19">
        <v>10</v>
      </c>
      <c r="C151" s="19" t="s">
        <v>1457</v>
      </c>
      <c r="D151" s="19" t="s">
        <v>1458</v>
      </c>
      <c r="E151" s="19" t="s">
        <v>855</v>
      </c>
      <c r="F151" s="19">
        <v>2014</v>
      </c>
      <c r="G151" s="21">
        <v>0.61851579999999995</v>
      </c>
      <c r="H151" s="19" t="s">
        <v>1459</v>
      </c>
      <c r="I151" s="19" t="s">
        <v>857</v>
      </c>
      <c r="J151" s="21">
        <v>0.61851579999999995</v>
      </c>
      <c r="K151" s="19" t="s">
        <v>1460</v>
      </c>
      <c r="L151" s="19" t="s">
        <v>1461</v>
      </c>
      <c r="M151" s="19"/>
      <c r="N151" s="19" t="s">
        <v>1462</v>
      </c>
    </row>
    <row r="152" spans="1:14">
      <c r="A152" s="19" t="s">
        <v>104</v>
      </c>
      <c r="B152" s="19">
        <v>1</v>
      </c>
      <c r="C152" s="19" t="s">
        <v>1396</v>
      </c>
      <c r="D152" s="19" t="s">
        <v>678</v>
      </c>
      <c r="E152" s="19" t="s">
        <v>855</v>
      </c>
      <c r="F152" s="19">
        <v>2015</v>
      </c>
      <c r="G152" s="21">
        <v>0.69676625999999997</v>
      </c>
      <c r="H152" s="19" t="s">
        <v>1397</v>
      </c>
      <c r="I152" s="19" t="s">
        <v>857</v>
      </c>
      <c r="J152" s="21">
        <v>0.69676625999999997</v>
      </c>
      <c r="K152" s="19" t="s">
        <v>1398</v>
      </c>
      <c r="L152" s="19" t="s">
        <v>1399</v>
      </c>
      <c r="M152" s="19"/>
      <c r="N152" s="19" t="s">
        <v>986</v>
      </c>
    </row>
    <row r="153" spans="1:14">
      <c r="A153" s="19" t="s">
        <v>104</v>
      </c>
      <c r="B153" s="19">
        <v>2</v>
      </c>
      <c r="C153" s="19" t="s">
        <v>1386</v>
      </c>
      <c r="D153" s="19" t="s">
        <v>682</v>
      </c>
      <c r="E153" s="19" t="s">
        <v>855</v>
      </c>
      <c r="F153" s="19">
        <v>2015</v>
      </c>
      <c r="G153" s="21">
        <v>0.69558805000000001</v>
      </c>
      <c r="H153" s="19" t="s">
        <v>1387</v>
      </c>
      <c r="I153" s="19" t="s">
        <v>914</v>
      </c>
      <c r="J153" s="21">
        <v>0.69558805000000001</v>
      </c>
      <c r="K153" s="19" t="s">
        <v>1388</v>
      </c>
      <c r="L153" s="19" t="s">
        <v>1389</v>
      </c>
      <c r="M153" s="19" t="s">
        <v>1390</v>
      </c>
      <c r="N153" s="19" t="s">
        <v>1463</v>
      </c>
    </row>
    <row r="154" spans="1:14">
      <c r="A154" s="19" t="s">
        <v>104</v>
      </c>
      <c r="B154" s="19">
        <v>3</v>
      </c>
      <c r="C154" s="19" t="s">
        <v>1464</v>
      </c>
      <c r="D154" s="19" t="s">
        <v>1465</v>
      </c>
      <c r="E154" s="19" t="s">
        <v>855</v>
      </c>
      <c r="F154" s="19">
        <v>2022</v>
      </c>
      <c r="G154" s="21">
        <v>0.69065319999999997</v>
      </c>
      <c r="H154" s="19" t="s">
        <v>1466</v>
      </c>
      <c r="I154" s="19" t="s">
        <v>865</v>
      </c>
      <c r="J154" s="21">
        <v>0.69065319999999997</v>
      </c>
      <c r="K154" s="19" t="s">
        <v>1467</v>
      </c>
      <c r="L154" s="19" t="s">
        <v>1468</v>
      </c>
      <c r="M154" s="19" t="s">
        <v>1469</v>
      </c>
      <c r="N154" s="19" t="s">
        <v>1470</v>
      </c>
    </row>
    <row r="155" spans="1:14">
      <c r="A155" s="19" t="s">
        <v>104</v>
      </c>
      <c r="B155" s="19">
        <v>4</v>
      </c>
      <c r="C155" s="19" t="s">
        <v>1471</v>
      </c>
      <c r="D155" s="19" t="s">
        <v>1472</v>
      </c>
      <c r="E155" s="19" t="s">
        <v>855</v>
      </c>
      <c r="F155" s="19">
        <v>2023</v>
      </c>
      <c r="G155" s="21">
        <v>0.68384509999999998</v>
      </c>
      <c r="H155" s="19" t="s">
        <v>1473</v>
      </c>
      <c r="I155" s="19" t="s">
        <v>865</v>
      </c>
      <c r="J155" s="21">
        <v>0.68384509999999998</v>
      </c>
      <c r="K155" s="19" t="s">
        <v>1474</v>
      </c>
      <c r="L155" s="19" t="s">
        <v>1475</v>
      </c>
      <c r="M155" s="19" t="s">
        <v>1476</v>
      </c>
      <c r="N155" s="19" t="s">
        <v>1178</v>
      </c>
    </row>
    <row r="156" spans="1:14">
      <c r="A156" s="19" t="s">
        <v>104</v>
      </c>
      <c r="B156" s="19">
        <v>5</v>
      </c>
      <c r="C156" s="19" t="s">
        <v>1477</v>
      </c>
      <c r="D156" s="19" t="s">
        <v>1478</v>
      </c>
      <c r="E156" s="19" t="s">
        <v>855</v>
      </c>
      <c r="F156" s="19">
        <v>2022</v>
      </c>
      <c r="G156" s="21">
        <v>0.68288939999999998</v>
      </c>
      <c r="H156" s="19" t="s">
        <v>1479</v>
      </c>
      <c r="I156" s="19" t="s">
        <v>865</v>
      </c>
      <c r="J156" s="21">
        <v>0.68288939999999998</v>
      </c>
      <c r="K156" s="19" t="s">
        <v>1480</v>
      </c>
      <c r="L156" s="19" t="s">
        <v>1481</v>
      </c>
      <c r="M156" s="19"/>
      <c r="N156" s="19" t="s">
        <v>1178</v>
      </c>
    </row>
    <row r="157" spans="1:14">
      <c r="A157" s="19" t="s">
        <v>104</v>
      </c>
      <c r="B157" s="19">
        <v>6</v>
      </c>
      <c r="C157" s="19" t="s">
        <v>1482</v>
      </c>
      <c r="D157" s="19" t="s">
        <v>1483</v>
      </c>
      <c r="E157" s="19" t="s">
        <v>855</v>
      </c>
      <c r="F157" s="19">
        <v>2023</v>
      </c>
      <c r="G157" s="21">
        <v>0.68146205000000004</v>
      </c>
      <c r="H157" s="19" t="s">
        <v>1484</v>
      </c>
      <c r="I157" s="19" t="s">
        <v>865</v>
      </c>
      <c r="J157" s="21">
        <v>0.68146205000000004</v>
      </c>
      <c r="K157" s="19" t="s">
        <v>1485</v>
      </c>
      <c r="L157" s="19" t="s">
        <v>1486</v>
      </c>
      <c r="M157" s="19"/>
      <c r="N157" s="19" t="s">
        <v>1178</v>
      </c>
    </row>
    <row r="158" spans="1:14">
      <c r="A158" s="19" t="s">
        <v>104</v>
      </c>
      <c r="B158" s="19">
        <v>7</v>
      </c>
      <c r="C158" s="19" t="s">
        <v>1487</v>
      </c>
      <c r="D158" s="19" t="s">
        <v>1488</v>
      </c>
      <c r="E158" s="19" t="s">
        <v>855</v>
      </c>
      <c r="F158" s="19">
        <v>2022</v>
      </c>
      <c r="G158" s="21">
        <v>0.68135659999999998</v>
      </c>
      <c r="H158" s="19" t="s">
        <v>1489</v>
      </c>
      <c r="I158" s="19" t="s">
        <v>865</v>
      </c>
      <c r="J158" s="21">
        <v>0.68135659999999998</v>
      </c>
      <c r="K158" s="19" t="s">
        <v>1490</v>
      </c>
      <c r="L158" s="19" t="s">
        <v>1491</v>
      </c>
      <c r="M158" s="19"/>
      <c r="N158" s="19" t="s">
        <v>1178</v>
      </c>
    </row>
    <row r="159" spans="1:14">
      <c r="A159" s="19" t="s">
        <v>104</v>
      </c>
      <c r="B159" s="19">
        <v>8</v>
      </c>
      <c r="C159" s="19" t="s">
        <v>1492</v>
      </c>
      <c r="D159" s="19" t="s">
        <v>1493</v>
      </c>
      <c r="E159" s="19" t="s">
        <v>855</v>
      </c>
      <c r="F159" s="19">
        <v>2022</v>
      </c>
      <c r="G159" s="21">
        <v>0.67957140000000005</v>
      </c>
      <c r="H159" s="19" t="s">
        <v>1494</v>
      </c>
      <c r="I159" s="19" t="s">
        <v>865</v>
      </c>
      <c r="J159" s="21">
        <v>0.67957140000000005</v>
      </c>
      <c r="K159" s="19" t="s">
        <v>1495</v>
      </c>
      <c r="L159" s="19" t="s">
        <v>1496</v>
      </c>
      <c r="M159" s="19"/>
      <c r="N159" s="19" t="s">
        <v>1178</v>
      </c>
    </row>
    <row r="160" spans="1:14">
      <c r="A160" s="19" t="s">
        <v>104</v>
      </c>
      <c r="B160" s="19">
        <v>9</v>
      </c>
      <c r="C160" s="19" t="s">
        <v>1497</v>
      </c>
      <c r="D160" s="19" t="s">
        <v>1498</v>
      </c>
      <c r="E160" s="19" t="s">
        <v>855</v>
      </c>
      <c r="F160" s="19">
        <v>2022</v>
      </c>
      <c r="G160" s="21">
        <v>0.67927842999999999</v>
      </c>
      <c r="H160" s="19" t="s">
        <v>1499</v>
      </c>
      <c r="I160" s="19" t="s">
        <v>865</v>
      </c>
      <c r="J160" s="21">
        <v>0.67927842999999999</v>
      </c>
      <c r="K160" s="19" t="s">
        <v>1500</v>
      </c>
      <c r="L160" s="19" t="s">
        <v>1501</v>
      </c>
      <c r="M160" s="19" t="s">
        <v>1502</v>
      </c>
      <c r="N160" s="19" t="s">
        <v>1178</v>
      </c>
    </row>
    <row r="161" spans="1:14">
      <c r="A161" s="19" t="s">
        <v>104</v>
      </c>
      <c r="B161" s="19">
        <v>10</v>
      </c>
      <c r="C161" s="19" t="s">
        <v>1503</v>
      </c>
      <c r="D161" s="19" t="s">
        <v>1504</v>
      </c>
      <c r="E161" s="19" t="s">
        <v>855</v>
      </c>
      <c r="F161" s="19">
        <v>2022</v>
      </c>
      <c r="G161" s="21">
        <v>0.67826580000000003</v>
      </c>
      <c r="H161" s="19" t="s">
        <v>1505</v>
      </c>
      <c r="I161" s="19" t="s">
        <v>865</v>
      </c>
      <c r="J161" s="21">
        <v>0.67826580000000003</v>
      </c>
      <c r="K161" s="19" t="s">
        <v>1506</v>
      </c>
      <c r="L161" s="19" t="s">
        <v>1507</v>
      </c>
      <c r="M161" s="19" t="s">
        <v>1508</v>
      </c>
      <c r="N161" s="19" t="s">
        <v>1178</v>
      </c>
    </row>
    <row r="162" spans="1:14">
      <c r="A162" s="19" t="s">
        <v>137</v>
      </c>
      <c r="B162" s="19">
        <v>1</v>
      </c>
      <c r="C162" s="19" t="s">
        <v>1509</v>
      </c>
      <c r="D162" s="19" t="s">
        <v>689</v>
      </c>
      <c r="E162" s="19" t="s">
        <v>855</v>
      </c>
      <c r="F162" s="19">
        <v>2023</v>
      </c>
      <c r="G162" s="21">
        <v>0.70476000000000005</v>
      </c>
      <c r="H162" s="19" t="s">
        <v>1510</v>
      </c>
      <c r="I162" s="19" t="s">
        <v>857</v>
      </c>
      <c r="J162" s="21">
        <v>0.70476000000000005</v>
      </c>
      <c r="K162" s="19" t="s">
        <v>1511</v>
      </c>
      <c r="L162" s="19" t="s">
        <v>1512</v>
      </c>
      <c r="M162" s="19"/>
      <c r="N162" s="19" t="s">
        <v>986</v>
      </c>
    </row>
    <row r="163" spans="1:14">
      <c r="A163" s="19" t="s">
        <v>137</v>
      </c>
      <c r="B163" s="19">
        <v>2</v>
      </c>
      <c r="C163" s="19" t="s">
        <v>1145</v>
      </c>
      <c r="D163" s="19" t="s">
        <v>1146</v>
      </c>
      <c r="E163" s="19" t="s">
        <v>855</v>
      </c>
      <c r="F163" s="19">
        <v>2016</v>
      </c>
      <c r="G163" s="21">
        <v>0.70189610000000002</v>
      </c>
      <c r="H163" s="19" t="s">
        <v>1147</v>
      </c>
      <c r="I163" s="19" t="s">
        <v>951</v>
      </c>
      <c r="J163" s="21">
        <v>0.70189610000000002</v>
      </c>
      <c r="K163" s="19" t="s">
        <v>1148</v>
      </c>
      <c r="L163" s="19" t="s">
        <v>1149</v>
      </c>
      <c r="M163" s="19" t="s">
        <v>1150</v>
      </c>
      <c r="N163" s="19" t="s">
        <v>1513</v>
      </c>
    </row>
    <row r="164" spans="1:14">
      <c r="A164" s="19" t="s">
        <v>137</v>
      </c>
      <c r="B164" s="19">
        <v>3</v>
      </c>
      <c r="C164" s="19" t="s">
        <v>1104</v>
      </c>
      <c r="D164" s="19" t="s">
        <v>737</v>
      </c>
      <c r="E164" s="19" t="s">
        <v>855</v>
      </c>
      <c r="F164" s="19">
        <v>2016</v>
      </c>
      <c r="G164" s="21">
        <v>0.69412315000000002</v>
      </c>
      <c r="H164" s="19" t="s">
        <v>1514</v>
      </c>
      <c r="I164" s="19" t="s">
        <v>951</v>
      </c>
      <c r="J164" s="21">
        <v>0.69412315000000002</v>
      </c>
      <c r="K164" s="19" t="s">
        <v>1515</v>
      </c>
      <c r="L164" s="19" t="s">
        <v>1516</v>
      </c>
      <c r="M164" s="19" t="s">
        <v>1517</v>
      </c>
      <c r="N164" s="19" t="s">
        <v>993</v>
      </c>
    </row>
    <row r="165" spans="1:14">
      <c r="A165" s="19" t="s">
        <v>137</v>
      </c>
      <c r="B165" s="19">
        <v>4</v>
      </c>
      <c r="C165" s="19" t="s">
        <v>1518</v>
      </c>
      <c r="D165" s="19" t="s">
        <v>1519</v>
      </c>
      <c r="E165" s="19" t="s">
        <v>855</v>
      </c>
      <c r="F165" s="19">
        <v>2022</v>
      </c>
      <c r="G165" s="21">
        <v>0.69143810000000006</v>
      </c>
      <c r="H165" s="19" t="s">
        <v>1520</v>
      </c>
      <c r="I165" s="19" t="s">
        <v>951</v>
      </c>
      <c r="J165" s="21">
        <v>0.69143810000000006</v>
      </c>
      <c r="K165" s="19" t="s">
        <v>1521</v>
      </c>
      <c r="L165" s="19" t="s">
        <v>1522</v>
      </c>
      <c r="M165" s="19" t="s">
        <v>1523</v>
      </c>
      <c r="N165" s="19" t="s">
        <v>993</v>
      </c>
    </row>
    <row r="166" spans="1:14">
      <c r="A166" s="19" t="s">
        <v>137</v>
      </c>
      <c r="B166" s="19">
        <v>5</v>
      </c>
      <c r="C166" s="19" t="s">
        <v>1524</v>
      </c>
      <c r="D166" s="19" t="s">
        <v>1525</v>
      </c>
      <c r="E166" s="19" t="s">
        <v>855</v>
      </c>
      <c r="F166" s="19">
        <v>2015</v>
      </c>
      <c r="G166" s="21">
        <v>0.67613999999999996</v>
      </c>
      <c r="H166" s="19" t="s">
        <v>1526</v>
      </c>
      <c r="I166" s="19" t="s">
        <v>857</v>
      </c>
      <c r="J166" s="21">
        <v>0.67613999999999996</v>
      </c>
      <c r="K166" s="19" t="s">
        <v>1527</v>
      </c>
      <c r="L166" s="19" t="s">
        <v>1528</v>
      </c>
      <c r="M166" s="19"/>
      <c r="N166" s="19" t="s">
        <v>861</v>
      </c>
    </row>
    <row r="167" spans="1:14">
      <c r="A167" s="19" t="s">
        <v>137</v>
      </c>
      <c r="B167" s="19">
        <v>6</v>
      </c>
      <c r="C167" s="19" t="s">
        <v>1140</v>
      </c>
      <c r="D167" s="19" t="s">
        <v>1141</v>
      </c>
      <c r="E167" s="19" t="s">
        <v>855</v>
      </c>
      <c r="F167" s="19">
        <v>2014</v>
      </c>
      <c r="G167" s="21">
        <v>0.67489719999999997</v>
      </c>
      <c r="H167" s="19" t="s">
        <v>1142</v>
      </c>
      <c r="I167" s="19" t="s">
        <v>857</v>
      </c>
      <c r="J167" s="21">
        <v>0.67489719999999997</v>
      </c>
      <c r="K167" s="19" t="s">
        <v>1143</v>
      </c>
      <c r="L167" s="19" t="s">
        <v>1144</v>
      </c>
      <c r="M167" s="19"/>
      <c r="N167" s="19" t="s">
        <v>1038</v>
      </c>
    </row>
    <row r="168" spans="1:14">
      <c r="A168" s="19" t="s">
        <v>137</v>
      </c>
      <c r="B168" s="19">
        <v>7</v>
      </c>
      <c r="C168" s="19" t="s">
        <v>1121</v>
      </c>
      <c r="D168" s="19" t="s">
        <v>1122</v>
      </c>
      <c r="E168" s="19" t="s">
        <v>855</v>
      </c>
      <c r="F168" s="19">
        <v>2023</v>
      </c>
      <c r="G168" s="21">
        <v>0.67424589999999995</v>
      </c>
      <c r="H168" s="19" t="s">
        <v>1123</v>
      </c>
      <c r="I168" s="19" t="s">
        <v>951</v>
      </c>
      <c r="J168" s="21">
        <v>0.67424589999999995</v>
      </c>
      <c r="K168" s="19" t="s">
        <v>1124</v>
      </c>
      <c r="L168" s="19" t="s">
        <v>1125</v>
      </c>
      <c r="M168" s="19" t="s">
        <v>1126</v>
      </c>
      <c r="N168" s="19" t="s">
        <v>1019</v>
      </c>
    </row>
    <row r="169" spans="1:14">
      <c r="A169" s="19" t="s">
        <v>137</v>
      </c>
      <c r="B169" s="19">
        <v>8</v>
      </c>
      <c r="C169" s="19" t="s">
        <v>1529</v>
      </c>
      <c r="D169" s="19" t="s">
        <v>1530</v>
      </c>
      <c r="E169" s="19" t="s">
        <v>855</v>
      </c>
      <c r="F169" s="19">
        <v>2015</v>
      </c>
      <c r="G169" s="21">
        <v>0.67155164000000001</v>
      </c>
      <c r="H169" s="19" t="s">
        <v>1531</v>
      </c>
      <c r="I169" s="19" t="s">
        <v>857</v>
      </c>
      <c r="J169" s="21">
        <v>0.67155164000000001</v>
      </c>
      <c r="K169" s="19" t="s">
        <v>1532</v>
      </c>
      <c r="L169" s="19" t="s">
        <v>1533</v>
      </c>
      <c r="M169" s="19"/>
      <c r="N169" s="19" t="s">
        <v>1038</v>
      </c>
    </row>
    <row r="170" spans="1:14">
      <c r="A170" s="19" t="s">
        <v>137</v>
      </c>
      <c r="B170" s="19">
        <v>9</v>
      </c>
      <c r="C170" s="19" t="s">
        <v>1109</v>
      </c>
      <c r="D170" s="19" t="s">
        <v>1110</v>
      </c>
      <c r="E170" s="19" t="s">
        <v>855</v>
      </c>
      <c r="F170" s="19">
        <v>2016</v>
      </c>
      <c r="G170" s="21">
        <v>0.65904474000000002</v>
      </c>
      <c r="H170" s="19" t="s">
        <v>1111</v>
      </c>
      <c r="I170" s="19" t="s">
        <v>951</v>
      </c>
      <c r="J170" s="21">
        <v>0.65904474000000002</v>
      </c>
      <c r="K170" s="19" t="s">
        <v>1112</v>
      </c>
      <c r="L170" s="19" t="s">
        <v>1113</v>
      </c>
      <c r="M170" s="19" t="s">
        <v>1114</v>
      </c>
      <c r="N170" s="19" t="s">
        <v>1103</v>
      </c>
    </row>
    <row r="171" spans="1:14">
      <c r="A171" s="19" t="s">
        <v>137</v>
      </c>
      <c r="B171" s="19">
        <v>10</v>
      </c>
      <c r="C171" s="19" t="s">
        <v>1534</v>
      </c>
      <c r="D171" s="19" t="s">
        <v>1535</v>
      </c>
      <c r="E171" s="19" t="s">
        <v>855</v>
      </c>
      <c r="F171" s="19">
        <v>2015</v>
      </c>
      <c r="G171" s="21">
        <v>0.65899222999999996</v>
      </c>
      <c r="H171" s="19" t="s">
        <v>1536</v>
      </c>
      <c r="I171" s="19" t="s">
        <v>857</v>
      </c>
      <c r="J171" s="21">
        <v>0.65899222999999996</v>
      </c>
      <c r="K171" s="19" t="s">
        <v>1537</v>
      </c>
      <c r="L171" s="19" t="s">
        <v>1538</v>
      </c>
      <c r="M171" s="19"/>
      <c r="N171" s="19" t="s">
        <v>1350</v>
      </c>
    </row>
    <row r="172" spans="1:14">
      <c r="A172" s="19" t="s">
        <v>137</v>
      </c>
      <c r="B172" s="19">
        <v>11</v>
      </c>
      <c r="C172" s="19" t="s">
        <v>1539</v>
      </c>
      <c r="D172" s="19" t="s">
        <v>1540</v>
      </c>
      <c r="E172" s="19" t="s">
        <v>855</v>
      </c>
      <c r="F172" s="19">
        <v>2022</v>
      </c>
      <c r="G172" s="21">
        <v>0.65570103999999996</v>
      </c>
      <c r="H172" s="19" t="s">
        <v>1541</v>
      </c>
      <c r="I172" s="19" t="s">
        <v>857</v>
      </c>
      <c r="J172" s="21">
        <v>0.65570103999999996</v>
      </c>
      <c r="K172" s="19" t="s">
        <v>1542</v>
      </c>
      <c r="L172" s="19" t="s">
        <v>1543</v>
      </c>
      <c r="M172" s="19" t="s">
        <v>1544</v>
      </c>
      <c r="N172" s="19" t="s">
        <v>1350</v>
      </c>
    </row>
    <row r="173" spans="1:14">
      <c r="A173" s="19" t="s">
        <v>137</v>
      </c>
      <c r="B173" s="19">
        <v>12</v>
      </c>
      <c r="C173" s="19" t="s">
        <v>1545</v>
      </c>
      <c r="D173" s="19" t="s">
        <v>1546</v>
      </c>
      <c r="E173" s="19" t="s">
        <v>855</v>
      </c>
      <c r="F173" s="19">
        <v>2022</v>
      </c>
      <c r="G173" s="21">
        <v>0.65355220000000003</v>
      </c>
      <c r="H173" s="19" t="s">
        <v>1547</v>
      </c>
      <c r="I173" s="19" t="s">
        <v>951</v>
      </c>
      <c r="J173" s="21">
        <v>0.65355220000000003</v>
      </c>
      <c r="K173" s="19" t="s">
        <v>1548</v>
      </c>
      <c r="L173" s="19" t="s">
        <v>1549</v>
      </c>
      <c r="M173" s="19" t="s">
        <v>1550</v>
      </c>
      <c r="N173" s="19" t="s">
        <v>1238</v>
      </c>
    </row>
    <row r="174" spans="1:14">
      <c r="A174" s="19" t="s">
        <v>137</v>
      </c>
      <c r="B174" s="19">
        <v>13</v>
      </c>
      <c r="C174" s="19" t="s">
        <v>1551</v>
      </c>
      <c r="D174" s="19" t="s">
        <v>1552</v>
      </c>
      <c r="E174" s="19" t="s">
        <v>855</v>
      </c>
      <c r="F174" s="19">
        <v>2014</v>
      </c>
      <c r="G174" s="21">
        <v>0.65252730000000003</v>
      </c>
      <c r="H174" s="19" t="s">
        <v>1553</v>
      </c>
      <c r="I174" s="19" t="s">
        <v>857</v>
      </c>
      <c r="J174" s="21">
        <v>0.65252730000000003</v>
      </c>
      <c r="K174" s="19" t="s">
        <v>1554</v>
      </c>
      <c r="L174" s="19" t="s">
        <v>1555</v>
      </c>
      <c r="M174" s="19"/>
      <c r="N174" s="19" t="s">
        <v>1263</v>
      </c>
    </row>
    <row r="175" spans="1:14">
      <c r="A175" s="19" t="s">
        <v>137</v>
      </c>
      <c r="B175" s="19">
        <v>14</v>
      </c>
      <c r="C175" s="19" t="s">
        <v>1556</v>
      </c>
      <c r="D175" s="19" t="s">
        <v>1557</v>
      </c>
      <c r="E175" s="19" t="s">
        <v>855</v>
      </c>
      <c r="F175" s="19">
        <v>2022</v>
      </c>
      <c r="G175" s="21">
        <v>0.6496402</v>
      </c>
      <c r="H175" s="19" t="s">
        <v>1558</v>
      </c>
      <c r="I175" s="19" t="s">
        <v>951</v>
      </c>
      <c r="J175" s="21">
        <v>0.6496402</v>
      </c>
      <c r="K175" s="19" t="s">
        <v>1559</v>
      </c>
      <c r="L175" s="19" t="s">
        <v>1560</v>
      </c>
      <c r="M175" s="19" t="s">
        <v>1561</v>
      </c>
      <c r="N175" s="19" t="s">
        <v>1238</v>
      </c>
    </row>
    <row r="176" spans="1:14">
      <c r="A176" s="19" t="s">
        <v>137</v>
      </c>
      <c r="B176" s="19">
        <v>15</v>
      </c>
      <c r="C176" s="19" t="s">
        <v>1562</v>
      </c>
      <c r="D176" s="19" t="s">
        <v>1563</v>
      </c>
      <c r="E176" s="19" t="s">
        <v>855</v>
      </c>
      <c r="F176" s="19">
        <v>2022</v>
      </c>
      <c r="G176" s="21">
        <v>0.64818317000000003</v>
      </c>
      <c r="H176" s="19" t="s">
        <v>1564</v>
      </c>
      <c r="I176" s="19" t="s">
        <v>951</v>
      </c>
      <c r="J176" s="21">
        <v>0.64818317000000003</v>
      </c>
      <c r="K176" s="19" t="s">
        <v>1565</v>
      </c>
      <c r="L176" s="19" t="s">
        <v>1566</v>
      </c>
      <c r="M176" s="19" t="s">
        <v>1567</v>
      </c>
      <c r="N176" s="19" t="s">
        <v>1238</v>
      </c>
    </row>
    <row r="177" spans="1:14">
      <c r="A177" s="19" t="s">
        <v>137</v>
      </c>
      <c r="B177" s="19">
        <v>16</v>
      </c>
      <c r="C177" s="19" t="s">
        <v>1568</v>
      </c>
      <c r="D177" s="19" t="s">
        <v>1569</v>
      </c>
      <c r="E177" s="19" t="s">
        <v>855</v>
      </c>
      <c r="F177" s="19">
        <v>2022</v>
      </c>
      <c r="G177" s="21">
        <v>0.64767839999999999</v>
      </c>
      <c r="H177" s="19" t="s">
        <v>1570</v>
      </c>
      <c r="I177" s="19" t="s">
        <v>951</v>
      </c>
      <c r="J177" s="21">
        <v>0.64767839999999999</v>
      </c>
      <c r="K177" s="19" t="s">
        <v>1571</v>
      </c>
      <c r="L177" s="19" t="s">
        <v>1572</v>
      </c>
      <c r="M177" s="19" t="s">
        <v>1573</v>
      </c>
      <c r="N177" s="19" t="s">
        <v>1238</v>
      </c>
    </row>
    <row r="178" spans="1:14">
      <c r="A178" s="19" t="s">
        <v>137</v>
      </c>
      <c r="B178" s="19">
        <v>17</v>
      </c>
      <c r="C178" s="19" t="s">
        <v>1574</v>
      </c>
      <c r="D178" s="19" t="s">
        <v>1575</v>
      </c>
      <c r="E178" s="19" t="s">
        <v>855</v>
      </c>
      <c r="F178" s="19">
        <v>2017</v>
      </c>
      <c r="G178" s="21">
        <v>0.64496576999999999</v>
      </c>
      <c r="H178" s="19" t="s">
        <v>1576</v>
      </c>
      <c r="I178" s="19" t="s">
        <v>951</v>
      </c>
      <c r="J178" s="21">
        <v>0.64496576999999999</v>
      </c>
      <c r="K178" s="19" t="s">
        <v>1577</v>
      </c>
      <c r="L178" s="19" t="s">
        <v>1578</v>
      </c>
      <c r="M178" s="19" t="s">
        <v>1579</v>
      </c>
      <c r="N178" s="19" t="s">
        <v>1580</v>
      </c>
    </row>
    <row r="179" spans="1:14">
      <c r="A179" s="19" t="s">
        <v>137</v>
      </c>
      <c r="B179" s="19">
        <v>18</v>
      </c>
      <c r="C179" s="19" t="s">
        <v>1581</v>
      </c>
      <c r="D179" s="19" t="s">
        <v>1582</v>
      </c>
      <c r="E179" s="19" t="s">
        <v>855</v>
      </c>
      <c r="F179" s="19">
        <v>2022</v>
      </c>
      <c r="G179" s="21">
        <v>0.64461254999999995</v>
      </c>
      <c r="H179" s="19" t="s">
        <v>1583</v>
      </c>
      <c r="I179" s="19" t="s">
        <v>951</v>
      </c>
      <c r="J179" s="21">
        <v>0.64461254999999995</v>
      </c>
      <c r="K179" s="19" t="s">
        <v>1584</v>
      </c>
      <c r="L179" s="19" t="s">
        <v>1585</v>
      </c>
      <c r="M179" s="19" t="s">
        <v>1586</v>
      </c>
      <c r="N179" s="19" t="s">
        <v>1580</v>
      </c>
    </row>
    <row r="180" spans="1:14">
      <c r="A180" s="19" t="s">
        <v>137</v>
      </c>
      <c r="B180" s="19">
        <v>19</v>
      </c>
      <c r="C180" s="19" t="s">
        <v>1587</v>
      </c>
      <c r="D180" s="19" t="s">
        <v>1588</v>
      </c>
      <c r="E180" s="19" t="s">
        <v>855</v>
      </c>
      <c r="F180" s="19">
        <v>2022</v>
      </c>
      <c r="G180" s="21">
        <v>0.64308136999999999</v>
      </c>
      <c r="H180" s="19" t="s">
        <v>1589</v>
      </c>
      <c r="I180" s="19" t="s">
        <v>951</v>
      </c>
      <c r="J180" s="21">
        <v>0.64308136999999999</v>
      </c>
      <c r="K180" s="19" t="s">
        <v>1590</v>
      </c>
      <c r="L180" s="19" t="s">
        <v>1591</v>
      </c>
      <c r="M180" s="19" t="s">
        <v>1592</v>
      </c>
      <c r="N180" s="19" t="s">
        <v>1580</v>
      </c>
    </row>
    <row r="181" spans="1:14">
      <c r="A181" s="19" t="s">
        <v>137</v>
      </c>
      <c r="B181" s="19">
        <v>20</v>
      </c>
      <c r="C181" s="19" t="s">
        <v>1593</v>
      </c>
      <c r="D181" s="19" t="s">
        <v>1594</v>
      </c>
      <c r="E181" s="19" t="s">
        <v>855</v>
      </c>
      <c r="F181" s="19">
        <v>2022</v>
      </c>
      <c r="G181" s="21">
        <v>0.64159880000000002</v>
      </c>
      <c r="H181" s="19" t="s">
        <v>1595</v>
      </c>
      <c r="I181" s="19" t="s">
        <v>1130</v>
      </c>
      <c r="J181" s="21">
        <v>0.64159880000000002</v>
      </c>
      <c r="K181" s="19" t="s">
        <v>1596</v>
      </c>
      <c r="L181" s="19" t="s">
        <v>1597</v>
      </c>
      <c r="M181" s="19" t="s">
        <v>1598</v>
      </c>
      <c r="N181" s="19" t="s">
        <v>1599</v>
      </c>
    </row>
    <row r="182" spans="1:14">
      <c r="A182" s="19" t="s">
        <v>219</v>
      </c>
      <c r="B182" s="19">
        <v>1</v>
      </c>
      <c r="C182" s="19" t="s">
        <v>1600</v>
      </c>
      <c r="D182" s="19" t="s">
        <v>717</v>
      </c>
      <c r="E182" s="19" t="s">
        <v>855</v>
      </c>
      <c r="F182" s="19">
        <v>2015</v>
      </c>
      <c r="G182" s="21">
        <v>0.73170173000000005</v>
      </c>
      <c r="H182" s="19" t="s">
        <v>1601</v>
      </c>
      <c r="I182" s="19" t="s">
        <v>914</v>
      </c>
      <c r="J182" s="21">
        <v>0.73170173000000005</v>
      </c>
      <c r="K182" s="19" t="s">
        <v>1602</v>
      </c>
      <c r="L182" s="19" t="s">
        <v>1603</v>
      </c>
      <c r="M182" s="19"/>
      <c r="N182" s="19" t="s">
        <v>1604</v>
      </c>
    </row>
    <row r="183" spans="1:14">
      <c r="A183" s="19" t="s">
        <v>219</v>
      </c>
      <c r="B183" s="19">
        <v>2</v>
      </c>
      <c r="C183" s="19" t="s">
        <v>1518</v>
      </c>
      <c r="D183" s="19" t="s">
        <v>1519</v>
      </c>
      <c r="E183" s="19" t="s">
        <v>855</v>
      </c>
      <c r="F183" s="19">
        <v>2022</v>
      </c>
      <c r="G183" s="21">
        <v>0.72841834999999999</v>
      </c>
      <c r="H183" s="19" t="s">
        <v>1605</v>
      </c>
      <c r="I183" s="19" t="s">
        <v>914</v>
      </c>
      <c r="J183" s="21">
        <v>0.72841834999999999</v>
      </c>
      <c r="K183" s="19" t="s">
        <v>1606</v>
      </c>
      <c r="L183" s="19" t="s">
        <v>1607</v>
      </c>
      <c r="M183" s="19"/>
      <c r="N183" s="19" t="s">
        <v>1604</v>
      </c>
    </row>
    <row r="184" spans="1:14">
      <c r="A184" s="19" t="s">
        <v>219</v>
      </c>
      <c r="B184" s="19">
        <v>3</v>
      </c>
      <c r="C184" s="19" t="s">
        <v>1608</v>
      </c>
      <c r="D184" s="19" t="s">
        <v>1609</v>
      </c>
      <c r="E184" s="19" t="s">
        <v>855</v>
      </c>
      <c r="F184" s="19">
        <v>2014</v>
      </c>
      <c r="G184" s="21">
        <v>0.72689029999999999</v>
      </c>
      <c r="H184" s="19" t="s">
        <v>1610</v>
      </c>
      <c r="I184" s="19" t="s">
        <v>914</v>
      </c>
      <c r="J184" s="21">
        <v>0.72689029999999999</v>
      </c>
      <c r="K184" s="19" t="s">
        <v>1611</v>
      </c>
      <c r="L184" s="19" t="s">
        <v>1612</v>
      </c>
      <c r="M184" s="19"/>
      <c r="N184" s="19" t="s">
        <v>1604</v>
      </c>
    </row>
    <row r="185" spans="1:14">
      <c r="A185" s="19" t="s">
        <v>219</v>
      </c>
      <c r="B185" s="19">
        <v>4</v>
      </c>
      <c r="C185" s="19" t="s">
        <v>1613</v>
      </c>
      <c r="D185" s="19" t="s">
        <v>1614</v>
      </c>
      <c r="E185" s="19" t="s">
        <v>855</v>
      </c>
      <c r="F185" s="19">
        <v>2015</v>
      </c>
      <c r="G185" s="21">
        <v>0.72556469999999995</v>
      </c>
      <c r="H185" s="19" t="s">
        <v>1615</v>
      </c>
      <c r="I185" s="19" t="s">
        <v>914</v>
      </c>
      <c r="J185" s="21">
        <v>0.72556469999999995</v>
      </c>
      <c r="K185" s="19" t="s">
        <v>1616</v>
      </c>
      <c r="L185" s="19" t="s">
        <v>1617</v>
      </c>
      <c r="M185" s="19" t="s">
        <v>1618</v>
      </c>
      <c r="N185" s="19" t="s">
        <v>1604</v>
      </c>
    </row>
    <row r="186" spans="1:14">
      <c r="A186" s="19" t="s">
        <v>219</v>
      </c>
      <c r="B186" s="19">
        <v>5</v>
      </c>
      <c r="C186" s="19" t="s">
        <v>1619</v>
      </c>
      <c r="D186" s="19" t="s">
        <v>1620</v>
      </c>
      <c r="E186" s="19" t="s">
        <v>855</v>
      </c>
      <c r="F186" s="19">
        <v>2015</v>
      </c>
      <c r="G186" s="21">
        <v>0.72506535000000005</v>
      </c>
      <c r="H186" s="19" t="s">
        <v>1621</v>
      </c>
      <c r="I186" s="19" t="s">
        <v>914</v>
      </c>
      <c r="J186" s="21">
        <v>0.72506535000000005</v>
      </c>
      <c r="K186" s="19" t="s">
        <v>1622</v>
      </c>
      <c r="L186" s="19" t="s">
        <v>1623</v>
      </c>
      <c r="M186" s="19" t="s">
        <v>1624</v>
      </c>
      <c r="N186" s="19" t="s">
        <v>1604</v>
      </c>
    </row>
    <row r="187" spans="1:14">
      <c r="A187" s="19" t="s">
        <v>219</v>
      </c>
      <c r="B187" s="19">
        <v>6</v>
      </c>
      <c r="C187" s="19" t="s">
        <v>1625</v>
      </c>
      <c r="D187" s="19" t="s">
        <v>1626</v>
      </c>
      <c r="E187" s="19" t="s">
        <v>855</v>
      </c>
      <c r="F187" s="19">
        <v>2015</v>
      </c>
      <c r="G187" s="21">
        <v>0.72407480000000002</v>
      </c>
      <c r="H187" s="19" t="s">
        <v>1627</v>
      </c>
      <c r="I187" s="19" t="s">
        <v>914</v>
      </c>
      <c r="J187" s="21">
        <v>0.72407480000000002</v>
      </c>
      <c r="K187" s="19" t="s">
        <v>1628</v>
      </c>
      <c r="L187" s="19" t="s">
        <v>1629</v>
      </c>
      <c r="M187" s="19"/>
      <c r="N187" s="19" t="s">
        <v>1630</v>
      </c>
    </row>
    <row r="188" spans="1:14">
      <c r="A188" s="19" t="s">
        <v>219</v>
      </c>
      <c r="B188" s="19">
        <v>7</v>
      </c>
      <c r="C188" s="19" t="s">
        <v>1631</v>
      </c>
      <c r="D188" s="19" t="s">
        <v>1632</v>
      </c>
      <c r="E188" s="19" t="s">
        <v>855</v>
      </c>
      <c r="F188" s="19">
        <v>2014</v>
      </c>
      <c r="G188" s="21">
        <v>0.72137189999999995</v>
      </c>
      <c r="H188" s="19" t="s">
        <v>1633</v>
      </c>
      <c r="I188" s="19" t="s">
        <v>857</v>
      </c>
      <c r="J188" s="21">
        <v>0.72137189999999995</v>
      </c>
      <c r="K188" s="19" t="s">
        <v>1634</v>
      </c>
      <c r="L188" s="19" t="s">
        <v>1635</v>
      </c>
      <c r="M188" s="19"/>
      <c r="N188" s="19" t="s">
        <v>1636</v>
      </c>
    </row>
    <row r="189" spans="1:14">
      <c r="A189" s="19" t="s">
        <v>219</v>
      </c>
      <c r="B189" s="19">
        <v>8</v>
      </c>
      <c r="C189" s="19" t="s">
        <v>1637</v>
      </c>
      <c r="D189" s="19" t="s">
        <v>1638</v>
      </c>
      <c r="E189" s="19" t="s">
        <v>855</v>
      </c>
      <c r="F189" s="19">
        <v>2014</v>
      </c>
      <c r="G189" s="21">
        <v>0.72111139999999996</v>
      </c>
      <c r="H189" s="19" t="s">
        <v>1639</v>
      </c>
      <c r="I189" s="19" t="s">
        <v>914</v>
      </c>
      <c r="J189" s="21">
        <v>0.72111139999999996</v>
      </c>
      <c r="K189" s="19" t="s">
        <v>1640</v>
      </c>
      <c r="L189" s="19" t="s">
        <v>1641</v>
      </c>
      <c r="M189" s="19" t="s">
        <v>1642</v>
      </c>
      <c r="N189" s="19" t="s">
        <v>1630</v>
      </c>
    </row>
    <row r="190" spans="1:14">
      <c r="A190" s="19" t="s">
        <v>219</v>
      </c>
      <c r="B190" s="19">
        <v>9</v>
      </c>
      <c r="C190" s="19" t="s">
        <v>1643</v>
      </c>
      <c r="D190" s="19" t="s">
        <v>1644</v>
      </c>
      <c r="E190" s="19" t="s">
        <v>855</v>
      </c>
      <c r="F190" s="19">
        <v>2014</v>
      </c>
      <c r="G190" s="21">
        <v>0.71684270000000005</v>
      </c>
      <c r="H190" s="19" t="s">
        <v>1645</v>
      </c>
      <c r="I190" s="19" t="s">
        <v>914</v>
      </c>
      <c r="J190" s="21">
        <v>0.71684270000000005</v>
      </c>
      <c r="K190" s="19" t="s">
        <v>1646</v>
      </c>
      <c r="L190" s="19" t="s">
        <v>1647</v>
      </c>
      <c r="M190" s="19"/>
      <c r="N190" s="19" t="s">
        <v>1630</v>
      </c>
    </row>
    <row r="191" spans="1:14">
      <c r="A191" s="19" t="s">
        <v>219</v>
      </c>
      <c r="B191" s="19">
        <v>10</v>
      </c>
      <c r="C191" s="19" t="s">
        <v>1648</v>
      </c>
      <c r="D191" s="19" t="s">
        <v>1649</v>
      </c>
      <c r="E191" s="19" t="s">
        <v>855</v>
      </c>
      <c r="F191" s="19">
        <v>2016</v>
      </c>
      <c r="G191" s="21">
        <v>0.71553062999999995</v>
      </c>
      <c r="H191" s="19" t="s">
        <v>1650</v>
      </c>
      <c r="I191" s="19" t="s">
        <v>914</v>
      </c>
      <c r="J191" s="21">
        <v>0.71553062999999995</v>
      </c>
      <c r="K191" s="19" t="s">
        <v>1651</v>
      </c>
      <c r="L191" s="19" t="s">
        <v>1652</v>
      </c>
      <c r="M191" s="19" t="s">
        <v>1653</v>
      </c>
      <c r="N191" s="19" t="s">
        <v>1630</v>
      </c>
    </row>
    <row r="192" spans="1:14">
      <c r="A192" s="19" t="s">
        <v>219</v>
      </c>
      <c r="B192" s="19">
        <v>11</v>
      </c>
      <c r="C192" s="19" t="s">
        <v>1654</v>
      </c>
      <c r="D192" s="19" t="s">
        <v>1655</v>
      </c>
      <c r="E192" s="19" t="s">
        <v>855</v>
      </c>
      <c r="F192" s="19">
        <v>2014</v>
      </c>
      <c r="G192" s="21">
        <v>0.71482409999999996</v>
      </c>
      <c r="H192" s="19" t="s">
        <v>1656</v>
      </c>
      <c r="I192" s="19" t="s">
        <v>914</v>
      </c>
      <c r="J192" s="21">
        <v>0.71482409999999996</v>
      </c>
      <c r="K192" s="19" t="s">
        <v>1657</v>
      </c>
      <c r="L192" s="19" t="s">
        <v>1658</v>
      </c>
      <c r="M192" s="19"/>
      <c r="N192" s="19" t="s">
        <v>1659</v>
      </c>
    </row>
    <row r="193" spans="1:14">
      <c r="A193" s="19" t="s">
        <v>219</v>
      </c>
      <c r="B193" s="19">
        <v>12</v>
      </c>
      <c r="C193" s="19" t="s">
        <v>1660</v>
      </c>
      <c r="D193" s="19" t="s">
        <v>1661</v>
      </c>
      <c r="E193" s="19" t="s">
        <v>855</v>
      </c>
      <c r="F193" s="19">
        <v>2015</v>
      </c>
      <c r="G193" s="21">
        <v>0.71463615000000003</v>
      </c>
      <c r="H193" s="19" t="s">
        <v>1662</v>
      </c>
      <c r="I193" s="19" t="s">
        <v>914</v>
      </c>
      <c r="J193" s="21">
        <v>0.71463615000000003</v>
      </c>
      <c r="K193" s="19" t="s">
        <v>1663</v>
      </c>
      <c r="L193" s="19" t="s">
        <v>1664</v>
      </c>
      <c r="M193" s="19"/>
      <c r="N193" s="19" t="s">
        <v>1659</v>
      </c>
    </row>
    <row r="194" spans="1:14">
      <c r="A194" s="19" t="s">
        <v>219</v>
      </c>
      <c r="B194" s="19">
        <v>13</v>
      </c>
      <c r="C194" s="19" t="s">
        <v>1665</v>
      </c>
      <c r="D194" s="19" t="s">
        <v>1666</v>
      </c>
      <c r="E194" s="19" t="s">
        <v>855</v>
      </c>
      <c r="F194" s="19">
        <v>2015</v>
      </c>
      <c r="G194" s="21">
        <v>0.71423749999999997</v>
      </c>
      <c r="H194" s="19" t="s">
        <v>1667</v>
      </c>
      <c r="I194" s="19" t="s">
        <v>914</v>
      </c>
      <c r="J194" s="21">
        <v>0.71423749999999997</v>
      </c>
      <c r="K194" s="19" t="s">
        <v>1668</v>
      </c>
      <c r="L194" s="19" t="s">
        <v>1669</v>
      </c>
      <c r="M194" s="19"/>
      <c r="N194" s="19" t="s">
        <v>1659</v>
      </c>
    </row>
    <row r="195" spans="1:14">
      <c r="A195" s="19" t="s">
        <v>219</v>
      </c>
      <c r="B195" s="19">
        <v>14</v>
      </c>
      <c r="C195" s="19" t="s">
        <v>1670</v>
      </c>
      <c r="D195" s="19" t="s">
        <v>1671</v>
      </c>
      <c r="E195" s="19" t="s">
        <v>855</v>
      </c>
      <c r="F195" s="19">
        <v>2014</v>
      </c>
      <c r="G195" s="21">
        <v>0.71273726000000004</v>
      </c>
      <c r="H195" s="19" t="s">
        <v>1672</v>
      </c>
      <c r="I195" s="19" t="s">
        <v>914</v>
      </c>
      <c r="J195" s="21">
        <v>0.71273726000000004</v>
      </c>
      <c r="K195" s="19" t="s">
        <v>1673</v>
      </c>
      <c r="L195" s="19" t="s">
        <v>1674</v>
      </c>
      <c r="M195" s="19"/>
      <c r="N195" s="19" t="s">
        <v>1659</v>
      </c>
    </row>
    <row r="196" spans="1:14">
      <c r="A196" s="19" t="s">
        <v>219</v>
      </c>
      <c r="B196" s="19">
        <v>15</v>
      </c>
      <c r="C196" s="19" t="s">
        <v>1675</v>
      </c>
      <c r="D196" s="19" t="s">
        <v>1676</v>
      </c>
      <c r="E196" s="19" t="s">
        <v>855</v>
      </c>
      <c r="F196" s="19">
        <v>2015</v>
      </c>
      <c r="G196" s="21">
        <v>0.70538009999999995</v>
      </c>
      <c r="H196" s="19" t="s">
        <v>1677</v>
      </c>
      <c r="I196" s="19" t="s">
        <v>914</v>
      </c>
      <c r="J196" s="21">
        <v>0.70538009999999995</v>
      </c>
      <c r="K196" s="19" t="s">
        <v>1678</v>
      </c>
      <c r="L196" s="19" t="s">
        <v>1679</v>
      </c>
      <c r="M196" s="19"/>
      <c r="N196" s="19" t="s">
        <v>1659</v>
      </c>
    </row>
    <row r="197" spans="1:14">
      <c r="A197" s="19" t="s">
        <v>219</v>
      </c>
      <c r="B197" s="19">
        <v>16</v>
      </c>
      <c r="C197" s="19" t="s">
        <v>1680</v>
      </c>
      <c r="D197" s="19" t="s">
        <v>1681</v>
      </c>
      <c r="E197" s="19" t="s">
        <v>855</v>
      </c>
      <c r="F197" s="19">
        <v>2014</v>
      </c>
      <c r="G197" s="21">
        <v>0.70324180000000003</v>
      </c>
      <c r="H197" s="19" t="s">
        <v>1682</v>
      </c>
      <c r="I197" s="19" t="s">
        <v>914</v>
      </c>
      <c r="J197" s="21">
        <v>0.70324180000000003</v>
      </c>
      <c r="K197" s="19" t="s">
        <v>1683</v>
      </c>
      <c r="L197" s="19" t="s">
        <v>1684</v>
      </c>
      <c r="M197" s="19"/>
      <c r="N197" s="19" t="s">
        <v>1463</v>
      </c>
    </row>
    <row r="198" spans="1:14">
      <c r="A198" s="19" t="s">
        <v>219</v>
      </c>
      <c r="B198" s="19">
        <v>17</v>
      </c>
      <c r="C198" s="19" t="s">
        <v>1685</v>
      </c>
      <c r="D198" s="19" t="s">
        <v>1686</v>
      </c>
      <c r="E198" s="19" t="s">
        <v>855</v>
      </c>
      <c r="F198" s="19">
        <v>2014</v>
      </c>
      <c r="G198" s="21">
        <v>0.70171309999999998</v>
      </c>
      <c r="H198" s="19" t="s">
        <v>1687</v>
      </c>
      <c r="I198" s="19" t="s">
        <v>914</v>
      </c>
      <c r="J198" s="21">
        <v>0.70171309999999998</v>
      </c>
      <c r="K198" s="19" t="s">
        <v>1688</v>
      </c>
      <c r="L198" s="19" t="s">
        <v>1689</v>
      </c>
      <c r="M198" s="19"/>
      <c r="N198" s="19" t="s">
        <v>1463</v>
      </c>
    </row>
    <row r="199" spans="1:14">
      <c r="A199" s="19" t="s">
        <v>219</v>
      </c>
      <c r="B199" s="19">
        <v>18</v>
      </c>
      <c r="C199" s="19" t="s">
        <v>1690</v>
      </c>
      <c r="D199" s="19" t="s">
        <v>1691</v>
      </c>
      <c r="E199" s="19" t="s">
        <v>855</v>
      </c>
      <c r="F199" s="19">
        <v>2016</v>
      </c>
      <c r="G199" s="21">
        <v>0.70052499999999995</v>
      </c>
      <c r="H199" s="19" t="s">
        <v>1692</v>
      </c>
      <c r="I199" s="19" t="s">
        <v>914</v>
      </c>
      <c r="J199" s="21">
        <v>0.70052499999999995</v>
      </c>
      <c r="K199" s="19" t="s">
        <v>1693</v>
      </c>
      <c r="L199" s="19" t="s">
        <v>1694</v>
      </c>
      <c r="M199" s="19"/>
      <c r="N199" s="19" t="s">
        <v>1463</v>
      </c>
    </row>
    <row r="200" spans="1:14">
      <c r="A200" s="19" t="s">
        <v>219</v>
      </c>
      <c r="B200" s="19">
        <v>19</v>
      </c>
      <c r="C200" s="19" t="s">
        <v>1695</v>
      </c>
      <c r="D200" s="19" t="s">
        <v>1696</v>
      </c>
      <c r="E200" s="19" t="s">
        <v>855</v>
      </c>
      <c r="F200" s="19">
        <v>2014</v>
      </c>
      <c r="G200" s="21">
        <v>0.69997346000000005</v>
      </c>
      <c r="H200" s="19" t="s">
        <v>1697</v>
      </c>
      <c r="I200" s="19" t="s">
        <v>914</v>
      </c>
      <c r="J200" s="21">
        <v>0.69997346000000005</v>
      </c>
      <c r="K200" s="19" t="s">
        <v>1698</v>
      </c>
      <c r="L200" s="19" t="s">
        <v>1699</v>
      </c>
      <c r="M200" s="19" t="s">
        <v>1700</v>
      </c>
      <c r="N200" s="19" t="s">
        <v>1463</v>
      </c>
    </row>
    <row r="201" spans="1:14">
      <c r="A201" s="19" t="s">
        <v>219</v>
      </c>
      <c r="B201" s="19">
        <v>20</v>
      </c>
      <c r="C201" s="19" t="s">
        <v>1701</v>
      </c>
      <c r="D201" s="19" t="s">
        <v>1702</v>
      </c>
      <c r="E201" s="19" t="s">
        <v>855</v>
      </c>
      <c r="F201" s="19">
        <v>2016</v>
      </c>
      <c r="G201" s="21">
        <v>0.69715046999999997</v>
      </c>
      <c r="H201" s="19" t="s">
        <v>1703</v>
      </c>
      <c r="I201" s="19" t="s">
        <v>914</v>
      </c>
      <c r="J201" s="21">
        <v>0.69715046999999997</v>
      </c>
      <c r="K201" s="19" t="s">
        <v>1704</v>
      </c>
      <c r="L201" s="19" t="s">
        <v>1705</v>
      </c>
      <c r="M201" s="19"/>
      <c r="N201" s="19" t="s">
        <v>1463</v>
      </c>
    </row>
    <row r="202" spans="1:14">
      <c r="A202" s="19" t="s">
        <v>510</v>
      </c>
      <c r="B202" s="19">
        <v>1</v>
      </c>
      <c r="C202" s="19" t="s">
        <v>1405</v>
      </c>
      <c r="D202" s="19" t="s">
        <v>723</v>
      </c>
      <c r="E202" s="19" t="s">
        <v>855</v>
      </c>
      <c r="F202" s="19">
        <v>2014</v>
      </c>
      <c r="G202" s="21">
        <v>0.68848973999999996</v>
      </c>
      <c r="H202" s="19" t="s">
        <v>1706</v>
      </c>
      <c r="I202" s="19" t="s">
        <v>925</v>
      </c>
      <c r="J202" s="21">
        <v>0.68848973999999996</v>
      </c>
      <c r="K202" s="19" t="s">
        <v>1707</v>
      </c>
      <c r="L202" s="19" t="s">
        <v>1708</v>
      </c>
      <c r="M202" s="19"/>
      <c r="N202" s="19" t="s">
        <v>1709</v>
      </c>
    </row>
    <row r="203" spans="1:14">
      <c r="A203" s="19" t="s">
        <v>510</v>
      </c>
      <c r="B203" s="19">
        <v>2</v>
      </c>
      <c r="C203" s="19" t="s">
        <v>905</v>
      </c>
      <c r="D203" s="19" t="s">
        <v>906</v>
      </c>
      <c r="E203" s="19" t="s">
        <v>855</v>
      </c>
      <c r="F203" s="19">
        <v>2022</v>
      </c>
      <c r="G203" s="21">
        <v>0.6511768</v>
      </c>
      <c r="H203" s="19" t="s">
        <v>907</v>
      </c>
      <c r="I203" s="19" t="s">
        <v>908</v>
      </c>
      <c r="J203" s="21">
        <v>0.6511768</v>
      </c>
      <c r="K203" s="19" t="s">
        <v>909</v>
      </c>
      <c r="L203" s="19" t="s">
        <v>910</v>
      </c>
      <c r="M203" s="19"/>
      <c r="N203" s="19" t="s">
        <v>1710</v>
      </c>
    </row>
    <row r="204" spans="1:14">
      <c r="A204" s="19" t="s">
        <v>510</v>
      </c>
      <c r="B204" s="19">
        <v>3</v>
      </c>
      <c r="C204" s="19" t="s">
        <v>1416</v>
      </c>
      <c r="D204" s="19" t="s">
        <v>1417</v>
      </c>
      <c r="E204" s="19" t="s">
        <v>855</v>
      </c>
      <c r="F204" s="19">
        <v>2022</v>
      </c>
      <c r="G204" s="21">
        <v>0.6505611</v>
      </c>
      <c r="H204" s="19" t="s">
        <v>1418</v>
      </c>
      <c r="I204" s="19" t="s">
        <v>914</v>
      </c>
      <c r="J204" s="21">
        <v>0.6505611</v>
      </c>
      <c r="K204" s="19" t="s">
        <v>1419</v>
      </c>
      <c r="L204" s="19" t="s">
        <v>1420</v>
      </c>
      <c r="M204" s="19" t="s">
        <v>1421</v>
      </c>
      <c r="N204" s="19" t="s">
        <v>1374</v>
      </c>
    </row>
    <row r="205" spans="1:14">
      <c r="A205" s="19" t="s">
        <v>510</v>
      </c>
      <c r="B205" s="19">
        <v>4</v>
      </c>
      <c r="C205" s="19" t="s">
        <v>1432</v>
      </c>
      <c r="D205" s="19" t="s">
        <v>1433</v>
      </c>
      <c r="E205" s="19" t="s">
        <v>855</v>
      </c>
      <c r="F205" s="19">
        <v>2014</v>
      </c>
      <c r="G205" s="21">
        <v>0.64938890000000005</v>
      </c>
      <c r="H205" s="19" t="s">
        <v>1434</v>
      </c>
      <c r="I205" s="19" t="s">
        <v>914</v>
      </c>
      <c r="J205" s="21">
        <v>0.64938890000000005</v>
      </c>
      <c r="K205" s="19" t="s">
        <v>1435</v>
      </c>
      <c r="L205" s="19" t="s">
        <v>1436</v>
      </c>
      <c r="M205" s="19"/>
      <c r="N205" s="19" t="s">
        <v>1374</v>
      </c>
    </row>
    <row r="206" spans="1:14">
      <c r="A206" s="19" t="s">
        <v>510</v>
      </c>
      <c r="B206" s="19">
        <v>5</v>
      </c>
      <c r="C206" s="19" t="s">
        <v>1422</v>
      </c>
      <c r="D206" s="19" t="s">
        <v>1423</v>
      </c>
      <c r="E206" s="19" t="s">
        <v>855</v>
      </c>
      <c r="F206" s="19">
        <v>2016</v>
      </c>
      <c r="G206" s="21">
        <v>0.64271975000000003</v>
      </c>
      <c r="H206" s="19" t="s">
        <v>1711</v>
      </c>
      <c r="I206" s="19" t="s">
        <v>914</v>
      </c>
      <c r="J206" s="21">
        <v>0.64271975000000003</v>
      </c>
      <c r="K206" s="19" t="s">
        <v>1712</v>
      </c>
      <c r="L206" s="19" t="s">
        <v>1713</v>
      </c>
      <c r="M206" s="19" t="s">
        <v>1714</v>
      </c>
      <c r="N206" s="19" t="s">
        <v>1276</v>
      </c>
    </row>
    <row r="207" spans="1:14">
      <c r="A207" s="19" t="s">
        <v>510</v>
      </c>
      <c r="B207" s="19">
        <v>6</v>
      </c>
      <c r="C207" s="19" t="s">
        <v>1715</v>
      </c>
      <c r="D207" s="19" t="s">
        <v>1716</v>
      </c>
      <c r="E207" s="19" t="s">
        <v>855</v>
      </c>
      <c r="F207" s="19">
        <v>2015</v>
      </c>
      <c r="G207" s="21">
        <v>0.64089035999999999</v>
      </c>
      <c r="H207" s="19" t="s">
        <v>1717</v>
      </c>
      <c r="I207" s="19" t="s">
        <v>914</v>
      </c>
      <c r="J207" s="21">
        <v>0.64089035999999999</v>
      </c>
      <c r="K207" s="19" t="s">
        <v>1718</v>
      </c>
      <c r="L207" s="19" t="s">
        <v>1719</v>
      </c>
      <c r="M207" s="19"/>
      <c r="N207" s="19" t="s">
        <v>1276</v>
      </c>
    </row>
    <row r="208" spans="1:14">
      <c r="A208" s="19" t="s">
        <v>510</v>
      </c>
      <c r="B208" s="19">
        <v>7</v>
      </c>
      <c r="C208" s="19" t="s">
        <v>854</v>
      </c>
      <c r="D208" s="19" t="s">
        <v>791</v>
      </c>
      <c r="E208" s="19" t="s">
        <v>855</v>
      </c>
      <c r="F208" s="19">
        <v>2023</v>
      </c>
      <c r="G208" s="21">
        <v>0.64062357000000003</v>
      </c>
      <c r="H208" s="19" t="s">
        <v>1428</v>
      </c>
      <c r="I208" s="19" t="s">
        <v>914</v>
      </c>
      <c r="J208" s="21">
        <v>0.64062357000000003</v>
      </c>
      <c r="K208" s="19" t="s">
        <v>1429</v>
      </c>
      <c r="L208" s="19" t="s">
        <v>1430</v>
      </c>
      <c r="M208" s="19" t="s">
        <v>1431</v>
      </c>
      <c r="N208" s="19" t="s">
        <v>1276</v>
      </c>
    </row>
    <row r="209" spans="1:14">
      <c r="A209" s="19" t="s">
        <v>510</v>
      </c>
      <c r="B209" s="19">
        <v>8</v>
      </c>
      <c r="C209" s="19" t="s">
        <v>1720</v>
      </c>
      <c r="D209" s="19" t="s">
        <v>1721</v>
      </c>
      <c r="E209" s="19" t="s">
        <v>855</v>
      </c>
      <c r="F209" s="19">
        <v>2016</v>
      </c>
      <c r="G209" s="21">
        <v>0.6390941</v>
      </c>
      <c r="H209" s="19" t="s">
        <v>1722</v>
      </c>
      <c r="I209" s="19" t="s">
        <v>908</v>
      </c>
      <c r="J209" s="21">
        <v>0.6390941</v>
      </c>
      <c r="K209" s="19" t="s">
        <v>1723</v>
      </c>
      <c r="L209" s="19" t="s">
        <v>1724</v>
      </c>
      <c r="M209" s="19" t="s">
        <v>1725</v>
      </c>
      <c r="N209" s="19" t="s">
        <v>1726</v>
      </c>
    </row>
    <row r="210" spans="1:14">
      <c r="A210" s="19" t="s">
        <v>510</v>
      </c>
      <c r="B210" s="19">
        <v>9</v>
      </c>
      <c r="C210" s="19" t="s">
        <v>1727</v>
      </c>
      <c r="D210" s="19" t="s">
        <v>1728</v>
      </c>
      <c r="E210" s="19" t="s">
        <v>855</v>
      </c>
      <c r="F210" s="19">
        <v>2015</v>
      </c>
      <c r="G210" s="21">
        <v>0.63870110000000002</v>
      </c>
      <c r="H210" s="19" t="s">
        <v>1729</v>
      </c>
      <c r="I210" s="19" t="s">
        <v>914</v>
      </c>
      <c r="J210" s="21">
        <v>0.63870110000000002</v>
      </c>
      <c r="K210" s="19" t="s">
        <v>1730</v>
      </c>
      <c r="L210" s="19" t="s">
        <v>1731</v>
      </c>
      <c r="M210" s="19"/>
      <c r="N210" s="19" t="s">
        <v>1276</v>
      </c>
    </row>
    <row r="211" spans="1:14">
      <c r="A211" s="19" t="s">
        <v>510</v>
      </c>
      <c r="B211" s="19">
        <v>10</v>
      </c>
      <c r="C211" s="19" t="s">
        <v>1732</v>
      </c>
      <c r="D211" s="19" t="s">
        <v>1733</v>
      </c>
      <c r="E211" s="19" t="s">
        <v>855</v>
      </c>
      <c r="F211" s="19">
        <v>2022</v>
      </c>
      <c r="G211" s="21">
        <v>0.63772280000000003</v>
      </c>
      <c r="H211" s="19" t="s">
        <v>1734</v>
      </c>
      <c r="I211" s="19" t="s">
        <v>914</v>
      </c>
      <c r="J211" s="21">
        <v>0.63772280000000003</v>
      </c>
      <c r="K211" s="19" t="s">
        <v>1735</v>
      </c>
      <c r="L211" s="19" t="s">
        <v>1736</v>
      </c>
      <c r="M211" s="19" t="s">
        <v>1737</v>
      </c>
      <c r="N211" s="19" t="s">
        <v>1276</v>
      </c>
    </row>
    <row r="212" spans="1:14">
      <c r="A212" s="19" t="s">
        <v>510</v>
      </c>
      <c r="B212" s="19">
        <v>11</v>
      </c>
      <c r="C212" s="19" t="s">
        <v>1738</v>
      </c>
      <c r="D212" s="19" t="s">
        <v>1739</v>
      </c>
      <c r="E212" s="19" t="s">
        <v>855</v>
      </c>
      <c r="F212" s="19">
        <v>2023</v>
      </c>
      <c r="G212" s="21">
        <v>0.63703880000000002</v>
      </c>
      <c r="H212" s="19" t="s">
        <v>1740</v>
      </c>
      <c r="I212" s="19" t="s">
        <v>914</v>
      </c>
      <c r="J212" s="21">
        <v>0.63703880000000002</v>
      </c>
      <c r="K212" s="19" t="s">
        <v>1741</v>
      </c>
      <c r="L212" s="19" t="s">
        <v>1742</v>
      </c>
      <c r="M212" s="19" t="s">
        <v>1743</v>
      </c>
      <c r="N212" s="19" t="s">
        <v>1276</v>
      </c>
    </row>
    <row r="213" spans="1:14">
      <c r="A213" s="19" t="s">
        <v>510</v>
      </c>
      <c r="B213" s="19">
        <v>12</v>
      </c>
      <c r="C213" s="19" t="s">
        <v>1410</v>
      </c>
      <c r="D213" s="19" t="s">
        <v>1411</v>
      </c>
      <c r="E213" s="19" t="s">
        <v>855</v>
      </c>
      <c r="F213" s="19">
        <v>2016</v>
      </c>
      <c r="G213" s="21">
        <v>0.63593350000000004</v>
      </c>
      <c r="H213" s="19" t="s">
        <v>1412</v>
      </c>
      <c r="I213" s="19" t="s">
        <v>914</v>
      </c>
      <c r="J213" s="21">
        <v>0.63593350000000004</v>
      </c>
      <c r="K213" s="19" t="s">
        <v>1413</v>
      </c>
      <c r="L213" s="19" t="s">
        <v>1414</v>
      </c>
      <c r="M213" s="19" t="s">
        <v>1415</v>
      </c>
      <c r="N213" s="19" t="s">
        <v>1276</v>
      </c>
    </row>
    <row r="214" spans="1:14">
      <c r="A214" s="19" t="s">
        <v>510</v>
      </c>
      <c r="B214" s="19">
        <v>13</v>
      </c>
      <c r="C214" s="19" t="s">
        <v>1744</v>
      </c>
      <c r="D214" s="19" t="s">
        <v>1745</v>
      </c>
      <c r="E214" s="19" t="s">
        <v>855</v>
      </c>
      <c r="F214" s="19">
        <v>2022</v>
      </c>
      <c r="G214" s="21">
        <v>0.63354312999999995</v>
      </c>
      <c r="H214" s="19" t="s">
        <v>1746</v>
      </c>
      <c r="I214" s="19" t="s">
        <v>908</v>
      </c>
      <c r="J214" s="21">
        <v>0.63354312999999995</v>
      </c>
      <c r="K214" s="19" t="s">
        <v>1747</v>
      </c>
      <c r="L214" s="19" t="s">
        <v>1748</v>
      </c>
      <c r="M214" s="19"/>
      <c r="N214" s="19" t="s">
        <v>1749</v>
      </c>
    </row>
    <row r="215" spans="1:14">
      <c r="A215" s="19" t="s">
        <v>510</v>
      </c>
      <c r="B215" s="19">
        <v>14</v>
      </c>
      <c r="C215" s="19" t="s">
        <v>1437</v>
      </c>
      <c r="D215" s="19" t="s">
        <v>1438</v>
      </c>
      <c r="E215" s="19" t="s">
        <v>855</v>
      </c>
      <c r="F215" s="19">
        <v>2023</v>
      </c>
      <c r="G215" s="21">
        <v>0.62763389999999997</v>
      </c>
      <c r="H215" s="19" t="s">
        <v>1439</v>
      </c>
      <c r="I215" s="19" t="s">
        <v>951</v>
      </c>
      <c r="J215" s="21">
        <v>0.62763389999999997</v>
      </c>
      <c r="K215" s="19" t="s">
        <v>1440</v>
      </c>
      <c r="L215" s="19" t="s">
        <v>1441</v>
      </c>
      <c r="M215" s="19" t="s">
        <v>1442</v>
      </c>
      <c r="N215" s="19" t="s">
        <v>955</v>
      </c>
    </row>
    <row r="216" spans="1:14">
      <c r="A216" s="19" t="s">
        <v>510</v>
      </c>
      <c r="B216" s="19">
        <v>15</v>
      </c>
      <c r="C216" s="19" t="s">
        <v>1750</v>
      </c>
      <c r="D216" s="19" t="s">
        <v>1751</v>
      </c>
      <c r="E216" s="19" t="s">
        <v>855</v>
      </c>
      <c r="F216" s="19">
        <v>2016</v>
      </c>
      <c r="G216" s="21">
        <v>0.62663685999999996</v>
      </c>
      <c r="H216" s="19" t="s">
        <v>1752</v>
      </c>
      <c r="I216" s="19" t="s">
        <v>951</v>
      </c>
      <c r="J216" s="21">
        <v>0.62663685999999996</v>
      </c>
      <c r="K216" s="19" t="s">
        <v>1753</v>
      </c>
      <c r="L216" s="19" t="s">
        <v>1754</v>
      </c>
      <c r="M216" s="19" t="s">
        <v>1755</v>
      </c>
      <c r="N216" s="19" t="s">
        <v>955</v>
      </c>
    </row>
    <row r="217" spans="1:14">
      <c r="A217" s="19" t="s">
        <v>510</v>
      </c>
      <c r="B217" s="19">
        <v>16</v>
      </c>
      <c r="C217" s="19" t="s">
        <v>1756</v>
      </c>
      <c r="D217" s="19" t="s">
        <v>1757</v>
      </c>
      <c r="E217" s="19" t="s">
        <v>855</v>
      </c>
      <c r="F217" s="19">
        <v>2016</v>
      </c>
      <c r="G217" s="21">
        <v>0.62557750000000001</v>
      </c>
      <c r="H217" s="19" t="s">
        <v>1758</v>
      </c>
      <c r="I217" s="19" t="s">
        <v>951</v>
      </c>
      <c r="J217" s="21">
        <v>0.62557750000000001</v>
      </c>
      <c r="K217" s="19" t="s">
        <v>1759</v>
      </c>
      <c r="L217" s="19" t="s">
        <v>1760</v>
      </c>
      <c r="M217" s="19" t="s">
        <v>1761</v>
      </c>
      <c r="N217" s="19" t="s">
        <v>955</v>
      </c>
    </row>
    <row r="218" spans="1:14">
      <c r="A218" s="19" t="s">
        <v>510</v>
      </c>
      <c r="B218" s="19">
        <v>17</v>
      </c>
      <c r="C218" s="19" t="s">
        <v>1762</v>
      </c>
      <c r="D218" s="19" t="s">
        <v>1763</v>
      </c>
      <c r="E218" s="19" t="s">
        <v>855</v>
      </c>
      <c r="F218" s="19">
        <v>2016</v>
      </c>
      <c r="G218" s="21">
        <v>0.62188920000000003</v>
      </c>
      <c r="H218" s="19" t="s">
        <v>1764</v>
      </c>
      <c r="I218" s="19" t="s">
        <v>951</v>
      </c>
      <c r="J218" s="21">
        <v>0.62188920000000003</v>
      </c>
      <c r="K218" s="19" t="s">
        <v>1765</v>
      </c>
      <c r="L218" s="19" t="s">
        <v>1766</v>
      </c>
      <c r="M218" s="19" t="s">
        <v>1767</v>
      </c>
      <c r="N218" s="19" t="s">
        <v>1449</v>
      </c>
    </row>
    <row r="219" spans="1:14">
      <c r="A219" s="19" t="s">
        <v>510</v>
      </c>
      <c r="B219" s="19">
        <v>18</v>
      </c>
      <c r="C219" s="19" t="s">
        <v>1768</v>
      </c>
      <c r="D219" s="19" t="s">
        <v>1769</v>
      </c>
      <c r="E219" s="19" t="s">
        <v>855</v>
      </c>
      <c r="F219" s="19">
        <v>2022</v>
      </c>
      <c r="G219" s="21">
        <v>0.62086843999999997</v>
      </c>
      <c r="H219" s="19" t="s">
        <v>1770</v>
      </c>
      <c r="I219" s="19" t="s">
        <v>925</v>
      </c>
      <c r="J219" s="21">
        <v>0.62086843999999997</v>
      </c>
      <c r="K219" s="19" t="s">
        <v>1771</v>
      </c>
      <c r="L219" s="19" t="s">
        <v>1772</v>
      </c>
      <c r="M219" s="19" t="s">
        <v>1773</v>
      </c>
      <c r="N219" s="19" t="s">
        <v>1774</v>
      </c>
    </row>
    <row r="220" spans="1:14">
      <c r="A220" s="19" t="s">
        <v>510</v>
      </c>
      <c r="B220" s="19">
        <v>19</v>
      </c>
      <c r="C220" s="19" t="s">
        <v>1775</v>
      </c>
      <c r="D220" s="19" t="s">
        <v>1776</v>
      </c>
      <c r="E220" s="19" t="s">
        <v>855</v>
      </c>
      <c r="F220" s="19">
        <v>2016</v>
      </c>
      <c r="G220" s="21">
        <v>0.62061189999999999</v>
      </c>
      <c r="H220" s="19" t="s">
        <v>1777</v>
      </c>
      <c r="I220" s="19" t="s">
        <v>951</v>
      </c>
      <c r="J220" s="21">
        <v>0.62061189999999999</v>
      </c>
      <c r="K220" s="19" t="s">
        <v>1778</v>
      </c>
      <c r="L220" s="19" t="s">
        <v>1779</v>
      </c>
      <c r="M220" s="19" t="s">
        <v>1780</v>
      </c>
      <c r="N220" s="19" t="s">
        <v>1449</v>
      </c>
    </row>
    <row r="221" spans="1:14">
      <c r="A221" s="19" t="s">
        <v>510</v>
      </c>
      <c r="B221" s="19">
        <v>20</v>
      </c>
      <c r="C221" s="19" t="s">
        <v>1781</v>
      </c>
      <c r="D221" s="19" t="s">
        <v>1782</v>
      </c>
      <c r="E221" s="19" t="s">
        <v>855</v>
      </c>
      <c r="F221" s="19">
        <v>2016</v>
      </c>
      <c r="G221" s="21">
        <v>0.61595060000000001</v>
      </c>
      <c r="H221" s="19" t="s">
        <v>1783</v>
      </c>
      <c r="I221" s="19" t="s">
        <v>951</v>
      </c>
      <c r="J221" s="21">
        <v>0.61595060000000001</v>
      </c>
      <c r="K221" s="19" t="s">
        <v>1784</v>
      </c>
      <c r="L221" s="19" t="s">
        <v>1785</v>
      </c>
      <c r="M221" s="19" t="s">
        <v>1786</v>
      </c>
      <c r="N221" s="19" t="s">
        <v>1449</v>
      </c>
    </row>
    <row r="222" spans="1:14">
      <c r="A222" s="19" t="s">
        <v>516</v>
      </c>
      <c r="B222" s="19">
        <v>1</v>
      </c>
      <c r="C222" s="19" t="s">
        <v>1787</v>
      </c>
      <c r="D222" s="19" t="s">
        <v>726</v>
      </c>
      <c r="E222" s="19" t="s">
        <v>1788</v>
      </c>
      <c r="F222" s="19">
        <v>2014</v>
      </c>
      <c r="G222" s="21">
        <v>0.79501010000000005</v>
      </c>
      <c r="H222" s="19" t="s">
        <v>1789</v>
      </c>
      <c r="I222" s="19" t="s">
        <v>914</v>
      </c>
      <c r="J222" s="21">
        <v>0.79501010000000005</v>
      </c>
      <c r="K222" s="19" t="s">
        <v>1790</v>
      </c>
      <c r="L222" s="19" t="s">
        <v>1791</v>
      </c>
      <c r="M222" s="19" t="s">
        <v>1792</v>
      </c>
      <c r="N222" s="19" t="s">
        <v>1793</v>
      </c>
    </row>
    <row r="223" spans="1:14">
      <c r="A223" s="19" t="s">
        <v>516</v>
      </c>
      <c r="B223" s="19">
        <v>2</v>
      </c>
      <c r="C223" s="19" t="s">
        <v>1386</v>
      </c>
      <c r="D223" s="19" t="s">
        <v>682</v>
      </c>
      <c r="E223" s="19" t="s">
        <v>855</v>
      </c>
      <c r="F223" s="19">
        <v>2015</v>
      </c>
      <c r="G223" s="21">
        <v>0.76366805999999998</v>
      </c>
      <c r="H223" s="19" t="s">
        <v>1387</v>
      </c>
      <c r="I223" s="19" t="s">
        <v>914</v>
      </c>
      <c r="J223" s="21">
        <v>0.76366805999999998</v>
      </c>
      <c r="K223" s="19" t="s">
        <v>1388</v>
      </c>
      <c r="L223" s="19" t="s">
        <v>1389</v>
      </c>
      <c r="M223" s="19" t="s">
        <v>1390</v>
      </c>
      <c r="N223" s="19" t="s">
        <v>1794</v>
      </c>
    </row>
    <row r="224" spans="1:14">
      <c r="A224" s="19" t="s">
        <v>516</v>
      </c>
      <c r="B224" s="19">
        <v>3</v>
      </c>
      <c r="C224" s="19" t="s">
        <v>1795</v>
      </c>
      <c r="D224" s="19" t="s">
        <v>1796</v>
      </c>
      <c r="E224" s="19" t="s">
        <v>1797</v>
      </c>
      <c r="F224" s="19">
        <v>2016</v>
      </c>
      <c r="G224" s="21">
        <v>0.74607199999999996</v>
      </c>
      <c r="H224" s="19" t="s">
        <v>1798</v>
      </c>
      <c r="I224" s="19" t="s">
        <v>914</v>
      </c>
      <c r="J224" s="21">
        <v>0.74607199999999996</v>
      </c>
      <c r="K224" s="19" t="s">
        <v>1799</v>
      </c>
      <c r="L224" s="19" t="s">
        <v>1800</v>
      </c>
      <c r="M224" s="19"/>
      <c r="N224" s="19" t="s">
        <v>1801</v>
      </c>
    </row>
    <row r="225" spans="1:14">
      <c r="A225" s="19" t="s">
        <v>516</v>
      </c>
      <c r="B225" s="19">
        <v>4</v>
      </c>
      <c r="C225" s="19" t="s">
        <v>1802</v>
      </c>
      <c r="D225" s="19" t="s">
        <v>1803</v>
      </c>
      <c r="E225" s="19" t="s">
        <v>855</v>
      </c>
      <c r="F225" s="19">
        <v>2015</v>
      </c>
      <c r="G225" s="21">
        <v>0.73925984</v>
      </c>
      <c r="H225" s="19" t="s">
        <v>1804</v>
      </c>
      <c r="I225" s="19" t="s">
        <v>914</v>
      </c>
      <c r="J225" s="21">
        <v>0.73925984</v>
      </c>
      <c r="K225" s="19" t="s">
        <v>1805</v>
      </c>
      <c r="L225" s="19" t="s">
        <v>1806</v>
      </c>
      <c r="M225" s="19"/>
      <c r="N225" s="19" t="s">
        <v>1807</v>
      </c>
    </row>
    <row r="226" spans="1:14">
      <c r="A226" s="19" t="s">
        <v>516</v>
      </c>
      <c r="B226" s="19">
        <v>5</v>
      </c>
      <c r="C226" s="19" t="s">
        <v>1270</v>
      </c>
      <c r="D226" s="19" t="s">
        <v>1271</v>
      </c>
      <c r="E226" s="19" t="s">
        <v>855</v>
      </c>
      <c r="F226" s="19">
        <v>2014</v>
      </c>
      <c r="G226" s="21">
        <v>0.72621820000000004</v>
      </c>
      <c r="H226" s="19" t="s">
        <v>1272</v>
      </c>
      <c r="I226" s="19" t="s">
        <v>914</v>
      </c>
      <c r="J226" s="21">
        <v>0.72621820000000004</v>
      </c>
      <c r="K226" s="19" t="s">
        <v>1273</v>
      </c>
      <c r="L226" s="19" t="s">
        <v>1274</v>
      </c>
      <c r="M226" s="19" t="s">
        <v>1275</v>
      </c>
      <c r="N226" s="19" t="s">
        <v>1604</v>
      </c>
    </row>
    <row r="227" spans="1:14">
      <c r="A227" s="19" t="s">
        <v>516</v>
      </c>
      <c r="B227" s="19">
        <v>6</v>
      </c>
      <c r="C227" s="19" t="s">
        <v>1808</v>
      </c>
      <c r="D227" s="19" t="s">
        <v>1809</v>
      </c>
      <c r="E227" s="19" t="s">
        <v>855</v>
      </c>
      <c r="F227" s="19">
        <v>2014</v>
      </c>
      <c r="G227" s="21">
        <v>0.72589075999999997</v>
      </c>
      <c r="H227" s="19" t="s">
        <v>1810</v>
      </c>
      <c r="I227" s="19" t="s">
        <v>914</v>
      </c>
      <c r="J227" s="21">
        <v>0.72589075999999997</v>
      </c>
      <c r="K227" s="19" t="s">
        <v>1811</v>
      </c>
      <c r="L227" s="19" t="s">
        <v>1812</v>
      </c>
      <c r="M227" s="19"/>
      <c r="N227" s="19" t="s">
        <v>1604</v>
      </c>
    </row>
    <row r="228" spans="1:14">
      <c r="A228" s="19" t="s">
        <v>516</v>
      </c>
      <c r="B228" s="19">
        <v>7</v>
      </c>
      <c r="C228" s="19" t="s">
        <v>1813</v>
      </c>
      <c r="D228" s="19" t="s">
        <v>1814</v>
      </c>
      <c r="E228" s="19" t="s">
        <v>855</v>
      </c>
      <c r="F228" s="19">
        <v>2015</v>
      </c>
      <c r="G228" s="21">
        <v>0.72118340000000003</v>
      </c>
      <c r="H228" s="19" t="s">
        <v>1815</v>
      </c>
      <c r="I228" s="19" t="s">
        <v>914</v>
      </c>
      <c r="J228" s="21">
        <v>0.72118340000000003</v>
      </c>
      <c r="K228" s="19" t="s">
        <v>1816</v>
      </c>
      <c r="L228" s="19" t="s">
        <v>1817</v>
      </c>
      <c r="M228" s="19"/>
      <c r="N228" s="19" t="s">
        <v>1630</v>
      </c>
    </row>
    <row r="229" spans="1:14">
      <c r="A229" s="19" t="s">
        <v>516</v>
      </c>
      <c r="B229" s="19">
        <v>8</v>
      </c>
      <c r="C229" s="19" t="s">
        <v>1818</v>
      </c>
      <c r="D229" s="19" t="s">
        <v>1819</v>
      </c>
      <c r="E229" s="19" t="s">
        <v>855</v>
      </c>
      <c r="F229" s="19">
        <v>2014</v>
      </c>
      <c r="G229" s="21">
        <v>0.71882570000000001</v>
      </c>
      <c r="H229" s="19" t="s">
        <v>1820</v>
      </c>
      <c r="I229" s="19" t="s">
        <v>914</v>
      </c>
      <c r="J229" s="21">
        <v>0.71882570000000001</v>
      </c>
      <c r="K229" s="19" t="s">
        <v>1821</v>
      </c>
      <c r="L229" s="19" t="s">
        <v>1822</v>
      </c>
      <c r="M229" s="19" t="s">
        <v>1823</v>
      </c>
      <c r="N229" s="19" t="s">
        <v>1630</v>
      </c>
    </row>
    <row r="230" spans="1:14">
      <c r="A230" s="19" t="s">
        <v>516</v>
      </c>
      <c r="B230" s="19">
        <v>9</v>
      </c>
      <c r="C230" s="19" t="s">
        <v>1824</v>
      </c>
      <c r="D230" s="19" t="s">
        <v>1825</v>
      </c>
      <c r="E230" s="19" t="s">
        <v>1826</v>
      </c>
      <c r="F230" s="19">
        <v>1968</v>
      </c>
      <c r="G230" s="21">
        <v>0.71736330000000004</v>
      </c>
      <c r="H230" s="19" t="s">
        <v>1827</v>
      </c>
      <c r="I230" s="19" t="s">
        <v>914</v>
      </c>
      <c r="J230" s="21">
        <v>0.71736330000000004</v>
      </c>
      <c r="K230" s="19" t="s">
        <v>1828</v>
      </c>
      <c r="L230" s="19" t="s">
        <v>1829</v>
      </c>
      <c r="M230" s="19" t="s">
        <v>1830</v>
      </c>
      <c r="N230" s="19" t="s">
        <v>1630</v>
      </c>
    </row>
    <row r="231" spans="1:14">
      <c r="A231" s="19" t="s">
        <v>516</v>
      </c>
      <c r="B231" s="19">
        <v>10</v>
      </c>
      <c r="C231" s="19" t="s">
        <v>1831</v>
      </c>
      <c r="D231" s="19" t="s">
        <v>1832</v>
      </c>
      <c r="E231" s="19" t="s">
        <v>855</v>
      </c>
      <c r="F231" s="19">
        <v>2014</v>
      </c>
      <c r="G231" s="21">
        <v>0.71701866000000003</v>
      </c>
      <c r="H231" s="19" t="s">
        <v>1833</v>
      </c>
      <c r="I231" s="19" t="s">
        <v>914</v>
      </c>
      <c r="J231" s="21">
        <v>0.71701866000000003</v>
      </c>
      <c r="K231" s="19" t="s">
        <v>1834</v>
      </c>
      <c r="L231" s="19" t="s">
        <v>1835</v>
      </c>
      <c r="M231" s="19"/>
      <c r="N231" s="19" t="s">
        <v>1630</v>
      </c>
    </row>
    <row r="232" spans="1:14">
      <c r="A232" s="19" t="s">
        <v>516</v>
      </c>
      <c r="B232" s="19">
        <v>11</v>
      </c>
      <c r="C232" s="19" t="s">
        <v>1400</v>
      </c>
      <c r="D232" s="19" t="s">
        <v>1401</v>
      </c>
      <c r="E232" s="19" t="s">
        <v>855</v>
      </c>
      <c r="F232" s="19">
        <v>2015</v>
      </c>
      <c r="G232" s="21">
        <v>0.71661543999999999</v>
      </c>
      <c r="H232" s="19" t="s">
        <v>1836</v>
      </c>
      <c r="I232" s="19" t="s">
        <v>914</v>
      </c>
      <c r="J232" s="21">
        <v>0.71661543999999999</v>
      </c>
      <c r="K232" s="19" t="s">
        <v>1837</v>
      </c>
      <c r="L232" s="19" t="s">
        <v>1838</v>
      </c>
      <c r="M232" s="19"/>
      <c r="N232" s="19" t="s">
        <v>1630</v>
      </c>
    </row>
    <row r="233" spans="1:14">
      <c r="A233" s="19" t="s">
        <v>516</v>
      </c>
      <c r="B233" s="19">
        <v>12</v>
      </c>
      <c r="C233" s="19" t="s">
        <v>1839</v>
      </c>
      <c r="D233" s="19" t="s">
        <v>1840</v>
      </c>
      <c r="E233" s="19" t="s">
        <v>855</v>
      </c>
      <c r="F233" s="19">
        <v>2016</v>
      </c>
      <c r="G233" s="21">
        <v>0.71010494000000002</v>
      </c>
      <c r="H233" s="19" t="s">
        <v>1841</v>
      </c>
      <c r="I233" s="19" t="s">
        <v>914</v>
      </c>
      <c r="J233" s="21">
        <v>0.71010494000000002</v>
      </c>
      <c r="K233" s="19" t="s">
        <v>1842</v>
      </c>
      <c r="L233" s="19" t="s">
        <v>1843</v>
      </c>
      <c r="M233" s="19" t="s">
        <v>1844</v>
      </c>
      <c r="N233" s="19" t="s">
        <v>1659</v>
      </c>
    </row>
    <row r="234" spans="1:14">
      <c r="A234" s="19" t="s">
        <v>516</v>
      </c>
      <c r="B234" s="19">
        <v>13</v>
      </c>
      <c r="C234" s="19" t="s">
        <v>1845</v>
      </c>
      <c r="D234" s="19" t="s">
        <v>1846</v>
      </c>
      <c r="E234" s="19" t="s">
        <v>855</v>
      </c>
      <c r="F234" s="19">
        <v>2014</v>
      </c>
      <c r="G234" s="21">
        <v>0.70842859999999996</v>
      </c>
      <c r="H234" s="19" t="s">
        <v>1847</v>
      </c>
      <c r="I234" s="19" t="s">
        <v>914</v>
      </c>
      <c r="J234" s="21">
        <v>0.70842859999999996</v>
      </c>
      <c r="K234" s="19" t="s">
        <v>1848</v>
      </c>
      <c r="L234" s="19" t="s">
        <v>1849</v>
      </c>
      <c r="M234" s="19"/>
      <c r="N234" s="19" t="s">
        <v>1659</v>
      </c>
    </row>
    <row r="235" spans="1:14">
      <c r="A235" s="19" t="s">
        <v>516</v>
      </c>
      <c r="B235" s="19">
        <v>14</v>
      </c>
      <c r="C235" s="19" t="s">
        <v>1277</v>
      </c>
      <c r="D235" s="19" t="s">
        <v>1278</v>
      </c>
      <c r="E235" s="19" t="s">
        <v>855</v>
      </c>
      <c r="F235" s="19">
        <v>2016</v>
      </c>
      <c r="G235" s="21">
        <v>0.70715713999999996</v>
      </c>
      <c r="H235" s="19" t="s">
        <v>1850</v>
      </c>
      <c r="I235" s="19" t="s">
        <v>914</v>
      </c>
      <c r="J235" s="21">
        <v>0.70715713999999996</v>
      </c>
      <c r="K235" s="19" t="s">
        <v>1851</v>
      </c>
      <c r="L235" s="19" t="s">
        <v>1852</v>
      </c>
      <c r="M235" s="19" t="s">
        <v>1282</v>
      </c>
      <c r="N235" s="19" t="s">
        <v>1659</v>
      </c>
    </row>
    <row r="236" spans="1:14">
      <c r="A236" s="19" t="s">
        <v>516</v>
      </c>
      <c r="B236" s="19">
        <v>15</v>
      </c>
      <c r="C236" s="19" t="s">
        <v>1853</v>
      </c>
      <c r="D236" s="19" t="s">
        <v>1854</v>
      </c>
      <c r="E236" s="19" t="s">
        <v>1855</v>
      </c>
      <c r="F236" s="19">
        <v>2012</v>
      </c>
      <c r="G236" s="21">
        <v>0.70558750000000003</v>
      </c>
      <c r="H236" s="19" t="s">
        <v>1856</v>
      </c>
      <c r="I236" s="19" t="s">
        <v>914</v>
      </c>
      <c r="J236" s="21">
        <v>0.70558750000000003</v>
      </c>
      <c r="K236" s="19" t="s">
        <v>1857</v>
      </c>
      <c r="L236" s="19" t="s">
        <v>1858</v>
      </c>
      <c r="M236" s="19"/>
      <c r="N236" s="19" t="s">
        <v>1659</v>
      </c>
    </row>
    <row r="237" spans="1:14">
      <c r="A237" s="19" t="s">
        <v>516</v>
      </c>
      <c r="B237" s="19">
        <v>16</v>
      </c>
      <c r="C237" s="19" t="s">
        <v>1859</v>
      </c>
      <c r="D237" s="19" t="s">
        <v>1860</v>
      </c>
      <c r="E237" s="19" t="s">
        <v>855</v>
      </c>
      <c r="F237" s="19">
        <v>2015</v>
      </c>
      <c r="G237" s="21">
        <v>0.70501965</v>
      </c>
      <c r="H237" s="19" t="s">
        <v>1861</v>
      </c>
      <c r="I237" s="19" t="s">
        <v>914</v>
      </c>
      <c r="J237" s="21">
        <v>0.70501965</v>
      </c>
      <c r="K237" s="19" t="s">
        <v>1862</v>
      </c>
      <c r="L237" s="19" t="s">
        <v>1863</v>
      </c>
      <c r="M237" s="19" t="s">
        <v>1864</v>
      </c>
      <c r="N237" s="19" t="s">
        <v>1659</v>
      </c>
    </row>
    <row r="238" spans="1:14">
      <c r="A238" s="19" t="s">
        <v>516</v>
      </c>
      <c r="B238" s="19">
        <v>17</v>
      </c>
      <c r="C238" s="19" t="s">
        <v>1865</v>
      </c>
      <c r="D238" s="19" t="s">
        <v>1866</v>
      </c>
      <c r="E238" s="19" t="s">
        <v>855</v>
      </c>
      <c r="F238" s="19">
        <v>2014</v>
      </c>
      <c r="G238" s="21">
        <v>0.69976340000000004</v>
      </c>
      <c r="H238" s="19" t="s">
        <v>1867</v>
      </c>
      <c r="I238" s="19" t="s">
        <v>914</v>
      </c>
      <c r="J238" s="21">
        <v>0.69976340000000004</v>
      </c>
      <c r="K238" s="19" t="s">
        <v>1868</v>
      </c>
      <c r="L238" s="19" t="s">
        <v>1869</v>
      </c>
      <c r="M238" s="19" t="s">
        <v>1870</v>
      </c>
      <c r="N238" s="19" t="s">
        <v>1463</v>
      </c>
    </row>
    <row r="239" spans="1:14">
      <c r="A239" s="19" t="s">
        <v>516</v>
      </c>
      <c r="B239" s="19">
        <v>18</v>
      </c>
      <c r="C239" s="19" t="s">
        <v>1871</v>
      </c>
      <c r="D239" s="19" t="s">
        <v>1872</v>
      </c>
      <c r="E239" s="19" t="s">
        <v>855</v>
      </c>
      <c r="F239" s="19">
        <v>2014</v>
      </c>
      <c r="G239" s="21">
        <v>0.69896219999999998</v>
      </c>
      <c r="H239" s="19" t="s">
        <v>1873</v>
      </c>
      <c r="I239" s="19" t="s">
        <v>914</v>
      </c>
      <c r="J239" s="21">
        <v>0.69896219999999998</v>
      </c>
      <c r="K239" s="19" t="s">
        <v>1874</v>
      </c>
      <c r="L239" s="19" t="s">
        <v>1875</v>
      </c>
      <c r="M239" s="19" t="s">
        <v>1876</v>
      </c>
      <c r="N239" s="19" t="s">
        <v>1463</v>
      </c>
    </row>
    <row r="240" spans="1:14">
      <c r="A240" s="19" t="s">
        <v>516</v>
      </c>
      <c r="B240" s="19">
        <v>19</v>
      </c>
      <c r="C240" s="19" t="s">
        <v>1877</v>
      </c>
      <c r="D240" s="19" t="s">
        <v>1878</v>
      </c>
      <c r="E240" s="19" t="s">
        <v>855</v>
      </c>
      <c r="F240" s="19">
        <v>2015</v>
      </c>
      <c r="G240" s="21">
        <v>0.69863770000000003</v>
      </c>
      <c r="H240" s="19" t="s">
        <v>1879</v>
      </c>
      <c r="I240" s="19" t="s">
        <v>914</v>
      </c>
      <c r="J240" s="21">
        <v>0.69863770000000003</v>
      </c>
      <c r="K240" s="19" t="s">
        <v>1880</v>
      </c>
      <c r="L240" s="19" t="s">
        <v>1881</v>
      </c>
      <c r="M240" s="19"/>
      <c r="N240" s="19" t="s">
        <v>1463</v>
      </c>
    </row>
    <row r="241" spans="1:14">
      <c r="A241" s="19" t="s">
        <v>516</v>
      </c>
      <c r="B241" s="19">
        <v>20</v>
      </c>
      <c r="C241" s="19" t="s">
        <v>1257</v>
      </c>
      <c r="D241" s="19" t="s">
        <v>1258</v>
      </c>
      <c r="E241" s="19" t="s">
        <v>855</v>
      </c>
      <c r="F241" s="19">
        <v>2023</v>
      </c>
      <c r="G241" s="21">
        <v>0.69799960000000005</v>
      </c>
      <c r="H241" s="19" t="s">
        <v>1882</v>
      </c>
      <c r="I241" s="19" t="s">
        <v>914</v>
      </c>
      <c r="J241" s="21">
        <v>0.69799960000000005</v>
      </c>
      <c r="K241" s="19" t="s">
        <v>1883</v>
      </c>
      <c r="L241" s="19" t="s">
        <v>1884</v>
      </c>
      <c r="M241" s="19"/>
      <c r="N241" s="19" t="s">
        <v>1463</v>
      </c>
    </row>
    <row r="242" spans="1:14">
      <c r="A242" s="19" t="s">
        <v>232</v>
      </c>
      <c r="B242" s="19">
        <v>1</v>
      </c>
      <c r="C242" s="19" t="s">
        <v>1787</v>
      </c>
      <c r="D242" s="19" t="s">
        <v>726</v>
      </c>
      <c r="E242" s="19" t="s">
        <v>1788</v>
      </c>
      <c r="F242" s="19">
        <v>2014</v>
      </c>
      <c r="G242" s="21">
        <v>0.79417289999999996</v>
      </c>
      <c r="H242" s="19" t="s">
        <v>1789</v>
      </c>
      <c r="I242" s="19" t="s">
        <v>914</v>
      </c>
      <c r="J242" s="21">
        <v>0.79417289999999996</v>
      </c>
      <c r="K242" s="19" t="s">
        <v>1790</v>
      </c>
      <c r="L242" s="19" t="s">
        <v>1791</v>
      </c>
      <c r="M242" s="19" t="s">
        <v>1792</v>
      </c>
      <c r="N242" s="19" t="s">
        <v>1885</v>
      </c>
    </row>
    <row r="243" spans="1:14">
      <c r="A243" s="19" t="s">
        <v>232</v>
      </c>
      <c r="B243" s="19">
        <v>2</v>
      </c>
      <c r="C243" s="19" t="s">
        <v>1386</v>
      </c>
      <c r="D243" s="19" t="s">
        <v>682</v>
      </c>
      <c r="E243" s="19" t="s">
        <v>855</v>
      </c>
      <c r="F243" s="19">
        <v>2015</v>
      </c>
      <c r="G243" s="21">
        <v>0.76321786999999996</v>
      </c>
      <c r="H243" s="19" t="s">
        <v>1387</v>
      </c>
      <c r="I243" s="19" t="s">
        <v>914</v>
      </c>
      <c r="J243" s="21">
        <v>0.76321786999999996</v>
      </c>
      <c r="K243" s="19" t="s">
        <v>1388</v>
      </c>
      <c r="L243" s="19" t="s">
        <v>1389</v>
      </c>
      <c r="M243" s="19" t="s">
        <v>1390</v>
      </c>
      <c r="N243" s="19" t="s">
        <v>1794</v>
      </c>
    </row>
    <row r="244" spans="1:14">
      <c r="A244" s="19" t="s">
        <v>232</v>
      </c>
      <c r="B244" s="19">
        <v>3</v>
      </c>
      <c r="C244" s="19" t="s">
        <v>1795</v>
      </c>
      <c r="D244" s="19" t="s">
        <v>1796</v>
      </c>
      <c r="E244" s="19" t="s">
        <v>1797</v>
      </c>
      <c r="F244" s="19">
        <v>2016</v>
      </c>
      <c r="G244" s="21">
        <v>0.74545620000000001</v>
      </c>
      <c r="H244" s="19" t="s">
        <v>1798</v>
      </c>
      <c r="I244" s="19" t="s">
        <v>914</v>
      </c>
      <c r="J244" s="21">
        <v>0.74545620000000001</v>
      </c>
      <c r="K244" s="19" t="s">
        <v>1799</v>
      </c>
      <c r="L244" s="19" t="s">
        <v>1800</v>
      </c>
      <c r="M244" s="19"/>
      <c r="N244" s="19" t="s">
        <v>1801</v>
      </c>
    </row>
    <row r="245" spans="1:14">
      <c r="A245" s="19" t="s">
        <v>232</v>
      </c>
      <c r="B245" s="19">
        <v>4</v>
      </c>
      <c r="C245" s="19" t="s">
        <v>1802</v>
      </c>
      <c r="D245" s="19" t="s">
        <v>1803</v>
      </c>
      <c r="E245" s="19" t="s">
        <v>855</v>
      </c>
      <c r="F245" s="19">
        <v>2015</v>
      </c>
      <c r="G245" s="21">
        <v>0.73865689999999995</v>
      </c>
      <c r="H245" s="19" t="s">
        <v>1804</v>
      </c>
      <c r="I245" s="19" t="s">
        <v>914</v>
      </c>
      <c r="J245" s="21">
        <v>0.73865689999999995</v>
      </c>
      <c r="K245" s="19" t="s">
        <v>1805</v>
      </c>
      <c r="L245" s="19" t="s">
        <v>1806</v>
      </c>
      <c r="M245" s="19"/>
      <c r="N245" s="19" t="s">
        <v>1807</v>
      </c>
    </row>
    <row r="246" spans="1:14">
      <c r="A246" s="19" t="s">
        <v>232</v>
      </c>
      <c r="B246" s="19">
        <v>5</v>
      </c>
      <c r="C246" s="19" t="s">
        <v>1808</v>
      </c>
      <c r="D246" s="19" t="s">
        <v>1809</v>
      </c>
      <c r="E246" s="19" t="s">
        <v>855</v>
      </c>
      <c r="F246" s="19">
        <v>2014</v>
      </c>
      <c r="G246" s="21">
        <v>0.72583699999999995</v>
      </c>
      <c r="H246" s="19" t="s">
        <v>1810</v>
      </c>
      <c r="I246" s="19" t="s">
        <v>914</v>
      </c>
      <c r="J246" s="21">
        <v>0.72583699999999995</v>
      </c>
      <c r="K246" s="19" t="s">
        <v>1811</v>
      </c>
      <c r="L246" s="19" t="s">
        <v>1812</v>
      </c>
      <c r="M246" s="19"/>
      <c r="N246" s="19" t="s">
        <v>1604</v>
      </c>
    </row>
    <row r="247" spans="1:14">
      <c r="A247" s="19" t="s">
        <v>232</v>
      </c>
      <c r="B247" s="19">
        <v>6</v>
      </c>
      <c r="C247" s="19" t="s">
        <v>1270</v>
      </c>
      <c r="D247" s="19" t="s">
        <v>1271</v>
      </c>
      <c r="E247" s="19" t="s">
        <v>855</v>
      </c>
      <c r="F247" s="19">
        <v>2014</v>
      </c>
      <c r="G247" s="21">
        <v>0.72551109999999996</v>
      </c>
      <c r="H247" s="19" t="s">
        <v>1272</v>
      </c>
      <c r="I247" s="19" t="s">
        <v>914</v>
      </c>
      <c r="J247" s="21">
        <v>0.72551109999999996</v>
      </c>
      <c r="K247" s="19" t="s">
        <v>1273</v>
      </c>
      <c r="L247" s="19" t="s">
        <v>1274</v>
      </c>
      <c r="M247" s="19" t="s">
        <v>1275</v>
      </c>
      <c r="N247" s="19" t="s">
        <v>1604</v>
      </c>
    </row>
    <row r="248" spans="1:14">
      <c r="A248" s="19" t="s">
        <v>232</v>
      </c>
      <c r="B248" s="19">
        <v>7</v>
      </c>
      <c r="C248" s="19" t="s">
        <v>1813</v>
      </c>
      <c r="D248" s="19" t="s">
        <v>1814</v>
      </c>
      <c r="E248" s="19" t="s">
        <v>855</v>
      </c>
      <c r="F248" s="19">
        <v>2015</v>
      </c>
      <c r="G248" s="21">
        <v>0.72115649999999998</v>
      </c>
      <c r="H248" s="19" t="s">
        <v>1815</v>
      </c>
      <c r="I248" s="19" t="s">
        <v>914</v>
      </c>
      <c r="J248" s="21">
        <v>0.72115649999999998</v>
      </c>
      <c r="K248" s="19" t="s">
        <v>1816</v>
      </c>
      <c r="L248" s="19" t="s">
        <v>1817</v>
      </c>
      <c r="M248" s="19"/>
      <c r="N248" s="19" t="s">
        <v>1630</v>
      </c>
    </row>
    <row r="249" spans="1:14">
      <c r="A249" s="19" t="s">
        <v>232</v>
      </c>
      <c r="B249" s="19">
        <v>8</v>
      </c>
      <c r="C249" s="19" t="s">
        <v>1818</v>
      </c>
      <c r="D249" s="19" t="s">
        <v>1819</v>
      </c>
      <c r="E249" s="19" t="s">
        <v>855</v>
      </c>
      <c r="F249" s="19">
        <v>2014</v>
      </c>
      <c r="G249" s="21">
        <v>0.71919040000000001</v>
      </c>
      <c r="H249" s="19" t="s">
        <v>1820</v>
      </c>
      <c r="I249" s="19" t="s">
        <v>914</v>
      </c>
      <c r="J249" s="21">
        <v>0.71919040000000001</v>
      </c>
      <c r="K249" s="19" t="s">
        <v>1821</v>
      </c>
      <c r="L249" s="19" t="s">
        <v>1822</v>
      </c>
      <c r="M249" s="19" t="s">
        <v>1823</v>
      </c>
      <c r="N249" s="19" t="s">
        <v>1630</v>
      </c>
    </row>
    <row r="250" spans="1:14">
      <c r="A250" s="19" t="s">
        <v>232</v>
      </c>
      <c r="B250" s="19">
        <v>9</v>
      </c>
      <c r="C250" s="19" t="s">
        <v>1831</v>
      </c>
      <c r="D250" s="19" t="s">
        <v>1832</v>
      </c>
      <c r="E250" s="19" t="s">
        <v>855</v>
      </c>
      <c r="F250" s="19">
        <v>2014</v>
      </c>
      <c r="G250" s="21">
        <v>0.71741675999999999</v>
      </c>
      <c r="H250" s="19" t="s">
        <v>1833</v>
      </c>
      <c r="I250" s="19" t="s">
        <v>914</v>
      </c>
      <c r="J250" s="21">
        <v>0.71741675999999999</v>
      </c>
      <c r="K250" s="19" t="s">
        <v>1834</v>
      </c>
      <c r="L250" s="19" t="s">
        <v>1835</v>
      </c>
      <c r="M250" s="19"/>
      <c r="N250" s="19" t="s">
        <v>1630</v>
      </c>
    </row>
    <row r="251" spans="1:14">
      <c r="A251" s="19" t="s">
        <v>232</v>
      </c>
      <c r="B251" s="19">
        <v>10</v>
      </c>
      <c r="C251" s="19" t="s">
        <v>1824</v>
      </c>
      <c r="D251" s="19" t="s">
        <v>1825</v>
      </c>
      <c r="E251" s="19" t="s">
        <v>1826</v>
      </c>
      <c r="F251" s="19">
        <v>1968</v>
      </c>
      <c r="G251" s="21">
        <v>0.71705169999999996</v>
      </c>
      <c r="H251" s="19" t="s">
        <v>1827</v>
      </c>
      <c r="I251" s="19" t="s">
        <v>914</v>
      </c>
      <c r="J251" s="21">
        <v>0.71705169999999996</v>
      </c>
      <c r="K251" s="19" t="s">
        <v>1828</v>
      </c>
      <c r="L251" s="19" t="s">
        <v>1829</v>
      </c>
      <c r="M251" s="19" t="s">
        <v>1830</v>
      </c>
      <c r="N251" s="19" t="s">
        <v>1630</v>
      </c>
    </row>
    <row r="252" spans="1:14">
      <c r="A252" s="19" t="s">
        <v>232</v>
      </c>
      <c r="B252" s="19">
        <v>11</v>
      </c>
      <c r="C252" s="19" t="s">
        <v>1400</v>
      </c>
      <c r="D252" s="19" t="s">
        <v>1401</v>
      </c>
      <c r="E252" s="19" t="s">
        <v>855</v>
      </c>
      <c r="F252" s="19">
        <v>2015</v>
      </c>
      <c r="G252" s="21">
        <v>0.71669090000000002</v>
      </c>
      <c r="H252" s="19" t="s">
        <v>1836</v>
      </c>
      <c r="I252" s="19" t="s">
        <v>914</v>
      </c>
      <c r="J252" s="21">
        <v>0.71669090000000002</v>
      </c>
      <c r="K252" s="19" t="s">
        <v>1837</v>
      </c>
      <c r="L252" s="19" t="s">
        <v>1838</v>
      </c>
      <c r="M252" s="19"/>
      <c r="N252" s="19" t="s">
        <v>1630</v>
      </c>
    </row>
    <row r="253" spans="1:14">
      <c r="A253" s="19" t="s">
        <v>232</v>
      </c>
      <c r="B253" s="19">
        <v>12</v>
      </c>
      <c r="C253" s="19" t="s">
        <v>1839</v>
      </c>
      <c r="D253" s="19" t="s">
        <v>1840</v>
      </c>
      <c r="E253" s="19" t="s">
        <v>855</v>
      </c>
      <c r="F253" s="19">
        <v>2016</v>
      </c>
      <c r="G253" s="21">
        <v>0.71091309999999996</v>
      </c>
      <c r="H253" s="19" t="s">
        <v>1841</v>
      </c>
      <c r="I253" s="19" t="s">
        <v>914</v>
      </c>
      <c r="J253" s="21">
        <v>0.71091309999999996</v>
      </c>
      <c r="K253" s="19" t="s">
        <v>1842</v>
      </c>
      <c r="L253" s="19" t="s">
        <v>1843</v>
      </c>
      <c r="M253" s="19" t="s">
        <v>1844</v>
      </c>
      <c r="N253" s="19" t="s">
        <v>1659</v>
      </c>
    </row>
    <row r="254" spans="1:14">
      <c r="A254" s="19" t="s">
        <v>232</v>
      </c>
      <c r="B254" s="19">
        <v>13</v>
      </c>
      <c r="C254" s="19" t="s">
        <v>1845</v>
      </c>
      <c r="D254" s="19" t="s">
        <v>1846</v>
      </c>
      <c r="E254" s="19" t="s">
        <v>855</v>
      </c>
      <c r="F254" s="19">
        <v>2014</v>
      </c>
      <c r="G254" s="21">
        <v>0.70875120000000003</v>
      </c>
      <c r="H254" s="19" t="s">
        <v>1847</v>
      </c>
      <c r="I254" s="19" t="s">
        <v>914</v>
      </c>
      <c r="J254" s="21">
        <v>0.70875120000000003</v>
      </c>
      <c r="K254" s="19" t="s">
        <v>1848</v>
      </c>
      <c r="L254" s="19" t="s">
        <v>1849</v>
      </c>
      <c r="M254" s="19"/>
      <c r="N254" s="19" t="s">
        <v>1659</v>
      </c>
    </row>
    <row r="255" spans="1:14">
      <c r="A255" s="19" t="s">
        <v>232</v>
      </c>
      <c r="B255" s="19">
        <v>14</v>
      </c>
      <c r="C255" s="19" t="s">
        <v>1277</v>
      </c>
      <c r="D255" s="19" t="s">
        <v>1278</v>
      </c>
      <c r="E255" s="19" t="s">
        <v>855</v>
      </c>
      <c r="F255" s="19">
        <v>2016</v>
      </c>
      <c r="G255" s="21">
        <v>0.70758580000000004</v>
      </c>
      <c r="H255" s="19" t="s">
        <v>1850</v>
      </c>
      <c r="I255" s="19" t="s">
        <v>914</v>
      </c>
      <c r="J255" s="21">
        <v>0.70758580000000004</v>
      </c>
      <c r="K255" s="19" t="s">
        <v>1851</v>
      </c>
      <c r="L255" s="19" t="s">
        <v>1852</v>
      </c>
      <c r="M255" s="19" t="s">
        <v>1282</v>
      </c>
      <c r="N255" s="19" t="s">
        <v>1659</v>
      </c>
    </row>
    <row r="256" spans="1:14">
      <c r="A256" s="19" t="s">
        <v>232</v>
      </c>
      <c r="B256" s="19">
        <v>15</v>
      </c>
      <c r="C256" s="19" t="s">
        <v>1853</v>
      </c>
      <c r="D256" s="19" t="s">
        <v>1854</v>
      </c>
      <c r="E256" s="19" t="s">
        <v>1855</v>
      </c>
      <c r="F256" s="19">
        <v>2012</v>
      </c>
      <c r="G256" s="21">
        <v>0.70520839999999996</v>
      </c>
      <c r="H256" s="19" t="s">
        <v>1856</v>
      </c>
      <c r="I256" s="19" t="s">
        <v>914</v>
      </c>
      <c r="J256" s="21">
        <v>0.70520839999999996</v>
      </c>
      <c r="K256" s="19" t="s">
        <v>1857</v>
      </c>
      <c r="L256" s="19" t="s">
        <v>1858</v>
      </c>
      <c r="M256" s="19"/>
      <c r="N256" s="19" t="s">
        <v>1659</v>
      </c>
    </row>
    <row r="257" spans="1:14">
      <c r="A257" s="19" t="s">
        <v>232</v>
      </c>
      <c r="B257" s="19">
        <v>16</v>
      </c>
      <c r="C257" s="19" t="s">
        <v>1859</v>
      </c>
      <c r="D257" s="19" t="s">
        <v>1860</v>
      </c>
      <c r="E257" s="19" t="s">
        <v>855</v>
      </c>
      <c r="F257" s="19">
        <v>2015</v>
      </c>
      <c r="G257" s="21">
        <v>0.70473920000000001</v>
      </c>
      <c r="H257" s="19" t="s">
        <v>1861</v>
      </c>
      <c r="I257" s="19" t="s">
        <v>914</v>
      </c>
      <c r="J257" s="21">
        <v>0.70473920000000001</v>
      </c>
      <c r="K257" s="19" t="s">
        <v>1862</v>
      </c>
      <c r="L257" s="19" t="s">
        <v>1863</v>
      </c>
      <c r="M257" s="19" t="s">
        <v>1864</v>
      </c>
      <c r="N257" s="19" t="s">
        <v>1463</v>
      </c>
    </row>
    <row r="258" spans="1:14">
      <c r="A258" s="19" t="s">
        <v>232</v>
      </c>
      <c r="B258" s="19">
        <v>17</v>
      </c>
      <c r="C258" s="19" t="s">
        <v>1865</v>
      </c>
      <c r="D258" s="19" t="s">
        <v>1866</v>
      </c>
      <c r="E258" s="19" t="s">
        <v>855</v>
      </c>
      <c r="F258" s="19">
        <v>2014</v>
      </c>
      <c r="G258" s="21">
        <v>0.70022255</v>
      </c>
      <c r="H258" s="19" t="s">
        <v>1867</v>
      </c>
      <c r="I258" s="19" t="s">
        <v>914</v>
      </c>
      <c r="J258" s="21">
        <v>0.70022255</v>
      </c>
      <c r="K258" s="19" t="s">
        <v>1868</v>
      </c>
      <c r="L258" s="19" t="s">
        <v>1869</v>
      </c>
      <c r="M258" s="19" t="s">
        <v>1870</v>
      </c>
      <c r="N258" s="19" t="s">
        <v>1463</v>
      </c>
    </row>
    <row r="259" spans="1:14">
      <c r="A259" s="19" t="s">
        <v>232</v>
      </c>
      <c r="B259" s="19">
        <v>18</v>
      </c>
      <c r="C259" s="19" t="s">
        <v>1871</v>
      </c>
      <c r="D259" s="19" t="s">
        <v>1872</v>
      </c>
      <c r="E259" s="19" t="s">
        <v>855</v>
      </c>
      <c r="F259" s="19">
        <v>2014</v>
      </c>
      <c r="G259" s="21">
        <v>0.6992756</v>
      </c>
      <c r="H259" s="19" t="s">
        <v>1873</v>
      </c>
      <c r="I259" s="19" t="s">
        <v>914</v>
      </c>
      <c r="J259" s="21">
        <v>0.6992756</v>
      </c>
      <c r="K259" s="19" t="s">
        <v>1874</v>
      </c>
      <c r="L259" s="19" t="s">
        <v>1875</v>
      </c>
      <c r="M259" s="19" t="s">
        <v>1876</v>
      </c>
      <c r="N259" s="19" t="s">
        <v>1463</v>
      </c>
    </row>
    <row r="260" spans="1:14">
      <c r="A260" s="19" t="s">
        <v>232</v>
      </c>
      <c r="B260" s="19">
        <v>19</v>
      </c>
      <c r="C260" s="19" t="s">
        <v>1877</v>
      </c>
      <c r="D260" s="19" t="s">
        <v>1878</v>
      </c>
      <c r="E260" s="19" t="s">
        <v>855</v>
      </c>
      <c r="F260" s="19">
        <v>2015</v>
      </c>
      <c r="G260" s="21">
        <v>0.69894000000000001</v>
      </c>
      <c r="H260" s="19" t="s">
        <v>1879</v>
      </c>
      <c r="I260" s="19" t="s">
        <v>914</v>
      </c>
      <c r="J260" s="21">
        <v>0.69894000000000001</v>
      </c>
      <c r="K260" s="19" t="s">
        <v>1880</v>
      </c>
      <c r="L260" s="19" t="s">
        <v>1881</v>
      </c>
      <c r="M260" s="19"/>
      <c r="N260" s="19" t="s">
        <v>1463</v>
      </c>
    </row>
    <row r="261" spans="1:14">
      <c r="A261" s="19" t="s">
        <v>232</v>
      </c>
      <c r="B261" s="19">
        <v>20</v>
      </c>
      <c r="C261" s="19" t="s">
        <v>1257</v>
      </c>
      <c r="D261" s="19" t="s">
        <v>1258</v>
      </c>
      <c r="E261" s="19" t="s">
        <v>855</v>
      </c>
      <c r="F261" s="19">
        <v>2023</v>
      </c>
      <c r="G261" s="21">
        <v>0.69797646999999996</v>
      </c>
      <c r="H261" s="19" t="s">
        <v>1882</v>
      </c>
      <c r="I261" s="19" t="s">
        <v>914</v>
      </c>
      <c r="J261" s="21">
        <v>0.69797646999999996</v>
      </c>
      <c r="K261" s="19" t="s">
        <v>1883</v>
      </c>
      <c r="L261" s="19" t="s">
        <v>1884</v>
      </c>
      <c r="M261" s="19"/>
      <c r="N261" s="19" t="s">
        <v>1463</v>
      </c>
    </row>
    <row r="262" spans="1:14">
      <c r="A262" s="19" t="s">
        <v>214</v>
      </c>
      <c r="B262" s="19">
        <v>1</v>
      </c>
      <c r="C262" s="19" t="s">
        <v>1600</v>
      </c>
      <c r="D262" s="19" t="s">
        <v>717</v>
      </c>
      <c r="E262" s="19" t="s">
        <v>855</v>
      </c>
      <c r="F262" s="19">
        <v>2015</v>
      </c>
      <c r="G262" s="21">
        <v>0.73170173000000005</v>
      </c>
      <c r="H262" s="19" t="s">
        <v>1601</v>
      </c>
      <c r="I262" s="19" t="s">
        <v>914</v>
      </c>
      <c r="J262" s="21">
        <v>0.73170173000000005</v>
      </c>
      <c r="K262" s="19" t="s">
        <v>1602</v>
      </c>
      <c r="L262" s="19" t="s">
        <v>1603</v>
      </c>
      <c r="M262" s="19"/>
      <c r="N262" s="19" t="s">
        <v>1604</v>
      </c>
    </row>
    <row r="263" spans="1:14">
      <c r="A263" s="19" t="s">
        <v>214</v>
      </c>
      <c r="B263" s="19">
        <v>2</v>
      </c>
      <c r="C263" s="19" t="s">
        <v>1518</v>
      </c>
      <c r="D263" s="19" t="s">
        <v>1519</v>
      </c>
      <c r="E263" s="19" t="s">
        <v>855</v>
      </c>
      <c r="F263" s="19">
        <v>2022</v>
      </c>
      <c r="G263" s="21">
        <v>0.72841834999999999</v>
      </c>
      <c r="H263" s="19" t="s">
        <v>1605</v>
      </c>
      <c r="I263" s="19" t="s">
        <v>914</v>
      </c>
      <c r="J263" s="21">
        <v>0.72841834999999999</v>
      </c>
      <c r="K263" s="19" t="s">
        <v>1606</v>
      </c>
      <c r="L263" s="19" t="s">
        <v>1607</v>
      </c>
      <c r="M263" s="19"/>
      <c r="N263" s="19" t="s">
        <v>1604</v>
      </c>
    </row>
    <row r="264" spans="1:14">
      <c r="A264" s="19" t="s">
        <v>214</v>
      </c>
      <c r="B264" s="19">
        <v>3</v>
      </c>
      <c r="C264" s="19" t="s">
        <v>1608</v>
      </c>
      <c r="D264" s="19" t="s">
        <v>1609</v>
      </c>
      <c r="E264" s="19" t="s">
        <v>855</v>
      </c>
      <c r="F264" s="19">
        <v>2014</v>
      </c>
      <c r="G264" s="21">
        <v>0.72689029999999999</v>
      </c>
      <c r="H264" s="19" t="s">
        <v>1610</v>
      </c>
      <c r="I264" s="19" t="s">
        <v>914</v>
      </c>
      <c r="J264" s="21">
        <v>0.72689029999999999</v>
      </c>
      <c r="K264" s="19" t="s">
        <v>1611</v>
      </c>
      <c r="L264" s="19" t="s">
        <v>1612</v>
      </c>
      <c r="M264" s="19"/>
      <c r="N264" s="19" t="s">
        <v>1604</v>
      </c>
    </row>
    <row r="265" spans="1:14">
      <c r="A265" s="19" t="s">
        <v>214</v>
      </c>
      <c r="B265" s="19">
        <v>4</v>
      </c>
      <c r="C265" s="19" t="s">
        <v>1613</v>
      </c>
      <c r="D265" s="19" t="s">
        <v>1614</v>
      </c>
      <c r="E265" s="19" t="s">
        <v>855</v>
      </c>
      <c r="F265" s="19">
        <v>2015</v>
      </c>
      <c r="G265" s="21">
        <v>0.72556469999999995</v>
      </c>
      <c r="H265" s="19" t="s">
        <v>1615</v>
      </c>
      <c r="I265" s="19" t="s">
        <v>914</v>
      </c>
      <c r="J265" s="21">
        <v>0.72556469999999995</v>
      </c>
      <c r="K265" s="19" t="s">
        <v>1616</v>
      </c>
      <c r="L265" s="19" t="s">
        <v>1617</v>
      </c>
      <c r="M265" s="19" t="s">
        <v>1618</v>
      </c>
      <c r="N265" s="19" t="s">
        <v>1604</v>
      </c>
    </row>
    <row r="266" spans="1:14">
      <c r="A266" s="19" t="s">
        <v>214</v>
      </c>
      <c r="B266" s="19">
        <v>5</v>
      </c>
      <c r="C266" s="19" t="s">
        <v>1619</v>
      </c>
      <c r="D266" s="19" t="s">
        <v>1620</v>
      </c>
      <c r="E266" s="19" t="s">
        <v>855</v>
      </c>
      <c r="F266" s="19">
        <v>2015</v>
      </c>
      <c r="G266" s="21">
        <v>0.72506535000000005</v>
      </c>
      <c r="H266" s="19" t="s">
        <v>1621</v>
      </c>
      <c r="I266" s="19" t="s">
        <v>914</v>
      </c>
      <c r="J266" s="21">
        <v>0.72506535000000005</v>
      </c>
      <c r="K266" s="19" t="s">
        <v>1622</v>
      </c>
      <c r="L266" s="19" t="s">
        <v>1623</v>
      </c>
      <c r="M266" s="19" t="s">
        <v>1624</v>
      </c>
      <c r="N266" s="19" t="s">
        <v>1604</v>
      </c>
    </row>
    <row r="267" spans="1:14">
      <c r="A267" s="19" t="s">
        <v>214</v>
      </c>
      <c r="B267" s="19">
        <v>6</v>
      </c>
      <c r="C267" s="19" t="s">
        <v>1625</v>
      </c>
      <c r="D267" s="19" t="s">
        <v>1626</v>
      </c>
      <c r="E267" s="19" t="s">
        <v>855</v>
      </c>
      <c r="F267" s="19">
        <v>2015</v>
      </c>
      <c r="G267" s="21">
        <v>0.72407480000000002</v>
      </c>
      <c r="H267" s="19" t="s">
        <v>1627</v>
      </c>
      <c r="I267" s="19" t="s">
        <v>914</v>
      </c>
      <c r="J267" s="21">
        <v>0.72407480000000002</v>
      </c>
      <c r="K267" s="19" t="s">
        <v>1628</v>
      </c>
      <c r="L267" s="19" t="s">
        <v>1629</v>
      </c>
      <c r="M267" s="19"/>
      <c r="N267" s="19" t="s">
        <v>1630</v>
      </c>
    </row>
    <row r="268" spans="1:14">
      <c r="A268" s="19" t="s">
        <v>214</v>
      </c>
      <c r="B268" s="19">
        <v>7</v>
      </c>
      <c r="C268" s="19" t="s">
        <v>1631</v>
      </c>
      <c r="D268" s="19" t="s">
        <v>1632</v>
      </c>
      <c r="E268" s="19" t="s">
        <v>855</v>
      </c>
      <c r="F268" s="19">
        <v>2014</v>
      </c>
      <c r="G268" s="21">
        <v>0.72133756000000004</v>
      </c>
      <c r="H268" s="19" t="s">
        <v>1633</v>
      </c>
      <c r="I268" s="19" t="s">
        <v>857</v>
      </c>
      <c r="J268" s="21">
        <v>0.72133756000000004</v>
      </c>
      <c r="K268" s="19" t="s">
        <v>1634</v>
      </c>
      <c r="L268" s="19" t="s">
        <v>1635</v>
      </c>
      <c r="M268" s="19"/>
      <c r="N268" s="19" t="s">
        <v>1636</v>
      </c>
    </row>
    <row r="269" spans="1:14">
      <c r="A269" s="19" t="s">
        <v>214</v>
      </c>
      <c r="B269" s="19">
        <v>8</v>
      </c>
      <c r="C269" s="19" t="s">
        <v>1637</v>
      </c>
      <c r="D269" s="19" t="s">
        <v>1638</v>
      </c>
      <c r="E269" s="19" t="s">
        <v>855</v>
      </c>
      <c r="F269" s="19">
        <v>2015</v>
      </c>
      <c r="G269" s="21">
        <v>0.72111139999999996</v>
      </c>
      <c r="H269" s="19" t="s">
        <v>1639</v>
      </c>
      <c r="I269" s="19" t="s">
        <v>914</v>
      </c>
      <c r="J269" s="21">
        <v>0.72111139999999996</v>
      </c>
      <c r="K269" s="19" t="s">
        <v>1640</v>
      </c>
      <c r="L269" s="19" t="s">
        <v>1641</v>
      </c>
      <c r="M269" s="19" t="s">
        <v>1642</v>
      </c>
      <c r="N269" s="19" t="s">
        <v>1630</v>
      </c>
    </row>
    <row r="270" spans="1:14">
      <c r="A270" s="19" t="s">
        <v>214</v>
      </c>
      <c r="B270" s="19">
        <v>9</v>
      </c>
      <c r="C270" s="19" t="s">
        <v>1643</v>
      </c>
      <c r="D270" s="19" t="s">
        <v>1644</v>
      </c>
      <c r="E270" s="19" t="s">
        <v>855</v>
      </c>
      <c r="F270" s="19">
        <v>2014</v>
      </c>
      <c r="G270" s="21">
        <v>0.71684270000000005</v>
      </c>
      <c r="H270" s="19" t="s">
        <v>1645</v>
      </c>
      <c r="I270" s="19" t="s">
        <v>914</v>
      </c>
      <c r="J270" s="21">
        <v>0.71684270000000005</v>
      </c>
      <c r="K270" s="19" t="s">
        <v>1646</v>
      </c>
      <c r="L270" s="19" t="s">
        <v>1647</v>
      </c>
      <c r="M270" s="19"/>
      <c r="N270" s="19" t="s">
        <v>1630</v>
      </c>
    </row>
    <row r="271" spans="1:14">
      <c r="A271" s="19" t="s">
        <v>214</v>
      </c>
      <c r="B271" s="19">
        <v>10</v>
      </c>
      <c r="C271" s="19" t="s">
        <v>1648</v>
      </c>
      <c r="D271" s="19" t="s">
        <v>1649</v>
      </c>
      <c r="E271" s="19" t="s">
        <v>855</v>
      </c>
      <c r="F271" s="19">
        <v>2016</v>
      </c>
      <c r="G271" s="21">
        <v>0.71553062999999995</v>
      </c>
      <c r="H271" s="19" t="s">
        <v>1650</v>
      </c>
      <c r="I271" s="19" t="s">
        <v>914</v>
      </c>
      <c r="J271" s="21">
        <v>0.71553062999999995</v>
      </c>
      <c r="K271" s="19" t="s">
        <v>1651</v>
      </c>
      <c r="L271" s="19" t="s">
        <v>1652</v>
      </c>
      <c r="M271" s="19" t="s">
        <v>1653</v>
      </c>
      <c r="N271" s="19" t="s">
        <v>1630</v>
      </c>
    </row>
    <row r="272" spans="1:14">
      <c r="A272" s="19" t="s">
        <v>214</v>
      </c>
      <c r="B272" s="19">
        <v>11</v>
      </c>
      <c r="C272" s="19" t="s">
        <v>1654</v>
      </c>
      <c r="D272" s="19" t="s">
        <v>1655</v>
      </c>
      <c r="E272" s="19" t="s">
        <v>855</v>
      </c>
      <c r="F272" s="19">
        <v>2014</v>
      </c>
      <c r="G272" s="21">
        <v>0.71482409999999996</v>
      </c>
      <c r="H272" s="19" t="s">
        <v>1656</v>
      </c>
      <c r="I272" s="19" t="s">
        <v>914</v>
      </c>
      <c r="J272" s="21">
        <v>0.71482409999999996</v>
      </c>
      <c r="K272" s="19" t="s">
        <v>1657</v>
      </c>
      <c r="L272" s="19" t="s">
        <v>1658</v>
      </c>
      <c r="M272" s="19"/>
      <c r="N272" s="19" t="s">
        <v>1659</v>
      </c>
    </row>
    <row r="273" spans="1:14">
      <c r="A273" s="19" t="s">
        <v>214</v>
      </c>
      <c r="B273" s="19">
        <v>12</v>
      </c>
      <c r="C273" s="19" t="s">
        <v>1660</v>
      </c>
      <c r="D273" s="19" t="s">
        <v>1661</v>
      </c>
      <c r="E273" s="19" t="s">
        <v>855</v>
      </c>
      <c r="F273" s="19">
        <v>2015</v>
      </c>
      <c r="G273" s="21">
        <v>0.71463615000000003</v>
      </c>
      <c r="H273" s="19" t="s">
        <v>1662</v>
      </c>
      <c r="I273" s="19" t="s">
        <v>914</v>
      </c>
      <c r="J273" s="21">
        <v>0.71463615000000003</v>
      </c>
      <c r="K273" s="19" t="s">
        <v>1663</v>
      </c>
      <c r="L273" s="19" t="s">
        <v>1664</v>
      </c>
      <c r="M273" s="19"/>
      <c r="N273" s="19" t="s">
        <v>1659</v>
      </c>
    </row>
    <row r="274" spans="1:14">
      <c r="A274" s="19" t="s">
        <v>214</v>
      </c>
      <c r="B274" s="19">
        <v>13</v>
      </c>
      <c r="C274" s="19" t="s">
        <v>1665</v>
      </c>
      <c r="D274" s="19" t="s">
        <v>1666</v>
      </c>
      <c r="E274" s="19" t="s">
        <v>855</v>
      </c>
      <c r="F274" s="19">
        <v>2015</v>
      </c>
      <c r="G274" s="21">
        <v>0.71423749999999997</v>
      </c>
      <c r="H274" s="19" t="s">
        <v>1667</v>
      </c>
      <c r="I274" s="19" t="s">
        <v>914</v>
      </c>
      <c r="J274" s="21">
        <v>0.71423749999999997</v>
      </c>
      <c r="K274" s="19" t="s">
        <v>1668</v>
      </c>
      <c r="L274" s="19" t="s">
        <v>1669</v>
      </c>
      <c r="M274" s="19"/>
      <c r="N274" s="19" t="s">
        <v>1659</v>
      </c>
    </row>
    <row r="275" spans="1:14">
      <c r="A275" s="19" t="s">
        <v>214</v>
      </c>
      <c r="B275" s="19">
        <v>14</v>
      </c>
      <c r="C275" s="19" t="s">
        <v>1670</v>
      </c>
      <c r="D275" s="19" t="s">
        <v>1671</v>
      </c>
      <c r="E275" s="19" t="s">
        <v>855</v>
      </c>
      <c r="F275" s="19">
        <v>2014</v>
      </c>
      <c r="G275" s="21">
        <v>0.71273726000000004</v>
      </c>
      <c r="H275" s="19" t="s">
        <v>1672</v>
      </c>
      <c r="I275" s="19" t="s">
        <v>914</v>
      </c>
      <c r="J275" s="21">
        <v>0.71273726000000004</v>
      </c>
      <c r="K275" s="19" t="s">
        <v>1673</v>
      </c>
      <c r="L275" s="19" t="s">
        <v>1674</v>
      </c>
      <c r="M275" s="19"/>
      <c r="N275" s="19" t="s">
        <v>1659</v>
      </c>
    </row>
    <row r="276" spans="1:14">
      <c r="A276" s="19" t="s">
        <v>214</v>
      </c>
      <c r="B276" s="19">
        <v>15</v>
      </c>
      <c r="C276" s="19" t="s">
        <v>1675</v>
      </c>
      <c r="D276" s="19" t="s">
        <v>1676</v>
      </c>
      <c r="E276" s="19" t="s">
        <v>855</v>
      </c>
      <c r="F276" s="19">
        <v>2015</v>
      </c>
      <c r="G276" s="21">
        <v>0.70538009999999995</v>
      </c>
      <c r="H276" s="19" t="s">
        <v>1677</v>
      </c>
      <c r="I276" s="19" t="s">
        <v>914</v>
      </c>
      <c r="J276" s="21">
        <v>0.70538009999999995</v>
      </c>
      <c r="K276" s="19" t="s">
        <v>1678</v>
      </c>
      <c r="L276" s="19" t="s">
        <v>1679</v>
      </c>
      <c r="M276" s="19"/>
      <c r="N276" s="19" t="s">
        <v>1659</v>
      </c>
    </row>
    <row r="277" spans="1:14">
      <c r="A277" s="19" t="s">
        <v>214</v>
      </c>
      <c r="B277" s="19">
        <v>16</v>
      </c>
      <c r="C277" s="19" t="s">
        <v>1680</v>
      </c>
      <c r="D277" s="19" t="s">
        <v>1681</v>
      </c>
      <c r="E277" s="19" t="s">
        <v>855</v>
      </c>
      <c r="F277" s="19">
        <v>2014</v>
      </c>
      <c r="G277" s="21">
        <v>0.70324180000000003</v>
      </c>
      <c r="H277" s="19" t="s">
        <v>1682</v>
      </c>
      <c r="I277" s="19" t="s">
        <v>914</v>
      </c>
      <c r="J277" s="21">
        <v>0.70324180000000003</v>
      </c>
      <c r="K277" s="19" t="s">
        <v>1683</v>
      </c>
      <c r="L277" s="19" t="s">
        <v>1684</v>
      </c>
      <c r="M277" s="19"/>
      <c r="N277" s="19" t="s">
        <v>1463</v>
      </c>
    </row>
    <row r="278" spans="1:14">
      <c r="A278" s="19" t="s">
        <v>214</v>
      </c>
      <c r="B278" s="19">
        <v>17</v>
      </c>
      <c r="C278" s="19" t="s">
        <v>1886</v>
      </c>
      <c r="D278" s="19" t="s">
        <v>1887</v>
      </c>
      <c r="E278" s="19" t="s">
        <v>855</v>
      </c>
      <c r="F278" s="19">
        <v>2014</v>
      </c>
      <c r="G278" s="21">
        <v>0.70212746000000004</v>
      </c>
      <c r="H278" s="19" t="s">
        <v>1888</v>
      </c>
      <c r="I278" s="19" t="s">
        <v>914</v>
      </c>
      <c r="J278" s="21">
        <v>0.70212746000000004</v>
      </c>
      <c r="K278" s="19" t="s">
        <v>1889</v>
      </c>
      <c r="L278" s="19" t="s">
        <v>1890</v>
      </c>
      <c r="M278" s="19"/>
      <c r="N278" s="19" t="s">
        <v>1463</v>
      </c>
    </row>
    <row r="279" spans="1:14">
      <c r="A279" s="19" t="s">
        <v>214</v>
      </c>
      <c r="B279" s="19">
        <v>18</v>
      </c>
      <c r="C279" s="19" t="s">
        <v>1685</v>
      </c>
      <c r="D279" s="19" t="s">
        <v>1686</v>
      </c>
      <c r="E279" s="19" t="s">
        <v>855</v>
      </c>
      <c r="F279" s="19">
        <v>2014</v>
      </c>
      <c r="G279" s="21">
        <v>0.70171309999999998</v>
      </c>
      <c r="H279" s="19" t="s">
        <v>1687</v>
      </c>
      <c r="I279" s="19" t="s">
        <v>914</v>
      </c>
      <c r="J279" s="21">
        <v>0.70171309999999998</v>
      </c>
      <c r="K279" s="19" t="s">
        <v>1688</v>
      </c>
      <c r="L279" s="19" t="s">
        <v>1689</v>
      </c>
      <c r="M279" s="19"/>
      <c r="N279" s="19" t="s">
        <v>1463</v>
      </c>
    </row>
    <row r="280" spans="1:14">
      <c r="A280" s="19" t="s">
        <v>214</v>
      </c>
      <c r="B280" s="19">
        <v>19</v>
      </c>
      <c r="C280" s="19" t="s">
        <v>1690</v>
      </c>
      <c r="D280" s="19" t="s">
        <v>1691</v>
      </c>
      <c r="E280" s="19" t="s">
        <v>855</v>
      </c>
      <c r="F280" s="19">
        <v>2016</v>
      </c>
      <c r="G280" s="21">
        <v>0.70052499999999995</v>
      </c>
      <c r="H280" s="19" t="s">
        <v>1692</v>
      </c>
      <c r="I280" s="19" t="s">
        <v>914</v>
      </c>
      <c r="J280" s="21">
        <v>0.70052499999999995</v>
      </c>
      <c r="K280" s="19" t="s">
        <v>1693</v>
      </c>
      <c r="L280" s="19" t="s">
        <v>1694</v>
      </c>
      <c r="M280" s="19"/>
      <c r="N280" s="19" t="s">
        <v>1463</v>
      </c>
    </row>
    <row r="281" spans="1:14">
      <c r="A281" s="19" t="s">
        <v>214</v>
      </c>
      <c r="B281" s="19">
        <v>20</v>
      </c>
      <c r="C281" s="19" t="s">
        <v>1695</v>
      </c>
      <c r="D281" s="19" t="s">
        <v>1696</v>
      </c>
      <c r="E281" s="19" t="s">
        <v>855</v>
      </c>
      <c r="F281" s="19">
        <v>2014</v>
      </c>
      <c r="G281" s="21">
        <v>0.69997346000000005</v>
      </c>
      <c r="H281" s="19" t="s">
        <v>1697</v>
      </c>
      <c r="I281" s="19" t="s">
        <v>914</v>
      </c>
      <c r="J281" s="21">
        <v>0.69997346000000005</v>
      </c>
      <c r="K281" s="19" t="s">
        <v>1698</v>
      </c>
      <c r="L281" s="19" t="s">
        <v>1699</v>
      </c>
      <c r="M281" s="19" t="s">
        <v>1700</v>
      </c>
      <c r="N281" s="19" t="s">
        <v>1463</v>
      </c>
    </row>
    <row r="282" spans="1:14">
      <c r="A282" s="19" t="s">
        <v>203</v>
      </c>
      <c r="B282" s="19">
        <v>1</v>
      </c>
      <c r="C282" s="19" t="s">
        <v>1891</v>
      </c>
      <c r="D282" s="19" t="s">
        <v>713</v>
      </c>
      <c r="E282" s="19" t="s">
        <v>855</v>
      </c>
      <c r="F282" s="19">
        <v>2014</v>
      </c>
      <c r="G282" s="21">
        <v>0.69842349999999997</v>
      </c>
      <c r="H282" s="19" t="s">
        <v>1892</v>
      </c>
      <c r="I282" s="19" t="s">
        <v>857</v>
      </c>
      <c r="J282" s="21">
        <v>0.69842349999999997</v>
      </c>
      <c r="K282" s="19" t="s">
        <v>1893</v>
      </c>
      <c r="L282" s="19" t="s">
        <v>1894</v>
      </c>
      <c r="M282" s="19"/>
      <c r="N282" s="19" t="s">
        <v>986</v>
      </c>
    </row>
    <row r="283" spans="1:14">
      <c r="A283" s="19" t="s">
        <v>203</v>
      </c>
      <c r="B283" s="19">
        <v>2</v>
      </c>
      <c r="C283" s="19" t="s">
        <v>1895</v>
      </c>
      <c r="D283" s="19" t="s">
        <v>1896</v>
      </c>
      <c r="E283" s="19" t="s">
        <v>855</v>
      </c>
      <c r="F283" s="19">
        <v>2015</v>
      </c>
      <c r="G283" s="21">
        <v>0.69834554000000004</v>
      </c>
      <c r="H283" s="19" t="s">
        <v>1897</v>
      </c>
      <c r="I283" s="19" t="s">
        <v>857</v>
      </c>
      <c r="J283" s="21">
        <v>0.69834554000000004</v>
      </c>
      <c r="K283" s="19" t="s">
        <v>1898</v>
      </c>
      <c r="L283" s="19" t="s">
        <v>1899</v>
      </c>
      <c r="M283" s="19"/>
      <c r="N283" s="19" t="s">
        <v>986</v>
      </c>
    </row>
    <row r="284" spans="1:14">
      <c r="A284" s="19" t="s">
        <v>203</v>
      </c>
      <c r="B284" s="19">
        <v>3</v>
      </c>
      <c r="C284" s="19" t="s">
        <v>929</v>
      </c>
      <c r="D284" s="19" t="s">
        <v>930</v>
      </c>
      <c r="E284" s="19" t="s">
        <v>855</v>
      </c>
      <c r="F284" s="19">
        <v>2023</v>
      </c>
      <c r="G284" s="21">
        <v>0.68875929999999996</v>
      </c>
      <c r="H284" s="19" t="s">
        <v>931</v>
      </c>
      <c r="I284" s="19" t="s">
        <v>865</v>
      </c>
      <c r="J284" s="21">
        <v>0.68875929999999996</v>
      </c>
      <c r="K284" s="19" t="s">
        <v>932</v>
      </c>
      <c r="L284" s="19" t="s">
        <v>933</v>
      </c>
      <c r="M284" s="19"/>
      <c r="N284" s="19" t="s">
        <v>1470</v>
      </c>
    </row>
    <row r="285" spans="1:14">
      <c r="A285" s="19" t="s">
        <v>203</v>
      </c>
      <c r="B285" s="19">
        <v>4</v>
      </c>
      <c r="C285" s="19" t="s">
        <v>1900</v>
      </c>
      <c r="D285" s="19" t="s">
        <v>1901</v>
      </c>
      <c r="E285" s="19" t="s">
        <v>855</v>
      </c>
      <c r="F285" s="19">
        <v>2023</v>
      </c>
      <c r="G285" s="21">
        <v>0.68775755000000005</v>
      </c>
      <c r="H285" s="19" t="s">
        <v>1902</v>
      </c>
      <c r="I285" s="19" t="s">
        <v>865</v>
      </c>
      <c r="J285" s="21">
        <v>0.68775755000000005</v>
      </c>
      <c r="K285" s="19" t="s">
        <v>1903</v>
      </c>
      <c r="L285" s="19" t="s">
        <v>1904</v>
      </c>
      <c r="M285" s="19" t="s">
        <v>1905</v>
      </c>
      <c r="N285" s="19" t="s">
        <v>1470</v>
      </c>
    </row>
    <row r="286" spans="1:14">
      <c r="A286" s="19" t="s">
        <v>203</v>
      </c>
      <c r="B286" s="19">
        <v>5</v>
      </c>
      <c r="C286" s="19" t="s">
        <v>1906</v>
      </c>
      <c r="D286" s="19" t="s">
        <v>1907</v>
      </c>
      <c r="E286" s="19" t="s">
        <v>855</v>
      </c>
      <c r="F286" s="19">
        <v>2015</v>
      </c>
      <c r="G286" s="21">
        <v>0.68681360000000002</v>
      </c>
      <c r="H286" s="19" t="s">
        <v>1908</v>
      </c>
      <c r="I286" s="19" t="s">
        <v>857</v>
      </c>
      <c r="J286" s="21">
        <v>0.68681360000000002</v>
      </c>
      <c r="K286" s="19" t="s">
        <v>1909</v>
      </c>
      <c r="L286" s="19" t="s">
        <v>1910</v>
      </c>
      <c r="M286" s="19"/>
      <c r="N286" s="19" t="s">
        <v>1409</v>
      </c>
    </row>
    <row r="287" spans="1:14">
      <c r="A287" s="19" t="s">
        <v>203</v>
      </c>
      <c r="B287" s="19">
        <v>6</v>
      </c>
      <c r="C287" s="19" t="s">
        <v>1911</v>
      </c>
      <c r="D287" s="19" t="s">
        <v>1912</v>
      </c>
      <c r="E287" s="19" t="s">
        <v>855</v>
      </c>
      <c r="F287" s="19">
        <v>2016</v>
      </c>
      <c r="G287" s="21">
        <v>0.68648609999999999</v>
      </c>
      <c r="H287" s="19" t="s">
        <v>1913</v>
      </c>
      <c r="I287" s="19" t="s">
        <v>951</v>
      </c>
      <c r="J287" s="21">
        <v>0.68648609999999999</v>
      </c>
      <c r="K287" s="19" t="s">
        <v>1914</v>
      </c>
      <c r="L287" s="19" t="s">
        <v>1915</v>
      </c>
      <c r="M287" s="19" t="s">
        <v>1916</v>
      </c>
      <c r="N287" s="19" t="s">
        <v>993</v>
      </c>
    </row>
    <row r="288" spans="1:14">
      <c r="A288" s="19" t="s">
        <v>203</v>
      </c>
      <c r="B288" s="19">
        <v>7</v>
      </c>
      <c r="C288" s="19" t="s">
        <v>1917</v>
      </c>
      <c r="D288" s="19" t="s">
        <v>1918</v>
      </c>
      <c r="E288" s="19" t="s">
        <v>855</v>
      </c>
      <c r="F288" s="19">
        <v>2022</v>
      </c>
      <c r="G288" s="21">
        <v>0.68360969999999999</v>
      </c>
      <c r="H288" s="19" t="s">
        <v>1919</v>
      </c>
      <c r="I288" s="19" t="s">
        <v>865</v>
      </c>
      <c r="J288" s="21">
        <v>0.68360969999999999</v>
      </c>
      <c r="K288" s="19" t="s">
        <v>1920</v>
      </c>
      <c r="L288" s="19" t="s">
        <v>1921</v>
      </c>
      <c r="M288" s="19" t="s">
        <v>1922</v>
      </c>
      <c r="N288" s="19" t="s">
        <v>1178</v>
      </c>
    </row>
    <row r="289" spans="1:14">
      <c r="A289" s="19" t="s">
        <v>203</v>
      </c>
      <c r="B289" s="19">
        <v>8</v>
      </c>
      <c r="C289" s="19" t="s">
        <v>1923</v>
      </c>
      <c r="D289" s="19" t="s">
        <v>1924</v>
      </c>
      <c r="E289" s="19" t="s">
        <v>855</v>
      </c>
      <c r="F289" s="19">
        <v>2023</v>
      </c>
      <c r="G289" s="21">
        <v>0.6821159</v>
      </c>
      <c r="H289" s="19" t="s">
        <v>1925</v>
      </c>
      <c r="I289" s="19" t="s">
        <v>865</v>
      </c>
      <c r="J289" s="21">
        <v>0.6821159</v>
      </c>
      <c r="K289" s="19" t="s">
        <v>1926</v>
      </c>
      <c r="L289" s="19" t="s">
        <v>1927</v>
      </c>
      <c r="M289" s="19" t="s">
        <v>1928</v>
      </c>
      <c r="N289" s="19" t="s">
        <v>1178</v>
      </c>
    </row>
    <row r="290" spans="1:14">
      <c r="A290" s="19" t="s">
        <v>203</v>
      </c>
      <c r="B290" s="19">
        <v>9</v>
      </c>
      <c r="C290" s="19" t="s">
        <v>1929</v>
      </c>
      <c r="D290" s="19" t="s">
        <v>1930</v>
      </c>
      <c r="E290" s="19" t="s">
        <v>855</v>
      </c>
      <c r="F290" s="19">
        <v>2022</v>
      </c>
      <c r="G290" s="21">
        <v>0.68136209999999997</v>
      </c>
      <c r="H290" s="19" t="s">
        <v>1931</v>
      </c>
      <c r="I290" s="19" t="s">
        <v>865</v>
      </c>
      <c r="J290" s="21">
        <v>0.68136209999999997</v>
      </c>
      <c r="K290" s="19" t="s">
        <v>1932</v>
      </c>
      <c r="L290" s="19" t="s">
        <v>1933</v>
      </c>
      <c r="M290" s="19"/>
      <c r="N290" s="19" t="s">
        <v>1178</v>
      </c>
    </row>
    <row r="291" spans="1:14">
      <c r="A291" s="19" t="s">
        <v>203</v>
      </c>
      <c r="B291" s="19">
        <v>10</v>
      </c>
      <c r="C291" s="19" t="s">
        <v>1934</v>
      </c>
      <c r="D291" s="19" t="s">
        <v>1935</v>
      </c>
      <c r="E291" s="19" t="s">
        <v>855</v>
      </c>
      <c r="F291" s="19">
        <v>2022</v>
      </c>
      <c r="G291" s="21">
        <v>0.67955259999999995</v>
      </c>
      <c r="H291" s="19" t="s">
        <v>1936</v>
      </c>
      <c r="I291" s="19" t="s">
        <v>865</v>
      </c>
      <c r="J291" s="21">
        <v>0.67955259999999995</v>
      </c>
      <c r="K291" s="19" t="s">
        <v>1937</v>
      </c>
      <c r="L291" s="19" t="s">
        <v>1938</v>
      </c>
      <c r="M291" s="19" t="s">
        <v>1939</v>
      </c>
      <c r="N291" s="19" t="s">
        <v>1178</v>
      </c>
    </row>
    <row r="292" spans="1:14">
      <c r="A292" s="19" t="s">
        <v>203</v>
      </c>
      <c r="B292" s="19">
        <v>11</v>
      </c>
      <c r="C292" s="19" t="s">
        <v>1518</v>
      </c>
      <c r="D292" s="19" t="s">
        <v>1519</v>
      </c>
      <c r="E292" s="19" t="s">
        <v>855</v>
      </c>
      <c r="F292" s="19">
        <v>2022</v>
      </c>
      <c r="G292" s="21">
        <v>0.67894566000000001</v>
      </c>
      <c r="H292" s="19" t="s">
        <v>1940</v>
      </c>
      <c r="I292" s="19" t="s">
        <v>865</v>
      </c>
      <c r="J292" s="21">
        <v>0.67894566000000001</v>
      </c>
      <c r="K292" s="19" t="s">
        <v>1941</v>
      </c>
      <c r="L292" s="19" t="s">
        <v>1942</v>
      </c>
      <c r="M292" s="19"/>
      <c r="N292" s="19" t="s">
        <v>1178</v>
      </c>
    </row>
    <row r="293" spans="1:14">
      <c r="A293" s="19" t="s">
        <v>203</v>
      </c>
      <c r="B293" s="19">
        <v>12</v>
      </c>
      <c r="C293" s="19" t="s">
        <v>1943</v>
      </c>
      <c r="D293" s="19" t="s">
        <v>1944</v>
      </c>
      <c r="E293" s="19" t="s">
        <v>855</v>
      </c>
      <c r="F293" s="19">
        <v>2023</v>
      </c>
      <c r="G293" s="21">
        <v>0.67827979999999999</v>
      </c>
      <c r="H293" s="19" t="s">
        <v>1945</v>
      </c>
      <c r="I293" s="19" t="s">
        <v>865</v>
      </c>
      <c r="J293" s="21">
        <v>0.67827979999999999</v>
      </c>
      <c r="K293" s="19" t="s">
        <v>1946</v>
      </c>
      <c r="L293" s="19" t="s">
        <v>1947</v>
      </c>
      <c r="M293" s="19"/>
      <c r="N293" s="19" t="s">
        <v>1178</v>
      </c>
    </row>
    <row r="294" spans="1:14">
      <c r="A294" s="19" t="s">
        <v>203</v>
      </c>
      <c r="B294" s="19">
        <v>13</v>
      </c>
      <c r="C294" s="19" t="s">
        <v>1948</v>
      </c>
      <c r="D294" s="19" t="s">
        <v>1949</v>
      </c>
      <c r="E294" s="19" t="s">
        <v>855</v>
      </c>
      <c r="F294" s="19">
        <v>2023</v>
      </c>
      <c r="G294" s="21">
        <v>0.67737937000000004</v>
      </c>
      <c r="H294" s="19" t="s">
        <v>1950</v>
      </c>
      <c r="I294" s="19" t="s">
        <v>865</v>
      </c>
      <c r="J294" s="21">
        <v>0.67737937000000004</v>
      </c>
      <c r="K294" s="19" t="s">
        <v>1951</v>
      </c>
      <c r="L294" s="19" t="s">
        <v>1952</v>
      </c>
      <c r="M294" s="19"/>
      <c r="N294" s="19" t="s">
        <v>1178</v>
      </c>
    </row>
    <row r="295" spans="1:14">
      <c r="A295" s="19" t="s">
        <v>203</v>
      </c>
      <c r="B295" s="19">
        <v>14</v>
      </c>
      <c r="C295" s="19" t="s">
        <v>1953</v>
      </c>
      <c r="D295" s="19" t="s">
        <v>1954</v>
      </c>
      <c r="E295" s="19" t="s">
        <v>855</v>
      </c>
      <c r="F295" s="19">
        <v>2023</v>
      </c>
      <c r="G295" s="21">
        <v>0.67703329999999995</v>
      </c>
      <c r="H295" s="19" t="s">
        <v>1955</v>
      </c>
      <c r="I295" s="19" t="s">
        <v>865</v>
      </c>
      <c r="J295" s="21">
        <v>0.67703329999999995</v>
      </c>
      <c r="K295" s="19" t="s">
        <v>1956</v>
      </c>
      <c r="L295" s="19" t="s">
        <v>1957</v>
      </c>
      <c r="M295" s="19" t="s">
        <v>1958</v>
      </c>
      <c r="N295" s="19" t="s">
        <v>1178</v>
      </c>
    </row>
    <row r="296" spans="1:14">
      <c r="A296" s="19" t="s">
        <v>203</v>
      </c>
      <c r="B296" s="19">
        <v>15</v>
      </c>
      <c r="C296" s="19" t="s">
        <v>1959</v>
      </c>
      <c r="D296" s="19" t="s">
        <v>1960</v>
      </c>
      <c r="E296" s="19" t="s">
        <v>855</v>
      </c>
      <c r="F296" s="19">
        <v>2023</v>
      </c>
      <c r="G296" s="21">
        <v>0.67696049999999997</v>
      </c>
      <c r="H296" s="19" t="s">
        <v>1961</v>
      </c>
      <c r="I296" s="19" t="s">
        <v>865</v>
      </c>
      <c r="J296" s="21">
        <v>0.67696049999999997</v>
      </c>
      <c r="K296" s="19" t="s">
        <v>1962</v>
      </c>
      <c r="L296" s="19" t="s">
        <v>1963</v>
      </c>
      <c r="M296" s="19" t="s">
        <v>1964</v>
      </c>
      <c r="N296" s="19" t="s">
        <v>1178</v>
      </c>
    </row>
    <row r="297" spans="1:14">
      <c r="A297" s="19" t="s">
        <v>203</v>
      </c>
      <c r="B297" s="19">
        <v>16</v>
      </c>
      <c r="C297" s="19" t="s">
        <v>963</v>
      </c>
      <c r="D297" s="19" t="s">
        <v>964</v>
      </c>
      <c r="E297" s="19" t="s">
        <v>855</v>
      </c>
      <c r="F297" s="19">
        <v>2022</v>
      </c>
      <c r="G297" s="21">
        <v>0.67676866000000002</v>
      </c>
      <c r="H297" s="19" t="s">
        <v>965</v>
      </c>
      <c r="I297" s="19" t="s">
        <v>865</v>
      </c>
      <c r="J297" s="21">
        <v>0.67676866000000002</v>
      </c>
      <c r="K297" s="19" t="s">
        <v>966</v>
      </c>
      <c r="L297" s="19" t="s">
        <v>967</v>
      </c>
      <c r="M297" s="19" t="s">
        <v>968</v>
      </c>
      <c r="N297" s="19" t="s">
        <v>1178</v>
      </c>
    </row>
    <row r="298" spans="1:14">
      <c r="A298" s="19" t="s">
        <v>203</v>
      </c>
      <c r="B298" s="19">
        <v>17</v>
      </c>
      <c r="C298" s="19" t="s">
        <v>975</v>
      </c>
      <c r="D298" s="19" t="s">
        <v>976</v>
      </c>
      <c r="E298" s="19" t="s">
        <v>855</v>
      </c>
      <c r="F298" s="19">
        <v>2022</v>
      </c>
      <c r="G298" s="21">
        <v>0.67650854999999999</v>
      </c>
      <c r="H298" s="19" t="s">
        <v>977</v>
      </c>
      <c r="I298" s="19" t="s">
        <v>865</v>
      </c>
      <c r="J298" s="21">
        <v>0.67650854999999999</v>
      </c>
      <c r="K298" s="19" t="s">
        <v>978</v>
      </c>
      <c r="L298" s="19" t="s">
        <v>979</v>
      </c>
      <c r="M298" s="19" t="s">
        <v>980</v>
      </c>
      <c r="N298" s="19" t="s">
        <v>1178</v>
      </c>
    </row>
    <row r="299" spans="1:14">
      <c r="A299" s="19" t="s">
        <v>203</v>
      </c>
      <c r="B299" s="19">
        <v>18</v>
      </c>
      <c r="C299" s="19" t="s">
        <v>1201</v>
      </c>
      <c r="D299" s="19" t="s">
        <v>1202</v>
      </c>
      <c r="E299" s="19" t="s">
        <v>855</v>
      </c>
      <c r="F299" s="19">
        <v>2023</v>
      </c>
      <c r="G299" s="21">
        <v>0.67575940000000001</v>
      </c>
      <c r="H299" s="19" t="s">
        <v>1203</v>
      </c>
      <c r="I299" s="19" t="s">
        <v>865</v>
      </c>
      <c r="J299" s="21">
        <v>0.67575940000000001</v>
      </c>
      <c r="K299" s="19" t="s">
        <v>1204</v>
      </c>
      <c r="L299" s="19" t="s">
        <v>1205</v>
      </c>
      <c r="M299" s="19" t="s">
        <v>1206</v>
      </c>
      <c r="N299" s="19" t="s">
        <v>1178</v>
      </c>
    </row>
    <row r="300" spans="1:14">
      <c r="A300" s="19" t="s">
        <v>203</v>
      </c>
      <c r="B300" s="19">
        <v>19</v>
      </c>
      <c r="C300" s="19" t="s">
        <v>1965</v>
      </c>
      <c r="D300" s="19" t="s">
        <v>1966</v>
      </c>
      <c r="E300" s="19" t="s">
        <v>855</v>
      </c>
      <c r="F300" s="19">
        <v>2023</v>
      </c>
      <c r="G300" s="21">
        <v>0.67546170000000005</v>
      </c>
      <c r="H300" s="19" t="s">
        <v>1967</v>
      </c>
      <c r="I300" s="19" t="s">
        <v>865</v>
      </c>
      <c r="J300" s="21">
        <v>0.67546170000000005</v>
      </c>
      <c r="K300" s="19" t="s">
        <v>1968</v>
      </c>
      <c r="L300" s="19" t="s">
        <v>1969</v>
      </c>
      <c r="M300" s="19" t="s">
        <v>1970</v>
      </c>
      <c r="N300" s="19" t="s">
        <v>1178</v>
      </c>
    </row>
    <row r="301" spans="1:14">
      <c r="A301" s="19" t="s">
        <v>203</v>
      </c>
      <c r="B301" s="19">
        <v>20</v>
      </c>
      <c r="C301" s="19" t="s">
        <v>1971</v>
      </c>
      <c r="D301" s="19" t="s">
        <v>1972</v>
      </c>
      <c r="E301" s="19" t="s">
        <v>855</v>
      </c>
      <c r="F301" s="19">
        <v>2022</v>
      </c>
      <c r="G301" s="21">
        <v>0.67537320000000001</v>
      </c>
      <c r="H301" s="19" t="s">
        <v>1973</v>
      </c>
      <c r="I301" s="19" t="s">
        <v>865</v>
      </c>
      <c r="J301" s="21">
        <v>0.67537320000000001</v>
      </c>
      <c r="K301" s="19" t="s">
        <v>1974</v>
      </c>
      <c r="L301" s="19" t="s">
        <v>1975</v>
      </c>
      <c r="M301" s="19"/>
      <c r="N301" s="19" t="s">
        <v>1178</v>
      </c>
    </row>
    <row r="302" spans="1:14">
      <c r="A302" s="19" t="s">
        <v>1976</v>
      </c>
      <c r="B302" s="19">
        <v>1</v>
      </c>
      <c r="C302" s="19" t="s">
        <v>1787</v>
      </c>
      <c r="D302" s="19" t="s">
        <v>726</v>
      </c>
      <c r="E302" s="19" t="s">
        <v>1788</v>
      </c>
      <c r="F302" s="19">
        <v>2014</v>
      </c>
      <c r="G302" s="21">
        <v>0.76559980000000005</v>
      </c>
      <c r="H302" s="19" t="s">
        <v>1789</v>
      </c>
      <c r="I302" s="19" t="s">
        <v>914</v>
      </c>
      <c r="J302" s="21">
        <v>0.76559980000000005</v>
      </c>
      <c r="K302" s="19" t="s">
        <v>1790</v>
      </c>
      <c r="L302" s="19" t="s">
        <v>1791</v>
      </c>
      <c r="M302" s="19" t="s">
        <v>1792</v>
      </c>
      <c r="N302" s="19" t="s">
        <v>1977</v>
      </c>
    </row>
    <row r="303" spans="1:14">
      <c r="A303" s="19" t="s">
        <v>1976</v>
      </c>
      <c r="B303" s="19">
        <v>2</v>
      </c>
      <c r="C303" s="19" t="s">
        <v>1386</v>
      </c>
      <c r="D303" s="19" t="s">
        <v>682</v>
      </c>
      <c r="E303" s="19" t="s">
        <v>855</v>
      </c>
      <c r="F303" s="19">
        <v>2015</v>
      </c>
      <c r="G303" s="21">
        <v>0.71320486000000005</v>
      </c>
      <c r="H303" s="19" t="s">
        <v>1387</v>
      </c>
      <c r="I303" s="19" t="s">
        <v>914</v>
      </c>
      <c r="J303" s="21">
        <v>0.71320486000000005</v>
      </c>
      <c r="K303" s="19" t="s">
        <v>1388</v>
      </c>
      <c r="L303" s="19" t="s">
        <v>1389</v>
      </c>
      <c r="M303" s="19" t="s">
        <v>1390</v>
      </c>
      <c r="N303" s="19" t="s">
        <v>1659</v>
      </c>
    </row>
    <row r="304" spans="1:14">
      <c r="A304" s="19" t="s">
        <v>1976</v>
      </c>
      <c r="B304" s="19">
        <v>3</v>
      </c>
      <c r="C304" s="19" t="s">
        <v>1464</v>
      </c>
      <c r="D304" s="19" t="s">
        <v>1465</v>
      </c>
      <c r="E304" s="19" t="s">
        <v>855</v>
      </c>
      <c r="F304" s="19">
        <v>2022</v>
      </c>
      <c r="G304" s="21">
        <v>0.70317779999999996</v>
      </c>
      <c r="H304" s="19" t="s">
        <v>1466</v>
      </c>
      <c r="I304" s="19" t="s">
        <v>865</v>
      </c>
      <c r="J304" s="21">
        <v>0.70317779999999996</v>
      </c>
      <c r="K304" s="19" t="s">
        <v>1467</v>
      </c>
      <c r="L304" s="19" t="s">
        <v>1468</v>
      </c>
      <c r="M304" s="19" t="s">
        <v>1469</v>
      </c>
      <c r="N304" s="19" t="s">
        <v>1978</v>
      </c>
    </row>
    <row r="305" spans="1:14">
      <c r="A305" s="19" t="s">
        <v>1976</v>
      </c>
      <c r="B305" s="19">
        <v>4</v>
      </c>
      <c r="C305" s="19" t="s">
        <v>1979</v>
      </c>
      <c r="D305" s="19" t="s">
        <v>1980</v>
      </c>
      <c r="E305" s="19" t="s">
        <v>855</v>
      </c>
      <c r="F305" s="19">
        <v>2023</v>
      </c>
      <c r="G305" s="21">
        <v>0.70049775000000003</v>
      </c>
      <c r="H305" s="19" t="s">
        <v>1981</v>
      </c>
      <c r="I305" s="19" t="s">
        <v>865</v>
      </c>
      <c r="J305" s="21">
        <v>0.70049775000000003</v>
      </c>
      <c r="K305" s="19" t="s">
        <v>1982</v>
      </c>
      <c r="L305" s="19" t="s">
        <v>1983</v>
      </c>
      <c r="M305" s="19" t="s">
        <v>1984</v>
      </c>
      <c r="N305" s="19" t="s">
        <v>1978</v>
      </c>
    </row>
    <row r="306" spans="1:14">
      <c r="A306" s="19" t="s">
        <v>1976</v>
      </c>
      <c r="B306" s="19">
        <v>5</v>
      </c>
      <c r="C306" s="19" t="s">
        <v>1985</v>
      </c>
      <c r="D306" s="19" t="s">
        <v>1986</v>
      </c>
      <c r="E306" s="19" t="s">
        <v>855</v>
      </c>
      <c r="F306" s="19">
        <v>2023</v>
      </c>
      <c r="G306" s="21">
        <v>0.69725440000000005</v>
      </c>
      <c r="H306" s="19" t="s">
        <v>1987</v>
      </c>
      <c r="I306" s="19" t="s">
        <v>865</v>
      </c>
      <c r="J306" s="21">
        <v>0.69725440000000005</v>
      </c>
      <c r="K306" s="19" t="s">
        <v>1988</v>
      </c>
      <c r="L306" s="19" t="s">
        <v>1989</v>
      </c>
      <c r="M306" s="19"/>
      <c r="N306" s="19" t="s">
        <v>1978</v>
      </c>
    </row>
    <row r="307" spans="1:14">
      <c r="A307" s="19" t="s">
        <v>1976</v>
      </c>
      <c r="B307" s="19">
        <v>6</v>
      </c>
      <c r="C307" s="19" t="s">
        <v>1795</v>
      </c>
      <c r="D307" s="19" t="s">
        <v>1796</v>
      </c>
      <c r="E307" s="19" t="s">
        <v>1797</v>
      </c>
      <c r="F307" s="19">
        <v>2016</v>
      </c>
      <c r="G307" s="21">
        <v>0.69723904000000003</v>
      </c>
      <c r="H307" s="19" t="s">
        <v>1798</v>
      </c>
      <c r="I307" s="19" t="s">
        <v>914</v>
      </c>
      <c r="J307" s="21">
        <v>0.69723904000000003</v>
      </c>
      <c r="K307" s="19" t="s">
        <v>1799</v>
      </c>
      <c r="L307" s="19" t="s">
        <v>1800</v>
      </c>
      <c r="M307" s="19"/>
      <c r="N307" s="19" t="s">
        <v>1463</v>
      </c>
    </row>
    <row r="308" spans="1:14">
      <c r="A308" s="19" t="s">
        <v>1976</v>
      </c>
      <c r="B308" s="19">
        <v>7</v>
      </c>
      <c r="C308" s="19" t="s">
        <v>1990</v>
      </c>
      <c r="D308" s="19" t="s">
        <v>1991</v>
      </c>
      <c r="E308" s="19" t="s">
        <v>855</v>
      </c>
      <c r="F308" s="19">
        <v>2022</v>
      </c>
      <c r="G308" s="21">
        <v>0.6966154</v>
      </c>
      <c r="H308" s="19" t="s">
        <v>1992</v>
      </c>
      <c r="I308" s="19" t="s">
        <v>865</v>
      </c>
      <c r="J308" s="21">
        <v>0.6966154</v>
      </c>
      <c r="K308" s="19" t="s">
        <v>1993</v>
      </c>
      <c r="L308" s="19" t="s">
        <v>1994</v>
      </c>
      <c r="M308" s="19" t="s">
        <v>1995</v>
      </c>
      <c r="N308" s="19" t="s">
        <v>1978</v>
      </c>
    </row>
    <row r="309" spans="1:14">
      <c r="A309" s="19" t="s">
        <v>1976</v>
      </c>
      <c r="B309" s="19">
        <v>8</v>
      </c>
      <c r="C309" s="19" t="s">
        <v>1471</v>
      </c>
      <c r="D309" s="19" t="s">
        <v>1472</v>
      </c>
      <c r="E309" s="19" t="s">
        <v>855</v>
      </c>
      <c r="F309" s="19">
        <v>2023</v>
      </c>
      <c r="G309" s="21">
        <v>0.69655999999999996</v>
      </c>
      <c r="H309" s="19" t="s">
        <v>1473</v>
      </c>
      <c r="I309" s="19" t="s">
        <v>865</v>
      </c>
      <c r="J309" s="21">
        <v>0.69655999999999996</v>
      </c>
      <c r="K309" s="19" t="s">
        <v>1474</v>
      </c>
      <c r="L309" s="19" t="s">
        <v>1475</v>
      </c>
      <c r="M309" s="19" t="s">
        <v>1476</v>
      </c>
      <c r="N309" s="19" t="s">
        <v>1978</v>
      </c>
    </row>
    <row r="310" spans="1:14">
      <c r="A310" s="19" t="s">
        <v>1976</v>
      </c>
      <c r="B310" s="19">
        <v>9</v>
      </c>
      <c r="C310" s="19" t="s">
        <v>1996</v>
      </c>
      <c r="D310" s="19" t="s">
        <v>1997</v>
      </c>
      <c r="E310" s="19" t="s">
        <v>855</v>
      </c>
      <c r="F310" s="19">
        <v>2023</v>
      </c>
      <c r="G310" s="21">
        <v>0.69583249999999996</v>
      </c>
      <c r="H310" s="19" t="s">
        <v>1998</v>
      </c>
      <c r="I310" s="19" t="s">
        <v>865</v>
      </c>
      <c r="J310" s="21">
        <v>0.69583249999999996</v>
      </c>
      <c r="K310" s="19" t="s">
        <v>1999</v>
      </c>
      <c r="L310" s="19" t="s">
        <v>2000</v>
      </c>
      <c r="M310" s="19" t="s">
        <v>2001</v>
      </c>
      <c r="N310" s="19" t="s">
        <v>1978</v>
      </c>
    </row>
    <row r="311" spans="1:14">
      <c r="A311" s="19" t="s">
        <v>1976</v>
      </c>
      <c r="B311" s="19">
        <v>10</v>
      </c>
      <c r="C311" s="19" t="s">
        <v>1482</v>
      </c>
      <c r="D311" s="19" t="s">
        <v>1483</v>
      </c>
      <c r="E311" s="19" t="s">
        <v>855</v>
      </c>
      <c r="F311" s="19">
        <v>2023</v>
      </c>
      <c r="G311" s="21">
        <v>0.69579290000000005</v>
      </c>
      <c r="H311" s="19" t="s">
        <v>1484</v>
      </c>
      <c r="I311" s="19" t="s">
        <v>865</v>
      </c>
      <c r="J311" s="21">
        <v>0.69579290000000005</v>
      </c>
      <c r="K311" s="19" t="s">
        <v>1485</v>
      </c>
      <c r="L311" s="19" t="s">
        <v>1486</v>
      </c>
      <c r="M311" s="19"/>
      <c r="N311" s="19" t="s">
        <v>1978</v>
      </c>
    </row>
    <row r="312" spans="1:14">
      <c r="A312" s="19" t="s">
        <v>1976</v>
      </c>
      <c r="B312" s="19">
        <v>11</v>
      </c>
      <c r="C312" s="19" t="s">
        <v>2002</v>
      </c>
      <c r="D312" s="19" t="s">
        <v>2003</v>
      </c>
      <c r="E312" s="19" t="s">
        <v>855</v>
      </c>
      <c r="F312" s="19">
        <v>2023</v>
      </c>
      <c r="G312" s="21">
        <v>0.69486250000000005</v>
      </c>
      <c r="H312" s="19" t="s">
        <v>2004</v>
      </c>
      <c r="I312" s="19" t="s">
        <v>865</v>
      </c>
      <c r="J312" s="21">
        <v>0.69486250000000005</v>
      </c>
      <c r="K312" s="19" t="s">
        <v>2005</v>
      </c>
      <c r="L312" s="19" t="s">
        <v>2006</v>
      </c>
      <c r="M312" s="19" t="s">
        <v>2007</v>
      </c>
      <c r="N312" s="19" t="s">
        <v>1470</v>
      </c>
    </row>
    <row r="313" spans="1:14">
      <c r="A313" s="19" t="s">
        <v>1976</v>
      </c>
      <c r="B313" s="19">
        <v>12</v>
      </c>
      <c r="C313" s="19" t="s">
        <v>1487</v>
      </c>
      <c r="D313" s="19" t="s">
        <v>1488</v>
      </c>
      <c r="E313" s="19" t="s">
        <v>855</v>
      </c>
      <c r="F313" s="19">
        <v>2022</v>
      </c>
      <c r="G313" s="21">
        <v>0.69428699999999999</v>
      </c>
      <c r="H313" s="19" t="s">
        <v>1489</v>
      </c>
      <c r="I313" s="19" t="s">
        <v>865</v>
      </c>
      <c r="J313" s="21">
        <v>0.69428699999999999</v>
      </c>
      <c r="K313" s="19" t="s">
        <v>1490</v>
      </c>
      <c r="L313" s="19" t="s">
        <v>1491</v>
      </c>
      <c r="M313" s="19"/>
      <c r="N313" s="19" t="s">
        <v>1470</v>
      </c>
    </row>
    <row r="314" spans="1:14">
      <c r="A314" s="19" t="s">
        <v>1976</v>
      </c>
      <c r="B314" s="19">
        <v>13</v>
      </c>
      <c r="C314" s="19" t="s">
        <v>2008</v>
      </c>
      <c r="D314" s="19" t="s">
        <v>2009</v>
      </c>
      <c r="E314" s="19" t="s">
        <v>855</v>
      </c>
      <c r="F314" s="19">
        <v>2022</v>
      </c>
      <c r="G314" s="21">
        <v>0.69404566000000001</v>
      </c>
      <c r="H314" s="19" t="s">
        <v>2010</v>
      </c>
      <c r="I314" s="19" t="s">
        <v>865</v>
      </c>
      <c r="J314" s="21">
        <v>0.69404566000000001</v>
      </c>
      <c r="K314" s="19" t="s">
        <v>2011</v>
      </c>
      <c r="L314" s="19" t="s">
        <v>2012</v>
      </c>
      <c r="M314" s="19"/>
      <c r="N314" s="19" t="s">
        <v>1470</v>
      </c>
    </row>
    <row r="315" spans="1:14">
      <c r="A315" s="19" t="s">
        <v>1976</v>
      </c>
      <c r="B315" s="19">
        <v>14</v>
      </c>
      <c r="C315" s="19" t="s">
        <v>1477</v>
      </c>
      <c r="D315" s="19" t="s">
        <v>1478</v>
      </c>
      <c r="E315" s="19" t="s">
        <v>855</v>
      </c>
      <c r="F315" s="19">
        <v>2022</v>
      </c>
      <c r="G315" s="21">
        <v>0.69383954999999997</v>
      </c>
      <c r="H315" s="19" t="s">
        <v>1479</v>
      </c>
      <c r="I315" s="19" t="s">
        <v>865</v>
      </c>
      <c r="J315" s="21">
        <v>0.69383954999999997</v>
      </c>
      <c r="K315" s="19" t="s">
        <v>1480</v>
      </c>
      <c r="L315" s="19" t="s">
        <v>1481</v>
      </c>
      <c r="M315" s="19"/>
      <c r="N315" s="19" t="s">
        <v>1470</v>
      </c>
    </row>
    <row r="316" spans="1:14">
      <c r="A316" s="19" t="s">
        <v>1976</v>
      </c>
      <c r="B316" s="19">
        <v>15</v>
      </c>
      <c r="C316" s="19" t="s">
        <v>2013</v>
      </c>
      <c r="D316" s="19" t="s">
        <v>2014</v>
      </c>
      <c r="E316" s="19" t="s">
        <v>855</v>
      </c>
      <c r="F316" s="19">
        <v>2023</v>
      </c>
      <c r="G316" s="21">
        <v>0.69382900000000003</v>
      </c>
      <c r="H316" s="19" t="s">
        <v>2015</v>
      </c>
      <c r="I316" s="19" t="s">
        <v>865</v>
      </c>
      <c r="J316" s="21">
        <v>0.69382900000000003</v>
      </c>
      <c r="K316" s="19" t="s">
        <v>2016</v>
      </c>
      <c r="L316" s="19" t="s">
        <v>2017</v>
      </c>
      <c r="M316" s="19" t="s">
        <v>2018</v>
      </c>
      <c r="N316" s="19" t="s">
        <v>1470</v>
      </c>
    </row>
    <row r="317" spans="1:14">
      <c r="A317" s="19" t="s">
        <v>1976</v>
      </c>
      <c r="B317" s="19">
        <v>16</v>
      </c>
      <c r="C317" s="19" t="s">
        <v>2019</v>
      </c>
      <c r="D317" s="19" t="s">
        <v>2020</v>
      </c>
      <c r="E317" s="19" t="s">
        <v>855</v>
      </c>
      <c r="F317" s="19">
        <v>2023</v>
      </c>
      <c r="G317" s="21">
        <v>0.69357069999999998</v>
      </c>
      <c r="H317" s="19" t="s">
        <v>2021</v>
      </c>
      <c r="I317" s="19" t="s">
        <v>865</v>
      </c>
      <c r="J317" s="21">
        <v>0.69357069999999998</v>
      </c>
      <c r="K317" s="19" t="s">
        <v>2022</v>
      </c>
      <c r="L317" s="19" t="s">
        <v>2023</v>
      </c>
      <c r="M317" s="19"/>
      <c r="N317" s="19" t="s">
        <v>1470</v>
      </c>
    </row>
    <row r="318" spans="1:14">
      <c r="A318" s="19" t="s">
        <v>1976</v>
      </c>
      <c r="B318" s="19">
        <v>17</v>
      </c>
      <c r="C318" s="19" t="s">
        <v>1492</v>
      </c>
      <c r="D318" s="19" t="s">
        <v>1493</v>
      </c>
      <c r="E318" s="19" t="s">
        <v>855</v>
      </c>
      <c r="F318" s="19">
        <v>2022</v>
      </c>
      <c r="G318" s="21">
        <v>0.69349205000000003</v>
      </c>
      <c r="H318" s="19" t="s">
        <v>1494</v>
      </c>
      <c r="I318" s="19" t="s">
        <v>865</v>
      </c>
      <c r="J318" s="21">
        <v>0.69349205000000003</v>
      </c>
      <c r="K318" s="19" t="s">
        <v>1495</v>
      </c>
      <c r="L318" s="19" t="s">
        <v>1496</v>
      </c>
      <c r="M318" s="19"/>
      <c r="N318" s="19" t="s">
        <v>1470</v>
      </c>
    </row>
    <row r="319" spans="1:14">
      <c r="A319" s="19" t="s">
        <v>1976</v>
      </c>
      <c r="B319" s="19">
        <v>18</v>
      </c>
      <c r="C319" s="19" t="s">
        <v>2024</v>
      </c>
      <c r="D319" s="19" t="s">
        <v>2025</v>
      </c>
      <c r="E319" s="19" t="s">
        <v>855</v>
      </c>
      <c r="F319" s="19">
        <v>2022</v>
      </c>
      <c r="G319" s="21">
        <v>0.69278824000000006</v>
      </c>
      <c r="H319" s="19" t="s">
        <v>2026</v>
      </c>
      <c r="I319" s="19" t="s">
        <v>865</v>
      </c>
      <c r="J319" s="21">
        <v>0.69278824000000006</v>
      </c>
      <c r="K319" s="19" t="s">
        <v>2027</v>
      </c>
      <c r="L319" s="19" t="s">
        <v>2028</v>
      </c>
      <c r="M319" s="19" t="s">
        <v>2029</v>
      </c>
      <c r="N319" s="19" t="s">
        <v>1470</v>
      </c>
    </row>
    <row r="320" spans="1:14">
      <c r="A320" s="19" t="s">
        <v>1976</v>
      </c>
      <c r="B320" s="19">
        <v>19</v>
      </c>
      <c r="C320" s="19" t="s">
        <v>2030</v>
      </c>
      <c r="D320" s="19" t="s">
        <v>2031</v>
      </c>
      <c r="E320" s="19" t="s">
        <v>855</v>
      </c>
      <c r="F320" s="19">
        <v>2022</v>
      </c>
      <c r="G320" s="21">
        <v>0.69277453</v>
      </c>
      <c r="H320" s="19" t="s">
        <v>2032</v>
      </c>
      <c r="I320" s="19" t="s">
        <v>865</v>
      </c>
      <c r="J320" s="21">
        <v>0.69277453</v>
      </c>
      <c r="K320" s="19" t="s">
        <v>2033</v>
      </c>
      <c r="L320" s="19" t="s">
        <v>2034</v>
      </c>
      <c r="M320" s="19" t="s">
        <v>2035</v>
      </c>
      <c r="N320" s="19" t="s">
        <v>1470</v>
      </c>
    </row>
    <row r="321" spans="1:14">
      <c r="A321" s="19" t="s">
        <v>1976</v>
      </c>
      <c r="B321" s="19">
        <v>20</v>
      </c>
      <c r="C321" s="19" t="s">
        <v>2036</v>
      </c>
      <c r="D321" s="19" t="s">
        <v>2037</v>
      </c>
      <c r="E321" s="19" t="s">
        <v>855</v>
      </c>
      <c r="F321" s="19">
        <v>2022</v>
      </c>
      <c r="G321" s="21">
        <v>0.69256669999999998</v>
      </c>
      <c r="H321" s="19" t="s">
        <v>2038</v>
      </c>
      <c r="I321" s="19" t="s">
        <v>865</v>
      </c>
      <c r="J321" s="21">
        <v>0.69256669999999998</v>
      </c>
      <c r="K321" s="19" t="s">
        <v>2039</v>
      </c>
      <c r="L321" s="19" t="s">
        <v>2040</v>
      </c>
      <c r="M321" s="19"/>
      <c r="N321" s="19" t="s">
        <v>1470</v>
      </c>
    </row>
    <row r="322" spans="1:14">
      <c r="A322" s="19" t="s">
        <v>161</v>
      </c>
      <c r="B322" s="19">
        <v>1</v>
      </c>
      <c r="C322" s="19" t="s">
        <v>1396</v>
      </c>
      <c r="D322" s="19" t="s">
        <v>678</v>
      </c>
      <c r="E322" s="19" t="s">
        <v>855</v>
      </c>
      <c r="F322" s="19">
        <v>2015</v>
      </c>
      <c r="G322" s="21">
        <v>0.73487780000000003</v>
      </c>
      <c r="H322" s="19" t="s">
        <v>1397</v>
      </c>
      <c r="I322" s="19" t="s">
        <v>857</v>
      </c>
      <c r="J322" s="21">
        <v>0.73487780000000003</v>
      </c>
      <c r="K322" s="19" t="s">
        <v>1398</v>
      </c>
      <c r="L322" s="19" t="s">
        <v>1399</v>
      </c>
      <c r="M322" s="19"/>
      <c r="N322" s="19" t="s">
        <v>2041</v>
      </c>
    </row>
    <row r="323" spans="1:14">
      <c r="A323" s="19" t="s">
        <v>161</v>
      </c>
      <c r="B323" s="19">
        <v>2</v>
      </c>
      <c r="C323" s="19" t="s">
        <v>1787</v>
      </c>
      <c r="D323" s="19" t="s">
        <v>726</v>
      </c>
      <c r="E323" s="19" t="s">
        <v>1788</v>
      </c>
      <c r="F323" s="19">
        <v>2014</v>
      </c>
      <c r="G323" s="21">
        <v>0.72528565</v>
      </c>
      <c r="H323" s="19" t="s">
        <v>2042</v>
      </c>
      <c r="I323" s="19" t="s">
        <v>857</v>
      </c>
      <c r="J323" s="21">
        <v>0.72528565</v>
      </c>
      <c r="K323" s="19" t="s">
        <v>2043</v>
      </c>
      <c r="L323" s="19" t="s">
        <v>2044</v>
      </c>
      <c r="M323" s="19" t="s">
        <v>2045</v>
      </c>
      <c r="N323" s="19" t="s">
        <v>2041</v>
      </c>
    </row>
    <row r="324" spans="1:14">
      <c r="A324" s="19" t="s">
        <v>161</v>
      </c>
      <c r="B324" s="19">
        <v>3</v>
      </c>
      <c r="C324" s="19" t="s">
        <v>1808</v>
      </c>
      <c r="D324" s="19" t="s">
        <v>1809</v>
      </c>
      <c r="E324" s="19" t="s">
        <v>855</v>
      </c>
      <c r="F324" s="19">
        <v>2014</v>
      </c>
      <c r="G324" s="21">
        <v>0.71165084999999995</v>
      </c>
      <c r="H324" s="19" t="s">
        <v>2046</v>
      </c>
      <c r="I324" s="19" t="s">
        <v>857</v>
      </c>
      <c r="J324" s="21">
        <v>0.71165084999999995</v>
      </c>
      <c r="K324" s="19" t="s">
        <v>2047</v>
      </c>
      <c r="L324" s="19" t="s">
        <v>2048</v>
      </c>
      <c r="M324" s="19"/>
      <c r="N324" s="19" t="s">
        <v>2049</v>
      </c>
    </row>
    <row r="325" spans="1:14">
      <c r="A325" s="19" t="s">
        <v>161</v>
      </c>
      <c r="B325" s="19">
        <v>4</v>
      </c>
      <c r="C325" s="19" t="s">
        <v>1310</v>
      </c>
      <c r="D325" s="19" t="s">
        <v>1311</v>
      </c>
      <c r="E325" s="19" t="s">
        <v>855</v>
      </c>
      <c r="F325" s="19">
        <v>2014</v>
      </c>
      <c r="G325" s="21">
        <v>0.70862495999999997</v>
      </c>
      <c r="H325" s="19" t="s">
        <v>1312</v>
      </c>
      <c r="I325" s="19" t="s">
        <v>857</v>
      </c>
      <c r="J325" s="21">
        <v>0.70862495999999997</v>
      </c>
      <c r="K325" s="19" t="s">
        <v>1313</v>
      </c>
      <c r="L325" s="19" t="s">
        <v>1314</v>
      </c>
      <c r="M325" s="19"/>
      <c r="N325" s="19" t="s">
        <v>2049</v>
      </c>
    </row>
    <row r="326" spans="1:14">
      <c r="A326" s="19" t="s">
        <v>161</v>
      </c>
      <c r="B326" s="19">
        <v>5</v>
      </c>
      <c r="C326" s="19" t="s">
        <v>1386</v>
      </c>
      <c r="D326" s="19" t="s">
        <v>682</v>
      </c>
      <c r="E326" s="19" t="s">
        <v>855</v>
      </c>
      <c r="F326" s="19">
        <v>2015</v>
      </c>
      <c r="G326" s="21">
        <v>0.70579069999999999</v>
      </c>
      <c r="H326" s="19" t="s">
        <v>2050</v>
      </c>
      <c r="I326" s="19" t="s">
        <v>857</v>
      </c>
      <c r="J326" s="21">
        <v>0.70579069999999999</v>
      </c>
      <c r="K326" s="19" t="s">
        <v>2051</v>
      </c>
      <c r="L326" s="19" t="s">
        <v>2052</v>
      </c>
      <c r="M326" s="19"/>
      <c r="N326" s="19" t="s">
        <v>2049</v>
      </c>
    </row>
    <row r="327" spans="1:14">
      <c r="A327" s="19" t="s">
        <v>161</v>
      </c>
      <c r="B327" s="19">
        <v>6</v>
      </c>
      <c r="C327" s="19" t="s">
        <v>1252</v>
      </c>
      <c r="D327" s="19" t="s">
        <v>824</v>
      </c>
      <c r="E327" s="19" t="s">
        <v>855</v>
      </c>
      <c r="F327" s="19">
        <v>2014</v>
      </c>
      <c r="G327" s="21">
        <v>0.70471894999999996</v>
      </c>
      <c r="H327" s="19" t="s">
        <v>2053</v>
      </c>
      <c r="I327" s="19" t="s">
        <v>857</v>
      </c>
      <c r="J327" s="21">
        <v>0.70471894999999996</v>
      </c>
      <c r="K327" s="19" t="s">
        <v>2054</v>
      </c>
      <c r="L327" s="19" t="s">
        <v>2055</v>
      </c>
      <c r="M327" s="19"/>
      <c r="N327" s="19" t="s">
        <v>986</v>
      </c>
    </row>
    <row r="328" spans="1:14">
      <c r="A328" s="19" t="s">
        <v>161</v>
      </c>
      <c r="B328" s="19">
        <v>7</v>
      </c>
      <c r="C328" s="19" t="s">
        <v>1270</v>
      </c>
      <c r="D328" s="19" t="s">
        <v>1271</v>
      </c>
      <c r="E328" s="19" t="s">
        <v>855</v>
      </c>
      <c r="F328" s="19">
        <v>2014</v>
      </c>
      <c r="G328" s="21">
        <v>0.70152926000000004</v>
      </c>
      <c r="H328" s="19" t="s">
        <v>2056</v>
      </c>
      <c r="I328" s="19" t="s">
        <v>857</v>
      </c>
      <c r="J328" s="21">
        <v>0.70152926000000004</v>
      </c>
      <c r="K328" s="19" t="s">
        <v>2057</v>
      </c>
      <c r="L328" s="19" t="s">
        <v>2058</v>
      </c>
      <c r="M328" s="19"/>
      <c r="N328" s="19" t="s">
        <v>986</v>
      </c>
    </row>
    <row r="329" spans="1:14">
      <c r="A329" s="19" t="s">
        <v>161</v>
      </c>
      <c r="B329" s="19">
        <v>8</v>
      </c>
      <c r="C329" s="19" t="s">
        <v>1400</v>
      </c>
      <c r="D329" s="19" t="s">
        <v>1401</v>
      </c>
      <c r="E329" s="19" t="s">
        <v>855</v>
      </c>
      <c r="F329" s="19">
        <v>2015</v>
      </c>
      <c r="G329" s="21">
        <v>0.69297739999999997</v>
      </c>
      <c r="H329" s="19" t="s">
        <v>1402</v>
      </c>
      <c r="I329" s="19" t="s">
        <v>857</v>
      </c>
      <c r="J329" s="21">
        <v>0.69297739999999997</v>
      </c>
      <c r="K329" s="19" t="s">
        <v>1403</v>
      </c>
      <c r="L329" s="19" t="s">
        <v>1404</v>
      </c>
      <c r="M329" s="19"/>
      <c r="N329" s="19" t="s">
        <v>1409</v>
      </c>
    </row>
    <row r="330" spans="1:14">
      <c r="A330" s="19" t="s">
        <v>161</v>
      </c>
      <c r="B330" s="19">
        <v>9</v>
      </c>
      <c r="C330" s="19" t="s">
        <v>1391</v>
      </c>
      <c r="D330" s="19" t="s">
        <v>1392</v>
      </c>
      <c r="E330" s="19" t="s">
        <v>855</v>
      </c>
      <c r="F330" s="19">
        <v>2015</v>
      </c>
      <c r="G330" s="21">
        <v>0.69250999999999996</v>
      </c>
      <c r="H330" s="19" t="s">
        <v>1393</v>
      </c>
      <c r="I330" s="19" t="s">
        <v>857</v>
      </c>
      <c r="J330" s="21">
        <v>0.69250999999999996</v>
      </c>
      <c r="K330" s="19" t="s">
        <v>1394</v>
      </c>
      <c r="L330" s="19" t="s">
        <v>1395</v>
      </c>
      <c r="M330" s="19"/>
      <c r="N330" s="19" t="s">
        <v>1409</v>
      </c>
    </row>
    <row r="331" spans="1:14">
      <c r="A331" s="19" t="s">
        <v>161</v>
      </c>
      <c r="B331" s="19">
        <v>10</v>
      </c>
      <c r="C331" s="19" t="s">
        <v>2059</v>
      </c>
      <c r="D331" s="19" t="s">
        <v>2060</v>
      </c>
      <c r="E331" s="19" t="s">
        <v>855</v>
      </c>
      <c r="F331" s="19">
        <v>2014</v>
      </c>
      <c r="G331" s="21">
        <v>0.69119333999999999</v>
      </c>
      <c r="H331" s="19" t="s">
        <v>2061</v>
      </c>
      <c r="I331" s="19" t="s">
        <v>857</v>
      </c>
      <c r="J331" s="21">
        <v>0.69119333999999999</v>
      </c>
      <c r="K331" s="19" t="s">
        <v>2062</v>
      </c>
      <c r="L331" s="19" t="s">
        <v>2063</v>
      </c>
      <c r="M331" s="19"/>
      <c r="N331" s="19" t="s">
        <v>1409</v>
      </c>
    </row>
    <row r="332" spans="1:14">
      <c r="A332" s="19" t="s">
        <v>161</v>
      </c>
      <c r="B332" s="19">
        <v>11</v>
      </c>
      <c r="C332" s="19" t="s">
        <v>1813</v>
      </c>
      <c r="D332" s="19" t="s">
        <v>1814</v>
      </c>
      <c r="E332" s="19" t="s">
        <v>855</v>
      </c>
      <c r="F332" s="19">
        <v>2015</v>
      </c>
      <c r="G332" s="21">
        <v>0.68663940000000001</v>
      </c>
      <c r="H332" s="19" t="s">
        <v>2064</v>
      </c>
      <c r="I332" s="19" t="s">
        <v>857</v>
      </c>
      <c r="J332" s="21">
        <v>0.68663940000000001</v>
      </c>
      <c r="K332" s="19" t="s">
        <v>2065</v>
      </c>
      <c r="L332" s="19" t="s">
        <v>2066</v>
      </c>
      <c r="M332" s="19"/>
      <c r="N332" s="19" t="s">
        <v>1409</v>
      </c>
    </row>
    <row r="333" spans="1:14">
      <c r="A333" s="19" t="s">
        <v>161</v>
      </c>
      <c r="B333" s="19">
        <v>12</v>
      </c>
      <c r="C333" s="19" t="s">
        <v>1264</v>
      </c>
      <c r="D333" s="19" t="s">
        <v>1265</v>
      </c>
      <c r="E333" s="19" t="s">
        <v>855</v>
      </c>
      <c r="F333" s="19">
        <v>2016</v>
      </c>
      <c r="G333" s="21">
        <v>0.6800041</v>
      </c>
      <c r="H333" s="19" t="s">
        <v>1266</v>
      </c>
      <c r="I333" s="19" t="s">
        <v>857</v>
      </c>
      <c r="J333" s="21">
        <v>0.6800041</v>
      </c>
      <c r="K333" s="19" t="s">
        <v>1267</v>
      </c>
      <c r="L333" s="19" t="s">
        <v>1268</v>
      </c>
      <c r="M333" s="19" t="s">
        <v>1269</v>
      </c>
      <c r="N333" s="19" t="s">
        <v>861</v>
      </c>
    </row>
    <row r="334" spans="1:14">
      <c r="A334" s="19" t="s">
        <v>161</v>
      </c>
      <c r="B334" s="19">
        <v>13</v>
      </c>
      <c r="C334" s="19" t="s">
        <v>2067</v>
      </c>
      <c r="D334" s="19" t="s">
        <v>2068</v>
      </c>
      <c r="E334" s="19" t="s">
        <v>855</v>
      </c>
      <c r="F334" s="19">
        <v>2015</v>
      </c>
      <c r="G334" s="21">
        <v>0.67955370000000004</v>
      </c>
      <c r="H334" s="19" t="s">
        <v>2069</v>
      </c>
      <c r="I334" s="19" t="s">
        <v>857</v>
      </c>
      <c r="J334" s="21">
        <v>0.67955370000000004</v>
      </c>
      <c r="K334" s="19" t="s">
        <v>2070</v>
      </c>
      <c r="L334" s="19" t="s">
        <v>2071</v>
      </c>
      <c r="M334" s="19"/>
      <c r="N334" s="19" t="s">
        <v>861</v>
      </c>
    </row>
    <row r="335" spans="1:14">
      <c r="A335" s="19" t="s">
        <v>161</v>
      </c>
      <c r="B335" s="19">
        <v>14</v>
      </c>
      <c r="C335" s="19" t="s">
        <v>2072</v>
      </c>
      <c r="D335" s="19" t="s">
        <v>2073</v>
      </c>
      <c r="E335" s="19" t="s">
        <v>855</v>
      </c>
      <c r="F335" s="19">
        <v>2015</v>
      </c>
      <c r="G335" s="21">
        <v>0.67778134000000001</v>
      </c>
      <c r="H335" s="19" t="s">
        <v>2074</v>
      </c>
      <c r="I335" s="19" t="s">
        <v>857</v>
      </c>
      <c r="J335" s="21">
        <v>0.67778134000000001</v>
      </c>
      <c r="K335" s="19" t="s">
        <v>2075</v>
      </c>
      <c r="L335" s="19" t="s">
        <v>2076</v>
      </c>
      <c r="M335" s="19"/>
      <c r="N335" s="19" t="s">
        <v>861</v>
      </c>
    </row>
    <row r="336" spans="1:14">
      <c r="A336" s="19" t="s">
        <v>161</v>
      </c>
      <c r="B336" s="19">
        <v>15</v>
      </c>
      <c r="C336" s="19" t="s">
        <v>1464</v>
      </c>
      <c r="D336" s="19" t="s">
        <v>1465</v>
      </c>
      <c r="E336" s="19" t="s">
        <v>855</v>
      </c>
      <c r="F336" s="19">
        <v>2022</v>
      </c>
      <c r="G336" s="21">
        <v>0.67498743999999999</v>
      </c>
      <c r="H336" s="19" t="s">
        <v>1466</v>
      </c>
      <c r="I336" s="19" t="s">
        <v>865</v>
      </c>
      <c r="J336" s="21">
        <v>0.67498743999999999</v>
      </c>
      <c r="K336" s="19" t="s">
        <v>1467</v>
      </c>
      <c r="L336" s="19" t="s">
        <v>1468</v>
      </c>
      <c r="M336" s="19" t="s">
        <v>1469</v>
      </c>
      <c r="N336" s="19" t="s">
        <v>869</v>
      </c>
    </row>
    <row r="337" spans="1:14">
      <c r="A337" s="19" t="s">
        <v>161</v>
      </c>
      <c r="B337" s="19">
        <v>16</v>
      </c>
      <c r="C337" s="19" t="s">
        <v>1477</v>
      </c>
      <c r="D337" s="19" t="s">
        <v>1478</v>
      </c>
      <c r="E337" s="19" t="s">
        <v>855</v>
      </c>
      <c r="F337" s="19">
        <v>2022</v>
      </c>
      <c r="G337" s="21">
        <v>0.67432283999999998</v>
      </c>
      <c r="H337" s="19" t="s">
        <v>1479</v>
      </c>
      <c r="I337" s="19" t="s">
        <v>865</v>
      </c>
      <c r="J337" s="21">
        <v>0.67432283999999998</v>
      </c>
      <c r="K337" s="19" t="s">
        <v>1480</v>
      </c>
      <c r="L337" s="19" t="s">
        <v>1481</v>
      </c>
      <c r="M337" s="19"/>
      <c r="N337" s="19" t="s">
        <v>869</v>
      </c>
    </row>
    <row r="338" spans="1:14">
      <c r="A338" s="19" t="s">
        <v>161</v>
      </c>
      <c r="B338" s="19">
        <v>17</v>
      </c>
      <c r="C338" s="19" t="s">
        <v>1818</v>
      </c>
      <c r="D338" s="19" t="s">
        <v>1819</v>
      </c>
      <c r="E338" s="19" t="s">
        <v>855</v>
      </c>
      <c r="F338" s="19">
        <v>2014</v>
      </c>
      <c r="G338" s="21">
        <v>0.67238730000000002</v>
      </c>
      <c r="H338" s="19" t="s">
        <v>2077</v>
      </c>
      <c r="I338" s="19" t="s">
        <v>857</v>
      </c>
      <c r="J338" s="21">
        <v>0.67238730000000002</v>
      </c>
      <c r="K338" s="19" t="s">
        <v>2078</v>
      </c>
      <c r="L338" s="19" t="s">
        <v>2079</v>
      </c>
      <c r="M338" s="19"/>
      <c r="N338" s="19" t="s">
        <v>1038</v>
      </c>
    </row>
    <row r="339" spans="1:14">
      <c r="A339" s="19" t="s">
        <v>161</v>
      </c>
      <c r="B339" s="19">
        <v>18</v>
      </c>
      <c r="C339" s="19" t="s">
        <v>1802</v>
      </c>
      <c r="D339" s="19" t="s">
        <v>1803</v>
      </c>
      <c r="E339" s="19" t="s">
        <v>855</v>
      </c>
      <c r="F339" s="19">
        <v>2015</v>
      </c>
      <c r="G339" s="21">
        <v>0.67228233999999998</v>
      </c>
      <c r="H339" s="19" t="s">
        <v>2080</v>
      </c>
      <c r="I339" s="19" t="s">
        <v>857</v>
      </c>
      <c r="J339" s="21">
        <v>0.67228233999999998</v>
      </c>
      <c r="K339" s="19" t="s">
        <v>2081</v>
      </c>
      <c r="L339" s="19" t="s">
        <v>2082</v>
      </c>
      <c r="M339" s="19" t="s">
        <v>2045</v>
      </c>
      <c r="N339" s="19" t="s">
        <v>1038</v>
      </c>
    </row>
    <row r="340" spans="1:14">
      <c r="A340" s="19" t="s">
        <v>161</v>
      </c>
      <c r="B340" s="19">
        <v>19</v>
      </c>
      <c r="C340" s="19" t="s">
        <v>2083</v>
      </c>
      <c r="D340" s="19" t="s">
        <v>2084</v>
      </c>
      <c r="E340" s="19" t="s">
        <v>855</v>
      </c>
      <c r="F340" s="19">
        <v>2014</v>
      </c>
      <c r="G340" s="21">
        <v>0.67084074000000005</v>
      </c>
      <c r="H340" s="19" t="s">
        <v>2085</v>
      </c>
      <c r="I340" s="19" t="s">
        <v>857</v>
      </c>
      <c r="J340" s="21">
        <v>0.67084074000000005</v>
      </c>
      <c r="K340" s="19" t="s">
        <v>2086</v>
      </c>
      <c r="L340" s="19" t="s">
        <v>2087</v>
      </c>
      <c r="M340" s="19"/>
      <c r="N340" s="19" t="s">
        <v>1038</v>
      </c>
    </row>
    <row r="341" spans="1:14">
      <c r="A341" s="19" t="s">
        <v>161</v>
      </c>
      <c r="B341" s="19">
        <v>20</v>
      </c>
      <c r="C341" s="19" t="s">
        <v>1471</v>
      </c>
      <c r="D341" s="19" t="s">
        <v>1472</v>
      </c>
      <c r="E341" s="19" t="s">
        <v>855</v>
      </c>
      <c r="F341" s="19">
        <v>2023</v>
      </c>
      <c r="G341" s="21">
        <v>0.67033149999999997</v>
      </c>
      <c r="H341" s="19" t="s">
        <v>1473</v>
      </c>
      <c r="I341" s="19" t="s">
        <v>865</v>
      </c>
      <c r="J341" s="21">
        <v>0.67033149999999997</v>
      </c>
      <c r="K341" s="19" t="s">
        <v>1474</v>
      </c>
      <c r="L341" s="19" t="s">
        <v>1475</v>
      </c>
      <c r="M341" s="19" t="s">
        <v>1476</v>
      </c>
      <c r="N341" s="19" t="s">
        <v>869</v>
      </c>
    </row>
    <row r="342" spans="1:14">
      <c r="A342" s="19" t="s">
        <v>371</v>
      </c>
      <c r="B342" s="19">
        <v>1</v>
      </c>
      <c r="C342" s="19" t="s">
        <v>2088</v>
      </c>
      <c r="D342" s="19" t="s">
        <v>415</v>
      </c>
      <c r="E342" s="19" t="s">
        <v>2089</v>
      </c>
      <c r="F342" s="19">
        <v>2004</v>
      </c>
      <c r="G342" s="21">
        <v>0.74852216000000005</v>
      </c>
      <c r="H342" s="19" t="s">
        <v>2090</v>
      </c>
      <c r="I342" s="19" t="s">
        <v>925</v>
      </c>
      <c r="J342" s="21">
        <v>0.74852216000000005</v>
      </c>
      <c r="K342" s="19" t="s">
        <v>2091</v>
      </c>
      <c r="L342" s="19" t="s">
        <v>2092</v>
      </c>
      <c r="M342" s="19" t="s">
        <v>2093</v>
      </c>
      <c r="N342" s="19" t="s">
        <v>2094</v>
      </c>
    </row>
    <row r="343" spans="1:14">
      <c r="A343" s="19" t="s">
        <v>371</v>
      </c>
      <c r="B343" s="19">
        <v>2</v>
      </c>
      <c r="C343" s="19" t="s">
        <v>2095</v>
      </c>
      <c r="D343" s="19" t="s">
        <v>2096</v>
      </c>
      <c r="E343" s="19" t="s">
        <v>855</v>
      </c>
      <c r="F343" s="19">
        <v>2015</v>
      </c>
      <c r="G343" s="21">
        <v>0.70437079999999996</v>
      </c>
      <c r="H343" s="19" t="s">
        <v>2097</v>
      </c>
      <c r="I343" s="19" t="s">
        <v>925</v>
      </c>
      <c r="J343" s="21">
        <v>0.70437079999999996</v>
      </c>
      <c r="K343" s="19" t="s">
        <v>2098</v>
      </c>
      <c r="L343" s="19" t="s">
        <v>2099</v>
      </c>
      <c r="M343" s="19" t="s">
        <v>2100</v>
      </c>
      <c r="N343" s="19" t="s">
        <v>2101</v>
      </c>
    </row>
    <row r="344" spans="1:14">
      <c r="A344" s="19" t="s">
        <v>371</v>
      </c>
      <c r="B344" s="19">
        <v>3</v>
      </c>
      <c r="C344" s="19" t="s">
        <v>2102</v>
      </c>
      <c r="D344" s="19" t="s">
        <v>2103</v>
      </c>
      <c r="E344" s="19" t="s">
        <v>855</v>
      </c>
      <c r="F344" s="19">
        <v>2022</v>
      </c>
      <c r="G344" s="21">
        <v>0.70153220000000005</v>
      </c>
      <c r="H344" s="19" t="s">
        <v>2104</v>
      </c>
      <c r="I344" s="19" t="s">
        <v>951</v>
      </c>
      <c r="J344" s="21">
        <v>0.70153220000000005</v>
      </c>
      <c r="K344" s="19" t="s">
        <v>2105</v>
      </c>
      <c r="L344" s="19" t="s">
        <v>2106</v>
      </c>
      <c r="M344" s="19" t="s">
        <v>2107</v>
      </c>
      <c r="N344" s="19" t="s">
        <v>1513</v>
      </c>
    </row>
    <row r="345" spans="1:14">
      <c r="A345" s="19" t="s">
        <v>371</v>
      </c>
      <c r="B345" s="19">
        <v>4</v>
      </c>
      <c r="C345" s="19" t="s">
        <v>2108</v>
      </c>
      <c r="D345" s="19" t="s">
        <v>709</v>
      </c>
      <c r="E345" s="19" t="s">
        <v>2109</v>
      </c>
      <c r="F345" s="19">
        <v>2016</v>
      </c>
      <c r="G345" s="21">
        <v>0.70050513999999997</v>
      </c>
      <c r="H345" s="19" t="s">
        <v>2110</v>
      </c>
      <c r="I345" s="19" t="s">
        <v>914</v>
      </c>
      <c r="J345" s="21">
        <v>0.70050513999999997</v>
      </c>
      <c r="K345" s="19" t="s">
        <v>2111</v>
      </c>
      <c r="L345" s="19" t="s">
        <v>2112</v>
      </c>
      <c r="M345" s="19"/>
      <c r="N345" s="19" t="s">
        <v>1463</v>
      </c>
    </row>
    <row r="346" spans="1:14">
      <c r="A346" s="19" t="s">
        <v>371</v>
      </c>
      <c r="B346" s="19">
        <v>5</v>
      </c>
      <c r="C346" s="19" t="s">
        <v>2113</v>
      </c>
      <c r="D346" s="19" t="s">
        <v>2114</v>
      </c>
      <c r="E346" s="19" t="s">
        <v>855</v>
      </c>
      <c r="F346" s="19">
        <v>2014</v>
      </c>
      <c r="G346" s="21">
        <v>0.69317304999999996</v>
      </c>
      <c r="H346" s="19" t="s">
        <v>2115</v>
      </c>
      <c r="I346" s="19" t="s">
        <v>951</v>
      </c>
      <c r="J346" s="21">
        <v>0.69317304999999996</v>
      </c>
      <c r="K346" s="19" t="s">
        <v>2116</v>
      </c>
      <c r="L346" s="19" t="s">
        <v>2117</v>
      </c>
      <c r="M346" s="19" t="s">
        <v>2118</v>
      </c>
      <c r="N346" s="19" t="s">
        <v>993</v>
      </c>
    </row>
    <row r="347" spans="1:14">
      <c r="A347" s="19" t="s">
        <v>371</v>
      </c>
      <c r="B347" s="19">
        <v>6</v>
      </c>
      <c r="C347" s="19" t="s">
        <v>2119</v>
      </c>
      <c r="D347" s="19" t="s">
        <v>2120</v>
      </c>
      <c r="E347" s="19" t="s">
        <v>855</v>
      </c>
      <c r="F347" s="19">
        <v>2014</v>
      </c>
      <c r="G347" s="21">
        <v>0.68203115000000003</v>
      </c>
      <c r="H347" s="19" t="s">
        <v>2121</v>
      </c>
      <c r="I347" s="19" t="s">
        <v>951</v>
      </c>
      <c r="J347" s="21">
        <v>0.68203115000000003</v>
      </c>
      <c r="K347" s="19" t="s">
        <v>2122</v>
      </c>
      <c r="L347" s="19" t="s">
        <v>2123</v>
      </c>
      <c r="M347" s="19" t="s">
        <v>2124</v>
      </c>
      <c r="N347" s="19" t="s">
        <v>1000</v>
      </c>
    </row>
    <row r="348" spans="1:14">
      <c r="A348" s="19" t="s">
        <v>371</v>
      </c>
      <c r="B348" s="19">
        <v>7</v>
      </c>
      <c r="C348" s="19" t="s">
        <v>2125</v>
      </c>
      <c r="D348" s="19" t="s">
        <v>2126</v>
      </c>
      <c r="E348" s="19" t="s">
        <v>2127</v>
      </c>
      <c r="F348" s="19">
        <v>2001</v>
      </c>
      <c r="G348" s="21">
        <v>0.677006</v>
      </c>
      <c r="H348" s="19" t="s">
        <v>2128</v>
      </c>
      <c r="I348" s="19" t="s">
        <v>914</v>
      </c>
      <c r="J348" s="21">
        <v>0.677006</v>
      </c>
      <c r="K348" s="19" t="s">
        <v>2129</v>
      </c>
      <c r="L348" s="19" t="s">
        <v>2130</v>
      </c>
      <c r="M348" s="19"/>
      <c r="N348" s="19" t="s">
        <v>1189</v>
      </c>
    </row>
    <row r="349" spans="1:14">
      <c r="A349" s="19" t="s">
        <v>371</v>
      </c>
      <c r="B349" s="19">
        <v>8</v>
      </c>
      <c r="C349" s="19" t="s">
        <v>948</v>
      </c>
      <c r="D349" s="19" t="s">
        <v>949</v>
      </c>
      <c r="E349" s="19" t="s">
        <v>855</v>
      </c>
      <c r="F349" s="19">
        <v>2016</v>
      </c>
      <c r="G349" s="21">
        <v>0.67585236000000004</v>
      </c>
      <c r="H349" s="19" t="s">
        <v>950</v>
      </c>
      <c r="I349" s="19" t="s">
        <v>951</v>
      </c>
      <c r="J349" s="21">
        <v>0.67585236000000004</v>
      </c>
      <c r="K349" s="19" t="s">
        <v>952</v>
      </c>
      <c r="L349" s="19" t="s">
        <v>953</v>
      </c>
      <c r="M349" s="19" t="s">
        <v>954</v>
      </c>
      <c r="N349" s="19" t="s">
        <v>1000</v>
      </c>
    </row>
    <row r="350" spans="1:14">
      <c r="A350" s="19" t="s">
        <v>371</v>
      </c>
      <c r="B350" s="19">
        <v>9</v>
      </c>
      <c r="C350" s="19" t="s">
        <v>2131</v>
      </c>
      <c r="D350" s="19" t="s">
        <v>2132</v>
      </c>
      <c r="E350" s="19" t="s">
        <v>855</v>
      </c>
      <c r="F350" s="19">
        <v>2010</v>
      </c>
      <c r="G350" s="21">
        <v>0.67497914999999997</v>
      </c>
      <c r="H350" s="19" t="s">
        <v>2133</v>
      </c>
      <c r="I350" s="19" t="s">
        <v>857</v>
      </c>
      <c r="J350" s="21">
        <v>0.67497914999999997</v>
      </c>
      <c r="K350" s="19" t="s">
        <v>2134</v>
      </c>
      <c r="L350" s="19" t="s">
        <v>2135</v>
      </c>
      <c r="M350" s="19" t="s">
        <v>2136</v>
      </c>
      <c r="N350" s="19" t="s">
        <v>1038</v>
      </c>
    </row>
    <row r="351" spans="1:14">
      <c r="A351" s="19" t="s">
        <v>371</v>
      </c>
      <c r="B351" s="19">
        <v>10</v>
      </c>
      <c r="C351" s="19" t="s">
        <v>2137</v>
      </c>
      <c r="D351" s="19" t="s">
        <v>2138</v>
      </c>
      <c r="E351" s="19" t="s">
        <v>855</v>
      </c>
      <c r="F351" s="19">
        <v>2016</v>
      </c>
      <c r="G351" s="21">
        <v>0.67355209999999999</v>
      </c>
      <c r="H351" s="19" t="s">
        <v>2139</v>
      </c>
      <c r="I351" s="19" t="s">
        <v>951</v>
      </c>
      <c r="J351" s="21">
        <v>0.67355209999999999</v>
      </c>
      <c r="K351" s="19" t="s">
        <v>2140</v>
      </c>
      <c r="L351" s="19" t="s">
        <v>2141</v>
      </c>
      <c r="M351" s="19" t="s">
        <v>2142</v>
      </c>
      <c r="N351" s="19" t="s">
        <v>1019</v>
      </c>
    </row>
    <row r="352" spans="1:14">
      <c r="A352" s="19" t="s">
        <v>371</v>
      </c>
      <c r="B352" s="19">
        <v>11</v>
      </c>
      <c r="C352" s="19" t="s">
        <v>981</v>
      </c>
      <c r="D352" s="19" t="s">
        <v>821</v>
      </c>
      <c r="E352" s="19" t="s">
        <v>855</v>
      </c>
      <c r="F352" s="19">
        <v>2022</v>
      </c>
      <c r="G352" s="21">
        <v>0.67311500000000002</v>
      </c>
      <c r="H352" s="19" t="s">
        <v>2143</v>
      </c>
      <c r="I352" s="19" t="s">
        <v>951</v>
      </c>
      <c r="J352" s="21">
        <v>0.67311500000000002</v>
      </c>
      <c r="K352" s="19" t="s">
        <v>2144</v>
      </c>
      <c r="L352" s="19" t="s">
        <v>2145</v>
      </c>
      <c r="M352" s="19" t="s">
        <v>2146</v>
      </c>
      <c r="N352" s="19" t="s">
        <v>1019</v>
      </c>
    </row>
    <row r="353" spans="1:14">
      <c r="A353" s="19" t="s">
        <v>371</v>
      </c>
      <c r="B353" s="19">
        <v>12</v>
      </c>
      <c r="C353" s="19" t="s">
        <v>2147</v>
      </c>
      <c r="D353" s="19" t="s">
        <v>2148</v>
      </c>
      <c r="E353" s="19" t="s">
        <v>855</v>
      </c>
      <c r="F353" s="19">
        <v>2022</v>
      </c>
      <c r="G353" s="21">
        <v>0.67116933999999995</v>
      </c>
      <c r="H353" s="19" t="s">
        <v>2149</v>
      </c>
      <c r="I353" s="19" t="s">
        <v>951</v>
      </c>
      <c r="J353" s="21">
        <v>0.67116933999999995</v>
      </c>
      <c r="K353" s="19" t="s">
        <v>2150</v>
      </c>
      <c r="L353" s="19" t="s">
        <v>2151</v>
      </c>
      <c r="M353" s="19" t="s">
        <v>2152</v>
      </c>
      <c r="N353" s="19" t="s">
        <v>1019</v>
      </c>
    </row>
    <row r="354" spans="1:14">
      <c r="A354" s="19" t="s">
        <v>371</v>
      </c>
      <c r="B354" s="19">
        <v>13</v>
      </c>
      <c r="C354" s="19" t="s">
        <v>1007</v>
      </c>
      <c r="D354" s="19" t="s">
        <v>1008</v>
      </c>
      <c r="E354" s="19" t="s">
        <v>855</v>
      </c>
      <c r="F354" s="19">
        <v>2016</v>
      </c>
      <c r="G354" s="21">
        <v>0.66964100000000004</v>
      </c>
      <c r="H354" s="19" t="s">
        <v>1009</v>
      </c>
      <c r="I354" s="19" t="s">
        <v>951</v>
      </c>
      <c r="J354" s="21">
        <v>0.66964100000000004</v>
      </c>
      <c r="K354" s="19" t="s">
        <v>1010</v>
      </c>
      <c r="L354" s="19" t="s">
        <v>1011</v>
      </c>
      <c r="M354" s="19" t="s">
        <v>1012</v>
      </c>
      <c r="N354" s="19" t="s">
        <v>1019</v>
      </c>
    </row>
    <row r="355" spans="1:14">
      <c r="A355" s="19" t="s">
        <v>371</v>
      </c>
      <c r="B355" s="19">
        <v>14</v>
      </c>
      <c r="C355" s="19" t="s">
        <v>2153</v>
      </c>
      <c r="D355" s="19" t="s">
        <v>810</v>
      </c>
      <c r="E355" s="19" t="s">
        <v>855</v>
      </c>
      <c r="F355" s="19">
        <v>2022</v>
      </c>
      <c r="G355" s="21">
        <v>0.66867869999999996</v>
      </c>
      <c r="H355" s="19" t="s">
        <v>2154</v>
      </c>
      <c r="I355" s="19" t="s">
        <v>951</v>
      </c>
      <c r="J355" s="21">
        <v>0.66867869999999996</v>
      </c>
      <c r="K355" s="19" t="s">
        <v>2155</v>
      </c>
      <c r="L355" s="19" t="s">
        <v>2156</v>
      </c>
      <c r="M355" s="19" t="s">
        <v>2157</v>
      </c>
      <c r="N355" s="19" t="s">
        <v>1019</v>
      </c>
    </row>
    <row r="356" spans="1:14">
      <c r="A356" s="19" t="s">
        <v>371</v>
      </c>
      <c r="B356" s="19">
        <v>15</v>
      </c>
      <c r="C356" s="19" t="s">
        <v>2158</v>
      </c>
      <c r="D356" s="19" t="s">
        <v>2159</v>
      </c>
      <c r="E356" s="19" t="s">
        <v>855</v>
      </c>
      <c r="F356" s="19">
        <v>2022</v>
      </c>
      <c r="G356" s="21">
        <v>0.66799140000000001</v>
      </c>
      <c r="H356" s="19" t="s">
        <v>2160</v>
      </c>
      <c r="I356" s="19" t="s">
        <v>951</v>
      </c>
      <c r="J356" s="21">
        <v>0.66799140000000001</v>
      </c>
      <c r="K356" s="19" t="s">
        <v>2161</v>
      </c>
      <c r="L356" s="19" t="s">
        <v>2162</v>
      </c>
      <c r="M356" s="19" t="s">
        <v>2163</v>
      </c>
      <c r="N356" s="19" t="s">
        <v>1019</v>
      </c>
    </row>
    <row r="357" spans="1:14">
      <c r="A357" s="19" t="s">
        <v>371</v>
      </c>
      <c r="B357" s="19">
        <v>16</v>
      </c>
      <c r="C357" s="19" t="s">
        <v>2164</v>
      </c>
      <c r="D357" s="19" t="s">
        <v>2165</v>
      </c>
      <c r="E357" s="19" t="s">
        <v>855</v>
      </c>
      <c r="F357" s="19">
        <v>2016</v>
      </c>
      <c r="G357" s="21">
        <v>0.66782249999999999</v>
      </c>
      <c r="H357" s="19" t="s">
        <v>2166</v>
      </c>
      <c r="I357" s="19" t="s">
        <v>951</v>
      </c>
      <c r="J357" s="21">
        <v>0.66782249999999999</v>
      </c>
      <c r="K357" s="19" t="s">
        <v>2167</v>
      </c>
      <c r="L357" s="19" t="s">
        <v>2168</v>
      </c>
      <c r="M357" s="19" t="s">
        <v>2169</v>
      </c>
      <c r="N357" s="19" t="s">
        <v>1019</v>
      </c>
    </row>
    <row r="358" spans="1:14">
      <c r="A358" s="19" t="s">
        <v>371</v>
      </c>
      <c r="B358" s="19">
        <v>17</v>
      </c>
      <c r="C358" s="19" t="s">
        <v>1039</v>
      </c>
      <c r="D358" s="19" t="s">
        <v>1040</v>
      </c>
      <c r="E358" s="19" t="s">
        <v>855</v>
      </c>
      <c r="F358" s="19">
        <v>2022</v>
      </c>
      <c r="G358" s="21">
        <v>0.66760430000000004</v>
      </c>
      <c r="H358" s="19" t="s">
        <v>1041</v>
      </c>
      <c r="I358" s="19" t="s">
        <v>951</v>
      </c>
      <c r="J358" s="21">
        <v>0.66760430000000004</v>
      </c>
      <c r="K358" s="19" t="s">
        <v>1042</v>
      </c>
      <c r="L358" s="19" t="s">
        <v>1043</v>
      </c>
      <c r="M358" s="19" t="s">
        <v>1044</v>
      </c>
      <c r="N358" s="19" t="s">
        <v>1019</v>
      </c>
    </row>
    <row r="359" spans="1:14">
      <c r="A359" s="19" t="s">
        <v>371</v>
      </c>
      <c r="B359" s="19">
        <v>18</v>
      </c>
      <c r="C359" s="19" t="s">
        <v>2170</v>
      </c>
      <c r="D359" s="19" t="s">
        <v>2171</v>
      </c>
      <c r="E359" s="19" t="s">
        <v>855</v>
      </c>
      <c r="F359" s="19">
        <v>2023</v>
      </c>
      <c r="G359" s="21">
        <v>0.66746810000000001</v>
      </c>
      <c r="H359" s="19" t="s">
        <v>2172</v>
      </c>
      <c r="I359" s="19" t="s">
        <v>951</v>
      </c>
      <c r="J359" s="21">
        <v>0.66746810000000001</v>
      </c>
      <c r="K359" s="19" t="s">
        <v>2173</v>
      </c>
      <c r="L359" s="19" t="s">
        <v>2174</v>
      </c>
      <c r="M359" s="19" t="s">
        <v>2175</v>
      </c>
      <c r="N359" s="19" t="s">
        <v>1019</v>
      </c>
    </row>
    <row r="360" spans="1:14">
      <c r="A360" s="19" t="s">
        <v>371</v>
      </c>
      <c r="B360" s="19">
        <v>19</v>
      </c>
      <c r="C360" s="19" t="s">
        <v>2176</v>
      </c>
      <c r="D360" s="19" t="s">
        <v>2177</v>
      </c>
      <c r="E360" s="19" t="s">
        <v>855</v>
      </c>
      <c r="F360" s="19">
        <v>2022</v>
      </c>
      <c r="G360" s="21">
        <v>0.66688776000000005</v>
      </c>
      <c r="H360" s="19" t="s">
        <v>2178</v>
      </c>
      <c r="I360" s="19" t="s">
        <v>951</v>
      </c>
      <c r="J360" s="21">
        <v>0.66688776000000005</v>
      </c>
      <c r="K360" s="19" t="s">
        <v>2179</v>
      </c>
      <c r="L360" s="19" t="s">
        <v>2180</v>
      </c>
      <c r="M360" s="19" t="s">
        <v>2181</v>
      </c>
      <c r="N360" s="19" t="s">
        <v>1019</v>
      </c>
    </row>
    <row r="361" spans="1:14">
      <c r="A361" s="19" t="s">
        <v>371</v>
      </c>
      <c r="B361" s="19">
        <v>20</v>
      </c>
      <c r="C361" s="19" t="s">
        <v>2182</v>
      </c>
      <c r="D361" s="19" t="s">
        <v>2183</v>
      </c>
      <c r="E361" s="19" t="s">
        <v>855</v>
      </c>
      <c r="F361" s="19">
        <v>2022</v>
      </c>
      <c r="G361" s="21">
        <v>0.66590629999999995</v>
      </c>
      <c r="H361" s="19" t="s">
        <v>2184</v>
      </c>
      <c r="I361" s="19" t="s">
        <v>951</v>
      </c>
      <c r="J361" s="21">
        <v>0.66590629999999995</v>
      </c>
      <c r="K361" s="19" t="s">
        <v>2185</v>
      </c>
      <c r="L361" s="19" t="s">
        <v>2186</v>
      </c>
      <c r="M361" s="19" t="s">
        <v>2187</v>
      </c>
      <c r="N361" s="19" t="s">
        <v>1019</v>
      </c>
    </row>
    <row r="362" spans="1:14">
      <c r="A362" s="19" t="s">
        <v>2188</v>
      </c>
      <c r="B362" s="19">
        <v>1</v>
      </c>
      <c r="C362" s="19" t="s">
        <v>1600</v>
      </c>
      <c r="D362" s="19" t="s">
        <v>717</v>
      </c>
      <c r="E362" s="19" t="s">
        <v>855</v>
      </c>
      <c r="F362" s="19">
        <v>2015</v>
      </c>
      <c r="G362" s="21">
        <v>0.73170173000000005</v>
      </c>
      <c r="H362" s="19" t="s">
        <v>1601</v>
      </c>
      <c r="I362" s="19" t="s">
        <v>914</v>
      </c>
      <c r="J362" s="21">
        <v>0.73170173000000005</v>
      </c>
      <c r="K362" s="19" t="s">
        <v>1602</v>
      </c>
      <c r="L362" s="19" t="s">
        <v>1603</v>
      </c>
      <c r="M362" s="19"/>
      <c r="N362" s="19" t="s">
        <v>1604</v>
      </c>
    </row>
    <row r="363" spans="1:14">
      <c r="A363" s="19" t="s">
        <v>2188</v>
      </c>
      <c r="B363" s="19">
        <v>2</v>
      </c>
      <c r="C363" s="19" t="s">
        <v>1518</v>
      </c>
      <c r="D363" s="19" t="s">
        <v>1519</v>
      </c>
      <c r="E363" s="19" t="s">
        <v>855</v>
      </c>
      <c r="F363" s="19">
        <v>2022</v>
      </c>
      <c r="G363" s="21">
        <v>0.72841834999999999</v>
      </c>
      <c r="H363" s="19" t="s">
        <v>1605</v>
      </c>
      <c r="I363" s="19" t="s">
        <v>914</v>
      </c>
      <c r="J363" s="21">
        <v>0.72841834999999999</v>
      </c>
      <c r="K363" s="19" t="s">
        <v>1606</v>
      </c>
      <c r="L363" s="19" t="s">
        <v>1607</v>
      </c>
      <c r="M363" s="19"/>
      <c r="N363" s="19" t="s">
        <v>1604</v>
      </c>
    </row>
    <row r="364" spans="1:14">
      <c r="A364" s="19" t="s">
        <v>2188</v>
      </c>
      <c r="B364" s="19">
        <v>3</v>
      </c>
      <c r="C364" s="19" t="s">
        <v>1608</v>
      </c>
      <c r="D364" s="19" t="s">
        <v>1609</v>
      </c>
      <c r="E364" s="19" t="s">
        <v>855</v>
      </c>
      <c r="F364" s="19">
        <v>2014</v>
      </c>
      <c r="G364" s="21">
        <v>0.72689029999999999</v>
      </c>
      <c r="H364" s="19" t="s">
        <v>1610</v>
      </c>
      <c r="I364" s="19" t="s">
        <v>914</v>
      </c>
      <c r="J364" s="21">
        <v>0.72689029999999999</v>
      </c>
      <c r="K364" s="19" t="s">
        <v>1611</v>
      </c>
      <c r="L364" s="19" t="s">
        <v>1612</v>
      </c>
      <c r="M364" s="19"/>
      <c r="N364" s="19" t="s">
        <v>1604</v>
      </c>
    </row>
    <row r="365" spans="1:14">
      <c r="A365" s="19" t="s">
        <v>2188</v>
      </c>
      <c r="B365" s="19">
        <v>4</v>
      </c>
      <c r="C365" s="19" t="s">
        <v>1613</v>
      </c>
      <c r="D365" s="19" t="s">
        <v>1614</v>
      </c>
      <c r="E365" s="19" t="s">
        <v>855</v>
      </c>
      <c r="F365" s="19">
        <v>2015</v>
      </c>
      <c r="G365" s="21">
        <v>0.72556469999999995</v>
      </c>
      <c r="H365" s="19" t="s">
        <v>1615</v>
      </c>
      <c r="I365" s="19" t="s">
        <v>914</v>
      </c>
      <c r="J365" s="21">
        <v>0.72556469999999995</v>
      </c>
      <c r="K365" s="19" t="s">
        <v>1616</v>
      </c>
      <c r="L365" s="19" t="s">
        <v>1617</v>
      </c>
      <c r="M365" s="19" t="s">
        <v>1618</v>
      </c>
      <c r="N365" s="19" t="s">
        <v>1604</v>
      </c>
    </row>
    <row r="366" spans="1:14">
      <c r="A366" s="19" t="s">
        <v>2188</v>
      </c>
      <c r="B366" s="19">
        <v>5</v>
      </c>
      <c r="C366" s="19" t="s">
        <v>1619</v>
      </c>
      <c r="D366" s="19" t="s">
        <v>1620</v>
      </c>
      <c r="E366" s="19" t="s">
        <v>855</v>
      </c>
      <c r="F366" s="19">
        <v>2015</v>
      </c>
      <c r="G366" s="21">
        <v>0.72506535000000005</v>
      </c>
      <c r="H366" s="19" t="s">
        <v>1621</v>
      </c>
      <c r="I366" s="19" t="s">
        <v>914</v>
      </c>
      <c r="J366" s="21">
        <v>0.72506535000000005</v>
      </c>
      <c r="K366" s="19" t="s">
        <v>1622</v>
      </c>
      <c r="L366" s="19" t="s">
        <v>1623</v>
      </c>
      <c r="M366" s="19" t="s">
        <v>1624</v>
      </c>
      <c r="N366" s="19" t="s">
        <v>1604</v>
      </c>
    </row>
    <row r="367" spans="1:14">
      <c r="A367" s="19" t="s">
        <v>2188</v>
      </c>
      <c r="B367" s="19">
        <v>6</v>
      </c>
      <c r="C367" s="19" t="s">
        <v>1625</v>
      </c>
      <c r="D367" s="19" t="s">
        <v>1626</v>
      </c>
      <c r="E367" s="19" t="s">
        <v>855</v>
      </c>
      <c r="F367" s="19">
        <v>2015</v>
      </c>
      <c r="G367" s="21">
        <v>0.72407480000000002</v>
      </c>
      <c r="H367" s="19" t="s">
        <v>1627</v>
      </c>
      <c r="I367" s="19" t="s">
        <v>914</v>
      </c>
      <c r="J367" s="21">
        <v>0.72407480000000002</v>
      </c>
      <c r="K367" s="19" t="s">
        <v>1628</v>
      </c>
      <c r="L367" s="19" t="s">
        <v>1629</v>
      </c>
      <c r="M367" s="19"/>
      <c r="N367" s="19" t="s">
        <v>1630</v>
      </c>
    </row>
    <row r="368" spans="1:14">
      <c r="A368" s="19" t="s">
        <v>2188</v>
      </c>
      <c r="B368" s="19">
        <v>7</v>
      </c>
      <c r="C368" s="19" t="s">
        <v>1631</v>
      </c>
      <c r="D368" s="19" t="s">
        <v>1632</v>
      </c>
      <c r="E368" s="19" t="s">
        <v>855</v>
      </c>
      <c r="F368" s="19">
        <v>2014</v>
      </c>
      <c r="G368" s="21">
        <v>0.72144640000000004</v>
      </c>
      <c r="H368" s="19" t="s">
        <v>1633</v>
      </c>
      <c r="I368" s="19" t="s">
        <v>857</v>
      </c>
      <c r="J368" s="21">
        <v>0.72144640000000004</v>
      </c>
      <c r="K368" s="19" t="s">
        <v>1634</v>
      </c>
      <c r="L368" s="19" t="s">
        <v>1635</v>
      </c>
      <c r="M368" s="19"/>
      <c r="N368" s="19" t="s">
        <v>1636</v>
      </c>
    </row>
    <row r="369" spans="1:14">
      <c r="A369" s="19" t="s">
        <v>2188</v>
      </c>
      <c r="B369" s="19">
        <v>8</v>
      </c>
      <c r="C369" s="19" t="s">
        <v>1637</v>
      </c>
      <c r="D369" s="19" t="s">
        <v>1638</v>
      </c>
      <c r="E369" s="19" t="s">
        <v>855</v>
      </c>
      <c r="F369" s="19">
        <v>2015</v>
      </c>
      <c r="G369" s="21">
        <v>0.72111139999999996</v>
      </c>
      <c r="H369" s="19" t="s">
        <v>1639</v>
      </c>
      <c r="I369" s="19" t="s">
        <v>914</v>
      </c>
      <c r="J369" s="21">
        <v>0.72111139999999996</v>
      </c>
      <c r="K369" s="19" t="s">
        <v>1640</v>
      </c>
      <c r="L369" s="19" t="s">
        <v>1641</v>
      </c>
      <c r="M369" s="19" t="s">
        <v>1642</v>
      </c>
      <c r="N369" s="19" t="s">
        <v>1630</v>
      </c>
    </row>
    <row r="370" spans="1:14">
      <c r="A370" s="19" t="s">
        <v>2188</v>
      </c>
      <c r="B370" s="19">
        <v>9</v>
      </c>
      <c r="C370" s="19" t="s">
        <v>1643</v>
      </c>
      <c r="D370" s="19" t="s">
        <v>1644</v>
      </c>
      <c r="E370" s="19" t="s">
        <v>855</v>
      </c>
      <c r="F370" s="19">
        <v>2014</v>
      </c>
      <c r="G370" s="21">
        <v>0.71684270000000005</v>
      </c>
      <c r="H370" s="19" t="s">
        <v>1645</v>
      </c>
      <c r="I370" s="19" t="s">
        <v>914</v>
      </c>
      <c r="J370" s="21">
        <v>0.71684270000000005</v>
      </c>
      <c r="K370" s="19" t="s">
        <v>1646</v>
      </c>
      <c r="L370" s="19" t="s">
        <v>1647</v>
      </c>
      <c r="M370" s="19"/>
      <c r="N370" s="19" t="s">
        <v>1630</v>
      </c>
    </row>
    <row r="371" spans="1:14">
      <c r="A371" s="19" t="s">
        <v>2188</v>
      </c>
      <c r="B371" s="19">
        <v>10</v>
      </c>
      <c r="C371" s="19" t="s">
        <v>1648</v>
      </c>
      <c r="D371" s="19" t="s">
        <v>1649</v>
      </c>
      <c r="E371" s="19" t="s">
        <v>855</v>
      </c>
      <c r="F371" s="19">
        <v>2016</v>
      </c>
      <c r="G371" s="21">
        <v>0.71553062999999995</v>
      </c>
      <c r="H371" s="19" t="s">
        <v>1650</v>
      </c>
      <c r="I371" s="19" t="s">
        <v>914</v>
      </c>
      <c r="J371" s="21">
        <v>0.71553062999999995</v>
      </c>
      <c r="K371" s="19" t="s">
        <v>1651</v>
      </c>
      <c r="L371" s="19" t="s">
        <v>1652</v>
      </c>
      <c r="M371" s="19" t="s">
        <v>1653</v>
      </c>
      <c r="N371" s="19" t="s">
        <v>1630</v>
      </c>
    </row>
    <row r="372" spans="1:14">
      <c r="A372" s="19" t="s">
        <v>2188</v>
      </c>
      <c r="B372" s="19">
        <v>11</v>
      </c>
      <c r="C372" s="19" t="s">
        <v>1654</v>
      </c>
      <c r="D372" s="19" t="s">
        <v>1655</v>
      </c>
      <c r="E372" s="19" t="s">
        <v>855</v>
      </c>
      <c r="F372" s="19">
        <v>2014</v>
      </c>
      <c r="G372" s="21">
        <v>0.71482409999999996</v>
      </c>
      <c r="H372" s="19" t="s">
        <v>1656</v>
      </c>
      <c r="I372" s="19" t="s">
        <v>914</v>
      </c>
      <c r="J372" s="21">
        <v>0.71482409999999996</v>
      </c>
      <c r="K372" s="19" t="s">
        <v>1657</v>
      </c>
      <c r="L372" s="19" t="s">
        <v>1658</v>
      </c>
      <c r="M372" s="19"/>
      <c r="N372" s="19" t="s">
        <v>1659</v>
      </c>
    </row>
    <row r="373" spans="1:14">
      <c r="A373" s="19" t="s">
        <v>2188</v>
      </c>
      <c r="B373" s="19">
        <v>12</v>
      </c>
      <c r="C373" s="19" t="s">
        <v>1660</v>
      </c>
      <c r="D373" s="19" t="s">
        <v>1661</v>
      </c>
      <c r="E373" s="19" t="s">
        <v>855</v>
      </c>
      <c r="F373" s="19">
        <v>2015</v>
      </c>
      <c r="G373" s="21">
        <v>0.71463615000000003</v>
      </c>
      <c r="H373" s="19" t="s">
        <v>1662</v>
      </c>
      <c r="I373" s="19" t="s">
        <v>914</v>
      </c>
      <c r="J373" s="21">
        <v>0.71463615000000003</v>
      </c>
      <c r="K373" s="19" t="s">
        <v>1663</v>
      </c>
      <c r="L373" s="19" t="s">
        <v>1664</v>
      </c>
      <c r="M373" s="19"/>
      <c r="N373" s="19" t="s">
        <v>1659</v>
      </c>
    </row>
    <row r="374" spans="1:14">
      <c r="A374" s="19" t="s">
        <v>2188</v>
      </c>
      <c r="B374" s="19">
        <v>13</v>
      </c>
      <c r="C374" s="19" t="s">
        <v>1665</v>
      </c>
      <c r="D374" s="19" t="s">
        <v>1666</v>
      </c>
      <c r="E374" s="19" t="s">
        <v>855</v>
      </c>
      <c r="F374" s="19">
        <v>2015</v>
      </c>
      <c r="G374" s="21">
        <v>0.71423749999999997</v>
      </c>
      <c r="H374" s="19" t="s">
        <v>1667</v>
      </c>
      <c r="I374" s="19" t="s">
        <v>914</v>
      </c>
      <c r="J374" s="21">
        <v>0.71423749999999997</v>
      </c>
      <c r="K374" s="19" t="s">
        <v>1668</v>
      </c>
      <c r="L374" s="19" t="s">
        <v>1669</v>
      </c>
      <c r="M374" s="19"/>
      <c r="N374" s="19" t="s">
        <v>1659</v>
      </c>
    </row>
    <row r="375" spans="1:14">
      <c r="A375" s="19" t="s">
        <v>2188</v>
      </c>
      <c r="B375" s="19">
        <v>14</v>
      </c>
      <c r="C375" s="19" t="s">
        <v>1670</v>
      </c>
      <c r="D375" s="19" t="s">
        <v>1671</v>
      </c>
      <c r="E375" s="19" t="s">
        <v>855</v>
      </c>
      <c r="F375" s="19">
        <v>2014</v>
      </c>
      <c r="G375" s="21">
        <v>0.71273726000000004</v>
      </c>
      <c r="H375" s="19" t="s">
        <v>1672</v>
      </c>
      <c r="I375" s="19" t="s">
        <v>914</v>
      </c>
      <c r="J375" s="21">
        <v>0.71273726000000004</v>
      </c>
      <c r="K375" s="19" t="s">
        <v>1673</v>
      </c>
      <c r="L375" s="19" t="s">
        <v>1674</v>
      </c>
      <c r="M375" s="19"/>
      <c r="N375" s="19" t="s">
        <v>1659</v>
      </c>
    </row>
    <row r="376" spans="1:14">
      <c r="A376" s="19" t="s">
        <v>2188</v>
      </c>
      <c r="B376" s="19">
        <v>15</v>
      </c>
      <c r="C376" s="19" t="s">
        <v>2189</v>
      </c>
      <c r="D376" s="19" t="s">
        <v>2190</v>
      </c>
      <c r="E376" s="19" t="s">
        <v>2191</v>
      </c>
      <c r="F376" s="19">
        <v>2015</v>
      </c>
      <c r="G376" s="21">
        <v>0.70611069999999998</v>
      </c>
      <c r="H376" s="19" t="s">
        <v>2192</v>
      </c>
      <c r="I376" s="19" t="s">
        <v>914</v>
      </c>
      <c r="J376" s="21">
        <v>0.70611069999999998</v>
      </c>
      <c r="K376" s="19" t="s">
        <v>2193</v>
      </c>
      <c r="L376" s="19" t="s">
        <v>2194</v>
      </c>
      <c r="M376" s="19"/>
      <c r="N376" s="19" t="s">
        <v>1659</v>
      </c>
    </row>
    <row r="377" spans="1:14">
      <c r="A377" s="19" t="s">
        <v>2188</v>
      </c>
      <c r="B377" s="19">
        <v>16</v>
      </c>
      <c r="C377" s="19" t="s">
        <v>1675</v>
      </c>
      <c r="D377" s="19" t="s">
        <v>1676</v>
      </c>
      <c r="E377" s="19" t="s">
        <v>855</v>
      </c>
      <c r="F377" s="19">
        <v>2015</v>
      </c>
      <c r="G377" s="21">
        <v>0.70538009999999995</v>
      </c>
      <c r="H377" s="19" t="s">
        <v>1677</v>
      </c>
      <c r="I377" s="19" t="s">
        <v>914</v>
      </c>
      <c r="J377" s="21">
        <v>0.70538009999999995</v>
      </c>
      <c r="K377" s="19" t="s">
        <v>1678</v>
      </c>
      <c r="L377" s="19" t="s">
        <v>1679</v>
      </c>
      <c r="M377" s="19"/>
      <c r="N377" s="19" t="s">
        <v>1659</v>
      </c>
    </row>
    <row r="378" spans="1:14">
      <c r="A378" s="19" t="s">
        <v>2188</v>
      </c>
      <c r="B378" s="19">
        <v>17</v>
      </c>
      <c r="C378" s="19" t="s">
        <v>1680</v>
      </c>
      <c r="D378" s="19" t="s">
        <v>1681</v>
      </c>
      <c r="E378" s="19" t="s">
        <v>855</v>
      </c>
      <c r="F378" s="19">
        <v>2014</v>
      </c>
      <c r="G378" s="21">
        <v>0.70324180000000003</v>
      </c>
      <c r="H378" s="19" t="s">
        <v>1682</v>
      </c>
      <c r="I378" s="19" t="s">
        <v>914</v>
      </c>
      <c r="J378" s="21">
        <v>0.70324180000000003</v>
      </c>
      <c r="K378" s="19" t="s">
        <v>1683</v>
      </c>
      <c r="L378" s="19" t="s">
        <v>1684</v>
      </c>
      <c r="M378" s="19"/>
      <c r="N378" s="19" t="s">
        <v>1463</v>
      </c>
    </row>
    <row r="379" spans="1:14">
      <c r="A379" s="19" t="s">
        <v>2188</v>
      </c>
      <c r="B379" s="19">
        <v>18</v>
      </c>
      <c r="C379" s="19" t="s">
        <v>1886</v>
      </c>
      <c r="D379" s="19" t="s">
        <v>1887</v>
      </c>
      <c r="E379" s="19" t="s">
        <v>855</v>
      </c>
      <c r="F379" s="19">
        <v>2014</v>
      </c>
      <c r="G379" s="21">
        <v>0.70212746000000004</v>
      </c>
      <c r="H379" s="19" t="s">
        <v>1888</v>
      </c>
      <c r="I379" s="19" t="s">
        <v>914</v>
      </c>
      <c r="J379" s="21">
        <v>0.70212746000000004</v>
      </c>
      <c r="K379" s="19" t="s">
        <v>1889</v>
      </c>
      <c r="L379" s="19" t="s">
        <v>1890</v>
      </c>
      <c r="M379" s="19"/>
      <c r="N379" s="19" t="s">
        <v>1463</v>
      </c>
    </row>
    <row r="380" spans="1:14">
      <c r="A380" s="19" t="s">
        <v>2188</v>
      </c>
      <c r="B380" s="19">
        <v>19</v>
      </c>
      <c r="C380" s="19" t="s">
        <v>1685</v>
      </c>
      <c r="D380" s="19" t="s">
        <v>1686</v>
      </c>
      <c r="E380" s="19" t="s">
        <v>855</v>
      </c>
      <c r="F380" s="19">
        <v>2014</v>
      </c>
      <c r="G380" s="21">
        <v>0.70171309999999998</v>
      </c>
      <c r="H380" s="19" t="s">
        <v>1687</v>
      </c>
      <c r="I380" s="19" t="s">
        <v>914</v>
      </c>
      <c r="J380" s="21">
        <v>0.70171309999999998</v>
      </c>
      <c r="K380" s="19" t="s">
        <v>1688</v>
      </c>
      <c r="L380" s="19" t="s">
        <v>1689</v>
      </c>
      <c r="M380" s="19"/>
      <c r="N380" s="19" t="s">
        <v>1463</v>
      </c>
    </row>
    <row r="381" spans="1:14">
      <c r="A381" s="19" t="s">
        <v>2188</v>
      </c>
      <c r="B381" s="19">
        <v>20</v>
      </c>
      <c r="C381" s="19" t="s">
        <v>1690</v>
      </c>
      <c r="D381" s="19" t="s">
        <v>1691</v>
      </c>
      <c r="E381" s="19" t="s">
        <v>855</v>
      </c>
      <c r="F381" s="19">
        <v>2016</v>
      </c>
      <c r="G381" s="21">
        <v>0.70052499999999995</v>
      </c>
      <c r="H381" s="19" t="s">
        <v>1692</v>
      </c>
      <c r="I381" s="19" t="s">
        <v>914</v>
      </c>
      <c r="J381" s="21">
        <v>0.70052499999999995</v>
      </c>
      <c r="K381" s="19" t="s">
        <v>1693</v>
      </c>
      <c r="L381" s="19" t="s">
        <v>1694</v>
      </c>
      <c r="M381" s="19"/>
      <c r="N381" s="19" t="s">
        <v>1463</v>
      </c>
    </row>
    <row r="382" spans="1:14">
      <c r="A382" s="19" t="s">
        <v>2195</v>
      </c>
      <c r="B382" s="19">
        <v>1</v>
      </c>
      <c r="C382" s="19" t="s">
        <v>1600</v>
      </c>
      <c r="D382" s="19" t="s">
        <v>717</v>
      </c>
      <c r="E382" s="19" t="s">
        <v>855</v>
      </c>
      <c r="F382" s="19">
        <v>2015</v>
      </c>
      <c r="G382" s="21">
        <v>0.73164209999999996</v>
      </c>
      <c r="H382" s="19" t="s">
        <v>1601</v>
      </c>
      <c r="I382" s="19" t="s">
        <v>914</v>
      </c>
      <c r="J382" s="21">
        <v>0.73164209999999996</v>
      </c>
      <c r="K382" s="19" t="s">
        <v>1602</v>
      </c>
      <c r="L382" s="19" t="s">
        <v>1603</v>
      </c>
      <c r="M382" s="19"/>
      <c r="N382" s="19" t="s">
        <v>1604</v>
      </c>
    </row>
    <row r="383" spans="1:14">
      <c r="A383" s="19" t="s">
        <v>2195</v>
      </c>
      <c r="B383" s="19">
        <v>2</v>
      </c>
      <c r="C383" s="19" t="s">
        <v>1518</v>
      </c>
      <c r="D383" s="19" t="s">
        <v>1519</v>
      </c>
      <c r="E383" s="19" t="s">
        <v>855</v>
      </c>
      <c r="F383" s="19">
        <v>2022</v>
      </c>
      <c r="G383" s="21">
        <v>0.72834840000000001</v>
      </c>
      <c r="H383" s="19" t="s">
        <v>1605</v>
      </c>
      <c r="I383" s="19" t="s">
        <v>914</v>
      </c>
      <c r="J383" s="21">
        <v>0.72834840000000001</v>
      </c>
      <c r="K383" s="19" t="s">
        <v>1606</v>
      </c>
      <c r="L383" s="19" t="s">
        <v>1607</v>
      </c>
      <c r="M383" s="19"/>
      <c r="N383" s="19" t="s">
        <v>1604</v>
      </c>
    </row>
    <row r="384" spans="1:14">
      <c r="A384" s="19" t="s">
        <v>2195</v>
      </c>
      <c r="B384" s="19">
        <v>3</v>
      </c>
      <c r="C384" s="19" t="s">
        <v>1608</v>
      </c>
      <c r="D384" s="19" t="s">
        <v>1609</v>
      </c>
      <c r="E384" s="19" t="s">
        <v>855</v>
      </c>
      <c r="F384" s="19">
        <v>2014</v>
      </c>
      <c r="G384" s="21">
        <v>0.72684309999999996</v>
      </c>
      <c r="H384" s="19" t="s">
        <v>1610</v>
      </c>
      <c r="I384" s="19" t="s">
        <v>914</v>
      </c>
      <c r="J384" s="21">
        <v>0.72684309999999996</v>
      </c>
      <c r="K384" s="19" t="s">
        <v>1611</v>
      </c>
      <c r="L384" s="19" t="s">
        <v>1612</v>
      </c>
      <c r="M384" s="19"/>
      <c r="N384" s="19" t="s">
        <v>1604</v>
      </c>
    </row>
    <row r="385" spans="1:14">
      <c r="A385" s="19" t="s">
        <v>2195</v>
      </c>
      <c r="B385" s="19">
        <v>4</v>
      </c>
      <c r="C385" s="19" t="s">
        <v>1613</v>
      </c>
      <c r="D385" s="19" t="s">
        <v>1614</v>
      </c>
      <c r="E385" s="19" t="s">
        <v>855</v>
      </c>
      <c r="F385" s="19">
        <v>2015</v>
      </c>
      <c r="G385" s="21">
        <v>0.72552539999999999</v>
      </c>
      <c r="H385" s="19" t="s">
        <v>1615</v>
      </c>
      <c r="I385" s="19" t="s">
        <v>914</v>
      </c>
      <c r="J385" s="21">
        <v>0.72552539999999999</v>
      </c>
      <c r="K385" s="19" t="s">
        <v>1616</v>
      </c>
      <c r="L385" s="19" t="s">
        <v>1617</v>
      </c>
      <c r="M385" s="19" t="s">
        <v>1618</v>
      </c>
      <c r="N385" s="19" t="s">
        <v>1604</v>
      </c>
    </row>
    <row r="386" spans="1:14">
      <c r="A386" s="19" t="s">
        <v>2195</v>
      </c>
      <c r="B386" s="19">
        <v>5</v>
      </c>
      <c r="C386" s="19" t="s">
        <v>1619</v>
      </c>
      <c r="D386" s="19" t="s">
        <v>1620</v>
      </c>
      <c r="E386" s="19" t="s">
        <v>855</v>
      </c>
      <c r="F386" s="19">
        <v>2015</v>
      </c>
      <c r="G386" s="21">
        <v>0.72501992999999998</v>
      </c>
      <c r="H386" s="19" t="s">
        <v>1621</v>
      </c>
      <c r="I386" s="19" t="s">
        <v>914</v>
      </c>
      <c r="J386" s="21">
        <v>0.72501992999999998</v>
      </c>
      <c r="K386" s="19" t="s">
        <v>1622</v>
      </c>
      <c r="L386" s="19" t="s">
        <v>1623</v>
      </c>
      <c r="M386" s="19" t="s">
        <v>1624</v>
      </c>
      <c r="N386" s="19" t="s">
        <v>1604</v>
      </c>
    </row>
    <row r="387" spans="1:14">
      <c r="A387" s="19" t="s">
        <v>2195</v>
      </c>
      <c r="B387" s="19">
        <v>6</v>
      </c>
      <c r="C387" s="19" t="s">
        <v>1625</v>
      </c>
      <c r="D387" s="19" t="s">
        <v>1626</v>
      </c>
      <c r="E387" s="19" t="s">
        <v>855</v>
      </c>
      <c r="F387" s="19">
        <v>2015</v>
      </c>
      <c r="G387" s="21">
        <v>0.72402319999999998</v>
      </c>
      <c r="H387" s="19" t="s">
        <v>1627</v>
      </c>
      <c r="I387" s="19" t="s">
        <v>914</v>
      </c>
      <c r="J387" s="21">
        <v>0.72402319999999998</v>
      </c>
      <c r="K387" s="19" t="s">
        <v>1628</v>
      </c>
      <c r="L387" s="19" t="s">
        <v>1629</v>
      </c>
      <c r="M387" s="19"/>
      <c r="N387" s="19" t="s">
        <v>1630</v>
      </c>
    </row>
    <row r="388" spans="1:14">
      <c r="A388" s="19" t="s">
        <v>2195</v>
      </c>
      <c r="B388" s="19">
        <v>7</v>
      </c>
      <c r="C388" s="19" t="s">
        <v>1631</v>
      </c>
      <c r="D388" s="19" t="s">
        <v>1632</v>
      </c>
      <c r="E388" s="19" t="s">
        <v>855</v>
      </c>
      <c r="F388" s="19">
        <v>2014</v>
      </c>
      <c r="G388" s="21">
        <v>0.72143376000000004</v>
      </c>
      <c r="H388" s="19" t="s">
        <v>1633</v>
      </c>
      <c r="I388" s="19" t="s">
        <v>857</v>
      </c>
      <c r="J388" s="21">
        <v>0.72143376000000004</v>
      </c>
      <c r="K388" s="19" t="s">
        <v>1634</v>
      </c>
      <c r="L388" s="19" t="s">
        <v>1635</v>
      </c>
      <c r="M388" s="19"/>
      <c r="N388" s="19" t="s">
        <v>1636</v>
      </c>
    </row>
    <row r="389" spans="1:14">
      <c r="A389" s="19" t="s">
        <v>2195</v>
      </c>
      <c r="B389" s="19">
        <v>8</v>
      </c>
      <c r="C389" s="19" t="s">
        <v>1637</v>
      </c>
      <c r="D389" s="19" t="s">
        <v>1638</v>
      </c>
      <c r="E389" s="19" t="s">
        <v>855</v>
      </c>
      <c r="F389" s="19">
        <v>2015</v>
      </c>
      <c r="G389" s="21">
        <v>0.72103136999999995</v>
      </c>
      <c r="H389" s="19" t="s">
        <v>1639</v>
      </c>
      <c r="I389" s="19" t="s">
        <v>914</v>
      </c>
      <c r="J389" s="21">
        <v>0.72103136999999995</v>
      </c>
      <c r="K389" s="19" t="s">
        <v>1640</v>
      </c>
      <c r="L389" s="19" t="s">
        <v>1641</v>
      </c>
      <c r="M389" s="19" t="s">
        <v>1642</v>
      </c>
      <c r="N389" s="19" t="s">
        <v>1630</v>
      </c>
    </row>
    <row r="390" spans="1:14">
      <c r="A390" s="19" t="s">
        <v>2195</v>
      </c>
      <c r="B390" s="19">
        <v>9</v>
      </c>
      <c r="C390" s="19" t="s">
        <v>1643</v>
      </c>
      <c r="D390" s="19" t="s">
        <v>1644</v>
      </c>
      <c r="E390" s="19" t="s">
        <v>855</v>
      </c>
      <c r="F390" s="19">
        <v>2014</v>
      </c>
      <c r="G390" s="21">
        <v>0.71678949999999997</v>
      </c>
      <c r="H390" s="19" t="s">
        <v>1645</v>
      </c>
      <c r="I390" s="19" t="s">
        <v>914</v>
      </c>
      <c r="J390" s="21">
        <v>0.71678949999999997</v>
      </c>
      <c r="K390" s="19" t="s">
        <v>1646</v>
      </c>
      <c r="L390" s="19" t="s">
        <v>1647</v>
      </c>
      <c r="M390" s="19"/>
      <c r="N390" s="19" t="s">
        <v>1630</v>
      </c>
    </row>
    <row r="391" spans="1:14">
      <c r="A391" s="19" t="s">
        <v>2195</v>
      </c>
      <c r="B391" s="19">
        <v>10</v>
      </c>
      <c r="C391" s="19" t="s">
        <v>1648</v>
      </c>
      <c r="D391" s="19" t="s">
        <v>1649</v>
      </c>
      <c r="E391" s="19" t="s">
        <v>855</v>
      </c>
      <c r="F391" s="19">
        <v>2016</v>
      </c>
      <c r="G391" s="21">
        <v>0.71547824000000004</v>
      </c>
      <c r="H391" s="19" t="s">
        <v>1650</v>
      </c>
      <c r="I391" s="19" t="s">
        <v>914</v>
      </c>
      <c r="J391" s="21">
        <v>0.71547824000000004</v>
      </c>
      <c r="K391" s="19" t="s">
        <v>1651</v>
      </c>
      <c r="L391" s="19" t="s">
        <v>1652</v>
      </c>
      <c r="M391" s="19" t="s">
        <v>1653</v>
      </c>
      <c r="N391" s="19" t="s">
        <v>1630</v>
      </c>
    </row>
    <row r="392" spans="1:14">
      <c r="A392" s="19" t="s">
        <v>2195</v>
      </c>
      <c r="B392" s="19">
        <v>11</v>
      </c>
      <c r="C392" s="19" t="s">
        <v>1654</v>
      </c>
      <c r="D392" s="19" t="s">
        <v>1655</v>
      </c>
      <c r="E392" s="19" t="s">
        <v>855</v>
      </c>
      <c r="F392" s="19">
        <v>2014</v>
      </c>
      <c r="G392" s="21">
        <v>0.71474300000000002</v>
      </c>
      <c r="H392" s="19" t="s">
        <v>1656</v>
      </c>
      <c r="I392" s="19" t="s">
        <v>914</v>
      </c>
      <c r="J392" s="21">
        <v>0.71474300000000002</v>
      </c>
      <c r="K392" s="19" t="s">
        <v>1657</v>
      </c>
      <c r="L392" s="19" t="s">
        <v>1658</v>
      </c>
      <c r="M392" s="19"/>
      <c r="N392" s="19" t="s">
        <v>1659</v>
      </c>
    </row>
    <row r="393" spans="1:14">
      <c r="A393" s="19" t="s">
        <v>2195</v>
      </c>
      <c r="B393" s="19">
        <v>12</v>
      </c>
      <c r="C393" s="19" t="s">
        <v>1660</v>
      </c>
      <c r="D393" s="19" t="s">
        <v>1661</v>
      </c>
      <c r="E393" s="19" t="s">
        <v>855</v>
      </c>
      <c r="F393" s="19">
        <v>2015</v>
      </c>
      <c r="G393" s="21">
        <v>0.71459050000000002</v>
      </c>
      <c r="H393" s="19" t="s">
        <v>1662</v>
      </c>
      <c r="I393" s="19" t="s">
        <v>914</v>
      </c>
      <c r="J393" s="21">
        <v>0.71459050000000002</v>
      </c>
      <c r="K393" s="19" t="s">
        <v>1663</v>
      </c>
      <c r="L393" s="19" t="s">
        <v>1664</v>
      </c>
      <c r="M393" s="19"/>
      <c r="N393" s="19" t="s">
        <v>1659</v>
      </c>
    </row>
    <row r="394" spans="1:14">
      <c r="A394" s="19" t="s">
        <v>2195</v>
      </c>
      <c r="B394" s="19">
        <v>13</v>
      </c>
      <c r="C394" s="19" t="s">
        <v>1665</v>
      </c>
      <c r="D394" s="19" t="s">
        <v>1666</v>
      </c>
      <c r="E394" s="19" t="s">
        <v>855</v>
      </c>
      <c r="F394" s="19">
        <v>2015</v>
      </c>
      <c r="G394" s="21">
        <v>0.71418040000000005</v>
      </c>
      <c r="H394" s="19" t="s">
        <v>1667</v>
      </c>
      <c r="I394" s="19" t="s">
        <v>914</v>
      </c>
      <c r="J394" s="21">
        <v>0.71418040000000005</v>
      </c>
      <c r="K394" s="19" t="s">
        <v>1668</v>
      </c>
      <c r="L394" s="19" t="s">
        <v>1669</v>
      </c>
      <c r="M394" s="19"/>
      <c r="N394" s="19" t="s">
        <v>1659</v>
      </c>
    </row>
    <row r="395" spans="1:14">
      <c r="A395" s="19" t="s">
        <v>2195</v>
      </c>
      <c r="B395" s="19">
        <v>14</v>
      </c>
      <c r="C395" s="19" t="s">
        <v>1670</v>
      </c>
      <c r="D395" s="19" t="s">
        <v>1671</v>
      </c>
      <c r="E395" s="19" t="s">
        <v>855</v>
      </c>
      <c r="F395" s="19">
        <v>2014</v>
      </c>
      <c r="G395" s="21">
        <v>0.71267354000000005</v>
      </c>
      <c r="H395" s="19" t="s">
        <v>1672</v>
      </c>
      <c r="I395" s="19" t="s">
        <v>914</v>
      </c>
      <c r="J395" s="21">
        <v>0.71267354000000005</v>
      </c>
      <c r="K395" s="19" t="s">
        <v>1673</v>
      </c>
      <c r="L395" s="19" t="s">
        <v>1674</v>
      </c>
      <c r="M395" s="19"/>
      <c r="N395" s="19" t="s">
        <v>1659</v>
      </c>
    </row>
    <row r="396" spans="1:14">
      <c r="A396" s="19" t="s">
        <v>2195</v>
      </c>
      <c r="B396" s="19">
        <v>15</v>
      </c>
      <c r="C396" s="19" t="s">
        <v>2189</v>
      </c>
      <c r="D396" s="19" t="s">
        <v>2190</v>
      </c>
      <c r="E396" s="19" t="s">
        <v>2191</v>
      </c>
      <c r="F396" s="19">
        <v>2015</v>
      </c>
      <c r="G396" s="21">
        <v>0.70601670000000005</v>
      </c>
      <c r="H396" s="19" t="s">
        <v>2192</v>
      </c>
      <c r="I396" s="19" t="s">
        <v>914</v>
      </c>
      <c r="J396" s="21">
        <v>0.70601670000000005</v>
      </c>
      <c r="K396" s="19" t="s">
        <v>2193</v>
      </c>
      <c r="L396" s="19" t="s">
        <v>2194</v>
      </c>
      <c r="M396" s="19"/>
      <c r="N396" s="19" t="s">
        <v>1659</v>
      </c>
    </row>
    <row r="397" spans="1:14">
      <c r="A397" s="19" t="s">
        <v>2195</v>
      </c>
      <c r="B397" s="19">
        <v>16</v>
      </c>
      <c r="C397" s="19" t="s">
        <v>1675</v>
      </c>
      <c r="D397" s="19" t="s">
        <v>1676</v>
      </c>
      <c r="E397" s="19" t="s">
        <v>855</v>
      </c>
      <c r="F397" s="19">
        <v>2015</v>
      </c>
      <c r="G397" s="21">
        <v>0.70533040000000002</v>
      </c>
      <c r="H397" s="19" t="s">
        <v>1677</v>
      </c>
      <c r="I397" s="19" t="s">
        <v>914</v>
      </c>
      <c r="J397" s="21">
        <v>0.70533040000000002</v>
      </c>
      <c r="K397" s="19" t="s">
        <v>1678</v>
      </c>
      <c r="L397" s="19" t="s">
        <v>1679</v>
      </c>
      <c r="M397" s="19"/>
      <c r="N397" s="19" t="s">
        <v>1659</v>
      </c>
    </row>
    <row r="398" spans="1:14">
      <c r="A398" s="19" t="s">
        <v>2195</v>
      </c>
      <c r="B398" s="19">
        <v>17</v>
      </c>
      <c r="C398" s="19" t="s">
        <v>1680</v>
      </c>
      <c r="D398" s="19" t="s">
        <v>1681</v>
      </c>
      <c r="E398" s="19" t="s">
        <v>855</v>
      </c>
      <c r="F398" s="19">
        <v>2014</v>
      </c>
      <c r="G398" s="21">
        <v>0.70319339999999997</v>
      </c>
      <c r="H398" s="19" t="s">
        <v>1682</v>
      </c>
      <c r="I398" s="19" t="s">
        <v>914</v>
      </c>
      <c r="J398" s="21">
        <v>0.70319339999999997</v>
      </c>
      <c r="K398" s="19" t="s">
        <v>1683</v>
      </c>
      <c r="L398" s="19" t="s">
        <v>1684</v>
      </c>
      <c r="M398" s="19"/>
      <c r="N398" s="19" t="s">
        <v>1463</v>
      </c>
    </row>
    <row r="399" spans="1:14">
      <c r="A399" s="19" t="s">
        <v>2195</v>
      </c>
      <c r="B399" s="19">
        <v>18</v>
      </c>
      <c r="C399" s="19" t="s">
        <v>1886</v>
      </c>
      <c r="D399" s="19" t="s">
        <v>1887</v>
      </c>
      <c r="E399" s="19" t="s">
        <v>855</v>
      </c>
      <c r="F399" s="19">
        <v>2014</v>
      </c>
      <c r="G399" s="21">
        <v>0.70206385999999998</v>
      </c>
      <c r="H399" s="19" t="s">
        <v>1888</v>
      </c>
      <c r="I399" s="19" t="s">
        <v>914</v>
      </c>
      <c r="J399" s="21">
        <v>0.70206385999999998</v>
      </c>
      <c r="K399" s="19" t="s">
        <v>1889</v>
      </c>
      <c r="L399" s="19" t="s">
        <v>1890</v>
      </c>
      <c r="M399" s="19"/>
      <c r="N399" s="19" t="s">
        <v>1463</v>
      </c>
    </row>
    <row r="400" spans="1:14">
      <c r="A400" s="19" t="s">
        <v>2195</v>
      </c>
      <c r="B400" s="19">
        <v>19</v>
      </c>
      <c r="C400" s="19" t="s">
        <v>1685</v>
      </c>
      <c r="D400" s="19" t="s">
        <v>1686</v>
      </c>
      <c r="E400" s="19" t="s">
        <v>855</v>
      </c>
      <c r="F400" s="19">
        <v>2014</v>
      </c>
      <c r="G400" s="21">
        <v>0.70166589999999995</v>
      </c>
      <c r="H400" s="19" t="s">
        <v>1687</v>
      </c>
      <c r="I400" s="19" t="s">
        <v>914</v>
      </c>
      <c r="J400" s="21">
        <v>0.70166589999999995</v>
      </c>
      <c r="K400" s="19" t="s">
        <v>1688</v>
      </c>
      <c r="L400" s="19" t="s">
        <v>1689</v>
      </c>
      <c r="M400" s="19"/>
      <c r="N400" s="19" t="s">
        <v>1463</v>
      </c>
    </row>
    <row r="401" spans="1:14">
      <c r="A401" s="19" t="s">
        <v>2195</v>
      </c>
      <c r="B401" s="19">
        <v>20</v>
      </c>
      <c r="C401" s="19" t="s">
        <v>1690</v>
      </c>
      <c r="D401" s="19" t="s">
        <v>1691</v>
      </c>
      <c r="E401" s="19" t="s">
        <v>855</v>
      </c>
      <c r="F401" s="19">
        <v>2016</v>
      </c>
      <c r="G401" s="21">
        <v>0.70047329999999997</v>
      </c>
      <c r="H401" s="19" t="s">
        <v>1692</v>
      </c>
      <c r="I401" s="19" t="s">
        <v>914</v>
      </c>
      <c r="J401" s="21">
        <v>0.70047329999999997</v>
      </c>
      <c r="K401" s="19" t="s">
        <v>1693</v>
      </c>
      <c r="L401" s="19" t="s">
        <v>1694</v>
      </c>
      <c r="M401" s="19"/>
      <c r="N401" s="19" t="s">
        <v>1463</v>
      </c>
    </row>
    <row r="402" spans="1:14">
      <c r="A402" s="19" t="s">
        <v>397</v>
      </c>
      <c r="B402" s="19">
        <v>1</v>
      </c>
      <c r="C402" s="19" t="s">
        <v>2088</v>
      </c>
      <c r="D402" s="19" t="s">
        <v>415</v>
      </c>
      <c r="E402" s="19" t="s">
        <v>2089</v>
      </c>
      <c r="F402" s="19">
        <v>2004</v>
      </c>
      <c r="G402" s="21">
        <v>0.71467983999999996</v>
      </c>
      <c r="H402" s="19" t="s">
        <v>2196</v>
      </c>
      <c r="I402" s="19" t="s">
        <v>857</v>
      </c>
      <c r="J402" s="21">
        <v>0.71467983999999996</v>
      </c>
      <c r="K402" s="19" t="s">
        <v>2197</v>
      </c>
      <c r="L402" s="19" t="s">
        <v>2198</v>
      </c>
      <c r="M402" s="19" t="s">
        <v>2199</v>
      </c>
      <c r="N402" s="19" t="s">
        <v>2049</v>
      </c>
    </row>
    <row r="403" spans="1:14">
      <c r="A403" s="19" t="s">
        <v>397</v>
      </c>
      <c r="B403" s="19">
        <v>2</v>
      </c>
      <c r="C403" s="19" t="s">
        <v>2131</v>
      </c>
      <c r="D403" s="19" t="s">
        <v>2132</v>
      </c>
      <c r="E403" s="19" t="s">
        <v>855</v>
      </c>
      <c r="F403" s="19">
        <v>2010</v>
      </c>
      <c r="G403" s="21">
        <v>0.69070463999999998</v>
      </c>
      <c r="H403" s="19" t="s">
        <v>2133</v>
      </c>
      <c r="I403" s="19" t="s">
        <v>857</v>
      </c>
      <c r="J403" s="21">
        <v>0.69070463999999998</v>
      </c>
      <c r="K403" s="19" t="s">
        <v>2134</v>
      </c>
      <c r="L403" s="19" t="s">
        <v>2135</v>
      </c>
      <c r="M403" s="19" t="s">
        <v>2136</v>
      </c>
      <c r="N403" s="19" t="s">
        <v>1409</v>
      </c>
    </row>
    <row r="404" spans="1:14">
      <c r="A404" s="19" t="s">
        <v>397</v>
      </c>
      <c r="B404" s="19">
        <v>3</v>
      </c>
      <c r="C404" s="19" t="s">
        <v>981</v>
      </c>
      <c r="D404" s="19" t="s">
        <v>821</v>
      </c>
      <c r="E404" s="19" t="s">
        <v>855</v>
      </c>
      <c r="F404" s="19">
        <v>2022</v>
      </c>
      <c r="G404" s="21">
        <v>0.68913159999999996</v>
      </c>
      <c r="H404" s="19" t="s">
        <v>982</v>
      </c>
      <c r="I404" s="19" t="s">
        <v>857</v>
      </c>
      <c r="J404" s="21">
        <v>0.68913159999999996</v>
      </c>
      <c r="K404" s="19" t="s">
        <v>983</v>
      </c>
      <c r="L404" s="19" t="s">
        <v>984</v>
      </c>
      <c r="M404" s="19" t="s">
        <v>985</v>
      </c>
      <c r="N404" s="19" t="s">
        <v>1409</v>
      </c>
    </row>
    <row r="405" spans="1:14">
      <c r="A405" s="19" t="s">
        <v>397</v>
      </c>
      <c r="B405" s="19">
        <v>4</v>
      </c>
      <c r="C405" s="19" t="s">
        <v>994</v>
      </c>
      <c r="D405" s="19" t="s">
        <v>995</v>
      </c>
      <c r="E405" s="19" t="s">
        <v>855</v>
      </c>
      <c r="F405" s="19">
        <v>2022</v>
      </c>
      <c r="G405" s="21">
        <v>0.67946213</v>
      </c>
      <c r="H405" s="19" t="s">
        <v>2200</v>
      </c>
      <c r="I405" s="19" t="s">
        <v>925</v>
      </c>
      <c r="J405" s="21">
        <v>0.67946213</v>
      </c>
      <c r="K405" s="19" t="s">
        <v>2201</v>
      </c>
      <c r="L405" s="19" t="s">
        <v>2202</v>
      </c>
      <c r="M405" s="19" t="s">
        <v>2203</v>
      </c>
      <c r="N405" s="19" t="s">
        <v>1172</v>
      </c>
    </row>
    <row r="406" spans="1:14">
      <c r="A406" s="19" t="s">
        <v>397</v>
      </c>
      <c r="B406" s="19">
        <v>5</v>
      </c>
      <c r="C406" s="19" t="s">
        <v>2108</v>
      </c>
      <c r="D406" s="19" t="s">
        <v>709</v>
      </c>
      <c r="E406" s="19" t="s">
        <v>2109</v>
      </c>
      <c r="F406" s="19">
        <v>2016</v>
      </c>
      <c r="G406" s="21">
        <v>0.67944199999999999</v>
      </c>
      <c r="H406" s="19" t="s">
        <v>2204</v>
      </c>
      <c r="I406" s="19" t="s">
        <v>857</v>
      </c>
      <c r="J406" s="21">
        <v>0.67944199999999999</v>
      </c>
      <c r="K406" s="19" t="s">
        <v>2205</v>
      </c>
      <c r="L406" s="19" t="s">
        <v>2206</v>
      </c>
      <c r="M406" s="19"/>
      <c r="N406" s="19" t="s">
        <v>861</v>
      </c>
    </row>
    <row r="407" spans="1:14">
      <c r="A407" s="19" t="s">
        <v>397</v>
      </c>
      <c r="B407" s="19">
        <v>6</v>
      </c>
      <c r="C407" s="19" t="s">
        <v>2207</v>
      </c>
      <c r="D407" s="19" t="s">
        <v>2208</v>
      </c>
      <c r="E407" s="19" t="s">
        <v>855</v>
      </c>
      <c r="F407" s="19">
        <v>2014</v>
      </c>
      <c r="G407" s="21">
        <v>0.6776721</v>
      </c>
      <c r="H407" s="19" t="s">
        <v>2209</v>
      </c>
      <c r="I407" s="19" t="s">
        <v>857</v>
      </c>
      <c r="J407" s="21">
        <v>0.6776721</v>
      </c>
      <c r="K407" s="19" t="s">
        <v>2210</v>
      </c>
      <c r="L407" s="19" t="s">
        <v>2211</v>
      </c>
      <c r="M407" s="19"/>
      <c r="N407" s="19" t="s">
        <v>861</v>
      </c>
    </row>
    <row r="408" spans="1:14">
      <c r="A408" s="19" t="s">
        <v>397</v>
      </c>
      <c r="B408" s="19">
        <v>7</v>
      </c>
      <c r="C408" s="19" t="s">
        <v>2095</v>
      </c>
      <c r="D408" s="19" t="s">
        <v>2096</v>
      </c>
      <c r="E408" s="19" t="s">
        <v>855</v>
      </c>
      <c r="F408" s="19">
        <v>2015</v>
      </c>
      <c r="G408" s="21">
        <v>0.67258280000000004</v>
      </c>
      <c r="H408" s="19" t="s">
        <v>2212</v>
      </c>
      <c r="I408" s="19" t="s">
        <v>857</v>
      </c>
      <c r="J408" s="21">
        <v>0.67258280000000004</v>
      </c>
      <c r="K408" s="19" t="s">
        <v>2213</v>
      </c>
      <c r="L408" s="19" t="s">
        <v>2214</v>
      </c>
      <c r="M408" s="19"/>
      <c r="N408" s="19" t="s">
        <v>1038</v>
      </c>
    </row>
    <row r="409" spans="1:14">
      <c r="A409" s="19" t="s">
        <v>397</v>
      </c>
      <c r="B409" s="19">
        <v>8</v>
      </c>
      <c r="C409" s="19" t="s">
        <v>1032</v>
      </c>
      <c r="D409" s="19" t="s">
        <v>1033</v>
      </c>
      <c r="E409" s="19" t="s">
        <v>855</v>
      </c>
      <c r="F409" s="19">
        <v>2016</v>
      </c>
      <c r="G409" s="21">
        <v>0.66786354999999997</v>
      </c>
      <c r="H409" s="19" t="s">
        <v>1034</v>
      </c>
      <c r="I409" s="19" t="s">
        <v>857</v>
      </c>
      <c r="J409" s="21">
        <v>0.66786354999999997</v>
      </c>
      <c r="K409" s="19" t="s">
        <v>1035</v>
      </c>
      <c r="L409" s="19" t="s">
        <v>1036</v>
      </c>
      <c r="M409" s="19" t="s">
        <v>1037</v>
      </c>
      <c r="N409" s="19" t="s">
        <v>1038</v>
      </c>
    </row>
    <row r="410" spans="1:14">
      <c r="A410" s="19" t="s">
        <v>397</v>
      </c>
      <c r="B410" s="19">
        <v>9</v>
      </c>
      <c r="C410" s="19" t="s">
        <v>2113</v>
      </c>
      <c r="D410" s="19" t="s">
        <v>2114</v>
      </c>
      <c r="E410" s="19" t="s">
        <v>855</v>
      </c>
      <c r="F410" s="19">
        <v>2014</v>
      </c>
      <c r="G410" s="21">
        <v>0.65961069999999999</v>
      </c>
      <c r="H410" s="19" t="s">
        <v>2115</v>
      </c>
      <c r="I410" s="19" t="s">
        <v>951</v>
      </c>
      <c r="J410" s="21">
        <v>0.65961069999999999</v>
      </c>
      <c r="K410" s="19" t="s">
        <v>2116</v>
      </c>
      <c r="L410" s="19" t="s">
        <v>2117</v>
      </c>
      <c r="M410" s="19" t="s">
        <v>2118</v>
      </c>
      <c r="N410" s="19" t="s">
        <v>1103</v>
      </c>
    </row>
    <row r="411" spans="1:14">
      <c r="A411" s="19" t="s">
        <v>397</v>
      </c>
      <c r="B411" s="19">
        <v>10</v>
      </c>
      <c r="C411" s="19" t="s">
        <v>2147</v>
      </c>
      <c r="D411" s="19" t="s">
        <v>2148</v>
      </c>
      <c r="E411" s="19" t="s">
        <v>855</v>
      </c>
      <c r="F411" s="19">
        <v>2022</v>
      </c>
      <c r="G411" s="21">
        <v>0.6587132</v>
      </c>
      <c r="H411" s="19" t="s">
        <v>2149</v>
      </c>
      <c r="I411" s="19" t="s">
        <v>951</v>
      </c>
      <c r="J411" s="21">
        <v>0.6587132</v>
      </c>
      <c r="K411" s="19" t="s">
        <v>2150</v>
      </c>
      <c r="L411" s="19" t="s">
        <v>2151</v>
      </c>
      <c r="M411" s="19" t="s">
        <v>2152</v>
      </c>
      <c r="N411" s="19" t="s">
        <v>1103</v>
      </c>
    </row>
    <row r="412" spans="1:14">
      <c r="A412" s="19" t="s">
        <v>397</v>
      </c>
      <c r="B412" s="19">
        <v>11</v>
      </c>
      <c r="C412" s="19" t="s">
        <v>2158</v>
      </c>
      <c r="D412" s="19" t="s">
        <v>2159</v>
      </c>
      <c r="E412" s="19" t="s">
        <v>855</v>
      </c>
      <c r="F412" s="19">
        <v>2022</v>
      </c>
      <c r="G412" s="21">
        <v>0.65842842999999995</v>
      </c>
      <c r="H412" s="19" t="s">
        <v>2160</v>
      </c>
      <c r="I412" s="19" t="s">
        <v>951</v>
      </c>
      <c r="J412" s="21">
        <v>0.65842842999999995</v>
      </c>
      <c r="K412" s="19" t="s">
        <v>2161</v>
      </c>
      <c r="L412" s="19" t="s">
        <v>2162</v>
      </c>
      <c r="M412" s="19" t="s">
        <v>2163</v>
      </c>
      <c r="N412" s="19" t="s">
        <v>1103</v>
      </c>
    </row>
    <row r="413" spans="1:14">
      <c r="A413" s="19" t="s">
        <v>397</v>
      </c>
      <c r="B413" s="19">
        <v>12</v>
      </c>
      <c r="C413" s="19" t="s">
        <v>2215</v>
      </c>
      <c r="D413" s="19" t="s">
        <v>2216</v>
      </c>
      <c r="E413" s="19" t="s">
        <v>855</v>
      </c>
      <c r="F413" s="19">
        <v>2022</v>
      </c>
      <c r="G413" s="21">
        <v>0.65554259999999998</v>
      </c>
      <c r="H413" s="19" t="s">
        <v>2217</v>
      </c>
      <c r="I413" s="19" t="s">
        <v>951</v>
      </c>
      <c r="J413" s="21">
        <v>0.65554259999999998</v>
      </c>
      <c r="K413" s="19" t="s">
        <v>2218</v>
      </c>
      <c r="L413" s="19" t="s">
        <v>2219</v>
      </c>
      <c r="M413" s="19" t="s">
        <v>2220</v>
      </c>
      <c r="N413" s="19" t="s">
        <v>1103</v>
      </c>
    </row>
    <row r="414" spans="1:14">
      <c r="A414" s="19" t="s">
        <v>397</v>
      </c>
      <c r="B414" s="19">
        <v>13</v>
      </c>
      <c r="C414" s="19" t="s">
        <v>2221</v>
      </c>
      <c r="D414" s="19" t="s">
        <v>2222</v>
      </c>
      <c r="E414" s="19" t="s">
        <v>855</v>
      </c>
      <c r="F414" s="19">
        <v>2015</v>
      </c>
      <c r="G414" s="21">
        <v>0.65439700000000001</v>
      </c>
      <c r="H414" s="19" t="s">
        <v>2223</v>
      </c>
      <c r="I414" s="19" t="s">
        <v>857</v>
      </c>
      <c r="J414" s="21">
        <v>0.65439700000000001</v>
      </c>
      <c r="K414" s="19" t="s">
        <v>2224</v>
      </c>
      <c r="L414" s="19" t="s">
        <v>2225</v>
      </c>
      <c r="M414" s="19"/>
      <c r="N414" s="19" t="s">
        <v>1263</v>
      </c>
    </row>
    <row r="415" spans="1:14">
      <c r="A415" s="19" t="s">
        <v>397</v>
      </c>
      <c r="B415" s="19">
        <v>14</v>
      </c>
      <c r="C415" s="19" t="s">
        <v>2102</v>
      </c>
      <c r="D415" s="19" t="s">
        <v>2103</v>
      </c>
      <c r="E415" s="19" t="s">
        <v>855</v>
      </c>
      <c r="F415" s="19">
        <v>2022</v>
      </c>
      <c r="G415" s="21">
        <v>0.65372669999999999</v>
      </c>
      <c r="H415" s="19" t="s">
        <v>2104</v>
      </c>
      <c r="I415" s="19" t="s">
        <v>951</v>
      </c>
      <c r="J415" s="21">
        <v>0.65372669999999999</v>
      </c>
      <c r="K415" s="19" t="s">
        <v>2105</v>
      </c>
      <c r="L415" s="19" t="s">
        <v>2106</v>
      </c>
      <c r="M415" s="19" t="s">
        <v>2107</v>
      </c>
      <c r="N415" s="19" t="s">
        <v>1238</v>
      </c>
    </row>
    <row r="416" spans="1:14">
      <c r="A416" s="19" t="s">
        <v>397</v>
      </c>
      <c r="B416" s="19">
        <v>15</v>
      </c>
      <c r="C416" s="19" t="s">
        <v>2226</v>
      </c>
      <c r="D416" s="19" t="s">
        <v>2227</v>
      </c>
      <c r="E416" s="19" t="s">
        <v>855</v>
      </c>
      <c r="F416" s="19">
        <v>2015</v>
      </c>
      <c r="G416" s="21">
        <v>0.65249049999999997</v>
      </c>
      <c r="H416" s="19" t="s">
        <v>2228</v>
      </c>
      <c r="I416" s="19" t="s">
        <v>857</v>
      </c>
      <c r="J416" s="21">
        <v>0.65249049999999997</v>
      </c>
      <c r="K416" s="19" t="s">
        <v>2229</v>
      </c>
      <c r="L416" s="19" t="s">
        <v>2230</v>
      </c>
      <c r="M416" s="19"/>
      <c r="N416" s="19" t="s">
        <v>1263</v>
      </c>
    </row>
    <row r="417" spans="1:14">
      <c r="A417" s="19" t="s">
        <v>397</v>
      </c>
      <c r="B417" s="19">
        <v>16</v>
      </c>
      <c r="C417" s="19" t="s">
        <v>1965</v>
      </c>
      <c r="D417" s="19" t="s">
        <v>1966</v>
      </c>
      <c r="E417" s="19" t="s">
        <v>855</v>
      </c>
      <c r="F417" s="19">
        <v>2023</v>
      </c>
      <c r="G417" s="21">
        <v>0.6509781</v>
      </c>
      <c r="H417" s="19" t="s">
        <v>2231</v>
      </c>
      <c r="I417" s="19" t="s">
        <v>951</v>
      </c>
      <c r="J417" s="21">
        <v>0.6509781</v>
      </c>
      <c r="K417" s="19" t="s">
        <v>2232</v>
      </c>
      <c r="L417" s="19" t="s">
        <v>2233</v>
      </c>
      <c r="M417" s="19" t="s">
        <v>2234</v>
      </c>
      <c r="N417" s="19" t="s">
        <v>1238</v>
      </c>
    </row>
    <row r="418" spans="1:14">
      <c r="A418" s="19" t="s">
        <v>397</v>
      </c>
      <c r="B418" s="19">
        <v>17</v>
      </c>
      <c r="C418" s="19" t="s">
        <v>2125</v>
      </c>
      <c r="D418" s="19" t="s">
        <v>2126</v>
      </c>
      <c r="E418" s="19" t="s">
        <v>2127</v>
      </c>
      <c r="F418" s="19">
        <v>2001</v>
      </c>
      <c r="G418" s="21">
        <v>0.64949920000000005</v>
      </c>
      <c r="H418" s="19" t="s">
        <v>2235</v>
      </c>
      <c r="I418" s="19" t="s">
        <v>908</v>
      </c>
      <c r="J418" s="21">
        <v>0.64949920000000005</v>
      </c>
      <c r="K418" s="19" t="s">
        <v>2236</v>
      </c>
      <c r="L418" s="19" t="s">
        <v>2237</v>
      </c>
      <c r="M418" s="19"/>
      <c r="N418" s="19" t="s">
        <v>1710</v>
      </c>
    </row>
    <row r="419" spans="1:14">
      <c r="A419" s="19" t="s">
        <v>397</v>
      </c>
      <c r="B419" s="19">
        <v>18</v>
      </c>
      <c r="C419" s="19" t="s">
        <v>2238</v>
      </c>
      <c r="D419" s="19" t="s">
        <v>2239</v>
      </c>
      <c r="E419" s="19" t="s">
        <v>855</v>
      </c>
      <c r="F419" s="19">
        <v>2016</v>
      </c>
      <c r="G419" s="21">
        <v>0.64746444999999997</v>
      </c>
      <c r="H419" s="19" t="s">
        <v>2240</v>
      </c>
      <c r="I419" s="19" t="s">
        <v>951</v>
      </c>
      <c r="J419" s="21">
        <v>0.64746444999999997</v>
      </c>
      <c r="K419" s="19" t="s">
        <v>2241</v>
      </c>
      <c r="L419" s="19" t="s">
        <v>2242</v>
      </c>
      <c r="M419" s="19" t="s">
        <v>2243</v>
      </c>
      <c r="N419" s="19" t="s">
        <v>1238</v>
      </c>
    </row>
    <row r="420" spans="1:14">
      <c r="A420" s="19" t="s">
        <v>397</v>
      </c>
      <c r="B420" s="19">
        <v>19</v>
      </c>
      <c r="C420" s="19" t="s">
        <v>1593</v>
      </c>
      <c r="D420" s="19" t="s">
        <v>1594</v>
      </c>
      <c r="E420" s="19" t="s">
        <v>855</v>
      </c>
      <c r="F420" s="19">
        <v>2022</v>
      </c>
      <c r="G420" s="21">
        <v>0.64720314999999995</v>
      </c>
      <c r="H420" s="19" t="s">
        <v>2244</v>
      </c>
      <c r="I420" s="19" t="s">
        <v>951</v>
      </c>
      <c r="J420" s="21">
        <v>0.64720314999999995</v>
      </c>
      <c r="K420" s="19" t="s">
        <v>2245</v>
      </c>
      <c r="L420" s="19" t="s">
        <v>2246</v>
      </c>
      <c r="M420" s="19" t="s">
        <v>2247</v>
      </c>
      <c r="N420" s="19" t="s">
        <v>1238</v>
      </c>
    </row>
    <row r="421" spans="1:14">
      <c r="A421" s="19" t="s">
        <v>397</v>
      </c>
      <c r="B421" s="19">
        <v>20</v>
      </c>
      <c r="C421" s="19" t="s">
        <v>929</v>
      </c>
      <c r="D421" s="19" t="s">
        <v>930</v>
      </c>
      <c r="E421" s="19" t="s">
        <v>855</v>
      </c>
      <c r="F421" s="19">
        <v>2023</v>
      </c>
      <c r="G421" s="21">
        <v>0.64660470000000003</v>
      </c>
      <c r="H421" s="19" t="s">
        <v>2248</v>
      </c>
      <c r="I421" s="19" t="s">
        <v>951</v>
      </c>
      <c r="J421" s="21">
        <v>0.64660470000000003</v>
      </c>
      <c r="K421" s="19" t="s">
        <v>2249</v>
      </c>
      <c r="L421" s="19" t="s">
        <v>2250</v>
      </c>
      <c r="M421" s="19" t="s">
        <v>2251</v>
      </c>
      <c r="N421" s="19" t="s">
        <v>1238</v>
      </c>
    </row>
    <row r="422" spans="1:14">
      <c r="A422" s="19" t="s">
        <v>2252</v>
      </c>
      <c r="B422" s="19">
        <v>1</v>
      </c>
      <c r="C422" s="19" t="s">
        <v>2253</v>
      </c>
      <c r="D422" s="19" t="s">
        <v>2254</v>
      </c>
      <c r="E422" s="19" t="s">
        <v>855</v>
      </c>
      <c r="F422" s="19">
        <v>2014</v>
      </c>
      <c r="G422" s="21">
        <v>0.72485197000000001</v>
      </c>
      <c r="H422" s="19" t="s">
        <v>2255</v>
      </c>
      <c r="I422" s="19" t="s">
        <v>914</v>
      </c>
      <c r="J422" s="21">
        <v>0.72485197000000001</v>
      </c>
      <c r="K422" s="19" t="s">
        <v>2256</v>
      </c>
      <c r="L422" s="19" t="s">
        <v>2257</v>
      </c>
      <c r="M422" s="19"/>
      <c r="N422" s="19" t="s">
        <v>1630</v>
      </c>
    </row>
    <row r="423" spans="1:14">
      <c r="A423" s="19" t="s">
        <v>2252</v>
      </c>
      <c r="B423" s="19">
        <v>2</v>
      </c>
      <c r="C423" s="19" t="s">
        <v>2258</v>
      </c>
      <c r="D423" s="19" t="s">
        <v>493</v>
      </c>
      <c r="E423" s="19" t="s">
        <v>2089</v>
      </c>
      <c r="F423" s="19">
        <v>2002</v>
      </c>
      <c r="G423" s="21">
        <v>0.72143330000000006</v>
      </c>
      <c r="H423" s="19" t="s">
        <v>2259</v>
      </c>
      <c r="I423" s="19" t="s">
        <v>1286</v>
      </c>
      <c r="J423" s="21">
        <v>0.72143330000000006</v>
      </c>
      <c r="K423" s="19" t="s">
        <v>2260</v>
      </c>
      <c r="L423" s="19" t="s">
        <v>2261</v>
      </c>
      <c r="M423" s="19"/>
      <c r="N423" s="19" t="s">
        <v>2262</v>
      </c>
    </row>
    <row r="424" spans="1:14">
      <c r="A424" s="19" t="s">
        <v>2252</v>
      </c>
      <c r="B424" s="19">
        <v>3</v>
      </c>
      <c r="C424" s="19" t="s">
        <v>2263</v>
      </c>
      <c r="D424" s="19" t="s">
        <v>2264</v>
      </c>
      <c r="E424" s="19" t="s">
        <v>855</v>
      </c>
      <c r="F424" s="19">
        <v>2015</v>
      </c>
      <c r="G424" s="21">
        <v>0.71760975999999999</v>
      </c>
      <c r="H424" s="19" t="s">
        <v>2265</v>
      </c>
      <c r="I424" s="19" t="s">
        <v>914</v>
      </c>
      <c r="J424" s="21">
        <v>0.71760975999999999</v>
      </c>
      <c r="K424" s="19" t="s">
        <v>2266</v>
      </c>
      <c r="L424" s="19" t="s">
        <v>2267</v>
      </c>
      <c r="M424" s="19"/>
      <c r="N424" s="19" t="s">
        <v>1630</v>
      </c>
    </row>
    <row r="425" spans="1:14">
      <c r="A425" s="19" t="s">
        <v>2252</v>
      </c>
      <c r="B425" s="19">
        <v>4</v>
      </c>
      <c r="C425" s="19" t="s">
        <v>2268</v>
      </c>
      <c r="D425" s="19" t="s">
        <v>2269</v>
      </c>
      <c r="E425" s="19" t="s">
        <v>855</v>
      </c>
      <c r="F425" s="19">
        <v>2023</v>
      </c>
      <c r="G425" s="21">
        <v>0.71181380000000005</v>
      </c>
      <c r="H425" s="19" t="s">
        <v>2270</v>
      </c>
      <c r="I425" s="19" t="s">
        <v>914</v>
      </c>
      <c r="J425" s="21">
        <v>0.71181380000000005</v>
      </c>
      <c r="K425" s="19" t="s">
        <v>2271</v>
      </c>
      <c r="L425" s="19" t="s">
        <v>2272</v>
      </c>
      <c r="M425" s="19" t="s">
        <v>2273</v>
      </c>
      <c r="N425" s="19" t="s">
        <v>1659</v>
      </c>
    </row>
    <row r="426" spans="1:14">
      <c r="A426" s="19" t="s">
        <v>2252</v>
      </c>
      <c r="B426" s="19">
        <v>5</v>
      </c>
      <c r="C426" s="19" t="s">
        <v>2274</v>
      </c>
      <c r="D426" s="19" t="s">
        <v>2275</v>
      </c>
      <c r="E426" s="19" t="s">
        <v>855</v>
      </c>
      <c r="F426" s="19">
        <v>2014</v>
      </c>
      <c r="G426" s="21">
        <v>0.71170009999999995</v>
      </c>
      <c r="H426" s="19" t="s">
        <v>2276</v>
      </c>
      <c r="I426" s="19" t="s">
        <v>914</v>
      </c>
      <c r="J426" s="21">
        <v>0.71170009999999995</v>
      </c>
      <c r="K426" s="19" t="s">
        <v>2277</v>
      </c>
      <c r="L426" s="19" t="s">
        <v>2278</v>
      </c>
      <c r="M426" s="19"/>
      <c r="N426" s="19" t="s">
        <v>1659</v>
      </c>
    </row>
    <row r="427" spans="1:14">
      <c r="A427" s="19" t="s">
        <v>2252</v>
      </c>
      <c r="B427" s="19">
        <v>6</v>
      </c>
      <c r="C427" s="19" t="s">
        <v>2279</v>
      </c>
      <c r="D427" s="19" t="s">
        <v>2280</v>
      </c>
      <c r="E427" s="19" t="s">
        <v>855</v>
      </c>
      <c r="F427" s="19">
        <v>2013</v>
      </c>
      <c r="G427" s="21">
        <v>0.70717925000000004</v>
      </c>
      <c r="H427" s="19" t="s">
        <v>2281</v>
      </c>
      <c r="I427" s="19" t="s">
        <v>914</v>
      </c>
      <c r="J427" s="21">
        <v>0.70717925000000004</v>
      </c>
      <c r="K427" s="19" t="s">
        <v>2282</v>
      </c>
      <c r="L427" s="19" t="s">
        <v>2283</v>
      </c>
      <c r="M427" s="19"/>
      <c r="N427" s="19" t="s">
        <v>1659</v>
      </c>
    </row>
    <row r="428" spans="1:14">
      <c r="A428" s="19" t="s">
        <v>2252</v>
      </c>
      <c r="B428" s="19">
        <v>7</v>
      </c>
      <c r="C428" s="19" t="s">
        <v>2284</v>
      </c>
      <c r="D428" s="19" t="s">
        <v>2285</v>
      </c>
      <c r="E428" s="19" t="s">
        <v>855</v>
      </c>
      <c r="F428" s="19">
        <v>2014</v>
      </c>
      <c r="G428" s="21">
        <v>0.70652340000000002</v>
      </c>
      <c r="H428" s="19" t="s">
        <v>2286</v>
      </c>
      <c r="I428" s="19" t="s">
        <v>914</v>
      </c>
      <c r="J428" s="21">
        <v>0.70652340000000002</v>
      </c>
      <c r="K428" s="19" t="s">
        <v>2287</v>
      </c>
      <c r="L428" s="19" t="s">
        <v>2288</v>
      </c>
      <c r="M428" s="19" t="s">
        <v>2289</v>
      </c>
      <c r="N428" s="19" t="s">
        <v>1659</v>
      </c>
    </row>
    <row r="429" spans="1:14">
      <c r="A429" s="19" t="s">
        <v>2252</v>
      </c>
      <c r="B429" s="19">
        <v>8</v>
      </c>
      <c r="C429" s="19" t="s">
        <v>2290</v>
      </c>
      <c r="D429" s="19" t="s">
        <v>2291</v>
      </c>
      <c r="E429" s="19" t="s">
        <v>855</v>
      </c>
      <c r="F429" s="19">
        <v>2016</v>
      </c>
      <c r="G429" s="21">
        <v>0.70566700000000004</v>
      </c>
      <c r="H429" s="19" t="s">
        <v>2292</v>
      </c>
      <c r="I429" s="19" t="s">
        <v>914</v>
      </c>
      <c r="J429" s="21">
        <v>0.70566700000000004</v>
      </c>
      <c r="K429" s="19" t="s">
        <v>2293</v>
      </c>
      <c r="L429" s="19" t="s">
        <v>2294</v>
      </c>
      <c r="M429" s="19" t="s">
        <v>2295</v>
      </c>
      <c r="N429" s="19" t="s">
        <v>1659</v>
      </c>
    </row>
    <row r="430" spans="1:14">
      <c r="A430" s="19" t="s">
        <v>2252</v>
      </c>
      <c r="B430" s="19">
        <v>9</v>
      </c>
      <c r="C430" s="19" t="s">
        <v>2296</v>
      </c>
      <c r="D430" s="19" t="s">
        <v>2297</v>
      </c>
      <c r="E430" s="19" t="s">
        <v>2127</v>
      </c>
      <c r="F430" s="19">
        <v>2004</v>
      </c>
      <c r="G430" s="21">
        <v>0.70404489999999997</v>
      </c>
      <c r="H430" s="19" t="s">
        <v>2298</v>
      </c>
      <c r="I430" s="19" t="s">
        <v>914</v>
      </c>
      <c r="J430" s="21">
        <v>0.70404489999999997</v>
      </c>
      <c r="K430" s="19" t="s">
        <v>2299</v>
      </c>
      <c r="L430" s="19" t="s">
        <v>2300</v>
      </c>
      <c r="M430" s="19"/>
      <c r="N430" s="19" t="s">
        <v>1463</v>
      </c>
    </row>
    <row r="431" spans="1:14">
      <c r="A431" s="19" t="s">
        <v>2252</v>
      </c>
      <c r="B431" s="19">
        <v>10</v>
      </c>
      <c r="C431" s="19" t="s">
        <v>2301</v>
      </c>
      <c r="D431" s="19" t="s">
        <v>2302</v>
      </c>
      <c r="E431" s="19" t="s">
        <v>855</v>
      </c>
      <c r="F431" s="19">
        <v>2022</v>
      </c>
      <c r="G431" s="21">
        <v>0.70402929999999997</v>
      </c>
      <c r="H431" s="19" t="s">
        <v>2303</v>
      </c>
      <c r="I431" s="19" t="s">
        <v>865</v>
      </c>
      <c r="J431" s="21">
        <v>0.70402929999999997</v>
      </c>
      <c r="K431" s="19" t="s">
        <v>2304</v>
      </c>
      <c r="L431" s="19" t="s">
        <v>2305</v>
      </c>
      <c r="M431" s="19" t="s">
        <v>2306</v>
      </c>
      <c r="N431" s="19" t="s">
        <v>1978</v>
      </c>
    </row>
    <row r="432" spans="1:14">
      <c r="A432" s="19" t="s">
        <v>2252</v>
      </c>
      <c r="B432" s="19">
        <v>11</v>
      </c>
      <c r="C432" s="19" t="s">
        <v>2307</v>
      </c>
      <c r="D432" s="19" t="s">
        <v>2308</v>
      </c>
      <c r="E432" s="19" t="s">
        <v>855</v>
      </c>
      <c r="F432" s="19">
        <v>2016</v>
      </c>
      <c r="G432" s="21">
        <v>0.70399237000000003</v>
      </c>
      <c r="H432" s="19" t="s">
        <v>2309</v>
      </c>
      <c r="I432" s="19" t="s">
        <v>914</v>
      </c>
      <c r="J432" s="21">
        <v>0.70399237000000003</v>
      </c>
      <c r="K432" s="19" t="s">
        <v>2310</v>
      </c>
      <c r="L432" s="19" t="s">
        <v>2311</v>
      </c>
      <c r="M432" s="19" t="s">
        <v>2312</v>
      </c>
      <c r="N432" s="19" t="s">
        <v>1463</v>
      </c>
    </row>
    <row r="433" spans="1:14">
      <c r="A433" s="19" t="s">
        <v>2252</v>
      </c>
      <c r="B433" s="19">
        <v>12</v>
      </c>
      <c r="C433" s="19" t="s">
        <v>2153</v>
      </c>
      <c r="D433" s="19" t="s">
        <v>810</v>
      </c>
      <c r="E433" s="19" t="s">
        <v>855</v>
      </c>
      <c r="F433" s="19">
        <v>2022</v>
      </c>
      <c r="G433" s="21">
        <v>0.7032003</v>
      </c>
      <c r="H433" s="19" t="s">
        <v>2313</v>
      </c>
      <c r="I433" s="19" t="s">
        <v>865</v>
      </c>
      <c r="J433" s="21">
        <v>0.7032003</v>
      </c>
      <c r="K433" s="19" t="s">
        <v>2314</v>
      </c>
      <c r="L433" s="19" t="s">
        <v>2315</v>
      </c>
      <c r="M433" s="19" t="s">
        <v>2316</v>
      </c>
      <c r="N433" s="19" t="s">
        <v>1978</v>
      </c>
    </row>
    <row r="434" spans="1:14">
      <c r="A434" s="19" t="s">
        <v>2252</v>
      </c>
      <c r="B434" s="19">
        <v>13</v>
      </c>
      <c r="C434" s="19" t="s">
        <v>1245</v>
      </c>
      <c r="D434" s="19" t="s">
        <v>1246</v>
      </c>
      <c r="E434" s="19" t="s">
        <v>855</v>
      </c>
      <c r="F434" s="19">
        <v>2022</v>
      </c>
      <c r="G434" s="21">
        <v>0.70319646999999996</v>
      </c>
      <c r="H434" s="19" t="s">
        <v>1247</v>
      </c>
      <c r="I434" s="19" t="s">
        <v>865</v>
      </c>
      <c r="J434" s="21">
        <v>0.70319646999999996</v>
      </c>
      <c r="K434" s="19" t="s">
        <v>1248</v>
      </c>
      <c r="L434" s="19" t="s">
        <v>1249</v>
      </c>
      <c r="M434" s="19" t="s">
        <v>1250</v>
      </c>
      <c r="N434" s="19" t="s">
        <v>1978</v>
      </c>
    </row>
    <row r="435" spans="1:14">
      <c r="A435" s="19" t="s">
        <v>2252</v>
      </c>
      <c r="B435" s="19">
        <v>14</v>
      </c>
      <c r="C435" s="19" t="s">
        <v>2317</v>
      </c>
      <c r="D435" s="19" t="s">
        <v>2318</v>
      </c>
      <c r="E435" s="19" t="s">
        <v>855</v>
      </c>
      <c r="F435" s="19">
        <v>2016</v>
      </c>
      <c r="G435" s="21">
        <v>0.69778660000000003</v>
      </c>
      <c r="H435" s="19" t="s">
        <v>2319</v>
      </c>
      <c r="I435" s="19" t="s">
        <v>914</v>
      </c>
      <c r="J435" s="21">
        <v>0.69778660000000003</v>
      </c>
      <c r="K435" s="19" t="s">
        <v>2320</v>
      </c>
      <c r="L435" s="19" t="s">
        <v>2321</v>
      </c>
      <c r="M435" s="19" t="s">
        <v>2322</v>
      </c>
      <c r="N435" s="19" t="s">
        <v>1463</v>
      </c>
    </row>
    <row r="436" spans="1:14">
      <c r="A436" s="19" t="s">
        <v>2252</v>
      </c>
      <c r="B436" s="19">
        <v>15</v>
      </c>
      <c r="C436" s="19" t="s">
        <v>2323</v>
      </c>
      <c r="D436" s="19" t="s">
        <v>2324</v>
      </c>
      <c r="E436" s="19" t="s">
        <v>855</v>
      </c>
      <c r="F436" s="19">
        <v>2022</v>
      </c>
      <c r="G436" s="21">
        <v>0.69767299999999999</v>
      </c>
      <c r="H436" s="19" t="s">
        <v>2325</v>
      </c>
      <c r="I436" s="19" t="s">
        <v>865</v>
      </c>
      <c r="J436" s="21">
        <v>0.69767299999999999</v>
      </c>
      <c r="K436" s="19" t="s">
        <v>2326</v>
      </c>
      <c r="L436" s="19" t="s">
        <v>2327</v>
      </c>
      <c r="M436" s="19" t="s">
        <v>2328</v>
      </c>
      <c r="N436" s="19" t="s">
        <v>1978</v>
      </c>
    </row>
    <row r="437" spans="1:14">
      <c r="A437" s="19" t="s">
        <v>2252</v>
      </c>
      <c r="B437" s="19">
        <v>16</v>
      </c>
      <c r="C437" s="19" t="s">
        <v>2329</v>
      </c>
      <c r="D437" s="19" t="s">
        <v>2330</v>
      </c>
      <c r="E437" s="19" t="s">
        <v>2127</v>
      </c>
      <c r="F437" s="19">
        <v>2009</v>
      </c>
      <c r="G437" s="21">
        <v>0.69708800000000004</v>
      </c>
      <c r="H437" s="19" t="s">
        <v>2331</v>
      </c>
      <c r="I437" s="19" t="s">
        <v>914</v>
      </c>
      <c r="J437" s="21">
        <v>0.69708800000000004</v>
      </c>
      <c r="K437" s="19" t="s">
        <v>2332</v>
      </c>
      <c r="L437" s="19" t="s">
        <v>2333</v>
      </c>
      <c r="M437" s="19"/>
      <c r="N437" s="19" t="s">
        <v>1463</v>
      </c>
    </row>
    <row r="438" spans="1:14">
      <c r="A438" s="19" t="s">
        <v>2252</v>
      </c>
      <c r="B438" s="19">
        <v>17</v>
      </c>
      <c r="C438" s="19" t="s">
        <v>2334</v>
      </c>
      <c r="D438" s="19" t="s">
        <v>2335</v>
      </c>
      <c r="E438" s="19" t="s">
        <v>2191</v>
      </c>
      <c r="F438" s="19">
        <v>2021</v>
      </c>
      <c r="G438" s="21">
        <v>0.69705033000000005</v>
      </c>
      <c r="H438" s="19" t="s">
        <v>2336</v>
      </c>
      <c r="I438" s="19" t="s">
        <v>951</v>
      </c>
      <c r="J438" s="21">
        <v>0.69705033000000005</v>
      </c>
      <c r="K438" s="19" t="s">
        <v>2337</v>
      </c>
      <c r="L438" s="19" t="s">
        <v>2338</v>
      </c>
      <c r="M438" s="19" t="s">
        <v>2339</v>
      </c>
      <c r="N438" s="19" t="s">
        <v>1513</v>
      </c>
    </row>
    <row r="439" spans="1:14">
      <c r="A439" s="19" t="s">
        <v>2252</v>
      </c>
      <c r="B439" s="19">
        <v>18</v>
      </c>
      <c r="C439" s="19" t="s">
        <v>2340</v>
      </c>
      <c r="D439" s="19" t="s">
        <v>2341</v>
      </c>
      <c r="E439" s="19" t="s">
        <v>855</v>
      </c>
      <c r="F439" s="19">
        <v>2023</v>
      </c>
      <c r="G439" s="21">
        <v>0.69659590000000005</v>
      </c>
      <c r="H439" s="19" t="s">
        <v>2342</v>
      </c>
      <c r="I439" s="19" t="s">
        <v>865</v>
      </c>
      <c r="J439" s="21">
        <v>0.69659590000000005</v>
      </c>
      <c r="K439" s="19" t="s">
        <v>2343</v>
      </c>
      <c r="L439" s="19" t="s">
        <v>2344</v>
      </c>
      <c r="M439" s="19" t="s">
        <v>2345</v>
      </c>
      <c r="N439" s="19" t="s">
        <v>1978</v>
      </c>
    </row>
    <row r="440" spans="1:14">
      <c r="A440" s="19" t="s">
        <v>2252</v>
      </c>
      <c r="B440" s="19">
        <v>19</v>
      </c>
      <c r="C440" s="19" t="s">
        <v>2346</v>
      </c>
      <c r="D440" s="19" t="s">
        <v>2347</v>
      </c>
      <c r="E440" s="19" t="s">
        <v>855</v>
      </c>
      <c r="F440" s="19">
        <v>2014</v>
      </c>
      <c r="G440" s="21">
        <v>0.69620514</v>
      </c>
      <c r="H440" s="19" t="s">
        <v>2348</v>
      </c>
      <c r="I440" s="19" t="s">
        <v>914</v>
      </c>
      <c r="J440" s="21">
        <v>0.69620514</v>
      </c>
      <c r="K440" s="19" t="s">
        <v>2349</v>
      </c>
      <c r="L440" s="19" t="s">
        <v>2350</v>
      </c>
      <c r="M440" s="19"/>
      <c r="N440" s="19" t="s">
        <v>1463</v>
      </c>
    </row>
    <row r="441" spans="1:14">
      <c r="A441" s="19" t="s">
        <v>2252</v>
      </c>
      <c r="B441" s="19">
        <v>20</v>
      </c>
      <c r="C441" s="19" t="s">
        <v>2351</v>
      </c>
      <c r="D441" s="19" t="s">
        <v>2352</v>
      </c>
      <c r="E441" s="19" t="s">
        <v>855</v>
      </c>
      <c r="F441" s="19">
        <v>2016</v>
      </c>
      <c r="G441" s="21">
        <v>0.69613860000000005</v>
      </c>
      <c r="H441" s="19" t="s">
        <v>2353</v>
      </c>
      <c r="I441" s="19" t="s">
        <v>914</v>
      </c>
      <c r="J441" s="21">
        <v>0.69613860000000005</v>
      </c>
      <c r="K441" s="19" t="s">
        <v>2354</v>
      </c>
      <c r="L441" s="19" t="s">
        <v>2355</v>
      </c>
      <c r="M441" s="19" t="s">
        <v>2356</v>
      </c>
      <c r="N441" s="19" t="s">
        <v>1463</v>
      </c>
    </row>
    <row r="442" spans="1:14">
      <c r="A442" s="19" t="s">
        <v>292</v>
      </c>
      <c r="B442" s="19">
        <v>1</v>
      </c>
      <c r="C442" s="19" t="s">
        <v>2357</v>
      </c>
      <c r="D442" s="19" t="s">
        <v>747</v>
      </c>
      <c r="E442" s="19" t="s">
        <v>855</v>
      </c>
      <c r="F442" s="19">
        <v>2006</v>
      </c>
      <c r="G442" s="21">
        <v>0.76308940000000003</v>
      </c>
      <c r="H442" s="19" t="s">
        <v>2358</v>
      </c>
      <c r="I442" s="19" t="s">
        <v>914</v>
      </c>
      <c r="J442" s="21">
        <v>0.76308940000000003</v>
      </c>
      <c r="K442" s="19" t="s">
        <v>2359</v>
      </c>
      <c r="L442" s="19" t="s">
        <v>2360</v>
      </c>
      <c r="M442" s="19"/>
      <c r="N442" s="19" t="s">
        <v>1794</v>
      </c>
    </row>
    <row r="443" spans="1:14">
      <c r="A443" s="19" t="s">
        <v>292</v>
      </c>
      <c r="B443" s="19">
        <v>2</v>
      </c>
      <c r="C443" s="19" t="s">
        <v>2361</v>
      </c>
      <c r="D443" s="19" t="s">
        <v>2362</v>
      </c>
      <c r="E443" s="19" t="s">
        <v>855</v>
      </c>
      <c r="F443" s="19">
        <v>2014</v>
      </c>
      <c r="G443" s="21">
        <v>0.76002175000000005</v>
      </c>
      <c r="H443" s="19" t="s">
        <v>2363</v>
      </c>
      <c r="I443" s="19" t="s">
        <v>914</v>
      </c>
      <c r="J443" s="21">
        <v>0.76002175000000005</v>
      </c>
      <c r="K443" s="19" t="s">
        <v>2364</v>
      </c>
      <c r="L443" s="19" t="s">
        <v>2365</v>
      </c>
      <c r="M443" s="19"/>
      <c r="N443" s="19" t="s">
        <v>1794</v>
      </c>
    </row>
    <row r="444" spans="1:14">
      <c r="A444" s="19" t="s">
        <v>292</v>
      </c>
      <c r="B444" s="19">
        <v>3</v>
      </c>
      <c r="C444" s="19" t="s">
        <v>2366</v>
      </c>
      <c r="D444" s="19" t="s">
        <v>2367</v>
      </c>
      <c r="E444" s="19" t="s">
        <v>2089</v>
      </c>
      <c r="F444" s="19">
        <v>2009</v>
      </c>
      <c r="G444" s="21">
        <v>0.74555110000000002</v>
      </c>
      <c r="H444" s="19" t="s">
        <v>2368</v>
      </c>
      <c r="I444" s="19" t="s">
        <v>914</v>
      </c>
      <c r="J444" s="21">
        <v>0.74555110000000002</v>
      </c>
      <c r="K444" s="19" t="s">
        <v>2369</v>
      </c>
      <c r="L444" s="19" t="s">
        <v>2370</v>
      </c>
      <c r="M444" s="19" t="s">
        <v>2371</v>
      </c>
      <c r="N444" s="19" t="s">
        <v>1801</v>
      </c>
    </row>
    <row r="445" spans="1:14">
      <c r="A445" s="19" t="s">
        <v>292</v>
      </c>
      <c r="B445" s="19">
        <v>4</v>
      </c>
      <c r="C445" s="19" t="s">
        <v>2372</v>
      </c>
      <c r="D445" s="19" t="s">
        <v>2373</v>
      </c>
      <c r="E445" s="19" t="s">
        <v>855</v>
      </c>
      <c r="F445" s="19">
        <v>2014</v>
      </c>
      <c r="G445" s="21">
        <v>0.73689674999999999</v>
      </c>
      <c r="H445" s="19" t="s">
        <v>2374</v>
      </c>
      <c r="I445" s="19" t="s">
        <v>914</v>
      </c>
      <c r="J445" s="21">
        <v>0.73689674999999999</v>
      </c>
      <c r="K445" s="19" t="s">
        <v>2375</v>
      </c>
      <c r="L445" s="19" t="s">
        <v>2376</v>
      </c>
      <c r="M445" s="19"/>
      <c r="N445" s="19" t="s">
        <v>1807</v>
      </c>
    </row>
    <row r="446" spans="1:14">
      <c r="A446" s="19" t="s">
        <v>292</v>
      </c>
      <c r="B446" s="19">
        <v>5</v>
      </c>
      <c r="C446" s="19" t="s">
        <v>2377</v>
      </c>
      <c r="D446" s="19" t="s">
        <v>2378</v>
      </c>
      <c r="E446" s="19" t="s">
        <v>855</v>
      </c>
      <c r="F446" s="19">
        <v>2015</v>
      </c>
      <c r="G446" s="21">
        <v>0.73528470000000001</v>
      </c>
      <c r="H446" s="19" t="s">
        <v>2379</v>
      </c>
      <c r="I446" s="19" t="s">
        <v>914</v>
      </c>
      <c r="J446" s="21">
        <v>0.73528470000000001</v>
      </c>
      <c r="K446" s="19" t="s">
        <v>2380</v>
      </c>
      <c r="L446" s="19" t="s">
        <v>2381</v>
      </c>
      <c r="M446" s="19"/>
      <c r="N446" s="19" t="s">
        <v>1807</v>
      </c>
    </row>
    <row r="447" spans="1:14">
      <c r="A447" s="19" t="s">
        <v>292</v>
      </c>
      <c r="B447" s="19">
        <v>6</v>
      </c>
      <c r="C447" s="19" t="s">
        <v>2382</v>
      </c>
      <c r="D447" s="19" t="s">
        <v>2383</v>
      </c>
      <c r="E447" s="19" t="s">
        <v>855</v>
      </c>
      <c r="F447" s="19">
        <v>2015</v>
      </c>
      <c r="G447" s="21">
        <v>0.73431829999999998</v>
      </c>
      <c r="H447" s="19" t="s">
        <v>2384</v>
      </c>
      <c r="I447" s="19" t="s">
        <v>914</v>
      </c>
      <c r="J447" s="21">
        <v>0.73431829999999998</v>
      </c>
      <c r="K447" s="19" t="s">
        <v>2385</v>
      </c>
      <c r="L447" s="19" t="s">
        <v>2386</v>
      </c>
      <c r="M447" s="19"/>
      <c r="N447" s="19" t="s">
        <v>1604</v>
      </c>
    </row>
    <row r="448" spans="1:14">
      <c r="A448" s="19" t="s">
        <v>292</v>
      </c>
      <c r="B448" s="19">
        <v>7</v>
      </c>
      <c r="C448" s="19" t="s">
        <v>2387</v>
      </c>
      <c r="D448" s="19" t="s">
        <v>2388</v>
      </c>
      <c r="E448" s="19" t="s">
        <v>855</v>
      </c>
      <c r="F448" s="19">
        <v>2014</v>
      </c>
      <c r="G448" s="21">
        <v>0.73413819999999996</v>
      </c>
      <c r="H448" s="19" t="s">
        <v>2389</v>
      </c>
      <c r="I448" s="19" t="s">
        <v>914</v>
      </c>
      <c r="J448" s="21">
        <v>0.73413819999999996</v>
      </c>
      <c r="K448" s="19" t="s">
        <v>2390</v>
      </c>
      <c r="L448" s="19" t="s">
        <v>2391</v>
      </c>
      <c r="M448" s="19"/>
      <c r="N448" s="19" t="s">
        <v>1604</v>
      </c>
    </row>
    <row r="449" spans="1:14">
      <c r="A449" s="19" t="s">
        <v>292</v>
      </c>
      <c r="B449" s="19">
        <v>8</v>
      </c>
      <c r="C449" s="19" t="s">
        <v>2392</v>
      </c>
      <c r="D449" s="19" t="s">
        <v>2393</v>
      </c>
      <c r="E449" s="19" t="s">
        <v>2191</v>
      </c>
      <c r="F449" s="19">
        <v>2023</v>
      </c>
      <c r="G449" s="21">
        <v>0.73371640000000005</v>
      </c>
      <c r="H449" s="19" t="s">
        <v>2394</v>
      </c>
      <c r="I449" s="19" t="s">
        <v>914</v>
      </c>
      <c r="J449" s="21">
        <v>0.73371640000000005</v>
      </c>
      <c r="K449" s="19" t="s">
        <v>2395</v>
      </c>
      <c r="L449" s="19" t="s">
        <v>2396</v>
      </c>
      <c r="M449" s="19"/>
      <c r="N449" s="19" t="s">
        <v>1604</v>
      </c>
    </row>
    <row r="450" spans="1:14">
      <c r="A450" s="19" t="s">
        <v>292</v>
      </c>
      <c r="B450" s="19">
        <v>9</v>
      </c>
      <c r="C450" s="19" t="s">
        <v>2397</v>
      </c>
      <c r="D450" s="19" t="s">
        <v>2398</v>
      </c>
      <c r="E450" s="19" t="s">
        <v>855</v>
      </c>
      <c r="F450" s="19">
        <v>2015</v>
      </c>
      <c r="G450" s="21">
        <v>0.72890809999999995</v>
      </c>
      <c r="H450" s="19" t="s">
        <v>2399</v>
      </c>
      <c r="I450" s="19" t="s">
        <v>914</v>
      </c>
      <c r="J450" s="21">
        <v>0.72890809999999995</v>
      </c>
      <c r="K450" s="19" t="s">
        <v>2400</v>
      </c>
      <c r="L450" s="19" t="s">
        <v>2401</v>
      </c>
      <c r="M450" s="19" t="s">
        <v>2402</v>
      </c>
      <c r="N450" s="19" t="s">
        <v>1604</v>
      </c>
    </row>
    <row r="451" spans="1:14">
      <c r="A451" s="19" t="s">
        <v>292</v>
      </c>
      <c r="B451" s="19">
        <v>10</v>
      </c>
      <c r="C451" s="19" t="s">
        <v>2403</v>
      </c>
      <c r="D451" s="19" t="s">
        <v>2404</v>
      </c>
      <c r="E451" s="19" t="s">
        <v>855</v>
      </c>
      <c r="F451" s="19">
        <v>2014</v>
      </c>
      <c r="G451" s="21">
        <v>0.72749143999999999</v>
      </c>
      <c r="H451" s="19" t="s">
        <v>2405</v>
      </c>
      <c r="I451" s="19" t="s">
        <v>914</v>
      </c>
      <c r="J451" s="21">
        <v>0.72749143999999999</v>
      </c>
      <c r="K451" s="19" t="s">
        <v>2406</v>
      </c>
      <c r="L451" s="19" t="s">
        <v>2407</v>
      </c>
      <c r="M451" s="19"/>
      <c r="N451" s="19" t="s">
        <v>1604</v>
      </c>
    </row>
    <row r="452" spans="1:14">
      <c r="A452" s="19" t="s">
        <v>292</v>
      </c>
      <c r="B452" s="19">
        <v>11</v>
      </c>
      <c r="C452" s="19" t="s">
        <v>2408</v>
      </c>
      <c r="D452" s="19" t="s">
        <v>2409</v>
      </c>
      <c r="E452" s="19" t="s">
        <v>855</v>
      </c>
      <c r="F452" s="19">
        <v>2015</v>
      </c>
      <c r="G452" s="21">
        <v>0.72689800000000004</v>
      </c>
      <c r="H452" s="19" t="s">
        <v>2410</v>
      </c>
      <c r="I452" s="19" t="s">
        <v>914</v>
      </c>
      <c r="J452" s="21">
        <v>0.72689800000000004</v>
      </c>
      <c r="K452" s="19" t="s">
        <v>2411</v>
      </c>
      <c r="L452" s="19" t="s">
        <v>2412</v>
      </c>
      <c r="M452" s="19"/>
      <c r="N452" s="19" t="s">
        <v>1604</v>
      </c>
    </row>
    <row r="453" spans="1:14">
      <c r="A453" s="19" t="s">
        <v>292</v>
      </c>
      <c r="B453" s="19">
        <v>12</v>
      </c>
      <c r="C453" s="19" t="s">
        <v>2413</v>
      </c>
      <c r="D453" s="19" t="s">
        <v>2414</v>
      </c>
      <c r="E453" s="19" t="s">
        <v>855</v>
      </c>
      <c r="F453" s="19">
        <v>2015</v>
      </c>
      <c r="G453" s="21">
        <v>0.72541820000000001</v>
      </c>
      <c r="H453" s="19" t="s">
        <v>2415</v>
      </c>
      <c r="I453" s="19" t="s">
        <v>914</v>
      </c>
      <c r="J453" s="21">
        <v>0.72541820000000001</v>
      </c>
      <c r="K453" s="19" t="s">
        <v>2416</v>
      </c>
      <c r="L453" s="19" t="s">
        <v>2417</v>
      </c>
      <c r="M453" s="19" t="s">
        <v>2418</v>
      </c>
      <c r="N453" s="19" t="s">
        <v>1604</v>
      </c>
    </row>
    <row r="454" spans="1:14">
      <c r="A454" s="19" t="s">
        <v>292</v>
      </c>
      <c r="B454" s="19">
        <v>13</v>
      </c>
      <c r="C454" s="19" t="s">
        <v>2419</v>
      </c>
      <c r="D454" s="19" t="s">
        <v>2420</v>
      </c>
      <c r="E454" s="19" t="s">
        <v>855</v>
      </c>
      <c r="F454" s="19">
        <v>2016</v>
      </c>
      <c r="G454" s="21">
        <v>0.72323079999999995</v>
      </c>
      <c r="H454" s="19" t="s">
        <v>2421</v>
      </c>
      <c r="I454" s="19" t="s">
        <v>914</v>
      </c>
      <c r="J454" s="21">
        <v>0.72323079999999995</v>
      </c>
      <c r="K454" s="19" t="s">
        <v>2422</v>
      </c>
      <c r="L454" s="19" t="s">
        <v>2423</v>
      </c>
      <c r="M454" s="19"/>
      <c r="N454" s="19" t="s">
        <v>1630</v>
      </c>
    </row>
    <row r="455" spans="1:14">
      <c r="A455" s="19" t="s">
        <v>292</v>
      </c>
      <c r="B455" s="19">
        <v>14</v>
      </c>
      <c r="C455" s="19" t="s">
        <v>2424</v>
      </c>
      <c r="D455" s="19" t="s">
        <v>2425</v>
      </c>
      <c r="E455" s="19" t="s">
        <v>855</v>
      </c>
      <c r="F455" s="19">
        <v>2014</v>
      </c>
      <c r="G455" s="21">
        <v>0.72177199999999997</v>
      </c>
      <c r="H455" s="19" t="s">
        <v>2426</v>
      </c>
      <c r="I455" s="19" t="s">
        <v>914</v>
      </c>
      <c r="J455" s="21">
        <v>0.72177199999999997</v>
      </c>
      <c r="K455" s="19" t="s">
        <v>2427</v>
      </c>
      <c r="L455" s="19" t="s">
        <v>2428</v>
      </c>
      <c r="M455" s="19"/>
      <c r="N455" s="19" t="s">
        <v>1630</v>
      </c>
    </row>
    <row r="456" spans="1:14">
      <c r="A456" s="19" t="s">
        <v>292</v>
      </c>
      <c r="B456" s="19">
        <v>15</v>
      </c>
      <c r="C456" s="19" t="s">
        <v>2429</v>
      </c>
      <c r="D456" s="19" t="s">
        <v>2430</v>
      </c>
      <c r="E456" s="19" t="s">
        <v>855</v>
      </c>
      <c r="F456" s="19">
        <v>2014</v>
      </c>
      <c r="G456" s="21">
        <v>0.71942390000000001</v>
      </c>
      <c r="H456" s="19" t="s">
        <v>2431</v>
      </c>
      <c r="I456" s="19" t="s">
        <v>914</v>
      </c>
      <c r="J456" s="21">
        <v>0.71942390000000001</v>
      </c>
      <c r="K456" s="19" t="s">
        <v>2432</v>
      </c>
      <c r="L456" s="19" t="s">
        <v>2433</v>
      </c>
      <c r="M456" s="19" t="s">
        <v>2434</v>
      </c>
      <c r="N456" s="19" t="s">
        <v>1630</v>
      </c>
    </row>
    <row r="457" spans="1:14">
      <c r="A457" s="19" t="s">
        <v>292</v>
      </c>
      <c r="B457" s="19">
        <v>16</v>
      </c>
      <c r="C457" s="19" t="s">
        <v>2435</v>
      </c>
      <c r="D457" s="19" t="s">
        <v>2436</v>
      </c>
      <c r="E457" s="19" t="s">
        <v>855</v>
      </c>
      <c r="F457" s="19">
        <v>2016</v>
      </c>
      <c r="G457" s="21">
        <v>0.71849244999999995</v>
      </c>
      <c r="H457" s="19" t="s">
        <v>2437</v>
      </c>
      <c r="I457" s="19" t="s">
        <v>914</v>
      </c>
      <c r="J457" s="21">
        <v>0.71849244999999995</v>
      </c>
      <c r="K457" s="19" t="s">
        <v>2438</v>
      </c>
      <c r="L457" s="19" t="s">
        <v>2439</v>
      </c>
      <c r="M457" s="19" t="s">
        <v>2440</v>
      </c>
      <c r="N457" s="19" t="s">
        <v>1630</v>
      </c>
    </row>
    <row r="458" spans="1:14">
      <c r="A458" s="19" t="s">
        <v>292</v>
      </c>
      <c r="B458" s="19">
        <v>17</v>
      </c>
      <c r="C458" s="19" t="s">
        <v>2441</v>
      </c>
      <c r="D458" s="19" t="s">
        <v>2442</v>
      </c>
      <c r="E458" s="19" t="s">
        <v>855</v>
      </c>
      <c r="F458" s="19">
        <v>2014</v>
      </c>
      <c r="G458" s="21">
        <v>0.71832260000000003</v>
      </c>
      <c r="H458" s="19" t="s">
        <v>2443</v>
      </c>
      <c r="I458" s="19" t="s">
        <v>914</v>
      </c>
      <c r="J458" s="21">
        <v>0.71832260000000003</v>
      </c>
      <c r="K458" s="19" t="s">
        <v>2444</v>
      </c>
      <c r="L458" s="19" t="s">
        <v>2445</v>
      </c>
      <c r="M458" s="19"/>
      <c r="N458" s="19" t="s">
        <v>1630</v>
      </c>
    </row>
    <row r="459" spans="1:14">
      <c r="A459" s="19" t="s">
        <v>292</v>
      </c>
      <c r="B459" s="19">
        <v>18</v>
      </c>
      <c r="C459" s="19" t="s">
        <v>2446</v>
      </c>
      <c r="D459" s="19" t="s">
        <v>2447</v>
      </c>
      <c r="E459" s="19" t="s">
        <v>855</v>
      </c>
      <c r="F459" s="19">
        <v>2023</v>
      </c>
      <c r="G459" s="21">
        <v>0.71717319999999996</v>
      </c>
      <c r="H459" s="19" t="s">
        <v>2448</v>
      </c>
      <c r="I459" s="19" t="s">
        <v>914</v>
      </c>
      <c r="J459" s="21">
        <v>0.71717319999999996</v>
      </c>
      <c r="K459" s="19" t="s">
        <v>2449</v>
      </c>
      <c r="L459" s="19" t="s">
        <v>2450</v>
      </c>
      <c r="M459" s="19" t="s">
        <v>2451</v>
      </c>
      <c r="N459" s="19" t="s">
        <v>1630</v>
      </c>
    </row>
    <row r="460" spans="1:14">
      <c r="A460" s="19" t="s">
        <v>292</v>
      </c>
      <c r="B460" s="19">
        <v>19</v>
      </c>
      <c r="C460" s="19" t="s">
        <v>2452</v>
      </c>
      <c r="D460" s="19" t="s">
        <v>2453</v>
      </c>
      <c r="E460" s="19" t="s">
        <v>855</v>
      </c>
      <c r="F460" s="19">
        <v>2015</v>
      </c>
      <c r="G460" s="21">
        <v>0.71712620000000005</v>
      </c>
      <c r="H460" s="19" t="s">
        <v>2454</v>
      </c>
      <c r="I460" s="19" t="s">
        <v>914</v>
      </c>
      <c r="J460" s="21">
        <v>0.71712620000000005</v>
      </c>
      <c r="K460" s="19" t="s">
        <v>2455</v>
      </c>
      <c r="L460" s="19" t="s">
        <v>2456</v>
      </c>
      <c r="M460" s="19"/>
      <c r="N460" s="19" t="s">
        <v>1630</v>
      </c>
    </row>
    <row r="461" spans="1:14">
      <c r="A461" s="19" t="s">
        <v>292</v>
      </c>
      <c r="B461" s="19">
        <v>20</v>
      </c>
      <c r="C461" s="19" t="s">
        <v>2457</v>
      </c>
      <c r="D461" s="19" t="s">
        <v>2458</v>
      </c>
      <c r="E461" s="19" t="s">
        <v>2191</v>
      </c>
      <c r="F461" s="19">
        <v>2017</v>
      </c>
      <c r="G461" s="21">
        <v>0.7161033</v>
      </c>
      <c r="H461" s="19" t="s">
        <v>2459</v>
      </c>
      <c r="I461" s="19" t="s">
        <v>914</v>
      </c>
      <c r="J461" s="21">
        <v>0.7161033</v>
      </c>
      <c r="K461" s="19" t="s">
        <v>2460</v>
      </c>
      <c r="L461" s="19" t="s">
        <v>2461</v>
      </c>
      <c r="M461" s="19"/>
      <c r="N461" s="19" t="s">
        <v>1630</v>
      </c>
    </row>
    <row r="462" spans="1:14">
      <c r="A462" s="19" t="s">
        <v>2462</v>
      </c>
      <c r="B462" s="19">
        <v>1</v>
      </c>
      <c r="C462" s="19" t="s">
        <v>2301</v>
      </c>
      <c r="D462" s="19" t="s">
        <v>2302</v>
      </c>
      <c r="E462" s="19" t="s">
        <v>855</v>
      </c>
      <c r="F462" s="19">
        <v>2022</v>
      </c>
      <c r="G462" s="21">
        <v>0.76366219999999996</v>
      </c>
      <c r="H462" s="19" t="s">
        <v>2303</v>
      </c>
      <c r="I462" s="19" t="s">
        <v>865</v>
      </c>
      <c r="J462" s="21">
        <v>0.76366219999999996</v>
      </c>
      <c r="K462" s="19" t="s">
        <v>2304</v>
      </c>
      <c r="L462" s="19" t="s">
        <v>2305</v>
      </c>
      <c r="M462" s="19" t="s">
        <v>2306</v>
      </c>
      <c r="N462" s="19" t="s">
        <v>2463</v>
      </c>
    </row>
    <row r="463" spans="1:14">
      <c r="A463" s="19" t="s">
        <v>2462</v>
      </c>
      <c r="B463" s="19">
        <v>2</v>
      </c>
      <c r="C463" s="19" t="s">
        <v>2268</v>
      </c>
      <c r="D463" s="19" t="s">
        <v>2269</v>
      </c>
      <c r="E463" s="19" t="s">
        <v>855</v>
      </c>
      <c r="F463" s="19">
        <v>2023</v>
      </c>
      <c r="G463" s="21">
        <v>0.76100800000000002</v>
      </c>
      <c r="H463" s="19" t="s">
        <v>2464</v>
      </c>
      <c r="I463" s="19" t="s">
        <v>865</v>
      </c>
      <c r="J463" s="21">
        <v>0.76100800000000002</v>
      </c>
      <c r="K463" s="19" t="s">
        <v>2465</v>
      </c>
      <c r="L463" s="19" t="s">
        <v>2466</v>
      </c>
      <c r="M463" s="19" t="s">
        <v>2467</v>
      </c>
      <c r="N463" s="19" t="s">
        <v>2463</v>
      </c>
    </row>
    <row r="464" spans="1:14">
      <c r="A464" s="19" t="s">
        <v>2462</v>
      </c>
      <c r="B464" s="19">
        <v>3</v>
      </c>
      <c r="C464" s="19" t="s">
        <v>1245</v>
      </c>
      <c r="D464" s="19" t="s">
        <v>1246</v>
      </c>
      <c r="E464" s="19" t="s">
        <v>855</v>
      </c>
      <c r="F464" s="19">
        <v>2022</v>
      </c>
      <c r="G464" s="21">
        <v>0.76048994000000003</v>
      </c>
      <c r="H464" s="19" t="s">
        <v>1247</v>
      </c>
      <c r="I464" s="19" t="s">
        <v>865</v>
      </c>
      <c r="J464" s="21">
        <v>0.76048994000000003</v>
      </c>
      <c r="K464" s="19" t="s">
        <v>1248</v>
      </c>
      <c r="L464" s="19" t="s">
        <v>1249</v>
      </c>
      <c r="M464" s="19" t="s">
        <v>1250</v>
      </c>
      <c r="N464" s="19" t="s">
        <v>2463</v>
      </c>
    </row>
    <row r="465" spans="1:14">
      <c r="A465" s="19" t="s">
        <v>2462</v>
      </c>
      <c r="B465" s="19">
        <v>4</v>
      </c>
      <c r="C465" s="19" t="s">
        <v>2468</v>
      </c>
      <c r="D465" s="19" t="s">
        <v>2469</v>
      </c>
      <c r="E465" s="19" t="s">
        <v>855</v>
      </c>
      <c r="F465" s="19">
        <v>2023</v>
      </c>
      <c r="G465" s="21">
        <v>0.76046970000000003</v>
      </c>
      <c r="H465" s="19" t="s">
        <v>2470</v>
      </c>
      <c r="I465" s="19" t="s">
        <v>865</v>
      </c>
      <c r="J465" s="21">
        <v>0.76046970000000003</v>
      </c>
      <c r="K465" s="19" t="s">
        <v>2471</v>
      </c>
      <c r="L465" s="19" t="s">
        <v>2472</v>
      </c>
      <c r="M465" s="19"/>
      <c r="N465" s="19" t="s">
        <v>2463</v>
      </c>
    </row>
    <row r="466" spans="1:14">
      <c r="A466" s="19" t="s">
        <v>2462</v>
      </c>
      <c r="B466" s="19">
        <v>5</v>
      </c>
      <c r="C466" s="19" t="s">
        <v>2153</v>
      </c>
      <c r="D466" s="19" t="s">
        <v>810</v>
      </c>
      <c r="E466" s="19" t="s">
        <v>855</v>
      </c>
      <c r="F466" s="19">
        <v>2022</v>
      </c>
      <c r="G466" s="21">
        <v>0.76037573999999997</v>
      </c>
      <c r="H466" s="19" t="s">
        <v>2313</v>
      </c>
      <c r="I466" s="19" t="s">
        <v>865</v>
      </c>
      <c r="J466" s="21">
        <v>0.76037573999999997</v>
      </c>
      <c r="K466" s="19" t="s">
        <v>2314</v>
      </c>
      <c r="L466" s="19" t="s">
        <v>2315</v>
      </c>
      <c r="M466" s="19" t="s">
        <v>2316</v>
      </c>
      <c r="N466" s="19" t="s">
        <v>2463</v>
      </c>
    </row>
    <row r="467" spans="1:14">
      <c r="A467" s="19" t="s">
        <v>2462</v>
      </c>
      <c r="B467" s="19">
        <v>6</v>
      </c>
      <c r="C467" s="19" t="s">
        <v>2340</v>
      </c>
      <c r="D467" s="19" t="s">
        <v>2341</v>
      </c>
      <c r="E467" s="19" t="s">
        <v>855</v>
      </c>
      <c r="F467" s="19">
        <v>2023</v>
      </c>
      <c r="G467" s="21">
        <v>0.75957070000000004</v>
      </c>
      <c r="H467" s="19" t="s">
        <v>2342</v>
      </c>
      <c r="I467" s="19" t="s">
        <v>865</v>
      </c>
      <c r="J467" s="21">
        <v>0.75957070000000004</v>
      </c>
      <c r="K467" s="19" t="s">
        <v>2343</v>
      </c>
      <c r="L467" s="19" t="s">
        <v>2344</v>
      </c>
      <c r="M467" s="19" t="s">
        <v>2345</v>
      </c>
      <c r="N467" s="19" t="s">
        <v>2463</v>
      </c>
    </row>
    <row r="468" spans="1:14">
      <c r="A468" s="19" t="s">
        <v>2462</v>
      </c>
      <c r="B468" s="19">
        <v>7</v>
      </c>
      <c r="C468" s="19" t="s">
        <v>2473</v>
      </c>
      <c r="D468" s="19" t="s">
        <v>2474</v>
      </c>
      <c r="E468" s="19" t="s">
        <v>855</v>
      </c>
      <c r="F468" s="19">
        <v>2022</v>
      </c>
      <c r="G468" s="21">
        <v>0.75545465999999994</v>
      </c>
      <c r="H468" s="19" t="s">
        <v>2475</v>
      </c>
      <c r="I468" s="19" t="s">
        <v>865</v>
      </c>
      <c r="J468" s="21">
        <v>0.75545465999999994</v>
      </c>
      <c r="K468" s="19" t="s">
        <v>2476</v>
      </c>
      <c r="L468" s="19" t="s">
        <v>2477</v>
      </c>
      <c r="M468" s="19"/>
      <c r="N468" s="19" t="s">
        <v>2463</v>
      </c>
    </row>
    <row r="469" spans="1:14">
      <c r="A469" s="19" t="s">
        <v>2462</v>
      </c>
      <c r="B469" s="19">
        <v>8</v>
      </c>
      <c r="C469" s="19" t="s">
        <v>2478</v>
      </c>
      <c r="D469" s="19" t="s">
        <v>2479</v>
      </c>
      <c r="E469" s="19" t="s">
        <v>855</v>
      </c>
      <c r="F469" s="19">
        <v>2023</v>
      </c>
      <c r="G469" s="21">
        <v>0.75367209999999996</v>
      </c>
      <c r="H469" s="19" t="s">
        <v>2480</v>
      </c>
      <c r="I469" s="19" t="s">
        <v>865</v>
      </c>
      <c r="J469" s="21">
        <v>0.75367209999999996</v>
      </c>
      <c r="K469" s="19" t="s">
        <v>2481</v>
      </c>
      <c r="L469" s="19" t="s">
        <v>2482</v>
      </c>
      <c r="M469" s="19" t="s">
        <v>2483</v>
      </c>
      <c r="N469" s="19" t="s">
        <v>2484</v>
      </c>
    </row>
    <row r="470" spans="1:14">
      <c r="A470" s="19" t="s">
        <v>2462</v>
      </c>
      <c r="B470" s="19">
        <v>9</v>
      </c>
      <c r="C470" s="19" t="s">
        <v>2323</v>
      </c>
      <c r="D470" s="19" t="s">
        <v>2324</v>
      </c>
      <c r="E470" s="19" t="s">
        <v>855</v>
      </c>
      <c r="F470" s="19">
        <v>2022</v>
      </c>
      <c r="G470" s="21">
        <v>0.75284980000000001</v>
      </c>
      <c r="H470" s="19" t="s">
        <v>2325</v>
      </c>
      <c r="I470" s="19" t="s">
        <v>865</v>
      </c>
      <c r="J470" s="21">
        <v>0.75284980000000001</v>
      </c>
      <c r="K470" s="19" t="s">
        <v>2326</v>
      </c>
      <c r="L470" s="19" t="s">
        <v>2327</v>
      </c>
      <c r="M470" s="19" t="s">
        <v>2328</v>
      </c>
      <c r="N470" s="19" t="s">
        <v>2484</v>
      </c>
    </row>
    <row r="471" spans="1:14">
      <c r="A471" s="19" t="s">
        <v>2462</v>
      </c>
      <c r="B471" s="19">
        <v>10</v>
      </c>
      <c r="C471" s="19" t="s">
        <v>2485</v>
      </c>
      <c r="D471" s="19" t="s">
        <v>2486</v>
      </c>
      <c r="E471" s="19" t="s">
        <v>855</v>
      </c>
      <c r="F471" s="19">
        <v>2023</v>
      </c>
      <c r="G471" s="21">
        <v>0.75272170000000005</v>
      </c>
      <c r="H471" s="19" t="s">
        <v>2487</v>
      </c>
      <c r="I471" s="19" t="s">
        <v>865</v>
      </c>
      <c r="J471" s="21">
        <v>0.75272170000000005</v>
      </c>
      <c r="K471" s="19" t="s">
        <v>2488</v>
      </c>
      <c r="L471" s="19" t="s">
        <v>2489</v>
      </c>
      <c r="M471" s="19" t="s">
        <v>2490</v>
      </c>
      <c r="N471" s="19" t="s">
        <v>2484</v>
      </c>
    </row>
    <row r="472" spans="1:14">
      <c r="A472" s="19" t="s">
        <v>2462</v>
      </c>
      <c r="B472" s="19">
        <v>11</v>
      </c>
      <c r="C472" s="19" t="s">
        <v>2491</v>
      </c>
      <c r="D472" s="19" t="s">
        <v>2492</v>
      </c>
      <c r="E472" s="19" t="s">
        <v>855</v>
      </c>
      <c r="F472" s="19">
        <v>2022</v>
      </c>
      <c r="G472" s="21">
        <v>0.75222829999999996</v>
      </c>
      <c r="H472" s="19" t="s">
        <v>2493</v>
      </c>
      <c r="I472" s="19" t="s">
        <v>865</v>
      </c>
      <c r="J472" s="21">
        <v>0.75222829999999996</v>
      </c>
      <c r="K472" s="19" t="s">
        <v>2494</v>
      </c>
      <c r="L472" s="19" t="s">
        <v>2495</v>
      </c>
      <c r="M472" s="19" t="s">
        <v>2492</v>
      </c>
      <c r="N472" s="19" t="s">
        <v>2484</v>
      </c>
    </row>
    <row r="473" spans="1:14">
      <c r="A473" s="19" t="s">
        <v>2462</v>
      </c>
      <c r="B473" s="19">
        <v>12</v>
      </c>
      <c r="C473" s="19" t="s">
        <v>2496</v>
      </c>
      <c r="D473" s="19" t="s">
        <v>2497</v>
      </c>
      <c r="E473" s="19" t="s">
        <v>855</v>
      </c>
      <c r="F473" s="19">
        <v>2023</v>
      </c>
      <c r="G473" s="21">
        <v>0.74950510000000004</v>
      </c>
      <c r="H473" s="19" t="s">
        <v>2498</v>
      </c>
      <c r="I473" s="19" t="s">
        <v>865</v>
      </c>
      <c r="J473" s="21">
        <v>0.74950510000000004</v>
      </c>
      <c r="K473" s="19" t="s">
        <v>2499</v>
      </c>
      <c r="L473" s="19" t="s">
        <v>2500</v>
      </c>
      <c r="M473" s="19"/>
      <c r="N473" s="19" t="s">
        <v>2484</v>
      </c>
    </row>
    <row r="474" spans="1:14">
      <c r="A474" s="19" t="s">
        <v>2462</v>
      </c>
      <c r="B474" s="19">
        <v>13</v>
      </c>
      <c r="C474" s="19" t="s">
        <v>2501</v>
      </c>
      <c r="D474" s="19" t="s">
        <v>2502</v>
      </c>
      <c r="E474" s="19" t="s">
        <v>855</v>
      </c>
      <c r="F474" s="19">
        <v>2022</v>
      </c>
      <c r="G474" s="21">
        <v>0.74939129999999998</v>
      </c>
      <c r="H474" s="19" t="s">
        <v>2503</v>
      </c>
      <c r="I474" s="19" t="s">
        <v>865</v>
      </c>
      <c r="J474" s="21">
        <v>0.74939129999999998</v>
      </c>
      <c r="K474" s="19" t="s">
        <v>2504</v>
      </c>
      <c r="L474" s="19" t="s">
        <v>2505</v>
      </c>
      <c r="M474" s="19"/>
      <c r="N474" s="19" t="s">
        <v>2484</v>
      </c>
    </row>
    <row r="475" spans="1:14">
      <c r="A475" s="19" t="s">
        <v>2462</v>
      </c>
      <c r="B475" s="19">
        <v>14</v>
      </c>
      <c r="C475" s="19" t="s">
        <v>1091</v>
      </c>
      <c r="D475" s="19" t="s">
        <v>1092</v>
      </c>
      <c r="E475" s="19" t="s">
        <v>855</v>
      </c>
      <c r="F475" s="19">
        <v>2023</v>
      </c>
      <c r="G475" s="21">
        <v>0.74837226000000001</v>
      </c>
      <c r="H475" s="19" t="s">
        <v>2506</v>
      </c>
      <c r="I475" s="19" t="s">
        <v>865</v>
      </c>
      <c r="J475" s="21">
        <v>0.74837226000000001</v>
      </c>
      <c r="K475" s="19" t="s">
        <v>2507</v>
      </c>
      <c r="L475" s="19" t="s">
        <v>2508</v>
      </c>
      <c r="M475" s="19"/>
      <c r="N475" s="19" t="s">
        <v>2484</v>
      </c>
    </row>
    <row r="476" spans="1:14">
      <c r="A476" s="19" t="s">
        <v>2462</v>
      </c>
      <c r="B476" s="19">
        <v>15</v>
      </c>
      <c r="C476" s="19" t="s">
        <v>2509</v>
      </c>
      <c r="D476" s="19" t="s">
        <v>2510</v>
      </c>
      <c r="E476" s="19" t="s">
        <v>855</v>
      </c>
      <c r="F476" s="19">
        <v>2023</v>
      </c>
      <c r="G476" s="21">
        <v>0.74793345</v>
      </c>
      <c r="H476" s="19" t="s">
        <v>2511</v>
      </c>
      <c r="I476" s="19" t="s">
        <v>865</v>
      </c>
      <c r="J476" s="21">
        <v>0.74793345</v>
      </c>
      <c r="K476" s="19" t="s">
        <v>2512</v>
      </c>
      <c r="L476" s="19" t="s">
        <v>2513</v>
      </c>
      <c r="M476" s="19" t="s">
        <v>2514</v>
      </c>
      <c r="N476" s="19" t="s">
        <v>2484</v>
      </c>
    </row>
    <row r="477" spans="1:14">
      <c r="A477" s="19" t="s">
        <v>2462</v>
      </c>
      <c r="B477" s="19">
        <v>16</v>
      </c>
      <c r="C477" s="19" t="s">
        <v>1239</v>
      </c>
      <c r="D477" s="19" t="s">
        <v>1240</v>
      </c>
      <c r="E477" s="19" t="s">
        <v>855</v>
      </c>
      <c r="F477" s="19">
        <v>2022</v>
      </c>
      <c r="G477" s="21">
        <v>0.74744520000000003</v>
      </c>
      <c r="H477" s="19" t="s">
        <v>1241</v>
      </c>
      <c r="I477" s="19" t="s">
        <v>865</v>
      </c>
      <c r="J477" s="21">
        <v>0.74744520000000003</v>
      </c>
      <c r="K477" s="19" t="s">
        <v>1242</v>
      </c>
      <c r="L477" s="19" t="s">
        <v>1243</v>
      </c>
      <c r="M477" s="19" t="s">
        <v>1244</v>
      </c>
      <c r="N477" s="19" t="s">
        <v>2484</v>
      </c>
    </row>
    <row r="478" spans="1:14">
      <c r="A478" s="19" t="s">
        <v>2462</v>
      </c>
      <c r="B478" s="19">
        <v>17</v>
      </c>
      <c r="C478" s="19" t="s">
        <v>1051</v>
      </c>
      <c r="D478" s="19" t="s">
        <v>1052</v>
      </c>
      <c r="E478" s="19" t="s">
        <v>855</v>
      </c>
      <c r="F478" s="19">
        <v>2022</v>
      </c>
      <c r="G478" s="21">
        <v>0.74730145999999997</v>
      </c>
      <c r="H478" s="19" t="s">
        <v>2515</v>
      </c>
      <c r="I478" s="19" t="s">
        <v>865</v>
      </c>
      <c r="J478" s="21">
        <v>0.74730145999999997</v>
      </c>
      <c r="K478" s="19" t="s">
        <v>2516</v>
      </c>
      <c r="L478" s="19" t="s">
        <v>2517</v>
      </c>
      <c r="M478" s="19"/>
      <c r="N478" s="19" t="s">
        <v>2484</v>
      </c>
    </row>
    <row r="479" spans="1:14">
      <c r="A479" s="19" t="s">
        <v>2462</v>
      </c>
      <c r="B479" s="19">
        <v>18</v>
      </c>
      <c r="C479" s="19" t="s">
        <v>2518</v>
      </c>
      <c r="D479" s="19" t="s">
        <v>2519</v>
      </c>
      <c r="E479" s="19" t="s">
        <v>855</v>
      </c>
      <c r="F479" s="19">
        <v>2022</v>
      </c>
      <c r="G479" s="21">
        <v>0.74462914000000002</v>
      </c>
      <c r="H479" s="19" t="s">
        <v>2520</v>
      </c>
      <c r="I479" s="19" t="s">
        <v>865</v>
      </c>
      <c r="J479" s="21">
        <v>0.74462914000000002</v>
      </c>
      <c r="K479" s="19" t="s">
        <v>2521</v>
      </c>
      <c r="L479" s="19" t="s">
        <v>2522</v>
      </c>
      <c r="M479" s="19"/>
      <c r="N479" s="19" t="s">
        <v>2523</v>
      </c>
    </row>
    <row r="480" spans="1:14">
      <c r="A480" s="19" t="s">
        <v>2462</v>
      </c>
      <c r="B480" s="19">
        <v>19</v>
      </c>
      <c r="C480" s="19" t="s">
        <v>2524</v>
      </c>
      <c r="D480" s="19" t="s">
        <v>2525</v>
      </c>
      <c r="E480" s="19" t="s">
        <v>855</v>
      </c>
      <c r="F480" s="19">
        <v>2023</v>
      </c>
      <c r="G480" s="21">
        <v>0.73434219999999994</v>
      </c>
      <c r="H480" s="19" t="s">
        <v>2526</v>
      </c>
      <c r="I480" s="19" t="s">
        <v>865</v>
      </c>
      <c r="J480" s="21">
        <v>0.73434219999999994</v>
      </c>
      <c r="K480" s="19" t="s">
        <v>2527</v>
      </c>
      <c r="L480" s="19" t="s">
        <v>2528</v>
      </c>
      <c r="M480" s="19"/>
      <c r="N480" s="19" t="s">
        <v>2529</v>
      </c>
    </row>
    <row r="481" spans="1:14">
      <c r="A481" s="19" t="s">
        <v>2462</v>
      </c>
      <c r="B481" s="19">
        <v>20</v>
      </c>
      <c r="C481" s="19" t="s">
        <v>2530</v>
      </c>
      <c r="D481" s="19" t="s">
        <v>2531</v>
      </c>
      <c r="E481" s="19" t="s">
        <v>855</v>
      </c>
      <c r="F481" s="19">
        <v>2014</v>
      </c>
      <c r="G481" s="21">
        <v>0.72906110000000002</v>
      </c>
      <c r="H481" s="19" t="s">
        <v>2532</v>
      </c>
      <c r="I481" s="19" t="s">
        <v>857</v>
      </c>
      <c r="J481" s="21">
        <v>0.72906110000000002</v>
      </c>
      <c r="K481" s="19" t="s">
        <v>2533</v>
      </c>
      <c r="L481" s="19" t="s">
        <v>2534</v>
      </c>
      <c r="M481" s="19"/>
      <c r="N481" s="19" t="s">
        <v>2041</v>
      </c>
    </row>
    <row r="482" spans="1:14">
      <c r="A482" s="19" t="s">
        <v>2535</v>
      </c>
      <c r="B482" s="19">
        <v>1</v>
      </c>
      <c r="C482" s="19" t="s">
        <v>2301</v>
      </c>
      <c r="D482" s="19" t="s">
        <v>2302</v>
      </c>
      <c r="E482" s="19" t="s">
        <v>855</v>
      </c>
      <c r="F482" s="19">
        <v>2022</v>
      </c>
      <c r="G482" s="21">
        <v>0.76349800000000001</v>
      </c>
      <c r="H482" s="19" t="s">
        <v>2303</v>
      </c>
      <c r="I482" s="19" t="s">
        <v>865</v>
      </c>
      <c r="J482" s="21">
        <v>0.76349800000000001</v>
      </c>
      <c r="K482" s="19" t="s">
        <v>2304</v>
      </c>
      <c r="L482" s="19" t="s">
        <v>2305</v>
      </c>
      <c r="M482" s="19" t="s">
        <v>2306</v>
      </c>
      <c r="N482" s="19" t="s">
        <v>2463</v>
      </c>
    </row>
    <row r="483" spans="1:14">
      <c r="A483" s="19" t="s">
        <v>2535</v>
      </c>
      <c r="B483" s="19">
        <v>2</v>
      </c>
      <c r="C483" s="19" t="s">
        <v>2268</v>
      </c>
      <c r="D483" s="19" t="s">
        <v>2269</v>
      </c>
      <c r="E483" s="19" t="s">
        <v>855</v>
      </c>
      <c r="F483" s="19">
        <v>2023</v>
      </c>
      <c r="G483" s="21">
        <v>0.76075696999999998</v>
      </c>
      <c r="H483" s="19" t="s">
        <v>2464</v>
      </c>
      <c r="I483" s="19" t="s">
        <v>865</v>
      </c>
      <c r="J483" s="21">
        <v>0.76075696999999998</v>
      </c>
      <c r="K483" s="19" t="s">
        <v>2465</v>
      </c>
      <c r="L483" s="19" t="s">
        <v>2466</v>
      </c>
      <c r="M483" s="19" t="s">
        <v>2467</v>
      </c>
      <c r="N483" s="19" t="s">
        <v>2463</v>
      </c>
    </row>
    <row r="484" spans="1:14">
      <c r="A484" s="19" t="s">
        <v>2535</v>
      </c>
      <c r="B484" s="19">
        <v>3</v>
      </c>
      <c r="C484" s="19" t="s">
        <v>1245</v>
      </c>
      <c r="D484" s="19" t="s">
        <v>1246</v>
      </c>
      <c r="E484" s="19" t="s">
        <v>855</v>
      </c>
      <c r="F484" s="19">
        <v>2022</v>
      </c>
      <c r="G484" s="21">
        <v>0.76036893999999999</v>
      </c>
      <c r="H484" s="19" t="s">
        <v>1247</v>
      </c>
      <c r="I484" s="19" t="s">
        <v>865</v>
      </c>
      <c r="J484" s="21">
        <v>0.76036893999999999</v>
      </c>
      <c r="K484" s="19" t="s">
        <v>1248</v>
      </c>
      <c r="L484" s="19" t="s">
        <v>1249</v>
      </c>
      <c r="M484" s="19" t="s">
        <v>1250</v>
      </c>
      <c r="N484" s="19" t="s">
        <v>2463</v>
      </c>
    </row>
    <row r="485" spans="1:14">
      <c r="A485" s="19" t="s">
        <v>2535</v>
      </c>
      <c r="B485" s="19">
        <v>4</v>
      </c>
      <c r="C485" s="19" t="s">
        <v>2468</v>
      </c>
      <c r="D485" s="19" t="s">
        <v>2469</v>
      </c>
      <c r="E485" s="19" t="s">
        <v>855</v>
      </c>
      <c r="F485" s="19">
        <v>2023</v>
      </c>
      <c r="G485" s="21">
        <v>0.76027906000000001</v>
      </c>
      <c r="H485" s="19" t="s">
        <v>2470</v>
      </c>
      <c r="I485" s="19" t="s">
        <v>865</v>
      </c>
      <c r="J485" s="21">
        <v>0.76027906000000001</v>
      </c>
      <c r="K485" s="19" t="s">
        <v>2471</v>
      </c>
      <c r="L485" s="19" t="s">
        <v>2472</v>
      </c>
      <c r="M485" s="19"/>
      <c r="N485" s="19" t="s">
        <v>2463</v>
      </c>
    </row>
    <row r="486" spans="1:14">
      <c r="A486" s="19" t="s">
        <v>2535</v>
      </c>
      <c r="B486" s="19">
        <v>5</v>
      </c>
      <c r="C486" s="19" t="s">
        <v>2153</v>
      </c>
      <c r="D486" s="19" t="s">
        <v>810</v>
      </c>
      <c r="E486" s="19" t="s">
        <v>855</v>
      </c>
      <c r="F486" s="19">
        <v>2022</v>
      </c>
      <c r="G486" s="21">
        <v>0.76026139999999998</v>
      </c>
      <c r="H486" s="19" t="s">
        <v>2313</v>
      </c>
      <c r="I486" s="19" t="s">
        <v>865</v>
      </c>
      <c r="J486" s="21">
        <v>0.76026139999999998</v>
      </c>
      <c r="K486" s="19" t="s">
        <v>2314</v>
      </c>
      <c r="L486" s="19" t="s">
        <v>2315</v>
      </c>
      <c r="M486" s="19" t="s">
        <v>2316</v>
      </c>
      <c r="N486" s="19" t="s">
        <v>2463</v>
      </c>
    </row>
    <row r="487" spans="1:14">
      <c r="A487" s="19" t="s">
        <v>2535</v>
      </c>
      <c r="B487" s="19">
        <v>6</v>
      </c>
      <c r="C487" s="19" t="s">
        <v>2340</v>
      </c>
      <c r="D487" s="19" t="s">
        <v>2341</v>
      </c>
      <c r="E487" s="19" t="s">
        <v>855</v>
      </c>
      <c r="F487" s="19">
        <v>2023</v>
      </c>
      <c r="G487" s="21">
        <v>0.75928956000000003</v>
      </c>
      <c r="H487" s="19" t="s">
        <v>2342</v>
      </c>
      <c r="I487" s="19" t="s">
        <v>865</v>
      </c>
      <c r="J487" s="21">
        <v>0.75928956000000003</v>
      </c>
      <c r="K487" s="19" t="s">
        <v>2343</v>
      </c>
      <c r="L487" s="19" t="s">
        <v>2344</v>
      </c>
      <c r="M487" s="19" t="s">
        <v>2345</v>
      </c>
      <c r="N487" s="19" t="s">
        <v>2463</v>
      </c>
    </row>
    <row r="488" spans="1:14">
      <c r="A488" s="19" t="s">
        <v>2535</v>
      </c>
      <c r="B488" s="19">
        <v>7</v>
      </c>
      <c r="C488" s="19" t="s">
        <v>2473</v>
      </c>
      <c r="D488" s="19" t="s">
        <v>2474</v>
      </c>
      <c r="E488" s="19" t="s">
        <v>855</v>
      </c>
      <c r="F488" s="19">
        <v>2022</v>
      </c>
      <c r="G488" s="21">
        <v>0.75525206</v>
      </c>
      <c r="H488" s="19" t="s">
        <v>2475</v>
      </c>
      <c r="I488" s="19" t="s">
        <v>865</v>
      </c>
      <c r="J488" s="21">
        <v>0.75525206</v>
      </c>
      <c r="K488" s="19" t="s">
        <v>2476</v>
      </c>
      <c r="L488" s="19" t="s">
        <v>2477</v>
      </c>
      <c r="M488" s="19"/>
      <c r="N488" s="19" t="s">
        <v>2463</v>
      </c>
    </row>
    <row r="489" spans="1:14">
      <c r="A489" s="19" t="s">
        <v>2535</v>
      </c>
      <c r="B489" s="19">
        <v>8</v>
      </c>
      <c r="C489" s="19" t="s">
        <v>2478</v>
      </c>
      <c r="D489" s="19" t="s">
        <v>2479</v>
      </c>
      <c r="E489" s="19" t="s">
        <v>855</v>
      </c>
      <c r="F489" s="19">
        <v>2023</v>
      </c>
      <c r="G489" s="21">
        <v>0.75349677000000004</v>
      </c>
      <c r="H489" s="19" t="s">
        <v>2480</v>
      </c>
      <c r="I489" s="19" t="s">
        <v>865</v>
      </c>
      <c r="J489" s="21">
        <v>0.75349677000000004</v>
      </c>
      <c r="K489" s="19" t="s">
        <v>2481</v>
      </c>
      <c r="L489" s="19" t="s">
        <v>2482</v>
      </c>
      <c r="M489" s="19" t="s">
        <v>2483</v>
      </c>
      <c r="N489" s="19" t="s">
        <v>2484</v>
      </c>
    </row>
    <row r="490" spans="1:14">
      <c r="A490" s="19" t="s">
        <v>2535</v>
      </c>
      <c r="B490" s="19">
        <v>9</v>
      </c>
      <c r="C490" s="19" t="s">
        <v>2323</v>
      </c>
      <c r="D490" s="19" t="s">
        <v>2324</v>
      </c>
      <c r="E490" s="19" t="s">
        <v>855</v>
      </c>
      <c r="F490" s="19">
        <v>2022</v>
      </c>
      <c r="G490" s="21">
        <v>0.75268179999999996</v>
      </c>
      <c r="H490" s="19" t="s">
        <v>2325</v>
      </c>
      <c r="I490" s="19" t="s">
        <v>865</v>
      </c>
      <c r="J490" s="21">
        <v>0.75268179999999996</v>
      </c>
      <c r="K490" s="19" t="s">
        <v>2326</v>
      </c>
      <c r="L490" s="19" t="s">
        <v>2327</v>
      </c>
      <c r="M490" s="19" t="s">
        <v>2328</v>
      </c>
      <c r="N490" s="19" t="s">
        <v>2484</v>
      </c>
    </row>
    <row r="491" spans="1:14">
      <c r="A491" s="19" t="s">
        <v>2535</v>
      </c>
      <c r="B491" s="19">
        <v>10</v>
      </c>
      <c r="C491" s="19" t="s">
        <v>2485</v>
      </c>
      <c r="D491" s="19" t="s">
        <v>2486</v>
      </c>
      <c r="E491" s="19" t="s">
        <v>855</v>
      </c>
      <c r="F491" s="19">
        <v>2023</v>
      </c>
      <c r="G491" s="21">
        <v>0.75244456999999998</v>
      </c>
      <c r="H491" s="19" t="s">
        <v>2487</v>
      </c>
      <c r="I491" s="19" t="s">
        <v>865</v>
      </c>
      <c r="J491" s="21">
        <v>0.75244456999999998</v>
      </c>
      <c r="K491" s="19" t="s">
        <v>2488</v>
      </c>
      <c r="L491" s="19" t="s">
        <v>2489</v>
      </c>
      <c r="M491" s="19" t="s">
        <v>2490</v>
      </c>
      <c r="N491" s="19" t="s">
        <v>2484</v>
      </c>
    </row>
    <row r="492" spans="1:14">
      <c r="A492" s="19" t="s">
        <v>2535</v>
      </c>
      <c r="B492" s="19">
        <v>11</v>
      </c>
      <c r="C492" s="19" t="s">
        <v>2491</v>
      </c>
      <c r="D492" s="19" t="s">
        <v>2492</v>
      </c>
      <c r="E492" s="19" t="s">
        <v>855</v>
      </c>
      <c r="F492" s="19">
        <v>2022</v>
      </c>
      <c r="G492" s="21">
        <v>0.75207210000000002</v>
      </c>
      <c r="H492" s="19" t="s">
        <v>2493</v>
      </c>
      <c r="I492" s="19" t="s">
        <v>865</v>
      </c>
      <c r="J492" s="21">
        <v>0.75207210000000002</v>
      </c>
      <c r="K492" s="19" t="s">
        <v>2494</v>
      </c>
      <c r="L492" s="19" t="s">
        <v>2495</v>
      </c>
      <c r="M492" s="19" t="s">
        <v>2492</v>
      </c>
      <c r="N492" s="19" t="s">
        <v>2484</v>
      </c>
    </row>
    <row r="493" spans="1:14">
      <c r="A493" s="19" t="s">
        <v>2535</v>
      </c>
      <c r="B493" s="19">
        <v>12</v>
      </c>
      <c r="C493" s="19" t="s">
        <v>2496</v>
      </c>
      <c r="D493" s="19" t="s">
        <v>2497</v>
      </c>
      <c r="E493" s="19" t="s">
        <v>855</v>
      </c>
      <c r="F493" s="19">
        <v>2023</v>
      </c>
      <c r="G493" s="21">
        <v>0.74934226000000004</v>
      </c>
      <c r="H493" s="19" t="s">
        <v>2498</v>
      </c>
      <c r="I493" s="19" t="s">
        <v>865</v>
      </c>
      <c r="J493" s="21">
        <v>0.74934226000000004</v>
      </c>
      <c r="K493" s="19" t="s">
        <v>2499</v>
      </c>
      <c r="L493" s="19" t="s">
        <v>2500</v>
      </c>
      <c r="M493" s="19"/>
      <c r="N493" s="19" t="s">
        <v>2484</v>
      </c>
    </row>
    <row r="494" spans="1:14">
      <c r="A494" s="19" t="s">
        <v>2535</v>
      </c>
      <c r="B494" s="19">
        <v>13</v>
      </c>
      <c r="C494" s="19" t="s">
        <v>2501</v>
      </c>
      <c r="D494" s="19" t="s">
        <v>2502</v>
      </c>
      <c r="E494" s="19" t="s">
        <v>855</v>
      </c>
      <c r="F494" s="19">
        <v>2022</v>
      </c>
      <c r="G494" s="21">
        <v>0.74920580000000003</v>
      </c>
      <c r="H494" s="19" t="s">
        <v>2503</v>
      </c>
      <c r="I494" s="19" t="s">
        <v>865</v>
      </c>
      <c r="J494" s="21">
        <v>0.74920580000000003</v>
      </c>
      <c r="K494" s="19" t="s">
        <v>2504</v>
      </c>
      <c r="L494" s="19" t="s">
        <v>2505</v>
      </c>
      <c r="M494" s="19"/>
      <c r="N494" s="19" t="s">
        <v>2484</v>
      </c>
    </row>
    <row r="495" spans="1:14">
      <c r="A495" s="19" t="s">
        <v>2535</v>
      </c>
      <c r="B495" s="19">
        <v>14</v>
      </c>
      <c r="C495" s="19" t="s">
        <v>1091</v>
      </c>
      <c r="D495" s="19" t="s">
        <v>1092</v>
      </c>
      <c r="E495" s="19" t="s">
        <v>855</v>
      </c>
      <c r="F495" s="19">
        <v>2023</v>
      </c>
      <c r="G495" s="21">
        <v>0.748224</v>
      </c>
      <c r="H495" s="19" t="s">
        <v>2506</v>
      </c>
      <c r="I495" s="19" t="s">
        <v>865</v>
      </c>
      <c r="J495" s="21">
        <v>0.748224</v>
      </c>
      <c r="K495" s="19" t="s">
        <v>2507</v>
      </c>
      <c r="L495" s="19" t="s">
        <v>2508</v>
      </c>
      <c r="M495" s="19"/>
      <c r="N495" s="19" t="s">
        <v>2484</v>
      </c>
    </row>
    <row r="496" spans="1:14">
      <c r="A496" s="19" t="s">
        <v>2535</v>
      </c>
      <c r="B496" s="19">
        <v>15</v>
      </c>
      <c r="C496" s="19" t="s">
        <v>2509</v>
      </c>
      <c r="D496" s="19" t="s">
        <v>2510</v>
      </c>
      <c r="E496" s="19" t="s">
        <v>855</v>
      </c>
      <c r="F496" s="19">
        <v>2023</v>
      </c>
      <c r="G496" s="21">
        <v>0.74773836000000005</v>
      </c>
      <c r="H496" s="19" t="s">
        <v>2511</v>
      </c>
      <c r="I496" s="19" t="s">
        <v>865</v>
      </c>
      <c r="J496" s="21">
        <v>0.74773836000000005</v>
      </c>
      <c r="K496" s="19" t="s">
        <v>2512</v>
      </c>
      <c r="L496" s="19" t="s">
        <v>2513</v>
      </c>
      <c r="M496" s="19" t="s">
        <v>2514</v>
      </c>
      <c r="N496" s="19" t="s">
        <v>2484</v>
      </c>
    </row>
    <row r="497" spans="1:14">
      <c r="A497" s="19" t="s">
        <v>2535</v>
      </c>
      <c r="B497" s="19">
        <v>16</v>
      </c>
      <c r="C497" s="19" t="s">
        <v>1239</v>
      </c>
      <c r="D497" s="19" t="s">
        <v>1240</v>
      </c>
      <c r="E497" s="19" t="s">
        <v>855</v>
      </c>
      <c r="F497" s="19">
        <v>2022</v>
      </c>
      <c r="G497" s="21">
        <v>0.74726499999999996</v>
      </c>
      <c r="H497" s="19" t="s">
        <v>1241</v>
      </c>
      <c r="I497" s="19" t="s">
        <v>865</v>
      </c>
      <c r="J497" s="21">
        <v>0.74726499999999996</v>
      </c>
      <c r="K497" s="19" t="s">
        <v>1242</v>
      </c>
      <c r="L497" s="19" t="s">
        <v>1243</v>
      </c>
      <c r="M497" s="19" t="s">
        <v>1244</v>
      </c>
      <c r="N497" s="19" t="s">
        <v>2484</v>
      </c>
    </row>
    <row r="498" spans="1:14">
      <c r="A498" s="19" t="s">
        <v>2535</v>
      </c>
      <c r="B498" s="19">
        <v>17</v>
      </c>
      <c r="C498" s="19" t="s">
        <v>1051</v>
      </c>
      <c r="D498" s="19" t="s">
        <v>1052</v>
      </c>
      <c r="E498" s="19" t="s">
        <v>855</v>
      </c>
      <c r="F498" s="19">
        <v>2022</v>
      </c>
      <c r="G498" s="21">
        <v>0.74709283999999998</v>
      </c>
      <c r="H498" s="19" t="s">
        <v>2515</v>
      </c>
      <c r="I498" s="19" t="s">
        <v>865</v>
      </c>
      <c r="J498" s="21">
        <v>0.74709283999999998</v>
      </c>
      <c r="K498" s="19" t="s">
        <v>2516</v>
      </c>
      <c r="L498" s="19" t="s">
        <v>2517</v>
      </c>
      <c r="M498" s="19"/>
      <c r="N498" s="19" t="s">
        <v>2484</v>
      </c>
    </row>
    <row r="499" spans="1:14">
      <c r="A499" s="19" t="s">
        <v>2535</v>
      </c>
      <c r="B499" s="19">
        <v>18</v>
      </c>
      <c r="C499" s="19" t="s">
        <v>2518</v>
      </c>
      <c r="D499" s="19" t="s">
        <v>2519</v>
      </c>
      <c r="E499" s="19" t="s">
        <v>855</v>
      </c>
      <c r="F499" s="19">
        <v>2022</v>
      </c>
      <c r="G499" s="21">
        <v>0.74437390000000003</v>
      </c>
      <c r="H499" s="19" t="s">
        <v>2520</v>
      </c>
      <c r="I499" s="19" t="s">
        <v>865</v>
      </c>
      <c r="J499" s="21">
        <v>0.74437390000000003</v>
      </c>
      <c r="K499" s="19" t="s">
        <v>2521</v>
      </c>
      <c r="L499" s="19" t="s">
        <v>2522</v>
      </c>
      <c r="M499" s="19"/>
      <c r="N499" s="19" t="s">
        <v>2523</v>
      </c>
    </row>
    <row r="500" spans="1:14">
      <c r="A500" s="19" t="s">
        <v>2535</v>
      </c>
      <c r="B500" s="19">
        <v>19</v>
      </c>
      <c r="C500" s="19" t="s">
        <v>2524</v>
      </c>
      <c r="D500" s="19" t="s">
        <v>2525</v>
      </c>
      <c r="E500" s="19" t="s">
        <v>855</v>
      </c>
      <c r="F500" s="19">
        <v>2023</v>
      </c>
      <c r="G500" s="21">
        <v>0.73429670000000002</v>
      </c>
      <c r="H500" s="19" t="s">
        <v>2526</v>
      </c>
      <c r="I500" s="19" t="s">
        <v>865</v>
      </c>
      <c r="J500" s="21">
        <v>0.73429670000000002</v>
      </c>
      <c r="K500" s="19" t="s">
        <v>2527</v>
      </c>
      <c r="L500" s="19" t="s">
        <v>2528</v>
      </c>
      <c r="M500" s="19"/>
      <c r="N500" s="19" t="s">
        <v>2529</v>
      </c>
    </row>
    <row r="501" spans="1:14">
      <c r="A501" s="19" t="s">
        <v>2535</v>
      </c>
      <c r="B501" s="19">
        <v>20</v>
      </c>
      <c r="C501" s="19" t="s">
        <v>2530</v>
      </c>
      <c r="D501" s="19" t="s">
        <v>2531</v>
      </c>
      <c r="E501" s="19" t="s">
        <v>855</v>
      </c>
      <c r="F501" s="19">
        <v>2014</v>
      </c>
      <c r="G501" s="21">
        <v>0.72912619999999995</v>
      </c>
      <c r="H501" s="19" t="s">
        <v>2532</v>
      </c>
      <c r="I501" s="19" t="s">
        <v>857</v>
      </c>
      <c r="J501" s="21">
        <v>0.72912619999999995</v>
      </c>
      <c r="K501" s="19" t="s">
        <v>2533</v>
      </c>
      <c r="L501" s="19" t="s">
        <v>2534</v>
      </c>
      <c r="M501" s="19"/>
      <c r="N501" s="19" t="s">
        <v>2041</v>
      </c>
    </row>
    <row r="502" spans="1:14">
      <c r="A502" s="19" t="s">
        <v>2536</v>
      </c>
      <c r="B502" s="19">
        <v>1</v>
      </c>
      <c r="C502" s="19" t="s">
        <v>2301</v>
      </c>
      <c r="D502" s="19" t="s">
        <v>2302</v>
      </c>
      <c r="E502" s="19" t="s">
        <v>855</v>
      </c>
      <c r="F502" s="19">
        <v>2022</v>
      </c>
      <c r="G502" s="21">
        <v>0.76366219999999996</v>
      </c>
      <c r="H502" s="19" t="s">
        <v>2303</v>
      </c>
      <c r="I502" s="19" t="s">
        <v>865</v>
      </c>
      <c r="J502" s="21">
        <v>0.76366219999999996</v>
      </c>
      <c r="K502" s="19" t="s">
        <v>2304</v>
      </c>
      <c r="L502" s="19" t="s">
        <v>2305</v>
      </c>
      <c r="M502" s="19" t="s">
        <v>2306</v>
      </c>
      <c r="N502" s="19" t="s">
        <v>2463</v>
      </c>
    </row>
    <row r="503" spans="1:14">
      <c r="A503" s="19" t="s">
        <v>2536</v>
      </c>
      <c r="B503" s="19">
        <v>2</v>
      </c>
      <c r="C503" s="19" t="s">
        <v>2268</v>
      </c>
      <c r="D503" s="19" t="s">
        <v>2269</v>
      </c>
      <c r="E503" s="19" t="s">
        <v>855</v>
      </c>
      <c r="F503" s="19">
        <v>2023</v>
      </c>
      <c r="G503" s="21">
        <v>0.76100800000000002</v>
      </c>
      <c r="H503" s="19" t="s">
        <v>2464</v>
      </c>
      <c r="I503" s="19" t="s">
        <v>865</v>
      </c>
      <c r="J503" s="21">
        <v>0.76100800000000002</v>
      </c>
      <c r="K503" s="19" t="s">
        <v>2465</v>
      </c>
      <c r="L503" s="19" t="s">
        <v>2466</v>
      </c>
      <c r="M503" s="19" t="s">
        <v>2467</v>
      </c>
      <c r="N503" s="19" t="s">
        <v>2463</v>
      </c>
    </row>
    <row r="504" spans="1:14">
      <c r="A504" s="19" t="s">
        <v>2536</v>
      </c>
      <c r="B504" s="19">
        <v>3</v>
      </c>
      <c r="C504" s="19" t="s">
        <v>1245</v>
      </c>
      <c r="D504" s="19" t="s">
        <v>1246</v>
      </c>
      <c r="E504" s="19" t="s">
        <v>855</v>
      </c>
      <c r="F504" s="19">
        <v>2022</v>
      </c>
      <c r="G504" s="21">
        <v>0.76048994000000003</v>
      </c>
      <c r="H504" s="19" t="s">
        <v>1247</v>
      </c>
      <c r="I504" s="19" t="s">
        <v>865</v>
      </c>
      <c r="J504" s="21">
        <v>0.76048994000000003</v>
      </c>
      <c r="K504" s="19" t="s">
        <v>1248</v>
      </c>
      <c r="L504" s="19" t="s">
        <v>1249</v>
      </c>
      <c r="M504" s="19" t="s">
        <v>1250</v>
      </c>
      <c r="N504" s="19" t="s">
        <v>2463</v>
      </c>
    </row>
    <row r="505" spans="1:14">
      <c r="A505" s="19" t="s">
        <v>2536</v>
      </c>
      <c r="B505" s="19">
        <v>4</v>
      </c>
      <c r="C505" s="19" t="s">
        <v>2468</v>
      </c>
      <c r="D505" s="19" t="s">
        <v>2469</v>
      </c>
      <c r="E505" s="19" t="s">
        <v>855</v>
      </c>
      <c r="F505" s="19">
        <v>2023</v>
      </c>
      <c r="G505" s="21">
        <v>0.76046970000000003</v>
      </c>
      <c r="H505" s="19" t="s">
        <v>2470</v>
      </c>
      <c r="I505" s="19" t="s">
        <v>865</v>
      </c>
      <c r="J505" s="21">
        <v>0.76046970000000003</v>
      </c>
      <c r="K505" s="19" t="s">
        <v>2471</v>
      </c>
      <c r="L505" s="19" t="s">
        <v>2472</v>
      </c>
      <c r="M505" s="19"/>
      <c r="N505" s="19" t="s">
        <v>2463</v>
      </c>
    </row>
    <row r="506" spans="1:14">
      <c r="A506" s="19" t="s">
        <v>2536</v>
      </c>
      <c r="B506" s="19">
        <v>5</v>
      </c>
      <c r="C506" s="19" t="s">
        <v>2153</v>
      </c>
      <c r="D506" s="19" t="s">
        <v>810</v>
      </c>
      <c r="E506" s="19" t="s">
        <v>855</v>
      </c>
      <c r="F506" s="19">
        <v>2022</v>
      </c>
      <c r="G506" s="21">
        <v>0.76037573999999997</v>
      </c>
      <c r="H506" s="19" t="s">
        <v>2313</v>
      </c>
      <c r="I506" s="19" t="s">
        <v>865</v>
      </c>
      <c r="J506" s="21">
        <v>0.76037573999999997</v>
      </c>
      <c r="K506" s="19" t="s">
        <v>2314</v>
      </c>
      <c r="L506" s="19" t="s">
        <v>2315</v>
      </c>
      <c r="M506" s="19" t="s">
        <v>2316</v>
      </c>
      <c r="N506" s="19" t="s">
        <v>2463</v>
      </c>
    </row>
    <row r="507" spans="1:14">
      <c r="A507" s="19" t="s">
        <v>2536</v>
      </c>
      <c r="B507" s="19">
        <v>6</v>
      </c>
      <c r="C507" s="19" t="s">
        <v>2340</v>
      </c>
      <c r="D507" s="19" t="s">
        <v>2341</v>
      </c>
      <c r="E507" s="19" t="s">
        <v>855</v>
      </c>
      <c r="F507" s="19">
        <v>2023</v>
      </c>
      <c r="G507" s="21">
        <v>0.75957070000000004</v>
      </c>
      <c r="H507" s="19" t="s">
        <v>2342</v>
      </c>
      <c r="I507" s="19" t="s">
        <v>865</v>
      </c>
      <c r="J507" s="21">
        <v>0.75957070000000004</v>
      </c>
      <c r="K507" s="19" t="s">
        <v>2343</v>
      </c>
      <c r="L507" s="19" t="s">
        <v>2344</v>
      </c>
      <c r="M507" s="19" t="s">
        <v>2345</v>
      </c>
      <c r="N507" s="19" t="s">
        <v>2463</v>
      </c>
    </row>
    <row r="508" spans="1:14">
      <c r="A508" s="19" t="s">
        <v>2536</v>
      </c>
      <c r="B508" s="19">
        <v>7</v>
      </c>
      <c r="C508" s="19" t="s">
        <v>2473</v>
      </c>
      <c r="D508" s="19" t="s">
        <v>2474</v>
      </c>
      <c r="E508" s="19" t="s">
        <v>855</v>
      </c>
      <c r="F508" s="19">
        <v>2022</v>
      </c>
      <c r="G508" s="21">
        <v>0.75545465999999994</v>
      </c>
      <c r="H508" s="19" t="s">
        <v>2475</v>
      </c>
      <c r="I508" s="19" t="s">
        <v>865</v>
      </c>
      <c r="J508" s="21">
        <v>0.75545465999999994</v>
      </c>
      <c r="K508" s="19" t="s">
        <v>2476</v>
      </c>
      <c r="L508" s="19" t="s">
        <v>2477</v>
      </c>
      <c r="M508" s="19"/>
      <c r="N508" s="19" t="s">
        <v>2463</v>
      </c>
    </row>
    <row r="509" spans="1:14">
      <c r="A509" s="19" t="s">
        <v>2536</v>
      </c>
      <c r="B509" s="19">
        <v>8</v>
      </c>
      <c r="C509" s="19" t="s">
        <v>2478</v>
      </c>
      <c r="D509" s="19" t="s">
        <v>2479</v>
      </c>
      <c r="E509" s="19" t="s">
        <v>855</v>
      </c>
      <c r="F509" s="19">
        <v>2023</v>
      </c>
      <c r="G509" s="21">
        <v>0.75367209999999996</v>
      </c>
      <c r="H509" s="19" t="s">
        <v>2480</v>
      </c>
      <c r="I509" s="19" t="s">
        <v>865</v>
      </c>
      <c r="J509" s="21">
        <v>0.75367209999999996</v>
      </c>
      <c r="K509" s="19" t="s">
        <v>2481</v>
      </c>
      <c r="L509" s="19" t="s">
        <v>2482</v>
      </c>
      <c r="M509" s="19" t="s">
        <v>2483</v>
      </c>
      <c r="N509" s="19" t="s">
        <v>2484</v>
      </c>
    </row>
    <row r="510" spans="1:14">
      <c r="A510" s="19" t="s">
        <v>2536</v>
      </c>
      <c r="B510" s="19">
        <v>9</v>
      </c>
      <c r="C510" s="19" t="s">
        <v>2323</v>
      </c>
      <c r="D510" s="19" t="s">
        <v>2324</v>
      </c>
      <c r="E510" s="19" t="s">
        <v>855</v>
      </c>
      <c r="F510" s="19">
        <v>2022</v>
      </c>
      <c r="G510" s="21">
        <v>0.75284980000000001</v>
      </c>
      <c r="H510" s="19" t="s">
        <v>2325</v>
      </c>
      <c r="I510" s="19" t="s">
        <v>865</v>
      </c>
      <c r="J510" s="21">
        <v>0.75284980000000001</v>
      </c>
      <c r="K510" s="19" t="s">
        <v>2326</v>
      </c>
      <c r="L510" s="19" t="s">
        <v>2327</v>
      </c>
      <c r="M510" s="19" t="s">
        <v>2328</v>
      </c>
      <c r="N510" s="19" t="s">
        <v>2484</v>
      </c>
    </row>
    <row r="511" spans="1:14">
      <c r="A511" s="19" t="s">
        <v>2536</v>
      </c>
      <c r="B511" s="19">
        <v>10</v>
      </c>
      <c r="C511" s="19" t="s">
        <v>2485</v>
      </c>
      <c r="D511" s="19" t="s">
        <v>2486</v>
      </c>
      <c r="E511" s="19" t="s">
        <v>855</v>
      </c>
      <c r="F511" s="19">
        <v>2023</v>
      </c>
      <c r="G511" s="21">
        <v>0.75272170000000005</v>
      </c>
      <c r="H511" s="19" t="s">
        <v>2487</v>
      </c>
      <c r="I511" s="19" t="s">
        <v>865</v>
      </c>
      <c r="J511" s="21">
        <v>0.75272170000000005</v>
      </c>
      <c r="K511" s="19" t="s">
        <v>2488</v>
      </c>
      <c r="L511" s="19" t="s">
        <v>2489</v>
      </c>
      <c r="M511" s="19" t="s">
        <v>2490</v>
      </c>
      <c r="N511" s="19" t="s">
        <v>2484</v>
      </c>
    </row>
    <row r="512" spans="1:14">
      <c r="A512" s="19" t="s">
        <v>2536</v>
      </c>
      <c r="B512" s="19">
        <v>11</v>
      </c>
      <c r="C512" s="19" t="s">
        <v>2491</v>
      </c>
      <c r="D512" s="19" t="s">
        <v>2492</v>
      </c>
      <c r="E512" s="19" t="s">
        <v>855</v>
      </c>
      <c r="F512" s="19">
        <v>2022</v>
      </c>
      <c r="G512" s="21">
        <v>0.75222829999999996</v>
      </c>
      <c r="H512" s="19" t="s">
        <v>2493</v>
      </c>
      <c r="I512" s="19" t="s">
        <v>865</v>
      </c>
      <c r="J512" s="21">
        <v>0.75222829999999996</v>
      </c>
      <c r="K512" s="19" t="s">
        <v>2494</v>
      </c>
      <c r="L512" s="19" t="s">
        <v>2495</v>
      </c>
      <c r="M512" s="19" t="s">
        <v>2492</v>
      </c>
      <c r="N512" s="19" t="s">
        <v>2484</v>
      </c>
    </row>
    <row r="513" spans="1:14">
      <c r="A513" s="19" t="s">
        <v>2536</v>
      </c>
      <c r="B513" s="19">
        <v>12</v>
      </c>
      <c r="C513" s="19" t="s">
        <v>2496</v>
      </c>
      <c r="D513" s="19" t="s">
        <v>2497</v>
      </c>
      <c r="E513" s="19" t="s">
        <v>855</v>
      </c>
      <c r="F513" s="19">
        <v>2023</v>
      </c>
      <c r="G513" s="21">
        <v>0.74950510000000004</v>
      </c>
      <c r="H513" s="19" t="s">
        <v>2498</v>
      </c>
      <c r="I513" s="19" t="s">
        <v>865</v>
      </c>
      <c r="J513" s="21">
        <v>0.74950510000000004</v>
      </c>
      <c r="K513" s="19" t="s">
        <v>2499</v>
      </c>
      <c r="L513" s="19" t="s">
        <v>2500</v>
      </c>
      <c r="M513" s="19"/>
      <c r="N513" s="19" t="s">
        <v>2484</v>
      </c>
    </row>
    <row r="514" spans="1:14">
      <c r="A514" s="19" t="s">
        <v>2536</v>
      </c>
      <c r="B514" s="19">
        <v>13</v>
      </c>
      <c r="C514" s="19" t="s">
        <v>2501</v>
      </c>
      <c r="D514" s="19" t="s">
        <v>2502</v>
      </c>
      <c r="E514" s="19" t="s">
        <v>855</v>
      </c>
      <c r="F514" s="19">
        <v>2022</v>
      </c>
      <c r="G514" s="21">
        <v>0.74939129999999998</v>
      </c>
      <c r="H514" s="19" t="s">
        <v>2503</v>
      </c>
      <c r="I514" s="19" t="s">
        <v>865</v>
      </c>
      <c r="J514" s="21">
        <v>0.74939129999999998</v>
      </c>
      <c r="K514" s="19" t="s">
        <v>2504</v>
      </c>
      <c r="L514" s="19" t="s">
        <v>2505</v>
      </c>
      <c r="M514" s="19"/>
      <c r="N514" s="19" t="s">
        <v>2484</v>
      </c>
    </row>
    <row r="515" spans="1:14">
      <c r="A515" s="19" t="s">
        <v>2536</v>
      </c>
      <c r="B515" s="19">
        <v>14</v>
      </c>
      <c r="C515" s="19" t="s">
        <v>1091</v>
      </c>
      <c r="D515" s="19" t="s">
        <v>1092</v>
      </c>
      <c r="E515" s="19" t="s">
        <v>855</v>
      </c>
      <c r="F515" s="19">
        <v>2023</v>
      </c>
      <c r="G515" s="21">
        <v>0.74837226000000001</v>
      </c>
      <c r="H515" s="19" t="s">
        <v>2506</v>
      </c>
      <c r="I515" s="19" t="s">
        <v>865</v>
      </c>
      <c r="J515" s="21">
        <v>0.74837226000000001</v>
      </c>
      <c r="K515" s="19" t="s">
        <v>2507</v>
      </c>
      <c r="L515" s="19" t="s">
        <v>2508</v>
      </c>
      <c r="M515" s="19"/>
      <c r="N515" s="19" t="s">
        <v>2484</v>
      </c>
    </row>
    <row r="516" spans="1:14">
      <c r="A516" s="19" t="s">
        <v>2536</v>
      </c>
      <c r="B516" s="19">
        <v>15</v>
      </c>
      <c r="C516" s="19" t="s">
        <v>2509</v>
      </c>
      <c r="D516" s="19" t="s">
        <v>2510</v>
      </c>
      <c r="E516" s="19" t="s">
        <v>855</v>
      </c>
      <c r="F516" s="19">
        <v>2023</v>
      </c>
      <c r="G516" s="21">
        <v>0.74793345</v>
      </c>
      <c r="H516" s="19" t="s">
        <v>2511</v>
      </c>
      <c r="I516" s="19" t="s">
        <v>865</v>
      </c>
      <c r="J516" s="21">
        <v>0.74793345</v>
      </c>
      <c r="K516" s="19" t="s">
        <v>2512</v>
      </c>
      <c r="L516" s="19" t="s">
        <v>2513</v>
      </c>
      <c r="M516" s="19" t="s">
        <v>2514</v>
      </c>
      <c r="N516" s="19" t="s">
        <v>2484</v>
      </c>
    </row>
    <row r="517" spans="1:14">
      <c r="A517" s="19" t="s">
        <v>2536</v>
      </c>
      <c r="B517" s="19">
        <v>16</v>
      </c>
      <c r="C517" s="19" t="s">
        <v>1239</v>
      </c>
      <c r="D517" s="19" t="s">
        <v>1240</v>
      </c>
      <c r="E517" s="19" t="s">
        <v>855</v>
      </c>
      <c r="F517" s="19">
        <v>2022</v>
      </c>
      <c r="G517" s="21">
        <v>0.74744520000000003</v>
      </c>
      <c r="H517" s="19" t="s">
        <v>1241</v>
      </c>
      <c r="I517" s="19" t="s">
        <v>865</v>
      </c>
      <c r="J517" s="21">
        <v>0.74744520000000003</v>
      </c>
      <c r="K517" s="19" t="s">
        <v>1242</v>
      </c>
      <c r="L517" s="19" t="s">
        <v>1243</v>
      </c>
      <c r="M517" s="19" t="s">
        <v>1244</v>
      </c>
      <c r="N517" s="19" t="s">
        <v>2484</v>
      </c>
    </row>
    <row r="518" spans="1:14">
      <c r="A518" s="19" t="s">
        <v>2536</v>
      </c>
      <c r="B518" s="19">
        <v>17</v>
      </c>
      <c r="C518" s="19" t="s">
        <v>1051</v>
      </c>
      <c r="D518" s="19" t="s">
        <v>1052</v>
      </c>
      <c r="E518" s="19" t="s">
        <v>855</v>
      </c>
      <c r="F518" s="19">
        <v>2022</v>
      </c>
      <c r="G518" s="21">
        <v>0.74730145999999997</v>
      </c>
      <c r="H518" s="19" t="s">
        <v>2515</v>
      </c>
      <c r="I518" s="19" t="s">
        <v>865</v>
      </c>
      <c r="J518" s="21">
        <v>0.74730145999999997</v>
      </c>
      <c r="K518" s="19" t="s">
        <v>2516</v>
      </c>
      <c r="L518" s="19" t="s">
        <v>2517</v>
      </c>
      <c r="M518" s="19"/>
      <c r="N518" s="19" t="s">
        <v>2484</v>
      </c>
    </row>
    <row r="519" spans="1:14">
      <c r="A519" s="19" t="s">
        <v>2536</v>
      </c>
      <c r="B519" s="19">
        <v>18</v>
      </c>
      <c r="C519" s="19" t="s">
        <v>2518</v>
      </c>
      <c r="D519" s="19" t="s">
        <v>2519</v>
      </c>
      <c r="E519" s="19" t="s">
        <v>855</v>
      </c>
      <c r="F519" s="19">
        <v>2022</v>
      </c>
      <c r="G519" s="21">
        <v>0.74462914000000002</v>
      </c>
      <c r="H519" s="19" t="s">
        <v>2520</v>
      </c>
      <c r="I519" s="19" t="s">
        <v>865</v>
      </c>
      <c r="J519" s="21">
        <v>0.74462914000000002</v>
      </c>
      <c r="K519" s="19" t="s">
        <v>2521</v>
      </c>
      <c r="L519" s="19" t="s">
        <v>2522</v>
      </c>
      <c r="M519" s="19"/>
      <c r="N519" s="19" t="s">
        <v>2523</v>
      </c>
    </row>
    <row r="520" spans="1:14">
      <c r="A520" s="19" t="s">
        <v>2536</v>
      </c>
      <c r="B520" s="19">
        <v>19</v>
      </c>
      <c r="C520" s="19" t="s">
        <v>2524</v>
      </c>
      <c r="D520" s="19" t="s">
        <v>2525</v>
      </c>
      <c r="E520" s="19" t="s">
        <v>855</v>
      </c>
      <c r="F520" s="19">
        <v>2023</v>
      </c>
      <c r="G520" s="21">
        <v>0.73434219999999994</v>
      </c>
      <c r="H520" s="19" t="s">
        <v>2526</v>
      </c>
      <c r="I520" s="19" t="s">
        <v>865</v>
      </c>
      <c r="J520" s="21">
        <v>0.73434219999999994</v>
      </c>
      <c r="K520" s="19" t="s">
        <v>2527</v>
      </c>
      <c r="L520" s="19" t="s">
        <v>2528</v>
      </c>
      <c r="M520" s="19"/>
      <c r="N520" s="19" t="s">
        <v>2529</v>
      </c>
    </row>
    <row r="521" spans="1:14">
      <c r="A521" s="19" t="s">
        <v>2536</v>
      </c>
      <c r="B521" s="19">
        <v>20</v>
      </c>
      <c r="C521" s="19" t="s">
        <v>2530</v>
      </c>
      <c r="D521" s="19" t="s">
        <v>2531</v>
      </c>
      <c r="E521" s="19" t="s">
        <v>855</v>
      </c>
      <c r="F521" s="19">
        <v>2014</v>
      </c>
      <c r="G521" s="21">
        <v>0.72907949999999999</v>
      </c>
      <c r="H521" s="19" t="s">
        <v>2532</v>
      </c>
      <c r="I521" s="19" t="s">
        <v>857</v>
      </c>
      <c r="J521" s="21">
        <v>0.72907949999999999</v>
      </c>
      <c r="K521" s="19" t="s">
        <v>2533</v>
      </c>
      <c r="L521" s="19" t="s">
        <v>2534</v>
      </c>
      <c r="M521" s="19"/>
      <c r="N521" s="19" t="s">
        <v>2041</v>
      </c>
    </row>
    <row r="522" spans="1:14">
      <c r="A522" s="19" t="s">
        <v>2537</v>
      </c>
      <c r="B522" s="19">
        <v>1</v>
      </c>
      <c r="C522" s="19" t="s">
        <v>2301</v>
      </c>
      <c r="D522" s="19" t="s">
        <v>2302</v>
      </c>
      <c r="E522" s="19" t="s">
        <v>855</v>
      </c>
      <c r="F522" s="19">
        <v>2022</v>
      </c>
      <c r="G522" s="21">
        <v>0.76350689999999999</v>
      </c>
      <c r="H522" s="19" t="s">
        <v>2303</v>
      </c>
      <c r="I522" s="19" t="s">
        <v>865</v>
      </c>
      <c r="J522" s="21">
        <v>0.76350689999999999</v>
      </c>
      <c r="K522" s="19" t="s">
        <v>2304</v>
      </c>
      <c r="L522" s="19" t="s">
        <v>2305</v>
      </c>
      <c r="M522" s="19" t="s">
        <v>2306</v>
      </c>
      <c r="N522" s="19" t="s">
        <v>2463</v>
      </c>
    </row>
    <row r="523" spans="1:14">
      <c r="A523" s="19" t="s">
        <v>2537</v>
      </c>
      <c r="B523" s="19">
        <v>2</v>
      </c>
      <c r="C523" s="19" t="s">
        <v>2268</v>
      </c>
      <c r="D523" s="19" t="s">
        <v>2269</v>
      </c>
      <c r="E523" s="19" t="s">
        <v>855</v>
      </c>
      <c r="F523" s="19">
        <v>2023</v>
      </c>
      <c r="G523" s="21">
        <v>0.76074344000000005</v>
      </c>
      <c r="H523" s="19" t="s">
        <v>2464</v>
      </c>
      <c r="I523" s="19" t="s">
        <v>865</v>
      </c>
      <c r="J523" s="21">
        <v>0.76074344000000005</v>
      </c>
      <c r="K523" s="19" t="s">
        <v>2465</v>
      </c>
      <c r="L523" s="19" t="s">
        <v>2466</v>
      </c>
      <c r="M523" s="19" t="s">
        <v>2467</v>
      </c>
      <c r="N523" s="19" t="s">
        <v>2463</v>
      </c>
    </row>
    <row r="524" spans="1:14">
      <c r="A524" s="19" t="s">
        <v>2537</v>
      </c>
      <c r="B524" s="19">
        <v>3</v>
      </c>
      <c r="C524" s="19" t="s">
        <v>1245</v>
      </c>
      <c r="D524" s="19" t="s">
        <v>1246</v>
      </c>
      <c r="E524" s="19" t="s">
        <v>855</v>
      </c>
      <c r="F524" s="19">
        <v>2022</v>
      </c>
      <c r="G524" s="21">
        <v>0.76036599999999999</v>
      </c>
      <c r="H524" s="19" t="s">
        <v>1247</v>
      </c>
      <c r="I524" s="19" t="s">
        <v>865</v>
      </c>
      <c r="J524" s="21">
        <v>0.76036599999999999</v>
      </c>
      <c r="K524" s="19" t="s">
        <v>1248</v>
      </c>
      <c r="L524" s="19" t="s">
        <v>1249</v>
      </c>
      <c r="M524" s="19" t="s">
        <v>1250</v>
      </c>
      <c r="N524" s="19" t="s">
        <v>2463</v>
      </c>
    </row>
    <row r="525" spans="1:14">
      <c r="A525" s="19" t="s">
        <v>2537</v>
      </c>
      <c r="B525" s="19">
        <v>4</v>
      </c>
      <c r="C525" s="19" t="s">
        <v>2468</v>
      </c>
      <c r="D525" s="19" t="s">
        <v>2469</v>
      </c>
      <c r="E525" s="19" t="s">
        <v>855</v>
      </c>
      <c r="F525" s="19">
        <v>2023</v>
      </c>
      <c r="G525" s="21">
        <v>0.76028240000000002</v>
      </c>
      <c r="H525" s="19" t="s">
        <v>2470</v>
      </c>
      <c r="I525" s="19" t="s">
        <v>865</v>
      </c>
      <c r="J525" s="21">
        <v>0.76028240000000002</v>
      </c>
      <c r="K525" s="19" t="s">
        <v>2471</v>
      </c>
      <c r="L525" s="19" t="s">
        <v>2472</v>
      </c>
      <c r="M525" s="19"/>
      <c r="N525" s="19" t="s">
        <v>2463</v>
      </c>
    </row>
    <row r="526" spans="1:14">
      <c r="A526" s="19" t="s">
        <v>2537</v>
      </c>
      <c r="B526" s="19">
        <v>5</v>
      </c>
      <c r="C526" s="19" t="s">
        <v>2153</v>
      </c>
      <c r="D526" s="19" t="s">
        <v>810</v>
      </c>
      <c r="E526" s="19" t="s">
        <v>855</v>
      </c>
      <c r="F526" s="19">
        <v>2022</v>
      </c>
      <c r="G526" s="21">
        <v>0.76026713999999995</v>
      </c>
      <c r="H526" s="19" t="s">
        <v>2313</v>
      </c>
      <c r="I526" s="19" t="s">
        <v>865</v>
      </c>
      <c r="J526" s="21">
        <v>0.76026713999999995</v>
      </c>
      <c r="K526" s="19" t="s">
        <v>2314</v>
      </c>
      <c r="L526" s="19" t="s">
        <v>2315</v>
      </c>
      <c r="M526" s="19" t="s">
        <v>2316</v>
      </c>
      <c r="N526" s="19" t="s">
        <v>2463</v>
      </c>
    </row>
    <row r="527" spans="1:14">
      <c r="A527" s="19" t="s">
        <v>2537</v>
      </c>
      <c r="B527" s="19">
        <v>6</v>
      </c>
      <c r="C527" s="19" t="s">
        <v>2340</v>
      </c>
      <c r="D527" s="19" t="s">
        <v>2341</v>
      </c>
      <c r="E527" s="19" t="s">
        <v>855</v>
      </c>
      <c r="F527" s="19">
        <v>2023</v>
      </c>
      <c r="G527" s="21">
        <v>0.75928234999999999</v>
      </c>
      <c r="H527" s="19" t="s">
        <v>2342</v>
      </c>
      <c r="I527" s="19" t="s">
        <v>865</v>
      </c>
      <c r="J527" s="21">
        <v>0.75928234999999999</v>
      </c>
      <c r="K527" s="19" t="s">
        <v>2343</v>
      </c>
      <c r="L527" s="19" t="s">
        <v>2344</v>
      </c>
      <c r="M527" s="19" t="s">
        <v>2345</v>
      </c>
      <c r="N527" s="19" t="s">
        <v>2463</v>
      </c>
    </row>
    <row r="528" spans="1:14">
      <c r="A528" s="19" t="s">
        <v>2537</v>
      </c>
      <c r="B528" s="19">
        <v>7</v>
      </c>
      <c r="C528" s="19" t="s">
        <v>2473</v>
      </c>
      <c r="D528" s="19" t="s">
        <v>2474</v>
      </c>
      <c r="E528" s="19" t="s">
        <v>855</v>
      </c>
      <c r="F528" s="19">
        <v>2022</v>
      </c>
      <c r="G528" s="21">
        <v>0.75523969999999996</v>
      </c>
      <c r="H528" s="19" t="s">
        <v>2475</v>
      </c>
      <c r="I528" s="19" t="s">
        <v>865</v>
      </c>
      <c r="J528" s="21">
        <v>0.75523969999999996</v>
      </c>
      <c r="K528" s="19" t="s">
        <v>2476</v>
      </c>
      <c r="L528" s="19" t="s">
        <v>2477</v>
      </c>
      <c r="M528" s="19"/>
      <c r="N528" s="19" t="s">
        <v>2463</v>
      </c>
    </row>
    <row r="529" spans="1:14">
      <c r="A529" s="19" t="s">
        <v>2537</v>
      </c>
      <c r="B529" s="19">
        <v>8</v>
      </c>
      <c r="C529" s="19" t="s">
        <v>2478</v>
      </c>
      <c r="D529" s="19" t="s">
        <v>2479</v>
      </c>
      <c r="E529" s="19" t="s">
        <v>855</v>
      </c>
      <c r="F529" s="19">
        <v>2023</v>
      </c>
      <c r="G529" s="21">
        <v>0.75348663000000005</v>
      </c>
      <c r="H529" s="19" t="s">
        <v>2480</v>
      </c>
      <c r="I529" s="19" t="s">
        <v>865</v>
      </c>
      <c r="J529" s="21">
        <v>0.75348663000000005</v>
      </c>
      <c r="K529" s="19" t="s">
        <v>2481</v>
      </c>
      <c r="L529" s="19" t="s">
        <v>2482</v>
      </c>
      <c r="M529" s="19" t="s">
        <v>2483</v>
      </c>
      <c r="N529" s="19" t="s">
        <v>2484</v>
      </c>
    </row>
    <row r="530" spans="1:14">
      <c r="A530" s="19" t="s">
        <v>2537</v>
      </c>
      <c r="B530" s="19">
        <v>9</v>
      </c>
      <c r="C530" s="19" t="s">
        <v>2323</v>
      </c>
      <c r="D530" s="19" t="s">
        <v>2324</v>
      </c>
      <c r="E530" s="19" t="s">
        <v>855</v>
      </c>
      <c r="F530" s="19">
        <v>2022</v>
      </c>
      <c r="G530" s="21">
        <v>0.75267110000000004</v>
      </c>
      <c r="H530" s="19" t="s">
        <v>2325</v>
      </c>
      <c r="I530" s="19" t="s">
        <v>865</v>
      </c>
      <c r="J530" s="21">
        <v>0.75267110000000004</v>
      </c>
      <c r="K530" s="19" t="s">
        <v>2326</v>
      </c>
      <c r="L530" s="19" t="s">
        <v>2327</v>
      </c>
      <c r="M530" s="19" t="s">
        <v>2328</v>
      </c>
      <c r="N530" s="19" t="s">
        <v>2484</v>
      </c>
    </row>
    <row r="531" spans="1:14">
      <c r="A531" s="19" t="s">
        <v>2537</v>
      </c>
      <c r="B531" s="19">
        <v>10</v>
      </c>
      <c r="C531" s="19" t="s">
        <v>2485</v>
      </c>
      <c r="D531" s="19" t="s">
        <v>2486</v>
      </c>
      <c r="E531" s="19" t="s">
        <v>855</v>
      </c>
      <c r="F531" s="19">
        <v>2023</v>
      </c>
      <c r="G531" s="21">
        <v>0.75244759999999999</v>
      </c>
      <c r="H531" s="19" t="s">
        <v>2487</v>
      </c>
      <c r="I531" s="19" t="s">
        <v>865</v>
      </c>
      <c r="J531" s="21">
        <v>0.75244759999999999</v>
      </c>
      <c r="K531" s="19" t="s">
        <v>2488</v>
      </c>
      <c r="L531" s="19" t="s">
        <v>2489</v>
      </c>
      <c r="M531" s="19" t="s">
        <v>2490</v>
      </c>
      <c r="N531" s="19" t="s">
        <v>2484</v>
      </c>
    </row>
    <row r="532" spans="1:14">
      <c r="A532" s="19" t="s">
        <v>2537</v>
      </c>
      <c r="B532" s="19">
        <v>11</v>
      </c>
      <c r="C532" s="19" t="s">
        <v>2491</v>
      </c>
      <c r="D532" s="19" t="s">
        <v>2492</v>
      </c>
      <c r="E532" s="19" t="s">
        <v>855</v>
      </c>
      <c r="F532" s="19">
        <v>2022</v>
      </c>
      <c r="G532" s="21">
        <v>0.75207436000000005</v>
      </c>
      <c r="H532" s="19" t="s">
        <v>2493</v>
      </c>
      <c r="I532" s="19" t="s">
        <v>865</v>
      </c>
      <c r="J532" s="21">
        <v>0.75207436000000005</v>
      </c>
      <c r="K532" s="19" t="s">
        <v>2494</v>
      </c>
      <c r="L532" s="19" t="s">
        <v>2495</v>
      </c>
      <c r="M532" s="19" t="s">
        <v>2492</v>
      </c>
      <c r="N532" s="19" t="s">
        <v>2484</v>
      </c>
    </row>
    <row r="533" spans="1:14">
      <c r="A533" s="19" t="s">
        <v>2537</v>
      </c>
      <c r="B533" s="19">
        <v>12</v>
      </c>
      <c r="C533" s="19" t="s">
        <v>2496</v>
      </c>
      <c r="D533" s="19" t="s">
        <v>2497</v>
      </c>
      <c r="E533" s="19" t="s">
        <v>855</v>
      </c>
      <c r="F533" s="19">
        <v>2023</v>
      </c>
      <c r="G533" s="21">
        <v>0.74934270000000003</v>
      </c>
      <c r="H533" s="19" t="s">
        <v>2498</v>
      </c>
      <c r="I533" s="19" t="s">
        <v>865</v>
      </c>
      <c r="J533" s="21">
        <v>0.74934270000000003</v>
      </c>
      <c r="K533" s="19" t="s">
        <v>2499</v>
      </c>
      <c r="L533" s="19" t="s">
        <v>2500</v>
      </c>
      <c r="M533" s="19"/>
      <c r="N533" s="19" t="s">
        <v>2484</v>
      </c>
    </row>
    <row r="534" spans="1:14">
      <c r="A534" s="19" t="s">
        <v>2537</v>
      </c>
      <c r="B534" s="19">
        <v>13</v>
      </c>
      <c r="C534" s="19" t="s">
        <v>2501</v>
      </c>
      <c r="D534" s="19" t="s">
        <v>2502</v>
      </c>
      <c r="E534" s="19" t="s">
        <v>855</v>
      </c>
      <c r="F534" s="19">
        <v>2022</v>
      </c>
      <c r="G534" s="21">
        <v>0.74919440000000004</v>
      </c>
      <c r="H534" s="19" t="s">
        <v>2503</v>
      </c>
      <c r="I534" s="19" t="s">
        <v>865</v>
      </c>
      <c r="J534" s="21">
        <v>0.74919440000000004</v>
      </c>
      <c r="K534" s="19" t="s">
        <v>2504</v>
      </c>
      <c r="L534" s="19" t="s">
        <v>2505</v>
      </c>
      <c r="M534" s="19"/>
      <c r="N534" s="19" t="s">
        <v>2484</v>
      </c>
    </row>
    <row r="535" spans="1:14">
      <c r="A535" s="19" t="s">
        <v>2537</v>
      </c>
      <c r="B535" s="19">
        <v>14</v>
      </c>
      <c r="C535" s="19" t="s">
        <v>1091</v>
      </c>
      <c r="D535" s="19" t="s">
        <v>1092</v>
      </c>
      <c r="E535" s="19" t="s">
        <v>855</v>
      </c>
      <c r="F535" s="19">
        <v>2023</v>
      </c>
      <c r="G535" s="21">
        <v>0.74821585000000002</v>
      </c>
      <c r="H535" s="19" t="s">
        <v>2506</v>
      </c>
      <c r="I535" s="19" t="s">
        <v>865</v>
      </c>
      <c r="J535" s="21">
        <v>0.74821585000000002</v>
      </c>
      <c r="K535" s="19" t="s">
        <v>2507</v>
      </c>
      <c r="L535" s="19" t="s">
        <v>2508</v>
      </c>
      <c r="M535" s="19"/>
      <c r="N535" s="19" t="s">
        <v>2484</v>
      </c>
    </row>
    <row r="536" spans="1:14">
      <c r="A536" s="19" t="s">
        <v>2537</v>
      </c>
      <c r="B536" s="19">
        <v>15</v>
      </c>
      <c r="C536" s="19" t="s">
        <v>2509</v>
      </c>
      <c r="D536" s="19" t="s">
        <v>2510</v>
      </c>
      <c r="E536" s="19" t="s">
        <v>855</v>
      </c>
      <c r="F536" s="19">
        <v>2023</v>
      </c>
      <c r="G536" s="21">
        <v>0.74772316000000005</v>
      </c>
      <c r="H536" s="19" t="s">
        <v>2511</v>
      </c>
      <c r="I536" s="19" t="s">
        <v>865</v>
      </c>
      <c r="J536" s="21">
        <v>0.74772316000000005</v>
      </c>
      <c r="K536" s="19" t="s">
        <v>2512</v>
      </c>
      <c r="L536" s="19" t="s">
        <v>2513</v>
      </c>
      <c r="M536" s="19" t="s">
        <v>2514</v>
      </c>
      <c r="N536" s="19" t="s">
        <v>2484</v>
      </c>
    </row>
    <row r="537" spans="1:14">
      <c r="A537" s="19" t="s">
        <v>2537</v>
      </c>
      <c r="B537" s="19">
        <v>16</v>
      </c>
      <c r="C537" s="19" t="s">
        <v>1239</v>
      </c>
      <c r="D537" s="19" t="s">
        <v>1240</v>
      </c>
      <c r="E537" s="19" t="s">
        <v>855</v>
      </c>
      <c r="F537" s="19">
        <v>2022</v>
      </c>
      <c r="G537" s="21">
        <v>0.74725889999999995</v>
      </c>
      <c r="H537" s="19" t="s">
        <v>1241</v>
      </c>
      <c r="I537" s="19" t="s">
        <v>865</v>
      </c>
      <c r="J537" s="21">
        <v>0.74725889999999995</v>
      </c>
      <c r="K537" s="19" t="s">
        <v>1242</v>
      </c>
      <c r="L537" s="19" t="s">
        <v>1243</v>
      </c>
      <c r="M537" s="19" t="s">
        <v>1244</v>
      </c>
      <c r="N537" s="19" t="s">
        <v>2484</v>
      </c>
    </row>
    <row r="538" spans="1:14">
      <c r="A538" s="19" t="s">
        <v>2537</v>
      </c>
      <c r="B538" s="19">
        <v>17</v>
      </c>
      <c r="C538" s="19" t="s">
        <v>1051</v>
      </c>
      <c r="D538" s="19" t="s">
        <v>1052</v>
      </c>
      <c r="E538" s="19" t="s">
        <v>855</v>
      </c>
      <c r="F538" s="19">
        <v>2022</v>
      </c>
      <c r="G538" s="21">
        <v>0.74708490000000005</v>
      </c>
      <c r="H538" s="19" t="s">
        <v>2515</v>
      </c>
      <c r="I538" s="19" t="s">
        <v>865</v>
      </c>
      <c r="J538" s="21">
        <v>0.74708490000000005</v>
      </c>
      <c r="K538" s="19" t="s">
        <v>2516</v>
      </c>
      <c r="L538" s="19" t="s">
        <v>2517</v>
      </c>
      <c r="M538" s="19"/>
      <c r="N538" s="19" t="s">
        <v>2484</v>
      </c>
    </row>
    <row r="539" spans="1:14">
      <c r="A539" s="19" t="s">
        <v>2537</v>
      </c>
      <c r="B539" s="19">
        <v>18</v>
      </c>
      <c r="C539" s="19" t="s">
        <v>2518</v>
      </c>
      <c r="D539" s="19" t="s">
        <v>2519</v>
      </c>
      <c r="E539" s="19" t="s">
        <v>855</v>
      </c>
      <c r="F539" s="19">
        <v>2022</v>
      </c>
      <c r="G539" s="21">
        <v>0.74436957000000004</v>
      </c>
      <c r="H539" s="19" t="s">
        <v>2520</v>
      </c>
      <c r="I539" s="19" t="s">
        <v>865</v>
      </c>
      <c r="J539" s="21">
        <v>0.74436957000000004</v>
      </c>
      <c r="K539" s="19" t="s">
        <v>2521</v>
      </c>
      <c r="L539" s="19" t="s">
        <v>2522</v>
      </c>
      <c r="M539" s="19"/>
      <c r="N539" s="19" t="s">
        <v>2523</v>
      </c>
    </row>
    <row r="540" spans="1:14">
      <c r="A540" s="19" t="s">
        <v>2537</v>
      </c>
      <c r="B540" s="19">
        <v>19</v>
      </c>
      <c r="C540" s="19" t="s">
        <v>2524</v>
      </c>
      <c r="D540" s="19" t="s">
        <v>2525</v>
      </c>
      <c r="E540" s="19" t="s">
        <v>855</v>
      </c>
      <c r="F540" s="19">
        <v>2023</v>
      </c>
      <c r="G540" s="21">
        <v>0.73428684</v>
      </c>
      <c r="H540" s="19" t="s">
        <v>2526</v>
      </c>
      <c r="I540" s="19" t="s">
        <v>865</v>
      </c>
      <c r="J540" s="21">
        <v>0.73428684</v>
      </c>
      <c r="K540" s="19" t="s">
        <v>2527</v>
      </c>
      <c r="L540" s="19" t="s">
        <v>2528</v>
      </c>
      <c r="M540" s="19"/>
      <c r="N540" s="19" t="s">
        <v>2529</v>
      </c>
    </row>
    <row r="541" spans="1:14">
      <c r="A541" s="19" t="s">
        <v>2537</v>
      </c>
      <c r="B541" s="19">
        <v>20</v>
      </c>
      <c r="C541" s="19" t="s">
        <v>2530</v>
      </c>
      <c r="D541" s="19" t="s">
        <v>2531</v>
      </c>
      <c r="E541" s="19" t="s">
        <v>855</v>
      </c>
      <c r="F541" s="19">
        <v>2014</v>
      </c>
      <c r="G541" s="21">
        <v>0.72905797000000006</v>
      </c>
      <c r="H541" s="19" t="s">
        <v>2532</v>
      </c>
      <c r="I541" s="19" t="s">
        <v>857</v>
      </c>
      <c r="J541" s="21">
        <v>0.72905797000000006</v>
      </c>
      <c r="K541" s="19" t="s">
        <v>2533</v>
      </c>
      <c r="L541" s="19" t="s">
        <v>2534</v>
      </c>
      <c r="M541" s="19"/>
      <c r="N541" s="19" t="s">
        <v>2041</v>
      </c>
    </row>
    <row r="542" spans="1:14">
      <c r="A542" s="19" t="s">
        <v>2538</v>
      </c>
      <c r="B542" s="19">
        <v>1</v>
      </c>
      <c r="C542" s="19" t="s">
        <v>2301</v>
      </c>
      <c r="D542" s="19" t="s">
        <v>2302</v>
      </c>
      <c r="E542" s="19" t="s">
        <v>855</v>
      </c>
      <c r="F542" s="19">
        <v>2022</v>
      </c>
      <c r="G542" s="21">
        <v>0.76366219999999996</v>
      </c>
      <c r="H542" s="19" t="s">
        <v>2303</v>
      </c>
      <c r="I542" s="19" t="s">
        <v>865</v>
      </c>
      <c r="J542" s="21">
        <v>0.76366219999999996</v>
      </c>
      <c r="K542" s="19" t="s">
        <v>2304</v>
      </c>
      <c r="L542" s="19" t="s">
        <v>2305</v>
      </c>
      <c r="M542" s="19" t="s">
        <v>2306</v>
      </c>
      <c r="N542" s="19" t="s">
        <v>2463</v>
      </c>
    </row>
    <row r="543" spans="1:14">
      <c r="A543" s="19" t="s">
        <v>2538</v>
      </c>
      <c r="B543" s="19">
        <v>2</v>
      </c>
      <c r="C543" s="19" t="s">
        <v>2268</v>
      </c>
      <c r="D543" s="19" t="s">
        <v>2269</v>
      </c>
      <c r="E543" s="19" t="s">
        <v>855</v>
      </c>
      <c r="F543" s="19">
        <v>2023</v>
      </c>
      <c r="G543" s="21">
        <v>0.76100800000000002</v>
      </c>
      <c r="H543" s="19" t="s">
        <v>2464</v>
      </c>
      <c r="I543" s="19" t="s">
        <v>865</v>
      </c>
      <c r="J543" s="21">
        <v>0.76100800000000002</v>
      </c>
      <c r="K543" s="19" t="s">
        <v>2465</v>
      </c>
      <c r="L543" s="19" t="s">
        <v>2466</v>
      </c>
      <c r="M543" s="19" t="s">
        <v>2467</v>
      </c>
      <c r="N543" s="19" t="s">
        <v>2463</v>
      </c>
    </row>
    <row r="544" spans="1:14">
      <c r="A544" s="19" t="s">
        <v>2538</v>
      </c>
      <c r="B544" s="19">
        <v>3</v>
      </c>
      <c r="C544" s="19" t="s">
        <v>1245</v>
      </c>
      <c r="D544" s="19" t="s">
        <v>1246</v>
      </c>
      <c r="E544" s="19" t="s">
        <v>855</v>
      </c>
      <c r="F544" s="19">
        <v>2022</v>
      </c>
      <c r="G544" s="21">
        <v>0.76048994000000003</v>
      </c>
      <c r="H544" s="19" t="s">
        <v>1247</v>
      </c>
      <c r="I544" s="19" t="s">
        <v>865</v>
      </c>
      <c r="J544" s="21">
        <v>0.76048994000000003</v>
      </c>
      <c r="K544" s="19" t="s">
        <v>1248</v>
      </c>
      <c r="L544" s="19" t="s">
        <v>1249</v>
      </c>
      <c r="M544" s="19" t="s">
        <v>1250</v>
      </c>
      <c r="N544" s="19" t="s">
        <v>2463</v>
      </c>
    </row>
    <row r="545" spans="1:14">
      <c r="A545" s="19" t="s">
        <v>2538</v>
      </c>
      <c r="B545" s="19">
        <v>4</v>
      </c>
      <c r="C545" s="19" t="s">
        <v>2468</v>
      </c>
      <c r="D545" s="19" t="s">
        <v>2469</v>
      </c>
      <c r="E545" s="19" t="s">
        <v>855</v>
      </c>
      <c r="F545" s="19">
        <v>2023</v>
      </c>
      <c r="G545" s="21">
        <v>0.76046970000000003</v>
      </c>
      <c r="H545" s="19" t="s">
        <v>2470</v>
      </c>
      <c r="I545" s="19" t="s">
        <v>865</v>
      </c>
      <c r="J545" s="21">
        <v>0.76046970000000003</v>
      </c>
      <c r="K545" s="19" t="s">
        <v>2471</v>
      </c>
      <c r="L545" s="19" t="s">
        <v>2472</v>
      </c>
      <c r="M545" s="19"/>
      <c r="N545" s="19" t="s">
        <v>2463</v>
      </c>
    </row>
    <row r="546" spans="1:14">
      <c r="A546" s="19" t="s">
        <v>2538</v>
      </c>
      <c r="B546" s="19">
        <v>5</v>
      </c>
      <c r="C546" s="19" t="s">
        <v>2153</v>
      </c>
      <c r="D546" s="19" t="s">
        <v>810</v>
      </c>
      <c r="E546" s="19" t="s">
        <v>855</v>
      </c>
      <c r="F546" s="19">
        <v>2022</v>
      </c>
      <c r="G546" s="21">
        <v>0.76037573999999997</v>
      </c>
      <c r="H546" s="19" t="s">
        <v>2313</v>
      </c>
      <c r="I546" s="19" t="s">
        <v>865</v>
      </c>
      <c r="J546" s="21">
        <v>0.76037573999999997</v>
      </c>
      <c r="K546" s="19" t="s">
        <v>2314</v>
      </c>
      <c r="L546" s="19" t="s">
        <v>2315</v>
      </c>
      <c r="M546" s="19" t="s">
        <v>2316</v>
      </c>
      <c r="N546" s="19" t="s">
        <v>2463</v>
      </c>
    </row>
    <row r="547" spans="1:14">
      <c r="A547" s="19" t="s">
        <v>2538</v>
      </c>
      <c r="B547" s="19">
        <v>6</v>
      </c>
      <c r="C547" s="19" t="s">
        <v>2340</v>
      </c>
      <c r="D547" s="19" t="s">
        <v>2341</v>
      </c>
      <c r="E547" s="19" t="s">
        <v>855</v>
      </c>
      <c r="F547" s="19">
        <v>2023</v>
      </c>
      <c r="G547" s="21">
        <v>0.75957070000000004</v>
      </c>
      <c r="H547" s="19" t="s">
        <v>2342</v>
      </c>
      <c r="I547" s="19" t="s">
        <v>865</v>
      </c>
      <c r="J547" s="21">
        <v>0.75957070000000004</v>
      </c>
      <c r="K547" s="19" t="s">
        <v>2343</v>
      </c>
      <c r="L547" s="19" t="s">
        <v>2344</v>
      </c>
      <c r="M547" s="19" t="s">
        <v>2345</v>
      </c>
      <c r="N547" s="19" t="s">
        <v>2463</v>
      </c>
    </row>
    <row r="548" spans="1:14">
      <c r="A548" s="19" t="s">
        <v>2538</v>
      </c>
      <c r="B548" s="19">
        <v>7</v>
      </c>
      <c r="C548" s="19" t="s">
        <v>2473</v>
      </c>
      <c r="D548" s="19" t="s">
        <v>2474</v>
      </c>
      <c r="E548" s="19" t="s">
        <v>855</v>
      </c>
      <c r="F548" s="19">
        <v>2022</v>
      </c>
      <c r="G548" s="21">
        <v>0.75545465999999994</v>
      </c>
      <c r="H548" s="19" t="s">
        <v>2475</v>
      </c>
      <c r="I548" s="19" t="s">
        <v>865</v>
      </c>
      <c r="J548" s="21">
        <v>0.75545465999999994</v>
      </c>
      <c r="K548" s="19" t="s">
        <v>2476</v>
      </c>
      <c r="L548" s="19" t="s">
        <v>2477</v>
      </c>
      <c r="M548" s="19"/>
      <c r="N548" s="19" t="s">
        <v>2463</v>
      </c>
    </row>
    <row r="549" spans="1:14">
      <c r="A549" s="19" t="s">
        <v>2538</v>
      </c>
      <c r="B549" s="19">
        <v>8</v>
      </c>
      <c r="C549" s="19" t="s">
        <v>2478</v>
      </c>
      <c r="D549" s="19" t="s">
        <v>2479</v>
      </c>
      <c r="E549" s="19" t="s">
        <v>855</v>
      </c>
      <c r="F549" s="19">
        <v>2023</v>
      </c>
      <c r="G549" s="21">
        <v>0.75367209999999996</v>
      </c>
      <c r="H549" s="19" t="s">
        <v>2480</v>
      </c>
      <c r="I549" s="19" t="s">
        <v>865</v>
      </c>
      <c r="J549" s="21">
        <v>0.75367209999999996</v>
      </c>
      <c r="K549" s="19" t="s">
        <v>2481</v>
      </c>
      <c r="L549" s="19" t="s">
        <v>2482</v>
      </c>
      <c r="M549" s="19" t="s">
        <v>2483</v>
      </c>
      <c r="N549" s="19" t="s">
        <v>2484</v>
      </c>
    </row>
    <row r="550" spans="1:14">
      <c r="A550" s="19" t="s">
        <v>2538</v>
      </c>
      <c r="B550" s="19">
        <v>9</v>
      </c>
      <c r="C550" s="19" t="s">
        <v>2323</v>
      </c>
      <c r="D550" s="19" t="s">
        <v>2324</v>
      </c>
      <c r="E550" s="19" t="s">
        <v>855</v>
      </c>
      <c r="F550" s="19">
        <v>2022</v>
      </c>
      <c r="G550" s="21">
        <v>0.75284980000000001</v>
      </c>
      <c r="H550" s="19" t="s">
        <v>2325</v>
      </c>
      <c r="I550" s="19" t="s">
        <v>865</v>
      </c>
      <c r="J550" s="21">
        <v>0.75284980000000001</v>
      </c>
      <c r="K550" s="19" t="s">
        <v>2326</v>
      </c>
      <c r="L550" s="19" t="s">
        <v>2327</v>
      </c>
      <c r="M550" s="19" t="s">
        <v>2328</v>
      </c>
      <c r="N550" s="19" t="s">
        <v>2484</v>
      </c>
    </row>
    <row r="551" spans="1:14">
      <c r="A551" s="19" t="s">
        <v>2538</v>
      </c>
      <c r="B551" s="19">
        <v>10</v>
      </c>
      <c r="C551" s="19" t="s">
        <v>2485</v>
      </c>
      <c r="D551" s="19" t="s">
        <v>2486</v>
      </c>
      <c r="E551" s="19" t="s">
        <v>855</v>
      </c>
      <c r="F551" s="19">
        <v>2023</v>
      </c>
      <c r="G551" s="21">
        <v>0.75272170000000005</v>
      </c>
      <c r="H551" s="19" t="s">
        <v>2487</v>
      </c>
      <c r="I551" s="19" t="s">
        <v>865</v>
      </c>
      <c r="J551" s="21">
        <v>0.75272170000000005</v>
      </c>
      <c r="K551" s="19" t="s">
        <v>2488</v>
      </c>
      <c r="L551" s="19" t="s">
        <v>2489</v>
      </c>
      <c r="M551" s="19" t="s">
        <v>2490</v>
      </c>
      <c r="N551" s="19" t="s">
        <v>2484</v>
      </c>
    </row>
    <row r="552" spans="1:14">
      <c r="A552" s="19" t="s">
        <v>2538</v>
      </c>
      <c r="B552" s="19">
        <v>11</v>
      </c>
      <c r="C552" s="19" t="s">
        <v>2491</v>
      </c>
      <c r="D552" s="19" t="s">
        <v>2492</v>
      </c>
      <c r="E552" s="19" t="s">
        <v>855</v>
      </c>
      <c r="F552" s="19">
        <v>2022</v>
      </c>
      <c r="G552" s="21">
        <v>0.75222829999999996</v>
      </c>
      <c r="H552" s="19" t="s">
        <v>2493</v>
      </c>
      <c r="I552" s="19" t="s">
        <v>865</v>
      </c>
      <c r="J552" s="21">
        <v>0.75222829999999996</v>
      </c>
      <c r="K552" s="19" t="s">
        <v>2494</v>
      </c>
      <c r="L552" s="19" t="s">
        <v>2495</v>
      </c>
      <c r="M552" s="19" t="s">
        <v>2492</v>
      </c>
      <c r="N552" s="19" t="s">
        <v>2484</v>
      </c>
    </row>
    <row r="553" spans="1:14">
      <c r="A553" s="19" t="s">
        <v>2538</v>
      </c>
      <c r="B553" s="19">
        <v>12</v>
      </c>
      <c r="C553" s="19" t="s">
        <v>2496</v>
      </c>
      <c r="D553" s="19" t="s">
        <v>2497</v>
      </c>
      <c r="E553" s="19" t="s">
        <v>855</v>
      </c>
      <c r="F553" s="19">
        <v>2023</v>
      </c>
      <c r="G553" s="21">
        <v>0.74950510000000004</v>
      </c>
      <c r="H553" s="19" t="s">
        <v>2498</v>
      </c>
      <c r="I553" s="19" t="s">
        <v>865</v>
      </c>
      <c r="J553" s="21">
        <v>0.74950510000000004</v>
      </c>
      <c r="K553" s="19" t="s">
        <v>2499</v>
      </c>
      <c r="L553" s="19" t="s">
        <v>2500</v>
      </c>
      <c r="M553" s="19"/>
      <c r="N553" s="19" t="s">
        <v>2484</v>
      </c>
    </row>
    <row r="554" spans="1:14">
      <c r="A554" s="19" t="s">
        <v>2538</v>
      </c>
      <c r="B554" s="19">
        <v>13</v>
      </c>
      <c r="C554" s="19" t="s">
        <v>2501</v>
      </c>
      <c r="D554" s="19" t="s">
        <v>2502</v>
      </c>
      <c r="E554" s="19" t="s">
        <v>855</v>
      </c>
      <c r="F554" s="19">
        <v>2022</v>
      </c>
      <c r="G554" s="21">
        <v>0.74939129999999998</v>
      </c>
      <c r="H554" s="19" t="s">
        <v>2503</v>
      </c>
      <c r="I554" s="19" t="s">
        <v>865</v>
      </c>
      <c r="J554" s="21">
        <v>0.74939129999999998</v>
      </c>
      <c r="K554" s="19" t="s">
        <v>2504</v>
      </c>
      <c r="L554" s="19" t="s">
        <v>2505</v>
      </c>
      <c r="M554" s="19"/>
      <c r="N554" s="19" t="s">
        <v>2484</v>
      </c>
    </row>
    <row r="555" spans="1:14">
      <c r="A555" s="19" t="s">
        <v>2538</v>
      </c>
      <c r="B555" s="19">
        <v>14</v>
      </c>
      <c r="C555" s="19" t="s">
        <v>1091</v>
      </c>
      <c r="D555" s="19" t="s">
        <v>1092</v>
      </c>
      <c r="E555" s="19" t="s">
        <v>855</v>
      </c>
      <c r="F555" s="19">
        <v>2023</v>
      </c>
      <c r="G555" s="21">
        <v>0.74837226000000001</v>
      </c>
      <c r="H555" s="19" t="s">
        <v>2506</v>
      </c>
      <c r="I555" s="19" t="s">
        <v>865</v>
      </c>
      <c r="J555" s="21">
        <v>0.74837226000000001</v>
      </c>
      <c r="K555" s="19" t="s">
        <v>2507</v>
      </c>
      <c r="L555" s="19" t="s">
        <v>2508</v>
      </c>
      <c r="M555" s="19"/>
      <c r="N555" s="19" t="s">
        <v>2484</v>
      </c>
    </row>
    <row r="556" spans="1:14">
      <c r="A556" s="19" t="s">
        <v>2538</v>
      </c>
      <c r="B556" s="19">
        <v>15</v>
      </c>
      <c r="C556" s="19" t="s">
        <v>2509</v>
      </c>
      <c r="D556" s="19" t="s">
        <v>2510</v>
      </c>
      <c r="E556" s="19" t="s">
        <v>855</v>
      </c>
      <c r="F556" s="19">
        <v>2023</v>
      </c>
      <c r="G556" s="21">
        <v>0.74793345</v>
      </c>
      <c r="H556" s="19" t="s">
        <v>2511</v>
      </c>
      <c r="I556" s="19" t="s">
        <v>865</v>
      </c>
      <c r="J556" s="21">
        <v>0.74793345</v>
      </c>
      <c r="K556" s="19" t="s">
        <v>2512</v>
      </c>
      <c r="L556" s="19" t="s">
        <v>2513</v>
      </c>
      <c r="M556" s="19" t="s">
        <v>2514</v>
      </c>
      <c r="N556" s="19" t="s">
        <v>2484</v>
      </c>
    </row>
    <row r="557" spans="1:14">
      <c r="A557" s="19" t="s">
        <v>2538</v>
      </c>
      <c r="B557" s="19">
        <v>16</v>
      </c>
      <c r="C557" s="19" t="s">
        <v>1239</v>
      </c>
      <c r="D557" s="19" t="s">
        <v>1240</v>
      </c>
      <c r="E557" s="19" t="s">
        <v>855</v>
      </c>
      <c r="F557" s="19">
        <v>2022</v>
      </c>
      <c r="G557" s="21">
        <v>0.74744520000000003</v>
      </c>
      <c r="H557" s="19" t="s">
        <v>1241</v>
      </c>
      <c r="I557" s="19" t="s">
        <v>865</v>
      </c>
      <c r="J557" s="21">
        <v>0.74744520000000003</v>
      </c>
      <c r="K557" s="19" t="s">
        <v>1242</v>
      </c>
      <c r="L557" s="19" t="s">
        <v>1243</v>
      </c>
      <c r="M557" s="19" t="s">
        <v>1244</v>
      </c>
      <c r="N557" s="19" t="s">
        <v>2484</v>
      </c>
    </row>
    <row r="558" spans="1:14">
      <c r="A558" s="19" t="s">
        <v>2538</v>
      </c>
      <c r="B558" s="19">
        <v>17</v>
      </c>
      <c r="C558" s="19" t="s">
        <v>1051</v>
      </c>
      <c r="D558" s="19" t="s">
        <v>1052</v>
      </c>
      <c r="E558" s="19" t="s">
        <v>855</v>
      </c>
      <c r="F558" s="19">
        <v>2022</v>
      </c>
      <c r="G558" s="21">
        <v>0.74730145999999997</v>
      </c>
      <c r="H558" s="19" t="s">
        <v>2515</v>
      </c>
      <c r="I558" s="19" t="s">
        <v>865</v>
      </c>
      <c r="J558" s="21">
        <v>0.74730145999999997</v>
      </c>
      <c r="K558" s="19" t="s">
        <v>2516</v>
      </c>
      <c r="L558" s="19" t="s">
        <v>2517</v>
      </c>
      <c r="M558" s="19"/>
      <c r="N558" s="19" t="s">
        <v>2484</v>
      </c>
    </row>
    <row r="559" spans="1:14">
      <c r="A559" s="19" t="s">
        <v>2538</v>
      </c>
      <c r="B559" s="19">
        <v>18</v>
      </c>
      <c r="C559" s="19" t="s">
        <v>2518</v>
      </c>
      <c r="D559" s="19" t="s">
        <v>2519</v>
      </c>
      <c r="E559" s="19" t="s">
        <v>855</v>
      </c>
      <c r="F559" s="19">
        <v>2022</v>
      </c>
      <c r="G559" s="21">
        <v>0.74462914000000002</v>
      </c>
      <c r="H559" s="19" t="s">
        <v>2520</v>
      </c>
      <c r="I559" s="19" t="s">
        <v>865</v>
      </c>
      <c r="J559" s="21">
        <v>0.74462914000000002</v>
      </c>
      <c r="K559" s="19" t="s">
        <v>2521</v>
      </c>
      <c r="L559" s="19" t="s">
        <v>2522</v>
      </c>
      <c r="M559" s="19"/>
      <c r="N559" s="19" t="s">
        <v>2523</v>
      </c>
    </row>
    <row r="560" spans="1:14">
      <c r="A560" s="19" t="s">
        <v>2538</v>
      </c>
      <c r="B560" s="19">
        <v>19</v>
      </c>
      <c r="C560" s="19" t="s">
        <v>2524</v>
      </c>
      <c r="D560" s="19" t="s">
        <v>2525</v>
      </c>
      <c r="E560" s="19" t="s">
        <v>855</v>
      </c>
      <c r="F560" s="19">
        <v>2023</v>
      </c>
      <c r="G560" s="21">
        <v>0.73434219999999994</v>
      </c>
      <c r="H560" s="19" t="s">
        <v>2526</v>
      </c>
      <c r="I560" s="19" t="s">
        <v>865</v>
      </c>
      <c r="J560" s="21">
        <v>0.73434219999999994</v>
      </c>
      <c r="K560" s="19" t="s">
        <v>2527</v>
      </c>
      <c r="L560" s="19" t="s">
        <v>2528</v>
      </c>
      <c r="M560" s="19"/>
      <c r="N560" s="19" t="s">
        <v>2529</v>
      </c>
    </row>
    <row r="561" spans="1:14">
      <c r="A561" s="19" t="s">
        <v>2538</v>
      </c>
      <c r="B561" s="19">
        <v>20</v>
      </c>
      <c r="C561" s="19" t="s">
        <v>2530</v>
      </c>
      <c r="D561" s="19" t="s">
        <v>2531</v>
      </c>
      <c r="E561" s="19" t="s">
        <v>855</v>
      </c>
      <c r="F561" s="19">
        <v>2014</v>
      </c>
      <c r="G561" s="21">
        <v>0.72910136000000003</v>
      </c>
      <c r="H561" s="19" t="s">
        <v>2532</v>
      </c>
      <c r="I561" s="19" t="s">
        <v>857</v>
      </c>
      <c r="J561" s="21">
        <v>0.72910136000000003</v>
      </c>
      <c r="K561" s="19" t="s">
        <v>2533</v>
      </c>
      <c r="L561" s="19" t="s">
        <v>2534</v>
      </c>
      <c r="M561" s="19"/>
      <c r="N561" s="19" t="s">
        <v>2041</v>
      </c>
    </row>
    <row r="562" spans="1:14">
      <c r="A562" s="19" t="s">
        <v>2539</v>
      </c>
      <c r="B562" s="19">
        <v>1</v>
      </c>
      <c r="C562" s="19" t="s">
        <v>2088</v>
      </c>
      <c r="D562" s="19" t="s">
        <v>415</v>
      </c>
      <c r="E562" s="19" t="s">
        <v>2089</v>
      </c>
      <c r="F562" s="19">
        <v>2004</v>
      </c>
      <c r="G562" s="21">
        <v>0.76165664</v>
      </c>
      <c r="H562" s="19" t="s">
        <v>2196</v>
      </c>
      <c r="I562" s="19" t="s">
        <v>857</v>
      </c>
      <c r="J562" s="21">
        <v>0.76165664</v>
      </c>
      <c r="K562" s="19" t="s">
        <v>2197</v>
      </c>
      <c r="L562" s="19" t="s">
        <v>2198</v>
      </c>
      <c r="M562" s="19" t="s">
        <v>2199</v>
      </c>
      <c r="N562" s="19" t="s">
        <v>2540</v>
      </c>
    </row>
    <row r="563" spans="1:14">
      <c r="A563" s="19" t="s">
        <v>2539</v>
      </c>
      <c r="B563" s="19">
        <v>2</v>
      </c>
      <c r="C563" s="19" t="s">
        <v>2131</v>
      </c>
      <c r="D563" s="19" t="s">
        <v>2132</v>
      </c>
      <c r="E563" s="19" t="s">
        <v>855</v>
      </c>
      <c r="F563" s="19">
        <v>2010</v>
      </c>
      <c r="G563" s="21">
        <v>0.70406009999999997</v>
      </c>
      <c r="H563" s="19" t="s">
        <v>2133</v>
      </c>
      <c r="I563" s="19" t="s">
        <v>857</v>
      </c>
      <c r="J563" s="21">
        <v>0.70406009999999997</v>
      </c>
      <c r="K563" s="19" t="s">
        <v>2134</v>
      </c>
      <c r="L563" s="19" t="s">
        <v>2135</v>
      </c>
      <c r="M563" s="19" t="s">
        <v>2136</v>
      </c>
      <c r="N563" s="19" t="s">
        <v>986</v>
      </c>
    </row>
    <row r="564" spans="1:14">
      <c r="A564" s="19" t="s">
        <v>2539</v>
      </c>
      <c r="B564" s="19">
        <v>3</v>
      </c>
      <c r="C564" s="19" t="s">
        <v>2095</v>
      </c>
      <c r="D564" s="19" t="s">
        <v>2096</v>
      </c>
      <c r="E564" s="19" t="s">
        <v>855</v>
      </c>
      <c r="F564" s="19">
        <v>2015</v>
      </c>
      <c r="G564" s="21">
        <v>0.69195896000000001</v>
      </c>
      <c r="H564" s="19" t="s">
        <v>2212</v>
      </c>
      <c r="I564" s="19" t="s">
        <v>857</v>
      </c>
      <c r="J564" s="21">
        <v>0.69195896000000001</v>
      </c>
      <c r="K564" s="19" t="s">
        <v>2213</v>
      </c>
      <c r="L564" s="19" t="s">
        <v>2214</v>
      </c>
      <c r="M564" s="19"/>
      <c r="N564" s="19" t="s">
        <v>1409</v>
      </c>
    </row>
    <row r="565" spans="1:14">
      <c r="A565" s="19" t="s">
        <v>2539</v>
      </c>
      <c r="B565" s="19">
        <v>4</v>
      </c>
      <c r="C565" s="19" t="s">
        <v>2108</v>
      </c>
      <c r="D565" s="19" t="s">
        <v>709</v>
      </c>
      <c r="E565" s="19" t="s">
        <v>2109</v>
      </c>
      <c r="F565" s="19">
        <v>2016</v>
      </c>
      <c r="G565" s="21">
        <v>0.69067942999999998</v>
      </c>
      <c r="H565" s="19" t="s">
        <v>2204</v>
      </c>
      <c r="I565" s="19" t="s">
        <v>857</v>
      </c>
      <c r="J565" s="21">
        <v>0.69067942999999998</v>
      </c>
      <c r="K565" s="19" t="s">
        <v>2205</v>
      </c>
      <c r="L565" s="19" t="s">
        <v>2206</v>
      </c>
      <c r="M565" s="19"/>
      <c r="N565" s="19" t="s">
        <v>1409</v>
      </c>
    </row>
    <row r="566" spans="1:14">
      <c r="A566" s="19" t="s">
        <v>2539</v>
      </c>
      <c r="B566" s="19">
        <v>5</v>
      </c>
      <c r="C566" s="19" t="s">
        <v>981</v>
      </c>
      <c r="D566" s="19" t="s">
        <v>821</v>
      </c>
      <c r="E566" s="19" t="s">
        <v>855</v>
      </c>
      <c r="F566" s="19">
        <v>2022</v>
      </c>
      <c r="G566" s="21">
        <v>0.68775319999999995</v>
      </c>
      <c r="H566" s="19" t="s">
        <v>982</v>
      </c>
      <c r="I566" s="19" t="s">
        <v>857</v>
      </c>
      <c r="J566" s="21">
        <v>0.68775319999999995</v>
      </c>
      <c r="K566" s="19" t="s">
        <v>983</v>
      </c>
      <c r="L566" s="19" t="s">
        <v>984</v>
      </c>
      <c r="M566" s="19" t="s">
        <v>985</v>
      </c>
      <c r="N566" s="19" t="s">
        <v>1409</v>
      </c>
    </row>
    <row r="567" spans="1:14">
      <c r="A567" s="19" t="s">
        <v>2539</v>
      </c>
      <c r="B567" s="19">
        <v>6</v>
      </c>
      <c r="C567" s="19" t="s">
        <v>2221</v>
      </c>
      <c r="D567" s="19" t="s">
        <v>2222</v>
      </c>
      <c r="E567" s="19" t="s">
        <v>855</v>
      </c>
      <c r="F567" s="19">
        <v>2015</v>
      </c>
      <c r="G567" s="21">
        <v>0.68746039999999997</v>
      </c>
      <c r="H567" s="19" t="s">
        <v>2223</v>
      </c>
      <c r="I567" s="19" t="s">
        <v>857</v>
      </c>
      <c r="J567" s="21">
        <v>0.68746039999999997</v>
      </c>
      <c r="K567" s="19" t="s">
        <v>2224</v>
      </c>
      <c r="L567" s="19" t="s">
        <v>2225</v>
      </c>
      <c r="M567" s="19"/>
      <c r="N567" s="19" t="s">
        <v>1409</v>
      </c>
    </row>
    <row r="568" spans="1:14">
      <c r="A568" s="19" t="s">
        <v>2539</v>
      </c>
      <c r="B568" s="19">
        <v>7</v>
      </c>
      <c r="C568" s="19" t="s">
        <v>2541</v>
      </c>
      <c r="D568" s="19" t="s">
        <v>2542</v>
      </c>
      <c r="E568" s="19" t="s">
        <v>855</v>
      </c>
      <c r="F568" s="19">
        <v>2023</v>
      </c>
      <c r="G568" s="21">
        <v>0.6839056</v>
      </c>
      <c r="H568" s="19" t="s">
        <v>2543</v>
      </c>
      <c r="I568" s="19" t="s">
        <v>951</v>
      </c>
      <c r="J568" s="21">
        <v>0.6839056</v>
      </c>
      <c r="K568" s="19" t="s">
        <v>2544</v>
      </c>
      <c r="L568" s="19" t="s">
        <v>2545</v>
      </c>
      <c r="M568" s="19" t="s">
        <v>2546</v>
      </c>
      <c r="N568" s="19" t="s">
        <v>1000</v>
      </c>
    </row>
    <row r="569" spans="1:14">
      <c r="A569" s="19" t="s">
        <v>2539</v>
      </c>
      <c r="B569" s="19">
        <v>8</v>
      </c>
      <c r="C569" s="19" t="s">
        <v>2547</v>
      </c>
      <c r="D569" s="19" t="s">
        <v>2548</v>
      </c>
      <c r="E569" s="19" t="s">
        <v>855</v>
      </c>
      <c r="F569" s="19">
        <v>2014</v>
      </c>
      <c r="G569" s="21">
        <v>0.68364250000000004</v>
      </c>
      <c r="H569" s="19" t="s">
        <v>2549</v>
      </c>
      <c r="I569" s="19" t="s">
        <v>857</v>
      </c>
      <c r="J569" s="21">
        <v>0.68364250000000004</v>
      </c>
      <c r="K569" s="19" t="s">
        <v>2550</v>
      </c>
      <c r="L569" s="19" t="s">
        <v>2551</v>
      </c>
      <c r="M569" s="19"/>
      <c r="N569" s="19" t="s">
        <v>861</v>
      </c>
    </row>
    <row r="570" spans="1:14">
      <c r="A570" s="19" t="s">
        <v>2539</v>
      </c>
      <c r="B570" s="19">
        <v>9</v>
      </c>
      <c r="C570" s="19" t="s">
        <v>2147</v>
      </c>
      <c r="D570" s="19" t="s">
        <v>2148</v>
      </c>
      <c r="E570" s="19" t="s">
        <v>855</v>
      </c>
      <c r="F570" s="19">
        <v>2022</v>
      </c>
      <c r="G570" s="21">
        <v>0.68059990000000004</v>
      </c>
      <c r="H570" s="19" t="s">
        <v>2149</v>
      </c>
      <c r="I570" s="19" t="s">
        <v>951</v>
      </c>
      <c r="J570" s="21">
        <v>0.68059990000000004</v>
      </c>
      <c r="K570" s="19" t="s">
        <v>2150</v>
      </c>
      <c r="L570" s="19" t="s">
        <v>2151</v>
      </c>
      <c r="M570" s="19" t="s">
        <v>2152</v>
      </c>
      <c r="N570" s="19" t="s">
        <v>1000</v>
      </c>
    </row>
    <row r="571" spans="1:14">
      <c r="A571" s="19" t="s">
        <v>2539</v>
      </c>
      <c r="B571" s="19">
        <v>10</v>
      </c>
      <c r="C571" s="19" t="s">
        <v>2207</v>
      </c>
      <c r="D571" s="19" t="s">
        <v>2208</v>
      </c>
      <c r="E571" s="19" t="s">
        <v>855</v>
      </c>
      <c r="F571" s="19">
        <v>2014</v>
      </c>
      <c r="G571" s="21">
        <v>0.67946242999999995</v>
      </c>
      <c r="H571" s="19" t="s">
        <v>2209</v>
      </c>
      <c r="I571" s="19" t="s">
        <v>857</v>
      </c>
      <c r="J571" s="21">
        <v>0.67946242999999995</v>
      </c>
      <c r="K571" s="19" t="s">
        <v>2210</v>
      </c>
      <c r="L571" s="19" t="s">
        <v>2211</v>
      </c>
      <c r="M571" s="19"/>
      <c r="N571" s="19" t="s">
        <v>861</v>
      </c>
    </row>
    <row r="572" spans="1:14">
      <c r="A572" s="19" t="s">
        <v>2539</v>
      </c>
      <c r="B572" s="19">
        <v>11</v>
      </c>
      <c r="C572" s="19" t="s">
        <v>2552</v>
      </c>
      <c r="D572" s="19" t="s">
        <v>2553</v>
      </c>
      <c r="E572" s="19" t="s">
        <v>855</v>
      </c>
      <c r="F572" s="19">
        <v>2015</v>
      </c>
      <c r="G572" s="21">
        <v>0.67888020000000004</v>
      </c>
      <c r="H572" s="19" t="s">
        <v>2554</v>
      </c>
      <c r="I572" s="19" t="s">
        <v>951</v>
      </c>
      <c r="J572" s="21">
        <v>0.67888020000000004</v>
      </c>
      <c r="K572" s="19" t="s">
        <v>2555</v>
      </c>
      <c r="L572" s="19" t="s">
        <v>2556</v>
      </c>
      <c r="M572" s="19" t="s">
        <v>2557</v>
      </c>
      <c r="N572" s="19" t="s">
        <v>1000</v>
      </c>
    </row>
    <row r="573" spans="1:14">
      <c r="A573" s="19" t="s">
        <v>2539</v>
      </c>
      <c r="B573" s="19">
        <v>12</v>
      </c>
      <c r="C573" s="19" t="s">
        <v>2226</v>
      </c>
      <c r="D573" s="19" t="s">
        <v>2227</v>
      </c>
      <c r="E573" s="19" t="s">
        <v>855</v>
      </c>
      <c r="F573" s="19">
        <v>2015</v>
      </c>
      <c r="G573" s="21">
        <v>0.67654210000000004</v>
      </c>
      <c r="H573" s="19" t="s">
        <v>2228</v>
      </c>
      <c r="I573" s="19" t="s">
        <v>857</v>
      </c>
      <c r="J573" s="21">
        <v>0.67654210000000004</v>
      </c>
      <c r="K573" s="19" t="s">
        <v>2229</v>
      </c>
      <c r="L573" s="19" t="s">
        <v>2230</v>
      </c>
      <c r="M573" s="19"/>
      <c r="N573" s="19" t="s">
        <v>861</v>
      </c>
    </row>
    <row r="574" spans="1:14">
      <c r="A574" s="19" t="s">
        <v>2539</v>
      </c>
      <c r="B574" s="19">
        <v>13</v>
      </c>
      <c r="C574" s="19" t="s">
        <v>2558</v>
      </c>
      <c r="D574" s="19" t="s">
        <v>2559</v>
      </c>
      <c r="E574" s="19" t="s">
        <v>855</v>
      </c>
      <c r="F574" s="19">
        <v>2022</v>
      </c>
      <c r="G574" s="21">
        <v>0.67582010000000003</v>
      </c>
      <c r="H574" s="19" t="s">
        <v>2560</v>
      </c>
      <c r="I574" s="19" t="s">
        <v>951</v>
      </c>
      <c r="J574" s="21">
        <v>0.67582010000000003</v>
      </c>
      <c r="K574" s="19" t="s">
        <v>2561</v>
      </c>
      <c r="L574" s="19" t="s">
        <v>2562</v>
      </c>
      <c r="M574" s="19" t="s">
        <v>2563</v>
      </c>
      <c r="N574" s="19" t="s">
        <v>1000</v>
      </c>
    </row>
    <row r="575" spans="1:14">
      <c r="A575" s="19" t="s">
        <v>2539</v>
      </c>
      <c r="B575" s="19">
        <v>14</v>
      </c>
      <c r="C575" s="19" t="s">
        <v>1032</v>
      </c>
      <c r="D575" s="19" t="s">
        <v>1033</v>
      </c>
      <c r="E575" s="19" t="s">
        <v>855</v>
      </c>
      <c r="F575" s="19">
        <v>2016</v>
      </c>
      <c r="G575" s="21">
        <v>0.67192834999999995</v>
      </c>
      <c r="H575" s="19" t="s">
        <v>1034</v>
      </c>
      <c r="I575" s="19" t="s">
        <v>857</v>
      </c>
      <c r="J575" s="21">
        <v>0.67192834999999995</v>
      </c>
      <c r="K575" s="19" t="s">
        <v>1035</v>
      </c>
      <c r="L575" s="19" t="s">
        <v>1036</v>
      </c>
      <c r="M575" s="19" t="s">
        <v>1037</v>
      </c>
      <c r="N575" s="19" t="s">
        <v>1038</v>
      </c>
    </row>
    <row r="576" spans="1:14">
      <c r="A576" s="19" t="s">
        <v>2539</v>
      </c>
      <c r="B576" s="19">
        <v>15</v>
      </c>
      <c r="C576" s="19" t="s">
        <v>2564</v>
      </c>
      <c r="D576" s="19" t="s">
        <v>2565</v>
      </c>
      <c r="E576" s="19" t="s">
        <v>855</v>
      </c>
      <c r="F576" s="19">
        <v>2023</v>
      </c>
      <c r="G576" s="21">
        <v>0.67172164000000001</v>
      </c>
      <c r="H576" s="19" t="s">
        <v>2566</v>
      </c>
      <c r="I576" s="19" t="s">
        <v>951</v>
      </c>
      <c r="J576" s="21">
        <v>0.67172164000000001</v>
      </c>
      <c r="K576" s="19" t="s">
        <v>2567</v>
      </c>
      <c r="L576" s="19" t="s">
        <v>2568</v>
      </c>
      <c r="M576" s="19" t="s">
        <v>2569</v>
      </c>
      <c r="N576" s="19" t="s">
        <v>1019</v>
      </c>
    </row>
    <row r="577" spans="1:14">
      <c r="A577" s="19" t="s">
        <v>2539</v>
      </c>
      <c r="B577" s="19">
        <v>16</v>
      </c>
      <c r="C577" s="19" t="s">
        <v>994</v>
      </c>
      <c r="D577" s="19" t="s">
        <v>995</v>
      </c>
      <c r="E577" s="19" t="s">
        <v>855</v>
      </c>
      <c r="F577" s="19">
        <v>2022</v>
      </c>
      <c r="G577" s="21">
        <v>0.67155980000000004</v>
      </c>
      <c r="H577" s="19" t="s">
        <v>2200</v>
      </c>
      <c r="I577" s="19" t="s">
        <v>925</v>
      </c>
      <c r="J577" s="21">
        <v>0.67155980000000004</v>
      </c>
      <c r="K577" s="19" t="s">
        <v>2201</v>
      </c>
      <c r="L577" s="19" t="s">
        <v>2202</v>
      </c>
      <c r="M577" s="19" t="s">
        <v>2203</v>
      </c>
      <c r="N577" s="19" t="s">
        <v>2570</v>
      </c>
    </row>
    <row r="578" spans="1:14">
      <c r="A578" s="19" t="s">
        <v>2539</v>
      </c>
      <c r="B578" s="19">
        <v>17</v>
      </c>
      <c r="C578" s="19" t="s">
        <v>2571</v>
      </c>
      <c r="D578" s="19" t="s">
        <v>2572</v>
      </c>
      <c r="E578" s="19" t="s">
        <v>855</v>
      </c>
      <c r="F578" s="19">
        <v>2015</v>
      </c>
      <c r="G578" s="21">
        <v>0.66161210000000004</v>
      </c>
      <c r="H578" s="19" t="s">
        <v>2573</v>
      </c>
      <c r="I578" s="19" t="s">
        <v>857</v>
      </c>
      <c r="J578" s="21">
        <v>0.66161210000000004</v>
      </c>
      <c r="K578" s="19" t="s">
        <v>2574</v>
      </c>
      <c r="L578" s="19" t="s">
        <v>2575</v>
      </c>
      <c r="M578" s="19"/>
      <c r="N578" s="19" t="s">
        <v>1350</v>
      </c>
    </row>
    <row r="579" spans="1:14">
      <c r="A579" s="19" t="s">
        <v>2539</v>
      </c>
      <c r="B579" s="19">
        <v>18</v>
      </c>
      <c r="C579" s="19" t="s">
        <v>2576</v>
      </c>
      <c r="D579" s="19" t="s">
        <v>2577</v>
      </c>
      <c r="E579" s="19" t="s">
        <v>855</v>
      </c>
      <c r="F579" s="19">
        <v>2014</v>
      </c>
      <c r="G579" s="21">
        <v>0.66129150000000003</v>
      </c>
      <c r="H579" s="19" t="s">
        <v>2578</v>
      </c>
      <c r="I579" s="19" t="s">
        <v>857</v>
      </c>
      <c r="J579" s="21">
        <v>0.66129150000000003</v>
      </c>
      <c r="K579" s="19" t="s">
        <v>2579</v>
      </c>
      <c r="L579" s="19" t="s">
        <v>2580</v>
      </c>
      <c r="M579" s="19"/>
      <c r="N579" s="19" t="s">
        <v>1350</v>
      </c>
    </row>
    <row r="580" spans="1:14">
      <c r="A580" s="19" t="s">
        <v>2539</v>
      </c>
      <c r="B580" s="19">
        <v>19</v>
      </c>
      <c r="C580" s="19" t="s">
        <v>2581</v>
      </c>
      <c r="D580" s="19" t="s">
        <v>2582</v>
      </c>
      <c r="E580" s="19" t="s">
        <v>855</v>
      </c>
      <c r="F580" s="19">
        <v>2022</v>
      </c>
      <c r="G580" s="21">
        <v>0.66094050000000004</v>
      </c>
      <c r="H580" s="19" t="s">
        <v>2583</v>
      </c>
      <c r="I580" s="19" t="s">
        <v>951</v>
      </c>
      <c r="J580" s="21">
        <v>0.66094050000000004</v>
      </c>
      <c r="K580" s="19" t="s">
        <v>2584</v>
      </c>
      <c r="L580" s="19" t="s">
        <v>2585</v>
      </c>
      <c r="M580" s="19" t="s">
        <v>2586</v>
      </c>
      <c r="N580" s="19" t="s">
        <v>1103</v>
      </c>
    </row>
    <row r="581" spans="1:14">
      <c r="A581" s="19" t="s">
        <v>2539</v>
      </c>
      <c r="B581" s="19">
        <v>20</v>
      </c>
      <c r="C581" s="19" t="s">
        <v>2587</v>
      </c>
      <c r="D581" s="19" t="s">
        <v>2588</v>
      </c>
      <c r="E581" s="19" t="s">
        <v>855</v>
      </c>
      <c r="F581" s="19">
        <v>2014</v>
      </c>
      <c r="G581" s="21">
        <v>0.6602768</v>
      </c>
      <c r="H581" s="19" t="s">
        <v>2589</v>
      </c>
      <c r="I581" s="19" t="s">
        <v>951</v>
      </c>
      <c r="J581" s="21">
        <v>0.6602768</v>
      </c>
      <c r="K581" s="19" t="s">
        <v>2590</v>
      </c>
      <c r="L581" s="19" t="s">
        <v>2591</v>
      </c>
      <c r="M581" s="19" t="s">
        <v>2592</v>
      </c>
      <c r="N581" s="19" t="s">
        <v>1103</v>
      </c>
    </row>
    <row r="582" spans="1:14">
      <c r="A582" s="19" t="s">
        <v>2593</v>
      </c>
      <c r="B582" s="19">
        <v>1</v>
      </c>
      <c r="C582" s="19" t="s">
        <v>2088</v>
      </c>
      <c r="D582" s="19" t="s">
        <v>415</v>
      </c>
      <c r="E582" s="19" t="s">
        <v>2089</v>
      </c>
      <c r="F582" s="19">
        <v>2004</v>
      </c>
      <c r="G582" s="21">
        <v>0.76152410000000004</v>
      </c>
      <c r="H582" s="19" t="s">
        <v>2196</v>
      </c>
      <c r="I582" s="19" t="s">
        <v>857</v>
      </c>
      <c r="J582" s="21">
        <v>0.76152410000000004</v>
      </c>
      <c r="K582" s="19" t="s">
        <v>2197</v>
      </c>
      <c r="L582" s="19" t="s">
        <v>2198</v>
      </c>
      <c r="M582" s="19" t="s">
        <v>2199</v>
      </c>
      <c r="N582" s="19" t="s">
        <v>2540</v>
      </c>
    </row>
    <row r="583" spans="1:14">
      <c r="A583" s="19" t="s">
        <v>2593</v>
      </c>
      <c r="B583" s="19">
        <v>2</v>
      </c>
      <c r="C583" s="19" t="s">
        <v>2131</v>
      </c>
      <c r="D583" s="19" t="s">
        <v>2132</v>
      </c>
      <c r="E583" s="19" t="s">
        <v>855</v>
      </c>
      <c r="F583" s="19">
        <v>2010</v>
      </c>
      <c r="G583" s="21">
        <v>0.70397823999999998</v>
      </c>
      <c r="H583" s="19" t="s">
        <v>2133</v>
      </c>
      <c r="I583" s="19" t="s">
        <v>857</v>
      </c>
      <c r="J583" s="21">
        <v>0.70397823999999998</v>
      </c>
      <c r="K583" s="19" t="s">
        <v>2134</v>
      </c>
      <c r="L583" s="19" t="s">
        <v>2135</v>
      </c>
      <c r="M583" s="19" t="s">
        <v>2136</v>
      </c>
      <c r="N583" s="19" t="s">
        <v>986</v>
      </c>
    </row>
    <row r="584" spans="1:14">
      <c r="A584" s="19" t="s">
        <v>2593</v>
      </c>
      <c r="B584" s="19">
        <v>3</v>
      </c>
      <c r="C584" s="19" t="s">
        <v>2095</v>
      </c>
      <c r="D584" s="19" t="s">
        <v>2096</v>
      </c>
      <c r="E584" s="19" t="s">
        <v>855</v>
      </c>
      <c r="F584" s="19">
        <v>2015</v>
      </c>
      <c r="G584" s="21">
        <v>0.69177120000000003</v>
      </c>
      <c r="H584" s="19" t="s">
        <v>2212</v>
      </c>
      <c r="I584" s="19" t="s">
        <v>857</v>
      </c>
      <c r="J584" s="21">
        <v>0.69177120000000003</v>
      </c>
      <c r="K584" s="19" t="s">
        <v>2213</v>
      </c>
      <c r="L584" s="19" t="s">
        <v>2214</v>
      </c>
      <c r="M584" s="19"/>
      <c r="N584" s="19" t="s">
        <v>1409</v>
      </c>
    </row>
    <row r="585" spans="1:14">
      <c r="A585" s="19" t="s">
        <v>2593</v>
      </c>
      <c r="B585" s="19">
        <v>4</v>
      </c>
      <c r="C585" s="19" t="s">
        <v>2108</v>
      </c>
      <c r="D585" s="19" t="s">
        <v>709</v>
      </c>
      <c r="E585" s="19" t="s">
        <v>2109</v>
      </c>
      <c r="F585" s="19">
        <v>2016</v>
      </c>
      <c r="G585" s="21">
        <v>0.69066450000000001</v>
      </c>
      <c r="H585" s="19" t="s">
        <v>2204</v>
      </c>
      <c r="I585" s="19" t="s">
        <v>857</v>
      </c>
      <c r="J585" s="21">
        <v>0.69066450000000001</v>
      </c>
      <c r="K585" s="19" t="s">
        <v>2205</v>
      </c>
      <c r="L585" s="19" t="s">
        <v>2206</v>
      </c>
      <c r="M585" s="19"/>
      <c r="N585" s="19" t="s">
        <v>1409</v>
      </c>
    </row>
    <row r="586" spans="1:14">
      <c r="A586" s="19" t="s">
        <v>2593</v>
      </c>
      <c r="B586" s="19">
        <v>5</v>
      </c>
      <c r="C586" s="19" t="s">
        <v>981</v>
      </c>
      <c r="D586" s="19" t="s">
        <v>821</v>
      </c>
      <c r="E586" s="19" t="s">
        <v>855</v>
      </c>
      <c r="F586" s="19">
        <v>2022</v>
      </c>
      <c r="G586" s="21">
        <v>0.68751669999999998</v>
      </c>
      <c r="H586" s="19" t="s">
        <v>982</v>
      </c>
      <c r="I586" s="19" t="s">
        <v>857</v>
      </c>
      <c r="J586" s="21">
        <v>0.68751669999999998</v>
      </c>
      <c r="K586" s="19" t="s">
        <v>983</v>
      </c>
      <c r="L586" s="19" t="s">
        <v>984</v>
      </c>
      <c r="M586" s="19" t="s">
        <v>985</v>
      </c>
      <c r="N586" s="19" t="s">
        <v>1409</v>
      </c>
    </row>
    <row r="587" spans="1:14">
      <c r="A587" s="19" t="s">
        <v>2593</v>
      </c>
      <c r="B587" s="19">
        <v>6</v>
      </c>
      <c r="C587" s="19" t="s">
        <v>2221</v>
      </c>
      <c r="D587" s="19" t="s">
        <v>2222</v>
      </c>
      <c r="E587" s="19" t="s">
        <v>855</v>
      </c>
      <c r="F587" s="19">
        <v>2015</v>
      </c>
      <c r="G587" s="21">
        <v>0.68736123999999998</v>
      </c>
      <c r="H587" s="19" t="s">
        <v>2223</v>
      </c>
      <c r="I587" s="19" t="s">
        <v>857</v>
      </c>
      <c r="J587" s="21">
        <v>0.68736123999999998</v>
      </c>
      <c r="K587" s="19" t="s">
        <v>2224</v>
      </c>
      <c r="L587" s="19" t="s">
        <v>2225</v>
      </c>
      <c r="M587" s="19"/>
      <c r="N587" s="19" t="s">
        <v>1409</v>
      </c>
    </row>
    <row r="588" spans="1:14">
      <c r="A588" s="19" t="s">
        <v>2593</v>
      </c>
      <c r="B588" s="19">
        <v>7</v>
      </c>
      <c r="C588" s="19" t="s">
        <v>2541</v>
      </c>
      <c r="D588" s="19" t="s">
        <v>2542</v>
      </c>
      <c r="E588" s="19" t="s">
        <v>855</v>
      </c>
      <c r="F588" s="19">
        <v>2023</v>
      </c>
      <c r="G588" s="21">
        <v>0.68395899999999998</v>
      </c>
      <c r="H588" s="19" t="s">
        <v>2543</v>
      </c>
      <c r="I588" s="19" t="s">
        <v>951</v>
      </c>
      <c r="J588" s="21">
        <v>0.68395899999999998</v>
      </c>
      <c r="K588" s="19" t="s">
        <v>2544</v>
      </c>
      <c r="L588" s="19" t="s">
        <v>2545</v>
      </c>
      <c r="M588" s="19" t="s">
        <v>2546</v>
      </c>
      <c r="N588" s="19" t="s">
        <v>1000</v>
      </c>
    </row>
    <row r="589" spans="1:14">
      <c r="A589" s="19" t="s">
        <v>2593</v>
      </c>
      <c r="B589" s="19">
        <v>8</v>
      </c>
      <c r="C589" s="19" t="s">
        <v>2547</v>
      </c>
      <c r="D589" s="19" t="s">
        <v>2548</v>
      </c>
      <c r="E589" s="19" t="s">
        <v>855</v>
      </c>
      <c r="F589" s="19">
        <v>2014</v>
      </c>
      <c r="G589" s="21">
        <v>0.68373139999999999</v>
      </c>
      <c r="H589" s="19" t="s">
        <v>2549</v>
      </c>
      <c r="I589" s="19" t="s">
        <v>857</v>
      </c>
      <c r="J589" s="21">
        <v>0.68373139999999999</v>
      </c>
      <c r="K589" s="19" t="s">
        <v>2550</v>
      </c>
      <c r="L589" s="19" t="s">
        <v>2551</v>
      </c>
      <c r="M589" s="19"/>
      <c r="N589" s="19" t="s">
        <v>861</v>
      </c>
    </row>
    <row r="590" spans="1:14">
      <c r="A590" s="19" t="s">
        <v>2593</v>
      </c>
      <c r="B590" s="19">
        <v>9</v>
      </c>
      <c r="C590" s="19" t="s">
        <v>2147</v>
      </c>
      <c r="D590" s="19" t="s">
        <v>2148</v>
      </c>
      <c r="E590" s="19" t="s">
        <v>855</v>
      </c>
      <c r="F590" s="19">
        <v>2022</v>
      </c>
      <c r="G590" s="21">
        <v>0.68065463999999998</v>
      </c>
      <c r="H590" s="19" t="s">
        <v>2149</v>
      </c>
      <c r="I590" s="19" t="s">
        <v>951</v>
      </c>
      <c r="J590" s="21">
        <v>0.68065463999999998</v>
      </c>
      <c r="K590" s="19" t="s">
        <v>2150</v>
      </c>
      <c r="L590" s="19" t="s">
        <v>2151</v>
      </c>
      <c r="M590" s="19" t="s">
        <v>2152</v>
      </c>
      <c r="N590" s="19" t="s">
        <v>1000</v>
      </c>
    </row>
    <row r="591" spans="1:14">
      <c r="A591" s="19" t="s">
        <v>2593</v>
      </c>
      <c r="B591" s="19">
        <v>10</v>
      </c>
      <c r="C591" s="19" t="s">
        <v>2207</v>
      </c>
      <c r="D591" s="19" t="s">
        <v>2208</v>
      </c>
      <c r="E591" s="19" t="s">
        <v>855</v>
      </c>
      <c r="F591" s="19">
        <v>2014</v>
      </c>
      <c r="G591" s="21">
        <v>0.6794462</v>
      </c>
      <c r="H591" s="19" t="s">
        <v>2209</v>
      </c>
      <c r="I591" s="19" t="s">
        <v>857</v>
      </c>
      <c r="J591" s="21">
        <v>0.6794462</v>
      </c>
      <c r="K591" s="19" t="s">
        <v>2210</v>
      </c>
      <c r="L591" s="19" t="s">
        <v>2211</v>
      </c>
      <c r="M591" s="19"/>
      <c r="N591" s="19" t="s">
        <v>861</v>
      </c>
    </row>
    <row r="592" spans="1:14">
      <c r="A592" s="19" t="s">
        <v>2593</v>
      </c>
      <c r="B592" s="19">
        <v>11</v>
      </c>
      <c r="C592" s="19" t="s">
        <v>2552</v>
      </c>
      <c r="D592" s="19" t="s">
        <v>2553</v>
      </c>
      <c r="E592" s="19" t="s">
        <v>855</v>
      </c>
      <c r="F592" s="19">
        <v>2015</v>
      </c>
      <c r="G592" s="21">
        <v>0.67887383999999995</v>
      </c>
      <c r="H592" s="19" t="s">
        <v>2554</v>
      </c>
      <c r="I592" s="19" t="s">
        <v>951</v>
      </c>
      <c r="J592" s="21">
        <v>0.67887383999999995</v>
      </c>
      <c r="K592" s="19" t="s">
        <v>2555</v>
      </c>
      <c r="L592" s="19" t="s">
        <v>2556</v>
      </c>
      <c r="M592" s="19" t="s">
        <v>2557</v>
      </c>
      <c r="N592" s="19" t="s">
        <v>1000</v>
      </c>
    </row>
    <row r="593" spans="1:14">
      <c r="A593" s="19" t="s">
        <v>2593</v>
      </c>
      <c r="B593" s="19">
        <v>12</v>
      </c>
      <c r="C593" s="19" t="s">
        <v>2226</v>
      </c>
      <c r="D593" s="19" t="s">
        <v>2227</v>
      </c>
      <c r="E593" s="19" t="s">
        <v>855</v>
      </c>
      <c r="F593" s="19">
        <v>2015</v>
      </c>
      <c r="G593" s="21">
        <v>0.67652500000000004</v>
      </c>
      <c r="H593" s="19" t="s">
        <v>2228</v>
      </c>
      <c r="I593" s="19" t="s">
        <v>857</v>
      </c>
      <c r="J593" s="21">
        <v>0.67652500000000004</v>
      </c>
      <c r="K593" s="19" t="s">
        <v>2229</v>
      </c>
      <c r="L593" s="19" t="s">
        <v>2230</v>
      </c>
      <c r="M593" s="19"/>
      <c r="N593" s="19" t="s">
        <v>861</v>
      </c>
    </row>
    <row r="594" spans="1:14">
      <c r="A594" s="19" t="s">
        <v>2593</v>
      </c>
      <c r="B594" s="19">
        <v>13</v>
      </c>
      <c r="C594" s="19" t="s">
        <v>2558</v>
      </c>
      <c r="D594" s="19" t="s">
        <v>2559</v>
      </c>
      <c r="E594" s="19" t="s">
        <v>855</v>
      </c>
      <c r="F594" s="19">
        <v>2022</v>
      </c>
      <c r="G594" s="21">
        <v>0.67585236000000004</v>
      </c>
      <c r="H594" s="19" t="s">
        <v>2560</v>
      </c>
      <c r="I594" s="19" t="s">
        <v>951</v>
      </c>
      <c r="J594" s="21">
        <v>0.67585236000000004</v>
      </c>
      <c r="K594" s="19" t="s">
        <v>2561</v>
      </c>
      <c r="L594" s="19" t="s">
        <v>2562</v>
      </c>
      <c r="M594" s="19" t="s">
        <v>2563</v>
      </c>
      <c r="N594" s="19" t="s">
        <v>1000</v>
      </c>
    </row>
    <row r="595" spans="1:14">
      <c r="A595" s="19" t="s">
        <v>2593</v>
      </c>
      <c r="B595" s="19">
        <v>14</v>
      </c>
      <c r="C595" s="19" t="s">
        <v>994</v>
      </c>
      <c r="D595" s="19" t="s">
        <v>995</v>
      </c>
      <c r="E595" s="19" t="s">
        <v>855</v>
      </c>
      <c r="F595" s="19">
        <v>2022</v>
      </c>
      <c r="G595" s="21">
        <v>0.67191789999999996</v>
      </c>
      <c r="H595" s="19" t="s">
        <v>2200</v>
      </c>
      <c r="I595" s="19" t="s">
        <v>925</v>
      </c>
      <c r="J595" s="21">
        <v>0.67191789999999996</v>
      </c>
      <c r="K595" s="19" t="s">
        <v>2201</v>
      </c>
      <c r="L595" s="19" t="s">
        <v>2202</v>
      </c>
      <c r="M595" s="19" t="s">
        <v>2203</v>
      </c>
      <c r="N595" s="19" t="s">
        <v>2570</v>
      </c>
    </row>
    <row r="596" spans="1:14">
      <c r="A596" s="19" t="s">
        <v>2593</v>
      </c>
      <c r="B596" s="19">
        <v>15</v>
      </c>
      <c r="C596" s="19" t="s">
        <v>1032</v>
      </c>
      <c r="D596" s="19" t="s">
        <v>1033</v>
      </c>
      <c r="E596" s="19" t="s">
        <v>855</v>
      </c>
      <c r="F596" s="19">
        <v>2016</v>
      </c>
      <c r="G596" s="21">
        <v>0.67181115999999996</v>
      </c>
      <c r="H596" s="19" t="s">
        <v>1034</v>
      </c>
      <c r="I596" s="19" t="s">
        <v>857</v>
      </c>
      <c r="J596" s="21">
        <v>0.67181115999999996</v>
      </c>
      <c r="K596" s="19" t="s">
        <v>1035</v>
      </c>
      <c r="L596" s="19" t="s">
        <v>1036</v>
      </c>
      <c r="M596" s="19" t="s">
        <v>1037</v>
      </c>
      <c r="N596" s="19" t="s">
        <v>1038</v>
      </c>
    </row>
    <row r="597" spans="1:14">
      <c r="A597" s="19" t="s">
        <v>2593</v>
      </c>
      <c r="B597" s="19">
        <v>16</v>
      </c>
      <c r="C597" s="19" t="s">
        <v>2564</v>
      </c>
      <c r="D597" s="19" t="s">
        <v>2565</v>
      </c>
      <c r="E597" s="19" t="s">
        <v>855</v>
      </c>
      <c r="F597" s="19">
        <v>2023</v>
      </c>
      <c r="G597" s="21">
        <v>0.67175114000000002</v>
      </c>
      <c r="H597" s="19" t="s">
        <v>2566</v>
      </c>
      <c r="I597" s="19" t="s">
        <v>951</v>
      </c>
      <c r="J597" s="21">
        <v>0.67175114000000002</v>
      </c>
      <c r="K597" s="19" t="s">
        <v>2567</v>
      </c>
      <c r="L597" s="19" t="s">
        <v>2568</v>
      </c>
      <c r="M597" s="19" t="s">
        <v>2569</v>
      </c>
      <c r="N597" s="19" t="s">
        <v>1019</v>
      </c>
    </row>
    <row r="598" spans="1:14">
      <c r="A598" s="19" t="s">
        <v>2593</v>
      </c>
      <c r="B598" s="19">
        <v>17</v>
      </c>
      <c r="C598" s="19" t="s">
        <v>2571</v>
      </c>
      <c r="D598" s="19" t="s">
        <v>2572</v>
      </c>
      <c r="E598" s="19" t="s">
        <v>855</v>
      </c>
      <c r="F598" s="19">
        <v>2015</v>
      </c>
      <c r="G598" s="21">
        <v>0.66163695</v>
      </c>
      <c r="H598" s="19" t="s">
        <v>2573</v>
      </c>
      <c r="I598" s="19" t="s">
        <v>857</v>
      </c>
      <c r="J598" s="21">
        <v>0.66163695</v>
      </c>
      <c r="K598" s="19" t="s">
        <v>2574</v>
      </c>
      <c r="L598" s="19" t="s">
        <v>2575</v>
      </c>
      <c r="M598" s="19"/>
      <c r="N598" s="19" t="s">
        <v>1350</v>
      </c>
    </row>
    <row r="599" spans="1:14">
      <c r="A599" s="19" t="s">
        <v>2593</v>
      </c>
      <c r="B599" s="19">
        <v>18</v>
      </c>
      <c r="C599" s="19" t="s">
        <v>2576</v>
      </c>
      <c r="D599" s="19" t="s">
        <v>2577</v>
      </c>
      <c r="E599" s="19" t="s">
        <v>855</v>
      </c>
      <c r="F599" s="19">
        <v>2014</v>
      </c>
      <c r="G599" s="21">
        <v>0.66141019999999995</v>
      </c>
      <c r="H599" s="19" t="s">
        <v>2578</v>
      </c>
      <c r="I599" s="19" t="s">
        <v>857</v>
      </c>
      <c r="J599" s="21">
        <v>0.66141019999999995</v>
      </c>
      <c r="K599" s="19" t="s">
        <v>2579</v>
      </c>
      <c r="L599" s="19" t="s">
        <v>2580</v>
      </c>
      <c r="M599" s="19"/>
      <c r="N599" s="19" t="s">
        <v>1350</v>
      </c>
    </row>
    <row r="600" spans="1:14">
      <c r="A600" s="19" t="s">
        <v>2593</v>
      </c>
      <c r="B600" s="19">
        <v>19</v>
      </c>
      <c r="C600" s="19" t="s">
        <v>2581</v>
      </c>
      <c r="D600" s="19" t="s">
        <v>2582</v>
      </c>
      <c r="E600" s="19" t="s">
        <v>855</v>
      </c>
      <c r="F600" s="19">
        <v>2022</v>
      </c>
      <c r="G600" s="21">
        <v>0.66097410000000001</v>
      </c>
      <c r="H600" s="19" t="s">
        <v>2583</v>
      </c>
      <c r="I600" s="19" t="s">
        <v>951</v>
      </c>
      <c r="J600" s="21">
        <v>0.66097410000000001</v>
      </c>
      <c r="K600" s="19" t="s">
        <v>2584</v>
      </c>
      <c r="L600" s="19" t="s">
        <v>2585</v>
      </c>
      <c r="M600" s="19" t="s">
        <v>2586</v>
      </c>
      <c r="N600" s="19" t="s">
        <v>1103</v>
      </c>
    </row>
    <row r="601" spans="1:14">
      <c r="A601" s="19" t="s">
        <v>2593</v>
      </c>
      <c r="B601" s="19">
        <v>20</v>
      </c>
      <c r="C601" s="19" t="s">
        <v>2587</v>
      </c>
      <c r="D601" s="19" t="s">
        <v>2588</v>
      </c>
      <c r="E601" s="19" t="s">
        <v>855</v>
      </c>
      <c r="F601" s="19">
        <v>2014</v>
      </c>
      <c r="G601" s="21">
        <v>0.66027373</v>
      </c>
      <c r="H601" s="19" t="s">
        <v>2589</v>
      </c>
      <c r="I601" s="19" t="s">
        <v>951</v>
      </c>
      <c r="J601" s="21">
        <v>0.66027373</v>
      </c>
      <c r="K601" s="19" t="s">
        <v>2590</v>
      </c>
      <c r="L601" s="19" t="s">
        <v>2591</v>
      </c>
      <c r="M601" s="19" t="s">
        <v>2592</v>
      </c>
      <c r="N601" s="19" t="s">
        <v>1103</v>
      </c>
    </row>
    <row r="602" spans="1:14">
      <c r="A602" s="19" t="s">
        <v>282</v>
      </c>
      <c r="B602" s="19">
        <v>1</v>
      </c>
      <c r="C602" s="19" t="s">
        <v>2088</v>
      </c>
      <c r="D602" s="19" t="s">
        <v>415</v>
      </c>
      <c r="E602" s="19" t="s">
        <v>2089</v>
      </c>
      <c r="F602" s="19">
        <v>2004</v>
      </c>
      <c r="G602" s="21">
        <v>0.76166929999999999</v>
      </c>
      <c r="H602" s="19" t="s">
        <v>2196</v>
      </c>
      <c r="I602" s="19" t="s">
        <v>857</v>
      </c>
      <c r="J602" s="21">
        <v>0.76166929999999999</v>
      </c>
      <c r="K602" s="19" t="s">
        <v>2197</v>
      </c>
      <c r="L602" s="19" t="s">
        <v>2198</v>
      </c>
      <c r="M602" s="19" t="s">
        <v>2199</v>
      </c>
      <c r="N602" s="19" t="s">
        <v>2540</v>
      </c>
    </row>
    <row r="603" spans="1:14">
      <c r="A603" s="19" t="s">
        <v>282</v>
      </c>
      <c r="B603" s="19">
        <v>2</v>
      </c>
      <c r="C603" s="19" t="s">
        <v>2131</v>
      </c>
      <c r="D603" s="19" t="s">
        <v>2132</v>
      </c>
      <c r="E603" s="19" t="s">
        <v>855</v>
      </c>
      <c r="F603" s="19">
        <v>2010</v>
      </c>
      <c r="G603" s="21">
        <v>0.70408559999999998</v>
      </c>
      <c r="H603" s="19" t="s">
        <v>2133</v>
      </c>
      <c r="I603" s="19" t="s">
        <v>857</v>
      </c>
      <c r="J603" s="21">
        <v>0.70408559999999998</v>
      </c>
      <c r="K603" s="19" t="s">
        <v>2134</v>
      </c>
      <c r="L603" s="19" t="s">
        <v>2135</v>
      </c>
      <c r="M603" s="19" t="s">
        <v>2136</v>
      </c>
      <c r="N603" s="19" t="s">
        <v>986</v>
      </c>
    </row>
    <row r="604" spans="1:14">
      <c r="A604" s="19" t="s">
        <v>282</v>
      </c>
      <c r="B604" s="19">
        <v>3</v>
      </c>
      <c r="C604" s="19" t="s">
        <v>2095</v>
      </c>
      <c r="D604" s="19" t="s">
        <v>2096</v>
      </c>
      <c r="E604" s="19" t="s">
        <v>855</v>
      </c>
      <c r="F604" s="19">
        <v>2015</v>
      </c>
      <c r="G604" s="21">
        <v>0.69194084</v>
      </c>
      <c r="H604" s="19" t="s">
        <v>2212</v>
      </c>
      <c r="I604" s="19" t="s">
        <v>857</v>
      </c>
      <c r="J604" s="21">
        <v>0.69194084</v>
      </c>
      <c r="K604" s="19" t="s">
        <v>2213</v>
      </c>
      <c r="L604" s="19" t="s">
        <v>2214</v>
      </c>
      <c r="M604" s="19"/>
      <c r="N604" s="19" t="s">
        <v>1409</v>
      </c>
    </row>
    <row r="605" spans="1:14">
      <c r="A605" s="19" t="s">
        <v>282</v>
      </c>
      <c r="B605" s="19">
        <v>4</v>
      </c>
      <c r="C605" s="19" t="s">
        <v>2108</v>
      </c>
      <c r="D605" s="19" t="s">
        <v>709</v>
      </c>
      <c r="E605" s="19" t="s">
        <v>2109</v>
      </c>
      <c r="F605" s="19">
        <v>2016</v>
      </c>
      <c r="G605" s="21">
        <v>0.69070076999999996</v>
      </c>
      <c r="H605" s="19" t="s">
        <v>2204</v>
      </c>
      <c r="I605" s="19" t="s">
        <v>857</v>
      </c>
      <c r="J605" s="21">
        <v>0.69070076999999996</v>
      </c>
      <c r="K605" s="19" t="s">
        <v>2205</v>
      </c>
      <c r="L605" s="19" t="s">
        <v>2206</v>
      </c>
      <c r="M605" s="19"/>
      <c r="N605" s="19" t="s">
        <v>1409</v>
      </c>
    </row>
    <row r="606" spans="1:14">
      <c r="A606" s="19" t="s">
        <v>282</v>
      </c>
      <c r="B606" s="19">
        <v>5</v>
      </c>
      <c r="C606" s="19" t="s">
        <v>981</v>
      </c>
      <c r="D606" s="19" t="s">
        <v>821</v>
      </c>
      <c r="E606" s="19" t="s">
        <v>855</v>
      </c>
      <c r="F606" s="19">
        <v>2022</v>
      </c>
      <c r="G606" s="21">
        <v>0.68774040000000003</v>
      </c>
      <c r="H606" s="19" t="s">
        <v>982</v>
      </c>
      <c r="I606" s="19" t="s">
        <v>857</v>
      </c>
      <c r="J606" s="21">
        <v>0.68774040000000003</v>
      </c>
      <c r="K606" s="19" t="s">
        <v>983</v>
      </c>
      <c r="L606" s="19" t="s">
        <v>984</v>
      </c>
      <c r="M606" s="19" t="s">
        <v>985</v>
      </c>
      <c r="N606" s="19" t="s">
        <v>1409</v>
      </c>
    </row>
    <row r="607" spans="1:14">
      <c r="A607" s="19" t="s">
        <v>282</v>
      </c>
      <c r="B607" s="19">
        <v>6</v>
      </c>
      <c r="C607" s="19" t="s">
        <v>2221</v>
      </c>
      <c r="D607" s="19" t="s">
        <v>2222</v>
      </c>
      <c r="E607" s="19" t="s">
        <v>855</v>
      </c>
      <c r="F607" s="19">
        <v>2015</v>
      </c>
      <c r="G607" s="21">
        <v>0.68749199999999999</v>
      </c>
      <c r="H607" s="19" t="s">
        <v>2223</v>
      </c>
      <c r="I607" s="19" t="s">
        <v>857</v>
      </c>
      <c r="J607" s="21">
        <v>0.68749199999999999</v>
      </c>
      <c r="K607" s="19" t="s">
        <v>2224</v>
      </c>
      <c r="L607" s="19" t="s">
        <v>2225</v>
      </c>
      <c r="M607" s="19"/>
      <c r="N607" s="19" t="s">
        <v>1409</v>
      </c>
    </row>
    <row r="608" spans="1:14">
      <c r="A608" s="19" t="s">
        <v>282</v>
      </c>
      <c r="B608" s="19">
        <v>7</v>
      </c>
      <c r="C608" s="19" t="s">
        <v>2541</v>
      </c>
      <c r="D608" s="19" t="s">
        <v>2542</v>
      </c>
      <c r="E608" s="19" t="s">
        <v>855</v>
      </c>
      <c r="F608" s="19">
        <v>2023</v>
      </c>
      <c r="G608" s="21">
        <v>0.68387960000000003</v>
      </c>
      <c r="H608" s="19" t="s">
        <v>2543</v>
      </c>
      <c r="I608" s="19" t="s">
        <v>951</v>
      </c>
      <c r="J608" s="21">
        <v>0.68387960000000003</v>
      </c>
      <c r="K608" s="19" t="s">
        <v>2544</v>
      </c>
      <c r="L608" s="19" t="s">
        <v>2545</v>
      </c>
      <c r="M608" s="19" t="s">
        <v>2546</v>
      </c>
      <c r="N608" s="19" t="s">
        <v>1000</v>
      </c>
    </row>
    <row r="609" spans="1:14">
      <c r="A609" s="19" t="s">
        <v>282</v>
      </c>
      <c r="B609" s="19">
        <v>8</v>
      </c>
      <c r="C609" s="19" t="s">
        <v>2547</v>
      </c>
      <c r="D609" s="19" t="s">
        <v>2548</v>
      </c>
      <c r="E609" s="19" t="s">
        <v>855</v>
      </c>
      <c r="F609" s="19">
        <v>2014</v>
      </c>
      <c r="G609" s="21">
        <v>0.68366939999999998</v>
      </c>
      <c r="H609" s="19" t="s">
        <v>2549</v>
      </c>
      <c r="I609" s="19" t="s">
        <v>857</v>
      </c>
      <c r="J609" s="21">
        <v>0.68366939999999998</v>
      </c>
      <c r="K609" s="19" t="s">
        <v>2550</v>
      </c>
      <c r="L609" s="19" t="s">
        <v>2551</v>
      </c>
      <c r="M609" s="19"/>
      <c r="N609" s="19" t="s">
        <v>861</v>
      </c>
    </row>
    <row r="610" spans="1:14">
      <c r="A610" s="19" t="s">
        <v>282</v>
      </c>
      <c r="B610" s="19">
        <v>9</v>
      </c>
      <c r="C610" s="19" t="s">
        <v>2147</v>
      </c>
      <c r="D610" s="19" t="s">
        <v>2148</v>
      </c>
      <c r="E610" s="19" t="s">
        <v>855</v>
      </c>
      <c r="F610" s="19">
        <v>2022</v>
      </c>
      <c r="G610" s="21">
        <v>0.68058777000000004</v>
      </c>
      <c r="H610" s="19" t="s">
        <v>2149</v>
      </c>
      <c r="I610" s="19" t="s">
        <v>951</v>
      </c>
      <c r="J610" s="21">
        <v>0.68058777000000004</v>
      </c>
      <c r="K610" s="19" t="s">
        <v>2150</v>
      </c>
      <c r="L610" s="19" t="s">
        <v>2151</v>
      </c>
      <c r="M610" s="19" t="s">
        <v>2152</v>
      </c>
      <c r="N610" s="19" t="s">
        <v>1000</v>
      </c>
    </row>
    <row r="611" spans="1:14">
      <c r="A611" s="19" t="s">
        <v>282</v>
      </c>
      <c r="B611" s="19">
        <v>10</v>
      </c>
      <c r="C611" s="19" t="s">
        <v>2207</v>
      </c>
      <c r="D611" s="19" t="s">
        <v>2208</v>
      </c>
      <c r="E611" s="19" t="s">
        <v>855</v>
      </c>
      <c r="F611" s="19">
        <v>2014</v>
      </c>
      <c r="G611" s="21">
        <v>0.67953110000000005</v>
      </c>
      <c r="H611" s="19" t="s">
        <v>2209</v>
      </c>
      <c r="I611" s="19" t="s">
        <v>857</v>
      </c>
      <c r="J611" s="21">
        <v>0.67953110000000005</v>
      </c>
      <c r="K611" s="19" t="s">
        <v>2210</v>
      </c>
      <c r="L611" s="19" t="s">
        <v>2211</v>
      </c>
      <c r="M611" s="19"/>
      <c r="N611" s="19" t="s">
        <v>861</v>
      </c>
    </row>
    <row r="612" spans="1:14">
      <c r="A612" s="19" t="s">
        <v>282</v>
      </c>
      <c r="B612" s="19">
        <v>11</v>
      </c>
      <c r="C612" s="19" t="s">
        <v>2552</v>
      </c>
      <c r="D612" s="19" t="s">
        <v>2553</v>
      </c>
      <c r="E612" s="19" t="s">
        <v>855</v>
      </c>
      <c r="F612" s="19">
        <v>2015</v>
      </c>
      <c r="G612" s="21">
        <v>0.67882830000000005</v>
      </c>
      <c r="H612" s="19" t="s">
        <v>2554</v>
      </c>
      <c r="I612" s="19" t="s">
        <v>951</v>
      </c>
      <c r="J612" s="21">
        <v>0.67882830000000005</v>
      </c>
      <c r="K612" s="19" t="s">
        <v>2555</v>
      </c>
      <c r="L612" s="19" t="s">
        <v>2556</v>
      </c>
      <c r="M612" s="19" t="s">
        <v>2557</v>
      </c>
      <c r="N612" s="19" t="s">
        <v>1000</v>
      </c>
    </row>
    <row r="613" spans="1:14">
      <c r="A613" s="19" t="s">
        <v>282</v>
      </c>
      <c r="B613" s="19">
        <v>12</v>
      </c>
      <c r="C613" s="19" t="s">
        <v>2226</v>
      </c>
      <c r="D613" s="19" t="s">
        <v>2227</v>
      </c>
      <c r="E613" s="19" t="s">
        <v>855</v>
      </c>
      <c r="F613" s="19">
        <v>2015</v>
      </c>
      <c r="G613" s="21">
        <v>0.67659619999999998</v>
      </c>
      <c r="H613" s="19" t="s">
        <v>2228</v>
      </c>
      <c r="I613" s="19" t="s">
        <v>857</v>
      </c>
      <c r="J613" s="21">
        <v>0.67659619999999998</v>
      </c>
      <c r="K613" s="19" t="s">
        <v>2229</v>
      </c>
      <c r="L613" s="19" t="s">
        <v>2230</v>
      </c>
      <c r="M613" s="19"/>
      <c r="N613" s="19" t="s">
        <v>861</v>
      </c>
    </row>
    <row r="614" spans="1:14">
      <c r="A614" s="19" t="s">
        <v>282</v>
      </c>
      <c r="B614" s="19">
        <v>13</v>
      </c>
      <c r="C614" s="19" t="s">
        <v>2558</v>
      </c>
      <c r="D614" s="19" t="s">
        <v>2559</v>
      </c>
      <c r="E614" s="19" t="s">
        <v>855</v>
      </c>
      <c r="F614" s="19">
        <v>2022</v>
      </c>
      <c r="G614" s="21">
        <v>0.67579789999999995</v>
      </c>
      <c r="H614" s="19" t="s">
        <v>2560</v>
      </c>
      <c r="I614" s="19" t="s">
        <v>951</v>
      </c>
      <c r="J614" s="21">
        <v>0.67579789999999995</v>
      </c>
      <c r="K614" s="19" t="s">
        <v>2561</v>
      </c>
      <c r="L614" s="19" t="s">
        <v>2562</v>
      </c>
      <c r="M614" s="19" t="s">
        <v>2563</v>
      </c>
      <c r="N614" s="19" t="s">
        <v>1000</v>
      </c>
    </row>
    <row r="615" spans="1:14">
      <c r="A615" s="19" t="s">
        <v>282</v>
      </c>
      <c r="B615" s="19">
        <v>14</v>
      </c>
      <c r="C615" s="19" t="s">
        <v>1032</v>
      </c>
      <c r="D615" s="19" t="s">
        <v>1033</v>
      </c>
      <c r="E615" s="19" t="s">
        <v>855</v>
      </c>
      <c r="F615" s="19">
        <v>2016</v>
      </c>
      <c r="G615" s="21">
        <v>0.67194222999999997</v>
      </c>
      <c r="H615" s="19" t="s">
        <v>1034</v>
      </c>
      <c r="I615" s="19" t="s">
        <v>857</v>
      </c>
      <c r="J615" s="21">
        <v>0.67194222999999997</v>
      </c>
      <c r="K615" s="19" t="s">
        <v>1035</v>
      </c>
      <c r="L615" s="19" t="s">
        <v>1036</v>
      </c>
      <c r="M615" s="19" t="s">
        <v>1037</v>
      </c>
      <c r="N615" s="19" t="s">
        <v>1038</v>
      </c>
    </row>
    <row r="616" spans="1:14">
      <c r="A616" s="19" t="s">
        <v>282</v>
      </c>
      <c r="B616" s="19">
        <v>15</v>
      </c>
      <c r="C616" s="19" t="s">
        <v>2564</v>
      </c>
      <c r="D616" s="19" t="s">
        <v>2565</v>
      </c>
      <c r="E616" s="19" t="s">
        <v>855</v>
      </c>
      <c r="F616" s="19">
        <v>2023</v>
      </c>
      <c r="G616" s="21">
        <v>0.67168760000000005</v>
      </c>
      <c r="H616" s="19" t="s">
        <v>2566</v>
      </c>
      <c r="I616" s="19" t="s">
        <v>951</v>
      </c>
      <c r="J616" s="21">
        <v>0.67168760000000005</v>
      </c>
      <c r="K616" s="19" t="s">
        <v>2567</v>
      </c>
      <c r="L616" s="19" t="s">
        <v>2568</v>
      </c>
      <c r="M616" s="19" t="s">
        <v>2569</v>
      </c>
      <c r="N616" s="19" t="s">
        <v>1019</v>
      </c>
    </row>
    <row r="617" spans="1:14">
      <c r="A617" s="19" t="s">
        <v>282</v>
      </c>
      <c r="B617" s="19">
        <v>16</v>
      </c>
      <c r="C617" s="19" t="s">
        <v>994</v>
      </c>
      <c r="D617" s="19" t="s">
        <v>995</v>
      </c>
      <c r="E617" s="19" t="s">
        <v>855</v>
      </c>
      <c r="F617" s="19">
        <v>2022</v>
      </c>
      <c r="G617" s="21">
        <v>0.67149084999999997</v>
      </c>
      <c r="H617" s="19" t="s">
        <v>2200</v>
      </c>
      <c r="I617" s="19" t="s">
        <v>925</v>
      </c>
      <c r="J617" s="21">
        <v>0.67149084999999997</v>
      </c>
      <c r="K617" s="19" t="s">
        <v>2201</v>
      </c>
      <c r="L617" s="19" t="s">
        <v>2202</v>
      </c>
      <c r="M617" s="19" t="s">
        <v>2203</v>
      </c>
      <c r="N617" s="19" t="s">
        <v>2570</v>
      </c>
    </row>
    <row r="618" spans="1:14">
      <c r="A618" s="19" t="s">
        <v>282</v>
      </c>
      <c r="B618" s="19">
        <v>17</v>
      </c>
      <c r="C618" s="19" t="s">
        <v>2571</v>
      </c>
      <c r="D618" s="19" t="s">
        <v>2572</v>
      </c>
      <c r="E618" s="19" t="s">
        <v>855</v>
      </c>
      <c r="F618" s="19">
        <v>2015</v>
      </c>
      <c r="G618" s="21">
        <v>0.66167927000000004</v>
      </c>
      <c r="H618" s="19" t="s">
        <v>2573</v>
      </c>
      <c r="I618" s="19" t="s">
        <v>857</v>
      </c>
      <c r="J618" s="21">
        <v>0.66167927000000004</v>
      </c>
      <c r="K618" s="19" t="s">
        <v>2574</v>
      </c>
      <c r="L618" s="19" t="s">
        <v>2575</v>
      </c>
      <c r="M618" s="19"/>
      <c r="N618" s="19" t="s">
        <v>1350</v>
      </c>
    </row>
    <row r="619" spans="1:14">
      <c r="A619" s="19" t="s">
        <v>282</v>
      </c>
      <c r="B619" s="19">
        <v>18</v>
      </c>
      <c r="C619" s="19" t="s">
        <v>2576</v>
      </c>
      <c r="D619" s="19" t="s">
        <v>2577</v>
      </c>
      <c r="E619" s="19" t="s">
        <v>855</v>
      </c>
      <c r="F619" s="19">
        <v>2014</v>
      </c>
      <c r="G619" s="21">
        <v>0.66135730000000004</v>
      </c>
      <c r="H619" s="19" t="s">
        <v>2578</v>
      </c>
      <c r="I619" s="19" t="s">
        <v>857</v>
      </c>
      <c r="J619" s="21">
        <v>0.66135730000000004</v>
      </c>
      <c r="K619" s="19" t="s">
        <v>2579</v>
      </c>
      <c r="L619" s="19" t="s">
        <v>2580</v>
      </c>
      <c r="M619" s="19"/>
      <c r="N619" s="19" t="s">
        <v>1350</v>
      </c>
    </row>
    <row r="620" spans="1:14">
      <c r="A620" s="19" t="s">
        <v>282</v>
      </c>
      <c r="B620" s="19">
        <v>19</v>
      </c>
      <c r="C620" s="19" t="s">
        <v>2581</v>
      </c>
      <c r="D620" s="19" t="s">
        <v>2582</v>
      </c>
      <c r="E620" s="19" t="s">
        <v>855</v>
      </c>
      <c r="F620" s="19">
        <v>2022</v>
      </c>
      <c r="G620" s="21">
        <v>0.66092830000000002</v>
      </c>
      <c r="H620" s="19" t="s">
        <v>2583</v>
      </c>
      <c r="I620" s="19" t="s">
        <v>951</v>
      </c>
      <c r="J620" s="21">
        <v>0.66092830000000002</v>
      </c>
      <c r="K620" s="19" t="s">
        <v>2584</v>
      </c>
      <c r="L620" s="19" t="s">
        <v>2585</v>
      </c>
      <c r="M620" s="19" t="s">
        <v>2586</v>
      </c>
      <c r="N620" s="19" t="s">
        <v>1103</v>
      </c>
    </row>
    <row r="621" spans="1:14">
      <c r="A621" s="19" t="s">
        <v>282</v>
      </c>
      <c r="B621" s="19">
        <v>20</v>
      </c>
      <c r="C621" s="19" t="s">
        <v>2587</v>
      </c>
      <c r="D621" s="19" t="s">
        <v>2588</v>
      </c>
      <c r="E621" s="19" t="s">
        <v>855</v>
      </c>
      <c r="F621" s="19">
        <v>2014</v>
      </c>
      <c r="G621" s="21">
        <v>0.66022616999999995</v>
      </c>
      <c r="H621" s="19" t="s">
        <v>2589</v>
      </c>
      <c r="I621" s="19" t="s">
        <v>951</v>
      </c>
      <c r="J621" s="21">
        <v>0.66022616999999995</v>
      </c>
      <c r="K621" s="19" t="s">
        <v>2590</v>
      </c>
      <c r="L621" s="19" t="s">
        <v>2591</v>
      </c>
      <c r="M621" s="19" t="s">
        <v>2592</v>
      </c>
      <c r="N621" s="19" t="s">
        <v>1103</v>
      </c>
    </row>
    <row r="622" spans="1:14">
      <c r="A622" s="19" t="s">
        <v>2594</v>
      </c>
      <c r="B622" s="19">
        <v>1</v>
      </c>
      <c r="C622" s="19" t="s">
        <v>2258</v>
      </c>
      <c r="D622" s="19" t="s">
        <v>493</v>
      </c>
      <c r="E622" s="19" t="s">
        <v>2089</v>
      </c>
      <c r="F622" s="19">
        <v>2002</v>
      </c>
      <c r="G622" s="21">
        <v>0.76120759999999998</v>
      </c>
      <c r="H622" s="19" t="s">
        <v>2259</v>
      </c>
      <c r="I622" s="19" t="s">
        <v>1286</v>
      </c>
      <c r="J622" s="21">
        <v>0.76120759999999998</v>
      </c>
      <c r="K622" s="19" t="s">
        <v>2260</v>
      </c>
      <c r="L622" s="19" t="s">
        <v>2261</v>
      </c>
      <c r="M622" s="19"/>
      <c r="N622" s="19" t="s">
        <v>2595</v>
      </c>
    </row>
    <row r="623" spans="1:14">
      <c r="A623" s="19" t="s">
        <v>2594</v>
      </c>
      <c r="B623" s="19">
        <v>2</v>
      </c>
      <c r="C623" s="19" t="s">
        <v>2473</v>
      </c>
      <c r="D623" s="19" t="s">
        <v>2474</v>
      </c>
      <c r="E623" s="19" t="s">
        <v>855</v>
      </c>
      <c r="F623" s="19">
        <v>2022</v>
      </c>
      <c r="G623" s="21">
        <v>0.7390272</v>
      </c>
      <c r="H623" s="19" t="s">
        <v>2475</v>
      </c>
      <c r="I623" s="19" t="s">
        <v>865</v>
      </c>
      <c r="J623" s="21">
        <v>0.7390272</v>
      </c>
      <c r="K623" s="19" t="s">
        <v>2476</v>
      </c>
      <c r="L623" s="19" t="s">
        <v>2477</v>
      </c>
      <c r="M623" s="19"/>
      <c r="N623" s="19" t="s">
        <v>2523</v>
      </c>
    </row>
    <row r="624" spans="1:14">
      <c r="A624" s="19" t="s">
        <v>2594</v>
      </c>
      <c r="B624" s="19">
        <v>3</v>
      </c>
      <c r="C624" s="19" t="s">
        <v>2596</v>
      </c>
      <c r="D624" s="19" t="s">
        <v>814</v>
      </c>
      <c r="E624" s="19" t="s">
        <v>855</v>
      </c>
      <c r="F624" s="19">
        <v>2014</v>
      </c>
      <c r="G624" s="21">
        <v>0.73674625000000005</v>
      </c>
      <c r="H624" s="19" t="s">
        <v>2597</v>
      </c>
      <c r="I624" s="19" t="s">
        <v>857</v>
      </c>
      <c r="J624" s="21">
        <v>0.73674625000000005</v>
      </c>
      <c r="K624" s="19" t="s">
        <v>2598</v>
      </c>
      <c r="L624" s="19" t="s">
        <v>2599</v>
      </c>
      <c r="M624" s="19"/>
      <c r="N624" s="19" t="s">
        <v>2600</v>
      </c>
    </row>
    <row r="625" spans="1:14">
      <c r="A625" s="19" t="s">
        <v>2594</v>
      </c>
      <c r="B625" s="19">
        <v>4</v>
      </c>
      <c r="C625" s="19" t="s">
        <v>2301</v>
      </c>
      <c r="D625" s="19" t="s">
        <v>2302</v>
      </c>
      <c r="E625" s="19" t="s">
        <v>855</v>
      </c>
      <c r="F625" s="19">
        <v>2022</v>
      </c>
      <c r="G625" s="21">
        <v>0.73386216000000004</v>
      </c>
      <c r="H625" s="19" t="s">
        <v>2303</v>
      </c>
      <c r="I625" s="19" t="s">
        <v>865</v>
      </c>
      <c r="J625" s="21">
        <v>0.73386216000000004</v>
      </c>
      <c r="K625" s="19" t="s">
        <v>2304</v>
      </c>
      <c r="L625" s="19" t="s">
        <v>2305</v>
      </c>
      <c r="M625" s="19" t="s">
        <v>2306</v>
      </c>
      <c r="N625" s="19" t="s">
        <v>2529</v>
      </c>
    </row>
    <row r="626" spans="1:14">
      <c r="A626" s="19" t="s">
        <v>2594</v>
      </c>
      <c r="B626" s="19">
        <v>5</v>
      </c>
      <c r="C626" s="19" t="s">
        <v>2340</v>
      </c>
      <c r="D626" s="19" t="s">
        <v>2341</v>
      </c>
      <c r="E626" s="19" t="s">
        <v>855</v>
      </c>
      <c r="F626" s="19">
        <v>2023</v>
      </c>
      <c r="G626" s="21">
        <v>0.73312973999999997</v>
      </c>
      <c r="H626" s="19" t="s">
        <v>2342</v>
      </c>
      <c r="I626" s="19" t="s">
        <v>865</v>
      </c>
      <c r="J626" s="21">
        <v>0.73312973999999997</v>
      </c>
      <c r="K626" s="19" t="s">
        <v>2343</v>
      </c>
      <c r="L626" s="19" t="s">
        <v>2344</v>
      </c>
      <c r="M626" s="19" t="s">
        <v>2345</v>
      </c>
      <c r="N626" s="19" t="s">
        <v>2529</v>
      </c>
    </row>
    <row r="627" spans="1:14">
      <c r="A627" s="19" t="s">
        <v>2594</v>
      </c>
      <c r="B627" s="19">
        <v>6</v>
      </c>
      <c r="C627" s="19" t="s">
        <v>1245</v>
      </c>
      <c r="D627" s="19" t="s">
        <v>1246</v>
      </c>
      <c r="E627" s="19" t="s">
        <v>855</v>
      </c>
      <c r="F627" s="19">
        <v>2022</v>
      </c>
      <c r="G627" s="21">
        <v>0.73234314</v>
      </c>
      <c r="H627" s="19" t="s">
        <v>1247</v>
      </c>
      <c r="I627" s="19" t="s">
        <v>865</v>
      </c>
      <c r="J627" s="21">
        <v>0.73234314</v>
      </c>
      <c r="K627" s="19" t="s">
        <v>1248</v>
      </c>
      <c r="L627" s="19" t="s">
        <v>1249</v>
      </c>
      <c r="M627" s="19" t="s">
        <v>1250</v>
      </c>
      <c r="N627" s="19" t="s">
        <v>2529</v>
      </c>
    </row>
    <row r="628" spans="1:14">
      <c r="A628" s="19" t="s">
        <v>2594</v>
      </c>
      <c r="B628" s="19">
        <v>7</v>
      </c>
      <c r="C628" s="19" t="s">
        <v>2153</v>
      </c>
      <c r="D628" s="19" t="s">
        <v>810</v>
      </c>
      <c r="E628" s="19" t="s">
        <v>855</v>
      </c>
      <c r="F628" s="19">
        <v>2022</v>
      </c>
      <c r="G628" s="21">
        <v>0.73126924000000004</v>
      </c>
      <c r="H628" s="19" t="s">
        <v>2313</v>
      </c>
      <c r="I628" s="19" t="s">
        <v>865</v>
      </c>
      <c r="J628" s="21">
        <v>0.73126924000000004</v>
      </c>
      <c r="K628" s="19" t="s">
        <v>2314</v>
      </c>
      <c r="L628" s="19" t="s">
        <v>2315</v>
      </c>
      <c r="M628" s="19" t="s">
        <v>2316</v>
      </c>
      <c r="N628" s="19" t="s">
        <v>2529</v>
      </c>
    </row>
    <row r="629" spans="1:14">
      <c r="A629" s="19" t="s">
        <v>2594</v>
      </c>
      <c r="B629" s="19">
        <v>8</v>
      </c>
      <c r="C629" s="19" t="s">
        <v>2268</v>
      </c>
      <c r="D629" s="19" t="s">
        <v>2269</v>
      </c>
      <c r="E629" s="19" t="s">
        <v>855</v>
      </c>
      <c r="F629" s="19">
        <v>2023</v>
      </c>
      <c r="G629" s="21">
        <v>0.73015463000000003</v>
      </c>
      <c r="H629" s="19" t="s">
        <v>2464</v>
      </c>
      <c r="I629" s="19" t="s">
        <v>865</v>
      </c>
      <c r="J629" s="21">
        <v>0.73015463000000003</v>
      </c>
      <c r="K629" s="19" t="s">
        <v>2465</v>
      </c>
      <c r="L629" s="19" t="s">
        <v>2466</v>
      </c>
      <c r="M629" s="19" t="s">
        <v>2467</v>
      </c>
      <c r="N629" s="19" t="s">
        <v>2529</v>
      </c>
    </row>
    <row r="630" spans="1:14">
      <c r="A630" s="19" t="s">
        <v>2594</v>
      </c>
      <c r="B630" s="19">
        <v>9</v>
      </c>
      <c r="C630" s="19" t="s">
        <v>2346</v>
      </c>
      <c r="D630" s="19" t="s">
        <v>2347</v>
      </c>
      <c r="E630" s="19" t="s">
        <v>855</v>
      </c>
      <c r="F630" s="19">
        <v>2014</v>
      </c>
      <c r="G630" s="21">
        <v>0.73007339999999998</v>
      </c>
      <c r="H630" s="19" t="s">
        <v>2601</v>
      </c>
      <c r="I630" s="19" t="s">
        <v>857</v>
      </c>
      <c r="J630" s="21">
        <v>0.73007339999999998</v>
      </c>
      <c r="K630" s="19" t="s">
        <v>2602</v>
      </c>
      <c r="L630" s="19" t="s">
        <v>2603</v>
      </c>
      <c r="M630" s="19"/>
      <c r="N630" s="19" t="s">
        <v>2041</v>
      </c>
    </row>
    <row r="631" spans="1:14">
      <c r="A631" s="19" t="s">
        <v>2594</v>
      </c>
      <c r="B631" s="19">
        <v>10</v>
      </c>
      <c r="C631" s="19" t="s">
        <v>2491</v>
      </c>
      <c r="D631" s="19" t="s">
        <v>2492</v>
      </c>
      <c r="E631" s="19" t="s">
        <v>855</v>
      </c>
      <c r="F631" s="19">
        <v>2022</v>
      </c>
      <c r="G631" s="21">
        <v>0.72922410000000004</v>
      </c>
      <c r="H631" s="19" t="s">
        <v>2493</v>
      </c>
      <c r="I631" s="19" t="s">
        <v>865</v>
      </c>
      <c r="J631" s="21">
        <v>0.72922410000000004</v>
      </c>
      <c r="K631" s="19" t="s">
        <v>2494</v>
      </c>
      <c r="L631" s="19" t="s">
        <v>2495</v>
      </c>
      <c r="M631" s="19" t="s">
        <v>2492</v>
      </c>
      <c r="N631" s="19" t="s">
        <v>2529</v>
      </c>
    </row>
    <row r="632" spans="1:14">
      <c r="A632" s="19" t="s">
        <v>2594</v>
      </c>
      <c r="B632" s="19">
        <v>11</v>
      </c>
      <c r="C632" s="19" t="s">
        <v>2604</v>
      </c>
      <c r="D632" s="19" t="s">
        <v>2605</v>
      </c>
      <c r="E632" s="19" t="s">
        <v>855</v>
      </c>
      <c r="F632" s="19">
        <v>2015</v>
      </c>
      <c r="G632" s="21">
        <v>0.72800549999999997</v>
      </c>
      <c r="H632" s="19" t="s">
        <v>2606</v>
      </c>
      <c r="I632" s="19" t="s">
        <v>857</v>
      </c>
      <c r="J632" s="21">
        <v>0.72800549999999997</v>
      </c>
      <c r="K632" s="19" t="s">
        <v>2607</v>
      </c>
      <c r="L632" s="19" t="s">
        <v>2608</v>
      </c>
      <c r="M632" s="19"/>
      <c r="N632" s="19" t="s">
        <v>2041</v>
      </c>
    </row>
    <row r="633" spans="1:14">
      <c r="A633" s="19" t="s">
        <v>2594</v>
      </c>
      <c r="B633" s="19">
        <v>12</v>
      </c>
      <c r="C633" s="19" t="s">
        <v>1051</v>
      </c>
      <c r="D633" s="19" t="s">
        <v>1052</v>
      </c>
      <c r="E633" s="19" t="s">
        <v>855</v>
      </c>
      <c r="F633" s="19">
        <v>2022</v>
      </c>
      <c r="G633" s="21">
        <v>0.72581700000000005</v>
      </c>
      <c r="H633" s="19" t="s">
        <v>2515</v>
      </c>
      <c r="I633" s="19" t="s">
        <v>865</v>
      </c>
      <c r="J633" s="21">
        <v>0.72581700000000005</v>
      </c>
      <c r="K633" s="19" t="s">
        <v>2516</v>
      </c>
      <c r="L633" s="19" t="s">
        <v>2517</v>
      </c>
      <c r="M633" s="19"/>
      <c r="N633" s="19" t="s">
        <v>2529</v>
      </c>
    </row>
    <row r="634" spans="1:14">
      <c r="A634" s="19" t="s">
        <v>2594</v>
      </c>
      <c r="B634" s="19">
        <v>13</v>
      </c>
      <c r="C634" s="19" t="s">
        <v>2468</v>
      </c>
      <c r="D634" s="19" t="s">
        <v>2469</v>
      </c>
      <c r="E634" s="19" t="s">
        <v>855</v>
      </c>
      <c r="F634" s="19">
        <v>2023</v>
      </c>
      <c r="G634" s="21">
        <v>0.72573410000000005</v>
      </c>
      <c r="H634" s="19" t="s">
        <v>2470</v>
      </c>
      <c r="I634" s="19" t="s">
        <v>865</v>
      </c>
      <c r="J634" s="21">
        <v>0.72573410000000005</v>
      </c>
      <c r="K634" s="19" t="s">
        <v>2471</v>
      </c>
      <c r="L634" s="19" t="s">
        <v>2472</v>
      </c>
      <c r="M634" s="19"/>
      <c r="N634" s="19" t="s">
        <v>2529</v>
      </c>
    </row>
    <row r="635" spans="1:14">
      <c r="A635" s="19" t="s">
        <v>2594</v>
      </c>
      <c r="B635" s="19">
        <v>14</v>
      </c>
      <c r="C635" s="19" t="s">
        <v>1239</v>
      </c>
      <c r="D635" s="19" t="s">
        <v>1240</v>
      </c>
      <c r="E635" s="19" t="s">
        <v>855</v>
      </c>
      <c r="F635" s="19">
        <v>2022</v>
      </c>
      <c r="G635" s="21">
        <v>0.72326860000000004</v>
      </c>
      <c r="H635" s="19" t="s">
        <v>1241</v>
      </c>
      <c r="I635" s="19" t="s">
        <v>865</v>
      </c>
      <c r="J635" s="21">
        <v>0.72326860000000004</v>
      </c>
      <c r="K635" s="19" t="s">
        <v>1242</v>
      </c>
      <c r="L635" s="19" t="s">
        <v>1243</v>
      </c>
      <c r="M635" s="19" t="s">
        <v>1244</v>
      </c>
      <c r="N635" s="19" t="s">
        <v>2609</v>
      </c>
    </row>
    <row r="636" spans="1:14">
      <c r="A636" s="19" t="s">
        <v>2594</v>
      </c>
      <c r="B636" s="19">
        <v>15</v>
      </c>
      <c r="C636" s="19" t="s">
        <v>2485</v>
      </c>
      <c r="D636" s="19" t="s">
        <v>2486</v>
      </c>
      <c r="E636" s="19" t="s">
        <v>855</v>
      </c>
      <c r="F636" s="19">
        <v>2023</v>
      </c>
      <c r="G636" s="21">
        <v>0.72209774999999998</v>
      </c>
      <c r="H636" s="19" t="s">
        <v>2487</v>
      </c>
      <c r="I636" s="19" t="s">
        <v>865</v>
      </c>
      <c r="J636" s="21">
        <v>0.72209774999999998</v>
      </c>
      <c r="K636" s="19" t="s">
        <v>2488</v>
      </c>
      <c r="L636" s="19" t="s">
        <v>2489</v>
      </c>
      <c r="M636" s="19" t="s">
        <v>2490</v>
      </c>
      <c r="N636" s="19" t="s">
        <v>2609</v>
      </c>
    </row>
    <row r="637" spans="1:14">
      <c r="A637" s="19" t="s">
        <v>2594</v>
      </c>
      <c r="B637" s="19">
        <v>16</v>
      </c>
      <c r="C637" s="19" t="s">
        <v>2496</v>
      </c>
      <c r="D637" s="19" t="s">
        <v>2497</v>
      </c>
      <c r="E637" s="19" t="s">
        <v>855</v>
      </c>
      <c r="F637" s="19">
        <v>2023</v>
      </c>
      <c r="G637" s="21">
        <v>0.71955574</v>
      </c>
      <c r="H637" s="19" t="s">
        <v>2498</v>
      </c>
      <c r="I637" s="19" t="s">
        <v>865</v>
      </c>
      <c r="J637" s="21">
        <v>0.71955574</v>
      </c>
      <c r="K637" s="19" t="s">
        <v>2499</v>
      </c>
      <c r="L637" s="19" t="s">
        <v>2500</v>
      </c>
      <c r="M637" s="19"/>
      <c r="N637" s="19" t="s">
        <v>2609</v>
      </c>
    </row>
    <row r="638" spans="1:14">
      <c r="A638" s="19" t="s">
        <v>2594</v>
      </c>
      <c r="B638" s="19">
        <v>17</v>
      </c>
      <c r="C638" s="19" t="s">
        <v>2530</v>
      </c>
      <c r="D638" s="19" t="s">
        <v>2531</v>
      </c>
      <c r="E638" s="19" t="s">
        <v>855</v>
      </c>
      <c r="F638" s="19">
        <v>2014</v>
      </c>
      <c r="G638" s="21">
        <v>0.71952855999999998</v>
      </c>
      <c r="H638" s="19" t="s">
        <v>2532</v>
      </c>
      <c r="I638" s="19" t="s">
        <v>857</v>
      </c>
      <c r="J638" s="21">
        <v>0.71952855999999998</v>
      </c>
      <c r="K638" s="19" t="s">
        <v>2533</v>
      </c>
      <c r="L638" s="19" t="s">
        <v>2534</v>
      </c>
      <c r="M638" s="19"/>
      <c r="N638" s="19" t="s">
        <v>1636</v>
      </c>
    </row>
    <row r="639" spans="1:14">
      <c r="A639" s="19" t="s">
        <v>2594</v>
      </c>
      <c r="B639" s="19">
        <v>18</v>
      </c>
      <c r="C639" s="19" t="s">
        <v>2478</v>
      </c>
      <c r="D639" s="19" t="s">
        <v>2479</v>
      </c>
      <c r="E639" s="19" t="s">
        <v>855</v>
      </c>
      <c r="F639" s="19">
        <v>2023</v>
      </c>
      <c r="G639" s="21">
        <v>0.71896267000000003</v>
      </c>
      <c r="H639" s="19" t="s">
        <v>2480</v>
      </c>
      <c r="I639" s="19" t="s">
        <v>865</v>
      </c>
      <c r="J639" s="21">
        <v>0.71896267000000003</v>
      </c>
      <c r="K639" s="19" t="s">
        <v>2481</v>
      </c>
      <c r="L639" s="19" t="s">
        <v>2482</v>
      </c>
      <c r="M639" s="19" t="s">
        <v>2483</v>
      </c>
      <c r="N639" s="19" t="s">
        <v>2609</v>
      </c>
    </row>
    <row r="640" spans="1:14">
      <c r="A640" s="19" t="s">
        <v>2594</v>
      </c>
      <c r="B640" s="19">
        <v>19</v>
      </c>
      <c r="C640" s="19" t="s">
        <v>2323</v>
      </c>
      <c r="D640" s="19" t="s">
        <v>2324</v>
      </c>
      <c r="E640" s="19" t="s">
        <v>855</v>
      </c>
      <c r="F640" s="19">
        <v>2022</v>
      </c>
      <c r="G640" s="21">
        <v>0.71697330000000004</v>
      </c>
      <c r="H640" s="19" t="s">
        <v>2325</v>
      </c>
      <c r="I640" s="19" t="s">
        <v>865</v>
      </c>
      <c r="J640" s="21">
        <v>0.71697330000000004</v>
      </c>
      <c r="K640" s="19" t="s">
        <v>2326</v>
      </c>
      <c r="L640" s="19" t="s">
        <v>2327</v>
      </c>
      <c r="M640" s="19" t="s">
        <v>2328</v>
      </c>
      <c r="N640" s="19" t="s">
        <v>2609</v>
      </c>
    </row>
    <row r="641" spans="1:14">
      <c r="A641" s="19" t="s">
        <v>2594</v>
      </c>
      <c r="B641" s="19">
        <v>20</v>
      </c>
      <c r="C641" s="19" t="s">
        <v>2501</v>
      </c>
      <c r="D641" s="19" t="s">
        <v>2502</v>
      </c>
      <c r="E641" s="19" t="s">
        <v>855</v>
      </c>
      <c r="F641" s="19">
        <v>2022</v>
      </c>
      <c r="G641" s="21">
        <v>0.7150048</v>
      </c>
      <c r="H641" s="19" t="s">
        <v>2503</v>
      </c>
      <c r="I641" s="19" t="s">
        <v>865</v>
      </c>
      <c r="J641" s="21">
        <v>0.7150048</v>
      </c>
      <c r="K641" s="19" t="s">
        <v>2504</v>
      </c>
      <c r="L641" s="19" t="s">
        <v>2505</v>
      </c>
      <c r="M641" s="19"/>
      <c r="N641" s="19" t="s">
        <v>2609</v>
      </c>
    </row>
    <row r="642" spans="1:14">
      <c r="A642" s="19" t="s">
        <v>66</v>
      </c>
      <c r="B642" s="19">
        <v>1</v>
      </c>
      <c r="C642" s="19" t="s">
        <v>2088</v>
      </c>
      <c r="D642" s="19" t="s">
        <v>415</v>
      </c>
      <c r="E642" s="19" t="s">
        <v>2089</v>
      </c>
      <c r="F642" s="19">
        <v>2004</v>
      </c>
      <c r="G642" s="21">
        <v>0.74885756000000003</v>
      </c>
      <c r="H642" s="19" t="s">
        <v>2196</v>
      </c>
      <c r="I642" s="19" t="s">
        <v>857</v>
      </c>
      <c r="J642" s="21">
        <v>0.74885756000000003</v>
      </c>
      <c r="K642" s="19" t="s">
        <v>2197</v>
      </c>
      <c r="L642" s="19" t="s">
        <v>2198</v>
      </c>
      <c r="M642" s="19" t="s">
        <v>2199</v>
      </c>
      <c r="N642" s="19" t="s">
        <v>2610</v>
      </c>
    </row>
    <row r="643" spans="1:14">
      <c r="A643" s="19" t="s">
        <v>66</v>
      </c>
      <c r="B643" s="19">
        <v>2</v>
      </c>
      <c r="C643" s="19" t="s">
        <v>2108</v>
      </c>
      <c r="D643" s="19" t="s">
        <v>709</v>
      </c>
      <c r="E643" s="19" t="s">
        <v>2109</v>
      </c>
      <c r="F643" s="19">
        <v>2016</v>
      </c>
      <c r="G643" s="21">
        <v>0.71009789999999995</v>
      </c>
      <c r="H643" s="19" t="s">
        <v>2204</v>
      </c>
      <c r="I643" s="19" t="s">
        <v>857</v>
      </c>
      <c r="J643" s="21">
        <v>0.71009789999999995</v>
      </c>
      <c r="K643" s="19" t="s">
        <v>2205</v>
      </c>
      <c r="L643" s="19" t="s">
        <v>2206</v>
      </c>
      <c r="M643" s="19"/>
      <c r="N643" s="19" t="s">
        <v>2049</v>
      </c>
    </row>
    <row r="644" spans="1:14">
      <c r="A644" s="19" t="s">
        <v>66</v>
      </c>
      <c r="B644" s="19">
        <v>3</v>
      </c>
      <c r="C644" s="19" t="s">
        <v>2131</v>
      </c>
      <c r="D644" s="19" t="s">
        <v>2132</v>
      </c>
      <c r="E644" s="19" t="s">
        <v>855</v>
      </c>
      <c r="F644" s="19">
        <v>2010</v>
      </c>
      <c r="G644" s="21">
        <v>0.69786846999999996</v>
      </c>
      <c r="H644" s="19" t="s">
        <v>2133</v>
      </c>
      <c r="I644" s="19" t="s">
        <v>857</v>
      </c>
      <c r="J644" s="21">
        <v>0.69786846999999996</v>
      </c>
      <c r="K644" s="19" t="s">
        <v>2134</v>
      </c>
      <c r="L644" s="19" t="s">
        <v>2135</v>
      </c>
      <c r="M644" s="19" t="s">
        <v>2136</v>
      </c>
      <c r="N644" s="19" t="s">
        <v>986</v>
      </c>
    </row>
    <row r="645" spans="1:14">
      <c r="A645" s="19" t="s">
        <v>66</v>
      </c>
      <c r="B645" s="19">
        <v>4</v>
      </c>
      <c r="C645" s="19" t="s">
        <v>981</v>
      </c>
      <c r="D645" s="19" t="s">
        <v>821</v>
      </c>
      <c r="E645" s="19" t="s">
        <v>855</v>
      </c>
      <c r="F645" s="19">
        <v>2022</v>
      </c>
      <c r="G645" s="21">
        <v>0.69550824</v>
      </c>
      <c r="H645" s="19" t="s">
        <v>2143</v>
      </c>
      <c r="I645" s="19" t="s">
        <v>951</v>
      </c>
      <c r="J645" s="21">
        <v>0.69550824</v>
      </c>
      <c r="K645" s="19" t="s">
        <v>2144</v>
      </c>
      <c r="L645" s="19" t="s">
        <v>2145</v>
      </c>
      <c r="M645" s="19" t="s">
        <v>2146</v>
      </c>
      <c r="N645" s="19" t="s">
        <v>1513</v>
      </c>
    </row>
    <row r="646" spans="1:14">
      <c r="A646" s="19" t="s">
        <v>66</v>
      </c>
      <c r="B646" s="19">
        <v>5</v>
      </c>
      <c r="C646" s="19" t="s">
        <v>2207</v>
      </c>
      <c r="D646" s="19" t="s">
        <v>2208</v>
      </c>
      <c r="E646" s="19" t="s">
        <v>855</v>
      </c>
      <c r="F646" s="19">
        <v>2014</v>
      </c>
      <c r="G646" s="21">
        <v>0.69489144999999997</v>
      </c>
      <c r="H646" s="19" t="s">
        <v>2209</v>
      </c>
      <c r="I646" s="19" t="s">
        <v>857</v>
      </c>
      <c r="J646" s="21">
        <v>0.69489144999999997</v>
      </c>
      <c r="K646" s="19" t="s">
        <v>2210</v>
      </c>
      <c r="L646" s="19" t="s">
        <v>2211</v>
      </c>
      <c r="M646" s="19"/>
      <c r="N646" s="19" t="s">
        <v>1409</v>
      </c>
    </row>
    <row r="647" spans="1:14">
      <c r="A647" s="19" t="s">
        <v>66</v>
      </c>
      <c r="B647" s="19">
        <v>6</v>
      </c>
      <c r="C647" s="19" t="s">
        <v>2611</v>
      </c>
      <c r="D647" s="19" t="s">
        <v>2612</v>
      </c>
      <c r="E647" s="19" t="s">
        <v>855</v>
      </c>
      <c r="F647" s="19">
        <v>2015</v>
      </c>
      <c r="G647" s="21">
        <v>0.69387399999999999</v>
      </c>
      <c r="H647" s="19" t="s">
        <v>2613</v>
      </c>
      <c r="I647" s="19" t="s">
        <v>951</v>
      </c>
      <c r="J647" s="21">
        <v>0.69387399999999999</v>
      </c>
      <c r="K647" s="19" t="s">
        <v>2614</v>
      </c>
      <c r="L647" s="19" t="s">
        <v>2615</v>
      </c>
      <c r="M647" s="19" t="s">
        <v>2616</v>
      </c>
      <c r="N647" s="19" t="s">
        <v>993</v>
      </c>
    </row>
    <row r="648" spans="1:14">
      <c r="A648" s="19" t="s">
        <v>66</v>
      </c>
      <c r="B648" s="19">
        <v>7</v>
      </c>
      <c r="C648" s="19" t="s">
        <v>1032</v>
      </c>
      <c r="D648" s="19" t="s">
        <v>1033</v>
      </c>
      <c r="E648" s="19" t="s">
        <v>855</v>
      </c>
      <c r="F648" s="19">
        <v>2016</v>
      </c>
      <c r="G648" s="21">
        <v>0.6929767</v>
      </c>
      <c r="H648" s="19" t="s">
        <v>2617</v>
      </c>
      <c r="I648" s="19" t="s">
        <v>951</v>
      </c>
      <c r="J648" s="21">
        <v>0.6929767</v>
      </c>
      <c r="K648" s="19" t="s">
        <v>2618</v>
      </c>
      <c r="L648" s="19" t="s">
        <v>2619</v>
      </c>
      <c r="M648" s="19" t="s">
        <v>2620</v>
      </c>
      <c r="N648" s="19" t="s">
        <v>993</v>
      </c>
    </row>
    <row r="649" spans="1:14">
      <c r="A649" s="19" t="s">
        <v>66</v>
      </c>
      <c r="B649" s="19">
        <v>8</v>
      </c>
      <c r="C649" s="19" t="s">
        <v>1007</v>
      </c>
      <c r="D649" s="19" t="s">
        <v>1008</v>
      </c>
      <c r="E649" s="19" t="s">
        <v>855</v>
      </c>
      <c r="F649" s="19">
        <v>2016</v>
      </c>
      <c r="G649" s="21">
        <v>0.69016310000000003</v>
      </c>
      <c r="H649" s="19" t="s">
        <v>1009</v>
      </c>
      <c r="I649" s="19" t="s">
        <v>951</v>
      </c>
      <c r="J649" s="21">
        <v>0.69016310000000003</v>
      </c>
      <c r="K649" s="19" t="s">
        <v>1010</v>
      </c>
      <c r="L649" s="19" t="s">
        <v>1011</v>
      </c>
      <c r="M649" s="19" t="s">
        <v>1012</v>
      </c>
      <c r="N649" s="19" t="s">
        <v>993</v>
      </c>
    </row>
    <row r="650" spans="1:14">
      <c r="A650" s="19" t="s">
        <v>66</v>
      </c>
      <c r="B650" s="19">
        <v>9</v>
      </c>
      <c r="C650" s="19" t="s">
        <v>2147</v>
      </c>
      <c r="D650" s="19" t="s">
        <v>2148</v>
      </c>
      <c r="E650" s="19" t="s">
        <v>855</v>
      </c>
      <c r="F650" s="19">
        <v>2022</v>
      </c>
      <c r="G650" s="21">
        <v>0.68876459999999995</v>
      </c>
      <c r="H650" s="19" t="s">
        <v>2149</v>
      </c>
      <c r="I650" s="19" t="s">
        <v>951</v>
      </c>
      <c r="J650" s="21">
        <v>0.68876459999999995</v>
      </c>
      <c r="K650" s="19" t="s">
        <v>2150</v>
      </c>
      <c r="L650" s="19" t="s">
        <v>2151</v>
      </c>
      <c r="M650" s="19" t="s">
        <v>2152</v>
      </c>
      <c r="N650" s="19" t="s">
        <v>993</v>
      </c>
    </row>
    <row r="651" spans="1:14">
      <c r="A651" s="19" t="s">
        <v>66</v>
      </c>
      <c r="B651" s="19">
        <v>10</v>
      </c>
      <c r="C651" s="19" t="s">
        <v>2113</v>
      </c>
      <c r="D651" s="19" t="s">
        <v>2114</v>
      </c>
      <c r="E651" s="19" t="s">
        <v>855</v>
      </c>
      <c r="F651" s="19">
        <v>2014</v>
      </c>
      <c r="G651" s="21">
        <v>0.68620230000000004</v>
      </c>
      <c r="H651" s="19" t="s">
        <v>2115</v>
      </c>
      <c r="I651" s="19" t="s">
        <v>951</v>
      </c>
      <c r="J651" s="21">
        <v>0.68620230000000004</v>
      </c>
      <c r="K651" s="19" t="s">
        <v>2116</v>
      </c>
      <c r="L651" s="19" t="s">
        <v>2117</v>
      </c>
      <c r="M651" s="19" t="s">
        <v>2118</v>
      </c>
      <c r="N651" s="19" t="s">
        <v>993</v>
      </c>
    </row>
    <row r="652" spans="1:14">
      <c r="A652" s="19" t="s">
        <v>66</v>
      </c>
      <c r="B652" s="19">
        <v>11</v>
      </c>
      <c r="C652" s="19" t="s">
        <v>2095</v>
      </c>
      <c r="D652" s="19" t="s">
        <v>2096</v>
      </c>
      <c r="E652" s="19" t="s">
        <v>855</v>
      </c>
      <c r="F652" s="19">
        <v>2015</v>
      </c>
      <c r="G652" s="21">
        <v>0.68510735</v>
      </c>
      <c r="H652" s="19" t="s">
        <v>2212</v>
      </c>
      <c r="I652" s="19" t="s">
        <v>857</v>
      </c>
      <c r="J652" s="21">
        <v>0.68510735</v>
      </c>
      <c r="K652" s="19" t="s">
        <v>2213</v>
      </c>
      <c r="L652" s="19" t="s">
        <v>2214</v>
      </c>
      <c r="M652" s="19"/>
      <c r="N652" s="19" t="s">
        <v>1409</v>
      </c>
    </row>
    <row r="653" spans="1:14">
      <c r="A653" s="19" t="s">
        <v>66</v>
      </c>
      <c r="B653" s="19">
        <v>12</v>
      </c>
      <c r="C653" s="19" t="s">
        <v>1039</v>
      </c>
      <c r="D653" s="19" t="s">
        <v>1040</v>
      </c>
      <c r="E653" s="19" t="s">
        <v>855</v>
      </c>
      <c r="F653" s="19">
        <v>2022</v>
      </c>
      <c r="G653" s="21">
        <v>0.68239176000000001</v>
      </c>
      <c r="H653" s="19" t="s">
        <v>1041</v>
      </c>
      <c r="I653" s="19" t="s">
        <v>951</v>
      </c>
      <c r="J653" s="21">
        <v>0.68239176000000001</v>
      </c>
      <c r="K653" s="19" t="s">
        <v>1042</v>
      </c>
      <c r="L653" s="19" t="s">
        <v>1043</v>
      </c>
      <c r="M653" s="19" t="s">
        <v>1044</v>
      </c>
      <c r="N653" s="19" t="s">
        <v>1000</v>
      </c>
    </row>
    <row r="654" spans="1:14">
      <c r="A654" s="19" t="s">
        <v>66</v>
      </c>
      <c r="B654" s="19">
        <v>13</v>
      </c>
      <c r="C654" s="19" t="s">
        <v>2621</v>
      </c>
      <c r="D654" s="19" t="s">
        <v>2622</v>
      </c>
      <c r="E654" s="19" t="s">
        <v>855</v>
      </c>
      <c r="F654" s="19">
        <v>2015</v>
      </c>
      <c r="G654" s="21">
        <v>0.68108800000000003</v>
      </c>
      <c r="H654" s="19" t="s">
        <v>2623</v>
      </c>
      <c r="I654" s="19" t="s">
        <v>951</v>
      </c>
      <c r="J654" s="21">
        <v>0.68108800000000003</v>
      </c>
      <c r="K654" s="19" t="s">
        <v>2624</v>
      </c>
      <c r="L654" s="19" t="s">
        <v>2625</v>
      </c>
      <c r="M654" s="19" t="s">
        <v>2626</v>
      </c>
      <c r="N654" s="19" t="s">
        <v>1000</v>
      </c>
    </row>
    <row r="655" spans="1:14">
      <c r="A655" s="19" t="s">
        <v>66</v>
      </c>
      <c r="B655" s="19">
        <v>14</v>
      </c>
      <c r="C655" s="19" t="s">
        <v>994</v>
      </c>
      <c r="D655" s="19" t="s">
        <v>995</v>
      </c>
      <c r="E655" s="19" t="s">
        <v>855</v>
      </c>
      <c r="F655" s="19">
        <v>2022</v>
      </c>
      <c r="G655" s="21">
        <v>0.68103575999999999</v>
      </c>
      <c r="H655" s="19" t="s">
        <v>2200</v>
      </c>
      <c r="I655" s="19" t="s">
        <v>925</v>
      </c>
      <c r="J655" s="21">
        <v>0.68103575999999999</v>
      </c>
      <c r="K655" s="19" t="s">
        <v>2201</v>
      </c>
      <c r="L655" s="19" t="s">
        <v>2202</v>
      </c>
      <c r="M655" s="19" t="s">
        <v>2203</v>
      </c>
      <c r="N655" s="19" t="s">
        <v>1172</v>
      </c>
    </row>
    <row r="656" spans="1:14">
      <c r="A656" s="19" t="s">
        <v>66</v>
      </c>
      <c r="B656" s="19">
        <v>15</v>
      </c>
      <c r="C656" s="19" t="s">
        <v>2158</v>
      </c>
      <c r="D656" s="19" t="s">
        <v>2159</v>
      </c>
      <c r="E656" s="19" t="s">
        <v>855</v>
      </c>
      <c r="F656" s="19">
        <v>2022</v>
      </c>
      <c r="G656" s="21">
        <v>0.68041980000000002</v>
      </c>
      <c r="H656" s="19" t="s">
        <v>2160</v>
      </c>
      <c r="I656" s="19" t="s">
        <v>951</v>
      </c>
      <c r="J656" s="21">
        <v>0.68041980000000002</v>
      </c>
      <c r="K656" s="19" t="s">
        <v>2161</v>
      </c>
      <c r="L656" s="19" t="s">
        <v>2162</v>
      </c>
      <c r="M656" s="19" t="s">
        <v>2163</v>
      </c>
      <c r="N656" s="19" t="s">
        <v>1000</v>
      </c>
    </row>
    <row r="657" spans="1:14">
      <c r="A657" s="19" t="s">
        <v>66</v>
      </c>
      <c r="B657" s="19">
        <v>16</v>
      </c>
      <c r="C657" s="19" t="s">
        <v>2182</v>
      </c>
      <c r="D657" s="19" t="s">
        <v>2183</v>
      </c>
      <c r="E657" s="19" t="s">
        <v>855</v>
      </c>
      <c r="F657" s="19">
        <v>2022</v>
      </c>
      <c r="G657" s="21">
        <v>0.68009339999999996</v>
      </c>
      <c r="H657" s="19" t="s">
        <v>2184</v>
      </c>
      <c r="I657" s="19" t="s">
        <v>951</v>
      </c>
      <c r="J657" s="21">
        <v>0.68009339999999996</v>
      </c>
      <c r="K657" s="19" t="s">
        <v>2185</v>
      </c>
      <c r="L657" s="19" t="s">
        <v>2186</v>
      </c>
      <c r="M657" s="19" t="s">
        <v>2187</v>
      </c>
      <c r="N657" s="19" t="s">
        <v>1000</v>
      </c>
    </row>
    <row r="658" spans="1:14">
      <c r="A658" s="19" t="s">
        <v>66</v>
      </c>
      <c r="B658" s="19">
        <v>17</v>
      </c>
      <c r="C658" s="19" t="s">
        <v>2392</v>
      </c>
      <c r="D658" s="19" t="s">
        <v>2393</v>
      </c>
      <c r="E658" s="19" t="s">
        <v>2191</v>
      </c>
      <c r="F658" s="19">
        <v>2023</v>
      </c>
      <c r="G658" s="21">
        <v>0.679871</v>
      </c>
      <c r="H658" s="19" t="s">
        <v>2627</v>
      </c>
      <c r="I658" s="19" t="s">
        <v>951</v>
      </c>
      <c r="J658" s="21">
        <v>0.679871</v>
      </c>
      <c r="K658" s="19" t="s">
        <v>2628</v>
      </c>
      <c r="L658" s="19" t="s">
        <v>2629</v>
      </c>
      <c r="M658" s="19" t="s">
        <v>2630</v>
      </c>
      <c r="N658" s="19" t="s">
        <v>1000</v>
      </c>
    </row>
    <row r="659" spans="1:14">
      <c r="A659" s="19" t="s">
        <v>66</v>
      </c>
      <c r="B659" s="19">
        <v>18</v>
      </c>
      <c r="C659" s="19" t="s">
        <v>1020</v>
      </c>
      <c r="D659" s="19" t="s">
        <v>1021</v>
      </c>
      <c r="E659" s="19" t="s">
        <v>855</v>
      </c>
      <c r="F659" s="19">
        <v>2016</v>
      </c>
      <c r="G659" s="21">
        <v>0.67846656000000005</v>
      </c>
      <c r="H659" s="19" t="s">
        <v>1022</v>
      </c>
      <c r="I659" s="19" t="s">
        <v>951</v>
      </c>
      <c r="J659" s="21">
        <v>0.67846656000000005</v>
      </c>
      <c r="K659" s="19" t="s">
        <v>1023</v>
      </c>
      <c r="L659" s="19" t="s">
        <v>1024</v>
      </c>
      <c r="M659" s="19" t="s">
        <v>1025</v>
      </c>
      <c r="N659" s="19" t="s">
        <v>1000</v>
      </c>
    </row>
    <row r="660" spans="1:14">
      <c r="A660" s="19" t="s">
        <v>66</v>
      </c>
      <c r="B660" s="19">
        <v>19</v>
      </c>
      <c r="C660" s="19" t="s">
        <v>2631</v>
      </c>
      <c r="D660" s="19" t="s">
        <v>2632</v>
      </c>
      <c r="E660" s="19" t="s">
        <v>855</v>
      </c>
      <c r="F660" s="19">
        <v>2016</v>
      </c>
      <c r="G660" s="21">
        <v>0.6767396</v>
      </c>
      <c r="H660" s="19" t="s">
        <v>2633</v>
      </c>
      <c r="I660" s="19" t="s">
        <v>951</v>
      </c>
      <c r="J660" s="21">
        <v>0.6767396</v>
      </c>
      <c r="K660" s="19" t="s">
        <v>2634</v>
      </c>
      <c r="L660" s="19" t="s">
        <v>2635</v>
      </c>
      <c r="M660" s="19" t="s">
        <v>2636</v>
      </c>
      <c r="N660" s="19" t="s">
        <v>1000</v>
      </c>
    </row>
    <row r="661" spans="1:14">
      <c r="A661" s="19" t="s">
        <v>66</v>
      </c>
      <c r="B661" s="19">
        <v>20</v>
      </c>
      <c r="C661" s="19" t="s">
        <v>1965</v>
      </c>
      <c r="D661" s="19" t="s">
        <v>1966</v>
      </c>
      <c r="E661" s="19" t="s">
        <v>855</v>
      </c>
      <c r="F661" s="19">
        <v>2023</v>
      </c>
      <c r="G661" s="21">
        <v>0.67574080000000003</v>
      </c>
      <c r="H661" s="19" t="s">
        <v>2231</v>
      </c>
      <c r="I661" s="19" t="s">
        <v>951</v>
      </c>
      <c r="J661" s="21">
        <v>0.67574080000000003</v>
      </c>
      <c r="K661" s="19" t="s">
        <v>2232</v>
      </c>
      <c r="L661" s="19" t="s">
        <v>2233</v>
      </c>
      <c r="M661" s="19" t="s">
        <v>2234</v>
      </c>
      <c r="N661" s="19" t="s">
        <v>1000</v>
      </c>
    </row>
    <row r="662" spans="1:14">
      <c r="A662" s="19" t="s">
        <v>503</v>
      </c>
      <c r="B662" s="19">
        <v>1</v>
      </c>
      <c r="C662" s="19" t="s">
        <v>2596</v>
      </c>
      <c r="D662" s="19" t="s">
        <v>814</v>
      </c>
      <c r="E662" s="19" t="s">
        <v>855</v>
      </c>
      <c r="F662" s="19">
        <v>2014</v>
      </c>
      <c r="G662" s="21">
        <v>0.74296795999999998</v>
      </c>
      <c r="H662" s="19" t="s">
        <v>2597</v>
      </c>
      <c r="I662" s="19" t="s">
        <v>857</v>
      </c>
      <c r="J662" s="21">
        <v>0.74296795999999998</v>
      </c>
      <c r="K662" s="19" t="s">
        <v>2598</v>
      </c>
      <c r="L662" s="19" t="s">
        <v>2599</v>
      </c>
      <c r="M662" s="19"/>
      <c r="N662" s="19" t="s">
        <v>2600</v>
      </c>
    </row>
    <row r="663" spans="1:14">
      <c r="A663" s="19" t="s">
        <v>503</v>
      </c>
      <c r="B663" s="19">
        <v>2</v>
      </c>
      <c r="C663" s="19" t="s">
        <v>2530</v>
      </c>
      <c r="D663" s="19" t="s">
        <v>2531</v>
      </c>
      <c r="E663" s="19" t="s">
        <v>855</v>
      </c>
      <c r="F663" s="19">
        <v>2014</v>
      </c>
      <c r="G663" s="21">
        <v>0.73175097</v>
      </c>
      <c r="H663" s="19" t="s">
        <v>2532</v>
      </c>
      <c r="I663" s="19" t="s">
        <v>857</v>
      </c>
      <c r="J663" s="21">
        <v>0.73175097</v>
      </c>
      <c r="K663" s="19" t="s">
        <v>2533</v>
      </c>
      <c r="L663" s="19" t="s">
        <v>2534</v>
      </c>
      <c r="M663" s="19"/>
      <c r="N663" s="19" t="s">
        <v>2041</v>
      </c>
    </row>
    <row r="664" spans="1:14">
      <c r="A664" s="19" t="s">
        <v>503</v>
      </c>
      <c r="B664" s="19">
        <v>3</v>
      </c>
      <c r="C664" s="19" t="s">
        <v>2296</v>
      </c>
      <c r="D664" s="19" t="s">
        <v>2297</v>
      </c>
      <c r="E664" s="19" t="s">
        <v>2127</v>
      </c>
      <c r="F664" s="19">
        <v>2004</v>
      </c>
      <c r="G664" s="21">
        <v>0.72872435999999996</v>
      </c>
      <c r="H664" s="19" t="s">
        <v>2298</v>
      </c>
      <c r="I664" s="19" t="s">
        <v>914</v>
      </c>
      <c r="J664" s="21">
        <v>0.72872435999999996</v>
      </c>
      <c r="K664" s="19" t="s">
        <v>2299</v>
      </c>
      <c r="L664" s="19" t="s">
        <v>2300</v>
      </c>
      <c r="M664" s="19"/>
      <c r="N664" s="19" t="s">
        <v>1604</v>
      </c>
    </row>
    <row r="665" spans="1:14">
      <c r="A665" s="19" t="s">
        <v>503</v>
      </c>
      <c r="B665" s="19">
        <v>4</v>
      </c>
      <c r="C665" s="19" t="s">
        <v>2604</v>
      </c>
      <c r="D665" s="19" t="s">
        <v>2605</v>
      </c>
      <c r="E665" s="19" t="s">
        <v>855</v>
      </c>
      <c r="F665" s="19">
        <v>2015</v>
      </c>
      <c r="G665" s="21">
        <v>0.72853166000000003</v>
      </c>
      <c r="H665" s="19" t="s">
        <v>2606</v>
      </c>
      <c r="I665" s="19" t="s">
        <v>857</v>
      </c>
      <c r="J665" s="21">
        <v>0.72853166000000003</v>
      </c>
      <c r="K665" s="19" t="s">
        <v>2607</v>
      </c>
      <c r="L665" s="19" t="s">
        <v>2608</v>
      </c>
      <c r="M665" s="19"/>
      <c r="N665" s="19" t="s">
        <v>2041</v>
      </c>
    </row>
    <row r="666" spans="1:14">
      <c r="A666" s="19" t="s">
        <v>503</v>
      </c>
      <c r="B666" s="19">
        <v>5</v>
      </c>
      <c r="C666" s="19" t="s">
        <v>2637</v>
      </c>
      <c r="D666" s="19" t="s">
        <v>2638</v>
      </c>
      <c r="E666" s="19" t="s">
        <v>855</v>
      </c>
      <c r="F666" s="19">
        <v>2015</v>
      </c>
      <c r="G666" s="21">
        <v>0.72334063000000004</v>
      </c>
      <c r="H666" s="19" t="s">
        <v>2639</v>
      </c>
      <c r="I666" s="19" t="s">
        <v>857</v>
      </c>
      <c r="J666" s="21">
        <v>0.72334063000000004</v>
      </c>
      <c r="K666" s="19" t="s">
        <v>2640</v>
      </c>
      <c r="L666" s="19" t="s">
        <v>2641</v>
      </c>
      <c r="M666" s="19"/>
      <c r="N666" s="19" t="s">
        <v>1636</v>
      </c>
    </row>
    <row r="667" spans="1:14">
      <c r="A667" s="19" t="s">
        <v>503</v>
      </c>
      <c r="B667" s="19">
        <v>6</v>
      </c>
      <c r="C667" s="19" t="s">
        <v>2346</v>
      </c>
      <c r="D667" s="19" t="s">
        <v>2347</v>
      </c>
      <c r="E667" s="19" t="s">
        <v>855</v>
      </c>
      <c r="F667" s="19">
        <v>2014</v>
      </c>
      <c r="G667" s="21">
        <v>0.71571879999999999</v>
      </c>
      <c r="H667" s="19" t="s">
        <v>2601</v>
      </c>
      <c r="I667" s="19" t="s">
        <v>857</v>
      </c>
      <c r="J667" s="21">
        <v>0.71571879999999999</v>
      </c>
      <c r="K667" s="19" t="s">
        <v>2602</v>
      </c>
      <c r="L667" s="19" t="s">
        <v>2603</v>
      </c>
      <c r="M667" s="19"/>
      <c r="N667" s="19" t="s">
        <v>1636</v>
      </c>
    </row>
    <row r="668" spans="1:14">
      <c r="A668" s="19" t="s">
        <v>503</v>
      </c>
      <c r="B668" s="19">
        <v>7</v>
      </c>
      <c r="C668" s="19" t="s">
        <v>2642</v>
      </c>
      <c r="D668" s="19" t="s">
        <v>2643</v>
      </c>
      <c r="E668" s="19" t="s">
        <v>855</v>
      </c>
      <c r="F668" s="19">
        <v>2015</v>
      </c>
      <c r="G668" s="21">
        <v>0.71111259999999998</v>
      </c>
      <c r="H668" s="19" t="s">
        <v>2644</v>
      </c>
      <c r="I668" s="19" t="s">
        <v>857</v>
      </c>
      <c r="J668" s="21">
        <v>0.71111259999999998</v>
      </c>
      <c r="K668" s="19" t="s">
        <v>2645</v>
      </c>
      <c r="L668" s="19" t="s">
        <v>2646</v>
      </c>
      <c r="M668" s="19"/>
      <c r="N668" s="19" t="s">
        <v>2049</v>
      </c>
    </row>
    <row r="669" spans="1:14">
      <c r="A669" s="19" t="s">
        <v>503</v>
      </c>
      <c r="B669" s="19">
        <v>8</v>
      </c>
      <c r="C669" s="19" t="s">
        <v>2647</v>
      </c>
      <c r="D669" s="19" t="s">
        <v>2648</v>
      </c>
      <c r="E669" s="19" t="s">
        <v>855</v>
      </c>
      <c r="F669" s="19">
        <v>2015</v>
      </c>
      <c r="G669" s="21">
        <v>0.71076273999999995</v>
      </c>
      <c r="H669" s="19" t="s">
        <v>2649</v>
      </c>
      <c r="I669" s="19" t="s">
        <v>857</v>
      </c>
      <c r="J669" s="21">
        <v>0.71076273999999995</v>
      </c>
      <c r="K669" s="19" t="s">
        <v>2650</v>
      </c>
      <c r="L669" s="19" t="s">
        <v>2651</v>
      </c>
      <c r="M669" s="19"/>
      <c r="N669" s="19" t="s">
        <v>2049</v>
      </c>
    </row>
    <row r="670" spans="1:14">
      <c r="A670" s="19" t="s">
        <v>503</v>
      </c>
      <c r="B670" s="19">
        <v>9</v>
      </c>
      <c r="C670" s="19" t="s">
        <v>2301</v>
      </c>
      <c r="D670" s="19" t="s">
        <v>2302</v>
      </c>
      <c r="E670" s="19" t="s">
        <v>855</v>
      </c>
      <c r="F670" s="19">
        <v>2022</v>
      </c>
      <c r="G670" s="21">
        <v>0.70997405000000002</v>
      </c>
      <c r="H670" s="19" t="s">
        <v>2303</v>
      </c>
      <c r="I670" s="19" t="s">
        <v>865</v>
      </c>
      <c r="J670" s="21">
        <v>0.70997405000000002</v>
      </c>
      <c r="K670" s="19" t="s">
        <v>2304</v>
      </c>
      <c r="L670" s="19" t="s">
        <v>2305</v>
      </c>
      <c r="M670" s="19" t="s">
        <v>2306</v>
      </c>
      <c r="N670" s="19" t="s">
        <v>2652</v>
      </c>
    </row>
    <row r="671" spans="1:14">
      <c r="A671" s="19" t="s">
        <v>503</v>
      </c>
      <c r="B671" s="19">
        <v>10</v>
      </c>
      <c r="C671" s="19" t="s">
        <v>2653</v>
      </c>
      <c r="D671" s="19" t="s">
        <v>2654</v>
      </c>
      <c r="E671" s="19" t="s">
        <v>855</v>
      </c>
      <c r="F671" s="19">
        <v>2023</v>
      </c>
      <c r="G671" s="21">
        <v>0.70948840000000002</v>
      </c>
      <c r="H671" s="19" t="s">
        <v>2655</v>
      </c>
      <c r="I671" s="19" t="s">
        <v>925</v>
      </c>
      <c r="J671" s="21">
        <v>0.70948840000000002</v>
      </c>
      <c r="K671" s="19" t="s">
        <v>2656</v>
      </c>
      <c r="L671" s="19" t="s">
        <v>2657</v>
      </c>
      <c r="M671" s="19"/>
      <c r="N671" s="19" t="s">
        <v>2658</v>
      </c>
    </row>
    <row r="672" spans="1:14">
      <c r="A672" s="19" t="s">
        <v>503</v>
      </c>
      <c r="B672" s="19">
        <v>11</v>
      </c>
      <c r="C672" s="19" t="s">
        <v>2153</v>
      </c>
      <c r="D672" s="19" t="s">
        <v>810</v>
      </c>
      <c r="E672" s="19" t="s">
        <v>855</v>
      </c>
      <c r="F672" s="19">
        <v>2022</v>
      </c>
      <c r="G672" s="21">
        <v>0.70754623000000005</v>
      </c>
      <c r="H672" s="19" t="s">
        <v>2313</v>
      </c>
      <c r="I672" s="19" t="s">
        <v>865</v>
      </c>
      <c r="J672" s="21">
        <v>0.70754623000000005</v>
      </c>
      <c r="K672" s="19" t="s">
        <v>2314</v>
      </c>
      <c r="L672" s="19" t="s">
        <v>2315</v>
      </c>
      <c r="M672" s="19" t="s">
        <v>2316</v>
      </c>
      <c r="N672" s="19" t="s">
        <v>2652</v>
      </c>
    </row>
    <row r="673" spans="1:14">
      <c r="A673" s="19" t="s">
        <v>503</v>
      </c>
      <c r="B673" s="19">
        <v>12</v>
      </c>
      <c r="C673" s="19" t="s">
        <v>1245</v>
      </c>
      <c r="D673" s="19" t="s">
        <v>1246</v>
      </c>
      <c r="E673" s="19" t="s">
        <v>855</v>
      </c>
      <c r="F673" s="19">
        <v>2022</v>
      </c>
      <c r="G673" s="21">
        <v>0.70754470000000003</v>
      </c>
      <c r="H673" s="19" t="s">
        <v>1247</v>
      </c>
      <c r="I673" s="19" t="s">
        <v>865</v>
      </c>
      <c r="J673" s="21">
        <v>0.70754470000000003</v>
      </c>
      <c r="K673" s="19" t="s">
        <v>1248</v>
      </c>
      <c r="L673" s="19" t="s">
        <v>1249</v>
      </c>
      <c r="M673" s="19" t="s">
        <v>1250</v>
      </c>
      <c r="N673" s="19" t="s">
        <v>2652</v>
      </c>
    </row>
    <row r="674" spans="1:14">
      <c r="A674" s="19" t="s">
        <v>503</v>
      </c>
      <c r="B674" s="19">
        <v>13</v>
      </c>
      <c r="C674" s="19" t="s">
        <v>2334</v>
      </c>
      <c r="D674" s="19" t="s">
        <v>2335</v>
      </c>
      <c r="E674" s="19" t="s">
        <v>2191</v>
      </c>
      <c r="F674" s="19">
        <v>2021</v>
      </c>
      <c r="G674" s="21">
        <v>0.7069242</v>
      </c>
      <c r="H674" s="19" t="s">
        <v>2659</v>
      </c>
      <c r="I674" s="19" t="s">
        <v>857</v>
      </c>
      <c r="J674" s="21">
        <v>0.7069242</v>
      </c>
      <c r="K674" s="19" t="s">
        <v>2660</v>
      </c>
      <c r="L674" s="19" t="s">
        <v>2661</v>
      </c>
      <c r="M674" s="19"/>
      <c r="N674" s="19" t="s">
        <v>2049</v>
      </c>
    </row>
    <row r="675" spans="1:14">
      <c r="A675" s="19" t="s">
        <v>503</v>
      </c>
      <c r="B675" s="19">
        <v>14</v>
      </c>
      <c r="C675" s="19" t="s">
        <v>2274</v>
      </c>
      <c r="D675" s="19" t="s">
        <v>2275</v>
      </c>
      <c r="E675" s="19" t="s">
        <v>855</v>
      </c>
      <c r="F675" s="19">
        <v>2014</v>
      </c>
      <c r="G675" s="21">
        <v>0.7051423</v>
      </c>
      <c r="H675" s="19" t="s">
        <v>2662</v>
      </c>
      <c r="I675" s="19" t="s">
        <v>857</v>
      </c>
      <c r="J675" s="21">
        <v>0.7051423</v>
      </c>
      <c r="K675" s="19" t="s">
        <v>2663</v>
      </c>
      <c r="L675" s="19" t="s">
        <v>2664</v>
      </c>
      <c r="M675" s="19"/>
      <c r="N675" s="19" t="s">
        <v>2049</v>
      </c>
    </row>
    <row r="676" spans="1:14">
      <c r="A676" s="19" t="s">
        <v>503</v>
      </c>
      <c r="B676" s="19">
        <v>15</v>
      </c>
      <c r="C676" s="19" t="s">
        <v>2665</v>
      </c>
      <c r="D676" s="19" t="s">
        <v>2666</v>
      </c>
      <c r="E676" s="19" t="s">
        <v>855</v>
      </c>
      <c r="F676" s="19">
        <v>2014</v>
      </c>
      <c r="G676" s="21">
        <v>0.70365440000000001</v>
      </c>
      <c r="H676" s="19" t="s">
        <v>2667</v>
      </c>
      <c r="I676" s="19" t="s">
        <v>857</v>
      </c>
      <c r="J676" s="21">
        <v>0.70365440000000001</v>
      </c>
      <c r="K676" s="19" t="s">
        <v>2668</v>
      </c>
      <c r="L676" s="19" t="s">
        <v>2669</v>
      </c>
      <c r="M676" s="19"/>
      <c r="N676" s="19" t="s">
        <v>986</v>
      </c>
    </row>
    <row r="677" spans="1:14">
      <c r="A677" s="19" t="s">
        <v>503</v>
      </c>
      <c r="B677" s="19">
        <v>16</v>
      </c>
      <c r="C677" s="19" t="s">
        <v>2670</v>
      </c>
      <c r="D677" s="19" t="s">
        <v>2671</v>
      </c>
      <c r="E677" s="19" t="s">
        <v>855</v>
      </c>
      <c r="F677" s="19">
        <v>2014</v>
      </c>
      <c r="G677" s="21">
        <v>0.70318389999999997</v>
      </c>
      <c r="H677" s="19" t="s">
        <v>2672</v>
      </c>
      <c r="I677" s="19" t="s">
        <v>857</v>
      </c>
      <c r="J677" s="21">
        <v>0.70318389999999997</v>
      </c>
      <c r="K677" s="19" t="s">
        <v>2673</v>
      </c>
      <c r="L677" s="19" t="s">
        <v>2674</v>
      </c>
      <c r="M677" s="19"/>
      <c r="N677" s="19" t="s">
        <v>986</v>
      </c>
    </row>
    <row r="678" spans="1:14">
      <c r="A678" s="19" t="s">
        <v>503</v>
      </c>
      <c r="B678" s="19">
        <v>17</v>
      </c>
      <c r="C678" s="19" t="s">
        <v>2675</v>
      </c>
      <c r="D678" s="19" t="s">
        <v>2676</v>
      </c>
      <c r="E678" s="19" t="s">
        <v>855</v>
      </c>
      <c r="F678" s="19">
        <v>2014</v>
      </c>
      <c r="G678" s="21">
        <v>0.70160352999999998</v>
      </c>
      <c r="H678" s="19" t="s">
        <v>2677</v>
      </c>
      <c r="I678" s="19" t="s">
        <v>857</v>
      </c>
      <c r="J678" s="21">
        <v>0.70160352999999998</v>
      </c>
      <c r="K678" s="19" t="s">
        <v>2678</v>
      </c>
      <c r="L678" s="19" t="s">
        <v>2679</v>
      </c>
      <c r="M678" s="19"/>
      <c r="N678" s="19" t="s">
        <v>986</v>
      </c>
    </row>
    <row r="679" spans="1:14">
      <c r="A679" s="19" t="s">
        <v>503</v>
      </c>
      <c r="B679" s="19">
        <v>18</v>
      </c>
      <c r="C679" s="19" t="s">
        <v>2680</v>
      </c>
      <c r="D679" s="19" t="s">
        <v>2681</v>
      </c>
      <c r="E679" s="19" t="s">
        <v>855</v>
      </c>
      <c r="F679" s="19">
        <v>2014</v>
      </c>
      <c r="G679" s="21">
        <v>0.70150924000000003</v>
      </c>
      <c r="H679" s="19" t="s">
        <v>2682</v>
      </c>
      <c r="I679" s="19" t="s">
        <v>857</v>
      </c>
      <c r="J679" s="21">
        <v>0.70150924000000003</v>
      </c>
      <c r="K679" s="19" t="s">
        <v>2683</v>
      </c>
      <c r="L679" s="19" t="s">
        <v>2684</v>
      </c>
      <c r="M679" s="19"/>
      <c r="N679" s="19" t="s">
        <v>986</v>
      </c>
    </row>
    <row r="680" spans="1:14">
      <c r="A680" s="19" t="s">
        <v>503</v>
      </c>
      <c r="B680" s="19">
        <v>19</v>
      </c>
      <c r="C680" s="19" t="s">
        <v>2290</v>
      </c>
      <c r="D680" s="19" t="s">
        <v>2291</v>
      </c>
      <c r="E680" s="19" t="s">
        <v>855</v>
      </c>
      <c r="F680" s="19">
        <v>2016</v>
      </c>
      <c r="G680" s="21">
        <v>0.70086663999999999</v>
      </c>
      <c r="H680" s="19" t="s">
        <v>2685</v>
      </c>
      <c r="I680" s="19" t="s">
        <v>857</v>
      </c>
      <c r="J680" s="21">
        <v>0.70086663999999999</v>
      </c>
      <c r="K680" s="19" t="s">
        <v>2686</v>
      </c>
      <c r="L680" s="19" t="s">
        <v>2687</v>
      </c>
      <c r="M680" s="19" t="s">
        <v>2688</v>
      </c>
      <c r="N680" s="19" t="s">
        <v>986</v>
      </c>
    </row>
    <row r="681" spans="1:14">
      <c r="A681" s="19" t="s">
        <v>503</v>
      </c>
      <c r="B681" s="19">
        <v>20</v>
      </c>
      <c r="C681" s="19" t="s">
        <v>2258</v>
      </c>
      <c r="D681" s="19" t="s">
        <v>493</v>
      </c>
      <c r="E681" s="19" t="s">
        <v>2089</v>
      </c>
      <c r="F681" s="19">
        <v>2002</v>
      </c>
      <c r="G681" s="21">
        <v>0.70062155000000004</v>
      </c>
      <c r="H681" s="19" t="s">
        <v>2259</v>
      </c>
      <c r="I681" s="19" t="s">
        <v>1286</v>
      </c>
      <c r="J681" s="21">
        <v>0.70062155000000004</v>
      </c>
      <c r="K681" s="19" t="s">
        <v>2260</v>
      </c>
      <c r="L681" s="19" t="s">
        <v>2261</v>
      </c>
      <c r="M681" s="19"/>
      <c r="N681" s="19" t="s">
        <v>1327</v>
      </c>
    </row>
    <row r="682" spans="1:14">
      <c r="A682" s="19" t="s">
        <v>127</v>
      </c>
      <c r="B682" s="19">
        <v>1</v>
      </c>
      <c r="C682" s="19" t="s">
        <v>2258</v>
      </c>
      <c r="D682" s="19" t="s">
        <v>493</v>
      </c>
      <c r="E682" s="19" t="s">
        <v>2089</v>
      </c>
      <c r="F682" s="19">
        <v>2002</v>
      </c>
      <c r="G682" s="21">
        <v>0.76098334999999995</v>
      </c>
      <c r="H682" s="19" t="s">
        <v>2259</v>
      </c>
      <c r="I682" s="19" t="s">
        <v>1286</v>
      </c>
      <c r="J682" s="21">
        <v>0.76098334999999995</v>
      </c>
      <c r="K682" s="19" t="s">
        <v>2260</v>
      </c>
      <c r="L682" s="19" t="s">
        <v>2261</v>
      </c>
      <c r="M682" s="19"/>
      <c r="N682" s="19" t="s">
        <v>2595</v>
      </c>
    </row>
    <row r="683" spans="1:14">
      <c r="A683" s="19" t="s">
        <v>127</v>
      </c>
      <c r="B683" s="19">
        <v>2</v>
      </c>
      <c r="C683" s="19" t="s">
        <v>2473</v>
      </c>
      <c r="D683" s="19" t="s">
        <v>2474</v>
      </c>
      <c r="E683" s="19" t="s">
        <v>855</v>
      </c>
      <c r="F683" s="19">
        <v>2022</v>
      </c>
      <c r="G683" s="21">
        <v>0.7390272</v>
      </c>
      <c r="H683" s="19" t="s">
        <v>2475</v>
      </c>
      <c r="I683" s="19" t="s">
        <v>865</v>
      </c>
      <c r="J683" s="21">
        <v>0.7390272</v>
      </c>
      <c r="K683" s="19" t="s">
        <v>2476</v>
      </c>
      <c r="L683" s="19" t="s">
        <v>2477</v>
      </c>
      <c r="M683" s="19"/>
      <c r="N683" s="19" t="s">
        <v>2523</v>
      </c>
    </row>
    <row r="684" spans="1:14">
      <c r="A684" s="19" t="s">
        <v>127</v>
      </c>
      <c r="B684" s="19">
        <v>3</v>
      </c>
      <c r="C684" s="19" t="s">
        <v>2596</v>
      </c>
      <c r="D684" s="19" t="s">
        <v>814</v>
      </c>
      <c r="E684" s="19" t="s">
        <v>855</v>
      </c>
      <c r="F684" s="19">
        <v>2014</v>
      </c>
      <c r="G684" s="21">
        <v>0.73671030000000004</v>
      </c>
      <c r="H684" s="19" t="s">
        <v>2597</v>
      </c>
      <c r="I684" s="19" t="s">
        <v>857</v>
      </c>
      <c r="J684" s="21">
        <v>0.73671030000000004</v>
      </c>
      <c r="K684" s="19" t="s">
        <v>2598</v>
      </c>
      <c r="L684" s="19" t="s">
        <v>2599</v>
      </c>
      <c r="M684" s="19"/>
      <c r="N684" s="19" t="s">
        <v>2600</v>
      </c>
    </row>
    <row r="685" spans="1:14">
      <c r="A685" s="19" t="s">
        <v>127</v>
      </c>
      <c r="B685" s="19">
        <v>4</v>
      </c>
      <c r="C685" s="19" t="s">
        <v>2301</v>
      </c>
      <c r="D685" s="19" t="s">
        <v>2302</v>
      </c>
      <c r="E685" s="19" t="s">
        <v>855</v>
      </c>
      <c r="F685" s="19">
        <v>2022</v>
      </c>
      <c r="G685" s="21">
        <v>0.73386216000000004</v>
      </c>
      <c r="H685" s="19" t="s">
        <v>2303</v>
      </c>
      <c r="I685" s="19" t="s">
        <v>865</v>
      </c>
      <c r="J685" s="21">
        <v>0.73386216000000004</v>
      </c>
      <c r="K685" s="19" t="s">
        <v>2304</v>
      </c>
      <c r="L685" s="19" t="s">
        <v>2305</v>
      </c>
      <c r="M685" s="19" t="s">
        <v>2306</v>
      </c>
      <c r="N685" s="19" t="s">
        <v>2529</v>
      </c>
    </row>
    <row r="686" spans="1:14">
      <c r="A686" s="19" t="s">
        <v>127</v>
      </c>
      <c r="B686" s="19">
        <v>5</v>
      </c>
      <c r="C686" s="19" t="s">
        <v>2340</v>
      </c>
      <c r="D686" s="19" t="s">
        <v>2341</v>
      </c>
      <c r="E686" s="19" t="s">
        <v>855</v>
      </c>
      <c r="F686" s="19">
        <v>2023</v>
      </c>
      <c r="G686" s="21">
        <v>0.73312973999999997</v>
      </c>
      <c r="H686" s="19" t="s">
        <v>2342</v>
      </c>
      <c r="I686" s="19" t="s">
        <v>865</v>
      </c>
      <c r="J686" s="21">
        <v>0.73312973999999997</v>
      </c>
      <c r="K686" s="19" t="s">
        <v>2343</v>
      </c>
      <c r="L686" s="19" t="s">
        <v>2344</v>
      </c>
      <c r="M686" s="19" t="s">
        <v>2345</v>
      </c>
      <c r="N686" s="19" t="s">
        <v>2529</v>
      </c>
    </row>
    <row r="687" spans="1:14">
      <c r="A687" s="19" t="s">
        <v>127</v>
      </c>
      <c r="B687" s="19">
        <v>6</v>
      </c>
      <c r="C687" s="19" t="s">
        <v>1245</v>
      </c>
      <c r="D687" s="19" t="s">
        <v>1246</v>
      </c>
      <c r="E687" s="19" t="s">
        <v>855</v>
      </c>
      <c r="F687" s="19">
        <v>2022</v>
      </c>
      <c r="G687" s="21">
        <v>0.73234314</v>
      </c>
      <c r="H687" s="19" t="s">
        <v>1247</v>
      </c>
      <c r="I687" s="19" t="s">
        <v>865</v>
      </c>
      <c r="J687" s="21">
        <v>0.73234314</v>
      </c>
      <c r="K687" s="19" t="s">
        <v>1248</v>
      </c>
      <c r="L687" s="19" t="s">
        <v>1249</v>
      </c>
      <c r="M687" s="19" t="s">
        <v>1250</v>
      </c>
      <c r="N687" s="19" t="s">
        <v>2529</v>
      </c>
    </row>
    <row r="688" spans="1:14">
      <c r="A688" s="19" t="s">
        <v>127</v>
      </c>
      <c r="B688" s="19">
        <v>7</v>
      </c>
      <c r="C688" s="19" t="s">
        <v>2153</v>
      </c>
      <c r="D688" s="19" t="s">
        <v>810</v>
      </c>
      <c r="E688" s="19" t="s">
        <v>855</v>
      </c>
      <c r="F688" s="19">
        <v>2022</v>
      </c>
      <c r="G688" s="21">
        <v>0.73126924000000004</v>
      </c>
      <c r="H688" s="19" t="s">
        <v>2313</v>
      </c>
      <c r="I688" s="19" t="s">
        <v>865</v>
      </c>
      <c r="J688" s="21">
        <v>0.73126924000000004</v>
      </c>
      <c r="K688" s="19" t="s">
        <v>2314</v>
      </c>
      <c r="L688" s="19" t="s">
        <v>2315</v>
      </c>
      <c r="M688" s="19" t="s">
        <v>2316</v>
      </c>
      <c r="N688" s="19" t="s">
        <v>2529</v>
      </c>
    </row>
    <row r="689" spans="1:14">
      <c r="A689" s="19" t="s">
        <v>127</v>
      </c>
      <c r="B689" s="19">
        <v>8</v>
      </c>
      <c r="C689" s="19" t="s">
        <v>2268</v>
      </c>
      <c r="D689" s="19" t="s">
        <v>2269</v>
      </c>
      <c r="E689" s="19" t="s">
        <v>855</v>
      </c>
      <c r="F689" s="19">
        <v>2023</v>
      </c>
      <c r="G689" s="21">
        <v>0.73015463000000003</v>
      </c>
      <c r="H689" s="19" t="s">
        <v>2464</v>
      </c>
      <c r="I689" s="19" t="s">
        <v>865</v>
      </c>
      <c r="J689" s="21">
        <v>0.73015463000000003</v>
      </c>
      <c r="K689" s="19" t="s">
        <v>2465</v>
      </c>
      <c r="L689" s="19" t="s">
        <v>2466</v>
      </c>
      <c r="M689" s="19" t="s">
        <v>2467</v>
      </c>
      <c r="N689" s="19" t="s">
        <v>2529</v>
      </c>
    </row>
    <row r="690" spans="1:14">
      <c r="A690" s="19" t="s">
        <v>127</v>
      </c>
      <c r="B690" s="19">
        <v>9</v>
      </c>
      <c r="C690" s="19" t="s">
        <v>2346</v>
      </c>
      <c r="D690" s="19" t="s">
        <v>2347</v>
      </c>
      <c r="E690" s="19" t="s">
        <v>855</v>
      </c>
      <c r="F690" s="19">
        <v>2014</v>
      </c>
      <c r="G690" s="21">
        <v>0.73000399999999999</v>
      </c>
      <c r="H690" s="19" t="s">
        <v>2601</v>
      </c>
      <c r="I690" s="19" t="s">
        <v>857</v>
      </c>
      <c r="J690" s="21">
        <v>0.73000399999999999</v>
      </c>
      <c r="K690" s="19" t="s">
        <v>2602</v>
      </c>
      <c r="L690" s="19" t="s">
        <v>2603</v>
      </c>
      <c r="M690" s="19"/>
      <c r="N690" s="19" t="s">
        <v>2041</v>
      </c>
    </row>
    <row r="691" spans="1:14">
      <c r="A691" s="19" t="s">
        <v>127</v>
      </c>
      <c r="B691" s="19">
        <v>10</v>
      </c>
      <c r="C691" s="19" t="s">
        <v>2491</v>
      </c>
      <c r="D691" s="19" t="s">
        <v>2492</v>
      </c>
      <c r="E691" s="19" t="s">
        <v>855</v>
      </c>
      <c r="F691" s="19">
        <v>2022</v>
      </c>
      <c r="G691" s="21">
        <v>0.72922410000000004</v>
      </c>
      <c r="H691" s="19" t="s">
        <v>2493</v>
      </c>
      <c r="I691" s="19" t="s">
        <v>865</v>
      </c>
      <c r="J691" s="21">
        <v>0.72922410000000004</v>
      </c>
      <c r="K691" s="19" t="s">
        <v>2494</v>
      </c>
      <c r="L691" s="19" t="s">
        <v>2495</v>
      </c>
      <c r="M691" s="19" t="s">
        <v>2492</v>
      </c>
      <c r="N691" s="19" t="s">
        <v>2529</v>
      </c>
    </row>
    <row r="692" spans="1:14">
      <c r="A692" s="19" t="s">
        <v>127</v>
      </c>
      <c r="B692" s="19">
        <v>11</v>
      </c>
      <c r="C692" s="19" t="s">
        <v>2604</v>
      </c>
      <c r="D692" s="19" t="s">
        <v>2605</v>
      </c>
      <c r="E692" s="19" t="s">
        <v>855</v>
      </c>
      <c r="F692" s="19">
        <v>2015</v>
      </c>
      <c r="G692" s="21">
        <v>0.72796139999999998</v>
      </c>
      <c r="H692" s="19" t="s">
        <v>2606</v>
      </c>
      <c r="I692" s="19" t="s">
        <v>857</v>
      </c>
      <c r="J692" s="21">
        <v>0.72796139999999998</v>
      </c>
      <c r="K692" s="19" t="s">
        <v>2607</v>
      </c>
      <c r="L692" s="19" t="s">
        <v>2608</v>
      </c>
      <c r="M692" s="19"/>
      <c r="N692" s="19" t="s">
        <v>2041</v>
      </c>
    </row>
    <row r="693" spans="1:14">
      <c r="A693" s="19" t="s">
        <v>127</v>
      </c>
      <c r="B693" s="19">
        <v>12</v>
      </c>
      <c r="C693" s="19" t="s">
        <v>1051</v>
      </c>
      <c r="D693" s="19" t="s">
        <v>1052</v>
      </c>
      <c r="E693" s="19" t="s">
        <v>855</v>
      </c>
      <c r="F693" s="19">
        <v>2022</v>
      </c>
      <c r="G693" s="21">
        <v>0.72581700000000005</v>
      </c>
      <c r="H693" s="19" t="s">
        <v>2515</v>
      </c>
      <c r="I693" s="19" t="s">
        <v>865</v>
      </c>
      <c r="J693" s="21">
        <v>0.72581700000000005</v>
      </c>
      <c r="K693" s="19" t="s">
        <v>2516</v>
      </c>
      <c r="L693" s="19" t="s">
        <v>2517</v>
      </c>
      <c r="M693" s="19"/>
      <c r="N693" s="19" t="s">
        <v>2529</v>
      </c>
    </row>
    <row r="694" spans="1:14">
      <c r="A694" s="19" t="s">
        <v>127</v>
      </c>
      <c r="B694" s="19">
        <v>13</v>
      </c>
      <c r="C694" s="19" t="s">
        <v>2468</v>
      </c>
      <c r="D694" s="19" t="s">
        <v>2469</v>
      </c>
      <c r="E694" s="19" t="s">
        <v>855</v>
      </c>
      <c r="F694" s="19">
        <v>2023</v>
      </c>
      <c r="G694" s="21">
        <v>0.72573410000000005</v>
      </c>
      <c r="H694" s="19" t="s">
        <v>2470</v>
      </c>
      <c r="I694" s="19" t="s">
        <v>865</v>
      </c>
      <c r="J694" s="21">
        <v>0.72573410000000005</v>
      </c>
      <c r="K694" s="19" t="s">
        <v>2471</v>
      </c>
      <c r="L694" s="19" t="s">
        <v>2472</v>
      </c>
      <c r="M694" s="19"/>
      <c r="N694" s="19" t="s">
        <v>2529</v>
      </c>
    </row>
    <row r="695" spans="1:14">
      <c r="A695" s="19" t="s">
        <v>127</v>
      </c>
      <c r="B695" s="19">
        <v>14</v>
      </c>
      <c r="C695" s="19" t="s">
        <v>1239</v>
      </c>
      <c r="D695" s="19" t="s">
        <v>1240</v>
      </c>
      <c r="E695" s="19" t="s">
        <v>855</v>
      </c>
      <c r="F695" s="19">
        <v>2022</v>
      </c>
      <c r="G695" s="21">
        <v>0.72326860000000004</v>
      </c>
      <c r="H695" s="19" t="s">
        <v>1241</v>
      </c>
      <c r="I695" s="19" t="s">
        <v>865</v>
      </c>
      <c r="J695" s="21">
        <v>0.72326860000000004</v>
      </c>
      <c r="K695" s="19" t="s">
        <v>1242</v>
      </c>
      <c r="L695" s="19" t="s">
        <v>1243</v>
      </c>
      <c r="M695" s="19" t="s">
        <v>1244</v>
      </c>
      <c r="N695" s="19" t="s">
        <v>2609</v>
      </c>
    </row>
    <row r="696" spans="1:14">
      <c r="A696" s="19" t="s">
        <v>127</v>
      </c>
      <c r="B696" s="19">
        <v>15</v>
      </c>
      <c r="C696" s="19" t="s">
        <v>2485</v>
      </c>
      <c r="D696" s="19" t="s">
        <v>2486</v>
      </c>
      <c r="E696" s="19" t="s">
        <v>855</v>
      </c>
      <c r="F696" s="19">
        <v>2023</v>
      </c>
      <c r="G696" s="21">
        <v>0.72209774999999998</v>
      </c>
      <c r="H696" s="19" t="s">
        <v>2487</v>
      </c>
      <c r="I696" s="19" t="s">
        <v>865</v>
      </c>
      <c r="J696" s="21">
        <v>0.72209774999999998</v>
      </c>
      <c r="K696" s="19" t="s">
        <v>2488</v>
      </c>
      <c r="L696" s="19" t="s">
        <v>2489</v>
      </c>
      <c r="M696" s="19" t="s">
        <v>2490</v>
      </c>
      <c r="N696" s="19" t="s">
        <v>2609</v>
      </c>
    </row>
    <row r="697" spans="1:14">
      <c r="A697" s="19" t="s">
        <v>127</v>
      </c>
      <c r="B697" s="19">
        <v>16</v>
      </c>
      <c r="C697" s="19" t="s">
        <v>2496</v>
      </c>
      <c r="D697" s="19" t="s">
        <v>2497</v>
      </c>
      <c r="E697" s="19" t="s">
        <v>855</v>
      </c>
      <c r="F697" s="19">
        <v>2023</v>
      </c>
      <c r="G697" s="21">
        <v>0.71955574</v>
      </c>
      <c r="H697" s="19" t="s">
        <v>2498</v>
      </c>
      <c r="I697" s="19" t="s">
        <v>865</v>
      </c>
      <c r="J697" s="21">
        <v>0.71955574</v>
      </c>
      <c r="K697" s="19" t="s">
        <v>2499</v>
      </c>
      <c r="L697" s="19" t="s">
        <v>2500</v>
      </c>
      <c r="M697" s="19"/>
      <c r="N697" s="19" t="s">
        <v>2609</v>
      </c>
    </row>
    <row r="698" spans="1:14">
      <c r="A698" s="19" t="s">
        <v>127</v>
      </c>
      <c r="B698" s="19">
        <v>17</v>
      </c>
      <c r="C698" s="19" t="s">
        <v>2530</v>
      </c>
      <c r="D698" s="19" t="s">
        <v>2531</v>
      </c>
      <c r="E698" s="19" t="s">
        <v>855</v>
      </c>
      <c r="F698" s="19">
        <v>2014</v>
      </c>
      <c r="G698" s="21">
        <v>0.71947570000000005</v>
      </c>
      <c r="H698" s="19" t="s">
        <v>2532</v>
      </c>
      <c r="I698" s="19" t="s">
        <v>857</v>
      </c>
      <c r="J698" s="21">
        <v>0.71947570000000005</v>
      </c>
      <c r="K698" s="19" t="s">
        <v>2533</v>
      </c>
      <c r="L698" s="19" t="s">
        <v>2534</v>
      </c>
      <c r="M698" s="19"/>
      <c r="N698" s="19" t="s">
        <v>1636</v>
      </c>
    </row>
    <row r="699" spans="1:14">
      <c r="A699" s="19" t="s">
        <v>127</v>
      </c>
      <c r="B699" s="19">
        <v>18</v>
      </c>
      <c r="C699" s="19" t="s">
        <v>2478</v>
      </c>
      <c r="D699" s="19" t="s">
        <v>2479</v>
      </c>
      <c r="E699" s="19" t="s">
        <v>855</v>
      </c>
      <c r="F699" s="19">
        <v>2023</v>
      </c>
      <c r="G699" s="21">
        <v>0.71896267000000003</v>
      </c>
      <c r="H699" s="19" t="s">
        <v>2480</v>
      </c>
      <c r="I699" s="19" t="s">
        <v>865</v>
      </c>
      <c r="J699" s="21">
        <v>0.71896267000000003</v>
      </c>
      <c r="K699" s="19" t="s">
        <v>2481</v>
      </c>
      <c r="L699" s="19" t="s">
        <v>2482</v>
      </c>
      <c r="M699" s="19" t="s">
        <v>2483</v>
      </c>
      <c r="N699" s="19" t="s">
        <v>2609</v>
      </c>
    </row>
    <row r="700" spans="1:14">
      <c r="A700" s="19" t="s">
        <v>127</v>
      </c>
      <c r="B700" s="19">
        <v>19</v>
      </c>
      <c r="C700" s="19" t="s">
        <v>2323</v>
      </c>
      <c r="D700" s="19" t="s">
        <v>2324</v>
      </c>
      <c r="E700" s="19" t="s">
        <v>855</v>
      </c>
      <c r="F700" s="19">
        <v>2022</v>
      </c>
      <c r="G700" s="21">
        <v>0.71697330000000004</v>
      </c>
      <c r="H700" s="19" t="s">
        <v>2325</v>
      </c>
      <c r="I700" s="19" t="s">
        <v>865</v>
      </c>
      <c r="J700" s="21">
        <v>0.71697330000000004</v>
      </c>
      <c r="K700" s="19" t="s">
        <v>2326</v>
      </c>
      <c r="L700" s="19" t="s">
        <v>2327</v>
      </c>
      <c r="M700" s="19" t="s">
        <v>2328</v>
      </c>
      <c r="N700" s="19" t="s">
        <v>2609</v>
      </c>
    </row>
    <row r="701" spans="1:14">
      <c r="A701" s="19" t="s">
        <v>127</v>
      </c>
      <c r="B701" s="19">
        <v>20</v>
      </c>
      <c r="C701" s="19" t="s">
        <v>2501</v>
      </c>
      <c r="D701" s="19" t="s">
        <v>2502</v>
      </c>
      <c r="E701" s="19" t="s">
        <v>855</v>
      </c>
      <c r="F701" s="19">
        <v>2022</v>
      </c>
      <c r="G701" s="21">
        <v>0.7150048</v>
      </c>
      <c r="H701" s="19" t="s">
        <v>2503</v>
      </c>
      <c r="I701" s="19" t="s">
        <v>865</v>
      </c>
      <c r="J701" s="21">
        <v>0.7150048</v>
      </c>
      <c r="K701" s="19" t="s">
        <v>2504</v>
      </c>
      <c r="L701" s="19" t="s">
        <v>2505</v>
      </c>
      <c r="M701" s="19"/>
      <c r="N701" s="19" t="s">
        <v>2609</v>
      </c>
    </row>
    <row r="702" spans="1:14">
      <c r="A702" s="19" t="s">
        <v>462</v>
      </c>
      <c r="B702" s="19">
        <v>1</v>
      </c>
      <c r="C702" s="19" t="s">
        <v>1057</v>
      </c>
      <c r="D702" s="19" t="s">
        <v>799</v>
      </c>
      <c r="E702" s="19" t="s">
        <v>855</v>
      </c>
      <c r="F702" s="19">
        <v>2016</v>
      </c>
      <c r="G702" s="21">
        <v>0.65307784000000002</v>
      </c>
      <c r="H702" s="19" t="s">
        <v>1058</v>
      </c>
      <c r="I702" s="19" t="s">
        <v>951</v>
      </c>
      <c r="J702" s="21">
        <v>0.65307784000000002</v>
      </c>
      <c r="K702" s="19" t="s">
        <v>1059</v>
      </c>
      <c r="L702" s="19" t="s">
        <v>1060</v>
      </c>
      <c r="M702" s="19" t="s">
        <v>1061</v>
      </c>
      <c r="N702" s="19" t="s">
        <v>1238</v>
      </c>
    </row>
    <row r="703" spans="1:14">
      <c r="A703" s="19" t="s">
        <v>462</v>
      </c>
      <c r="B703" s="19">
        <v>2</v>
      </c>
      <c r="C703" s="19" t="s">
        <v>2689</v>
      </c>
      <c r="D703" s="19" t="s">
        <v>2690</v>
      </c>
      <c r="E703" s="19" t="s">
        <v>855</v>
      </c>
      <c r="F703" s="19">
        <v>2016</v>
      </c>
      <c r="G703" s="21">
        <v>0.65246440000000006</v>
      </c>
      <c r="H703" s="19" t="s">
        <v>2691</v>
      </c>
      <c r="I703" s="19" t="s">
        <v>951</v>
      </c>
      <c r="J703" s="21">
        <v>0.65246440000000006</v>
      </c>
      <c r="K703" s="19" t="s">
        <v>2692</v>
      </c>
      <c r="L703" s="19" t="s">
        <v>2693</v>
      </c>
      <c r="M703" s="19" t="s">
        <v>2694</v>
      </c>
      <c r="N703" s="19" t="s">
        <v>1238</v>
      </c>
    </row>
    <row r="704" spans="1:14">
      <c r="A704" s="19" t="s">
        <v>462</v>
      </c>
      <c r="B704" s="19">
        <v>3</v>
      </c>
      <c r="C704" s="19" t="s">
        <v>1386</v>
      </c>
      <c r="D704" s="19" t="s">
        <v>682</v>
      </c>
      <c r="E704" s="19" t="s">
        <v>855</v>
      </c>
      <c r="F704" s="19">
        <v>2015</v>
      </c>
      <c r="G704" s="21">
        <v>0.64201419999999998</v>
      </c>
      <c r="H704" s="19" t="s">
        <v>2695</v>
      </c>
      <c r="I704" s="19" t="s">
        <v>951</v>
      </c>
      <c r="J704" s="21">
        <v>0.64201419999999998</v>
      </c>
      <c r="K704" s="19" t="s">
        <v>2696</v>
      </c>
      <c r="L704" s="19" t="s">
        <v>2697</v>
      </c>
      <c r="M704" s="19" t="s">
        <v>2698</v>
      </c>
      <c r="N704" s="19" t="s">
        <v>1580</v>
      </c>
    </row>
    <row r="705" spans="1:14">
      <c r="A705" s="19" t="s">
        <v>462</v>
      </c>
      <c r="B705" s="19">
        <v>4</v>
      </c>
      <c r="C705" s="19" t="s">
        <v>2351</v>
      </c>
      <c r="D705" s="19" t="s">
        <v>2352</v>
      </c>
      <c r="E705" s="19" t="s">
        <v>855</v>
      </c>
      <c r="F705" s="19">
        <v>2016</v>
      </c>
      <c r="G705" s="21">
        <v>0.6359899</v>
      </c>
      <c r="H705" s="19" t="s">
        <v>2699</v>
      </c>
      <c r="I705" s="19" t="s">
        <v>951</v>
      </c>
      <c r="J705" s="21">
        <v>0.6359899</v>
      </c>
      <c r="K705" s="19" t="s">
        <v>2700</v>
      </c>
      <c r="L705" s="19" t="s">
        <v>2701</v>
      </c>
      <c r="M705" s="19" t="s">
        <v>2702</v>
      </c>
      <c r="N705" s="19" t="s">
        <v>1580</v>
      </c>
    </row>
    <row r="706" spans="1:14">
      <c r="A706" s="19" t="s">
        <v>462</v>
      </c>
      <c r="B706" s="19">
        <v>5</v>
      </c>
      <c r="C706" s="19" t="s">
        <v>1097</v>
      </c>
      <c r="D706" s="19" t="s">
        <v>1098</v>
      </c>
      <c r="E706" s="19" t="s">
        <v>855</v>
      </c>
      <c r="F706" s="19">
        <v>2022</v>
      </c>
      <c r="G706" s="21">
        <v>0.63378595999999998</v>
      </c>
      <c r="H706" s="19" t="s">
        <v>1099</v>
      </c>
      <c r="I706" s="19" t="s">
        <v>951</v>
      </c>
      <c r="J706" s="21">
        <v>0.63378595999999998</v>
      </c>
      <c r="K706" s="19" t="s">
        <v>1100</v>
      </c>
      <c r="L706" s="19" t="s">
        <v>1101</v>
      </c>
      <c r="M706" s="19" t="s">
        <v>1102</v>
      </c>
      <c r="N706" s="19" t="s">
        <v>955</v>
      </c>
    </row>
    <row r="707" spans="1:14">
      <c r="A707" s="19" t="s">
        <v>462</v>
      </c>
      <c r="B707" s="19">
        <v>6</v>
      </c>
      <c r="C707" s="19" t="s">
        <v>2703</v>
      </c>
      <c r="D707" s="19" t="s">
        <v>2704</v>
      </c>
      <c r="E707" s="19" t="s">
        <v>855</v>
      </c>
      <c r="F707" s="19">
        <v>2015</v>
      </c>
      <c r="G707" s="21">
        <v>0.63057666999999995</v>
      </c>
      <c r="H707" s="19" t="s">
        <v>2705</v>
      </c>
      <c r="I707" s="19" t="s">
        <v>1130</v>
      </c>
      <c r="J707" s="21">
        <v>0.63057666999999995</v>
      </c>
      <c r="K707" s="19" t="s">
        <v>2706</v>
      </c>
      <c r="L707" s="19" t="s">
        <v>2707</v>
      </c>
      <c r="M707" s="19"/>
      <c r="N707" s="19" t="s">
        <v>2708</v>
      </c>
    </row>
    <row r="708" spans="1:14">
      <c r="A708" s="19" t="s">
        <v>462</v>
      </c>
      <c r="B708" s="19">
        <v>7</v>
      </c>
      <c r="C708" s="19" t="s">
        <v>2468</v>
      </c>
      <c r="D708" s="19" t="s">
        <v>2469</v>
      </c>
      <c r="E708" s="19" t="s">
        <v>855</v>
      </c>
      <c r="F708" s="19">
        <v>2023</v>
      </c>
      <c r="G708" s="21">
        <v>0.62912990000000002</v>
      </c>
      <c r="H708" s="19" t="s">
        <v>2470</v>
      </c>
      <c r="I708" s="19" t="s">
        <v>865</v>
      </c>
      <c r="J708" s="21">
        <v>0.62912990000000002</v>
      </c>
      <c r="K708" s="19" t="s">
        <v>2471</v>
      </c>
      <c r="L708" s="19" t="s">
        <v>2472</v>
      </c>
      <c r="M708" s="19"/>
      <c r="N708" s="19" t="s">
        <v>1251</v>
      </c>
    </row>
    <row r="709" spans="1:14">
      <c r="A709" s="19" t="s">
        <v>462</v>
      </c>
      <c r="B709" s="19">
        <v>8</v>
      </c>
      <c r="C709" s="19" t="s">
        <v>1245</v>
      </c>
      <c r="D709" s="19" t="s">
        <v>1246</v>
      </c>
      <c r="E709" s="19" t="s">
        <v>855</v>
      </c>
      <c r="F709" s="19">
        <v>2022</v>
      </c>
      <c r="G709" s="21">
        <v>0.62731415000000001</v>
      </c>
      <c r="H709" s="19" t="s">
        <v>2709</v>
      </c>
      <c r="I709" s="19" t="s">
        <v>951</v>
      </c>
      <c r="J709" s="21">
        <v>0.62731415000000001</v>
      </c>
      <c r="K709" s="19" t="s">
        <v>2710</v>
      </c>
      <c r="L709" s="19" t="s">
        <v>2711</v>
      </c>
      <c r="M709" s="19" t="s">
        <v>2712</v>
      </c>
      <c r="N709" s="19" t="s">
        <v>955</v>
      </c>
    </row>
    <row r="710" spans="1:14">
      <c r="A710" s="19" t="s">
        <v>462</v>
      </c>
      <c r="B710" s="19">
        <v>9</v>
      </c>
      <c r="C710" s="19" t="s">
        <v>2713</v>
      </c>
      <c r="D710" s="19" t="s">
        <v>2714</v>
      </c>
      <c r="E710" s="19" t="s">
        <v>855</v>
      </c>
      <c r="F710" s="19">
        <v>2014</v>
      </c>
      <c r="G710" s="21">
        <v>0.62553630000000005</v>
      </c>
      <c r="H710" s="19" t="s">
        <v>2715</v>
      </c>
      <c r="I710" s="19" t="s">
        <v>951</v>
      </c>
      <c r="J710" s="21">
        <v>0.62553630000000005</v>
      </c>
      <c r="K710" s="19" t="s">
        <v>2716</v>
      </c>
      <c r="L710" s="19" t="s">
        <v>2717</v>
      </c>
      <c r="M710" s="19" t="s">
        <v>2718</v>
      </c>
      <c r="N710" s="19" t="s">
        <v>955</v>
      </c>
    </row>
    <row r="711" spans="1:14">
      <c r="A711" s="19" t="s">
        <v>462</v>
      </c>
      <c r="B711" s="19">
        <v>10</v>
      </c>
      <c r="C711" s="19" t="s">
        <v>2719</v>
      </c>
      <c r="D711" s="19" t="s">
        <v>2720</v>
      </c>
      <c r="E711" s="19" t="s">
        <v>855</v>
      </c>
      <c r="F711" s="19">
        <v>2017</v>
      </c>
      <c r="G711" s="21">
        <v>0.62494992999999999</v>
      </c>
      <c r="H711" s="19" t="s">
        <v>2721</v>
      </c>
      <c r="I711" s="19" t="s">
        <v>951</v>
      </c>
      <c r="J711" s="21">
        <v>0.62494992999999999</v>
      </c>
      <c r="K711" s="19" t="s">
        <v>2722</v>
      </c>
      <c r="L711" s="19" t="s">
        <v>2723</v>
      </c>
      <c r="M711" s="19"/>
      <c r="N711" s="19" t="s">
        <v>1449</v>
      </c>
    </row>
    <row r="712" spans="1:14">
      <c r="A712" s="19" t="s">
        <v>462</v>
      </c>
      <c r="B712" s="19">
        <v>11</v>
      </c>
      <c r="C712" s="19" t="s">
        <v>1239</v>
      </c>
      <c r="D712" s="19" t="s">
        <v>1240</v>
      </c>
      <c r="E712" s="19" t="s">
        <v>855</v>
      </c>
      <c r="F712" s="19">
        <v>2022</v>
      </c>
      <c r="G712" s="21">
        <v>0.62250452999999994</v>
      </c>
      <c r="H712" s="19" t="s">
        <v>1241</v>
      </c>
      <c r="I712" s="19" t="s">
        <v>865</v>
      </c>
      <c r="J712" s="21">
        <v>0.62250452999999994</v>
      </c>
      <c r="K712" s="19" t="s">
        <v>1242</v>
      </c>
      <c r="L712" s="19" t="s">
        <v>1243</v>
      </c>
      <c r="M712" s="19" t="s">
        <v>1244</v>
      </c>
      <c r="N712" s="19" t="s">
        <v>962</v>
      </c>
    </row>
    <row r="713" spans="1:14">
      <c r="A713" s="19" t="s">
        <v>462</v>
      </c>
      <c r="B713" s="19">
        <v>12</v>
      </c>
      <c r="C713" s="19" t="s">
        <v>1062</v>
      </c>
      <c r="D713" s="19" t="s">
        <v>750</v>
      </c>
      <c r="E713" s="19" t="s">
        <v>855</v>
      </c>
      <c r="F713" s="19">
        <v>2022</v>
      </c>
      <c r="G713" s="21">
        <v>0.62182784000000002</v>
      </c>
      <c r="H713" s="19" t="s">
        <v>1063</v>
      </c>
      <c r="I713" s="19" t="s">
        <v>951</v>
      </c>
      <c r="J713" s="21">
        <v>0.62182784000000002</v>
      </c>
      <c r="K713" s="19" t="s">
        <v>1064</v>
      </c>
      <c r="L713" s="19" t="s">
        <v>1065</v>
      </c>
      <c r="M713" s="19" t="s">
        <v>1066</v>
      </c>
      <c r="N713" s="19" t="s">
        <v>1449</v>
      </c>
    </row>
    <row r="714" spans="1:14">
      <c r="A714" s="19" t="s">
        <v>462</v>
      </c>
      <c r="B714" s="19">
        <v>13</v>
      </c>
      <c r="C714" s="19" t="s">
        <v>2153</v>
      </c>
      <c r="D714" s="19" t="s">
        <v>810</v>
      </c>
      <c r="E714" s="19" t="s">
        <v>855</v>
      </c>
      <c r="F714" s="19">
        <v>2022</v>
      </c>
      <c r="G714" s="21">
        <v>0.62164277000000001</v>
      </c>
      <c r="H714" s="19" t="s">
        <v>2154</v>
      </c>
      <c r="I714" s="19" t="s">
        <v>951</v>
      </c>
      <c r="J714" s="21">
        <v>0.62164277000000001</v>
      </c>
      <c r="K714" s="19" t="s">
        <v>2155</v>
      </c>
      <c r="L714" s="19" t="s">
        <v>2156</v>
      </c>
      <c r="M714" s="19" t="s">
        <v>2157</v>
      </c>
      <c r="N714" s="19" t="s">
        <v>1449</v>
      </c>
    </row>
    <row r="715" spans="1:14">
      <c r="A715" s="19" t="s">
        <v>462</v>
      </c>
      <c r="B715" s="19">
        <v>14</v>
      </c>
      <c r="C715" s="19" t="s">
        <v>2724</v>
      </c>
      <c r="D715" s="19" t="s">
        <v>2725</v>
      </c>
      <c r="E715" s="19" t="s">
        <v>855</v>
      </c>
      <c r="F715" s="19">
        <v>2017</v>
      </c>
      <c r="G715" s="21">
        <v>0.62081120000000001</v>
      </c>
      <c r="H715" s="19" t="s">
        <v>2726</v>
      </c>
      <c r="I715" s="19" t="s">
        <v>951</v>
      </c>
      <c r="J715" s="21">
        <v>0.62081120000000001</v>
      </c>
      <c r="K715" s="19" t="s">
        <v>2727</v>
      </c>
      <c r="L715" s="19" t="s">
        <v>2728</v>
      </c>
      <c r="M715" s="19" t="s">
        <v>2729</v>
      </c>
      <c r="N715" s="19" t="s">
        <v>1449</v>
      </c>
    </row>
    <row r="716" spans="1:14">
      <c r="A716" s="19" t="s">
        <v>462</v>
      </c>
      <c r="B716" s="19">
        <v>15</v>
      </c>
      <c r="C716" s="19" t="s">
        <v>2485</v>
      </c>
      <c r="D716" s="19" t="s">
        <v>2486</v>
      </c>
      <c r="E716" s="19" t="s">
        <v>855</v>
      </c>
      <c r="F716" s="19">
        <v>2023</v>
      </c>
      <c r="G716" s="21">
        <v>0.62038576999999995</v>
      </c>
      <c r="H716" s="19" t="s">
        <v>2487</v>
      </c>
      <c r="I716" s="19" t="s">
        <v>865</v>
      </c>
      <c r="J716" s="21">
        <v>0.62038576999999995</v>
      </c>
      <c r="K716" s="19" t="s">
        <v>2488</v>
      </c>
      <c r="L716" s="19" t="s">
        <v>2489</v>
      </c>
      <c r="M716" s="19" t="s">
        <v>2490</v>
      </c>
      <c r="N716" s="19" t="s">
        <v>962</v>
      </c>
    </row>
    <row r="717" spans="1:14">
      <c r="A717" s="19" t="s">
        <v>462</v>
      </c>
      <c r="B717" s="19">
        <v>16</v>
      </c>
      <c r="C717" s="19" t="s">
        <v>2730</v>
      </c>
      <c r="D717" s="19" t="s">
        <v>2731</v>
      </c>
      <c r="E717" s="19" t="s">
        <v>855</v>
      </c>
      <c r="F717" s="19">
        <v>2014</v>
      </c>
      <c r="G717" s="21">
        <v>0.61946979999999996</v>
      </c>
      <c r="H717" s="19" t="s">
        <v>2732</v>
      </c>
      <c r="I717" s="19" t="s">
        <v>951</v>
      </c>
      <c r="J717" s="21">
        <v>0.61946979999999996</v>
      </c>
      <c r="K717" s="19" t="s">
        <v>2733</v>
      </c>
      <c r="L717" s="19" t="s">
        <v>2734</v>
      </c>
      <c r="M717" s="19" t="s">
        <v>2735</v>
      </c>
      <c r="N717" s="19" t="s">
        <v>1449</v>
      </c>
    </row>
    <row r="718" spans="1:14">
      <c r="A718" s="19" t="s">
        <v>462</v>
      </c>
      <c r="B718" s="19">
        <v>17</v>
      </c>
      <c r="C718" s="19" t="s">
        <v>2340</v>
      </c>
      <c r="D718" s="19" t="s">
        <v>2341</v>
      </c>
      <c r="E718" s="19" t="s">
        <v>855</v>
      </c>
      <c r="F718" s="19">
        <v>2023</v>
      </c>
      <c r="G718" s="21">
        <v>0.61941840000000004</v>
      </c>
      <c r="H718" s="19" t="s">
        <v>2342</v>
      </c>
      <c r="I718" s="19" t="s">
        <v>865</v>
      </c>
      <c r="J718" s="21">
        <v>0.61941840000000004</v>
      </c>
      <c r="K718" s="19" t="s">
        <v>2343</v>
      </c>
      <c r="L718" s="19" t="s">
        <v>2344</v>
      </c>
      <c r="M718" s="19" t="s">
        <v>2345</v>
      </c>
      <c r="N718" s="19" t="s">
        <v>962</v>
      </c>
    </row>
    <row r="719" spans="1:14">
      <c r="A719" s="19" t="s">
        <v>462</v>
      </c>
      <c r="B719" s="19">
        <v>18</v>
      </c>
      <c r="C719" s="19" t="s">
        <v>2501</v>
      </c>
      <c r="D719" s="19" t="s">
        <v>2502</v>
      </c>
      <c r="E719" s="19" t="s">
        <v>855</v>
      </c>
      <c r="F719" s="19">
        <v>2022</v>
      </c>
      <c r="G719" s="21">
        <v>0.61929034999999999</v>
      </c>
      <c r="H719" s="19" t="s">
        <v>2503</v>
      </c>
      <c r="I719" s="19" t="s">
        <v>865</v>
      </c>
      <c r="J719" s="21">
        <v>0.61929034999999999</v>
      </c>
      <c r="K719" s="19" t="s">
        <v>2504</v>
      </c>
      <c r="L719" s="19" t="s">
        <v>2505</v>
      </c>
      <c r="M719" s="19"/>
      <c r="N719" s="19" t="s">
        <v>962</v>
      </c>
    </row>
    <row r="720" spans="1:14">
      <c r="A720" s="19" t="s">
        <v>462</v>
      </c>
      <c r="B720" s="19">
        <v>19</v>
      </c>
      <c r="C720" s="19" t="s">
        <v>1091</v>
      </c>
      <c r="D720" s="19" t="s">
        <v>1092</v>
      </c>
      <c r="E720" s="19" t="s">
        <v>855</v>
      </c>
      <c r="F720" s="19">
        <v>2023</v>
      </c>
      <c r="G720" s="21">
        <v>0.61859083000000004</v>
      </c>
      <c r="H720" s="19" t="s">
        <v>2506</v>
      </c>
      <c r="I720" s="19" t="s">
        <v>865</v>
      </c>
      <c r="J720" s="21">
        <v>0.61859083000000004</v>
      </c>
      <c r="K720" s="19" t="s">
        <v>2507</v>
      </c>
      <c r="L720" s="19" t="s">
        <v>2508</v>
      </c>
      <c r="M720" s="19"/>
      <c r="N720" s="19" t="s">
        <v>962</v>
      </c>
    </row>
    <row r="721" spans="1:14">
      <c r="A721" s="19" t="s">
        <v>462</v>
      </c>
      <c r="B721" s="19">
        <v>20</v>
      </c>
      <c r="C721" s="19" t="s">
        <v>2736</v>
      </c>
      <c r="D721" s="19" t="s">
        <v>2737</v>
      </c>
      <c r="E721" s="19" t="s">
        <v>855</v>
      </c>
      <c r="F721" s="19">
        <v>2017</v>
      </c>
      <c r="G721" s="21">
        <v>0.61590104999999995</v>
      </c>
      <c r="H721" s="19" t="s">
        <v>2738</v>
      </c>
      <c r="I721" s="19" t="s">
        <v>951</v>
      </c>
      <c r="J721" s="21">
        <v>0.61590104999999995</v>
      </c>
      <c r="K721" s="19" t="s">
        <v>2739</v>
      </c>
      <c r="L721" s="19" t="s">
        <v>2740</v>
      </c>
      <c r="M721" s="19" t="s">
        <v>2741</v>
      </c>
      <c r="N721" s="19" t="s">
        <v>1449</v>
      </c>
    </row>
    <row r="722" spans="1:14">
      <c r="A722" s="19" t="s">
        <v>116</v>
      </c>
      <c r="B722" s="19">
        <v>1</v>
      </c>
      <c r="C722" s="19" t="s">
        <v>1386</v>
      </c>
      <c r="D722" s="19" t="s">
        <v>682</v>
      </c>
      <c r="E722" s="19" t="s">
        <v>855</v>
      </c>
      <c r="F722" s="19">
        <v>2015</v>
      </c>
      <c r="G722" s="21">
        <v>0.68596480000000004</v>
      </c>
      <c r="H722" s="19" t="s">
        <v>2695</v>
      </c>
      <c r="I722" s="19" t="s">
        <v>951</v>
      </c>
      <c r="J722" s="21">
        <v>0.68596480000000004</v>
      </c>
      <c r="K722" s="19" t="s">
        <v>2696</v>
      </c>
      <c r="L722" s="19" t="s">
        <v>2697</v>
      </c>
      <c r="M722" s="19" t="s">
        <v>2698</v>
      </c>
      <c r="N722" s="19" t="s">
        <v>993</v>
      </c>
    </row>
    <row r="723" spans="1:14">
      <c r="A723" s="19" t="s">
        <v>116</v>
      </c>
      <c r="B723" s="19">
        <v>2</v>
      </c>
      <c r="C723" s="19" t="s">
        <v>1097</v>
      </c>
      <c r="D723" s="19" t="s">
        <v>1098</v>
      </c>
      <c r="E723" s="19" t="s">
        <v>855</v>
      </c>
      <c r="F723" s="19">
        <v>2022</v>
      </c>
      <c r="G723" s="21">
        <v>0.67397815000000005</v>
      </c>
      <c r="H723" s="19" t="s">
        <v>1099</v>
      </c>
      <c r="I723" s="19" t="s">
        <v>951</v>
      </c>
      <c r="J723" s="21">
        <v>0.67397815000000005</v>
      </c>
      <c r="K723" s="19" t="s">
        <v>1100</v>
      </c>
      <c r="L723" s="19" t="s">
        <v>1101</v>
      </c>
      <c r="M723" s="19" t="s">
        <v>1102</v>
      </c>
      <c r="N723" s="19" t="s">
        <v>1019</v>
      </c>
    </row>
    <row r="724" spans="1:14">
      <c r="A724" s="19" t="s">
        <v>116</v>
      </c>
      <c r="B724" s="19">
        <v>3</v>
      </c>
      <c r="C724" s="19" t="s">
        <v>2742</v>
      </c>
      <c r="D724" s="19" t="s">
        <v>2743</v>
      </c>
      <c r="E724" s="19" t="s">
        <v>855</v>
      </c>
      <c r="F724" s="19">
        <v>2023</v>
      </c>
      <c r="G724" s="21">
        <v>0.66884869999999996</v>
      </c>
      <c r="H724" s="19" t="s">
        <v>2744</v>
      </c>
      <c r="I724" s="19" t="s">
        <v>951</v>
      </c>
      <c r="J724" s="21">
        <v>0.66884869999999996</v>
      </c>
      <c r="K724" s="19" t="s">
        <v>2745</v>
      </c>
      <c r="L724" s="19" t="s">
        <v>2746</v>
      </c>
      <c r="M724" s="19" t="s">
        <v>2747</v>
      </c>
      <c r="N724" s="19" t="s">
        <v>1019</v>
      </c>
    </row>
    <row r="725" spans="1:14">
      <c r="A725" s="19" t="s">
        <v>116</v>
      </c>
      <c r="B725" s="19">
        <v>4</v>
      </c>
      <c r="C725" s="19" t="s">
        <v>2351</v>
      </c>
      <c r="D725" s="19" t="s">
        <v>2352</v>
      </c>
      <c r="E725" s="19" t="s">
        <v>855</v>
      </c>
      <c r="F725" s="19">
        <v>2016</v>
      </c>
      <c r="G725" s="21">
        <v>0.66872500000000001</v>
      </c>
      <c r="H725" s="19" t="s">
        <v>2699</v>
      </c>
      <c r="I725" s="19" t="s">
        <v>951</v>
      </c>
      <c r="J725" s="21">
        <v>0.66872500000000001</v>
      </c>
      <c r="K725" s="19" t="s">
        <v>2700</v>
      </c>
      <c r="L725" s="19" t="s">
        <v>2701</v>
      </c>
      <c r="M725" s="19" t="s">
        <v>2702</v>
      </c>
      <c r="N725" s="19" t="s">
        <v>1019</v>
      </c>
    </row>
    <row r="726" spans="1:14">
      <c r="A726" s="19" t="s">
        <v>116</v>
      </c>
      <c r="B726" s="19">
        <v>5</v>
      </c>
      <c r="C726" s="19" t="s">
        <v>1057</v>
      </c>
      <c r="D726" s="19" t="s">
        <v>799</v>
      </c>
      <c r="E726" s="19" t="s">
        <v>855</v>
      </c>
      <c r="F726" s="19">
        <v>2016</v>
      </c>
      <c r="G726" s="21">
        <v>0.66651857000000003</v>
      </c>
      <c r="H726" s="19" t="s">
        <v>1058</v>
      </c>
      <c r="I726" s="19" t="s">
        <v>951</v>
      </c>
      <c r="J726" s="21">
        <v>0.66651857000000003</v>
      </c>
      <c r="K726" s="19" t="s">
        <v>1059</v>
      </c>
      <c r="L726" s="19" t="s">
        <v>1060</v>
      </c>
      <c r="M726" s="19" t="s">
        <v>1061</v>
      </c>
      <c r="N726" s="19" t="s">
        <v>1019</v>
      </c>
    </row>
    <row r="727" spans="1:14">
      <c r="A727" s="19" t="s">
        <v>116</v>
      </c>
      <c r="B727" s="19">
        <v>6</v>
      </c>
      <c r="C727" s="19" t="s">
        <v>2748</v>
      </c>
      <c r="D727" s="19" t="s">
        <v>2749</v>
      </c>
      <c r="E727" s="19" t="s">
        <v>855</v>
      </c>
      <c r="F727" s="19">
        <v>2016</v>
      </c>
      <c r="G727" s="21">
        <v>0.65900210000000004</v>
      </c>
      <c r="H727" s="19" t="s">
        <v>2750</v>
      </c>
      <c r="I727" s="19" t="s">
        <v>951</v>
      </c>
      <c r="J727" s="21">
        <v>0.65900210000000004</v>
      </c>
      <c r="K727" s="19" t="s">
        <v>2751</v>
      </c>
      <c r="L727" s="19" t="s">
        <v>2752</v>
      </c>
      <c r="M727" s="19" t="s">
        <v>2753</v>
      </c>
      <c r="N727" s="19" t="s">
        <v>1103</v>
      </c>
    </row>
    <row r="728" spans="1:14">
      <c r="A728" s="19" t="s">
        <v>116</v>
      </c>
      <c r="B728" s="19">
        <v>7</v>
      </c>
      <c r="C728" s="19" t="s">
        <v>2754</v>
      </c>
      <c r="D728" s="19" t="s">
        <v>2755</v>
      </c>
      <c r="E728" s="19" t="s">
        <v>855</v>
      </c>
      <c r="F728" s="19">
        <v>2022</v>
      </c>
      <c r="G728" s="21">
        <v>0.65306949999999997</v>
      </c>
      <c r="H728" s="19" t="s">
        <v>2756</v>
      </c>
      <c r="I728" s="19" t="s">
        <v>951</v>
      </c>
      <c r="J728" s="21">
        <v>0.65306949999999997</v>
      </c>
      <c r="K728" s="19" t="s">
        <v>2757</v>
      </c>
      <c r="L728" s="19" t="s">
        <v>2758</v>
      </c>
      <c r="M728" s="19" t="s">
        <v>2759</v>
      </c>
      <c r="N728" s="19" t="s">
        <v>1238</v>
      </c>
    </row>
    <row r="729" spans="1:14">
      <c r="A729" s="19" t="s">
        <v>116</v>
      </c>
      <c r="B729" s="19">
        <v>8</v>
      </c>
      <c r="C729" s="19" t="s">
        <v>2760</v>
      </c>
      <c r="D729" s="19" t="s">
        <v>2761</v>
      </c>
      <c r="E729" s="19" t="s">
        <v>855</v>
      </c>
      <c r="F729" s="19">
        <v>2022</v>
      </c>
      <c r="G729" s="21">
        <v>0.65274319999999997</v>
      </c>
      <c r="H729" s="19" t="s">
        <v>2762</v>
      </c>
      <c r="I729" s="19" t="s">
        <v>951</v>
      </c>
      <c r="J729" s="21">
        <v>0.65274319999999997</v>
      </c>
      <c r="K729" s="19" t="s">
        <v>2763</v>
      </c>
      <c r="L729" s="19" t="s">
        <v>2764</v>
      </c>
      <c r="M729" s="19" t="s">
        <v>2765</v>
      </c>
      <c r="N729" s="19" t="s">
        <v>1238</v>
      </c>
    </row>
    <row r="730" spans="1:14">
      <c r="A730" s="19" t="s">
        <v>116</v>
      </c>
      <c r="B730" s="19">
        <v>9</v>
      </c>
      <c r="C730" s="19" t="s">
        <v>2766</v>
      </c>
      <c r="D730" s="19" t="s">
        <v>2767</v>
      </c>
      <c r="E730" s="19" t="s">
        <v>855</v>
      </c>
      <c r="F730" s="19">
        <v>2023</v>
      </c>
      <c r="G730" s="21">
        <v>0.65259920000000005</v>
      </c>
      <c r="H730" s="19" t="s">
        <v>2768</v>
      </c>
      <c r="I730" s="19" t="s">
        <v>951</v>
      </c>
      <c r="J730" s="21">
        <v>0.65259920000000005</v>
      </c>
      <c r="K730" s="19" t="s">
        <v>2769</v>
      </c>
      <c r="L730" s="19" t="s">
        <v>2770</v>
      </c>
      <c r="M730" s="19" t="s">
        <v>2771</v>
      </c>
      <c r="N730" s="19" t="s">
        <v>1238</v>
      </c>
    </row>
    <row r="731" spans="1:14">
      <c r="A731" s="19" t="s">
        <v>116</v>
      </c>
      <c r="B731" s="19">
        <v>10</v>
      </c>
      <c r="C731" s="19" t="s">
        <v>2772</v>
      </c>
      <c r="D731" s="19" t="s">
        <v>2773</v>
      </c>
      <c r="E731" s="19" t="s">
        <v>855</v>
      </c>
      <c r="F731" s="19">
        <v>2017</v>
      </c>
      <c r="G731" s="21">
        <v>0.65204209999999996</v>
      </c>
      <c r="H731" s="19" t="s">
        <v>2774</v>
      </c>
      <c r="I731" s="19" t="s">
        <v>951</v>
      </c>
      <c r="J731" s="21">
        <v>0.65204209999999996</v>
      </c>
      <c r="K731" s="19" t="s">
        <v>2775</v>
      </c>
      <c r="L731" s="19" t="s">
        <v>2776</v>
      </c>
      <c r="M731" s="19" t="s">
        <v>2777</v>
      </c>
      <c r="N731" s="19" t="s">
        <v>1238</v>
      </c>
    </row>
    <row r="732" spans="1:14">
      <c r="A732" s="19" t="s">
        <v>116</v>
      </c>
      <c r="B732" s="19">
        <v>11</v>
      </c>
      <c r="C732" s="19" t="s">
        <v>1245</v>
      </c>
      <c r="D732" s="19" t="s">
        <v>1246</v>
      </c>
      <c r="E732" s="19" t="s">
        <v>855</v>
      </c>
      <c r="F732" s="19">
        <v>2022</v>
      </c>
      <c r="G732" s="21">
        <v>0.65194916999999997</v>
      </c>
      <c r="H732" s="19" t="s">
        <v>2709</v>
      </c>
      <c r="I732" s="19" t="s">
        <v>951</v>
      </c>
      <c r="J732" s="21">
        <v>0.65194916999999997</v>
      </c>
      <c r="K732" s="19" t="s">
        <v>2710</v>
      </c>
      <c r="L732" s="19" t="s">
        <v>2711</v>
      </c>
      <c r="M732" s="19" t="s">
        <v>2712</v>
      </c>
      <c r="N732" s="19" t="s">
        <v>1238</v>
      </c>
    </row>
    <row r="733" spans="1:14">
      <c r="A733" s="19" t="s">
        <v>116</v>
      </c>
      <c r="B733" s="19">
        <v>12</v>
      </c>
      <c r="C733" s="19" t="s">
        <v>2153</v>
      </c>
      <c r="D733" s="19" t="s">
        <v>810</v>
      </c>
      <c r="E733" s="19" t="s">
        <v>855</v>
      </c>
      <c r="F733" s="19">
        <v>2022</v>
      </c>
      <c r="G733" s="21">
        <v>0.65029274999999997</v>
      </c>
      <c r="H733" s="19" t="s">
        <v>2154</v>
      </c>
      <c r="I733" s="19" t="s">
        <v>951</v>
      </c>
      <c r="J733" s="21">
        <v>0.65029274999999997</v>
      </c>
      <c r="K733" s="19" t="s">
        <v>2155</v>
      </c>
      <c r="L733" s="19" t="s">
        <v>2156</v>
      </c>
      <c r="M733" s="19" t="s">
        <v>2157</v>
      </c>
      <c r="N733" s="19" t="s">
        <v>1238</v>
      </c>
    </row>
    <row r="734" spans="1:14">
      <c r="A734" s="19" t="s">
        <v>116</v>
      </c>
      <c r="B734" s="19">
        <v>13</v>
      </c>
      <c r="C734" s="19" t="s">
        <v>2778</v>
      </c>
      <c r="D734" s="19" t="s">
        <v>2779</v>
      </c>
      <c r="E734" s="19" t="s">
        <v>855</v>
      </c>
      <c r="F734" s="19">
        <v>2015</v>
      </c>
      <c r="G734" s="21">
        <v>0.65019064999999998</v>
      </c>
      <c r="H734" s="19" t="s">
        <v>2780</v>
      </c>
      <c r="I734" s="19" t="s">
        <v>951</v>
      </c>
      <c r="J734" s="21">
        <v>0.65019064999999998</v>
      </c>
      <c r="K734" s="19" t="s">
        <v>2781</v>
      </c>
      <c r="L734" s="19" t="s">
        <v>2782</v>
      </c>
      <c r="M734" s="19" t="s">
        <v>2783</v>
      </c>
      <c r="N734" s="19" t="s">
        <v>1238</v>
      </c>
    </row>
    <row r="735" spans="1:14">
      <c r="A735" s="19" t="s">
        <v>116</v>
      </c>
      <c r="B735" s="19">
        <v>14</v>
      </c>
      <c r="C735" s="19" t="s">
        <v>2784</v>
      </c>
      <c r="D735" s="19" t="s">
        <v>2785</v>
      </c>
      <c r="E735" s="19" t="s">
        <v>855</v>
      </c>
      <c r="F735" s="19">
        <v>2022</v>
      </c>
      <c r="G735" s="21">
        <v>0.64988922999999998</v>
      </c>
      <c r="H735" s="19" t="s">
        <v>2786</v>
      </c>
      <c r="I735" s="19" t="s">
        <v>951</v>
      </c>
      <c r="J735" s="21">
        <v>0.64988922999999998</v>
      </c>
      <c r="K735" s="19" t="s">
        <v>2787</v>
      </c>
      <c r="L735" s="19" t="s">
        <v>2788</v>
      </c>
      <c r="M735" s="19" t="s">
        <v>2789</v>
      </c>
      <c r="N735" s="19" t="s">
        <v>1238</v>
      </c>
    </row>
    <row r="736" spans="1:14">
      <c r="A736" s="19" t="s">
        <v>116</v>
      </c>
      <c r="B736" s="19">
        <v>15</v>
      </c>
      <c r="C736" s="19" t="s">
        <v>1497</v>
      </c>
      <c r="D736" s="19" t="s">
        <v>1498</v>
      </c>
      <c r="E736" s="19" t="s">
        <v>855</v>
      </c>
      <c r="F736" s="19">
        <v>2022</v>
      </c>
      <c r="G736" s="21">
        <v>0.64976334999999996</v>
      </c>
      <c r="H736" s="19" t="s">
        <v>2790</v>
      </c>
      <c r="I736" s="19" t="s">
        <v>951</v>
      </c>
      <c r="J736" s="21">
        <v>0.64976334999999996</v>
      </c>
      <c r="K736" s="19" t="s">
        <v>2791</v>
      </c>
      <c r="L736" s="19" t="s">
        <v>2792</v>
      </c>
      <c r="M736" s="19" t="s">
        <v>2793</v>
      </c>
      <c r="N736" s="19" t="s">
        <v>1238</v>
      </c>
    </row>
    <row r="737" spans="1:14">
      <c r="A737" s="19" t="s">
        <v>116</v>
      </c>
      <c r="B737" s="19">
        <v>16</v>
      </c>
      <c r="C737" s="19" t="s">
        <v>1593</v>
      </c>
      <c r="D737" s="19" t="s">
        <v>1594</v>
      </c>
      <c r="E737" s="19" t="s">
        <v>855</v>
      </c>
      <c r="F737" s="19">
        <v>2022</v>
      </c>
      <c r="G737" s="21">
        <v>0.64971219999999996</v>
      </c>
      <c r="H737" s="19" t="s">
        <v>2244</v>
      </c>
      <c r="I737" s="19" t="s">
        <v>951</v>
      </c>
      <c r="J737" s="21">
        <v>0.64971219999999996</v>
      </c>
      <c r="K737" s="19" t="s">
        <v>2245</v>
      </c>
      <c r="L737" s="19" t="s">
        <v>2246</v>
      </c>
      <c r="M737" s="19" t="s">
        <v>2247</v>
      </c>
      <c r="N737" s="19" t="s">
        <v>1238</v>
      </c>
    </row>
    <row r="738" spans="1:14">
      <c r="A738" s="19" t="s">
        <v>116</v>
      </c>
      <c r="B738" s="19">
        <v>17</v>
      </c>
      <c r="C738" s="19" t="s">
        <v>2689</v>
      </c>
      <c r="D738" s="19" t="s">
        <v>2690</v>
      </c>
      <c r="E738" s="19" t="s">
        <v>855</v>
      </c>
      <c r="F738" s="19">
        <v>2016</v>
      </c>
      <c r="G738" s="21">
        <v>0.64872249999999998</v>
      </c>
      <c r="H738" s="19" t="s">
        <v>2691</v>
      </c>
      <c r="I738" s="19" t="s">
        <v>951</v>
      </c>
      <c r="J738" s="21">
        <v>0.64872249999999998</v>
      </c>
      <c r="K738" s="19" t="s">
        <v>2692</v>
      </c>
      <c r="L738" s="19" t="s">
        <v>2693</v>
      </c>
      <c r="M738" s="19" t="s">
        <v>2694</v>
      </c>
      <c r="N738" s="19" t="s">
        <v>1238</v>
      </c>
    </row>
    <row r="739" spans="1:14">
      <c r="A739" s="19" t="s">
        <v>116</v>
      </c>
      <c r="B739" s="19">
        <v>18</v>
      </c>
      <c r="C739" s="19" t="s">
        <v>2794</v>
      </c>
      <c r="D739" s="19" t="s">
        <v>2795</v>
      </c>
      <c r="E739" s="19" t="s">
        <v>855</v>
      </c>
      <c r="F739" s="19">
        <v>2022</v>
      </c>
      <c r="G739" s="21">
        <v>0.64851400000000003</v>
      </c>
      <c r="H739" s="19" t="s">
        <v>2796</v>
      </c>
      <c r="I739" s="19" t="s">
        <v>951</v>
      </c>
      <c r="J739" s="21">
        <v>0.64851400000000003</v>
      </c>
      <c r="K739" s="19" t="s">
        <v>2797</v>
      </c>
      <c r="L739" s="19" t="s">
        <v>2798</v>
      </c>
      <c r="M739" s="19" t="s">
        <v>2799</v>
      </c>
      <c r="N739" s="19" t="s">
        <v>1238</v>
      </c>
    </row>
    <row r="740" spans="1:14">
      <c r="A740" s="19" t="s">
        <v>116</v>
      </c>
      <c r="B740" s="19">
        <v>19</v>
      </c>
      <c r="C740" s="19" t="s">
        <v>2800</v>
      </c>
      <c r="D740" s="19" t="s">
        <v>2801</v>
      </c>
      <c r="E740" s="19" t="s">
        <v>855</v>
      </c>
      <c r="F740" s="19">
        <v>2023</v>
      </c>
      <c r="G740" s="21">
        <v>0.64849836000000005</v>
      </c>
      <c r="H740" s="19" t="s">
        <v>2802</v>
      </c>
      <c r="I740" s="19" t="s">
        <v>951</v>
      </c>
      <c r="J740" s="21">
        <v>0.64849836000000005</v>
      </c>
      <c r="K740" s="19" t="s">
        <v>2803</v>
      </c>
      <c r="L740" s="19" t="s">
        <v>2804</v>
      </c>
      <c r="M740" s="19" t="s">
        <v>2805</v>
      </c>
      <c r="N740" s="19" t="s">
        <v>1238</v>
      </c>
    </row>
    <row r="741" spans="1:14">
      <c r="A741" s="19" t="s">
        <v>116</v>
      </c>
      <c r="B741" s="19">
        <v>20</v>
      </c>
      <c r="C741" s="19" t="s">
        <v>2806</v>
      </c>
      <c r="D741" s="19" t="s">
        <v>2807</v>
      </c>
      <c r="E741" s="19" t="s">
        <v>855</v>
      </c>
      <c r="F741" s="19">
        <v>2022</v>
      </c>
      <c r="G741" s="21">
        <v>0.64777713999999997</v>
      </c>
      <c r="H741" s="19" t="s">
        <v>2808</v>
      </c>
      <c r="I741" s="19" t="s">
        <v>951</v>
      </c>
      <c r="J741" s="21">
        <v>0.64777713999999997</v>
      </c>
      <c r="K741" s="19" t="s">
        <v>2809</v>
      </c>
      <c r="L741" s="19" t="s">
        <v>2810</v>
      </c>
      <c r="M741" s="19" t="s">
        <v>2811</v>
      </c>
      <c r="N741" s="19" t="s">
        <v>1238</v>
      </c>
    </row>
    <row r="742" spans="1:14">
      <c r="A742" s="19" t="s">
        <v>303</v>
      </c>
      <c r="B742" s="19">
        <v>1</v>
      </c>
      <c r="C742" s="19" t="s">
        <v>1062</v>
      </c>
      <c r="D742" s="19" t="s">
        <v>750</v>
      </c>
      <c r="E742" s="19" t="s">
        <v>855</v>
      </c>
      <c r="F742" s="19">
        <v>2022</v>
      </c>
      <c r="G742" s="21">
        <v>0.68988430000000001</v>
      </c>
      <c r="H742" s="19" t="s">
        <v>2812</v>
      </c>
      <c r="I742" s="19" t="s">
        <v>914</v>
      </c>
      <c r="J742" s="21">
        <v>0.68988430000000001</v>
      </c>
      <c r="K742" s="19" t="s">
        <v>2813</v>
      </c>
      <c r="L742" s="19" t="s">
        <v>2814</v>
      </c>
      <c r="M742" s="19"/>
      <c r="N742" s="19" t="s">
        <v>1120</v>
      </c>
    </row>
    <row r="743" spans="1:14">
      <c r="A743" s="19" t="s">
        <v>303</v>
      </c>
      <c r="B743" s="19">
        <v>2</v>
      </c>
      <c r="C743" s="19" t="s">
        <v>2815</v>
      </c>
      <c r="D743" s="19" t="s">
        <v>2816</v>
      </c>
      <c r="E743" s="19" t="s">
        <v>855</v>
      </c>
      <c r="F743" s="19">
        <v>2023</v>
      </c>
      <c r="G743" s="21">
        <v>0.68691979999999997</v>
      </c>
      <c r="H743" s="19" t="s">
        <v>2817</v>
      </c>
      <c r="I743" s="19" t="s">
        <v>914</v>
      </c>
      <c r="J743" s="21">
        <v>0.68691979999999997</v>
      </c>
      <c r="K743" s="19" t="s">
        <v>2818</v>
      </c>
      <c r="L743" s="19" t="s">
        <v>2819</v>
      </c>
      <c r="M743" s="19"/>
      <c r="N743" s="19" t="s">
        <v>1120</v>
      </c>
    </row>
    <row r="744" spans="1:14">
      <c r="A744" s="19" t="s">
        <v>303</v>
      </c>
      <c r="B744" s="19">
        <v>3</v>
      </c>
      <c r="C744" s="19" t="s">
        <v>1386</v>
      </c>
      <c r="D744" s="19" t="s">
        <v>682</v>
      </c>
      <c r="E744" s="19" t="s">
        <v>855</v>
      </c>
      <c r="F744" s="19">
        <v>2015</v>
      </c>
      <c r="G744" s="21">
        <v>0.68027910000000003</v>
      </c>
      <c r="H744" s="19" t="s">
        <v>2695</v>
      </c>
      <c r="I744" s="19" t="s">
        <v>951</v>
      </c>
      <c r="J744" s="21">
        <v>0.68027910000000003</v>
      </c>
      <c r="K744" s="19" t="s">
        <v>2696</v>
      </c>
      <c r="L744" s="19" t="s">
        <v>2697</v>
      </c>
      <c r="M744" s="19" t="s">
        <v>2698</v>
      </c>
      <c r="N744" s="19" t="s">
        <v>1000</v>
      </c>
    </row>
    <row r="745" spans="1:14">
      <c r="A745" s="19" t="s">
        <v>303</v>
      </c>
      <c r="B745" s="19">
        <v>4</v>
      </c>
      <c r="C745" s="19" t="s">
        <v>2351</v>
      </c>
      <c r="D745" s="19" t="s">
        <v>2352</v>
      </c>
      <c r="E745" s="19" t="s">
        <v>855</v>
      </c>
      <c r="F745" s="19">
        <v>2016</v>
      </c>
      <c r="G745" s="21">
        <v>0.67640953999999998</v>
      </c>
      <c r="H745" s="19" t="s">
        <v>2699</v>
      </c>
      <c r="I745" s="19" t="s">
        <v>951</v>
      </c>
      <c r="J745" s="21">
        <v>0.67640953999999998</v>
      </c>
      <c r="K745" s="19" t="s">
        <v>2700</v>
      </c>
      <c r="L745" s="19" t="s">
        <v>2701</v>
      </c>
      <c r="M745" s="19" t="s">
        <v>2702</v>
      </c>
      <c r="N745" s="19" t="s">
        <v>1000</v>
      </c>
    </row>
    <row r="746" spans="1:14">
      <c r="A746" s="19" t="s">
        <v>303</v>
      </c>
      <c r="B746" s="19">
        <v>5</v>
      </c>
      <c r="C746" s="19" t="s">
        <v>2820</v>
      </c>
      <c r="D746" s="19" t="s">
        <v>2821</v>
      </c>
      <c r="E746" s="19" t="s">
        <v>855</v>
      </c>
      <c r="F746" s="19">
        <v>2017</v>
      </c>
      <c r="G746" s="21">
        <v>0.67198323999999998</v>
      </c>
      <c r="H746" s="19" t="s">
        <v>2822</v>
      </c>
      <c r="I746" s="19" t="s">
        <v>865</v>
      </c>
      <c r="J746" s="21">
        <v>0.67198323999999998</v>
      </c>
      <c r="K746" s="19" t="s">
        <v>2823</v>
      </c>
      <c r="L746" s="19" t="s">
        <v>2824</v>
      </c>
      <c r="M746" s="19"/>
      <c r="N746" s="19" t="s">
        <v>869</v>
      </c>
    </row>
    <row r="747" spans="1:14">
      <c r="A747" s="19" t="s">
        <v>303</v>
      </c>
      <c r="B747" s="19">
        <v>6</v>
      </c>
      <c r="C747" s="19" t="s">
        <v>2825</v>
      </c>
      <c r="D747" s="19" t="s">
        <v>2826</v>
      </c>
      <c r="E747" s="19" t="s">
        <v>855</v>
      </c>
      <c r="F747" s="19">
        <v>2015</v>
      </c>
      <c r="G747" s="21">
        <v>0.66547334000000002</v>
      </c>
      <c r="H747" s="19" t="s">
        <v>2827</v>
      </c>
      <c r="I747" s="19" t="s">
        <v>951</v>
      </c>
      <c r="J747" s="21">
        <v>0.66547334000000002</v>
      </c>
      <c r="K747" s="19" t="s">
        <v>2828</v>
      </c>
      <c r="L747" s="19" t="s">
        <v>2829</v>
      </c>
      <c r="M747" s="19" t="s">
        <v>2830</v>
      </c>
      <c r="N747" s="19" t="s">
        <v>1019</v>
      </c>
    </row>
    <row r="748" spans="1:14">
      <c r="A748" s="19" t="s">
        <v>303</v>
      </c>
      <c r="B748" s="19">
        <v>7</v>
      </c>
      <c r="C748" s="19" t="s">
        <v>2831</v>
      </c>
      <c r="D748" s="19" t="s">
        <v>2832</v>
      </c>
      <c r="E748" s="19" t="s">
        <v>855</v>
      </c>
      <c r="F748" s="19">
        <v>2015</v>
      </c>
      <c r="G748" s="21">
        <v>0.66492770000000001</v>
      </c>
      <c r="H748" s="19" t="s">
        <v>2833</v>
      </c>
      <c r="I748" s="19" t="s">
        <v>865</v>
      </c>
      <c r="J748" s="21">
        <v>0.66492770000000001</v>
      </c>
      <c r="K748" s="19" t="s">
        <v>2834</v>
      </c>
      <c r="L748" s="19" t="s">
        <v>2835</v>
      </c>
      <c r="M748" s="19"/>
      <c r="N748" s="19" t="s">
        <v>1158</v>
      </c>
    </row>
    <row r="749" spans="1:14">
      <c r="A749" s="19" t="s">
        <v>303</v>
      </c>
      <c r="B749" s="19">
        <v>8</v>
      </c>
      <c r="C749" s="19" t="s">
        <v>2836</v>
      </c>
      <c r="D749" s="19" t="s">
        <v>2837</v>
      </c>
      <c r="E749" s="19" t="s">
        <v>855</v>
      </c>
      <c r="F749" s="19">
        <v>2015</v>
      </c>
      <c r="G749" s="21">
        <v>0.6611475</v>
      </c>
      <c r="H749" s="19" t="s">
        <v>2838</v>
      </c>
      <c r="I749" s="19" t="s">
        <v>865</v>
      </c>
      <c r="J749" s="21">
        <v>0.6611475</v>
      </c>
      <c r="K749" s="19" t="s">
        <v>2839</v>
      </c>
      <c r="L749" s="19" t="s">
        <v>2840</v>
      </c>
      <c r="M749" s="19"/>
      <c r="N749" s="19" t="s">
        <v>1158</v>
      </c>
    </row>
    <row r="750" spans="1:14">
      <c r="A750" s="19" t="s">
        <v>303</v>
      </c>
      <c r="B750" s="19">
        <v>9</v>
      </c>
      <c r="C750" s="19" t="s">
        <v>1245</v>
      </c>
      <c r="D750" s="19" t="s">
        <v>1246</v>
      </c>
      <c r="E750" s="19" t="s">
        <v>855</v>
      </c>
      <c r="F750" s="19">
        <v>2022</v>
      </c>
      <c r="G750" s="21">
        <v>0.66064579999999995</v>
      </c>
      <c r="H750" s="19" t="s">
        <v>2709</v>
      </c>
      <c r="I750" s="19" t="s">
        <v>951</v>
      </c>
      <c r="J750" s="21">
        <v>0.66064579999999995</v>
      </c>
      <c r="K750" s="19" t="s">
        <v>2710</v>
      </c>
      <c r="L750" s="19" t="s">
        <v>2711</v>
      </c>
      <c r="M750" s="19" t="s">
        <v>2712</v>
      </c>
      <c r="N750" s="19" t="s">
        <v>1103</v>
      </c>
    </row>
    <row r="751" spans="1:14">
      <c r="A751" s="19" t="s">
        <v>303</v>
      </c>
      <c r="B751" s="19">
        <v>10</v>
      </c>
      <c r="C751" s="19" t="s">
        <v>2841</v>
      </c>
      <c r="D751" s="19" t="s">
        <v>2842</v>
      </c>
      <c r="E751" s="19" t="s">
        <v>855</v>
      </c>
      <c r="F751" s="19">
        <v>2015</v>
      </c>
      <c r="G751" s="21">
        <v>0.66048680000000004</v>
      </c>
      <c r="H751" s="19" t="s">
        <v>2843</v>
      </c>
      <c r="I751" s="19" t="s">
        <v>914</v>
      </c>
      <c r="J751" s="21">
        <v>0.66048680000000004</v>
      </c>
      <c r="K751" s="19" t="s">
        <v>2844</v>
      </c>
      <c r="L751" s="19" t="s">
        <v>2845</v>
      </c>
      <c r="M751" s="19"/>
      <c r="N751" s="19" t="s">
        <v>917</v>
      </c>
    </row>
    <row r="752" spans="1:14">
      <c r="A752" s="19" t="s">
        <v>303</v>
      </c>
      <c r="B752" s="19">
        <v>11</v>
      </c>
      <c r="C752" s="19" t="s">
        <v>1097</v>
      </c>
      <c r="D752" s="19" t="s">
        <v>1098</v>
      </c>
      <c r="E752" s="19" t="s">
        <v>855</v>
      </c>
      <c r="F752" s="19">
        <v>2022</v>
      </c>
      <c r="G752" s="21">
        <v>0.65813816000000003</v>
      </c>
      <c r="H752" s="19" t="s">
        <v>1099</v>
      </c>
      <c r="I752" s="19" t="s">
        <v>951</v>
      </c>
      <c r="J752" s="21">
        <v>0.65813816000000003</v>
      </c>
      <c r="K752" s="19" t="s">
        <v>1100</v>
      </c>
      <c r="L752" s="19" t="s">
        <v>1101</v>
      </c>
      <c r="M752" s="19" t="s">
        <v>1102</v>
      </c>
      <c r="N752" s="19" t="s">
        <v>1103</v>
      </c>
    </row>
    <row r="753" spans="1:14">
      <c r="A753" s="19" t="s">
        <v>303</v>
      </c>
      <c r="B753" s="19">
        <v>12</v>
      </c>
      <c r="C753" s="19" t="s">
        <v>2019</v>
      </c>
      <c r="D753" s="19" t="s">
        <v>2020</v>
      </c>
      <c r="E753" s="19" t="s">
        <v>855</v>
      </c>
      <c r="F753" s="19">
        <v>2023</v>
      </c>
      <c r="G753" s="21">
        <v>0.65703785000000003</v>
      </c>
      <c r="H753" s="19" t="s">
        <v>2021</v>
      </c>
      <c r="I753" s="19" t="s">
        <v>865</v>
      </c>
      <c r="J753" s="21">
        <v>0.65703785000000003</v>
      </c>
      <c r="K753" s="19" t="s">
        <v>2022</v>
      </c>
      <c r="L753" s="19" t="s">
        <v>2023</v>
      </c>
      <c r="M753" s="19"/>
      <c r="N753" s="19" t="s">
        <v>1158</v>
      </c>
    </row>
    <row r="754" spans="1:14">
      <c r="A754" s="19" t="s">
        <v>303</v>
      </c>
      <c r="B754" s="19">
        <v>13</v>
      </c>
      <c r="C754" s="19" t="s">
        <v>2846</v>
      </c>
      <c r="D754" s="19" t="s">
        <v>2847</v>
      </c>
      <c r="E754" s="19" t="s">
        <v>855</v>
      </c>
      <c r="F754" s="19">
        <v>2023</v>
      </c>
      <c r="G754" s="21">
        <v>0.65673729999999997</v>
      </c>
      <c r="H754" s="19" t="s">
        <v>2848</v>
      </c>
      <c r="I754" s="19" t="s">
        <v>951</v>
      </c>
      <c r="J754" s="21">
        <v>0.65673729999999997</v>
      </c>
      <c r="K754" s="19" t="s">
        <v>2849</v>
      </c>
      <c r="L754" s="19" t="s">
        <v>2850</v>
      </c>
      <c r="M754" s="19" t="s">
        <v>2851</v>
      </c>
      <c r="N754" s="19" t="s">
        <v>1103</v>
      </c>
    </row>
    <row r="755" spans="1:14">
      <c r="A755" s="19" t="s">
        <v>303</v>
      </c>
      <c r="B755" s="19">
        <v>14</v>
      </c>
      <c r="C755" s="19" t="s">
        <v>2852</v>
      </c>
      <c r="D755" s="19" t="s">
        <v>2853</v>
      </c>
      <c r="E755" s="19" t="s">
        <v>855</v>
      </c>
      <c r="F755" s="19">
        <v>2014</v>
      </c>
      <c r="G755" s="21">
        <v>0.65518310000000002</v>
      </c>
      <c r="H755" s="19" t="s">
        <v>2854</v>
      </c>
      <c r="I755" s="19" t="s">
        <v>865</v>
      </c>
      <c r="J755" s="21">
        <v>0.65518310000000002</v>
      </c>
      <c r="K755" s="19" t="s">
        <v>2855</v>
      </c>
      <c r="L755" s="19" t="s">
        <v>2856</v>
      </c>
      <c r="M755" s="19"/>
      <c r="N755" s="19" t="s">
        <v>1158</v>
      </c>
    </row>
    <row r="756" spans="1:14">
      <c r="A756" s="19" t="s">
        <v>303</v>
      </c>
      <c r="B756" s="19">
        <v>15</v>
      </c>
      <c r="C756" s="19" t="s">
        <v>2857</v>
      </c>
      <c r="D756" s="19" t="s">
        <v>2858</v>
      </c>
      <c r="E756" s="19" t="s">
        <v>855</v>
      </c>
      <c r="F756" s="19">
        <v>2016</v>
      </c>
      <c r="G756" s="21">
        <v>0.6541283</v>
      </c>
      <c r="H756" s="19" t="s">
        <v>2859</v>
      </c>
      <c r="I756" s="19" t="s">
        <v>914</v>
      </c>
      <c r="J756" s="21">
        <v>0.6541283</v>
      </c>
      <c r="K756" s="19" t="s">
        <v>2860</v>
      </c>
      <c r="L756" s="19" t="s">
        <v>2861</v>
      </c>
      <c r="M756" s="19"/>
      <c r="N756" s="19" t="s">
        <v>1374</v>
      </c>
    </row>
    <row r="757" spans="1:14">
      <c r="A757" s="19" t="s">
        <v>303</v>
      </c>
      <c r="B757" s="19">
        <v>16</v>
      </c>
      <c r="C757" s="19" t="s">
        <v>2862</v>
      </c>
      <c r="D757" s="19" t="s">
        <v>2863</v>
      </c>
      <c r="E757" s="19" t="s">
        <v>855</v>
      </c>
      <c r="F757" s="19">
        <v>2015</v>
      </c>
      <c r="G757" s="21">
        <v>0.65344190000000002</v>
      </c>
      <c r="H757" s="19" t="s">
        <v>2864</v>
      </c>
      <c r="I757" s="19" t="s">
        <v>865</v>
      </c>
      <c r="J757" s="21">
        <v>0.65344190000000002</v>
      </c>
      <c r="K757" s="19" t="s">
        <v>2865</v>
      </c>
      <c r="L757" s="19" t="s">
        <v>2866</v>
      </c>
      <c r="M757" s="19"/>
      <c r="N757" s="19" t="s">
        <v>2867</v>
      </c>
    </row>
    <row r="758" spans="1:14">
      <c r="A758" s="19" t="s">
        <v>303</v>
      </c>
      <c r="B758" s="19">
        <v>17</v>
      </c>
      <c r="C758" s="19" t="s">
        <v>1482</v>
      </c>
      <c r="D758" s="19" t="s">
        <v>1483</v>
      </c>
      <c r="E758" s="19" t="s">
        <v>855</v>
      </c>
      <c r="F758" s="19">
        <v>2023</v>
      </c>
      <c r="G758" s="21">
        <v>0.65245310000000001</v>
      </c>
      <c r="H758" s="19" t="s">
        <v>1484</v>
      </c>
      <c r="I758" s="19" t="s">
        <v>865</v>
      </c>
      <c r="J758" s="21">
        <v>0.65245310000000001</v>
      </c>
      <c r="K758" s="19" t="s">
        <v>1485</v>
      </c>
      <c r="L758" s="19" t="s">
        <v>1486</v>
      </c>
      <c r="M758" s="19"/>
      <c r="N758" s="19" t="s">
        <v>2867</v>
      </c>
    </row>
    <row r="759" spans="1:14">
      <c r="A759" s="19" t="s">
        <v>303</v>
      </c>
      <c r="B759" s="19">
        <v>18</v>
      </c>
      <c r="C759" s="19" t="s">
        <v>2868</v>
      </c>
      <c r="D759" s="19" t="s">
        <v>2869</v>
      </c>
      <c r="E759" s="19" t="s">
        <v>855</v>
      </c>
      <c r="F759" s="19">
        <v>2017</v>
      </c>
      <c r="G759" s="21">
        <v>0.65214395999999997</v>
      </c>
      <c r="H759" s="19" t="s">
        <v>2870</v>
      </c>
      <c r="I759" s="19" t="s">
        <v>865</v>
      </c>
      <c r="J759" s="21">
        <v>0.65214395999999997</v>
      </c>
      <c r="K759" s="19" t="s">
        <v>2871</v>
      </c>
      <c r="L759" s="19" t="s">
        <v>2872</v>
      </c>
      <c r="M759" s="19"/>
      <c r="N759" s="19" t="s">
        <v>2867</v>
      </c>
    </row>
    <row r="760" spans="1:14">
      <c r="A760" s="19" t="s">
        <v>303</v>
      </c>
      <c r="B760" s="19">
        <v>19</v>
      </c>
      <c r="C760" s="19" t="s">
        <v>2766</v>
      </c>
      <c r="D760" s="19" t="s">
        <v>2767</v>
      </c>
      <c r="E760" s="19" t="s">
        <v>855</v>
      </c>
      <c r="F760" s="19">
        <v>2023</v>
      </c>
      <c r="G760" s="21">
        <v>0.65109709999999998</v>
      </c>
      <c r="H760" s="19" t="s">
        <v>2768</v>
      </c>
      <c r="I760" s="19" t="s">
        <v>951</v>
      </c>
      <c r="J760" s="21">
        <v>0.65109709999999998</v>
      </c>
      <c r="K760" s="19" t="s">
        <v>2769</v>
      </c>
      <c r="L760" s="19" t="s">
        <v>2770</v>
      </c>
      <c r="M760" s="19" t="s">
        <v>2771</v>
      </c>
      <c r="N760" s="19" t="s">
        <v>1238</v>
      </c>
    </row>
    <row r="761" spans="1:14">
      <c r="A761" s="19" t="s">
        <v>303</v>
      </c>
      <c r="B761" s="19">
        <v>20</v>
      </c>
      <c r="C761" s="19" t="s">
        <v>2873</v>
      </c>
      <c r="D761" s="19" t="s">
        <v>2874</v>
      </c>
      <c r="E761" s="19" t="s">
        <v>855</v>
      </c>
      <c r="F761" s="19">
        <v>2022</v>
      </c>
      <c r="G761" s="21">
        <v>0.65046674000000004</v>
      </c>
      <c r="H761" s="19" t="s">
        <v>2875</v>
      </c>
      <c r="I761" s="19" t="s">
        <v>865</v>
      </c>
      <c r="J761" s="21">
        <v>0.65046674000000004</v>
      </c>
      <c r="K761" s="19" t="s">
        <v>2876</v>
      </c>
      <c r="L761" s="19" t="s">
        <v>2877</v>
      </c>
      <c r="M761" s="19" t="s">
        <v>2878</v>
      </c>
      <c r="N761" s="19" t="s">
        <v>2867</v>
      </c>
    </row>
    <row r="762" spans="1:14">
      <c r="A762" s="19" t="s">
        <v>240</v>
      </c>
      <c r="B762" s="19">
        <v>1</v>
      </c>
      <c r="C762" s="19" t="s">
        <v>1787</v>
      </c>
      <c r="D762" s="19" t="s">
        <v>726</v>
      </c>
      <c r="E762" s="19" t="s">
        <v>1788</v>
      </c>
      <c r="F762" s="19">
        <v>2014</v>
      </c>
      <c r="G762" s="21">
        <v>0.78388559999999996</v>
      </c>
      <c r="H762" s="19" t="s">
        <v>1789</v>
      </c>
      <c r="I762" s="19" t="s">
        <v>914</v>
      </c>
      <c r="J762" s="21">
        <v>0.78388559999999996</v>
      </c>
      <c r="K762" s="19" t="s">
        <v>1790</v>
      </c>
      <c r="L762" s="19" t="s">
        <v>1791</v>
      </c>
      <c r="M762" s="19" t="s">
        <v>1792</v>
      </c>
      <c r="N762" s="19" t="s">
        <v>2879</v>
      </c>
    </row>
    <row r="763" spans="1:14">
      <c r="A763" s="19" t="s">
        <v>240</v>
      </c>
      <c r="B763" s="19">
        <v>2</v>
      </c>
      <c r="C763" s="19" t="s">
        <v>1386</v>
      </c>
      <c r="D763" s="19" t="s">
        <v>682</v>
      </c>
      <c r="E763" s="19" t="s">
        <v>855</v>
      </c>
      <c r="F763" s="19">
        <v>2015</v>
      </c>
      <c r="G763" s="21">
        <v>0.75571299999999997</v>
      </c>
      <c r="H763" s="19" t="s">
        <v>1387</v>
      </c>
      <c r="I763" s="19" t="s">
        <v>914</v>
      </c>
      <c r="J763" s="21">
        <v>0.75571299999999997</v>
      </c>
      <c r="K763" s="19" t="s">
        <v>1388</v>
      </c>
      <c r="L763" s="19" t="s">
        <v>1389</v>
      </c>
      <c r="M763" s="19" t="s">
        <v>1390</v>
      </c>
      <c r="N763" s="19" t="s">
        <v>1794</v>
      </c>
    </row>
    <row r="764" spans="1:14">
      <c r="A764" s="19" t="s">
        <v>240</v>
      </c>
      <c r="B764" s="19">
        <v>3</v>
      </c>
      <c r="C764" s="19" t="s">
        <v>1802</v>
      </c>
      <c r="D764" s="19" t="s">
        <v>1803</v>
      </c>
      <c r="E764" s="19" t="s">
        <v>855</v>
      </c>
      <c r="F764" s="19">
        <v>2015</v>
      </c>
      <c r="G764" s="21">
        <v>0.72668743000000002</v>
      </c>
      <c r="H764" s="19" t="s">
        <v>1804</v>
      </c>
      <c r="I764" s="19" t="s">
        <v>914</v>
      </c>
      <c r="J764" s="21">
        <v>0.72668743000000002</v>
      </c>
      <c r="K764" s="19" t="s">
        <v>1805</v>
      </c>
      <c r="L764" s="19" t="s">
        <v>1806</v>
      </c>
      <c r="M764" s="19"/>
      <c r="N764" s="19" t="s">
        <v>1604</v>
      </c>
    </row>
    <row r="765" spans="1:14">
      <c r="A765" s="19" t="s">
        <v>240</v>
      </c>
      <c r="B765" s="19">
        <v>4</v>
      </c>
      <c r="C765" s="19" t="s">
        <v>1818</v>
      </c>
      <c r="D765" s="19" t="s">
        <v>1819</v>
      </c>
      <c r="E765" s="19" t="s">
        <v>855</v>
      </c>
      <c r="F765" s="19">
        <v>2014</v>
      </c>
      <c r="G765" s="21">
        <v>0.72371733000000005</v>
      </c>
      <c r="H765" s="19" t="s">
        <v>1820</v>
      </c>
      <c r="I765" s="19" t="s">
        <v>914</v>
      </c>
      <c r="J765" s="21">
        <v>0.72371733000000005</v>
      </c>
      <c r="K765" s="19" t="s">
        <v>1821</v>
      </c>
      <c r="L765" s="19" t="s">
        <v>1822</v>
      </c>
      <c r="M765" s="19" t="s">
        <v>1823</v>
      </c>
      <c r="N765" s="19" t="s">
        <v>1630</v>
      </c>
    </row>
    <row r="766" spans="1:14">
      <c r="A766" s="19" t="s">
        <v>240</v>
      </c>
      <c r="B766" s="19">
        <v>5</v>
      </c>
      <c r="C766" s="19" t="s">
        <v>2880</v>
      </c>
      <c r="D766" s="19" t="s">
        <v>2881</v>
      </c>
      <c r="E766" s="19" t="s">
        <v>855</v>
      </c>
      <c r="F766" s="19">
        <v>2017</v>
      </c>
      <c r="G766" s="21">
        <v>0.71821296000000001</v>
      </c>
      <c r="H766" s="19" t="s">
        <v>2882</v>
      </c>
      <c r="I766" s="19" t="s">
        <v>914</v>
      </c>
      <c r="J766" s="21">
        <v>0.71821296000000001</v>
      </c>
      <c r="K766" s="19" t="s">
        <v>2883</v>
      </c>
      <c r="L766" s="19" t="s">
        <v>2884</v>
      </c>
      <c r="M766" s="19" t="s">
        <v>2885</v>
      </c>
      <c r="N766" s="19" t="s">
        <v>1630</v>
      </c>
    </row>
    <row r="767" spans="1:14">
      <c r="A767" s="19" t="s">
        <v>240</v>
      </c>
      <c r="B767" s="19">
        <v>6</v>
      </c>
      <c r="C767" s="19" t="s">
        <v>2886</v>
      </c>
      <c r="D767" s="19" t="s">
        <v>2887</v>
      </c>
      <c r="E767" s="19" t="s">
        <v>855</v>
      </c>
      <c r="F767" s="19">
        <v>2017</v>
      </c>
      <c r="G767" s="21">
        <v>0.71333489999999999</v>
      </c>
      <c r="H767" s="19" t="s">
        <v>2888</v>
      </c>
      <c r="I767" s="19" t="s">
        <v>914</v>
      </c>
      <c r="J767" s="21">
        <v>0.71333489999999999</v>
      </c>
      <c r="K767" s="19" t="s">
        <v>2889</v>
      </c>
      <c r="L767" s="19" t="s">
        <v>2890</v>
      </c>
      <c r="M767" s="19" t="s">
        <v>2891</v>
      </c>
      <c r="N767" s="19" t="s">
        <v>1659</v>
      </c>
    </row>
    <row r="768" spans="1:14">
      <c r="A768" s="19" t="s">
        <v>240</v>
      </c>
      <c r="B768" s="19">
        <v>7</v>
      </c>
      <c r="C768" s="19" t="s">
        <v>1400</v>
      </c>
      <c r="D768" s="19" t="s">
        <v>1401</v>
      </c>
      <c r="E768" s="19" t="s">
        <v>855</v>
      </c>
      <c r="F768" s="19">
        <v>2015</v>
      </c>
      <c r="G768" s="21">
        <v>0.7122231</v>
      </c>
      <c r="H768" s="19" t="s">
        <v>1836</v>
      </c>
      <c r="I768" s="19" t="s">
        <v>914</v>
      </c>
      <c r="J768" s="21">
        <v>0.7122231</v>
      </c>
      <c r="K768" s="19" t="s">
        <v>1837</v>
      </c>
      <c r="L768" s="19" t="s">
        <v>1838</v>
      </c>
      <c r="M768" s="19"/>
      <c r="N768" s="19" t="s">
        <v>1659</v>
      </c>
    </row>
    <row r="769" spans="1:14">
      <c r="A769" s="19" t="s">
        <v>240</v>
      </c>
      <c r="B769" s="19">
        <v>8</v>
      </c>
      <c r="C769" s="19" t="s">
        <v>1795</v>
      </c>
      <c r="D769" s="19" t="s">
        <v>1796</v>
      </c>
      <c r="E769" s="19" t="s">
        <v>1797</v>
      </c>
      <c r="F769" s="19">
        <v>2016</v>
      </c>
      <c r="G769" s="21">
        <v>0.71163916999999999</v>
      </c>
      <c r="H769" s="19" t="s">
        <v>1798</v>
      </c>
      <c r="I769" s="19" t="s">
        <v>914</v>
      </c>
      <c r="J769" s="21">
        <v>0.71163916999999999</v>
      </c>
      <c r="K769" s="19" t="s">
        <v>1799</v>
      </c>
      <c r="L769" s="19" t="s">
        <v>1800</v>
      </c>
      <c r="M769" s="19"/>
      <c r="N769" s="19" t="s">
        <v>1659</v>
      </c>
    </row>
    <row r="770" spans="1:14">
      <c r="A770" s="19" t="s">
        <v>240</v>
      </c>
      <c r="B770" s="19">
        <v>9</v>
      </c>
      <c r="C770" s="19" t="s">
        <v>1813</v>
      </c>
      <c r="D770" s="19" t="s">
        <v>1814</v>
      </c>
      <c r="E770" s="19" t="s">
        <v>855</v>
      </c>
      <c r="F770" s="19">
        <v>2015</v>
      </c>
      <c r="G770" s="21">
        <v>0.7054665</v>
      </c>
      <c r="H770" s="19" t="s">
        <v>1815</v>
      </c>
      <c r="I770" s="19" t="s">
        <v>914</v>
      </c>
      <c r="J770" s="21">
        <v>0.7054665</v>
      </c>
      <c r="K770" s="19" t="s">
        <v>1816</v>
      </c>
      <c r="L770" s="19" t="s">
        <v>1817</v>
      </c>
      <c r="M770" s="19"/>
      <c r="N770" s="19" t="s">
        <v>1659</v>
      </c>
    </row>
    <row r="771" spans="1:14">
      <c r="A771" s="19" t="s">
        <v>240</v>
      </c>
      <c r="B771" s="19">
        <v>10</v>
      </c>
      <c r="C771" s="19" t="s">
        <v>1291</v>
      </c>
      <c r="D771" s="19" t="s">
        <v>1292</v>
      </c>
      <c r="E771" s="19" t="s">
        <v>855</v>
      </c>
      <c r="F771" s="19">
        <v>2016</v>
      </c>
      <c r="G771" s="21">
        <v>0.70488954000000004</v>
      </c>
      <c r="H771" s="19" t="s">
        <v>2892</v>
      </c>
      <c r="I771" s="19" t="s">
        <v>914</v>
      </c>
      <c r="J771" s="21">
        <v>0.70488954000000004</v>
      </c>
      <c r="K771" s="19" t="s">
        <v>2893</v>
      </c>
      <c r="L771" s="19" t="s">
        <v>2894</v>
      </c>
      <c r="M771" s="19" t="s">
        <v>2895</v>
      </c>
      <c r="N771" s="19" t="s">
        <v>1463</v>
      </c>
    </row>
    <row r="772" spans="1:14">
      <c r="A772" s="19" t="s">
        <v>240</v>
      </c>
      <c r="B772" s="19">
        <v>11</v>
      </c>
      <c r="C772" s="19" t="s">
        <v>1877</v>
      </c>
      <c r="D772" s="19" t="s">
        <v>1878</v>
      </c>
      <c r="E772" s="19" t="s">
        <v>855</v>
      </c>
      <c r="F772" s="19">
        <v>2015</v>
      </c>
      <c r="G772" s="21">
        <v>0.70315240000000001</v>
      </c>
      <c r="H772" s="19" t="s">
        <v>1879</v>
      </c>
      <c r="I772" s="19" t="s">
        <v>914</v>
      </c>
      <c r="J772" s="21">
        <v>0.70315240000000001</v>
      </c>
      <c r="K772" s="19" t="s">
        <v>1880</v>
      </c>
      <c r="L772" s="19" t="s">
        <v>1881</v>
      </c>
      <c r="M772" s="19"/>
      <c r="N772" s="19" t="s">
        <v>1463</v>
      </c>
    </row>
    <row r="773" spans="1:14">
      <c r="A773" s="19" t="s">
        <v>240</v>
      </c>
      <c r="B773" s="19">
        <v>12</v>
      </c>
      <c r="C773" s="19" t="s">
        <v>2896</v>
      </c>
      <c r="D773" s="19" t="s">
        <v>2897</v>
      </c>
      <c r="E773" s="19" t="s">
        <v>855</v>
      </c>
      <c r="F773" s="19">
        <v>2017</v>
      </c>
      <c r="G773" s="21">
        <v>0.70302856000000002</v>
      </c>
      <c r="H773" s="19" t="s">
        <v>2898</v>
      </c>
      <c r="I773" s="19" t="s">
        <v>914</v>
      </c>
      <c r="J773" s="21">
        <v>0.70302856000000002</v>
      </c>
      <c r="K773" s="19" t="s">
        <v>2899</v>
      </c>
      <c r="L773" s="19" t="s">
        <v>2900</v>
      </c>
      <c r="M773" s="19"/>
      <c r="N773" s="19" t="s">
        <v>1463</v>
      </c>
    </row>
    <row r="774" spans="1:14">
      <c r="A774" s="19" t="s">
        <v>240</v>
      </c>
      <c r="B774" s="19">
        <v>13</v>
      </c>
      <c r="C774" s="19" t="s">
        <v>1871</v>
      </c>
      <c r="D774" s="19" t="s">
        <v>1872</v>
      </c>
      <c r="E774" s="19" t="s">
        <v>855</v>
      </c>
      <c r="F774" s="19">
        <v>2014</v>
      </c>
      <c r="G774" s="21">
        <v>0.70175670000000001</v>
      </c>
      <c r="H774" s="19" t="s">
        <v>1873</v>
      </c>
      <c r="I774" s="19" t="s">
        <v>914</v>
      </c>
      <c r="J774" s="21">
        <v>0.70175670000000001</v>
      </c>
      <c r="K774" s="19" t="s">
        <v>1874</v>
      </c>
      <c r="L774" s="19" t="s">
        <v>1875</v>
      </c>
      <c r="M774" s="19" t="s">
        <v>1876</v>
      </c>
      <c r="N774" s="19" t="s">
        <v>1463</v>
      </c>
    </row>
    <row r="775" spans="1:14">
      <c r="A775" s="19" t="s">
        <v>240</v>
      </c>
      <c r="B775" s="19">
        <v>14</v>
      </c>
      <c r="C775" s="19" t="s">
        <v>1831</v>
      </c>
      <c r="D775" s="19" t="s">
        <v>1832</v>
      </c>
      <c r="E775" s="19" t="s">
        <v>855</v>
      </c>
      <c r="F775" s="19">
        <v>2014</v>
      </c>
      <c r="G775" s="21">
        <v>0.69986736999999999</v>
      </c>
      <c r="H775" s="19" t="s">
        <v>1833</v>
      </c>
      <c r="I775" s="19" t="s">
        <v>914</v>
      </c>
      <c r="J775" s="21">
        <v>0.69986736999999999</v>
      </c>
      <c r="K775" s="19" t="s">
        <v>1834</v>
      </c>
      <c r="L775" s="19" t="s">
        <v>1835</v>
      </c>
      <c r="M775" s="19"/>
      <c r="N775" s="19" t="s">
        <v>1463</v>
      </c>
    </row>
    <row r="776" spans="1:14">
      <c r="A776" s="19" t="s">
        <v>240</v>
      </c>
      <c r="B776" s="19">
        <v>15</v>
      </c>
      <c r="C776" s="19" t="s">
        <v>1808</v>
      </c>
      <c r="D776" s="19" t="s">
        <v>1809</v>
      </c>
      <c r="E776" s="19" t="s">
        <v>855</v>
      </c>
      <c r="F776" s="19">
        <v>2014</v>
      </c>
      <c r="G776" s="21">
        <v>0.69979290000000005</v>
      </c>
      <c r="H776" s="19" t="s">
        <v>1810</v>
      </c>
      <c r="I776" s="19" t="s">
        <v>914</v>
      </c>
      <c r="J776" s="21">
        <v>0.69979290000000005</v>
      </c>
      <c r="K776" s="19" t="s">
        <v>1811</v>
      </c>
      <c r="L776" s="19" t="s">
        <v>1812</v>
      </c>
      <c r="M776" s="19"/>
      <c r="N776" s="19" t="s">
        <v>1463</v>
      </c>
    </row>
    <row r="777" spans="1:14">
      <c r="A777" s="19" t="s">
        <v>240</v>
      </c>
      <c r="B777" s="19">
        <v>16</v>
      </c>
      <c r="C777" s="19" t="s">
        <v>1277</v>
      </c>
      <c r="D777" s="19" t="s">
        <v>1278</v>
      </c>
      <c r="E777" s="19" t="s">
        <v>855</v>
      </c>
      <c r="F777" s="19">
        <v>2016</v>
      </c>
      <c r="G777" s="21">
        <v>0.69836679999999995</v>
      </c>
      <c r="H777" s="19" t="s">
        <v>1850</v>
      </c>
      <c r="I777" s="19" t="s">
        <v>914</v>
      </c>
      <c r="J777" s="21">
        <v>0.69836679999999995</v>
      </c>
      <c r="K777" s="19" t="s">
        <v>1851</v>
      </c>
      <c r="L777" s="19" t="s">
        <v>1852</v>
      </c>
      <c r="M777" s="19" t="s">
        <v>1282</v>
      </c>
      <c r="N777" s="19" t="s">
        <v>1463</v>
      </c>
    </row>
    <row r="778" spans="1:14">
      <c r="A778" s="19" t="s">
        <v>240</v>
      </c>
      <c r="B778" s="19">
        <v>17</v>
      </c>
      <c r="C778" s="19" t="s">
        <v>1865</v>
      </c>
      <c r="D778" s="19" t="s">
        <v>1866</v>
      </c>
      <c r="E778" s="19" t="s">
        <v>855</v>
      </c>
      <c r="F778" s="19">
        <v>2014</v>
      </c>
      <c r="G778" s="21">
        <v>0.69675993999999997</v>
      </c>
      <c r="H778" s="19" t="s">
        <v>1867</v>
      </c>
      <c r="I778" s="19" t="s">
        <v>914</v>
      </c>
      <c r="J778" s="21">
        <v>0.69675993999999997</v>
      </c>
      <c r="K778" s="19" t="s">
        <v>1868</v>
      </c>
      <c r="L778" s="19" t="s">
        <v>1869</v>
      </c>
      <c r="M778" s="19" t="s">
        <v>1870</v>
      </c>
      <c r="N778" s="19" t="s">
        <v>1463</v>
      </c>
    </row>
    <row r="779" spans="1:14">
      <c r="A779" s="19" t="s">
        <v>240</v>
      </c>
      <c r="B779" s="19">
        <v>18</v>
      </c>
      <c r="C779" s="19" t="s">
        <v>1845</v>
      </c>
      <c r="D779" s="19" t="s">
        <v>1846</v>
      </c>
      <c r="E779" s="19" t="s">
        <v>855</v>
      </c>
      <c r="F779" s="19">
        <v>2014</v>
      </c>
      <c r="G779" s="21">
        <v>0.69638973000000004</v>
      </c>
      <c r="H779" s="19" t="s">
        <v>1847</v>
      </c>
      <c r="I779" s="19" t="s">
        <v>914</v>
      </c>
      <c r="J779" s="21">
        <v>0.69638973000000004</v>
      </c>
      <c r="K779" s="19" t="s">
        <v>1848</v>
      </c>
      <c r="L779" s="19" t="s">
        <v>1849</v>
      </c>
      <c r="M779" s="19"/>
      <c r="N779" s="19" t="s">
        <v>1463</v>
      </c>
    </row>
    <row r="780" spans="1:14">
      <c r="A780" s="19" t="s">
        <v>240</v>
      </c>
      <c r="B780" s="19">
        <v>19</v>
      </c>
      <c r="C780" s="19" t="s">
        <v>2901</v>
      </c>
      <c r="D780" s="19" t="s">
        <v>2902</v>
      </c>
      <c r="E780" s="19" t="s">
        <v>855</v>
      </c>
      <c r="F780" s="19">
        <v>2014</v>
      </c>
      <c r="G780" s="21">
        <v>0.69580405999999995</v>
      </c>
      <c r="H780" s="19" t="s">
        <v>2903</v>
      </c>
      <c r="I780" s="19" t="s">
        <v>914</v>
      </c>
      <c r="J780" s="21">
        <v>0.69580405999999995</v>
      </c>
      <c r="K780" s="19" t="s">
        <v>2904</v>
      </c>
      <c r="L780" s="19" t="s">
        <v>2905</v>
      </c>
      <c r="M780" s="19"/>
      <c r="N780" s="19" t="s">
        <v>1463</v>
      </c>
    </row>
    <row r="781" spans="1:14">
      <c r="A781" s="19" t="s">
        <v>240</v>
      </c>
      <c r="B781" s="19">
        <v>20</v>
      </c>
      <c r="C781" s="19" t="s">
        <v>1270</v>
      </c>
      <c r="D781" s="19" t="s">
        <v>1271</v>
      </c>
      <c r="E781" s="19" t="s">
        <v>855</v>
      </c>
      <c r="F781" s="19">
        <v>2014</v>
      </c>
      <c r="G781" s="21">
        <v>0.69538283000000001</v>
      </c>
      <c r="H781" s="19" t="s">
        <v>1272</v>
      </c>
      <c r="I781" s="19" t="s">
        <v>914</v>
      </c>
      <c r="J781" s="21">
        <v>0.69538283000000001</v>
      </c>
      <c r="K781" s="19" t="s">
        <v>1273</v>
      </c>
      <c r="L781" s="19" t="s">
        <v>1274</v>
      </c>
      <c r="M781" s="19" t="s">
        <v>1275</v>
      </c>
      <c r="N781" s="19" t="s">
        <v>1463</v>
      </c>
    </row>
    <row r="782" spans="1:14">
      <c r="A782" s="19" t="s">
        <v>487</v>
      </c>
      <c r="B782" s="19">
        <v>1</v>
      </c>
      <c r="C782" s="19" t="s">
        <v>2153</v>
      </c>
      <c r="D782" s="19" t="s">
        <v>810</v>
      </c>
      <c r="E782" s="19" t="s">
        <v>855</v>
      </c>
      <c r="F782" s="19">
        <v>2022</v>
      </c>
      <c r="G782" s="21">
        <v>0.73076355000000004</v>
      </c>
      <c r="H782" s="19" t="s">
        <v>2313</v>
      </c>
      <c r="I782" s="19" t="s">
        <v>865</v>
      </c>
      <c r="J782" s="21">
        <v>0.73076355000000004</v>
      </c>
      <c r="K782" s="19" t="s">
        <v>2314</v>
      </c>
      <c r="L782" s="19" t="s">
        <v>2315</v>
      </c>
      <c r="M782" s="19" t="s">
        <v>2316</v>
      </c>
      <c r="N782" s="19" t="s">
        <v>2529</v>
      </c>
    </row>
    <row r="783" spans="1:14">
      <c r="A783" s="19" t="s">
        <v>487</v>
      </c>
      <c r="B783" s="19">
        <v>2</v>
      </c>
      <c r="C783" s="19" t="s">
        <v>2301</v>
      </c>
      <c r="D783" s="19" t="s">
        <v>2302</v>
      </c>
      <c r="E783" s="19" t="s">
        <v>855</v>
      </c>
      <c r="F783" s="19">
        <v>2022</v>
      </c>
      <c r="G783" s="21">
        <v>0.72737320000000005</v>
      </c>
      <c r="H783" s="19" t="s">
        <v>2303</v>
      </c>
      <c r="I783" s="19" t="s">
        <v>865</v>
      </c>
      <c r="J783" s="21">
        <v>0.72737320000000005</v>
      </c>
      <c r="K783" s="19" t="s">
        <v>2304</v>
      </c>
      <c r="L783" s="19" t="s">
        <v>2305</v>
      </c>
      <c r="M783" s="19" t="s">
        <v>2306</v>
      </c>
      <c r="N783" s="19" t="s">
        <v>2529</v>
      </c>
    </row>
    <row r="784" spans="1:14">
      <c r="A784" s="19" t="s">
        <v>487</v>
      </c>
      <c r="B784" s="19">
        <v>3</v>
      </c>
      <c r="C784" s="19" t="s">
        <v>1245</v>
      </c>
      <c r="D784" s="19" t="s">
        <v>1246</v>
      </c>
      <c r="E784" s="19" t="s">
        <v>855</v>
      </c>
      <c r="F784" s="19">
        <v>2022</v>
      </c>
      <c r="G784" s="21">
        <v>0.72655963999999995</v>
      </c>
      <c r="H784" s="19" t="s">
        <v>1247</v>
      </c>
      <c r="I784" s="19" t="s">
        <v>865</v>
      </c>
      <c r="J784" s="21">
        <v>0.72655963999999995</v>
      </c>
      <c r="K784" s="19" t="s">
        <v>1248</v>
      </c>
      <c r="L784" s="19" t="s">
        <v>1249</v>
      </c>
      <c r="M784" s="19" t="s">
        <v>1250</v>
      </c>
      <c r="N784" s="19" t="s">
        <v>2529</v>
      </c>
    </row>
    <row r="785" spans="1:14">
      <c r="A785" s="19" t="s">
        <v>487</v>
      </c>
      <c r="B785" s="19">
        <v>4</v>
      </c>
      <c r="C785" s="19" t="s">
        <v>2468</v>
      </c>
      <c r="D785" s="19" t="s">
        <v>2469</v>
      </c>
      <c r="E785" s="19" t="s">
        <v>855</v>
      </c>
      <c r="F785" s="19">
        <v>2023</v>
      </c>
      <c r="G785" s="21">
        <v>0.72478615999999996</v>
      </c>
      <c r="H785" s="19" t="s">
        <v>2470</v>
      </c>
      <c r="I785" s="19" t="s">
        <v>865</v>
      </c>
      <c r="J785" s="21">
        <v>0.72478615999999996</v>
      </c>
      <c r="K785" s="19" t="s">
        <v>2471</v>
      </c>
      <c r="L785" s="19" t="s">
        <v>2472</v>
      </c>
      <c r="M785" s="19"/>
      <c r="N785" s="19" t="s">
        <v>2609</v>
      </c>
    </row>
    <row r="786" spans="1:14">
      <c r="A786" s="19" t="s">
        <v>487</v>
      </c>
      <c r="B786" s="19">
        <v>5</v>
      </c>
      <c r="C786" s="19" t="s">
        <v>2268</v>
      </c>
      <c r="D786" s="19" t="s">
        <v>2269</v>
      </c>
      <c r="E786" s="19" t="s">
        <v>855</v>
      </c>
      <c r="F786" s="19">
        <v>2023</v>
      </c>
      <c r="G786" s="21">
        <v>0.72435760000000005</v>
      </c>
      <c r="H786" s="19" t="s">
        <v>2464</v>
      </c>
      <c r="I786" s="19" t="s">
        <v>865</v>
      </c>
      <c r="J786" s="21">
        <v>0.72435760000000005</v>
      </c>
      <c r="K786" s="19" t="s">
        <v>2465</v>
      </c>
      <c r="L786" s="19" t="s">
        <v>2466</v>
      </c>
      <c r="M786" s="19" t="s">
        <v>2467</v>
      </c>
      <c r="N786" s="19" t="s">
        <v>2609</v>
      </c>
    </row>
    <row r="787" spans="1:14">
      <c r="A787" s="19" t="s">
        <v>487</v>
      </c>
      <c r="B787" s="19">
        <v>6</v>
      </c>
      <c r="C787" s="19" t="s">
        <v>2340</v>
      </c>
      <c r="D787" s="19" t="s">
        <v>2341</v>
      </c>
      <c r="E787" s="19" t="s">
        <v>855</v>
      </c>
      <c r="F787" s="19">
        <v>2023</v>
      </c>
      <c r="G787" s="21">
        <v>0.72409990000000002</v>
      </c>
      <c r="H787" s="19" t="s">
        <v>2342</v>
      </c>
      <c r="I787" s="19" t="s">
        <v>865</v>
      </c>
      <c r="J787" s="21">
        <v>0.72409990000000002</v>
      </c>
      <c r="K787" s="19" t="s">
        <v>2343</v>
      </c>
      <c r="L787" s="19" t="s">
        <v>2344</v>
      </c>
      <c r="M787" s="19" t="s">
        <v>2345</v>
      </c>
      <c r="N787" s="19" t="s">
        <v>2609</v>
      </c>
    </row>
    <row r="788" spans="1:14">
      <c r="A788" s="19" t="s">
        <v>487</v>
      </c>
      <c r="B788" s="19">
        <v>7</v>
      </c>
      <c r="C788" s="19" t="s">
        <v>1239</v>
      </c>
      <c r="D788" s="19" t="s">
        <v>1240</v>
      </c>
      <c r="E788" s="19" t="s">
        <v>855</v>
      </c>
      <c r="F788" s="19">
        <v>2022</v>
      </c>
      <c r="G788" s="21">
        <v>0.72113793999999998</v>
      </c>
      <c r="H788" s="19" t="s">
        <v>1241</v>
      </c>
      <c r="I788" s="19" t="s">
        <v>865</v>
      </c>
      <c r="J788" s="21">
        <v>0.72113793999999998</v>
      </c>
      <c r="K788" s="19" t="s">
        <v>1242</v>
      </c>
      <c r="L788" s="19" t="s">
        <v>1243</v>
      </c>
      <c r="M788" s="19" t="s">
        <v>1244</v>
      </c>
      <c r="N788" s="19" t="s">
        <v>2609</v>
      </c>
    </row>
    <row r="789" spans="1:14">
      <c r="A789" s="19" t="s">
        <v>487</v>
      </c>
      <c r="B789" s="19">
        <v>8</v>
      </c>
      <c r="C789" s="19" t="s">
        <v>2473</v>
      </c>
      <c r="D789" s="19" t="s">
        <v>2474</v>
      </c>
      <c r="E789" s="19" t="s">
        <v>855</v>
      </c>
      <c r="F789" s="19">
        <v>2022</v>
      </c>
      <c r="G789" s="21">
        <v>0.72088589999999997</v>
      </c>
      <c r="H789" s="19" t="s">
        <v>2475</v>
      </c>
      <c r="I789" s="19" t="s">
        <v>865</v>
      </c>
      <c r="J789" s="21">
        <v>0.72088589999999997</v>
      </c>
      <c r="K789" s="19" t="s">
        <v>2476</v>
      </c>
      <c r="L789" s="19" t="s">
        <v>2477</v>
      </c>
      <c r="M789" s="19"/>
      <c r="N789" s="19" t="s">
        <v>2609</v>
      </c>
    </row>
    <row r="790" spans="1:14">
      <c r="A790" s="19" t="s">
        <v>487</v>
      </c>
      <c r="B790" s="19">
        <v>9</v>
      </c>
      <c r="C790" s="19" t="s">
        <v>2491</v>
      </c>
      <c r="D790" s="19" t="s">
        <v>2492</v>
      </c>
      <c r="E790" s="19" t="s">
        <v>855</v>
      </c>
      <c r="F790" s="19">
        <v>2022</v>
      </c>
      <c r="G790" s="21">
        <v>0.71881264</v>
      </c>
      <c r="H790" s="19" t="s">
        <v>2493</v>
      </c>
      <c r="I790" s="19" t="s">
        <v>865</v>
      </c>
      <c r="J790" s="21">
        <v>0.71881264</v>
      </c>
      <c r="K790" s="19" t="s">
        <v>2494</v>
      </c>
      <c r="L790" s="19" t="s">
        <v>2495</v>
      </c>
      <c r="M790" s="19" t="s">
        <v>2492</v>
      </c>
      <c r="N790" s="19" t="s">
        <v>2609</v>
      </c>
    </row>
    <row r="791" spans="1:14">
      <c r="A791" s="19" t="s">
        <v>487</v>
      </c>
      <c r="B791" s="19">
        <v>10</v>
      </c>
      <c r="C791" s="19" t="s">
        <v>2478</v>
      </c>
      <c r="D791" s="19" t="s">
        <v>2479</v>
      </c>
      <c r="E791" s="19" t="s">
        <v>855</v>
      </c>
      <c r="F791" s="19">
        <v>2023</v>
      </c>
      <c r="G791" s="21">
        <v>0.71764797000000002</v>
      </c>
      <c r="H791" s="19" t="s">
        <v>2480</v>
      </c>
      <c r="I791" s="19" t="s">
        <v>865</v>
      </c>
      <c r="J791" s="21">
        <v>0.71764797000000002</v>
      </c>
      <c r="K791" s="19" t="s">
        <v>2481</v>
      </c>
      <c r="L791" s="19" t="s">
        <v>2482</v>
      </c>
      <c r="M791" s="19" t="s">
        <v>2483</v>
      </c>
      <c r="N791" s="19" t="s">
        <v>2609</v>
      </c>
    </row>
    <row r="792" spans="1:14">
      <c r="A792" s="19" t="s">
        <v>487</v>
      </c>
      <c r="B792" s="19">
        <v>11</v>
      </c>
      <c r="C792" s="19" t="s">
        <v>2906</v>
      </c>
      <c r="D792" s="19" t="s">
        <v>2907</v>
      </c>
      <c r="E792" s="19" t="s">
        <v>855</v>
      </c>
      <c r="F792" s="19">
        <v>2017</v>
      </c>
      <c r="G792" s="21">
        <v>0.71701705000000004</v>
      </c>
      <c r="H792" s="19" t="s">
        <v>2908</v>
      </c>
      <c r="I792" s="19" t="s">
        <v>865</v>
      </c>
      <c r="J792" s="21">
        <v>0.71701705000000004</v>
      </c>
      <c r="K792" s="19" t="s">
        <v>2909</v>
      </c>
      <c r="L792" s="19" t="s">
        <v>2910</v>
      </c>
      <c r="M792" s="19"/>
      <c r="N792" s="19" t="s">
        <v>2609</v>
      </c>
    </row>
    <row r="793" spans="1:14">
      <c r="A793" s="19" t="s">
        <v>487</v>
      </c>
      <c r="B793" s="19">
        <v>12</v>
      </c>
      <c r="C793" s="19" t="s">
        <v>1051</v>
      </c>
      <c r="D793" s="19" t="s">
        <v>1052</v>
      </c>
      <c r="E793" s="19" t="s">
        <v>855</v>
      </c>
      <c r="F793" s="19">
        <v>2022</v>
      </c>
      <c r="G793" s="21">
        <v>0.71668445999999997</v>
      </c>
      <c r="H793" s="19" t="s">
        <v>2515</v>
      </c>
      <c r="I793" s="19" t="s">
        <v>865</v>
      </c>
      <c r="J793" s="21">
        <v>0.71668445999999997</v>
      </c>
      <c r="K793" s="19" t="s">
        <v>2516</v>
      </c>
      <c r="L793" s="19" t="s">
        <v>2517</v>
      </c>
      <c r="M793" s="19"/>
      <c r="N793" s="19" t="s">
        <v>2609</v>
      </c>
    </row>
    <row r="794" spans="1:14">
      <c r="A794" s="19" t="s">
        <v>487</v>
      </c>
      <c r="B794" s="19">
        <v>13</v>
      </c>
      <c r="C794" s="19" t="s">
        <v>2253</v>
      </c>
      <c r="D794" s="19" t="s">
        <v>2254</v>
      </c>
      <c r="E794" s="19" t="s">
        <v>855</v>
      </c>
      <c r="F794" s="19">
        <v>2014</v>
      </c>
      <c r="G794" s="21">
        <v>0.71521889999999999</v>
      </c>
      <c r="H794" s="19" t="s">
        <v>2255</v>
      </c>
      <c r="I794" s="19" t="s">
        <v>914</v>
      </c>
      <c r="J794" s="21">
        <v>0.71521889999999999</v>
      </c>
      <c r="K794" s="19" t="s">
        <v>2256</v>
      </c>
      <c r="L794" s="19" t="s">
        <v>2257</v>
      </c>
      <c r="M794" s="19"/>
      <c r="N794" s="19" t="s">
        <v>1630</v>
      </c>
    </row>
    <row r="795" spans="1:14">
      <c r="A795" s="19" t="s">
        <v>487</v>
      </c>
      <c r="B795" s="19">
        <v>14</v>
      </c>
      <c r="C795" s="19" t="s">
        <v>2485</v>
      </c>
      <c r="D795" s="19" t="s">
        <v>2486</v>
      </c>
      <c r="E795" s="19" t="s">
        <v>855</v>
      </c>
      <c r="F795" s="19">
        <v>2023</v>
      </c>
      <c r="G795" s="21">
        <v>0.71520249999999996</v>
      </c>
      <c r="H795" s="19" t="s">
        <v>2487</v>
      </c>
      <c r="I795" s="19" t="s">
        <v>865</v>
      </c>
      <c r="J795" s="21">
        <v>0.71520249999999996</v>
      </c>
      <c r="K795" s="19" t="s">
        <v>2488</v>
      </c>
      <c r="L795" s="19" t="s">
        <v>2489</v>
      </c>
      <c r="M795" s="19" t="s">
        <v>2490</v>
      </c>
      <c r="N795" s="19" t="s">
        <v>2609</v>
      </c>
    </row>
    <row r="796" spans="1:14">
      <c r="A796" s="19" t="s">
        <v>487</v>
      </c>
      <c r="B796" s="19">
        <v>15</v>
      </c>
      <c r="C796" s="19" t="s">
        <v>1091</v>
      </c>
      <c r="D796" s="19" t="s">
        <v>1092</v>
      </c>
      <c r="E796" s="19" t="s">
        <v>855</v>
      </c>
      <c r="F796" s="19">
        <v>2023</v>
      </c>
      <c r="G796" s="21">
        <v>0.71502197000000001</v>
      </c>
      <c r="H796" s="19" t="s">
        <v>2506</v>
      </c>
      <c r="I796" s="19" t="s">
        <v>865</v>
      </c>
      <c r="J796" s="21">
        <v>0.71502197000000001</v>
      </c>
      <c r="K796" s="19" t="s">
        <v>2507</v>
      </c>
      <c r="L796" s="19" t="s">
        <v>2508</v>
      </c>
      <c r="M796" s="19"/>
      <c r="N796" s="19" t="s">
        <v>2609</v>
      </c>
    </row>
    <row r="797" spans="1:14">
      <c r="A797" s="19" t="s">
        <v>487</v>
      </c>
      <c r="B797" s="19">
        <v>16</v>
      </c>
      <c r="C797" s="19" t="s">
        <v>2323</v>
      </c>
      <c r="D797" s="19" t="s">
        <v>2324</v>
      </c>
      <c r="E797" s="19" t="s">
        <v>855</v>
      </c>
      <c r="F797" s="19">
        <v>2022</v>
      </c>
      <c r="G797" s="21">
        <v>0.7130263</v>
      </c>
      <c r="H797" s="19" t="s">
        <v>2325</v>
      </c>
      <c r="I797" s="19" t="s">
        <v>865</v>
      </c>
      <c r="J797" s="21">
        <v>0.7130263</v>
      </c>
      <c r="K797" s="19" t="s">
        <v>2326</v>
      </c>
      <c r="L797" s="19" t="s">
        <v>2327</v>
      </c>
      <c r="M797" s="19" t="s">
        <v>2328</v>
      </c>
      <c r="N797" s="19" t="s">
        <v>2652</v>
      </c>
    </row>
    <row r="798" spans="1:14">
      <c r="A798" s="19" t="s">
        <v>487</v>
      </c>
      <c r="B798" s="19">
        <v>17</v>
      </c>
      <c r="C798" s="19" t="s">
        <v>2518</v>
      </c>
      <c r="D798" s="19" t="s">
        <v>2519</v>
      </c>
      <c r="E798" s="19" t="s">
        <v>855</v>
      </c>
      <c r="F798" s="19">
        <v>2022</v>
      </c>
      <c r="G798" s="21">
        <v>0.71276479999999998</v>
      </c>
      <c r="H798" s="19" t="s">
        <v>2520</v>
      </c>
      <c r="I798" s="19" t="s">
        <v>865</v>
      </c>
      <c r="J798" s="21">
        <v>0.71276479999999998</v>
      </c>
      <c r="K798" s="19" t="s">
        <v>2521</v>
      </c>
      <c r="L798" s="19" t="s">
        <v>2522</v>
      </c>
      <c r="M798" s="19"/>
      <c r="N798" s="19" t="s">
        <v>2652</v>
      </c>
    </row>
    <row r="799" spans="1:14">
      <c r="A799" s="19" t="s">
        <v>487</v>
      </c>
      <c r="B799" s="19">
        <v>18</v>
      </c>
      <c r="C799" s="19" t="s">
        <v>2496</v>
      </c>
      <c r="D799" s="19" t="s">
        <v>2497</v>
      </c>
      <c r="E799" s="19" t="s">
        <v>855</v>
      </c>
      <c r="F799" s="19">
        <v>2023</v>
      </c>
      <c r="G799" s="21">
        <v>0.70964766000000001</v>
      </c>
      <c r="H799" s="19" t="s">
        <v>2498</v>
      </c>
      <c r="I799" s="19" t="s">
        <v>865</v>
      </c>
      <c r="J799" s="21">
        <v>0.70964766000000001</v>
      </c>
      <c r="K799" s="19" t="s">
        <v>2499</v>
      </c>
      <c r="L799" s="19" t="s">
        <v>2500</v>
      </c>
      <c r="M799" s="19"/>
      <c r="N799" s="19" t="s">
        <v>2652</v>
      </c>
    </row>
    <row r="800" spans="1:14">
      <c r="A800" s="19" t="s">
        <v>487</v>
      </c>
      <c r="B800" s="19">
        <v>19</v>
      </c>
      <c r="C800" s="19" t="s">
        <v>2258</v>
      </c>
      <c r="D800" s="19" t="s">
        <v>493</v>
      </c>
      <c r="E800" s="19" t="s">
        <v>2089</v>
      </c>
      <c r="F800" s="19">
        <v>2002</v>
      </c>
      <c r="G800" s="21">
        <v>0.70930420000000005</v>
      </c>
      <c r="H800" s="19" t="s">
        <v>2259</v>
      </c>
      <c r="I800" s="19" t="s">
        <v>1286</v>
      </c>
      <c r="J800" s="21">
        <v>0.70930420000000005</v>
      </c>
      <c r="K800" s="19" t="s">
        <v>2260</v>
      </c>
      <c r="L800" s="19" t="s">
        <v>2261</v>
      </c>
      <c r="M800" s="19"/>
      <c r="N800" s="19" t="s">
        <v>2911</v>
      </c>
    </row>
    <row r="801" spans="1:14">
      <c r="A801" s="19" t="s">
        <v>487</v>
      </c>
      <c r="B801" s="19">
        <v>20</v>
      </c>
      <c r="C801" s="19" t="s">
        <v>2912</v>
      </c>
      <c r="D801" s="19" t="s">
        <v>2913</v>
      </c>
      <c r="E801" s="19" t="s">
        <v>855</v>
      </c>
      <c r="F801" s="19">
        <v>2017</v>
      </c>
      <c r="G801" s="21">
        <v>0.70917534999999998</v>
      </c>
      <c r="H801" s="19" t="s">
        <v>2914</v>
      </c>
      <c r="I801" s="19" t="s">
        <v>865</v>
      </c>
      <c r="J801" s="21">
        <v>0.70917534999999998</v>
      </c>
      <c r="K801" s="19" t="s">
        <v>2915</v>
      </c>
      <c r="L801" s="19" t="s">
        <v>2916</v>
      </c>
      <c r="M801" s="19"/>
      <c r="N801" s="19" t="s">
        <v>2652</v>
      </c>
    </row>
    <row r="802" spans="1:14">
      <c r="A802" s="19" t="s">
        <v>388</v>
      </c>
      <c r="B802" s="19">
        <v>1</v>
      </c>
      <c r="C802" s="19" t="s">
        <v>2917</v>
      </c>
      <c r="D802" s="19" t="s">
        <v>758</v>
      </c>
      <c r="E802" s="19" t="s">
        <v>855</v>
      </c>
      <c r="F802" s="19">
        <v>2015</v>
      </c>
      <c r="G802" s="21">
        <v>0.74769200000000002</v>
      </c>
      <c r="H802" s="19" t="s">
        <v>2918</v>
      </c>
      <c r="I802" s="19" t="s">
        <v>1286</v>
      </c>
      <c r="J802" s="21">
        <v>0.74769200000000002</v>
      </c>
      <c r="K802" s="19" t="s">
        <v>2919</v>
      </c>
      <c r="L802" s="19" t="s">
        <v>2920</v>
      </c>
      <c r="M802" s="19" t="s">
        <v>2921</v>
      </c>
      <c r="N802" s="19" t="s">
        <v>2922</v>
      </c>
    </row>
    <row r="803" spans="1:14">
      <c r="A803" s="19" t="s">
        <v>388</v>
      </c>
      <c r="B803" s="19">
        <v>2</v>
      </c>
      <c r="C803" s="19" t="s">
        <v>2923</v>
      </c>
      <c r="D803" s="19" t="s">
        <v>2924</v>
      </c>
      <c r="E803" s="19" t="s">
        <v>855</v>
      </c>
      <c r="F803" s="19">
        <v>2015</v>
      </c>
      <c r="G803" s="21">
        <v>0.71365480000000003</v>
      </c>
      <c r="H803" s="19" t="s">
        <v>2925</v>
      </c>
      <c r="I803" s="19" t="s">
        <v>951</v>
      </c>
      <c r="J803" s="21">
        <v>0.71365480000000003</v>
      </c>
      <c r="K803" s="19" t="s">
        <v>2926</v>
      </c>
      <c r="L803" s="19" t="s">
        <v>2927</v>
      </c>
      <c r="M803" s="19" t="s">
        <v>2928</v>
      </c>
      <c r="N803" s="19" t="s">
        <v>2929</v>
      </c>
    </row>
    <row r="804" spans="1:14">
      <c r="A804" s="19" t="s">
        <v>388</v>
      </c>
      <c r="B804" s="19">
        <v>3</v>
      </c>
      <c r="C804" s="19" t="s">
        <v>2930</v>
      </c>
      <c r="D804" s="19" t="s">
        <v>2931</v>
      </c>
      <c r="E804" s="19" t="s">
        <v>855</v>
      </c>
      <c r="F804" s="19">
        <v>2014</v>
      </c>
      <c r="G804" s="21">
        <v>0.71185356</v>
      </c>
      <c r="H804" s="19" t="s">
        <v>2932</v>
      </c>
      <c r="I804" s="19" t="s">
        <v>1130</v>
      </c>
      <c r="J804" s="21">
        <v>0.71185356</v>
      </c>
      <c r="K804" s="19" t="s">
        <v>2933</v>
      </c>
      <c r="L804" s="19" t="s">
        <v>2934</v>
      </c>
      <c r="M804" s="19"/>
      <c r="N804" s="19" t="s">
        <v>2935</v>
      </c>
    </row>
    <row r="805" spans="1:14">
      <c r="A805" s="19" t="s">
        <v>388</v>
      </c>
      <c r="B805" s="19">
        <v>4</v>
      </c>
      <c r="C805" s="19" t="s">
        <v>2873</v>
      </c>
      <c r="D805" s="19" t="s">
        <v>2874</v>
      </c>
      <c r="E805" s="19" t="s">
        <v>855</v>
      </c>
      <c r="F805" s="19">
        <v>2022</v>
      </c>
      <c r="G805" s="21">
        <v>0.71097929999999998</v>
      </c>
      <c r="H805" s="19" t="s">
        <v>2936</v>
      </c>
      <c r="I805" s="19" t="s">
        <v>951</v>
      </c>
      <c r="J805" s="21">
        <v>0.71097929999999998</v>
      </c>
      <c r="K805" s="19" t="s">
        <v>2937</v>
      </c>
      <c r="L805" s="19" t="s">
        <v>2938</v>
      </c>
      <c r="M805" s="19" t="s">
        <v>2939</v>
      </c>
      <c r="N805" s="19" t="s">
        <v>2929</v>
      </c>
    </row>
    <row r="806" spans="1:14">
      <c r="A806" s="19" t="s">
        <v>388</v>
      </c>
      <c r="B806" s="19">
        <v>5</v>
      </c>
      <c r="C806" s="19" t="s">
        <v>2940</v>
      </c>
      <c r="D806" s="19" t="s">
        <v>2941</v>
      </c>
      <c r="E806" s="19" t="s">
        <v>855</v>
      </c>
      <c r="F806" s="19">
        <v>2015</v>
      </c>
      <c r="G806" s="21">
        <v>0.7063102</v>
      </c>
      <c r="H806" s="19" t="s">
        <v>2942</v>
      </c>
      <c r="I806" s="19" t="s">
        <v>951</v>
      </c>
      <c r="J806" s="21">
        <v>0.7063102</v>
      </c>
      <c r="K806" s="19" t="s">
        <v>2943</v>
      </c>
      <c r="L806" s="19" t="s">
        <v>2944</v>
      </c>
      <c r="M806" s="19" t="s">
        <v>2945</v>
      </c>
      <c r="N806" s="19" t="s">
        <v>2929</v>
      </c>
    </row>
    <row r="807" spans="1:14">
      <c r="A807" s="19" t="s">
        <v>388</v>
      </c>
      <c r="B807" s="19">
        <v>6</v>
      </c>
      <c r="C807" s="19" t="s">
        <v>2946</v>
      </c>
      <c r="D807" s="19" t="s">
        <v>2947</v>
      </c>
      <c r="E807" s="19" t="s">
        <v>855</v>
      </c>
      <c r="F807" s="19">
        <v>2015</v>
      </c>
      <c r="G807" s="21">
        <v>0.69990593000000001</v>
      </c>
      <c r="H807" s="19" t="s">
        <v>2948</v>
      </c>
      <c r="I807" s="19" t="s">
        <v>951</v>
      </c>
      <c r="J807" s="21">
        <v>0.69990593000000001</v>
      </c>
      <c r="K807" s="19" t="s">
        <v>2949</v>
      </c>
      <c r="L807" s="19" t="s">
        <v>2950</v>
      </c>
      <c r="M807" s="19" t="s">
        <v>2951</v>
      </c>
      <c r="N807" s="19" t="s">
        <v>1513</v>
      </c>
    </row>
    <row r="808" spans="1:14">
      <c r="A808" s="19" t="s">
        <v>388</v>
      </c>
      <c r="B808" s="19">
        <v>7</v>
      </c>
      <c r="C808" s="19" t="s">
        <v>2952</v>
      </c>
      <c r="D808" s="19" t="s">
        <v>2953</v>
      </c>
      <c r="E808" s="19" t="s">
        <v>855</v>
      </c>
      <c r="F808" s="19">
        <v>2014</v>
      </c>
      <c r="G808" s="21">
        <v>0.69423769999999996</v>
      </c>
      <c r="H808" s="19" t="s">
        <v>2954</v>
      </c>
      <c r="I808" s="19" t="s">
        <v>857</v>
      </c>
      <c r="J808" s="21">
        <v>0.69423769999999996</v>
      </c>
      <c r="K808" s="19" t="s">
        <v>2955</v>
      </c>
      <c r="L808" s="19" t="s">
        <v>2956</v>
      </c>
      <c r="M808" s="19"/>
      <c r="N808" s="19" t="s">
        <v>1409</v>
      </c>
    </row>
    <row r="809" spans="1:14">
      <c r="A809" s="19" t="s">
        <v>388</v>
      </c>
      <c r="B809" s="19">
        <v>8</v>
      </c>
      <c r="C809" s="19" t="s">
        <v>2957</v>
      </c>
      <c r="D809" s="19" t="s">
        <v>2958</v>
      </c>
      <c r="E809" s="19" t="s">
        <v>855</v>
      </c>
      <c r="F809" s="19">
        <v>2017</v>
      </c>
      <c r="G809" s="21">
        <v>0.69408314999999998</v>
      </c>
      <c r="H809" s="19" t="s">
        <v>2959</v>
      </c>
      <c r="I809" s="19" t="s">
        <v>951</v>
      </c>
      <c r="J809" s="21">
        <v>0.69408314999999998</v>
      </c>
      <c r="K809" s="19" t="s">
        <v>2960</v>
      </c>
      <c r="L809" s="19" t="s">
        <v>2961</v>
      </c>
      <c r="M809" s="19" t="s">
        <v>2962</v>
      </c>
      <c r="N809" s="19" t="s">
        <v>993</v>
      </c>
    </row>
    <row r="810" spans="1:14">
      <c r="A810" s="19" t="s">
        <v>388</v>
      </c>
      <c r="B810" s="19">
        <v>9</v>
      </c>
      <c r="C810" s="19" t="s">
        <v>2963</v>
      </c>
      <c r="D810" s="19" t="s">
        <v>2964</v>
      </c>
      <c r="E810" s="19" t="s">
        <v>855</v>
      </c>
      <c r="F810" s="19">
        <v>2022</v>
      </c>
      <c r="G810" s="21">
        <v>0.6898725</v>
      </c>
      <c r="H810" s="19" t="s">
        <v>2965</v>
      </c>
      <c r="I810" s="19" t="s">
        <v>951</v>
      </c>
      <c r="J810" s="21">
        <v>0.6898725</v>
      </c>
      <c r="K810" s="19" t="s">
        <v>2966</v>
      </c>
      <c r="L810" s="19" t="s">
        <v>2967</v>
      </c>
      <c r="M810" s="19" t="s">
        <v>2968</v>
      </c>
      <c r="N810" s="19" t="s">
        <v>993</v>
      </c>
    </row>
    <row r="811" spans="1:14">
      <c r="A811" s="19" t="s">
        <v>388</v>
      </c>
      <c r="B811" s="19">
        <v>10</v>
      </c>
      <c r="C811" s="19" t="s">
        <v>2969</v>
      </c>
      <c r="D811" s="19" t="s">
        <v>2970</v>
      </c>
      <c r="E811" s="19" t="s">
        <v>855</v>
      </c>
      <c r="F811" s="19">
        <v>2016</v>
      </c>
      <c r="G811" s="21">
        <v>0.68932473999999999</v>
      </c>
      <c r="H811" s="19" t="s">
        <v>2971</v>
      </c>
      <c r="I811" s="19" t="s">
        <v>951</v>
      </c>
      <c r="J811" s="21">
        <v>0.68932473999999999</v>
      </c>
      <c r="K811" s="19" t="s">
        <v>2972</v>
      </c>
      <c r="L811" s="19" t="s">
        <v>2973</v>
      </c>
      <c r="M811" s="19" t="s">
        <v>2974</v>
      </c>
      <c r="N811" s="19" t="s">
        <v>993</v>
      </c>
    </row>
    <row r="812" spans="1:14">
      <c r="A812" s="19" t="s">
        <v>388</v>
      </c>
      <c r="B812" s="19">
        <v>11</v>
      </c>
      <c r="C812" s="19" t="s">
        <v>876</v>
      </c>
      <c r="D812" s="19" t="s">
        <v>877</v>
      </c>
      <c r="E812" s="19" t="s">
        <v>855</v>
      </c>
      <c r="F812" s="19">
        <v>2022</v>
      </c>
      <c r="G812" s="21">
        <v>0.6863302</v>
      </c>
      <c r="H812" s="19" t="s">
        <v>878</v>
      </c>
      <c r="I812" s="19" t="s">
        <v>865</v>
      </c>
      <c r="J812" s="21">
        <v>0.6863302</v>
      </c>
      <c r="K812" s="19" t="s">
        <v>879</v>
      </c>
      <c r="L812" s="19" t="s">
        <v>880</v>
      </c>
      <c r="M812" s="19"/>
      <c r="N812" s="19" t="s">
        <v>1470</v>
      </c>
    </row>
    <row r="813" spans="1:14">
      <c r="A813" s="19" t="s">
        <v>388</v>
      </c>
      <c r="B813" s="19">
        <v>12</v>
      </c>
      <c r="C813" s="19" t="s">
        <v>870</v>
      </c>
      <c r="D813" s="19" t="s">
        <v>871</v>
      </c>
      <c r="E813" s="19" t="s">
        <v>855</v>
      </c>
      <c r="F813" s="19">
        <v>2016</v>
      </c>
      <c r="G813" s="21">
        <v>0.68529236000000004</v>
      </c>
      <c r="H813" s="19" t="s">
        <v>872</v>
      </c>
      <c r="I813" s="19" t="s">
        <v>865</v>
      </c>
      <c r="J813" s="21">
        <v>0.68529236000000004</v>
      </c>
      <c r="K813" s="19" t="s">
        <v>873</v>
      </c>
      <c r="L813" s="19" t="s">
        <v>874</v>
      </c>
      <c r="M813" s="19" t="s">
        <v>875</v>
      </c>
      <c r="N813" s="19" t="s">
        <v>1470</v>
      </c>
    </row>
    <row r="814" spans="1:14">
      <c r="A814" s="19" t="s">
        <v>388</v>
      </c>
      <c r="B814" s="19">
        <v>13</v>
      </c>
      <c r="C814" s="19" t="s">
        <v>2975</v>
      </c>
      <c r="D814" s="19" t="s">
        <v>2976</v>
      </c>
      <c r="E814" s="19" t="s">
        <v>855</v>
      </c>
      <c r="F814" s="19">
        <v>2017</v>
      </c>
      <c r="G814" s="21">
        <v>0.68376404000000002</v>
      </c>
      <c r="H814" s="19" t="s">
        <v>2977</v>
      </c>
      <c r="I814" s="19" t="s">
        <v>951</v>
      </c>
      <c r="J814" s="21">
        <v>0.68376404000000002</v>
      </c>
      <c r="K814" s="19" t="s">
        <v>2978</v>
      </c>
      <c r="L814" s="19" t="s">
        <v>2979</v>
      </c>
      <c r="M814" s="19" t="s">
        <v>2980</v>
      </c>
      <c r="N814" s="19" t="s">
        <v>1000</v>
      </c>
    </row>
    <row r="815" spans="1:14">
      <c r="A815" s="19" t="s">
        <v>388</v>
      </c>
      <c r="B815" s="19">
        <v>14</v>
      </c>
      <c r="C815" s="19" t="s">
        <v>2981</v>
      </c>
      <c r="D815" s="19" t="s">
        <v>2982</v>
      </c>
      <c r="E815" s="19" t="s">
        <v>855</v>
      </c>
      <c r="F815" s="19">
        <v>2017</v>
      </c>
      <c r="G815" s="21">
        <v>0.67971490000000001</v>
      </c>
      <c r="H815" s="19" t="s">
        <v>2983</v>
      </c>
      <c r="I815" s="19" t="s">
        <v>951</v>
      </c>
      <c r="J815" s="21">
        <v>0.67971490000000001</v>
      </c>
      <c r="K815" s="19" t="s">
        <v>2984</v>
      </c>
      <c r="L815" s="19" t="s">
        <v>2985</v>
      </c>
      <c r="M815" s="19" t="s">
        <v>2986</v>
      </c>
      <c r="N815" s="19" t="s">
        <v>1000</v>
      </c>
    </row>
    <row r="816" spans="1:14">
      <c r="A816" s="19" t="s">
        <v>388</v>
      </c>
      <c r="B816" s="19">
        <v>15</v>
      </c>
      <c r="C816" s="19" t="s">
        <v>2987</v>
      </c>
      <c r="D816" s="19" t="s">
        <v>2988</v>
      </c>
      <c r="E816" s="19" t="s">
        <v>855</v>
      </c>
      <c r="F816" s="19">
        <v>2016</v>
      </c>
      <c r="G816" s="21">
        <v>0.67932440000000005</v>
      </c>
      <c r="H816" s="19" t="s">
        <v>2989</v>
      </c>
      <c r="I816" s="19" t="s">
        <v>951</v>
      </c>
      <c r="J816" s="21">
        <v>0.67932440000000005</v>
      </c>
      <c r="K816" s="19" t="s">
        <v>2990</v>
      </c>
      <c r="L816" s="19" t="s">
        <v>2991</v>
      </c>
      <c r="M816" s="19" t="s">
        <v>2992</v>
      </c>
      <c r="N816" s="19" t="s">
        <v>1000</v>
      </c>
    </row>
    <row r="817" spans="1:14">
      <c r="A817" s="19" t="s">
        <v>388</v>
      </c>
      <c r="B817" s="19">
        <v>16</v>
      </c>
      <c r="C817" s="19" t="s">
        <v>2993</v>
      </c>
      <c r="D817" s="19" t="s">
        <v>2994</v>
      </c>
      <c r="E817" s="19" t="s">
        <v>855</v>
      </c>
      <c r="F817" s="19">
        <v>2015</v>
      </c>
      <c r="G817" s="21">
        <v>0.67915296999999997</v>
      </c>
      <c r="H817" s="19" t="s">
        <v>2995</v>
      </c>
      <c r="I817" s="19" t="s">
        <v>951</v>
      </c>
      <c r="J817" s="21">
        <v>0.67915296999999997</v>
      </c>
      <c r="K817" s="19" t="s">
        <v>2996</v>
      </c>
      <c r="L817" s="19" t="s">
        <v>2997</v>
      </c>
      <c r="M817" s="19" t="s">
        <v>2998</v>
      </c>
      <c r="N817" s="19" t="s">
        <v>1000</v>
      </c>
    </row>
    <row r="818" spans="1:14">
      <c r="A818" s="19" t="s">
        <v>388</v>
      </c>
      <c r="B818" s="19">
        <v>17</v>
      </c>
      <c r="C818" s="19" t="s">
        <v>2999</v>
      </c>
      <c r="D818" s="19" t="s">
        <v>3000</v>
      </c>
      <c r="E818" s="19" t="s">
        <v>855</v>
      </c>
      <c r="F818" s="19">
        <v>2023</v>
      </c>
      <c r="G818" s="21">
        <v>0.6766257</v>
      </c>
      <c r="H818" s="19" t="s">
        <v>3001</v>
      </c>
      <c r="I818" s="19" t="s">
        <v>951</v>
      </c>
      <c r="J818" s="21">
        <v>0.6766257</v>
      </c>
      <c r="K818" s="19" t="s">
        <v>3002</v>
      </c>
      <c r="L818" s="19" t="s">
        <v>3003</v>
      </c>
      <c r="M818" s="19" t="s">
        <v>3004</v>
      </c>
      <c r="N818" s="19" t="s">
        <v>1000</v>
      </c>
    </row>
    <row r="819" spans="1:14">
      <c r="A819" s="19" t="s">
        <v>388</v>
      </c>
      <c r="B819" s="19">
        <v>18</v>
      </c>
      <c r="C819" s="19" t="s">
        <v>3005</v>
      </c>
      <c r="D819" s="19" t="s">
        <v>3006</v>
      </c>
      <c r="E819" s="19" t="s">
        <v>855</v>
      </c>
      <c r="F819" s="19">
        <v>2017</v>
      </c>
      <c r="G819" s="21">
        <v>0.67660189999999998</v>
      </c>
      <c r="H819" s="19" t="s">
        <v>3007</v>
      </c>
      <c r="I819" s="19" t="s">
        <v>857</v>
      </c>
      <c r="J819" s="21">
        <v>0.67660189999999998</v>
      </c>
      <c r="K819" s="19" t="s">
        <v>3008</v>
      </c>
      <c r="L819" s="19" t="s">
        <v>3009</v>
      </c>
      <c r="M819" s="19"/>
      <c r="N819" s="19" t="s">
        <v>861</v>
      </c>
    </row>
    <row r="820" spans="1:14">
      <c r="A820" s="19" t="s">
        <v>388</v>
      </c>
      <c r="B820" s="19">
        <v>19</v>
      </c>
      <c r="C820" s="19" t="s">
        <v>3010</v>
      </c>
      <c r="D820" s="19" t="s">
        <v>3011</v>
      </c>
      <c r="E820" s="19" t="s">
        <v>855</v>
      </c>
      <c r="F820" s="19">
        <v>2018</v>
      </c>
      <c r="G820" s="21">
        <v>0.67467189999999999</v>
      </c>
      <c r="H820" s="19" t="s">
        <v>3012</v>
      </c>
      <c r="I820" s="19" t="s">
        <v>914</v>
      </c>
      <c r="J820" s="21">
        <v>0.67467189999999999</v>
      </c>
      <c r="K820" s="19" t="s">
        <v>3013</v>
      </c>
      <c r="L820" s="19" t="s">
        <v>3014</v>
      </c>
      <c r="M820" s="19"/>
      <c r="N820" s="19" t="s">
        <v>1212</v>
      </c>
    </row>
    <row r="821" spans="1:14">
      <c r="A821" s="19" t="s">
        <v>388</v>
      </c>
      <c r="B821" s="19">
        <v>20</v>
      </c>
      <c r="C821" s="19" t="s">
        <v>887</v>
      </c>
      <c r="D821" s="19" t="s">
        <v>888</v>
      </c>
      <c r="E821" s="19" t="s">
        <v>855</v>
      </c>
      <c r="F821" s="19">
        <v>2016</v>
      </c>
      <c r="G821" s="21">
        <v>0.67458390000000001</v>
      </c>
      <c r="H821" s="19" t="s">
        <v>3015</v>
      </c>
      <c r="I821" s="19" t="s">
        <v>951</v>
      </c>
      <c r="J821" s="21">
        <v>0.67458390000000001</v>
      </c>
      <c r="K821" s="19" t="s">
        <v>3016</v>
      </c>
      <c r="L821" s="19" t="s">
        <v>3017</v>
      </c>
      <c r="M821" s="19" t="s">
        <v>3018</v>
      </c>
      <c r="N821" s="19" t="s">
        <v>1019</v>
      </c>
    </row>
    <row r="822" spans="1:14">
      <c r="A822" s="19" t="s">
        <v>329</v>
      </c>
      <c r="B822" s="19">
        <v>1</v>
      </c>
      <c r="C822" s="19" t="s">
        <v>2917</v>
      </c>
      <c r="D822" s="19" t="s">
        <v>758</v>
      </c>
      <c r="E822" s="19" t="s">
        <v>855</v>
      </c>
      <c r="F822" s="19">
        <v>2015</v>
      </c>
      <c r="G822" s="21">
        <v>0.74769200000000002</v>
      </c>
      <c r="H822" s="19" t="s">
        <v>2918</v>
      </c>
      <c r="I822" s="19" t="s">
        <v>1286</v>
      </c>
      <c r="J822" s="21">
        <v>0.74769200000000002</v>
      </c>
      <c r="K822" s="19" t="s">
        <v>2919</v>
      </c>
      <c r="L822" s="19" t="s">
        <v>2920</v>
      </c>
      <c r="M822" s="19" t="s">
        <v>2921</v>
      </c>
      <c r="N822" s="19" t="s">
        <v>2922</v>
      </c>
    </row>
    <row r="823" spans="1:14">
      <c r="A823" s="19" t="s">
        <v>329</v>
      </c>
      <c r="B823" s="19">
        <v>2</v>
      </c>
      <c r="C823" s="19" t="s">
        <v>2923</v>
      </c>
      <c r="D823" s="19" t="s">
        <v>2924</v>
      </c>
      <c r="E823" s="19" t="s">
        <v>855</v>
      </c>
      <c r="F823" s="19">
        <v>2015</v>
      </c>
      <c r="G823" s="21">
        <v>0.71365480000000003</v>
      </c>
      <c r="H823" s="19" t="s">
        <v>2925</v>
      </c>
      <c r="I823" s="19" t="s">
        <v>951</v>
      </c>
      <c r="J823" s="21">
        <v>0.71365480000000003</v>
      </c>
      <c r="K823" s="19" t="s">
        <v>2926</v>
      </c>
      <c r="L823" s="19" t="s">
        <v>2927</v>
      </c>
      <c r="M823" s="19" t="s">
        <v>2928</v>
      </c>
      <c r="N823" s="19" t="s">
        <v>2929</v>
      </c>
    </row>
    <row r="824" spans="1:14">
      <c r="A824" s="19" t="s">
        <v>329</v>
      </c>
      <c r="B824" s="19">
        <v>3</v>
      </c>
      <c r="C824" s="19" t="s">
        <v>2930</v>
      </c>
      <c r="D824" s="19" t="s">
        <v>2931</v>
      </c>
      <c r="E824" s="19" t="s">
        <v>855</v>
      </c>
      <c r="F824" s="19">
        <v>2014</v>
      </c>
      <c r="G824" s="21">
        <v>0.71185356</v>
      </c>
      <c r="H824" s="19" t="s">
        <v>2932</v>
      </c>
      <c r="I824" s="19" t="s">
        <v>1130</v>
      </c>
      <c r="J824" s="21">
        <v>0.71185356</v>
      </c>
      <c r="K824" s="19" t="s">
        <v>2933</v>
      </c>
      <c r="L824" s="19" t="s">
        <v>2934</v>
      </c>
      <c r="M824" s="19"/>
      <c r="N824" s="19" t="s">
        <v>2935</v>
      </c>
    </row>
    <row r="825" spans="1:14">
      <c r="A825" s="19" t="s">
        <v>329</v>
      </c>
      <c r="B825" s="19">
        <v>4</v>
      </c>
      <c r="C825" s="19" t="s">
        <v>2873</v>
      </c>
      <c r="D825" s="19" t="s">
        <v>2874</v>
      </c>
      <c r="E825" s="19" t="s">
        <v>855</v>
      </c>
      <c r="F825" s="19">
        <v>2022</v>
      </c>
      <c r="G825" s="21">
        <v>0.71097929999999998</v>
      </c>
      <c r="H825" s="19" t="s">
        <v>2936</v>
      </c>
      <c r="I825" s="19" t="s">
        <v>951</v>
      </c>
      <c r="J825" s="21">
        <v>0.71097929999999998</v>
      </c>
      <c r="K825" s="19" t="s">
        <v>2937</v>
      </c>
      <c r="L825" s="19" t="s">
        <v>2938</v>
      </c>
      <c r="M825" s="19" t="s">
        <v>2939</v>
      </c>
      <c r="N825" s="19" t="s">
        <v>2929</v>
      </c>
    </row>
    <row r="826" spans="1:14">
      <c r="A826" s="19" t="s">
        <v>329</v>
      </c>
      <c r="B826" s="19">
        <v>5</v>
      </c>
      <c r="C826" s="19" t="s">
        <v>2940</v>
      </c>
      <c r="D826" s="19" t="s">
        <v>2941</v>
      </c>
      <c r="E826" s="19" t="s">
        <v>855</v>
      </c>
      <c r="F826" s="19">
        <v>2015</v>
      </c>
      <c r="G826" s="21">
        <v>0.7063102</v>
      </c>
      <c r="H826" s="19" t="s">
        <v>2942</v>
      </c>
      <c r="I826" s="19" t="s">
        <v>951</v>
      </c>
      <c r="J826" s="21">
        <v>0.7063102</v>
      </c>
      <c r="K826" s="19" t="s">
        <v>2943</v>
      </c>
      <c r="L826" s="19" t="s">
        <v>2944</v>
      </c>
      <c r="M826" s="19" t="s">
        <v>2945</v>
      </c>
      <c r="N826" s="19" t="s">
        <v>2929</v>
      </c>
    </row>
    <row r="827" spans="1:14">
      <c r="A827" s="19" t="s">
        <v>329</v>
      </c>
      <c r="B827" s="19">
        <v>6</v>
      </c>
      <c r="C827" s="19" t="s">
        <v>2946</v>
      </c>
      <c r="D827" s="19" t="s">
        <v>2947</v>
      </c>
      <c r="E827" s="19" t="s">
        <v>855</v>
      </c>
      <c r="F827" s="19">
        <v>2015</v>
      </c>
      <c r="G827" s="21">
        <v>0.69990593000000001</v>
      </c>
      <c r="H827" s="19" t="s">
        <v>2948</v>
      </c>
      <c r="I827" s="19" t="s">
        <v>951</v>
      </c>
      <c r="J827" s="21">
        <v>0.69990593000000001</v>
      </c>
      <c r="K827" s="19" t="s">
        <v>2949</v>
      </c>
      <c r="L827" s="19" t="s">
        <v>2950</v>
      </c>
      <c r="M827" s="19" t="s">
        <v>2951</v>
      </c>
      <c r="N827" s="19" t="s">
        <v>1513</v>
      </c>
    </row>
    <row r="828" spans="1:14">
      <c r="A828" s="19" t="s">
        <v>329</v>
      </c>
      <c r="B828" s="19">
        <v>7</v>
      </c>
      <c r="C828" s="19" t="s">
        <v>2952</v>
      </c>
      <c r="D828" s="19" t="s">
        <v>2953</v>
      </c>
      <c r="E828" s="19" t="s">
        <v>855</v>
      </c>
      <c r="F828" s="19">
        <v>2014</v>
      </c>
      <c r="G828" s="21">
        <v>0.69423769999999996</v>
      </c>
      <c r="H828" s="19" t="s">
        <v>2954</v>
      </c>
      <c r="I828" s="19" t="s">
        <v>857</v>
      </c>
      <c r="J828" s="21">
        <v>0.69423769999999996</v>
      </c>
      <c r="K828" s="19" t="s">
        <v>2955</v>
      </c>
      <c r="L828" s="19" t="s">
        <v>2956</v>
      </c>
      <c r="M828" s="19"/>
      <c r="N828" s="19" t="s">
        <v>1409</v>
      </c>
    </row>
    <row r="829" spans="1:14">
      <c r="A829" s="19" t="s">
        <v>329</v>
      </c>
      <c r="B829" s="19">
        <v>8</v>
      </c>
      <c r="C829" s="19" t="s">
        <v>2957</v>
      </c>
      <c r="D829" s="19" t="s">
        <v>2958</v>
      </c>
      <c r="E829" s="19" t="s">
        <v>855</v>
      </c>
      <c r="F829" s="19">
        <v>2017</v>
      </c>
      <c r="G829" s="21">
        <v>0.69408314999999998</v>
      </c>
      <c r="H829" s="19" t="s">
        <v>2959</v>
      </c>
      <c r="I829" s="19" t="s">
        <v>951</v>
      </c>
      <c r="J829" s="21">
        <v>0.69408314999999998</v>
      </c>
      <c r="K829" s="19" t="s">
        <v>2960</v>
      </c>
      <c r="L829" s="19" t="s">
        <v>2961</v>
      </c>
      <c r="M829" s="19" t="s">
        <v>2962</v>
      </c>
      <c r="N829" s="19" t="s">
        <v>993</v>
      </c>
    </row>
    <row r="830" spans="1:14">
      <c r="A830" s="19" t="s">
        <v>329</v>
      </c>
      <c r="B830" s="19">
        <v>9</v>
      </c>
      <c r="C830" s="19" t="s">
        <v>2963</v>
      </c>
      <c r="D830" s="19" t="s">
        <v>2964</v>
      </c>
      <c r="E830" s="19" t="s">
        <v>855</v>
      </c>
      <c r="F830" s="19">
        <v>2022</v>
      </c>
      <c r="G830" s="21">
        <v>0.6898725</v>
      </c>
      <c r="H830" s="19" t="s">
        <v>2965</v>
      </c>
      <c r="I830" s="19" t="s">
        <v>951</v>
      </c>
      <c r="J830" s="21">
        <v>0.6898725</v>
      </c>
      <c r="K830" s="19" t="s">
        <v>2966</v>
      </c>
      <c r="L830" s="19" t="s">
        <v>2967</v>
      </c>
      <c r="M830" s="19" t="s">
        <v>2968</v>
      </c>
      <c r="N830" s="19" t="s">
        <v>993</v>
      </c>
    </row>
    <row r="831" spans="1:14">
      <c r="A831" s="19" t="s">
        <v>329</v>
      </c>
      <c r="B831" s="19">
        <v>10</v>
      </c>
      <c r="C831" s="19" t="s">
        <v>2969</v>
      </c>
      <c r="D831" s="19" t="s">
        <v>2970</v>
      </c>
      <c r="E831" s="19" t="s">
        <v>855</v>
      </c>
      <c r="F831" s="19">
        <v>2016</v>
      </c>
      <c r="G831" s="21">
        <v>0.68932473999999999</v>
      </c>
      <c r="H831" s="19" t="s">
        <v>2971</v>
      </c>
      <c r="I831" s="19" t="s">
        <v>951</v>
      </c>
      <c r="J831" s="21">
        <v>0.68932473999999999</v>
      </c>
      <c r="K831" s="19" t="s">
        <v>2972</v>
      </c>
      <c r="L831" s="19" t="s">
        <v>2973</v>
      </c>
      <c r="M831" s="19" t="s">
        <v>2974</v>
      </c>
      <c r="N831" s="19" t="s">
        <v>993</v>
      </c>
    </row>
    <row r="832" spans="1:14">
      <c r="A832" s="19" t="s">
        <v>329</v>
      </c>
      <c r="B832" s="19">
        <v>11</v>
      </c>
      <c r="C832" s="19" t="s">
        <v>876</v>
      </c>
      <c r="D832" s="19" t="s">
        <v>877</v>
      </c>
      <c r="E832" s="19" t="s">
        <v>855</v>
      </c>
      <c r="F832" s="19">
        <v>2022</v>
      </c>
      <c r="G832" s="21">
        <v>0.6863302</v>
      </c>
      <c r="H832" s="19" t="s">
        <v>878</v>
      </c>
      <c r="I832" s="19" t="s">
        <v>865</v>
      </c>
      <c r="J832" s="21">
        <v>0.6863302</v>
      </c>
      <c r="K832" s="19" t="s">
        <v>879</v>
      </c>
      <c r="L832" s="19" t="s">
        <v>880</v>
      </c>
      <c r="M832" s="19"/>
      <c r="N832" s="19" t="s">
        <v>1470</v>
      </c>
    </row>
    <row r="833" spans="1:14">
      <c r="A833" s="19" t="s">
        <v>329</v>
      </c>
      <c r="B833" s="19">
        <v>12</v>
      </c>
      <c r="C833" s="19" t="s">
        <v>870</v>
      </c>
      <c r="D833" s="19" t="s">
        <v>871</v>
      </c>
      <c r="E833" s="19" t="s">
        <v>855</v>
      </c>
      <c r="F833" s="19">
        <v>2016</v>
      </c>
      <c r="G833" s="21">
        <v>0.68529236000000004</v>
      </c>
      <c r="H833" s="19" t="s">
        <v>872</v>
      </c>
      <c r="I833" s="19" t="s">
        <v>865</v>
      </c>
      <c r="J833" s="21">
        <v>0.68529236000000004</v>
      </c>
      <c r="K833" s="19" t="s">
        <v>873</v>
      </c>
      <c r="L833" s="19" t="s">
        <v>874</v>
      </c>
      <c r="M833" s="19" t="s">
        <v>875</v>
      </c>
      <c r="N833" s="19" t="s">
        <v>1470</v>
      </c>
    </row>
    <row r="834" spans="1:14">
      <c r="A834" s="19" t="s">
        <v>329</v>
      </c>
      <c r="B834" s="19">
        <v>13</v>
      </c>
      <c r="C834" s="19" t="s">
        <v>2975</v>
      </c>
      <c r="D834" s="19" t="s">
        <v>2976</v>
      </c>
      <c r="E834" s="19" t="s">
        <v>855</v>
      </c>
      <c r="F834" s="19">
        <v>2017</v>
      </c>
      <c r="G834" s="21">
        <v>0.68376404000000002</v>
      </c>
      <c r="H834" s="19" t="s">
        <v>2977</v>
      </c>
      <c r="I834" s="19" t="s">
        <v>951</v>
      </c>
      <c r="J834" s="21">
        <v>0.68376404000000002</v>
      </c>
      <c r="K834" s="19" t="s">
        <v>2978</v>
      </c>
      <c r="L834" s="19" t="s">
        <v>2979</v>
      </c>
      <c r="M834" s="19" t="s">
        <v>2980</v>
      </c>
      <c r="N834" s="19" t="s">
        <v>1000</v>
      </c>
    </row>
    <row r="835" spans="1:14">
      <c r="A835" s="19" t="s">
        <v>329</v>
      </c>
      <c r="B835" s="19">
        <v>14</v>
      </c>
      <c r="C835" s="19" t="s">
        <v>2981</v>
      </c>
      <c r="D835" s="19" t="s">
        <v>2982</v>
      </c>
      <c r="E835" s="19" t="s">
        <v>855</v>
      </c>
      <c r="F835" s="19">
        <v>2017</v>
      </c>
      <c r="G835" s="21">
        <v>0.67971490000000001</v>
      </c>
      <c r="H835" s="19" t="s">
        <v>2983</v>
      </c>
      <c r="I835" s="19" t="s">
        <v>951</v>
      </c>
      <c r="J835" s="21">
        <v>0.67971490000000001</v>
      </c>
      <c r="K835" s="19" t="s">
        <v>2984</v>
      </c>
      <c r="L835" s="19" t="s">
        <v>2985</v>
      </c>
      <c r="M835" s="19" t="s">
        <v>2986</v>
      </c>
      <c r="N835" s="19" t="s">
        <v>1000</v>
      </c>
    </row>
    <row r="836" spans="1:14">
      <c r="A836" s="19" t="s">
        <v>329</v>
      </c>
      <c r="B836" s="19">
        <v>15</v>
      </c>
      <c r="C836" s="19" t="s">
        <v>2987</v>
      </c>
      <c r="D836" s="19" t="s">
        <v>2988</v>
      </c>
      <c r="E836" s="19" t="s">
        <v>855</v>
      </c>
      <c r="F836" s="19">
        <v>2016</v>
      </c>
      <c r="G836" s="21">
        <v>0.67932440000000005</v>
      </c>
      <c r="H836" s="19" t="s">
        <v>2989</v>
      </c>
      <c r="I836" s="19" t="s">
        <v>951</v>
      </c>
      <c r="J836" s="21">
        <v>0.67932440000000005</v>
      </c>
      <c r="K836" s="19" t="s">
        <v>2990</v>
      </c>
      <c r="L836" s="19" t="s">
        <v>2991</v>
      </c>
      <c r="M836" s="19" t="s">
        <v>2992</v>
      </c>
      <c r="N836" s="19" t="s">
        <v>1000</v>
      </c>
    </row>
    <row r="837" spans="1:14">
      <c r="A837" s="19" t="s">
        <v>329</v>
      </c>
      <c r="B837" s="19">
        <v>16</v>
      </c>
      <c r="C837" s="19" t="s">
        <v>2993</v>
      </c>
      <c r="D837" s="19" t="s">
        <v>2994</v>
      </c>
      <c r="E837" s="19" t="s">
        <v>855</v>
      </c>
      <c r="F837" s="19">
        <v>2015</v>
      </c>
      <c r="G837" s="21">
        <v>0.67915296999999997</v>
      </c>
      <c r="H837" s="19" t="s">
        <v>2995</v>
      </c>
      <c r="I837" s="19" t="s">
        <v>951</v>
      </c>
      <c r="J837" s="21">
        <v>0.67915296999999997</v>
      </c>
      <c r="K837" s="19" t="s">
        <v>2996</v>
      </c>
      <c r="L837" s="19" t="s">
        <v>2997</v>
      </c>
      <c r="M837" s="19" t="s">
        <v>2998</v>
      </c>
      <c r="N837" s="19" t="s">
        <v>1000</v>
      </c>
    </row>
    <row r="838" spans="1:14">
      <c r="A838" s="19" t="s">
        <v>329</v>
      </c>
      <c r="B838" s="19">
        <v>17</v>
      </c>
      <c r="C838" s="19" t="s">
        <v>2999</v>
      </c>
      <c r="D838" s="19" t="s">
        <v>3000</v>
      </c>
      <c r="E838" s="19" t="s">
        <v>855</v>
      </c>
      <c r="F838" s="19">
        <v>2023</v>
      </c>
      <c r="G838" s="21">
        <v>0.6766257</v>
      </c>
      <c r="H838" s="19" t="s">
        <v>3001</v>
      </c>
      <c r="I838" s="19" t="s">
        <v>951</v>
      </c>
      <c r="J838" s="21">
        <v>0.6766257</v>
      </c>
      <c r="K838" s="19" t="s">
        <v>3002</v>
      </c>
      <c r="L838" s="19" t="s">
        <v>3003</v>
      </c>
      <c r="M838" s="19" t="s">
        <v>3004</v>
      </c>
      <c r="N838" s="19" t="s">
        <v>1000</v>
      </c>
    </row>
    <row r="839" spans="1:14">
      <c r="A839" s="19" t="s">
        <v>329</v>
      </c>
      <c r="B839" s="19">
        <v>18</v>
      </c>
      <c r="C839" s="19" t="s">
        <v>3005</v>
      </c>
      <c r="D839" s="19" t="s">
        <v>3006</v>
      </c>
      <c r="E839" s="19" t="s">
        <v>855</v>
      </c>
      <c r="F839" s="19">
        <v>2017</v>
      </c>
      <c r="G839" s="21">
        <v>0.67660189999999998</v>
      </c>
      <c r="H839" s="19" t="s">
        <v>3007</v>
      </c>
      <c r="I839" s="19" t="s">
        <v>857</v>
      </c>
      <c r="J839" s="21">
        <v>0.67660189999999998</v>
      </c>
      <c r="K839" s="19" t="s">
        <v>3008</v>
      </c>
      <c r="L839" s="19" t="s">
        <v>3009</v>
      </c>
      <c r="M839" s="19"/>
      <c r="N839" s="19" t="s">
        <v>861</v>
      </c>
    </row>
    <row r="840" spans="1:14">
      <c r="A840" s="19" t="s">
        <v>329</v>
      </c>
      <c r="B840" s="19">
        <v>19</v>
      </c>
      <c r="C840" s="19" t="s">
        <v>3010</v>
      </c>
      <c r="D840" s="19" t="s">
        <v>3011</v>
      </c>
      <c r="E840" s="19" t="s">
        <v>855</v>
      </c>
      <c r="F840" s="19">
        <v>2018</v>
      </c>
      <c r="G840" s="21">
        <v>0.67467189999999999</v>
      </c>
      <c r="H840" s="19" t="s">
        <v>3012</v>
      </c>
      <c r="I840" s="19" t="s">
        <v>914</v>
      </c>
      <c r="J840" s="21">
        <v>0.67467189999999999</v>
      </c>
      <c r="K840" s="19" t="s">
        <v>3013</v>
      </c>
      <c r="L840" s="19" t="s">
        <v>3014</v>
      </c>
      <c r="M840" s="19"/>
      <c r="N840" s="19" t="s">
        <v>1212</v>
      </c>
    </row>
    <row r="841" spans="1:14">
      <c r="A841" s="19" t="s">
        <v>329</v>
      </c>
      <c r="B841" s="19">
        <v>20</v>
      </c>
      <c r="C841" s="19" t="s">
        <v>887</v>
      </c>
      <c r="D841" s="19" t="s">
        <v>888</v>
      </c>
      <c r="E841" s="19" t="s">
        <v>855</v>
      </c>
      <c r="F841" s="19">
        <v>2016</v>
      </c>
      <c r="G841" s="21">
        <v>0.67458390000000001</v>
      </c>
      <c r="H841" s="19" t="s">
        <v>3015</v>
      </c>
      <c r="I841" s="19" t="s">
        <v>951</v>
      </c>
      <c r="J841" s="21">
        <v>0.67458390000000001</v>
      </c>
      <c r="K841" s="19" t="s">
        <v>3016</v>
      </c>
      <c r="L841" s="19" t="s">
        <v>3017</v>
      </c>
      <c r="M841" s="19" t="s">
        <v>3018</v>
      </c>
      <c r="N841" s="19" t="s">
        <v>1019</v>
      </c>
    </row>
    <row r="842" spans="1:14">
      <c r="A842" s="19" t="s">
        <v>549</v>
      </c>
      <c r="B842" s="19">
        <v>1</v>
      </c>
      <c r="C842" s="19" t="s">
        <v>2917</v>
      </c>
      <c r="D842" s="19" t="s">
        <v>758</v>
      </c>
      <c r="E842" s="19" t="s">
        <v>855</v>
      </c>
      <c r="F842" s="19">
        <v>2015</v>
      </c>
      <c r="G842" s="21">
        <v>0.74769200000000002</v>
      </c>
      <c r="H842" s="19" t="s">
        <v>2918</v>
      </c>
      <c r="I842" s="19" t="s">
        <v>1286</v>
      </c>
      <c r="J842" s="21">
        <v>0.74769200000000002</v>
      </c>
      <c r="K842" s="19" t="s">
        <v>2919</v>
      </c>
      <c r="L842" s="19" t="s">
        <v>2920</v>
      </c>
      <c r="M842" s="19" t="s">
        <v>2921</v>
      </c>
      <c r="N842" s="19" t="s">
        <v>2922</v>
      </c>
    </row>
    <row r="843" spans="1:14">
      <c r="A843" s="19" t="s">
        <v>549</v>
      </c>
      <c r="B843" s="19">
        <v>2</v>
      </c>
      <c r="C843" s="19" t="s">
        <v>2923</v>
      </c>
      <c r="D843" s="19" t="s">
        <v>2924</v>
      </c>
      <c r="E843" s="19" t="s">
        <v>855</v>
      </c>
      <c r="F843" s="19">
        <v>2015</v>
      </c>
      <c r="G843" s="21">
        <v>0.71365480000000003</v>
      </c>
      <c r="H843" s="19" t="s">
        <v>2925</v>
      </c>
      <c r="I843" s="19" t="s">
        <v>951</v>
      </c>
      <c r="J843" s="21">
        <v>0.71365480000000003</v>
      </c>
      <c r="K843" s="19" t="s">
        <v>2926</v>
      </c>
      <c r="L843" s="19" t="s">
        <v>2927</v>
      </c>
      <c r="M843" s="19" t="s">
        <v>2928</v>
      </c>
      <c r="N843" s="19" t="s">
        <v>2929</v>
      </c>
    </row>
    <row r="844" spans="1:14">
      <c r="A844" s="19" t="s">
        <v>549</v>
      </c>
      <c r="B844" s="19">
        <v>3</v>
      </c>
      <c r="C844" s="19" t="s">
        <v>2930</v>
      </c>
      <c r="D844" s="19" t="s">
        <v>2931</v>
      </c>
      <c r="E844" s="19" t="s">
        <v>855</v>
      </c>
      <c r="F844" s="19">
        <v>2014</v>
      </c>
      <c r="G844" s="21">
        <v>0.71185356</v>
      </c>
      <c r="H844" s="19" t="s">
        <v>2932</v>
      </c>
      <c r="I844" s="19" t="s">
        <v>1130</v>
      </c>
      <c r="J844" s="21">
        <v>0.71185356</v>
      </c>
      <c r="K844" s="19" t="s">
        <v>2933</v>
      </c>
      <c r="L844" s="19" t="s">
        <v>2934</v>
      </c>
      <c r="M844" s="19"/>
      <c r="N844" s="19" t="s">
        <v>2935</v>
      </c>
    </row>
    <row r="845" spans="1:14">
      <c r="A845" s="19" t="s">
        <v>549</v>
      </c>
      <c r="B845" s="19">
        <v>4</v>
      </c>
      <c r="C845" s="19" t="s">
        <v>2873</v>
      </c>
      <c r="D845" s="19" t="s">
        <v>2874</v>
      </c>
      <c r="E845" s="19" t="s">
        <v>855</v>
      </c>
      <c r="F845" s="19">
        <v>2022</v>
      </c>
      <c r="G845" s="21">
        <v>0.71097929999999998</v>
      </c>
      <c r="H845" s="19" t="s">
        <v>2936</v>
      </c>
      <c r="I845" s="19" t="s">
        <v>951</v>
      </c>
      <c r="J845" s="21">
        <v>0.71097929999999998</v>
      </c>
      <c r="K845" s="19" t="s">
        <v>2937</v>
      </c>
      <c r="L845" s="19" t="s">
        <v>2938</v>
      </c>
      <c r="M845" s="19" t="s">
        <v>2939</v>
      </c>
      <c r="N845" s="19" t="s">
        <v>2929</v>
      </c>
    </row>
    <row r="846" spans="1:14">
      <c r="A846" s="19" t="s">
        <v>549</v>
      </c>
      <c r="B846" s="19">
        <v>5</v>
      </c>
      <c r="C846" s="19" t="s">
        <v>2940</v>
      </c>
      <c r="D846" s="19" t="s">
        <v>2941</v>
      </c>
      <c r="E846" s="19" t="s">
        <v>855</v>
      </c>
      <c r="F846" s="19">
        <v>2015</v>
      </c>
      <c r="G846" s="21">
        <v>0.7063102</v>
      </c>
      <c r="H846" s="19" t="s">
        <v>2942</v>
      </c>
      <c r="I846" s="19" t="s">
        <v>951</v>
      </c>
      <c r="J846" s="21">
        <v>0.7063102</v>
      </c>
      <c r="K846" s="19" t="s">
        <v>2943</v>
      </c>
      <c r="L846" s="19" t="s">
        <v>2944</v>
      </c>
      <c r="M846" s="19" t="s">
        <v>2945</v>
      </c>
      <c r="N846" s="19" t="s">
        <v>2929</v>
      </c>
    </row>
    <row r="847" spans="1:14">
      <c r="A847" s="19" t="s">
        <v>549</v>
      </c>
      <c r="B847" s="19">
        <v>6</v>
      </c>
      <c r="C847" s="19" t="s">
        <v>2946</v>
      </c>
      <c r="D847" s="19" t="s">
        <v>2947</v>
      </c>
      <c r="E847" s="19" t="s">
        <v>855</v>
      </c>
      <c r="F847" s="19">
        <v>2015</v>
      </c>
      <c r="G847" s="21">
        <v>0.69990593000000001</v>
      </c>
      <c r="H847" s="19" t="s">
        <v>2948</v>
      </c>
      <c r="I847" s="19" t="s">
        <v>951</v>
      </c>
      <c r="J847" s="21">
        <v>0.69990593000000001</v>
      </c>
      <c r="K847" s="19" t="s">
        <v>2949</v>
      </c>
      <c r="L847" s="19" t="s">
        <v>2950</v>
      </c>
      <c r="M847" s="19" t="s">
        <v>2951</v>
      </c>
      <c r="N847" s="19" t="s">
        <v>1513</v>
      </c>
    </row>
    <row r="848" spans="1:14">
      <c r="A848" s="19" t="s">
        <v>549</v>
      </c>
      <c r="B848" s="19">
        <v>7</v>
      </c>
      <c r="C848" s="19" t="s">
        <v>2952</v>
      </c>
      <c r="D848" s="19" t="s">
        <v>2953</v>
      </c>
      <c r="E848" s="19" t="s">
        <v>855</v>
      </c>
      <c r="F848" s="19">
        <v>2014</v>
      </c>
      <c r="G848" s="21">
        <v>0.69423769999999996</v>
      </c>
      <c r="H848" s="19" t="s">
        <v>2954</v>
      </c>
      <c r="I848" s="19" t="s">
        <v>857</v>
      </c>
      <c r="J848" s="21">
        <v>0.69423769999999996</v>
      </c>
      <c r="K848" s="19" t="s">
        <v>2955</v>
      </c>
      <c r="L848" s="19" t="s">
        <v>2956</v>
      </c>
      <c r="M848" s="19"/>
      <c r="N848" s="19" t="s">
        <v>1409</v>
      </c>
    </row>
    <row r="849" spans="1:14">
      <c r="A849" s="19" t="s">
        <v>549</v>
      </c>
      <c r="B849" s="19">
        <v>8</v>
      </c>
      <c r="C849" s="19" t="s">
        <v>2957</v>
      </c>
      <c r="D849" s="19" t="s">
        <v>2958</v>
      </c>
      <c r="E849" s="19" t="s">
        <v>855</v>
      </c>
      <c r="F849" s="19">
        <v>2017</v>
      </c>
      <c r="G849" s="21">
        <v>0.69408314999999998</v>
      </c>
      <c r="H849" s="19" t="s">
        <v>2959</v>
      </c>
      <c r="I849" s="19" t="s">
        <v>951</v>
      </c>
      <c r="J849" s="21">
        <v>0.69408314999999998</v>
      </c>
      <c r="K849" s="19" t="s">
        <v>2960</v>
      </c>
      <c r="L849" s="19" t="s">
        <v>2961</v>
      </c>
      <c r="M849" s="19" t="s">
        <v>2962</v>
      </c>
      <c r="N849" s="19" t="s">
        <v>993</v>
      </c>
    </row>
    <row r="850" spans="1:14">
      <c r="A850" s="19" t="s">
        <v>549</v>
      </c>
      <c r="B850" s="19">
        <v>9</v>
      </c>
      <c r="C850" s="19" t="s">
        <v>2963</v>
      </c>
      <c r="D850" s="19" t="s">
        <v>2964</v>
      </c>
      <c r="E850" s="19" t="s">
        <v>855</v>
      </c>
      <c r="F850" s="19">
        <v>2022</v>
      </c>
      <c r="G850" s="21">
        <v>0.6898725</v>
      </c>
      <c r="H850" s="19" t="s">
        <v>2965</v>
      </c>
      <c r="I850" s="19" t="s">
        <v>951</v>
      </c>
      <c r="J850" s="21">
        <v>0.6898725</v>
      </c>
      <c r="K850" s="19" t="s">
        <v>2966</v>
      </c>
      <c r="L850" s="19" t="s">
        <v>2967</v>
      </c>
      <c r="M850" s="19" t="s">
        <v>2968</v>
      </c>
      <c r="N850" s="19" t="s">
        <v>993</v>
      </c>
    </row>
    <row r="851" spans="1:14">
      <c r="A851" s="19" t="s">
        <v>549</v>
      </c>
      <c r="B851" s="19">
        <v>10</v>
      </c>
      <c r="C851" s="19" t="s">
        <v>2969</v>
      </c>
      <c r="D851" s="19" t="s">
        <v>2970</v>
      </c>
      <c r="E851" s="19" t="s">
        <v>855</v>
      </c>
      <c r="F851" s="19">
        <v>2016</v>
      </c>
      <c r="G851" s="21">
        <v>0.68932473999999999</v>
      </c>
      <c r="H851" s="19" t="s">
        <v>2971</v>
      </c>
      <c r="I851" s="19" t="s">
        <v>951</v>
      </c>
      <c r="J851" s="21">
        <v>0.68932473999999999</v>
      </c>
      <c r="K851" s="19" t="s">
        <v>2972</v>
      </c>
      <c r="L851" s="19" t="s">
        <v>2973</v>
      </c>
      <c r="M851" s="19" t="s">
        <v>2974</v>
      </c>
      <c r="N851" s="19" t="s">
        <v>993</v>
      </c>
    </row>
    <row r="852" spans="1:14">
      <c r="A852" s="19" t="s">
        <v>549</v>
      </c>
      <c r="B852" s="19">
        <v>11</v>
      </c>
      <c r="C852" s="19" t="s">
        <v>876</v>
      </c>
      <c r="D852" s="19" t="s">
        <v>877</v>
      </c>
      <c r="E852" s="19" t="s">
        <v>855</v>
      </c>
      <c r="F852" s="19">
        <v>2022</v>
      </c>
      <c r="G852" s="21">
        <v>0.6863302</v>
      </c>
      <c r="H852" s="19" t="s">
        <v>878</v>
      </c>
      <c r="I852" s="19" t="s">
        <v>865</v>
      </c>
      <c r="J852" s="21">
        <v>0.6863302</v>
      </c>
      <c r="K852" s="19" t="s">
        <v>879</v>
      </c>
      <c r="L852" s="19" t="s">
        <v>880</v>
      </c>
      <c r="M852" s="19"/>
      <c r="N852" s="19" t="s">
        <v>1470</v>
      </c>
    </row>
    <row r="853" spans="1:14">
      <c r="A853" s="19" t="s">
        <v>549</v>
      </c>
      <c r="B853" s="19">
        <v>12</v>
      </c>
      <c r="C853" s="19" t="s">
        <v>870</v>
      </c>
      <c r="D853" s="19" t="s">
        <v>871</v>
      </c>
      <c r="E853" s="19" t="s">
        <v>855</v>
      </c>
      <c r="F853" s="19">
        <v>2016</v>
      </c>
      <c r="G853" s="21">
        <v>0.68529236000000004</v>
      </c>
      <c r="H853" s="19" t="s">
        <v>872</v>
      </c>
      <c r="I853" s="19" t="s">
        <v>865</v>
      </c>
      <c r="J853" s="21">
        <v>0.68529236000000004</v>
      </c>
      <c r="K853" s="19" t="s">
        <v>873</v>
      </c>
      <c r="L853" s="19" t="s">
        <v>874</v>
      </c>
      <c r="M853" s="19" t="s">
        <v>875</v>
      </c>
      <c r="N853" s="19" t="s">
        <v>1470</v>
      </c>
    </row>
    <row r="854" spans="1:14">
      <c r="A854" s="19" t="s">
        <v>549</v>
      </c>
      <c r="B854" s="19">
        <v>13</v>
      </c>
      <c r="C854" s="19" t="s">
        <v>2975</v>
      </c>
      <c r="D854" s="19" t="s">
        <v>2976</v>
      </c>
      <c r="E854" s="19" t="s">
        <v>855</v>
      </c>
      <c r="F854" s="19">
        <v>2017</v>
      </c>
      <c r="G854" s="21">
        <v>0.68376404000000002</v>
      </c>
      <c r="H854" s="19" t="s">
        <v>2977</v>
      </c>
      <c r="I854" s="19" t="s">
        <v>951</v>
      </c>
      <c r="J854" s="21">
        <v>0.68376404000000002</v>
      </c>
      <c r="K854" s="19" t="s">
        <v>2978</v>
      </c>
      <c r="L854" s="19" t="s">
        <v>2979</v>
      </c>
      <c r="M854" s="19" t="s">
        <v>2980</v>
      </c>
      <c r="N854" s="19" t="s">
        <v>1000</v>
      </c>
    </row>
    <row r="855" spans="1:14">
      <c r="A855" s="19" t="s">
        <v>549</v>
      </c>
      <c r="B855" s="19">
        <v>14</v>
      </c>
      <c r="C855" s="19" t="s">
        <v>2981</v>
      </c>
      <c r="D855" s="19" t="s">
        <v>2982</v>
      </c>
      <c r="E855" s="19" t="s">
        <v>855</v>
      </c>
      <c r="F855" s="19">
        <v>2017</v>
      </c>
      <c r="G855" s="21">
        <v>0.67971490000000001</v>
      </c>
      <c r="H855" s="19" t="s">
        <v>2983</v>
      </c>
      <c r="I855" s="19" t="s">
        <v>951</v>
      </c>
      <c r="J855" s="21">
        <v>0.67971490000000001</v>
      </c>
      <c r="K855" s="19" t="s">
        <v>2984</v>
      </c>
      <c r="L855" s="19" t="s">
        <v>2985</v>
      </c>
      <c r="M855" s="19" t="s">
        <v>2986</v>
      </c>
      <c r="N855" s="19" t="s">
        <v>1000</v>
      </c>
    </row>
    <row r="856" spans="1:14">
      <c r="A856" s="19" t="s">
        <v>549</v>
      </c>
      <c r="B856" s="19">
        <v>15</v>
      </c>
      <c r="C856" s="19" t="s">
        <v>2987</v>
      </c>
      <c r="D856" s="19" t="s">
        <v>2988</v>
      </c>
      <c r="E856" s="19" t="s">
        <v>855</v>
      </c>
      <c r="F856" s="19">
        <v>2016</v>
      </c>
      <c r="G856" s="21">
        <v>0.67932440000000005</v>
      </c>
      <c r="H856" s="19" t="s">
        <v>2989</v>
      </c>
      <c r="I856" s="19" t="s">
        <v>951</v>
      </c>
      <c r="J856" s="21">
        <v>0.67932440000000005</v>
      </c>
      <c r="K856" s="19" t="s">
        <v>2990</v>
      </c>
      <c r="L856" s="19" t="s">
        <v>2991</v>
      </c>
      <c r="M856" s="19" t="s">
        <v>2992</v>
      </c>
      <c r="N856" s="19" t="s">
        <v>1000</v>
      </c>
    </row>
    <row r="857" spans="1:14">
      <c r="A857" s="19" t="s">
        <v>549</v>
      </c>
      <c r="B857" s="19">
        <v>16</v>
      </c>
      <c r="C857" s="19" t="s">
        <v>2993</v>
      </c>
      <c r="D857" s="19" t="s">
        <v>2994</v>
      </c>
      <c r="E857" s="19" t="s">
        <v>855</v>
      </c>
      <c r="F857" s="19">
        <v>2015</v>
      </c>
      <c r="G857" s="21">
        <v>0.67915296999999997</v>
      </c>
      <c r="H857" s="19" t="s">
        <v>2995</v>
      </c>
      <c r="I857" s="19" t="s">
        <v>951</v>
      </c>
      <c r="J857" s="21">
        <v>0.67915296999999997</v>
      </c>
      <c r="K857" s="19" t="s">
        <v>2996</v>
      </c>
      <c r="L857" s="19" t="s">
        <v>2997</v>
      </c>
      <c r="M857" s="19" t="s">
        <v>2998</v>
      </c>
      <c r="N857" s="19" t="s">
        <v>1000</v>
      </c>
    </row>
    <row r="858" spans="1:14">
      <c r="A858" s="19" t="s">
        <v>549</v>
      </c>
      <c r="B858" s="19">
        <v>17</v>
      </c>
      <c r="C858" s="19" t="s">
        <v>2999</v>
      </c>
      <c r="D858" s="19" t="s">
        <v>3000</v>
      </c>
      <c r="E858" s="19" t="s">
        <v>855</v>
      </c>
      <c r="F858" s="19">
        <v>2023</v>
      </c>
      <c r="G858" s="21">
        <v>0.6766257</v>
      </c>
      <c r="H858" s="19" t="s">
        <v>3001</v>
      </c>
      <c r="I858" s="19" t="s">
        <v>951</v>
      </c>
      <c r="J858" s="21">
        <v>0.6766257</v>
      </c>
      <c r="K858" s="19" t="s">
        <v>3002</v>
      </c>
      <c r="L858" s="19" t="s">
        <v>3003</v>
      </c>
      <c r="M858" s="19" t="s">
        <v>3004</v>
      </c>
      <c r="N858" s="19" t="s">
        <v>1000</v>
      </c>
    </row>
    <row r="859" spans="1:14">
      <c r="A859" s="19" t="s">
        <v>549</v>
      </c>
      <c r="B859" s="19">
        <v>18</v>
      </c>
      <c r="C859" s="19" t="s">
        <v>3005</v>
      </c>
      <c r="D859" s="19" t="s">
        <v>3006</v>
      </c>
      <c r="E859" s="19" t="s">
        <v>855</v>
      </c>
      <c r="F859" s="19">
        <v>2017</v>
      </c>
      <c r="G859" s="21">
        <v>0.67660189999999998</v>
      </c>
      <c r="H859" s="19" t="s">
        <v>3007</v>
      </c>
      <c r="I859" s="19" t="s">
        <v>857</v>
      </c>
      <c r="J859" s="21">
        <v>0.67660189999999998</v>
      </c>
      <c r="K859" s="19" t="s">
        <v>3008</v>
      </c>
      <c r="L859" s="19" t="s">
        <v>3009</v>
      </c>
      <c r="M859" s="19"/>
      <c r="N859" s="19" t="s">
        <v>861</v>
      </c>
    </row>
    <row r="860" spans="1:14">
      <c r="A860" s="19" t="s">
        <v>549</v>
      </c>
      <c r="B860" s="19">
        <v>19</v>
      </c>
      <c r="C860" s="19" t="s">
        <v>3010</v>
      </c>
      <c r="D860" s="19" t="s">
        <v>3011</v>
      </c>
      <c r="E860" s="19" t="s">
        <v>855</v>
      </c>
      <c r="F860" s="19">
        <v>2018</v>
      </c>
      <c r="G860" s="21">
        <v>0.67467189999999999</v>
      </c>
      <c r="H860" s="19" t="s">
        <v>3012</v>
      </c>
      <c r="I860" s="19" t="s">
        <v>914</v>
      </c>
      <c r="J860" s="21">
        <v>0.67467189999999999</v>
      </c>
      <c r="K860" s="19" t="s">
        <v>3013</v>
      </c>
      <c r="L860" s="19" t="s">
        <v>3014</v>
      </c>
      <c r="M860" s="19"/>
      <c r="N860" s="19" t="s">
        <v>1212</v>
      </c>
    </row>
    <row r="861" spans="1:14">
      <c r="A861" s="19" t="s">
        <v>549</v>
      </c>
      <c r="B861" s="19">
        <v>20</v>
      </c>
      <c r="C861" s="19" t="s">
        <v>887</v>
      </c>
      <c r="D861" s="19" t="s">
        <v>888</v>
      </c>
      <c r="E861" s="19" t="s">
        <v>855</v>
      </c>
      <c r="F861" s="19">
        <v>2016</v>
      </c>
      <c r="G861" s="21">
        <v>0.67458390000000001</v>
      </c>
      <c r="H861" s="19" t="s">
        <v>3015</v>
      </c>
      <c r="I861" s="19" t="s">
        <v>951</v>
      </c>
      <c r="J861" s="21">
        <v>0.67458390000000001</v>
      </c>
      <c r="K861" s="19" t="s">
        <v>3016</v>
      </c>
      <c r="L861" s="19" t="s">
        <v>3017</v>
      </c>
      <c r="M861" s="19" t="s">
        <v>3018</v>
      </c>
      <c r="N861" s="19" t="s">
        <v>1019</v>
      </c>
    </row>
    <row r="862" spans="1:14">
      <c r="A862" s="19" t="s">
        <v>192</v>
      </c>
      <c r="B862" s="19">
        <v>1</v>
      </c>
      <c r="C862" s="19" t="s">
        <v>2108</v>
      </c>
      <c r="D862" s="19" t="s">
        <v>709</v>
      </c>
      <c r="E862" s="19" t="s">
        <v>2109</v>
      </c>
      <c r="F862" s="19">
        <v>2016</v>
      </c>
      <c r="G862" s="21">
        <v>0.75449025999999997</v>
      </c>
      <c r="H862" s="19" t="s">
        <v>3019</v>
      </c>
      <c r="I862" s="19" t="s">
        <v>951</v>
      </c>
      <c r="J862" s="21">
        <v>0.75449025999999997</v>
      </c>
      <c r="K862" s="19" t="s">
        <v>3020</v>
      </c>
      <c r="L862" s="19" t="s">
        <v>3021</v>
      </c>
      <c r="M862" s="19" t="s">
        <v>3022</v>
      </c>
      <c r="N862" s="19" t="s">
        <v>3023</v>
      </c>
    </row>
    <row r="863" spans="1:14">
      <c r="A863" s="19" t="s">
        <v>192</v>
      </c>
      <c r="B863" s="19">
        <v>2</v>
      </c>
      <c r="C863" s="19" t="s">
        <v>2088</v>
      </c>
      <c r="D863" s="19" t="s">
        <v>415</v>
      </c>
      <c r="E863" s="19" t="s">
        <v>2089</v>
      </c>
      <c r="F863" s="19">
        <v>2004</v>
      </c>
      <c r="G863" s="21">
        <v>0.74105686000000004</v>
      </c>
      <c r="H863" s="19" t="s">
        <v>2196</v>
      </c>
      <c r="I863" s="19" t="s">
        <v>857</v>
      </c>
      <c r="J863" s="21">
        <v>0.74105686000000004</v>
      </c>
      <c r="K863" s="19" t="s">
        <v>2197</v>
      </c>
      <c r="L863" s="19" t="s">
        <v>2198</v>
      </c>
      <c r="M863" s="19" t="s">
        <v>2199</v>
      </c>
      <c r="N863" s="19" t="s">
        <v>2600</v>
      </c>
    </row>
    <row r="864" spans="1:14">
      <c r="A864" s="19" t="s">
        <v>192</v>
      </c>
      <c r="B864" s="19">
        <v>3</v>
      </c>
      <c r="C864" s="19" t="s">
        <v>2131</v>
      </c>
      <c r="D864" s="19" t="s">
        <v>2132</v>
      </c>
      <c r="E864" s="19" t="s">
        <v>855</v>
      </c>
      <c r="F864" s="19">
        <v>2010</v>
      </c>
      <c r="G864" s="21">
        <v>0.72944266000000002</v>
      </c>
      <c r="H864" s="19" t="s">
        <v>3024</v>
      </c>
      <c r="I864" s="19" t="s">
        <v>951</v>
      </c>
      <c r="J864" s="21">
        <v>0.72944266000000002</v>
      </c>
      <c r="K864" s="19" t="s">
        <v>3025</v>
      </c>
      <c r="L864" s="19" t="s">
        <v>3026</v>
      </c>
      <c r="M864" s="19" t="s">
        <v>2136</v>
      </c>
      <c r="N864" s="19" t="s">
        <v>1225</v>
      </c>
    </row>
    <row r="865" spans="1:14">
      <c r="A865" s="19" t="s">
        <v>192</v>
      </c>
      <c r="B865" s="19">
        <v>4</v>
      </c>
      <c r="C865" s="19" t="s">
        <v>2119</v>
      </c>
      <c r="D865" s="19" t="s">
        <v>2120</v>
      </c>
      <c r="E865" s="19" t="s">
        <v>855</v>
      </c>
      <c r="F865" s="19">
        <v>2014</v>
      </c>
      <c r="G865" s="21">
        <v>0.70846640000000005</v>
      </c>
      <c r="H865" s="19" t="s">
        <v>2121</v>
      </c>
      <c r="I865" s="19" t="s">
        <v>951</v>
      </c>
      <c r="J865" s="21">
        <v>0.70846640000000005</v>
      </c>
      <c r="K865" s="19" t="s">
        <v>2122</v>
      </c>
      <c r="L865" s="19" t="s">
        <v>2123</v>
      </c>
      <c r="M865" s="19" t="s">
        <v>2124</v>
      </c>
      <c r="N865" s="19" t="s">
        <v>2929</v>
      </c>
    </row>
    <row r="866" spans="1:14">
      <c r="A866" s="19" t="s">
        <v>192</v>
      </c>
      <c r="B866" s="19">
        <v>5</v>
      </c>
      <c r="C866" s="19" t="s">
        <v>2724</v>
      </c>
      <c r="D866" s="19" t="s">
        <v>2725</v>
      </c>
      <c r="E866" s="19" t="s">
        <v>855</v>
      </c>
      <c r="F866" s="19">
        <v>2017</v>
      </c>
      <c r="G866" s="21">
        <v>0.704762</v>
      </c>
      <c r="H866" s="19" t="s">
        <v>2726</v>
      </c>
      <c r="I866" s="19" t="s">
        <v>951</v>
      </c>
      <c r="J866" s="21">
        <v>0.704762</v>
      </c>
      <c r="K866" s="19" t="s">
        <v>2727</v>
      </c>
      <c r="L866" s="19" t="s">
        <v>2728</v>
      </c>
      <c r="M866" s="19" t="s">
        <v>2729</v>
      </c>
      <c r="N866" s="19" t="s">
        <v>1513</v>
      </c>
    </row>
    <row r="867" spans="1:14">
      <c r="A867" s="19" t="s">
        <v>192</v>
      </c>
      <c r="B867" s="19">
        <v>6</v>
      </c>
      <c r="C867" s="19" t="s">
        <v>981</v>
      </c>
      <c r="D867" s="19" t="s">
        <v>821</v>
      </c>
      <c r="E867" s="19" t="s">
        <v>855</v>
      </c>
      <c r="F867" s="19">
        <v>2022</v>
      </c>
      <c r="G867" s="21">
        <v>0.69691396000000005</v>
      </c>
      <c r="H867" s="19" t="s">
        <v>982</v>
      </c>
      <c r="I867" s="19" t="s">
        <v>857</v>
      </c>
      <c r="J867" s="21">
        <v>0.69691396000000005</v>
      </c>
      <c r="K867" s="19" t="s">
        <v>983</v>
      </c>
      <c r="L867" s="19" t="s">
        <v>984</v>
      </c>
      <c r="M867" s="19" t="s">
        <v>985</v>
      </c>
      <c r="N867" s="19" t="s">
        <v>986</v>
      </c>
    </row>
    <row r="868" spans="1:14">
      <c r="A868" s="19" t="s">
        <v>192</v>
      </c>
      <c r="B868" s="19">
        <v>7</v>
      </c>
      <c r="C868" s="19" t="s">
        <v>2113</v>
      </c>
      <c r="D868" s="19" t="s">
        <v>2114</v>
      </c>
      <c r="E868" s="19" t="s">
        <v>855</v>
      </c>
      <c r="F868" s="19">
        <v>2014</v>
      </c>
      <c r="G868" s="21">
        <v>0.69653003999999996</v>
      </c>
      <c r="H868" s="19" t="s">
        <v>2115</v>
      </c>
      <c r="I868" s="19" t="s">
        <v>951</v>
      </c>
      <c r="J868" s="21">
        <v>0.69653003999999996</v>
      </c>
      <c r="K868" s="19" t="s">
        <v>2116</v>
      </c>
      <c r="L868" s="19" t="s">
        <v>2117</v>
      </c>
      <c r="M868" s="19" t="s">
        <v>2118</v>
      </c>
      <c r="N868" s="19" t="s">
        <v>1513</v>
      </c>
    </row>
    <row r="869" spans="1:14">
      <c r="A869" s="19" t="s">
        <v>192</v>
      </c>
      <c r="B869" s="19">
        <v>8</v>
      </c>
      <c r="C869" s="19" t="s">
        <v>987</v>
      </c>
      <c r="D869" s="19" t="s">
        <v>988</v>
      </c>
      <c r="E869" s="19" t="s">
        <v>855</v>
      </c>
      <c r="F869" s="19">
        <v>2016</v>
      </c>
      <c r="G869" s="21">
        <v>0.69557285000000002</v>
      </c>
      <c r="H869" s="19" t="s">
        <v>989</v>
      </c>
      <c r="I869" s="19" t="s">
        <v>951</v>
      </c>
      <c r="J869" s="21">
        <v>0.69557285000000002</v>
      </c>
      <c r="K869" s="19" t="s">
        <v>990</v>
      </c>
      <c r="L869" s="19" t="s">
        <v>991</v>
      </c>
      <c r="M869" s="19" t="s">
        <v>992</v>
      </c>
      <c r="N869" s="19" t="s">
        <v>1513</v>
      </c>
    </row>
    <row r="870" spans="1:14">
      <c r="A870" s="19" t="s">
        <v>192</v>
      </c>
      <c r="B870" s="19">
        <v>9</v>
      </c>
      <c r="C870" s="19" t="s">
        <v>994</v>
      </c>
      <c r="D870" s="19" t="s">
        <v>995</v>
      </c>
      <c r="E870" s="19" t="s">
        <v>855</v>
      </c>
      <c r="F870" s="19">
        <v>2022</v>
      </c>
      <c r="G870" s="21">
        <v>0.69304529999999998</v>
      </c>
      <c r="H870" s="19" t="s">
        <v>2200</v>
      </c>
      <c r="I870" s="19" t="s">
        <v>925</v>
      </c>
      <c r="J870" s="21">
        <v>0.69304529999999998</v>
      </c>
      <c r="K870" s="19" t="s">
        <v>2201</v>
      </c>
      <c r="L870" s="19" t="s">
        <v>2202</v>
      </c>
      <c r="M870" s="19" t="s">
        <v>2203</v>
      </c>
      <c r="N870" s="19" t="s">
        <v>1709</v>
      </c>
    </row>
    <row r="871" spans="1:14">
      <c r="A871" s="19" t="s">
        <v>192</v>
      </c>
      <c r="B871" s="19">
        <v>10</v>
      </c>
      <c r="C871" s="19" t="s">
        <v>3027</v>
      </c>
      <c r="D871" s="19" t="s">
        <v>3028</v>
      </c>
      <c r="E871" s="19" t="s">
        <v>855</v>
      </c>
      <c r="F871" s="19">
        <v>2017</v>
      </c>
      <c r="G871" s="21">
        <v>0.6860269</v>
      </c>
      <c r="H871" s="19" t="s">
        <v>3029</v>
      </c>
      <c r="I871" s="19" t="s">
        <v>951</v>
      </c>
      <c r="J871" s="21">
        <v>0.6860269</v>
      </c>
      <c r="K871" s="19" t="s">
        <v>3030</v>
      </c>
      <c r="L871" s="19" t="s">
        <v>3031</v>
      </c>
      <c r="M871" s="19" t="s">
        <v>3032</v>
      </c>
      <c r="N871" s="19" t="s">
        <v>993</v>
      </c>
    </row>
    <row r="872" spans="1:14">
      <c r="A872" s="19" t="s">
        <v>192</v>
      </c>
      <c r="B872" s="19">
        <v>11</v>
      </c>
      <c r="C872" s="19" t="s">
        <v>2095</v>
      </c>
      <c r="D872" s="19" t="s">
        <v>2096</v>
      </c>
      <c r="E872" s="19" t="s">
        <v>855</v>
      </c>
      <c r="F872" s="19">
        <v>2015</v>
      </c>
      <c r="G872" s="21">
        <v>0.68322799999999995</v>
      </c>
      <c r="H872" s="19" t="s">
        <v>2212</v>
      </c>
      <c r="I872" s="19" t="s">
        <v>857</v>
      </c>
      <c r="J872" s="21">
        <v>0.68322799999999995</v>
      </c>
      <c r="K872" s="19" t="s">
        <v>2213</v>
      </c>
      <c r="L872" s="19" t="s">
        <v>2214</v>
      </c>
      <c r="M872" s="19"/>
      <c r="N872" s="19" t="s">
        <v>861</v>
      </c>
    </row>
    <row r="873" spans="1:14">
      <c r="A873" s="19" t="s">
        <v>192</v>
      </c>
      <c r="B873" s="19">
        <v>12</v>
      </c>
      <c r="C873" s="19" t="s">
        <v>2207</v>
      </c>
      <c r="D873" s="19" t="s">
        <v>2208</v>
      </c>
      <c r="E873" s="19" t="s">
        <v>855</v>
      </c>
      <c r="F873" s="19">
        <v>2014</v>
      </c>
      <c r="G873" s="21">
        <v>0.68177600000000005</v>
      </c>
      <c r="H873" s="19" t="s">
        <v>2209</v>
      </c>
      <c r="I873" s="19" t="s">
        <v>857</v>
      </c>
      <c r="J873" s="21">
        <v>0.68177600000000005</v>
      </c>
      <c r="K873" s="19" t="s">
        <v>2210</v>
      </c>
      <c r="L873" s="19" t="s">
        <v>2211</v>
      </c>
      <c r="M873" s="19"/>
      <c r="N873" s="19" t="s">
        <v>861</v>
      </c>
    </row>
    <row r="874" spans="1:14">
      <c r="A874" s="19" t="s">
        <v>192</v>
      </c>
      <c r="B874" s="19">
        <v>13</v>
      </c>
      <c r="C874" s="19" t="s">
        <v>3033</v>
      </c>
      <c r="D874" s="19" t="s">
        <v>3034</v>
      </c>
      <c r="E874" s="19" t="s">
        <v>855</v>
      </c>
      <c r="F874" s="19">
        <v>2017</v>
      </c>
      <c r="G874" s="21">
        <v>0.68017994999999998</v>
      </c>
      <c r="H874" s="19" t="s">
        <v>3035</v>
      </c>
      <c r="I874" s="19" t="s">
        <v>951</v>
      </c>
      <c r="J874" s="21">
        <v>0.68017994999999998</v>
      </c>
      <c r="K874" s="19" t="s">
        <v>3036</v>
      </c>
      <c r="L874" s="19" t="s">
        <v>3037</v>
      </c>
      <c r="M874" s="19" t="s">
        <v>3038</v>
      </c>
      <c r="N874" s="19" t="s">
        <v>1000</v>
      </c>
    </row>
    <row r="875" spans="1:14">
      <c r="A875" s="19" t="s">
        <v>192</v>
      </c>
      <c r="B875" s="19">
        <v>14</v>
      </c>
      <c r="C875" s="19" t="s">
        <v>2125</v>
      </c>
      <c r="D875" s="19" t="s">
        <v>2126</v>
      </c>
      <c r="E875" s="19" t="s">
        <v>2127</v>
      </c>
      <c r="F875" s="19">
        <v>2001</v>
      </c>
      <c r="G875" s="21">
        <v>0.67908763999999999</v>
      </c>
      <c r="H875" s="19" t="s">
        <v>3039</v>
      </c>
      <c r="I875" s="19" t="s">
        <v>951</v>
      </c>
      <c r="J875" s="21">
        <v>0.67908763999999999</v>
      </c>
      <c r="K875" s="19" t="s">
        <v>3040</v>
      </c>
      <c r="L875" s="19" t="s">
        <v>3041</v>
      </c>
      <c r="M875" s="19" t="s">
        <v>3042</v>
      </c>
      <c r="N875" s="19" t="s">
        <v>1000</v>
      </c>
    </row>
    <row r="876" spans="1:14">
      <c r="A876" s="19" t="s">
        <v>192</v>
      </c>
      <c r="B876" s="19">
        <v>15</v>
      </c>
      <c r="C876" s="19" t="s">
        <v>3043</v>
      </c>
      <c r="D876" s="19" t="s">
        <v>3044</v>
      </c>
      <c r="E876" s="19" t="s">
        <v>855</v>
      </c>
      <c r="F876" s="19">
        <v>2016</v>
      </c>
      <c r="G876" s="21">
        <v>0.67891570000000001</v>
      </c>
      <c r="H876" s="19" t="s">
        <v>3045</v>
      </c>
      <c r="I876" s="19" t="s">
        <v>908</v>
      </c>
      <c r="J876" s="21">
        <v>0.67891570000000001</v>
      </c>
      <c r="K876" s="19" t="s">
        <v>3046</v>
      </c>
      <c r="L876" s="19" t="s">
        <v>3047</v>
      </c>
      <c r="M876" s="19"/>
      <c r="N876" s="19" t="s">
        <v>1078</v>
      </c>
    </row>
    <row r="877" spans="1:14">
      <c r="A877" s="19" t="s">
        <v>192</v>
      </c>
      <c r="B877" s="19">
        <v>16</v>
      </c>
      <c r="C877" s="19" t="s">
        <v>1007</v>
      </c>
      <c r="D877" s="19" t="s">
        <v>1008</v>
      </c>
      <c r="E877" s="19" t="s">
        <v>855</v>
      </c>
      <c r="F877" s="19">
        <v>2016</v>
      </c>
      <c r="G877" s="21">
        <v>0.6782454</v>
      </c>
      <c r="H877" s="19" t="s">
        <v>1009</v>
      </c>
      <c r="I877" s="19" t="s">
        <v>951</v>
      </c>
      <c r="J877" s="21">
        <v>0.6782454</v>
      </c>
      <c r="K877" s="19" t="s">
        <v>1010</v>
      </c>
      <c r="L877" s="19" t="s">
        <v>1011</v>
      </c>
      <c r="M877" s="19" t="s">
        <v>1012</v>
      </c>
      <c r="N877" s="19" t="s">
        <v>1000</v>
      </c>
    </row>
    <row r="878" spans="1:14">
      <c r="A878" s="19" t="s">
        <v>192</v>
      </c>
      <c r="B878" s="19">
        <v>17</v>
      </c>
      <c r="C878" s="19" t="s">
        <v>3048</v>
      </c>
      <c r="D878" s="19" t="s">
        <v>3049</v>
      </c>
      <c r="E878" s="19" t="s">
        <v>855</v>
      </c>
      <c r="F878" s="19">
        <v>2014</v>
      </c>
      <c r="G878" s="21">
        <v>0.67625159999999995</v>
      </c>
      <c r="H878" s="19" t="s">
        <v>3050</v>
      </c>
      <c r="I878" s="19" t="s">
        <v>951</v>
      </c>
      <c r="J878" s="21">
        <v>0.67625159999999995</v>
      </c>
      <c r="K878" s="19" t="s">
        <v>3051</v>
      </c>
      <c r="L878" s="19" t="s">
        <v>3052</v>
      </c>
      <c r="M878" s="19" t="s">
        <v>3053</v>
      </c>
      <c r="N878" s="19" t="s">
        <v>1000</v>
      </c>
    </row>
    <row r="879" spans="1:14">
      <c r="A879" s="19" t="s">
        <v>192</v>
      </c>
      <c r="B879" s="19">
        <v>18</v>
      </c>
      <c r="C879" s="19" t="s">
        <v>3054</v>
      </c>
      <c r="D879" s="19" t="s">
        <v>3055</v>
      </c>
      <c r="E879" s="19" t="s">
        <v>855</v>
      </c>
      <c r="F879" s="19">
        <v>2014</v>
      </c>
      <c r="G879" s="21">
        <v>0.66961230000000005</v>
      </c>
      <c r="H879" s="19" t="s">
        <v>3056</v>
      </c>
      <c r="I879" s="19" t="s">
        <v>914</v>
      </c>
      <c r="J879" s="21">
        <v>0.66961230000000005</v>
      </c>
      <c r="K879" s="19" t="s">
        <v>3057</v>
      </c>
      <c r="L879" s="19" t="s">
        <v>3058</v>
      </c>
      <c r="M879" s="19"/>
      <c r="N879" s="19" t="s">
        <v>1212</v>
      </c>
    </row>
    <row r="880" spans="1:14">
      <c r="A880" s="19" t="s">
        <v>192</v>
      </c>
      <c r="B880" s="19">
        <v>19</v>
      </c>
      <c r="C880" s="19" t="s">
        <v>3059</v>
      </c>
      <c r="D880" s="19" t="s">
        <v>3060</v>
      </c>
      <c r="E880" s="19" t="s">
        <v>855</v>
      </c>
      <c r="F880" s="19">
        <v>2015</v>
      </c>
      <c r="G880" s="21">
        <v>0.66847897000000001</v>
      </c>
      <c r="H880" s="19" t="s">
        <v>3061</v>
      </c>
      <c r="I880" s="19" t="s">
        <v>908</v>
      </c>
      <c r="J880" s="21">
        <v>0.66847897000000001</v>
      </c>
      <c r="K880" s="19" t="s">
        <v>3062</v>
      </c>
      <c r="L880" s="19" t="s">
        <v>3063</v>
      </c>
      <c r="M880" s="19"/>
      <c r="N880" s="19" t="s">
        <v>3064</v>
      </c>
    </row>
    <row r="881" spans="1:14">
      <c r="A881" s="19" t="s">
        <v>192</v>
      </c>
      <c r="B881" s="19">
        <v>20</v>
      </c>
      <c r="C881" s="19" t="s">
        <v>1917</v>
      </c>
      <c r="D881" s="19" t="s">
        <v>1918</v>
      </c>
      <c r="E881" s="19" t="s">
        <v>855</v>
      </c>
      <c r="F881" s="19">
        <v>2022</v>
      </c>
      <c r="G881" s="21">
        <v>0.66768813000000005</v>
      </c>
      <c r="H881" s="19" t="s">
        <v>3065</v>
      </c>
      <c r="I881" s="19" t="s">
        <v>914</v>
      </c>
      <c r="J881" s="21">
        <v>0.66768813000000005</v>
      </c>
      <c r="K881" s="19" t="s">
        <v>3066</v>
      </c>
      <c r="L881" s="19" t="s">
        <v>3067</v>
      </c>
      <c r="M881" s="19" t="s">
        <v>3068</v>
      </c>
      <c r="N881" s="19" t="s">
        <v>1212</v>
      </c>
    </row>
    <row r="882" spans="1:14">
      <c r="A882" s="19" t="s">
        <v>479</v>
      </c>
      <c r="B882" s="19">
        <v>1</v>
      </c>
      <c r="C882" s="19" t="s">
        <v>3069</v>
      </c>
      <c r="D882" s="19" t="s">
        <v>807</v>
      </c>
      <c r="E882" s="19" t="s">
        <v>855</v>
      </c>
      <c r="F882" s="19">
        <v>2015</v>
      </c>
      <c r="G882" s="21">
        <v>0.6894361</v>
      </c>
      <c r="H882" s="19" t="s">
        <v>3070</v>
      </c>
      <c r="I882" s="19" t="s">
        <v>951</v>
      </c>
      <c r="J882" s="21">
        <v>0.6894361</v>
      </c>
      <c r="K882" s="19" t="s">
        <v>3071</v>
      </c>
      <c r="L882" s="19" t="s">
        <v>3072</v>
      </c>
      <c r="M882" s="19" t="s">
        <v>3073</v>
      </c>
      <c r="N882" s="19" t="s">
        <v>993</v>
      </c>
    </row>
    <row r="883" spans="1:14">
      <c r="A883" s="19" t="s">
        <v>479</v>
      </c>
      <c r="B883" s="19">
        <v>2</v>
      </c>
      <c r="C883" s="19" t="s">
        <v>3074</v>
      </c>
      <c r="D883" s="19" t="s">
        <v>3075</v>
      </c>
      <c r="E883" s="19" t="s">
        <v>855</v>
      </c>
      <c r="F883" s="19">
        <v>2017</v>
      </c>
      <c r="G883" s="21">
        <v>0.67900170000000004</v>
      </c>
      <c r="H883" s="19" t="s">
        <v>3076</v>
      </c>
      <c r="I883" s="19" t="s">
        <v>951</v>
      </c>
      <c r="J883" s="21">
        <v>0.67900170000000004</v>
      </c>
      <c r="K883" s="19" t="s">
        <v>3077</v>
      </c>
      <c r="L883" s="19" t="s">
        <v>3078</v>
      </c>
      <c r="M883" s="19" t="s">
        <v>3079</v>
      </c>
      <c r="N883" s="19" t="s">
        <v>1000</v>
      </c>
    </row>
    <row r="884" spans="1:14">
      <c r="A884" s="19" t="s">
        <v>479</v>
      </c>
      <c r="B884" s="19">
        <v>3</v>
      </c>
      <c r="C884" s="19" t="s">
        <v>3080</v>
      </c>
      <c r="D884" s="19" t="s">
        <v>3081</v>
      </c>
      <c r="E884" s="19" t="s">
        <v>855</v>
      </c>
      <c r="F884" s="19">
        <v>2016</v>
      </c>
      <c r="G884" s="21">
        <v>0.67580799999999996</v>
      </c>
      <c r="H884" s="19" t="s">
        <v>3082</v>
      </c>
      <c r="I884" s="19" t="s">
        <v>951</v>
      </c>
      <c r="J884" s="21">
        <v>0.67580799999999996</v>
      </c>
      <c r="K884" s="19" t="s">
        <v>3083</v>
      </c>
      <c r="L884" s="19" t="s">
        <v>3084</v>
      </c>
      <c r="M884" s="19" t="s">
        <v>3085</v>
      </c>
      <c r="N884" s="19" t="s">
        <v>1000</v>
      </c>
    </row>
    <row r="885" spans="1:14">
      <c r="A885" s="19" t="s">
        <v>479</v>
      </c>
      <c r="B885" s="19">
        <v>4</v>
      </c>
      <c r="C885" s="19" t="s">
        <v>1948</v>
      </c>
      <c r="D885" s="19" t="s">
        <v>1949</v>
      </c>
      <c r="E885" s="19" t="s">
        <v>855</v>
      </c>
      <c r="F885" s="19">
        <v>2023</v>
      </c>
      <c r="G885" s="21">
        <v>0.67053689999999999</v>
      </c>
      <c r="H885" s="19" t="s">
        <v>3086</v>
      </c>
      <c r="I885" s="19" t="s">
        <v>914</v>
      </c>
      <c r="J885" s="21">
        <v>0.67053689999999999</v>
      </c>
      <c r="K885" s="19" t="s">
        <v>3087</v>
      </c>
      <c r="L885" s="19" t="s">
        <v>3088</v>
      </c>
      <c r="M885" s="19"/>
      <c r="N885" s="19" t="s">
        <v>1212</v>
      </c>
    </row>
    <row r="886" spans="1:14">
      <c r="A886" s="19" t="s">
        <v>479</v>
      </c>
      <c r="B886" s="19">
        <v>5</v>
      </c>
      <c r="C886" s="19" t="s">
        <v>2158</v>
      </c>
      <c r="D886" s="19" t="s">
        <v>2159</v>
      </c>
      <c r="E886" s="19" t="s">
        <v>855</v>
      </c>
      <c r="F886" s="19">
        <v>2022</v>
      </c>
      <c r="G886" s="21">
        <v>0.67051819999999995</v>
      </c>
      <c r="H886" s="19" t="s">
        <v>2160</v>
      </c>
      <c r="I886" s="19" t="s">
        <v>951</v>
      </c>
      <c r="J886" s="21">
        <v>0.67051819999999995</v>
      </c>
      <c r="K886" s="19" t="s">
        <v>2161</v>
      </c>
      <c r="L886" s="19" t="s">
        <v>2162</v>
      </c>
      <c r="M886" s="19" t="s">
        <v>2163</v>
      </c>
      <c r="N886" s="19" t="s">
        <v>1019</v>
      </c>
    </row>
    <row r="887" spans="1:14">
      <c r="A887" s="19" t="s">
        <v>479</v>
      </c>
      <c r="B887" s="19">
        <v>6</v>
      </c>
      <c r="C887" s="19" t="s">
        <v>3089</v>
      </c>
      <c r="D887" s="19" t="s">
        <v>3090</v>
      </c>
      <c r="E887" s="19" t="s">
        <v>855</v>
      </c>
      <c r="F887" s="19">
        <v>2016</v>
      </c>
      <c r="G887" s="21">
        <v>0.67014134000000003</v>
      </c>
      <c r="H887" s="19" t="s">
        <v>3091</v>
      </c>
      <c r="I887" s="19" t="s">
        <v>951</v>
      </c>
      <c r="J887" s="21">
        <v>0.67014134000000003</v>
      </c>
      <c r="K887" s="19" t="s">
        <v>3092</v>
      </c>
      <c r="L887" s="19" t="s">
        <v>3093</v>
      </c>
      <c r="M887" s="19" t="s">
        <v>3094</v>
      </c>
      <c r="N887" s="19" t="s">
        <v>1019</v>
      </c>
    </row>
    <row r="888" spans="1:14">
      <c r="A888" s="19" t="s">
        <v>479</v>
      </c>
      <c r="B888" s="19">
        <v>7</v>
      </c>
      <c r="C888" s="19" t="s">
        <v>3095</v>
      </c>
      <c r="D888" s="19" t="s">
        <v>3096</v>
      </c>
      <c r="E888" s="19" t="s">
        <v>855</v>
      </c>
      <c r="F888" s="19">
        <v>2017</v>
      </c>
      <c r="G888" s="21">
        <v>0.6700102</v>
      </c>
      <c r="H888" s="19" t="s">
        <v>3097</v>
      </c>
      <c r="I888" s="19" t="s">
        <v>951</v>
      </c>
      <c r="J888" s="21">
        <v>0.6700102</v>
      </c>
      <c r="K888" s="19" t="s">
        <v>3098</v>
      </c>
      <c r="L888" s="19" t="s">
        <v>3099</v>
      </c>
      <c r="M888" s="19" t="s">
        <v>3100</v>
      </c>
      <c r="N888" s="19" t="s">
        <v>1019</v>
      </c>
    </row>
    <row r="889" spans="1:14">
      <c r="A889" s="19" t="s">
        <v>479</v>
      </c>
      <c r="B889" s="19">
        <v>8</v>
      </c>
      <c r="C889" s="19" t="s">
        <v>3101</v>
      </c>
      <c r="D889" s="19" t="s">
        <v>3102</v>
      </c>
      <c r="E889" s="19" t="s">
        <v>855</v>
      </c>
      <c r="F889" s="19">
        <v>2016</v>
      </c>
      <c r="G889" s="21">
        <v>0.66710469999999999</v>
      </c>
      <c r="H889" s="19" t="s">
        <v>3103</v>
      </c>
      <c r="I889" s="19" t="s">
        <v>951</v>
      </c>
      <c r="J889" s="21">
        <v>0.66710469999999999</v>
      </c>
      <c r="K889" s="19" t="s">
        <v>3104</v>
      </c>
      <c r="L889" s="19" t="s">
        <v>3105</v>
      </c>
      <c r="M889" s="19" t="s">
        <v>3106</v>
      </c>
      <c r="N889" s="19" t="s">
        <v>1019</v>
      </c>
    </row>
    <row r="890" spans="1:14">
      <c r="A890" s="19" t="s">
        <v>479</v>
      </c>
      <c r="B890" s="19">
        <v>9</v>
      </c>
      <c r="C890" s="19" t="s">
        <v>3107</v>
      </c>
      <c r="D890" s="19" t="s">
        <v>3108</v>
      </c>
      <c r="E890" s="19" t="s">
        <v>855</v>
      </c>
      <c r="F890" s="19">
        <v>2023</v>
      </c>
      <c r="G890" s="21">
        <v>0.66590357</v>
      </c>
      <c r="H890" s="19" t="s">
        <v>3109</v>
      </c>
      <c r="I890" s="19" t="s">
        <v>951</v>
      </c>
      <c r="J890" s="21">
        <v>0.66590357</v>
      </c>
      <c r="K890" s="19" t="s">
        <v>3110</v>
      </c>
      <c r="L890" s="19" t="s">
        <v>3111</v>
      </c>
      <c r="M890" s="19" t="s">
        <v>3112</v>
      </c>
      <c r="N890" s="19" t="s">
        <v>1019</v>
      </c>
    </row>
    <row r="891" spans="1:14">
      <c r="A891" s="19" t="s">
        <v>479</v>
      </c>
      <c r="B891" s="19">
        <v>10</v>
      </c>
      <c r="C891" s="19" t="s">
        <v>3113</v>
      </c>
      <c r="D891" s="19" t="s">
        <v>3114</v>
      </c>
      <c r="E891" s="19" t="s">
        <v>855</v>
      </c>
      <c r="F891" s="19">
        <v>2017</v>
      </c>
      <c r="G891" s="21">
        <v>0.66430294999999995</v>
      </c>
      <c r="H891" s="19" t="s">
        <v>3115</v>
      </c>
      <c r="I891" s="19" t="s">
        <v>857</v>
      </c>
      <c r="J891" s="21">
        <v>0.66430294999999995</v>
      </c>
      <c r="K891" s="19" t="s">
        <v>3116</v>
      </c>
      <c r="L891" s="19" t="s">
        <v>3117</v>
      </c>
      <c r="M891" s="19" t="s">
        <v>3118</v>
      </c>
      <c r="N891" s="19" t="s">
        <v>1350</v>
      </c>
    </row>
    <row r="892" spans="1:14">
      <c r="A892" s="19" t="s">
        <v>479</v>
      </c>
      <c r="B892" s="19">
        <v>11</v>
      </c>
      <c r="C892" s="19" t="s">
        <v>3119</v>
      </c>
      <c r="D892" s="19" t="s">
        <v>3120</v>
      </c>
      <c r="E892" s="19" t="s">
        <v>855</v>
      </c>
      <c r="F892" s="19">
        <v>2016</v>
      </c>
      <c r="G892" s="21">
        <v>0.66095329999999997</v>
      </c>
      <c r="H892" s="19" t="s">
        <v>3121</v>
      </c>
      <c r="I892" s="19" t="s">
        <v>951</v>
      </c>
      <c r="J892" s="21">
        <v>0.66095329999999997</v>
      </c>
      <c r="K892" s="19" t="s">
        <v>3122</v>
      </c>
      <c r="L892" s="19" t="s">
        <v>3123</v>
      </c>
      <c r="M892" s="19" t="s">
        <v>3124</v>
      </c>
      <c r="N892" s="19" t="s">
        <v>1103</v>
      </c>
    </row>
    <row r="893" spans="1:14">
      <c r="A893" s="19" t="s">
        <v>479</v>
      </c>
      <c r="B893" s="19">
        <v>12</v>
      </c>
      <c r="C893" s="19" t="s">
        <v>3125</v>
      </c>
      <c r="D893" s="19" t="s">
        <v>3126</v>
      </c>
      <c r="E893" s="19" t="s">
        <v>2191</v>
      </c>
      <c r="F893" s="19">
        <v>2015</v>
      </c>
      <c r="G893" s="21">
        <v>0.65863539999999998</v>
      </c>
      <c r="H893" s="19" t="s">
        <v>3127</v>
      </c>
      <c r="I893" s="19" t="s">
        <v>951</v>
      </c>
      <c r="J893" s="21">
        <v>0.65863539999999998</v>
      </c>
      <c r="K893" s="19" t="s">
        <v>3128</v>
      </c>
      <c r="L893" s="19" t="s">
        <v>3129</v>
      </c>
      <c r="M893" s="19" t="s">
        <v>3130</v>
      </c>
      <c r="N893" s="19" t="s">
        <v>1103</v>
      </c>
    </row>
    <row r="894" spans="1:14">
      <c r="A894" s="19" t="s">
        <v>479</v>
      </c>
      <c r="B894" s="19">
        <v>13</v>
      </c>
      <c r="C894" s="19" t="s">
        <v>3131</v>
      </c>
      <c r="D894" s="19" t="s">
        <v>3132</v>
      </c>
      <c r="E894" s="19" t="s">
        <v>855</v>
      </c>
      <c r="F894" s="19">
        <v>2017</v>
      </c>
      <c r="G894" s="21">
        <v>0.65651250000000005</v>
      </c>
      <c r="H894" s="19" t="s">
        <v>3133</v>
      </c>
      <c r="I894" s="19" t="s">
        <v>951</v>
      </c>
      <c r="J894" s="21">
        <v>0.65651250000000005</v>
      </c>
      <c r="K894" s="19" t="s">
        <v>3134</v>
      </c>
      <c r="L894" s="19" t="s">
        <v>3135</v>
      </c>
      <c r="M894" s="19" t="s">
        <v>3136</v>
      </c>
      <c r="N894" s="19" t="s">
        <v>1103</v>
      </c>
    </row>
    <row r="895" spans="1:14">
      <c r="A895" s="19" t="s">
        <v>479</v>
      </c>
      <c r="B895" s="19">
        <v>14</v>
      </c>
      <c r="C895" s="19" t="s">
        <v>3137</v>
      </c>
      <c r="D895" s="19" t="s">
        <v>3138</v>
      </c>
      <c r="E895" s="19" t="s">
        <v>855</v>
      </c>
      <c r="F895" s="19">
        <v>2017</v>
      </c>
      <c r="G895" s="21">
        <v>0.65646159999999998</v>
      </c>
      <c r="H895" s="19" t="s">
        <v>3139</v>
      </c>
      <c r="I895" s="19" t="s">
        <v>951</v>
      </c>
      <c r="J895" s="21">
        <v>0.65646159999999998</v>
      </c>
      <c r="K895" s="19" t="s">
        <v>3140</v>
      </c>
      <c r="L895" s="19" t="s">
        <v>3141</v>
      </c>
      <c r="M895" s="19" t="s">
        <v>3142</v>
      </c>
      <c r="N895" s="19" t="s">
        <v>1103</v>
      </c>
    </row>
    <row r="896" spans="1:14">
      <c r="A896" s="19" t="s">
        <v>479</v>
      </c>
      <c r="B896" s="19">
        <v>15</v>
      </c>
      <c r="C896" s="19" t="s">
        <v>3143</v>
      </c>
      <c r="D896" s="19" t="s">
        <v>3144</v>
      </c>
      <c r="E896" s="19" t="s">
        <v>855</v>
      </c>
      <c r="F896" s="19">
        <v>2016</v>
      </c>
      <c r="G896" s="21">
        <v>0.6552403</v>
      </c>
      <c r="H896" s="19" t="s">
        <v>3145</v>
      </c>
      <c r="I896" s="19" t="s">
        <v>951</v>
      </c>
      <c r="J896" s="21">
        <v>0.6552403</v>
      </c>
      <c r="K896" s="19" t="s">
        <v>3146</v>
      </c>
      <c r="L896" s="19" t="s">
        <v>3147</v>
      </c>
      <c r="M896" s="19" t="s">
        <v>3148</v>
      </c>
      <c r="N896" s="19" t="s">
        <v>1103</v>
      </c>
    </row>
    <row r="897" spans="1:14">
      <c r="A897" s="19" t="s">
        <v>479</v>
      </c>
      <c r="B897" s="19">
        <v>16</v>
      </c>
      <c r="C897" s="19" t="s">
        <v>2366</v>
      </c>
      <c r="D897" s="19" t="s">
        <v>2367</v>
      </c>
      <c r="E897" s="19" t="s">
        <v>2089</v>
      </c>
      <c r="F897" s="19">
        <v>2009</v>
      </c>
      <c r="G897" s="21">
        <v>0.6552289</v>
      </c>
      <c r="H897" s="19" t="s">
        <v>3149</v>
      </c>
      <c r="I897" s="19" t="s">
        <v>1286</v>
      </c>
      <c r="J897" s="21">
        <v>0.6552289</v>
      </c>
      <c r="K897" s="19" t="s">
        <v>3150</v>
      </c>
      <c r="L897" s="19" t="s">
        <v>3151</v>
      </c>
      <c r="M897" s="19"/>
      <c r="N897" s="19" t="s">
        <v>3152</v>
      </c>
    </row>
    <row r="898" spans="1:14">
      <c r="A898" s="19" t="s">
        <v>479</v>
      </c>
      <c r="B898" s="19">
        <v>17</v>
      </c>
      <c r="C898" s="19" t="s">
        <v>3153</v>
      </c>
      <c r="D898" s="19" t="s">
        <v>3154</v>
      </c>
      <c r="E898" s="19" t="s">
        <v>855</v>
      </c>
      <c r="F898" s="19">
        <v>2017</v>
      </c>
      <c r="G898" s="21">
        <v>0.65492989999999995</v>
      </c>
      <c r="H898" s="19" t="s">
        <v>3155</v>
      </c>
      <c r="I898" s="19" t="s">
        <v>951</v>
      </c>
      <c r="J898" s="21">
        <v>0.65492989999999995</v>
      </c>
      <c r="K898" s="19" t="s">
        <v>3156</v>
      </c>
      <c r="L898" s="19" t="s">
        <v>3157</v>
      </c>
      <c r="M898" s="19" t="s">
        <v>3158</v>
      </c>
      <c r="N898" s="19" t="s">
        <v>1238</v>
      </c>
    </row>
    <row r="899" spans="1:14">
      <c r="A899" s="19" t="s">
        <v>479</v>
      </c>
      <c r="B899" s="19">
        <v>18</v>
      </c>
      <c r="C899" s="19" t="s">
        <v>3159</v>
      </c>
      <c r="D899" s="19" t="s">
        <v>3160</v>
      </c>
      <c r="E899" s="19" t="s">
        <v>855</v>
      </c>
      <c r="F899" s="19">
        <v>2023</v>
      </c>
      <c r="G899" s="21">
        <v>0.65437573000000004</v>
      </c>
      <c r="H899" s="19" t="s">
        <v>3161</v>
      </c>
      <c r="I899" s="19" t="s">
        <v>951</v>
      </c>
      <c r="J899" s="21">
        <v>0.65437573000000004</v>
      </c>
      <c r="K899" s="19" t="s">
        <v>3162</v>
      </c>
      <c r="L899" s="19" t="s">
        <v>3163</v>
      </c>
      <c r="M899" s="19" t="s">
        <v>3164</v>
      </c>
      <c r="N899" s="19" t="s">
        <v>1238</v>
      </c>
    </row>
    <row r="900" spans="1:14">
      <c r="A900" s="19" t="s">
        <v>479</v>
      </c>
      <c r="B900" s="19">
        <v>19</v>
      </c>
      <c r="C900" s="19" t="s">
        <v>3165</v>
      </c>
      <c r="D900" s="19" t="s">
        <v>3166</v>
      </c>
      <c r="E900" s="19" t="s">
        <v>855</v>
      </c>
      <c r="F900" s="19">
        <v>2016</v>
      </c>
      <c r="G900" s="21">
        <v>0.65360180000000001</v>
      </c>
      <c r="H900" s="19" t="s">
        <v>3167</v>
      </c>
      <c r="I900" s="19" t="s">
        <v>951</v>
      </c>
      <c r="J900" s="21">
        <v>0.65360180000000001</v>
      </c>
      <c r="K900" s="19" t="s">
        <v>3168</v>
      </c>
      <c r="L900" s="19" t="s">
        <v>3169</v>
      </c>
      <c r="M900" s="19" t="s">
        <v>3170</v>
      </c>
      <c r="N900" s="19" t="s">
        <v>1238</v>
      </c>
    </row>
    <row r="901" spans="1:14">
      <c r="A901" s="19" t="s">
        <v>479</v>
      </c>
      <c r="B901" s="19">
        <v>20</v>
      </c>
      <c r="C901" s="19" t="s">
        <v>2446</v>
      </c>
      <c r="D901" s="19" t="s">
        <v>2447</v>
      </c>
      <c r="E901" s="19" t="s">
        <v>855</v>
      </c>
      <c r="F901" s="19">
        <v>2023</v>
      </c>
      <c r="G901" s="21">
        <v>0.65186679999999997</v>
      </c>
      <c r="H901" s="19" t="s">
        <v>3171</v>
      </c>
      <c r="I901" s="19" t="s">
        <v>1286</v>
      </c>
      <c r="J901" s="21">
        <v>0.65186679999999997</v>
      </c>
      <c r="K901" s="19" t="s">
        <v>3172</v>
      </c>
      <c r="L901" s="19" t="s">
        <v>3173</v>
      </c>
      <c r="M901" s="19" t="s">
        <v>3174</v>
      </c>
      <c r="N901" s="19" t="s">
        <v>1427</v>
      </c>
    </row>
    <row r="902" spans="1:14">
      <c r="A902" s="19" t="s">
        <v>249</v>
      </c>
      <c r="B902" s="19">
        <v>1</v>
      </c>
      <c r="C902" s="19" t="s">
        <v>3175</v>
      </c>
      <c r="D902" s="19" t="s">
        <v>733</v>
      </c>
      <c r="E902" s="19" t="s">
        <v>855</v>
      </c>
      <c r="F902" s="19">
        <v>2022</v>
      </c>
      <c r="G902" s="21">
        <v>0.6970478</v>
      </c>
      <c r="H902" s="19" t="s">
        <v>3176</v>
      </c>
      <c r="I902" s="19" t="s">
        <v>857</v>
      </c>
      <c r="J902" s="21">
        <v>0.6970478</v>
      </c>
      <c r="K902" s="19" t="s">
        <v>3177</v>
      </c>
      <c r="L902" s="19" t="s">
        <v>3178</v>
      </c>
      <c r="M902" s="19" t="s">
        <v>3179</v>
      </c>
      <c r="N902" s="19" t="s">
        <v>986</v>
      </c>
    </row>
    <row r="903" spans="1:14">
      <c r="A903" s="19" t="s">
        <v>249</v>
      </c>
      <c r="B903" s="19">
        <v>2</v>
      </c>
      <c r="C903" s="19" t="s">
        <v>3180</v>
      </c>
      <c r="D903" s="19" t="s">
        <v>3181</v>
      </c>
      <c r="E903" s="19" t="s">
        <v>855</v>
      </c>
      <c r="F903" s="19">
        <v>2022</v>
      </c>
      <c r="G903" s="21">
        <v>0.65528459999999999</v>
      </c>
      <c r="H903" s="19" t="s">
        <v>3182</v>
      </c>
      <c r="I903" s="19" t="s">
        <v>857</v>
      </c>
      <c r="J903" s="21">
        <v>0.65528459999999999</v>
      </c>
      <c r="K903" s="19" t="s">
        <v>3183</v>
      </c>
      <c r="L903" s="19" t="s">
        <v>3184</v>
      </c>
      <c r="M903" s="19" t="s">
        <v>3185</v>
      </c>
      <c r="N903" s="19" t="s">
        <v>1350</v>
      </c>
    </row>
    <row r="904" spans="1:14">
      <c r="A904" s="19" t="s">
        <v>249</v>
      </c>
      <c r="B904" s="19">
        <v>3</v>
      </c>
      <c r="C904" s="19" t="s">
        <v>3186</v>
      </c>
      <c r="D904" s="19" t="s">
        <v>3187</v>
      </c>
      <c r="E904" s="19" t="s">
        <v>855</v>
      </c>
      <c r="F904" s="19">
        <v>2014</v>
      </c>
      <c r="G904" s="21">
        <v>0.62535929999999995</v>
      </c>
      <c r="H904" s="19" t="s">
        <v>3188</v>
      </c>
      <c r="I904" s="19" t="s">
        <v>1286</v>
      </c>
      <c r="J904" s="21">
        <v>0.62535929999999995</v>
      </c>
      <c r="K904" s="19" t="s">
        <v>3189</v>
      </c>
      <c r="L904" s="19" t="s">
        <v>3190</v>
      </c>
      <c r="M904" s="19"/>
      <c r="N904" s="19" t="s">
        <v>1290</v>
      </c>
    </row>
    <row r="905" spans="1:14">
      <c r="A905" s="19" t="s">
        <v>249</v>
      </c>
      <c r="B905" s="19">
        <v>4</v>
      </c>
      <c r="C905" s="19" t="s">
        <v>3191</v>
      </c>
      <c r="D905" s="19" t="s">
        <v>3192</v>
      </c>
      <c r="E905" s="19" t="s">
        <v>855</v>
      </c>
      <c r="F905" s="19">
        <v>2015</v>
      </c>
      <c r="G905" s="21">
        <v>0.62391185999999998</v>
      </c>
      <c r="H905" s="19" t="s">
        <v>3193</v>
      </c>
      <c r="I905" s="19" t="s">
        <v>951</v>
      </c>
      <c r="J905" s="21">
        <v>0.62391185999999998</v>
      </c>
      <c r="K905" s="19" t="s">
        <v>3194</v>
      </c>
      <c r="L905" s="19" t="s">
        <v>3195</v>
      </c>
      <c r="M905" s="19"/>
      <c r="N905" s="19" t="s">
        <v>1449</v>
      </c>
    </row>
    <row r="906" spans="1:14">
      <c r="A906" s="19" t="s">
        <v>249</v>
      </c>
      <c r="B906" s="19">
        <v>5</v>
      </c>
      <c r="C906" s="19" t="s">
        <v>3074</v>
      </c>
      <c r="D906" s="19" t="s">
        <v>3075</v>
      </c>
      <c r="E906" s="19" t="s">
        <v>855</v>
      </c>
      <c r="F906" s="19">
        <v>2017</v>
      </c>
      <c r="G906" s="21">
        <v>0.61659854999999997</v>
      </c>
      <c r="H906" s="19" t="s">
        <v>3076</v>
      </c>
      <c r="I906" s="19" t="s">
        <v>951</v>
      </c>
      <c r="J906" s="21">
        <v>0.61659854999999997</v>
      </c>
      <c r="K906" s="19" t="s">
        <v>3077</v>
      </c>
      <c r="L906" s="19" t="s">
        <v>3078</v>
      </c>
      <c r="M906" s="19" t="s">
        <v>3079</v>
      </c>
      <c r="N906" s="19" t="s">
        <v>1449</v>
      </c>
    </row>
    <row r="907" spans="1:14">
      <c r="A907" s="19" t="s">
        <v>249</v>
      </c>
      <c r="B907" s="19">
        <v>6</v>
      </c>
      <c r="C907" s="19" t="s">
        <v>3196</v>
      </c>
      <c r="D907" s="19" t="s">
        <v>3197</v>
      </c>
      <c r="E907" s="19" t="s">
        <v>855</v>
      </c>
      <c r="F907" s="19">
        <v>2016</v>
      </c>
      <c r="G907" s="21">
        <v>0.61600374999999996</v>
      </c>
      <c r="H907" s="19" t="s">
        <v>3198</v>
      </c>
      <c r="I907" s="19" t="s">
        <v>857</v>
      </c>
      <c r="J907" s="21">
        <v>0.61600374999999996</v>
      </c>
      <c r="K907" s="19" t="s">
        <v>3199</v>
      </c>
      <c r="L907" s="19" t="s">
        <v>3200</v>
      </c>
      <c r="M907" s="19" t="s">
        <v>3201</v>
      </c>
      <c r="N907" s="19" t="s">
        <v>1462</v>
      </c>
    </row>
    <row r="908" spans="1:14">
      <c r="A908" s="19" t="s">
        <v>249</v>
      </c>
      <c r="B908" s="19">
        <v>7</v>
      </c>
      <c r="C908" s="19" t="s">
        <v>3202</v>
      </c>
      <c r="D908" s="19" t="s">
        <v>3203</v>
      </c>
      <c r="E908" s="19" t="s">
        <v>855</v>
      </c>
      <c r="F908" s="19">
        <v>2017</v>
      </c>
      <c r="G908" s="21">
        <v>0.61563944999999998</v>
      </c>
      <c r="H908" s="19" t="s">
        <v>3204</v>
      </c>
      <c r="I908" s="19" t="s">
        <v>857</v>
      </c>
      <c r="J908" s="21">
        <v>0.61563944999999998</v>
      </c>
      <c r="K908" s="19" t="s">
        <v>3205</v>
      </c>
      <c r="L908" s="19" t="s">
        <v>3206</v>
      </c>
      <c r="M908" s="19"/>
      <c r="N908" s="19" t="s">
        <v>1462</v>
      </c>
    </row>
    <row r="909" spans="1:14">
      <c r="A909" s="19" t="s">
        <v>249</v>
      </c>
      <c r="B909" s="19">
        <v>8</v>
      </c>
      <c r="C909" s="19" t="s">
        <v>3207</v>
      </c>
      <c r="D909" s="19" t="s">
        <v>3208</v>
      </c>
      <c r="E909" s="19" t="s">
        <v>855</v>
      </c>
      <c r="F909" s="19">
        <v>2022</v>
      </c>
      <c r="G909" s="21">
        <v>0.61491249999999997</v>
      </c>
      <c r="H909" s="19" t="s">
        <v>3209</v>
      </c>
      <c r="I909" s="19" t="s">
        <v>951</v>
      </c>
      <c r="J909" s="21">
        <v>0.61491249999999997</v>
      </c>
      <c r="K909" s="19" t="s">
        <v>3210</v>
      </c>
      <c r="L909" s="19" t="s">
        <v>3211</v>
      </c>
      <c r="M909" s="19" t="s">
        <v>3212</v>
      </c>
      <c r="N909" s="19" t="s">
        <v>3213</v>
      </c>
    </row>
    <row r="910" spans="1:14">
      <c r="A910" s="19" t="s">
        <v>249</v>
      </c>
      <c r="B910" s="19">
        <v>9</v>
      </c>
      <c r="C910" s="19" t="s">
        <v>3214</v>
      </c>
      <c r="D910" s="19" t="s">
        <v>3215</v>
      </c>
      <c r="E910" s="19" t="s">
        <v>855</v>
      </c>
      <c r="F910" s="19">
        <v>2015</v>
      </c>
      <c r="G910" s="21">
        <v>0.61390339999999999</v>
      </c>
      <c r="H910" s="19" t="s">
        <v>3216</v>
      </c>
      <c r="I910" s="19" t="s">
        <v>951</v>
      </c>
      <c r="J910" s="21">
        <v>0.61390339999999999</v>
      </c>
      <c r="K910" s="19" t="s">
        <v>3217</v>
      </c>
      <c r="L910" s="19" t="s">
        <v>3218</v>
      </c>
      <c r="M910" s="19" t="s">
        <v>3219</v>
      </c>
      <c r="N910" s="19" t="s">
        <v>3213</v>
      </c>
    </row>
    <row r="911" spans="1:14">
      <c r="A911" s="19" t="s">
        <v>249</v>
      </c>
      <c r="B911" s="19">
        <v>10</v>
      </c>
      <c r="C911" s="19" t="s">
        <v>3220</v>
      </c>
      <c r="D911" s="19" t="s">
        <v>3221</v>
      </c>
      <c r="E911" s="19" t="s">
        <v>855</v>
      </c>
      <c r="F911" s="19">
        <v>2016</v>
      </c>
      <c r="G911" s="21">
        <v>0.61202276</v>
      </c>
      <c r="H911" s="19" t="s">
        <v>3222</v>
      </c>
      <c r="I911" s="19" t="s">
        <v>951</v>
      </c>
      <c r="J911" s="21">
        <v>0.61202276</v>
      </c>
      <c r="K911" s="19" t="s">
        <v>3223</v>
      </c>
      <c r="L911" s="19" t="s">
        <v>3224</v>
      </c>
      <c r="M911" s="19" t="s">
        <v>3225</v>
      </c>
      <c r="N911" s="19" t="s">
        <v>3213</v>
      </c>
    </row>
    <row r="912" spans="1:14">
      <c r="A912" s="19" t="s">
        <v>249</v>
      </c>
      <c r="B912" s="19">
        <v>11</v>
      </c>
      <c r="C912" s="19" t="s">
        <v>3226</v>
      </c>
      <c r="D912" s="19" t="s">
        <v>3227</v>
      </c>
      <c r="E912" s="19" t="s">
        <v>855</v>
      </c>
      <c r="F912" s="19">
        <v>2016</v>
      </c>
      <c r="G912" s="21">
        <v>0.60861900000000002</v>
      </c>
      <c r="H912" s="19" t="s">
        <v>3228</v>
      </c>
      <c r="I912" s="19" t="s">
        <v>951</v>
      </c>
      <c r="J912" s="21">
        <v>0.60861900000000002</v>
      </c>
      <c r="K912" s="19" t="s">
        <v>3229</v>
      </c>
      <c r="L912" s="19" t="s">
        <v>3230</v>
      </c>
      <c r="M912" s="19" t="s">
        <v>3231</v>
      </c>
      <c r="N912" s="19" t="s">
        <v>3213</v>
      </c>
    </row>
    <row r="913" spans="1:14">
      <c r="A913" s="19" t="s">
        <v>249</v>
      </c>
      <c r="B913" s="19">
        <v>12</v>
      </c>
      <c r="C913" s="19" t="s">
        <v>3232</v>
      </c>
      <c r="D913" s="19" t="s">
        <v>3233</v>
      </c>
      <c r="E913" s="19" t="s">
        <v>855</v>
      </c>
      <c r="F913" s="19">
        <v>2022</v>
      </c>
      <c r="G913" s="21">
        <v>0.60830455999999999</v>
      </c>
      <c r="H913" s="19" t="s">
        <v>3234</v>
      </c>
      <c r="I913" s="19" t="s">
        <v>951</v>
      </c>
      <c r="J913" s="21">
        <v>0.60830455999999999</v>
      </c>
      <c r="K913" s="19" t="s">
        <v>3235</v>
      </c>
      <c r="L913" s="19" t="s">
        <v>3236</v>
      </c>
      <c r="M913" s="19" t="s">
        <v>3237</v>
      </c>
      <c r="N913" s="19" t="s">
        <v>3213</v>
      </c>
    </row>
    <row r="914" spans="1:14">
      <c r="A914" s="19" t="s">
        <v>249</v>
      </c>
      <c r="B914" s="19">
        <v>13</v>
      </c>
      <c r="C914" s="19" t="s">
        <v>3238</v>
      </c>
      <c r="D914" s="19" t="s">
        <v>3239</v>
      </c>
      <c r="E914" s="19" t="s">
        <v>855</v>
      </c>
      <c r="F914" s="19">
        <v>2022</v>
      </c>
      <c r="G914" s="21">
        <v>0.60799336000000004</v>
      </c>
      <c r="H914" s="19" t="s">
        <v>3240</v>
      </c>
      <c r="I914" s="19" t="s">
        <v>951</v>
      </c>
      <c r="J914" s="21">
        <v>0.60799336000000004</v>
      </c>
      <c r="K914" s="19" t="s">
        <v>3241</v>
      </c>
      <c r="L914" s="19" t="s">
        <v>3242</v>
      </c>
      <c r="M914" s="19" t="s">
        <v>3243</v>
      </c>
      <c r="N914" s="19" t="s">
        <v>3213</v>
      </c>
    </row>
    <row r="915" spans="1:14">
      <c r="A915" s="19" t="s">
        <v>249</v>
      </c>
      <c r="B915" s="19">
        <v>14</v>
      </c>
      <c r="C915" s="19" t="s">
        <v>3244</v>
      </c>
      <c r="D915" s="19" t="s">
        <v>3245</v>
      </c>
      <c r="E915" s="19" t="s">
        <v>855</v>
      </c>
      <c r="F915" s="19">
        <v>2016</v>
      </c>
      <c r="G915" s="21">
        <v>0.60786269999999998</v>
      </c>
      <c r="H915" s="19" t="s">
        <v>3246</v>
      </c>
      <c r="I915" s="19" t="s">
        <v>951</v>
      </c>
      <c r="J915" s="21">
        <v>0.60786269999999998</v>
      </c>
      <c r="K915" s="19" t="s">
        <v>3247</v>
      </c>
      <c r="L915" s="19" t="s">
        <v>3248</v>
      </c>
      <c r="M915" s="19" t="s">
        <v>3249</v>
      </c>
      <c r="N915" s="19" t="s">
        <v>3213</v>
      </c>
    </row>
    <row r="916" spans="1:14">
      <c r="A916" s="19" t="s">
        <v>249</v>
      </c>
      <c r="B916" s="19">
        <v>15</v>
      </c>
      <c r="C916" s="19" t="s">
        <v>3250</v>
      </c>
      <c r="D916" s="19" t="s">
        <v>3251</v>
      </c>
      <c r="E916" s="19" t="s">
        <v>855</v>
      </c>
      <c r="F916" s="19">
        <v>2016</v>
      </c>
      <c r="G916" s="21">
        <v>0.60686430000000002</v>
      </c>
      <c r="H916" s="19" t="s">
        <v>3252</v>
      </c>
      <c r="I916" s="19" t="s">
        <v>951</v>
      </c>
      <c r="J916" s="21">
        <v>0.60686430000000002</v>
      </c>
      <c r="K916" s="19" t="s">
        <v>3253</v>
      </c>
      <c r="L916" s="19" t="s">
        <v>3254</v>
      </c>
      <c r="M916" s="19" t="s">
        <v>3255</v>
      </c>
      <c r="N916" s="19" t="s">
        <v>3213</v>
      </c>
    </row>
    <row r="917" spans="1:14">
      <c r="A917" s="19" t="s">
        <v>249</v>
      </c>
      <c r="B917" s="19">
        <v>16</v>
      </c>
      <c r="C917" s="19" t="s">
        <v>3256</v>
      </c>
      <c r="D917" s="19" t="s">
        <v>3257</v>
      </c>
      <c r="E917" s="19" t="s">
        <v>855</v>
      </c>
      <c r="F917" s="19">
        <v>2022</v>
      </c>
      <c r="G917" s="21">
        <v>0.60685670000000003</v>
      </c>
      <c r="H917" s="19" t="s">
        <v>3258</v>
      </c>
      <c r="I917" s="19" t="s">
        <v>951</v>
      </c>
      <c r="J917" s="21">
        <v>0.60685670000000003</v>
      </c>
      <c r="K917" s="19" t="s">
        <v>3259</v>
      </c>
      <c r="L917" s="19" t="s">
        <v>3260</v>
      </c>
      <c r="M917" s="19" t="s">
        <v>3261</v>
      </c>
      <c r="N917" s="19" t="s">
        <v>3213</v>
      </c>
    </row>
    <row r="918" spans="1:14">
      <c r="A918" s="19" t="s">
        <v>249</v>
      </c>
      <c r="B918" s="19">
        <v>17</v>
      </c>
      <c r="C918" s="19" t="s">
        <v>3262</v>
      </c>
      <c r="D918" s="19" t="s">
        <v>3263</v>
      </c>
      <c r="E918" s="19" t="s">
        <v>855</v>
      </c>
      <c r="F918" s="19">
        <v>2017</v>
      </c>
      <c r="G918" s="21">
        <v>0.60370915999999997</v>
      </c>
      <c r="H918" s="19" t="s">
        <v>3264</v>
      </c>
      <c r="I918" s="19" t="s">
        <v>857</v>
      </c>
      <c r="J918" s="21">
        <v>0.60370915999999997</v>
      </c>
      <c r="K918" s="19" t="s">
        <v>3265</v>
      </c>
      <c r="L918" s="19" t="s">
        <v>3266</v>
      </c>
      <c r="M918" s="19"/>
      <c r="N918" s="19" t="s">
        <v>3267</v>
      </c>
    </row>
    <row r="919" spans="1:14">
      <c r="A919" s="19" t="s">
        <v>249</v>
      </c>
      <c r="B919" s="19">
        <v>18</v>
      </c>
      <c r="C919" s="19" t="s">
        <v>3268</v>
      </c>
      <c r="D919" s="19" t="s">
        <v>3269</v>
      </c>
      <c r="E919" s="19" t="s">
        <v>855</v>
      </c>
      <c r="F919" s="19">
        <v>2014</v>
      </c>
      <c r="G919" s="21">
        <v>0.60302279999999997</v>
      </c>
      <c r="H919" s="19" t="s">
        <v>3270</v>
      </c>
      <c r="I919" s="19" t="s">
        <v>857</v>
      </c>
      <c r="J919" s="21">
        <v>0.60302279999999997</v>
      </c>
      <c r="K919" s="19" t="s">
        <v>3271</v>
      </c>
      <c r="L919" s="19" t="s">
        <v>3272</v>
      </c>
      <c r="M919" s="19" t="s">
        <v>3273</v>
      </c>
      <c r="N919" s="19" t="s">
        <v>3267</v>
      </c>
    </row>
    <row r="920" spans="1:14">
      <c r="A920" s="19" t="s">
        <v>249</v>
      </c>
      <c r="B920" s="19">
        <v>19</v>
      </c>
      <c r="C920" s="19" t="s">
        <v>3274</v>
      </c>
      <c r="D920" s="19" t="s">
        <v>3275</v>
      </c>
      <c r="E920" s="19" t="s">
        <v>855</v>
      </c>
      <c r="F920" s="19">
        <v>2014</v>
      </c>
      <c r="G920" s="21">
        <v>0.60295750000000004</v>
      </c>
      <c r="H920" s="19" t="s">
        <v>3276</v>
      </c>
      <c r="I920" s="19" t="s">
        <v>951</v>
      </c>
      <c r="J920" s="21">
        <v>0.60295750000000004</v>
      </c>
      <c r="K920" s="19" t="s">
        <v>3277</v>
      </c>
      <c r="L920" s="19" t="s">
        <v>3278</v>
      </c>
      <c r="M920" s="19" t="s">
        <v>3279</v>
      </c>
      <c r="N920" s="19" t="s">
        <v>3280</v>
      </c>
    </row>
    <row r="921" spans="1:14">
      <c r="A921" s="19" t="s">
        <v>249</v>
      </c>
      <c r="B921" s="19">
        <v>20</v>
      </c>
      <c r="C921" s="19" t="s">
        <v>3281</v>
      </c>
      <c r="D921" s="19" t="s">
        <v>3282</v>
      </c>
      <c r="E921" s="19" t="s">
        <v>855</v>
      </c>
      <c r="F921" s="19">
        <v>2014</v>
      </c>
      <c r="G921" s="21">
        <v>0.60215759999999996</v>
      </c>
      <c r="H921" s="19" t="s">
        <v>3283</v>
      </c>
      <c r="I921" s="19" t="s">
        <v>951</v>
      </c>
      <c r="J921" s="21">
        <v>0.60215759999999996</v>
      </c>
      <c r="K921" s="19" t="s">
        <v>3284</v>
      </c>
      <c r="L921" s="19" t="s">
        <v>3285</v>
      </c>
      <c r="M921" s="19" t="s">
        <v>3286</v>
      </c>
      <c r="N921" s="19" t="s">
        <v>3280</v>
      </c>
    </row>
    <row r="922" spans="1:14">
      <c r="A922" s="19" t="s">
        <v>273</v>
      </c>
      <c r="B922" s="19">
        <v>1</v>
      </c>
      <c r="C922" s="19" t="s">
        <v>3287</v>
      </c>
      <c r="D922" s="19" t="s">
        <v>741</v>
      </c>
      <c r="E922" s="19" t="s">
        <v>855</v>
      </c>
      <c r="F922" s="19">
        <v>2022</v>
      </c>
      <c r="G922" s="21">
        <v>0.69611460000000003</v>
      </c>
      <c r="H922" s="19" t="s">
        <v>3288</v>
      </c>
      <c r="I922" s="19" t="s">
        <v>951</v>
      </c>
      <c r="J922" s="21">
        <v>0.69611460000000003</v>
      </c>
      <c r="K922" s="19" t="s">
        <v>3289</v>
      </c>
      <c r="L922" s="19" t="s">
        <v>3290</v>
      </c>
      <c r="M922" s="19" t="s">
        <v>3291</v>
      </c>
      <c r="N922" s="19" t="s">
        <v>1513</v>
      </c>
    </row>
    <row r="923" spans="1:14">
      <c r="A923" s="19" t="s">
        <v>273</v>
      </c>
      <c r="B923" s="19">
        <v>2</v>
      </c>
      <c r="C923" s="19" t="s">
        <v>3175</v>
      </c>
      <c r="D923" s="19" t="s">
        <v>733</v>
      </c>
      <c r="E923" s="19" t="s">
        <v>855</v>
      </c>
      <c r="F923" s="19">
        <v>2022</v>
      </c>
      <c r="G923" s="21">
        <v>0.68345040000000001</v>
      </c>
      <c r="H923" s="19" t="s">
        <v>3292</v>
      </c>
      <c r="I923" s="19" t="s">
        <v>951</v>
      </c>
      <c r="J923" s="21">
        <v>0.68345040000000001</v>
      </c>
      <c r="K923" s="19" t="s">
        <v>3293</v>
      </c>
      <c r="L923" s="19" t="s">
        <v>3294</v>
      </c>
      <c r="M923" s="19" t="s">
        <v>3295</v>
      </c>
      <c r="N923" s="19" t="s">
        <v>1000</v>
      </c>
    </row>
    <row r="924" spans="1:14">
      <c r="A924" s="19" t="s">
        <v>273</v>
      </c>
      <c r="B924" s="19">
        <v>3</v>
      </c>
      <c r="C924" s="19" t="s">
        <v>3207</v>
      </c>
      <c r="D924" s="19" t="s">
        <v>3208</v>
      </c>
      <c r="E924" s="19" t="s">
        <v>855</v>
      </c>
      <c r="F924" s="19">
        <v>2022</v>
      </c>
      <c r="G924" s="21">
        <v>0.68309699999999995</v>
      </c>
      <c r="H924" s="19" t="s">
        <v>3209</v>
      </c>
      <c r="I924" s="19" t="s">
        <v>951</v>
      </c>
      <c r="J924" s="21">
        <v>0.68309699999999995</v>
      </c>
      <c r="K924" s="19" t="s">
        <v>3210</v>
      </c>
      <c r="L924" s="19" t="s">
        <v>3211</v>
      </c>
      <c r="M924" s="19" t="s">
        <v>3212</v>
      </c>
      <c r="N924" s="19" t="s">
        <v>1000</v>
      </c>
    </row>
    <row r="925" spans="1:14">
      <c r="A925" s="19" t="s">
        <v>273</v>
      </c>
      <c r="B925" s="19">
        <v>4</v>
      </c>
      <c r="C925" s="19" t="s">
        <v>3191</v>
      </c>
      <c r="D925" s="19" t="s">
        <v>3192</v>
      </c>
      <c r="E925" s="19" t="s">
        <v>855</v>
      </c>
      <c r="F925" s="19">
        <v>2015</v>
      </c>
      <c r="G925" s="21">
        <v>0.68236920000000001</v>
      </c>
      <c r="H925" s="19" t="s">
        <v>3193</v>
      </c>
      <c r="I925" s="19" t="s">
        <v>951</v>
      </c>
      <c r="J925" s="21">
        <v>0.68236920000000001</v>
      </c>
      <c r="K925" s="19" t="s">
        <v>3194</v>
      </c>
      <c r="L925" s="19" t="s">
        <v>3195</v>
      </c>
      <c r="M925" s="19"/>
      <c r="N925" s="19" t="s">
        <v>1000</v>
      </c>
    </row>
    <row r="926" spans="1:14">
      <c r="A926" s="19" t="s">
        <v>273</v>
      </c>
      <c r="B926" s="19">
        <v>5</v>
      </c>
      <c r="C926" s="19" t="s">
        <v>3268</v>
      </c>
      <c r="D926" s="19" t="s">
        <v>3269</v>
      </c>
      <c r="E926" s="19" t="s">
        <v>855</v>
      </c>
      <c r="F926" s="19">
        <v>2014</v>
      </c>
      <c r="G926" s="21">
        <v>0.67532829999999999</v>
      </c>
      <c r="H926" s="19" t="s">
        <v>3270</v>
      </c>
      <c r="I926" s="19" t="s">
        <v>857</v>
      </c>
      <c r="J926" s="21">
        <v>0.67532829999999999</v>
      </c>
      <c r="K926" s="19" t="s">
        <v>3271</v>
      </c>
      <c r="L926" s="19" t="s">
        <v>3272</v>
      </c>
      <c r="M926" s="19" t="s">
        <v>3273</v>
      </c>
      <c r="N926" s="19" t="s">
        <v>861</v>
      </c>
    </row>
    <row r="927" spans="1:14">
      <c r="A927" s="19" t="s">
        <v>273</v>
      </c>
      <c r="B927" s="19">
        <v>6</v>
      </c>
      <c r="C927" s="19" t="s">
        <v>3244</v>
      </c>
      <c r="D927" s="19" t="s">
        <v>3245</v>
      </c>
      <c r="E927" s="19" t="s">
        <v>855</v>
      </c>
      <c r="F927" s="19">
        <v>2016</v>
      </c>
      <c r="G927" s="21">
        <v>0.67289719999999997</v>
      </c>
      <c r="H927" s="19" t="s">
        <v>3246</v>
      </c>
      <c r="I927" s="19" t="s">
        <v>951</v>
      </c>
      <c r="J927" s="21">
        <v>0.67289719999999997</v>
      </c>
      <c r="K927" s="19" t="s">
        <v>3247</v>
      </c>
      <c r="L927" s="19" t="s">
        <v>3248</v>
      </c>
      <c r="M927" s="19" t="s">
        <v>3249</v>
      </c>
      <c r="N927" s="19" t="s">
        <v>1019</v>
      </c>
    </row>
    <row r="928" spans="1:14">
      <c r="A928" s="19" t="s">
        <v>273</v>
      </c>
      <c r="B928" s="19">
        <v>7</v>
      </c>
      <c r="C928" s="19" t="s">
        <v>3202</v>
      </c>
      <c r="D928" s="19" t="s">
        <v>3203</v>
      </c>
      <c r="E928" s="19" t="s">
        <v>855</v>
      </c>
      <c r="F928" s="19">
        <v>2017</v>
      </c>
      <c r="G928" s="21">
        <v>0.67279637000000003</v>
      </c>
      <c r="H928" s="19" t="s">
        <v>3296</v>
      </c>
      <c r="I928" s="19" t="s">
        <v>951</v>
      </c>
      <c r="J928" s="21">
        <v>0.67279637000000003</v>
      </c>
      <c r="K928" s="19" t="s">
        <v>3297</v>
      </c>
      <c r="L928" s="19" t="s">
        <v>3298</v>
      </c>
      <c r="M928" s="19" t="s">
        <v>3299</v>
      </c>
      <c r="N928" s="19" t="s">
        <v>1019</v>
      </c>
    </row>
    <row r="929" spans="1:14">
      <c r="A929" s="19" t="s">
        <v>273</v>
      </c>
      <c r="B929" s="19">
        <v>8</v>
      </c>
      <c r="C929" s="19" t="s">
        <v>3196</v>
      </c>
      <c r="D929" s="19" t="s">
        <v>3197</v>
      </c>
      <c r="E929" s="19" t="s">
        <v>855</v>
      </c>
      <c r="F929" s="19">
        <v>2016</v>
      </c>
      <c r="G929" s="21">
        <v>0.66480004999999998</v>
      </c>
      <c r="H929" s="19" t="s">
        <v>3300</v>
      </c>
      <c r="I929" s="19" t="s">
        <v>951</v>
      </c>
      <c r="J929" s="21">
        <v>0.66480004999999998</v>
      </c>
      <c r="K929" s="19" t="s">
        <v>3301</v>
      </c>
      <c r="L929" s="19" t="s">
        <v>3302</v>
      </c>
      <c r="M929" s="19" t="s">
        <v>3303</v>
      </c>
      <c r="N929" s="19" t="s">
        <v>1103</v>
      </c>
    </row>
    <row r="930" spans="1:14">
      <c r="A930" s="19" t="s">
        <v>273</v>
      </c>
      <c r="B930" s="19">
        <v>9</v>
      </c>
      <c r="C930" s="19" t="s">
        <v>3304</v>
      </c>
      <c r="D930" s="19" t="s">
        <v>3305</v>
      </c>
      <c r="E930" s="19" t="s">
        <v>855</v>
      </c>
      <c r="F930" s="19">
        <v>2016</v>
      </c>
      <c r="G930" s="21">
        <v>0.65854250000000003</v>
      </c>
      <c r="H930" s="19" t="s">
        <v>3306</v>
      </c>
      <c r="I930" s="19" t="s">
        <v>951</v>
      </c>
      <c r="J930" s="21">
        <v>0.65854250000000003</v>
      </c>
      <c r="K930" s="19" t="s">
        <v>3307</v>
      </c>
      <c r="L930" s="19" t="s">
        <v>3308</v>
      </c>
      <c r="M930" s="19" t="s">
        <v>3309</v>
      </c>
      <c r="N930" s="19" t="s">
        <v>1103</v>
      </c>
    </row>
    <row r="931" spans="1:14">
      <c r="A931" s="19" t="s">
        <v>273</v>
      </c>
      <c r="B931" s="19">
        <v>10</v>
      </c>
      <c r="C931" s="19" t="s">
        <v>3220</v>
      </c>
      <c r="D931" s="19" t="s">
        <v>3221</v>
      </c>
      <c r="E931" s="19" t="s">
        <v>855</v>
      </c>
      <c r="F931" s="19">
        <v>2016</v>
      </c>
      <c r="G931" s="21">
        <v>0.65792525000000002</v>
      </c>
      <c r="H931" s="19" t="s">
        <v>3222</v>
      </c>
      <c r="I931" s="19" t="s">
        <v>951</v>
      </c>
      <c r="J931" s="21">
        <v>0.65792525000000002</v>
      </c>
      <c r="K931" s="19" t="s">
        <v>3223</v>
      </c>
      <c r="L931" s="19" t="s">
        <v>3224</v>
      </c>
      <c r="M931" s="19" t="s">
        <v>3225</v>
      </c>
      <c r="N931" s="19" t="s">
        <v>1103</v>
      </c>
    </row>
    <row r="932" spans="1:14">
      <c r="A932" s="19" t="s">
        <v>273</v>
      </c>
      <c r="B932" s="19">
        <v>11</v>
      </c>
      <c r="C932" s="19" t="s">
        <v>3232</v>
      </c>
      <c r="D932" s="19" t="s">
        <v>3233</v>
      </c>
      <c r="E932" s="19" t="s">
        <v>855</v>
      </c>
      <c r="F932" s="19">
        <v>2022</v>
      </c>
      <c r="G932" s="21">
        <v>0.65633520000000001</v>
      </c>
      <c r="H932" s="19" t="s">
        <v>3234</v>
      </c>
      <c r="I932" s="19" t="s">
        <v>951</v>
      </c>
      <c r="J932" s="21">
        <v>0.65633520000000001</v>
      </c>
      <c r="K932" s="19" t="s">
        <v>3235</v>
      </c>
      <c r="L932" s="19" t="s">
        <v>3236</v>
      </c>
      <c r="M932" s="19" t="s">
        <v>3237</v>
      </c>
      <c r="N932" s="19" t="s">
        <v>1103</v>
      </c>
    </row>
    <row r="933" spans="1:14">
      <c r="A933" s="19" t="s">
        <v>273</v>
      </c>
      <c r="B933" s="19">
        <v>12</v>
      </c>
      <c r="C933" s="19" t="s">
        <v>3214</v>
      </c>
      <c r="D933" s="19" t="s">
        <v>3215</v>
      </c>
      <c r="E933" s="19" t="s">
        <v>855</v>
      </c>
      <c r="F933" s="19">
        <v>2015</v>
      </c>
      <c r="G933" s="21">
        <v>0.65418279999999995</v>
      </c>
      <c r="H933" s="19" t="s">
        <v>3216</v>
      </c>
      <c r="I933" s="19" t="s">
        <v>951</v>
      </c>
      <c r="J933" s="21">
        <v>0.65418279999999995</v>
      </c>
      <c r="K933" s="19" t="s">
        <v>3217</v>
      </c>
      <c r="L933" s="19" t="s">
        <v>3218</v>
      </c>
      <c r="M933" s="19" t="s">
        <v>3219</v>
      </c>
      <c r="N933" s="19" t="s">
        <v>1238</v>
      </c>
    </row>
    <row r="934" spans="1:14">
      <c r="A934" s="19" t="s">
        <v>273</v>
      </c>
      <c r="B934" s="19">
        <v>13</v>
      </c>
      <c r="C934" s="19" t="s">
        <v>3310</v>
      </c>
      <c r="D934" s="19" t="s">
        <v>3311</v>
      </c>
      <c r="E934" s="19" t="s">
        <v>855</v>
      </c>
      <c r="F934" s="19">
        <v>2015</v>
      </c>
      <c r="G934" s="21">
        <v>0.65066880000000005</v>
      </c>
      <c r="H934" s="19" t="s">
        <v>3312</v>
      </c>
      <c r="I934" s="19" t="s">
        <v>951</v>
      </c>
      <c r="J934" s="21">
        <v>0.65066880000000005</v>
      </c>
      <c r="K934" s="19" t="s">
        <v>3313</v>
      </c>
      <c r="L934" s="19" t="s">
        <v>3314</v>
      </c>
      <c r="M934" s="19" t="s">
        <v>3315</v>
      </c>
      <c r="N934" s="19" t="s">
        <v>1238</v>
      </c>
    </row>
    <row r="935" spans="1:14">
      <c r="A935" s="19" t="s">
        <v>273</v>
      </c>
      <c r="B935" s="19">
        <v>14</v>
      </c>
      <c r="C935" s="19" t="s">
        <v>3316</v>
      </c>
      <c r="D935" s="19" t="s">
        <v>3317</v>
      </c>
      <c r="E935" s="19" t="s">
        <v>855</v>
      </c>
      <c r="F935" s="19">
        <v>2022</v>
      </c>
      <c r="G935" s="21">
        <v>0.64940290000000001</v>
      </c>
      <c r="H935" s="19" t="s">
        <v>3318</v>
      </c>
      <c r="I935" s="19" t="s">
        <v>951</v>
      </c>
      <c r="J935" s="21">
        <v>0.64940290000000001</v>
      </c>
      <c r="K935" s="19" t="s">
        <v>3319</v>
      </c>
      <c r="L935" s="19" t="s">
        <v>3320</v>
      </c>
      <c r="M935" s="19" t="s">
        <v>3321</v>
      </c>
      <c r="N935" s="19" t="s">
        <v>1238</v>
      </c>
    </row>
    <row r="936" spans="1:14">
      <c r="A936" s="19" t="s">
        <v>273</v>
      </c>
      <c r="B936" s="19">
        <v>15</v>
      </c>
      <c r="C936" s="19" t="s">
        <v>3322</v>
      </c>
      <c r="D936" s="19" t="s">
        <v>3323</v>
      </c>
      <c r="E936" s="19" t="s">
        <v>855</v>
      </c>
      <c r="F936" s="19">
        <v>2014</v>
      </c>
      <c r="G936" s="21">
        <v>0.6485284</v>
      </c>
      <c r="H936" s="19" t="s">
        <v>3324</v>
      </c>
      <c r="I936" s="19" t="s">
        <v>951</v>
      </c>
      <c r="J936" s="21">
        <v>0.6485284</v>
      </c>
      <c r="K936" s="19" t="s">
        <v>3325</v>
      </c>
      <c r="L936" s="19" t="s">
        <v>3326</v>
      </c>
      <c r="M936" s="19"/>
      <c r="N936" s="19" t="s">
        <v>1238</v>
      </c>
    </row>
    <row r="937" spans="1:14">
      <c r="A937" s="19" t="s">
        <v>273</v>
      </c>
      <c r="B937" s="19">
        <v>16</v>
      </c>
      <c r="C937" s="19" t="s">
        <v>3327</v>
      </c>
      <c r="D937" s="19" t="s">
        <v>3328</v>
      </c>
      <c r="E937" s="19" t="s">
        <v>855</v>
      </c>
      <c r="F937" s="19">
        <v>2014</v>
      </c>
      <c r="G937" s="21">
        <v>0.64824957000000005</v>
      </c>
      <c r="H937" s="19" t="s">
        <v>3329</v>
      </c>
      <c r="I937" s="19" t="s">
        <v>951</v>
      </c>
      <c r="J937" s="21">
        <v>0.64824957000000005</v>
      </c>
      <c r="K937" s="19" t="s">
        <v>3330</v>
      </c>
      <c r="L937" s="19" t="s">
        <v>3331</v>
      </c>
      <c r="M937" s="19" t="s">
        <v>3332</v>
      </c>
      <c r="N937" s="19" t="s">
        <v>1238</v>
      </c>
    </row>
    <row r="938" spans="1:14">
      <c r="A938" s="19" t="s">
        <v>273</v>
      </c>
      <c r="B938" s="19">
        <v>17</v>
      </c>
      <c r="C938" s="19" t="s">
        <v>3274</v>
      </c>
      <c r="D938" s="19" t="s">
        <v>3275</v>
      </c>
      <c r="E938" s="19" t="s">
        <v>855</v>
      </c>
      <c r="F938" s="19">
        <v>2014</v>
      </c>
      <c r="G938" s="21">
        <v>0.64780824999999997</v>
      </c>
      <c r="H938" s="19" t="s">
        <v>3276</v>
      </c>
      <c r="I938" s="19" t="s">
        <v>951</v>
      </c>
      <c r="J938" s="21">
        <v>0.64780824999999997</v>
      </c>
      <c r="K938" s="19" t="s">
        <v>3277</v>
      </c>
      <c r="L938" s="19" t="s">
        <v>3278</v>
      </c>
      <c r="M938" s="19" t="s">
        <v>3279</v>
      </c>
      <c r="N938" s="19" t="s">
        <v>1238</v>
      </c>
    </row>
    <row r="939" spans="1:14">
      <c r="A939" s="19" t="s">
        <v>273</v>
      </c>
      <c r="B939" s="19">
        <v>18</v>
      </c>
      <c r="C939" s="19" t="s">
        <v>3281</v>
      </c>
      <c r="D939" s="19" t="s">
        <v>3282</v>
      </c>
      <c r="E939" s="19" t="s">
        <v>855</v>
      </c>
      <c r="F939" s="19">
        <v>2014</v>
      </c>
      <c r="G939" s="21">
        <v>0.6443316</v>
      </c>
      <c r="H939" s="19" t="s">
        <v>3283</v>
      </c>
      <c r="I939" s="19" t="s">
        <v>951</v>
      </c>
      <c r="J939" s="21">
        <v>0.6443316</v>
      </c>
      <c r="K939" s="19" t="s">
        <v>3284</v>
      </c>
      <c r="L939" s="19" t="s">
        <v>3285</v>
      </c>
      <c r="M939" s="19" t="s">
        <v>3286</v>
      </c>
      <c r="N939" s="19" t="s">
        <v>1580</v>
      </c>
    </row>
    <row r="940" spans="1:14">
      <c r="A940" s="19" t="s">
        <v>273</v>
      </c>
      <c r="B940" s="19">
        <v>19</v>
      </c>
      <c r="C940" s="19" t="s">
        <v>3333</v>
      </c>
      <c r="D940" s="19" t="s">
        <v>3334</v>
      </c>
      <c r="E940" s="19" t="s">
        <v>855</v>
      </c>
      <c r="F940" s="19">
        <v>2014</v>
      </c>
      <c r="G940" s="21">
        <v>0.64419159999999998</v>
      </c>
      <c r="H940" s="19" t="s">
        <v>3335</v>
      </c>
      <c r="I940" s="19" t="s">
        <v>951</v>
      </c>
      <c r="J940" s="21">
        <v>0.64419159999999998</v>
      </c>
      <c r="K940" s="19" t="s">
        <v>3336</v>
      </c>
      <c r="L940" s="19" t="s">
        <v>3337</v>
      </c>
      <c r="M940" s="19" t="s">
        <v>3338</v>
      </c>
      <c r="N940" s="19" t="s">
        <v>1580</v>
      </c>
    </row>
    <row r="941" spans="1:14">
      <c r="A941" s="19" t="s">
        <v>273</v>
      </c>
      <c r="B941" s="19">
        <v>20</v>
      </c>
      <c r="C941" s="19" t="s">
        <v>3250</v>
      </c>
      <c r="D941" s="19" t="s">
        <v>3251</v>
      </c>
      <c r="E941" s="19" t="s">
        <v>855</v>
      </c>
      <c r="F941" s="19">
        <v>2016</v>
      </c>
      <c r="G941" s="21">
        <v>0.64409340000000004</v>
      </c>
      <c r="H941" s="19" t="s">
        <v>3252</v>
      </c>
      <c r="I941" s="19" t="s">
        <v>951</v>
      </c>
      <c r="J941" s="21">
        <v>0.64409340000000004</v>
      </c>
      <c r="K941" s="19" t="s">
        <v>3253</v>
      </c>
      <c r="L941" s="19" t="s">
        <v>3254</v>
      </c>
      <c r="M941" s="19" t="s">
        <v>3255</v>
      </c>
      <c r="N941" s="19" t="s">
        <v>1580</v>
      </c>
    </row>
    <row r="942" spans="1:14">
      <c r="A942" s="19" t="s">
        <v>554</v>
      </c>
      <c r="B942" s="19">
        <v>1</v>
      </c>
      <c r="C942" s="19" t="s">
        <v>912</v>
      </c>
      <c r="D942" s="19" t="s">
        <v>832</v>
      </c>
      <c r="E942" s="19" t="s">
        <v>855</v>
      </c>
      <c r="F942" s="19">
        <v>2022</v>
      </c>
      <c r="G942" s="21">
        <v>0.74600875</v>
      </c>
      <c r="H942" s="19" t="s">
        <v>3339</v>
      </c>
      <c r="I942" s="19" t="s">
        <v>951</v>
      </c>
      <c r="J942" s="21">
        <v>0.74600875</v>
      </c>
      <c r="K942" s="19" t="s">
        <v>3340</v>
      </c>
      <c r="L942" s="19" t="s">
        <v>3341</v>
      </c>
      <c r="M942" s="19" t="s">
        <v>3342</v>
      </c>
      <c r="N942" s="19" t="s">
        <v>3023</v>
      </c>
    </row>
    <row r="943" spans="1:14">
      <c r="A943" s="19" t="s">
        <v>554</v>
      </c>
      <c r="B943" s="19">
        <v>2</v>
      </c>
      <c r="C943" s="19" t="s">
        <v>3343</v>
      </c>
      <c r="D943" s="19" t="s">
        <v>3344</v>
      </c>
      <c r="E943" s="19" t="s">
        <v>855</v>
      </c>
      <c r="F943" s="19">
        <v>2022</v>
      </c>
      <c r="G943" s="21">
        <v>0.74175069999999999</v>
      </c>
      <c r="H943" s="19" t="s">
        <v>3345</v>
      </c>
      <c r="I943" s="19" t="s">
        <v>925</v>
      </c>
      <c r="J943" s="21">
        <v>0.74175069999999999</v>
      </c>
      <c r="K943" s="19" t="s">
        <v>3346</v>
      </c>
      <c r="L943" s="19" t="s">
        <v>3347</v>
      </c>
      <c r="M943" s="19" t="s">
        <v>3348</v>
      </c>
      <c r="N943" s="19" t="s">
        <v>3349</v>
      </c>
    </row>
    <row r="944" spans="1:14">
      <c r="A944" s="19" t="s">
        <v>554</v>
      </c>
      <c r="B944" s="19">
        <v>3</v>
      </c>
      <c r="C944" s="19" t="s">
        <v>3350</v>
      </c>
      <c r="D944" s="19" t="s">
        <v>3351</v>
      </c>
      <c r="E944" s="19" t="s">
        <v>855</v>
      </c>
      <c r="F944" s="19">
        <v>2015</v>
      </c>
      <c r="G944" s="21">
        <v>0.74094550000000003</v>
      </c>
      <c r="H944" s="19" t="s">
        <v>3352</v>
      </c>
      <c r="I944" s="19" t="s">
        <v>857</v>
      </c>
      <c r="J944" s="21">
        <v>0.74094550000000003</v>
      </c>
      <c r="K944" s="19" t="s">
        <v>3353</v>
      </c>
      <c r="L944" s="19" t="s">
        <v>3354</v>
      </c>
      <c r="M944" s="19"/>
      <c r="N944" s="19" t="s">
        <v>2600</v>
      </c>
    </row>
    <row r="945" spans="1:14">
      <c r="A945" s="19" t="s">
        <v>554</v>
      </c>
      <c r="B945" s="19">
        <v>4</v>
      </c>
      <c r="C945" s="19" t="s">
        <v>3355</v>
      </c>
      <c r="D945" s="19" t="s">
        <v>3356</v>
      </c>
      <c r="E945" s="19" t="s">
        <v>855</v>
      </c>
      <c r="F945" s="19">
        <v>2015</v>
      </c>
      <c r="G945" s="21">
        <v>0.71455972999999995</v>
      </c>
      <c r="H945" s="19" t="s">
        <v>3357</v>
      </c>
      <c r="I945" s="19" t="s">
        <v>1130</v>
      </c>
      <c r="J945" s="21">
        <v>0.71455972999999995</v>
      </c>
      <c r="K945" s="19" t="s">
        <v>3358</v>
      </c>
      <c r="L945" s="19" t="s">
        <v>3359</v>
      </c>
      <c r="M945" s="19"/>
      <c r="N945" s="19" t="s">
        <v>2935</v>
      </c>
    </row>
    <row r="946" spans="1:14">
      <c r="A946" s="19" t="s">
        <v>554</v>
      </c>
      <c r="B946" s="19">
        <v>5</v>
      </c>
      <c r="C946" s="19" t="s">
        <v>3360</v>
      </c>
      <c r="D946" s="19" t="s">
        <v>3361</v>
      </c>
      <c r="E946" s="19" t="s">
        <v>855</v>
      </c>
      <c r="F946" s="19">
        <v>2014</v>
      </c>
      <c r="G946" s="21">
        <v>0.70139929999999995</v>
      </c>
      <c r="H946" s="19" t="s">
        <v>3362</v>
      </c>
      <c r="I946" s="19" t="s">
        <v>951</v>
      </c>
      <c r="J946" s="21">
        <v>0.70139929999999995</v>
      </c>
      <c r="K946" s="19" t="s">
        <v>3363</v>
      </c>
      <c r="L946" s="19" t="s">
        <v>3364</v>
      </c>
      <c r="M946" s="19" t="s">
        <v>3365</v>
      </c>
      <c r="N946" s="19" t="s">
        <v>1513</v>
      </c>
    </row>
    <row r="947" spans="1:14">
      <c r="A947" s="19" t="s">
        <v>554</v>
      </c>
      <c r="B947" s="19">
        <v>6</v>
      </c>
      <c r="C947" s="19" t="s">
        <v>3366</v>
      </c>
      <c r="D947" s="19" t="s">
        <v>3367</v>
      </c>
      <c r="E947" s="19" t="s">
        <v>855</v>
      </c>
      <c r="F947" s="19">
        <v>2015</v>
      </c>
      <c r="G947" s="21">
        <v>0.69352849999999999</v>
      </c>
      <c r="H947" s="19" t="s">
        <v>3368</v>
      </c>
      <c r="I947" s="19" t="s">
        <v>951</v>
      </c>
      <c r="J947" s="21">
        <v>0.69352849999999999</v>
      </c>
      <c r="K947" s="19" t="s">
        <v>3369</v>
      </c>
      <c r="L947" s="19" t="s">
        <v>3370</v>
      </c>
      <c r="M947" s="19" t="s">
        <v>3371</v>
      </c>
      <c r="N947" s="19" t="s">
        <v>993</v>
      </c>
    </row>
    <row r="948" spans="1:14">
      <c r="A948" s="19" t="s">
        <v>554</v>
      </c>
      <c r="B948" s="19">
        <v>7</v>
      </c>
      <c r="C948" s="19" t="s">
        <v>3372</v>
      </c>
      <c r="D948" s="19" t="s">
        <v>3373</v>
      </c>
      <c r="E948" s="19" t="s">
        <v>855</v>
      </c>
      <c r="F948" s="19">
        <v>2014</v>
      </c>
      <c r="G948" s="21">
        <v>0.69283070000000002</v>
      </c>
      <c r="H948" s="19" t="s">
        <v>3374</v>
      </c>
      <c r="I948" s="19" t="s">
        <v>857</v>
      </c>
      <c r="J948" s="21">
        <v>0.69283070000000002</v>
      </c>
      <c r="K948" s="19" t="s">
        <v>3375</v>
      </c>
      <c r="L948" s="19" t="s">
        <v>3376</v>
      </c>
      <c r="M948" s="19"/>
      <c r="N948" s="19" t="s">
        <v>1409</v>
      </c>
    </row>
    <row r="949" spans="1:14">
      <c r="A949" s="19" t="s">
        <v>554</v>
      </c>
      <c r="B949" s="19">
        <v>8</v>
      </c>
      <c r="C949" s="19" t="s">
        <v>3377</v>
      </c>
      <c r="D949" s="19" t="s">
        <v>3378</v>
      </c>
      <c r="E949" s="19" t="s">
        <v>855</v>
      </c>
      <c r="F949" s="19">
        <v>2015</v>
      </c>
      <c r="G949" s="21">
        <v>0.66389715999999999</v>
      </c>
      <c r="H949" s="19" t="s">
        <v>3379</v>
      </c>
      <c r="I949" s="19" t="s">
        <v>951</v>
      </c>
      <c r="J949" s="21">
        <v>0.66389715999999999</v>
      </c>
      <c r="K949" s="19" t="s">
        <v>3380</v>
      </c>
      <c r="L949" s="19" t="s">
        <v>3381</v>
      </c>
      <c r="M949" s="19" t="s">
        <v>3382</v>
      </c>
      <c r="N949" s="19" t="s">
        <v>1103</v>
      </c>
    </row>
    <row r="950" spans="1:14">
      <c r="A950" s="19" t="s">
        <v>554</v>
      </c>
      <c r="B950" s="19">
        <v>9</v>
      </c>
      <c r="C950" s="19" t="s">
        <v>3383</v>
      </c>
      <c r="D950" s="19" t="s">
        <v>3384</v>
      </c>
      <c r="E950" s="19" t="s">
        <v>855</v>
      </c>
      <c r="F950" s="19">
        <v>2016</v>
      </c>
      <c r="G950" s="21">
        <v>0.66181029999999996</v>
      </c>
      <c r="H950" s="19" t="s">
        <v>3385</v>
      </c>
      <c r="I950" s="19" t="s">
        <v>951</v>
      </c>
      <c r="J950" s="21">
        <v>0.66181029999999996</v>
      </c>
      <c r="K950" s="19" t="s">
        <v>3386</v>
      </c>
      <c r="L950" s="19" t="s">
        <v>3387</v>
      </c>
      <c r="M950" s="19" t="s">
        <v>3388</v>
      </c>
      <c r="N950" s="19" t="s">
        <v>1103</v>
      </c>
    </row>
    <row r="951" spans="1:14">
      <c r="A951" s="19" t="s">
        <v>554</v>
      </c>
      <c r="B951" s="19">
        <v>10</v>
      </c>
      <c r="C951" s="19" t="s">
        <v>3389</v>
      </c>
      <c r="D951" s="19" t="s">
        <v>3390</v>
      </c>
      <c r="E951" s="19" t="s">
        <v>855</v>
      </c>
      <c r="F951" s="19">
        <v>2022</v>
      </c>
      <c r="G951" s="21">
        <v>0.65471449999999998</v>
      </c>
      <c r="H951" s="19" t="s">
        <v>3391</v>
      </c>
      <c r="I951" s="19" t="s">
        <v>857</v>
      </c>
      <c r="J951" s="21">
        <v>0.65471449999999998</v>
      </c>
      <c r="K951" s="19" t="s">
        <v>3392</v>
      </c>
      <c r="L951" s="19" t="s">
        <v>3393</v>
      </c>
      <c r="M951" s="19" t="s">
        <v>3394</v>
      </c>
      <c r="N951" s="19" t="s">
        <v>1263</v>
      </c>
    </row>
    <row r="952" spans="1:14">
      <c r="A952" s="19" t="s">
        <v>554</v>
      </c>
      <c r="B952" s="19">
        <v>11</v>
      </c>
      <c r="C952" s="19" t="s">
        <v>3395</v>
      </c>
      <c r="D952" s="19" t="s">
        <v>3396</v>
      </c>
      <c r="E952" s="19" t="s">
        <v>855</v>
      </c>
      <c r="F952" s="19">
        <v>2014</v>
      </c>
      <c r="G952" s="21">
        <v>0.65417886000000003</v>
      </c>
      <c r="H952" s="19" t="s">
        <v>3397</v>
      </c>
      <c r="I952" s="19" t="s">
        <v>857</v>
      </c>
      <c r="J952" s="21">
        <v>0.65417886000000003</v>
      </c>
      <c r="K952" s="19" t="s">
        <v>3398</v>
      </c>
      <c r="L952" s="19" t="s">
        <v>3399</v>
      </c>
      <c r="M952" s="19"/>
      <c r="N952" s="19" t="s">
        <v>1263</v>
      </c>
    </row>
    <row r="953" spans="1:14">
      <c r="A953" s="19" t="s">
        <v>554</v>
      </c>
      <c r="B953" s="19">
        <v>12</v>
      </c>
      <c r="C953" s="19" t="s">
        <v>3400</v>
      </c>
      <c r="D953" s="19" t="s">
        <v>3401</v>
      </c>
      <c r="E953" s="19" t="s">
        <v>855</v>
      </c>
      <c r="F953" s="19">
        <v>2016</v>
      </c>
      <c r="G953" s="21">
        <v>0.65368340000000003</v>
      </c>
      <c r="H953" s="19" t="s">
        <v>3402</v>
      </c>
      <c r="I953" s="19" t="s">
        <v>951</v>
      </c>
      <c r="J953" s="21">
        <v>0.65368340000000003</v>
      </c>
      <c r="K953" s="19" t="s">
        <v>3403</v>
      </c>
      <c r="L953" s="19" t="s">
        <v>3404</v>
      </c>
      <c r="M953" s="19" t="s">
        <v>3405</v>
      </c>
      <c r="N953" s="19" t="s">
        <v>1238</v>
      </c>
    </row>
    <row r="954" spans="1:14">
      <c r="A954" s="19" t="s">
        <v>554</v>
      </c>
      <c r="B954" s="19">
        <v>13</v>
      </c>
      <c r="C954" s="19" t="s">
        <v>2800</v>
      </c>
      <c r="D954" s="19" t="s">
        <v>2801</v>
      </c>
      <c r="E954" s="19" t="s">
        <v>855</v>
      </c>
      <c r="F954" s="19">
        <v>2023</v>
      </c>
      <c r="G954" s="21">
        <v>0.65145682999999999</v>
      </c>
      <c r="H954" s="19" t="s">
        <v>2802</v>
      </c>
      <c r="I954" s="19" t="s">
        <v>951</v>
      </c>
      <c r="J954" s="21">
        <v>0.65145682999999999</v>
      </c>
      <c r="K954" s="19" t="s">
        <v>2803</v>
      </c>
      <c r="L954" s="19" t="s">
        <v>2804</v>
      </c>
      <c r="M954" s="19" t="s">
        <v>2805</v>
      </c>
      <c r="N954" s="19" t="s">
        <v>1238</v>
      </c>
    </row>
    <row r="955" spans="1:14">
      <c r="A955" s="19" t="s">
        <v>554</v>
      </c>
      <c r="B955" s="19">
        <v>14</v>
      </c>
      <c r="C955" s="19" t="s">
        <v>3406</v>
      </c>
      <c r="D955" s="19" t="s">
        <v>3407</v>
      </c>
      <c r="E955" s="19" t="s">
        <v>855</v>
      </c>
      <c r="F955" s="19">
        <v>2016</v>
      </c>
      <c r="G955" s="21">
        <v>0.65099600000000002</v>
      </c>
      <c r="H955" s="19" t="s">
        <v>3408</v>
      </c>
      <c r="I955" s="19" t="s">
        <v>951</v>
      </c>
      <c r="J955" s="21">
        <v>0.65099600000000002</v>
      </c>
      <c r="K955" s="19" t="s">
        <v>3409</v>
      </c>
      <c r="L955" s="19" t="s">
        <v>3410</v>
      </c>
      <c r="M955" s="19" t="s">
        <v>3411</v>
      </c>
      <c r="N955" s="19" t="s">
        <v>1238</v>
      </c>
    </row>
    <row r="956" spans="1:14">
      <c r="A956" s="19" t="s">
        <v>554</v>
      </c>
      <c r="B956" s="19">
        <v>15</v>
      </c>
      <c r="C956" s="19" t="s">
        <v>3322</v>
      </c>
      <c r="D956" s="19" t="s">
        <v>3323</v>
      </c>
      <c r="E956" s="19" t="s">
        <v>855</v>
      </c>
      <c r="F956" s="19">
        <v>2014</v>
      </c>
      <c r="G956" s="21">
        <v>0.6425476</v>
      </c>
      <c r="H956" s="19" t="s">
        <v>3412</v>
      </c>
      <c r="I956" s="19" t="s">
        <v>1130</v>
      </c>
      <c r="J956" s="21">
        <v>0.6425476</v>
      </c>
      <c r="K956" s="19" t="s">
        <v>3413</v>
      </c>
      <c r="L956" s="19" t="s">
        <v>3414</v>
      </c>
      <c r="M956" s="19"/>
      <c r="N956" s="19" t="s">
        <v>1599</v>
      </c>
    </row>
    <row r="957" spans="1:14">
      <c r="A957" s="19" t="s">
        <v>554</v>
      </c>
      <c r="B957" s="19">
        <v>16</v>
      </c>
      <c r="C957" s="19" t="s">
        <v>3415</v>
      </c>
      <c r="D957" s="19" t="s">
        <v>3416</v>
      </c>
      <c r="E957" s="19" t="s">
        <v>855</v>
      </c>
      <c r="F957" s="19">
        <v>2022</v>
      </c>
      <c r="G957" s="21">
        <v>0.64238565999999997</v>
      </c>
      <c r="H957" s="19" t="s">
        <v>3417</v>
      </c>
      <c r="I957" s="19" t="s">
        <v>857</v>
      </c>
      <c r="J957" s="21">
        <v>0.64238565999999997</v>
      </c>
      <c r="K957" s="19" t="s">
        <v>3418</v>
      </c>
      <c r="L957" s="19" t="s">
        <v>3419</v>
      </c>
      <c r="M957" s="19" t="s">
        <v>3420</v>
      </c>
      <c r="N957" s="19" t="s">
        <v>940</v>
      </c>
    </row>
    <row r="958" spans="1:14">
      <c r="A958" s="19" t="s">
        <v>554</v>
      </c>
      <c r="B958" s="19">
        <v>17</v>
      </c>
      <c r="C958" s="19" t="s">
        <v>3421</v>
      </c>
      <c r="D958" s="19" t="s">
        <v>3422</v>
      </c>
      <c r="E958" s="19" t="s">
        <v>855</v>
      </c>
      <c r="F958" s="19">
        <v>2023</v>
      </c>
      <c r="G958" s="21">
        <v>0.64087720000000004</v>
      </c>
      <c r="H958" s="19" t="s">
        <v>3423</v>
      </c>
      <c r="I958" s="19" t="s">
        <v>865</v>
      </c>
      <c r="J958" s="21">
        <v>0.64087720000000004</v>
      </c>
      <c r="K958" s="19" t="s">
        <v>3424</v>
      </c>
      <c r="L958" s="19" t="s">
        <v>3425</v>
      </c>
      <c r="M958" s="19"/>
      <c r="N958" s="19" t="s">
        <v>934</v>
      </c>
    </row>
    <row r="959" spans="1:14">
      <c r="A959" s="19" t="s">
        <v>554</v>
      </c>
      <c r="B959" s="19">
        <v>18</v>
      </c>
      <c r="C959" s="19" t="s">
        <v>2742</v>
      </c>
      <c r="D959" s="19" t="s">
        <v>2743</v>
      </c>
      <c r="E959" s="19" t="s">
        <v>855</v>
      </c>
      <c r="F959" s="19">
        <v>2023</v>
      </c>
      <c r="G959" s="21">
        <v>0.63399433999999999</v>
      </c>
      <c r="H959" s="19" t="s">
        <v>3426</v>
      </c>
      <c r="I959" s="19" t="s">
        <v>865</v>
      </c>
      <c r="J959" s="21">
        <v>0.63399433999999999</v>
      </c>
      <c r="K959" s="19" t="s">
        <v>3427</v>
      </c>
      <c r="L959" s="19" t="s">
        <v>3428</v>
      </c>
      <c r="M959" s="19"/>
      <c r="N959" s="19" t="s">
        <v>1251</v>
      </c>
    </row>
    <row r="960" spans="1:14">
      <c r="A960" s="19" t="s">
        <v>554</v>
      </c>
      <c r="B960" s="19">
        <v>19</v>
      </c>
      <c r="C960" s="19" t="s">
        <v>3429</v>
      </c>
      <c r="D960" s="19" t="s">
        <v>3430</v>
      </c>
      <c r="E960" s="19" t="s">
        <v>855</v>
      </c>
      <c r="F960" s="19">
        <v>2014</v>
      </c>
      <c r="G960" s="21">
        <v>0.63251924999999998</v>
      </c>
      <c r="H960" s="19" t="s">
        <v>3431</v>
      </c>
      <c r="I960" s="19" t="s">
        <v>925</v>
      </c>
      <c r="J960" s="21">
        <v>0.63251924999999998</v>
      </c>
      <c r="K960" s="19" t="s">
        <v>3432</v>
      </c>
      <c r="L960" s="19" t="s">
        <v>3433</v>
      </c>
      <c r="M960" s="19"/>
      <c r="N960" s="19" t="s">
        <v>1297</v>
      </c>
    </row>
    <row r="961" spans="1:14">
      <c r="A961" s="19" t="s">
        <v>554</v>
      </c>
      <c r="B961" s="19">
        <v>20</v>
      </c>
      <c r="C961" s="19" t="s">
        <v>3434</v>
      </c>
      <c r="D961" s="19" t="s">
        <v>3435</v>
      </c>
      <c r="E961" s="19" t="s">
        <v>855</v>
      </c>
      <c r="F961" s="19">
        <v>2016</v>
      </c>
      <c r="G961" s="21">
        <v>0.63104093000000006</v>
      </c>
      <c r="H961" s="19" t="s">
        <v>3436</v>
      </c>
      <c r="I961" s="19" t="s">
        <v>857</v>
      </c>
      <c r="J961" s="21">
        <v>0.63104093000000006</v>
      </c>
      <c r="K961" s="19" t="s">
        <v>3437</v>
      </c>
      <c r="L961" s="19" t="s">
        <v>3438</v>
      </c>
      <c r="M961" s="19"/>
      <c r="N961" s="19" t="s">
        <v>1315</v>
      </c>
    </row>
    <row r="962" spans="1:14">
      <c r="A962" s="19" t="s">
        <v>564</v>
      </c>
      <c r="B962" s="19">
        <v>1</v>
      </c>
      <c r="C962" s="19" t="s">
        <v>912</v>
      </c>
      <c r="D962" s="19" t="s">
        <v>832</v>
      </c>
      <c r="E962" s="19" t="s">
        <v>855</v>
      </c>
      <c r="F962" s="19">
        <v>2022</v>
      </c>
      <c r="G962" s="21">
        <v>0.74600875</v>
      </c>
      <c r="H962" s="19" t="s">
        <v>3339</v>
      </c>
      <c r="I962" s="19" t="s">
        <v>951</v>
      </c>
      <c r="J962" s="21">
        <v>0.74600875</v>
      </c>
      <c r="K962" s="19" t="s">
        <v>3340</v>
      </c>
      <c r="L962" s="19" t="s">
        <v>3341</v>
      </c>
      <c r="M962" s="19" t="s">
        <v>3342</v>
      </c>
      <c r="N962" s="19" t="s">
        <v>3023</v>
      </c>
    </row>
    <row r="963" spans="1:14">
      <c r="A963" s="19" t="s">
        <v>564</v>
      </c>
      <c r="B963" s="19">
        <v>2</v>
      </c>
      <c r="C963" s="19" t="s">
        <v>3343</v>
      </c>
      <c r="D963" s="19" t="s">
        <v>3344</v>
      </c>
      <c r="E963" s="19" t="s">
        <v>855</v>
      </c>
      <c r="F963" s="19">
        <v>2022</v>
      </c>
      <c r="G963" s="21">
        <v>0.74175069999999999</v>
      </c>
      <c r="H963" s="19" t="s">
        <v>3345</v>
      </c>
      <c r="I963" s="19" t="s">
        <v>925</v>
      </c>
      <c r="J963" s="21">
        <v>0.74175069999999999</v>
      </c>
      <c r="K963" s="19" t="s">
        <v>3346</v>
      </c>
      <c r="L963" s="19" t="s">
        <v>3347</v>
      </c>
      <c r="M963" s="19" t="s">
        <v>3348</v>
      </c>
      <c r="N963" s="19" t="s">
        <v>3349</v>
      </c>
    </row>
    <row r="964" spans="1:14">
      <c r="A964" s="19" t="s">
        <v>564</v>
      </c>
      <c r="B964" s="19">
        <v>3</v>
      </c>
      <c r="C964" s="19" t="s">
        <v>3350</v>
      </c>
      <c r="D964" s="19" t="s">
        <v>3351</v>
      </c>
      <c r="E964" s="19" t="s">
        <v>855</v>
      </c>
      <c r="F964" s="19">
        <v>2015</v>
      </c>
      <c r="G964" s="21">
        <v>0.74088012999999997</v>
      </c>
      <c r="H964" s="19" t="s">
        <v>3352</v>
      </c>
      <c r="I964" s="19" t="s">
        <v>857</v>
      </c>
      <c r="J964" s="21">
        <v>0.74088012999999997</v>
      </c>
      <c r="K964" s="19" t="s">
        <v>3353</v>
      </c>
      <c r="L964" s="19" t="s">
        <v>3354</v>
      </c>
      <c r="M964" s="19"/>
      <c r="N964" s="19" t="s">
        <v>2600</v>
      </c>
    </row>
    <row r="965" spans="1:14">
      <c r="A965" s="19" t="s">
        <v>564</v>
      </c>
      <c r="B965" s="19">
        <v>4</v>
      </c>
      <c r="C965" s="19" t="s">
        <v>3355</v>
      </c>
      <c r="D965" s="19" t="s">
        <v>3356</v>
      </c>
      <c r="E965" s="19" t="s">
        <v>855</v>
      </c>
      <c r="F965" s="19">
        <v>2015</v>
      </c>
      <c r="G965" s="21">
        <v>0.7146439</v>
      </c>
      <c r="H965" s="19" t="s">
        <v>3357</v>
      </c>
      <c r="I965" s="19" t="s">
        <v>1130</v>
      </c>
      <c r="J965" s="21">
        <v>0.7146439</v>
      </c>
      <c r="K965" s="19" t="s">
        <v>3358</v>
      </c>
      <c r="L965" s="19" t="s">
        <v>3359</v>
      </c>
      <c r="M965" s="19"/>
      <c r="N965" s="19" t="s">
        <v>2935</v>
      </c>
    </row>
    <row r="966" spans="1:14">
      <c r="A966" s="19" t="s">
        <v>564</v>
      </c>
      <c r="B966" s="19">
        <v>5</v>
      </c>
      <c r="C966" s="19" t="s">
        <v>3360</v>
      </c>
      <c r="D966" s="19" t="s">
        <v>3361</v>
      </c>
      <c r="E966" s="19" t="s">
        <v>855</v>
      </c>
      <c r="F966" s="19">
        <v>2014</v>
      </c>
      <c r="G966" s="21">
        <v>0.70139929999999995</v>
      </c>
      <c r="H966" s="19" t="s">
        <v>3362</v>
      </c>
      <c r="I966" s="19" t="s">
        <v>951</v>
      </c>
      <c r="J966" s="21">
        <v>0.70139929999999995</v>
      </c>
      <c r="K966" s="19" t="s">
        <v>3363</v>
      </c>
      <c r="L966" s="19" t="s">
        <v>3364</v>
      </c>
      <c r="M966" s="19" t="s">
        <v>3365</v>
      </c>
      <c r="N966" s="19" t="s">
        <v>1513</v>
      </c>
    </row>
    <row r="967" spans="1:14">
      <c r="A967" s="19" t="s">
        <v>564</v>
      </c>
      <c r="B967" s="19">
        <v>6</v>
      </c>
      <c r="C967" s="19" t="s">
        <v>3366</v>
      </c>
      <c r="D967" s="19" t="s">
        <v>3367</v>
      </c>
      <c r="E967" s="19" t="s">
        <v>855</v>
      </c>
      <c r="F967" s="19">
        <v>2015</v>
      </c>
      <c r="G967" s="21">
        <v>0.69352849999999999</v>
      </c>
      <c r="H967" s="19" t="s">
        <v>3368</v>
      </c>
      <c r="I967" s="19" t="s">
        <v>951</v>
      </c>
      <c r="J967" s="21">
        <v>0.69352849999999999</v>
      </c>
      <c r="K967" s="19" t="s">
        <v>3369</v>
      </c>
      <c r="L967" s="19" t="s">
        <v>3370</v>
      </c>
      <c r="M967" s="19" t="s">
        <v>3371</v>
      </c>
      <c r="N967" s="19" t="s">
        <v>993</v>
      </c>
    </row>
    <row r="968" spans="1:14">
      <c r="A968" s="19" t="s">
        <v>564</v>
      </c>
      <c r="B968" s="19">
        <v>7</v>
      </c>
      <c r="C968" s="19" t="s">
        <v>3372</v>
      </c>
      <c r="D968" s="19" t="s">
        <v>3373</v>
      </c>
      <c r="E968" s="19" t="s">
        <v>855</v>
      </c>
      <c r="F968" s="19">
        <v>2014</v>
      </c>
      <c r="G968" s="21">
        <v>0.69277060000000001</v>
      </c>
      <c r="H968" s="19" t="s">
        <v>3374</v>
      </c>
      <c r="I968" s="19" t="s">
        <v>857</v>
      </c>
      <c r="J968" s="21">
        <v>0.69277060000000001</v>
      </c>
      <c r="K968" s="19" t="s">
        <v>3375</v>
      </c>
      <c r="L968" s="19" t="s">
        <v>3376</v>
      </c>
      <c r="M968" s="19"/>
      <c r="N968" s="19" t="s">
        <v>1409</v>
      </c>
    </row>
    <row r="969" spans="1:14">
      <c r="A969" s="19" t="s">
        <v>564</v>
      </c>
      <c r="B969" s="19">
        <v>8</v>
      </c>
      <c r="C969" s="19" t="s">
        <v>3377</v>
      </c>
      <c r="D969" s="19" t="s">
        <v>3378</v>
      </c>
      <c r="E969" s="19" t="s">
        <v>855</v>
      </c>
      <c r="F969" s="19">
        <v>2015</v>
      </c>
      <c r="G969" s="21">
        <v>0.66389715999999999</v>
      </c>
      <c r="H969" s="19" t="s">
        <v>3379</v>
      </c>
      <c r="I969" s="19" t="s">
        <v>951</v>
      </c>
      <c r="J969" s="21">
        <v>0.66389715999999999</v>
      </c>
      <c r="K969" s="19" t="s">
        <v>3380</v>
      </c>
      <c r="L969" s="19" t="s">
        <v>3381</v>
      </c>
      <c r="M969" s="19" t="s">
        <v>3382</v>
      </c>
      <c r="N969" s="19" t="s">
        <v>1103</v>
      </c>
    </row>
    <row r="970" spans="1:14">
      <c r="A970" s="19" t="s">
        <v>564</v>
      </c>
      <c r="B970" s="19">
        <v>9</v>
      </c>
      <c r="C970" s="19" t="s">
        <v>3383</v>
      </c>
      <c r="D970" s="19" t="s">
        <v>3384</v>
      </c>
      <c r="E970" s="19" t="s">
        <v>855</v>
      </c>
      <c r="F970" s="19">
        <v>2016</v>
      </c>
      <c r="G970" s="21">
        <v>0.66181029999999996</v>
      </c>
      <c r="H970" s="19" t="s">
        <v>3385</v>
      </c>
      <c r="I970" s="19" t="s">
        <v>951</v>
      </c>
      <c r="J970" s="21">
        <v>0.66181029999999996</v>
      </c>
      <c r="K970" s="19" t="s">
        <v>3386</v>
      </c>
      <c r="L970" s="19" t="s">
        <v>3387</v>
      </c>
      <c r="M970" s="19" t="s">
        <v>3388</v>
      </c>
      <c r="N970" s="19" t="s">
        <v>1103</v>
      </c>
    </row>
    <row r="971" spans="1:14">
      <c r="A971" s="19" t="s">
        <v>564</v>
      </c>
      <c r="B971" s="19">
        <v>10</v>
      </c>
      <c r="C971" s="19" t="s">
        <v>3389</v>
      </c>
      <c r="D971" s="19" t="s">
        <v>3390</v>
      </c>
      <c r="E971" s="19" t="s">
        <v>855</v>
      </c>
      <c r="F971" s="19">
        <v>2022</v>
      </c>
      <c r="G971" s="21">
        <v>0.65471449999999998</v>
      </c>
      <c r="H971" s="19" t="s">
        <v>3391</v>
      </c>
      <c r="I971" s="19" t="s">
        <v>857</v>
      </c>
      <c r="J971" s="21">
        <v>0.65471449999999998</v>
      </c>
      <c r="K971" s="19" t="s">
        <v>3392</v>
      </c>
      <c r="L971" s="19" t="s">
        <v>3393</v>
      </c>
      <c r="M971" s="19" t="s">
        <v>3394</v>
      </c>
      <c r="N971" s="19" t="s">
        <v>1263</v>
      </c>
    </row>
    <row r="972" spans="1:14">
      <c r="A972" s="19" t="s">
        <v>564</v>
      </c>
      <c r="B972" s="19">
        <v>11</v>
      </c>
      <c r="C972" s="19" t="s">
        <v>3395</v>
      </c>
      <c r="D972" s="19" t="s">
        <v>3396</v>
      </c>
      <c r="E972" s="19" t="s">
        <v>855</v>
      </c>
      <c r="F972" s="19">
        <v>2014</v>
      </c>
      <c r="G972" s="21">
        <v>0.65417886000000003</v>
      </c>
      <c r="H972" s="19" t="s">
        <v>3397</v>
      </c>
      <c r="I972" s="19" t="s">
        <v>857</v>
      </c>
      <c r="J972" s="21">
        <v>0.65417886000000003</v>
      </c>
      <c r="K972" s="19" t="s">
        <v>3398</v>
      </c>
      <c r="L972" s="19" t="s">
        <v>3399</v>
      </c>
      <c r="M972" s="19"/>
      <c r="N972" s="19" t="s">
        <v>1263</v>
      </c>
    </row>
    <row r="973" spans="1:14">
      <c r="A973" s="19" t="s">
        <v>564</v>
      </c>
      <c r="B973" s="19">
        <v>12</v>
      </c>
      <c r="C973" s="19" t="s">
        <v>3400</v>
      </c>
      <c r="D973" s="19" t="s">
        <v>3401</v>
      </c>
      <c r="E973" s="19" t="s">
        <v>855</v>
      </c>
      <c r="F973" s="19">
        <v>2016</v>
      </c>
      <c r="G973" s="21">
        <v>0.65368340000000003</v>
      </c>
      <c r="H973" s="19" t="s">
        <v>3402</v>
      </c>
      <c r="I973" s="19" t="s">
        <v>951</v>
      </c>
      <c r="J973" s="21">
        <v>0.65368340000000003</v>
      </c>
      <c r="K973" s="19" t="s">
        <v>3403</v>
      </c>
      <c r="L973" s="19" t="s">
        <v>3404</v>
      </c>
      <c r="M973" s="19" t="s">
        <v>3405</v>
      </c>
      <c r="N973" s="19" t="s">
        <v>1238</v>
      </c>
    </row>
    <row r="974" spans="1:14">
      <c r="A974" s="19" t="s">
        <v>564</v>
      </c>
      <c r="B974" s="19">
        <v>13</v>
      </c>
      <c r="C974" s="19" t="s">
        <v>2800</v>
      </c>
      <c r="D974" s="19" t="s">
        <v>2801</v>
      </c>
      <c r="E974" s="19" t="s">
        <v>855</v>
      </c>
      <c r="F974" s="19">
        <v>2023</v>
      </c>
      <c r="G974" s="21">
        <v>0.65145682999999999</v>
      </c>
      <c r="H974" s="19" t="s">
        <v>2802</v>
      </c>
      <c r="I974" s="19" t="s">
        <v>951</v>
      </c>
      <c r="J974" s="21">
        <v>0.65145682999999999</v>
      </c>
      <c r="K974" s="19" t="s">
        <v>2803</v>
      </c>
      <c r="L974" s="19" t="s">
        <v>2804</v>
      </c>
      <c r="M974" s="19" t="s">
        <v>2805</v>
      </c>
      <c r="N974" s="19" t="s">
        <v>1238</v>
      </c>
    </row>
    <row r="975" spans="1:14">
      <c r="A975" s="19" t="s">
        <v>564</v>
      </c>
      <c r="B975" s="19">
        <v>14</v>
      </c>
      <c r="C975" s="19" t="s">
        <v>3406</v>
      </c>
      <c r="D975" s="19" t="s">
        <v>3407</v>
      </c>
      <c r="E975" s="19" t="s">
        <v>855</v>
      </c>
      <c r="F975" s="19">
        <v>2016</v>
      </c>
      <c r="G975" s="21">
        <v>0.65099600000000002</v>
      </c>
      <c r="H975" s="19" t="s">
        <v>3408</v>
      </c>
      <c r="I975" s="19" t="s">
        <v>951</v>
      </c>
      <c r="J975" s="21">
        <v>0.65099600000000002</v>
      </c>
      <c r="K975" s="19" t="s">
        <v>3409</v>
      </c>
      <c r="L975" s="19" t="s">
        <v>3410</v>
      </c>
      <c r="M975" s="19" t="s">
        <v>3411</v>
      </c>
      <c r="N975" s="19" t="s">
        <v>1238</v>
      </c>
    </row>
    <row r="976" spans="1:14">
      <c r="A976" s="19" t="s">
        <v>564</v>
      </c>
      <c r="B976" s="19">
        <v>15</v>
      </c>
      <c r="C976" s="19" t="s">
        <v>3322</v>
      </c>
      <c r="D976" s="19" t="s">
        <v>3323</v>
      </c>
      <c r="E976" s="19" t="s">
        <v>855</v>
      </c>
      <c r="F976" s="19">
        <v>2014</v>
      </c>
      <c r="G976" s="21">
        <v>0.6425476</v>
      </c>
      <c r="H976" s="19" t="s">
        <v>3412</v>
      </c>
      <c r="I976" s="19" t="s">
        <v>1130</v>
      </c>
      <c r="J976" s="21">
        <v>0.6425476</v>
      </c>
      <c r="K976" s="19" t="s">
        <v>3413</v>
      </c>
      <c r="L976" s="19" t="s">
        <v>3414</v>
      </c>
      <c r="M976" s="19"/>
      <c r="N976" s="19" t="s">
        <v>1599</v>
      </c>
    </row>
    <row r="977" spans="1:14">
      <c r="A977" s="19" t="s">
        <v>564</v>
      </c>
      <c r="B977" s="19">
        <v>16</v>
      </c>
      <c r="C977" s="19" t="s">
        <v>3415</v>
      </c>
      <c r="D977" s="19" t="s">
        <v>3416</v>
      </c>
      <c r="E977" s="19" t="s">
        <v>855</v>
      </c>
      <c r="F977" s="19">
        <v>2022</v>
      </c>
      <c r="G977" s="21">
        <v>0.64238565999999997</v>
      </c>
      <c r="H977" s="19" t="s">
        <v>3417</v>
      </c>
      <c r="I977" s="19" t="s">
        <v>857</v>
      </c>
      <c r="J977" s="21">
        <v>0.64238565999999997</v>
      </c>
      <c r="K977" s="19" t="s">
        <v>3418</v>
      </c>
      <c r="L977" s="19" t="s">
        <v>3419</v>
      </c>
      <c r="M977" s="19" t="s">
        <v>3420</v>
      </c>
      <c r="N977" s="19" t="s">
        <v>940</v>
      </c>
    </row>
    <row r="978" spans="1:14">
      <c r="A978" s="19" t="s">
        <v>564</v>
      </c>
      <c r="B978" s="19">
        <v>17</v>
      </c>
      <c r="C978" s="19" t="s">
        <v>3421</v>
      </c>
      <c r="D978" s="19" t="s">
        <v>3422</v>
      </c>
      <c r="E978" s="19" t="s">
        <v>855</v>
      </c>
      <c r="F978" s="19">
        <v>2023</v>
      </c>
      <c r="G978" s="21">
        <v>0.64087720000000004</v>
      </c>
      <c r="H978" s="19" t="s">
        <v>3423</v>
      </c>
      <c r="I978" s="19" t="s">
        <v>865</v>
      </c>
      <c r="J978" s="21">
        <v>0.64087720000000004</v>
      </c>
      <c r="K978" s="19" t="s">
        <v>3424</v>
      </c>
      <c r="L978" s="19" t="s">
        <v>3425</v>
      </c>
      <c r="M978" s="19"/>
      <c r="N978" s="19" t="s">
        <v>934</v>
      </c>
    </row>
    <row r="979" spans="1:14">
      <c r="A979" s="19" t="s">
        <v>564</v>
      </c>
      <c r="B979" s="19">
        <v>18</v>
      </c>
      <c r="C979" s="19" t="s">
        <v>2742</v>
      </c>
      <c r="D979" s="19" t="s">
        <v>2743</v>
      </c>
      <c r="E979" s="19" t="s">
        <v>855</v>
      </c>
      <c r="F979" s="19">
        <v>2023</v>
      </c>
      <c r="G979" s="21">
        <v>0.63399433999999999</v>
      </c>
      <c r="H979" s="19" t="s">
        <v>3426</v>
      </c>
      <c r="I979" s="19" t="s">
        <v>865</v>
      </c>
      <c r="J979" s="21">
        <v>0.63399433999999999</v>
      </c>
      <c r="K979" s="19" t="s">
        <v>3427</v>
      </c>
      <c r="L979" s="19" t="s">
        <v>3428</v>
      </c>
      <c r="M979" s="19"/>
      <c r="N979" s="19" t="s">
        <v>1251</v>
      </c>
    </row>
    <row r="980" spans="1:14">
      <c r="A980" s="19" t="s">
        <v>564</v>
      </c>
      <c r="B980" s="19">
        <v>19</v>
      </c>
      <c r="C980" s="19" t="s">
        <v>3429</v>
      </c>
      <c r="D980" s="19" t="s">
        <v>3430</v>
      </c>
      <c r="E980" s="19" t="s">
        <v>855</v>
      </c>
      <c r="F980" s="19">
        <v>2014</v>
      </c>
      <c r="G980" s="21">
        <v>0.63251924999999998</v>
      </c>
      <c r="H980" s="19" t="s">
        <v>3431</v>
      </c>
      <c r="I980" s="19" t="s">
        <v>925</v>
      </c>
      <c r="J980" s="21">
        <v>0.63251924999999998</v>
      </c>
      <c r="K980" s="19" t="s">
        <v>3432</v>
      </c>
      <c r="L980" s="19" t="s">
        <v>3433</v>
      </c>
      <c r="M980" s="19"/>
      <c r="N980" s="19" t="s">
        <v>1297</v>
      </c>
    </row>
    <row r="981" spans="1:14">
      <c r="A981" s="19" t="s">
        <v>564</v>
      </c>
      <c r="B981" s="19">
        <v>20</v>
      </c>
      <c r="C981" s="19" t="s">
        <v>3434</v>
      </c>
      <c r="D981" s="19" t="s">
        <v>3435</v>
      </c>
      <c r="E981" s="19" t="s">
        <v>855</v>
      </c>
      <c r="F981" s="19">
        <v>2016</v>
      </c>
      <c r="G981" s="21">
        <v>0.63100462999999996</v>
      </c>
      <c r="H981" s="19" t="s">
        <v>3436</v>
      </c>
      <c r="I981" s="19" t="s">
        <v>857</v>
      </c>
      <c r="J981" s="21">
        <v>0.63100462999999996</v>
      </c>
      <c r="K981" s="19" t="s">
        <v>3437</v>
      </c>
      <c r="L981" s="19" t="s">
        <v>3438</v>
      </c>
      <c r="M981" s="19"/>
      <c r="N981" s="19" t="s">
        <v>1315</v>
      </c>
    </row>
    <row r="982" spans="1:14">
      <c r="A982" s="19" t="s">
        <v>380</v>
      </c>
      <c r="B982" s="19">
        <v>1</v>
      </c>
      <c r="C982" s="19" t="s">
        <v>3439</v>
      </c>
      <c r="D982" s="19" t="s">
        <v>774</v>
      </c>
      <c r="E982" s="19" t="s">
        <v>855</v>
      </c>
      <c r="F982" s="19">
        <v>2022</v>
      </c>
      <c r="G982" s="21">
        <v>0.69137912999999995</v>
      </c>
      <c r="H982" s="19" t="s">
        <v>3440</v>
      </c>
      <c r="I982" s="19" t="s">
        <v>865</v>
      </c>
      <c r="J982" s="21">
        <v>0.69137912999999995</v>
      </c>
      <c r="K982" s="19" t="s">
        <v>3441</v>
      </c>
      <c r="L982" s="19" t="s">
        <v>3442</v>
      </c>
      <c r="M982" s="19" t="s">
        <v>3443</v>
      </c>
      <c r="N982" s="19" t="s">
        <v>1470</v>
      </c>
    </row>
    <row r="983" spans="1:14">
      <c r="A983" s="19" t="s">
        <v>380</v>
      </c>
      <c r="B983" s="19">
        <v>2</v>
      </c>
      <c r="C983" s="19" t="s">
        <v>3444</v>
      </c>
      <c r="D983" s="19" t="s">
        <v>3445</v>
      </c>
      <c r="E983" s="19" t="s">
        <v>855</v>
      </c>
      <c r="F983" s="19">
        <v>2016</v>
      </c>
      <c r="G983" s="21">
        <v>0.69012600000000002</v>
      </c>
      <c r="H983" s="19" t="s">
        <v>3446</v>
      </c>
      <c r="I983" s="19" t="s">
        <v>914</v>
      </c>
      <c r="J983" s="21">
        <v>0.69012600000000002</v>
      </c>
      <c r="K983" s="19" t="s">
        <v>3447</v>
      </c>
      <c r="L983" s="19" t="s">
        <v>3448</v>
      </c>
      <c r="M983" s="19" t="s">
        <v>3449</v>
      </c>
      <c r="N983" s="19" t="s">
        <v>1120</v>
      </c>
    </row>
    <row r="984" spans="1:14">
      <c r="A984" s="19" t="s">
        <v>380</v>
      </c>
      <c r="B984" s="19">
        <v>3</v>
      </c>
      <c r="C984" s="19" t="s">
        <v>3450</v>
      </c>
      <c r="D984" s="19" t="s">
        <v>3451</v>
      </c>
      <c r="E984" s="19" t="s">
        <v>855</v>
      </c>
      <c r="F984" s="19">
        <v>2016</v>
      </c>
      <c r="G984" s="21">
        <v>0.68998115999999998</v>
      </c>
      <c r="H984" s="19" t="s">
        <v>3452</v>
      </c>
      <c r="I984" s="19" t="s">
        <v>914</v>
      </c>
      <c r="J984" s="21">
        <v>0.68998115999999998</v>
      </c>
      <c r="K984" s="19" t="s">
        <v>3453</v>
      </c>
      <c r="L984" s="19" t="s">
        <v>3454</v>
      </c>
      <c r="M984" s="19" t="s">
        <v>3455</v>
      </c>
      <c r="N984" s="19" t="s">
        <v>1120</v>
      </c>
    </row>
    <row r="985" spans="1:14">
      <c r="A985" s="19" t="s">
        <v>380</v>
      </c>
      <c r="B985" s="19">
        <v>4</v>
      </c>
      <c r="C985" s="19" t="s">
        <v>3456</v>
      </c>
      <c r="D985" s="19" t="s">
        <v>3457</v>
      </c>
      <c r="E985" s="19" t="s">
        <v>855</v>
      </c>
      <c r="F985" s="19">
        <v>2016</v>
      </c>
      <c r="G985" s="21">
        <v>0.68995689999999998</v>
      </c>
      <c r="H985" s="19" t="s">
        <v>3458</v>
      </c>
      <c r="I985" s="19" t="s">
        <v>865</v>
      </c>
      <c r="J985" s="21">
        <v>0.68995689999999998</v>
      </c>
      <c r="K985" s="19" t="s">
        <v>3459</v>
      </c>
      <c r="L985" s="19" t="s">
        <v>3460</v>
      </c>
      <c r="M985" s="19" t="s">
        <v>3461</v>
      </c>
      <c r="N985" s="19" t="s">
        <v>1470</v>
      </c>
    </row>
    <row r="986" spans="1:14">
      <c r="A986" s="19" t="s">
        <v>380</v>
      </c>
      <c r="B986" s="19">
        <v>5</v>
      </c>
      <c r="C986" s="19" t="s">
        <v>3462</v>
      </c>
      <c r="D986" s="19" t="s">
        <v>3463</v>
      </c>
      <c r="E986" s="19" t="s">
        <v>855</v>
      </c>
      <c r="F986" s="19">
        <v>2022</v>
      </c>
      <c r="G986" s="21">
        <v>0.68894849999999996</v>
      </c>
      <c r="H986" s="19" t="s">
        <v>3464</v>
      </c>
      <c r="I986" s="19" t="s">
        <v>865</v>
      </c>
      <c r="J986" s="21">
        <v>0.68894849999999996</v>
      </c>
      <c r="K986" s="19" t="s">
        <v>3465</v>
      </c>
      <c r="L986" s="19" t="s">
        <v>3466</v>
      </c>
      <c r="M986" s="19" t="s">
        <v>3467</v>
      </c>
      <c r="N986" s="19" t="s">
        <v>1470</v>
      </c>
    </row>
    <row r="987" spans="1:14">
      <c r="A987" s="19" t="s">
        <v>380</v>
      </c>
      <c r="B987" s="19">
        <v>6</v>
      </c>
      <c r="C987" s="19" t="s">
        <v>3468</v>
      </c>
      <c r="D987" s="19" t="s">
        <v>795</v>
      </c>
      <c r="E987" s="19" t="s">
        <v>855</v>
      </c>
      <c r="F987" s="19">
        <v>2017</v>
      </c>
      <c r="G987" s="21">
        <v>0.68675447000000001</v>
      </c>
      <c r="H987" s="19" t="s">
        <v>3469</v>
      </c>
      <c r="I987" s="19" t="s">
        <v>914</v>
      </c>
      <c r="J987" s="21">
        <v>0.68675447000000001</v>
      </c>
      <c r="K987" s="19" t="s">
        <v>3470</v>
      </c>
      <c r="L987" s="19" t="s">
        <v>3471</v>
      </c>
      <c r="M987" s="19"/>
      <c r="N987" s="19" t="s">
        <v>1120</v>
      </c>
    </row>
    <row r="988" spans="1:14">
      <c r="A988" s="19" t="s">
        <v>380</v>
      </c>
      <c r="B988" s="19">
        <v>7</v>
      </c>
      <c r="C988" s="19" t="s">
        <v>3472</v>
      </c>
      <c r="D988" s="19" t="s">
        <v>3473</v>
      </c>
      <c r="E988" s="19" t="s">
        <v>855</v>
      </c>
      <c r="F988" s="19">
        <v>2022</v>
      </c>
      <c r="G988" s="21">
        <v>0.68595379999999995</v>
      </c>
      <c r="H988" s="19" t="s">
        <v>3474</v>
      </c>
      <c r="I988" s="19" t="s">
        <v>865</v>
      </c>
      <c r="J988" s="21">
        <v>0.68595379999999995</v>
      </c>
      <c r="K988" s="19" t="s">
        <v>3475</v>
      </c>
      <c r="L988" s="19" t="s">
        <v>3476</v>
      </c>
      <c r="M988" s="19"/>
      <c r="N988" s="19" t="s">
        <v>1470</v>
      </c>
    </row>
    <row r="989" spans="1:14">
      <c r="A989" s="19" t="s">
        <v>380</v>
      </c>
      <c r="B989" s="19">
        <v>8</v>
      </c>
      <c r="C989" s="19" t="s">
        <v>3477</v>
      </c>
      <c r="D989" s="19" t="s">
        <v>3478</v>
      </c>
      <c r="E989" s="19" t="s">
        <v>855</v>
      </c>
      <c r="F989" s="19">
        <v>2023</v>
      </c>
      <c r="G989" s="21">
        <v>0.68562520000000005</v>
      </c>
      <c r="H989" s="19" t="s">
        <v>3479</v>
      </c>
      <c r="I989" s="19" t="s">
        <v>865</v>
      </c>
      <c r="J989" s="21">
        <v>0.68562520000000005</v>
      </c>
      <c r="K989" s="19" t="s">
        <v>3480</v>
      </c>
      <c r="L989" s="19" t="s">
        <v>3481</v>
      </c>
      <c r="M989" s="19"/>
      <c r="N989" s="19" t="s">
        <v>1470</v>
      </c>
    </row>
    <row r="990" spans="1:14">
      <c r="A990" s="19" t="s">
        <v>380</v>
      </c>
      <c r="B990" s="19">
        <v>9</v>
      </c>
      <c r="C990" s="19" t="s">
        <v>3482</v>
      </c>
      <c r="D990" s="19" t="s">
        <v>3483</v>
      </c>
      <c r="E990" s="19" t="s">
        <v>855</v>
      </c>
      <c r="F990" s="19">
        <v>2023</v>
      </c>
      <c r="G990" s="21">
        <v>0.68273470000000003</v>
      </c>
      <c r="H990" s="19" t="s">
        <v>3484</v>
      </c>
      <c r="I990" s="19" t="s">
        <v>865</v>
      </c>
      <c r="J990" s="21">
        <v>0.68273470000000003</v>
      </c>
      <c r="K990" s="19" t="s">
        <v>3485</v>
      </c>
      <c r="L990" s="19" t="s">
        <v>3486</v>
      </c>
      <c r="M990" s="19" t="s">
        <v>3487</v>
      </c>
      <c r="N990" s="19" t="s">
        <v>1178</v>
      </c>
    </row>
    <row r="991" spans="1:14">
      <c r="A991" s="19" t="s">
        <v>380</v>
      </c>
      <c r="B991" s="19">
        <v>10</v>
      </c>
      <c r="C991" s="19" t="s">
        <v>3488</v>
      </c>
      <c r="D991" s="19" t="s">
        <v>3489</v>
      </c>
      <c r="E991" s="19" t="s">
        <v>855</v>
      </c>
      <c r="F991" s="19">
        <v>2022</v>
      </c>
      <c r="G991" s="21">
        <v>0.68252900000000005</v>
      </c>
      <c r="H991" s="19" t="s">
        <v>3490</v>
      </c>
      <c r="I991" s="19" t="s">
        <v>865</v>
      </c>
      <c r="J991" s="21">
        <v>0.68252900000000005</v>
      </c>
      <c r="K991" s="19" t="s">
        <v>3491</v>
      </c>
      <c r="L991" s="19" t="s">
        <v>3492</v>
      </c>
      <c r="M991" s="19" t="s">
        <v>3493</v>
      </c>
      <c r="N991" s="19" t="s">
        <v>1178</v>
      </c>
    </row>
    <row r="992" spans="1:14">
      <c r="A992" s="19" t="s">
        <v>380</v>
      </c>
      <c r="B992" s="19">
        <v>11</v>
      </c>
      <c r="C992" s="19" t="s">
        <v>3494</v>
      </c>
      <c r="D992" s="19" t="s">
        <v>3495</v>
      </c>
      <c r="E992" s="19" t="s">
        <v>855</v>
      </c>
      <c r="F992" s="19">
        <v>2022</v>
      </c>
      <c r="G992" s="21">
        <v>0.68225179999999996</v>
      </c>
      <c r="H992" s="19" t="s">
        <v>3496</v>
      </c>
      <c r="I992" s="19" t="s">
        <v>865</v>
      </c>
      <c r="J992" s="21">
        <v>0.68225179999999996</v>
      </c>
      <c r="K992" s="19" t="s">
        <v>3497</v>
      </c>
      <c r="L992" s="19" t="s">
        <v>3498</v>
      </c>
      <c r="M992" s="19" t="s">
        <v>3499</v>
      </c>
      <c r="N992" s="19" t="s">
        <v>1178</v>
      </c>
    </row>
    <row r="993" spans="1:14">
      <c r="A993" s="19" t="s">
        <v>380</v>
      </c>
      <c r="B993" s="19">
        <v>12</v>
      </c>
      <c r="C993" s="19" t="s">
        <v>3500</v>
      </c>
      <c r="D993" s="19" t="s">
        <v>3501</v>
      </c>
      <c r="E993" s="19" t="s">
        <v>855</v>
      </c>
      <c r="F993" s="19">
        <v>2023</v>
      </c>
      <c r="G993" s="21">
        <v>0.68213760000000001</v>
      </c>
      <c r="H993" s="19" t="s">
        <v>3502</v>
      </c>
      <c r="I993" s="19" t="s">
        <v>865</v>
      </c>
      <c r="J993" s="21">
        <v>0.68213760000000001</v>
      </c>
      <c r="K993" s="19" t="s">
        <v>3503</v>
      </c>
      <c r="L993" s="19" t="s">
        <v>3504</v>
      </c>
      <c r="M993" s="19" t="s">
        <v>3505</v>
      </c>
      <c r="N993" s="19" t="s">
        <v>1178</v>
      </c>
    </row>
    <row r="994" spans="1:14">
      <c r="A994" s="19" t="s">
        <v>380</v>
      </c>
      <c r="B994" s="19">
        <v>13</v>
      </c>
      <c r="C994" s="19" t="s">
        <v>3506</v>
      </c>
      <c r="D994" s="19" t="s">
        <v>3507</v>
      </c>
      <c r="E994" s="19" t="s">
        <v>855</v>
      </c>
      <c r="F994" s="19">
        <v>2023</v>
      </c>
      <c r="G994" s="21">
        <v>0.67874760000000001</v>
      </c>
      <c r="H994" s="19" t="s">
        <v>3508</v>
      </c>
      <c r="I994" s="19" t="s">
        <v>865</v>
      </c>
      <c r="J994" s="21">
        <v>0.67874760000000001</v>
      </c>
      <c r="K994" s="19" t="s">
        <v>3509</v>
      </c>
      <c r="L994" s="19" t="s">
        <v>3510</v>
      </c>
      <c r="M994" s="19"/>
      <c r="N994" s="19" t="s">
        <v>1178</v>
      </c>
    </row>
    <row r="995" spans="1:14">
      <c r="A995" s="19" t="s">
        <v>380</v>
      </c>
      <c r="B995" s="19">
        <v>14</v>
      </c>
      <c r="C995" s="19" t="s">
        <v>3511</v>
      </c>
      <c r="D995" s="19" t="s">
        <v>3512</v>
      </c>
      <c r="E995" s="19" t="s">
        <v>855</v>
      </c>
      <c r="F995" s="19">
        <v>2022</v>
      </c>
      <c r="G995" s="21">
        <v>0.67747729999999995</v>
      </c>
      <c r="H995" s="19" t="s">
        <v>3513</v>
      </c>
      <c r="I995" s="19" t="s">
        <v>865</v>
      </c>
      <c r="J995" s="21">
        <v>0.67747729999999995</v>
      </c>
      <c r="K995" s="19" t="s">
        <v>3514</v>
      </c>
      <c r="L995" s="19" t="s">
        <v>3515</v>
      </c>
      <c r="M995" s="19" t="s">
        <v>3516</v>
      </c>
      <c r="N995" s="19" t="s">
        <v>1178</v>
      </c>
    </row>
    <row r="996" spans="1:14">
      <c r="A996" s="19" t="s">
        <v>380</v>
      </c>
      <c r="B996" s="19">
        <v>15</v>
      </c>
      <c r="C996" s="19" t="s">
        <v>3517</v>
      </c>
      <c r="D996" s="19" t="s">
        <v>3518</v>
      </c>
      <c r="E996" s="19" t="s">
        <v>855</v>
      </c>
      <c r="F996" s="19">
        <v>2023</v>
      </c>
      <c r="G996" s="21">
        <v>0.67714249999999998</v>
      </c>
      <c r="H996" s="19" t="s">
        <v>3519</v>
      </c>
      <c r="I996" s="19" t="s">
        <v>865</v>
      </c>
      <c r="J996" s="21">
        <v>0.67714249999999998</v>
      </c>
      <c r="K996" s="19" t="s">
        <v>3520</v>
      </c>
      <c r="L996" s="19" t="s">
        <v>3521</v>
      </c>
      <c r="M996" s="19"/>
      <c r="N996" s="19" t="s">
        <v>1178</v>
      </c>
    </row>
    <row r="997" spans="1:14">
      <c r="A997" s="19" t="s">
        <v>380</v>
      </c>
      <c r="B997" s="19">
        <v>16</v>
      </c>
      <c r="C997" s="19" t="s">
        <v>3522</v>
      </c>
      <c r="D997" s="19" t="s">
        <v>3523</v>
      </c>
      <c r="E997" s="19" t="s">
        <v>855</v>
      </c>
      <c r="F997" s="19">
        <v>2022</v>
      </c>
      <c r="G997" s="21">
        <v>0.67365169999999996</v>
      </c>
      <c r="H997" s="19" t="s">
        <v>3524</v>
      </c>
      <c r="I997" s="19" t="s">
        <v>865</v>
      </c>
      <c r="J997" s="21">
        <v>0.67365169999999996</v>
      </c>
      <c r="K997" s="19" t="s">
        <v>3525</v>
      </c>
      <c r="L997" s="19" t="s">
        <v>3526</v>
      </c>
      <c r="M997" s="19" t="s">
        <v>3527</v>
      </c>
      <c r="N997" s="19" t="s">
        <v>869</v>
      </c>
    </row>
    <row r="998" spans="1:14">
      <c r="A998" s="19" t="s">
        <v>380</v>
      </c>
      <c r="B998" s="19">
        <v>17</v>
      </c>
      <c r="C998" s="19" t="s">
        <v>3528</v>
      </c>
      <c r="D998" s="19" t="s">
        <v>3529</v>
      </c>
      <c r="E998" s="19" t="s">
        <v>855</v>
      </c>
      <c r="F998" s="19">
        <v>2023</v>
      </c>
      <c r="G998" s="21">
        <v>0.67344844000000004</v>
      </c>
      <c r="H998" s="19" t="s">
        <v>3530</v>
      </c>
      <c r="I998" s="19" t="s">
        <v>865</v>
      </c>
      <c r="J998" s="21">
        <v>0.67344844000000004</v>
      </c>
      <c r="K998" s="19" t="s">
        <v>3531</v>
      </c>
      <c r="L998" s="19" t="s">
        <v>3532</v>
      </c>
      <c r="M998" s="19" t="s">
        <v>3533</v>
      </c>
      <c r="N998" s="19" t="s">
        <v>869</v>
      </c>
    </row>
    <row r="999" spans="1:14">
      <c r="A999" s="19" t="s">
        <v>380</v>
      </c>
      <c r="B999" s="19">
        <v>18</v>
      </c>
      <c r="C999" s="19" t="s">
        <v>3534</v>
      </c>
      <c r="D999" s="19" t="s">
        <v>3535</v>
      </c>
      <c r="E999" s="19" t="s">
        <v>855</v>
      </c>
      <c r="F999" s="19">
        <v>2022</v>
      </c>
      <c r="G999" s="21">
        <v>0.67067825999999997</v>
      </c>
      <c r="H999" s="19" t="s">
        <v>3536</v>
      </c>
      <c r="I999" s="19" t="s">
        <v>865</v>
      </c>
      <c r="J999" s="21">
        <v>0.67067825999999997</v>
      </c>
      <c r="K999" s="19" t="s">
        <v>3537</v>
      </c>
      <c r="L999" s="19" t="s">
        <v>3538</v>
      </c>
      <c r="M999" s="19" t="s">
        <v>3539</v>
      </c>
      <c r="N999" s="19" t="s">
        <v>869</v>
      </c>
    </row>
    <row r="1000" spans="1:14">
      <c r="A1000" s="19" t="s">
        <v>380</v>
      </c>
      <c r="B1000" s="19">
        <v>19</v>
      </c>
      <c r="C1000" s="19" t="s">
        <v>3540</v>
      </c>
      <c r="D1000" s="19" t="s">
        <v>3541</v>
      </c>
      <c r="E1000" s="19" t="s">
        <v>855</v>
      </c>
      <c r="F1000" s="19">
        <v>2015</v>
      </c>
      <c r="G1000" s="21">
        <v>0.67029609999999995</v>
      </c>
      <c r="H1000" s="19" t="s">
        <v>3542</v>
      </c>
      <c r="I1000" s="19" t="s">
        <v>914</v>
      </c>
      <c r="J1000" s="21">
        <v>0.67029609999999995</v>
      </c>
      <c r="K1000" s="19" t="s">
        <v>3543</v>
      </c>
      <c r="L1000" s="19" t="s">
        <v>3544</v>
      </c>
      <c r="M1000" s="19"/>
      <c r="N1000" s="19" t="s">
        <v>1212</v>
      </c>
    </row>
    <row r="1001" spans="1:14">
      <c r="A1001" s="19" t="s">
        <v>380</v>
      </c>
      <c r="B1001" s="19">
        <v>20</v>
      </c>
      <c r="C1001" s="19" t="s">
        <v>3545</v>
      </c>
      <c r="D1001" s="19" t="s">
        <v>3546</v>
      </c>
      <c r="E1001" s="19" t="s">
        <v>855</v>
      </c>
      <c r="F1001" s="19">
        <v>2022</v>
      </c>
      <c r="G1001" s="21">
        <v>0.66844899999999996</v>
      </c>
      <c r="H1001" s="19" t="s">
        <v>3547</v>
      </c>
      <c r="I1001" s="19" t="s">
        <v>1130</v>
      </c>
      <c r="J1001" s="21">
        <v>0.66844899999999996</v>
      </c>
      <c r="K1001" s="19" t="s">
        <v>3548</v>
      </c>
      <c r="L1001" s="19" t="s">
        <v>3549</v>
      </c>
      <c r="M1001" s="19"/>
      <c r="N1001" s="19" t="s">
        <v>3550</v>
      </c>
    </row>
    <row r="1002" spans="1:14">
      <c r="A1002" s="19" t="s">
        <v>456</v>
      </c>
      <c r="B1002" s="19">
        <v>1</v>
      </c>
      <c r="C1002" s="19" t="s">
        <v>3468</v>
      </c>
      <c r="D1002" s="19" t="s">
        <v>795</v>
      </c>
      <c r="E1002" s="19" t="s">
        <v>855</v>
      </c>
      <c r="F1002" s="19">
        <v>2017</v>
      </c>
      <c r="G1002" s="21">
        <v>0.72220074999999995</v>
      </c>
      <c r="H1002" s="19" t="s">
        <v>3469</v>
      </c>
      <c r="I1002" s="19" t="s">
        <v>914</v>
      </c>
      <c r="J1002" s="21">
        <v>0.72220074999999995</v>
      </c>
      <c r="K1002" s="19" t="s">
        <v>3470</v>
      </c>
      <c r="L1002" s="19" t="s">
        <v>3471</v>
      </c>
      <c r="M1002" s="19"/>
      <c r="N1002" s="19" t="s">
        <v>1630</v>
      </c>
    </row>
    <row r="1003" spans="1:14">
      <c r="A1003" s="19" t="s">
        <v>456</v>
      </c>
      <c r="B1003" s="19">
        <v>2</v>
      </c>
      <c r="C1003" s="19" t="s">
        <v>3545</v>
      </c>
      <c r="D1003" s="19" t="s">
        <v>3546</v>
      </c>
      <c r="E1003" s="19" t="s">
        <v>855</v>
      </c>
      <c r="F1003" s="19">
        <v>2022</v>
      </c>
      <c r="G1003" s="21">
        <v>0.71751299999999996</v>
      </c>
      <c r="H1003" s="19" t="s">
        <v>3547</v>
      </c>
      <c r="I1003" s="19" t="s">
        <v>1130</v>
      </c>
      <c r="J1003" s="21">
        <v>0.71751299999999996</v>
      </c>
      <c r="K1003" s="19" t="s">
        <v>3548</v>
      </c>
      <c r="L1003" s="19" t="s">
        <v>3549</v>
      </c>
      <c r="M1003" s="19"/>
      <c r="N1003" s="19" t="s">
        <v>3551</v>
      </c>
    </row>
    <row r="1004" spans="1:14">
      <c r="A1004" s="19" t="s">
        <v>456</v>
      </c>
      <c r="B1004" s="19">
        <v>3</v>
      </c>
      <c r="C1004" s="19" t="s">
        <v>3552</v>
      </c>
      <c r="D1004" s="19" t="s">
        <v>3553</v>
      </c>
      <c r="E1004" s="19" t="s">
        <v>855</v>
      </c>
      <c r="F1004" s="19">
        <v>2015</v>
      </c>
      <c r="G1004" s="21">
        <v>0.71533720000000001</v>
      </c>
      <c r="H1004" s="19" t="s">
        <v>3554</v>
      </c>
      <c r="I1004" s="19" t="s">
        <v>914</v>
      </c>
      <c r="J1004" s="21">
        <v>0.71533720000000001</v>
      </c>
      <c r="K1004" s="19" t="s">
        <v>3555</v>
      </c>
      <c r="L1004" s="19" t="s">
        <v>3556</v>
      </c>
      <c r="M1004" s="19"/>
      <c r="N1004" s="19" t="s">
        <v>1630</v>
      </c>
    </row>
    <row r="1005" spans="1:14">
      <c r="A1005" s="19" t="s">
        <v>456</v>
      </c>
      <c r="B1005" s="19">
        <v>4</v>
      </c>
      <c r="C1005" s="19" t="s">
        <v>3557</v>
      </c>
      <c r="D1005" s="19" t="s">
        <v>3558</v>
      </c>
      <c r="E1005" s="19" t="s">
        <v>855</v>
      </c>
      <c r="F1005" s="19">
        <v>2015</v>
      </c>
      <c r="G1005" s="21">
        <v>0.71490633000000003</v>
      </c>
      <c r="H1005" s="19" t="s">
        <v>3559</v>
      </c>
      <c r="I1005" s="19" t="s">
        <v>914</v>
      </c>
      <c r="J1005" s="21">
        <v>0.71490633000000003</v>
      </c>
      <c r="K1005" s="19" t="s">
        <v>3560</v>
      </c>
      <c r="L1005" s="19" t="s">
        <v>3561</v>
      </c>
      <c r="M1005" s="19" t="s">
        <v>3562</v>
      </c>
      <c r="N1005" s="19" t="s">
        <v>1659</v>
      </c>
    </row>
    <row r="1006" spans="1:14">
      <c r="A1006" s="19" t="s">
        <v>456</v>
      </c>
      <c r="B1006" s="19">
        <v>5</v>
      </c>
      <c r="C1006" s="19" t="s">
        <v>3540</v>
      </c>
      <c r="D1006" s="19" t="s">
        <v>3541</v>
      </c>
      <c r="E1006" s="19" t="s">
        <v>855</v>
      </c>
      <c r="F1006" s="19">
        <v>2015</v>
      </c>
      <c r="G1006" s="21">
        <v>0.71481717</v>
      </c>
      <c r="H1006" s="19" t="s">
        <v>3542</v>
      </c>
      <c r="I1006" s="19" t="s">
        <v>914</v>
      </c>
      <c r="J1006" s="21">
        <v>0.71481717</v>
      </c>
      <c r="K1006" s="19" t="s">
        <v>3543</v>
      </c>
      <c r="L1006" s="19" t="s">
        <v>3544</v>
      </c>
      <c r="M1006" s="19"/>
      <c r="N1006" s="19" t="s">
        <v>1659</v>
      </c>
    </row>
    <row r="1007" spans="1:14">
      <c r="A1007" s="19" t="s">
        <v>456</v>
      </c>
      <c r="B1007" s="19">
        <v>6</v>
      </c>
      <c r="C1007" s="19" t="s">
        <v>3563</v>
      </c>
      <c r="D1007" s="19" t="s">
        <v>3564</v>
      </c>
      <c r="E1007" s="19" t="s">
        <v>855</v>
      </c>
      <c r="F1007" s="19">
        <v>2014</v>
      </c>
      <c r="G1007" s="21">
        <v>0.70556350000000001</v>
      </c>
      <c r="H1007" s="19" t="s">
        <v>3565</v>
      </c>
      <c r="I1007" s="19" t="s">
        <v>914</v>
      </c>
      <c r="J1007" s="21">
        <v>0.70556350000000001</v>
      </c>
      <c r="K1007" s="19" t="s">
        <v>3566</v>
      </c>
      <c r="L1007" s="19" t="s">
        <v>3567</v>
      </c>
      <c r="M1007" s="19" t="s">
        <v>3568</v>
      </c>
      <c r="N1007" s="19" t="s">
        <v>1659</v>
      </c>
    </row>
    <row r="1008" spans="1:14">
      <c r="A1008" s="19" t="s">
        <v>456</v>
      </c>
      <c r="B1008" s="19">
        <v>7</v>
      </c>
      <c r="C1008" s="19" t="s">
        <v>3569</v>
      </c>
      <c r="D1008" s="19" t="s">
        <v>3570</v>
      </c>
      <c r="E1008" s="19" t="s">
        <v>855</v>
      </c>
      <c r="F1008" s="19">
        <v>2015</v>
      </c>
      <c r="G1008" s="21">
        <v>0.70493804999999998</v>
      </c>
      <c r="H1008" s="19" t="s">
        <v>3571</v>
      </c>
      <c r="I1008" s="19" t="s">
        <v>914</v>
      </c>
      <c r="J1008" s="21">
        <v>0.70493804999999998</v>
      </c>
      <c r="K1008" s="19" t="s">
        <v>3572</v>
      </c>
      <c r="L1008" s="19" t="s">
        <v>3573</v>
      </c>
      <c r="M1008" s="19"/>
      <c r="N1008" s="19" t="s">
        <v>1463</v>
      </c>
    </row>
    <row r="1009" spans="1:14">
      <c r="A1009" s="19" t="s">
        <v>456</v>
      </c>
      <c r="B1009" s="19">
        <v>8</v>
      </c>
      <c r="C1009" s="19" t="s">
        <v>3500</v>
      </c>
      <c r="D1009" s="19" t="s">
        <v>3501</v>
      </c>
      <c r="E1009" s="19" t="s">
        <v>855</v>
      </c>
      <c r="F1009" s="19">
        <v>2023</v>
      </c>
      <c r="G1009" s="21">
        <v>0.69908329999999996</v>
      </c>
      <c r="H1009" s="19" t="s">
        <v>3502</v>
      </c>
      <c r="I1009" s="19" t="s">
        <v>865</v>
      </c>
      <c r="J1009" s="21">
        <v>0.69908329999999996</v>
      </c>
      <c r="K1009" s="19" t="s">
        <v>3503</v>
      </c>
      <c r="L1009" s="19" t="s">
        <v>3504</v>
      </c>
      <c r="M1009" s="19" t="s">
        <v>3505</v>
      </c>
      <c r="N1009" s="19" t="s">
        <v>1978</v>
      </c>
    </row>
    <row r="1010" spans="1:14">
      <c r="A1010" s="19" t="s">
        <v>456</v>
      </c>
      <c r="B1010" s="19">
        <v>9</v>
      </c>
      <c r="C1010" s="19" t="s">
        <v>3462</v>
      </c>
      <c r="D1010" s="19" t="s">
        <v>3463</v>
      </c>
      <c r="E1010" s="19" t="s">
        <v>855</v>
      </c>
      <c r="F1010" s="19">
        <v>2022</v>
      </c>
      <c r="G1010" s="21">
        <v>0.69868903999999998</v>
      </c>
      <c r="H1010" s="19" t="s">
        <v>3464</v>
      </c>
      <c r="I1010" s="19" t="s">
        <v>865</v>
      </c>
      <c r="J1010" s="21">
        <v>0.69868903999999998</v>
      </c>
      <c r="K1010" s="19" t="s">
        <v>3465</v>
      </c>
      <c r="L1010" s="19" t="s">
        <v>3466</v>
      </c>
      <c r="M1010" s="19" t="s">
        <v>3467</v>
      </c>
      <c r="N1010" s="19" t="s">
        <v>1978</v>
      </c>
    </row>
    <row r="1011" spans="1:14">
      <c r="A1011" s="19" t="s">
        <v>456</v>
      </c>
      <c r="B1011" s="19">
        <v>10</v>
      </c>
      <c r="C1011" s="19" t="s">
        <v>3450</v>
      </c>
      <c r="D1011" s="19" t="s">
        <v>3451</v>
      </c>
      <c r="E1011" s="19" t="s">
        <v>855</v>
      </c>
      <c r="F1011" s="19">
        <v>2016</v>
      </c>
      <c r="G1011" s="21">
        <v>0.69856434999999995</v>
      </c>
      <c r="H1011" s="19" t="s">
        <v>3452</v>
      </c>
      <c r="I1011" s="19" t="s">
        <v>914</v>
      </c>
      <c r="J1011" s="21">
        <v>0.69856434999999995</v>
      </c>
      <c r="K1011" s="19" t="s">
        <v>3453</v>
      </c>
      <c r="L1011" s="19" t="s">
        <v>3454</v>
      </c>
      <c r="M1011" s="19" t="s">
        <v>3455</v>
      </c>
      <c r="N1011" s="19" t="s">
        <v>1463</v>
      </c>
    </row>
    <row r="1012" spans="1:14">
      <c r="A1012" s="19" t="s">
        <v>456</v>
      </c>
      <c r="B1012" s="19">
        <v>11</v>
      </c>
      <c r="C1012" s="19" t="s">
        <v>3574</v>
      </c>
      <c r="D1012" s="19" t="s">
        <v>3575</v>
      </c>
      <c r="E1012" s="19" t="s">
        <v>855</v>
      </c>
      <c r="F1012" s="19">
        <v>2016</v>
      </c>
      <c r="G1012" s="21">
        <v>0.69853485000000004</v>
      </c>
      <c r="H1012" s="19" t="s">
        <v>3576</v>
      </c>
      <c r="I1012" s="19" t="s">
        <v>914</v>
      </c>
      <c r="J1012" s="21">
        <v>0.69853485000000004</v>
      </c>
      <c r="K1012" s="19" t="s">
        <v>3577</v>
      </c>
      <c r="L1012" s="19" t="s">
        <v>3578</v>
      </c>
      <c r="M1012" s="19" t="s">
        <v>3579</v>
      </c>
      <c r="N1012" s="19" t="s">
        <v>1463</v>
      </c>
    </row>
    <row r="1013" spans="1:14">
      <c r="A1013" s="19" t="s">
        <v>456</v>
      </c>
      <c r="B1013" s="19">
        <v>12</v>
      </c>
      <c r="C1013" s="19" t="s">
        <v>3456</v>
      </c>
      <c r="D1013" s="19" t="s">
        <v>3457</v>
      </c>
      <c r="E1013" s="19" t="s">
        <v>855</v>
      </c>
      <c r="F1013" s="19">
        <v>2016</v>
      </c>
      <c r="G1013" s="21">
        <v>0.69772540000000005</v>
      </c>
      <c r="H1013" s="19" t="s">
        <v>3458</v>
      </c>
      <c r="I1013" s="19" t="s">
        <v>865</v>
      </c>
      <c r="J1013" s="21">
        <v>0.69772540000000005</v>
      </c>
      <c r="K1013" s="19" t="s">
        <v>3459</v>
      </c>
      <c r="L1013" s="19" t="s">
        <v>3460</v>
      </c>
      <c r="M1013" s="19" t="s">
        <v>3461</v>
      </c>
      <c r="N1013" s="19" t="s">
        <v>1978</v>
      </c>
    </row>
    <row r="1014" spans="1:14">
      <c r="A1014" s="19" t="s">
        <v>456</v>
      </c>
      <c r="B1014" s="19">
        <v>13</v>
      </c>
      <c r="C1014" s="19" t="s">
        <v>3444</v>
      </c>
      <c r="D1014" s="19" t="s">
        <v>3445</v>
      </c>
      <c r="E1014" s="19" t="s">
        <v>855</v>
      </c>
      <c r="F1014" s="19">
        <v>2016</v>
      </c>
      <c r="G1014" s="21">
        <v>0.69731620000000005</v>
      </c>
      <c r="H1014" s="19" t="s">
        <v>3446</v>
      </c>
      <c r="I1014" s="19" t="s">
        <v>914</v>
      </c>
      <c r="J1014" s="21">
        <v>0.69731620000000005</v>
      </c>
      <c r="K1014" s="19" t="s">
        <v>3447</v>
      </c>
      <c r="L1014" s="19" t="s">
        <v>3448</v>
      </c>
      <c r="M1014" s="19" t="s">
        <v>3449</v>
      </c>
      <c r="N1014" s="19" t="s">
        <v>1463</v>
      </c>
    </row>
    <row r="1015" spans="1:14">
      <c r="A1015" s="19" t="s">
        <v>456</v>
      </c>
      <c r="B1015" s="19">
        <v>14</v>
      </c>
      <c r="C1015" s="19" t="s">
        <v>3511</v>
      </c>
      <c r="D1015" s="19" t="s">
        <v>3512</v>
      </c>
      <c r="E1015" s="19" t="s">
        <v>855</v>
      </c>
      <c r="F1015" s="19">
        <v>2022</v>
      </c>
      <c r="G1015" s="21">
        <v>0.69536889999999996</v>
      </c>
      <c r="H1015" s="19" t="s">
        <v>3580</v>
      </c>
      <c r="I1015" s="19" t="s">
        <v>914</v>
      </c>
      <c r="J1015" s="21">
        <v>0.69536889999999996</v>
      </c>
      <c r="K1015" s="19" t="s">
        <v>3581</v>
      </c>
      <c r="L1015" s="19" t="s">
        <v>3582</v>
      </c>
      <c r="M1015" s="19" t="s">
        <v>3583</v>
      </c>
      <c r="N1015" s="19" t="s">
        <v>1463</v>
      </c>
    </row>
    <row r="1016" spans="1:14">
      <c r="A1016" s="19" t="s">
        <v>456</v>
      </c>
      <c r="B1016" s="19">
        <v>15</v>
      </c>
      <c r="C1016" s="19" t="s">
        <v>3584</v>
      </c>
      <c r="D1016" s="19" t="s">
        <v>3585</v>
      </c>
      <c r="E1016" s="19" t="s">
        <v>855</v>
      </c>
      <c r="F1016" s="19">
        <v>2022</v>
      </c>
      <c r="G1016" s="21">
        <v>0.69483112999999996</v>
      </c>
      <c r="H1016" s="19" t="s">
        <v>3586</v>
      </c>
      <c r="I1016" s="19" t="s">
        <v>914</v>
      </c>
      <c r="J1016" s="21">
        <v>0.69483112999999996</v>
      </c>
      <c r="K1016" s="19" t="s">
        <v>3587</v>
      </c>
      <c r="L1016" s="19" t="s">
        <v>3588</v>
      </c>
      <c r="M1016" s="19" t="s">
        <v>3589</v>
      </c>
      <c r="N1016" s="19" t="s">
        <v>1120</v>
      </c>
    </row>
    <row r="1017" spans="1:14">
      <c r="A1017" s="19" t="s">
        <v>456</v>
      </c>
      <c r="B1017" s="19">
        <v>16</v>
      </c>
      <c r="C1017" s="19" t="s">
        <v>3506</v>
      </c>
      <c r="D1017" s="19" t="s">
        <v>3507</v>
      </c>
      <c r="E1017" s="19" t="s">
        <v>855</v>
      </c>
      <c r="F1017" s="19">
        <v>2023</v>
      </c>
      <c r="G1017" s="21">
        <v>0.69400629999999996</v>
      </c>
      <c r="H1017" s="19" t="s">
        <v>3508</v>
      </c>
      <c r="I1017" s="19" t="s">
        <v>865</v>
      </c>
      <c r="J1017" s="21">
        <v>0.69400629999999996</v>
      </c>
      <c r="K1017" s="19" t="s">
        <v>3509</v>
      </c>
      <c r="L1017" s="19" t="s">
        <v>3510</v>
      </c>
      <c r="M1017" s="19"/>
      <c r="N1017" s="19" t="s">
        <v>1470</v>
      </c>
    </row>
    <row r="1018" spans="1:14">
      <c r="A1018" s="19" t="s">
        <v>456</v>
      </c>
      <c r="B1018" s="19">
        <v>17</v>
      </c>
      <c r="C1018" s="19" t="s">
        <v>3472</v>
      </c>
      <c r="D1018" s="19" t="s">
        <v>3473</v>
      </c>
      <c r="E1018" s="19" t="s">
        <v>855</v>
      </c>
      <c r="F1018" s="19">
        <v>2022</v>
      </c>
      <c r="G1018" s="21">
        <v>0.69375025999999995</v>
      </c>
      <c r="H1018" s="19" t="s">
        <v>3474</v>
      </c>
      <c r="I1018" s="19" t="s">
        <v>865</v>
      </c>
      <c r="J1018" s="21">
        <v>0.69375025999999995</v>
      </c>
      <c r="K1018" s="19" t="s">
        <v>3475</v>
      </c>
      <c r="L1018" s="19" t="s">
        <v>3476</v>
      </c>
      <c r="M1018" s="19"/>
      <c r="N1018" s="19" t="s">
        <v>1470</v>
      </c>
    </row>
    <row r="1019" spans="1:14">
      <c r="A1019" s="19" t="s">
        <v>456</v>
      </c>
      <c r="B1019" s="19">
        <v>18</v>
      </c>
      <c r="C1019" s="19" t="s">
        <v>3517</v>
      </c>
      <c r="D1019" s="19" t="s">
        <v>3518</v>
      </c>
      <c r="E1019" s="19" t="s">
        <v>855</v>
      </c>
      <c r="F1019" s="19">
        <v>2023</v>
      </c>
      <c r="G1019" s="21">
        <v>0.69349729999999998</v>
      </c>
      <c r="H1019" s="19" t="s">
        <v>3519</v>
      </c>
      <c r="I1019" s="19" t="s">
        <v>865</v>
      </c>
      <c r="J1019" s="21">
        <v>0.69349729999999998</v>
      </c>
      <c r="K1019" s="19" t="s">
        <v>3520</v>
      </c>
      <c r="L1019" s="19" t="s">
        <v>3521</v>
      </c>
      <c r="M1019" s="19"/>
      <c r="N1019" s="19" t="s">
        <v>1470</v>
      </c>
    </row>
    <row r="1020" spans="1:14">
      <c r="A1020" s="19" t="s">
        <v>456</v>
      </c>
      <c r="B1020" s="19">
        <v>19</v>
      </c>
      <c r="C1020" s="19" t="s">
        <v>3482</v>
      </c>
      <c r="D1020" s="19" t="s">
        <v>3483</v>
      </c>
      <c r="E1020" s="19" t="s">
        <v>855</v>
      </c>
      <c r="F1020" s="19">
        <v>2023</v>
      </c>
      <c r="G1020" s="21">
        <v>0.69267416000000004</v>
      </c>
      <c r="H1020" s="19" t="s">
        <v>3484</v>
      </c>
      <c r="I1020" s="19" t="s">
        <v>865</v>
      </c>
      <c r="J1020" s="21">
        <v>0.69267416000000004</v>
      </c>
      <c r="K1020" s="19" t="s">
        <v>3485</v>
      </c>
      <c r="L1020" s="19" t="s">
        <v>3486</v>
      </c>
      <c r="M1020" s="19" t="s">
        <v>3487</v>
      </c>
      <c r="N1020" s="19" t="s">
        <v>1470</v>
      </c>
    </row>
    <row r="1021" spans="1:14">
      <c r="A1021" s="19" t="s">
        <v>456</v>
      </c>
      <c r="B1021" s="19">
        <v>20</v>
      </c>
      <c r="C1021" s="19" t="s">
        <v>3590</v>
      </c>
      <c r="D1021" s="19" t="s">
        <v>3591</v>
      </c>
      <c r="E1021" s="19" t="s">
        <v>855</v>
      </c>
      <c r="F1021" s="19">
        <v>2016</v>
      </c>
      <c r="G1021" s="21">
        <v>0.69176643999999998</v>
      </c>
      <c r="H1021" s="19" t="s">
        <v>3592</v>
      </c>
      <c r="I1021" s="19" t="s">
        <v>914</v>
      </c>
      <c r="J1021" s="21">
        <v>0.69176643999999998</v>
      </c>
      <c r="K1021" s="19" t="s">
        <v>3593</v>
      </c>
      <c r="L1021" s="19" t="s">
        <v>3594</v>
      </c>
      <c r="M1021" s="19" t="s">
        <v>3595</v>
      </c>
      <c r="N1021" s="19" t="s">
        <v>1120</v>
      </c>
    </row>
    <row r="1022" spans="1:14">
      <c r="A1022" s="19" t="s">
        <v>90</v>
      </c>
      <c r="B1022" s="19">
        <v>1</v>
      </c>
      <c r="C1022" s="19" t="s">
        <v>3596</v>
      </c>
      <c r="D1022" s="19" t="s">
        <v>674</v>
      </c>
      <c r="E1022" s="19" t="s">
        <v>855</v>
      </c>
      <c r="F1022" s="19">
        <v>2015</v>
      </c>
      <c r="G1022" s="21">
        <v>0.73516135999999999</v>
      </c>
      <c r="H1022" s="19" t="s">
        <v>3597</v>
      </c>
      <c r="I1022" s="19" t="s">
        <v>914</v>
      </c>
      <c r="J1022" s="21">
        <v>0.73516135999999999</v>
      </c>
      <c r="K1022" s="19" t="s">
        <v>3598</v>
      </c>
      <c r="L1022" s="19" t="s">
        <v>3599</v>
      </c>
      <c r="M1022" s="19" t="s">
        <v>3600</v>
      </c>
      <c r="N1022" s="19" t="s">
        <v>1807</v>
      </c>
    </row>
    <row r="1023" spans="1:14">
      <c r="A1023" s="19" t="s">
        <v>90</v>
      </c>
      <c r="B1023" s="19">
        <v>2</v>
      </c>
      <c r="C1023" s="19" t="s">
        <v>3601</v>
      </c>
      <c r="D1023" s="19" t="s">
        <v>3602</v>
      </c>
      <c r="E1023" s="19" t="s">
        <v>855</v>
      </c>
      <c r="F1023" s="19">
        <v>2014</v>
      </c>
      <c r="G1023" s="21">
        <v>0.73192024</v>
      </c>
      <c r="H1023" s="19" t="s">
        <v>3603</v>
      </c>
      <c r="I1023" s="19" t="s">
        <v>914</v>
      </c>
      <c r="J1023" s="21">
        <v>0.73192024</v>
      </c>
      <c r="K1023" s="19" t="s">
        <v>3604</v>
      </c>
      <c r="L1023" s="19" t="s">
        <v>3605</v>
      </c>
      <c r="M1023" s="19"/>
      <c r="N1023" s="19" t="s">
        <v>1604</v>
      </c>
    </row>
    <row r="1024" spans="1:14">
      <c r="A1024" s="19" t="s">
        <v>90</v>
      </c>
      <c r="B1024" s="19">
        <v>3</v>
      </c>
      <c r="C1024" s="19" t="s">
        <v>3606</v>
      </c>
      <c r="D1024" s="19" t="s">
        <v>3607</v>
      </c>
      <c r="E1024" s="19" t="s">
        <v>855</v>
      </c>
      <c r="F1024" s="19">
        <v>2014</v>
      </c>
      <c r="G1024" s="21">
        <v>0.72519529999999999</v>
      </c>
      <c r="H1024" s="19" t="s">
        <v>3608</v>
      </c>
      <c r="I1024" s="19" t="s">
        <v>914</v>
      </c>
      <c r="J1024" s="21">
        <v>0.72519529999999999</v>
      </c>
      <c r="K1024" s="19" t="s">
        <v>3609</v>
      </c>
      <c r="L1024" s="19" t="s">
        <v>3610</v>
      </c>
      <c r="M1024" s="19" t="s">
        <v>3611</v>
      </c>
      <c r="N1024" s="19" t="s">
        <v>1604</v>
      </c>
    </row>
    <row r="1025" spans="1:14">
      <c r="A1025" s="19" t="s">
        <v>90</v>
      </c>
      <c r="B1025" s="19">
        <v>4</v>
      </c>
      <c r="C1025" s="19" t="s">
        <v>3612</v>
      </c>
      <c r="D1025" s="19" t="s">
        <v>3613</v>
      </c>
      <c r="E1025" s="19" t="s">
        <v>855</v>
      </c>
      <c r="F1025" s="19">
        <v>2015</v>
      </c>
      <c r="G1025" s="21">
        <v>0.72315054999999995</v>
      </c>
      <c r="H1025" s="19" t="s">
        <v>3614</v>
      </c>
      <c r="I1025" s="19" t="s">
        <v>914</v>
      </c>
      <c r="J1025" s="21">
        <v>0.72315054999999995</v>
      </c>
      <c r="K1025" s="19" t="s">
        <v>3615</v>
      </c>
      <c r="L1025" s="19" t="s">
        <v>3616</v>
      </c>
      <c r="M1025" s="19"/>
      <c r="N1025" s="19" t="s">
        <v>1630</v>
      </c>
    </row>
    <row r="1026" spans="1:14">
      <c r="A1026" s="19" t="s">
        <v>90</v>
      </c>
      <c r="B1026" s="19">
        <v>5</v>
      </c>
      <c r="C1026" s="19" t="s">
        <v>3617</v>
      </c>
      <c r="D1026" s="19" t="s">
        <v>3618</v>
      </c>
      <c r="E1026" s="19" t="s">
        <v>855</v>
      </c>
      <c r="F1026" s="19">
        <v>2014</v>
      </c>
      <c r="G1026" s="21">
        <v>0.72266280000000005</v>
      </c>
      <c r="H1026" s="19" t="s">
        <v>3619</v>
      </c>
      <c r="I1026" s="19" t="s">
        <v>914</v>
      </c>
      <c r="J1026" s="21">
        <v>0.72266280000000005</v>
      </c>
      <c r="K1026" s="19" t="s">
        <v>3620</v>
      </c>
      <c r="L1026" s="19" t="s">
        <v>3621</v>
      </c>
      <c r="M1026" s="19"/>
      <c r="N1026" s="19" t="s">
        <v>1630</v>
      </c>
    </row>
    <row r="1027" spans="1:14">
      <c r="A1027" s="19" t="s">
        <v>90</v>
      </c>
      <c r="B1027" s="19">
        <v>6</v>
      </c>
      <c r="C1027" s="19" t="s">
        <v>3622</v>
      </c>
      <c r="D1027" s="19" t="s">
        <v>3623</v>
      </c>
      <c r="E1027" s="19" t="s">
        <v>855</v>
      </c>
      <c r="F1027" s="19">
        <v>2014</v>
      </c>
      <c r="G1027" s="21">
        <v>0.72144209999999998</v>
      </c>
      <c r="H1027" s="19" t="s">
        <v>3624</v>
      </c>
      <c r="I1027" s="19" t="s">
        <v>914</v>
      </c>
      <c r="J1027" s="21">
        <v>0.72144209999999998</v>
      </c>
      <c r="K1027" s="19" t="s">
        <v>3625</v>
      </c>
      <c r="L1027" s="19" t="s">
        <v>3626</v>
      </c>
      <c r="M1027" s="19"/>
      <c r="N1027" s="19" t="s">
        <v>1630</v>
      </c>
    </row>
    <row r="1028" spans="1:14">
      <c r="A1028" s="19" t="s">
        <v>90</v>
      </c>
      <c r="B1028" s="19">
        <v>7</v>
      </c>
      <c r="C1028" s="19" t="s">
        <v>3333</v>
      </c>
      <c r="D1028" s="19" t="s">
        <v>3334</v>
      </c>
      <c r="E1028" s="19" t="s">
        <v>855</v>
      </c>
      <c r="F1028" s="19">
        <v>2014</v>
      </c>
      <c r="G1028" s="21">
        <v>0.72125419999999996</v>
      </c>
      <c r="H1028" s="19" t="s">
        <v>3627</v>
      </c>
      <c r="I1028" s="19" t="s">
        <v>914</v>
      </c>
      <c r="J1028" s="21">
        <v>0.72125419999999996</v>
      </c>
      <c r="K1028" s="19" t="s">
        <v>3628</v>
      </c>
      <c r="L1028" s="19" t="s">
        <v>3629</v>
      </c>
      <c r="M1028" s="19"/>
      <c r="N1028" s="19" t="s">
        <v>1630</v>
      </c>
    </row>
    <row r="1029" spans="1:14">
      <c r="A1029" s="19" t="s">
        <v>90</v>
      </c>
      <c r="B1029" s="19">
        <v>8</v>
      </c>
      <c r="C1029" s="19" t="s">
        <v>3630</v>
      </c>
      <c r="D1029" s="19" t="s">
        <v>3631</v>
      </c>
      <c r="E1029" s="19" t="s">
        <v>855</v>
      </c>
      <c r="F1029" s="19">
        <v>2017</v>
      </c>
      <c r="G1029" s="21">
        <v>0.71677022999999995</v>
      </c>
      <c r="H1029" s="19" t="s">
        <v>3632</v>
      </c>
      <c r="I1029" s="19" t="s">
        <v>914</v>
      </c>
      <c r="J1029" s="21">
        <v>0.71677022999999995</v>
      </c>
      <c r="K1029" s="19" t="s">
        <v>3633</v>
      </c>
      <c r="L1029" s="19" t="s">
        <v>3634</v>
      </c>
      <c r="M1029" s="19" t="s">
        <v>3635</v>
      </c>
      <c r="N1029" s="19" t="s">
        <v>1630</v>
      </c>
    </row>
    <row r="1030" spans="1:14">
      <c r="A1030" s="19" t="s">
        <v>90</v>
      </c>
      <c r="B1030" s="19">
        <v>9</v>
      </c>
      <c r="C1030" s="19" t="s">
        <v>3636</v>
      </c>
      <c r="D1030" s="19" t="s">
        <v>3637</v>
      </c>
      <c r="E1030" s="19" t="s">
        <v>855</v>
      </c>
      <c r="F1030" s="19">
        <v>2014</v>
      </c>
      <c r="G1030" s="21">
        <v>0.71527600000000002</v>
      </c>
      <c r="H1030" s="19" t="s">
        <v>3638</v>
      </c>
      <c r="I1030" s="19" t="s">
        <v>914</v>
      </c>
      <c r="J1030" s="21">
        <v>0.71527600000000002</v>
      </c>
      <c r="K1030" s="19" t="s">
        <v>3639</v>
      </c>
      <c r="L1030" s="19" t="s">
        <v>3640</v>
      </c>
      <c r="M1030" s="19"/>
      <c r="N1030" s="19" t="s">
        <v>1630</v>
      </c>
    </row>
    <row r="1031" spans="1:14">
      <c r="A1031" s="19" t="s">
        <v>90</v>
      </c>
      <c r="B1031" s="19">
        <v>10</v>
      </c>
      <c r="C1031" s="19" t="s">
        <v>3641</v>
      </c>
      <c r="D1031" s="19" t="s">
        <v>3642</v>
      </c>
      <c r="E1031" s="19" t="s">
        <v>855</v>
      </c>
      <c r="F1031" s="19">
        <v>2014</v>
      </c>
      <c r="G1031" s="21">
        <v>0.71515136999999995</v>
      </c>
      <c r="H1031" s="19" t="s">
        <v>3643</v>
      </c>
      <c r="I1031" s="19" t="s">
        <v>914</v>
      </c>
      <c r="J1031" s="21">
        <v>0.71515136999999995</v>
      </c>
      <c r="K1031" s="19" t="s">
        <v>3644</v>
      </c>
      <c r="L1031" s="19" t="s">
        <v>3645</v>
      </c>
      <c r="M1031" s="19" t="s">
        <v>3646</v>
      </c>
      <c r="N1031" s="19" t="s">
        <v>1630</v>
      </c>
    </row>
    <row r="1032" spans="1:14">
      <c r="A1032" s="19" t="s">
        <v>90</v>
      </c>
      <c r="B1032" s="19">
        <v>11</v>
      </c>
      <c r="C1032" s="19" t="s">
        <v>3647</v>
      </c>
      <c r="D1032" s="19" t="s">
        <v>3648</v>
      </c>
      <c r="E1032" s="19" t="s">
        <v>855</v>
      </c>
      <c r="F1032" s="19">
        <v>2017</v>
      </c>
      <c r="G1032" s="21">
        <v>0.71372259999999998</v>
      </c>
      <c r="H1032" s="19" t="s">
        <v>3649</v>
      </c>
      <c r="I1032" s="19" t="s">
        <v>914</v>
      </c>
      <c r="J1032" s="21">
        <v>0.71372259999999998</v>
      </c>
      <c r="K1032" s="19" t="s">
        <v>3650</v>
      </c>
      <c r="L1032" s="19" t="s">
        <v>3651</v>
      </c>
      <c r="M1032" s="19" t="s">
        <v>3652</v>
      </c>
      <c r="N1032" s="19" t="s">
        <v>1659</v>
      </c>
    </row>
    <row r="1033" spans="1:14">
      <c r="A1033" s="19" t="s">
        <v>90</v>
      </c>
      <c r="B1033" s="19">
        <v>12</v>
      </c>
      <c r="C1033" s="19" t="s">
        <v>3653</v>
      </c>
      <c r="D1033" s="19" t="s">
        <v>3654</v>
      </c>
      <c r="E1033" s="19" t="s">
        <v>855</v>
      </c>
      <c r="F1033" s="19">
        <v>2017</v>
      </c>
      <c r="G1033" s="21">
        <v>0.71336113999999995</v>
      </c>
      <c r="H1033" s="19" t="s">
        <v>3655</v>
      </c>
      <c r="I1033" s="19" t="s">
        <v>914</v>
      </c>
      <c r="J1033" s="21">
        <v>0.71336113999999995</v>
      </c>
      <c r="K1033" s="19" t="s">
        <v>3656</v>
      </c>
      <c r="L1033" s="19" t="s">
        <v>3657</v>
      </c>
      <c r="M1033" s="19"/>
      <c r="N1033" s="19" t="s">
        <v>1659</v>
      </c>
    </row>
    <row r="1034" spans="1:14">
      <c r="A1034" s="19" t="s">
        <v>90</v>
      </c>
      <c r="B1034" s="19">
        <v>13</v>
      </c>
      <c r="C1034" s="19" t="s">
        <v>3658</v>
      </c>
      <c r="D1034" s="19" t="s">
        <v>3659</v>
      </c>
      <c r="E1034" s="19" t="s">
        <v>855</v>
      </c>
      <c r="F1034" s="19">
        <v>2015</v>
      </c>
      <c r="G1034" s="21">
        <v>0.71037830000000002</v>
      </c>
      <c r="H1034" s="19" t="s">
        <v>3660</v>
      </c>
      <c r="I1034" s="19" t="s">
        <v>914</v>
      </c>
      <c r="J1034" s="21">
        <v>0.71037830000000002</v>
      </c>
      <c r="K1034" s="19" t="s">
        <v>3661</v>
      </c>
      <c r="L1034" s="19" t="s">
        <v>3662</v>
      </c>
      <c r="M1034" s="19"/>
      <c r="N1034" s="19" t="s">
        <v>1659</v>
      </c>
    </row>
    <row r="1035" spans="1:14">
      <c r="A1035" s="19" t="s">
        <v>90</v>
      </c>
      <c r="B1035" s="19">
        <v>14</v>
      </c>
      <c r="C1035" s="19" t="s">
        <v>3663</v>
      </c>
      <c r="D1035" s="19" t="s">
        <v>3664</v>
      </c>
      <c r="E1035" s="19" t="s">
        <v>855</v>
      </c>
      <c r="F1035" s="19">
        <v>2017</v>
      </c>
      <c r="G1035" s="21">
        <v>0.71024776000000001</v>
      </c>
      <c r="H1035" s="19" t="s">
        <v>3665</v>
      </c>
      <c r="I1035" s="19" t="s">
        <v>914</v>
      </c>
      <c r="J1035" s="21">
        <v>0.71024776000000001</v>
      </c>
      <c r="K1035" s="19" t="s">
        <v>3666</v>
      </c>
      <c r="L1035" s="19" t="s">
        <v>3667</v>
      </c>
      <c r="M1035" s="19"/>
      <c r="N1035" s="19" t="s">
        <v>1659</v>
      </c>
    </row>
    <row r="1036" spans="1:14">
      <c r="A1036" s="19" t="s">
        <v>90</v>
      </c>
      <c r="B1036" s="19">
        <v>15</v>
      </c>
      <c r="C1036" s="19" t="s">
        <v>3668</v>
      </c>
      <c r="D1036" s="19" t="s">
        <v>3669</v>
      </c>
      <c r="E1036" s="19" t="s">
        <v>855</v>
      </c>
      <c r="F1036" s="19">
        <v>2017</v>
      </c>
      <c r="G1036" s="21">
        <v>0.70876790000000001</v>
      </c>
      <c r="H1036" s="19" t="s">
        <v>3670</v>
      </c>
      <c r="I1036" s="19" t="s">
        <v>914</v>
      </c>
      <c r="J1036" s="21">
        <v>0.70876790000000001</v>
      </c>
      <c r="K1036" s="19" t="s">
        <v>3671</v>
      </c>
      <c r="L1036" s="19" t="s">
        <v>3672</v>
      </c>
      <c r="M1036" s="19"/>
      <c r="N1036" s="19" t="s">
        <v>1659</v>
      </c>
    </row>
    <row r="1037" spans="1:14">
      <c r="A1037" s="19" t="s">
        <v>90</v>
      </c>
      <c r="B1037" s="19">
        <v>16</v>
      </c>
      <c r="C1037" s="19" t="s">
        <v>3673</v>
      </c>
      <c r="D1037" s="19" t="s">
        <v>3674</v>
      </c>
      <c r="E1037" s="19" t="s">
        <v>855</v>
      </c>
      <c r="F1037" s="19">
        <v>2015</v>
      </c>
      <c r="G1037" s="21">
        <v>0.70845603999999995</v>
      </c>
      <c r="H1037" s="19" t="s">
        <v>3675</v>
      </c>
      <c r="I1037" s="19" t="s">
        <v>914</v>
      </c>
      <c r="J1037" s="21">
        <v>0.70845603999999995</v>
      </c>
      <c r="K1037" s="19" t="s">
        <v>3676</v>
      </c>
      <c r="L1037" s="19" t="s">
        <v>3677</v>
      </c>
      <c r="M1037" s="19"/>
      <c r="N1037" s="19" t="s">
        <v>1659</v>
      </c>
    </row>
    <row r="1038" spans="1:14">
      <c r="A1038" s="19" t="s">
        <v>90</v>
      </c>
      <c r="B1038" s="19">
        <v>17</v>
      </c>
      <c r="C1038" s="19" t="s">
        <v>3678</v>
      </c>
      <c r="D1038" s="19" t="s">
        <v>3679</v>
      </c>
      <c r="E1038" s="19" t="s">
        <v>855</v>
      </c>
      <c r="F1038" s="19">
        <v>2015</v>
      </c>
      <c r="G1038" s="21">
        <v>0.70732629999999996</v>
      </c>
      <c r="H1038" s="19" t="s">
        <v>3680</v>
      </c>
      <c r="I1038" s="19" t="s">
        <v>914</v>
      </c>
      <c r="J1038" s="21">
        <v>0.70732629999999996</v>
      </c>
      <c r="K1038" s="19" t="s">
        <v>3681</v>
      </c>
      <c r="L1038" s="19" t="s">
        <v>3682</v>
      </c>
      <c r="M1038" s="19"/>
      <c r="N1038" s="19" t="s">
        <v>1659</v>
      </c>
    </row>
    <row r="1039" spans="1:14">
      <c r="A1039" s="19" t="s">
        <v>90</v>
      </c>
      <c r="B1039" s="19">
        <v>18</v>
      </c>
      <c r="C1039" s="19" t="s">
        <v>3683</v>
      </c>
      <c r="D1039" s="19" t="s">
        <v>3684</v>
      </c>
      <c r="E1039" s="19" t="s">
        <v>855</v>
      </c>
      <c r="F1039" s="19">
        <v>2017</v>
      </c>
      <c r="G1039" s="21">
        <v>0.70610225000000004</v>
      </c>
      <c r="H1039" s="19" t="s">
        <v>3685</v>
      </c>
      <c r="I1039" s="19" t="s">
        <v>914</v>
      </c>
      <c r="J1039" s="21">
        <v>0.70610225000000004</v>
      </c>
      <c r="K1039" s="19" t="s">
        <v>3686</v>
      </c>
      <c r="L1039" s="19" t="s">
        <v>3687</v>
      </c>
      <c r="M1039" s="19" t="s">
        <v>3688</v>
      </c>
      <c r="N1039" s="19" t="s">
        <v>1659</v>
      </c>
    </row>
    <row r="1040" spans="1:14">
      <c r="A1040" s="19" t="s">
        <v>90</v>
      </c>
      <c r="B1040" s="19">
        <v>19</v>
      </c>
      <c r="C1040" s="19" t="s">
        <v>3689</v>
      </c>
      <c r="D1040" s="19" t="s">
        <v>3690</v>
      </c>
      <c r="E1040" s="19" t="s">
        <v>855</v>
      </c>
      <c r="F1040" s="19">
        <v>2017</v>
      </c>
      <c r="G1040" s="21">
        <v>0.70589816999999999</v>
      </c>
      <c r="H1040" s="19" t="s">
        <v>3691</v>
      </c>
      <c r="I1040" s="19" t="s">
        <v>914</v>
      </c>
      <c r="J1040" s="21">
        <v>0.70589816999999999</v>
      </c>
      <c r="K1040" s="19" t="s">
        <v>3692</v>
      </c>
      <c r="L1040" s="19" t="s">
        <v>3693</v>
      </c>
      <c r="M1040" s="19" t="s">
        <v>3694</v>
      </c>
      <c r="N1040" s="19" t="s">
        <v>1659</v>
      </c>
    </row>
    <row r="1041" spans="1:14">
      <c r="A1041" s="19" t="s">
        <v>90</v>
      </c>
      <c r="B1041" s="19">
        <v>20</v>
      </c>
      <c r="C1041" s="19" t="s">
        <v>3695</v>
      </c>
      <c r="D1041" s="19" t="s">
        <v>3696</v>
      </c>
      <c r="E1041" s="19" t="s">
        <v>855</v>
      </c>
      <c r="F1041" s="19">
        <v>2015</v>
      </c>
      <c r="G1041" s="21">
        <v>0.70574809999999999</v>
      </c>
      <c r="H1041" s="19" t="s">
        <v>3697</v>
      </c>
      <c r="I1041" s="19" t="s">
        <v>914</v>
      </c>
      <c r="J1041" s="21">
        <v>0.70574809999999999</v>
      </c>
      <c r="K1041" s="19" t="s">
        <v>3698</v>
      </c>
      <c r="L1041" s="19" t="s">
        <v>3699</v>
      </c>
      <c r="M1041" s="19"/>
      <c r="N1041" s="19" t="s">
        <v>1659</v>
      </c>
    </row>
    <row r="1042" spans="1:14">
      <c r="A1042" s="19" t="s">
        <v>54</v>
      </c>
      <c r="B1042" s="19">
        <v>1</v>
      </c>
      <c r="C1042" s="19" t="s">
        <v>3700</v>
      </c>
      <c r="D1042" s="19" t="s">
        <v>663</v>
      </c>
      <c r="E1042" s="19" t="s">
        <v>855</v>
      </c>
      <c r="F1042" s="19">
        <v>2015</v>
      </c>
      <c r="G1042" s="21">
        <v>0.71109319999999998</v>
      </c>
      <c r="H1042" s="19" t="s">
        <v>3701</v>
      </c>
      <c r="I1042" s="19" t="s">
        <v>857</v>
      </c>
      <c r="J1042" s="21">
        <v>0.71109319999999998</v>
      </c>
      <c r="K1042" s="19" t="s">
        <v>3702</v>
      </c>
      <c r="L1042" s="19" t="s">
        <v>3703</v>
      </c>
      <c r="M1042" s="19"/>
      <c r="N1042" s="19" t="s">
        <v>2049</v>
      </c>
    </row>
    <row r="1043" spans="1:14">
      <c r="A1043" s="19" t="s">
        <v>54</v>
      </c>
      <c r="B1043" s="19">
        <v>2</v>
      </c>
      <c r="C1043" s="19" t="s">
        <v>3704</v>
      </c>
      <c r="D1043" s="19" t="s">
        <v>3705</v>
      </c>
      <c r="E1043" s="19" t="s">
        <v>855</v>
      </c>
      <c r="F1043" s="19">
        <v>2014</v>
      </c>
      <c r="G1043" s="21">
        <v>0.70103660000000001</v>
      </c>
      <c r="H1043" s="19" t="s">
        <v>3706</v>
      </c>
      <c r="I1043" s="19" t="s">
        <v>857</v>
      </c>
      <c r="J1043" s="21">
        <v>0.70103660000000001</v>
      </c>
      <c r="K1043" s="19" t="s">
        <v>3707</v>
      </c>
      <c r="L1043" s="19" t="s">
        <v>3708</v>
      </c>
      <c r="M1043" s="19"/>
      <c r="N1043" s="19" t="s">
        <v>986</v>
      </c>
    </row>
    <row r="1044" spans="1:14">
      <c r="A1044" s="19" t="s">
        <v>54</v>
      </c>
      <c r="B1044" s="19">
        <v>3</v>
      </c>
      <c r="C1044" s="19" t="s">
        <v>3709</v>
      </c>
      <c r="D1044" s="19" t="s">
        <v>3710</v>
      </c>
      <c r="E1044" s="19" t="s">
        <v>855</v>
      </c>
      <c r="F1044" s="19">
        <v>2016</v>
      </c>
      <c r="G1044" s="21">
        <v>0.69923449999999998</v>
      </c>
      <c r="H1044" s="19" t="s">
        <v>3711</v>
      </c>
      <c r="I1044" s="19" t="s">
        <v>857</v>
      </c>
      <c r="J1044" s="21">
        <v>0.69923449999999998</v>
      </c>
      <c r="K1044" s="19" t="s">
        <v>3712</v>
      </c>
      <c r="L1044" s="19" t="s">
        <v>3713</v>
      </c>
      <c r="M1044" s="19" t="s">
        <v>3714</v>
      </c>
      <c r="N1044" s="19" t="s">
        <v>986</v>
      </c>
    </row>
    <row r="1045" spans="1:14">
      <c r="A1045" s="19" t="s">
        <v>54</v>
      </c>
      <c r="B1045" s="19">
        <v>4</v>
      </c>
      <c r="C1045" s="19" t="s">
        <v>3715</v>
      </c>
      <c r="D1045" s="19" t="s">
        <v>3716</v>
      </c>
      <c r="E1045" s="19" t="s">
        <v>855</v>
      </c>
      <c r="F1045" s="19">
        <v>2022</v>
      </c>
      <c r="G1045" s="21">
        <v>0.69587200000000005</v>
      </c>
      <c r="H1045" s="19" t="s">
        <v>3717</v>
      </c>
      <c r="I1045" s="19" t="s">
        <v>857</v>
      </c>
      <c r="J1045" s="21">
        <v>0.69587200000000005</v>
      </c>
      <c r="K1045" s="19" t="s">
        <v>3718</v>
      </c>
      <c r="L1045" s="19" t="s">
        <v>3719</v>
      </c>
      <c r="M1045" s="19" t="s">
        <v>3720</v>
      </c>
      <c r="N1045" s="19" t="s">
        <v>986</v>
      </c>
    </row>
    <row r="1046" spans="1:14">
      <c r="A1046" s="19" t="s">
        <v>54</v>
      </c>
      <c r="B1046" s="19">
        <v>5</v>
      </c>
      <c r="C1046" s="19" t="s">
        <v>3721</v>
      </c>
      <c r="D1046" s="19" t="s">
        <v>3722</v>
      </c>
      <c r="E1046" s="19" t="s">
        <v>855</v>
      </c>
      <c r="F1046" s="19">
        <v>2016</v>
      </c>
      <c r="G1046" s="21">
        <v>0.69485319999999995</v>
      </c>
      <c r="H1046" s="19" t="s">
        <v>3723</v>
      </c>
      <c r="I1046" s="19" t="s">
        <v>857</v>
      </c>
      <c r="J1046" s="21">
        <v>0.69485319999999995</v>
      </c>
      <c r="K1046" s="19" t="s">
        <v>3724</v>
      </c>
      <c r="L1046" s="19" t="s">
        <v>3725</v>
      </c>
      <c r="M1046" s="19" t="s">
        <v>3726</v>
      </c>
      <c r="N1046" s="19" t="s">
        <v>1409</v>
      </c>
    </row>
    <row r="1047" spans="1:14">
      <c r="A1047" s="19" t="s">
        <v>54</v>
      </c>
      <c r="B1047" s="19">
        <v>6</v>
      </c>
      <c r="C1047" s="19" t="s">
        <v>3727</v>
      </c>
      <c r="D1047" s="19" t="s">
        <v>3728</v>
      </c>
      <c r="E1047" s="19" t="s">
        <v>855</v>
      </c>
      <c r="F1047" s="19">
        <v>2017</v>
      </c>
      <c r="G1047" s="21">
        <v>0.69394730000000004</v>
      </c>
      <c r="H1047" s="19" t="s">
        <v>3729</v>
      </c>
      <c r="I1047" s="19" t="s">
        <v>857</v>
      </c>
      <c r="J1047" s="21">
        <v>0.69394730000000004</v>
      </c>
      <c r="K1047" s="19" t="s">
        <v>3730</v>
      </c>
      <c r="L1047" s="19" t="s">
        <v>3731</v>
      </c>
      <c r="M1047" s="19" t="s">
        <v>3732</v>
      </c>
      <c r="N1047" s="19" t="s">
        <v>1409</v>
      </c>
    </row>
    <row r="1048" spans="1:14">
      <c r="A1048" s="19" t="s">
        <v>54</v>
      </c>
      <c r="B1048" s="19">
        <v>7</v>
      </c>
      <c r="C1048" s="19" t="s">
        <v>3733</v>
      </c>
      <c r="D1048" s="19" t="s">
        <v>768</v>
      </c>
      <c r="E1048" s="19" t="s">
        <v>855</v>
      </c>
      <c r="F1048" s="19">
        <v>2015</v>
      </c>
      <c r="G1048" s="21">
        <v>0.69119640000000004</v>
      </c>
      <c r="H1048" s="19" t="s">
        <v>3734</v>
      </c>
      <c r="I1048" s="19" t="s">
        <v>857</v>
      </c>
      <c r="J1048" s="21">
        <v>0.69119640000000004</v>
      </c>
      <c r="K1048" s="19" t="s">
        <v>3735</v>
      </c>
      <c r="L1048" s="19" t="s">
        <v>3736</v>
      </c>
      <c r="M1048" s="19"/>
      <c r="N1048" s="19" t="s">
        <v>1409</v>
      </c>
    </row>
    <row r="1049" spans="1:14">
      <c r="A1049" s="19" t="s">
        <v>54</v>
      </c>
      <c r="B1049" s="19">
        <v>8</v>
      </c>
      <c r="C1049" s="19" t="s">
        <v>3737</v>
      </c>
      <c r="D1049" s="19" t="s">
        <v>3738</v>
      </c>
      <c r="E1049" s="19" t="s">
        <v>855</v>
      </c>
      <c r="F1049" s="19">
        <v>2018</v>
      </c>
      <c r="G1049" s="21">
        <v>0.68580839999999998</v>
      </c>
      <c r="H1049" s="19" t="s">
        <v>3739</v>
      </c>
      <c r="I1049" s="19" t="s">
        <v>857</v>
      </c>
      <c r="J1049" s="21">
        <v>0.68580839999999998</v>
      </c>
      <c r="K1049" s="19" t="s">
        <v>3740</v>
      </c>
      <c r="L1049" s="19" t="s">
        <v>3741</v>
      </c>
      <c r="M1049" s="19"/>
      <c r="N1049" s="19" t="s">
        <v>1409</v>
      </c>
    </row>
    <row r="1050" spans="1:14">
      <c r="A1050" s="19" t="s">
        <v>54</v>
      </c>
      <c r="B1050" s="19">
        <v>9</v>
      </c>
      <c r="C1050" s="19" t="s">
        <v>3742</v>
      </c>
      <c r="D1050" s="19" t="s">
        <v>3743</v>
      </c>
      <c r="E1050" s="19" t="s">
        <v>855</v>
      </c>
      <c r="F1050" s="19">
        <v>2016</v>
      </c>
      <c r="G1050" s="21">
        <v>0.67874265</v>
      </c>
      <c r="H1050" s="19" t="s">
        <v>3744</v>
      </c>
      <c r="I1050" s="19" t="s">
        <v>908</v>
      </c>
      <c r="J1050" s="21">
        <v>0.67874265</v>
      </c>
      <c r="K1050" s="19" t="s">
        <v>3745</v>
      </c>
      <c r="L1050" s="19" t="s">
        <v>3746</v>
      </c>
      <c r="M1050" s="19"/>
      <c r="N1050" s="19" t="s">
        <v>1078</v>
      </c>
    </row>
    <row r="1051" spans="1:14">
      <c r="A1051" s="19" t="s">
        <v>54</v>
      </c>
      <c r="B1051" s="19">
        <v>10</v>
      </c>
      <c r="C1051" s="19" t="s">
        <v>3747</v>
      </c>
      <c r="D1051" s="19" t="s">
        <v>3748</v>
      </c>
      <c r="E1051" s="19" t="s">
        <v>855</v>
      </c>
      <c r="F1051" s="19">
        <v>2014</v>
      </c>
      <c r="G1051" s="21">
        <v>0.67212117000000005</v>
      </c>
      <c r="H1051" s="19" t="s">
        <v>3749</v>
      </c>
      <c r="I1051" s="19" t="s">
        <v>951</v>
      </c>
      <c r="J1051" s="21">
        <v>0.67212117000000005</v>
      </c>
      <c r="K1051" s="19" t="s">
        <v>3750</v>
      </c>
      <c r="L1051" s="19" t="s">
        <v>3751</v>
      </c>
      <c r="M1051" s="19" t="s">
        <v>3752</v>
      </c>
      <c r="N1051" s="19" t="s">
        <v>1019</v>
      </c>
    </row>
    <row r="1052" spans="1:14">
      <c r="A1052" s="19" t="s">
        <v>54</v>
      </c>
      <c r="B1052" s="19">
        <v>11</v>
      </c>
      <c r="C1052" s="19" t="s">
        <v>3753</v>
      </c>
      <c r="D1052" s="19" t="s">
        <v>3754</v>
      </c>
      <c r="E1052" s="19" t="s">
        <v>855</v>
      </c>
      <c r="F1052" s="19">
        <v>2014</v>
      </c>
      <c r="G1052" s="21">
        <v>0.67111299999999996</v>
      </c>
      <c r="H1052" s="19" t="s">
        <v>3755</v>
      </c>
      <c r="I1052" s="19" t="s">
        <v>857</v>
      </c>
      <c r="J1052" s="21">
        <v>0.67111299999999996</v>
      </c>
      <c r="K1052" s="19" t="s">
        <v>3756</v>
      </c>
      <c r="L1052" s="19" t="s">
        <v>3757</v>
      </c>
      <c r="M1052" s="19"/>
      <c r="N1052" s="19" t="s">
        <v>1038</v>
      </c>
    </row>
    <row r="1053" spans="1:14">
      <c r="A1053" s="19" t="s">
        <v>54</v>
      </c>
      <c r="B1053" s="19">
        <v>12</v>
      </c>
      <c r="C1053" s="19" t="s">
        <v>3758</v>
      </c>
      <c r="D1053" s="19" t="s">
        <v>3759</v>
      </c>
      <c r="E1053" s="19" t="s">
        <v>855</v>
      </c>
      <c r="F1053" s="19">
        <v>2022</v>
      </c>
      <c r="G1053" s="21">
        <v>0.66582909999999995</v>
      </c>
      <c r="H1053" s="19" t="s">
        <v>3760</v>
      </c>
      <c r="I1053" s="19" t="s">
        <v>951</v>
      </c>
      <c r="J1053" s="21">
        <v>0.66582909999999995</v>
      </c>
      <c r="K1053" s="19" t="s">
        <v>3761</v>
      </c>
      <c r="L1053" s="19" t="s">
        <v>3762</v>
      </c>
      <c r="M1053" s="19" t="s">
        <v>3763</v>
      </c>
      <c r="N1053" s="19" t="s">
        <v>1019</v>
      </c>
    </row>
    <row r="1054" spans="1:14">
      <c r="A1054" s="19" t="s">
        <v>54</v>
      </c>
      <c r="B1054" s="19">
        <v>13</v>
      </c>
      <c r="C1054" s="19" t="s">
        <v>1529</v>
      </c>
      <c r="D1054" s="19" t="s">
        <v>1530</v>
      </c>
      <c r="E1054" s="19" t="s">
        <v>855</v>
      </c>
      <c r="F1054" s="19">
        <v>2015</v>
      </c>
      <c r="G1054" s="21">
        <v>0.66393020000000003</v>
      </c>
      <c r="H1054" s="19" t="s">
        <v>1531</v>
      </c>
      <c r="I1054" s="19" t="s">
        <v>857</v>
      </c>
      <c r="J1054" s="21">
        <v>0.66393020000000003</v>
      </c>
      <c r="K1054" s="19" t="s">
        <v>1532</v>
      </c>
      <c r="L1054" s="19" t="s">
        <v>1533</v>
      </c>
      <c r="M1054" s="19"/>
      <c r="N1054" s="19" t="s">
        <v>1350</v>
      </c>
    </row>
    <row r="1055" spans="1:14">
      <c r="A1055" s="19" t="s">
        <v>54</v>
      </c>
      <c r="B1055" s="19">
        <v>14</v>
      </c>
      <c r="C1055" s="19" t="s">
        <v>3764</v>
      </c>
      <c r="D1055" s="19" t="s">
        <v>3765</v>
      </c>
      <c r="E1055" s="19" t="s">
        <v>855</v>
      </c>
      <c r="F1055" s="19">
        <v>2015</v>
      </c>
      <c r="G1055" s="21">
        <v>0.658223</v>
      </c>
      <c r="H1055" s="19" t="s">
        <v>3766</v>
      </c>
      <c r="I1055" s="19" t="s">
        <v>914</v>
      </c>
      <c r="J1055" s="21">
        <v>0.658223</v>
      </c>
      <c r="K1055" s="19" t="s">
        <v>3767</v>
      </c>
      <c r="L1055" s="19" t="s">
        <v>3768</v>
      </c>
      <c r="M1055" s="19"/>
      <c r="N1055" s="19" t="s">
        <v>917</v>
      </c>
    </row>
    <row r="1056" spans="1:14">
      <c r="A1056" s="19" t="s">
        <v>54</v>
      </c>
      <c r="B1056" s="19">
        <v>15</v>
      </c>
      <c r="C1056" s="19" t="s">
        <v>3769</v>
      </c>
      <c r="D1056" s="19" t="s">
        <v>3770</v>
      </c>
      <c r="E1056" s="19" t="s">
        <v>855</v>
      </c>
      <c r="F1056" s="19">
        <v>2014</v>
      </c>
      <c r="G1056" s="21">
        <v>0.6577558</v>
      </c>
      <c r="H1056" s="19" t="s">
        <v>3771</v>
      </c>
      <c r="I1056" s="19" t="s">
        <v>857</v>
      </c>
      <c r="J1056" s="21">
        <v>0.6577558</v>
      </c>
      <c r="K1056" s="19" t="s">
        <v>3772</v>
      </c>
      <c r="L1056" s="19" t="s">
        <v>3773</v>
      </c>
      <c r="M1056" s="19"/>
      <c r="N1056" s="19" t="s">
        <v>1350</v>
      </c>
    </row>
    <row r="1057" spans="1:14">
      <c r="A1057" s="19" t="s">
        <v>54</v>
      </c>
      <c r="B1057" s="19">
        <v>16</v>
      </c>
      <c r="C1057" s="19" t="s">
        <v>3774</v>
      </c>
      <c r="D1057" s="19" t="s">
        <v>3775</v>
      </c>
      <c r="E1057" s="19" t="s">
        <v>855</v>
      </c>
      <c r="F1057" s="19">
        <v>2015</v>
      </c>
      <c r="G1057" s="21">
        <v>0.65674460000000001</v>
      </c>
      <c r="H1057" s="19" t="s">
        <v>3776</v>
      </c>
      <c r="I1057" s="19" t="s">
        <v>857</v>
      </c>
      <c r="J1057" s="21">
        <v>0.65674460000000001</v>
      </c>
      <c r="K1057" s="19" t="s">
        <v>3777</v>
      </c>
      <c r="L1057" s="19" t="s">
        <v>3778</v>
      </c>
      <c r="M1057" s="19"/>
      <c r="N1057" s="19" t="s">
        <v>1350</v>
      </c>
    </row>
    <row r="1058" spans="1:14">
      <c r="A1058" s="19" t="s">
        <v>54</v>
      </c>
      <c r="B1058" s="19">
        <v>17</v>
      </c>
      <c r="C1058" s="19" t="s">
        <v>3779</v>
      </c>
      <c r="D1058" s="19" t="s">
        <v>3780</v>
      </c>
      <c r="E1058" s="19" t="s">
        <v>855</v>
      </c>
      <c r="F1058" s="19">
        <v>2014</v>
      </c>
      <c r="G1058" s="21">
        <v>0.65310170000000001</v>
      </c>
      <c r="H1058" s="19" t="s">
        <v>3781</v>
      </c>
      <c r="I1058" s="19" t="s">
        <v>951</v>
      </c>
      <c r="J1058" s="21">
        <v>0.65310170000000001</v>
      </c>
      <c r="K1058" s="19" t="s">
        <v>3782</v>
      </c>
      <c r="L1058" s="19" t="s">
        <v>3783</v>
      </c>
      <c r="M1058" s="19" t="s">
        <v>3784</v>
      </c>
      <c r="N1058" s="19" t="s">
        <v>1238</v>
      </c>
    </row>
    <row r="1059" spans="1:14">
      <c r="A1059" s="19" t="s">
        <v>54</v>
      </c>
      <c r="B1059" s="19">
        <v>18</v>
      </c>
      <c r="C1059" s="19" t="s">
        <v>3785</v>
      </c>
      <c r="D1059" s="19" t="s">
        <v>3786</v>
      </c>
      <c r="E1059" s="19" t="s">
        <v>855</v>
      </c>
      <c r="F1059" s="19">
        <v>2015</v>
      </c>
      <c r="G1059" s="21">
        <v>0.65114784000000003</v>
      </c>
      <c r="H1059" s="19" t="s">
        <v>3787</v>
      </c>
      <c r="I1059" s="19" t="s">
        <v>857</v>
      </c>
      <c r="J1059" s="21">
        <v>0.65114784000000003</v>
      </c>
      <c r="K1059" s="19" t="s">
        <v>3788</v>
      </c>
      <c r="L1059" s="19" t="s">
        <v>3789</v>
      </c>
      <c r="M1059" s="19"/>
      <c r="N1059" s="19" t="s">
        <v>1263</v>
      </c>
    </row>
    <row r="1060" spans="1:14">
      <c r="A1060" s="19" t="s">
        <v>54</v>
      </c>
      <c r="B1060" s="19">
        <v>19</v>
      </c>
      <c r="C1060" s="19" t="s">
        <v>3790</v>
      </c>
      <c r="D1060" s="19" t="s">
        <v>3791</v>
      </c>
      <c r="E1060" s="19" t="s">
        <v>855</v>
      </c>
      <c r="F1060" s="19">
        <v>2015</v>
      </c>
      <c r="G1060" s="21">
        <v>0.65061310000000006</v>
      </c>
      <c r="H1060" s="19" t="s">
        <v>3792</v>
      </c>
      <c r="I1060" s="19" t="s">
        <v>857</v>
      </c>
      <c r="J1060" s="21">
        <v>0.65061310000000006</v>
      </c>
      <c r="K1060" s="19" t="s">
        <v>3793</v>
      </c>
      <c r="L1060" s="19" t="s">
        <v>3794</v>
      </c>
      <c r="M1060" s="19"/>
      <c r="N1060" s="19" t="s">
        <v>1263</v>
      </c>
    </row>
    <row r="1061" spans="1:14">
      <c r="A1061" s="19" t="s">
        <v>54</v>
      </c>
      <c r="B1061" s="19">
        <v>20</v>
      </c>
      <c r="C1061" s="19" t="s">
        <v>3795</v>
      </c>
      <c r="D1061" s="19" t="s">
        <v>3796</v>
      </c>
      <c r="E1061" s="19" t="s">
        <v>855</v>
      </c>
      <c r="F1061" s="19">
        <v>2014</v>
      </c>
      <c r="G1061" s="21">
        <v>0.64965479999999998</v>
      </c>
      <c r="H1061" s="19" t="s">
        <v>3797</v>
      </c>
      <c r="I1061" s="19" t="s">
        <v>857</v>
      </c>
      <c r="J1061" s="21">
        <v>0.64965479999999998</v>
      </c>
      <c r="K1061" s="19" t="s">
        <v>3798</v>
      </c>
      <c r="L1061" s="19" t="s">
        <v>3799</v>
      </c>
      <c r="M1061" s="19"/>
      <c r="N1061" s="19" t="s">
        <v>1263</v>
      </c>
    </row>
    <row r="1062" spans="1:14">
      <c r="A1062" s="19" t="s">
        <v>410</v>
      </c>
      <c r="B1062" s="19">
        <v>1</v>
      </c>
      <c r="C1062" s="19" t="s">
        <v>3800</v>
      </c>
      <c r="D1062" s="19" t="s">
        <v>782</v>
      </c>
      <c r="E1062" s="19" t="s">
        <v>855</v>
      </c>
      <c r="F1062" s="19">
        <v>2017</v>
      </c>
      <c r="G1062" s="21">
        <v>0.7174585</v>
      </c>
      <c r="H1062" s="19" t="s">
        <v>3801</v>
      </c>
      <c r="I1062" s="19" t="s">
        <v>925</v>
      </c>
      <c r="J1062" s="21">
        <v>0.7174585</v>
      </c>
      <c r="K1062" s="19" t="s">
        <v>3802</v>
      </c>
      <c r="L1062" s="19" t="s">
        <v>3803</v>
      </c>
      <c r="M1062" s="19" t="s">
        <v>3804</v>
      </c>
      <c r="N1062" s="19" t="s">
        <v>3805</v>
      </c>
    </row>
    <row r="1063" spans="1:14">
      <c r="A1063" s="19" t="s">
        <v>410</v>
      </c>
      <c r="B1063" s="19">
        <v>2</v>
      </c>
      <c r="C1063" s="19" t="s">
        <v>3806</v>
      </c>
      <c r="D1063" s="19" t="s">
        <v>3807</v>
      </c>
      <c r="E1063" s="19" t="s">
        <v>855</v>
      </c>
      <c r="F1063" s="19">
        <v>2015</v>
      </c>
      <c r="G1063" s="21">
        <v>0.71553330000000004</v>
      </c>
      <c r="H1063" s="19" t="s">
        <v>3808</v>
      </c>
      <c r="I1063" s="19" t="s">
        <v>914</v>
      </c>
      <c r="J1063" s="21">
        <v>0.71553330000000004</v>
      </c>
      <c r="K1063" s="19" t="s">
        <v>3809</v>
      </c>
      <c r="L1063" s="19" t="s">
        <v>3810</v>
      </c>
      <c r="M1063" s="19"/>
      <c r="N1063" s="19" t="s">
        <v>1630</v>
      </c>
    </row>
    <row r="1064" spans="1:14">
      <c r="A1064" s="19" t="s">
        <v>410</v>
      </c>
      <c r="B1064" s="19">
        <v>3</v>
      </c>
      <c r="C1064" s="19" t="s">
        <v>1895</v>
      </c>
      <c r="D1064" s="19" t="s">
        <v>1896</v>
      </c>
      <c r="E1064" s="19" t="s">
        <v>855</v>
      </c>
      <c r="F1064" s="19">
        <v>2015</v>
      </c>
      <c r="G1064" s="21">
        <v>0.70238400000000001</v>
      </c>
      <c r="H1064" s="19" t="s">
        <v>1897</v>
      </c>
      <c r="I1064" s="19" t="s">
        <v>857</v>
      </c>
      <c r="J1064" s="21">
        <v>0.70238400000000001</v>
      </c>
      <c r="K1064" s="19" t="s">
        <v>1898</v>
      </c>
      <c r="L1064" s="19" t="s">
        <v>1899</v>
      </c>
      <c r="M1064" s="19"/>
      <c r="N1064" s="19" t="s">
        <v>986</v>
      </c>
    </row>
    <row r="1065" spans="1:14">
      <c r="A1065" s="19" t="s">
        <v>410</v>
      </c>
      <c r="B1065" s="19">
        <v>4</v>
      </c>
      <c r="C1065" s="19" t="s">
        <v>3811</v>
      </c>
      <c r="D1065" s="19" t="s">
        <v>3812</v>
      </c>
      <c r="E1065" s="19" t="s">
        <v>855</v>
      </c>
      <c r="F1065" s="19">
        <v>2015</v>
      </c>
      <c r="G1065" s="21">
        <v>0.69465429999999995</v>
      </c>
      <c r="H1065" s="19" t="s">
        <v>3813</v>
      </c>
      <c r="I1065" s="19" t="s">
        <v>914</v>
      </c>
      <c r="J1065" s="21">
        <v>0.69465429999999995</v>
      </c>
      <c r="K1065" s="19" t="s">
        <v>3814</v>
      </c>
      <c r="L1065" s="19" t="s">
        <v>3815</v>
      </c>
      <c r="M1065" s="19" t="s">
        <v>3816</v>
      </c>
      <c r="N1065" s="19" t="s">
        <v>1120</v>
      </c>
    </row>
    <row r="1066" spans="1:14">
      <c r="A1066" s="19" t="s">
        <v>410</v>
      </c>
      <c r="B1066" s="19">
        <v>5</v>
      </c>
      <c r="C1066" s="19" t="s">
        <v>3817</v>
      </c>
      <c r="D1066" s="19" t="s">
        <v>3818</v>
      </c>
      <c r="E1066" s="19" t="s">
        <v>855</v>
      </c>
      <c r="F1066" s="19">
        <v>2015</v>
      </c>
      <c r="G1066" s="21">
        <v>0.69191429999999998</v>
      </c>
      <c r="H1066" s="19" t="s">
        <v>3819</v>
      </c>
      <c r="I1066" s="19" t="s">
        <v>857</v>
      </c>
      <c r="J1066" s="21">
        <v>0.69191429999999998</v>
      </c>
      <c r="K1066" s="19" t="s">
        <v>3820</v>
      </c>
      <c r="L1066" s="19" t="s">
        <v>3821</v>
      </c>
      <c r="M1066" s="19"/>
      <c r="N1066" s="19" t="s">
        <v>1409</v>
      </c>
    </row>
    <row r="1067" spans="1:14">
      <c r="A1067" s="19" t="s">
        <v>410</v>
      </c>
      <c r="B1067" s="19">
        <v>6</v>
      </c>
      <c r="C1067" s="19" t="s">
        <v>3822</v>
      </c>
      <c r="D1067" s="19" t="s">
        <v>3823</v>
      </c>
      <c r="E1067" s="19" t="s">
        <v>855</v>
      </c>
      <c r="F1067" s="19">
        <v>2014</v>
      </c>
      <c r="G1067" s="21">
        <v>0.68925009999999998</v>
      </c>
      <c r="H1067" s="19" t="s">
        <v>3824</v>
      </c>
      <c r="I1067" s="19" t="s">
        <v>857</v>
      </c>
      <c r="J1067" s="21">
        <v>0.68925009999999998</v>
      </c>
      <c r="K1067" s="19" t="s">
        <v>3825</v>
      </c>
      <c r="L1067" s="19" t="s">
        <v>3826</v>
      </c>
      <c r="M1067" s="19"/>
      <c r="N1067" s="19" t="s">
        <v>1409</v>
      </c>
    </row>
    <row r="1068" spans="1:14">
      <c r="A1068" s="19" t="s">
        <v>410</v>
      </c>
      <c r="B1068" s="19">
        <v>7</v>
      </c>
      <c r="C1068" s="19" t="s">
        <v>3827</v>
      </c>
      <c r="D1068" s="19" t="s">
        <v>3828</v>
      </c>
      <c r="E1068" s="19" t="s">
        <v>855</v>
      </c>
      <c r="F1068" s="19">
        <v>2023</v>
      </c>
      <c r="G1068" s="21">
        <v>0.68840710000000005</v>
      </c>
      <c r="H1068" s="19" t="s">
        <v>3829</v>
      </c>
      <c r="I1068" s="19" t="s">
        <v>914</v>
      </c>
      <c r="J1068" s="21">
        <v>0.68840710000000005</v>
      </c>
      <c r="K1068" s="19" t="s">
        <v>3830</v>
      </c>
      <c r="L1068" s="19" t="s">
        <v>3831</v>
      </c>
      <c r="M1068" s="19" t="s">
        <v>3832</v>
      </c>
      <c r="N1068" s="19" t="s">
        <v>1120</v>
      </c>
    </row>
    <row r="1069" spans="1:14">
      <c r="A1069" s="19" t="s">
        <v>410</v>
      </c>
      <c r="B1069" s="19">
        <v>8</v>
      </c>
      <c r="C1069" s="19" t="s">
        <v>3833</v>
      </c>
      <c r="D1069" s="19" t="s">
        <v>3834</v>
      </c>
      <c r="E1069" s="19" t="s">
        <v>855</v>
      </c>
      <c r="F1069" s="19">
        <v>2017</v>
      </c>
      <c r="G1069" s="21">
        <v>0.68819509999999995</v>
      </c>
      <c r="H1069" s="19" t="s">
        <v>3835</v>
      </c>
      <c r="I1069" s="19" t="s">
        <v>857</v>
      </c>
      <c r="J1069" s="21">
        <v>0.68819509999999995</v>
      </c>
      <c r="K1069" s="19" t="s">
        <v>3836</v>
      </c>
      <c r="L1069" s="19" t="s">
        <v>3837</v>
      </c>
      <c r="M1069" s="19"/>
      <c r="N1069" s="19" t="s">
        <v>1409</v>
      </c>
    </row>
    <row r="1070" spans="1:14">
      <c r="A1070" s="19" t="s">
        <v>410</v>
      </c>
      <c r="B1070" s="19">
        <v>9</v>
      </c>
      <c r="C1070" s="19" t="s">
        <v>1891</v>
      </c>
      <c r="D1070" s="19" t="s">
        <v>713</v>
      </c>
      <c r="E1070" s="19" t="s">
        <v>855</v>
      </c>
      <c r="F1070" s="19">
        <v>2014</v>
      </c>
      <c r="G1070" s="21">
        <v>0.68659389999999998</v>
      </c>
      <c r="H1070" s="19" t="s">
        <v>1892</v>
      </c>
      <c r="I1070" s="19" t="s">
        <v>857</v>
      </c>
      <c r="J1070" s="21">
        <v>0.68659389999999998</v>
      </c>
      <c r="K1070" s="19" t="s">
        <v>1893</v>
      </c>
      <c r="L1070" s="19" t="s">
        <v>1894</v>
      </c>
      <c r="M1070" s="19"/>
      <c r="N1070" s="19" t="s">
        <v>1409</v>
      </c>
    </row>
    <row r="1071" spans="1:14">
      <c r="A1071" s="19" t="s">
        <v>410</v>
      </c>
      <c r="B1071" s="19">
        <v>10</v>
      </c>
      <c r="C1071" s="19" t="s">
        <v>3838</v>
      </c>
      <c r="D1071" s="19" t="s">
        <v>3839</v>
      </c>
      <c r="E1071" s="19" t="s">
        <v>855</v>
      </c>
      <c r="F1071" s="19">
        <v>2017</v>
      </c>
      <c r="G1071" s="21">
        <v>0.68601703999999997</v>
      </c>
      <c r="H1071" s="19" t="s">
        <v>3840</v>
      </c>
      <c r="I1071" s="19" t="s">
        <v>914</v>
      </c>
      <c r="J1071" s="21">
        <v>0.68601703999999997</v>
      </c>
      <c r="K1071" s="19" t="s">
        <v>3841</v>
      </c>
      <c r="L1071" s="19" t="s">
        <v>3842</v>
      </c>
      <c r="M1071" s="19"/>
      <c r="N1071" s="19" t="s">
        <v>1120</v>
      </c>
    </row>
    <row r="1072" spans="1:14">
      <c r="A1072" s="19" t="s">
        <v>410</v>
      </c>
      <c r="B1072" s="19">
        <v>11</v>
      </c>
      <c r="C1072" s="19" t="s">
        <v>3843</v>
      </c>
      <c r="D1072" s="19" t="s">
        <v>3844</v>
      </c>
      <c r="E1072" s="19" t="s">
        <v>855</v>
      </c>
      <c r="F1072" s="19">
        <v>2022</v>
      </c>
      <c r="G1072" s="21">
        <v>0.68419779999999997</v>
      </c>
      <c r="H1072" s="19" t="s">
        <v>3845</v>
      </c>
      <c r="I1072" s="19" t="s">
        <v>914</v>
      </c>
      <c r="J1072" s="21">
        <v>0.68419779999999997</v>
      </c>
      <c r="K1072" s="19" t="s">
        <v>3846</v>
      </c>
      <c r="L1072" s="19" t="s">
        <v>3847</v>
      </c>
      <c r="M1072" s="19" t="s">
        <v>3848</v>
      </c>
      <c r="N1072" s="19" t="s">
        <v>1189</v>
      </c>
    </row>
    <row r="1073" spans="1:14">
      <c r="A1073" s="19" t="s">
        <v>410</v>
      </c>
      <c r="B1073" s="19">
        <v>12</v>
      </c>
      <c r="C1073" s="19" t="s">
        <v>3849</v>
      </c>
      <c r="D1073" s="19" t="s">
        <v>3850</v>
      </c>
      <c r="E1073" s="19" t="s">
        <v>855</v>
      </c>
      <c r="F1073" s="19">
        <v>2015</v>
      </c>
      <c r="G1073" s="21">
        <v>0.68163943000000005</v>
      </c>
      <c r="H1073" s="19" t="s">
        <v>3851</v>
      </c>
      <c r="I1073" s="19" t="s">
        <v>925</v>
      </c>
      <c r="J1073" s="21">
        <v>0.68163943000000005</v>
      </c>
      <c r="K1073" s="19" t="s">
        <v>3852</v>
      </c>
      <c r="L1073" s="19" t="s">
        <v>3853</v>
      </c>
      <c r="M1073" s="19"/>
      <c r="N1073" s="19" t="s">
        <v>1172</v>
      </c>
    </row>
    <row r="1074" spans="1:14">
      <c r="A1074" s="19" t="s">
        <v>410</v>
      </c>
      <c r="B1074" s="19">
        <v>13</v>
      </c>
      <c r="C1074" s="19" t="s">
        <v>3854</v>
      </c>
      <c r="D1074" s="19" t="s">
        <v>3855</v>
      </c>
      <c r="E1074" s="19" t="s">
        <v>855</v>
      </c>
      <c r="F1074" s="19">
        <v>2017</v>
      </c>
      <c r="G1074" s="21">
        <v>0.68028339999999998</v>
      </c>
      <c r="H1074" s="19" t="s">
        <v>3856</v>
      </c>
      <c r="I1074" s="19" t="s">
        <v>857</v>
      </c>
      <c r="J1074" s="21">
        <v>0.68028339999999998</v>
      </c>
      <c r="K1074" s="19" t="s">
        <v>3857</v>
      </c>
      <c r="L1074" s="19" t="s">
        <v>3858</v>
      </c>
      <c r="M1074" s="19"/>
      <c r="N1074" s="19" t="s">
        <v>861</v>
      </c>
    </row>
    <row r="1075" spans="1:14">
      <c r="A1075" s="19" t="s">
        <v>410</v>
      </c>
      <c r="B1075" s="19">
        <v>14</v>
      </c>
      <c r="C1075" s="19" t="s">
        <v>3859</v>
      </c>
      <c r="D1075" s="19" t="s">
        <v>3860</v>
      </c>
      <c r="E1075" s="19" t="s">
        <v>855</v>
      </c>
      <c r="F1075" s="19">
        <v>2017</v>
      </c>
      <c r="G1075" s="21">
        <v>0.67830429999999997</v>
      </c>
      <c r="H1075" s="19" t="s">
        <v>3861</v>
      </c>
      <c r="I1075" s="19" t="s">
        <v>925</v>
      </c>
      <c r="J1075" s="21">
        <v>0.67830429999999997</v>
      </c>
      <c r="K1075" s="19" t="s">
        <v>3862</v>
      </c>
      <c r="L1075" s="19" t="s">
        <v>3863</v>
      </c>
      <c r="M1075" s="19"/>
      <c r="N1075" s="19" t="s">
        <v>1172</v>
      </c>
    </row>
    <row r="1076" spans="1:14">
      <c r="A1076" s="19" t="s">
        <v>410</v>
      </c>
      <c r="B1076" s="19">
        <v>15</v>
      </c>
      <c r="C1076" s="19" t="s">
        <v>3864</v>
      </c>
      <c r="D1076" s="19" t="s">
        <v>3865</v>
      </c>
      <c r="E1076" s="19" t="s">
        <v>855</v>
      </c>
      <c r="F1076" s="19">
        <v>2015</v>
      </c>
      <c r="G1076" s="21">
        <v>0.67500369999999998</v>
      </c>
      <c r="H1076" s="19" t="s">
        <v>3866</v>
      </c>
      <c r="I1076" s="19" t="s">
        <v>908</v>
      </c>
      <c r="J1076" s="21">
        <v>0.67500369999999998</v>
      </c>
      <c r="K1076" s="19" t="s">
        <v>3867</v>
      </c>
      <c r="L1076" s="19" t="s">
        <v>3868</v>
      </c>
      <c r="M1076" s="19"/>
      <c r="N1076" s="19" t="s">
        <v>1078</v>
      </c>
    </row>
    <row r="1077" spans="1:14">
      <c r="A1077" s="19" t="s">
        <v>410</v>
      </c>
      <c r="B1077" s="19">
        <v>16</v>
      </c>
      <c r="C1077" s="19" t="s">
        <v>3869</v>
      </c>
      <c r="D1077" s="19" t="s">
        <v>3870</v>
      </c>
      <c r="E1077" s="19" t="s">
        <v>855</v>
      </c>
      <c r="F1077" s="19">
        <v>2017</v>
      </c>
      <c r="G1077" s="21">
        <v>0.67209249999999998</v>
      </c>
      <c r="H1077" s="19" t="s">
        <v>3871</v>
      </c>
      <c r="I1077" s="19" t="s">
        <v>857</v>
      </c>
      <c r="J1077" s="21">
        <v>0.67209249999999998</v>
      </c>
      <c r="K1077" s="19" t="s">
        <v>3872</v>
      </c>
      <c r="L1077" s="19" t="s">
        <v>3873</v>
      </c>
      <c r="M1077" s="19"/>
      <c r="N1077" s="19" t="s">
        <v>1038</v>
      </c>
    </row>
    <row r="1078" spans="1:14">
      <c r="A1078" s="19" t="s">
        <v>410</v>
      </c>
      <c r="B1078" s="19">
        <v>17</v>
      </c>
      <c r="C1078" s="19" t="s">
        <v>3700</v>
      </c>
      <c r="D1078" s="19" t="s">
        <v>663</v>
      </c>
      <c r="E1078" s="19" t="s">
        <v>855</v>
      </c>
      <c r="F1078" s="19">
        <v>2015</v>
      </c>
      <c r="G1078" s="21">
        <v>0.66967379999999999</v>
      </c>
      <c r="H1078" s="19" t="s">
        <v>3874</v>
      </c>
      <c r="I1078" s="19" t="s">
        <v>914</v>
      </c>
      <c r="J1078" s="21">
        <v>0.66967379999999999</v>
      </c>
      <c r="K1078" s="19" t="s">
        <v>3875</v>
      </c>
      <c r="L1078" s="19" t="s">
        <v>3876</v>
      </c>
      <c r="M1078" s="19"/>
      <c r="N1078" s="19" t="s">
        <v>1212</v>
      </c>
    </row>
    <row r="1079" spans="1:14">
      <c r="A1079" s="19" t="s">
        <v>410</v>
      </c>
      <c r="B1079" s="19">
        <v>18</v>
      </c>
      <c r="C1079" s="19" t="s">
        <v>3877</v>
      </c>
      <c r="D1079" s="19" t="s">
        <v>3878</v>
      </c>
      <c r="E1079" s="19" t="s">
        <v>855</v>
      </c>
      <c r="F1079" s="19">
        <v>2014</v>
      </c>
      <c r="G1079" s="21">
        <v>0.66694295000000003</v>
      </c>
      <c r="H1079" s="19" t="s">
        <v>3879</v>
      </c>
      <c r="I1079" s="19" t="s">
        <v>914</v>
      </c>
      <c r="J1079" s="21">
        <v>0.66694295000000003</v>
      </c>
      <c r="K1079" s="19" t="s">
        <v>3880</v>
      </c>
      <c r="L1079" s="19" t="s">
        <v>3881</v>
      </c>
      <c r="M1079" s="19"/>
      <c r="N1079" s="19" t="s">
        <v>1212</v>
      </c>
    </row>
    <row r="1080" spans="1:14">
      <c r="A1080" s="19" t="s">
        <v>410</v>
      </c>
      <c r="B1080" s="19">
        <v>19</v>
      </c>
      <c r="C1080" s="19" t="s">
        <v>3882</v>
      </c>
      <c r="D1080" s="19" t="s">
        <v>3883</v>
      </c>
      <c r="E1080" s="19" t="s">
        <v>855</v>
      </c>
      <c r="F1080" s="19">
        <v>2015</v>
      </c>
      <c r="G1080" s="21">
        <v>0.66293939999999996</v>
      </c>
      <c r="H1080" s="19" t="s">
        <v>3884</v>
      </c>
      <c r="I1080" s="19" t="s">
        <v>857</v>
      </c>
      <c r="J1080" s="21">
        <v>0.66293939999999996</v>
      </c>
      <c r="K1080" s="19" t="s">
        <v>3885</v>
      </c>
      <c r="L1080" s="19" t="s">
        <v>3886</v>
      </c>
      <c r="M1080" s="19"/>
      <c r="N1080" s="19" t="s">
        <v>1350</v>
      </c>
    </row>
    <row r="1081" spans="1:14">
      <c r="A1081" s="19" t="s">
        <v>410</v>
      </c>
      <c r="B1081" s="19">
        <v>20</v>
      </c>
      <c r="C1081" s="19" t="s">
        <v>1906</v>
      </c>
      <c r="D1081" s="19" t="s">
        <v>1907</v>
      </c>
      <c r="E1081" s="19" t="s">
        <v>855</v>
      </c>
      <c r="F1081" s="19">
        <v>2015</v>
      </c>
      <c r="G1081" s="21">
        <v>0.65230345999999995</v>
      </c>
      <c r="H1081" s="19" t="s">
        <v>1908</v>
      </c>
      <c r="I1081" s="19" t="s">
        <v>857</v>
      </c>
      <c r="J1081" s="21">
        <v>0.65230345999999995</v>
      </c>
      <c r="K1081" s="19" t="s">
        <v>1909</v>
      </c>
      <c r="L1081" s="19" t="s">
        <v>1910</v>
      </c>
      <c r="M1081" s="19"/>
      <c r="N1081" s="19" t="s">
        <v>1263</v>
      </c>
    </row>
    <row r="1082" spans="1:14">
      <c r="A1082" s="19" t="s">
        <v>579</v>
      </c>
      <c r="B1082" s="19">
        <v>1</v>
      </c>
      <c r="C1082" s="19" t="s">
        <v>3887</v>
      </c>
      <c r="D1082" s="19" t="s">
        <v>840</v>
      </c>
      <c r="E1082" s="19" t="s">
        <v>855</v>
      </c>
      <c r="F1082" s="19">
        <v>2017</v>
      </c>
      <c r="G1082" s="21">
        <v>0.68705623999999998</v>
      </c>
      <c r="H1082" s="19" t="s">
        <v>3888</v>
      </c>
      <c r="I1082" s="19" t="s">
        <v>1286</v>
      </c>
      <c r="J1082" s="21">
        <v>0.68705623999999998</v>
      </c>
      <c r="K1082" s="19" t="s">
        <v>3889</v>
      </c>
      <c r="L1082" s="19" t="s">
        <v>3890</v>
      </c>
      <c r="M1082" s="19"/>
      <c r="N1082" s="19" t="s">
        <v>3891</v>
      </c>
    </row>
    <row r="1083" spans="1:14">
      <c r="A1083" s="19" t="s">
        <v>579</v>
      </c>
      <c r="B1083" s="19">
        <v>2</v>
      </c>
      <c r="C1083" s="19" t="s">
        <v>3892</v>
      </c>
      <c r="D1083" s="19" t="s">
        <v>3893</v>
      </c>
      <c r="E1083" s="19" t="s">
        <v>855</v>
      </c>
      <c r="F1083" s="19">
        <v>2017</v>
      </c>
      <c r="G1083" s="21">
        <v>0.68545769999999995</v>
      </c>
      <c r="H1083" s="19" t="s">
        <v>3894</v>
      </c>
      <c r="I1083" s="19" t="s">
        <v>951</v>
      </c>
      <c r="J1083" s="21">
        <v>0.68545769999999995</v>
      </c>
      <c r="K1083" s="19" t="s">
        <v>3895</v>
      </c>
      <c r="L1083" s="19" t="s">
        <v>3896</v>
      </c>
      <c r="M1083" s="19" t="s">
        <v>3897</v>
      </c>
      <c r="N1083" s="19" t="s">
        <v>993</v>
      </c>
    </row>
    <row r="1084" spans="1:14">
      <c r="A1084" s="19" t="s">
        <v>579</v>
      </c>
      <c r="B1084" s="19">
        <v>3</v>
      </c>
      <c r="C1084" s="19" t="s">
        <v>3898</v>
      </c>
      <c r="D1084" s="19" t="s">
        <v>3899</v>
      </c>
      <c r="E1084" s="19" t="s">
        <v>855</v>
      </c>
      <c r="F1084" s="19">
        <v>2017</v>
      </c>
      <c r="G1084" s="21">
        <v>0.67793800000000004</v>
      </c>
      <c r="H1084" s="19" t="s">
        <v>3900</v>
      </c>
      <c r="I1084" s="19" t="s">
        <v>951</v>
      </c>
      <c r="J1084" s="21">
        <v>0.67793800000000004</v>
      </c>
      <c r="K1084" s="19" t="s">
        <v>3901</v>
      </c>
      <c r="L1084" s="19" t="s">
        <v>3902</v>
      </c>
      <c r="M1084" s="19" t="s">
        <v>3903</v>
      </c>
      <c r="N1084" s="19" t="s">
        <v>1000</v>
      </c>
    </row>
    <row r="1085" spans="1:14">
      <c r="A1085" s="19" t="s">
        <v>579</v>
      </c>
      <c r="B1085" s="19">
        <v>4</v>
      </c>
      <c r="C1085" s="19" t="s">
        <v>3904</v>
      </c>
      <c r="D1085" s="19" t="s">
        <v>3905</v>
      </c>
      <c r="E1085" s="19" t="s">
        <v>855</v>
      </c>
      <c r="F1085" s="19">
        <v>2014</v>
      </c>
      <c r="G1085" s="21">
        <v>0.66962969999999999</v>
      </c>
      <c r="H1085" s="19" t="s">
        <v>3906</v>
      </c>
      <c r="I1085" s="19" t="s">
        <v>857</v>
      </c>
      <c r="J1085" s="21">
        <v>0.66962969999999999</v>
      </c>
      <c r="K1085" s="19" t="s">
        <v>3907</v>
      </c>
      <c r="L1085" s="19" t="s">
        <v>3908</v>
      </c>
      <c r="M1085" s="19"/>
      <c r="N1085" s="19" t="s">
        <v>1038</v>
      </c>
    </row>
    <row r="1086" spans="1:14">
      <c r="A1086" s="19" t="s">
        <v>579</v>
      </c>
      <c r="B1086" s="19">
        <v>5</v>
      </c>
      <c r="C1086" s="19" t="s">
        <v>3909</v>
      </c>
      <c r="D1086" s="19" t="s">
        <v>3910</v>
      </c>
      <c r="E1086" s="19" t="s">
        <v>855</v>
      </c>
      <c r="F1086" s="19">
        <v>2014</v>
      </c>
      <c r="G1086" s="21">
        <v>0.669601</v>
      </c>
      <c r="H1086" s="19" t="s">
        <v>3911</v>
      </c>
      <c r="I1086" s="19" t="s">
        <v>925</v>
      </c>
      <c r="J1086" s="21">
        <v>0.669601</v>
      </c>
      <c r="K1086" s="19" t="s">
        <v>3912</v>
      </c>
      <c r="L1086" s="19" t="s">
        <v>3913</v>
      </c>
      <c r="M1086" s="19" t="s">
        <v>3914</v>
      </c>
      <c r="N1086" s="19" t="s">
        <v>2570</v>
      </c>
    </row>
    <row r="1087" spans="1:14">
      <c r="A1087" s="19" t="s">
        <v>579</v>
      </c>
      <c r="B1087" s="19">
        <v>6</v>
      </c>
      <c r="C1087" s="19" t="s">
        <v>3915</v>
      </c>
      <c r="D1087" s="19" t="s">
        <v>3916</v>
      </c>
      <c r="E1087" s="19" t="s">
        <v>855</v>
      </c>
      <c r="F1087" s="19">
        <v>2016</v>
      </c>
      <c r="G1087" s="21">
        <v>0.66149557000000003</v>
      </c>
      <c r="H1087" s="19" t="s">
        <v>3917</v>
      </c>
      <c r="I1087" s="19" t="s">
        <v>908</v>
      </c>
      <c r="J1087" s="21">
        <v>0.66149557000000003</v>
      </c>
      <c r="K1087" s="19" t="s">
        <v>3918</v>
      </c>
      <c r="L1087" s="19" t="s">
        <v>3919</v>
      </c>
      <c r="M1087" s="19"/>
      <c r="N1087" s="19" t="s">
        <v>911</v>
      </c>
    </row>
    <row r="1088" spans="1:14">
      <c r="A1088" s="19" t="s">
        <v>579</v>
      </c>
      <c r="B1088" s="19">
        <v>7</v>
      </c>
      <c r="C1088" s="19" t="s">
        <v>2564</v>
      </c>
      <c r="D1088" s="19" t="s">
        <v>2565</v>
      </c>
      <c r="E1088" s="19" t="s">
        <v>855</v>
      </c>
      <c r="F1088" s="19">
        <v>2023</v>
      </c>
      <c r="G1088" s="21">
        <v>0.66125053</v>
      </c>
      <c r="H1088" s="19" t="s">
        <v>2566</v>
      </c>
      <c r="I1088" s="19" t="s">
        <v>951</v>
      </c>
      <c r="J1088" s="21">
        <v>0.66125053</v>
      </c>
      <c r="K1088" s="19" t="s">
        <v>2567</v>
      </c>
      <c r="L1088" s="19" t="s">
        <v>2568</v>
      </c>
      <c r="M1088" s="19" t="s">
        <v>2569</v>
      </c>
      <c r="N1088" s="19" t="s">
        <v>1103</v>
      </c>
    </row>
    <row r="1089" spans="1:14">
      <c r="A1089" s="19" t="s">
        <v>579</v>
      </c>
      <c r="B1089" s="19">
        <v>8</v>
      </c>
      <c r="C1089" s="19" t="s">
        <v>3920</v>
      </c>
      <c r="D1089" s="19" t="s">
        <v>3921</v>
      </c>
      <c r="E1089" s="19" t="s">
        <v>855</v>
      </c>
      <c r="F1089" s="19">
        <v>2016</v>
      </c>
      <c r="G1089" s="21">
        <v>0.66113639999999996</v>
      </c>
      <c r="H1089" s="19" t="s">
        <v>3922</v>
      </c>
      <c r="I1089" s="19" t="s">
        <v>865</v>
      </c>
      <c r="J1089" s="21">
        <v>0.66113639999999996</v>
      </c>
      <c r="K1089" s="19" t="s">
        <v>3923</v>
      </c>
      <c r="L1089" s="19" t="s">
        <v>3924</v>
      </c>
      <c r="M1089" s="19" t="s">
        <v>3925</v>
      </c>
      <c r="N1089" s="19" t="s">
        <v>1158</v>
      </c>
    </row>
    <row r="1090" spans="1:14">
      <c r="A1090" s="19" t="s">
        <v>579</v>
      </c>
      <c r="B1090" s="19">
        <v>9</v>
      </c>
      <c r="C1090" s="19" t="s">
        <v>3689</v>
      </c>
      <c r="D1090" s="19" t="s">
        <v>3690</v>
      </c>
      <c r="E1090" s="19" t="s">
        <v>855</v>
      </c>
      <c r="F1090" s="19">
        <v>2017</v>
      </c>
      <c r="G1090" s="21">
        <v>0.66110159999999996</v>
      </c>
      <c r="H1090" s="19" t="s">
        <v>3691</v>
      </c>
      <c r="I1090" s="19" t="s">
        <v>914</v>
      </c>
      <c r="J1090" s="21">
        <v>0.66110159999999996</v>
      </c>
      <c r="K1090" s="19" t="s">
        <v>3692</v>
      </c>
      <c r="L1090" s="19" t="s">
        <v>3693</v>
      </c>
      <c r="M1090" s="19" t="s">
        <v>3694</v>
      </c>
      <c r="N1090" s="19" t="s">
        <v>917</v>
      </c>
    </row>
    <row r="1091" spans="1:14">
      <c r="A1091" s="19" t="s">
        <v>579</v>
      </c>
      <c r="B1091" s="19">
        <v>10</v>
      </c>
      <c r="C1091" s="19" t="s">
        <v>3926</v>
      </c>
      <c r="D1091" s="19" t="s">
        <v>3927</v>
      </c>
      <c r="E1091" s="19" t="s">
        <v>855</v>
      </c>
      <c r="F1091" s="19">
        <v>2017</v>
      </c>
      <c r="G1091" s="21">
        <v>0.6604738</v>
      </c>
      <c r="H1091" s="19" t="s">
        <v>3928</v>
      </c>
      <c r="I1091" s="19" t="s">
        <v>865</v>
      </c>
      <c r="J1091" s="21">
        <v>0.6604738</v>
      </c>
      <c r="K1091" s="19" t="s">
        <v>3929</v>
      </c>
      <c r="L1091" s="19" t="s">
        <v>3930</v>
      </c>
      <c r="M1091" s="19"/>
      <c r="N1091" s="19" t="s">
        <v>1158</v>
      </c>
    </row>
    <row r="1092" spans="1:14">
      <c r="A1092" s="19" t="s">
        <v>579</v>
      </c>
      <c r="B1092" s="19">
        <v>11</v>
      </c>
      <c r="C1092" s="19" t="s">
        <v>3931</v>
      </c>
      <c r="D1092" s="19" t="s">
        <v>3932</v>
      </c>
      <c r="E1092" s="19" t="s">
        <v>855</v>
      </c>
      <c r="F1092" s="19">
        <v>2022</v>
      </c>
      <c r="G1092" s="21">
        <v>0.65985090000000002</v>
      </c>
      <c r="H1092" s="19" t="s">
        <v>3933</v>
      </c>
      <c r="I1092" s="19" t="s">
        <v>865</v>
      </c>
      <c r="J1092" s="21">
        <v>0.65985090000000002</v>
      </c>
      <c r="K1092" s="19" t="s">
        <v>3934</v>
      </c>
      <c r="L1092" s="19" t="s">
        <v>3935</v>
      </c>
      <c r="M1092" s="19"/>
      <c r="N1092" s="19" t="s">
        <v>1158</v>
      </c>
    </row>
    <row r="1093" spans="1:14">
      <c r="A1093" s="19" t="s">
        <v>579</v>
      </c>
      <c r="B1093" s="19">
        <v>12</v>
      </c>
      <c r="C1093" s="19" t="s">
        <v>3936</v>
      </c>
      <c r="D1093" s="19" t="s">
        <v>3937</v>
      </c>
      <c r="E1093" s="19" t="s">
        <v>855</v>
      </c>
      <c r="F1093" s="19">
        <v>2022</v>
      </c>
      <c r="G1093" s="21">
        <v>0.6577383</v>
      </c>
      <c r="H1093" s="19" t="s">
        <v>3938</v>
      </c>
      <c r="I1093" s="19" t="s">
        <v>865</v>
      </c>
      <c r="J1093" s="21">
        <v>0.6577383</v>
      </c>
      <c r="K1093" s="19" t="s">
        <v>3939</v>
      </c>
      <c r="L1093" s="19" t="s">
        <v>3940</v>
      </c>
      <c r="M1093" s="19"/>
      <c r="N1093" s="19" t="s">
        <v>1158</v>
      </c>
    </row>
    <row r="1094" spans="1:14">
      <c r="A1094" s="19" t="s">
        <v>579</v>
      </c>
      <c r="B1094" s="19">
        <v>13</v>
      </c>
      <c r="C1094" s="19" t="s">
        <v>3941</v>
      </c>
      <c r="D1094" s="19" t="s">
        <v>3942</v>
      </c>
      <c r="E1094" s="19" t="s">
        <v>855</v>
      </c>
      <c r="F1094" s="19">
        <v>2014</v>
      </c>
      <c r="G1094" s="21">
        <v>0.65408089999999997</v>
      </c>
      <c r="H1094" s="19" t="s">
        <v>3943</v>
      </c>
      <c r="I1094" s="19" t="s">
        <v>865</v>
      </c>
      <c r="J1094" s="21">
        <v>0.65408089999999997</v>
      </c>
      <c r="K1094" s="19" t="s">
        <v>3944</v>
      </c>
      <c r="L1094" s="19" t="s">
        <v>3945</v>
      </c>
      <c r="M1094" s="19"/>
      <c r="N1094" s="19" t="s">
        <v>2867</v>
      </c>
    </row>
    <row r="1095" spans="1:14">
      <c r="A1095" s="19" t="s">
        <v>579</v>
      </c>
      <c r="B1095" s="19">
        <v>14</v>
      </c>
      <c r="C1095" s="19" t="s">
        <v>3946</v>
      </c>
      <c r="D1095" s="19" t="s">
        <v>3947</v>
      </c>
      <c r="E1095" s="19" t="s">
        <v>855</v>
      </c>
      <c r="F1095" s="19">
        <v>2023</v>
      </c>
      <c r="G1095" s="21">
        <v>0.6531517</v>
      </c>
      <c r="H1095" s="19" t="s">
        <v>3948</v>
      </c>
      <c r="I1095" s="19" t="s">
        <v>865</v>
      </c>
      <c r="J1095" s="21">
        <v>0.6531517</v>
      </c>
      <c r="K1095" s="19" t="s">
        <v>3949</v>
      </c>
      <c r="L1095" s="19" t="s">
        <v>3950</v>
      </c>
      <c r="M1095" s="19" t="s">
        <v>3951</v>
      </c>
      <c r="N1095" s="19" t="s">
        <v>2867</v>
      </c>
    </row>
    <row r="1096" spans="1:14">
      <c r="A1096" s="19" t="s">
        <v>579</v>
      </c>
      <c r="B1096" s="19">
        <v>15</v>
      </c>
      <c r="C1096" s="19" t="s">
        <v>3202</v>
      </c>
      <c r="D1096" s="19" t="s">
        <v>3203</v>
      </c>
      <c r="E1096" s="19" t="s">
        <v>855</v>
      </c>
      <c r="F1096" s="19">
        <v>2017</v>
      </c>
      <c r="G1096" s="21">
        <v>0.65301359999999997</v>
      </c>
      <c r="H1096" s="19" t="s">
        <v>3952</v>
      </c>
      <c r="I1096" s="19" t="s">
        <v>865</v>
      </c>
      <c r="J1096" s="21">
        <v>0.65301359999999997</v>
      </c>
      <c r="K1096" s="19" t="s">
        <v>3953</v>
      </c>
      <c r="L1096" s="19" t="s">
        <v>3954</v>
      </c>
      <c r="M1096" s="19"/>
      <c r="N1096" s="19" t="s">
        <v>2867</v>
      </c>
    </row>
    <row r="1097" spans="1:14">
      <c r="A1097" s="19" t="s">
        <v>579</v>
      </c>
      <c r="B1097" s="19">
        <v>16</v>
      </c>
      <c r="C1097" s="19" t="s">
        <v>3955</v>
      </c>
      <c r="D1097" s="19" t="s">
        <v>3956</v>
      </c>
      <c r="E1097" s="19" t="s">
        <v>855</v>
      </c>
      <c r="F1097" s="19">
        <v>2017</v>
      </c>
      <c r="G1097" s="21">
        <v>0.65292680000000003</v>
      </c>
      <c r="H1097" s="19" t="s">
        <v>3957</v>
      </c>
      <c r="I1097" s="19" t="s">
        <v>865</v>
      </c>
      <c r="J1097" s="21">
        <v>0.65292680000000003</v>
      </c>
      <c r="K1097" s="19" t="s">
        <v>3958</v>
      </c>
      <c r="L1097" s="19" t="s">
        <v>3959</v>
      </c>
      <c r="M1097" s="19"/>
      <c r="N1097" s="19" t="s">
        <v>2867</v>
      </c>
    </row>
    <row r="1098" spans="1:14">
      <c r="A1098" s="19" t="s">
        <v>579</v>
      </c>
      <c r="B1098" s="19">
        <v>17</v>
      </c>
      <c r="C1098" s="19" t="s">
        <v>3653</v>
      </c>
      <c r="D1098" s="19" t="s">
        <v>3654</v>
      </c>
      <c r="E1098" s="19" t="s">
        <v>855</v>
      </c>
      <c r="F1098" s="19">
        <v>2017</v>
      </c>
      <c r="G1098" s="21">
        <v>0.65261670000000005</v>
      </c>
      <c r="H1098" s="19" t="s">
        <v>3960</v>
      </c>
      <c r="I1098" s="19" t="s">
        <v>925</v>
      </c>
      <c r="J1098" s="21">
        <v>0.65261670000000005</v>
      </c>
      <c r="K1098" s="19" t="s">
        <v>3961</v>
      </c>
      <c r="L1098" s="19" t="s">
        <v>3962</v>
      </c>
      <c r="M1098" s="19" t="s">
        <v>3963</v>
      </c>
      <c r="N1098" s="19" t="s">
        <v>928</v>
      </c>
    </row>
    <row r="1099" spans="1:14">
      <c r="A1099" s="19" t="s">
        <v>579</v>
      </c>
      <c r="B1099" s="19">
        <v>18</v>
      </c>
      <c r="C1099" s="19" t="s">
        <v>3964</v>
      </c>
      <c r="D1099" s="19" t="s">
        <v>3965</v>
      </c>
      <c r="E1099" s="19" t="s">
        <v>855</v>
      </c>
      <c r="F1099" s="19">
        <v>2015</v>
      </c>
      <c r="G1099" s="21">
        <v>0.65162425999999996</v>
      </c>
      <c r="H1099" s="19" t="s">
        <v>3966</v>
      </c>
      <c r="I1099" s="19" t="s">
        <v>865</v>
      </c>
      <c r="J1099" s="21">
        <v>0.65162425999999996</v>
      </c>
      <c r="K1099" s="19" t="s">
        <v>3967</v>
      </c>
      <c r="L1099" s="19" t="s">
        <v>3968</v>
      </c>
      <c r="M1099" s="19"/>
      <c r="N1099" s="19" t="s">
        <v>2867</v>
      </c>
    </row>
    <row r="1100" spans="1:14">
      <c r="A1100" s="19" t="s">
        <v>579</v>
      </c>
      <c r="B1100" s="19">
        <v>19</v>
      </c>
      <c r="C1100" s="19" t="s">
        <v>3268</v>
      </c>
      <c r="D1100" s="19" t="s">
        <v>3269</v>
      </c>
      <c r="E1100" s="19" t="s">
        <v>855</v>
      </c>
      <c r="F1100" s="19">
        <v>2014</v>
      </c>
      <c r="G1100" s="21">
        <v>0.65017879999999995</v>
      </c>
      <c r="H1100" s="19" t="s">
        <v>3969</v>
      </c>
      <c r="I1100" s="19" t="s">
        <v>865</v>
      </c>
      <c r="J1100" s="21">
        <v>0.65017879999999995</v>
      </c>
      <c r="K1100" s="19" t="s">
        <v>3970</v>
      </c>
      <c r="L1100" s="19" t="s">
        <v>3971</v>
      </c>
      <c r="M1100" s="19"/>
      <c r="N1100" s="19" t="s">
        <v>2867</v>
      </c>
    </row>
    <row r="1101" spans="1:14">
      <c r="A1101" s="19" t="s">
        <v>579</v>
      </c>
      <c r="B1101" s="19">
        <v>20</v>
      </c>
      <c r="C1101" s="19" t="s">
        <v>3606</v>
      </c>
      <c r="D1101" s="19" t="s">
        <v>3607</v>
      </c>
      <c r="E1101" s="19" t="s">
        <v>855</v>
      </c>
      <c r="F1101" s="19">
        <v>2014</v>
      </c>
      <c r="G1101" s="21">
        <v>0.64973340000000002</v>
      </c>
      <c r="H1101" s="19" t="s">
        <v>3972</v>
      </c>
      <c r="I1101" s="19" t="s">
        <v>865</v>
      </c>
      <c r="J1101" s="21">
        <v>0.64973340000000002</v>
      </c>
      <c r="K1101" s="19" t="s">
        <v>3973</v>
      </c>
      <c r="L1101" s="19" t="s">
        <v>3974</v>
      </c>
      <c r="M1101" s="19"/>
      <c r="N1101" s="19" t="s">
        <v>2867</v>
      </c>
    </row>
    <row r="1102" spans="1:14">
      <c r="A1102" s="19" t="s">
        <v>172</v>
      </c>
      <c r="B1102" s="19">
        <v>1</v>
      </c>
      <c r="C1102" s="19" t="s">
        <v>3975</v>
      </c>
      <c r="D1102" s="19" t="s">
        <v>702</v>
      </c>
      <c r="E1102" s="19" t="s">
        <v>855</v>
      </c>
      <c r="F1102" s="19">
        <v>2015</v>
      </c>
      <c r="G1102" s="21">
        <v>0.74399095999999998</v>
      </c>
      <c r="H1102" s="19" t="s">
        <v>3976</v>
      </c>
      <c r="I1102" s="19" t="s">
        <v>914</v>
      </c>
      <c r="J1102" s="21">
        <v>0.74399095999999998</v>
      </c>
      <c r="K1102" s="19" t="s">
        <v>3977</v>
      </c>
      <c r="L1102" s="19" t="s">
        <v>3978</v>
      </c>
      <c r="M1102" s="19"/>
      <c r="N1102" s="19" t="s">
        <v>1807</v>
      </c>
    </row>
    <row r="1103" spans="1:14">
      <c r="A1103" s="19" t="s">
        <v>172</v>
      </c>
      <c r="B1103" s="19">
        <v>2</v>
      </c>
      <c r="C1103" s="19" t="s">
        <v>3979</v>
      </c>
      <c r="D1103" s="19" t="s">
        <v>3980</v>
      </c>
      <c r="E1103" s="19" t="s">
        <v>855</v>
      </c>
      <c r="F1103" s="19">
        <v>2022</v>
      </c>
      <c r="G1103" s="21">
        <v>0.73892950000000002</v>
      </c>
      <c r="H1103" s="19" t="s">
        <v>3981</v>
      </c>
      <c r="I1103" s="19" t="s">
        <v>914</v>
      </c>
      <c r="J1103" s="21">
        <v>0.73892950000000002</v>
      </c>
      <c r="K1103" s="19" t="s">
        <v>3982</v>
      </c>
      <c r="L1103" s="19" t="s">
        <v>3983</v>
      </c>
      <c r="M1103" s="19" t="s">
        <v>3984</v>
      </c>
      <c r="N1103" s="19" t="s">
        <v>1807</v>
      </c>
    </row>
    <row r="1104" spans="1:14">
      <c r="A1104" s="19" t="s">
        <v>172</v>
      </c>
      <c r="B1104" s="19">
        <v>3</v>
      </c>
      <c r="C1104" s="19" t="s">
        <v>3985</v>
      </c>
      <c r="D1104" s="19" t="s">
        <v>3986</v>
      </c>
      <c r="E1104" s="19" t="s">
        <v>855</v>
      </c>
      <c r="F1104" s="19">
        <v>2015</v>
      </c>
      <c r="G1104" s="21">
        <v>0.73718446000000004</v>
      </c>
      <c r="H1104" s="19" t="s">
        <v>3987</v>
      </c>
      <c r="I1104" s="19" t="s">
        <v>857</v>
      </c>
      <c r="J1104" s="21">
        <v>0.73718446000000004</v>
      </c>
      <c r="K1104" s="19" t="s">
        <v>3988</v>
      </c>
      <c r="L1104" s="19" t="s">
        <v>3989</v>
      </c>
      <c r="M1104" s="19"/>
      <c r="N1104" s="19" t="s">
        <v>2600</v>
      </c>
    </row>
    <row r="1105" spans="1:14">
      <c r="A1105" s="19" t="s">
        <v>172</v>
      </c>
      <c r="B1105" s="19">
        <v>4</v>
      </c>
      <c r="C1105" s="19" t="s">
        <v>3990</v>
      </c>
      <c r="D1105" s="19" t="s">
        <v>3991</v>
      </c>
      <c r="E1105" s="19" t="s">
        <v>855</v>
      </c>
      <c r="F1105" s="19">
        <v>2017</v>
      </c>
      <c r="G1105" s="21">
        <v>0.73654735000000005</v>
      </c>
      <c r="H1105" s="19" t="s">
        <v>3992</v>
      </c>
      <c r="I1105" s="19" t="s">
        <v>914</v>
      </c>
      <c r="J1105" s="21">
        <v>0.73654735000000005</v>
      </c>
      <c r="K1105" s="19" t="s">
        <v>3993</v>
      </c>
      <c r="L1105" s="19" t="s">
        <v>3994</v>
      </c>
      <c r="M1105" s="19"/>
      <c r="N1105" s="19" t="s">
        <v>1807</v>
      </c>
    </row>
    <row r="1106" spans="1:14">
      <c r="A1106" s="19" t="s">
        <v>172</v>
      </c>
      <c r="B1106" s="19">
        <v>5</v>
      </c>
      <c r="C1106" s="19" t="s">
        <v>3995</v>
      </c>
      <c r="D1106" s="19" t="s">
        <v>3996</v>
      </c>
      <c r="E1106" s="19" t="s">
        <v>855</v>
      </c>
      <c r="F1106" s="19">
        <v>2016</v>
      </c>
      <c r="G1106" s="21">
        <v>0.72802233999999999</v>
      </c>
      <c r="H1106" s="19" t="s">
        <v>3997</v>
      </c>
      <c r="I1106" s="19" t="s">
        <v>914</v>
      </c>
      <c r="J1106" s="21">
        <v>0.72802233999999999</v>
      </c>
      <c r="K1106" s="19" t="s">
        <v>3998</v>
      </c>
      <c r="L1106" s="19" t="s">
        <v>3999</v>
      </c>
      <c r="M1106" s="19" t="s">
        <v>4000</v>
      </c>
      <c r="N1106" s="19" t="s">
        <v>1604</v>
      </c>
    </row>
    <row r="1107" spans="1:14">
      <c r="A1107" s="19" t="s">
        <v>172</v>
      </c>
      <c r="B1107" s="19">
        <v>6</v>
      </c>
      <c r="C1107" s="19" t="s">
        <v>4001</v>
      </c>
      <c r="D1107" s="19" t="s">
        <v>4002</v>
      </c>
      <c r="E1107" s="19" t="s">
        <v>855</v>
      </c>
      <c r="F1107" s="19">
        <v>2017</v>
      </c>
      <c r="G1107" s="21">
        <v>0.72629343999999996</v>
      </c>
      <c r="H1107" s="19" t="s">
        <v>4003</v>
      </c>
      <c r="I1107" s="19" t="s">
        <v>914</v>
      </c>
      <c r="J1107" s="21">
        <v>0.72629343999999996</v>
      </c>
      <c r="K1107" s="19" t="s">
        <v>4004</v>
      </c>
      <c r="L1107" s="19" t="s">
        <v>4005</v>
      </c>
      <c r="M1107" s="19" t="s">
        <v>4006</v>
      </c>
      <c r="N1107" s="19" t="s">
        <v>1604</v>
      </c>
    </row>
    <row r="1108" spans="1:14">
      <c r="A1108" s="19" t="s">
        <v>172</v>
      </c>
      <c r="B1108" s="19">
        <v>7</v>
      </c>
      <c r="C1108" s="19" t="s">
        <v>4007</v>
      </c>
      <c r="D1108" s="19" t="s">
        <v>4008</v>
      </c>
      <c r="E1108" s="19" t="s">
        <v>855</v>
      </c>
      <c r="F1108" s="19">
        <v>2023</v>
      </c>
      <c r="G1108" s="21">
        <v>0.72519504999999995</v>
      </c>
      <c r="H1108" s="19" t="s">
        <v>4009</v>
      </c>
      <c r="I1108" s="19" t="s">
        <v>914</v>
      </c>
      <c r="J1108" s="21">
        <v>0.72519504999999995</v>
      </c>
      <c r="K1108" s="19" t="s">
        <v>4010</v>
      </c>
      <c r="L1108" s="19" t="s">
        <v>4011</v>
      </c>
      <c r="M1108" s="19" t="s">
        <v>4012</v>
      </c>
      <c r="N1108" s="19" t="s">
        <v>1604</v>
      </c>
    </row>
    <row r="1109" spans="1:14">
      <c r="A1109" s="19" t="s">
        <v>172</v>
      </c>
      <c r="B1109" s="19">
        <v>8</v>
      </c>
      <c r="C1109" s="19" t="s">
        <v>4013</v>
      </c>
      <c r="D1109" s="19" t="s">
        <v>4014</v>
      </c>
      <c r="E1109" s="19" t="s">
        <v>855</v>
      </c>
      <c r="F1109" s="19">
        <v>2014</v>
      </c>
      <c r="G1109" s="21">
        <v>0.72499420000000003</v>
      </c>
      <c r="H1109" s="19" t="s">
        <v>4015</v>
      </c>
      <c r="I1109" s="19" t="s">
        <v>857</v>
      </c>
      <c r="J1109" s="21">
        <v>0.72499420000000003</v>
      </c>
      <c r="K1109" s="19" t="s">
        <v>4016</v>
      </c>
      <c r="L1109" s="19" t="s">
        <v>4017</v>
      </c>
      <c r="M1109" s="19"/>
      <c r="N1109" s="19" t="s">
        <v>1636</v>
      </c>
    </row>
    <row r="1110" spans="1:14">
      <c r="A1110" s="19" t="s">
        <v>172</v>
      </c>
      <c r="B1110" s="19">
        <v>9</v>
      </c>
      <c r="C1110" s="19" t="s">
        <v>4018</v>
      </c>
      <c r="D1110" s="19" t="s">
        <v>4019</v>
      </c>
      <c r="E1110" s="19" t="s">
        <v>855</v>
      </c>
      <c r="F1110" s="19">
        <v>2017</v>
      </c>
      <c r="G1110" s="21">
        <v>0.72155119999999995</v>
      </c>
      <c r="H1110" s="19" t="s">
        <v>4020</v>
      </c>
      <c r="I1110" s="19" t="s">
        <v>914</v>
      </c>
      <c r="J1110" s="21">
        <v>0.72155119999999995</v>
      </c>
      <c r="K1110" s="19" t="s">
        <v>4021</v>
      </c>
      <c r="L1110" s="19" t="s">
        <v>4022</v>
      </c>
      <c r="M1110" s="19"/>
      <c r="N1110" s="19" t="s">
        <v>1630</v>
      </c>
    </row>
    <row r="1111" spans="1:14">
      <c r="A1111" s="19" t="s">
        <v>172</v>
      </c>
      <c r="B1111" s="19">
        <v>10</v>
      </c>
      <c r="C1111" s="19" t="s">
        <v>4023</v>
      </c>
      <c r="D1111" s="19" t="s">
        <v>4024</v>
      </c>
      <c r="E1111" s="19" t="s">
        <v>855</v>
      </c>
      <c r="F1111" s="19">
        <v>2022</v>
      </c>
      <c r="G1111" s="21">
        <v>0.72007030000000005</v>
      </c>
      <c r="H1111" s="19" t="s">
        <v>4025</v>
      </c>
      <c r="I1111" s="19" t="s">
        <v>951</v>
      </c>
      <c r="J1111" s="21">
        <v>0.72007030000000005</v>
      </c>
      <c r="K1111" s="19" t="s">
        <v>4026</v>
      </c>
      <c r="L1111" s="19" t="s">
        <v>4027</v>
      </c>
      <c r="M1111" s="19" t="s">
        <v>4028</v>
      </c>
      <c r="N1111" s="19" t="s">
        <v>1321</v>
      </c>
    </row>
    <row r="1112" spans="1:14">
      <c r="A1112" s="19" t="s">
        <v>172</v>
      </c>
      <c r="B1112" s="19">
        <v>11</v>
      </c>
      <c r="C1112" s="19" t="s">
        <v>4029</v>
      </c>
      <c r="D1112" s="19" t="s">
        <v>4030</v>
      </c>
      <c r="E1112" s="19" t="s">
        <v>855</v>
      </c>
      <c r="F1112" s="19">
        <v>2017</v>
      </c>
      <c r="G1112" s="21">
        <v>0.71905326999999997</v>
      </c>
      <c r="H1112" s="19" t="s">
        <v>4031</v>
      </c>
      <c r="I1112" s="19" t="s">
        <v>914</v>
      </c>
      <c r="J1112" s="21">
        <v>0.71905326999999997</v>
      </c>
      <c r="K1112" s="19" t="s">
        <v>4032</v>
      </c>
      <c r="L1112" s="19" t="s">
        <v>4033</v>
      </c>
      <c r="M1112" s="19"/>
      <c r="N1112" s="19" t="s">
        <v>1630</v>
      </c>
    </row>
    <row r="1113" spans="1:14">
      <c r="A1113" s="19" t="s">
        <v>172</v>
      </c>
      <c r="B1113" s="19">
        <v>12</v>
      </c>
      <c r="C1113" s="19" t="s">
        <v>4034</v>
      </c>
      <c r="D1113" s="19" t="s">
        <v>4035</v>
      </c>
      <c r="E1113" s="19" t="s">
        <v>855</v>
      </c>
      <c r="F1113" s="19">
        <v>2017</v>
      </c>
      <c r="G1113" s="21">
        <v>0.71125769999999999</v>
      </c>
      <c r="H1113" s="19" t="s">
        <v>4036</v>
      </c>
      <c r="I1113" s="19" t="s">
        <v>914</v>
      </c>
      <c r="J1113" s="21">
        <v>0.71125769999999999</v>
      </c>
      <c r="K1113" s="19" t="s">
        <v>4037</v>
      </c>
      <c r="L1113" s="19" t="s">
        <v>4038</v>
      </c>
      <c r="M1113" s="19"/>
      <c r="N1113" s="19" t="s">
        <v>1659</v>
      </c>
    </row>
    <row r="1114" spans="1:14">
      <c r="A1114" s="19" t="s">
        <v>172</v>
      </c>
      <c r="B1114" s="19">
        <v>13</v>
      </c>
      <c r="C1114" s="19" t="s">
        <v>4039</v>
      </c>
      <c r="D1114" s="19" t="s">
        <v>4040</v>
      </c>
      <c r="E1114" s="19" t="s">
        <v>855</v>
      </c>
      <c r="F1114" s="19">
        <v>2022</v>
      </c>
      <c r="G1114" s="21">
        <v>0.70792436999999997</v>
      </c>
      <c r="H1114" s="19" t="s">
        <v>4041</v>
      </c>
      <c r="I1114" s="19" t="s">
        <v>914</v>
      </c>
      <c r="J1114" s="21">
        <v>0.70792436999999997</v>
      </c>
      <c r="K1114" s="19" t="s">
        <v>4042</v>
      </c>
      <c r="L1114" s="19" t="s">
        <v>4043</v>
      </c>
      <c r="M1114" s="19" t="s">
        <v>4044</v>
      </c>
      <c r="N1114" s="19" t="s">
        <v>1659</v>
      </c>
    </row>
    <row r="1115" spans="1:14">
      <c r="A1115" s="19" t="s">
        <v>172</v>
      </c>
      <c r="B1115" s="19">
        <v>14</v>
      </c>
      <c r="C1115" s="19" t="s">
        <v>4045</v>
      </c>
      <c r="D1115" s="19" t="s">
        <v>4046</v>
      </c>
      <c r="E1115" s="19" t="s">
        <v>855</v>
      </c>
      <c r="F1115" s="19">
        <v>2017</v>
      </c>
      <c r="G1115" s="21">
        <v>0.70602290000000001</v>
      </c>
      <c r="H1115" s="19" t="s">
        <v>4047</v>
      </c>
      <c r="I1115" s="19" t="s">
        <v>914</v>
      </c>
      <c r="J1115" s="21">
        <v>0.70602290000000001</v>
      </c>
      <c r="K1115" s="19" t="s">
        <v>4048</v>
      </c>
      <c r="L1115" s="19" t="s">
        <v>4049</v>
      </c>
      <c r="M1115" s="19"/>
      <c r="N1115" s="19" t="s">
        <v>1659</v>
      </c>
    </row>
    <row r="1116" spans="1:14">
      <c r="A1116" s="19" t="s">
        <v>172</v>
      </c>
      <c r="B1116" s="19">
        <v>15</v>
      </c>
      <c r="C1116" s="19" t="s">
        <v>4050</v>
      </c>
      <c r="D1116" s="19" t="s">
        <v>4051</v>
      </c>
      <c r="E1116" s="19" t="s">
        <v>855</v>
      </c>
      <c r="F1116" s="19">
        <v>2014</v>
      </c>
      <c r="G1116" s="21">
        <v>0.70494009999999996</v>
      </c>
      <c r="H1116" s="19" t="s">
        <v>4052</v>
      </c>
      <c r="I1116" s="19" t="s">
        <v>914</v>
      </c>
      <c r="J1116" s="21">
        <v>0.70494009999999996</v>
      </c>
      <c r="K1116" s="19" t="s">
        <v>4053</v>
      </c>
      <c r="L1116" s="19" t="s">
        <v>4054</v>
      </c>
      <c r="M1116" s="19"/>
      <c r="N1116" s="19" t="s">
        <v>1463</v>
      </c>
    </row>
    <row r="1117" spans="1:14">
      <c r="A1117" s="19" t="s">
        <v>172</v>
      </c>
      <c r="B1117" s="19">
        <v>16</v>
      </c>
      <c r="C1117" s="19" t="s">
        <v>4055</v>
      </c>
      <c r="D1117" s="19" t="s">
        <v>4056</v>
      </c>
      <c r="E1117" s="19" t="s">
        <v>855</v>
      </c>
      <c r="F1117" s="19">
        <v>2017</v>
      </c>
      <c r="G1117" s="21">
        <v>0.70244119999999999</v>
      </c>
      <c r="H1117" s="19" t="s">
        <v>4057</v>
      </c>
      <c r="I1117" s="19" t="s">
        <v>908</v>
      </c>
      <c r="J1117" s="21">
        <v>0.70244119999999999</v>
      </c>
      <c r="K1117" s="19" t="s">
        <v>4058</v>
      </c>
      <c r="L1117" s="19" t="s">
        <v>4059</v>
      </c>
      <c r="M1117" s="19" t="s">
        <v>4060</v>
      </c>
      <c r="N1117" s="19" t="s">
        <v>4061</v>
      </c>
    </row>
    <row r="1118" spans="1:14">
      <c r="A1118" s="19" t="s">
        <v>172</v>
      </c>
      <c r="B1118" s="19">
        <v>17</v>
      </c>
      <c r="C1118" s="19" t="s">
        <v>4062</v>
      </c>
      <c r="D1118" s="19" t="s">
        <v>4063</v>
      </c>
      <c r="E1118" s="19" t="s">
        <v>855</v>
      </c>
      <c r="F1118" s="19">
        <v>2022</v>
      </c>
      <c r="G1118" s="21">
        <v>0.70162237000000005</v>
      </c>
      <c r="H1118" s="19" t="s">
        <v>4064</v>
      </c>
      <c r="I1118" s="19" t="s">
        <v>951</v>
      </c>
      <c r="J1118" s="21">
        <v>0.70162237000000005</v>
      </c>
      <c r="K1118" s="19" t="s">
        <v>4065</v>
      </c>
      <c r="L1118" s="19" t="s">
        <v>4066</v>
      </c>
      <c r="M1118" s="19" t="s">
        <v>4067</v>
      </c>
      <c r="N1118" s="19" t="s">
        <v>1513</v>
      </c>
    </row>
    <row r="1119" spans="1:14">
      <c r="A1119" s="19" t="s">
        <v>172</v>
      </c>
      <c r="B1119" s="19">
        <v>18</v>
      </c>
      <c r="C1119" s="19" t="s">
        <v>4068</v>
      </c>
      <c r="D1119" s="19" t="s">
        <v>4069</v>
      </c>
      <c r="E1119" s="19" t="s">
        <v>855</v>
      </c>
      <c r="F1119" s="19">
        <v>2016</v>
      </c>
      <c r="G1119" s="21">
        <v>0.70069230000000005</v>
      </c>
      <c r="H1119" s="19" t="s">
        <v>4070</v>
      </c>
      <c r="I1119" s="19" t="s">
        <v>914</v>
      </c>
      <c r="J1119" s="21">
        <v>0.70069230000000005</v>
      </c>
      <c r="K1119" s="19" t="s">
        <v>4071</v>
      </c>
      <c r="L1119" s="19" t="s">
        <v>4072</v>
      </c>
      <c r="M1119" s="19" t="s">
        <v>4073</v>
      </c>
      <c r="N1119" s="19" t="s">
        <v>1463</v>
      </c>
    </row>
    <row r="1120" spans="1:14">
      <c r="A1120" s="19" t="s">
        <v>172</v>
      </c>
      <c r="B1120" s="19">
        <v>19</v>
      </c>
      <c r="C1120" s="19" t="s">
        <v>4074</v>
      </c>
      <c r="D1120" s="19" t="s">
        <v>4075</v>
      </c>
      <c r="E1120" s="19" t="s">
        <v>855</v>
      </c>
      <c r="F1120" s="19">
        <v>2014</v>
      </c>
      <c r="G1120" s="21">
        <v>0.69770896000000004</v>
      </c>
      <c r="H1120" s="19" t="s">
        <v>4076</v>
      </c>
      <c r="I1120" s="19" t="s">
        <v>857</v>
      </c>
      <c r="J1120" s="21">
        <v>0.69770896000000004</v>
      </c>
      <c r="K1120" s="19" t="s">
        <v>4077</v>
      </c>
      <c r="L1120" s="19" t="s">
        <v>4078</v>
      </c>
      <c r="M1120" s="19" t="s">
        <v>4079</v>
      </c>
      <c r="N1120" s="19" t="s">
        <v>986</v>
      </c>
    </row>
    <row r="1121" spans="1:14">
      <c r="A1121" s="19" t="s">
        <v>172</v>
      </c>
      <c r="B1121" s="19">
        <v>20</v>
      </c>
      <c r="C1121" s="19" t="s">
        <v>4080</v>
      </c>
      <c r="D1121" s="19" t="s">
        <v>4081</v>
      </c>
      <c r="E1121" s="19" t="s">
        <v>855</v>
      </c>
      <c r="F1121" s="19">
        <v>2014</v>
      </c>
      <c r="G1121" s="21">
        <v>0.69707920000000001</v>
      </c>
      <c r="H1121" s="19" t="s">
        <v>4082</v>
      </c>
      <c r="I1121" s="19" t="s">
        <v>914</v>
      </c>
      <c r="J1121" s="21">
        <v>0.69707920000000001</v>
      </c>
      <c r="K1121" s="19" t="s">
        <v>4083</v>
      </c>
      <c r="L1121" s="19" t="s">
        <v>4084</v>
      </c>
      <c r="M1121" s="19"/>
      <c r="N1121" s="19" t="s">
        <v>1463</v>
      </c>
    </row>
    <row r="1122" spans="1:14">
      <c r="A1122" s="19" t="s">
        <v>356</v>
      </c>
      <c r="B1122" s="19">
        <v>1</v>
      </c>
      <c r="C1122" s="19" t="s">
        <v>3733</v>
      </c>
      <c r="D1122" s="19" t="s">
        <v>768</v>
      </c>
      <c r="E1122" s="19" t="s">
        <v>855</v>
      </c>
      <c r="F1122" s="19">
        <v>2015</v>
      </c>
      <c r="G1122" s="21">
        <v>0.68228509999999998</v>
      </c>
      <c r="H1122" s="19" t="s">
        <v>3734</v>
      </c>
      <c r="I1122" s="19" t="s">
        <v>857</v>
      </c>
      <c r="J1122" s="21">
        <v>0.68228509999999998</v>
      </c>
      <c r="K1122" s="19" t="s">
        <v>3735</v>
      </c>
      <c r="L1122" s="19" t="s">
        <v>3736</v>
      </c>
      <c r="M1122" s="19"/>
      <c r="N1122" s="19" t="s">
        <v>861</v>
      </c>
    </row>
    <row r="1123" spans="1:14">
      <c r="A1123" s="19" t="s">
        <v>356</v>
      </c>
      <c r="B1123" s="19">
        <v>2</v>
      </c>
      <c r="C1123" s="19" t="s">
        <v>4085</v>
      </c>
      <c r="D1123" s="19" t="s">
        <v>4086</v>
      </c>
      <c r="E1123" s="19" t="s">
        <v>855</v>
      </c>
      <c r="F1123" s="19">
        <v>2022</v>
      </c>
      <c r="G1123" s="21">
        <v>0.66948675999999996</v>
      </c>
      <c r="H1123" s="19" t="s">
        <v>4087</v>
      </c>
      <c r="I1123" s="19" t="s">
        <v>925</v>
      </c>
      <c r="J1123" s="21">
        <v>0.66948675999999996</v>
      </c>
      <c r="K1123" s="19" t="s">
        <v>4088</v>
      </c>
      <c r="L1123" s="19" t="s">
        <v>4089</v>
      </c>
      <c r="M1123" s="19" t="s">
        <v>4090</v>
      </c>
      <c r="N1123" s="19" t="s">
        <v>2570</v>
      </c>
    </row>
    <row r="1124" spans="1:14">
      <c r="A1124" s="19" t="s">
        <v>356</v>
      </c>
      <c r="B1124" s="19">
        <v>3</v>
      </c>
      <c r="C1124" s="19" t="s">
        <v>1207</v>
      </c>
      <c r="D1124" s="19" t="s">
        <v>1208</v>
      </c>
      <c r="E1124" s="19" t="s">
        <v>855</v>
      </c>
      <c r="F1124" s="19">
        <v>2023</v>
      </c>
      <c r="G1124" s="21">
        <v>0.66267739999999997</v>
      </c>
      <c r="H1124" s="19" t="s">
        <v>4091</v>
      </c>
      <c r="I1124" s="19" t="s">
        <v>857</v>
      </c>
      <c r="J1124" s="21">
        <v>0.66267739999999997</v>
      </c>
      <c r="K1124" s="19" t="s">
        <v>4092</v>
      </c>
      <c r="L1124" s="19" t="s">
        <v>4093</v>
      </c>
      <c r="M1124" s="19"/>
      <c r="N1124" s="19" t="s">
        <v>1350</v>
      </c>
    </row>
    <row r="1125" spans="1:14">
      <c r="A1125" s="19" t="s">
        <v>356</v>
      </c>
      <c r="B1125" s="19">
        <v>4</v>
      </c>
      <c r="C1125" s="19" t="s">
        <v>3753</v>
      </c>
      <c r="D1125" s="19" t="s">
        <v>3754</v>
      </c>
      <c r="E1125" s="19" t="s">
        <v>855</v>
      </c>
      <c r="F1125" s="19">
        <v>2014</v>
      </c>
      <c r="G1125" s="21">
        <v>0.66068864000000005</v>
      </c>
      <c r="H1125" s="19" t="s">
        <v>3755</v>
      </c>
      <c r="I1125" s="19" t="s">
        <v>857</v>
      </c>
      <c r="J1125" s="21">
        <v>0.66068864000000005</v>
      </c>
      <c r="K1125" s="19" t="s">
        <v>3756</v>
      </c>
      <c r="L1125" s="19" t="s">
        <v>3757</v>
      </c>
      <c r="M1125" s="19"/>
      <c r="N1125" s="19" t="s">
        <v>1350</v>
      </c>
    </row>
    <row r="1126" spans="1:14">
      <c r="A1126" s="19" t="s">
        <v>356</v>
      </c>
      <c r="B1126" s="19">
        <v>5</v>
      </c>
      <c r="C1126" s="19" t="s">
        <v>3715</v>
      </c>
      <c r="D1126" s="19" t="s">
        <v>3716</v>
      </c>
      <c r="E1126" s="19" t="s">
        <v>855</v>
      </c>
      <c r="F1126" s="19">
        <v>2022</v>
      </c>
      <c r="G1126" s="21">
        <v>0.6606476</v>
      </c>
      <c r="H1126" s="19" t="s">
        <v>3717</v>
      </c>
      <c r="I1126" s="19" t="s">
        <v>857</v>
      </c>
      <c r="J1126" s="21">
        <v>0.6606476</v>
      </c>
      <c r="K1126" s="19" t="s">
        <v>3718</v>
      </c>
      <c r="L1126" s="19" t="s">
        <v>3719</v>
      </c>
      <c r="M1126" s="19" t="s">
        <v>3720</v>
      </c>
      <c r="N1126" s="19" t="s">
        <v>1350</v>
      </c>
    </row>
    <row r="1127" spans="1:14">
      <c r="A1127" s="19" t="s">
        <v>356</v>
      </c>
      <c r="B1127" s="19">
        <v>6</v>
      </c>
      <c r="C1127" s="19" t="s">
        <v>1173</v>
      </c>
      <c r="D1127" s="19" t="s">
        <v>1174</v>
      </c>
      <c r="E1127" s="19" t="s">
        <v>855</v>
      </c>
      <c r="F1127" s="19">
        <v>2023</v>
      </c>
      <c r="G1127" s="21">
        <v>0.65618944000000001</v>
      </c>
      <c r="H1127" s="19" t="s">
        <v>1175</v>
      </c>
      <c r="I1127" s="19" t="s">
        <v>865</v>
      </c>
      <c r="J1127" s="21">
        <v>0.65618944000000001</v>
      </c>
      <c r="K1127" s="19" t="s">
        <v>1176</v>
      </c>
      <c r="L1127" s="19" t="s">
        <v>1177</v>
      </c>
      <c r="M1127" s="19"/>
      <c r="N1127" s="19" t="s">
        <v>1158</v>
      </c>
    </row>
    <row r="1128" spans="1:14">
      <c r="A1128" s="19" t="s">
        <v>356</v>
      </c>
      <c r="B1128" s="19">
        <v>7</v>
      </c>
      <c r="C1128" s="19" t="s">
        <v>1953</v>
      </c>
      <c r="D1128" s="19" t="s">
        <v>1954</v>
      </c>
      <c r="E1128" s="19" t="s">
        <v>855</v>
      </c>
      <c r="F1128" s="19">
        <v>2023</v>
      </c>
      <c r="G1128" s="21">
        <v>0.65527654000000002</v>
      </c>
      <c r="H1128" s="19" t="s">
        <v>1955</v>
      </c>
      <c r="I1128" s="19" t="s">
        <v>865</v>
      </c>
      <c r="J1128" s="21">
        <v>0.65527654000000002</v>
      </c>
      <c r="K1128" s="19" t="s">
        <v>1956</v>
      </c>
      <c r="L1128" s="19" t="s">
        <v>1957</v>
      </c>
      <c r="M1128" s="19" t="s">
        <v>1958</v>
      </c>
      <c r="N1128" s="19" t="s">
        <v>1158</v>
      </c>
    </row>
    <row r="1129" spans="1:14">
      <c r="A1129" s="19" t="s">
        <v>356</v>
      </c>
      <c r="B1129" s="19">
        <v>8</v>
      </c>
      <c r="C1129" s="19" t="s">
        <v>4094</v>
      </c>
      <c r="D1129" s="19" t="s">
        <v>4095</v>
      </c>
      <c r="E1129" s="19" t="s">
        <v>855</v>
      </c>
      <c r="F1129" s="19">
        <v>2023</v>
      </c>
      <c r="G1129" s="21">
        <v>0.65461004</v>
      </c>
      <c r="H1129" s="19" t="s">
        <v>4096</v>
      </c>
      <c r="I1129" s="19" t="s">
        <v>865</v>
      </c>
      <c r="J1129" s="21">
        <v>0.65461004</v>
      </c>
      <c r="K1129" s="19" t="s">
        <v>4097</v>
      </c>
      <c r="L1129" s="19" t="s">
        <v>4098</v>
      </c>
      <c r="M1129" s="19" t="s">
        <v>4099</v>
      </c>
      <c r="N1129" s="19" t="s">
        <v>2867</v>
      </c>
    </row>
    <row r="1130" spans="1:14">
      <c r="A1130" s="19" t="s">
        <v>356</v>
      </c>
      <c r="B1130" s="19">
        <v>9</v>
      </c>
      <c r="C1130" s="19" t="s">
        <v>4100</v>
      </c>
      <c r="D1130" s="19" t="s">
        <v>4101</v>
      </c>
      <c r="E1130" s="19" t="s">
        <v>855</v>
      </c>
      <c r="F1130" s="19">
        <v>2021</v>
      </c>
      <c r="G1130" s="21">
        <v>0.65458519999999998</v>
      </c>
      <c r="H1130" s="19" t="s">
        <v>4102</v>
      </c>
      <c r="I1130" s="19" t="s">
        <v>857</v>
      </c>
      <c r="J1130" s="21">
        <v>0.65458519999999998</v>
      </c>
      <c r="K1130" s="19" t="s">
        <v>4103</v>
      </c>
      <c r="L1130" s="19" t="s">
        <v>4104</v>
      </c>
      <c r="M1130" s="19"/>
      <c r="N1130" s="19" t="s">
        <v>1263</v>
      </c>
    </row>
    <row r="1131" spans="1:14">
      <c r="A1131" s="19" t="s">
        <v>356</v>
      </c>
      <c r="B1131" s="19">
        <v>10</v>
      </c>
      <c r="C1131" s="19" t="s">
        <v>4105</v>
      </c>
      <c r="D1131" s="19" t="s">
        <v>4106</v>
      </c>
      <c r="E1131" s="19" t="s">
        <v>855</v>
      </c>
      <c r="F1131" s="19">
        <v>2021</v>
      </c>
      <c r="G1131" s="21">
        <v>0.65450262999999997</v>
      </c>
      <c r="H1131" s="19" t="s">
        <v>4107</v>
      </c>
      <c r="I1131" s="19" t="s">
        <v>865</v>
      </c>
      <c r="J1131" s="21">
        <v>0.65450262999999997</v>
      </c>
      <c r="K1131" s="19" t="s">
        <v>4108</v>
      </c>
      <c r="L1131" s="19" t="s">
        <v>4109</v>
      </c>
      <c r="M1131" s="19"/>
      <c r="N1131" s="19" t="s">
        <v>2867</v>
      </c>
    </row>
    <row r="1132" spans="1:14">
      <c r="A1132" s="19" t="s">
        <v>356</v>
      </c>
      <c r="B1132" s="19">
        <v>11</v>
      </c>
      <c r="C1132" s="19" t="s">
        <v>4110</v>
      </c>
      <c r="D1132" s="19" t="s">
        <v>4111</v>
      </c>
      <c r="E1132" s="19" t="s">
        <v>855</v>
      </c>
      <c r="F1132" s="19">
        <v>2023</v>
      </c>
      <c r="G1132" s="21">
        <v>0.65361254999999996</v>
      </c>
      <c r="H1132" s="19" t="s">
        <v>4112</v>
      </c>
      <c r="I1132" s="19" t="s">
        <v>865</v>
      </c>
      <c r="J1132" s="21">
        <v>0.65361254999999996</v>
      </c>
      <c r="K1132" s="19" t="s">
        <v>4113</v>
      </c>
      <c r="L1132" s="19" t="s">
        <v>4114</v>
      </c>
      <c r="M1132" s="19"/>
      <c r="N1132" s="19" t="s">
        <v>2867</v>
      </c>
    </row>
    <row r="1133" spans="1:14">
      <c r="A1133" s="19" t="s">
        <v>356</v>
      </c>
      <c r="B1133" s="19">
        <v>12</v>
      </c>
      <c r="C1133" s="19" t="s">
        <v>1929</v>
      </c>
      <c r="D1133" s="19" t="s">
        <v>1930</v>
      </c>
      <c r="E1133" s="19" t="s">
        <v>855</v>
      </c>
      <c r="F1133" s="19">
        <v>2022</v>
      </c>
      <c r="G1133" s="21">
        <v>0.65337663999999995</v>
      </c>
      <c r="H1133" s="19" t="s">
        <v>1931</v>
      </c>
      <c r="I1133" s="19" t="s">
        <v>865</v>
      </c>
      <c r="J1133" s="21">
        <v>0.65337663999999995</v>
      </c>
      <c r="K1133" s="19" t="s">
        <v>1932</v>
      </c>
      <c r="L1133" s="19" t="s">
        <v>1933</v>
      </c>
      <c r="M1133" s="19"/>
      <c r="N1133" s="19" t="s">
        <v>2867</v>
      </c>
    </row>
    <row r="1134" spans="1:14">
      <c r="A1134" s="19" t="s">
        <v>356</v>
      </c>
      <c r="B1134" s="19">
        <v>13</v>
      </c>
      <c r="C1134" s="19" t="s">
        <v>1213</v>
      </c>
      <c r="D1134" s="19" t="s">
        <v>1214</v>
      </c>
      <c r="E1134" s="19" t="s">
        <v>855</v>
      </c>
      <c r="F1134" s="19">
        <v>2023</v>
      </c>
      <c r="G1134" s="21">
        <v>0.65254533000000003</v>
      </c>
      <c r="H1134" s="19" t="s">
        <v>1215</v>
      </c>
      <c r="I1134" s="19" t="s">
        <v>865</v>
      </c>
      <c r="J1134" s="21">
        <v>0.65254533000000003</v>
      </c>
      <c r="K1134" s="19" t="s">
        <v>1216</v>
      </c>
      <c r="L1134" s="19" t="s">
        <v>1217</v>
      </c>
      <c r="M1134" s="19"/>
      <c r="N1134" s="19" t="s">
        <v>2867</v>
      </c>
    </row>
    <row r="1135" spans="1:14">
      <c r="A1135" s="19" t="s">
        <v>356</v>
      </c>
      <c r="B1135" s="19">
        <v>14</v>
      </c>
      <c r="C1135" s="19" t="s">
        <v>4115</v>
      </c>
      <c r="D1135" s="19" t="s">
        <v>4116</v>
      </c>
      <c r="E1135" s="19" t="s">
        <v>855</v>
      </c>
      <c r="F1135" s="19">
        <v>2021</v>
      </c>
      <c r="G1135" s="21">
        <v>0.65243890000000004</v>
      </c>
      <c r="H1135" s="19" t="s">
        <v>4117</v>
      </c>
      <c r="I1135" s="19" t="s">
        <v>865</v>
      </c>
      <c r="J1135" s="21">
        <v>0.65243890000000004</v>
      </c>
      <c r="K1135" s="19" t="s">
        <v>4118</v>
      </c>
      <c r="L1135" s="19" t="s">
        <v>4119</v>
      </c>
      <c r="M1135" s="19"/>
      <c r="N1135" s="19" t="s">
        <v>2867</v>
      </c>
    </row>
    <row r="1136" spans="1:14">
      <c r="A1136" s="19" t="s">
        <v>356</v>
      </c>
      <c r="B1136" s="19">
        <v>15</v>
      </c>
      <c r="C1136" s="19" t="s">
        <v>3727</v>
      </c>
      <c r="D1136" s="19" t="s">
        <v>3728</v>
      </c>
      <c r="E1136" s="19" t="s">
        <v>855</v>
      </c>
      <c r="F1136" s="19">
        <v>2017</v>
      </c>
      <c r="G1136" s="21">
        <v>0.65154749999999995</v>
      </c>
      <c r="H1136" s="19" t="s">
        <v>3729</v>
      </c>
      <c r="I1136" s="19" t="s">
        <v>857</v>
      </c>
      <c r="J1136" s="21">
        <v>0.65154749999999995</v>
      </c>
      <c r="K1136" s="19" t="s">
        <v>3730</v>
      </c>
      <c r="L1136" s="19" t="s">
        <v>3731</v>
      </c>
      <c r="M1136" s="19" t="s">
        <v>3732</v>
      </c>
      <c r="N1136" s="19" t="s">
        <v>1263</v>
      </c>
    </row>
    <row r="1137" spans="1:14">
      <c r="A1137" s="19" t="s">
        <v>356</v>
      </c>
      <c r="B1137" s="19">
        <v>16</v>
      </c>
      <c r="C1137" s="19" t="s">
        <v>1518</v>
      </c>
      <c r="D1137" s="19" t="s">
        <v>1519</v>
      </c>
      <c r="E1137" s="19" t="s">
        <v>855</v>
      </c>
      <c r="F1137" s="19">
        <v>2022</v>
      </c>
      <c r="G1137" s="21">
        <v>0.65146210000000004</v>
      </c>
      <c r="H1137" s="19" t="s">
        <v>1940</v>
      </c>
      <c r="I1137" s="19" t="s">
        <v>865</v>
      </c>
      <c r="J1137" s="21">
        <v>0.65146210000000004</v>
      </c>
      <c r="K1137" s="19" t="s">
        <v>1941</v>
      </c>
      <c r="L1137" s="19" t="s">
        <v>1942</v>
      </c>
      <c r="M1137" s="19"/>
      <c r="N1137" s="19" t="s">
        <v>2867</v>
      </c>
    </row>
    <row r="1138" spans="1:14">
      <c r="A1138" s="19" t="s">
        <v>356</v>
      </c>
      <c r="B1138" s="19">
        <v>17</v>
      </c>
      <c r="C1138" s="19" t="s">
        <v>4120</v>
      </c>
      <c r="D1138" s="19" t="s">
        <v>4121</v>
      </c>
      <c r="E1138" s="19" t="s">
        <v>855</v>
      </c>
      <c r="F1138" s="19">
        <v>2021</v>
      </c>
      <c r="G1138" s="21">
        <v>0.65137270000000003</v>
      </c>
      <c r="H1138" s="19" t="s">
        <v>4122</v>
      </c>
      <c r="I1138" s="19" t="s">
        <v>865</v>
      </c>
      <c r="J1138" s="21">
        <v>0.65137270000000003</v>
      </c>
      <c r="K1138" s="19" t="s">
        <v>4123</v>
      </c>
      <c r="L1138" s="19" t="s">
        <v>4124</v>
      </c>
      <c r="M1138" s="19"/>
      <c r="N1138" s="19" t="s">
        <v>2867</v>
      </c>
    </row>
    <row r="1139" spans="1:14">
      <c r="A1139" s="19" t="s">
        <v>356</v>
      </c>
      <c r="B1139" s="19">
        <v>18</v>
      </c>
      <c r="C1139" s="19" t="s">
        <v>4125</v>
      </c>
      <c r="D1139" s="19" t="s">
        <v>4126</v>
      </c>
      <c r="E1139" s="19" t="s">
        <v>855</v>
      </c>
      <c r="F1139" s="19">
        <v>2023</v>
      </c>
      <c r="G1139" s="21">
        <v>0.65075636000000003</v>
      </c>
      <c r="H1139" s="19" t="s">
        <v>4127</v>
      </c>
      <c r="I1139" s="19" t="s">
        <v>865</v>
      </c>
      <c r="J1139" s="21">
        <v>0.65075636000000003</v>
      </c>
      <c r="K1139" s="19" t="s">
        <v>4128</v>
      </c>
      <c r="L1139" s="19" t="s">
        <v>4129</v>
      </c>
      <c r="M1139" s="19" t="s">
        <v>4130</v>
      </c>
      <c r="N1139" s="19" t="s">
        <v>2867</v>
      </c>
    </row>
    <row r="1140" spans="1:14">
      <c r="A1140" s="19" t="s">
        <v>356</v>
      </c>
      <c r="B1140" s="19">
        <v>19</v>
      </c>
      <c r="C1140" s="19" t="s">
        <v>4131</v>
      </c>
      <c r="D1140" s="19" t="s">
        <v>4132</v>
      </c>
      <c r="E1140" s="19" t="s">
        <v>855</v>
      </c>
      <c r="F1140" s="19">
        <v>2023</v>
      </c>
      <c r="G1140" s="21">
        <v>0.65066230000000003</v>
      </c>
      <c r="H1140" s="19" t="s">
        <v>4133</v>
      </c>
      <c r="I1140" s="19" t="s">
        <v>865</v>
      </c>
      <c r="J1140" s="21">
        <v>0.65066230000000003</v>
      </c>
      <c r="K1140" s="19" t="s">
        <v>4134</v>
      </c>
      <c r="L1140" s="19" t="s">
        <v>4135</v>
      </c>
      <c r="M1140" s="19"/>
      <c r="N1140" s="19" t="s">
        <v>2867</v>
      </c>
    </row>
    <row r="1141" spans="1:14">
      <c r="A1141" s="19" t="s">
        <v>356</v>
      </c>
      <c r="B1141" s="19">
        <v>20</v>
      </c>
      <c r="C1141" s="19" t="s">
        <v>4136</v>
      </c>
      <c r="D1141" s="19" t="s">
        <v>4137</v>
      </c>
      <c r="E1141" s="19" t="s">
        <v>855</v>
      </c>
      <c r="F1141" s="19">
        <v>2021</v>
      </c>
      <c r="G1141" s="21">
        <v>0.65055430000000003</v>
      </c>
      <c r="H1141" s="19" t="s">
        <v>4138</v>
      </c>
      <c r="I1141" s="19" t="s">
        <v>865</v>
      </c>
      <c r="J1141" s="21">
        <v>0.65055430000000003</v>
      </c>
      <c r="K1141" s="19" t="s">
        <v>4139</v>
      </c>
      <c r="L1141" s="19" t="s">
        <v>4140</v>
      </c>
      <c r="M1141" s="19"/>
      <c r="N1141" s="19" t="s">
        <v>2867</v>
      </c>
    </row>
    <row r="1142" spans="1:14">
      <c r="A1142" s="19" t="s">
        <v>471</v>
      </c>
      <c r="B1142" s="19">
        <v>1</v>
      </c>
      <c r="C1142" s="19" t="s">
        <v>4141</v>
      </c>
      <c r="D1142" s="19" t="s">
        <v>803</v>
      </c>
      <c r="E1142" s="19" t="s">
        <v>855</v>
      </c>
      <c r="F1142" s="19">
        <v>2015</v>
      </c>
      <c r="G1142" s="21">
        <v>0.69892149999999997</v>
      </c>
      <c r="H1142" s="19" t="s">
        <v>4142</v>
      </c>
      <c r="I1142" s="19" t="s">
        <v>1286</v>
      </c>
      <c r="J1142" s="21">
        <v>0.69892149999999997</v>
      </c>
      <c r="K1142" s="19" t="s">
        <v>4143</v>
      </c>
      <c r="L1142" s="19" t="s">
        <v>4144</v>
      </c>
      <c r="M1142" s="19"/>
      <c r="N1142" s="19" t="s">
        <v>1327</v>
      </c>
    </row>
    <row r="1143" spans="1:14">
      <c r="A1143" s="19" t="s">
        <v>471</v>
      </c>
      <c r="B1143" s="19">
        <v>2</v>
      </c>
      <c r="C1143" s="19" t="s">
        <v>4145</v>
      </c>
      <c r="D1143" s="19" t="s">
        <v>4146</v>
      </c>
      <c r="E1143" s="19" t="s">
        <v>855</v>
      </c>
      <c r="F1143" s="19">
        <v>2021</v>
      </c>
      <c r="G1143" s="21">
        <v>0.68460065000000003</v>
      </c>
      <c r="H1143" s="19" t="s">
        <v>4147</v>
      </c>
      <c r="I1143" s="19" t="s">
        <v>951</v>
      </c>
      <c r="J1143" s="21">
        <v>0.68460065000000003</v>
      </c>
      <c r="K1143" s="19" t="s">
        <v>4148</v>
      </c>
      <c r="L1143" s="19" t="s">
        <v>4149</v>
      </c>
      <c r="M1143" s="19" t="s">
        <v>4150</v>
      </c>
      <c r="N1143" s="19" t="s">
        <v>1000</v>
      </c>
    </row>
    <row r="1144" spans="1:14">
      <c r="A1144" s="19" t="s">
        <v>471</v>
      </c>
      <c r="B1144" s="19">
        <v>3</v>
      </c>
      <c r="C1144" s="19" t="s">
        <v>4151</v>
      </c>
      <c r="D1144" s="19" t="s">
        <v>4152</v>
      </c>
      <c r="E1144" s="19" t="s">
        <v>855</v>
      </c>
      <c r="F1144" s="19">
        <v>2014</v>
      </c>
      <c r="G1144" s="21">
        <v>0.67932879999999995</v>
      </c>
      <c r="H1144" s="19" t="s">
        <v>4153</v>
      </c>
      <c r="I1144" s="19" t="s">
        <v>914</v>
      </c>
      <c r="J1144" s="21">
        <v>0.67932879999999995</v>
      </c>
      <c r="K1144" s="19" t="s">
        <v>4154</v>
      </c>
      <c r="L1144" s="19" t="s">
        <v>4155</v>
      </c>
      <c r="M1144" s="19"/>
      <c r="N1144" s="19" t="s">
        <v>1189</v>
      </c>
    </row>
    <row r="1145" spans="1:14">
      <c r="A1145" s="19" t="s">
        <v>471</v>
      </c>
      <c r="B1145" s="19">
        <v>4</v>
      </c>
      <c r="C1145" s="19" t="s">
        <v>4156</v>
      </c>
      <c r="D1145" s="19" t="s">
        <v>4157</v>
      </c>
      <c r="E1145" s="19" t="s">
        <v>855</v>
      </c>
      <c r="F1145" s="19">
        <v>2023</v>
      </c>
      <c r="G1145" s="21">
        <v>0.66694056999999995</v>
      </c>
      <c r="H1145" s="19" t="s">
        <v>4158</v>
      </c>
      <c r="I1145" s="19" t="s">
        <v>925</v>
      </c>
      <c r="J1145" s="21">
        <v>0.66694056999999995</v>
      </c>
      <c r="K1145" s="19" t="s">
        <v>4159</v>
      </c>
      <c r="L1145" s="19" t="s">
        <v>4160</v>
      </c>
      <c r="M1145" s="19" t="s">
        <v>4161</v>
      </c>
      <c r="N1145" s="19" t="s">
        <v>2570</v>
      </c>
    </row>
    <row r="1146" spans="1:14">
      <c r="A1146" s="19" t="s">
        <v>471</v>
      </c>
      <c r="B1146" s="19">
        <v>5</v>
      </c>
      <c r="C1146" s="19" t="s">
        <v>4162</v>
      </c>
      <c r="D1146" s="19" t="s">
        <v>4163</v>
      </c>
      <c r="E1146" s="19" t="s">
        <v>855</v>
      </c>
      <c r="F1146" s="19">
        <v>2021</v>
      </c>
      <c r="G1146" s="21">
        <v>0.66056919999999997</v>
      </c>
      <c r="H1146" s="19" t="s">
        <v>4164</v>
      </c>
      <c r="I1146" s="19" t="s">
        <v>951</v>
      </c>
      <c r="J1146" s="21">
        <v>0.66056919999999997</v>
      </c>
      <c r="K1146" s="19" t="s">
        <v>4165</v>
      </c>
      <c r="L1146" s="19" t="s">
        <v>4166</v>
      </c>
      <c r="M1146" s="19" t="s">
        <v>4167</v>
      </c>
      <c r="N1146" s="19" t="s">
        <v>1103</v>
      </c>
    </row>
    <row r="1147" spans="1:14">
      <c r="A1147" s="19" t="s">
        <v>471</v>
      </c>
      <c r="B1147" s="19">
        <v>6</v>
      </c>
      <c r="C1147" s="19" t="s">
        <v>4168</v>
      </c>
      <c r="D1147" s="19" t="s">
        <v>4169</v>
      </c>
      <c r="E1147" s="19" t="s">
        <v>855</v>
      </c>
      <c r="F1147" s="19">
        <v>2022</v>
      </c>
      <c r="G1147" s="21">
        <v>0.65269169999999999</v>
      </c>
      <c r="H1147" s="19" t="s">
        <v>4170</v>
      </c>
      <c r="I1147" s="19" t="s">
        <v>951</v>
      </c>
      <c r="J1147" s="21">
        <v>0.65269169999999999</v>
      </c>
      <c r="K1147" s="19" t="s">
        <v>4171</v>
      </c>
      <c r="L1147" s="19" t="s">
        <v>4172</v>
      </c>
      <c r="M1147" s="19" t="s">
        <v>4173</v>
      </c>
      <c r="N1147" s="19" t="s">
        <v>1238</v>
      </c>
    </row>
    <row r="1148" spans="1:14">
      <c r="A1148" s="19" t="s">
        <v>471</v>
      </c>
      <c r="B1148" s="19">
        <v>7</v>
      </c>
      <c r="C1148" s="19" t="s">
        <v>4174</v>
      </c>
      <c r="D1148" s="19" t="s">
        <v>4175</v>
      </c>
      <c r="E1148" s="19" t="s">
        <v>855</v>
      </c>
      <c r="F1148" s="19">
        <v>2021</v>
      </c>
      <c r="G1148" s="21">
        <v>0.65155076999999995</v>
      </c>
      <c r="H1148" s="19" t="s">
        <v>4176</v>
      </c>
      <c r="I1148" s="19" t="s">
        <v>951</v>
      </c>
      <c r="J1148" s="21">
        <v>0.65155076999999995</v>
      </c>
      <c r="K1148" s="19" t="s">
        <v>4177</v>
      </c>
      <c r="L1148" s="19" t="s">
        <v>4178</v>
      </c>
      <c r="M1148" s="19" t="s">
        <v>4179</v>
      </c>
      <c r="N1148" s="19" t="s">
        <v>1238</v>
      </c>
    </row>
    <row r="1149" spans="1:14">
      <c r="A1149" s="19" t="s">
        <v>471</v>
      </c>
      <c r="B1149" s="19">
        <v>8</v>
      </c>
      <c r="C1149" s="19" t="s">
        <v>4180</v>
      </c>
      <c r="D1149" s="19" t="s">
        <v>4181</v>
      </c>
      <c r="E1149" s="19" t="s">
        <v>855</v>
      </c>
      <c r="F1149" s="19">
        <v>2014</v>
      </c>
      <c r="G1149" s="21">
        <v>0.64807570000000003</v>
      </c>
      <c r="H1149" s="19" t="s">
        <v>4182</v>
      </c>
      <c r="I1149" s="19" t="s">
        <v>914</v>
      </c>
      <c r="J1149" s="21">
        <v>0.64807570000000003</v>
      </c>
      <c r="K1149" s="19" t="s">
        <v>4183</v>
      </c>
      <c r="L1149" s="19" t="s">
        <v>4184</v>
      </c>
      <c r="M1149" s="19" t="s">
        <v>4185</v>
      </c>
      <c r="N1149" s="19" t="s">
        <v>1374</v>
      </c>
    </row>
    <row r="1150" spans="1:14">
      <c r="A1150" s="19" t="s">
        <v>471</v>
      </c>
      <c r="B1150" s="19">
        <v>9</v>
      </c>
      <c r="C1150" s="19" t="s">
        <v>4186</v>
      </c>
      <c r="D1150" s="19" t="s">
        <v>4187</v>
      </c>
      <c r="E1150" s="19" t="s">
        <v>855</v>
      </c>
      <c r="F1150" s="19">
        <v>2022</v>
      </c>
      <c r="G1150" s="21">
        <v>0.64509826999999997</v>
      </c>
      <c r="H1150" s="19" t="s">
        <v>4188</v>
      </c>
      <c r="I1150" s="19" t="s">
        <v>951</v>
      </c>
      <c r="J1150" s="21">
        <v>0.64509826999999997</v>
      </c>
      <c r="K1150" s="19" t="s">
        <v>4189</v>
      </c>
      <c r="L1150" s="19" t="s">
        <v>4190</v>
      </c>
      <c r="M1150" s="19" t="s">
        <v>4191</v>
      </c>
      <c r="N1150" s="19" t="s">
        <v>1238</v>
      </c>
    </row>
    <row r="1151" spans="1:14">
      <c r="A1151" s="19" t="s">
        <v>471</v>
      </c>
      <c r="B1151" s="19">
        <v>10</v>
      </c>
      <c r="C1151" s="19" t="s">
        <v>4192</v>
      </c>
      <c r="D1151" s="19" t="s">
        <v>4193</v>
      </c>
      <c r="E1151" s="19" t="s">
        <v>855</v>
      </c>
      <c r="F1151" s="19">
        <v>2016</v>
      </c>
      <c r="G1151" s="21">
        <v>0.64503670000000002</v>
      </c>
      <c r="H1151" s="19" t="s">
        <v>4194</v>
      </c>
      <c r="I1151" s="19" t="s">
        <v>951</v>
      </c>
      <c r="J1151" s="21">
        <v>0.64503670000000002</v>
      </c>
      <c r="K1151" s="19" t="s">
        <v>4195</v>
      </c>
      <c r="L1151" s="19" t="s">
        <v>4196</v>
      </c>
      <c r="M1151" s="19" t="s">
        <v>4197</v>
      </c>
      <c r="N1151" s="19" t="s">
        <v>1238</v>
      </c>
    </row>
    <row r="1152" spans="1:14">
      <c r="A1152" s="19" t="s">
        <v>471</v>
      </c>
      <c r="B1152" s="19">
        <v>11</v>
      </c>
      <c r="C1152" s="19" t="s">
        <v>4198</v>
      </c>
      <c r="D1152" s="19" t="s">
        <v>4199</v>
      </c>
      <c r="E1152" s="19" t="s">
        <v>855</v>
      </c>
      <c r="F1152" s="19">
        <v>2021</v>
      </c>
      <c r="G1152" s="21">
        <v>0.64457357000000004</v>
      </c>
      <c r="H1152" s="19" t="s">
        <v>4200</v>
      </c>
      <c r="I1152" s="19" t="s">
        <v>857</v>
      </c>
      <c r="J1152" s="21">
        <v>0.64457357000000004</v>
      </c>
      <c r="K1152" s="19" t="s">
        <v>4201</v>
      </c>
      <c r="L1152" s="19" t="s">
        <v>4202</v>
      </c>
      <c r="M1152" s="19"/>
      <c r="N1152" s="19" t="s">
        <v>940</v>
      </c>
    </row>
    <row r="1153" spans="1:14">
      <c r="A1153" s="19" t="s">
        <v>471</v>
      </c>
      <c r="B1153" s="19">
        <v>12</v>
      </c>
      <c r="C1153" s="19" t="s">
        <v>4203</v>
      </c>
      <c r="D1153" s="19" t="s">
        <v>4204</v>
      </c>
      <c r="E1153" s="19" t="s">
        <v>855</v>
      </c>
      <c r="F1153" s="19">
        <v>2015</v>
      </c>
      <c r="G1153" s="21">
        <v>0.64409274000000005</v>
      </c>
      <c r="H1153" s="19" t="s">
        <v>4205</v>
      </c>
      <c r="I1153" s="19" t="s">
        <v>951</v>
      </c>
      <c r="J1153" s="21">
        <v>0.64409274000000005</v>
      </c>
      <c r="K1153" s="19" t="s">
        <v>4206</v>
      </c>
      <c r="L1153" s="19" t="s">
        <v>4207</v>
      </c>
      <c r="M1153" s="19" t="s">
        <v>4208</v>
      </c>
      <c r="N1153" s="19" t="s">
        <v>1580</v>
      </c>
    </row>
    <row r="1154" spans="1:14">
      <c r="A1154" s="19" t="s">
        <v>471</v>
      </c>
      <c r="B1154" s="19">
        <v>13</v>
      </c>
      <c r="C1154" s="19" t="s">
        <v>4209</v>
      </c>
      <c r="D1154" s="19" t="s">
        <v>4210</v>
      </c>
      <c r="E1154" s="19" t="s">
        <v>855</v>
      </c>
      <c r="F1154" s="19">
        <v>2023</v>
      </c>
      <c r="G1154" s="21">
        <v>0.64251060000000004</v>
      </c>
      <c r="H1154" s="19" t="s">
        <v>4211</v>
      </c>
      <c r="I1154" s="19" t="s">
        <v>865</v>
      </c>
      <c r="J1154" s="21">
        <v>0.64251060000000004</v>
      </c>
      <c r="K1154" s="19" t="s">
        <v>4212</v>
      </c>
      <c r="L1154" s="19" t="s">
        <v>4213</v>
      </c>
      <c r="M1154" s="19" t="s">
        <v>4214</v>
      </c>
      <c r="N1154" s="19" t="s">
        <v>934</v>
      </c>
    </row>
    <row r="1155" spans="1:14">
      <c r="A1155" s="19" t="s">
        <v>471</v>
      </c>
      <c r="B1155" s="19">
        <v>14</v>
      </c>
      <c r="C1155" s="19" t="s">
        <v>4215</v>
      </c>
      <c r="D1155" s="19" t="s">
        <v>4216</v>
      </c>
      <c r="E1155" s="19" t="s">
        <v>855</v>
      </c>
      <c r="F1155" s="19">
        <v>2021</v>
      </c>
      <c r="G1155" s="21">
        <v>0.64225876000000004</v>
      </c>
      <c r="H1155" s="19" t="s">
        <v>4217</v>
      </c>
      <c r="I1155" s="19" t="s">
        <v>914</v>
      </c>
      <c r="J1155" s="21">
        <v>0.64225876000000004</v>
      </c>
      <c r="K1155" s="19" t="s">
        <v>4218</v>
      </c>
      <c r="L1155" s="19" t="s">
        <v>4219</v>
      </c>
      <c r="M1155" s="19"/>
      <c r="N1155" s="19" t="s">
        <v>1276</v>
      </c>
    </row>
    <row r="1156" spans="1:14">
      <c r="A1156" s="19" t="s">
        <v>471</v>
      </c>
      <c r="B1156" s="19">
        <v>15</v>
      </c>
      <c r="C1156" s="19" t="s">
        <v>4220</v>
      </c>
      <c r="D1156" s="19" t="s">
        <v>4221</v>
      </c>
      <c r="E1156" s="19" t="s">
        <v>855</v>
      </c>
      <c r="F1156" s="19">
        <v>2021</v>
      </c>
      <c r="G1156" s="21">
        <v>0.63950443000000001</v>
      </c>
      <c r="H1156" s="19" t="s">
        <v>4222</v>
      </c>
      <c r="I1156" s="19" t="s">
        <v>951</v>
      </c>
      <c r="J1156" s="21">
        <v>0.63950443000000001</v>
      </c>
      <c r="K1156" s="19" t="s">
        <v>4223</v>
      </c>
      <c r="L1156" s="19" t="s">
        <v>4224</v>
      </c>
      <c r="M1156" s="19" t="s">
        <v>4225</v>
      </c>
      <c r="N1156" s="19" t="s">
        <v>1580</v>
      </c>
    </row>
    <row r="1157" spans="1:14">
      <c r="A1157" s="19" t="s">
        <v>471</v>
      </c>
      <c r="B1157" s="19">
        <v>16</v>
      </c>
      <c r="C1157" s="19" t="s">
        <v>4226</v>
      </c>
      <c r="D1157" s="19" t="s">
        <v>4227</v>
      </c>
      <c r="E1157" s="19" t="s">
        <v>855</v>
      </c>
      <c r="F1157" s="19">
        <v>2016</v>
      </c>
      <c r="G1157" s="21">
        <v>0.63788867000000005</v>
      </c>
      <c r="H1157" s="19" t="s">
        <v>4228</v>
      </c>
      <c r="I1157" s="19" t="s">
        <v>951</v>
      </c>
      <c r="J1157" s="21">
        <v>0.63788867000000005</v>
      </c>
      <c r="K1157" s="19" t="s">
        <v>4229</v>
      </c>
      <c r="L1157" s="19" t="s">
        <v>4230</v>
      </c>
      <c r="M1157" s="19" t="s">
        <v>4231</v>
      </c>
      <c r="N1157" s="19" t="s">
        <v>1580</v>
      </c>
    </row>
    <row r="1158" spans="1:14">
      <c r="A1158" s="19" t="s">
        <v>471</v>
      </c>
      <c r="B1158" s="19">
        <v>17</v>
      </c>
      <c r="C1158" s="19" t="s">
        <v>4232</v>
      </c>
      <c r="D1158" s="19" t="s">
        <v>4233</v>
      </c>
      <c r="E1158" s="19" t="s">
        <v>855</v>
      </c>
      <c r="F1158" s="19">
        <v>2017</v>
      </c>
      <c r="G1158" s="21">
        <v>0.62919809999999998</v>
      </c>
      <c r="H1158" s="19" t="s">
        <v>4234</v>
      </c>
      <c r="I1158" s="19" t="s">
        <v>914</v>
      </c>
      <c r="J1158" s="21">
        <v>0.62919809999999998</v>
      </c>
      <c r="K1158" s="19" t="s">
        <v>4235</v>
      </c>
      <c r="L1158" s="19" t="s">
        <v>4236</v>
      </c>
      <c r="M1158" s="19" t="s">
        <v>4237</v>
      </c>
      <c r="N1158" s="19" t="s">
        <v>947</v>
      </c>
    </row>
    <row r="1159" spans="1:14">
      <c r="A1159" s="19" t="s">
        <v>471</v>
      </c>
      <c r="B1159" s="19">
        <v>18</v>
      </c>
      <c r="C1159" s="19" t="s">
        <v>4238</v>
      </c>
      <c r="D1159" s="19" t="s">
        <v>4239</v>
      </c>
      <c r="E1159" s="19" t="s">
        <v>855</v>
      </c>
      <c r="F1159" s="19">
        <v>2022</v>
      </c>
      <c r="G1159" s="21">
        <v>0.62707880000000005</v>
      </c>
      <c r="H1159" s="19" t="s">
        <v>4240</v>
      </c>
      <c r="I1159" s="19" t="s">
        <v>914</v>
      </c>
      <c r="J1159" s="21">
        <v>0.62707880000000005</v>
      </c>
      <c r="K1159" s="19" t="s">
        <v>4241</v>
      </c>
      <c r="L1159" s="19" t="s">
        <v>4242</v>
      </c>
      <c r="M1159" s="19" t="s">
        <v>4243</v>
      </c>
      <c r="N1159" s="19" t="s">
        <v>947</v>
      </c>
    </row>
    <row r="1160" spans="1:14">
      <c r="A1160" s="19" t="s">
        <v>471</v>
      </c>
      <c r="B1160" s="19">
        <v>19</v>
      </c>
      <c r="C1160" s="19" t="s">
        <v>4244</v>
      </c>
      <c r="D1160" s="19" t="s">
        <v>4245</v>
      </c>
      <c r="E1160" s="19" t="s">
        <v>855</v>
      </c>
      <c r="F1160" s="19">
        <v>2015</v>
      </c>
      <c r="G1160" s="21">
        <v>0.62487139999999997</v>
      </c>
      <c r="H1160" s="19" t="s">
        <v>4246</v>
      </c>
      <c r="I1160" s="19" t="s">
        <v>951</v>
      </c>
      <c r="J1160" s="21">
        <v>0.62487139999999997</v>
      </c>
      <c r="K1160" s="19" t="s">
        <v>4247</v>
      </c>
      <c r="L1160" s="19" t="s">
        <v>4248</v>
      </c>
      <c r="M1160" s="19"/>
      <c r="N1160" s="19" t="s">
        <v>1449</v>
      </c>
    </row>
    <row r="1161" spans="1:14">
      <c r="A1161" s="19" t="s">
        <v>471</v>
      </c>
      <c r="B1161" s="19">
        <v>20</v>
      </c>
      <c r="C1161" s="19" t="s">
        <v>4249</v>
      </c>
      <c r="D1161" s="19" t="s">
        <v>4250</v>
      </c>
      <c r="E1161" s="19" t="s">
        <v>855</v>
      </c>
      <c r="F1161" s="19">
        <v>2017</v>
      </c>
      <c r="G1161" s="21">
        <v>0.62462019999999996</v>
      </c>
      <c r="H1161" s="19" t="s">
        <v>4251</v>
      </c>
      <c r="I1161" s="19" t="s">
        <v>908</v>
      </c>
      <c r="J1161" s="21">
        <v>0.62462019999999996</v>
      </c>
      <c r="K1161" s="19" t="s">
        <v>4252</v>
      </c>
      <c r="L1161" s="19" t="s">
        <v>4253</v>
      </c>
      <c r="M1161" s="19"/>
      <c r="N1161" s="19" t="s">
        <v>1456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
  <sheetViews>
    <sheetView showGridLines="0" workbookViewId="0">
      <selection activeCell="B14" sqref="B14"/>
    </sheetView>
  </sheetViews>
  <sheetFormatPr defaultRowHeight="13.8"/>
  <cols>
    <col min="1" max="1" width="26.09765625" customWidth="1"/>
    <col min="2" max="2" width="33.296875" customWidth="1"/>
    <col min="3" max="3" width="24.3984375" customWidth="1"/>
    <col min="4" max="9" width="10.59765625" customWidth="1"/>
    <col min="10" max="10" width="3.296875" customWidth="1"/>
  </cols>
  <sheetData>
    <row r="1" spans="1:10" ht="24" customHeight="1">
      <c r="A1" s="31" t="s">
        <v>4408</v>
      </c>
      <c r="B1" s="30"/>
      <c r="C1" s="30"/>
      <c r="D1" s="30"/>
      <c r="E1" s="30"/>
      <c r="F1" s="30"/>
      <c r="G1" s="30"/>
      <c r="H1" s="30"/>
      <c r="I1" s="30"/>
      <c r="J1" s="30"/>
    </row>
    <row r="3" spans="1:10" ht="14.4" customHeight="1">
      <c r="A3" s="5" t="s">
        <v>4254</v>
      </c>
      <c r="B3" s="5" t="s">
        <v>4255</v>
      </c>
      <c r="C3" s="32" t="s">
        <v>4256</v>
      </c>
      <c r="D3" s="30"/>
      <c r="E3" s="30"/>
      <c r="F3" s="30"/>
      <c r="G3" s="30"/>
      <c r="H3" s="30"/>
      <c r="I3" s="30"/>
      <c r="J3" s="30"/>
    </row>
    <row r="4" spans="1:10">
      <c r="A4" t="s">
        <v>629</v>
      </c>
      <c r="B4">
        <f>COUNTIF(Annotations!$B$2:$B$116,"yes")</f>
        <v>98</v>
      </c>
      <c r="C4" s="6" t="s">
        <v>4257</v>
      </c>
      <c r="D4" s="24" t="s">
        <v>42</v>
      </c>
      <c r="E4" s="24" t="s">
        <v>57</v>
      </c>
      <c r="F4" s="24" t="s">
        <v>52</v>
      </c>
      <c r="G4" s="24" t="s">
        <v>107</v>
      </c>
      <c r="H4" s="24" t="s">
        <v>259</v>
      </c>
      <c r="I4" s="24" t="s">
        <v>4258</v>
      </c>
    </row>
    <row r="5" spans="1:10">
      <c r="A5" t="s">
        <v>4259</v>
      </c>
      <c r="B5">
        <f>COUNTIFS(Annotations!$B$2:$B$116,"yes",Annotations!$V$2:$V$116,"?*")</f>
        <v>98</v>
      </c>
      <c r="C5" s="7" t="s">
        <v>42</v>
      </c>
      <c r="D5" s="25">
        <f>COUNTIFS(Annotations!$B$2:$B$116,"yes",Annotations!$V$2:$V$116,$C5,Annotations!$AE$2:$AE$116,D$4)</f>
        <v>43</v>
      </c>
      <c r="E5" s="25">
        <f>COUNTIFS(Annotations!$B$2:$B$116,"yes",Annotations!$V$2:$V$116,$C5,Annotations!$AE$2:$AE$116,E$4)</f>
        <v>2</v>
      </c>
      <c r="F5" s="25">
        <f>COUNTIFS(Annotations!$B$2:$B$116,"yes",Annotations!$V$2:$V$116,$C5,Annotations!$AE$2:$AE$116,F$4)</f>
        <v>0</v>
      </c>
      <c r="G5" s="25">
        <f>COUNTIFS(Annotations!$B$2:$B$116,"yes",Annotations!$V$2:$V$116,$C5,Annotations!$AE$2:$AE$116,G$4)</f>
        <v>0</v>
      </c>
      <c r="H5" s="25">
        <f>COUNTIFS(Annotations!$B$2:$B$116,"yes",Annotations!$V$2:$V$116,$C5,Annotations!$AE$2:$AE$116,H$4)</f>
        <v>0</v>
      </c>
      <c r="I5" s="25">
        <f>SUM(D5:H5)</f>
        <v>45</v>
      </c>
    </row>
    <row r="6" spans="1:10">
      <c r="A6" t="s">
        <v>4260</v>
      </c>
      <c r="B6">
        <f>COUNTIFS(Annotations!$B$2:$B$116,"yes",Annotations!$AE$2:$AE$116,"?*")</f>
        <v>98</v>
      </c>
      <c r="C6" s="7" t="s">
        <v>57</v>
      </c>
      <c r="D6" s="25">
        <f>COUNTIFS(Annotations!$B$2:$B$116,"yes",Annotations!$V$2:$V$116,$C6,Annotations!$AE$2:$AE$116,D$4)</f>
        <v>3</v>
      </c>
      <c r="E6" s="25">
        <f>COUNTIFS(Annotations!$B$2:$B$116,"yes",Annotations!$V$2:$V$116,$C6,Annotations!$AE$2:$AE$116,E$4)</f>
        <v>27</v>
      </c>
      <c r="F6" s="25">
        <f>COUNTIFS(Annotations!$B$2:$B$116,"yes",Annotations!$V$2:$V$116,$C6,Annotations!$AE$2:$AE$116,F$4)</f>
        <v>6</v>
      </c>
      <c r="G6" s="25">
        <f>COUNTIFS(Annotations!$B$2:$B$116,"yes",Annotations!$V$2:$V$116,$C6,Annotations!$AE$2:$AE$116,G$4)</f>
        <v>0</v>
      </c>
      <c r="H6" s="25">
        <f>COUNTIFS(Annotations!$B$2:$B$116,"yes",Annotations!$V$2:$V$116,$C6,Annotations!$AE$2:$AE$116,H$4)</f>
        <v>0</v>
      </c>
      <c r="I6" s="25">
        <f>SUM(D6:H6)</f>
        <v>36</v>
      </c>
    </row>
    <row r="7" spans="1:10">
      <c r="A7" t="s">
        <v>4261</v>
      </c>
      <c r="B7">
        <f>COUNTIFS(Annotations!$B$2:$B$116,"yes",Annotations!$Y$2:$Y$116,"?*")</f>
        <v>98</v>
      </c>
      <c r="C7" s="7" t="s">
        <v>52</v>
      </c>
      <c r="D7" s="25">
        <f>COUNTIFS(Annotations!$B$2:$B$116,"yes",Annotations!$V$2:$V$116,$C7,Annotations!$AE$2:$AE$116,D$4)</f>
        <v>0</v>
      </c>
      <c r="E7" s="25">
        <f>COUNTIFS(Annotations!$B$2:$B$116,"yes",Annotations!$V$2:$V$116,$C7,Annotations!$AE$2:$AE$116,E$4)</f>
        <v>3</v>
      </c>
      <c r="F7" s="25">
        <f>COUNTIFS(Annotations!$B$2:$B$116,"yes",Annotations!$V$2:$V$116,$C7,Annotations!$AE$2:$AE$116,F$4)</f>
        <v>9</v>
      </c>
      <c r="G7" s="25">
        <f>COUNTIFS(Annotations!$B$2:$B$116,"yes",Annotations!$V$2:$V$116,$C7,Annotations!$AE$2:$AE$116,G$4)</f>
        <v>1</v>
      </c>
      <c r="H7" s="25">
        <f>COUNTIFS(Annotations!$B$2:$B$116,"yes",Annotations!$V$2:$V$116,$C7,Annotations!$AE$2:$AE$116,H$4)</f>
        <v>0</v>
      </c>
      <c r="I7" s="25">
        <f>SUM(D7:H7)</f>
        <v>13</v>
      </c>
    </row>
    <row r="8" spans="1:10">
      <c r="A8" t="s">
        <v>4262</v>
      </c>
      <c r="B8">
        <f>COUNTIFS(Annotations!$B$2:$B$116,"yes",Annotations!$AH$2:$AH$116,"?*")</f>
        <v>98</v>
      </c>
      <c r="C8" s="7" t="s">
        <v>107</v>
      </c>
      <c r="D8" s="25">
        <f>COUNTIFS(Annotations!$B$2:$B$116,"yes",Annotations!$V$2:$V$116,$C8,Annotations!$AE$2:$AE$116,D$4)</f>
        <v>0</v>
      </c>
      <c r="E8" s="25">
        <f>COUNTIFS(Annotations!$B$2:$B$116,"yes",Annotations!$V$2:$V$116,$C8,Annotations!$AE$2:$AE$116,E$4)</f>
        <v>0</v>
      </c>
      <c r="F8" s="25">
        <f>COUNTIFS(Annotations!$B$2:$B$116,"yes",Annotations!$V$2:$V$116,$C8,Annotations!$AE$2:$AE$116,F$4)</f>
        <v>0</v>
      </c>
      <c r="G8" s="25">
        <f>COUNTIFS(Annotations!$B$2:$B$116,"yes",Annotations!$V$2:$V$116,$C8,Annotations!$AE$2:$AE$116,G$4)</f>
        <v>0</v>
      </c>
      <c r="H8" s="25">
        <f>COUNTIFS(Annotations!$B$2:$B$116,"yes",Annotations!$V$2:$V$116,$C8,Annotations!$AE$2:$AE$116,H$4)</f>
        <v>0</v>
      </c>
      <c r="I8" s="25">
        <f>SUM(D8:H8)</f>
        <v>0</v>
      </c>
    </row>
    <row r="9" spans="1:10">
      <c r="A9" t="s">
        <v>4263</v>
      </c>
      <c r="B9">
        <f>COUNTIFS(Annotations!$B$2:$B$116,"yes",Annotations!$V$2:$V$116,"?*",Annotations!$AE$2:$AE$116,"?*",Annotations!$Y$2:$Y$116,"?*",Annotations!$AH$2:$AH$116,"?*")</f>
        <v>98</v>
      </c>
      <c r="C9" s="7" t="s">
        <v>259</v>
      </c>
      <c r="D9" s="25">
        <f>COUNTIFS(Annotations!$B$2:$B$116,"yes",Annotations!$V$2:$V$116,$C9,Annotations!$AE$2:$AE$116,D$4)</f>
        <v>0</v>
      </c>
      <c r="E9" s="25">
        <f>COUNTIFS(Annotations!$B$2:$B$116,"yes",Annotations!$V$2:$V$116,$C9,Annotations!$AE$2:$AE$116,E$4)</f>
        <v>0</v>
      </c>
      <c r="F9" s="25">
        <f>COUNTIFS(Annotations!$B$2:$B$116,"yes",Annotations!$V$2:$V$116,$C9,Annotations!$AE$2:$AE$116,F$4)</f>
        <v>0</v>
      </c>
      <c r="G9" s="25">
        <f>COUNTIFS(Annotations!$B$2:$B$116,"yes",Annotations!$V$2:$V$116,$C9,Annotations!$AE$2:$AE$116,G$4)</f>
        <v>0</v>
      </c>
      <c r="H9" s="25">
        <f>COUNTIFS(Annotations!$B$2:$B$116,"yes",Annotations!$V$2:$V$116,$C9,Annotations!$AE$2:$AE$116,H$4)</f>
        <v>4</v>
      </c>
      <c r="I9" s="25">
        <f>SUM(D9:H9)</f>
        <v>4</v>
      </c>
    </row>
    <row r="10" spans="1:10">
      <c r="C10" s="7" t="s">
        <v>4264</v>
      </c>
      <c r="D10" s="25">
        <f t="shared" ref="D10:I10" si="0">SUM(D5:D9)</f>
        <v>46</v>
      </c>
      <c r="E10" s="25">
        <f t="shared" si="0"/>
        <v>32</v>
      </c>
      <c r="F10" s="25">
        <f t="shared" si="0"/>
        <v>15</v>
      </c>
      <c r="G10" s="25">
        <f t="shared" si="0"/>
        <v>1</v>
      </c>
      <c r="H10" s="25">
        <f t="shared" si="0"/>
        <v>4</v>
      </c>
      <c r="I10" s="25">
        <f t="shared" si="0"/>
        <v>98</v>
      </c>
    </row>
    <row r="12" spans="1:10" ht="24" customHeight="1">
      <c r="A12" s="5" t="s">
        <v>4265</v>
      </c>
      <c r="B12" s="5" t="s">
        <v>4266</v>
      </c>
      <c r="C12" s="8" t="s">
        <v>4267</v>
      </c>
      <c r="D12" s="8">
        <f>SUM(D5:H9)-H9</f>
        <v>94</v>
      </c>
    </row>
    <row r="13" spans="1:10">
      <c r="A13" t="s">
        <v>4268</v>
      </c>
      <c r="B13" t="s">
        <v>4269</v>
      </c>
      <c r="C13" s="8" t="s">
        <v>4270</v>
      </c>
      <c r="D13" s="9">
        <f>IF(D12=0,"",(D5+E6+F7+G8)/D12)</f>
        <v>0.84042553191489366</v>
      </c>
    </row>
    <row r="14" spans="1:10">
      <c r="A14" t="s">
        <v>4271</v>
      </c>
      <c r="B14" t="s">
        <v>4272</v>
      </c>
      <c r="C14" s="8" t="s">
        <v>4273</v>
      </c>
      <c r="D14" s="9">
        <f>IF(D12=0,"",(I5*D10+I6*E10+I7*F10+I8*G10+(I9-H9)*(H10-H9))/(D12^2))</f>
        <v>0.38671344499773652</v>
      </c>
    </row>
    <row r="15" spans="1:10">
      <c r="A15" t="s">
        <v>4274</v>
      </c>
      <c r="B15" t="s">
        <v>4275</v>
      </c>
      <c r="C15" s="8" t="s">
        <v>4276</v>
      </c>
      <c r="D15" s="9">
        <f>IF(OR(D12=0,D14=1),"",(D13-D14)/(1-D14))</f>
        <v>0.7398043919542352</v>
      </c>
    </row>
    <row r="16" spans="1:10">
      <c r="A16" t="s">
        <v>4277</v>
      </c>
      <c r="B16" t="s">
        <v>4278</v>
      </c>
    </row>
    <row r="17" spans="1:10" ht="14.4" customHeight="1">
      <c r="C17" s="32" t="s">
        <v>4279</v>
      </c>
      <c r="D17" s="30"/>
      <c r="E17" s="30"/>
      <c r="F17" s="30"/>
      <c r="G17" s="30"/>
      <c r="H17" s="30"/>
      <c r="I17" s="30"/>
      <c r="J17" s="30"/>
    </row>
    <row r="18" spans="1:10" ht="24" customHeight="1">
      <c r="A18" s="10" t="s">
        <v>4280</v>
      </c>
      <c r="B18" s="10" t="s">
        <v>4281</v>
      </c>
      <c r="C18" s="6" t="s">
        <v>4257</v>
      </c>
      <c r="D18" s="24" t="s">
        <v>42</v>
      </c>
      <c r="E18" s="24" t="s">
        <v>57</v>
      </c>
      <c r="F18" s="24" t="s">
        <v>52</v>
      </c>
      <c r="G18" s="24" t="s">
        <v>107</v>
      </c>
      <c r="H18" s="24" t="s">
        <v>259</v>
      </c>
      <c r="I18" s="24" t="s">
        <v>4258</v>
      </c>
    </row>
    <row r="19" spans="1:10" ht="24" customHeight="1">
      <c r="A19" s="10" t="s">
        <v>4282</v>
      </c>
      <c r="B19" s="10" t="s">
        <v>4283</v>
      </c>
      <c r="C19" s="7" t="s">
        <v>42</v>
      </c>
      <c r="D19" s="25">
        <f>COUNTIFS(Annotations!$B$2:$B$116,"yes",Annotations!$Y$2:$Y$116,$C19,Annotations!$AH$2:$AH$116,D$18)</f>
        <v>0</v>
      </c>
      <c r="E19" s="25">
        <f>COUNTIFS(Annotations!$B$2:$B$116,"yes",Annotations!$Y$2:$Y$116,$C19,Annotations!$AH$2:$AH$116,E$18)</f>
        <v>2</v>
      </c>
      <c r="F19" s="25">
        <f>COUNTIFS(Annotations!$B$2:$B$116,"yes",Annotations!$Y$2:$Y$116,$C19,Annotations!$AH$2:$AH$116,F$18)</f>
        <v>2</v>
      </c>
      <c r="G19" s="25">
        <f>COUNTIFS(Annotations!$B$2:$B$116,"yes",Annotations!$Y$2:$Y$116,$C19,Annotations!$AH$2:$AH$116,G$18)</f>
        <v>0</v>
      </c>
      <c r="H19" s="25">
        <f>COUNTIFS(Annotations!$B$2:$B$116,"yes",Annotations!$Y$2:$Y$116,$C19,Annotations!$AH$2:$AH$116,H$18)</f>
        <v>0</v>
      </c>
      <c r="I19" s="25">
        <f>SUM(D19:H19)</f>
        <v>4</v>
      </c>
    </row>
    <row r="20" spans="1:10" ht="36" customHeight="1">
      <c r="A20" s="10" t="s">
        <v>4284</v>
      </c>
      <c r="B20" s="10" t="s">
        <v>4285</v>
      </c>
      <c r="C20" s="7" t="s">
        <v>57</v>
      </c>
      <c r="D20" s="25">
        <f>COUNTIFS(Annotations!$B$2:$B$116,"yes",Annotations!$Y$2:$Y$116,$C20,Annotations!$AH$2:$AH$116,D$18)</f>
        <v>0</v>
      </c>
      <c r="E20" s="25">
        <f>COUNTIFS(Annotations!$B$2:$B$116,"yes",Annotations!$Y$2:$Y$116,$C20,Annotations!$AH$2:$AH$116,E$18)</f>
        <v>5</v>
      </c>
      <c r="F20" s="25">
        <f>COUNTIFS(Annotations!$B$2:$B$116,"yes",Annotations!$Y$2:$Y$116,$C20,Annotations!$AH$2:$AH$116,F$18)</f>
        <v>54</v>
      </c>
      <c r="G20" s="25">
        <f>COUNTIFS(Annotations!$B$2:$B$116,"yes",Annotations!$Y$2:$Y$116,$C20,Annotations!$AH$2:$AH$116,G$18)</f>
        <v>0</v>
      </c>
      <c r="H20" s="25">
        <f>COUNTIFS(Annotations!$B$2:$B$116,"yes",Annotations!$Y$2:$Y$116,$C20,Annotations!$AH$2:$AH$116,H$18)</f>
        <v>0</v>
      </c>
      <c r="I20" s="25">
        <f>SUM(D20:H20)</f>
        <v>59</v>
      </c>
    </row>
    <row r="21" spans="1:10" ht="36" customHeight="1">
      <c r="A21" s="10" t="s">
        <v>4286</v>
      </c>
      <c r="B21" s="10" t="s">
        <v>4287</v>
      </c>
      <c r="C21" s="7" t="s">
        <v>52</v>
      </c>
      <c r="D21" s="25">
        <f>COUNTIFS(Annotations!$B$2:$B$116,"yes",Annotations!$Y$2:$Y$116,$C21,Annotations!$AH$2:$AH$116,D$18)</f>
        <v>0</v>
      </c>
      <c r="E21" s="25">
        <f>COUNTIFS(Annotations!$B$2:$B$116,"yes",Annotations!$Y$2:$Y$116,$C21,Annotations!$AH$2:$AH$116,E$18)</f>
        <v>0</v>
      </c>
      <c r="F21" s="25">
        <f>COUNTIFS(Annotations!$B$2:$B$116,"yes",Annotations!$Y$2:$Y$116,$C21,Annotations!$AH$2:$AH$116,F$18)</f>
        <v>35</v>
      </c>
      <c r="G21" s="25">
        <f>COUNTIFS(Annotations!$B$2:$B$116,"yes",Annotations!$Y$2:$Y$116,$C21,Annotations!$AH$2:$AH$116,G$18)</f>
        <v>0</v>
      </c>
      <c r="H21" s="25">
        <f>COUNTIFS(Annotations!$B$2:$B$116,"yes",Annotations!$Y$2:$Y$116,$C21,Annotations!$AH$2:$AH$116,H$18)</f>
        <v>0</v>
      </c>
      <c r="I21" s="25">
        <f>SUM(D21:H21)</f>
        <v>35</v>
      </c>
    </row>
    <row r="22" spans="1:10">
      <c r="C22" s="7" t="s">
        <v>107</v>
      </c>
      <c r="D22" s="25">
        <f>COUNTIFS(Annotations!$B$2:$B$116,"yes",Annotations!$Y$2:$Y$116,$C22,Annotations!$AH$2:$AH$116,D$18)</f>
        <v>0</v>
      </c>
      <c r="E22" s="25">
        <f>COUNTIFS(Annotations!$B$2:$B$116,"yes",Annotations!$Y$2:$Y$116,$C22,Annotations!$AH$2:$AH$116,E$18)</f>
        <v>0</v>
      </c>
      <c r="F22" s="25">
        <f>COUNTIFS(Annotations!$B$2:$B$116,"yes",Annotations!$Y$2:$Y$116,$C22,Annotations!$AH$2:$AH$116,F$18)</f>
        <v>0</v>
      </c>
      <c r="G22" s="25">
        <f>COUNTIFS(Annotations!$B$2:$B$116,"yes",Annotations!$Y$2:$Y$116,$C22,Annotations!$AH$2:$AH$116,G$18)</f>
        <v>0</v>
      </c>
      <c r="H22" s="25">
        <f>COUNTIFS(Annotations!$B$2:$B$116,"yes",Annotations!$Y$2:$Y$116,$C22,Annotations!$AH$2:$AH$116,H$18)</f>
        <v>0</v>
      </c>
      <c r="I22" s="25">
        <f>SUM(D22:H22)</f>
        <v>0</v>
      </c>
    </row>
    <row r="23" spans="1:10">
      <c r="C23" s="7" t="s">
        <v>259</v>
      </c>
      <c r="D23" s="25">
        <f>COUNTIFS(Annotations!$B$2:$B$116,"yes",Annotations!$Y$2:$Y$116,$C23,Annotations!$AH$2:$AH$116,D$18)</f>
        <v>0</v>
      </c>
      <c r="E23" s="25">
        <f>COUNTIFS(Annotations!$B$2:$B$116,"yes",Annotations!$Y$2:$Y$116,$C23,Annotations!$AH$2:$AH$116,E$18)</f>
        <v>0</v>
      </c>
      <c r="F23" s="25">
        <f>COUNTIFS(Annotations!$B$2:$B$116,"yes",Annotations!$Y$2:$Y$116,$C23,Annotations!$AH$2:$AH$116,F$18)</f>
        <v>0</v>
      </c>
      <c r="G23" s="25">
        <f>COUNTIFS(Annotations!$B$2:$B$116,"yes",Annotations!$Y$2:$Y$116,$C23,Annotations!$AH$2:$AH$116,G$18)</f>
        <v>0</v>
      </c>
      <c r="H23" s="25">
        <f>COUNTIFS(Annotations!$B$2:$B$116,"yes",Annotations!$Y$2:$Y$116,$C23,Annotations!$AH$2:$AH$116,H$18)</f>
        <v>0</v>
      </c>
      <c r="I23" s="25">
        <f>SUM(D23:H23)</f>
        <v>0</v>
      </c>
    </row>
    <row r="24" spans="1:10">
      <c r="C24" s="7" t="s">
        <v>4264</v>
      </c>
      <c r="D24" s="25">
        <f t="shared" ref="D24:I24" si="1">SUM(D19:D23)</f>
        <v>0</v>
      </c>
      <c r="E24" s="25">
        <f t="shared" si="1"/>
        <v>7</v>
      </c>
      <c r="F24" s="25">
        <f t="shared" si="1"/>
        <v>91</v>
      </c>
      <c r="G24" s="25">
        <f t="shared" si="1"/>
        <v>0</v>
      </c>
      <c r="H24" s="25">
        <f t="shared" si="1"/>
        <v>0</v>
      </c>
      <c r="I24" s="25">
        <f t="shared" si="1"/>
        <v>98</v>
      </c>
    </row>
    <row r="26" spans="1:10" ht="24" customHeight="1">
      <c r="C26" s="8" t="s">
        <v>4267</v>
      </c>
      <c r="D26" s="8">
        <f>SUM(D19:H23)-H23</f>
        <v>98</v>
      </c>
    </row>
    <row r="27" spans="1:10">
      <c r="C27" s="8" t="s">
        <v>4270</v>
      </c>
      <c r="D27" s="9">
        <f>IF(D26=0,"",(D19+E20+F21+G22)/D26)</f>
        <v>0.40816326530612246</v>
      </c>
    </row>
    <row r="28" spans="1:10">
      <c r="C28" s="8" t="s">
        <v>4273</v>
      </c>
      <c r="D28" s="9">
        <f>IF(D26=0,"",(I19*D24+I20*E24+I21*F24+I22*G24+(I23-H23)*(H24-H23))/(D26^2))</f>
        <v>0.37463556851311952</v>
      </c>
    </row>
    <row r="29" spans="1:10">
      <c r="C29" s="8" t="s">
        <v>4276</v>
      </c>
      <c r="D29" s="9">
        <f>IF(OR(D26=0,D28=1),"",(D27-D28)/(1-D28))</f>
        <v>5.3613053613053643E-2</v>
      </c>
    </row>
  </sheetData>
  <mergeCells count="3">
    <mergeCell ref="A1:J1"/>
    <mergeCell ref="C17:J17"/>
    <mergeCell ref="C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Sample Register</vt:lpstr>
      <vt:lpstr>Annotations</vt:lpstr>
      <vt:lpstr>Retrieved Evidence</vt:lpstr>
      <vt:lpstr>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Roopa Raj</cp:lastModifiedBy>
  <dcterms:created xsi:type="dcterms:W3CDTF">2026-08-16T14:03:07Z</dcterms:created>
  <dcterms:modified xsi:type="dcterms:W3CDTF">2026-09-10T01:27:37Z</dcterms:modified>
</cp:coreProperties>
</file>