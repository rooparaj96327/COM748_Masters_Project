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1b0b5b5494416a" /></Relationships>
</file>

<file path=xl/workbook.xml><?xml version="1.0" encoding="utf-8"?>
<x:workbook xmlns:x="http://schemas.openxmlformats.org/spreadsheetml/2006/main">
  <x:sheets>
    <x:sheet xmlns:r="http://schemas.openxmlformats.org/officeDocument/2006/relationships" name="Summary" sheetId="1" r:id="R378db2dd81c542a2"/>
    <x:sheet xmlns:r="http://schemas.openxmlformats.org/officeDocument/2006/relationships" name="Corpus verification" sheetId="2" r:id="R6bfd333496b741cb"/>
    <x:sheet xmlns:r="http://schemas.openxmlformats.org/officeDocument/2006/relationships" name="Unique authorities" sheetId="3" r:id="R088cc101a1ae41ff"/>
    <x:sheet xmlns:r="http://schemas.openxmlformats.org/officeDocument/2006/relationships" name="Corpus registry" sheetId="4" r:id="Re36381e7150e43d8"/>
    <x:sheet xmlns:r="http://schemas.openxmlformats.org/officeDocument/2006/relationships" name="Method" sheetId="5" r:id="R4bd770269768438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
    <x:numFmt numFmtId="202" formatCode="0"/>
    <x:numFmt numFmtId="203" formatCode="0.000"/>
  </x:numFmts>
  <x:fonts count="3">
    <x:font>
      <x:sz val="11"/>
      <x:name val="Carlito"/>
    </x:font>
    <x:font>
      <x:b/>
      <x:sz val="11"/>
      <x:color rgb="FFFFFFFF"/>
      <x:name val="Carlito"/>
    </x:font>
    <x:font>
      <x:b/>
      <x:sz val="11"/>
      <x:name val="Carlito"/>
    </x:font>
  </x:fonts>
  <x:fills count="3">
    <x:fill>
      <x:patternFill patternType="none"/>
    </x:fill>
    <x:fill>
      <x:patternFill patternType="gray125"/>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1" xfId="0" applyNumberFormat="1" applyFont="1" applyFill="1" applyBorder="1"/>
    <x:xf numFmtId="200" fontId="0" fillId="0" borderId="0" xfId="0" applyNumberFormat="1" applyFont="1" applyFill="1" applyBorder="1"/>
    <x:xf numFmtId="201" fontId="0" fillId="0" borderId="0" xfId="0" applyNumberFormat="1" applyFont="1" applyFill="1" applyBorder="1"/>
    <x:xf numFmtId="201" fontId="0" fillId="0" borderId="1" xfId="0" applyNumberFormat="1" applyFont="1" applyFill="1" applyBorder="1"/>
    <x:xf numFmtId="201" fontId="2" fillId="0" borderId="1" xfId="0" applyNumberFormat="1" applyFont="1" applyFill="1" applyBorder="1"/>
    <x:xf numFmtId="0" fontId="0" fillId="0" borderId="0" xfId="0" applyNumberFormat="1" applyFont="1" applyFill="1" applyBorder="1" applyAlignment="1">
      <x:alignment wrapText="1"/>
    </x:xf>
    <x:xf numFmtId="202" fontId="0" fillId="0" borderId="0" xfId="0" applyNumberFormat="1" applyFont="1" applyFill="1" applyBorder="1"/>
    <x:xf numFmtId="203" fontId="0" fillId="0" borderId="0" xfId="0" applyNumberFormat="1" applyFont="1" applyFill="1" applyBorder="1"/>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cellXfs>
  <x:cellStyles count="1">
    <x:cellStyle name="Normal" xfId="0"/>
  </x:cellStyles>
  <x:dxfs count="12">
    <x:dxf>
      <x:font>
        <x:color rgb="FF375623"/>
      </x:font>
      <x:fill>
        <x:patternFill patternType="solid">
          <x:bgColor rgb="FFE2F0D9"/>
        </x:patternFill>
      </x:fill>
    </x:dxf>
    <x:dxf>
      <x:font>
        <x:color rgb="FF7F6000"/>
      </x:font>
      <x:fill>
        <x:patternFill patternType="solid">
          <x:bgColor rgb="FFFFF2CC"/>
        </x:patternFill>
      </x:fill>
    </x:dxf>
    <x:dxf>
      <x:font>
        <x:color rgb="FF9C0006"/>
      </x:font>
      <x:fill>
        <x:patternFill patternType="solid">
          <x:bgColor rgb="FFFCE4D6"/>
        </x:patternFill>
      </x:fill>
    </x:dxf>
    <x:dxf>
      <x:font>
        <x:color rgb="FF375623"/>
      </x:font>
      <x:fill>
        <x:patternFill patternType="solid">
          <x:bgColor rgb="FFE2F0D9"/>
        </x:patternFill>
      </x:fill>
    </x:dxf>
    <x:dxf>
      <x:font>
        <x:color rgb="FF9C0006"/>
      </x:font>
      <x:fill>
        <x:patternFill patternType="solid">
          <x:bgColor rgb="FFFCE4D6"/>
        </x:patternFill>
      </x:fill>
    </x:dxf>
    <x:dxf>
      <x:font>
        <x:color rgb="FF375623"/>
      </x:font>
      <x:fill>
        <x:patternFill patternType="solid">
          <x:bgColor rgb="FFE2F0D9"/>
        </x:patternFill>
      </x:fill>
    </x:dxf>
    <x:dxf>
      <x:font>
        <x:color rgb="FF7F6000"/>
      </x:font>
      <x:fill>
        <x:patternFill patternType="solid">
          <x:bgColor rgb="FFFFF2CC"/>
        </x:patternFill>
      </x:fill>
    </x:dxf>
    <x:dxf>
      <x:font>
        <x:color rgb="FF9C0006"/>
      </x:font>
      <x:fill>
        <x:patternFill patternType="solid">
          <x:bgColor rgb="FFFCE4D6"/>
        </x:patternFill>
      </x:fill>
    </x:dxf>
    <x:dxf>
      <x:font>
        <x:color rgb="FF375623"/>
      </x:font>
      <x:fill>
        <x:patternFill patternType="solid">
          <x:bgColor rgb="FFE2F0D9"/>
        </x:patternFill>
      </x:fill>
    </x:dxf>
    <x:dxf>
      <x:font>
        <x:color rgb="FF1F4E78"/>
      </x:font>
      <x:fill>
        <x:patternFill patternType="solid">
          <x:bgColor rgb="FFD9EAF7"/>
        </x:patternFill>
      </x:fill>
    </x:dxf>
    <x:dxf>
      <x:font>
        <x:color rgb="FF7F6000"/>
      </x:font>
      <x:fill>
        <x:patternFill patternType="solid">
          <x:bgColor rgb="FFFFF2CC"/>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20e183be0574922" /><Relationship Type="http://schemas.openxmlformats.org/officeDocument/2006/relationships/theme" Target="/xl/theme/theme1.xml" Id="Rcebc8d9fde7c47e8" /><Relationship Type="http://schemas.openxmlformats.org/officeDocument/2006/relationships/sharedStrings" Target="/xl/sharedStrings.xml" Id="Rcd71cc2ad26642a0" /><Relationship Type="http://schemas.openxmlformats.org/officeDocument/2006/relationships/worksheet" Target="/xl/worksheets/sheet1.xml" Id="R378db2dd81c542a2" /><Relationship Type="http://schemas.openxmlformats.org/officeDocument/2006/relationships/worksheet" Target="/xl/worksheets/sheet2.xml" Id="R6bfd333496b741cb" /><Relationship Type="http://schemas.openxmlformats.org/officeDocument/2006/relationships/worksheet" Target="/xl/worksheets/sheet3.xml" Id="R088cc101a1ae41ff" /><Relationship Type="http://schemas.openxmlformats.org/officeDocument/2006/relationships/worksheet" Target="/xl/worksheets/sheet4.xml" Id="Re36381e7150e43d8" /><Relationship Type="http://schemas.openxmlformats.org/officeDocument/2006/relationships/worksheet" Target="/xl/worksheets/sheet5.xml" Id="R4bd7702697684381" /></Relationships>
</file>

<file path=xl/tables/table1.xml><?xml version="1.0" encoding="utf-8"?>
<x:table xmlns:x="http://schemas.openxmlformats.org/spreadsheetml/2006/main" id="1" name="CorpusSummaryTable" displayName="CorpusSummaryTable" ref="A1:B16" headerRowCount="1" totalsRowCount="0" totalsRowShown="0">
  <x:tableColumns count="2">
    <x:tableColumn id="1" name="Hercules non-retrieved citation corpus check"/>
    <x:tableColumn id="2" name="Value"/>
  </x:tableColumns>
  <x:tableStyleInfo name="TableStyleMedium2" showFirstColumn="0" showLastColumn="0" showRowStripes="1" showColumnStripes="0"/>
</x:table>
</file>

<file path=xl/tables/table2.xml><?xml version="1.0" encoding="utf-8"?>
<x:table xmlns:x="http://schemas.openxmlformats.org/spreadsheetml/2006/main" id="6" name="CorpusAwareRecallTable" displayName="CorpusAwareRecallTable" ref="D6:H9" headerRowCount="1" totalsRowCount="0" totalsRowShown="0">
  <x:tableColumns count="5">
    <x:tableColumn id="1" name="Input type"/>
    <x:tableColumn id="2" name="Previously retrieved"/>
    <x:tableColumn id="3" name="Corpus-present missed"/>
    <x:tableColumn id="4" name="Confirmed corpus available"/>
    <x:tableColumn id="5" name="Retrieval recall"/>
  </x:tableColumns>
  <x:tableStyleInfo name="TableStyleMedium4" showFirstColumn="0" showLastColumn="0" showRowStripes="1" showColumnStripes="0"/>
</x:table>
</file>

<file path=xl/tables/table3.xml><?xml version="1.0" encoding="utf-8"?>
<x:table xmlns:x="http://schemas.openxmlformats.org/spreadsheetml/2006/main" id="7" name="ExternalLegalCheckTable" displayName="ExternalLegalCheckTable" ref="D10:F15" headerRowCount="1" totalsRowCount="0" totalsRowShown="0">
  <x:tableColumns count="3">
    <x:tableColumn id="1" name="External legal check"/>
    <x:tableColumn id="2" name="Authority keys"/>
    <x:tableColumn id="3" name="Citation pairs"/>
  </x:tableColumns>
  <x:tableStyleInfo name="TableStyleMedium4" showFirstColumn="0" showLastColumn="0" showRowStripes="1" showColumnStripes="0"/>
</x:table>
</file>

<file path=xl/tables/table4.xml><?xml version="1.0" encoding="utf-8"?>
<x:table xmlns:x="http://schemas.openxmlformats.org/spreadsheetml/2006/main" id="2" name="CorpusVerificationTable" displayName="CorpusVerificationTable" ref="A1:AH87" headerRowCount="1" totalsRowCount="0" totalsRowShown="0">
  <x:tableColumns count="34">
    <x:tableColumn id="1" name="unique_id"/>
    <x:tableColumn id="2" name="draft_id"/>
    <x:tableColumn id="3" name="input_type"/>
    <x:tableColumn id="4" name="input_case_title"/>
    <x:tableColumn id="5" name="authority_key"/>
    <x:tableColumn id="6" name="authority_name"/>
    <x:tableColumn id="7" name="citation_raw"/>
    <x:tableColumn id="8" name="cited_case_id"/>
    <x:tableColumn id="9" name="occurrence_count"/>
    <x:tableColumn id="10" name="search_id"/>
    <x:tableColumn id="11" name="corpus_status"/>
    <x:tableColumn id="12" name="match_method"/>
    <x:tableColumn id="13" name="match_confidence"/>
    <x:tableColumn id="14" name="corpus_case_id"/>
    <x:tableColumn id="15" name="corpus_title"/>
    <x:tableColumn id="16" name="corpus_year"/>
    <x:tableColumn id="17" name="corpus_court"/>
    <x:tableColumn id="18" name="source_filename"/>
    <x:tableColumn id="19" name="match_score"/>
    <x:tableColumn id="20" name="title_token_similarity"/>
    <x:tableColumn id="21" name="tied_top_candidates"/>
    <x:tableColumn id="22" name="nearest_unaccepted_title"/>
    <x:tableColumn id="23" name="nearest_unaccepted_similarity"/>
    <x:tableColumn id="24" name="indirect_mention_in_retrieval"/>
    <x:tableColumn id="25" name="indirect_mention_text"/>
    <x:tableColumn id="26" name="audit_note"/>
    <x:tableColumn id="27" name="manual_verification_status"/>
    <x:tableColumn id="28" name="final_corpus_presence"/>
    <x:tableColumn id="29" name="verified_case_title"/>
    <x:tableColumn id="30" name="verified_citation"/>
    <x:tableColumn id="31" name="authoritative_source_url"/>
    <x:tableColumn id="32" name="external_verification_notes"/>
    <x:tableColumn id="33" name="source_type"/>
    <x:tableColumn id="34" name="evidence_strength"/>
  </x:tableColumns>
  <x:tableStyleInfo name="TableStyleMedium2" showFirstColumn="0" showLastColumn="0" showRowStripes="1" showColumnStripes="0"/>
</x:table>
</file>

<file path=xl/tables/table5.xml><?xml version="1.0" encoding="utf-8"?>
<x:table xmlns:x="http://schemas.openxmlformats.org/spreadsheetml/2006/main" id="3" name="UniqueAuthoritiesTable" displayName="UniqueAuthoritiesTable" ref="A1:Y33" headerRowCount="1" totalsRowCount="0" totalsRowShown="0">
  <x:tableColumns count="25">
    <x:tableColumn id="1" name="authority_key"/>
    <x:tableColumn id="2" name="authority_names"/>
    <x:tableColumn id="3" name="citation_variants"/>
    <x:tableColumn id="4" name="pair_count"/>
    <x:tableColumn id="5" name="occurrence_total"/>
    <x:tableColumn id="6" name="input_types"/>
    <x:tableColumn id="7" name="draft_ids"/>
    <x:tableColumn id="8" name="input_case_titles"/>
    <x:tableColumn id="9" name="corpus_status"/>
    <x:tableColumn id="10" name="match_method"/>
    <x:tableColumn id="11" name="corpus_case_id"/>
    <x:tableColumn id="12" name="corpus_title"/>
    <x:tableColumn id="13" name="corpus_year"/>
    <x:tableColumn id="14" name="source_filename"/>
    <x:tableColumn id="15" name="manual_verification_status"/>
    <x:tableColumn id="16" name="authoritative_source_url"/>
    <x:tableColumn id="17" name="verified_case_title"/>
    <x:tableColumn id="18" name="verified_citation"/>
    <x:tableColumn id="19" name="verification_notes"/>
    <x:tableColumn id="20" name="audit_note"/>
    <x:tableColumn id="21" name="corpus_match_decision"/>
    <x:tableColumn id="22" name="final_corpus_presence"/>
    <x:tableColumn id="23" name="source_type"/>
    <x:tableColumn id="24" name="evidence_strength"/>
    <x:tableColumn id="25" name="verification_date"/>
  </x:tableColumns>
  <x:tableStyleInfo name="TableStyleMedium2" showFirstColumn="0" showLastColumn="0" showRowStripes="1" showColumnStripes="0"/>
</x:table>
</file>

<file path=xl/tables/table6.xml><?xml version="1.0" encoding="utf-8"?>
<x:table xmlns:x="http://schemas.openxmlformats.org/spreadsheetml/2006/main" id="4" name="CorpusRegistryTable" displayName="CorpusRegistryTable" ref="A1:L3655" headerRowCount="1" totalsRowCount="0" totalsRowShown="0">
  <x:tableColumns count="12">
    <x:tableColumn id="1" name="qdrant_point_id"/>
    <x:tableColumn id="2" name="case_id"/>
    <x:tableColumn id="3" name="title"/>
    <x:tableColumn id="4" name="neutral_citation"/>
    <x:tableColumn id="5" name="citation"/>
    <x:tableColumn id="6" name="case_year"/>
    <x:tableColumn id="7" name="court"/>
    <x:tableColumn id="8" name="court_level"/>
    <x:tableColumn id="9" name="jurisdiction"/>
    <x:tableColumn id="10" name="case_category"/>
    <x:tableColumn id="11" name="source_filename"/>
    <x:tableColumn id="12" name="document_url"/>
  </x:tableColumns>
  <x:tableStyleInfo name="TableStyleMedium2" showFirstColumn="0" showLastColumn="0" showRowStripes="1" showColumnStripes="0"/>
</x:table>
</file>

<file path=xl/tables/table7.xml><?xml version="1.0" encoding="utf-8"?>
<x:table xmlns:x="http://schemas.openxmlformats.org/spreadsheetml/2006/main" id="5" name="CorpusMethodTable" displayName="CorpusMethodTable" ref="A1:B15" headerRowCount="1" totalsRowCount="0" totalsRowShown="0">
  <x:tableColumns count="2">
    <x:tableColumn id="1" name="Field"/>
    <x:tableColumn id="2" name="Metho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04667aade9d41b8" /><Relationship Type="http://schemas.openxmlformats.org/officeDocument/2006/relationships/table" Target="/xl/tables/table2.xml" Id="R8cd061bacdea4d52" /><Relationship Type="http://schemas.openxmlformats.org/officeDocument/2006/relationships/table" Target="/xl/tables/table3.xml" Id="Rac6de80a90d44241" /></Relationships>
</file>

<file path=xl/worksheets/_rels/sheet2.xml.rels>&#65279;<?xml version="1.0" encoding="utf-8"?><Relationships xmlns="http://schemas.openxmlformats.org/package/2006/relationships"><Relationship Type="http://schemas.openxmlformats.org/officeDocument/2006/relationships/table" Target="/xl/tables/table4.xml" Id="R126325004d514b38" /></Relationships>
</file>

<file path=xl/worksheets/_rels/sheet3.xml.rels>&#65279;<?xml version="1.0" encoding="utf-8"?><Relationships xmlns="http://schemas.openxmlformats.org/package/2006/relationships"><Relationship Type="http://schemas.openxmlformats.org/officeDocument/2006/relationships/table" Target="/xl/tables/table5.xml" Id="Rd99060b501ce4ba0" /></Relationships>
</file>

<file path=xl/worksheets/_rels/sheet4.xml.rels>&#65279;<?xml version="1.0" encoding="utf-8"?><Relationships xmlns="http://schemas.openxmlformats.org/package/2006/relationships"><Relationship Type="http://schemas.openxmlformats.org/officeDocument/2006/relationships/table" Target="/xl/tables/table6.xml" Id="Rf59e5be8db0747e1" /></Relationships>
</file>

<file path=xl/worksheets/_rels/sheet5.xml.rels>&#65279;<?xml version="1.0" encoding="utf-8"?><Relationships xmlns="http://schemas.openxmlformats.org/package/2006/relationships"><Relationship Type="http://schemas.openxmlformats.org/officeDocument/2006/relationships/table" Target="/xl/tables/table7.xml" Id="R8c9cdba1ad9e4ebe" /></Relationships>
</file>

<file path=xl/worksheets/sheet1.xml><?xml version="1.0" encoding="utf-8"?>
<x:worksheet xmlns:x="http://schemas.openxmlformats.org/spreadsheetml/2006/main">
  <x:sheetViews>
    <x:sheetView showGridLines="0" workbookViewId="0"/>
  </x:sheetViews>
  <x:sheetFormatPr defaultRowHeight="15"/>
  <x:cols>
    <x:col min="1" max="1" width="47.779998779296875" hidden="0" customWidth="1"/>
    <x:col min="2" max="2" width="57.220001220703125" hidden="0" customWidth="1"/>
    <x:col min="3" max="3" width="3.3299999237060547" hidden="0" customWidth="1"/>
    <x:col min="4" max="4" width="27.780000686645508" hidden="0" customWidth="1"/>
    <x:col min="5" max="5" width="16.110000610351562" hidden="0" customWidth="1"/>
    <x:col min="6" max="6" width="16.110000610351562" hidden="0" customWidth="1"/>
    <x:col min="7" max="7" width="18.329999923706055" hidden="0" customWidth="1"/>
    <x:col min="8" max="8" width="13.329999923706055" hidden="0" customWidth="1"/>
  </x:cols>
  <x:sheetData>
    <x:row r="1">
      <x:c r="A1" t="str">
        <x:v>Hercules non-retrieved citation corpus check</x:v>
      </x:c>
      <x:c r="B1" t="str">
        <x:v>Value</x:v>
      </x:c>
      <x:c r="D1" s="3" t="str">
        <x:v>Input type</x:v>
      </x:c>
      <x:c r="E1" s="3" t="str">
        <x:v>Evaluated</x:v>
      </x:c>
      <x:c r="F1" s="3" t="str">
        <x:v>Final corpus present</x:v>
      </x:c>
      <x:c r="G1" s="3" t="str">
        <x:v>Absent from corpus</x:v>
      </x:c>
      <x:c r="H1" s="3"/>
    </x:row>
    <x:row r="2">
      <x:c r="A2" t="str">
        <x:v>Unique Qdrant corpus cases</x:v>
      </x:c>
      <x:c r="B2" s="6" t="n">
        <x:f>COUNTA('Corpus registry'!$A$2:$A$3655)</x:f>
        <x:v>3654</x:v>
      </x:c>
      <x:c r="D2" s="1" t="str">
        <x:v>real</x:v>
      </x:c>
      <x:c r="E2" s="7" t="n">
        <x:f>COUNTIF('Corpus verification'!$C$2:$C$87,D2)</x:f>
        <x:v>46</x:v>
      </x:c>
      <x:c r="F2" s="7" t="n">
        <x:f>COUNTIFS('Corpus verification'!$C$2:$C$87,D2,'Corpus verification'!$AB$2:$AB$87,"yes")</x:f>
        <x:v>24</x:v>
      </x:c>
      <x:c r="G2" s="7" t="n">
        <x:f>COUNTIFS('Corpus verification'!$C$2:$C$87,D2,'Corpus verification'!$AB$2:$AB$87,"no")</x:f>
        <x:v>22</x:v>
      </x:c>
      <x:c r="H2" s="1"/>
    </x:row>
    <x:row r="3">
      <x:c r="A3" t="str">
        <x:v>Primary retrieval-negative citation pairs evaluated</x:v>
      </x:c>
      <x:c r="B3" s="6" t="n">
        <x:f>COUNTA('Corpus verification'!$A$2:$A$87)</x:f>
        <x:v>86</x:v>
      </x:c>
      <x:c r="D3" s="1" t="str">
        <x:v>synthetic</x:v>
      </x:c>
      <x:c r="E3" s="7" t="n">
        <x:f>COUNTIF('Corpus verification'!$C$2:$C$87,D3)</x:f>
        <x:v>40</x:v>
      </x:c>
      <x:c r="F3" s="7" t="n">
        <x:f>COUNTIFS('Corpus verification'!$C$2:$C$87,D3,'Corpus verification'!$AB$2:$AB$87,"yes")</x:f>
        <x:v>16</x:v>
      </x:c>
      <x:c r="G3" s="7" t="n">
        <x:f>COUNTIFS('Corpus verification'!$C$2:$C$87,D3,'Corpus verification'!$AB$2:$AB$87,"no")</x:f>
        <x:v>24</x:v>
      </x:c>
      <x:c r="H3" s="1"/>
    </x:row>
    <x:row r="4">
      <x:c r="A4" t="str">
        <x:v>Distinct authorities evaluated</x:v>
      </x:c>
      <x:c r="B4" s="6" t="n">
        <x:f>COUNTA('Unique authorities'!$A$2:$A$33)</x:f>
        <x:v>32</x:v>
      </x:c>
      <x:c r="D4" s="4" t="str">
        <x:v>all</x:v>
      </x:c>
      <x:c r="E4" s="8" t="n">
        <x:f>SUM(E2:E3)</x:f>
        <x:v>86</x:v>
      </x:c>
      <x:c r="F4" s="8" t="n">
        <x:f>SUM(F2:F3)</x:f>
        <x:v>40</x:v>
      </x:c>
      <x:c r="G4" s="8" t="n">
        <x:f>SUM(G2:G3)</x:f>
        <x:v>46</x:v>
      </x:c>
      <x:c r="H4" s="4"/>
    </x:row>
    <x:row r="5">
      <x:c r="A5" t="str">
        <x:v>Final corpus-present but not retrieved pairs</x:v>
      </x:c>
      <x:c r="B5" s="6" t="n">
        <x:f>COUNTIF('Corpus verification'!$AB$2:$AB$87,"yes")</x:f>
        <x:v>40</x:v>
      </x:c>
    </x:row>
    <x:row r="6" ht="25.5" customHeight="1">
      <x:c r="A6" t="str">
        <x:v>Confirmed absent-from-corpus citation pairs</x:v>
      </x:c>
      <x:c r="B6" s="6" t="n">
        <x:f>COUNTIF('Corpus verification'!$AB$2:$AB$87,"no")</x:f>
        <x:v>46</x:v>
      </x:c>
      <x:c r="D6" s="9" t="str">
        <x:v>Input type</x:v>
      </x:c>
      <x:c r="E6" s="9" t="str">
        <x:v>Previously retrieved</x:v>
      </x:c>
      <x:c r="F6" s="9" t="str">
        <x:v>Corpus-present missed</x:v>
      </x:c>
      <x:c r="G6" s="9" t="str">
        <x:v>Confirmed corpus available</x:v>
      </x:c>
      <x:c r="H6" s="9" t="str">
        <x:v>Retrieval recall</x:v>
      </x:c>
    </x:row>
    <x:row r="7">
      <x:c r="A7" t="str">
        <x:v>Corpus coverage among retrieval-negative citations</x:v>
      </x:c>
      <x:c r="B7" s="5" t="n">
        <x:f>IFERROR(B5/B3,0)</x:f>
        <x:v>0.46511627906976744</x:v>
      </x:c>
      <x:c r="D7" t="str">
        <x:v>real</x:v>
      </x:c>
      <x:c r="E7" s="6" t="n">
        <x:v>101</x:v>
      </x:c>
      <x:c r="F7" s="6" t="n">
        <x:f>COUNTIFS('Corpus verification'!$C$2:$C$87,D7,'Corpus verification'!$AB$2:$AB$87,"yes")</x:f>
        <x:v>24</x:v>
      </x:c>
      <x:c r="G7" s="6" t="n">
        <x:f>E7+F7</x:f>
        <x:v>125</x:v>
      </x:c>
      <x:c r="H7" s="5" t="n">
        <x:f>IFERROR(E7/G7,0)</x:f>
        <x:v>0.808</x:v>
      </x:c>
    </x:row>
    <x:row r="8">
      <x:c r="A8" t="str">
        <x:v>External authority keys checked</x:v>
      </x:c>
      <x:c r="B8" s="6" t="n">
        <x:f>SUM(B10:B14)</x:f>
        <x:v>28</x:v>
      </x:c>
      <x:c r="D8" t="str">
        <x:v>synthetic</x:v>
      </x:c>
      <x:c r="E8" s="6" t="n">
        <x:v>70</x:v>
      </x:c>
      <x:c r="F8" s="6" t="n">
        <x:f>COUNTIFS('Corpus verification'!$C$2:$C$87,D8,'Corpus verification'!$AB$2:$AB$87,"yes")</x:f>
        <x:v>16</x:v>
      </x:c>
      <x:c r="G8" s="6" t="n">
        <x:f>E8+F8</x:f>
        <x:v>86</x:v>
      </x:c>
      <x:c r="H8" s="5" t="n">
        <x:f>IFERROR(E8/G8,0)</x:f>
        <x:v>0.813953488372093</x:v>
      </x:c>
    </x:row>
    <x:row r="9">
      <x:c r="A9" t="str">
        <x:v>Legally real authority keys verified</x:v>
      </x:c>
      <x:c r="B9" s="6" t="n">
        <x:f>SUM(B10:B13)</x:f>
        <x:v>28</x:v>
      </x:c>
      <x:c r="D9" t="str">
        <x:v>all</x:v>
      </x:c>
      <x:c r="E9" s="6" t="n">
        <x:f>SUM(E7:E8)</x:f>
        <x:v>171</x:v>
      </x:c>
      <x:c r="F9" s="6" t="n">
        <x:f>SUM(F7:F8)</x:f>
        <x:v>40</x:v>
      </x:c>
      <x:c r="G9" s="6" t="n">
        <x:f>SUM(G7:G8)</x:f>
        <x:v>211</x:v>
      </x:c>
      <x:c r="H9" s="5" t="n">
        <x:f>IFERROR(E9/G9,0)</x:f>
        <x:v>0.8104265402843602</x:v>
      </x:c>
    </x:row>
    <x:row r="10">
      <x:c r="A10" t="str">
        <x:v>Exact/acceptable citation keys</x:v>
      </x:c>
      <x:c r="B10" s="6" t="n">
        <x:f>COUNTIF('Unique authorities'!$O$2:$O$33,"verified_real_exact")</x:f>
        <x:v>10</x:v>
      </x:c>
      <x:c r="D10" t="str">
        <x:v>External legal check</x:v>
      </x:c>
      <x:c r="E10" t="str">
        <x:v>Authority keys</x:v>
      </x:c>
      <x:c r="F10" t="str">
        <x:v>Citation pairs</x:v>
      </x:c>
    </x:row>
    <x:row r="11">
      <x:c r="A11" t="str">
        <x:v>Title-variant citation keys</x:v>
      </x:c>
      <x:c r="B11" s="6" t="n">
        <x:f>COUNTIF('Unique authorities'!$O$2:$O$33,"verified_real_title_variant")</x:f>
        <x:v>5</x:v>
      </x:c>
      <x:c r="D11" t="str">
        <x:v>verified_real_exact</x:v>
      </x:c>
      <x:c r="E11" s="6" t="n">
        <x:f>COUNTIF('Unique authorities'!$O$2:$O$33,D11)</x:f>
        <x:v>10</x:v>
      </x:c>
      <x:c r="F11" s="6" t="n">
        <x:f>SUMIF('Unique authorities'!$O$2:$O$33,D11,'Unique authorities'!$D$2:$D$33)</x:f>
        <x:v>29</x:v>
      </x:c>
    </x:row>
    <x:row r="12">
      <x:c r="A12" t="str">
        <x:v>Incomplete citation keys</x:v>
      </x:c>
      <x:c r="B12" s="6" t="n">
        <x:f>COUNTIF('Unique authorities'!$O$2:$O$33,"verified_real_incomplete_citation")</x:f>
        <x:v>12</x:v>
      </x:c>
      <x:c r="D12" t="str">
        <x:v>verified_real_title_variant</x:v>
      </x:c>
      <x:c r="E12" s="6" t="n">
        <x:f>COUNTIF('Unique authorities'!$O$2:$O$33,D12)</x:f>
        <x:v>5</x:v>
      </x:c>
      <x:c r="F12" s="6" t="n">
        <x:f>SUMIF('Unique authorities'!$O$2:$O$33,D12,'Unique authorities'!$D$2:$D$33)</x:f>
        <x:v>5</x:v>
      </x:c>
    </x:row>
    <x:row r="13">
      <x:c r="A13" t="str">
        <x:v>Ambiguous citation keys</x:v>
      </x:c>
      <x:c r="B13" s="6" t="n">
        <x:f>COUNTIF('Unique authorities'!$O$2:$O$33,"verified_real_ambiguous")</x:f>
        <x:v>1</x:v>
      </x:c>
      <x:c r="D13" t="str">
        <x:v>verified_real_incomplete_citation</x:v>
      </x:c>
      <x:c r="E13" s="6" t="n">
        <x:f>COUNTIF('Unique authorities'!$O$2:$O$33,D13)</x:f>
        <x:v>12</x:v>
      </x:c>
      <x:c r="F13" s="6" t="n">
        <x:f>SUMIF('Unique authorities'!$O$2:$O$33,D13,'Unique authorities'!$D$2:$D$33)</x:f>
        <x:v>14</x:v>
      </x:c>
    </x:row>
    <x:row r="14">
      <x:c r="A14" t="str">
        <x:v>Authorities not verified as real</x:v>
      </x:c>
      <x:c r="B14" s="6" t="n">
        <x:f>COUNTIF('Unique authorities'!$O$2:$O$33,"verified_not_found")</x:f>
        <x:v>0</x:v>
      </x:c>
      <x:c r="D14" t="str">
        <x:v>verified_real_ambiguous</x:v>
      </x:c>
      <x:c r="E14" s="6" t="n">
        <x:f>COUNTIF('Unique authorities'!$O$2:$O$33,D14)</x:f>
        <x:v>1</x:v>
      </x:c>
      <x:c r="F14" s="6" t="n">
        <x:f>SUMIF('Unique authorities'!$O$2:$O$33,D14,'Unique authorities'!$D$2:$D$33)</x:f>
        <x:v>1</x:v>
      </x:c>
    </x:row>
    <x:row r="15">
      <x:c r="A15" s="9" t="str">
        <x:v>Source corpus export</x:v>
      </x:c>
      <x:c r="B15" s="9" t="str">
        <x:v>qdrant_corpus_registry_2026-08-14.csv</x:v>
      </x:c>
      <x:c r="D15" t="str">
        <x:v>verified_not_found</x:v>
      </x:c>
      <x:c r="E15" s="6" t="n">
        <x:f>COUNTIF('Unique authorities'!$O$2:$O$33,D15)</x:f>
        <x:v>0</x:v>
      </x:c>
      <x:c r="F15" s="6" t="n">
        <x:f>SUMIF('Unique authorities'!$O$2:$O$33,D15,'Unique authorities'!$D$2:$D$33)</x:f>
        <x:v>0</x:v>
      </x:c>
    </x:row>
    <x:row r="16" ht="43.5" customHeight="1">
      <x:c r="A16" s="9" t="str">
        <x:v>Interpretation</x:v>
      </x:c>
      <x:c r="B16" s="9" t="str">
        <x:v>All 28 externally checked authority keys refer to real cases. Corpus absence therefore measures corpus coverage, not hallucination. Citation completeness remains a separate quality issue.</x:v>
      </x:c>
    </x:row>
  </x:sheetData>
  <x:pageMargins left="0.7" right="0.7" top="0.75" bottom="0.75" header="0.3" footer="0.3"/>
  <x:tableParts count="3">
    <x:tablePart xmlns:r="http://schemas.openxmlformats.org/officeDocument/2006/relationships" r:id="R304667aade9d41b8"/>
    <x:tablePart xmlns:r="http://schemas.openxmlformats.org/officeDocument/2006/relationships" r:id="R8cd061bacdea4d52"/>
    <x:tablePart xmlns:r="http://schemas.openxmlformats.org/officeDocument/2006/relationships" r:id="Rac6de80a90d4424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21.110000610351562" hidden="0" customWidth="1"/>
    <x:col min="3" max="3" width="8.890000343322754" hidden="0" customWidth="1"/>
    <x:col min="4" max="4" width="30" hidden="0" customWidth="1"/>
    <x:col min="5" max="5" width="27.219999313354492" hidden="0" customWidth="1"/>
    <x:col min="6" max="6" width="32.220001220703125" hidden="0" customWidth="1"/>
    <x:col min="7" max="7" width="31.110000610351562" hidden="0" customWidth="1"/>
    <x:col min="8" max="8" width="27.219999313354492" hidden="0" customWidth="1"/>
    <x:col min="9" max="9" width="10" hidden="0" customWidth="1"/>
    <x:col min="10" max="10" width="21.110000610351562" hidden="0" customWidth="1"/>
    <x:col min="11" max="11" width="21.110000610351562" hidden="0" customWidth="1"/>
    <x:col min="12" max="12" width="18.329999923706055" hidden="0" customWidth="1"/>
    <x:col min="13" max="13" width="12.220000267028809" hidden="0" customWidth="1"/>
    <x:col min="14" max="14" width="27.219999313354492" hidden="0" customWidth="1"/>
    <x:col min="15" max="15" width="36.66999816894531" hidden="0" customWidth="1"/>
    <x:col min="16" max="16" width="9.4399995803833" hidden="0" customWidth="1"/>
    <x:col min="17" max="17" width="28.889999389648438" hidden="0" customWidth="1"/>
    <x:col min="18" max="18" width="27.780000686645508" hidden="0" customWidth="1"/>
    <x:col min="19" max="19" width="9.4399995803833" hidden="0" customWidth="1"/>
    <x:col min="20" max="20" width="12.220000267028809" hidden="0" customWidth="1"/>
    <x:col min="21" max="21" width="10.5600004196167" hidden="0" customWidth="1"/>
    <x:col min="22" max="22" width="36.66999816894531" hidden="0" customWidth="1"/>
    <x:col min="23" max="23" width="12.779999732971191" hidden="0" customWidth="1"/>
    <x:col min="24" max="24" width="13.890000343322754" hidden="0" customWidth="1"/>
    <x:col min="25" max="25" width="31.110000610351562" hidden="0" customWidth="1"/>
    <x:col min="26" max="26" width="42.220001220703125" hidden="0" customWidth="1"/>
    <x:col min="27" max="27" width="23.889999389648438" hidden="0" customWidth="1"/>
    <x:col min="28" max="28" width="13.890000343322754" hidden="0" customWidth="1"/>
    <x:col min="29" max="29" width="35.560001373291016" hidden="0" customWidth="1"/>
    <x:col min="30" max="30" width="26.670000076293945" hidden="0" customWidth="1"/>
    <x:col min="31" max="31" width="43.33000183105469" hidden="0" customWidth="1"/>
    <x:col min="32" max="32" width="47.779998779296875" hidden="0" customWidth="1"/>
    <x:col min="33" max="33" width="20" hidden="0" customWidth="1"/>
    <x:col min="34" max="34" width="16.670000076293945" hidden="0" customWidth="1"/>
  </x:cols>
  <x:sheetData>
    <x:row r="1">
      <x:c r="A1" t="str">
        <x:v>unique_id</x:v>
      </x:c>
      <x:c r="B1" t="str">
        <x:v>draft_id</x:v>
      </x:c>
      <x:c r="C1" t="str">
        <x:v>input_type</x:v>
      </x:c>
      <x:c r="D1" t="str">
        <x:v>input_case_title</x:v>
      </x:c>
      <x:c r="E1" t="str">
        <x:v>authority_key</x:v>
      </x:c>
      <x:c r="F1" t="str">
        <x:v>authority_name</x:v>
      </x:c>
      <x:c r="G1" t="str">
        <x:v>citation_raw</x:v>
      </x:c>
      <x:c r="H1" t="str">
        <x:v>cited_case_id</x:v>
      </x:c>
      <x:c r="I1" t="str">
        <x:v>occurrence_count</x:v>
      </x:c>
      <x:c r="J1" t="str">
        <x:v>search_id</x:v>
      </x:c>
      <x:c r="K1" t="str">
        <x:v>corpus_status</x:v>
      </x:c>
      <x:c r="L1" t="str">
        <x:v>match_method</x:v>
      </x:c>
      <x:c r="M1" t="str">
        <x:v>match_confidence</x:v>
      </x:c>
      <x:c r="N1" t="str">
        <x:v>corpus_case_id</x:v>
      </x:c>
      <x:c r="O1" t="str">
        <x:v>corpus_title</x:v>
      </x:c>
      <x:c r="P1" t="str">
        <x:v>corpus_year</x:v>
      </x:c>
      <x:c r="Q1" t="str">
        <x:v>corpus_court</x:v>
      </x:c>
      <x:c r="R1" t="str">
        <x:v>source_filename</x:v>
      </x:c>
      <x:c r="S1" t="str">
        <x:v>match_score</x:v>
      </x:c>
      <x:c r="T1" t="str">
        <x:v>title_token_similarity</x:v>
      </x:c>
      <x:c r="U1" t="str">
        <x:v>tied_top_candidates</x:v>
      </x:c>
      <x:c r="V1" t="str">
        <x:v>nearest_unaccepted_title</x:v>
      </x:c>
      <x:c r="W1" t="str">
        <x:v>nearest_unaccepted_similarity</x:v>
      </x:c>
      <x:c r="X1" t="str">
        <x:v>indirect_mention_in_retrieval</x:v>
      </x:c>
      <x:c r="Y1" t="str">
        <x:v>indirect_mention_text</x:v>
      </x:c>
      <x:c r="Z1" t="str">
        <x:v>audit_note</x:v>
      </x:c>
      <x:c r="AA1" t="str">
        <x:v>manual_verification_status</x:v>
      </x:c>
      <x:c r="AB1" t="str">
        <x:v>final_corpus_presence</x:v>
      </x:c>
      <x:c r="AC1" t="str">
        <x:v>verified_case_title</x:v>
      </x:c>
      <x:c r="AD1" t="str">
        <x:v>verified_citation</x:v>
      </x:c>
      <x:c r="AE1" t="str">
        <x:v>authoritative_source_url</x:v>
      </x:c>
      <x:c r="AF1" t="str">
        <x:v>external_verification_notes</x:v>
      </x:c>
      <x:c r="AG1" t="str">
        <x:v>source_type</x:v>
      </x:c>
      <x:c r="AH1" t="str">
        <x:v>evidence_strength</x:v>
      </x:c>
    </x:row>
    <x:row r="2">
      <x:c r="A2" t="str">
        <x:v>U0001</x:v>
      </x:c>
      <x:c r="B2" t="str">
        <x:v>cmlzpblc7000304jv62ixuvp8</x:v>
      </x:c>
      <x:c r="C2" t="str">
        <x:v>synthetic</x:v>
      </x:c>
      <x:c r="D2" s="9" t="str">
        <x:v>HMRC v Dolphin Drilling Ltd</x:v>
      </x:c>
      <x:c r="E2" s="9" t="str">
        <x:v>case:2000 1 wlr 377</x:v>
      </x:c>
      <x:c r="F2" s="9" t="str">
        <x:v>Flannery v Halifax Estate Agencies Ltd [2000] 1 WLR 377</x:v>
      </x:c>
      <x:c r="G2" s="9" t="str">
        <x:v>Flannery v Halifax Estate Agencies Ltd [2000] 1 WLR 377</x:v>
      </x:c>
      <x:c r="H2" s="9" t="str"/>
      <x:c r="I2" s="12" t="n">
        <x:v>1</x:v>
      </x:c>
      <x:c r="J2" s="9" t="str">
        <x:v>cmlzp9luh000304l29ip4sjki</x:v>
      </x:c>
      <x:c r="K2" s="9" t="str">
        <x:v>not_found_in_registry</x:v>
      </x:c>
      <x:c r="L2" s="9" t="str">
        <x:v>none</x:v>
      </x:c>
      <x:c r="M2" s="9" t="str">
        <x:v>none</x:v>
      </x:c>
      <x:c r="N2" s="9" t="str"/>
      <x:c r="O2" s="9" t="str"/>
      <x:c r="P2" s="9" t="str"/>
      <x:c r="Q2" s="9" t="str"/>
      <x:c r="R2" s="9" t="str"/>
      <x:c r="S2" s="13" t="n">
        <x:v>0</x:v>
      </x:c>
      <x:c r="T2" s="14" t="n">
        <x:v>0.16666666666666666</x:v>
      </x:c>
      <x:c r="U2" s="13" t="n">
        <x:v>1</x:v>
      </x:c>
      <x:c r="V2" s="9" t="str">
        <x:v>The Gulf Agencies Limited v Ahmed [2016] EWCA Civ 44</x:v>
      </x:c>
      <x:c r="W2" s="14" t="n">
        <x:v>0.16666666666666666</x:v>
      </x:c>
      <x:c r="X2" s="9" t="str">
        <x:v>no</x:v>
      </x:c>
      <x:c r="Y2" s="9" t="str"/>
      <x:c r="Z2" s="9" t="str">
        <x:v>No accepted registry match. This does not by itself prove the authority is legally fictitious.</x:v>
      </x:c>
      <x:c r="AA2" s="9" t="str">
        <x:v>verified_real_exact</x:v>
      </x:c>
      <x:c r="AB2" s="9" t="str">
        <x:v>no</x:v>
      </x:c>
      <x:c r="AC2" s="9" t="str">
        <x:v>Flannery v Halifax Estate Agencies Ltd</x:v>
      </x:c>
      <x:c r="AD2" s="9" t="str">
        <x:v>[2000] 1 WLR 377; [1999] EWCA Civ 811</x:v>
      </x:c>
      <x:c r="AE2" s="9" t="str">
        <x:v>https://www.bailii.org/ew/cases/EWCA/Civ/1999/811.html</x:v>
      </x:c>
      <x:c r="AF2" s="9" t="str">
        <x:v>The case is genuine. The 2000 WLR citation is the report citation for the Court of Appeal judgment delivered in 1999.</x:v>
      </x:c>
      <x:c r="AG2" s="9" t="str">
        <x:v>primary_judgment</x:v>
      </x:c>
      <x:c r="AH2" s="9" t="str">
        <x:v>primary</x:v>
      </x:c>
    </x:row>
    <x:row r="3">
      <x:c r="A3" t="str">
        <x:v>U0002</x:v>
      </x:c>
      <x:c r="B3" t="str">
        <x:v>cmlzpblc7000304jv62ixuvp8</x:v>
      </x:c>
      <x:c r="C3" t="str">
        <x:v>synthetic</x:v>
      </x:c>
      <x:c r="D3" s="9" t="str">
        <x:v>HMRC v Dolphin Drilling Ltd</x:v>
      </x:c>
      <x:c r="E3" s="9" t="str">
        <x:v>case:2002 ewca civ 605</x:v>
      </x:c>
      <x:c r="F3" s="9" t="str">
        <x:v>English v Emery Reimbold &amp; Strick Ltd [2002] EWCA Civ 605</x:v>
      </x:c>
      <x:c r="G3" s="9" t="str">
        <x:v>English v Emery Reimbold &amp; Strick Ltd [2002] EWCA Civ 605</x:v>
      </x:c>
      <x:c r="H3" s="9" t="str"/>
      <x:c r="I3" s="12" t="n">
        <x:v>1</x:v>
      </x:c>
      <x:c r="J3" s="9" t="str">
        <x:v>cmlzp9luh000304l29ip4sjki</x:v>
      </x:c>
      <x:c r="K3" s="9" t="str">
        <x:v>present_exact_or_high</x:v>
      </x:c>
      <x:c r="L3" s="9" t="str">
        <x:v>exact_citation</x:v>
      </x:c>
      <x:c r="M3" s="9" t="str">
        <x:v>high</x:v>
      </x:c>
      <x:c r="N3" s="9" t="str">
        <x:v>f11564b3-860c-4adc-bd7a-d530ce37ea95</x:v>
      </x:c>
      <x:c r="O3" s="9" t="str">
        <x:v>English v Emery Reimbold &amp; Strick Ltd</x:v>
      </x:c>
      <x:c r="P3" s="9" t="str">
        <x:v>2002</x:v>
      </x:c>
      <x:c r="Q3" s="9" t="str">
        <x:v>England and Wales Court of Appeal (Civil Division)</x:v>
      </x:c>
      <x:c r="R3" s="9" t="str">
        <x:v>PT_EWCA-Civ_2002_605.xml</x:v>
      </x:c>
      <x:c r="S3" s="13" t="n">
        <x:v>95</x:v>
      </x:c>
      <x:c r="T3" s="14" t="n">
        <x:v>1</x:v>
      </x:c>
      <x:c r="U3" s="13" t="n">
        <x:v>1</x:v>
      </x:c>
      <x:c r="V3" s="9" t="str"/>
      <x:c r="W3" s="14" t="str"/>
      <x:c r="X3" s="9" t="str">
        <x:v>no</x:v>
      </x:c>
      <x:c r="Y3" s="9" t="str"/>
      <x:c r="Z3" s="9" t="str">
        <x:v>Authority exists as a top-level corpus case but was not returned by the linked retrieval event.</x:v>
      </x:c>
      <x:c r="AA3" s="9" t="str">
        <x:v>not_required_corpus_present</x:v>
      </x:c>
      <x:c r="AB3" s="9" t="str">
        <x:v>yes</x:v>
      </x:c>
      <x:c r="AC3" s="9" t="str"/>
      <x:c r="AD3" s="9" t="str"/>
      <x:c r="AE3" s="9" t="str"/>
      <x:c r="AF3" s="9" t="str"/>
      <x:c r="AG3" s="9" t="str"/>
      <x:c r="AH3" s="9" t="str"/>
    </x:row>
    <x:row r="4">
      <x:c r="A4" t="str">
        <x:v>U0009</x:v>
      </x:c>
      <x:c r="B4" t="str">
        <x:v>cmlzphr57000h04jtqrwbfiyf</x:v>
      </x:c>
      <x:c r="C4" t="str">
        <x:v>synthetic</x:v>
      </x:c>
      <x:c r="D4" s="9" t="str">
        <x:v>Aldridge v Crawford</x:v>
      </x:c>
      <x:c r="E4" s="9" t="str">
        <x:v>case:2002 ukhl 30</x:v>
      </x:c>
      <x:c r="F4" s="9" t="str">
        <x:v>J A Pye (Oxford) Ltd v. Graham [2002] UKHL 30</x:v>
      </x:c>
      <x:c r="G4" s="9" t="str">
        <x:v>J A Pye (Oxford) Ltd v. Graham [2002] UKHL 30</x:v>
      </x:c>
      <x:c r="H4" s="9" t="str"/>
      <x:c r="I4" s="12" t="n">
        <x:v>1</x:v>
      </x:c>
      <x:c r="J4" s="9" t="str">
        <x:v>cmlzpfjvk000b04jtl1v4uh8a</x:v>
      </x:c>
      <x:c r="K4" s="9" t="str">
        <x:v>not_found_in_registry</x:v>
      </x:c>
      <x:c r="L4" s="9" t="str">
        <x:v>none</x:v>
      </x:c>
      <x:c r="M4" s="9" t="str">
        <x:v>none</x:v>
      </x:c>
      <x:c r="N4" s="9" t="str"/>
      <x:c r="O4" s="9" t="str"/>
      <x:c r="P4" s="9" t="str"/>
      <x:c r="Q4" s="9" t="str"/>
      <x:c r="R4" s="9" t="str"/>
      <x:c r="S4" s="13" t="n">
        <x:v>0</x:v>
      </x:c>
      <x:c r="T4" s="14" t="n">
        <x:v>0.2</x:v>
      </x:c>
      <x:c r="U4" s="13" t="n">
        <x:v>3</x:v>
      </x:c>
      <x:c r="V4" s="9" t="str">
        <x:v>Graham v Commercial Bodyworks Ltd</x:v>
      </x:c>
      <x:c r="W4" s="14" t="n">
        <x:v>0.2</x:v>
      </x:c>
      <x:c r="X4" s="9" t="str">
        <x:v>no</x:v>
      </x:c>
      <x:c r="Y4" s="9" t="str"/>
      <x:c r="Z4" s="9" t="str">
        <x:v>No accepted registry match. This does not by itself prove the authority is legally fictitious.</x:v>
      </x:c>
      <x:c r="AA4" s="9" t="str">
        <x:v>verified_real_exact</x:v>
      </x:c>
      <x:c r="AB4" s="9" t="str">
        <x:v>no</x:v>
      </x:c>
      <x:c r="AC4" s="9" t="str">
        <x:v>J A Pye (Oxford) Ltd v Graham</x:v>
      </x:c>
      <x:c r="AD4" s="9" t="str">
        <x:v>[2002] UKHL 30</x:v>
      </x:c>
      <x:c r="AE4" s="9" t="str">
        <x:v>https://www.bailii.org/uk/cases/UKHL/2002/30.html</x:v>
      </x:c>
      <x:c r="AF4" s="9" t="str">
        <x:v>The neutral citation and case title are genuine.</x:v>
      </x:c>
      <x:c r="AG4" s="9" t="str">
        <x:v>primary_judgment</x:v>
      </x:c>
      <x:c r="AH4" s="9" t="str">
        <x:v>primary</x:v>
      </x:c>
    </x:row>
    <x:row r="5">
      <x:c r="A5" t="str">
        <x:v>U0013</x:v>
      </x:c>
      <x:c r="B5" t="str">
        <x:v>cmlzphr57000h04jtqrwbfiyf</x:v>
      </x:c>
      <x:c r="C5" t="str">
        <x:v>synthetic</x:v>
      </x:c>
      <x:c r="D5" s="9" t="str">
        <x:v>Aldridge v Crawford</x:v>
      </x:c>
      <x:c r="E5" s="9" t="str">
        <x:v>case:neilson v poole 1969 20 p&amp;cr 909</x:v>
      </x:c>
      <x:c r="F5" s="9" t="str">
        <x:v>Neilson v. Poole [1969] 20 P&amp;CR 909</x:v>
      </x:c>
      <x:c r="G5" s="9" t="str">
        <x:v>Neilson v. Poole [1969] 20 P&amp;CR 909</x:v>
      </x:c>
      <x:c r="H5" s="9" t="str"/>
      <x:c r="I5" s="12" t="n">
        <x:v>1</x:v>
      </x:c>
      <x:c r="J5" s="9" t="str">
        <x:v>cmlzpfjvk000b04jtl1v4uh8a</x:v>
      </x:c>
      <x:c r="K5" s="9" t="str">
        <x:v>not_found_in_registry</x:v>
      </x:c>
      <x:c r="L5" s="9" t="str">
        <x:v>none</x:v>
      </x:c>
      <x:c r="M5" s="9" t="str">
        <x:v>none</x:v>
      </x:c>
      <x:c r="N5" s="9" t="str"/>
      <x:c r="O5" s="9" t="str"/>
      <x:c r="P5" s="9" t="str"/>
      <x:c r="Q5" s="9" t="str"/>
      <x:c r="R5" s="9" t="str"/>
      <x:c r="S5" s="13" t="n">
        <x:v>0</x:v>
      </x:c>
      <x:c r="T5" s="14" t="n">
        <x:v>0.125</x:v>
      </x:c>
      <x:c r="U5" s="13" t="n">
        <x:v>1</x:v>
      </x:c>
      <x:c r="V5" s="9" t="str">
        <x:v>S (A Child) &amp; W (A Child), Re (s 20 Accommodation) [2023] EWCA Civ 1</x:v>
      </x:c>
      <x:c r="W5" s="14" t="n">
        <x:v>0.125</x:v>
      </x:c>
      <x:c r="X5" s="9" t="str">
        <x:v>no</x:v>
      </x:c>
      <x:c r="Y5" s="9" t="str"/>
      <x:c r="Z5" s="9" t="str">
        <x:v>No accepted registry match. This does not by itself prove the authority is legally fictitious.</x:v>
      </x:c>
      <x:c r="AA5" s="9" t="str">
        <x:v>verified_real_exact</x:v>
      </x:c>
      <x:c r="AB5" s="9" t="str">
        <x:v>no</x:v>
      </x:c>
      <x:c r="AC5" s="9" t="str">
        <x:v>Neilson v Poole</x:v>
      </x:c>
      <x:c r="AD5" s="9" t="str">
        <x:v>(1969) 20 P&amp;CR 909</x:v>
      </x:c>
      <x:c r="AE5" s="9" t="str">
        <x:v>https://www.gov.uk/government/publications/boundary-agreements-and-determined-boundaries-pg40s4/practice-guide-40-land-registry-plans-supplement-4-boundary-agreements-and-determined-boundaries</x:v>
      </x:c>
      <x:c r="AF5" s="9" t="str">
        <x:v>The case and report citation are confirmed in official HM Land Registry guidance.</x:v>
      </x:c>
      <x:c r="AG5" s="9" t="str">
        <x:v>official_government_reference</x:v>
      </x:c>
      <x:c r="AH5" s="9" t="str">
        <x:v>official_reference</x:v>
      </x:c>
    </x:row>
    <x:row r="6">
      <x:c r="A6" t="str">
        <x:v>U0017</x:v>
      </x:c>
      <x:c r="B6" t="str">
        <x:v>cmlzrzxca000304l2qk1vevzx</x:v>
      </x:c>
      <x:c r="C6" t="str">
        <x:v>synthetic</x:v>
      </x:c>
      <x:c r="D6" s="9" t="str">
        <x:v>Karpasitis v Hertfordshire County Council</x:v>
      </x:c>
      <x:c r="E6" s="9" t="str">
        <x:v>case:2015 uksc 5</x:v>
      </x:c>
      <x:c r="F6" s="9" t="str">
        <x:v>[2015] UKSC 5</x:v>
      </x:c>
      <x:c r="G6" s="9" t="str">
        <x:v>[2015] UKSC 5</x:v>
      </x:c>
      <x:c r="H6" s="9" t="str"/>
      <x:c r="I6" s="12" t="n">
        <x:v>1</x:v>
      </x:c>
      <x:c r="J6" s="9" t="str">
        <x:v>cmlzry90i000b04laxzwy3gcm</x:v>
      </x:c>
      <x:c r="K6" s="9" t="str">
        <x:v>present_exact_or_high</x:v>
      </x:c>
      <x:c r="L6" s="9" t="str">
        <x:v>exact_citation</x:v>
      </x:c>
      <x:c r="M6" s="9" t="str">
        <x:v>high</x:v>
      </x:c>
      <x:c r="N6" s="9" t="str">
        <x:v>0041913b-163e-4731-a443-e5a39849646a</x:v>
      </x:c>
      <x:c r="O6" s="9" t="str">
        <x:v>Jackson v Murray &amp; Anor [2015] UKSC 5</x:v>
      </x:c>
      <x:c r="P6" s="9" t="str">
        <x:v>2015</x:v>
      </x:c>
      <x:c r="Q6" s="9" t="str">
        <x:v>United Kingdom Supreme Court</x:v>
      </x:c>
      <x:c r="R6" s="9" t="str">
        <x:v>PT_UKSC_2015_5.xml</x:v>
      </x:c>
      <x:c r="S6" s="13" t="n">
        <x:v>95</x:v>
      </x:c>
      <x:c r="T6" s="14" t="n">
        <x:v>1</x:v>
      </x:c>
      <x:c r="U6" s="13" t="n">
        <x:v>1</x:v>
      </x:c>
      <x:c r="V6" s="9" t="str"/>
      <x:c r="W6" s="14" t="str"/>
      <x:c r="X6" s="9" t="str">
        <x:v>yes</x:v>
      </x:c>
      <x:c r="Y6" s="9" t="str">
        <x:v>Jackson v Murray [2015] UKSC 5</x:v>
      </x:c>
      <x:c r="Z6" s="9" t="str">
        <x:v>Authority exists as a top-level corpus case but was not returned by the linked retrieval event.</x:v>
      </x:c>
      <x:c r="AA6" s="9" t="str">
        <x:v>not_required_corpus_present</x:v>
      </x:c>
      <x:c r="AB6" s="9" t="str">
        <x:v>yes</x:v>
      </x:c>
      <x:c r="AC6" s="9" t="str"/>
      <x:c r="AD6" s="9" t="str"/>
      <x:c r="AE6" s="9" t="str"/>
      <x:c r="AF6" s="9" t="str"/>
      <x:c r="AG6" s="9" t="str"/>
      <x:c r="AH6" s="9" t="str"/>
    </x:row>
    <x:row r="7">
      <x:c r="A7" t="str">
        <x:v>U0026</x:v>
      </x:c>
      <x:c r="B7" t="str">
        <x:v>cmlzy9ss300fz04i80p2yfbg1</x:v>
      </x:c>
      <x:c r="C7" t="str">
        <x:v>synthetic</x:v>
      </x:c>
      <x:c r="D7" s="9" t="str">
        <x:v>Transport Action Network Limited v Secretary of State for Transport</x:v>
      </x:c>
      <x:c r="E7" s="9" t="str">
        <x:v>case:2000 1 wlr 377</x:v>
      </x:c>
      <x:c r="F7" s="9" t="str">
        <x:v>Flannery v Halifax Estate Agencies Ltd [2000] 1 WLR 377</x:v>
      </x:c>
      <x:c r="G7" s="9" t="str">
        <x:v>Flannery v Halifax Estate Agencies Ltd [2000] 1 WLR 377</x:v>
      </x:c>
      <x:c r="H7" s="9" t="str"/>
      <x:c r="I7" s="12" t="n">
        <x:v>1</x:v>
      </x:c>
      <x:c r="J7" s="9" t="str">
        <x:v>cmlzy6by600ft04i8cpz0rrjt</x:v>
      </x:c>
      <x:c r="K7" s="9" t="str">
        <x:v>not_found_in_registry</x:v>
      </x:c>
      <x:c r="L7" s="9" t="str">
        <x:v>none</x:v>
      </x:c>
      <x:c r="M7" s="9" t="str">
        <x:v>none</x:v>
      </x:c>
      <x:c r="N7" s="9" t="str"/>
      <x:c r="O7" s="9" t="str"/>
      <x:c r="P7" s="9" t="str"/>
      <x:c r="Q7" s="9" t="str"/>
      <x:c r="R7" s="9" t="str"/>
      <x:c r="S7" s="13" t="n">
        <x:v>0</x:v>
      </x:c>
      <x:c r="T7" s="14" t="n">
        <x:v>0.16666666666666666</x:v>
      </x:c>
      <x:c r="U7" s="13" t="n">
        <x:v>1</x:v>
      </x:c>
      <x:c r="V7" s="9" t="str">
        <x:v>The Gulf Agencies Limited v Ahmed [2016] EWCA Civ 44</x:v>
      </x:c>
      <x:c r="W7" s="14" t="n">
        <x:v>0.16666666666666666</x:v>
      </x:c>
      <x:c r="X7" s="9" t="str">
        <x:v>no</x:v>
      </x:c>
      <x:c r="Y7" s="9" t="str"/>
      <x:c r="Z7" s="9" t="str">
        <x:v>No accepted registry match. This does not by itself prove the authority is legally fictitious.</x:v>
      </x:c>
      <x:c r="AA7" s="9" t="str">
        <x:v>verified_real_exact</x:v>
      </x:c>
      <x:c r="AB7" s="9" t="str">
        <x:v>no</x:v>
      </x:c>
      <x:c r="AC7" s="9" t="str">
        <x:v>Flannery v Halifax Estate Agencies Ltd</x:v>
      </x:c>
      <x:c r="AD7" s="9" t="str">
        <x:v>[2000] 1 WLR 377; [1999] EWCA Civ 811</x:v>
      </x:c>
      <x:c r="AE7" s="9" t="str">
        <x:v>https://www.bailii.org/ew/cases/EWCA/Civ/1999/811.html</x:v>
      </x:c>
      <x:c r="AF7" s="9" t="str">
        <x:v>The case is genuine. The 2000 WLR citation is the report citation for the Court of Appeal judgment delivered in 1999.</x:v>
      </x:c>
      <x:c r="AG7" s="9" t="str">
        <x:v>primary_judgment</x:v>
      </x:c>
      <x:c r="AH7" s="9" t="str">
        <x:v>primary</x:v>
      </x:c>
    </x:row>
    <x:row r="8">
      <x:c r="A8" t="str">
        <x:v>U0027</x:v>
      </x:c>
      <x:c r="B8" t="str">
        <x:v>cmlzy9ss300fz04i80p2yfbg1</x:v>
      </x:c>
      <x:c r="C8" t="str">
        <x:v>synthetic</x:v>
      </x:c>
      <x:c r="D8" s="9" t="str">
        <x:v>Transport Action Network Limited v Secretary of State for Transport</x:v>
      </x:c>
      <x:c r="E8" s="9" t="str">
        <x:v>case:2002 ewca civ 605</x:v>
      </x:c>
      <x:c r="F8" s="9" t="str">
        <x:v>English v Emery Reimbold &amp; Strick Ltd [2002] EWCA Civ 605</x:v>
      </x:c>
      <x:c r="G8" s="9" t="str">
        <x:v>English v Emery Reimbold &amp; Strick Ltd [2002] EWCA Civ 605</x:v>
      </x:c>
      <x:c r="H8" s="9" t="str"/>
      <x:c r="I8" s="12" t="n">
        <x:v>1</x:v>
      </x:c>
      <x:c r="J8" s="9" t="str">
        <x:v>cmlzy6by600ft04i8cpz0rrjt</x:v>
      </x:c>
      <x:c r="K8" s="9" t="str">
        <x:v>present_exact_or_high</x:v>
      </x:c>
      <x:c r="L8" s="9" t="str">
        <x:v>exact_citation</x:v>
      </x:c>
      <x:c r="M8" s="9" t="str">
        <x:v>high</x:v>
      </x:c>
      <x:c r="N8" s="9" t="str">
        <x:v>f11564b3-860c-4adc-bd7a-d530ce37ea95</x:v>
      </x:c>
      <x:c r="O8" s="9" t="str">
        <x:v>English v Emery Reimbold &amp; Strick Ltd</x:v>
      </x:c>
      <x:c r="P8" s="9" t="str">
        <x:v>2002</x:v>
      </x:c>
      <x:c r="Q8" s="9" t="str">
        <x:v>England and Wales Court of Appeal (Civil Division)</x:v>
      </x:c>
      <x:c r="R8" s="9" t="str">
        <x:v>PT_EWCA-Civ_2002_605.xml</x:v>
      </x:c>
      <x:c r="S8" s="13" t="n">
        <x:v>95</x:v>
      </x:c>
      <x:c r="T8" s="14" t="n">
        <x:v>1</x:v>
      </x:c>
      <x:c r="U8" s="13" t="n">
        <x:v>1</x:v>
      </x:c>
      <x:c r="V8" s="9" t="str"/>
      <x:c r="W8" s="14" t="str"/>
      <x:c r="X8" s="9" t="str">
        <x:v>no</x:v>
      </x:c>
      <x:c r="Y8" s="9" t="str"/>
      <x:c r="Z8" s="9" t="str">
        <x:v>Authority exists as a top-level corpus case but was not returned by the linked retrieval event.</x:v>
      </x:c>
      <x:c r="AA8" s="9" t="str">
        <x:v>not_required_corpus_present</x:v>
      </x:c>
      <x:c r="AB8" s="9" t="str">
        <x:v>yes</x:v>
      </x:c>
      <x:c r="AC8" s="9" t="str"/>
      <x:c r="AD8" s="9" t="str"/>
      <x:c r="AE8" s="9" t="str"/>
      <x:c r="AF8" s="9" t="str"/>
      <x:c r="AG8" s="9" t="str"/>
      <x:c r="AH8" s="9" t="str"/>
    </x:row>
    <x:row r="9">
      <x:c r="A9" t="str">
        <x:v>U0038</x:v>
      </x:c>
      <x:c r="B9" t="str">
        <x:v>cmm0bebet000404jvmcxyqo4x</x:v>
      </x:c>
      <x:c r="C9" t="str">
        <x:v>synthetic</x:v>
      </x:c>
      <x:c r="D9" s="9" t="str">
        <x:v>Beacon Manufacturing Ltd v Alliance Insurance Plc</x:v>
      </x:c>
      <x:c r="E9" s="9" t="str">
        <x:v>case:2002 ewca civ 605</x:v>
      </x:c>
      <x:c r="F9" s="9" t="str">
        <x:v>[2002] EWCA Civ 605</x:v>
      </x:c>
      <x:c r="G9" s="9" t="str">
        <x:v>[2002] EWCA Civ 605</x:v>
      </x:c>
      <x:c r="H9" s="9" t="str"/>
      <x:c r="I9" s="12" t="n">
        <x:v>1</x:v>
      </x:c>
      <x:c r="J9" s="9" t="str">
        <x:v>cmm0b91t5000e04ibf7gf6ujr</x:v>
      </x:c>
      <x:c r="K9" s="9" t="str">
        <x:v>present_exact_or_high</x:v>
      </x:c>
      <x:c r="L9" s="9" t="str">
        <x:v>exact_citation</x:v>
      </x:c>
      <x:c r="M9" s="9" t="str">
        <x:v>high</x:v>
      </x:c>
      <x:c r="N9" s="9" t="str">
        <x:v>f11564b3-860c-4adc-bd7a-d530ce37ea95</x:v>
      </x:c>
      <x:c r="O9" s="9" t="str">
        <x:v>English v Emery Reimbold &amp; Strick Ltd</x:v>
      </x:c>
      <x:c r="P9" s="9" t="str">
        <x:v>2002</x:v>
      </x:c>
      <x:c r="Q9" s="9" t="str">
        <x:v>England and Wales Court of Appeal (Civil Division)</x:v>
      </x:c>
      <x:c r="R9" s="9" t="str">
        <x:v>PT_EWCA-Civ_2002_605.xml</x:v>
      </x:c>
      <x:c r="S9" s="13" t="n">
        <x:v>95</x:v>
      </x:c>
      <x:c r="T9" s="14" t="n">
        <x:v>1</x:v>
      </x:c>
      <x:c r="U9" s="13" t="n">
        <x:v>1</x:v>
      </x:c>
      <x:c r="V9" s="9" t="str"/>
      <x:c r="W9" s="14" t="str"/>
      <x:c r="X9" s="9" t="str">
        <x:v>no</x:v>
      </x:c>
      <x:c r="Y9" s="9" t="str"/>
      <x:c r="Z9" s="9" t="str">
        <x:v>Authority exists as a top-level corpus case but was not returned by the linked retrieval event.</x:v>
      </x:c>
      <x:c r="AA9" s="9" t="str">
        <x:v>not_required_corpus_present</x:v>
      </x:c>
      <x:c r="AB9" s="9" t="str">
        <x:v>yes</x:v>
      </x:c>
      <x:c r="AC9" s="9" t="str"/>
      <x:c r="AD9" s="9" t="str"/>
      <x:c r="AE9" s="9" t="str"/>
      <x:c r="AF9" s="9" t="str"/>
      <x:c r="AG9" s="9" t="str"/>
      <x:c r="AH9" s="9" t="str"/>
    </x:row>
    <x:row r="10">
      <x:c r="A10" t="str">
        <x:v>U0044</x:v>
      </x:c>
      <x:c r="B10" t="str">
        <x:v>cmm0ckscr000t04i312fc6edg</x:v>
      </x:c>
      <x:c r="C10" t="str">
        <x:v>synthetic</x:v>
      </x:c>
      <x:c r="D10" s="9" t="str">
        <x:v>Blackwood v Blackwood</x:v>
      </x:c>
      <x:c r="E10" s="9" t="str">
        <x:v>case:2011 ukpc 13</x:v>
      </x:c>
      <x:c r="F10" s="9" t="str">
        <x:v>Spread Trustee Co Ltd v Hutcheson [2011] UKPC 13</x:v>
      </x:c>
      <x:c r="G10" s="9" t="str">
        <x:v>Spread Trustee Co Ltd v Hutcheson [2011] UKPC 13</x:v>
      </x:c>
      <x:c r="H10" s="9" t="str"/>
      <x:c r="I10" s="12" t="n">
        <x:v>1</x:v>
      </x:c>
      <x:c r="J10" s="9" t="str">
        <x:v>cmm0chr9w000n04i37bx1uiqp</x:v>
      </x:c>
      <x:c r="K10" s="9" t="str">
        <x:v>not_found_in_registry</x:v>
      </x:c>
      <x:c r="L10" s="9" t="str">
        <x:v>none</x:v>
      </x:c>
      <x:c r="M10" s="9" t="str">
        <x:v>none</x:v>
      </x:c>
      <x:c r="N10" s="9" t="str"/>
      <x:c r="O10" s="9" t="str"/>
      <x:c r="P10" s="9" t="str"/>
      <x:c r="Q10" s="9" t="str"/>
      <x:c r="R10" s="9" t="str"/>
      <x:c r="S10" s="13" t="n">
        <x:v>0</x:v>
      </x:c>
      <x:c r="T10" s="14" t="n">
        <x:v>0.16666666666666666</x:v>
      </x:c>
      <x:c r="U10" s="13" t="n">
        <x:v>1</x:v>
      </x:c>
      <x:c r="V10" s="9" t="str">
        <x:v>Farrer &amp; Co LLP v Meyer [2022] EWCA Civ 706</x:v>
      </x:c>
      <x:c r="W10" s="14" t="n">
        <x:v>0.16666666666666666</x:v>
      </x:c>
      <x:c r="X10" s="9" t="str">
        <x:v>yes</x:v>
      </x:c>
      <x:c r="Y10" s="9" t="str">
        <x:v>Spread Trustee Co Ltd v Hutcheson</x:v>
      </x:c>
      <x:c r="Z10" s="9" t="str">
        <x:v>No accepted registry match. This does not by itself prove the authority is legally fictitious.</x:v>
      </x:c>
      <x:c r="AA10" s="9" t="str">
        <x:v>verified_real_exact</x:v>
      </x:c>
      <x:c r="AB10" s="9" t="str">
        <x:v>no</x:v>
      </x:c>
      <x:c r="AC10" s="9" t="str">
        <x:v>Spread Trustee Company Ltd v Hutcheson</x:v>
      </x:c>
      <x:c r="AD10" s="9" t="str">
        <x:v>[2011] UKPC 13</x:v>
      </x:c>
      <x:c r="AE10" s="9" t="str">
        <x:v>https://vlex.co.uk/vid/spread-trustee-company-ltd-818719649</x:v>
      </x:c>
      <x:c r="AF10" s="9" t="str">
        <x:v>The Privy Council authority and neutral citation are genuine.</x:v>
      </x:c>
      <x:c r="AG10" s="9" t="str">
        <x:v>legal_report_database</x:v>
      </x:c>
      <x:c r="AH10" s="9" t="str">
        <x:v>reputable_legal_database</x:v>
      </x:c>
    </x:row>
    <x:row r="11">
      <x:c r="A11" t="str">
        <x:v>U0047</x:v>
      </x:c>
      <x:c r="B11" t="str">
        <x:v>cmm0ckscr000t04i312fc6edg</x:v>
      </x:c>
      <x:c r="C11" t="str">
        <x:v>synthetic</x:v>
      </x:c>
      <x:c r="D11" s="9" t="str">
        <x:v>Blackwood v Blackwood</x:v>
      </x:c>
      <x:c r="E11" s="9" t="str">
        <x:v>case:armitage v nurse 1998 ch 241</x:v>
      </x:c>
      <x:c r="F11" s="9" t="str">
        <x:v>Armitage v Nurse [1998] Ch 241</x:v>
      </x:c>
      <x:c r="G11" s="9" t="str">
        <x:v>Armitage v Nurse [1998] Ch 241</x:v>
      </x:c>
      <x:c r="H11" s="9" t="str"/>
      <x:c r="I11" s="12" t="n">
        <x:v>1</x:v>
      </x:c>
      <x:c r="J11" s="9" t="str">
        <x:v>cmm0chr9w000n04i37bx1uiqp</x:v>
      </x:c>
      <x:c r="K11" s="9" t="str">
        <x:v>not_found_in_registry</x:v>
      </x:c>
      <x:c r="L11" s="9" t="str">
        <x:v>none</x:v>
      </x:c>
      <x:c r="M11" s="9" t="str">
        <x:v>none</x:v>
      </x:c>
      <x:c r="N11" s="9" t="str"/>
      <x:c r="O11" s="9" t="str"/>
      <x:c r="P11" s="9" t="str"/>
      <x:c r="Q11" s="9" t="str"/>
      <x:c r="R11" s="9" t="str"/>
      <x:c r="S11" s="13" t="n">
        <x:v>0</x:v>
      </x:c>
      <x:c r="T11" s="14" t="n">
        <x:v>0</x:v>
      </x:c>
      <x:c r="U11" s="13" t="n">
        <x:v>3654</x:v>
      </x:c>
      <x:c r="V11" s="9" t="str">
        <x:v>3D Morden College v Secretary of State for the Home Department</x:v>
      </x:c>
      <x:c r="W11" s="14" t="n">
        <x:v>0</x:v>
      </x:c>
      <x:c r="X11" s="9" t="str">
        <x:v>yes</x:v>
      </x:c>
      <x:c r="Y11" s="9" t="str">
        <x:v>Armitage v Nurse</x:v>
      </x:c>
      <x:c r="Z11" s="9" t="str">
        <x:v>No accepted registry match. This does not by itself prove the authority is legally fictitious.</x:v>
      </x:c>
      <x:c r="AA11" s="9" t="str">
        <x:v>verified_real_exact</x:v>
      </x:c>
      <x:c r="AB11" s="9" t="str">
        <x:v>no</x:v>
      </x:c>
      <x:c r="AC11" s="9" t="str">
        <x:v>Armitage v Nurse</x:v>
      </x:c>
      <x:c r="AD11" s="9" t="str">
        <x:v>[1998] Ch 241; [1997] EWCA Civ 1279</x:v>
      </x:c>
      <x:c r="AE11" s="9" t="str">
        <x:v>https://www.bailii.org/ew/cases/EWCA/Civ/1997/1279.html</x:v>
      </x:c>
      <x:c r="AF11" s="9" t="str">
        <x:v>The Court of Appeal authority and report citation are genuine.</x:v>
      </x:c>
      <x:c r="AG11" s="9" t="str">
        <x:v>primary_judgment</x:v>
      </x:c>
      <x:c r="AH11" s="9" t="str">
        <x:v>primary</x:v>
      </x:c>
    </x:row>
    <x:row r="12">
      <x:c r="A12" t="str">
        <x:v>U0053</x:v>
      </x:c>
      <x:c r="B12" t="str">
        <x:v>cmm0ct5sl001504i3x6g18pvd</x:v>
      </x:c>
      <x:c r="C12" t="str">
        <x:v>synthetic</x:v>
      </x:c>
      <x:c r="D12" s="9" t="str">
        <x:v>Blackwood v Blackwood</x:v>
      </x:c>
      <x:c r="E12" s="9" t="str">
        <x:v>case:2011 ukpc 13</x:v>
      </x:c>
      <x:c r="F12" s="9" t="str">
        <x:v>Spread Trustee Co Ltd v Hutcheson [2011] UKPC 13</x:v>
      </x:c>
      <x:c r="G12" s="9" t="str">
        <x:v>Spread Trustee Co Ltd v Hutcheson [2011] UKPC 13</x:v>
      </x:c>
      <x:c r="H12" s="9" t="str"/>
      <x:c r="I12" s="12" t="n">
        <x:v>1</x:v>
      </x:c>
      <x:c r="J12" s="9" t="str">
        <x:v>cmm0cqleo000z04i321gtuvf1</x:v>
      </x:c>
      <x:c r="K12" s="9" t="str">
        <x:v>not_found_in_registry</x:v>
      </x:c>
      <x:c r="L12" s="9" t="str">
        <x:v>none</x:v>
      </x:c>
      <x:c r="M12" s="9" t="str">
        <x:v>none</x:v>
      </x:c>
      <x:c r="N12" s="9" t="str"/>
      <x:c r="O12" s="9" t="str"/>
      <x:c r="P12" s="9" t="str"/>
      <x:c r="Q12" s="9" t="str"/>
      <x:c r="R12" s="9" t="str"/>
      <x:c r="S12" s="13" t="n">
        <x:v>0</x:v>
      </x:c>
      <x:c r="T12" s="14" t="n">
        <x:v>0.16666666666666666</x:v>
      </x:c>
      <x:c r="U12" s="13" t="n">
        <x:v>1</x:v>
      </x:c>
      <x:c r="V12" s="9" t="str">
        <x:v>Farrer &amp; Co LLP v Meyer [2022] EWCA Civ 706</x:v>
      </x:c>
      <x:c r="W12" s="14" t="n">
        <x:v>0.16666666666666666</x:v>
      </x:c>
      <x:c r="X12" s="9" t="str">
        <x:v>no</x:v>
      </x:c>
      <x:c r="Y12" s="9" t="str"/>
      <x:c r="Z12" s="9" t="str">
        <x:v>No accepted registry match. This does not by itself prove the authority is legally fictitious.</x:v>
      </x:c>
      <x:c r="AA12" s="9" t="str">
        <x:v>verified_real_exact</x:v>
      </x:c>
      <x:c r="AB12" s="9" t="str">
        <x:v>no</x:v>
      </x:c>
      <x:c r="AC12" s="9" t="str">
        <x:v>Spread Trustee Company Ltd v Hutcheson</x:v>
      </x:c>
      <x:c r="AD12" s="9" t="str">
        <x:v>[2011] UKPC 13</x:v>
      </x:c>
      <x:c r="AE12" s="9" t="str">
        <x:v>https://vlex.co.uk/vid/spread-trustee-company-ltd-818719649</x:v>
      </x:c>
      <x:c r="AF12" s="9" t="str">
        <x:v>The Privy Council authority and neutral citation are genuine.</x:v>
      </x:c>
      <x:c r="AG12" s="9" t="str">
        <x:v>legal_report_database</x:v>
      </x:c>
      <x:c r="AH12" s="9" t="str">
        <x:v>reputable_legal_database</x:v>
      </x:c>
    </x:row>
    <x:row r="13">
      <x:c r="A13" t="str">
        <x:v>U0056</x:v>
      </x:c>
      <x:c r="B13" t="str">
        <x:v>cmm0ct5sl001504i3x6g18pvd</x:v>
      </x:c>
      <x:c r="C13" t="str">
        <x:v>synthetic</x:v>
      </x:c>
      <x:c r="D13" s="9" t="str">
        <x:v>Blackwood v Blackwood</x:v>
      </x:c>
      <x:c r="E13" s="9" t="str">
        <x:v>case:armitage v nurse 1998 ch 241</x:v>
      </x:c>
      <x:c r="F13" s="9" t="str">
        <x:v>Armitage v Nurse [1998] Ch 241</x:v>
      </x:c>
      <x:c r="G13" s="9" t="str">
        <x:v>Armitage v Nurse [1998] Ch 241</x:v>
      </x:c>
      <x:c r="H13" s="9" t="str"/>
      <x:c r="I13" s="12" t="n">
        <x:v>1</x:v>
      </x:c>
      <x:c r="J13" s="9" t="str">
        <x:v>cmm0cqleo000z04i321gtuvf1</x:v>
      </x:c>
      <x:c r="K13" s="9" t="str">
        <x:v>not_found_in_registry</x:v>
      </x:c>
      <x:c r="L13" s="9" t="str">
        <x:v>none</x:v>
      </x:c>
      <x:c r="M13" s="9" t="str">
        <x:v>none</x:v>
      </x:c>
      <x:c r="N13" s="9" t="str"/>
      <x:c r="O13" s="9" t="str"/>
      <x:c r="P13" s="9" t="str"/>
      <x:c r="Q13" s="9" t="str"/>
      <x:c r="R13" s="9" t="str"/>
      <x:c r="S13" s="13" t="n">
        <x:v>0</x:v>
      </x:c>
      <x:c r="T13" s="14" t="n">
        <x:v>0</x:v>
      </x:c>
      <x:c r="U13" s="13" t="n">
        <x:v>3654</x:v>
      </x:c>
      <x:c r="V13" s="9" t="str">
        <x:v>3D Morden College v Secretary of State for the Home Department</x:v>
      </x:c>
      <x:c r="W13" s="14" t="n">
        <x:v>0</x:v>
      </x:c>
      <x:c r="X13" s="9" t="str">
        <x:v>no</x:v>
      </x:c>
      <x:c r="Y13" s="9" t="str"/>
      <x:c r="Z13" s="9" t="str">
        <x:v>No accepted registry match. This does not by itself prove the authority is legally fictitious.</x:v>
      </x:c>
      <x:c r="AA13" s="9" t="str">
        <x:v>verified_real_exact</x:v>
      </x:c>
      <x:c r="AB13" s="9" t="str">
        <x:v>no</x:v>
      </x:c>
      <x:c r="AC13" s="9" t="str">
        <x:v>Armitage v Nurse</x:v>
      </x:c>
      <x:c r="AD13" s="9" t="str">
        <x:v>[1998] Ch 241; [1997] EWCA Civ 1279</x:v>
      </x:c>
      <x:c r="AE13" s="9" t="str">
        <x:v>https://www.bailii.org/ew/cases/EWCA/Civ/1997/1279.html</x:v>
      </x:c>
      <x:c r="AF13" s="9" t="str">
        <x:v>The Court of Appeal authority and report citation are genuine.</x:v>
      </x:c>
      <x:c r="AG13" s="9" t="str">
        <x:v>primary_judgment</x:v>
      </x:c>
      <x:c r="AH13" s="9" t="str">
        <x:v>primary</x:v>
      </x:c>
    </x:row>
    <x:row r="14">
      <x:c r="A14" t="str">
        <x:v>U0060</x:v>
      </x:c>
      <x:c r="B14" t="str">
        <x:v>cmm0k3nj8000h04l412ruhfxj</x:v>
      </x:c>
      <x:c r="C14" t="str">
        <x:v>synthetic</x:v>
      </x:c>
      <x:c r="D14" s="9" t="str">
        <x:v>Transport Action Network Limited v Secretary of State for Transport</x:v>
      </x:c>
      <x:c r="E14" s="9" t="str">
        <x:v>case:2002 ewca civ 605</x:v>
      </x:c>
      <x:c r="F14" s="9" t="str">
        <x:v>[2002] EWCA Civ 605</x:v>
      </x:c>
      <x:c r="G14" s="9" t="str">
        <x:v>[2002] EWCA Civ 605</x:v>
      </x:c>
      <x:c r="H14" s="9" t="str"/>
      <x:c r="I14" s="12" t="n">
        <x:v>1</x:v>
      </x:c>
      <x:c r="J14" s="9" t="str">
        <x:v>cmm0k0854000b04l440eijrw0</x:v>
      </x:c>
      <x:c r="K14" s="9" t="str">
        <x:v>present_exact_or_high</x:v>
      </x:c>
      <x:c r="L14" s="9" t="str">
        <x:v>exact_citation</x:v>
      </x:c>
      <x:c r="M14" s="9" t="str">
        <x:v>high</x:v>
      </x:c>
      <x:c r="N14" s="9" t="str">
        <x:v>f11564b3-860c-4adc-bd7a-d530ce37ea95</x:v>
      </x:c>
      <x:c r="O14" s="9" t="str">
        <x:v>English v Emery Reimbold &amp; Strick Ltd</x:v>
      </x:c>
      <x:c r="P14" s="9" t="str">
        <x:v>2002</x:v>
      </x:c>
      <x:c r="Q14" s="9" t="str">
        <x:v>England and Wales Court of Appeal (Civil Division)</x:v>
      </x:c>
      <x:c r="R14" s="9" t="str">
        <x:v>PT_EWCA-Civ_2002_605.xml</x:v>
      </x:c>
      <x:c r="S14" s="13" t="n">
        <x:v>95</x:v>
      </x:c>
      <x:c r="T14" s="14" t="n">
        <x:v>1</x:v>
      </x:c>
      <x:c r="U14" s="13" t="n">
        <x:v>1</x:v>
      </x:c>
      <x:c r="V14" s="9" t="str"/>
      <x:c r="W14" s="14" t="str"/>
      <x:c r="X14" s="9" t="str">
        <x:v>no</x:v>
      </x:c>
      <x:c r="Y14" s="9" t="str"/>
      <x:c r="Z14" s="9" t="str">
        <x:v>Authority exists as a top-level corpus case but was not returned by the linked retrieval event.</x:v>
      </x:c>
      <x:c r="AA14" s="9" t="str">
        <x:v>not_required_corpus_present</x:v>
      </x:c>
      <x:c r="AB14" s="9" t="str">
        <x:v>yes</x:v>
      </x:c>
      <x:c r="AC14" s="9" t="str"/>
      <x:c r="AD14" s="9" t="str"/>
      <x:c r="AE14" s="9" t="str"/>
      <x:c r="AF14" s="9" t="str"/>
      <x:c r="AG14" s="9" t="str"/>
      <x:c r="AH14" s="9" t="str"/>
    </x:row>
    <x:row r="15">
      <x:c r="A15" t="str">
        <x:v>U0069</x:v>
      </x:c>
      <x:c r="B15" t="str">
        <x:v>cmm3b1g6j000j04jt8w2u9z6w</x:v>
      </x:c>
      <x:c r="C15" t="str">
        <x:v>synthetic</x:v>
      </x:c>
      <x:c r="D15" s="9" t="str">
        <x:v>R (Harrison) v Secretary of State for Justice</x:v>
      </x:c>
      <x:c r="E15" s="9" t="str">
        <x:v>case:2000 1 wlr 377</x:v>
      </x:c>
      <x:c r="F15" s="9" t="str">
        <x:v>Flannery v Halifax Estate Agencies Ltd [2000] 1 WLR 377</x:v>
      </x:c>
      <x:c r="G15" s="9" t="str">
        <x:v>Flannery v Halifax Estate Agencies Ltd [2000] 1 WLR 377</x:v>
      </x:c>
      <x:c r="H15" s="9" t="str"/>
      <x:c r="I15" s="12" t="n">
        <x:v>1</x:v>
      </x:c>
      <x:c r="J15" s="9" t="str">
        <x:v>cmm3azb8t000d04jtx7he2awl</x:v>
      </x:c>
      <x:c r="K15" s="9" t="str">
        <x:v>not_found_in_registry</x:v>
      </x:c>
      <x:c r="L15" s="9" t="str">
        <x:v>none</x:v>
      </x:c>
      <x:c r="M15" s="9" t="str">
        <x:v>none</x:v>
      </x:c>
      <x:c r="N15" s="9" t="str"/>
      <x:c r="O15" s="9" t="str"/>
      <x:c r="P15" s="9" t="str"/>
      <x:c r="Q15" s="9" t="str"/>
      <x:c r="R15" s="9" t="str"/>
      <x:c r="S15" s="13" t="n">
        <x:v>0</x:v>
      </x:c>
      <x:c r="T15" s="14" t="n">
        <x:v>0.16666666666666666</x:v>
      </x:c>
      <x:c r="U15" s="13" t="n">
        <x:v>1</x:v>
      </x:c>
      <x:c r="V15" s="9" t="str">
        <x:v>The Gulf Agencies Limited v Ahmed [2016] EWCA Civ 44</x:v>
      </x:c>
      <x:c r="W15" s="14" t="n">
        <x:v>0.16666666666666666</x:v>
      </x:c>
      <x:c r="X15" s="9" t="str">
        <x:v>no</x:v>
      </x:c>
      <x:c r="Y15" s="9" t="str"/>
      <x:c r="Z15" s="9" t="str">
        <x:v>No accepted registry match. This does not by itself prove the authority is legally fictitious.</x:v>
      </x:c>
      <x:c r="AA15" s="9" t="str">
        <x:v>verified_real_exact</x:v>
      </x:c>
      <x:c r="AB15" s="9" t="str">
        <x:v>no</x:v>
      </x:c>
      <x:c r="AC15" s="9" t="str">
        <x:v>Flannery v Halifax Estate Agencies Ltd</x:v>
      </x:c>
      <x:c r="AD15" s="9" t="str">
        <x:v>[2000] 1 WLR 377; [1999] EWCA Civ 811</x:v>
      </x:c>
      <x:c r="AE15" s="9" t="str">
        <x:v>https://www.bailii.org/ew/cases/EWCA/Civ/1999/811.html</x:v>
      </x:c>
      <x:c r="AF15" s="9" t="str">
        <x:v>The case is genuine. The 2000 WLR citation is the report citation for the Court of Appeal judgment delivered in 1999.</x:v>
      </x:c>
      <x:c r="AG15" s="9" t="str">
        <x:v>primary_judgment</x:v>
      </x:c>
      <x:c r="AH15" s="9" t="str">
        <x:v>primary</x:v>
      </x:c>
    </x:row>
    <x:row r="16">
      <x:c r="A16" t="str">
        <x:v>U0070</x:v>
      </x:c>
      <x:c r="B16" t="str">
        <x:v>cmm3b1g6j000j04jt8w2u9z6w</x:v>
      </x:c>
      <x:c r="C16" t="str">
        <x:v>synthetic</x:v>
      </x:c>
      <x:c r="D16" s="9" t="str">
        <x:v>R (Harrison) v Secretary of State for Justice</x:v>
      </x:c>
      <x:c r="E16" s="9" t="str">
        <x:v>case:2002 ewca civ 605</x:v>
      </x:c>
      <x:c r="F16" s="9" t="str">
        <x:v>English v Emery Reimbold &amp; Strick Ltd [2002] EWCA Civ 605</x:v>
      </x:c>
      <x:c r="G16" s="9" t="str">
        <x:v>English v Emery Reimbold &amp; Strick Ltd [2002] EWCA Civ 605</x:v>
      </x:c>
      <x:c r="H16" s="9" t="str"/>
      <x:c r="I16" s="12" t="n">
        <x:v>1</x:v>
      </x:c>
      <x:c r="J16" s="9" t="str">
        <x:v>cmm3azb8t000d04jtx7he2awl</x:v>
      </x:c>
      <x:c r="K16" s="9" t="str">
        <x:v>present_exact_or_high</x:v>
      </x:c>
      <x:c r="L16" s="9" t="str">
        <x:v>exact_citation</x:v>
      </x:c>
      <x:c r="M16" s="9" t="str">
        <x:v>high</x:v>
      </x:c>
      <x:c r="N16" s="9" t="str">
        <x:v>f11564b3-860c-4adc-bd7a-d530ce37ea95</x:v>
      </x:c>
      <x:c r="O16" s="9" t="str">
        <x:v>English v Emery Reimbold &amp; Strick Ltd</x:v>
      </x:c>
      <x:c r="P16" s="9" t="str">
        <x:v>2002</x:v>
      </x:c>
      <x:c r="Q16" s="9" t="str">
        <x:v>England and Wales Court of Appeal (Civil Division)</x:v>
      </x:c>
      <x:c r="R16" s="9" t="str">
        <x:v>PT_EWCA-Civ_2002_605.xml</x:v>
      </x:c>
      <x:c r="S16" s="13" t="n">
        <x:v>95</x:v>
      </x:c>
      <x:c r="T16" s="14" t="n">
        <x:v>1</x:v>
      </x:c>
      <x:c r="U16" s="13" t="n">
        <x:v>1</x:v>
      </x:c>
      <x:c r="V16" s="9" t="str"/>
      <x:c r="W16" s="14" t="str"/>
      <x:c r="X16" s="9" t="str">
        <x:v>no</x:v>
      </x:c>
      <x:c r="Y16" s="9" t="str"/>
      <x:c r="Z16" s="9" t="str">
        <x:v>Authority exists as a top-level corpus case but was not returned by the linked retrieval event.</x:v>
      </x:c>
      <x:c r="AA16" s="9" t="str">
        <x:v>not_required_corpus_present</x:v>
      </x:c>
      <x:c r="AB16" s="9" t="str">
        <x:v>yes</x:v>
      </x:c>
      <x:c r="AC16" s="9" t="str"/>
      <x:c r="AD16" s="9" t="str"/>
      <x:c r="AE16" s="9" t="str"/>
      <x:c r="AF16" s="9" t="str"/>
      <x:c r="AG16" s="9" t="str"/>
      <x:c r="AH16" s="9" t="str"/>
    </x:row>
    <x:row r="17">
      <x:c r="A17" t="str">
        <x:v>U0093</x:v>
      </x:c>
      <x:c r="B17" t="str">
        <x:v>cmm93eoww000904l4jttzk880</x:v>
      </x:c>
      <x:c r="C17" t="str">
        <x:v>synthetic</x:v>
      </x:c>
      <x:c r="D17" s="9" t="str">
        <x:v>Collins v North Thames NHS Foundation Trust</x:v>
      </x:c>
      <x:c r="E17" s="9" t="str">
        <x:v>case:2002 ewca civ 605</x:v>
      </x:c>
      <x:c r="F17" s="9" t="str">
        <x:v>[2002] EWCA Civ 605</x:v>
      </x:c>
      <x:c r="G17" s="9" t="str">
        <x:v>[2002] EWCA Civ 605</x:v>
      </x:c>
      <x:c r="H17" s="9" t="str"/>
      <x:c r="I17" s="12" t="n">
        <x:v>1</x:v>
      </x:c>
      <x:c r="J17" s="9" t="str">
        <x:v>cmm93cs0n000304l46op6ul80</x:v>
      </x:c>
      <x:c r="K17" s="9" t="str">
        <x:v>present_exact_or_high</x:v>
      </x:c>
      <x:c r="L17" s="9" t="str">
        <x:v>exact_citation</x:v>
      </x:c>
      <x:c r="M17" s="9" t="str">
        <x:v>high</x:v>
      </x:c>
      <x:c r="N17" s="9" t="str">
        <x:v>f11564b3-860c-4adc-bd7a-d530ce37ea95</x:v>
      </x:c>
      <x:c r="O17" s="9" t="str">
        <x:v>English v Emery Reimbold &amp; Strick Ltd</x:v>
      </x:c>
      <x:c r="P17" s="9" t="str">
        <x:v>2002</x:v>
      </x:c>
      <x:c r="Q17" s="9" t="str">
        <x:v>England and Wales Court of Appeal (Civil Division)</x:v>
      </x:c>
      <x:c r="R17" s="9" t="str">
        <x:v>PT_EWCA-Civ_2002_605.xml</x:v>
      </x:c>
      <x:c r="S17" s="13" t="n">
        <x:v>95</x:v>
      </x:c>
      <x:c r="T17" s="14" t="n">
        <x:v>1</x:v>
      </x:c>
      <x:c r="U17" s="13" t="n">
        <x:v>1</x:v>
      </x:c>
      <x:c r="V17" s="9" t="str"/>
      <x:c r="W17" s="14" t="str"/>
      <x:c r="X17" s="9" t="str">
        <x:v>no</x:v>
      </x:c>
      <x:c r="Y17" s="9" t="str"/>
      <x:c r="Z17" s="9" t="str">
        <x:v>Authority exists as a top-level corpus case but was not returned by the linked retrieval event.</x:v>
      </x:c>
      <x:c r="AA17" s="9" t="str">
        <x:v>not_required_corpus_present</x:v>
      </x:c>
      <x:c r="AB17" s="9" t="str">
        <x:v>yes</x:v>
      </x:c>
      <x:c r="AC17" s="9" t="str"/>
      <x:c r="AD17" s="9" t="str"/>
      <x:c r="AE17" s="9" t="str"/>
      <x:c r="AF17" s="9" t="str"/>
      <x:c r="AG17" s="9" t="str"/>
      <x:c r="AH17" s="9" t="str"/>
    </x:row>
    <x:row r="18">
      <x:c r="A18" t="str">
        <x:v>U0094</x:v>
      </x:c>
      <x:c r="B18" t="str">
        <x:v>cmm93eoww000904l4jttzk880</x:v>
      </x:c>
      <x:c r="C18" t="str">
        <x:v>synthetic</x:v>
      </x:c>
      <x:c r="D18" s="9" t="str">
        <x:v>Collins v North Thames NHS Foundation Trust</x:v>
      </x:c>
      <x:c r="E18" s="9" t="str">
        <x:v>case:2015 uksc 11</x:v>
      </x:c>
      <x:c r="F18" s="9" t="str">
        <x:v>[2015] UKSC 11</x:v>
      </x:c>
      <x:c r="G18" s="9" t="str">
        <x:v>[2015] UKSC 11</x:v>
      </x:c>
      <x:c r="H18" s="9" t="str"/>
      <x:c r="I18" s="12" t="n">
        <x:v>1</x:v>
      </x:c>
      <x:c r="J18" s="9" t="str">
        <x:v>cmm93cs0n000304l46op6ul80</x:v>
      </x:c>
      <x:c r="K18" s="9" t="str">
        <x:v>not_found_in_registry</x:v>
      </x:c>
      <x:c r="L18" s="9" t="str">
        <x:v>none</x:v>
      </x:c>
      <x:c r="M18" s="9" t="str">
        <x:v>none</x:v>
      </x:c>
      <x:c r="N18" s="9" t="str"/>
      <x:c r="O18" s="9" t="str"/>
      <x:c r="P18" s="9" t="str"/>
      <x:c r="Q18" s="9" t="str"/>
      <x:c r="R18" s="9" t="str"/>
      <x:c r="S18" s="13" t="n">
        <x:v>0</x:v>
      </x:c>
      <x:c r="T18" s="14" t="n">
        <x:v>0</x:v>
      </x:c>
      <x:c r="U18" s="13" t="n">
        <x:v>3654</x:v>
      </x:c>
      <x:c r="V18" s="9" t="str">
        <x:v>3D Morden College v Secretary of State for the Home Department</x:v>
      </x:c>
      <x:c r="W18" s="14" t="n">
        <x:v>0</x:v>
      </x:c>
      <x:c r="X18" s="9" t="str">
        <x:v>no</x:v>
      </x:c>
      <x:c r="Y18" s="9" t="str"/>
      <x:c r="Z18" s="9" t="str">
        <x:v>No accepted registry match. This does not by itself prove the authority is legally fictitious.</x:v>
      </x:c>
      <x:c r="AA18" s="9" t="str">
        <x:v>verified_real_incomplete_citation</x:v>
      </x:c>
      <x:c r="AB18" s="9" t="str">
        <x:v>no</x:v>
      </x:c>
      <x:c r="AC18" s="9" t="str">
        <x:v>Montgomery v Lanarkshire Health Board</x:v>
      </x:c>
      <x:c r="AD18" s="9" t="str">
        <x:v>[2015] UKSC 11; [2015] AC 1430</x:v>
      </x:c>
      <x:c r="AE18" s="9" t="str">
        <x:v>https://www.supremecourt.uk/cases/uksc-2013-0136</x:v>
      </x:c>
      <x:c r="AF18" s="9" t="str">
        <x:v>The neutral citation is valid, but the extracted citation omitted the case name.</x:v>
      </x:c>
      <x:c r="AG18" s="9" t="str">
        <x:v>primary_judgment</x:v>
      </x:c>
      <x:c r="AH18" s="9" t="str">
        <x:v>primary</x:v>
      </x:c>
    </x:row>
    <x:row r="19">
      <x:c r="A19" t="str">
        <x:v>U0099</x:v>
      </x:c>
      <x:c r="B19" t="str">
        <x:v>cmmafut12000904l4kjskwky4</x:v>
      </x:c>
      <x:c r="C19" t="str">
        <x:v>synthetic</x:v>
      </x:c>
      <x:c r="D19" s="9" t="str">
        <x:v>R (Harrison) v Secretary of State for Justice</x:v>
      </x:c>
      <x:c r="E19" s="9" t="str">
        <x:v>case:2002 ewca civ 605</x:v>
      </x:c>
      <x:c r="F19" s="9" t="str">
        <x:v>English v Emery Reimbold &amp; Strick Ltd [2002] EWCA Civ 605</x:v>
      </x:c>
      <x:c r="G19" s="9" t="str">
        <x:v>English v Emery Reimbold &amp; Strick Ltd [2002] EWCA Civ 605</x:v>
      </x:c>
      <x:c r="H19" s="9" t="str"/>
      <x:c r="I19" s="12" t="n">
        <x:v>1</x:v>
      </x:c>
      <x:c r="J19" s="9" t="str">
        <x:v>cmmafsf07000304l4huaorple</x:v>
      </x:c>
      <x:c r="K19" s="9" t="str">
        <x:v>present_exact_or_high</x:v>
      </x:c>
      <x:c r="L19" s="9" t="str">
        <x:v>exact_citation</x:v>
      </x:c>
      <x:c r="M19" s="9" t="str">
        <x:v>high</x:v>
      </x:c>
      <x:c r="N19" s="9" t="str">
        <x:v>f11564b3-860c-4adc-bd7a-d530ce37ea95</x:v>
      </x:c>
      <x:c r="O19" s="9" t="str">
        <x:v>English v Emery Reimbold &amp; Strick Ltd</x:v>
      </x:c>
      <x:c r="P19" s="9" t="str">
        <x:v>2002</x:v>
      </x:c>
      <x:c r="Q19" s="9" t="str">
        <x:v>England and Wales Court of Appeal (Civil Division)</x:v>
      </x:c>
      <x:c r="R19" s="9" t="str">
        <x:v>PT_EWCA-Civ_2002_605.xml</x:v>
      </x:c>
      <x:c r="S19" s="13" t="n">
        <x:v>95</x:v>
      </x:c>
      <x:c r="T19" s="14" t="n">
        <x:v>1</x:v>
      </x:c>
      <x:c r="U19" s="13" t="n">
        <x:v>1</x:v>
      </x:c>
      <x:c r="V19" s="9" t="str"/>
      <x:c r="W19" s="14" t="str"/>
      <x:c r="X19" s="9" t="str">
        <x:v>no</x:v>
      </x:c>
      <x:c r="Y19" s="9" t="str"/>
      <x:c r="Z19" s="9" t="str">
        <x:v>Authority exists as a top-level corpus case but was not returned by the linked retrieval event.</x:v>
      </x:c>
      <x:c r="AA19" s="9" t="str">
        <x:v>not_required_corpus_present</x:v>
      </x:c>
      <x:c r="AB19" s="9" t="str">
        <x:v>yes</x:v>
      </x:c>
      <x:c r="AC19" s="9" t="str"/>
      <x:c r="AD19" s="9" t="str"/>
      <x:c r="AE19" s="9" t="str"/>
      <x:c r="AF19" s="9" t="str"/>
      <x:c r="AG19" s="9" t="str"/>
      <x:c r="AH19" s="9" t="str"/>
    </x:row>
    <x:row r="20">
      <x:c r="A20" t="str">
        <x:v>U0103</x:v>
      </x:c>
      <x:c r="B20" t="str">
        <x:v>cmmafut12000904l4kjskwky4</x:v>
      </x:c>
      <x:c r="C20" t="str">
        <x:v>synthetic</x:v>
      </x:c>
      <x:c r="D20" s="9" t="str">
        <x:v>R (Harrison) v Secretary of State for Justice</x:v>
      </x:c>
      <x:c r="E20" s="9" t="str">
        <x:v>case:velyo velev v bulgaria app no 16032 07 echr 27 may 2014</x:v>
      </x:c>
      <x:c r="F20" s="9" t="str">
        <x:v>Velyo Velev v Bulgaria (App No 16032/07) ECHR 27 May 2014</x:v>
      </x:c>
      <x:c r="G20" s="9" t="str">
        <x:v>Velyo Velev v Bulgaria (App No 16032/07) ECHR 27 May 2014</x:v>
      </x:c>
      <x:c r="H20" s="9" t="str"/>
      <x:c r="I20" s="12" t="n">
        <x:v>1</x:v>
      </x:c>
      <x:c r="J20" s="9" t="str">
        <x:v>cmmafsf07000304l4huaorple</x:v>
      </x:c>
      <x:c r="K20" s="9" t="str">
        <x:v>present_exact_or_high</x:v>
      </x:c>
      <x:c r="L20" s="9" t="str">
        <x:v>title_containment</x:v>
      </x:c>
      <x:c r="M20" s="9" t="str">
        <x:v>high</x:v>
      </x:c>
      <x:c r="N20" s="9" t="str">
        <x:v>dfa97e6e-7e32-4c80-9f6f-5e4f398f9d82</x:v>
      </x:c>
      <x:c r="O20" s="9" t="str">
        <x:v>Velyo Velev v. Bulgaria (Application No. 16032/07)</x:v>
      </x:c>
      <x:c r="P20" s="9" t="str">
        <x:v>2014</x:v>
      </x:c>
      <x:c r="Q20" s="9" t="str">
        <x:v>European Court of Human Rights (Fourth Section)</x:v>
      </x:c>
      <x:c r="R20" s="9" t="str">
        <x:v>Velev_v_Bulgaria_16032_07(1).xml</x:v>
      </x:c>
      <x:c r="S20" s="13" t="n">
        <x:v>85</x:v>
      </x:c>
      <x:c r="T20" s="14" t="n">
        <x:v>0.42857142857142855</x:v>
      </x:c>
      <x:c r="U20" s="13" t="n">
        <x:v>1</x:v>
      </x:c>
      <x:c r="V20" s="9" t="str"/>
      <x:c r="W20" s="14" t="str"/>
      <x:c r="X20" s="9" t="str">
        <x:v>no</x:v>
      </x:c>
      <x:c r="Y20" s="9" t="str"/>
      <x:c r="Z20" s="9" t="str">
        <x:v>Authority exists as a top-level corpus case but was not returned by the linked retrieval event.</x:v>
      </x:c>
      <x:c r="AA20" s="9" t="str">
        <x:v>not_required_corpus_present</x:v>
      </x:c>
      <x:c r="AB20" s="9" t="str">
        <x:v>yes</x:v>
      </x:c>
      <x:c r="AC20" s="9" t="str"/>
      <x:c r="AD20" s="9" t="str"/>
      <x:c r="AE20" s="9" t="str"/>
      <x:c r="AF20" s="9" t="str"/>
      <x:c r="AG20" s="9" t="str"/>
      <x:c r="AH20" s="9" t="str"/>
    </x:row>
    <x:row r="21">
      <x:c r="A21" t="str">
        <x:v>U0105</x:v>
      </x:c>
      <x:c r="B21" t="str">
        <x:v>cmmc2zaji000h04l23a3cp61p</x:v>
      </x:c>
      <x:c r="C21" t="str">
        <x:v>synthetic</x:v>
      </x:c>
      <x:c r="D21" s="9" t="str">
        <x:v>HMRC v Dolphin Drilling Ltd</x:v>
      </x:c>
      <x:c r="E21" s="9" t="str">
        <x:v>case:2000 1 wlr 377</x:v>
      </x:c>
      <x:c r="F21" s="9" t="str">
        <x:v>Flannery v Halifax Estate Agencies Ltd [2000] 1 WLR 377</x:v>
      </x:c>
      <x:c r="G21" s="9" t="str">
        <x:v>Flannery v Halifax Estate Agencies Ltd [2000] 1 WLR 377</x:v>
      </x:c>
      <x:c r="H21" s="9" t="str"/>
      <x:c r="I21" s="12" t="n">
        <x:v>1</x:v>
      </x:c>
      <x:c r="J21" s="9" t="str">
        <x:v>cmmc2vi4u000b04l2jn766kai</x:v>
      </x:c>
      <x:c r="K21" s="9" t="str">
        <x:v>not_found_in_registry</x:v>
      </x:c>
      <x:c r="L21" s="9" t="str">
        <x:v>none</x:v>
      </x:c>
      <x:c r="M21" s="9" t="str">
        <x:v>none</x:v>
      </x:c>
      <x:c r="N21" s="9" t="str"/>
      <x:c r="O21" s="9" t="str"/>
      <x:c r="P21" s="9" t="str"/>
      <x:c r="Q21" s="9" t="str"/>
      <x:c r="R21" s="9" t="str"/>
      <x:c r="S21" s="13" t="n">
        <x:v>0</x:v>
      </x:c>
      <x:c r="T21" s="14" t="n">
        <x:v>0.16666666666666666</x:v>
      </x:c>
      <x:c r="U21" s="13" t="n">
        <x:v>1</x:v>
      </x:c>
      <x:c r="V21" s="9" t="str">
        <x:v>The Gulf Agencies Limited v Ahmed [2016] EWCA Civ 44</x:v>
      </x:c>
      <x:c r="W21" s="14" t="n">
        <x:v>0.16666666666666666</x:v>
      </x:c>
      <x:c r="X21" s="9" t="str">
        <x:v>no</x:v>
      </x:c>
      <x:c r="Y21" s="9" t="str"/>
      <x:c r="Z21" s="9" t="str">
        <x:v>No accepted registry match. This does not by itself prove the authority is legally fictitious.</x:v>
      </x:c>
      <x:c r="AA21" s="9" t="str">
        <x:v>verified_real_exact</x:v>
      </x:c>
      <x:c r="AB21" s="9" t="str">
        <x:v>no</x:v>
      </x:c>
      <x:c r="AC21" s="9" t="str">
        <x:v>Flannery v Halifax Estate Agencies Ltd</x:v>
      </x:c>
      <x:c r="AD21" s="9" t="str">
        <x:v>[2000] 1 WLR 377; [1999] EWCA Civ 811</x:v>
      </x:c>
      <x:c r="AE21" s="9" t="str">
        <x:v>https://www.bailii.org/ew/cases/EWCA/Civ/1999/811.html</x:v>
      </x:c>
      <x:c r="AF21" s="9" t="str">
        <x:v>The case is genuine. The 2000 WLR citation is the report citation for the Court of Appeal judgment delivered in 1999.</x:v>
      </x:c>
      <x:c r="AG21" s="9" t="str">
        <x:v>primary_judgment</x:v>
      </x:c>
      <x:c r="AH21" s="9" t="str">
        <x:v>primary</x:v>
      </x:c>
    </x:row>
    <x:row r="22">
      <x:c r="A22" t="str">
        <x:v>U0106</x:v>
      </x:c>
      <x:c r="B22" t="str">
        <x:v>cmmc2zaji000h04l23a3cp61p</x:v>
      </x:c>
      <x:c r="C22" t="str">
        <x:v>synthetic</x:v>
      </x:c>
      <x:c r="D22" s="9" t="str">
        <x:v>HMRC v Dolphin Drilling Ltd</x:v>
      </x:c>
      <x:c r="E22" s="9" t="str">
        <x:v>case:2002 ewca civ 605</x:v>
      </x:c>
      <x:c r="F22" s="9" t="str">
        <x:v>English v Emery Reimbold &amp; Strick Ltd [2002] EWCA Civ 605</x:v>
      </x:c>
      <x:c r="G22" s="9" t="str">
        <x:v>English v Emery Reimbold &amp; Strick Ltd [2002] EWCA Civ 605</x:v>
      </x:c>
      <x:c r="H22" s="9" t="str"/>
      <x:c r="I22" s="12" t="n">
        <x:v>1</x:v>
      </x:c>
      <x:c r="J22" s="9" t="str">
        <x:v>cmmc2vi4u000b04l2jn766kai</x:v>
      </x:c>
      <x:c r="K22" s="9" t="str">
        <x:v>present_exact_or_high</x:v>
      </x:c>
      <x:c r="L22" s="9" t="str">
        <x:v>exact_citation</x:v>
      </x:c>
      <x:c r="M22" s="9" t="str">
        <x:v>high</x:v>
      </x:c>
      <x:c r="N22" s="9" t="str">
        <x:v>f11564b3-860c-4adc-bd7a-d530ce37ea95</x:v>
      </x:c>
      <x:c r="O22" s="9" t="str">
        <x:v>English v Emery Reimbold &amp; Strick Ltd</x:v>
      </x:c>
      <x:c r="P22" s="9" t="str">
        <x:v>2002</x:v>
      </x:c>
      <x:c r="Q22" s="9" t="str">
        <x:v>England and Wales Court of Appeal (Civil Division)</x:v>
      </x:c>
      <x:c r="R22" s="9" t="str">
        <x:v>PT_EWCA-Civ_2002_605.xml</x:v>
      </x:c>
      <x:c r="S22" s="13" t="n">
        <x:v>95</x:v>
      </x:c>
      <x:c r="T22" s="14" t="n">
        <x:v>1</x:v>
      </x:c>
      <x:c r="U22" s="13" t="n">
        <x:v>1</x:v>
      </x:c>
      <x:c r="V22" s="9" t="str"/>
      <x:c r="W22" s="14" t="str"/>
      <x:c r="X22" s="9" t="str">
        <x:v>no</x:v>
      </x:c>
      <x:c r="Y22" s="9" t="str"/>
      <x:c r="Z22" s="9" t="str">
        <x:v>Authority exists as a top-level corpus case but was not returned by the linked retrieval event.</x:v>
      </x:c>
      <x:c r="AA22" s="9" t="str">
        <x:v>not_required_corpus_present</x:v>
      </x:c>
      <x:c r="AB22" s="9" t="str">
        <x:v>yes</x:v>
      </x:c>
      <x:c r="AC22" s="9" t="str"/>
      <x:c r="AD22" s="9" t="str"/>
      <x:c r="AE22" s="9" t="str"/>
      <x:c r="AF22" s="9" t="str"/>
      <x:c r="AG22" s="9" t="str"/>
      <x:c r="AH22" s="9" t="str"/>
    </x:row>
    <x:row r="23">
      <x:c r="A23" t="str">
        <x:v>U0115</x:v>
      </x:c>
      <x:c r="B23" t="str">
        <x:v>cmmc4a8zu000h04jx2w3r0hzo</x:v>
      </x:c>
      <x:c r="C23" t="str">
        <x:v>real</x:v>
      </x:c>
      <x:c r="D23" s="9" t="str">
        <x:v>R (Fajr Ellis) v Secretary of State for Justice</x:v>
      </x:c>
      <x:c r="E23" s="9" t="str">
        <x:v>case:flannery v halifax estate agencies ltd</x:v>
      </x:c>
      <x:c r="F23" s="9" t="str">
        <x:v>Flannery v Halifax Estate Agencies Ltd</x:v>
      </x:c>
      <x:c r="G23" s="9" t="str">
        <x:v>Flannery v Halifax Estate Agencies Ltd</x:v>
      </x:c>
      <x:c r="H23" s="9" t="str"/>
      <x:c r="I23" s="12" t="n">
        <x:v>1</x:v>
      </x:c>
      <x:c r="J23" s="9" t="str">
        <x:v>cmmc48b4h000b04jxrxrp3idf</x:v>
      </x:c>
      <x:c r="K23" s="9" t="str">
        <x:v>not_found_in_registry</x:v>
      </x:c>
      <x:c r="L23" s="9" t="str">
        <x:v>none</x:v>
      </x:c>
      <x:c r="M23" s="9" t="str">
        <x:v>none</x:v>
      </x:c>
      <x:c r="N23" s="9" t="str"/>
      <x:c r="O23" s="9" t="str"/>
      <x:c r="P23" s="9" t="str"/>
      <x:c r="Q23" s="9" t="str"/>
      <x:c r="R23" s="9" t="str"/>
      <x:c r="S23" s="13" t="n">
        <x:v>0</x:v>
      </x:c>
      <x:c r="T23" s="14" t="n">
        <x:v>0.16666666666666666</x:v>
      </x:c>
      <x:c r="U23" s="13" t="n">
        <x:v>1</x:v>
      </x:c>
      <x:c r="V23" s="9" t="str">
        <x:v>The Gulf Agencies Limited v Ahmed [2016] EWCA Civ 44</x:v>
      </x:c>
      <x:c r="W23" s="14" t="n">
        <x:v>0.16666666666666666</x:v>
      </x:c>
      <x:c r="X23" s="9" t="str">
        <x:v>no</x:v>
      </x:c>
      <x:c r="Y23" s="9" t="str"/>
      <x:c r="Z23" s="9" t="str">
        <x:v>No accepted registry match. This does not by itself prove the authority is legally fictitious.</x:v>
      </x:c>
      <x:c r="AA23" s="9" t="str">
        <x:v>verified_real_incomplete_citation</x:v>
      </x:c>
      <x:c r="AB23" s="9" t="str">
        <x:v>no</x:v>
      </x:c>
      <x:c r="AC23" s="9" t="str">
        <x:v>Flannery v Halifax Estate Agencies Ltd</x:v>
      </x:c>
      <x:c r="AD23" s="9" t="str">
        <x:v>[2000] 1 WLR 377; [1999] EWCA Civ 811</x:v>
      </x:c>
      <x:c r="AE23" s="9" t="str">
        <x:v>https://www.bailii.org/ew/cases/EWCA/Civ/1999/811.html</x:v>
      </x:c>
      <x:c r="AF23" s="9" t="str">
        <x:v>The case is genuine, but this extracted form supplied no citation.</x:v>
      </x:c>
      <x:c r="AG23" s="9" t="str">
        <x:v>primary_judgment</x:v>
      </x:c>
      <x:c r="AH23" s="9" t="str">
        <x:v>primary</x:v>
      </x:c>
    </x:row>
    <x:row r="24">
      <x:c r="A24" t="str">
        <x:v>U0116</x:v>
      </x:c>
      <x:c r="B24" t="str">
        <x:v>cmmc4a8zu000h04jx2w3r0hzo</x:v>
      </x:c>
      <x:c r="C24" t="str">
        <x:v>real</x:v>
      </x:c>
      <x:c r="D24" s="9" t="str">
        <x:v>R (Fajr Ellis) v Secretary of State for Justice</x:v>
      </x:c>
      <x:c r="E24" s="9" t="str">
        <x:v>case:r johnson v sshd</x:v>
      </x:c>
      <x:c r="F24" s="9" t="str">
        <x:v>R (Johnson) v SSHD</x:v>
      </x:c>
      <x:c r="G24" s="9" t="str">
        <x:v>R (Johnson) v SSHD</x:v>
      </x:c>
      <x:c r="H24" s="9" t="str"/>
      <x:c r="I24" s="12" t="n">
        <x:v>1</x:v>
      </x:c>
      <x:c r="J24" s="9" t="str">
        <x:v>cmmc48b4h000b04jxrxrp3idf</x:v>
      </x:c>
      <x:c r="K24" s="9" t="str">
        <x:v>probable_manual_review</x:v>
      </x:c>
      <x:c r="L24" s="9" t="str">
        <x:v>probable_unordered_alias_title</x:v>
      </x:c>
      <x:c r="M24" s="9" t="str">
        <x:v>probable</x:v>
      </x:c>
      <x:c r="N24" s="9" t="str">
        <x:v>41c885e2-0daa-4c4a-bcf9-e8d82aca462e</x:v>
      </x:c>
      <x:c r="O24" s="9" t="str">
        <x:v>Johnson v Secretary of State for the Home Department [2016] EWCA Civ 22</x:v>
      </x:c>
      <x:c r="P24" s="9" t="str">
        <x:v>2016</x:v>
      </x:c>
      <x:c r="Q24" s="9" t="str">
        <x:v>England and Wales Court of Appeal (Civil Division)</x:v>
      </x:c>
      <x:c r="R24" s="9" t="str">
        <x:v>-ew-cases-EWCA-Civ-2016-22.xml</x:v>
      </x:c>
      <x:c r="S24" s="13" t="n">
        <x:v>80</x:v>
      </x:c>
      <x:c r="T24" s="14" t="n">
        <x:v>1</x:v>
      </x:c>
      <x:c r="U24" s="13" t="n">
        <x:v>1</x:v>
      </x:c>
      <x:c r="V24" s="9" t="str"/>
      <x:c r="W24" s="14" t="str"/>
      <x:c r="X24" s="9" t="str">
        <x:v>no</x:v>
      </x:c>
      <x:c r="Y24" s="9" t="str"/>
      <x:c r="Z24" s="9" t="str">
        <x:v>Strong lexical candidate; verify manually before counting as corpus-present.</x:v>
      </x:c>
      <x:c r="AA24" s="9" t="str">
        <x:v>verified_real_incomplete_citation</x:v>
      </x:c>
      <x:c r="AB24" s="9" t="str">
        <x:v>yes</x:v>
      </x:c>
      <x:c r="AC24" s="9" t="str">
        <x:v>R (Johnson) v Secretary of State for the Home Department</x:v>
      </x:c>
      <x:c r="AD24" s="9" t="str">
        <x:v>[2016] EWCA Civ 22</x:v>
      </x:c>
      <x:c r="AE24" s="9" t="str">
        <x:v>https://www.bailii.org/ew/cases/EWCA/Civ/2016/22.html</x:v>
      </x:c>
      <x:c r="AF24" s="9" t="str">
        <x:v>The authority is genuine and the Qdrant candidate is the same Court of Appeal case. 'SSHD' is a standard abbreviation, but no citation was supplied. Accept the corpus match.</x:v>
      </x:c>
      <x:c r="AG24" s="9" t="str">
        <x:v>primary_judgment</x:v>
      </x:c>
      <x:c r="AH24" s="9" t="str">
        <x:v>primary</x:v>
      </x:c>
    </x:row>
    <x:row r="25">
      <x:c r="A25" t="str">
        <x:v>U0123</x:v>
      </x:c>
      <x:c r="B25" t="str">
        <x:v>cmmcal70d000h04k3e11w997v</x:v>
      </x:c>
      <x:c r="C25" t="str">
        <x:v>synthetic</x:v>
      </x:c>
      <x:c r="D25" s="9" t="str">
        <x:v>UnipolSai Assicurazioni S.p.A. v Covéa Insurance Plc</x:v>
      </x:c>
      <x:c r="E25" s="9" t="str">
        <x:v>case:2002 ewca civ 605</x:v>
      </x:c>
      <x:c r="F25" s="9" t="str">
        <x:v>[2002] EWCA Civ 605</x:v>
      </x:c>
      <x:c r="G25" s="9" t="str">
        <x:v>[2002] EWCA Civ 605</x:v>
      </x:c>
      <x:c r="H25" s="9" t="str"/>
      <x:c r="I25" s="12" t="n">
        <x:v>1</x:v>
      </x:c>
      <x:c r="J25" s="9" t="str">
        <x:v>cmmcaho67000b04k3d50f98in</x:v>
      </x:c>
      <x:c r="K25" s="9" t="str">
        <x:v>present_exact_or_high</x:v>
      </x:c>
      <x:c r="L25" s="9" t="str">
        <x:v>exact_citation</x:v>
      </x:c>
      <x:c r="M25" s="9" t="str">
        <x:v>high</x:v>
      </x:c>
      <x:c r="N25" s="9" t="str">
        <x:v>f11564b3-860c-4adc-bd7a-d530ce37ea95</x:v>
      </x:c>
      <x:c r="O25" s="9" t="str">
        <x:v>English v Emery Reimbold &amp; Strick Ltd</x:v>
      </x:c>
      <x:c r="P25" s="9" t="str">
        <x:v>2002</x:v>
      </x:c>
      <x:c r="Q25" s="9" t="str">
        <x:v>England and Wales Court of Appeal (Civil Division)</x:v>
      </x:c>
      <x:c r="R25" s="9" t="str">
        <x:v>PT_EWCA-Civ_2002_605.xml</x:v>
      </x:c>
      <x:c r="S25" s="13" t="n">
        <x:v>95</x:v>
      </x:c>
      <x:c r="T25" s="14" t="n">
        <x:v>1</x:v>
      </x:c>
      <x:c r="U25" s="13" t="n">
        <x:v>1</x:v>
      </x:c>
      <x:c r="V25" s="9" t="str"/>
      <x:c r="W25" s="14" t="str"/>
      <x:c r="X25" s="9" t="str">
        <x:v>no</x:v>
      </x:c>
      <x:c r="Y25" s="9" t="str"/>
      <x:c r="Z25" s="9" t="str">
        <x:v>Authority exists as a top-level corpus case but was not returned by the linked retrieval event.</x:v>
      </x:c>
      <x:c r="AA25" s="9" t="str">
        <x:v>not_required_corpus_present</x:v>
      </x:c>
      <x:c r="AB25" s="9" t="str">
        <x:v>yes</x:v>
      </x:c>
      <x:c r="AC25" s="9" t="str"/>
      <x:c r="AD25" s="9" t="str"/>
      <x:c r="AE25" s="9" t="str"/>
      <x:c r="AF25" s="9" t="str"/>
      <x:c r="AG25" s="9" t="str"/>
      <x:c r="AH25" s="9" t="str"/>
    </x:row>
    <x:row r="26">
      <x:c r="A26" t="str">
        <x:v>U0124</x:v>
      </x:c>
      <x:c r="B26" t="str">
        <x:v>cmmcal70d000h04k3e11w997v</x:v>
      </x:c>
      <x:c r="C26" t="str">
        <x:v>synthetic</x:v>
      </x:c>
      <x:c r="D26" s="9" t="str">
        <x:v>UnipolSai Assicurazioni S.p.A. v Covéa Insurance Plc</x:v>
      </x:c>
      <x:c r="E26" s="9" t="str">
        <x:v>case:2021 uksc 1</x:v>
      </x:c>
      <x:c r="F26" s="9" t="str">
        <x:v>FCA v Arch Insurance (UK) Ltd [2021] UKSC 1</x:v>
      </x:c>
      <x:c r="G26" s="9" t="str">
        <x:v>FCA v Arch Insurance (UK) Ltd [2021] UKSC 1</x:v>
      </x:c>
      <x:c r="H26" s="9" t="str"/>
      <x:c r="I26" s="12" t="n">
        <x:v>1</x:v>
      </x:c>
      <x:c r="J26" s="9" t="str">
        <x:v>cmmcaho67000b04k3d50f98in</x:v>
      </x:c>
      <x:c r="K26" s="9" t="str">
        <x:v>not_found_in_registry</x:v>
      </x:c>
      <x:c r="L26" s="9" t="str">
        <x:v>none</x:v>
      </x:c>
      <x:c r="M26" s="9" t="str">
        <x:v>none</x:v>
      </x:c>
      <x:c r="N26" s="9" t="str"/>
      <x:c r="O26" s="9" t="str"/>
      <x:c r="P26" s="9" t="str"/>
      <x:c r="Q26" s="9" t="str"/>
      <x:c r="R26" s="9" t="str"/>
      <x:c r="S26" s="13" t="n">
        <x:v>0</x:v>
      </x:c>
      <x:c r="T26" s="14" t="n">
        <x:v>0.5</x:v>
      </x:c>
      <x:c r="U26" s="13" t="n">
        <x:v>6</x:v>
      </x:c>
      <x:c r="V26" s="9" t="str">
        <x:v>Burns v The Financial Conduct Authority [2017] EWCA Civ 2140</x:v>
      </x:c>
      <x:c r="W26" s="14" t="n">
        <x:v>0.5</x:v>
      </x:c>
      <x:c r="X26" s="9" t="str">
        <x:v>yes</x:v>
      </x:c>
      <x:c r="Y26" s="9" t="str">
        <x:v>Financial Conduct Authority v Arch Insurance [2021] UKSC 1</x:v>
      </x:c>
      <x:c r="Z26" s="9" t="str">
        <x:v>No accepted registry match. This does not by itself prove the authority is legally fictitious.</x:v>
      </x:c>
      <x:c r="AA26" s="9" t="str">
        <x:v>verified_real_title_variant</x:v>
      </x:c>
      <x:c r="AB26" s="9" t="str">
        <x:v>no</x:v>
      </x:c>
      <x:c r="AC26" s="9" t="str">
        <x:v>Financial Conduct Authority v Arch Insurance (UK) Ltd and others</x:v>
      </x:c>
      <x:c r="AD26" s="9" t="str">
        <x:v>[2021] UKSC 1</x:v>
      </x:c>
      <x:c r="AE26" s="9" t="str">
        <x:v>https://www.supremecourt.uk/cases/uksc-2020-0177</x:v>
      </x:c>
      <x:c r="AF26" s="9" t="str">
        <x:v>The authority is genuine; 'FCA' is an acceptable abbreviation of the claimant's name.</x:v>
      </x:c>
      <x:c r="AG26" s="9" t="str">
        <x:v>primary_judgment</x:v>
      </x:c>
      <x:c r="AH26" s="9" t="str">
        <x:v>primary</x:v>
      </x:c>
    </x:row>
    <x:row r="27">
      <x:c r="A27" t="str">
        <x:v>U0130</x:v>
      </x:c>
      <x:c r="B27" t="str">
        <x:v>cmmdjqxh3000304kvs37yorn3</x:v>
      </x:c>
      <x:c r="C27" t="str">
        <x:v>synthetic</x:v>
      </x:c>
      <x:c r="D27" s="9" t="str">
        <x:v>Metropolitan Property Holdings Ltd v Artisan Coffee Co Ltd</x:v>
      </x:c>
      <x:c r="E27" s="9" t="str">
        <x:v>case:2000 1 wlr 377</x:v>
      </x:c>
      <x:c r="F27" s="9" t="str">
        <x:v>Flannery v Halifax Estate Agencies Ltd [2000] 1 WLR 377</x:v>
      </x:c>
      <x:c r="G27" s="9" t="str">
        <x:v>Flannery v Halifax Estate Agencies Ltd [2000] 1 WLR 377</x:v>
      </x:c>
      <x:c r="H27" s="9" t="str"/>
      <x:c r="I27" s="12" t="n">
        <x:v>1</x:v>
      </x:c>
      <x:c r="J27" s="9" t="str">
        <x:v>cmmdjmbqo000b04js13axm03c</x:v>
      </x:c>
      <x:c r="K27" s="9" t="str">
        <x:v>not_found_in_registry</x:v>
      </x:c>
      <x:c r="L27" s="9" t="str">
        <x:v>none</x:v>
      </x:c>
      <x:c r="M27" s="9" t="str">
        <x:v>none</x:v>
      </x:c>
      <x:c r="N27" s="9" t="str"/>
      <x:c r="O27" s="9" t="str"/>
      <x:c r="P27" s="9" t="str"/>
      <x:c r="Q27" s="9" t="str"/>
      <x:c r="R27" s="9" t="str"/>
      <x:c r="S27" s="13" t="n">
        <x:v>0</x:v>
      </x:c>
      <x:c r="T27" s="14" t="n">
        <x:v>0.16666666666666666</x:v>
      </x:c>
      <x:c r="U27" s="13" t="n">
        <x:v>1</x:v>
      </x:c>
      <x:c r="V27" s="9" t="str">
        <x:v>The Gulf Agencies Limited v Ahmed [2016] EWCA Civ 44</x:v>
      </x:c>
      <x:c r="W27" s="14" t="n">
        <x:v>0.16666666666666666</x:v>
      </x:c>
      <x:c r="X27" s="9" t="str">
        <x:v>no</x:v>
      </x:c>
      <x:c r="Y27" s="9" t="str"/>
      <x:c r="Z27" s="9" t="str">
        <x:v>No accepted registry match. This does not by itself prove the authority is legally fictitious.</x:v>
      </x:c>
      <x:c r="AA27" s="9" t="str">
        <x:v>verified_real_exact</x:v>
      </x:c>
      <x:c r="AB27" s="9" t="str">
        <x:v>no</x:v>
      </x:c>
      <x:c r="AC27" s="9" t="str">
        <x:v>Flannery v Halifax Estate Agencies Ltd</x:v>
      </x:c>
      <x:c r="AD27" s="9" t="str">
        <x:v>[2000] 1 WLR 377; [1999] EWCA Civ 811</x:v>
      </x:c>
      <x:c r="AE27" s="9" t="str">
        <x:v>https://www.bailii.org/ew/cases/EWCA/Civ/1999/811.html</x:v>
      </x:c>
      <x:c r="AF27" s="9" t="str">
        <x:v>The case is genuine. The 2000 WLR citation is the report citation for the Court of Appeal judgment delivered in 1999.</x:v>
      </x:c>
      <x:c r="AG27" s="9" t="str">
        <x:v>primary_judgment</x:v>
      </x:c>
      <x:c r="AH27" s="9" t="str">
        <x:v>primary</x:v>
      </x:c>
    </x:row>
    <x:row r="28">
      <x:c r="A28" t="str">
        <x:v>U0131</x:v>
      </x:c>
      <x:c r="B28" t="str">
        <x:v>cmmdjqxh3000304kvs37yorn3</x:v>
      </x:c>
      <x:c r="C28" t="str">
        <x:v>synthetic</x:v>
      </x:c>
      <x:c r="D28" s="9" t="str">
        <x:v>Metropolitan Property Holdings Ltd v Artisan Coffee Co Ltd</x:v>
      </x:c>
      <x:c r="E28" s="9" t="str">
        <x:v>case:2002 ewca civ 605</x:v>
      </x:c>
      <x:c r="F28" s="9" t="str">
        <x:v>English v Emery Reimbold &amp; Strick Ltd [2002] EWCA Civ 605</x:v>
      </x:c>
      <x:c r="G28" s="9" t="str">
        <x:v>English v Emery Reimbold &amp; Strick Ltd [2002] EWCA Civ 605</x:v>
      </x:c>
      <x:c r="H28" s="9" t="str"/>
      <x:c r="I28" s="12" t="n">
        <x:v>1</x:v>
      </x:c>
      <x:c r="J28" s="9" t="str">
        <x:v>cmmdjmbqo000b04js13axm03c</x:v>
      </x:c>
      <x:c r="K28" s="9" t="str">
        <x:v>present_exact_or_high</x:v>
      </x:c>
      <x:c r="L28" s="9" t="str">
        <x:v>exact_citation</x:v>
      </x:c>
      <x:c r="M28" s="9" t="str">
        <x:v>high</x:v>
      </x:c>
      <x:c r="N28" s="9" t="str">
        <x:v>f11564b3-860c-4adc-bd7a-d530ce37ea95</x:v>
      </x:c>
      <x:c r="O28" s="9" t="str">
        <x:v>English v Emery Reimbold &amp; Strick Ltd</x:v>
      </x:c>
      <x:c r="P28" s="9" t="str">
        <x:v>2002</x:v>
      </x:c>
      <x:c r="Q28" s="9" t="str">
        <x:v>England and Wales Court of Appeal (Civil Division)</x:v>
      </x:c>
      <x:c r="R28" s="9" t="str">
        <x:v>PT_EWCA-Civ_2002_605.xml</x:v>
      </x:c>
      <x:c r="S28" s="13" t="n">
        <x:v>95</x:v>
      </x:c>
      <x:c r="T28" s="14" t="n">
        <x:v>1</x:v>
      </x:c>
      <x:c r="U28" s="13" t="n">
        <x:v>1</x:v>
      </x:c>
      <x:c r="V28" s="9" t="str"/>
      <x:c r="W28" s="14" t="str"/>
      <x:c r="X28" s="9" t="str">
        <x:v>no</x:v>
      </x:c>
      <x:c r="Y28" s="9" t="str"/>
      <x:c r="Z28" s="9" t="str">
        <x:v>Authority exists as a top-level corpus case but was not returned by the linked retrieval event.</x:v>
      </x:c>
      <x:c r="AA28" s="9" t="str">
        <x:v>not_required_corpus_present</x:v>
      </x:c>
      <x:c r="AB28" s="9" t="str">
        <x:v>yes</x:v>
      </x:c>
      <x:c r="AC28" s="9" t="str"/>
      <x:c r="AD28" s="9" t="str"/>
      <x:c r="AE28" s="9" t="str"/>
      <x:c r="AF28" s="9" t="str"/>
      <x:c r="AG28" s="9" t="str"/>
      <x:c r="AH28" s="9" t="str"/>
    </x:row>
    <x:row r="29">
      <x:c r="A29" t="str">
        <x:v>U0147</x:v>
      </x:c>
      <x:c r="B29" t="str">
        <x:v>cmmf22axa000h04jxcpnnecs0</x:v>
      </x:c>
      <x:c r="C29" t="str">
        <x:v>synthetic</x:v>
      </x:c>
      <x:c r="D29" s="9" t="str">
        <x:v>HMRC v Dolphin Drilling Ltd</x:v>
      </x:c>
      <x:c r="E29" s="9" t="str">
        <x:v>case:2002 ewca civ 605</x:v>
      </x:c>
      <x:c r="F29" s="9" t="str">
        <x:v>English v Emery Reimbold &amp; Strick Ltd [2002] EWCA Civ 605</x:v>
      </x:c>
      <x:c r="G29" s="9" t="str">
        <x:v>English v Emery Reimbold &amp; Strick Ltd [2002] EWCA Civ 605</x:v>
      </x:c>
      <x:c r="H29" s="9" t="str"/>
      <x:c r="I29" s="12" t="n">
        <x:v>1</x:v>
      </x:c>
      <x:c r="J29" s="9" t="str">
        <x:v>cmmf20sg7000b04jxh5i54iyz</x:v>
      </x:c>
      <x:c r="K29" s="9" t="str">
        <x:v>present_exact_or_high</x:v>
      </x:c>
      <x:c r="L29" s="9" t="str">
        <x:v>exact_citation</x:v>
      </x:c>
      <x:c r="M29" s="9" t="str">
        <x:v>high</x:v>
      </x:c>
      <x:c r="N29" s="9" t="str">
        <x:v>f11564b3-860c-4adc-bd7a-d530ce37ea95</x:v>
      </x:c>
      <x:c r="O29" s="9" t="str">
        <x:v>English v Emery Reimbold &amp; Strick Ltd</x:v>
      </x:c>
      <x:c r="P29" s="9" t="str">
        <x:v>2002</x:v>
      </x:c>
      <x:c r="Q29" s="9" t="str">
        <x:v>England and Wales Court of Appeal (Civil Division)</x:v>
      </x:c>
      <x:c r="R29" s="9" t="str">
        <x:v>PT_EWCA-Civ_2002_605.xml</x:v>
      </x:c>
      <x:c r="S29" s="13" t="n">
        <x:v>95</x:v>
      </x:c>
      <x:c r="T29" s="14" t="n">
        <x:v>1</x:v>
      </x:c>
      <x:c r="U29" s="13" t="n">
        <x:v>1</x:v>
      </x:c>
      <x:c r="V29" s="9" t="str"/>
      <x:c r="W29" s="14" t="str"/>
      <x:c r="X29" s="9" t="str">
        <x:v>no</x:v>
      </x:c>
      <x:c r="Y29" s="9" t="str"/>
      <x:c r="Z29" s="9" t="str">
        <x:v>Authority exists as a top-level corpus case but was not returned by the linked retrieval event.</x:v>
      </x:c>
      <x:c r="AA29" s="9" t="str">
        <x:v>not_required_corpus_present</x:v>
      </x:c>
      <x:c r="AB29" s="9" t="str">
        <x:v>yes</x:v>
      </x:c>
      <x:c r="AC29" s="9" t="str"/>
      <x:c r="AD29" s="9" t="str"/>
      <x:c r="AE29" s="9" t="str"/>
      <x:c r="AF29" s="9" t="str"/>
      <x:c r="AG29" s="9" t="str"/>
      <x:c r="AH29" s="9" t="str"/>
    </x:row>
    <x:row r="30">
      <x:c r="A30" t="str">
        <x:v>U0152</x:v>
      </x:c>
      <x:c r="B30" t="str">
        <x:v>cmmjsmua2000q04jstd4i8p7c</x:v>
      </x:c>
      <x:c r="C30" t="str">
        <x:v>real</x:v>
      </x:c>
      <x:c r="D30" s="9" t="str">
        <x:v>R (Fajr Ellis) v Secretary of State for Justice</x:v>
      </x:c>
      <x:c r="E30" s="9" t="str">
        <x:v>case:2002 ewca civ 605</x:v>
      </x:c>
      <x:c r="F30" s="9" t="str">
        <x:v>English v Emery Reimbold &amp; Strick Ltd [2002] EWCA Civ 605</x:v>
      </x:c>
      <x:c r="G30" s="9" t="str">
        <x:v>English v Emery Reimbold &amp; Strick Ltd [2002] EWCA Civ 605</x:v>
      </x:c>
      <x:c r="H30" s="9" t="str"/>
      <x:c r="I30" s="12" t="n">
        <x:v>1</x:v>
      </x:c>
      <x:c r="J30" s="9" t="str">
        <x:v>cmmjsjnvz000k04js5ptftolc</x:v>
      </x:c>
      <x:c r="K30" s="9" t="str">
        <x:v>present_exact_or_high</x:v>
      </x:c>
      <x:c r="L30" s="9" t="str">
        <x:v>exact_citation</x:v>
      </x:c>
      <x:c r="M30" s="9" t="str">
        <x:v>high</x:v>
      </x:c>
      <x:c r="N30" s="9" t="str">
        <x:v>f11564b3-860c-4adc-bd7a-d530ce37ea95</x:v>
      </x:c>
      <x:c r="O30" s="9" t="str">
        <x:v>English v Emery Reimbold &amp; Strick Ltd</x:v>
      </x:c>
      <x:c r="P30" s="9" t="str">
        <x:v>2002</x:v>
      </x:c>
      <x:c r="Q30" s="9" t="str">
        <x:v>England and Wales Court of Appeal (Civil Division)</x:v>
      </x:c>
      <x:c r="R30" s="9" t="str">
        <x:v>PT_EWCA-Civ_2002_605.xml</x:v>
      </x:c>
      <x:c r="S30" s="13" t="n">
        <x:v>95</x:v>
      </x:c>
      <x:c r="T30" s="14" t="n">
        <x:v>1</x:v>
      </x:c>
      <x:c r="U30" s="13" t="n">
        <x:v>1</x:v>
      </x:c>
      <x:c r="V30" s="9" t="str"/>
      <x:c r="W30" s="14" t="str"/>
      <x:c r="X30" s="9" t="str">
        <x:v>no</x:v>
      </x:c>
      <x:c r="Y30" s="9" t="str"/>
      <x:c r="Z30" s="9" t="str">
        <x:v>Authority exists as a top-level corpus case but was not returned by the linked retrieval event.</x:v>
      </x:c>
      <x:c r="AA30" s="9" t="str">
        <x:v>not_required_corpus_present</x:v>
      </x:c>
      <x:c r="AB30" s="9" t="str">
        <x:v>yes</x:v>
      </x:c>
      <x:c r="AC30" s="9" t="str"/>
      <x:c r="AD30" s="9" t="str"/>
      <x:c r="AE30" s="9" t="str"/>
      <x:c r="AF30" s="9" t="str"/>
      <x:c r="AG30" s="9" t="str"/>
      <x:c r="AH30" s="9" t="str"/>
    </x:row>
    <x:row r="31">
      <x:c r="A31" t="str">
        <x:v>U0154</x:v>
      </x:c>
      <x:c r="B31" t="str">
        <x:v>cmmjsmua2000q04jstd4i8p7c</x:v>
      </x:c>
      <x:c r="C31" t="str">
        <x:v>real</x:v>
      </x:c>
      <x:c r="D31" s="9" t="str">
        <x:v>R (Fajr Ellis) v Secretary of State for Justice</x:v>
      </x:c>
      <x:c r="E31" s="9" t="str">
        <x:v>case:kalda v estonia</x:v>
      </x:c>
      <x:c r="F31" s="9" t="str">
        <x:v>Kalda v. Estonia</x:v>
      </x:c>
      <x:c r="G31" s="9" t="str">
        <x:v>Kalda v. Estonia</x:v>
      </x:c>
      <x:c r="H31" s="9" t="str"/>
      <x:c r="I31" s="12" t="n">
        <x:v>1</x:v>
      </x:c>
      <x:c r="J31" s="9" t="str">
        <x:v>cmmjsjnvz000k04js5ptftolc</x:v>
      </x:c>
      <x:c r="K31" s="9" t="str">
        <x:v>present_exact_or_high</x:v>
      </x:c>
      <x:c r="L31" s="9" t="str">
        <x:v>title_containment</x:v>
      </x:c>
      <x:c r="M31" s="9" t="str">
        <x:v>high</x:v>
      </x:c>
      <x:c r="N31" s="9" t="str">
        <x:v>facdee26-7310-4355-9ef5-1fd21f107f72</x:v>
      </x:c>
      <x:c r="O31" s="9" t="str">
        <x:v>Kalda v. Estonia - Access to Information Rights for Prisoners</x:v>
      </x:c>
      <x:c r="P31" s="9" t="str">
        <x:v>2016</x:v>
      </x:c>
      <x:c r="Q31" s="9" t="str">
        <x:v>European Court of Human Rights (Second Section)</x:v>
      </x:c>
      <x:c r="R31" s="9" t="str">
        <x:v>Kalda_v_Estonia_17429_10(1).xml</x:v>
      </x:c>
      <x:c r="S31" s="13" t="n">
        <x:v>85</x:v>
      </x:c>
      <x:c r="T31" s="14" t="n">
        <x:v>0.2857142857142857</x:v>
      </x:c>
      <x:c r="U31" s="13" t="n">
        <x:v>1</x:v>
      </x:c>
      <x:c r="V31" s="9" t="str"/>
      <x:c r="W31" s="14" t="str"/>
      <x:c r="X31" s="9" t="str">
        <x:v>no</x:v>
      </x:c>
      <x:c r="Y31" s="9" t="str"/>
      <x:c r="Z31" s="9" t="str">
        <x:v>Authority exists as a top-level corpus case but was not returned by the linked retrieval event.</x:v>
      </x:c>
      <x:c r="AA31" s="9" t="str">
        <x:v>not_required_corpus_present</x:v>
      </x:c>
      <x:c r="AB31" s="9" t="str">
        <x:v>yes</x:v>
      </x:c>
      <x:c r="AC31" s="9" t="str"/>
      <x:c r="AD31" s="9" t="str"/>
      <x:c r="AE31" s="9" t="str"/>
      <x:c r="AF31" s="9" t="str"/>
      <x:c r="AG31" s="9" t="str"/>
      <x:c r="AH31" s="9" t="str"/>
    </x:row>
    <x:row r="32">
      <x:c r="A32" t="str">
        <x:v>U0156</x:v>
      </x:c>
      <x:c r="B32" t="str">
        <x:v>cmmjsmua2000q04jstd4i8p7c</x:v>
      </x:c>
      <x:c r="C32" t="str">
        <x:v>real</x:v>
      </x:c>
      <x:c r="D32" s="9" t="str">
        <x:v>R (Fajr Ellis) v Secretary of State for Justice</x:v>
      </x:c>
      <x:c r="E32" s="9" t="str">
        <x:v>case:mehmet arslan and orhan bingol v turkey</x:v>
      </x:c>
      <x:c r="F32" s="9" t="str">
        <x:v>Mehmet Arslan and Orhan Bingol v Turkey</x:v>
      </x:c>
      <x:c r="G32" s="9" t="str">
        <x:v>Mehmet Arslan and Orhan Bingol v Turkey</x:v>
      </x:c>
      <x:c r="H32" s="9" t="str"/>
      <x:c r="I32" s="12" t="n">
        <x:v>1</x:v>
      </x:c>
      <x:c r="J32" s="9" t="str">
        <x:v>cmmjsjnvz000k04js5ptftolc</x:v>
      </x:c>
      <x:c r="K32" s="9" t="str">
        <x:v>not_found_in_registry</x:v>
      </x:c>
      <x:c r="L32" s="9" t="str">
        <x:v>none</x:v>
      </x:c>
      <x:c r="M32" s="9" t="str">
        <x:v>none</x:v>
      </x:c>
      <x:c r="N32" s="9" t="str"/>
      <x:c r="O32" s="9" t="str"/>
      <x:c r="P32" s="9" t="str"/>
      <x:c r="Q32" s="9" t="str"/>
      <x:c r="R32" s="9" t="str"/>
      <x:c r="S32" s="13" t="n">
        <x:v>0</x:v>
      </x:c>
      <x:c r="T32" s="14" t="n">
        <x:v>0.1</x:v>
      </x:c>
      <x:c r="U32" s="13" t="n">
        <x:v>2</x:v>
      </x:c>
      <x:c r="V32" s="9" t="str">
        <x:v>KG (Turkey) v Secretary of State for the Home Department [2022] EWCA Civ 1578</x:v>
      </x:c>
      <x:c r="W32" s="14" t="n">
        <x:v>0.1</x:v>
      </x:c>
      <x:c r="X32" s="9" t="str">
        <x:v>no</x:v>
      </x:c>
      <x:c r="Y32" s="9" t="str"/>
      <x:c r="Z32" s="9" t="str">
        <x:v>No accepted registry match. This does not by itself prove the authority is legally fictitious.</x:v>
      </x:c>
      <x:c r="AA32" s="9" t="str">
        <x:v>verified_real_incomplete_citation</x:v>
      </x:c>
      <x:c r="AB32" s="9" t="str">
        <x:v>no</x:v>
      </x:c>
      <x:c r="AC32" s="9" t="str">
        <x:v>Mehmet Reşit Arslan and Orhan Bingöl v Turkey</x:v>
      </x:c>
      <x:c r="AD32" s="9" t="str">
        <x:v>ECtHR, applications nos. 47121/06, 13988/07 and 34750/07, judgment 18 June 2019</x:v>
      </x:c>
      <x:c r="AE32" s="9" t="str">
        <x:v>https://hudoc.echr.coe.int/eng?i=001-194194</x:v>
      </x:c>
      <x:c r="AF32" s="9" t="str">
        <x:v>The ECtHR case is genuine. The extracted form omitted diacritics, the first applicant's middle name, application numbers and judgment date.</x:v>
      </x:c>
      <x:c r="AG32" s="9" t="str">
        <x:v>primary_case_registry</x:v>
      </x:c>
      <x:c r="AH32" s="9" t="str">
        <x:v>primary</x:v>
      </x:c>
    </x:row>
    <x:row r="33">
      <x:c r="A33" t="str">
        <x:v>U0161</x:v>
      </x:c>
      <x:c r="B33" t="str">
        <x:v>cmmjtnsdx000904l4vhap8xwc</x:v>
      </x:c>
      <x:c r="C33" t="str">
        <x:v>real</x:v>
      </x:c>
      <x:c r="D33" s="9" t="str">
        <x:v>R (Fajr Ellis) v Secretary of State for Justice</x:v>
      </x:c>
      <x:c r="E33" s="9" t="str">
        <x:v>case:2000 1 wlr 377</x:v>
      </x:c>
      <x:c r="F33" s="9" t="str">
        <x:v>Flannery v Halifax Estate Agencies Ltd [2000] 1 WLR 377</x:v>
      </x:c>
      <x:c r="G33" s="9" t="str">
        <x:v>Flannery v Halifax Estate Agencies Ltd [2000] 1 WLR 377</x:v>
      </x:c>
      <x:c r="H33" s="9" t="str"/>
      <x:c r="I33" s="12" t="n">
        <x:v>1</x:v>
      </x:c>
      <x:c r="J33" s="9" t="str">
        <x:v>cmmjtjuc3000304l46doynpvf</x:v>
      </x:c>
      <x:c r="K33" s="9" t="str">
        <x:v>not_found_in_registry</x:v>
      </x:c>
      <x:c r="L33" s="9" t="str">
        <x:v>none</x:v>
      </x:c>
      <x:c r="M33" s="9" t="str">
        <x:v>none</x:v>
      </x:c>
      <x:c r="N33" s="9" t="str"/>
      <x:c r="O33" s="9" t="str"/>
      <x:c r="P33" s="9" t="str"/>
      <x:c r="Q33" s="9" t="str"/>
      <x:c r="R33" s="9" t="str"/>
      <x:c r="S33" s="13" t="n">
        <x:v>0</x:v>
      </x:c>
      <x:c r="T33" s="14" t="n">
        <x:v>0.16666666666666666</x:v>
      </x:c>
      <x:c r="U33" s="13" t="n">
        <x:v>1</x:v>
      </x:c>
      <x:c r="V33" s="9" t="str">
        <x:v>The Gulf Agencies Limited v Ahmed [2016] EWCA Civ 44</x:v>
      </x:c>
      <x:c r="W33" s="14" t="n">
        <x:v>0.16666666666666666</x:v>
      </x:c>
      <x:c r="X33" s="9" t="str">
        <x:v>no</x:v>
      </x:c>
      <x:c r="Y33" s="9" t="str"/>
      <x:c r="Z33" s="9" t="str">
        <x:v>No accepted registry match. This does not by itself prove the authority is legally fictitious.</x:v>
      </x:c>
      <x:c r="AA33" s="9" t="str">
        <x:v>verified_real_exact</x:v>
      </x:c>
      <x:c r="AB33" s="9" t="str">
        <x:v>no</x:v>
      </x:c>
      <x:c r="AC33" s="9" t="str">
        <x:v>Flannery v Halifax Estate Agencies Ltd</x:v>
      </x:c>
      <x:c r="AD33" s="9" t="str">
        <x:v>[2000] 1 WLR 377; [1999] EWCA Civ 811</x:v>
      </x:c>
      <x:c r="AE33" s="9" t="str">
        <x:v>https://www.bailii.org/ew/cases/EWCA/Civ/1999/811.html</x:v>
      </x:c>
      <x:c r="AF33" s="9" t="str">
        <x:v>The case is genuine. The 2000 WLR citation is the report citation for the Court of Appeal judgment delivered in 1999.</x:v>
      </x:c>
      <x:c r="AG33" s="9" t="str">
        <x:v>primary_judgment</x:v>
      </x:c>
      <x:c r="AH33" s="9" t="str">
        <x:v>primary</x:v>
      </x:c>
    </x:row>
    <x:row r="34">
      <x:c r="A34" t="str">
        <x:v>U0162</x:v>
      </x:c>
      <x:c r="B34" t="str">
        <x:v>cmmjtnsdx000904l4vhap8xwc</x:v>
      </x:c>
      <x:c r="C34" t="str">
        <x:v>real</x:v>
      </x:c>
      <x:c r="D34" s="9" t="str">
        <x:v>R (Fajr Ellis) v Secretary of State for Justice</x:v>
      </x:c>
      <x:c r="E34" s="9" t="str">
        <x:v>case:2002 ewca civ 605</x:v>
      </x:c>
      <x:c r="F34" s="9" t="str">
        <x:v>English v Emery Reimbold &amp; Strick Ltd [2002] EWCA Civ 605</x:v>
      </x:c>
      <x:c r="G34" s="9" t="str">
        <x:v>English v Emery Reimbold &amp; Strick Ltd [2002] EWCA Civ 605</x:v>
      </x:c>
      <x:c r="H34" s="9" t="str"/>
      <x:c r="I34" s="12" t="n">
        <x:v>1</x:v>
      </x:c>
      <x:c r="J34" s="9" t="str">
        <x:v>cmmjtjuc3000304l46doynpvf</x:v>
      </x:c>
      <x:c r="K34" s="9" t="str">
        <x:v>present_exact_or_high</x:v>
      </x:c>
      <x:c r="L34" s="9" t="str">
        <x:v>exact_citation</x:v>
      </x:c>
      <x:c r="M34" s="9" t="str">
        <x:v>high</x:v>
      </x:c>
      <x:c r="N34" s="9" t="str">
        <x:v>f11564b3-860c-4adc-bd7a-d530ce37ea95</x:v>
      </x:c>
      <x:c r="O34" s="9" t="str">
        <x:v>English v Emery Reimbold &amp; Strick Ltd</x:v>
      </x:c>
      <x:c r="P34" s="9" t="str">
        <x:v>2002</x:v>
      </x:c>
      <x:c r="Q34" s="9" t="str">
        <x:v>England and Wales Court of Appeal (Civil Division)</x:v>
      </x:c>
      <x:c r="R34" s="9" t="str">
        <x:v>PT_EWCA-Civ_2002_605.xml</x:v>
      </x:c>
      <x:c r="S34" s="13" t="n">
        <x:v>95</x:v>
      </x:c>
      <x:c r="T34" s="14" t="n">
        <x:v>1</x:v>
      </x:c>
      <x:c r="U34" s="13" t="n">
        <x:v>1</x:v>
      </x:c>
      <x:c r="V34" s="9" t="str"/>
      <x:c r="W34" s="14" t="str"/>
      <x:c r="X34" s="9" t="str">
        <x:v>no</x:v>
      </x:c>
      <x:c r="Y34" s="9" t="str"/>
      <x:c r="Z34" s="9" t="str">
        <x:v>Authority exists as a top-level corpus case but was not returned by the linked retrieval event.</x:v>
      </x:c>
      <x:c r="AA34" s="9" t="str">
        <x:v>not_required_corpus_present</x:v>
      </x:c>
      <x:c r="AB34" s="9" t="str">
        <x:v>yes</x:v>
      </x:c>
      <x:c r="AC34" s="9" t="str"/>
      <x:c r="AD34" s="9" t="str"/>
      <x:c r="AE34" s="9" t="str"/>
      <x:c r="AF34" s="9" t="str"/>
      <x:c r="AG34" s="9" t="str"/>
      <x:c r="AH34" s="9" t="str"/>
    </x:row>
    <x:row r="35">
      <x:c r="A35" t="str">
        <x:v>U0171</x:v>
      </x:c>
      <x:c r="B35" t="str">
        <x:v>cmmls2r93000304jme0bpsul9</x:v>
      </x:c>
      <x:c r="C35" t="str">
        <x:v>synthetic</x:v>
      </x:c>
      <x:c r="D35" s="9" t="str">
        <x:v>Metropolitan Property Holdings Ltd v Artisan Coffee Co Ltd</x:v>
      </x:c>
      <x:c r="E35" s="9" t="str">
        <x:v>case:2002 ewca civ 605</x:v>
      </x:c>
      <x:c r="F35" s="9" t="str">
        <x:v>[2002] EWCA Civ 605</x:v>
      </x:c>
      <x:c r="G35" s="9" t="str">
        <x:v>[2002] EWCA Civ 605</x:v>
      </x:c>
      <x:c r="H35" s="9" t="str"/>
      <x:c r="I35" s="12" t="n">
        <x:v>1</x:v>
      </x:c>
      <x:c r="J35" s="9" t="str">
        <x:v>cmmlryf16000304l5d3mrnfu5</x:v>
      </x:c>
      <x:c r="K35" s="9" t="str">
        <x:v>present_exact_or_high</x:v>
      </x:c>
      <x:c r="L35" s="9" t="str">
        <x:v>exact_citation</x:v>
      </x:c>
      <x:c r="M35" s="9" t="str">
        <x:v>high</x:v>
      </x:c>
      <x:c r="N35" s="9" t="str">
        <x:v>f11564b3-860c-4adc-bd7a-d530ce37ea95</x:v>
      </x:c>
      <x:c r="O35" s="9" t="str">
        <x:v>English v Emery Reimbold &amp; Strick Ltd</x:v>
      </x:c>
      <x:c r="P35" s="9" t="str">
        <x:v>2002</x:v>
      </x:c>
      <x:c r="Q35" s="9" t="str">
        <x:v>England and Wales Court of Appeal (Civil Division)</x:v>
      </x:c>
      <x:c r="R35" s="9" t="str">
        <x:v>PT_EWCA-Civ_2002_605.xml</x:v>
      </x:c>
      <x:c r="S35" s="13" t="n">
        <x:v>95</x:v>
      </x:c>
      <x:c r="T35" s="14" t="n">
        <x:v>1</x:v>
      </x:c>
      <x:c r="U35" s="13" t="n">
        <x:v>1</x:v>
      </x:c>
      <x:c r="V35" s="9" t="str"/>
      <x:c r="W35" s="14" t="str"/>
      <x:c r="X35" s="9" t="str">
        <x:v>no</x:v>
      </x:c>
      <x:c r="Y35" s="9" t="str"/>
      <x:c r="Z35" s="9" t="str">
        <x:v>Authority exists as a top-level corpus case but was not returned by the linked retrieval event.</x:v>
      </x:c>
      <x:c r="AA35" s="9" t="str">
        <x:v>not_required_corpus_present</x:v>
      </x:c>
      <x:c r="AB35" s="9" t="str">
        <x:v>yes</x:v>
      </x:c>
      <x:c r="AC35" s="9" t="str"/>
      <x:c r="AD35" s="9" t="str"/>
      <x:c r="AE35" s="9" t="str"/>
      <x:c r="AF35" s="9" t="str"/>
      <x:c r="AG35" s="9" t="str"/>
      <x:c r="AH35" s="9" t="str"/>
    </x:row>
    <x:row r="36">
      <x:c r="A36" t="str">
        <x:v>U0181</x:v>
      </x:c>
      <x:c r="B36" t="str">
        <x:v>cmmmudwct000304kzc6d15a3r</x:v>
      </x:c>
      <x:c r="C36" t="str">
        <x:v>synthetic</x:v>
      </x:c>
      <x:c r="D36" s="9" t="str">
        <x:v>Sunrise Hospitality Group Ltd v Grant Morrison &amp; Co LLP</x:v>
      </x:c>
      <x:c r="E36" s="9" t="str">
        <x:v>case:1990 2 ac 605</x:v>
      </x:c>
      <x:c r="F36" s="9" t="str">
        <x:v>Caparo Industries Plc v Dickman [1990] 2 AC 605</x:v>
      </x:c>
      <x:c r="G36" s="9" t="str">
        <x:v>Caparo Industries Plc v Dickman [1990] 2 AC 605</x:v>
      </x:c>
      <x:c r="H36" s="9" t="str"/>
      <x:c r="I36" s="12" t="n">
        <x:v>1</x:v>
      </x:c>
      <x:c r="J36" s="9" t="str">
        <x:v>cmmmucao8000b04l4jyq8av83</x:v>
      </x:c>
      <x:c r="K36" s="9" t="str">
        <x:v>not_found_in_registry</x:v>
      </x:c>
      <x:c r="L36" s="9" t="str">
        <x:v>none</x:v>
      </x:c>
      <x:c r="M36" s="9" t="str">
        <x:v>none</x:v>
      </x:c>
      <x:c r="N36" s="9" t="str"/>
      <x:c r="O36" s="9" t="str"/>
      <x:c r="P36" s="9" t="str"/>
      <x:c r="Q36" s="9" t="str"/>
      <x:c r="R36" s="9" t="str"/>
      <x:c r="S36" s="13" t="n">
        <x:v>0</x:v>
      </x:c>
      <x:c r="T36" s="14" t="n">
        <x:v>0.14285714285714285</x:v>
      </x:c>
      <x:c r="U36" s="13" t="n">
        <x:v>1</x:v>
      </x:c>
      <x:c r="V36" s="9" t="str">
        <x:v>Synthon BV v Teva Pharmaceutical Industries Ltd [2017] EWCA Civ 148</x:v>
      </x:c>
      <x:c r="W36" s="14" t="n">
        <x:v>0.14285714285714285</x:v>
      </x:c>
      <x:c r="X36" s="9" t="str">
        <x:v>yes</x:v>
      </x:c>
      <x:c r="Y36" s="9" t="str">
        <x:v>Caparo Industries plc v Dickman</x:v>
      </x:c>
      <x:c r="Z36" s="9" t="str">
        <x:v>No accepted registry match. This does not by itself prove the authority is legally fictitious.</x:v>
      </x:c>
      <x:c r="AA36" s="9" t="str">
        <x:v>verified_real_exact</x:v>
      </x:c>
      <x:c r="AB36" s="9" t="str">
        <x:v>no</x:v>
      </x:c>
      <x:c r="AC36" s="9" t="str">
        <x:v>Caparo Industries plc v Dickman</x:v>
      </x:c>
      <x:c r="AD36" s="9" t="str">
        <x:v>[1990] 2 AC 605; [1990] UKHL 2</x:v>
      </x:c>
      <x:c r="AE36" s="9" t="str">
        <x:v>https://www.bailii.org/uk/cases/UKHL/1990/2.html</x:v>
      </x:c>
      <x:c r="AF36" s="9" t="str">
        <x:v>The case and supplied report citation are genuine and correctly identify the House of Lords authority.</x:v>
      </x:c>
      <x:c r="AG36" s="9" t="str">
        <x:v>primary_judgment</x:v>
      </x:c>
      <x:c r="AH36" s="9" t="str">
        <x:v>primary</x:v>
      </x:c>
    </x:row>
    <x:row r="37">
      <x:c r="A37" t="str">
        <x:v>U0182</x:v>
      </x:c>
      <x:c r="B37" t="str">
        <x:v>cmmmudwct000304kzc6d15a3r</x:v>
      </x:c>
      <x:c r="C37" t="str">
        <x:v>synthetic</x:v>
      </x:c>
      <x:c r="D37" s="9" t="str">
        <x:v>Sunrise Hospitality Group Ltd v Grant Morrison &amp; Co LLP</x:v>
      </x:c>
      <x:c r="E37" s="9" t="str">
        <x:v>case:2009 ukhl 39</x:v>
      </x:c>
      <x:c r="F37" s="9" t="str">
        <x:v>Moore Stephens (a firm) v Stone Rolls Ltd [2009] UKHL 39</x:v>
      </x:c>
      <x:c r="G37" s="9" t="str">
        <x:v>Moore Stephens (a firm) v Stone Rolls Ltd [2009] UKHL 39</x:v>
      </x:c>
      <x:c r="H37" s="9" t="str"/>
      <x:c r="I37" s="12" t="n">
        <x:v>1</x:v>
      </x:c>
      <x:c r="J37" s="9" t="str">
        <x:v>cmmmucao8000b04l4jyq8av83</x:v>
      </x:c>
      <x:c r="K37" s="9" t="str">
        <x:v>not_found_in_registry</x:v>
      </x:c>
      <x:c r="L37" s="9" t="str">
        <x:v>none</x:v>
      </x:c>
      <x:c r="M37" s="9" t="str">
        <x:v>none</x:v>
      </x:c>
      <x:c r="N37" s="9" t="str"/>
      <x:c r="O37" s="9" t="str"/>
      <x:c r="P37" s="9" t="str"/>
      <x:c r="Q37" s="9" t="str"/>
      <x:c r="R37" s="9" t="str"/>
      <x:c r="S37" s="13" t="n">
        <x:v>0</x:v>
      </x:c>
      <x:c r="T37" s="14" t="n">
        <x:v>0.14285714285714285</x:v>
      </x:c>
      <x:c r="U37" s="13" t="n">
        <x:v>4</x:v>
      </x:c>
      <x:c r="V37" s="9" t="str">
        <x:v>Darby &amp; Darby (A Firm) v Joyce</x:v>
      </x:c>
      <x:c r="W37" s="14" t="n">
        <x:v>0.14285714285714285</x:v>
      </x:c>
      <x:c r="X37" s="9" t="str">
        <x:v>no</x:v>
      </x:c>
      <x:c r="Y37" s="9" t="str"/>
      <x:c r="Z37" s="9" t="str">
        <x:v>No accepted registry match. This does not by itself prove the authority is legally fictitious.</x:v>
      </x:c>
      <x:c r="AA37" s="9" t="str">
        <x:v>verified_real_exact</x:v>
      </x:c>
      <x:c r="AB37" s="9" t="str">
        <x:v>no</x:v>
      </x:c>
      <x:c r="AC37" s="9" t="str">
        <x:v>Moore Stephens v Stone Rolls Ltd</x:v>
      </x:c>
      <x:c r="AD37" s="9" t="str">
        <x:v>[2009] UKHL 39</x:v>
      </x:c>
      <x:c r="AE37" s="9" t="str">
        <x:v>https://publications.parliament.uk/pa/ld200809/ldjudgmt/jd090730/moore-1.htm</x:v>
      </x:c>
      <x:c r="AF37" s="9" t="str">
        <x:v>The title and neutral citation are confirmed by the official House of Lords judgment.</x:v>
      </x:c>
      <x:c r="AG37" s="9" t="str">
        <x:v>primary_judgment</x:v>
      </x:c>
      <x:c r="AH37" s="9" t="str">
        <x:v>primary</x:v>
      </x:c>
    </x:row>
    <x:row r="38">
      <x:c r="A38" t="str">
        <x:v>U0184</x:v>
      </x:c>
      <x:c r="B38" t="str">
        <x:v>cmmmudwct000304kzc6d15a3r</x:v>
      </x:c>
      <x:c r="C38" t="str">
        <x:v>synthetic</x:v>
      </x:c>
      <x:c r="D38" s="9" t="str">
        <x:v>Sunrise Hospitality Group Ltd v Grant Morrison &amp; Co LLP</x:v>
      </x:c>
      <x:c r="E38" s="9" t="str">
        <x:v>case:caparo industries plc v dickman</x:v>
      </x:c>
      <x:c r="F38" s="9" t="str">
        <x:v>Caparo Industries Plc v Dickman</x:v>
      </x:c>
      <x:c r="G38" s="9" t="str">
        <x:v>Caparo Industries Plc v Dickman</x:v>
      </x:c>
      <x:c r="H38" s="9" t="str"/>
      <x:c r="I38" s="12" t="n">
        <x:v>1</x:v>
      </x:c>
      <x:c r="J38" s="9" t="str">
        <x:v>cmmmucao8000b04l4jyq8av83</x:v>
      </x:c>
      <x:c r="K38" s="9" t="str">
        <x:v>not_found_in_registry</x:v>
      </x:c>
      <x:c r="L38" s="9" t="str">
        <x:v>none</x:v>
      </x:c>
      <x:c r="M38" s="9" t="str">
        <x:v>none</x:v>
      </x:c>
      <x:c r="N38" s="9" t="str"/>
      <x:c r="O38" s="9" t="str"/>
      <x:c r="P38" s="9" t="str"/>
      <x:c r="Q38" s="9" t="str"/>
      <x:c r="R38" s="9" t="str"/>
      <x:c r="S38" s="13" t="n">
        <x:v>0</x:v>
      </x:c>
      <x:c r="T38" s="14" t="n">
        <x:v>0.14285714285714285</x:v>
      </x:c>
      <x:c r="U38" s="13" t="n">
        <x:v>1</x:v>
      </x:c>
      <x:c r="V38" s="9" t="str">
        <x:v>Synthon BV v Teva Pharmaceutical Industries Ltd [2017] EWCA Civ 148</x:v>
      </x:c>
      <x:c r="W38" s="14" t="n">
        <x:v>0.14285714285714285</x:v>
      </x:c>
      <x:c r="X38" s="9" t="str">
        <x:v>yes</x:v>
      </x:c>
      <x:c r="Y38" s="9" t="str">
        <x:v>Caparo Industries plc v Dickman</x:v>
      </x:c>
      <x:c r="Z38" s="9" t="str">
        <x:v>No accepted registry match. This does not by itself prove the authority is legally fictitious.</x:v>
      </x:c>
      <x:c r="AA38" s="9" t="str">
        <x:v>verified_real_incomplete_citation</x:v>
      </x:c>
      <x:c r="AB38" s="9" t="str">
        <x:v>no</x:v>
      </x:c>
      <x:c r="AC38" s="9" t="str">
        <x:v>Caparo Industries plc v Dickman</x:v>
      </x:c>
      <x:c r="AD38" s="9" t="str">
        <x:v>[1990] 2 AC 605; [1990] UKHL 2</x:v>
      </x:c>
      <x:c r="AE38" s="9" t="str">
        <x:v>https://www.bailii.org/uk/cases/UKHL/1990/2.html</x:v>
      </x:c>
      <x:c r="AF38" s="9" t="str">
        <x:v>The case is genuine, but this extracted form supplied no citation.</x:v>
      </x:c>
      <x:c r="AG38" s="9" t="str">
        <x:v>primary_judgment</x:v>
      </x:c>
      <x:c r="AH38" s="9" t="str">
        <x:v>primary</x:v>
      </x:c>
    </x:row>
    <x:row r="39">
      <x:c r="A39" t="str">
        <x:v>U0189</x:v>
      </x:c>
      <x:c r="B39" t="str">
        <x:v>cmmrr64va000h04jvzuquhz2y</x:v>
      </x:c>
      <x:c r="C39" t="str">
        <x:v>real</x:v>
      </x:c>
      <x:c r="D39" s="9" t="str">
        <x:v>R (Fajr Ellis) v Secretary of State for Justice</x:v>
      </x:c>
      <x:c r="E39" s="9" t="str">
        <x:v>case:2002 ewca civ 605</x:v>
      </x:c>
      <x:c r="F39" s="9" t="str">
        <x:v>[2002] EWCA Civ 605</x:v>
      </x:c>
      <x:c r="G39" s="9" t="str">
        <x:v>[2002] EWCA Civ 605</x:v>
      </x:c>
      <x:c r="H39" s="9" t="str"/>
      <x:c r="I39" s="12" t="n">
        <x:v>1</x:v>
      </x:c>
      <x:c r="J39" s="9" t="str">
        <x:v>cmmrr3vbb000b04jvglqzb8az</x:v>
      </x:c>
      <x:c r="K39" s="9" t="str">
        <x:v>present_exact_or_high</x:v>
      </x:c>
      <x:c r="L39" s="9" t="str">
        <x:v>exact_citation</x:v>
      </x:c>
      <x:c r="M39" s="9" t="str">
        <x:v>high</x:v>
      </x:c>
      <x:c r="N39" s="9" t="str">
        <x:v>f11564b3-860c-4adc-bd7a-d530ce37ea95</x:v>
      </x:c>
      <x:c r="O39" s="9" t="str">
        <x:v>English v Emery Reimbold &amp; Strick Ltd</x:v>
      </x:c>
      <x:c r="P39" s="9" t="str">
        <x:v>2002</x:v>
      </x:c>
      <x:c r="Q39" s="9" t="str">
        <x:v>England and Wales Court of Appeal (Civil Division)</x:v>
      </x:c>
      <x:c r="R39" s="9" t="str">
        <x:v>PT_EWCA-Civ_2002_605.xml</x:v>
      </x:c>
      <x:c r="S39" s="13" t="n">
        <x:v>95</x:v>
      </x:c>
      <x:c r="T39" s="14" t="n">
        <x:v>1</x:v>
      </x:c>
      <x:c r="U39" s="13" t="n">
        <x:v>1</x:v>
      </x:c>
      <x:c r="V39" s="9" t="str"/>
      <x:c r="W39" s="14" t="str"/>
      <x:c r="X39" s="9" t="str">
        <x:v>no</x:v>
      </x:c>
      <x:c r="Y39" s="9" t="str"/>
      <x:c r="Z39" s="9" t="str">
        <x:v>Authority exists as a top-level corpus case but was not returned by the linked retrieval event.</x:v>
      </x:c>
      <x:c r="AA39" s="9" t="str">
        <x:v>not_required_corpus_present</x:v>
      </x:c>
      <x:c r="AB39" s="9" t="str">
        <x:v>yes</x:v>
      </x:c>
      <x:c r="AC39" s="9" t="str"/>
      <x:c r="AD39" s="9" t="str"/>
      <x:c r="AE39" s="9" t="str"/>
      <x:c r="AF39" s="9" t="str"/>
      <x:c r="AG39" s="9" t="str"/>
      <x:c r="AH39" s="9" t="str"/>
    </x:row>
    <x:row r="40">
      <x:c r="A40" t="str">
        <x:v>U0196</x:v>
      </x:c>
      <x:c r="B40" t="str">
        <x:v>cmmsi1xqb000h04jsef3v6skf</x:v>
      </x:c>
      <x:c r="C40" t="str">
        <x:v>real</x:v>
      </x:c>
      <x:c r="D40" s="9" t="str">
        <x:v>Karpasitis v Hertfordshire County Council</x:v>
      </x:c>
      <x:c r="E40" s="9" t="str">
        <x:v>case:2000 1 wlr 377</x:v>
      </x:c>
      <x:c r="F40" s="9" t="str">
        <x:v>Flannery v Halifax Estate Agencies Ltd [2000] 1 WLR 377</x:v>
      </x:c>
      <x:c r="G40" s="9" t="str">
        <x:v>Flannery v Halifax Estate Agencies Ltd [2000] 1 WLR 377</x:v>
      </x:c>
      <x:c r="H40" s="9" t="str"/>
      <x:c r="I40" s="12" t="n">
        <x:v>1</x:v>
      </x:c>
      <x:c r="J40" s="9" t="str">
        <x:v>cmmshur54000b04jsgyo6bz98</x:v>
      </x:c>
      <x:c r="K40" s="9" t="str">
        <x:v>not_found_in_registry</x:v>
      </x:c>
      <x:c r="L40" s="9" t="str">
        <x:v>none</x:v>
      </x:c>
      <x:c r="M40" s="9" t="str">
        <x:v>none</x:v>
      </x:c>
      <x:c r="N40" s="9" t="str"/>
      <x:c r="O40" s="9" t="str"/>
      <x:c r="P40" s="9" t="str"/>
      <x:c r="Q40" s="9" t="str"/>
      <x:c r="R40" s="9" t="str"/>
      <x:c r="S40" s="13" t="n">
        <x:v>0</x:v>
      </x:c>
      <x:c r="T40" s="14" t="n">
        <x:v>0.16666666666666666</x:v>
      </x:c>
      <x:c r="U40" s="13" t="n">
        <x:v>1</x:v>
      </x:c>
      <x:c r="V40" s="9" t="str">
        <x:v>The Gulf Agencies Limited v Ahmed [2016] EWCA Civ 44</x:v>
      </x:c>
      <x:c r="W40" s="14" t="n">
        <x:v>0.16666666666666666</x:v>
      </x:c>
      <x:c r="X40" s="9" t="str">
        <x:v>no</x:v>
      </x:c>
      <x:c r="Y40" s="9" t="str"/>
      <x:c r="Z40" s="9" t="str">
        <x:v>No accepted registry match. This does not by itself prove the authority is legally fictitious.</x:v>
      </x:c>
      <x:c r="AA40" s="9" t="str">
        <x:v>verified_real_exact</x:v>
      </x:c>
      <x:c r="AB40" s="9" t="str">
        <x:v>no</x:v>
      </x:c>
      <x:c r="AC40" s="9" t="str">
        <x:v>Flannery v Halifax Estate Agencies Ltd</x:v>
      </x:c>
      <x:c r="AD40" s="9" t="str">
        <x:v>[2000] 1 WLR 377; [1999] EWCA Civ 811</x:v>
      </x:c>
      <x:c r="AE40" s="9" t="str">
        <x:v>https://www.bailii.org/ew/cases/EWCA/Civ/1999/811.html</x:v>
      </x:c>
      <x:c r="AF40" s="9" t="str">
        <x:v>The case is genuine. The 2000 WLR citation is the report citation for the Court of Appeal judgment delivered in 1999.</x:v>
      </x:c>
      <x:c r="AG40" s="9" t="str">
        <x:v>primary_judgment</x:v>
      </x:c>
      <x:c r="AH40" s="9" t="str">
        <x:v>primary</x:v>
      </x:c>
    </x:row>
    <x:row r="41">
      <x:c r="A41" t="str">
        <x:v>U0197</x:v>
      </x:c>
      <x:c r="B41" t="str">
        <x:v>cmmsi1xqb000h04jsef3v6skf</x:v>
      </x:c>
      <x:c r="C41" t="str">
        <x:v>real</x:v>
      </x:c>
      <x:c r="D41" s="9" t="str">
        <x:v>Karpasitis v Hertfordshire County Council</x:v>
      </x:c>
      <x:c r="E41" s="9" t="str">
        <x:v>case:2002 ewca civ 605</x:v>
      </x:c>
      <x:c r="F41" s="9" t="str">
        <x:v>English v Emery Reimbold &amp; Strick Ltd [2002] EWCA Civ 605</x:v>
      </x:c>
      <x:c r="G41" s="9" t="str">
        <x:v>English v Emery Reimbold &amp; Strick Ltd [2002] EWCA Civ 605</x:v>
      </x:c>
      <x:c r="H41" s="9" t="str"/>
      <x:c r="I41" s="12" t="n">
        <x:v>1</x:v>
      </x:c>
      <x:c r="J41" s="9" t="str">
        <x:v>cmmshur54000b04jsgyo6bz98</x:v>
      </x:c>
      <x:c r="K41" s="9" t="str">
        <x:v>present_exact_or_high</x:v>
      </x:c>
      <x:c r="L41" s="9" t="str">
        <x:v>exact_citation</x:v>
      </x:c>
      <x:c r="M41" s="9" t="str">
        <x:v>high</x:v>
      </x:c>
      <x:c r="N41" s="9" t="str">
        <x:v>f11564b3-860c-4adc-bd7a-d530ce37ea95</x:v>
      </x:c>
      <x:c r="O41" s="9" t="str">
        <x:v>English v Emery Reimbold &amp; Strick Ltd</x:v>
      </x:c>
      <x:c r="P41" s="9" t="str">
        <x:v>2002</x:v>
      </x:c>
      <x:c r="Q41" s="9" t="str">
        <x:v>England and Wales Court of Appeal (Civil Division)</x:v>
      </x:c>
      <x:c r="R41" s="9" t="str">
        <x:v>PT_EWCA-Civ_2002_605.xml</x:v>
      </x:c>
      <x:c r="S41" s="13" t="n">
        <x:v>95</x:v>
      </x:c>
      <x:c r="T41" s="14" t="n">
        <x:v>1</x:v>
      </x:c>
      <x:c r="U41" s="13" t="n">
        <x:v>1</x:v>
      </x:c>
      <x:c r="V41" s="9" t="str"/>
      <x:c r="W41" s="14" t="str"/>
      <x:c r="X41" s="9" t="str">
        <x:v>no</x:v>
      </x:c>
      <x:c r="Y41" s="9" t="str"/>
      <x:c r="Z41" s="9" t="str">
        <x:v>Authority exists as a top-level corpus case but was not returned by the linked retrieval event.</x:v>
      </x:c>
      <x:c r="AA41" s="9" t="str">
        <x:v>not_required_corpus_present</x:v>
      </x:c>
      <x:c r="AB41" s="9" t="str">
        <x:v>yes</x:v>
      </x:c>
      <x:c r="AC41" s="9" t="str"/>
      <x:c r="AD41" s="9" t="str"/>
      <x:c r="AE41" s="9" t="str"/>
      <x:c r="AF41" s="9" t="str"/>
      <x:c r="AG41" s="9" t="str"/>
      <x:c r="AH41" s="9" t="str"/>
    </x:row>
    <x:row r="42">
      <x:c r="A42" t="str">
        <x:v>U0214</x:v>
      </x:c>
      <x:c r="B42" t="str">
        <x:v>cmmxgyd9z000h04kttryogau2</x:v>
      </x:c>
      <x:c r="C42" t="str">
        <x:v>real</x:v>
      </x:c>
      <x:c r="D42" s="9" t="str">
        <x:v>Karpasitis v Hertfordshire County Council</x:v>
      </x:c>
      <x:c r="E42" s="9" t="str">
        <x:v>case:2002 ewca civ 605</x:v>
      </x:c>
      <x:c r="F42" s="9" t="str">
        <x:v>[2002] EWCA Civ 605</x:v>
      </x:c>
      <x:c r="G42" s="9" t="str">
        <x:v>[2002] EWCA Civ 605</x:v>
      </x:c>
      <x:c r="H42" s="9" t="str"/>
      <x:c r="I42" s="12" t="n">
        <x:v>1</x:v>
      </x:c>
      <x:c r="J42" s="9" t="str">
        <x:v>cmmxgv6n0000b04kt94o7km5w</x:v>
      </x:c>
      <x:c r="K42" s="9" t="str">
        <x:v>present_exact_or_high</x:v>
      </x:c>
      <x:c r="L42" s="9" t="str">
        <x:v>exact_citation</x:v>
      </x:c>
      <x:c r="M42" s="9" t="str">
        <x:v>high</x:v>
      </x:c>
      <x:c r="N42" s="9" t="str">
        <x:v>f11564b3-860c-4adc-bd7a-d530ce37ea95</x:v>
      </x:c>
      <x:c r="O42" s="9" t="str">
        <x:v>English v Emery Reimbold &amp; Strick Ltd</x:v>
      </x:c>
      <x:c r="P42" s="9" t="str">
        <x:v>2002</x:v>
      </x:c>
      <x:c r="Q42" s="9" t="str">
        <x:v>England and Wales Court of Appeal (Civil Division)</x:v>
      </x:c>
      <x:c r="R42" s="9" t="str">
        <x:v>PT_EWCA-Civ_2002_605.xml</x:v>
      </x:c>
      <x:c r="S42" s="13" t="n">
        <x:v>95</x:v>
      </x:c>
      <x:c r="T42" s="14" t="n">
        <x:v>1</x:v>
      </x:c>
      <x:c r="U42" s="13" t="n">
        <x:v>1</x:v>
      </x:c>
      <x:c r="V42" s="9" t="str"/>
      <x:c r="W42" s="14" t="str"/>
      <x:c r="X42" s="9" t="str">
        <x:v>no</x:v>
      </x:c>
      <x:c r="Y42" s="9" t="str"/>
      <x:c r="Z42" s="9" t="str">
        <x:v>Authority exists as a top-level corpus case but was not returned by the linked retrieval event.</x:v>
      </x:c>
      <x:c r="AA42" s="9" t="str">
        <x:v>not_required_corpus_present</x:v>
      </x:c>
      <x:c r="AB42" s="9" t="str">
        <x:v>yes</x:v>
      </x:c>
      <x:c r="AC42" s="9" t="str"/>
      <x:c r="AD42" s="9" t="str"/>
      <x:c r="AE42" s="9" t="str"/>
      <x:c r="AF42" s="9" t="str"/>
      <x:c r="AG42" s="9" t="str"/>
      <x:c r="AH42" s="9" t="str"/>
    </x:row>
    <x:row r="43">
      <x:c r="A43" t="str">
        <x:v>U0225</x:v>
      </x:c>
      <x:c r="B43" t="str">
        <x:v>cmmxi2xkc000t04l8hsscxyvl</x:v>
      </x:c>
      <x:c r="C43" t="str">
        <x:v>real</x:v>
      </x:c>
      <x:c r="D43" s="9" t="str">
        <x:v>KSY Juice Blends UK Limited v Citrosuco GmbH</x:v>
      </x:c>
      <x:c r="E43" s="9" t="str">
        <x:v>case:2001 2 lloyd s rep 76</x:v>
      </x:c>
      <x:c r="F43" s="9" t="str">
        <x:v>Mamidoil v Okta [2001] 2 Lloyd's Rep 76</x:v>
      </x:c>
      <x:c r="G43" s="9" t="str">
        <x:v>Mamidoil v Okta [2001] 2 Lloyd's Rep 76</x:v>
      </x:c>
      <x:c r="H43" s="9" t="str"/>
      <x:c r="I43" s="12" t="n">
        <x:v>1</x:v>
      </x:c>
      <x:c r="J43" s="9" t="str">
        <x:v>cmmxi0nl9000n04l8myv0bd76</x:v>
      </x:c>
      <x:c r="K43" s="9" t="str">
        <x:v>not_found_in_registry</x:v>
      </x:c>
      <x:c r="L43" s="9" t="str">
        <x:v>none</x:v>
      </x:c>
      <x:c r="M43" s="9" t="str">
        <x:v>none</x:v>
      </x:c>
      <x:c r="N43" s="9" t="str"/>
      <x:c r="O43" s="9" t="str"/>
      <x:c r="P43" s="9" t="str"/>
      <x:c r="Q43" s="9" t="str"/>
      <x:c r="R43" s="9" t="str"/>
      <x:c r="S43" s="13" t="n">
        <x:v>0</x:v>
      </x:c>
      <x:c r="T43" s="14" t="n">
        <x:v>0.18181818181818182</x:v>
      </x:c>
      <x:c r="U43" s="13" t="n">
        <x:v>1</x:v>
      </x:c>
      <x:c r="V43" s="9" t="str">
        <x:v>Mamidoil-Jetoil Greek Petroleum Company SA v Okta Crude Oil Refinery AD</x:v>
      </x:c>
      <x:c r="W43" s="14" t="n">
        <x:v>0.18181818181818182</x:v>
      </x:c>
      <x:c r="X43" s="9" t="str">
        <x:v>no</x:v>
      </x:c>
      <x:c r="Y43" s="9" t="str"/>
      <x:c r="Z43" s="9" t="str">
        <x:v>No accepted registry match. This does not by itself prove the authority is legally fictitious.</x:v>
      </x:c>
      <x:c r="AA43" s="9" t="str">
        <x:v>verified_real_title_variant</x:v>
      </x:c>
      <x:c r="AB43" s="9" t="str">
        <x:v>no</x:v>
      </x:c>
      <x:c r="AC43" s="9" t="str">
        <x:v>Mamidoil-Jetoil Greek Petroleum Co SA v Okta Crude Oil Refinery AD</x:v>
      </x:c>
      <x:c r="AD43" s="9" t="str">
        <x:v>[2001] EWCA Civ 406; [2001] 2 Lloyd's Rep 76</x:v>
      </x:c>
      <x:c r="AE43" s="9" t="str">
        <x:v>https://www.i-law.com/ilaw/doc/view.htm?id=150737</x:v>
      </x:c>
      <x:c r="AF43" s="9" t="str">
        <x:v>The authority and report citation are genuine; the generated judgment used a shortened party-name form.</x:v>
      </x:c>
      <x:c r="AG43" s="9" t="str">
        <x:v>legal_report_database</x:v>
      </x:c>
      <x:c r="AH43" s="9" t="str">
        <x:v>reputable_legal_database</x:v>
      </x:c>
    </x:row>
    <x:row r="44">
      <x:c r="A44" t="str">
        <x:v>U0231</x:v>
      </x:c>
      <x:c r="B44" t="str">
        <x:v>cmmxktfx8000904johoqmmfkm</x:v>
      </x:c>
      <x:c r="C44" t="str">
        <x:v>real</x:v>
      </x:c>
      <x:c r="D44" s="9" t="str">
        <x:v>Karpasitis v Hertfordshire County Council</x:v>
      </x:c>
      <x:c r="E44" s="9" t="str">
        <x:v>case:2000 1 wlr 377</x:v>
      </x:c>
      <x:c r="F44" s="9" t="str">
        <x:v>Flannery v Halifax Estate Agencies Ltd [2000] 1 WLR 377</x:v>
      </x:c>
      <x:c r="G44" s="9" t="str">
        <x:v>Flannery v Halifax Estate Agencies Ltd [2000] 1 WLR 377</x:v>
      </x:c>
      <x:c r="H44" s="9" t="str"/>
      <x:c r="I44" s="12" t="n">
        <x:v>1</x:v>
      </x:c>
      <x:c r="J44" s="9" t="str">
        <x:v>cmmxkq28b000304jo5eard9id</x:v>
      </x:c>
      <x:c r="K44" s="9" t="str">
        <x:v>not_found_in_registry</x:v>
      </x:c>
      <x:c r="L44" s="9" t="str">
        <x:v>none</x:v>
      </x:c>
      <x:c r="M44" s="9" t="str">
        <x:v>none</x:v>
      </x:c>
      <x:c r="N44" s="9" t="str"/>
      <x:c r="O44" s="9" t="str"/>
      <x:c r="P44" s="9" t="str"/>
      <x:c r="Q44" s="9" t="str"/>
      <x:c r="R44" s="9" t="str"/>
      <x:c r="S44" s="13" t="n">
        <x:v>0</x:v>
      </x:c>
      <x:c r="T44" s="14" t="n">
        <x:v>0.16666666666666666</x:v>
      </x:c>
      <x:c r="U44" s="13" t="n">
        <x:v>1</x:v>
      </x:c>
      <x:c r="V44" s="9" t="str">
        <x:v>The Gulf Agencies Limited v Ahmed [2016] EWCA Civ 44</x:v>
      </x:c>
      <x:c r="W44" s="14" t="n">
        <x:v>0.16666666666666666</x:v>
      </x:c>
      <x:c r="X44" s="9" t="str">
        <x:v>no</x:v>
      </x:c>
      <x:c r="Y44" s="9" t="str"/>
      <x:c r="Z44" s="9" t="str">
        <x:v>No accepted registry match. This does not by itself prove the authority is legally fictitious.</x:v>
      </x:c>
      <x:c r="AA44" s="9" t="str">
        <x:v>verified_real_exact</x:v>
      </x:c>
      <x:c r="AB44" s="9" t="str">
        <x:v>no</x:v>
      </x:c>
      <x:c r="AC44" s="9" t="str">
        <x:v>Flannery v Halifax Estate Agencies Ltd</x:v>
      </x:c>
      <x:c r="AD44" s="9" t="str">
        <x:v>[2000] 1 WLR 377; [1999] EWCA Civ 811</x:v>
      </x:c>
      <x:c r="AE44" s="9" t="str">
        <x:v>https://www.bailii.org/ew/cases/EWCA/Civ/1999/811.html</x:v>
      </x:c>
      <x:c r="AF44" s="9" t="str">
        <x:v>The case is genuine. The 2000 WLR citation is the report citation for the Court of Appeal judgment delivered in 1999.</x:v>
      </x:c>
      <x:c r="AG44" s="9" t="str">
        <x:v>primary_judgment</x:v>
      </x:c>
      <x:c r="AH44" s="9" t="str">
        <x:v>primary</x:v>
      </x:c>
    </x:row>
    <x:row r="45">
      <x:c r="A45" t="str">
        <x:v>U0232</x:v>
      </x:c>
      <x:c r="B45" t="str">
        <x:v>cmmxktfx8000904johoqmmfkm</x:v>
      </x:c>
      <x:c r="C45" t="str">
        <x:v>real</x:v>
      </x:c>
      <x:c r="D45" s="9" t="str">
        <x:v>Karpasitis v Hertfordshire County Council</x:v>
      </x:c>
      <x:c r="E45" s="9" t="str">
        <x:v>case:2002 ewca civ 605</x:v>
      </x:c>
      <x:c r="F45" s="9" t="str">
        <x:v>English v Emery Reimbold &amp; Strick Ltd [2002] EWCA Civ 605</x:v>
      </x:c>
      <x:c r="G45" s="9" t="str">
        <x:v>English v Emery Reimbold &amp; Strick Ltd [2002] EWCA Civ 605</x:v>
      </x:c>
      <x:c r="H45" s="9" t="str"/>
      <x:c r="I45" s="12" t="n">
        <x:v>1</x:v>
      </x:c>
      <x:c r="J45" s="9" t="str">
        <x:v>cmmxkq28b000304jo5eard9id</x:v>
      </x:c>
      <x:c r="K45" s="9" t="str">
        <x:v>present_exact_or_high</x:v>
      </x:c>
      <x:c r="L45" s="9" t="str">
        <x:v>exact_citation</x:v>
      </x:c>
      <x:c r="M45" s="9" t="str">
        <x:v>high</x:v>
      </x:c>
      <x:c r="N45" s="9" t="str">
        <x:v>f11564b3-860c-4adc-bd7a-d530ce37ea95</x:v>
      </x:c>
      <x:c r="O45" s="9" t="str">
        <x:v>English v Emery Reimbold &amp; Strick Ltd</x:v>
      </x:c>
      <x:c r="P45" s="9" t="str">
        <x:v>2002</x:v>
      </x:c>
      <x:c r="Q45" s="9" t="str">
        <x:v>England and Wales Court of Appeal (Civil Division)</x:v>
      </x:c>
      <x:c r="R45" s="9" t="str">
        <x:v>PT_EWCA-Civ_2002_605.xml</x:v>
      </x:c>
      <x:c r="S45" s="13" t="n">
        <x:v>95</x:v>
      </x:c>
      <x:c r="T45" s="14" t="n">
        <x:v>1</x:v>
      </x:c>
      <x:c r="U45" s="13" t="n">
        <x:v>1</x:v>
      </x:c>
      <x:c r="V45" s="9" t="str"/>
      <x:c r="W45" s="14" t="str"/>
      <x:c r="X45" s="9" t="str">
        <x:v>no</x:v>
      </x:c>
      <x:c r="Y45" s="9" t="str"/>
      <x:c r="Z45" s="9" t="str">
        <x:v>Authority exists as a top-level corpus case but was not returned by the linked retrieval event.</x:v>
      </x:c>
      <x:c r="AA45" s="9" t="str">
        <x:v>not_required_corpus_present</x:v>
      </x:c>
      <x:c r="AB45" s="9" t="str">
        <x:v>yes</x:v>
      </x:c>
      <x:c r="AC45" s="9" t="str"/>
      <x:c r="AD45" s="9" t="str"/>
      <x:c r="AE45" s="9" t="str"/>
      <x:c r="AF45" s="9" t="str"/>
      <x:c r="AG45" s="9" t="str"/>
      <x:c r="AH45" s="9" t="str"/>
    </x:row>
    <x:row r="46">
      <x:c r="A46" t="str">
        <x:v>U0242</x:v>
      </x:c>
      <x:c r="B46" t="str">
        <x:v>cmmxpdot1000h04i8q3aleh7a</x:v>
      </x:c>
      <x:c r="C46" t="str">
        <x:v>real</x:v>
      </x:c>
      <x:c r="D46" s="9" t="str">
        <x:v>Karpasitis v Hertfordshire County Council</x:v>
      </x:c>
      <x:c r="E46" s="9" t="str">
        <x:v>case:2002 ewca civ 605</x:v>
      </x:c>
      <x:c r="F46" s="9" t="str">
        <x:v>English v Emery Reimbold &amp; Strick Ltd [2002] EWCA Civ 605</x:v>
      </x:c>
      <x:c r="G46" s="9" t="str">
        <x:v>English v Emery Reimbold &amp; Strick Ltd [2002] EWCA Civ 605</x:v>
      </x:c>
      <x:c r="H46" s="9" t="str"/>
      <x:c r="I46" s="12" t="n">
        <x:v>1</x:v>
      </x:c>
      <x:c r="J46" s="9" t="str">
        <x:v>cmmxp9veu000b04i838upwih8</x:v>
      </x:c>
      <x:c r="K46" s="9" t="str">
        <x:v>present_exact_or_high</x:v>
      </x:c>
      <x:c r="L46" s="9" t="str">
        <x:v>exact_citation</x:v>
      </x:c>
      <x:c r="M46" s="9" t="str">
        <x:v>high</x:v>
      </x:c>
      <x:c r="N46" s="9" t="str">
        <x:v>f11564b3-860c-4adc-bd7a-d530ce37ea95</x:v>
      </x:c>
      <x:c r="O46" s="9" t="str">
        <x:v>English v Emery Reimbold &amp; Strick Ltd</x:v>
      </x:c>
      <x:c r="P46" s="9" t="str">
        <x:v>2002</x:v>
      </x:c>
      <x:c r="Q46" s="9" t="str">
        <x:v>England and Wales Court of Appeal (Civil Division)</x:v>
      </x:c>
      <x:c r="R46" s="9" t="str">
        <x:v>PT_EWCA-Civ_2002_605.xml</x:v>
      </x:c>
      <x:c r="S46" s="13" t="n">
        <x:v>95</x:v>
      </x:c>
      <x:c r="T46" s="14" t="n">
        <x:v>1</x:v>
      </x:c>
      <x:c r="U46" s="13" t="n">
        <x:v>1</x:v>
      </x:c>
      <x:c r="V46" s="9" t="str"/>
      <x:c r="W46" s="14" t="str"/>
      <x:c r="X46" s="9" t="str">
        <x:v>no</x:v>
      </x:c>
      <x:c r="Y46" s="9" t="str"/>
      <x:c r="Z46" s="9" t="str">
        <x:v>Authority exists as a top-level corpus case but was not returned by the linked retrieval event.</x:v>
      </x:c>
      <x:c r="AA46" s="9" t="str">
        <x:v>not_required_corpus_present</x:v>
      </x:c>
      <x:c r="AB46" s="9" t="str">
        <x:v>yes</x:v>
      </x:c>
      <x:c r="AC46" s="9" t="str"/>
      <x:c r="AD46" s="9" t="str"/>
      <x:c r="AE46" s="9" t="str"/>
      <x:c r="AF46" s="9" t="str"/>
      <x:c r="AG46" s="9" t="str"/>
      <x:c r="AH46" s="9" t="str"/>
    </x:row>
    <x:row r="47">
      <x:c r="A47" t="str">
        <x:v>U0248</x:v>
      </x:c>
      <x:c r="B47" t="str">
        <x:v>cmmxsk5kn000h04ldd570wr09</x:v>
      </x:c>
      <x:c r="C47" t="str">
        <x:v>real</x:v>
      </x:c>
      <x:c r="D47" s="9" t="str">
        <x:v>Greenfields (IOW) Limited v Isle of Wight Council &amp; Westridge Village Limited</x:v>
      </x:c>
      <x:c r="E47" s="9" t="str">
        <x:v>case:2002 1 wlr 1593</x:v>
      </x:c>
      <x:c r="F47" s="9" t="str">
        <x:v>R (Burkett) v Hammersmith LBC [2002] 1 WLR 1593</x:v>
      </x:c>
      <x:c r="G47" s="9" t="str">
        <x:v>R (Burkett) v Hammersmith LBC [2002] 1 WLR 1593</x:v>
      </x:c>
      <x:c r="H47" s="9" t="str"/>
      <x:c r="I47" s="12" t="n">
        <x:v>1</x:v>
      </x:c>
      <x:c r="J47" s="9" t="str">
        <x:v>cmmxsgyjb000b04ld1tvzyr07</x:v>
      </x:c>
      <x:c r="K47" s="9" t="str">
        <x:v>probable_manual_review</x:v>
      </x:c>
      <x:c r="L47" s="9" t="str">
        <x:v>probable_year_and_title_coverage</x:v>
      </x:c>
      <x:c r="M47" s="9" t="str">
        <x:v>probable</x:v>
      </x:c>
      <x:c r="N47" s="9" t="str">
        <x:v>379d4f20-62f5-403b-a082-fa36b82fe1c1</x:v>
      </x:c>
      <x:c r="O47" s="9" t="str">
        <x:v>Regina v. London Borough of Hammersmith and Fulham (Burkett) [2002] UKHL 23</x:v>
      </x:c>
      <x:c r="P47" s="9" t="str">
        <x:v>2002</x:v>
      </x:c>
      <x:c r="Q47" s="9" t="str">
        <x:v>United Kingdom House of Lords</x:v>
      </x:c>
      <x:c r="R47" s="9" t="str">
        <x:v>PT_UKHL_2002_23.xml</x:v>
      </x:c>
      <x:c r="S47" s="13" t="n">
        <x:v>80</x:v>
      </x:c>
      <x:c r="T47" s="14" t="n">
        <x:v>0.6666666666666666</x:v>
      </x:c>
      <x:c r="U47" s="13" t="n">
        <x:v>1</x:v>
      </x:c>
      <x:c r="V47" s="9" t="str"/>
      <x:c r="W47" s="14" t="str"/>
      <x:c r="X47" s="9" t="str">
        <x:v>no</x:v>
      </x:c>
      <x:c r="Y47" s="9" t="str"/>
      <x:c r="Z47" s="9" t="str">
        <x:v>Strong lexical candidate; verify manually before counting as corpus-present.</x:v>
      </x:c>
      <x:c r="AA47" s="9" t="str">
        <x:v>verified_real_exact</x:v>
      </x:c>
      <x:c r="AB47" s="9" t="str">
        <x:v>yes</x:v>
      </x:c>
      <x:c r="AC47" s="9" t="str">
        <x:v>R v London Borough of Hammersmith and Fulham, ex parte Burkett</x:v>
      </x:c>
      <x:c r="AD47" s="9" t="str">
        <x:v>[2002] UKHL 23; [2002] 1 WLR 1593</x:v>
      </x:c>
      <x:c r="AE47" s="9" t="str">
        <x:v>https://publications.parliament.uk/pa/ld200102/ldjudgmt/jd020523/burket-1.htm</x:v>
      </x:c>
      <x:c r="AF47" s="9" t="str">
        <x:v>The report citation is genuine and the Qdrant candidate is the same case under its fuller official title. Accept the corpus match.</x:v>
      </x:c>
      <x:c r="AG47" s="9" t="str">
        <x:v>primary_judgment</x:v>
      </x:c>
      <x:c r="AH47" s="9" t="str">
        <x:v>primary</x:v>
      </x:c>
    </x:row>
    <x:row r="48">
      <x:c r="A48" t="str">
        <x:v>U0254</x:v>
      </x:c>
      <x:c r="B48" t="str">
        <x:v>cmmxtzd4o000904jrjc2hdwrx</x:v>
      </x:c>
      <x:c r="C48" t="str">
        <x:v>real</x:v>
      </x:c>
      <x:c r="D48" s="9" t="str">
        <x:v>Greenfields (IOW) Limited v Isle of Wight Council &amp; Westridge Village Limited</x:v>
      </x:c>
      <x:c r="E48" s="9" t="str">
        <x:v>case:2023 ewhc 1995 admin</x:v>
      </x:c>
      <x:c r="F48" s="9" t="str">
        <x:v>R (Worcestershire Acute Hospitals NHS Trust) v Malvern Hills District Council [2023] EWHC 1995 (Admin)</x:v>
      </x:c>
      <x:c r="G48" s="9" t="str">
        <x:v>R (Worcestershire Acute Hospitals NHS Trust) v Malvern Hills District Council [2023] EWHC 1995 (Admin)</x:v>
      </x:c>
      <x:c r="H48" s="9" t="str"/>
      <x:c r="I48" s="12" t="n">
        <x:v>2</x:v>
      </x:c>
      <x:c r="J48" s="9" t="str">
        <x:v>cmmxtwenv000304jr7vxcmpae</x:v>
      </x:c>
      <x:c r="K48" s="9" t="str">
        <x:v>not_found_in_registry</x:v>
      </x:c>
      <x:c r="L48" s="9" t="str">
        <x:v>none</x:v>
      </x:c>
      <x:c r="M48" s="9" t="str">
        <x:v>none</x:v>
      </x:c>
      <x:c r="N48" s="9" t="str"/>
      <x:c r="O48" s="9" t="str"/>
      <x:c r="P48" s="9" t="str"/>
      <x:c r="Q48" s="9" t="str"/>
      <x:c r="R48" s="9" t="str"/>
      <x:c r="S48" s="13" t="n">
        <x:v>0</x:v>
      </x:c>
      <x:c r="T48" s="14" t="n">
        <x:v>0.5</x:v>
      </x:c>
      <x:c r="U48" s="13" t="n">
        <x:v>1</x:v>
      </x:c>
      <x:c r="V48" s="9" t="str">
        <x:v>Duce v Worcestershire Acute Hospitals NHS Trust</x:v>
      </x:c>
      <x:c r="W48" s="14" t="n">
        <x:v>0.5</x:v>
      </x:c>
      <x:c r="X48" s="9" t="str">
        <x:v>no</x:v>
      </x:c>
      <x:c r="Y48" s="9" t="str"/>
      <x:c r="Z48" s="9" t="str">
        <x:v>No accepted registry match. This does not by itself prove the authority is legally fictitious.</x:v>
      </x:c>
      <x:c r="AA48" s="9" t="str">
        <x:v>verified_real_exact</x:v>
      </x:c>
      <x:c r="AB48" s="9" t="str">
        <x:v>no</x:v>
      </x:c>
      <x:c r="AC48" s="9" t="str">
        <x:v>R (Worcestershire Acute Hospitals NHS Trust) v Malvern Hills District Council and others</x:v>
      </x:c>
      <x:c r="AD48" s="9" t="str">
        <x:v>[2023] EWHC 1995 (Admin)</x:v>
      </x:c>
      <x:c r="AE48" s="9" t="str">
        <x:v>https://www.rugby.gov.uk/documents/20124/63474083/CD.12.7%2BR%28Worcestershire%2BAcute%2BHospitals%2BNHS%2BTrust%29%2Bv%2BMalvern%2BHills%2BDistrict%2BCouncil%2B%26%2Bors%2B%5B2023%5D.pdf/de99cc16-5580-e035-4f4c-b8bedf741243?t=1777543244613</x:v>
      </x:c>
      <x:c r="AF48" s="9" t="str">
        <x:v>The approved judgment confirms the title and neutral citation; the extracted form omitted 'and others'.</x:v>
      </x:c>
      <x:c r="AG48" s="9" t="str">
        <x:v>approved_judgment</x:v>
      </x:c>
      <x:c r="AH48" s="9" t="str">
        <x:v>primary</x:v>
      </x:c>
    </x:row>
    <x:row r="49">
      <x:c r="A49" t="str">
        <x:v>U0264</x:v>
      </x:c>
      <x:c r="B49" t="str">
        <x:v>cms1ps00j000j04jsbxrn9wrj</x:v>
      </x:c>
      <x:c r="C49" t="str">
        <x:v>real</x:v>
      </x:c>
      <x:c r="D49" s="9" t="str">
        <x:v>The King (on the application of Transport Action Network Limited) v Secretary of State for Transport</x:v>
      </x:c>
      <x:c r="E49" s="9" t="str">
        <x:v>case:2000 1 wlr 377</x:v>
      </x:c>
      <x:c r="F49" s="9" t="str">
        <x:v>Flannery v Halifax Estate Agencies Ltd [2000] 1 WLR 377</x:v>
      </x:c>
      <x:c r="G49" s="9" t="str">
        <x:v>Flannery v Halifax Estate Agencies Ltd [2000] 1 WLR 377</x:v>
      </x:c>
      <x:c r="H49" s="9" t="str"/>
      <x:c r="I49" s="12" t="n">
        <x:v>1</x:v>
      </x:c>
      <x:c r="J49" s="9" t="str">
        <x:v>cms1pq4rm000d04js91x46eaf</x:v>
      </x:c>
      <x:c r="K49" s="9" t="str">
        <x:v>not_found_in_registry</x:v>
      </x:c>
      <x:c r="L49" s="9" t="str">
        <x:v>none</x:v>
      </x:c>
      <x:c r="M49" s="9" t="str">
        <x:v>none</x:v>
      </x:c>
      <x:c r="N49" s="9" t="str"/>
      <x:c r="O49" s="9" t="str"/>
      <x:c r="P49" s="9" t="str"/>
      <x:c r="Q49" s="9" t="str"/>
      <x:c r="R49" s="9" t="str"/>
      <x:c r="S49" s="13" t="n">
        <x:v>0</x:v>
      </x:c>
      <x:c r="T49" s="14" t="n">
        <x:v>0.16666666666666666</x:v>
      </x:c>
      <x:c r="U49" s="13" t="n">
        <x:v>1</x:v>
      </x:c>
      <x:c r="V49" s="9" t="str">
        <x:v>The Gulf Agencies Limited v Ahmed [2016] EWCA Civ 44</x:v>
      </x:c>
      <x:c r="W49" s="14" t="n">
        <x:v>0.16666666666666666</x:v>
      </x:c>
      <x:c r="X49" s="9" t="str">
        <x:v>no</x:v>
      </x:c>
      <x:c r="Y49" s="9" t="str"/>
      <x:c r="Z49" s="9" t="str">
        <x:v>No accepted registry match. This does not by itself prove the authority is legally fictitious.</x:v>
      </x:c>
      <x:c r="AA49" s="9" t="str">
        <x:v>verified_real_exact</x:v>
      </x:c>
      <x:c r="AB49" s="9" t="str">
        <x:v>no</x:v>
      </x:c>
      <x:c r="AC49" s="9" t="str">
        <x:v>Flannery v Halifax Estate Agencies Ltd</x:v>
      </x:c>
      <x:c r="AD49" s="9" t="str">
        <x:v>[2000] 1 WLR 377; [1999] EWCA Civ 811</x:v>
      </x:c>
      <x:c r="AE49" s="9" t="str">
        <x:v>https://www.bailii.org/ew/cases/EWCA/Civ/1999/811.html</x:v>
      </x:c>
      <x:c r="AF49" s="9" t="str">
        <x:v>The case is genuine. The 2000 WLR citation is the report citation for the Court of Appeal judgment delivered in 1999.</x:v>
      </x:c>
      <x:c r="AG49" s="9" t="str">
        <x:v>primary_judgment</x:v>
      </x:c>
      <x:c r="AH49" s="9" t="str">
        <x:v>primary</x:v>
      </x:c>
    </x:row>
    <x:row r="50">
      <x:c r="A50" t="str">
        <x:v>U0265</x:v>
      </x:c>
      <x:c r="B50" t="str">
        <x:v>cms1ps00j000j04jsbxrn9wrj</x:v>
      </x:c>
      <x:c r="C50" t="str">
        <x:v>real</x:v>
      </x:c>
      <x:c r="D50" s="9" t="str">
        <x:v>The King (on the application of Transport Action Network Limited) v Secretary of State for Transport</x:v>
      </x:c>
      <x:c r="E50" s="9" t="str">
        <x:v>case:2002 ewca civ 605</x:v>
      </x:c>
      <x:c r="F50" s="9" t="str">
        <x:v>English v Emery Reimbold &amp; Strick Ltd [2002] EWCA Civ 605</x:v>
      </x:c>
      <x:c r="G50" s="9" t="str">
        <x:v>English v Emery Reimbold &amp; Strick Ltd [2002] EWCA Civ 605</x:v>
      </x:c>
      <x:c r="H50" s="9" t="str"/>
      <x:c r="I50" s="12" t="n">
        <x:v>2</x:v>
      </x:c>
      <x:c r="J50" s="9" t="str">
        <x:v>cms1pq4rm000d04js91x46eaf</x:v>
      </x:c>
      <x:c r="K50" s="9" t="str">
        <x:v>present_exact_or_high</x:v>
      </x:c>
      <x:c r="L50" s="9" t="str">
        <x:v>exact_citation</x:v>
      </x:c>
      <x:c r="M50" s="9" t="str">
        <x:v>high</x:v>
      </x:c>
      <x:c r="N50" s="9" t="str">
        <x:v>f11564b3-860c-4adc-bd7a-d530ce37ea95</x:v>
      </x:c>
      <x:c r="O50" s="9" t="str">
        <x:v>English v Emery Reimbold &amp; Strick Ltd</x:v>
      </x:c>
      <x:c r="P50" s="9" t="str">
        <x:v>2002</x:v>
      </x:c>
      <x:c r="Q50" s="9" t="str">
        <x:v>England and Wales Court of Appeal (Civil Division)</x:v>
      </x:c>
      <x:c r="R50" s="9" t="str">
        <x:v>PT_EWCA-Civ_2002_605.xml</x:v>
      </x:c>
      <x:c r="S50" s="13" t="n">
        <x:v>95</x:v>
      </x:c>
      <x:c r="T50" s="14" t="n">
        <x:v>1</x:v>
      </x:c>
      <x:c r="U50" s="13" t="n">
        <x:v>1</x:v>
      </x:c>
      <x:c r="V50" s="9" t="str"/>
      <x:c r="W50" s="14" t="str"/>
      <x:c r="X50" s="9" t="str">
        <x:v>no</x:v>
      </x:c>
      <x:c r="Y50" s="9" t="str"/>
      <x:c r="Z50" s="9" t="str">
        <x:v>Authority exists as a top-level corpus case but was not returned by the linked retrieval event.</x:v>
      </x:c>
      <x:c r="AA50" s="9" t="str">
        <x:v>not_required_corpus_present</x:v>
      </x:c>
      <x:c r="AB50" s="9" t="str">
        <x:v>yes</x:v>
      </x:c>
      <x:c r="AC50" s="9" t="str"/>
      <x:c r="AD50" s="9" t="str"/>
      <x:c r="AE50" s="9" t="str"/>
      <x:c r="AF50" s="9" t="str"/>
      <x:c r="AG50" s="9" t="str"/>
      <x:c r="AH50" s="9" t="str"/>
    </x:row>
    <x:row r="51">
      <x:c r="A51" t="str">
        <x:v>U0274</x:v>
      </x:c>
      <x:c r="B51" t="str">
        <x:v>cms1u865i000904jxu5huyjg5</x:v>
      </x:c>
      <x:c r="C51" t="str">
        <x:v>real</x:v>
      </x:c>
      <x:c r="D51" s="9" t="str">
        <x:v>The King (on the application of Transport Action Network Limited) v Secretary of State for Transport</x:v>
      </x:c>
      <x:c r="E51" s="9" t="str">
        <x:v>case:2002 ewca civ 605</x:v>
      </x:c>
      <x:c r="F51" s="9" t="str">
        <x:v>[2002] EWCA Civ 605</x:v>
      </x:c>
      <x:c r="G51" s="9" t="str">
        <x:v>[2002] EWCA Civ 605</x:v>
      </x:c>
      <x:c r="H51" s="9" t="str"/>
      <x:c r="I51" s="12" t="n">
        <x:v>1</x:v>
      </x:c>
      <x:c r="J51" s="9" t="str">
        <x:v>cms1u714o000304jxq0x5fnl6</x:v>
      </x:c>
      <x:c r="K51" s="9" t="str">
        <x:v>present_exact_or_high</x:v>
      </x:c>
      <x:c r="L51" s="9" t="str">
        <x:v>exact_citation</x:v>
      </x:c>
      <x:c r="M51" s="9" t="str">
        <x:v>high</x:v>
      </x:c>
      <x:c r="N51" s="9" t="str">
        <x:v>f11564b3-860c-4adc-bd7a-d530ce37ea95</x:v>
      </x:c>
      <x:c r="O51" s="9" t="str">
        <x:v>English v Emery Reimbold &amp; Strick Ltd</x:v>
      </x:c>
      <x:c r="P51" s="9" t="str">
        <x:v>2002</x:v>
      </x:c>
      <x:c r="Q51" s="9" t="str">
        <x:v>England and Wales Court of Appeal (Civil Division)</x:v>
      </x:c>
      <x:c r="R51" s="9" t="str">
        <x:v>PT_EWCA-Civ_2002_605.xml</x:v>
      </x:c>
      <x:c r="S51" s="13" t="n">
        <x:v>95</x:v>
      </x:c>
      <x:c r="T51" s="14" t="n">
        <x:v>1</x:v>
      </x:c>
      <x:c r="U51" s="13" t="n">
        <x:v>1</x:v>
      </x:c>
      <x:c r="V51" s="9" t="str"/>
      <x:c r="W51" s="14" t="str"/>
      <x:c r="X51" s="9" t="str">
        <x:v>no</x:v>
      </x:c>
      <x:c r="Y51" s="9" t="str"/>
      <x:c r="Z51" s="9" t="str">
        <x:v>Authority exists as a top-level corpus case but was not returned by the linked retrieval event.</x:v>
      </x:c>
      <x:c r="AA51" s="9" t="str">
        <x:v>not_required_corpus_present</x:v>
      </x:c>
      <x:c r="AB51" s="9" t="str">
        <x:v>yes</x:v>
      </x:c>
      <x:c r="AC51" s="9" t="str"/>
      <x:c r="AD51" s="9" t="str"/>
      <x:c r="AE51" s="9" t="str"/>
      <x:c r="AF51" s="9" t="str"/>
      <x:c r="AG51" s="9" t="str"/>
      <x:c r="AH51" s="9" t="str"/>
    </x:row>
    <x:row r="52">
      <x:c r="A52" t="str">
        <x:v>U0283</x:v>
      </x:c>
      <x:c r="B52" t="str">
        <x:v>cmsbj40n7000h04jwpx41ia5n</x:v>
      </x:c>
      <x:c r="C52" t="str">
        <x:v>real</x:v>
      </x:c>
      <x:c r="D52" s="9" t="str">
        <x:v>The King (on the application of Transport Action Network Limited) v Secretary of State for Transport</x:v>
      </x:c>
      <x:c r="E52" s="9" t="str">
        <x:v>case:2000 1 wlr 377</x:v>
      </x:c>
      <x:c r="F52" s="9" t="str">
        <x:v>Flannery v Halifax Estate Agencies Ltd [2000] 1 WLR 377</x:v>
      </x:c>
      <x:c r="G52" s="9" t="str">
        <x:v>Flannery v Halifax Estate Agencies Ltd [2000] 1 WLR 377</x:v>
      </x:c>
      <x:c r="H52" s="9" t="str"/>
      <x:c r="I52" s="12" t="n">
        <x:v>1</x:v>
      </x:c>
      <x:c r="J52" s="9" t="str">
        <x:v>cmsbj2peo000b04jw4kua4pz9</x:v>
      </x:c>
      <x:c r="K52" s="9" t="str">
        <x:v>not_found_in_registry</x:v>
      </x:c>
      <x:c r="L52" s="9" t="str">
        <x:v>none</x:v>
      </x:c>
      <x:c r="M52" s="9" t="str">
        <x:v>none</x:v>
      </x:c>
      <x:c r="N52" s="9" t="str"/>
      <x:c r="O52" s="9" t="str"/>
      <x:c r="P52" s="9" t="str"/>
      <x:c r="Q52" s="9" t="str"/>
      <x:c r="R52" s="9" t="str"/>
      <x:c r="S52" s="13" t="n">
        <x:v>0</x:v>
      </x:c>
      <x:c r="T52" s="14" t="n">
        <x:v>0.16666666666666666</x:v>
      </x:c>
      <x:c r="U52" s="13" t="n">
        <x:v>1</x:v>
      </x:c>
      <x:c r="V52" s="9" t="str">
        <x:v>The Gulf Agencies Limited v Ahmed [2016] EWCA Civ 44</x:v>
      </x:c>
      <x:c r="W52" s="14" t="n">
        <x:v>0.16666666666666666</x:v>
      </x:c>
      <x:c r="X52" s="9" t="str">
        <x:v>no</x:v>
      </x:c>
      <x:c r="Y52" s="9" t="str"/>
      <x:c r="Z52" s="9" t="str">
        <x:v>No accepted registry match. This does not by itself prove the authority is legally fictitious.</x:v>
      </x:c>
      <x:c r="AA52" s="9" t="str">
        <x:v>verified_real_exact</x:v>
      </x:c>
      <x:c r="AB52" s="9" t="str">
        <x:v>no</x:v>
      </x:c>
      <x:c r="AC52" s="9" t="str">
        <x:v>Flannery v Halifax Estate Agencies Ltd</x:v>
      </x:c>
      <x:c r="AD52" s="9" t="str">
        <x:v>[2000] 1 WLR 377; [1999] EWCA Civ 811</x:v>
      </x:c>
      <x:c r="AE52" s="9" t="str">
        <x:v>https://www.bailii.org/ew/cases/EWCA/Civ/1999/811.html</x:v>
      </x:c>
      <x:c r="AF52" s="9" t="str">
        <x:v>The case is genuine. The 2000 WLR citation is the report citation for the Court of Appeal judgment delivered in 1999.</x:v>
      </x:c>
      <x:c r="AG52" s="9" t="str">
        <x:v>primary_judgment</x:v>
      </x:c>
      <x:c r="AH52" s="9" t="str">
        <x:v>primary</x:v>
      </x:c>
    </x:row>
    <x:row r="53">
      <x:c r="A53" t="str">
        <x:v>U0284</x:v>
      </x:c>
      <x:c r="B53" t="str">
        <x:v>cmsbj40n7000h04jwpx41ia5n</x:v>
      </x:c>
      <x:c r="C53" t="str">
        <x:v>real</x:v>
      </x:c>
      <x:c r="D53" s="9" t="str">
        <x:v>The King (on the application of Transport Action Network Limited) v Secretary of State for Transport</x:v>
      </x:c>
      <x:c r="E53" s="9" t="str">
        <x:v>case:2002 ewca civ 605</x:v>
      </x:c>
      <x:c r="F53" s="9" t="str">
        <x:v>English v Emery Reimbold &amp; Strick Ltd [2002] EWCA Civ 605</x:v>
      </x:c>
      <x:c r="G53" s="9" t="str">
        <x:v>English v Emery Reimbold &amp; Strick Ltd [2002] EWCA Civ 605</x:v>
      </x:c>
      <x:c r="H53" s="9" t="str"/>
      <x:c r="I53" s="12" t="n">
        <x:v>1</x:v>
      </x:c>
      <x:c r="J53" s="9" t="str">
        <x:v>cmsbj2peo000b04jw4kua4pz9</x:v>
      </x:c>
      <x:c r="K53" s="9" t="str">
        <x:v>present_exact_or_high</x:v>
      </x:c>
      <x:c r="L53" s="9" t="str">
        <x:v>exact_citation</x:v>
      </x:c>
      <x:c r="M53" s="9" t="str">
        <x:v>high</x:v>
      </x:c>
      <x:c r="N53" s="9" t="str">
        <x:v>f11564b3-860c-4adc-bd7a-d530ce37ea95</x:v>
      </x:c>
      <x:c r="O53" s="9" t="str">
        <x:v>English v Emery Reimbold &amp; Strick Ltd</x:v>
      </x:c>
      <x:c r="P53" s="9" t="str">
        <x:v>2002</x:v>
      </x:c>
      <x:c r="Q53" s="9" t="str">
        <x:v>England and Wales Court of Appeal (Civil Division)</x:v>
      </x:c>
      <x:c r="R53" s="9" t="str">
        <x:v>PT_EWCA-Civ_2002_605.xml</x:v>
      </x:c>
      <x:c r="S53" s="13" t="n">
        <x:v>95</x:v>
      </x:c>
      <x:c r="T53" s="14" t="n">
        <x:v>1</x:v>
      </x:c>
      <x:c r="U53" s="13" t="n">
        <x:v>1</x:v>
      </x:c>
      <x:c r="V53" s="9" t="str"/>
      <x:c r="W53" s="14" t="str"/>
      <x:c r="X53" s="9" t="str">
        <x:v>no</x:v>
      </x:c>
      <x:c r="Y53" s="9" t="str"/>
      <x:c r="Z53" s="9" t="str">
        <x:v>Authority exists as a top-level corpus case but was not returned by the linked retrieval event.</x:v>
      </x:c>
      <x:c r="AA53" s="9" t="str">
        <x:v>not_required_corpus_present</x:v>
      </x:c>
      <x:c r="AB53" s="9" t="str">
        <x:v>yes</x:v>
      </x:c>
      <x:c r="AC53" s="9" t="str"/>
      <x:c r="AD53" s="9" t="str"/>
      <x:c r="AE53" s="9" t="str"/>
      <x:c r="AF53" s="9" t="str"/>
      <x:c r="AG53" s="9" t="str"/>
      <x:c r="AH53" s="9" t="str"/>
    </x:row>
    <x:row r="54">
      <x:c r="A54" t="str">
        <x:v>U0289</x:v>
      </x:c>
      <x:c r="B54" t="str">
        <x:v>cmsbqvqsj000h04jnb8tn656h</x:v>
      </x:c>
      <x:c r="C54" t="str">
        <x:v>real</x:v>
      </x:c>
      <x:c r="D54" s="9" t="str">
        <x:v>The King, on the application of Fajr Ellis v (1) The Secretary of State for Education and (2) The Secretary of State for Justice</x:v>
      </x:c>
      <x:c r="E54" s="9" t="str">
        <x:v>case:2000 1 wlr 377</x:v>
      </x:c>
      <x:c r="F54" s="9" t="str">
        <x:v>Flannery v Halifax Estate Agencies Ltd [2000] 1 WLR 377</x:v>
      </x:c>
      <x:c r="G54" s="9" t="str">
        <x:v>Flannery v Halifax Estate Agencies Ltd [2000] 1 WLR 377</x:v>
      </x:c>
      <x:c r="H54" s="9" t="str"/>
      <x:c r="I54" s="12" t="n">
        <x:v>1</x:v>
      </x:c>
      <x:c r="J54" s="9" t="str">
        <x:v>cmsbquoo1000b04jnq0yxkb5g</x:v>
      </x:c>
      <x:c r="K54" s="9" t="str">
        <x:v>not_found_in_registry</x:v>
      </x:c>
      <x:c r="L54" s="9" t="str">
        <x:v>none</x:v>
      </x:c>
      <x:c r="M54" s="9" t="str">
        <x:v>none</x:v>
      </x:c>
      <x:c r="N54" s="9" t="str"/>
      <x:c r="O54" s="9" t="str"/>
      <x:c r="P54" s="9" t="str"/>
      <x:c r="Q54" s="9" t="str"/>
      <x:c r="R54" s="9" t="str"/>
      <x:c r="S54" s="13" t="n">
        <x:v>0</x:v>
      </x:c>
      <x:c r="T54" s="14" t="n">
        <x:v>0.16666666666666666</x:v>
      </x:c>
      <x:c r="U54" s="13" t="n">
        <x:v>1</x:v>
      </x:c>
      <x:c r="V54" s="9" t="str">
        <x:v>The Gulf Agencies Limited v Ahmed [2016] EWCA Civ 44</x:v>
      </x:c>
      <x:c r="W54" s="14" t="n">
        <x:v>0.16666666666666666</x:v>
      </x:c>
      <x:c r="X54" s="9" t="str">
        <x:v>no</x:v>
      </x:c>
      <x:c r="Y54" s="9" t="str"/>
      <x:c r="Z54" s="9" t="str">
        <x:v>No accepted registry match. This does not by itself prove the authority is legally fictitious.</x:v>
      </x:c>
      <x:c r="AA54" s="9" t="str">
        <x:v>verified_real_exact</x:v>
      </x:c>
      <x:c r="AB54" s="9" t="str">
        <x:v>no</x:v>
      </x:c>
      <x:c r="AC54" s="9" t="str">
        <x:v>Flannery v Halifax Estate Agencies Ltd</x:v>
      </x:c>
      <x:c r="AD54" s="9" t="str">
        <x:v>[2000] 1 WLR 377; [1999] EWCA Civ 811</x:v>
      </x:c>
      <x:c r="AE54" s="9" t="str">
        <x:v>https://www.bailii.org/ew/cases/EWCA/Civ/1999/811.html</x:v>
      </x:c>
      <x:c r="AF54" s="9" t="str">
        <x:v>The case is genuine. The 2000 WLR citation is the report citation for the Court of Appeal judgment delivered in 1999.</x:v>
      </x:c>
      <x:c r="AG54" s="9" t="str">
        <x:v>primary_judgment</x:v>
      </x:c>
      <x:c r="AH54" s="9" t="str">
        <x:v>primary</x:v>
      </x:c>
    </x:row>
    <x:row r="55">
      <x:c r="A55" t="str">
        <x:v>U0290</x:v>
      </x:c>
      <x:c r="B55" t="str">
        <x:v>cmsbqvqsj000h04jnb8tn656h</x:v>
      </x:c>
      <x:c r="C55" t="str">
        <x:v>real</x:v>
      </x:c>
      <x:c r="D55" s="9" t="str">
        <x:v>The King, on the application of Fajr Ellis v (1) The Secretary of State for Education and (2) The Secretary of State for Justice</x:v>
      </x:c>
      <x:c r="E55" s="9" t="str">
        <x:v>case:2002 ewca civ 605</x:v>
      </x:c>
      <x:c r="F55" s="9" t="str">
        <x:v>English v Emery Reimbold &amp; Strick Ltd [2002] EWCA Civ 605</x:v>
      </x:c>
      <x:c r="G55" s="9" t="str">
        <x:v>English v Emery Reimbold &amp; Strick Ltd [2002] EWCA Civ 605</x:v>
      </x:c>
      <x:c r="H55" s="9" t="str"/>
      <x:c r="I55" s="12" t="n">
        <x:v>1</x:v>
      </x:c>
      <x:c r="J55" s="9" t="str">
        <x:v>cmsbquoo1000b04jnq0yxkb5g</x:v>
      </x:c>
      <x:c r="K55" s="9" t="str">
        <x:v>present_exact_or_high</x:v>
      </x:c>
      <x:c r="L55" s="9" t="str">
        <x:v>exact_citation</x:v>
      </x:c>
      <x:c r="M55" s="9" t="str">
        <x:v>high</x:v>
      </x:c>
      <x:c r="N55" s="9" t="str">
        <x:v>f11564b3-860c-4adc-bd7a-d530ce37ea95</x:v>
      </x:c>
      <x:c r="O55" s="9" t="str">
        <x:v>English v Emery Reimbold &amp; Strick Ltd</x:v>
      </x:c>
      <x:c r="P55" s="9" t="str">
        <x:v>2002</x:v>
      </x:c>
      <x:c r="Q55" s="9" t="str">
        <x:v>England and Wales Court of Appeal (Civil Division)</x:v>
      </x:c>
      <x:c r="R55" s="9" t="str">
        <x:v>PT_EWCA-Civ_2002_605.xml</x:v>
      </x:c>
      <x:c r="S55" s="13" t="n">
        <x:v>95</x:v>
      </x:c>
      <x:c r="T55" s="14" t="n">
        <x:v>1</x:v>
      </x:c>
      <x:c r="U55" s="13" t="n">
        <x:v>1</x:v>
      </x:c>
      <x:c r="V55" s="9" t="str"/>
      <x:c r="W55" s="14" t="str"/>
      <x:c r="X55" s="9" t="str">
        <x:v>no</x:v>
      </x:c>
      <x:c r="Y55" s="9" t="str"/>
      <x:c r="Z55" s="9" t="str">
        <x:v>Authority exists as a top-level corpus case but was not returned by the linked retrieval event.</x:v>
      </x:c>
      <x:c r="AA55" s="9" t="str">
        <x:v>not_required_corpus_present</x:v>
      </x:c>
      <x:c r="AB55" s="9" t="str">
        <x:v>yes</x:v>
      </x:c>
      <x:c r="AC55" s="9" t="str"/>
      <x:c r="AD55" s="9" t="str"/>
      <x:c r="AE55" s="9" t="str"/>
      <x:c r="AF55" s="9" t="str"/>
      <x:c r="AG55" s="9" t="str"/>
      <x:c r="AH55" s="9" t="str"/>
    </x:row>
    <x:row r="56">
      <x:c r="A56" t="str">
        <x:v>U0297</x:v>
      </x:c>
      <x:c r="B56" t="str">
        <x:v>cmsbr021t001104jndbjo02xo</x:v>
      </x:c>
      <x:c r="C56" t="str">
        <x:v>real</x:v>
      </x:c>
      <x:c r="D56" s="9" t="str">
        <x:v>Greenfields (IOW) Limited v Isle of Wight Council &amp; Westridge Village Limited</x:v>
      </x:c>
      <x:c r="E56" s="9" t="str">
        <x:v>case:2002 ewca civ 605</x:v>
      </x:c>
      <x:c r="F56" s="9" t="str">
        <x:v>English v Emery Reimbold &amp; Strick Ltd [2002] EWCA Civ 605</x:v>
      </x:c>
      <x:c r="G56" s="9" t="str">
        <x:v>English v Emery Reimbold &amp; Strick Ltd [2002] EWCA Civ 605</x:v>
      </x:c>
      <x:c r="H56" s="9" t="str"/>
      <x:c r="I56" s="12" t="n">
        <x:v>1</x:v>
      </x:c>
      <x:c r="J56" s="9" t="str">
        <x:v>cmsbqyu3t000v04jnza4ym1n9</x:v>
      </x:c>
      <x:c r="K56" s="9" t="str">
        <x:v>present_exact_or_high</x:v>
      </x:c>
      <x:c r="L56" s="9" t="str">
        <x:v>exact_citation</x:v>
      </x:c>
      <x:c r="M56" s="9" t="str">
        <x:v>high</x:v>
      </x:c>
      <x:c r="N56" s="9" t="str">
        <x:v>f11564b3-860c-4adc-bd7a-d530ce37ea95</x:v>
      </x:c>
      <x:c r="O56" s="9" t="str">
        <x:v>English v Emery Reimbold &amp; Strick Ltd</x:v>
      </x:c>
      <x:c r="P56" s="9" t="str">
        <x:v>2002</x:v>
      </x:c>
      <x:c r="Q56" s="9" t="str">
        <x:v>England and Wales Court of Appeal (Civil Division)</x:v>
      </x:c>
      <x:c r="R56" s="9" t="str">
        <x:v>PT_EWCA-Civ_2002_605.xml</x:v>
      </x:c>
      <x:c r="S56" s="13" t="n">
        <x:v>95</x:v>
      </x:c>
      <x:c r="T56" s="14" t="n">
        <x:v>1</x:v>
      </x:c>
      <x:c r="U56" s="13" t="n">
        <x:v>1</x:v>
      </x:c>
      <x:c r="V56" s="9" t="str"/>
      <x:c r="W56" s="14" t="str"/>
      <x:c r="X56" s="9" t="str">
        <x:v>no</x:v>
      </x:c>
      <x:c r="Y56" s="9" t="str"/>
      <x:c r="Z56" s="9" t="str">
        <x:v>Authority exists as a top-level corpus case but was not returned by the linked retrieval event.</x:v>
      </x:c>
      <x:c r="AA56" s="9" t="str">
        <x:v>not_required_corpus_present</x:v>
      </x:c>
      <x:c r="AB56" s="9" t="str">
        <x:v>yes</x:v>
      </x:c>
      <x:c r="AC56" s="9" t="str"/>
      <x:c r="AD56" s="9" t="str"/>
      <x:c r="AE56" s="9" t="str"/>
      <x:c r="AF56" s="9" t="str"/>
      <x:c r="AG56" s="9" t="str"/>
      <x:c r="AH56" s="9" t="str"/>
    </x:row>
    <x:row r="57">
      <x:c r="A57" t="str">
        <x:v>U0302</x:v>
      </x:c>
      <x:c r="B57" t="str">
        <x:v>cmsbr021t001104jndbjo02xo</x:v>
      </x:c>
      <x:c r="C57" t="str">
        <x:v>real</x:v>
      </x:c>
      <x:c r="D57" s="9" t="str">
        <x:v>Greenfields (IOW) Limited v Isle of Wight Council &amp; Westridge Village Limited</x:v>
      </x:c>
      <x:c r="E57" s="9" t="str">
        <x:v>case:flannery v halifax estate agencies ltd</x:v>
      </x:c>
      <x:c r="F57" s="9" t="str">
        <x:v>Flannery v Halifax Estate Agencies Ltd</x:v>
      </x:c>
      <x:c r="G57" s="9" t="str">
        <x:v>Flannery v Halifax Estate Agencies Ltd</x:v>
      </x:c>
      <x:c r="H57" s="9" t="str"/>
      <x:c r="I57" s="12" t="n">
        <x:v>1</x:v>
      </x:c>
      <x:c r="J57" s="9" t="str">
        <x:v>cmsbqyu3t000v04jnza4ym1n9</x:v>
      </x:c>
      <x:c r="K57" s="9" t="str">
        <x:v>not_found_in_registry</x:v>
      </x:c>
      <x:c r="L57" s="9" t="str">
        <x:v>none</x:v>
      </x:c>
      <x:c r="M57" s="9" t="str">
        <x:v>none</x:v>
      </x:c>
      <x:c r="N57" s="9" t="str"/>
      <x:c r="O57" s="9" t="str"/>
      <x:c r="P57" s="9" t="str"/>
      <x:c r="Q57" s="9" t="str"/>
      <x:c r="R57" s="9" t="str"/>
      <x:c r="S57" s="13" t="n">
        <x:v>0</x:v>
      </x:c>
      <x:c r="T57" s="14" t="n">
        <x:v>0.16666666666666666</x:v>
      </x:c>
      <x:c r="U57" s="13" t="n">
        <x:v>1</x:v>
      </x:c>
      <x:c r="V57" s="9" t="str">
        <x:v>The Gulf Agencies Limited v Ahmed [2016] EWCA Civ 44</x:v>
      </x:c>
      <x:c r="W57" s="14" t="n">
        <x:v>0.16666666666666666</x:v>
      </x:c>
      <x:c r="X57" s="9" t="str">
        <x:v>no</x:v>
      </x:c>
      <x:c r="Y57" s="9" t="str"/>
      <x:c r="Z57" s="9" t="str">
        <x:v>No accepted registry match. This does not by itself prove the authority is legally fictitious.</x:v>
      </x:c>
      <x:c r="AA57" s="9" t="str">
        <x:v>verified_real_incomplete_citation</x:v>
      </x:c>
      <x:c r="AB57" s="9" t="str">
        <x:v>no</x:v>
      </x:c>
      <x:c r="AC57" s="9" t="str">
        <x:v>Flannery v Halifax Estate Agencies Ltd</x:v>
      </x:c>
      <x:c r="AD57" s="9" t="str">
        <x:v>[2000] 1 WLR 377; [1999] EWCA Civ 811</x:v>
      </x:c>
      <x:c r="AE57" s="9" t="str">
        <x:v>https://www.bailii.org/ew/cases/EWCA/Civ/1999/811.html</x:v>
      </x:c>
      <x:c r="AF57" s="9" t="str">
        <x:v>The case is genuine, but this extracted form supplied no citation.</x:v>
      </x:c>
      <x:c r="AG57" s="9" t="str">
        <x:v>primary_judgment</x:v>
      </x:c>
      <x:c r="AH57" s="9" t="str">
        <x:v>primary</x:v>
      </x:c>
    </x:row>
    <x:row r="58">
      <x:c r="A58" t="str">
        <x:v>U0305</x:v>
      </x:c>
      <x:c r="B58" t="str">
        <x:v>cmsbr3045000j04l4tkps7ymp</x:v>
      </x:c>
      <x:c r="C58" t="str">
        <x:v>real</x:v>
      </x:c>
      <x:c r="D58" s="9" t="str">
        <x:v>Hippodrome Casino Ltd v HMRC</x:v>
      </x:c>
      <x:c r="E58" s="9" t="str">
        <x:v>case:2000 1 wlr 377</x:v>
      </x:c>
      <x:c r="F58" s="9" t="str">
        <x:v>Flannery v Halifax Estate Agencies Ltd [2000] 1 WLR 377</x:v>
      </x:c>
      <x:c r="G58" s="9" t="str">
        <x:v>Flannery v Halifax Estate Agencies Ltd [2000] 1 WLR 377</x:v>
      </x:c>
      <x:c r="H58" s="9" t="str"/>
      <x:c r="I58" s="12" t="n">
        <x:v>1</x:v>
      </x:c>
      <x:c r="J58" s="9" t="str">
        <x:v>cmsbr1xgb000d04l4kki35x9j</x:v>
      </x:c>
      <x:c r="K58" s="9" t="str">
        <x:v>not_found_in_registry</x:v>
      </x:c>
      <x:c r="L58" s="9" t="str">
        <x:v>none</x:v>
      </x:c>
      <x:c r="M58" s="9" t="str">
        <x:v>none</x:v>
      </x:c>
      <x:c r="N58" s="9" t="str"/>
      <x:c r="O58" s="9" t="str"/>
      <x:c r="P58" s="9" t="str"/>
      <x:c r="Q58" s="9" t="str"/>
      <x:c r="R58" s="9" t="str"/>
      <x:c r="S58" s="13" t="n">
        <x:v>0</x:v>
      </x:c>
      <x:c r="T58" s="14" t="n">
        <x:v>0.16666666666666666</x:v>
      </x:c>
      <x:c r="U58" s="13" t="n">
        <x:v>1</x:v>
      </x:c>
      <x:c r="V58" s="9" t="str">
        <x:v>The Gulf Agencies Limited v Ahmed [2016] EWCA Civ 44</x:v>
      </x:c>
      <x:c r="W58" s="14" t="n">
        <x:v>0.16666666666666666</x:v>
      </x:c>
      <x:c r="X58" s="9" t="str">
        <x:v>no</x:v>
      </x:c>
      <x:c r="Y58" s="9" t="str"/>
      <x:c r="Z58" s="9" t="str">
        <x:v>No accepted registry match. This does not by itself prove the authority is legally fictitious.</x:v>
      </x:c>
      <x:c r="AA58" s="9" t="str">
        <x:v>verified_real_exact</x:v>
      </x:c>
      <x:c r="AB58" s="9" t="str">
        <x:v>no</x:v>
      </x:c>
      <x:c r="AC58" s="9" t="str">
        <x:v>Flannery v Halifax Estate Agencies Ltd</x:v>
      </x:c>
      <x:c r="AD58" s="9" t="str">
        <x:v>[2000] 1 WLR 377; [1999] EWCA Civ 811</x:v>
      </x:c>
      <x:c r="AE58" s="9" t="str">
        <x:v>https://www.bailii.org/ew/cases/EWCA/Civ/1999/811.html</x:v>
      </x:c>
      <x:c r="AF58" s="9" t="str">
        <x:v>The case is genuine. The 2000 WLR citation is the report citation for the Court of Appeal judgment delivered in 1999.</x:v>
      </x:c>
      <x:c r="AG58" s="9" t="str">
        <x:v>primary_judgment</x:v>
      </x:c>
      <x:c r="AH58" s="9" t="str">
        <x:v>primary</x:v>
      </x:c>
    </x:row>
    <x:row r="59">
      <x:c r="A59" t="str">
        <x:v>U0308</x:v>
      </x:c>
      <x:c r="B59" t="str">
        <x:v>cmsbr3045000j04l4tkps7ymp</x:v>
      </x:c>
      <x:c r="C59" t="str">
        <x:v>real</x:v>
      </x:c>
      <x:c r="D59" s="9" t="str">
        <x:v>Hippodrome Casino Ltd v HMRC</x:v>
      </x:c>
      <x:c r="E59" s="9" t="str">
        <x:v>case:hmrc v volkswagen financial services case c 153 17</x:v>
      </x:c>
      <x:c r="F59" s="9" t="str">
        <x:v>HMRC v Volkswagen Financial Services (Case C-153/17)</x:v>
      </x:c>
      <x:c r="G59" s="9" t="str">
        <x:v>HMRC v Volkswagen Financial Services (Case C-153/17)</x:v>
      </x:c>
      <x:c r="H59" s="9" t="str"/>
      <x:c r="I59" s="12" t="n">
        <x:v>1</x:v>
      </x:c>
      <x:c r="J59" s="9" t="str">
        <x:v>cmsbr1xgb000d04l4kki35x9j</x:v>
      </x:c>
      <x:c r="K59" s="9" t="str">
        <x:v>not_found_in_registry</x:v>
      </x:c>
      <x:c r="L59" s="9" t="str">
        <x:v>none</x:v>
      </x:c>
      <x:c r="M59" s="9" t="str">
        <x:v>none</x:v>
      </x:c>
      <x:c r="N59" s="9" t="str"/>
      <x:c r="O59" s="9" t="str"/>
      <x:c r="P59" s="9" t="str"/>
      <x:c r="Q59" s="9" t="str"/>
      <x:c r="R59" s="9" t="str"/>
      <x:c r="S59" s="13" t="n">
        <x:v>0</x:v>
      </x:c>
      <x:c r="T59" s="14" t="n">
        <x:v>0.6666666666666666</x:v>
      </x:c>
      <x:c r="U59" s="13" t="n">
        <x:v>1</x:v>
      </x:c>
      <x:c r="V59" s="9" t="str">
        <x:v>Volkswagen Financial Services (UK) Ltd v HM Revenue &amp; Customs</x:v>
      </x:c>
      <x:c r="W59" s="14" t="n">
        <x:v>0.6666666666666666</x:v>
      </x:c>
      <x:c r="X59" s="9" t="str">
        <x:v>no</x:v>
      </x:c>
      <x:c r="Y59" s="9" t="str"/>
      <x:c r="Z59" s="9" t="str">
        <x:v>No accepted registry match. This does not by itself prove the authority is legally fictitious.</x:v>
      </x:c>
      <x:c r="AA59" s="9" t="str">
        <x:v>verified_real_title_variant</x:v>
      </x:c>
      <x:c r="AB59" s="9" t="str">
        <x:v>no</x:v>
      </x:c>
      <x:c r="AC59" s="9" t="str">
        <x:v>Volkswagen Financial Services (UK) Ltd v Commissioners for Her Majesty's Revenue and Customs</x:v>
      </x:c>
      <x:c r="AD59" s="9" t="str">
        <x:v>Case C-153/17; EU:C:2018:845</x:v>
      </x:c>
      <x:c r="AE59" s="9" t="str">
        <x:v>https://infocuria.curia.europa.eu/tabs/redirect/juris/liste.jsf?num=C-153%2F17</x:v>
      </x:c>
      <x:c r="AF59" s="9" t="str">
        <x:v>The CJEU proceeding is genuine. The extracted title reverses/shortens the formal party names but includes the correct case number.</x:v>
      </x:c>
      <x:c r="AG59" s="9" t="str">
        <x:v>primary_case_registry</x:v>
      </x:c>
      <x:c r="AH59" s="9" t="str">
        <x:v>primary</x:v>
      </x:c>
    </x:row>
    <x:row r="60">
      <x:c r="A60" t="str">
        <x:v>U0310</x:v>
      </x:c>
      <x:c r="B60" t="str">
        <x:v>cmsbr3045000j04l4tkps7ymp</x:v>
      </x:c>
      <x:c r="C60" t="str">
        <x:v>real</x:v>
      </x:c>
      <x:c r="D60" s="9" t="str">
        <x:v>Hippodrome Casino Ltd v HMRC</x:v>
      </x:c>
      <x:c r="E60" s="9" t="str">
        <x:v>case:st helen s school northwood v rcc</x:v>
      </x:c>
      <x:c r="F60" s="9" t="str">
        <x:v>St Helen’s School Northwood v RCC</x:v>
      </x:c>
      <x:c r="G60" s="9" t="str">
        <x:v>St Helen’s School Northwood v RCC</x:v>
      </x:c>
      <x:c r="H60" s="9" t="str"/>
      <x:c r="I60" s="12" t="n">
        <x:v>1</x:v>
      </x:c>
      <x:c r="J60" s="9" t="str">
        <x:v>cmsbr1xgb000d04l4kki35x9j</x:v>
      </x:c>
      <x:c r="K60" s="9" t="str">
        <x:v>not_found_in_registry</x:v>
      </x:c>
      <x:c r="L60" s="9" t="str">
        <x:v>none</x:v>
      </x:c>
      <x:c r="M60" s="9" t="str">
        <x:v>none</x:v>
      </x:c>
      <x:c r="N60" s="9" t="str"/>
      <x:c r="O60" s="9" t="str"/>
      <x:c r="P60" s="9" t="str"/>
      <x:c r="Q60" s="9" t="str"/>
      <x:c r="R60" s="9" t="str"/>
      <x:c r="S60" s="13" t="n">
        <x:v>0</x:v>
      </x:c>
      <x:c r="T60" s="14" t="n">
        <x:v>0.14285714285714285</x:v>
      </x:c>
      <x:c r="U60" s="13" t="n">
        <x:v>1</x:v>
      </x:c>
      <x:c r="V60" s="9" t="str">
        <x:v>Zinda v Ark School</x:v>
      </x:c>
      <x:c r="W60" s="14" t="n">
        <x:v>0.14285714285714285</x:v>
      </x:c>
      <x:c r="X60" s="9" t="str">
        <x:v>no</x:v>
      </x:c>
      <x:c r="Y60" s="9" t="str"/>
      <x:c r="Z60" s="9" t="str">
        <x:v>No accepted registry match. This does not by itself prove the authority is legally fictitious.</x:v>
      </x:c>
      <x:c r="AA60" s="9" t="str">
        <x:v>verified_real_title_variant</x:v>
      </x:c>
      <x:c r="AB60" s="9" t="str">
        <x:v>no</x:v>
      </x:c>
      <x:c r="AC60" s="9" t="str">
        <x:v>St Helen's School Northwood Ltd v HM Revenue and Customs</x:v>
      </x:c>
      <x:c r="AD60" s="9" t="str">
        <x:v>[2006] EWHC 3306 (Ch)</x:v>
      </x:c>
      <x:c r="AE60" s="9" t="str">
        <x:v>https://www.bailii.org/ew/cases/EWHC/Ch/2006/3306.html</x:v>
      </x:c>
      <x:c r="AF60" s="9" t="str">
        <x:v>The case is genuine. 'RCC' is an unclear abbreviation for the Revenue and Customs Commissioners, and no citation was supplied.</x:v>
      </x:c>
      <x:c r="AG60" s="9" t="str">
        <x:v>primary_judgment</x:v>
      </x:c>
      <x:c r="AH60" s="9" t="str">
        <x:v>primary</x:v>
      </x:c>
    </x:row>
    <x:row r="61">
      <x:c r="A61" t="str">
        <x:v>U0315</x:v>
      </x:c>
      <x:c r="B61" t="str">
        <x:v>cmsbr4fhb000v04l4mgwtz5x1</x:v>
      </x:c>
      <x:c r="C61" t="str">
        <x:v>real</x:v>
      </x:c>
      <x:c r="D61" s="9" t="str">
        <x:v>Hippodrome Casino Ltd v HMRC</x:v>
      </x:c>
      <x:c r="E61" s="9" t="str">
        <x:v>case:2002 ewca civ 605</x:v>
      </x:c>
      <x:c r="F61" s="9" t="str">
        <x:v>English v Emery Reimbold &amp; Strick Ltd [2002] EWCA Civ 605</x:v>
      </x:c>
      <x:c r="G61" s="9" t="str">
        <x:v>English v Emery Reimbold &amp; Strick Ltd [2002] EWCA Civ 605</x:v>
      </x:c>
      <x:c r="H61" s="9" t="str"/>
      <x:c r="I61" s="12" t="n">
        <x:v>1</x:v>
      </x:c>
      <x:c r="J61" s="9" t="str">
        <x:v>cmsbr3gmj000p04l4jzoye2ph</x:v>
      </x:c>
      <x:c r="K61" s="9" t="str">
        <x:v>present_exact_or_high</x:v>
      </x:c>
      <x:c r="L61" s="9" t="str">
        <x:v>exact_citation</x:v>
      </x:c>
      <x:c r="M61" s="9" t="str">
        <x:v>high</x:v>
      </x:c>
      <x:c r="N61" s="9" t="str">
        <x:v>f11564b3-860c-4adc-bd7a-d530ce37ea95</x:v>
      </x:c>
      <x:c r="O61" s="9" t="str">
        <x:v>English v Emery Reimbold &amp; Strick Ltd</x:v>
      </x:c>
      <x:c r="P61" s="9" t="str">
        <x:v>2002</x:v>
      </x:c>
      <x:c r="Q61" s="9" t="str">
        <x:v>England and Wales Court of Appeal (Civil Division)</x:v>
      </x:c>
      <x:c r="R61" s="9" t="str">
        <x:v>PT_EWCA-Civ_2002_605.xml</x:v>
      </x:c>
      <x:c r="S61" s="13" t="n">
        <x:v>95</x:v>
      </x:c>
      <x:c r="T61" s="14" t="n">
        <x:v>1</x:v>
      </x:c>
      <x:c r="U61" s="13" t="n">
        <x:v>1</x:v>
      </x:c>
      <x:c r="V61" s="9" t="str"/>
      <x:c r="W61" s="14" t="str"/>
      <x:c r="X61" s="9" t="str">
        <x:v>no</x:v>
      </x:c>
      <x:c r="Y61" s="9" t="str"/>
      <x:c r="Z61" s="9" t="str">
        <x:v>Authority exists as a top-level corpus case but was not returned by the linked retrieval event.</x:v>
      </x:c>
      <x:c r="AA61" s="9" t="str">
        <x:v>not_required_corpus_present</x:v>
      </x:c>
      <x:c r="AB61" s="9" t="str">
        <x:v>yes</x:v>
      </x:c>
      <x:c r="AC61" s="9" t="str"/>
      <x:c r="AD61" s="9" t="str"/>
      <x:c r="AE61" s="9" t="str"/>
      <x:c r="AF61" s="9" t="str"/>
      <x:c r="AG61" s="9" t="str"/>
      <x:c r="AH61" s="9" t="str"/>
    </x:row>
    <x:row r="62">
      <x:c r="A62" t="str">
        <x:v>U0327</x:v>
      </x:c>
      <x:c r="B62" t="str">
        <x:v>cmsbr6p4p001704l4z7u6108h</x:v>
      </x:c>
      <x:c r="C62" t="str">
        <x:v>real</x:v>
      </x:c>
      <x:c r="D62" s="9" t="str">
        <x:v>Hippodrome Casino Ltd v HMRC</x:v>
      </x:c>
      <x:c r="E62" s="9" t="str">
        <x:v>case:hmrc v volkswagen financial services</x:v>
      </x:c>
      <x:c r="F62" s="9" t="str">
        <x:v>HMRC v Volkswagen Financial Services</x:v>
      </x:c>
      <x:c r="G62" s="9" t="str">
        <x:v>HMRC v Volkswagen Financial Services</x:v>
      </x:c>
      <x:c r="H62" s="9" t="str"/>
      <x:c r="I62" s="12" t="n">
        <x:v>1</x:v>
      </x:c>
      <x:c r="J62" s="9" t="str">
        <x:v>cmsbr5rlu001104l45rnkob9p</x:v>
      </x:c>
      <x:c r="K62" s="9" t="str">
        <x:v>probable_manual_review</x:v>
      </x:c>
      <x:c r="L62" s="9" t="str">
        <x:v>probable_unordered_alias_title</x:v>
      </x:c>
      <x:c r="M62" s="9" t="str">
        <x:v>probable</x:v>
      </x:c>
      <x:c r="N62" s="9" t="str">
        <x:v>b9498527-3250-49cd-9d8e-ed7c0dda200e</x:v>
      </x:c>
      <x:c r="O62" s="9" t="str">
        <x:v>Volkswagen Financial Services (UK) Ltd v HM Revenue &amp; Customs</x:v>
      </x:c>
      <x:c r="P62" s="9" t="str">
        <x:v>2015</x:v>
      </x:c>
      <x:c r="Q62" s="9" t="str">
        <x:v>England and Wales Court of Appeal (Civil Division)</x:v>
      </x:c>
      <x:c r="R62" s="9" t="str">
        <x:v>-ew-cases-EWCA-Civ-2015-832.xml</x:v>
      </x:c>
      <x:c r="S62" s="13" t="n">
        <x:v>80</x:v>
      </x:c>
      <x:c r="T62" s="14" t="n">
        <x:v>1</x:v>
      </x:c>
      <x:c r="U62" s="13" t="n">
        <x:v>1</x:v>
      </x:c>
      <x:c r="V62" s="9" t="str"/>
      <x:c r="W62" s="14" t="str"/>
      <x:c r="X62" s="9" t="str">
        <x:v>no</x:v>
      </x:c>
      <x:c r="Y62" s="9" t="str"/>
      <x:c r="Z62" s="9" t="str">
        <x:v>Strong lexical candidate; verify manually before counting as corpus-present.</x:v>
      </x:c>
      <x:c r="AA62" s="9" t="str">
        <x:v>verified_real_ambiguous</x:v>
      </x:c>
      <x:c r="AB62" s="9" t="str">
        <x:v>yes</x:v>
      </x:c>
      <x:c r="AC62" s="9" t="str">
        <x:v>Volkswagen Financial Services (UK) Ltd v HM Revenue and Customs</x:v>
      </x:c>
      <x:c r="AD62" s="9" t="str">
        <x:v>[2015] EWCA Civ 832</x:v>
      </x:c>
      <x:c r="AE62" s="9" t="str">
        <x:v>https://www.bailii.org/ew/cases/EWCA/Civ/2015/832.html</x:v>
      </x:c>
      <x:c r="AF62" s="9" t="str">
        <x:v>The named dispute is genuine and the Qdrant title is the same national case. Because the generated text gives no citation, it could also be read as the later CJEU reference; accept the national corpus match but mark the citation ambiguous.</x:v>
      </x:c>
      <x:c r="AG62" s="9" t="str">
        <x:v>primary_judgment</x:v>
      </x:c>
      <x:c r="AH62" s="9" t="str">
        <x:v>primary</x:v>
      </x:c>
    </x:row>
    <x:row r="63">
      <x:c r="A63" t="str">
        <x:v>U0340</x:v>
      </x:c>
      <x:c r="B63" t="str">
        <x:v>cmsbrc37v001x04l4t7r77h89</x:v>
      </x:c>
      <x:c r="C63" t="str">
        <x:v>real</x:v>
      </x:c>
      <x:c r="D63" s="9" t="str">
        <x:v>Mr Demetrios Karpasitis v Hertfordshire County Council</x:v>
      </x:c>
      <x:c r="E63" s="9" t="str">
        <x:v>case:2000 1 wlr 377</x:v>
      </x:c>
      <x:c r="F63" s="9" t="str">
        <x:v>Flannery v Halifax Estate Agencies Ltd [2000] 1 WLR 377</x:v>
      </x:c>
      <x:c r="G63" s="9" t="str">
        <x:v>Flannery v Halifax Estate Agencies Ltd [2000] 1 WLR 377</x:v>
      </x:c>
      <x:c r="H63" s="9" t="str"/>
      <x:c r="I63" s="12" t="n">
        <x:v>1</x:v>
      </x:c>
      <x:c r="J63" s="9" t="str">
        <x:v>cmsbr997n001l04l4etg0c8qb</x:v>
      </x:c>
      <x:c r="K63" s="9" t="str">
        <x:v>not_found_in_registry</x:v>
      </x:c>
      <x:c r="L63" s="9" t="str">
        <x:v>none</x:v>
      </x:c>
      <x:c r="M63" s="9" t="str">
        <x:v>none</x:v>
      </x:c>
      <x:c r="N63" s="9" t="str"/>
      <x:c r="O63" s="9" t="str"/>
      <x:c r="P63" s="9" t="str"/>
      <x:c r="Q63" s="9" t="str"/>
      <x:c r="R63" s="9" t="str"/>
      <x:c r="S63" s="13" t="n">
        <x:v>0</x:v>
      </x:c>
      <x:c r="T63" s="14" t="n">
        <x:v>0.16666666666666666</x:v>
      </x:c>
      <x:c r="U63" s="13" t="n">
        <x:v>1</x:v>
      </x:c>
      <x:c r="V63" s="9" t="str">
        <x:v>The Gulf Agencies Limited v Ahmed [2016] EWCA Civ 44</x:v>
      </x:c>
      <x:c r="W63" s="14" t="n">
        <x:v>0.16666666666666666</x:v>
      </x:c>
      <x:c r="X63" s="9" t="str">
        <x:v>no</x:v>
      </x:c>
      <x:c r="Y63" s="9" t="str"/>
      <x:c r="Z63" s="9" t="str">
        <x:v>No accepted registry match. This does not by itself prove the authority is legally fictitious.</x:v>
      </x:c>
      <x:c r="AA63" s="9" t="str">
        <x:v>verified_real_exact</x:v>
      </x:c>
      <x:c r="AB63" s="9" t="str">
        <x:v>no</x:v>
      </x:c>
      <x:c r="AC63" s="9" t="str">
        <x:v>Flannery v Halifax Estate Agencies Ltd</x:v>
      </x:c>
      <x:c r="AD63" s="9" t="str">
        <x:v>[2000] 1 WLR 377; [1999] EWCA Civ 811</x:v>
      </x:c>
      <x:c r="AE63" s="9" t="str">
        <x:v>https://www.bailii.org/ew/cases/EWCA/Civ/1999/811.html</x:v>
      </x:c>
      <x:c r="AF63" s="9" t="str">
        <x:v>The case is genuine. The 2000 WLR citation is the report citation for the Court of Appeal judgment delivered in 1999.</x:v>
      </x:c>
      <x:c r="AG63" s="9" t="str">
        <x:v>primary_judgment</x:v>
      </x:c>
      <x:c r="AH63" s="9" t="str">
        <x:v>primary</x:v>
      </x:c>
    </x:row>
    <x:row r="64">
      <x:c r="A64" t="str">
        <x:v>U0348</x:v>
      </x:c>
      <x:c r="B64" t="str">
        <x:v>cmsbrqmhv000j04jp78i2n3gf</x:v>
      </x:c>
      <x:c r="C64" t="str">
        <x:v>real</x:v>
      </x:c>
      <x:c r="D64" s="9" t="str">
        <x:v>KSY Juice Blends UK Limited v Citrusuco GmbH</x:v>
      </x:c>
      <x:c r="E64" s="9" t="str">
        <x:v>case:2000 1 wlr 377</x:v>
      </x:c>
      <x:c r="F64" s="9" t="str">
        <x:v>Flannery v Halifax Estate Agencies Ltd [2000] 1 WLR 377</x:v>
      </x:c>
      <x:c r="G64" s="9" t="str">
        <x:v>Flannery v Halifax Estate Agencies Ltd [2000] 1 WLR 377</x:v>
      </x:c>
      <x:c r="H64" s="9" t="str"/>
      <x:c r="I64" s="12" t="n">
        <x:v>1</x:v>
      </x:c>
      <x:c r="J64" s="9" t="str">
        <x:v>cmsbrpoz0000d04jp4gktumzo</x:v>
      </x:c>
      <x:c r="K64" s="9" t="str">
        <x:v>not_found_in_registry</x:v>
      </x:c>
      <x:c r="L64" s="9" t="str">
        <x:v>none</x:v>
      </x:c>
      <x:c r="M64" s="9" t="str">
        <x:v>none</x:v>
      </x:c>
      <x:c r="N64" s="9" t="str"/>
      <x:c r="O64" s="9" t="str"/>
      <x:c r="P64" s="9" t="str"/>
      <x:c r="Q64" s="9" t="str"/>
      <x:c r="R64" s="9" t="str"/>
      <x:c r="S64" s="13" t="n">
        <x:v>0</x:v>
      </x:c>
      <x:c r="T64" s="14" t="n">
        <x:v>0.16666666666666666</x:v>
      </x:c>
      <x:c r="U64" s="13" t="n">
        <x:v>1</x:v>
      </x:c>
      <x:c r="V64" s="9" t="str">
        <x:v>The Gulf Agencies Limited v Ahmed [2016] EWCA Civ 44</x:v>
      </x:c>
      <x:c r="W64" s="14" t="n">
        <x:v>0.16666666666666666</x:v>
      </x:c>
      <x:c r="X64" s="9" t="str">
        <x:v>no</x:v>
      </x:c>
      <x:c r="Y64" s="9" t="str"/>
      <x:c r="Z64" s="9" t="str">
        <x:v>No accepted registry match. This does not by itself prove the authority is legally fictitious.</x:v>
      </x:c>
      <x:c r="AA64" s="9" t="str">
        <x:v>verified_real_exact</x:v>
      </x:c>
      <x:c r="AB64" s="9" t="str">
        <x:v>no</x:v>
      </x:c>
      <x:c r="AC64" s="9" t="str">
        <x:v>Flannery v Halifax Estate Agencies Ltd</x:v>
      </x:c>
      <x:c r="AD64" s="9" t="str">
        <x:v>[2000] 1 WLR 377; [1999] EWCA Civ 811</x:v>
      </x:c>
      <x:c r="AE64" s="9" t="str">
        <x:v>https://www.bailii.org/ew/cases/EWCA/Civ/1999/811.html</x:v>
      </x:c>
      <x:c r="AF64" s="9" t="str">
        <x:v>The case is genuine. The 2000 WLR citation is the report citation for the Court of Appeal judgment delivered in 1999.</x:v>
      </x:c>
      <x:c r="AG64" s="9" t="str">
        <x:v>primary_judgment</x:v>
      </x:c>
      <x:c r="AH64" s="9" t="str">
        <x:v>primary</x:v>
      </x:c>
    </x:row>
    <x:row r="65">
      <x:c r="A65" t="str">
        <x:v>U0349</x:v>
      </x:c>
      <x:c r="B65" t="str">
        <x:v>cmsbrqmhv000j04jp78i2n3gf</x:v>
      </x:c>
      <x:c r="C65" t="str">
        <x:v>real</x:v>
      </x:c>
      <x:c r="D65" s="9" t="str">
        <x:v>KSY Juice Blends UK Limited v Citrusuco GmbH</x:v>
      </x:c>
      <x:c r="E65" s="9" t="str">
        <x:v>case:2002 ewca civ 605</x:v>
      </x:c>
      <x:c r="F65" s="9" t="str">
        <x:v>English v Emery Reimbold &amp; Strick Ltd [2002] EWCA Civ 605</x:v>
      </x:c>
      <x:c r="G65" s="9" t="str">
        <x:v>English v Emery Reimbold &amp; Strick Ltd [2002] EWCA Civ 605</x:v>
      </x:c>
      <x:c r="H65" s="9" t="str"/>
      <x:c r="I65" s="12" t="n">
        <x:v>1</x:v>
      </x:c>
      <x:c r="J65" s="9" t="str">
        <x:v>cmsbrpoz0000d04jp4gktumzo</x:v>
      </x:c>
      <x:c r="K65" s="9" t="str">
        <x:v>present_exact_or_high</x:v>
      </x:c>
      <x:c r="L65" s="9" t="str">
        <x:v>exact_citation</x:v>
      </x:c>
      <x:c r="M65" s="9" t="str">
        <x:v>high</x:v>
      </x:c>
      <x:c r="N65" s="9" t="str">
        <x:v>f11564b3-860c-4adc-bd7a-d530ce37ea95</x:v>
      </x:c>
      <x:c r="O65" s="9" t="str">
        <x:v>English v Emery Reimbold &amp; Strick Ltd</x:v>
      </x:c>
      <x:c r="P65" s="9" t="str">
        <x:v>2002</x:v>
      </x:c>
      <x:c r="Q65" s="9" t="str">
        <x:v>England and Wales Court of Appeal (Civil Division)</x:v>
      </x:c>
      <x:c r="R65" s="9" t="str">
        <x:v>PT_EWCA-Civ_2002_605.xml</x:v>
      </x:c>
      <x:c r="S65" s="13" t="n">
        <x:v>95</x:v>
      </x:c>
      <x:c r="T65" s="14" t="n">
        <x:v>1</x:v>
      </x:c>
      <x:c r="U65" s="13" t="n">
        <x:v>1</x:v>
      </x:c>
      <x:c r="V65" s="9" t="str"/>
      <x:c r="W65" s="14" t="str"/>
      <x:c r="X65" s="9" t="str">
        <x:v>no</x:v>
      </x:c>
      <x:c r="Y65" s="9" t="str"/>
      <x:c r="Z65" s="9" t="str">
        <x:v>Authority exists as a top-level corpus case but was not returned by the linked retrieval event.</x:v>
      </x:c>
      <x:c r="AA65" s="9" t="str">
        <x:v>not_required_corpus_present</x:v>
      </x:c>
      <x:c r="AB65" s="9" t="str">
        <x:v>yes</x:v>
      </x:c>
      <x:c r="AC65" s="9" t="str"/>
      <x:c r="AD65" s="9" t="str"/>
      <x:c r="AE65" s="9" t="str"/>
      <x:c r="AF65" s="9" t="str"/>
      <x:c r="AG65" s="9" t="str"/>
      <x:c r="AH65" s="9" t="str"/>
    </x:row>
    <x:row r="66">
      <x:c r="A66" t="str">
        <x:v>U0357</x:v>
      </x:c>
      <x:c r="B66" t="str">
        <x:v>cmsbrvtc4001304jp5e4691on</x:v>
      </x:c>
      <x:c r="C66" t="str">
        <x:v>real</x:v>
      </x:c>
      <x:c r="D66" s="9" t="str">
        <x:v>Ryanair DAC &amp; Storm Global Limited v Jason Lutz</x:v>
      </x:c>
      <x:c r="E66" s="9" t="str">
        <x:v>case:2000 1 wlr 377</x:v>
      </x:c>
      <x:c r="F66" s="9" t="str">
        <x:v>Flannery v Halifax Estate Agencies Ltd [2000] 1 WLR 377</x:v>
      </x:c>
      <x:c r="G66" s="9" t="str">
        <x:v>Flannery v Halifax Estate Agencies Ltd [2000] 1 WLR 377</x:v>
      </x:c>
      <x:c r="H66" s="9" t="str"/>
      <x:c r="I66" s="12" t="n">
        <x:v>1</x:v>
      </x:c>
      <x:c r="J66" s="9" t="str">
        <x:v>cmsbrv0ui000x04jpfm1qjd05</x:v>
      </x:c>
      <x:c r="K66" s="9" t="str">
        <x:v>not_found_in_registry</x:v>
      </x:c>
      <x:c r="L66" s="9" t="str">
        <x:v>none</x:v>
      </x:c>
      <x:c r="M66" s="9" t="str">
        <x:v>none</x:v>
      </x:c>
      <x:c r="N66" s="9" t="str"/>
      <x:c r="O66" s="9" t="str"/>
      <x:c r="P66" s="9" t="str"/>
      <x:c r="Q66" s="9" t="str"/>
      <x:c r="R66" s="9" t="str"/>
      <x:c r="S66" s="13" t="n">
        <x:v>0</x:v>
      </x:c>
      <x:c r="T66" s="14" t="n">
        <x:v>0.16666666666666666</x:v>
      </x:c>
      <x:c r="U66" s="13" t="n">
        <x:v>1</x:v>
      </x:c>
      <x:c r="V66" s="9" t="str">
        <x:v>The Gulf Agencies Limited v Ahmed [2016] EWCA Civ 44</x:v>
      </x:c>
      <x:c r="W66" s="14" t="n">
        <x:v>0.16666666666666666</x:v>
      </x:c>
      <x:c r="X66" s="9" t="str">
        <x:v>no</x:v>
      </x:c>
      <x:c r="Y66" s="9" t="str"/>
      <x:c r="Z66" s="9" t="str">
        <x:v>No accepted registry match. This does not by itself prove the authority is legally fictitious.</x:v>
      </x:c>
      <x:c r="AA66" s="9" t="str">
        <x:v>verified_real_exact</x:v>
      </x:c>
      <x:c r="AB66" s="9" t="str">
        <x:v>no</x:v>
      </x:c>
      <x:c r="AC66" s="9" t="str">
        <x:v>Flannery v Halifax Estate Agencies Ltd</x:v>
      </x:c>
      <x:c r="AD66" s="9" t="str">
        <x:v>[2000] 1 WLR 377; [1999] EWCA Civ 811</x:v>
      </x:c>
      <x:c r="AE66" s="9" t="str">
        <x:v>https://www.bailii.org/ew/cases/EWCA/Civ/1999/811.html</x:v>
      </x:c>
      <x:c r="AF66" s="9" t="str">
        <x:v>The case is genuine. The 2000 WLR citation is the report citation for the Court of Appeal judgment delivered in 1999.</x:v>
      </x:c>
      <x:c r="AG66" s="9" t="str">
        <x:v>primary_judgment</x:v>
      </x:c>
      <x:c r="AH66" s="9" t="str">
        <x:v>primary</x:v>
      </x:c>
    </x:row>
    <x:row r="67">
      <x:c r="A67" t="str">
        <x:v>U0358</x:v>
      </x:c>
      <x:c r="B67" t="str">
        <x:v>cmsbrvtc4001304jp5e4691on</x:v>
      </x:c>
      <x:c r="C67" t="str">
        <x:v>real</x:v>
      </x:c>
      <x:c r="D67" s="9" t="str">
        <x:v>Ryanair DAC &amp; Storm Global Limited v Jason Lutz</x:v>
      </x:c>
      <x:c r="E67" s="9" t="str">
        <x:v>case:2002 ewca civ 605</x:v>
      </x:c>
      <x:c r="F67" s="9" t="str">
        <x:v>English v Emery Reimbold &amp; Strick Ltd [2002] EWCA Civ 605</x:v>
      </x:c>
      <x:c r="G67" s="9" t="str">
        <x:v>English v Emery Reimbold &amp; Strick Ltd [2002] EWCA Civ 605</x:v>
      </x:c>
      <x:c r="H67" s="9" t="str"/>
      <x:c r="I67" s="12" t="n">
        <x:v>1</x:v>
      </x:c>
      <x:c r="J67" s="9" t="str">
        <x:v>cmsbrv0ui000x04jpfm1qjd05</x:v>
      </x:c>
      <x:c r="K67" s="9" t="str">
        <x:v>present_exact_or_high</x:v>
      </x:c>
      <x:c r="L67" s="9" t="str">
        <x:v>exact_citation</x:v>
      </x:c>
      <x:c r="M67" s="9" t="str">
        <x:v>high</x:v>
      </x:c>
      <x:c r="N67" s="9" t="str">
        <x:v>f11564b3-860c-4adc-bd7a-d530ce37ea95</x:v>
      </x:c>
      <x:c r="O67" s="9" t="str">
        <x:v>English v Emery Reimbold &amp; Strick Ltd</x:v>
      </x:c>
      <x:c r="P67" s="9" t="str">
        <x:v>2002</x:v>
      </x:c>
      <x:c r="Q67" s="9" t="str">
        <x:v>England and Wales Court of Appeal (Civil Division)</x:v>
      </x:c>
      <x:c r="R67" s="9" t="str">
        <x:v>PT_EWCA-Civ_2002_605.xml</x:v>
      </x:c>
      <x:c r="S67" s="13" t="n">
        <x:v>95</x:v>
      </x:c>
      <x:c r="T67" s="14" t="n">
        <x:v>1</x:v>
      </x:c>
      <x:c r="U67" s="13" t="n">
        <x:v>1</x:v>
      </x:c>
      <x:c r="V67" s="9" t="str"/>
      <x:c r="W67" s="14" t="str"/>
      <x:c r="X67" s="9" t="str">
        <x:v>no</x:v>
      </x:c>
      <x:c r="Y67" s="9" t="str"/>
      <x:c r="Z67" s="9" t="str">
        <x:v>Authority exists as a top-level corpus case but was not returned by the linked retrieval event.</x:v>
      </x:c>
      <x:c r="AA67" s="9" t="str">
        <x:v>not_required_corpus_present</x:v>
      </x:c>
      <x:c r="AB67" s="9" t="str">
        <x:v>yes</x:v>
      </x:c>
      <x:c r="AC67" s="9" t="str"/>
      <x:c r="AD67" s="9" t="str"/>
      <x:c r="AE67" s="9" t="str"/>
      <x:c r="AF67" s="9" t="str"/>
      <x:c r="AG67" s="9" t="str"/>
      <x:c r="AH67" s="9" t="str"/>
    </x:row>
    <x:row r="68">
      <x:c r="A68" t="str">
        <x:v>U0367</x:v>
      </x:c>
      <x:c r="B68" t="str">
        <x:v>cmsbskr86000h04ji5a4thcht</x:v>
      </x:c>
      <x:c r="C68" t="str">
        <x:v>real</x:v>
      </x:c>
      <x:c r="D68" s="9" t="str">
        <x:v>Storm Global Limited v Jason Lutz</x:v>
      </x:c>
      <x:c r="E68" s="9" t="str">
        <x:v>case:james v greenwich bc 2008 irlr 302</x:v>
      </x:c>
      <x:c r="F68" s="9" t="str">
        <x:v>James v Greenwich BC [2008] IRLR 302</x:v>
      </x:c>
      <x:c r="G68" s="9" t="str">
        <x:v>James v Greenwich BC [2008] IRLR 302</x:v>
      </x:c>
      <x:c r="H68" s="9" t="str"/>
      <x:c r="I68" s="12" t="n">
        <x:v>1</x:v>
      </x:c>
      <x:c r="J68" s="9" t="str">
        <x:v>cmsbsjzo7000b04ji6xjyj7y5</x:v>
      </x:c>
      <x:c r="K68" s="9" t="str">
        <x:v>not_found_in_registry</x:v>
      </x:c>
      <x:c r="L68" s="9" t="str">
        <x:v>none</x:v>
      </x:c>
      <x:c r="M68" s="9" t="str">
        <x:v>none</x:v>
      </x:c>
      <x:c r="N68" s="9" t="str"/>
      <x:c r="O68" s="9" t="str"/>
      <x:c r="P68" s="9" t="str"/>
      <x:c r="Q68" s="9" t="str"/>
      <x:c r="R68" s="9" t="str"/>
      <x:c r="S68" s="13" t="n">
        <x:v>0</x:v>
      </x:c>
      <x:c r="T68" s="14" t="n">
        <x:v>0.14285714285714285</x:v>
      </x:c>
      <x:c r="U68" s="13" t="n">
        <x:v>2</x:v>
      </x:c>
      <x:c r="V68" s="9" t="str">
        <x:v>Thompson v James [2014] EWCA Civ 600</x:v>
      </x:c>
      <x:c r="W68" s="14" t="n">
        <x:v>0.14285714285714285</x:v>
      </x:c>
      <x:c r="X68" s="9" t="str">
        <x:v>no</x:v>
      </x:c>
      <x:c r="Y68" s="9" t="str"/>
      <x:c r="Z68" s="9" t="str">
        <x:v>No accepted registry match. This does not by itself prove the authority is legally fictitious.</x:v>
      </x:c>
      <x:c r="AA68" s="9" t="str">
        <x:v>verified_real_title_variant</x:v>
      </x:c>
      <x:c r="AB68" s="9" t="str">
        <x:v>no</x:v>
      </x:c>
      <x:c r="AC68" s="9" t="str">
        <x:v>James v London Borough of Greenwich</x:v>
      </x:c>
      <x:c r="AD68" s="9" t="str">
        <x:v>[2008] EWCA Civ 35; [2008] IRLR 302</x:v>
      </x:c>
      <x:c r="AE68" s="9" t="str">
        <x:v>https://www.bailii.org/ew/cases/EWCA/Civ/2008/35.html</x:v>
      </x:c>
      <x:c r="AF68" s="9" t="str">
        <x:v>The authority and report citation are genuine; 'Greenwich BC' is an abbreviated party name.</x:v>
      </x:c>
      <x:c r="AG68" s="9" t="str">
        <x:v>primary_judgment</x:v>
      </x:c>
      <x:c r="AH68" s="9" t="str">
        <x:v>primary</x:v>
      </x:c>
    </x:row>
    <x:row r="69">
      <x:c r="A69" t="str">
        <x:v>U0368</x:v>
      </x:c>
      <x:c r="B69" t="str">
        <x:v>cmsbskr86000h04ji5a4thcht</x:v>
      </x:c>
      <x:c r="C69" t="str">
        <x:v>real</x:v>
      </x:c>
      <x:c r="D69" s="9" t="str">
        <x:v>Storm Global Limited v Jason Lutz</x:v>
      </x:c>
      <x:c r="E69" s="9" t="str">
        <x:v>case:uber bv v aslam 2021 icr 657</x:v>
      </x:c>
      <x:c r="F69" s="9" t="str">
        <x:v>Uber BV v Aslam [2021] ICR 657</x:v>
      </x:c>
      <x:c r="G69" s="9" t="str">
        <x:v>Uber BV v Aslam [2021] ICR 657</x:v>
      </x:c>
      <x:c r="H69" s="9" t="str"/>
      <x:c r="I69" s="12" t="n">
        <x:v>1</x:v>
      </x:c>
      <x:c r="J69" s="9" t="str">
        <x:v>cmsbsjzo7000b04ji6xjyj7y5</x:v>
      </x:c>
      <x:c r="K69" s="9" t="str">
        <x:v>not_found_in_registry</x:v>
      </x:c>
      <x:c r="L69" s="9" t="str">
        <x:v>none</x:v>
      </x:c>
      <x:c r="M69" s="9" t="str">
        <x:v>none</x:v>
      </x:c>
      <x:c r="N69" s="9" t="str"/>
      <x:c r="O69" s="9" t="str"/>
      <x:c r="P69" s="9" t="str"/>
      <x:c r="Q69" s="9" t="str"/>
      <x:c r="R69" s="9" t="str"/>
      <x:c r="S69" s="13" t="n">
        <x:v>0</x:v>
      </x:c>
      <x:c r="T69" s="14" t="n">
        <x:v>0.1111111111111111</x:v>
      </x:c>
      <x:c r="U69" s="13" t="n">
        <x:v>4</x:v>
      </x:c>
      <x:c r="V69" s="9" t="str">
        <x:v>Aslam v Aviva Insurance Group</x:v>
      </x:c>
      <x:c r="W69" s="14" t="n">
        <x:v>0.1111111111111111</x:v>
      </x:c>
      <x:c r="X69" s="9" t="str">
        <x:v>no</x:v>
      </x:c>
      <x:c r="Y69" s="9" t="str"/>
      <x:c r="Z69" s="9" t="str">
        <x:v>No accepted registry match. This does not by itself prove the authority is legally fictitious.</x:v>
      </x:c>
      <x:c r="AA69" s="9" t="str">
        <x:v>verified_real_exact</x:v>
      </x:c>
      <x:c r="AB69" s="9" t="str">
        <x:v>no</x:v>
      </x:c>
      <x:c r="AC69" s="9" t="str">
        <x:v>Uber BV and others v Aslam and others</x:v>
      </x:c>
      <x:c r="AD69" s="9" t="str">
        <x:v>[2021] UKSC 5; [2021] ICR 657</x:v>
      </x:c>
      <x:c r="AE69" s="9" t="str">
        <x:v>https://www.supremecourt.uk/cases/uksc-2019-0029</x:v>
      </x:c>
      <x:c r="AF69" s="9" t="str">
        <x:v>The report citation is genuine; the extracted title is a conventional shortened form.</x:v>
      </x:c>
      <x:c r="AG69" s="9" t="str">
        <x:v>primary_judgment</x:v>
      </x:c>
      <x:c r="AH69" s="9" t="str">
        <x:v>primary</x:v>
      </x:c>
    </x:row>
    <x:row r="70">
      <x:c r="A70" t="str">
        <x:v>U0373</x:v>
      </x:c>
      <x:c r="B70" t="str">
        <x:v>cmsbsp3em001104ji2u62id7q</x:v>
      </x:c>
      <x:c r="C70" t="str">
        <x:v>real</x:v>
      </x:c>
      <x:c r="D70" s="9" t="str">
        <x:v>The Royal Embassy of Saudi Arabia (Cultural Bureau) v Abir Alhayali</x:v>
      </x:c>
      <x:c r="E70" s="9" t="str">
        <x:v>case:2002 ewca civ 605</x:v>
      </x:c>
      <x:c r="F70" s="9" t="str">
        <x:v>[2002] EWCA Civ 605</x:v>
      </x:c>
      <x:c r="G70" s="9" t="str">
        <x:v>[2002] EWCA Civ 605</x:v>
      </x:c>
      <x:c r="H70" s="9" t="str"/>
      <x:c r="I70" s="12" t="n">
        <x:v>1</x:v>
      </x:c>
      <x:c r="J70" s="9" t="str">
        <x:v>cmsbso1ez000v04jiujckeft7</x:v>
      </x:c>
      <x:c r="K70" s="9" t="str">
        <x:v>present_exact_or_high</x:v>
      </x:c>
      <x:c r="L70" s="9" t="str">
        <x:v>exact_citation</x:v>
      </x:c>
      <x:c r="M70" s="9" t="str">
        <x:v>high</x:v>
      </x:c>
      <x:c r="N70" s="9" t="str">
        <x:v>f11564b3-860c-4adc-bd7a-d530ce37ea95</x:v>
      </x:c>
      <x:c r="O70" s="9" t="str">
        <x:v>English v Emery Reimbold &amp; Strick Ltd</x:v>
      </x:c>
      <x:c r="P70" s="9" t="str">
        <x:v>2002</x:v>
      </x:c>
      <x:c r="Q70" s="9" t="str">
        <x:v>England and Wales Court of Appeal (Civil Division)</x:v>
      </x:c>
      <x:c r="R70" s="9" t="str">
        <x:v>PT_EWCA-Civ_2002_605.xml</x:v>
      </x:c>
      <x:c r="S70" s="13" t="n">
        <x:v>95</x:v>
      </x:c>
      <x:c r="T70" s="14" t="n">
        <x:v>1</x:v>
      </x:c>
      <x:c r="U70" s="13" t="n">
        <x:v>1</x:v>
      </x:c>
      <x:c r="V70" s="9" t="str"/>
      <x:c r="W70" s="14" t="str"/>
      <x:c r="X70" s="9" t="str">
        <x:v>no</x:v>
      </x:c>
      <x:c r="Y70" s="9" t="str"/>
      <x:c r="Z70" s="9" t="str">
        <x:v>Authority exists as a top-level corpus case but was not returned by the linked retrieval event.</x:v>
      </x:c>
      <x:c r="AA70" s="9" t="str">
        <x:v>not_required_corpus_present</x:v>
      </x:c>
      <x:c r="AB70" s="9" t="str">
        <x:v>yes</x:v>
      </x:c>
      <x:c r="AC70" s="9" t="str"/>
      <x:c r="AD70" s="9" t="str"/>
      <x:c r="AE70" s="9" t="str"/>
      <x:c r="AF70" s="9" t="str"/>
      <x:c r="AG70" s="9" t="str"/>
      <x:c r="AH70" s="9" t="str"/>
    </x:row>
    <x:row r="71">
      <x:c r="A71" t="str">
        <x:v>U0391</x:v>
      </x:c>
      <x:c r="B71" t="str">
        <x:v>cmsbsvvmu001x04jittsrlhz0</x:v>
      </x:c>
      <x:c r="C71" t="str">
        <x:v>real</x:v>
      </x:c>
      <x:c r="D71" s="9" t="str">
        <x:v>Modernatx, Inc. v Pfizer Limited &amp; Others</x:v>
      </x:c>
      <x:c r="E71" s="9" t="str">
        <x:v>case:2002 ewca civ 605</x:v>
      </x:c>
      <x:c r="F71" s="9" t="str">
        <x:v>[2002] EWCA Civ 605</x:v>
      </x:c>
      <x:c r="G71" s="9" t="str">
        <x:v>[2002] EWCA Civ 605</x:v>
      </x:c>
      <x:c r="H71" s="9" t="str"/>
      <x:c r="I71" s="12" t="n">
        <x:v>1</x:v>
      </x:c>
      <x:c r="J71" s="9" t="str">
        <x:v>cmsbsuhsv001r04jiv19ukl8u</x:v>
      </x:c>
      <x:c r="K71" s="9" t="str">
        <x:v>present_exact_or_high</x:v>
      </x:c>
      <x:c r="L71" s="9" t="str">
        <x:v>exact_citation</x:v>
      </x:c>
      <x:c r="M71" s="9" t="str">
        <x:v>high</x:v>
      </x:c>
      <x:c r="N71" s="9" t="str">
        <x:v>f11564b3-860c-4adc-bd7a-d530ce37ea95</x:v>
      </x:c>
      <x:c r="O71" s="9" t="str">
        <x:v>English v Emery Reimbold &amp; Strick Ltd</x:v>
      </x:c>
      <x:c r="P71" s="9" t="str">
        <x:v>2002</x:v>
      </x:c>
      <x:c r="Q71" s="9" t="str">
        <x:v>England and Wales Court of Appeal (Civil Division)</x:v>
      </x:c>
      <x:c r="R71" s="9" t="str">
        <x:v>PT_EWCA-Civ_2002_605.xml</x:v>
      </x:c>
      <x:c r="S71" s="13" t="n">
        <x:v>95</x:v>
      </x:c>
      <x:c r="T71" s="14" t="n">
        <x:v>1</x:v>
      </x:c>
      <x:c r="U71" s="13" t="n">
        <x:v>1</x:v>
      </x:c>
      <x:c r="V71" s="9" t="str"/>
      <x:c r="W71" s="14" t="str"/>
      <x:c r="X71" s="9" t="str">
        <x:v>no</x:v>
      </x:c>
      <x:c r="Y71" s="9" t="str"/>
      <x:c r="Z71" s="9" t="str">
        <x:v>Authority exists as a top-level corpus case but was not returned by the linked retrieval event.</x:v>
      </x:c>
      <x:c r="AA71" s="9" t="str">
        <x:v>not_required_corpus_present</x:v>
      </x:c>
      <x:c r="AB71" s="9" t="str">
        <x:v>yes</x:v>
      </x:c>
      <x:c r="AC71" s="9" t="str"/>
      <x:c r="AD71" s="9" t="str"/>
      <x:c r="AE71" s="9" t="str"/>
      <x:c r="AF71" s="9" t="str"/>
      <x:c r="AG71" s="9" t="str"/>
      <x:c r="AH71" s="9" t="str"/>
    </x:row>
    <x:row r="72">
      <x:c r="A72" t="str">
        <x:v>U0396</x:v>
      </x:c>
      <x:c r="B72" t="str">
        <x:v>cmsbszs77002304ji6ldkbjce</x:v>
      </x:c>
      <x:c r="C72" t="str">
        <x:v>real</x:v>
      </x:c>
      <x:c r="D72" s="9" t="str">
        <x:v>Modernatx, Inc. v Pfizer Limited &amp; Others</x:v>
      </x:c>
      <x:c r="E72" s="9" t="str">
        <x:v>case:2000 1 wlr 377</x:v>
      </x:c>
      <x:c r="F72" s="9" t="str">
        <x:v>Flannery v Halifax Estate Agencies Ltd [2000] 1 WLR 377</x:v>
      </x:c>
      <x:c r="G72" s="9" t="str">
        <x:v>Flannery v Halifax Estate Agencies Ltd [2000] 1 WLR 377</x:v>
      </x:c>
      <x:c r="H72" s="9" t="str"/>
      <x:c r="I72" s="12" t="n">
        <x:v>1</x:v>
      </x:c>
      <x:c r="J72" s="9" t="str">
        <x:v>cmsbsuhsv001r04jiv19ukl8u</x:v>
      </x:c>
      <x:c r="K72" s="9" t="str">
        <x:v>not_found_in_registry</x:v>
      </x:c>
      <x:c r="L72" s="9" t="str">
        <x:v>none</x:v>
      </x:c>
      <x:c r="M72" s="9" t="str">
        <x:v>none</x:v>
      </x:c>
      <x:c r="N72" s="9" t="str"/>
      <x:c r="O72" s="9" t="str"/>
      <x:c r="P72" s="9" t="str"/>
      <x:c r="Q72" s="9" t="str"/>
      <x:c r="R72" s="9" t="str"/>
      <x:c r="S72" s="13" t="n">
        <x:v>0</x:v>
      </x:c>
      <x:c r="T72" s="14" t="n">
        <x:v>0.16666666666666666</x:v>
      </x:c>
      <x:c r="U72" s="13" t="n">
        <x:v>1</x:v>
      </x:c>
      <x:c r="V72" s="9" t="str">
        <x:v>The Gulf Agencies Limited v Ahmed [2016] EWCA Civ 44</x:v>
      </x:c>
      <x:c r="W72" s="14" t="n">
        <x:v>0.16666666666666666</x:v>
      </x:c>
      <x:c r="X72" s="9" t="str">
        <x:v>no</x:v>
      </x:c>
      <x:c r="Y72" s="9" t="str"/>
      <x:c r="Z72" s="9" t="str">
        <x:v>No accepted registry match. This does not by itself prove the authority is legally fictitious.</x:v>
      </x:c>
      <x:c r="AA72" s="9" t="str">
        <x:v>verified_real_exact</x:v>
      </x:c>
      <x:c r="AB72" s="9" t="str">
        <x:v>no</x:v>
      </x:c>
      <x:c r="AC72" s="9" t="str">
        <x:v>Flannery v Halifax Estate Agencies Ltd</x:v>
      </x:c>
      <x:c r="AD72" s="9" t="str">
        <x:v>[2000] 1 WLR 377; [1999] EWCA Civ 811</x:v>
      </x:c>
      <x:c r="AE72" s="9" t="str">
        <x:v>https://www.bailii.org/ew/cases/EWCA/Civ/1999/811.html</x:v>
      </x:c>
      <x:c r="AF72" s="9" t="str">
        <x:v>The case is genuine. The 2000 WLR citation is the report citation for the Court of Appeal judgment delivered in 1999.</x:v>
      </x:c>
      <x:c r="AG72" s="9" t="str">
        <x:v>primary_judgment</x:v>
      </x:c>
      <x:c r="AH72" s="9" t="str">
        <x:v>primary</x:v>
      </x:c>
    </x:row>
    <x:row r="73">
      <x:c r="A73" t="str">
        <x:v>U0397</x:v>
      </x:c>
      <x:c r="B73" t="str">
        <x:v>cmsbszs77002304ji6ldkbjce</x:v>
      </x:c>
      <x:c r="C73" t="str">
        <x:v>real</x:v>
      </x:c>
      <x:c r="D73" s="9" t="str">
        <x:v>Modernatx, Inc. v Pfizer Limited &amp; Others</x:v>
      </x:c>
      <x:c r="E73" s="9" t="str">
        <x:v>case:2002 ewca civ 605</x:v>
      </x:c>
      <x:c r="F73" s="9" t="str">
        <x:v>English v Emery Reimbold &amp; Strick Ltd [2002] EWCA Civ 605</x:v>
      </x:c>
      <x:c r="G73" s="9" t="str">
        <x:v>English v Emery Reimbold &amp; Strick Ltd [2002] EWCA Civ 605</x:v>
      </x:c>
      <x:c r="H73" s="9" t="str"/>
      <x:c r="I73" s="12" t="n">
        <x:v>1</x:v>
      </x:c>
      <x:c r="J73" s="9" t="str">
        <x:v>cmsbsuhsv001r04jiv19ukl8u</x:v>
      </x:c>
      <x:c r="K73" s="9" t="str">
        <x:v>present_exact_or_high</x:v>
      </x:c>
      <x:c r="L73" s="9" t="str">
        <x:v>exact_citation</x:v>
      </x:c>
      <x:c r="M73" s="9" t="str">
        <x:v>high</x:v>
      </x:c>
      <x:c r="N73" s="9" t="str">
        <x:v>f11564b3-860c-4adc-bd7a-d530ce37ea95</x:v>
      </x:c>
      <x:c r="O73" s="9" t="str">
        <x:v>English v Emery Reimbold &amp; Strick Ltd</x:v>
      </x:c>
      <x:c r="P73" s="9" t="str">
        <x:v>2002</x:v>
      </x:c>
      <x:c r="Q73" s="9" t="str">
        <x:v>England and Wales Court of Appeal (Civil Division)</x:v>
      </x:c>
      <x:c r="R73" s="9" t="str">
        <x:v>PT_EWCA-Civ_2002_605.xml</x:v>
      </x:c>
      <x:c r="S73" s="13" t="n">
        <x:v>95</x:v>
      </x:c>
      <x:c r="T73" s="14" t="n">
        <x:v>1</x:v>
      </x:c>
      <x:c r="U73" s="13" t="n">
        <x:v>1</x:v>
      </x:c>
      <x:c r="V73" s="9" t="str"/>
      <x:c r="W73" s="14" t="str"/>
      <x:c r="X73" s="9" t="str">
        <x:v>no</x:v>
      </x:c>
      <x:c r="Y73" s="9" t="str"/>
      <x:c r="Z73" s="9" t="str">
        <x:v>Authority exists as a top-level corpus case but was not returned by the linked retrieval event.</x:v>
      </x:c>
      <x:c r="AA73" s="9" t="str">
        <x:v>not_required_corpus_present</x:v>
      </x:c>
      <x:c r="AB73" s="9" t="str">
        <x:v>yes</x:v>
      </x:c>
      <x:c r="AC73" s="9" t="str"/>
      <x:c r="AD73" s="9" t="str"/>
      <x:c r="AE73" s="9" t="str"/>
      <x:c r="AF73" s="9" t="str"/>
      <x:c r="AG73" s="9" t="str"/>
      <x:c r="AH73" s="9" t="str"/>
    </x:row>
    <x:row r="74">
      <x:c r="A74" t="str">
        <x:v>U0401</x:v>
      </x:c>
      <x:c r="B74" t="str">
        <x:v>cmsbt3hfa002904ji8k6b026n</x:v>
      </x:c>
      <x:c r="C74" t="str">
        <x:v>real</x:v>
      </x:c>
      <x:c r="D74" s="9" t="str">
        <x:v>Modernatx, Inc. v Pfizer Limited &amp; Others</x:v>
      </x:c>
      <x:c r="E74" s="9" t="str">
        <x:v>case:2000 1 wlr 377</x:v>
      </x:c>
      <x:c r="F74" s="9" t="str">
        <x:v>Flannery v Halifax Estate Agencies Ltd [2000] 1 WLR 377</x:v>
      </x:c>
      <x:c r="G74" s="9" t="str">
        <x:v>Flannery v Halifax Estate Agencies Ltd [2000] 1 WLR 377</x:v>
      </x:c>
      <x:c r="H74" s="9" t="str"/>
      <x:c r="I74" s="12" t="n">
        <x:v>1</x:v>
      </x:c>
      <x:c r="J74" s="9" t="str">
        <x:v>cmsbsuhsv001r04jiv19ukl8u</x:v>
      </x:c>
      <x:c r="K74" s="9" t="str">
        <x:v>not_found_in_registry</x:v>
      </x:c>
      <x:c r="L74" s="9" t="str">
        <x:v>none</x:v>
      </x:c>
      <x:c r="M74" s="9" t="str">
        <x:v>none</x:v>
      </x:c>
      <x:c r="N74" s="9" t="str"/>
      <x:c r="O74" s="9" t="str"/>
      <x:c r="P74" s="9" t="str"/>
      <x:c r="Q74" s="9" t="str"/>
      <x:c r="R74" s="9" t="str"/>
      <x:c r="S74" s="13" t="n">
        <x:v>0</x:v>
      </x:c>
      <x:c r="T74" s="14" t="n">
        <x:v>0.16666666666666666</x:v>
      </x:c>
      <x:c r="U74" s="13" t="n">
        <x:v>1</x:v>
      </x:c>
      <x:c r="V74" s="9" t="str">
        <x:v>The Gulf Agencies Limited v Ahmed [2016] EWCA Civ 44</x:v>
      </x:c>
      <x:c r="W74" s="14" t="n">
        <x:v>0.16666666666666666</x:v>
      </x:c>
      <x:c r="X74" s="9" t="str">
        <x:v>no</x:v>
      </x:c>
      <x:c r="Y74" s="9" t="str"/>
      <x:c r="Z74" s="9" t="str">
        <x:v>No accepted registry match. This does not by itself prove the authority is legally fictitious.</x:v>
      </x:c>
      <x:c r="AA74" s="9" t="str">
        <x:v>verified_real_exact</x:v>
      </x:c>
      <x:c r="AB74" s="9" t="str">
        <x:v>no</x:v>
      </x:c>
      <x:c r="AC74" s="9" t="str">
        <x:v>Flannery v Halifax Estate Agencies Ltd</x:v>
      </x:c>
      <x:c r="AD74" s="9" t="str">
        <x:v>[2000] 1 WLR 377; [1999] EWCA Civ 811</x:v>
      </x:c>
      <x:c r="AE74" s="9" t="str">
        <x:v>https://www.bailii.org/ew/cases/EWCA/Civ/1999/811.html</x:v>
      </x:c>
      <x:c r="AF74" s="9" t="str">
        <x:v>The case is genuine. The 2000 WLR citation is the report citation for the Court of Appeal judgment delivered in 1999.</x:v>
      </x:c>
      <x:c r="AG74" s="9" t="str">
        <x:v>primary_judgment</x:v>
      </x:c>
      <x:c r="AH74" s="9" t="str">
        <x:v>primary</x:v>
      </x:c>
    </x:row>
    <x:row r="75">
      <x:c r="A75" t="str">
        <x:v>U0402</x:v>
      </x:c>
      <x:c r="B75" t="str">
        <x:v>cmsbt3hfa002904ji8k6b026n</x:v>
      </x:c>
      <x:c r="C75" t="str">
        <x:v>real</x:v>
      </x:c>
      <x:c r="D75" s="9" t="str">
        <x:v>Modernatx, Inc. v Pfizer Limited &amp; Others</x:v>
      </x:c>
      <x:c r="E75" s="9" t="str">
        <x:v>case:2002 ewca civ 605</x:v>
      </x:c>
      <x:c r="F75" s="9" t="str">
        <x:v>English v Emery Reimbold &amp; Strick Ltd [2002] EWCA Civ 605</x:v>
      </x:c>
      <x:c r="G75" s="9" t="str">
        <x:v>English v Emery Reimbold &amp; Strick Ltd [2002] EWCA Civ 605</x:v>
      </x:c>
      <x:c r="H75" s="9" t="str"/>
      <x:c r="I75" s="12" t="n">
        <x:v>1</x:v>
      </x:c>
      <x:c r="J75" s="9" t="str">
        <x:v>cmsbsuhsv001r04jiv19ukl8u</x:v>
      </x:c>
      <x:c r="K75" s="9" t="str">
        <x:v>present_exact_or_high</x:v>
      </x:c>
      <x:c r="L75" s="9" t="str">
        <x:v>exact_citation</x:v>
      </x:c>
      <x:c r="M75" s="9" t="str">
        <x:v>high</x:v>
      </x:c>
      <x:c r="N75" s="9" t="str">
        <x:v>f11564b3-860c-4adc-bd7a-d530ce37ea95</x:v>
      </x:c>
      <x:c r="O75" s="9" t="str">
        <x:v>English v Emery Reimbold &amp; Strick Ltd</x:v>
      </x:c>
      <x:c r="P75" s="9" t="str">
        <x:v>2002</x:v>
      </x:c>
      <x:c r="Q75" s="9" t="str">
        <x:v>England and Wales Court of Appeal (Civil Division)</x:v>
      </x:c>
      <x:c r="R75" s="9" t="str">
        <x:v>PT_EWCA-Civ_2002_605.xml</x:v>
      </x:c>
      <x:c r="S75" s="13" t="n">
        <x:v>95</x:v>
      </x:c>
      <x:c r="T75" s="14" t="n">
        <x:v>1</x:v>
      </x:c>
      <x:c r="U75" s="13" t="n">
        <x:v>1</x:v>
      </x:c>
      <x:c r="V75" s="9" t="str"/>
      <x:c r="W75" s="14" t="str"/>
      <x:c r="X75" s="9" t="str">
        <x:v>no</x:v>
      </x:c>
      <x:c r="Y75" s="9" t="str"/>
      <x:c r="Z75" s="9" t="str">
        <x:v>Authority exists as a top-level corpus case but was not returned by the linked retrieval event.</x:v>
      </x:c>
      <x:c r="AA75" s="9" t="str">
        <x:v>not_required_corpus_present</x:v>
      </x:c>
      <x:c r="AB75" s="9" t="str">
        <x:v>yes</x:v>
      </x:c>
      <x:c r="AC75" s="9" t="str"/>
      <x:c r="AD75" s="9" t="str"/>
      <x:c r="AE75" s="9" t="str"/>
      <x:c r="AF75" s="9" t="str"/>
      <x:c r="AG75" s="9" t="str"/>
      <x:c r="AH75" s="9" t="str"/>
    </x:row>
    <x:row r="76">
      <x:c r="A76" t="str">
        <x:v>U0404</x:v>
      </x:c>
      <x:c r="B76" t="str">
        <x:v>cmsbt3hfa002904ji8k6b026n</x:v>
      </x:c>
      <x:c r="C76" t="str">
        <x:v>real</x:v>
      </x:c>
      <x:c r="D76" s="9" t="str">
        <x:v>Modernatx, Inc. v Pfizer Limited &amp; Others</x:v>
      </x:c>
      <x:c r="E76" s="9" t="str">
        <x:v>case:synthon v smithkline beecham plc no 2</x:v>
      </x:c>
      <x:c r="F76" s="9" t="str">
        <x:v>Synthon v SmithKline Beecham Plc (No.2)</x:v>
      </x:c>
      <x:c r="G76" s="9" t="str">
        <x:v>Synthon v SmithKline Beecham Plc (No.2)</x:v>
      </x:c>
      <x:c r="H76" s="9" t="str"/>
      <x:c r="I76" s="12" t="n">
        <x:v>1</x:v>
      </x:c>
      <x:c r="J76" s="9" t="str">
        <x:v>cmsbsuhsv001r04jiv19ukl8u</x:v>
      </x:c>
      <x:c r="K76" s="9" t="str">
        <x:v>not_found_in_registry</x:v>
      </x:c>
      <x:c r="L76" s="9" t="str">
        <x:v>none</x:v>
      </x:c>
      <x:c r="M76" s="9" t="str">
        <x:v>none</x:v>
      </x:c>
      <x:c r="N76" s="9" t="str"/>
      <x:c r="O76" s="9" t="str"/>
      <x:c r="P76" s="9" t="str"/>
      <x:c r="Q76" s="9" t="str"/>
      <x:c r="R76" s="9" t="str"/>
      <x:c r="S76" s="13" t="n">
        <x:v>0</x:v>
      </x:c>
      <x:c r="T76" s="14" t="n">
        <x:v>0.14285714285714285</x:v>
      </x:c>
      <x:c r="U76" s="13" t="n">
        <x:v>1</x:v>
      </x:c>
      <x:c r="V76" s="9" t="str">
        <x:v>Synthon BV v Teva Pharmaceutical Industries Ltd [2017] EWCA Civ 148</x:v>
      </x:c>
      <x:c r="W76" s="14" t="n">
        <x:v>0.14285714285714285</x:v>
      </x:c>
      <x:c r="X76" s="9" t="str">
        <x:v>yes</x:v>
      </x:c>
      <x:c r="Y76" s="9" t="str">
        <x:v>Synthon v SmithKline Beecham plc</x:v>
      </x:c>
      <x:c r="Z76" s="9" t="str">
        <x:v>No accepted registry match. This does not by itself prove the authority is legally fictitious.</x:v>
      </x:c>
      <x:c r="AA76" s="9" t="str">
        <x:v>verified_real_incomplete_citation</x:v>
      </x:c>
      <x:c r="AB76" s="9" t="str">
        <x:v>no</x:v>
      </x:c>
      <x:c r="AC76" s="9" t="str">
        <x:v>Synthon BV v SmithKline Beecham plc (No 2)</x:v>
      </x:c>
      <x:c r="AD76" s="9" t="str">
        <x:v>[2005] UKHL 59; [2006] RPC 10</x:v>
      </x:c>
      <x:c r="AE76" s="9" t="str">
        <x:v>https://publications.parliament.uk/pa/ld200506/ldjudgmt/jd051020/synth-1.htm</x:v>
      </x:c>
      <x:c r="AF76" s="9" t="str">
        <x:v>The authority is genuine, but the extracted form supplied no citation and omitted 'BV'.</x:v>
      </x:c>
      <x:c r="AG76" s="9" t="str">
        <x:v>primary_judgment</x:v>
      </x:c>
      <x:c r="AH76" s="9" t="str">
        <x:v>primary</x:v>
      </x:c>
    </x:row>
    <x:row r="77">
      <x:c r="A77" t="str">
        <x:v>U0407</x:v>
      </x:c>
      <x:c r="B77" t="str">
        <x:v>cmsbtbxft002t04jic4baeo3l</x:v>
      </x:c>
      <x:c r="C77" t="str">
        <x:v>real</x:v>
      </x:c>
      <x:c r="D77" s="9" t="str">
        <x:v>Modernatx, Inc. v Pfizer Limited &amp; Others</x:v>
      </x:c>
      <x:c r="E77" s="9" t="str">
        <x:v>case:2002 ewca civ 605</x:v>
      </x:c>
      <x:c r="F77" s="9" t="str">
        <x:v>[2002] EWCA Civ 605</x:v>
      </x:c>
      <x:c r="G77" s="9" t="str">
        <x:v>[2002] EWCA Civ 605</x:v>
      </x:c>
      <x:c r="H77" s="9" t="str"/>
      <x:c r="I77" s="12" t="n">
        <x:v>1</x:v>
      </x:c>
      <x:c r="J77" s="9" t="str">
        <x:v>cmsbtb7sw002n04jipbuqxu0i</x:v>
      </x:c>
      <x:c r="K77" s="9" t="str">
        <x:v>present_exact_or_high</x:v>
      </x:c>
      <x:c r="L77" s="9" t="str">
        <x:v>exact_citation</x:v>
      </x:c>
      <x:c r="M77" s="9" t="str">
        <x:v>high</x:v>
      </x:c>
      <x:c r="N77" s="9" t="str">
        <x:v>f11564b3-860c-4adc-bd7a-d530ce37ea95</x:v>
      </x:c>
      <x:c r="O77" s="9" t="str">
        <x:v>English v Emery Reimbold &amp; Strick Ltd</x:v>
      </x:c>
      <x:c r="P77" s="9" t="str">
        <x:v>2002</x:v>
      </x:c>
      <x:c r="Q77" s="9" t="str">
        <x:v>England and Wales Court of Appeal (Civil Division)</x:v>
      </x:c>
      <x:c r="R77" s="9" t="str">
        <x:v>PT_EWCA-Civ_2002_605.xml</x:v>
      </x:c>
      <x:c r="S77" s="13" t="n">
        <x:v>95</x:v>
      </x:c>
      <x:c r="T77" s="14" t="n">
        <x:v>1</x:v>
      </x:c>
      <x:c r="U77" s="13" t="n">
        <x:v>1</x:v>
      </x:c>
      <x:c r="V77" s="9" t="str"/>
      <x:c r="W77" s="14" t="str"/>
      <x:c r="X77" s="9" t="str">
        <x:v>no</x:v>
      </x:c>
      <x:c r="Y77" s="9" t="str"/>
      <x:c r="Z77" s="9" t="str">
        <x:v>Authority exists as a top-level corpus case but was not returned by the linked retrieval event.</x:v>
      </x:c>
      <x:c r="AA77" s="9" t="str">
        <x:v>not_required_corpus_present</x:v>
      </x:c>
      <x:c r="AB77" s="9" t="str">
        <x:v>yes</x:v>
      </x:c>
      <x:c r="AC77" s="9" t="str"/>
      <x:c r="AD77" s="9" t="str"/>
      <x:c r="AE77" s="9" t="str"/>
      <x:c r="AF77" s="9" t="str"/>
      <x:c r="AG77" s="9" t="str"/>
      <x:c r="AH77" s="9" t="str"/>
    </x:row>
    <x:row r="78">
      <x:c r="A78" t="str">
        <x:v>U0416</x:v>
      </x:c>
      <x:c r="B78" t="str">
        <x:v>cmst419ew000k04ladhs06s0r</x:v>
      </x:c>
      <x:c r="C78" t="str">
        <x:v>synthetic</x:v>
      </x:c>
      <x:c r="D78" s="9" t="str">
        <x:v>Sharma v Meridian Financial Services Ltd</x:v>
      </x:c>
      <x:c r="E78" s="9" t="str">
        <x:v>case:igen ltd v wong</x:v>
      </x:c>
      <x:c r="F78" s="9" t="str">
        <x:v>Igen Ltd v Wong</x:v>
      </x:c>
      <x:c r="G78" s="9" t="str">
        <x:v>Igen Ltd v Wong</x:v>
      </x:c>
      <x:c r="H78" s="9" t="str"/>
      <x:c r="I78" s="12" t="n">
        <x:v>1</x:v>
      </x:c>
      <x:c r="J78" s="9" t="str">
        <x:v>cmst3ztkq000e04labxjacu4p</x:v>
      </x:c>
      <x:c r="K78" s="9" t="str">
        <x:v>not_found_in_registry</x:v>
      </x:c>
      <x:c r="L78" s="9" t="str">
        <x:v>none</x:v>
      </x:c>
      <x:c r="M78" s="9" t="str">
        <x:v>none</x:v>
      </x:c>
      <x:c r="N78" s="9" t="str"/>
      <x:c r="O78" s="9" t="str"/>
      <x:c r="P78" s="9" t="str"/>
      <x:c r="Q78" s="9" t="str"/>
      <x:c r="R78" s="9" t="str"/>
      <x:c r="S78" s="13" t="n">
        <x:v>0</x:v>
      </x:c>
      <x:c r="T78" s="14" t="n">
        <x:v>0</x:v>
      </x:c>
      <x:c r="U78" s="13" t="n">
        <x:v>3654</x:v>
      </x:c>
      <x:c r="V78" s="9" t="str">
        <x:v>3D Morden College v Secretary of State for the Home Department</x:v>
      </x:c>
      <x:c r="W78" s="14" t="n">
        <x:v>0</x:v>
      </x:c>
      <x:c r="X78" s="9" t="str">
        <x:v>yes</x:v>
      </x:c>
      <x:c r="Y78" s="9" t="str">
        <x:v>Igen Ltd v Wong</x:v>
      </x:c>
      <x:c r="Z78" s="9" t="str">
        <x:v>No accepted registry match. This does not by itself prove the authority is legally fictitious.</x:v>
      </x:c>
      <x:c r="AA78" s="9" t="str">
        <x:v>verified_real_incomplete_citation</x:v>
      </x:c>
      <x:c r="AB78" s="9" t="str">
        <x:v>no</x:v>
      </x:c>
      <x:c r="AC78" s="9" t="str">
        <x:v>Igen Ltd v Wong</x:v>
      </x:c>
      <x:c r="AD78" s="9" t="str">
        <x:v>[2005] EWCA Civ 142; [2005] ICR 931</x:v>
      </x:c>
      <x:c r="AE78" s="9" t="str">
        <x:v>https://www.bailii.org/ew/cases/EWCA/Civ/2005/142.html</x:v>
      </x:c>
      <x:c r="AF78" s="9" t="str">
        <x:v>The case is genuine, but the extracted form supplied no citation.</x:v>
      </x:c>
      <x:c r="AG78" s="9" t="str">
        <x:v>primary_judgment</x:v>
      </x:c>
      <x:c r="AH78" s="9" t="str">
        <x:v>primary</x:v>
      </x:c>
    </x:row>
    <x:row r="79">
      <x:c r="A79" t="str">
        <x:v>U0417</x:v>
      </x:c>
      <x:c r="B79" t="str">
        <x:v>cmst419ew000k04ladhs06s0r</x:v>
      </x:c>
      <x:c r="C79" t="str">
        <x:v>synthetic</x:v>
      </x:c>
      <x:c r="D79" s="9" t="str">
        <x:v>Sharma v Meridian Financial Services Ltd</x:v>
      </x:c>
      <x:c r="E79" s="9" t="str">
        <x:v>case:shamoon v chief constable of the royal ulster constabulary</x:v>
      </x:c>
      <x:c r="F79" s="9" t="str">
        <x:v>Shamoon v Chief Constable of the Royal Ulster Constabulary</x:v>
      </x:c>
      <x:c r="G79" s="9" t="str">
        <x:v>Shamoon v Chief Constable of the Royal Ulster Constabulary</x:v>
      </x:c>
      <x:c r="H79" s="9" t="str"/>
      <x:c r="I79" s="12" t="n">
        <x:v>1</x:v>
      </x:c>
      <x:c r="J79" s="9" t="str">
        <x:v>cmst3ztkq000e04labxjacu4p</x:v>
      </x:c>
      <x:c r="K79" s="9" t="str">
        <x:v>not_found_in_registry</x:v>
      </x:c>
      <x:c r="L79" s="9" t="str">
        <x:v>none</x:v>
      </x:c>
      <x:c r="M79" s="9" t="str">
        <x:v>none</x:v>
      </x:c>
      <x:c r="N79" s="9" t="str"/>
      <x:c r="O79" s="9" t="str"/>
      <x:c r="P79" s="9" t="str"/>
      <x:c r="Q79" s="9" t="str"/>
      <x:c r="R79" s="9" t="str"/>
      <x:c r="S79" s="13" t="n">
        <x:v>0</x:v>
      </x:c>
      <x:c r="T79" s="14" t="n">
        <x:v>0.3333333333333333</x:v>
      </x:c>
      <x:c r="U79" s="13" t="n">
        <x:v>5</x:v>
      </x:c>
      <x:c r="V79" s="9" t="str">
        <x:v>Durrant v Chief Constable of Avon &amp; Somerset Constabulary</x:v>
      </x:c>
      <x:c r="W79" s="14" t="n">
        <x:v>0.3333333333333333</x:v>
      </x:c>
      <x:c r="X79" s="9" t="str">
        <x:v>no</x:v>
      </x:c>
      <x:c r="Y79" s="9" t="str"/>
      <x:c r="Z79" s="9" t="str">
        <x:v>No accepted registry match. This does not by itself prove the authority is legally fictitious.</x:v>
      </x:c>
      <x:c r="AA79" s="9" t="str">
        <x:v>verified_real_incomplete_citation</x:v>
      </x:c>
      <x:c r="AB79" s="9" t="str">
        <x:v>no</x:v>
      </x:c>
      <x:c r="AC79" s="9" t="str">
        <x:v>Shamoon v Chief Constable of the Royal Ulster Constabulary</x:v>
      </x:c>
      <x:c r="AD79" s="9" t="str">
        <x:v>[2003] UKHL 11; [2003] ICR 337</x:v>
      </x:c>
      <x:c r="AE79" s="9" t="str">
        <x:v>https://publications.parliament.uk/pa/ld200203/ldjudgmt/jd030227/sham-1.htm</x:v>
      </x:c>
      <x:c r="AF79" s="9" t="str">
        <x:v>The case is genuine, but the extracted form supplied no citation.</x:v>
      </x:c>
      <x:c r="AG79" s="9" t="str">
        <x:v>primary_judgment</x:v>
      </x:c>
      <x:c r="AH79" s="9" t="str">
        <x:v>primary</x:v>
      </x:c>
    </x:row>
    <x:row r="80">
      <x:c r="A80" t="str">
        <x:v>U0432</x:v>
      </x:c>
      <x:c r="B80" t="str">
        <x:v>cmst49zw4001104l7neqlaa0v</x:v>
      </x:c>
      <x:c r="C80" t="str">
        <x:v>synthetic</x:v>
      </x:c>
      <x:c r="D80" s="9" t="str">
        <x:v>Webb v Ashworth &amp; Partners</x:v>
      </x:c>
      <x:c r="E80" s="9" t="str">
        <x:v>case:2002 ewca civ 605</x:v>
      </x:c>
      <x:c r="F80" s="9" t="str">
        <x:v>[2002] EWCA Civ 605</x:v>
      </x:c>
      <x:c r="G80" s="9" t="str">
        <x:v>[2002] EWCA Civ 605</x:v>
      </x:c>
      <x:c r="H80" s="9" t="str"/>
      <x:c r="I80" s="12" t="n">
        <x:v>1</x:v>
      </x:c>
      <x:c r="J80" s="9" t="str">
        <x:v>cmst47zkn000v04l7hdoa66wv</x:v>
      </x:c>
      <x:c r="K80" s="9" t="str">
        <x:v>present_exact_or_high</x:v>
      </x:c>
      <x:c r="L80" s="9" t="str">
        <x:v>exact_citation</x:v>
      </x:c>
      <x:c r="M80" s="9" t="str">
        <x:v>high</x:v>
      </x:c>
      <x:c r="N80" s="9" t="str">
        <x:v>f11564b3-860c-4adc-bd7a-d530ce37ea95</x:v>
      </x:c>
      <x:c r="O80" s="9" t="str">
        <x:v>English v Emery Reimbold &amp; Strick Ltd</x:v>
      </x:c>
      <x:c r="P80" s="9" t="str">
        <x:v>2002</x:v>
      </x:c>
      <x:c r="Q80" s="9" t="str">
        <x:v>England and Wales Court of Appeal (Civil Division)</x:v>
      </x:c>
      <x:c r="R80" s="9" t="str">
        <x:v>PT_EWCA-Civ_2002_605.xml</x:v>
      </x:c>
      <x:c r="S80" s="13" t="n">
        <x:v>95</x:v>
      </x:c>
      <x:c r="T80" s="14" t="n">
        <x:v>1</x:v>
      </x:c>
      <x:c r="U80" s="13" t="n">
        <x:v>1</x:v>
      </x:c>
      <x:c r="V80" s="9" t="str"/>
      <x:c r="W80" s="14" t="str"/>
      <x:c r="X80" s="9" t="str">
        <x:v>no</x:v>
      </x:c>
      <x:c r="Y80" s="9" t="str"/>
      <x:c r="Z80" s="9" t="str">
        <x:v>Authority exists as a top-level corpus case but was not returned by the linked retrieval event.</x:v>
      </x:c>
      <x:c r="AA80" s="9" t="str">
        <x:v>not_required_corpus_present</x:v>
      </x:c>
      <x:c r="AB80" s="9" t="str">
        <x:v>yes</x:v>
      </x:c>
      <x:c r="AC80" s="9" t="str"/>
      <x:c r="AD80" s="9" t="str"/>
      <x:c r="AE80" s="9" t="str"/>
      <x:c r="AF80" s="9" t="str"/>
      <x:c r="AG80" s="9" t="str"/>
      <x:c r="AH80" s="9" t="str"/>
    </x:row>
    <x:row r="81">
      <x:c r="A81" t="str">
        <x:v>U0451</x:v>
      </x:c>
      <x:c r="B81" t="str">
        <x:v>cmst4kl1t000h04js7g8j67zy</x:v>
      </x:c>
      <x:c r="C81" t="str">
        <x:v>synthetic</x:v>
      </x:c>
      <x:c r="D81" s="9" t="str">
        <x:v>Heritage Brewing Company Ltd v Traditional Ales Holdings Plc</x:v>
      </x:c>
      <x:c r="E81" s="9" t="str">
        <x:v>case:flannery v halifax estate agencies ltd</x:v>
      </x:c>
      <x:c r="F81" s="9" t="str">
        <x:v>Flannery v Halifax Estate Agencies Ltd</x:v>
      </x:c>
      <x:c r="G81" s="9" t="str">
        <x:v>Flannery v Halifax Estate Agencies Ltd</x:v>
      </x:c>
      <x:c r="H81" s="9" t="str"/>
      <x:c r="I81" s="12" t="n">
        <x:v>1</x:v>
      </x:c>
      <x:c r="J81" s="9" t="str">
        <x:v>cmst4iu9u000b04jsb3vxyexj</x:v>
      </x:c>
      <x:c r="K81" s="9" t="str">
        <x:v>not_found_in_registry</x:v>
      </x:c>
      <x:c r="L81" s="9" t="str">
        <x:v>none</x:v>
      </x:c>
      <x:c r="M81" s="9" t="str">
        <x:v>none</x:v>
      </x:c>
      <x:c r="N81" s="9" t="str"/>
      <x:c r="O81" s="9" t="str"/>
      <x:c r="P81" s="9" t="str"/>
      <x:c r="Q81" s="9" t="str"/>
      <x:c r="R81" s="9" t="str"/>
      <x:c r="S81" s="13" t="n">
        <x:v>0</x:v>
      </x:c>
      <x:c r="T81" s="14" t="n">
        <x:v>0.16666666666666666</x:v>
      </x:c>
      <x:c r="U81" s="13" t="n">
        <x:v>1</x:v>
      </x:c>
      <x:c r="V81" s="9" t="str">
        <x:v>The Gulf Agencies Limited v Ahmed [2016] EWCA Civ 44</x:v>
      </x:c>
      <x:c r="W81" s="14" t="n">
        <x:v>0.16666666666666666</x:v>
      </x:c>
      <x:c r="X81" s="9" t="str">
        <x:v>no</x:v>
      </x:c>
      <x:c r="Y81" s="9" t="str"/>
      <x:c r="Z81" s="9" t="str">
        <x:v>No accepted registry match. This does not by itself prove the authority is legally fictitious.</x:v>
      </x:c>
      <x:c r="AA81" s="9" t="str">
        <x:v>verified_real_incomplete_citation</x:v>
      </x:c>
      <x:c r="AB81" s="9" t="str">
        <x:v>no</x:v>
      </x:c>
      <x:c r="AC81" s="9" t="str">
        <x:v>Flannery v Halifax Estate Agencies Ltd</x:v>
      </x:c>
      <x:c r="AD81" s="9" t="str">
        <x:v>[2000] 1 WLR 377; [1999] EWCA Civ 811</x:v>
      </x:c>
      <x:c r="AE81" s="9" t="str">
        <x:v>https://www.bailii.org/ew/cases/EWCA/Civ/1999/811.html</x:v>
      </x:c>
      <x:c r="AF81" s="9" t="str">
        <x:v>The case is genuine, but this extracted form supplied no citation.</x:v>
      </x:c>
      <x:c r="AG81" s="9" t="str">
        <x:v>primary_judgment</x:v>
      </x:c>
      <x:c r="AH81" s="9" t="str">
        <x:v>primary</x:v>
      </x:c>
    </x:row>
    <x:row r="82">
      <x:c r="A82" t="str">
        <x:v>U0452</x:v>
      </x:c>
      <x:c r="B82" t="str">
        <x:v>cmst4kl1t000h04js7g8j67zy</x:v>
      </x:c>
      <x:c r="C82" t="str">
        <x:v>synthetic</x:v>
      </x:c>
      <x:c r="D82" s="9" t="str">
        <x:v>Heritage Brewing Company Ltd v Traditional Ales Holdings Plc</x:v>
      </x:c>
      <x:c r="E82" s="9" t="str">
        <x:v>case:phones 4u ltd v phone4u co uk internet ltd</x:v>
      </x:c>
      <x:c r="F82" s="9" t="str">
        <x:v>Phones 4U Ltd v Phone4u.co.uk Internet Ltd</x:v>
      </x:c>
      <x:c r="G82" s="9" t="str">
        <x:v>Phones 4U Ltd v Phone4u.co.uk Internet Ltd</x:v>
      </x:c>
      <x:c r="H82" s="9" t="str"/>
      <x:c r="I82" s="12" t="n">
        <x:v>1</x:v>
      </x:c>
      <x:c r="J82" s="9" t="str">
        <x:v>cmst4iu9u000b04jsb3vxyexj</x:v>
      </x:c>
      <x:c r="K82" s="9" t="str">
        <x:v>not_found_in_registry</x:v>
      </x:c>
      <x:c r="L82" s="9" t="str">
        <x:v>none</x:v>
      </x:c>
      <x:c r="M82" s="9" t="str">
        <x:v>none</x:v>
      </x:c>
      <x:c r="N82" s="9" t="str"/>
      <x:c r="O82" s="9" t="str"/>
      <x:c r="P82" s="9" t="str"/>
      <x:c r="Q82" s="9" t="str"/>
      <x:c r="R82" s="9" t="str"/>
      <x:c r="S82" s="13" t="n">
        <x:v>0</x:v>
      </x:c>
      <x:c r="T82" s="14" t="n">
        <x:v>0.2857142857142857</x:v>
      </x:c>
      <x:c r="U82" s="13" t="n">
        <x:v>1</x:v>
      </x:c>
      <x:c r="V82" s="9" t="str">
        <x:v>Phones 4U Ltd v EE Ltd &amp; Ors [2021] EWCA Civ 116</x:v>
      </x:c>
      <x:c r="W82" s="14" t="n">
        <x:v>0.2857142857142857</x:v>
      </x:c>
      <x:c r="X82" s="9" t="str">
        <x:v>no</x:v>
      </x:c>
      <x:c r="Y82" s="9" t="str"/>
      <x:c r="Z82" s="9" t="str">
        <x:v>No accepted registry match. This does not by itself prove the authority is legally fictitious.</x:v>
      </x:c>
      <x:c r="AA82" s="9" t="str">
        <x:v>verified_real_incomplete_citation</x:v>
      </x:c>
      <x:c r="AB82" s="9" t="str">
        <x:v>no</x:v>
      </x:c>
      <x:c r="AC82" s="9" t="str">
        <x:v>Phones 4U Ltd v Phone4u.co.uk Internet Ltd</x:v>
      </x:c>
      <x:c r="AD82" s="9" t="str">
        <x:v>[2006] EWCA Civ 244; [2007] RPC 5</x:v>
      </x:c>
      <x:c r="AE82" s="9" t="str">
        <x:v>https://www.bailii.org/ew/cases/EWCA/Civ/2006/244.html</x:v>
      </x:c>
      <x:c r="AF82" s="9" t="str">
        <x:v>The case is genuine, but the extracted form supplied no citation.</x:v>
      </x:c>
      <x:c r="AG82" s="9" t="str">
        <x:v>primary_judgment</x:v>
      </x:c>
      <x:c r="AH82" s="9" t="str">
        <x:v>primary</x:v>
      </x:c>
    </x:row>
    <x:row r="83">
      <x:c r="A83" t="str">
        <x:v>U0456</x:v>
      </x:c>
      <x:c r="B83" t="str">
        <x:v>cmst7uoeu00d804l5ayb3b9q8</x:v>
      </x:c>
      <x:c r="C83" t="str">
        <x:v>synthetic</x:v>
      </x:c>
      <x:c r="D83" s="9" t="str">
        <x:v>Sterling Investments Ltd v Blackwood Capital Partners LLP</x:v>
      </x:c>
      <x:c r="E83" s="9" t="str">
        <x:v>case:2000 1 wlr 377</x:v>
      </x:c>
      <x:c r="F83" s="9" t="str">
        <x:v>Flannery v Halifax Estate Agencies Ltd [2000] 1 WLR 377</x:v>
      </x:c>
      <x:c r="G83" s="9" t="str">
        <x:v>Flannery v Halifax Estate Agencies Ltd [2000] 1 WLR 377</x:v>
      </x:c>
      <x:c r="H83" s="9" t="str"/>
      <x:c r="I83" s="12" t="n">
        <x:v>1</x:v>
      </x:c>
      <x:c r="J83" s="9" t="str">
        <x:v>cmst7t5an00d204l5jrwmz7m1</x:v>
      </x:c>
      <x:c r="K83" s="9" t="str">
        <x:v>not_found_in_registry</x:v>
      </x:c>
      <x:c r="L83" s="9" t="str">
        <x:v>none</x:v>
      </x:c>
      <x:c r="M83" s="9" t="str">
        <x:v>none</x:v>
      </x:c>
      <x:c r="N83" s="9" t="str"/>
      <x:c r="O83" s="9" t="str"/>
      <x:c r="P83" s="9" t="str"/>
      <x:c r="Q83" s="9" t="str"/>
      <x:c r="R83" s="9" t="str"/>
      <x:c r="S83" s="13" t="n">
        <x:v>0</x:v>
      </x:c>
      <x:c r="T83" s="14" t="n">
        <x:v>0.16666666666666666</x:v>
      </x:c>
      <x:c r="U83" s="13" t="n">
        <x:v>1</x:v>
      </x:c>
      <x:c r="V83" s="9" t="str">
        <x:v>The Gulf Agencies Limited v Ahmed [2016] EWCA Civ 44</x:v>
      </x:c>
      <x:c r="W83" s="14" t="n">
        <x:v>0.16666666666666666</x:v>
      </x:c>
      <x:c r="X83" s="9" t="str">
        <x:v>no</x:v>
      </x:c>
      <x:c r="Y83" s="9" t="str"/>
      <x:c r="Z83" s="9" t="str">
        <x:v>No accepted registry match. This does not by itself prove the authority is legally fictitious.</x:v>
      </x:c>
      <x:c r="AA83" s="9" t="str">
        <x:v>verified_real_exact</x:v>
      </x:c>
      <x:c r="AB83" s="9" t="str">
        <x:v>no</x:v>
      </x:c>
      <x:c r="AC83" s="9" t="str">
        <x:v>Flannery v Halifax Estate Agencies Ltd</x:v>
      </x:c>
      <x:c r="AD83" s="9" t="str">
        <x:v>[2000] 1 WLR 377; [1999] EWCA Civ 811</x:v>
      </x:c>
      <x:c r="AE83" s="9" t="str">
        <x:v>https://www.bailii.org/ew/cases/EWCA/Civ/1999/811.html</x:v>
      </x:c>
      <x:c r="AF83" s="9" t="str">
        <x:v>The case is genuine. The 2000 WLR citation is the report citation for the Court of Appeal judgment delivered in 1999.</x:v>
      </x:c>
      <x:c r="AG83" s="9" t="str">
        <x:v>primary_judgment</x:v>
      </x:c>
      <x:c r="AH83" s="9" t="str">
        <x:v>primary</x:v>
      </x:c>
    </x:row>
    <x:row r="84">
      <x:c r="A84" t="str">
        <x:v>U0459</x:v>
      </x:c>
      <x:c r="B84" t="str">
        <x:v>cmst7uoeu00d804l5ayb3b9q8</x:v>
      </x:c>
      <x:c r="C84" t="str">
        <x:v>synthetic</x:v>
      </x:c>
      <x:c r="D84" s="9" t="str">
        <x:v>Sterling Investments Ltd v Blackwood Capital Partners LLP</x:v>
      </x:c>
      <x:c r="E84" s="9" t="str">
        <x:v>case:bolam v friern hospital management committee 1957</x:v>
      </x:c>
      <x:c r="F84" s="9" t="str">
        <x:v>Bolam v Friern Hospital Management Committee [1957]</x:v>
      </x:c>
      <x:c r="G84" s="9" t="str">
        <x:v>Bolam v Friern Hospital Management Committee [1957]</x:v>
      </x:c>
      <x:c r="H84" s="9" t="str"/>
      <x:c r="I84" s="12" t="n">
        <x:v>1</x:v>
      </x:c>
      <x:c r="J84" s="9" t="str">
        <x:v>cmst7t5an00d204l5jrwmz7m1</x:v>
      </x:c>
      <x:c r="K84" s="9" t="str">
        <x:v>not_found_in_registry</x:v>
      </x:c>
      <x:c r="L84" s="9" t="str">
        <x:v>none</x:v>
      </x:c>
      <x:c r="M84" s="9" t="str">
        <x:v>none</x:v>
      </x:c>
      <x:c r="N84" s="9" t="str"/>
      <x:c r="O84" s="9" t="str"/>
      <x:c r="P84" s="9" t="str"/>
      <x:c r="Q84" s="9" t="str"/>
      <x:c r="R84" s="9" t="str"/>
      <x:c r="S84" s="13" t="n">
        <x:v>0</x:v>
      </x:c>
      <x:c r="T84" s="14" t="n">
        <x:v>0.1111111111111111</x:v>
      </x:c>
      <x:c r="U84" s="13" t="n">
        <x:v>9</x:v>
      </x:c>
      <x:c r="V84" s="9" t="str">
        <x:v>Apex Global Management Ltd &amp; Anor v Global Torch Ltd [2017] EWCA Civ 315</x:v>
      </x:c>
      <x:c r="W84" s="14" t="n">
        <x:v>0.1111111111111111</x:v>
      </x:c>
      <x:c r="X84" s="9" t="str">
        <x:v>no</x:v>
      </x:c>
      <x:c r="Y84" s="9" t="str"/>
      <x:c r="Z84" s="9" t="str">
        <x:v>No accepted registry match. This does not by itself prove the authority is legally fictitious.</x:v>
      </x:c>
      <x:c r="AA84" s="9" t="str">
        <x:v>verified_real_incomplete_citation</x:v>
      </x:c>
      <x:c r="AB84" s="9" t="str">
        <x:v>no</x:v>
      </x:c>
      <x:c r="AC84" s="9" t="str">
        <x:v>Bolam v Friern Hospital Management Committee</x:v>
      </x:c>
      <x:c r="AD84" s="9" t="str">
        <x:v>[1957] 1 WLR 582</x:v>
      </x:c>
      <x:c r="AE84" s="9" t="str">
        <x:v>https://uk.practicallaw.thomsonreuters.com/D-016-0979</x:v>
      </x:c>
      <x:c r="AF84" s="9" t="str">
        <x:v>The case is genuine, but '[1957]' alone is not a complete report citation.</x:v>
      </x:c>
      <x:c r="AG84" s="9" t="str">
        <x:v>legal_report_database</x:v>
      </x:c>
      <x:c r="AH84" s="9" t="str">
        <x:v>reputable_legal_database</x:v>
      </x:c>
    </x:row>
    <x:row r="85">
      <x:c r="A85" t="str">
        <x:v>U0460</x:v>
      </x:c>
      <x:c r="B85" t="str">
        <x:v>cmst7uoeu00d804l5ayb3b9q8</x:v>
      </x:c>
      <x:c r="C85" t="str">
        <x:v>synthetic</x:v>
      </x:c>
      <x:c r="D85" s="9" t="str">
        <x:v>Sterling Investments Ltd v Blackwood Capital Partners LLP</x:v>
      </x:c>
      <x:c r="E85" s="9" t="str">
        <x:v>case:hedley byrne &amp; co ltd v heller &amp; partners ltd 1964</x:v>
      </x:c>
      <x:c r="F85" s="9" t="str">
        <x:v>Hedley Byrne &amp; Co Ltd v Heller &amp; Partners Ltd [1964]</x:v>
      </x:c>
      <x:c r="G85" s="9" t="str">
        <x:v>Hedley Byrne &amp; Co Ltd v Heller &amp; Partners Ltd [1964]</x:v>
      </x:c>
      <x:c r="H85" s="9" t="str"/>
      <x:c r="I85" s="12" t="n">
        <x:v>1</x:v>
      </x:c>
      <x:c r="J85" s="9" t="str">
        <x:v>cmst7t5an00d204l5jrwmz7m1</x:v>
      </x:c>
      <x:c r="K85" s="9" t="str">
        <x:v>not_found_in_registry</x:v>
      </x:c>
      <x:c r="L85" s="9" t="str">
        <x:v>none</x:v>
      </x:c>
      <x:c r="M85" s="9" t="str">
        <x:v>none</x:v>
      </x:c>
      <x:c r="N85" s="9" t="str"/>
      <x:c r="O85" s="9" t="str"/>
      <x:c r="P85" s="9" t="str"/>
      <x:c r="Q85" s="9" t="str"/>
      <x:c r="R85" s="9" t="str"/>
      <x:c r="S85" s="13" t="n">
        <x:v>0</x:v>
      </x:c>
      <x:c r="T85" s="14" t="n">
        <x:v>0.125</x:v>
      </x:c>
      <x:c r="U85" s="13" t="n">
        <x:v>5</x:v>
      </x:c>
      <x:c r="V85" s="9" t="str">
        <x:v>Farrer &amp; Co LLP v Meyer [2022] EWCA Civ 706</x:v>
      </x:c>
      <x:c r="W85" s="14" t="n">
        <x:v>0.125</x:v>
      </x:c>
      <x:c r="X85" s="9" t="str">
        <x:v>no</x:v>
      </x:c>
      <x:c r="Y85" s="9" t="str"/>
      <x:c r="Z85" s="9" t="str">
        <x:v>No accepted registry match. This does not by itself prove the authority is legally fictitious.</x:v>
      </x:c>
      <x:c r="AA85" s="9" t="str">
        <x:v>verified_real_incomplete_citation</x:v>
      </x:c>
      <x:c r="AB85" s="9" t="str">
        <x:v>no</x:v>
      </x:c>
      <x:c r="AC85" s="9" t="str">
        <x:v>Hedley Byrne &amp; Co Ltd v Heller &amp; Partners Ltd</x:v>
      </x:c>
      <x:c r="AD85" s="9" t="str">
        <x:v>[1964] AC 465; [1963] UKHL 4</x:v>
      </x:c>
      <x:c r="AE85" s="9" t="str">
        <x:v>https://www.bailii.org/uk/cases/UKHL/1963/4.html</x:v>
      </x:c>
      <x:c r="AF85" s="9" t="str">
        <x:v>The case is genuine, but '[1964]' alone is not a complete report citation.</x:v>
      </x:c>
      <x:c r="AG85" s="9" t="str">
        <x:v>primary_judgment</x:v>
      </x:c>
      <x:c r="AH85" s="9" t="str">
        <x:v>primary</x:v>
      </x:c>
    </x:row>
    <x:row r="86">
      <x:c r="A86" t="str">
        <x:v>U0461</x:v>
      </x:c>
      <x:c r="B86" t="str">
        <x:v>cmst7uoeu00d804l5ayb3b9q8</x:v>
      </x:c>
      <x:c r="C86" t="str">
        <x:v>synthetic</x:v>
      </x:c>
      <x:c r="D86" s="9" t="str">
        <x:v>Sterling Investments Ltd v Blackwood Capital Partners LLP</x:v>
      </x:c>
      <x:c r="E86" s="9" t="str">
        <x:v>case:henderson v merrett syndicates ltd 1995</x:v>
      </x:c>
      <x:c r="F86" s="9" t="str">
        <x:v>Henderson v Merrett Syndicates Ltd [1995]</x:v>
      </x:c>
      <x:c r="G86" s="9" t="str">
        <x:v>Henderson v Merrett Syndicates Ltd [1995]</x:v>
      </x:c>
      <x:c r="H86" s="9" t="str"/>
      <x:c r="I86" s="12" t="n">
        <x:v>1</x:v>
      </x:c>
      <x:c r="J86" s="9" t="str">
        <x:v>cmst7t5an00d204l5jrwmz7m1</x:v>
      </x:c>
      <x:c r="K86" s="9" t="str">
        <x:v>not_found_in_registry</x:v>
      </x:c>
      <x:c r="L86" s="9" t="str">
        <x:v>none</x:v>
      </x:c>
      <x:c r="M86" s="9" t="str">
        <x:v>none</x:v>
      </x:c>
      <x:c r="N86" s="9" t="str"/>
      <x:c r="O86" s="9" t="str"/>
      <x:c r="P86" s="9" t="str"/>
      <x:c r="Q86" s="9" t="str"/>
      <x:c r="R86" s="9" t="str"/>
      <x:c r="S86" s="13" t="n">
        <x:v>0</x:v>
      </x:c>
      <x:c r="T86" s="14" t="n">
        <x:v>0.09090909090909091</x:v>
      </x:c>
      <x:c r="U86" s="13" t="n">
        <x:v>1</x:v>
      </x:c>
      <x:c r="V86" s="9" t="str">
        <x:v>Barrow (by his litigation friend and grandfather) &amp; Ors v Merrett &amp; Anor [2022] EWCA Civ 1241</x:v>
      </x:c>
      <x:c r="W86" s="14" t="n">
        <x:v>0.09090909090909091</x:v>
      </x:c>
      <x:c r="X86" s="9" t="str">
        <x:v>no</x:v>
      </x:c>
      <x:c r="Y86" s="9" t="str"/>
      <x:c r="Z86" s="9" t="str">
        <x:v>No accepted registry match. This does not by itself prove the authority is legally fictitious.</x:v>
      </x:c>
      <x:c r="AA86" s="9" t="str">
        <x:v>verified_real_incomplete_citation</x:v>
      </x:c>
      <x:c r="AB86" s="9" t="str">
        <x:v>no</x:v>
      </x:c>
      <x:c r="AC86" s="9" t="str">
        <x:v>Henderson v Merrett Syndicates Ltd</x:v>
      </x:c>
      <x:c r="AD86" s="9" t="str">
        <x:v>[1995] 2 AC 145; [1994] UKHL 5</x:v>
      </x:c>
      <x:c r="AE86" s="9" t="str">
        <x:v>https://www.bailii.org/uk/cases/UKHL/1994/5.html</x:v>
      </x:c>
      <x:c r="AF86" s="9" t="str">
        <x:v>The case is genuine, but '[1995]' alone is not a complete report citation.</x:v>
      </x:c>
      <x:c r="AG86" s="9" t="str">
        <x:v>primary_judgment</x:v>
      </x:c>
      <x:c r="AH86" s="9" t="str">
        <x:v>primary</x:v>
      </x:c>
    </x:row>
    <x:row r="87">
      <x:c r="A87" t="str">
        <x:v>U0466</x:v>
      </x:c>
      <x:c r="B87" t="str">
        <x:v>cmst80ckg000h04i9rasplurj</x:v>
      </x:c>
      <x:c r="C87" t="str">
        <x:v>synthetic</x:v>
      </x:c>
      <x:c r="D87" s="9" t="str">
        <x:v>Thompson v Clearview Credit Services Ltd</x:v>
      </x:c>
      <x:c r="E87" s="9" t="str">
        <x:v>case:2002 ewca civ 605</x:v>
      </x:c>
      <x:c r="F87" s="9" t="str">
        <x:v>[2002] EWCA Civ 605</x:v>
      </x:c>
      <x:c r="G87" s="9" t="str">
        <x:v>[2002] EWCA Civ 605</x:v>
      </x:c>
      <x:c r="H87" s="9" t="str"/>
      <x:c r="I87" s="12" t="n">
        <x:v>1</x:v>
      </x:c>
      <x:c r="J87" s="9" t="str">
        <x:v>cmst7yrwi000b04i90ncdwp78</x:v>
      </x:c>
      <x:c r="K87" s="9" t="str">
        <x:v>present_exact_or_high</x:v>
      </x:c>
      <x:c r="L87" s="9" t="str">
        <x:v>exact_citation</x:v>
      </x:c>
      <x:c r="M87" s="9" t="str">
        <x:v>high</x:v>
      </x:c>
      <x:c r="N87" s="9" t="str">
        <x:v>f11564b3-860c-4adc-bd7a-d530ce37ea95</x:v>
      </x:c>
      <x:c r="O87" s="9" t="str">
        <x:v>English v Emery Reimbold &amp; Strick Ltd</x:v>
      </x:c>
      <x:c r="P87" s="9" t="str">
        <x:v>2002</x:v>
      </x:c>
      <x:c r="Q87" s="9" t="str">
        <x:v>England and Wales Court of Appeal (Civil Division)</x:v>
      </x:c>
      <x:c r="R87" s="9" t="str">
        <x:v>PT_EWCA-Civ_2002_605.xml</x:v>
      </x:c>
      <x:c r="S87" s="13" t="n">
        <x:v>95</x:v>
      </x:c>
      <x:c r="T87" s="14" t="n">
        <x:v>1</x:v>
      </x:c>
      <x:c r="U87" s="13" t="n">
        <x:v>1</x:v>
      </x:c>
      <x:c r="V87" s="9" t="str"/>
      <x:c r="W87" s="14" t="str"/>
      <x:c r="X87" s="9" t="str">
        <x:v>no</x:v>
      </x:c>
      <x:c r="Y87" s="9" t="str"/>
      <x:c r="Z87" s="9" t="str">
        <x:v>Authority exists as a top-level corpus case but was not returned by the linked retrieval event.</x:v>
      </x:c>
      <x:c r="AA87" s="9" t="str">
        <x:v>not_required_corpus_present</x:v>
      </x:c>
      <x:c r="AB87" s="9" t="str">
        <x:v>yes</x:v>
      </x:c>
      <x:c r="AC87" s="9" t="str"/>
      <x:c r="AD87" s="9" t="str"/>
      <x:c r="AE87" s="9" t="str"/>
      <x:c r="AF87" s="9" t="str"/>
      <x:c r="AG87" s="9" t="str"/>
      <x:c r="AH87" s="9" t="str"/>
    </x:row>
  </x:sheetData>
  <x:conditionalFormatting sqref="K2:K87">
    <x:cfRule type="containsText" dxfId="0" priority="1" operator="containsText" text="present_exact_or_high"/>
    <x:cfRule type="containsText" dxfId="1" priority="2" operator="containsText" text="probable_manual_review"/>
    <x:cfRule type="containsText" dxfId="2" priority="3" operator="containsText" text="not_found_in_registry"/>
  </x:conditionalFormatting>
  <x:conditionalFormatting sqref="AB2:AB87">
    <x:cfRule type="containsText" dxfId="3" priority="4" operator="containsText" text="yes"/>
    <x:cfRule type="containsText" dxfId="4" priority="5" operator="containsText" text="no"/>
  </x:conditionalFormatting>
  <x:pageMargins left="0.7" right="0.7" top="0.75" bottom="0.75" header="0.3" footer="0.3"/>
  <x:tableParts count="1">
    <x:tablePart xmlns:r="http://schemas.openxmlformats.org/officeDocument/2006/relationships" r:id="R126325004d514b3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7.780000686645508" hidden="0" customWidth="1"/>
    <x:col min="2" max="2" width="34.439998626708984" hidden="0" customWidth="1"/>
    <x:col min="3" max="3" width="34.439998626708984" hidden="0" customWidth="1"/>
    <x:col min="4" max="4" width="10" hidden="0" customWidth="1"/>
    <x:col min="5" max="5" width="11.109999656677246" hidden="0" customWidth="1"/>
    <x:col min="6" max="6" width="10.5600004196167" hidden="0" customWidth="1"/>
    <x:col min="7" max="7" width="36.66999816894531" hidden="0" customWidth="1"/>
    <x:col min="8" max="8" width="36.66999816894531" hidden="0" customWidth="1"/>
    <x:col min="9" max="9" width="21.110000610351562" hidden="0" customWidth="1"/>
    <x:col min="10" max="10" width="21.110000610351562" hidden="0" customWidth="1"/>
    <x:col min="11" max="11" width="27.219999313354492" hidden="0" customWidth="1"/>
    <x:col min="12" max="12" width="36.66999816894531" hidden="0" customWidth="1"/>
    <x:col min="13" max="13" width="9.4399995803833" hidden="0" customWidth="1"/>
    <x:col min="14" max="14" width="27.780000686645508" hidden="0" customWidth="1"/>
    <x:col min="15" max="15" width="23.889999389648438" hidden="0" customWidth="1"/>
    <x:col min="16" max="16" width="43.33000183105469" hidden="0" customWidth="1"/>
    <x:col min="17" max="17" width="35.560001373291016" hidden="0" customWidth="1"/>
    <x:col min="18" max="18" width="26.670000076293945" hidden="0" customWidth="1"/>
    <x:col min="19" max="19" width="47.779998779296875" hidden="0" customWidth="1"/>
    <x:col min="20" max="20" width="42.220001220703125" hidden="0" customWidth="1"/>
    <x:col min="21" max="21" width="15.5600004196167" hidden="0" customWidth="1"/>
    <x:col min="22" max="22" width="14.4399995803833" hidden="0" customWidth="1"/>
    <x:col min="23" max="23" width="20" hidden="0" customWidth="1"/>
    <x:col min="24" max="24" width="16.670000076293945" hidden="0" customWidth="1"/>
    <x:col min="25" max="25" width="13.329999923706055" hidden="0" customWidth="1"/>
  </x:cols>
  <x:sheetData>
    <x:row r="1">
      <x:c r="A1" t="str">
        <x:v>authority_key</x:v>
      </x:c>
      <x:c r="B1" t="str">
        <x:v>authority_names</x:v>
      </x:c>
      <x:c r="C1" t="str">
        <x:v>citation_variants</x:v>
      </x:c>
      <x:c r="D1" t="str">
        <x:v>pair_count</x:v>
      </x:c>
      <x:c r="E1" t="str">
        <x:v>occurrence_total</x:v>
      </x:c>
      <x:c r="F1" t="str">
        <x:v>input_types</x:v>
      </x:c>
      <x:c r="G1" t="str">
        <x:v>draft_ids</x:v>
      </x:c>
      <x:c r="H1" t="str">
        <x:v>input_case_titles</x:v>
      </x:c>
      <x:c r="I1" t="str">
        <x:v>corpus_status</x:v>
      </x:c>
      <x:c r="J1" t="str">
        <x:v>match_method</x:v>
      </x:c>
      <x:c r="K1" t="str">
        <x:v>corpus_case_id</x:v>
      </x:c>
      <x:c r="L1" t="str">
        <x:v>corpus_title</x:v>
      </x:c>
      <x:c r="M1" t="str">
        <x:v>corpus_year</x:v>
      </x:c>
      <x:c r="N1" t="str">
        <x:v>source_filename</x:v>
      </x:c>
      <x:c r="O1" t="str">
        <x:v>manual_verification_status</x:v>
      </x:c>
      <x:c r="P1" t="str">
        <x:v>authoritative_source_url</x:v>
      </x:c>
      <x:c r="Q1" t="str">
        <x:v>verified_case_title</x:v>
      </x:c>
      <x:c r="R1" t="str">
        <x:v>verified_citation</x:v>
      </x:c>
      <x:c r="S1" t="str">
        <x:v>verification_notes</x:v>
      </x:c>
      <x:c r="T1" t="str">
        <x:v>audit_note</x:v>
      </x:c>
      <x:c r="U1" t="str">
        <x:v>corpus_match_decision</x:v>
      </x:c>
      <x:c r="V1" t="str">
        <x:v>final_corpus_presence</x:v>
      </x:c>
      <x:c r="W1" t="str">
        <x:v>source_type</x:v>
      </x:c>
      <x:c r="X1" t="str">
        <x:v>evidence_strength</x:v>
      </x:c>
      <x:c r="Y1" t="str">
        <x:v>verification_date</x:v>
      </x:c>
    </x:row>
    <x:row r="2">
      <x:c r="A2" s="9" t="str">
        <x:v>case:1990 2 ac 605</x:v>
      </x:c>
      <x:c r="B2" s="9" t="str">
        <x:v>Caparo Industries Plc v Dickman [1990] 2 AC 605</x:v>
      </x:c>
      <x:c r="C2" s="9" t="str">
        <x:v>Caparo Industries Plc v Dickman [1990] 2 AC 605</x:v>
      </x:c>
      <x:c r="D2" s="12" t="n">
        <x:v>1</x:v>
      </x:c>
      <x:c r="E2" s="12" t="n">
        <x:v>1</x:v>
      </x:c>
      <x:c r="F2" s="9" t="str">
        <x:v>synthetic</x:v>
      </x:c>
      <x:c r="G2" s="9" t="str">
        <x:v>cmmmudwct000304kzc6d15a3r</x:v>
      </x:c>
      <x:c r="H2" s="9" t="str">
        <x:v>Sunrise Hospitality Group Ltd v Grant Morrison &amp; Co LLP</x:v>
      </x:c>
      <x:c r="I2" s="9" t="str">
        <x:v>not_found_in_registry</x:v>
      </x:c>
      <x:c r="J2" s="9" t="str">
        <x:v>none</x:v>
      </x:c>
      <x:c r="K2" s="9" t="str"/>
      <x:c r="L2" s="9" t="str"/>
      <x:c r="M2" s="9" t="str"/>
      <x:c r="N2" s="9" t="str"/>
      <x:c r="O2" s="9" t="str">
        <x:v>verified_real_exact</x:v>
      </x:c>
      <x:c r="P2" s="9" t="str">
        <x:v>https://www.bailii.org/uk/cases/UKHL/1990/2.html</x:v>
      </x:c>
      <x:c r="Q2" s="9" t="str">
        <x:v>Caparo Industries plc v Dickman</x:v>
      </x:c>
      <x:c r="R2" s="9" t="str">
        <x:v>[1990] 2 AC 605; [1990] UKHL 2</x:v>
      </x:c>
      <x:c r="S2" s="9" t="str">
        <x:v>The case and supplied report citation are genuine and correctly identify the House of Lords authority.</x:v>
      </x:c>
      <x:c r="T2" s="9" t="str">
        <x:v>No accepted registry match. This does not by itself prove the authority is legally fictitious.</x:v>
      </x:c>
      <x:c r="U2" s="9" t="str"/>
      <x:c r="V2" s="9" t="str">
        <x:v>no</x:v>
      </x:c>
      <x:c r="W2" s="9" t="str">
        <x:v>primary_judgment</x:v>
      </x:c>
      <x:c r="X2" s="9" t="str">
        <x:v>primary</x:v>
      </x:c>
      <x:c r="Y2" s="9" t="str">
        <x:v>2026-08-14</x:v>
      </x:c>
    </x:row>
    <x:row r="3">
      <x:c r="A3" s="9" t="str">
        <x:v>case:2000 1 wlr 377</x:v>
      </x:c>
      <x:c r="B3" s="9" t="str">
        <x:v>Flannery v Halifax Estate Agencies Ltd [2000] 1 WLR 377</x:v>
      </x:c>
      <x:c r="C3" s="9" t="str">
        <x:v>Flannery v Halifax Estate Agencies Ltd [2000] 1 WLR 377</x:v>
      </x:c>
      <x:c r="D3" s="12" t="n">
        <x:v>18</x:v>
      </x:c>
      <x:c r="E3" s="12" t="n">
        <x:v>18</x:v>
      </x:c>
      <x:c r="F3" s="9" t="str">
        <x:v>real | synthetic</x:v>
      </x:c>
      <x:c r="G3" s="9" t="str">
        <x:v>cmlzpblc7000304jv62ixuvp8 | cmlzy9ss300fz04i80p2yfbg1 | cmm3b1g6j000j04jt8w2u9z6w | cmmc2zaji000h04l23a3cp61p | cmmdjqxh3000304kvs37yorn3 | cmmjtnsdx000904l4vhap8xwc | cmmsi1xqb000h04jsef3v6skf | cmmxktfx8000904johoqmmfkm | cms1ps00j000j04jsbxrn9wrj | cmsbj40n7000h04jwpx41ia5n | cmsbqvqsj000h04jnb8tn656h | cmsbr3045000j04l4tkps7ymp | cmsbrc37v001x04l4t7r77h89 | cmsbrqmhv000j04jp78i2n3gf | cmsbrvtc4001304jp5e4691on | cmsbszs77002304ji6ldkbjce | cmsbt3hfa002904ji8k6b026n | cmst7uoeu00d804l5ayb3b9q8</x:v>
      </x:c>
      <x:c r="H3" s="9" t="str">
        <x:v>HMRC v Dolphin Drilling Ltd | Transport Action Network Limited v Secretary of State for Transport | R (Harrison) v Secretary of State for Justice | Metropolitan Property Holdings Ltd v Artisan Coffee Co Ltd | R (Fajr Ellis) v Secretary of State for Justice | Karpasitis v Hertfordshire County Council | The King (on the application of Transport Action Network Limited) v Secretary of State for Transport | The King, on the application of Fajr Ellis v (1) The Secretary of State for Education and (2) The Secretary of State for Justice | Hippodrome Casino Ltd v HMRC | Mr Demetrios Karpasitis v Hertfordshire County Council | KSY Juice Blends UK Limited v Citrusuco GmbH | Ryanair DAC &amp; Storm Global Limited v Jason Lutz | Modernatx, Inc. v Pfizer Limited &amp; Others | Sterling Investments Ltd v Blackwood Capital Partners LLP</x:v>
      </x:c>
      <x:c r="I3" s="9" t="str">
        <x:v>not_found_in_registry</x:v>
      </x:c>
      <x:c r="J3" s="9" t="str">
        <x:v>none</x:v>
      </x:c>
      <x:c r="K3" s="9" t="str"/>
      <x:c r="L3" s="9" t="str"/>
      <x:c r="M3" s="9" t="str"/>
      <x:c r="N3" s="9" t="str"/>
      <x:c r="O3" s="9" t="str">
        <x:v>verified_real_exact</x:v>
      </x:c>
      <x:c r="P3" s="9" t="str">
        <x:v>https://www.bailii.org/ew/cases/EWCA/Civ/1999/811.html</x:v>
      </x:c>
      <x:c r="Q3" s="9" t="str">
        <x:v>Flannery v Halifax Estate Agencies Ltd</x:v>
      </x:c>
      <x:c r="R3" s="9" t="str">
        <x:v>[2000] 1 WLR 377; [1999] EWCA Civ 811</x:v>
      </x:c>
      <x:c r="S3" s="9" t="str">
        <x:v>The case is genuine. The 2000 WLR citation is the report citation for the Court of Appeal judgment delivered in 1999.</x:v>
      </x:c>
      <x:c r="T3" s="9" t="str">
        <x:v>No accepted registry match. This does not by itself prove the authority is legally fictitious.</x:v>
      </x:c>
      <x:c r="U3" s="9" t="str"/>
      <x:c r="V3" s="9" t="str">
        <x:v>no</x:v>
      </x:c>
      <x:c r="W3" s="9" t="str">
        <x:v>primary_judgment</x:v>
      </x:c>
      <x:c r="X3" s="9" t="str">
        <x:v>primary</x:v>
      </x:c>
      <x:c r="Y3" s="9" t="str">
        <x:v>2026-08-14</x:v>
      </x:c>
    </x:row>
    <x:row r="4">
      <x:c r="A4" s="9" t="str">
        <x:v>case:2001 2 lloyd s rep 76</x:v>
      </x:c>
      <x:c r="B4" s="9" t="str">
        <x:v>Mamidoil v Okta [2001] 2 Lloyd's Rep 76</x:v>
      </x:c>
      <x:c r="C4" s="9" t="str">
        <x:v>Mamidoil v Okta [2001] 2 Lloyd's Rep 76</x:v>
      </x:c>
      <x:c r="D4" s="12" t="n">
        <x:v>1</x:v>
      </x:c>
      <x:c r="E4" s="12" t="n">
        <x:v>1</x:v>
      </x:c>
      <x:c r="F4" s="9" t="str">
        <x:v>real</x:v>
      </x:c>
      <x:c r="G4" s="9" t="str">
        <x:v>cmmxi2xkc000t04l8hsscxyvl</x:v>
      </x:c>
      <x:c r="H4" s="9" t="str">
        <x:v>KSY Juice Blends UK Limited v Citrosuco GmbH</x:v>
      </x:c>
      <x:c r="I4" s="9" t="str">
        <x:v>not_found_in_registry</x:v>
      </x:c>
      <x:c r="J4" s="9" t="str">
        <x:v>none</x:v>
      </x:c>
      <x:c r="K4" s="9" t="str"/>
      <x:c r="L4" s="9" t="str"/>
      <x:c r="M4" s="9" t="str"/>
      <x:c r="N4" s="9" t="str"/>
      <x:c r="O4" s="9" t="str">
        <x:v>verified_real_title_variant</x:v>
      </x:c>
      <x:c r="P4" s="9" t="str">
        <x:v>https://www.i-law.com/ilaw/doc/view.htm?id=150737</x:v>
      </x:c>
      <x:c r="Q4" s="9" t="str">
        <x:v>Mamidoil-Jetoil Greek Petroleum Co SA v Okta Crude Oil Refinery AD</x:v>
      </x:c>
      <x:c r="R4" s="9" t="str">
        <x:v>[2001] EWCA Civ 406; [2001] 2 Lloyd's Rep 76</x:v>
      </x:c>
      <x:c r="S4" s="9" t="str">
        <x:v>The authority and report citation are genuine; the generated judgment used a shortened party-name form.</x:v>
      </x:c>
      <x:c r="T4" s="9" t="str">
        <x:v>No accepted registry match. This does not by itself prove the authority is legally fictitious.</x:v>
      </x:c>
      <x:c r="U4" s="9" t="str"/>
      <x:c r="V4" s="9" t="str">
        <x:v>no</x:v>
      </x:c>
      <x:c r="W4" s="9" t="str">
        <x:v>legal_report_database</x:v>
      </x:c>
      <x:c r="X4" s="9" t="str">
        <x:v>reputable_legal_database</x:v>
      </x:c>
      <x:c r="Y4" s="9" t="str">
        <x:v>2026-08-14</x:v>
      </x:c>
    </x:row>
    <x:row r="5">
      <x:c r="A5" s="9" t="str">
        <x:v>case:2002 ukhl 30</x:v>
      </x:c>
      <x:c r="B5" s="9" t="str">
        <x:v>J A Pye (Oxford) Ltd v. Graham [2002] UKHL 30</x:v>
      </x:c>
      <x:c r="C5" s="9" t="str">
        <x:v>J A Pye (Oxford) Ltd v. Graham [2002] UKHL 30</x:v>
      </x:c>
      <x:c r="D5" s="12" t="n">
        <x:v>1</x:v>
      </x:c>
      <x:c r="E5" s="12" t="n">
        <x:v>1</x:v>
      </x:c>
      <x:c r="F5" s="9" t="str">
        <x:v>synthetic</x:v>
      </x:c>
      <x:c r="G5" s="9" t="str">
        <x:v>cmlzphr57000h04jtqrwbfiyf</x:v>
      </x:c>
      <x:c r="H5" s="9" t="str">
        <x:v>Aldridge v Crawford</x:v>
      </x:c>
      <x:c r="I5" s="9" t="str">
        <x:v>not_found_in_registry</x:v>
      </x:c>
      <x:c r="J5" s="9" t="str">
        <x:v>none</x:v>
      </x:c>
      <x:c r="K5" s="9" t="str"/>
      <x:c r="L5" s="9" t="str"/>
      <x:c r="M5" s="9" t="str"/>
      <x:c r="N5" s="9" t="str"/>
      <x:c r="O5" s="9" t="str">
        <x:v>verified_real_exact</x:v>
      </x:c>
      <x:c r="P5" s="9" t="str">
        <x:v>https://www.bailii.org/uk/cases/UKHL/2002/30.html</x:v>
      </x:c>
      <x:c r="Q5" s="9" t="str">
        <x:v>J A Pye (Oxford) Ltd v Graham</x:v>
      </x:c>
      <x:c r="R5" s="9" t="str">
        <x:v>[2002] UKHL 30</x:v>
      </x:c>
      <x:c r="S5" s="9" t="str">
        <x:v>The neutral citation and case title are genuine.</x:v>
      </x:c>
      <x:c r="T5" s="9" t="str">
        <x:v>No accepted registry match. This does not by itself prove the authority is legally fictitious.</x:v>
      </x:c>
      <x:c r="U5" s="9" t="str"/>
      <x:c r="V5" s="9" t="str">
        <x:v>no</x:v>
      </x:c>
      <x:c r="W5" s="9" t="str">
        <x:v>primary_judgment</x:v>
      </x:c>
      <x:c r="X5" s="9" t="str">
        <x:v>primary</x:v>
      </x:c>
      <x:c r="Y5" s="9" t="str">
        <x:v>2026-08-14</x:v>
      </x:c>
    </x:row>
    <x:row r="6">
      <x:c r="A6" s="9" t="str">
        <x:v>case:2009 ukhl 39</x:v>
      </x:c>
      <x:c r="B6" s="9" t="str">
        <x:v>Moore Stephens (a firm) v Stone Rolls Ltd [2009] UKHL 39</x:v>
      </x:c>
      <x:c r="C6" s="9" t="str">
        <x:v>Moore Stephens (a firm) v Stone Rolls Ltd [2009] UKHL 39</x:v>
      </x:c>
      <x:c r="D6" s="12" t="n">
        <x:v>1</x:v>
      </x:c>
      <x:c r="E6" s="12" t="n">
        <x:v>1</x:v>
      </x:c>
      <x:c r="F6" s="9" t="str">
        <x:v>synthetic</x:v>
      </x:c>
      <x:c r="G6" s="9" t="str">
        <x:v>cmmmudwct000304kzc6d15a3r</x:v>
      </x:c>
      <x:c r="H6" s="9" t="str">
        <x:v>Sunrise Hospitality Group Ltd v Grant Morrison &amp; Co LLP</x:v>
      </x:c>
      <x:c r="I6" s="9" t="str">
        <x:v>not_found_in_registry</x:v>
      </x:c>
      <x:c r="J6" s="9" t="str">
        <x:v>none</x:v>
      </x:c>
      <x:c r="K6" s="9" t="str"/>
      <x:c r="L6" s="9" t="str"/>
      <x:c r="M6" s="9" t="str"/>
      <x:c r="N6" s="9" t="str"/>
      <x:c r="O6" s="9" t="str">
        <x:v>verified_real_exact</x:v>
      </x:c>
      <x:c r="P6" s="9" t="str">
        <x:v>https://publications.parliament.uk/pa/ld200809/ldjudgmt/jd090730/moore-1.htm</x:v>
      </x:c>
      <x:c r="Q6" s="9" t="str">
        <x:v>Moore Stephens v Stone Rolls Ltd</x:v>
      </x:c>
      <x:c r="R6" s="9" t="str">
        <x:v>[2009] UKHL 39</x:v>
      </x:c>
      <x:c r="S6" s="9" t="str">
        <x:v>The title and neutral citation are confirmed by the official House of Lords judgment.</x:v>
      </x:c>
      <x:c r="T6" s="9" t="str">
        <x:v>No accepted registry match. This does not by itself prove the authority is legally fictitious.</x:v>
      </x:c>
      <x:c r="U6" s="9" t="str"/>
      <x:c r="V6" s="9" t="str">
        <x:v>no</x:v>
      </x:c>
      <x:c r="W6" s="9" t="str">
        <x:v>primary_judgment</x:v>
      </x:c>
      <x:c r="X6" s="9" t="str">
        <x:v>primary</x:v>
      </x:c>
      <x:c r="Y6" s="9" t="str">
        <x:v>2026-08-14</x:v>
      </x:c>
    </x:row>
    <x:row r="7">
      <x:c r="A7" s="9" t="str">
        <x:v>case:2011 ukpc 13</x:v>
      </x:c>
      <x:c r="B7" s="9" t="str">
        <x:v>Spread Trustee Co Ltd v Hutcheson [2011] UKPC 13</x:v>
      </x:c>
      <x:c r="C7" s="9" t="str">
        <x:v>Spread Trustee Co Ltd v Hutcheson [2011] UKPC 13</x:v>
      </x:c>
      <x:c r="D7" s="12" t="n">
        <x:v>2</x:v>
      </x:c>
      <x:c r="E7" s="12" t="n">
        <x:v>2</x:v>
      </x:c>
      <x:c r="F7" s="9" t="str">
        <x:v>synthetic</x:v>
      </x:c>
      <x:c r="G7" s="9" t="str">
        <x:v>cmm0ckscr000t04i312fc6edg | cmm0ct5sl001504i3x6g18pvd</x:v>
      </x:c>
      <x:c r="H7" s="9" t="str">
        <x:v>Blackwood v Blackwood</x:v>
      </x:c>
      <x:c r="I7" s="9" t="str">
        <x:v>not_found_in_registry</x:v>
      </x:c>
      <x:c r="J7" s="9" t="str">
        <x:v>none</x:v>
      </x:c>
      <x:c r="K7" s="9" t="str"/>
      <x:c r="L7" s="9" t="str"/>
      <x:c r="M7" s="9" t="str"/>
      <x:c r="N7" s="9" t="str"/>
      <x:c r="O7" s="9" t="str">
        <x:v>verified_real_exact</x:v>
      </x:c>
      <x:c r="P7" s="9" t="str">
        <x:v>https://vlex.co.uk/vid/spread-trustee-company-ltd-818719649</x:v>
      </x:c>
      <x:c r="Q7" s="9" t="str">
        <x:v>Spread Trustee Company Ltd v Hutcheson</x:v>
      </x:c>
      <x:c r="R7" s="9" t="str">
        <x:v>[2011] UKPC 13</x:v>
      </x:c>
      <x:c r="S7" s="9" t="str">
        <x:v>The Privy Council authority and neutral citation are genuine.</x:v>
      </x:c>
      <x:c r="T7" s="9" t="str">
        <x:v>No accepted registry match. This does not by itself prove the authority is legally fictitious.</x:v>
      </x:c>
      <x:c r="U7" s="9" t="str"/>
      <x:c r="V7" s="9" t="str">
        <x:v>no</x:v>
      </x:c>
      <x:c r="W7" s="9" t="str">
        <x:v>legal_report_database</x:v>
      </x:c>
      <x:c r="X7" s="9" t="str">
        <x:v>reputable_legal_database</x:v>
      </x:c>
      <x:c r="Y7" s="9" t="str">
        <x:v>2026-08-14</x:v>
      </x:c>
    </x:row>
    <x:row r="8">
      <x:c r="A8" s="9" t="str">
        <x:v>case:2015 uksc 11</x:v>
      </x:c>
      <x:c r="B8" s="9" t="str">
        <x:v>[2015] UKSC 11</x:v>
      </x:c>
      <x:c r="C8" s="9" t="str">
        <x:v>[2015] UKSC 11</x:v>
      </x:c>
      <x:c r="D8" s="12" t="n">
        <x:v>1</x:v>
      </x:c>
      <x:c r="E8" s="12" t="n">
        <x:v>1</x:v>
      </x:c>
      <x:c r="F8" s="9" t="str">
        <x:v>synthetic</x:v>
      </x:c>
      <x:c r="G8" s="9" t="str">
        <x:v>cmm93eoww000904l4jttzk880</x:v>
      </x:c>
      <x:c r="H8" s="9" t="str">
        <x:v>Collins v North Thames NHS Foundation Trust</x:v>
      </x:c>
      <x:c r="I8" s="9" t="str">
        <x:v>not_found_in_registry</x:v>
      </x:c>
      <x:c r="J8" s="9" t="str">
        <x:v>none</x:v>
      </x:c>
      <x:c r="K8" s="9" t="str"/>
      <x:c r="L8" s="9" t="str"/>
      <x:c r="M8" s="9" t="str"/>
      <x:c r="N8" s="9" t="str"/>
      <x:c r="O8" s="9" t="str">
        <x:v>verified_real_incomplete_citation</x:v>
      </x:c>
      <x:c r="P8" s="9" t="str">
        <x:v>https://www.supremecourt.uk/cases/uksc-2013-0136</x:v>
      </x:c>
      <x:c r="Q8" s="9" t="str">
        <x:v>Montgomery v Lanarkshire Health Board</x:v>
      </x:c>
      <x:c r="R8" s="9" t="str">
        <x:v>[2015] UKSC 11; [2015] AC 1430</x:v>
      </x:c>
      <x:c r="S8" s="9" t="str">
        <x:v>The neutral citation is valid, but the extracted citation omitted the case name.</x:v>
      </x:c>
      <x:c r="T8" s="9" t="str">
        <x:v>No accepted registry match. This does not by itself prove the authority is legally fictitious.</x:v>
      </x:c>
      <x:c r="U8" s="9" t="str"/>
      <x:c r="V8" s="9" t="str">
        <x:v>no</x:v>
      </x:c>
      <x:c r="W8" s="9" t="str">
        <x:v>primary_judgment</x:v>
      </x:c>
      <x:c r="X8" s="9" t="str">
        <x:v>primary</x:v>
      </x:c>
      <x:c r="Y8" s="9" t="str">
        <x:v>2026-08-14</x:v>
      </x:c>
    </x:row>
    <x:row r="9">
      <x:c r="A9" s="9" t="str">
        <x:v>case:2021 uksc 1</x:v>
      </x:c>
      <x:c r="B9" s="9" t="str">
        <x:v>FCA v Arch Insurance (UK) Ltd [2021] UKSC 1</x:v>
      </x:c>
      <x:c r="C9" s="9" t="str">
        <x:v>FCA v Arch Insurance (UK) Ltd [2021] UKSC 1</x:v>
      </x:c>
      <x:c r="D9" s="12" t="n">
        <x:v>1</x:v>
      </x:c>
      <x:c r="E9" s="12" t="n">
        <x:v>1</x:v>
      </x:c>
      <x:c r="F9" s="9" t="str">
        <x:v>synthetic</x:v>
      </x:c>
      <x:c r="G9" s="9" t="str">
        <x:v>cmmcal70d000h04k3e11w997v</x:v>
      </x:c>
      <x:c r="H9" s="9" t="str">
        <x:v>UnipolSai Assicurazioni S.p.A. v Covéa Insurance Plc</x:v>
      </x:c>
      <x:c r="I9" s="9" t="str">
        <x:v>not_found_in_registry</x:v>
      </x:c>
      <x:c r="J9" s="9" t="str">
        <x:v>none</x:v>
      </x:c>
      <x:c r="K9" s="9" t="str"/>
      <x:c r="L9" s="9" t="str"/>
      <x:c r="M9" s="9" t="str"/>
      <x:c r="N9" s="9" t="str"/>
      <x:c r="O9" s="9" t="str">
        <x:v>verified_real_title_variant</x:v>
      </x:c>
      <x:c r="P9" s="9" t="str">
        <x:v>https://www.supremecourt.uk/cases/uksc-2020-0177</x:v>
      </x:c>
      <x:c r="Q9" s="9" t="str">
        <x:v>Financial Conduct Authority v Arch Insurance (UK) Ltd and others</x:v>
      </x:c>
      <x:c r="R9" s="9" t="str">
        <x:v>[2021] UKSC 1</x:v>
      </x:c>
      <x:c r="S9" s="9" t="str">
        <x:v>The authority is genuine; 'FCA' is an acceptable abbreviation of the claimant's name.</x:v>
      </x:c>
      <x:c r="T9" s="9" t="str">
        <x:v>No accepted registry match. This does not by itself prove the authority is legally fictitious.</x:v>
      </x:c>
      <x:c r="U9" s="9" t="str"/>
      <x:c r="V9" s="9" t="str">
        <x:v>no</x:v>
      </x:c>
      <x:c r="W9" s="9" t="str">
        <x:v>primary_judgment</x:v>
      </x:c>
      <x:c r="X9" s="9" t="str">
        <x:v>primary</x:v>
      </x:c>
      <x:c r="Y9" s="9" t="str">
        <x:v>2026-08-14</x:v>
      </x:c>
    </x:row>
    <x:row r="10">
      <x:c r="A10" s="9" t="str">
        <x:v>case:2023 ewhc 1995 admin</x:v>
      </x:c>
      <x:c r="B10" s="9" t="str">
        <x:v>R (Worcestershire Acute Hospitals NHS Trust) v Malvern Hills District Council [2023] EWHC 1995 (Admin)</x:v>
      </x:c>
      <x:c r="C10" s="9" t="str">
        <x:v>R (Worcestershire Acute Hospitals NHS Trust) v Malvern Hills District Council [2023] EWHC 1995 (Admin)</x:v>
      </x:c>
      <x:c r="D10" s="12" t="n">
        <x:v>1</x:v>
      </x:c>
      <x:c r="E10" s="12" t="n">
        <x:v>2</x:v>
      </x:c>
      <x:c r="F10" s="9" t="str">
        <x:v>real</x:v>
      </x:c>
      <x:c r="G10" s="9" t="str">
        <x:v>cmmxtzd4o000904jrjc2hdwrx</x:v>
      </x:c>
      <x:c r="H10" s="9" t="str">
        <x:v>Greenfields (IOW) Limited v Isle of Wight Council &amp; Westridge Village Limited</x:v>
      </x:c>
      <x:c r="I10" s="9" t="str">
        <x:v>not_found_in_registry</x:v>
      </x:c>
      <x:c r="J10" s="9" t="str">
        <x:v>none</x:v>
      </x:c>
      <x:c r="K10" s="9" t="str"/>
      <x:c r="L10" s="9" t="str"/>
      <x:c r="M10" s="9" t="str"/>
      <x:c r="N10" s="9" t="str"/>
      <x:c r="O10" s="9" t="str">
        <x:v>verified_real_exact</x:v>
      </x:c>
      <x:c r="P10" s="9" t="str">
        <x:v>https://www.rugby.gov.uk/documents/20124/63474083/CD.12.7%2BR%28Worcestershire%2BAcute%2BHospitals%2BNHS%2BTrust%29%2Bv%2BMalvern%2BHills%2BDistrict%2BCouncil%2B%26%2Bors%2B%5B2023%5D.pdf/de99cc16-5580-e035-4f4c-b8bedf741243?t=1777543244613</x:v>
      </x:c>
      <x:c r="Q10" s="9" t="str">
        <x:v>R (Worcestershire Acute Hospitals NHS Trust) v Malvern Hills District Council and others</x:v>
      </x:c>
      <x:c r="R10" s="9" t="str">
        <x:v>[2023] EWHC 1995 (Admin)</x:v>
      </x:c>
      <x:c r="S10" s="9" t="str">
        <x:v>The approved judgment confirms the title and neutral citation; the extracted form omitted 'and others'.</x:v>
      </x:c>
      <x:c r="T10" s="9" t="str">
        <x:v>No accepted registry match. This does not by itself prove the authority is legally fictitious.</x:v>
      </x:c>
      <x:c r="U10" s="9" t="str"/>
      <x:c r="V10" s="9" t="str">
        <x:v>no</x:v>
      </x:c>
      <x:c r="W10" s="9" t="str">
        <x:v>approved_judgment</x:v>
      </x:c>
      <x:c r="X10" s="9" t="str">
        <x:v>primary</x:v>
      </x:c>
      <x:c r="Y10" s="9" t="str">
        <x:v>2026-08-14</x:v>
      </x:c>
    </x:row>
    <x:row r="11">
      <x:c r="A11" s="9" t="str">
        <x:v>case:armitage v nurse 1998 ch 241</x:v>
      </x:c>
      <x:c r="B11" s="9" t="str">
        <x:v>Armitage v Nurse [1998] Ch 241</x:v>
      </x:c>
      <x:c r="C11" s="9" t="str">
        <x:v>Armitage v Nurse [1998] Ch 241</x:v>
      </x:c>
      <x:c r="D11" s="12" t="n">
        <x:v>2</x:v>
      </x:c>
      <x:c r="E11" s="12" t="n">
        <x:v>2</x:v>
      </x:c>
      <x:c r="F11" s="9" t="str">
        <x:v>synthetic</x:v>
      </x:c>
      <x:c r="G11" s="9" t="str">
        <x:v>cmm0ckscr000t04i312fc6edg | cmm0ct5sl001504i3x6g18pvd</x:v>
      </x:c>
      <x:c r="H11" s="9" t="str">
        <x:v>Blackwood v Blackwood</x:v>
      </x:c>
      <x:c r="I11" s="9" t="str">
        <x:v>not_found_in_registry</x:v>
      </x:c>
      <x:c r="J11" s="9" t="str">
        <x:v>none</x:v>
      </x:c>
      <x:c r="K11" s="9" t="str"/>
      <x:c r="L11" s="9" t="str"/>
      <x:c r="M11" s="9" t="str"/>
      <x:c r="N11" s="9" t="str"/>
      <x:c r="O11" s="9" t="str">
        <x:v>verified_real_exact</x:v>
      </x:c>
      <x:c r="P11" s="9" t="str">
        <x:v>https://www.bailii.org/ew/cases/EWCA/Civ/1997/1279.html</x:v>
      </x:c>
      <x:c r="Q11" s="9" t="str">
        <x:v>Armitage v Nurse</x:v>
      </x:c>
      <x:c r="R11" s="9" t="str">
        <x:v>[1998] Ch 241; [1997] EWCA Civ 1279</x:v>
      </x:c>
      <x:c r="S11" s="9" t="str">
        <x:v>The Court of Appeal authority and report citation are genuine.</x:v>
      </x:c>
      <x:c r="T11" s="9" t="str">
        <x:v>No accepted registry match. This does not by itself prove the authority is legally fictitious.</x:v>
      </x:c>
      <x:c r="U11" s="9" t="str"/>
      <x:c r="V11" s="9" t="str">
        <x:v>no</x:v>
      </x:c>
      <x:c r="W11" s="9" t="str">
        <x:v>primary_judgment</x:v>
      </x:c>
      <x:c r="X11" s="9" t="str">
        <x:v>primary</x:v>
      </x:c>
      <x:c r="Y11" s="9" t="str">
        <x:v>2026-08-14</x:v>
      </x:c>
    </x:row>
    <x:row r="12">
      <x:c r="A12" s="9" t="str">
        <x:v>case:bolam v friern hospital management committee 1957</x:v>
      </x:c>
      <x:c r="B12" s="9" t="str">
        <x:v>Bolam v Friern Hospital Management Committee [1957]</x:v>
      </x:c>
      <x:c r="C12" s="9" t="str">
        <x:v>Bolam v Friern Hospital Management Committee [1957]</x:v>
      </x:c>
      <x:c r="D12" s="12" t="n">
        <x:v>1</x:v>
      </x:c>
      <x:c r="E12" s="12" t="n">
        <x:v>1</x:v>
      </x:c>
      <x:c r="F12" s="9" t="str">
        <x:v>synthetic</x:v>
      </x:c>
      <x:c r="G12" s="9" t="str">
        <x:v>cmst7uoeu00d804l5ayb3b9q8</x:v>
      </x:c>
      <x:c r="H12" s="9" t="str">
        <x:v>Sterling Investments Ltd v Blackwood Capital Partners LLP</x:v>
      </x:c>
      <x:c r="I12" s="9" t="str">
        <x:v>not_found_in_registry</x:v>
      </x:c>
      <x:c r="J12" s="9" t="str">
        <x:v>none</x:v>
      </x:c>
      <x:c r="K12" s="9" t="str"/>
      <x:c r="L12" s="9" t="str"/>
      <x:c r="M12" s="9" t="str"/>
      <x:c r="N12" s="9" t="str"/>
      <x:c r="O12" s="9" t="str">
        <x:v>verified_real_incomplete_citation</x:v>
      </x:c>
      <x:c r="P12" s="9" t="str">
        <x:v>https://uk.practicallaw.thomsonreuters.com/D-016-0979</x:v>
      </x:c>
      <x:c r="Q12" s="9" t="str">
        <x:v>Bolam v Friern Hospital Management Committee</x:v>
      </x:c>
      <x:c r="R12" s="9" t="str">
        <x:v>[1957] 1 WLR 582</x:v>
      </x:c>
      <x:c r="S12" s="9" t="str">
        <x:v>The case is genuine, but '[1957]' alone is not a complete report citation.</x:v>
      </x:c>
      <x:c r="T12" s="9" t="str">
        <x:v>No accepted registry match. This does not by itself prove the authority is legally fictitious.</x:v>
      </x:c>
      <x:c r="U12" s="9" t="str"/>
      <x:c r="V12" s="9" t="str">
        <x:v>no</x:v>
      </x:c>
      <x:c r="W12" s="9" t="str">
        <x:v>legal_report_database</x:v>
      </x:c>
      <x:c r="X12" s="9" t="str">
        <x:v>reputable_legal_database</x:v>
      </x:c>
      <x:c r="Y12" s="9" t="str">
        <x:v>2026-08-14</x:v>
      </x:c>
    </x:row>
    <x:row r="13">
      <x:c r="A13" s="9" t="str">
        <x:v>case:caparo industries plc v dickman</x:v>
      </x:c>
      <x:c r="B13" s="9" t="str">
        <x:v>Caparo Industries Plc v Dickman</x:v>
      </x:c>
      <x:c r="C13" s="9" t="str">
        <x:v>Caparo Industries Plc v Dickman</x:v>
      </x:c>
      <x:c r="D13" s="12" t="n">
        <x:v>1</x:v>
      </x:c>
      <x:c r="E13" s="12" t="n">
        <x:v>1</x:v>
      </x:c>
      <x:c r="F13" s="9" t="str">
        <x:v>synthetic</x:v>
      </x:c>
      <x:c r="G13" s="9" t="str">
        <x:v>cmmmudwct000304kzc6d15a3r</x:v>
      </x:c>
      <x:c r="H13" s="9" t="str">
        <x:v>Sunrise Hospitality Group Ltd v Grant Morrison &amp; Co LLP</x:v>
      </x:c>
      <x:c r="I13" s="9" t="str">
        <x:v>not_found_in_registry</x:v>
      </x:c>
      <x:c r="J13" s="9" t="str">
        <x:v>none</x:v>
      </x:c>
      <x:c r="K13" s="9" t="str"/>
      <x:c r="L13" s="9" t="str"/>
      <x:c r="M13" s="9" t="str"/>
      <x:c r="N13" s="9" t="str"/>
      <x:c r="O13" s="9" t="str">
        <x:v>verified_real_incomplete_citation</x:v>
      </x:c>
      <x:c r="P13" s="9" t="str">
        <x:v>https://www.bailii.org/uk/cases/UKHL/1990/2.html</x:v>
      </x:c>
      <x:c r="Q13" s="9" t="str">
        <x:v>Caparo Industries plc v Dickman</x:v>
      </x:c>
      <x:c r="R13" s="9" t="str">
        <x:v>[1990] 2 AC 605; [1990] UKHL 2</x:v>
      </x:c>
      <x:c r="S13" s="9" t="str">
        <x:v>The case is genuine, but this extracted form supplied no citation.</x:v>
      </x:c>
      <x:c r="T13" s="9" t="str">
        <x:v>No accepted registry match. This does not by itself prove the authority is legally fictitious.</x:v>
      </x:c>
      <x:c r="U13" s="9" t="str"/>
      <x:c r="V13" s="9" t="str">
        <x:v>no</x:v>
      </x:c>
      <x:c r="W13" s="9" t="str">
        <x:v>primary_judgment</x:v>
      </x:c>
      <x:c r="X13" s="9" t="str">
        <x:v>primary</x:v>
      </x:c>
      <x:c r="Y13" s="9" t="str">
        <x:v>2026-08-14</x:v>
      </x:c>
    </x:row>
    <x:row r="14">
      <x:c r="A14" s="9" t="str">
        <x:v>case:flannery v halifax estate agencies ltd</x:v>
      </x:c>
      <x:c r="B14" s="9" t="str">
        <x:v>Flannery v Halifax Estate Agencies Ltd</x:v>
      </x:c>
      <x:c r="C14" s="9" t="str">
        <x:v>Flannery v Halifax Estate Agencies Ltd</x:v>
      </x:c>
      <x:c r="D14" s="12" t="n">
        <x:v>3</x:v>
      </x:c>
      <x:c r="E14" s="12" t="n">
        <x:v>3</x:v>
      </x:c>
      <x:c r="F14" s="9" t="str">
        <x:v>real | synthetic</x:v>
      </x:c>
      <x:c r="G14" s="9" t="str">
        <x:v>cmmc4a8zu000h04jx2w3r0hzo | cmsbr021t001104jndbjo02xo | cmst4kl1t000h04js7g8j67zy</x:v>
      </x:c>
      <x:c r="H14" s="9" t="str">
        <x:v>R (Fajr Ellis) v Secretary of State for Justice | Greenfields (IOW) Limited v Isle of Wight Council &amp; Westridge Village Limited | Heritage Brewing Company Ltd v Traditional Ales Holdings Plc</x:v>
      </x:c>
      <x:c r="I14" s="9" t="str">
        <x:v>not_found_in_registry</x:v>
      </x:c>
      <x:c r="J14" s="9" t="str">
        <x:v>none</x:v>
      </x:c>
      <x:c r="K14" s="9" t="str"/>
      <x:c r="L14" s="9" t="str"/>
      <x:c r="M14" s="9" t="str"/>
      <x:c r="N14" s="9" t="str"/>
      <x:c r="O14" s="9" t="str">
        <x:v>verified_real_incomplete_citation</x:v>
      </x:c>
      <x:c r="P14" s="9" t="str">
        <x:v>https://www.bailii.org/ew/cases/EWCA/Civ/1999/811.html</x:v>
      </x:c>
      <x:c r="Q14" s="9" t="str">
        <x:v>Flannery v Halifax Estate Agencies Ltd</x:v>
      </x:c>
      <x:c r="R14" s="9" t="str">
        <x:v>[2000] 1 WLR 377; [1999] EWCA Civ 811</x:v>
      </x:c>
      <x:c r="S14" s="9" t="str">
        <x:v>The case is genuine, but this extracted form supplied no citation.</x:v>
      </x:c>
      <x:c r="T14" s="9" t="str">
        <x:v>No accepted registry match. This does not by itself prove the authority is legally fictitious.</x:v>
      </x:c>
      <x:c r="U14" s="9" t="str"/>
      <x:c r="V14" s="9" t="str">
        <x:v>no</x:v>
      </x:c>
      <x:c r="W14" s="9" t="str">
        <x:v>primary_judgment</x:v>
      </x:c>
      <x:c r="X14" s="9" t="str">
        <x:v>primary</x:v>
      </x:c>
      <x:c r="Y14" s="9" t="str">
        <x:v>2026-08-14</x:v>
      </x:c>
    </x:row>
    <x:row r="15">
      <x:c r="A15" s="9" t="str">
        <x:v>case:hedley byrne &amp; co ltd v heller &amp; partners ltd 1964</x:v>
      </x:c>
      <x:c r="B15" s="9" t="str">
        <x:v>Hedley Byrne &amp; Co Ltd v Heller &amp; Partners Ltd [1964]</x:v>
      </x:c>
      <x:c r="C15" s="9" t="str">
        <x:v>Hedley Byrne &amp; Co Ltd v Heller &amp; Partners Ltd [1964]</x:v>
      </x:c>
      <x:c r="D15" s="12" t="n">
        <x:v>1</x:v>
      </x:c>
      <x:c r="E15" s="12" t="n">
        <x:v>1</x:v>
      </x:c>
      <x:c r="F15" s="9" t="str">
        <x:v>synthetic</x:v>
      </x:c>
      <x:c r="G15" s="9" t="str">
        <x:v>cmst7uoeu00d804l5ayb3b9q8</x:v>
      </x:c>
      <x:c r="H15" s="9" t="str">
        <x:v>Sterling Investments Ltd v Blackwood Capital Partners LLP</x:v>
      </x:c>
      <x:c r="I15" s="9" t="str">
        <x:v>not_found_in_registry</x:v>
      </x:c>
      <x:c r="J15" s="9" t="str">
        <x:v>none</x:v>
      </x:c>
      <x:c r="K15" s="9" t="str"/>
      <x:c r="L15" s="9" t="str"/>
      <x:c r="M15" s="9" t="str"/>
      <x:c r="N15" s="9" t="str"/>
      <x:c r="O15" s="9" t="str">
        <x:v>verified_real_incomplete_citation</x:v>
      </x:c>
      <x:c r="P15" s="9" t="str">
        <x:v>https://www.bailii.org/uk/cases/UKHL/1963/4.html</x:v>
      </x:c>
      <x:c r="Q15" s="9" t="str">
        <x:v>Hedley Byrne &amp; Co Ltd v Heller &amp; Partners Ltd</x:v>
      </x:c>
      <x:c r="R15" s="9" t="str">
        <x:v>[1964] AC 465; [1963] UKHL 4</x:v>
      </x:c>
      <x:c r="S15" s="9" t="str">
        <x:v>The case is genuine, but '[1964]' alone is not a complete report citation.</x:v>
      </x:c>
      <x:c r="T15" s="9" t="str">
        <x:v>No accepted registry match. This does not by itself prove the authority is legally fictitious.</x:v>
      </x:c>
      <x:c r="U15" s="9" t="str"/>
      <x:c r="V15" s="9" t="str">
        <x:v>no</x:v>
      </x:c>
      <x:c r="W15" s="9" t="str">
        <x:v>primary_judgment</x:v>
      </x:c>
      <x:c r="X15" s="9" t="str">
        <x:v>primary</x:v>
      </x:c>
      <x:c r="Y15" s="9" t="str">
        <x:v>2026-08-14</x:v>
      </x:c>
    </x:row>
    <x:row r="16">
      <x:c r="A16" s="9" t="str">
        <x:v>case:henderson v merrett syndicates ltd 1995</x:v>
      </x:c>
      <x:c r="B16" s="9" t="str">
        <x:v>Henderson v Merrett Syndicates Ltd [1995]</x:v>
      </x:c>
      <x:c r="C16" s="9" t="str">
        <x:v>Henderson v Merrett Syndicates Ltd [1995]</x:v>
      </x:c>
      <x:c r="D16" s="12" t="n">
        <x:v>1</x:v>
      </x:c>
      <x:c r="E16" s="12" t="n">
        <x:v>1</x:v>
      </x:c>
      <x:c r="F16" s="9" t="str">
        <x:v>synthetic</x:v>
      </x:c>
      <x:c r="G16" s="9" t="str">
        <x:v>cmst7uoeu00d804l5ayb3b9q8</x:v>
      </x:c>
      <x:c r="H16" s="9" t="str">
        <x:v>Sterling Investments Ltd v Blackwood Capital Partners LLP</x:v>
      </x:c>
      <x:c r="I16" s="9" t="str">
        <x:v>not_found_in_registry</x:v>
      </x:c>
      <x:c r="J16" s="9" t="str">
        <x:v>none</x:v>
      </x:c>
      <x:c r="K16" s="9" t="str"/>
      <x:c r="L16" s="9" t="str"/>
      <x:c r="M16" s="9" t="str"/>
      <x:c r="N16" s="9" t="str"/>
      <x:c r="O16" s="9" t="str">
        <x:v>verified_real_incomplete_citation</x:v>
      </x:c>
      <x:c r="P16" s="9" t="str">
        <x:v>https://www.bailii.org/uk/cases/UKHL/1994/5.html</x:v>
      </x:c>
      <x:c r="Q16" s="9" t="str">
        <x:v>Henderson v Merrett Syndicates Ltd</x:v>
      </x:c>
      <x:c r="R16" s="9" t="str">
        <x:v>[1995] 2 AC 145; [1994] UKHL 5</x:v>
      </x:c>
      <x:c r="S16" s="9" t="str">
        <x:v>The case is genuine, but '[1995]' alone is not a complete report citation.</x:v>
      </x:c>
      <x:c r="T16" s="9" t="str">
        <x:v>No accepted registry match. This does not by itself prove the authority is legally fictitious.</x:v>
      </x:c>
      <x:c r="U16" s="9" t="str"/>
      <x:c r="V16" s="9" t="str">
        <x:v>no</x:v>
      </x:c>
      <x:c r="W16" s="9" t="str">
        <x:v>primary_judgment</x:v>
      </x:c>
      <x:c r="X16" s="9" t="str">
        <x:v>primary</x:v>
      </x:c>
      <x:c r="Y16" s="9" t="str">
        <x:v>2026-08-14</x:v>
      </x:c>
    </x:row>
    <x:row r="17">
      <x:c r="A17" s="9" t="str">
        <x:v>case:hmrc v volkswagen financial services case c 153 17</x:v>
      </x:c>
      <x:c r="B17" s="9" t="str">
        <x:v>HMRC v Volkswagen Financial Services (Case C-153/17)</x:v>
      </x:c>
      <x:c r="C17" s="9" t="str">
        <x:v>HMRC v Volkswagen Financial Services (Case C-153/17)</x:v>
      </x:c>
      <x:c r="D17" s="12" t="n">
        <x:v>1</x:v>
      </x:c>
      <x:c r="E17" s="12" t="n">
        <x:v>1</x:v>
      </x:c>
      <x:c r="F17" s="9" t="str">
        <x:v>real</x:v>
      </x:c>
      <x:c r="G17" s="9" t="str">
        <x:v>cmsbr3045000j04l4tkps7ymp</x:v>
      </x:c>
      <x:c r="H17" s="9" t="str">
        <x:v>Hippodrome Casino Ltd v HMRC</x:v>
      </x:c>
      <x:c r="I17" s="9" t="str">
        <x:v>not_found_in_registry</x:v>
      </x:c>
      <x:c r="J17" s="9" t="str">
        <x:v>none</x:v>
      </x:c>
      <x:c r="K17" s="9" t="str"/>
      <x:c r="L17" s="9" t="str"/>
      <x:c r="M17" s="9" t="str"/>
      <x:c r="N17" s="9" t="str"/>
      <x:c r="O17" s="9" t="str">
        <x:v>verified_real_title_variant</x:v>
      </x:c>
      <x:c r="P17" s="9" t="str">
        <x:v>https://infocuria.curia.europa.eu/tabs/redirect/juris/liste.jsf?num=C-153%2F17</x:v>
      </x:c>
      <x:c r="Q17" s="9" t="str">
        <x:v>Volkswagen Financial Services (UK) Ltd v Commissioners for Her Majesty's Revenue and Customs</x:v>
      </x:c>
      <x:c r="R17" s="9" t="str">
        <x:v>Case C-153/17; EU:C:2018:845</x:v>
      </x:c>
      <x:c r="S17" s="9" t="str">
        <x:v>The CJEU proceeding is genuine. The extracted title reverses/shortens the formal party names but includes the correct case number.</x:v>
      </x:c>
      <x:c r="T17" s="9" t="str">
        <x:v>No accepted registry match. This does not by itself prove the authority is legally fictitious.</x:v>
      </x:c>
      <x:c r="U17" s="9" t="str"/>
      <x:c r="V17" s="9" t="str">
        <x:v>no</x:v>
      </x:c>
      <x:c r="W17" s="9" t="str">
        <x:v>primary_case_registry</x:v>
      </x:c>
      <x:c r="X17" s="9" t="str">
        <x:v>primary</x:v>
      </x:c>
      <x:c r="Y17" s="9" t="str">
        <x:v>2026-08-14</x:v>
      </x:c>
    </x:row>
    <x:row r="18">
      <x:c r="A18" s="9" t="str">
        <x:v>case:igen ltd v wong</x:v>
      </x:c>
      <x:c r="B18" s="9" t="str">
        <x:v>Igen Ltd v Wong</x:v>
      </x:c>
      <x:c r="C18" s="9" t="str">
        <x:v>Igen Ltd v Wong</x:v>
      </x:c>
      <x:c r="D18" s="12" t="n">
        <x:v>1</x:v>
      </x:c>
      <x:c r="E18" s="12" t="n">
        <x:v>1</x:v>
      </x:c>
      <x:c r="F18" s="9" t="str">
        <x:v>synthetic</x:v>
      </x:c>
      <x:c r="G18" s="9" t="str">
        <x:v>cmst419ew000k04ladhs06s0r</x:v>
      </x:c>
      <x:c r="H18" s="9" t="str">
        <x:v>Sharma v Meridian Financial Services Ltd</x:v>
      </x:c>
      <x:c r="I18" s="9" t="str">
        <x:v>not_found_in_registry</x:v>
      </x:c>
      <x:c r="J18" s="9" t="str">
        <x:v>none</x:v>
      </x:c>
      <x:c r="K18" s="9" t="str"/>
      <x:c r="L18" s="9" t="str"/>
      <x:c r="M18" s="9" t="str"/>
      <x:c r="N18" s="9" t="str"/>
      <x:c r="O18" s="9" t="str">
        <x:v>verified_real_incomplete_citation</x:v>
      </x:c>
      <x:c r="P18" s="9" t="str">
        <x:v>https://www.bailii.org/ew/cases/EWCA/Civ/2005/142.html</x:v>
      </x:c>
      <x:c r="Q18" s="9" t="str">
        <x:v>Igen Ltd v Wong</x:v>
      </x:c>
      <x:c r="R18" s="9" t="str">
        <x:v>[2005] EWCA Civ 142; [2005] ICR 931</x:v>
      </x:c>
      <x:c r="S18" s="9" t="str">
        <x:v>The case is genuine, but the extracted form supplied no citation.</x:v>
      </x:c>
      <x:c r="T18" s="9" t="str">
        <x:v>No accepted registry match. This does not by itself prove the authority is legally fictitious.</x:v>
      </x:c>
      <x:c r="U18" s="9" t="str"/>
      <x:c r="V18" s="9" t="str">
        <x:v>no</x:v>
      </x:c>
      <x:c r="W18" s="9" t="str">
        <x:v>primary_judgment</x:v>
      </x:c>
      <x:c r="X18" s="9" t="str">
        <x:v>primary</x:v>
      </x:c>
      <x:c r="Y18" s="9" t="str">
        <x:v>2026-08-14</x:v>
      </x:c>
    </x:row>
    <x:row r="19">
      <x:c r="A19" s="9" t="str">
        <x:v>case:james v greenwich bc 2008 irlr 302</x:v>
      </x:c>
      <x:c r="B19" s="9" t="str">
        <x:v>James v Greenwich BC [2008] IRLR 302</x:v>
      </x:c>
      <x:c r="C19" s="9" t="str">
        <x:v>James v Greenwich BC [2008] IRLR 302</x:v>
      </x:c>
      <x:c r="D19" s="12" t="n">
        <x:v>1</x:v>
      </x:c>
      <x:c r="E19" s="12" t="n">
        <x:v>1</x:v>
      </x:c>
      <x:c r="F19" s="9" t="str">
        <x:v>real</x:v>
      </x:c>
      <x:c r="G19" s="9" t="str">
        <x:v>cmsbskr86000h04ji5a4thcht</x:v>
      </x:c>
      <x:c r="H19" s="9" t="str">
        <x:v>Storm Global Limited v Jason Lutz</x:v>
      </x:c>
      <x:c r="I19" s="9" t="str">
        <x:v>not_found_in_registry</x:v>
      </x:c>
      <x:c r="J19" s="9" t="str">
        <x:v>none</x:v>
      </x:c>
      <x:c r="K19" s="9" t="str"/>
      <x:c r="L19" s="9" t="str"/>
      <x:c r="M19" s="9" t="str"/>
      <x:c r="N19" s="9" t="str"/>
      <x:c r="O19" s="9" t="str">
        <x:v>verified_real_title_variant</x:v>
      </x:c>
      <x:c r="P19" s="9" t="str">
        <x:v>https://www.bailii.org/ew/cases/EWCA/Civ/2008/35.html</x:v>
      </x:c>
      <x:c r="Q19" s="9" t="str">
        <x:v>James v London Borough of Greenwich</x:v>
      </x:c>
      <x:c r="R19" s="9" t="str">
        <x:v>[2008] EWCA Civ 35; [2008] IRLR 302</x:v>
      </x:c>
      <x:c r="S19" s="9" t="str">
        <x:v>The authority and report citation are genuine; 'Greenwich BC' is an abbreviated party name.</x:v>
      </x:c>
      <x:c r="T19" s="9" t="str">
        <x:v>No accepted registry match. This does not by itself prove the authority is legally fictitious.</x:v>
      </x:c>
      <x:c r="U19" s="9" t="str"/>
      <x:c r="V19" s="9" t="str">
        <x:v>no</x:v>
      </x:c>
      <x:c r="W19" s="9" t="str">
        <x:v>primary_judgment</x:v>
      </x:c>
      <x:c r="X19" s="9" t="str">
        <x:v>primary</x:v>
      </x:c>
      <x:c r="Y19" s="9" t="str">
        <x:v>2026-08-14</x:v>
      </x:c>
    </x:row>
    <x:row r="20">
      <x:c r="A20" s="9" t="str">
        <x:v>case:mehmet arslan and orhan bingol v turkey</x:v>
      </x:c>
      <x:c r="B20" s="9" t="str">
        <x:v>Mehmet Arslan and Orhan Bingol v Turkey</x:v>
      </x:c>
      <x:c r="C20" s="9" t="str">
        <x:v>Mehmet Arslan and Orhan Bingol v Turkey</x:v>
      </x:c>
      <x:c r="D20" s="12" t="n">
        <x:v>1</x:v>
      </x:c>
      <x:c r="E20" s="12" t="n">
        <x:v>1</x:v>
      </x:c>
      <x:c r="F20" s="9" t="str">
        <x:v>real</x:v>
      </x:c>
      <x:c r="G20" s="9" t="str">
        <x:v>cmmjsmua2000q04jstd4i8p7c</x:v>
      </x:c>
      <x:c r="H20" s="9" t="str">
        <x:v>R (Fajr Ellis) v Secretary of State for Justice</x:v>
      </x:c>
      <x:c r="I20" s="9" t="str">
        <x:v>not_found_in_registry</x:v>
      </x:c>
      <x:c r="J20" s="9" t="str">
        <x:v>none</x:v>
      </x:c>
      <x:c r="K20" s="9" t="str"/>
      <x:c r="L20" s="9" t="str"/>
      <x:c r="M20" s="9" t="str"/>
      <x:c r="N20" s="9" t="str"/>
      <x:c r="O20" s="9" t="str">
        <x:v>verified_real_incomplete_citation</x:v>
      </x:c>
      <x:c r="P20" s="9" t="str">
        <x:v>https://hudoc.echr.coe.int/eng?i=001-194194</x:v>
      </x:c>
      <x:c r="Q20" s="9" t="str">
        <x:v>Mehmet Reşit Arslan and Orhan Bingöl v Turkey</x:v>
      </x:c>
      <x:c r="R20" s="9" t="str">
        <x:v>ECtHR, applications nos. 47121/06, 13988/07 and 34750/07, judgment 18 June 2019</x:v>
      </x:c>
      <x:c r="S20" s="9" t="str">
        <x:v>The ECtHR case is genuine. The extracted form omitted diacritics, the first applicant's middle name, application numbers and judgment date.</x:v>
      </x:c>
      <x:c r="T20" s="9" t="str">
        <x:v>No accepted registry match. This does not by itself prove the authority is legally fictitious.</x:v>
      </x:c>
      <x:c r="U20" s="9" t="str"/>
      <x:c r="V20" s="9" t="str">
        <x:v>no</x:v>
      </x:c>
      <x:c r="W20" s="9" t="str">
        <x:v>primary_case_registry</x:v>
      </x:c>
      <x:c r="X20" s="9" t="str">
        <x:v>primary</x:v>
      </x:c>
      <x:c r="Y20" s="9" t="str">
        <x:v>2026-08-14</x:v>
      </x:c>
    </x:row>
    <x:row r="21">
      <x:c r="A21" s="9" t="str">
        <x:v>case:neilson v poole 1969 20 p&amp;cr 909</x:v>
      </x:c>
      <x:c r="B21" s="9" t="str">
        <x:v>Neilson v. Poole [1969] 20 P&amp;CR 909</x:v>
      </x:c>
      <x:c r="C21" s="9" t="str">
        <x:v>Neilson v. Poole [1969] 20 P&amp;CR 909</x:v>
      </x:c>
      <x:c r="D21" s="12" t="n">
        <x:v>1</x:v>
      </x:c>
      <x:c r="E21" s="12" t="n">
        <x:v>1</x:v>
      </x:c>
      <x:c r="F21" s="9" t="str">
        <x:v>synthetic</x:v>
      </x:c>
      <x:c r="G21" s="9" t="str">
        <x:v>cmlzphr57000h04jtqrwbfiyf</x:v>
      </x:c>
      <x:c r="H21" s="9" t="str">
        <x:v>Aldridge v Crawford</x:v>
      </x:c>
      <x:c r="I21" s="9" t="str">
        <x:v>not_found_in_registry</x:v>
      </x:c>
      <x:c r="J21" s="9" t="str">
        <x:v>none</x:v>
      </x:c>
      <x:c r="K21" s="9" t="str"/>
      <x:c r="L21" s="9" t="str"/>
      <x:c r="M21" s="9" t="str"/>
      <x:c r="N21" s="9" t="str"/>
      <x:c r="O21" s="9" t="str">
        <x:v>verified_real_exact</x:v>
      </x:c>
      <x:c r="P21" s="9" t="str">
        <x:v>https://www.gov.uk/government/publications/boundary-agreements-and-determined-boundaries-pg40s4/practice-guide-40-land-registry-plans-supplement-4-boundary-agreements-and-determined-boundaries</x:v>
      </x:c>
      <x:c r="Q21" s="9" t="str">
        <x:v>Neilson v Poole</x:v>
      </x:c>
      <x:c r="R21" s="9" t="str">
        <x:v>(1969) 20 P&amp;CR 909</x:v>
      </x:c>
      <x:c r="S21" s="9" t="str">
        <x:v>The case and report citation are confirmed in official HM Land Registry guidance.</x:v>
      </x:c>
      <x:c r="T21" s="9" t="str">
        <x:v>No accepted registry match. This does not by itself prove the authority is legally fictitious.</x:v>
      </x:c>
      <x:c r="U21" s="9" t="str"/>
      <x:c r="V21" s="9" t="str">
        <x:v>no</x:v>
      </x:c>
      <x:c r="W21" s="9" t="str">
        <x:v>official_government_reference</x:v>
      </x:c>
      <x:c r="X21" s="9" t="str">
        <x:v>official_reference</x:v>
      </x:c>
      <x:c r="Y21" s="9" t="str">
        <x:v>2026-08-14</x:v>
      </x:c>
    </x:row>
    <x:row r="22">
      <x:c r="A22" s="9" t="str">
        <x:v>case:phones 4u ltd v phone4u co uk internet ltd</x:v>
      </x:c>
      <x:c r="B22" s="9" t="str">
        <x:v>Phones 4U Ltd v Phone4u.co.uk Internet Ltd</x:v>
      </x:c>
      <x:c r="C22" s="9" t="str">
        <x:v>Phones 4U Ltd v Phone4u.co.uk Internet Ltd</x:v>
      </x:c>
      <x:c r="D22" s="12" t="n">
        <x:v>1</x:v>
      </x:c>
      <x:c r="E22" s="12" t="n">
        <x:v>1</x:v>
      </x:c>
      <x:c r="F22" s="9" t="str">
        <x:v>synthetic</x:v>
      </x:c>
      <x:c r="G22" s="9" t="str">
        <x:v>cmst4kl1t000h04js7g8j67zy</x:v>
      </x:c>
      <x:c r="H22" s="9" t="str">
        <x:v>Heritage Brewing Company Ltd v Traditional Ales Holdings Plc</x:v>
      </x:c>
      <x:c r="I22" s="9" t="str">
        <x:v>not_found_in_registry</x:v>
      </x:c>
      <x:c r="J22" s="9" t="str">
        <x:v>none</x:v>
      </x:c>
      <x:c r="K22" s="9" t="str"/>
      <x:c r="L22" s="9" t="str"/>
      <x:c r="M22" s="9" t="str"/>
      <x:c r="N22" s="9" t="str"/>
      <x:c r="O22" s="9" t="str">
        <x:v>verified_real_incomplete_citation</x:v>
      </x:c>
      <x:c r="P22" s="9" t="str">
        <x:v>https://www.bailii.org/ew/cases/EWCA/Civ/2006/244.html</x:v>
      </x:c>
      <x:c r="Q22" s="9" t="str">
        <x:v>Phones 4U Ltd v Phone4u.co.uk Internet Ltd</x:v>
      </x:c>
      <x:c r="R22" s="9" t="str">
        <x:v>[2006] EWCA Civ 244; [2007] RPC 5</x:v>
      </x:c>
      <x:c r="S22" s="9" t="str">
        <x:v>The case is genuine, but the extracted form supplied no citation.</x:v>
      </x:c>
      <x:c r="T22" s="9" t="str">
        <x:v>No accepted registry match. This does not by itself prove the authority is legally fictitious.</x:v>
      </x:c>
      <x:c r="U22" s="9" t="str"/>
      <x:c r="V22" s="9" t="str">
        <x:v>no</x:v>
      </x:c>
      <x:c r="W22" s="9" t="str">
        <x:v>primary_judgment</x:v>
      </x:c>
      <x:c r="X22" s="9" t="str">
        <x:v>primary</x:v>
      </x:c>
      <x:c r="Y22" s="9" t="str">
        <x:v>2026-08-14</x:v>
      </x:c>
    </x:row>
    <x:row r="23">
      <x:c r="A23" s="9" t="str">
        <x:v>case:shamoon v chief constable of the royal ulster constabulary</x:v>
      </x:c>
      <x:c r="B23" s="9" t="str">
        <x:v>Shamoon v Chief Constable of the Royal Ulster Constabulary</x:v>
      </x:c>
      <x:c r="C23" s="9" t="str">
        <x:v>Shamoon v Chief Constable of the Royal Ulster Constabulary</x:v>
      </x:c>
      <x:c r="D23" s="12" t="n">
        <x:v>1</x:v>
      </x:c>
      <x:c r="E23" s="12" t="n">
        <x:v>1</x:v>
      </x:c>
      <x:c r="F23" s="9" t="str">
        <x:v>synthetic</x:v>
      </x:c>
      <x:c r="G23" s="9" t="str">
        <x:v>cmst419ew000k04ladhs06s0r</x:v>
      </x:c>
      <x:c r="H23" s="9" t="str">
        <x:v>Sharma v Meridian Financial Services Ltd</x:v>
      </x:c>
      <x:c r="I23" s="9" t="str">
        <x:v>not_found_in_registry</x:v>
      </x:c>
      <x:c r="J23" s="9" t="str">
        <x:v>none</x:v>
      </x:c>
      <x:c r="K23" s="9" t="str"/>
      <x:c r="L23" s="9" t="str"/>
      <x:c r="M23" s="9" t="str"/>
      <x:c r="N23" s="9" t="str"/>
      <x:c r="O23" s="9" t="str">
        <x:v>verified_real_incomplete_citation</x:v>
      </x:c>
      <x:c r="P23" s="9" t="str">
        <x:v>https://publications.parliament.uk/pa/ld200203/ldjudgmt/jd030227/sham-1.htm</x:v>
      </x:c>
      <x:c r="Q23" s="9" t="str">
        <x:v>Shamoon v Chief Constable of the Royal Ulster Constabulary</x:v>
      </x:c>
      <x:c r="R23" s="9" t="str">
        <x:v>[2003] UKHL 11; [2003] ICR 337</x:v>
      </x:c>
      <x:c r="S23" s="9" t="str">
        <x:v>The case is genuine, but the extracted form supplied no citation.</x:v>
      </x:c>
      <x:c r="T23" s="9" t="str">
        <x:v>No accepted registry match. This does not by itself prove the authority is legally fictitious.</x:v>
      </x:c>
      <x:c r="U23" s="9" t="str"/>
      <x:c r="V23" s="9" t="str">
        <x:v>no</x:v>
      </x:c>
      <x:c r="W23" s="9" t="str">
        <x:v>primary_judgment</x:v>
      </x:c>
      <x:c r="X23" s="9" t="str">
        <x:v>primary</x:v>
      </x:c>
      <x:c r="Y23" s="9" t="str">
        <x:v>2026-08-14</x:v>
      </x:c>
    </x:row>
    <x:row r="24">
      <x:c r="A24" s="9" t="str">
        <x:v>case:st helen s school northwood v rcc</x:v>
      </x:c>
      <x:c r="B24" s="9" t="str">
        <x:v>St Helen’s School Northwood v RCC</x:v>
      </x:c>
      <x:c r="C24" s="9" t="str">
        <x:v>St Helen’s School Northwood v RCC</x:v>
      </x:c>
      <x:c r="D24" s="12" t="n">
        <x:v>1</x:v>
      </x:c>
      <x:c r="E24" s="12" t="n">
        <x:v>1</x:v>
      </x:c>
      <x:c r="F24" s="9" t="str">
        <x:v>real</x:v>
      </x:c>
      <x:c r="G24" s="9" t="str">
        <x:v>cmsbr3045000j04l4tkps7ymp</x:v>
      </x:c>
      <x:c r="H24" s="9" t="str">
        <x:v>Hippodrome Casino Ltd v HMRC</x:v>
      </x:c>
      <x:c r="I24" s="9" t="str">
        <x:v>not_found_in_registry</x:v>
      </x:c>
      <x:c r="J24" s="9" t="str">
        <x:v>none</x:v>
      </x:c>
      <x:c r="K24" s="9" t="str"/>
      <x:c r="L24" s="9" t="str"/>
      <x:c r="M24" s="9" t="str"/>
      <x:c r="N24" s="9" t="str"/>
      <x:c r="O24" s="9" t="str">
        <x:v>verified_real_title_variant</x:v>
      </x:c>
      <x:c r="P24" s="9" t="str">
        <x:v>https://www.bailii.org/ew/cases/EWHC/Ch/2006/3306.html</x:v>
      </x:c>
      <x:c r="Q24" s="9" t="str">
        <x:v>St Helen's School Northwood Ltd v HM Revenue and Customs</x:v>
      </x:c>
      <x:c r="R24" s="9" t="str">
        <x:v>[2006] EWHC 3306 (Ch)</x:v>
      </x:c>
      <x:c r="S24" s="9" t="str">
        <x:v>The case is genuine. 'RCC' is an unclear abbreviation for the Revenue and Customs Commissioners, and no citation was supplied.</x:v>
      </x:c>
      <x:c r="T24" s="9" t="str">
        <x:v>No accepted registry match. This does not by itself prove the authority is legally fictitious.</x:v>
      </x:c>
      <x:c r="U24" s="9" t="str"/>
      <x:c r="V24" s="9" t="str">
        <x:v>no</x:v>
      </x:c>
      <x:c r="W24" s="9" t="str">
        <x:v>primary_judgment</x:v>
      </x:c>
      <x:c r="X24" s="9" t="str">
        <x:v>primary</x:v>
      </x:c>
      <x:c r="Y24" s="9" t="str">
        <x:v>2026-08-14</x:v>
      </x:c>
    </x:row>
    <x:row r="25">
      <x:c r="A25" s="9" t="str">
        <x:v>case:synthon v smithkline beecham plc no 2</x:v>
      </x:c>
      <x:c r="B25" s="9" t="str">
        <x:v>Synthon v SmithKline Beecham Plc (No.2)</x:v>
      </x:c>
      <x:c r="C25" s="9" t="str">
        <x:v>Synthon v SmithKline Beecham Plc (No.2)</x:v>
      </x:c>
      <x:c r="D25" s="12" t="n">
        <x:v>1</x:v>
      </x:c>
      <x:c r="E25" s="12" t="n">
        <x:v>1</x:v>
      </x:c>
      <x:c r="F25" s="9" t="str">
        <x:v>real</x:v>
      </x:c>
      <x:c r="G25" s="9" t="str">
        <x:v>cmsbt3hfa002904ji8k6b026n</x:v>
      </x:c>
      <x:c r="H25" s="9" t="str">
        <x:v>Modernatx, Inc. v Pfizer Limited &amp; Others</x:v>
      </x:c>
      <x:c r="I25" s="9" t="str">
        <x:v>not_found_in_registry</x:v>
      </x:c>
      <x:c r="J25" s="9" t="str">
        <x:v>none</x:v>
      </x:c>
      <x:c r="K25" s="9" t="str"/>
      <x:c r="L25" s="9" t="str"/>
      <x:c r="M25" s="9" t="str"/>
      <x:c r="N25" s="9" t="str"/>
      <x:c r="O25" s="9" t="str">
        <x:v>verified_real_incomplete_citation</x:v>
      </x:c>
      <x:c r="P25" s="9" t="str">
        <x:v>https://publications.parliament.uk/pa/ld200506/ldjudgmt/jd051020/synth-1.htm</x:v>
      </x:c>
      <x:c r="Q25" s="9" t="str">
        <x:v>Synthon BV v SmithKline Beecham plc (No 2)</x:v>
      </x:c>
      <x:c r="R25" s="9" t="str">
        <x:v>[2005] UKHL 59; [2006] RPC 10</x:v>
      </x:c>
      <x:c r="S25" s="9" t="str">
        <x:v>The authority is genuine, but the extracted form supplied no citation and omitted 'BV'.</x:v>
      </x:c>
      <x:c r="T25" s="9" t="str">
        <x:v>No accepted registry match. This does not by itself prove the authority is legally fictitious.</x:v>
      </x:c>
      <x:c r="U25" s="9" t="str"/>
      <x:c r="V25" s="9" t="str">
        <x:v>no</x:v>
      </x:c>
      <x:c r="W25" s="9" t="str">
        <x:v>primary_judgment</x:v>
      </x:c>
      <x:c r="X25" s="9" t="str">
        <x:v>primary</x:v>
      </x:c>
      <x:c r="Y25" s="9" t="str">
        <x:v>2026-08-14</x:v>
      </x:c>
    </x:row>
    <x:row r="26">
      <x:c r="A26" s="9" t="str">
        <x:v>case:uber bv v aslam 2021 icr 657</x:v>
      </x:c>
      <x:c r="B26" s="9" t="str">
        <x:v>Uber BV v Aslam [2021] ICR 657</x:v>
      </x:c>
      <x:c r="C26" s="9" t="str">
        <x:v>Uber BV v Aslam [2021] ICR 657</x:v>
      </x:c>
      <x:c r="D26" s="12" t="n">
        <x:v>1</x:v>
      </x:c>
      <x:c r="E26" s="12" t="n">
        <x:v>1</x:v>
      </x:c>
      <x:c r="F26" s="9" t="str">
        <x:v>real</x:v>
      </x:c>
      <x:c r="G26" s="9" t="str">
        <x:v>cmsbskr86000h04ji5a4thcht</x:v>
      </x:c>
      <x:c r="H26" s="9" t="str">
        <x:v>Storm Global Limited v Jason Lutz</x:v>
      </x:c>
      <x:c r="I26" s="9" t="str">
        <x:v>not_found_in_registry</x:v>
      </x:c>
      <x:c r="J26" s="9" t="str">
        <x:v>none</x:v>
      </x:c>
      <x:c r="K26" s="9" t="str"/>
      <x:c r="L26" s="9" t="str"/>
      <x:c r="M26" s="9" t="str"/>
      <x:c r="N26" s="9" t="str"/>
      <x:c r="O26" s="9" t="str">
        <x:v>verified_real_exact</x:v>
      </x:c>
      <x:c r="P26" s="9" t="str">
        <x:v>https://www.supremecourt.uk/cases/uksc-2019-0029</x:v>
      </x:c>
      <x:c r="Q26" s="9" t="str">
        <x:v>Uber BV and others v Aslam and others</x:v>
      </x:c>
      <x:c r="R26" s="9" t="str">
        <x:v>[2021] UKSC 5; [2021] ICR 657</x:v>
      </x:c>
      <x:c r="S26" s="9" t="str">
        <x:v>The report citation is genuine; the extracted title is a conventional shortened form.</x:v>
      </x:c>
      <x:c r="T26" s="9" t="str">
        <x:v>No accepted registry match. This does not by itself prove the authority is legally fictitious.</x:v>
      </x:c>
      <x:c r="U26" s="9" t="str"/>
      <x:c r="V26" s="9" t="str">
        <x:v>no</x:v>
      </x:c>
      <x:c r="W26" s="9" t="str">
        <x:v>primary_judgment</x:v>
      </x:c>
      <x:c r="X26" s="9" t="str">
        <x:v>primary</x:v>
      </x:c>
      <x:c r="Y26" s="9" t="str">
        <x:v>2026-08-14</x:v>
      </x:c>
    </x:row>
    <x:row r="27">
      <x:c r="A27" s="9" t="str">
        <x:v>case:2002 1 wlr 1593</x:v>
      </x:c>
      <x:c r="B27" s="9" t="str">
        <x:v>R (Burkett) v Hammersmith LBC [2002] 1 WLR 1593</x:v>
      </x:c>
      <x:c r="C27" s="9" t="str">
        <x:v>R (Burkett) v Hammersmith LBC [2002] 1 WLR 1593</x:v>
      </x:c>
      <x:c r="D27" s="12" t="n">
        <x:v>1</x:v>
      </x:c>
      <x:c r="E27" s="12" t="n">
        <x:v>1</x:v>
      </x:c>
      <x:c r="F27" s="9" t="str">
        <x:v>real</x:v>
      </x:c>
      <x:c r="G27" s="9" t="str">
        <x:v>cmmxsk5kn000h04ldd570wr09</x:v>
      </x:c>
      <x:c r="H27" s="9" t="str">
        <x:v>Greenfields (IOW) Limited v Isle of Wight Council &amp; Westridge Village Limited</x:v>
      </x:c>
      <x:c r="I27" s="9" t="str">
        <x:v>probable_manual_review</x:v>
      </x:c>
      <x:c r="J27" s="9" t="str">
        <x:v>probable_year_and_title_coverage</x:v>
      </x:c>
      <x:c r="K27" s="9" t="str">
        <x:v>379d4f20-62f5-403b-a082-fa36b82fe1c1</x:v>
      </x:c>
      <x:c r="L27" s="9" t="str">
        <x:v>Regina v. London Borough of Hammersmith and Fulham (Burkett) [2002] UKHL 23</x:v>
      </x:c>
      <x:c r="M27" s="9" t="str">
        <x:v>2002</x:v>
      </x:c>
      <x:c r="N27" s="9" t="str">
        <x:v>PT_UKHL_2002_23.xml</x:v>
      </x:c>
      <x:c r="O27" s="9" t="str">
        <x:v>verified_real_exact</x:v>
      </x:c>
      <x:c r="P27" s="9" t="str">
        <x:v>https://publications.parliament.uk/pa/ld200102/ldjudgmt/jd020523/burket-1.htm</x:v>
      </x:c>
      <x:c r="Q27" s="9" t="str">
        <x:v>R v London Borough of Hammersmith and Fulham, ex parte Burkett</x:v>
      </x:c>
      <x:c r="R27" s="9" t="str">
        <x:v>[2002] UKHL 23; [2002] 1 WLR 1593</x:v>
      </x:c>
      <x:c r="S27" s="9" t="str">
        <x:v>The report citation is genuine and the Qdrant candidate is the same case under its fuller official title. Accept the corpus match.</x:v>
      </x:c>
      <x:c r="T27" s="9" t="str">
        <x:v>Strong lexical candidate; verify manually before counting as corpus-present.</x:v>
      </x:c>
      <x:c r="U27" s="9" t="str">
        <x:v>accepted</x:v>
      </x:c>
      <x:c r="V27" s="9" t="str">
        <x:v>yes</x:v>
      </x:c>
      <x:c r="W27" s="9" t="str">
        <x:v>primary_judgment</x:v>
      </x:c>
      <x:c r="X27" s="9" t="str">
        <x:v>primary</x:v>
      </x:c>
      <x:c r="Y27" s="9" t="str">
        <x:v>2026-08-14</x:v>
      </x:c>
    </x:row>
    <x:row r="28">
      <x:c r="A28" s="9" t="str">
        <x:v>case:hmrc v volkswagen financial services</x:v>
      </x:c>
      <x:c r="B28" s="9" t="str">
        <x:v>HMRC v Volkswagen Financial Services</x:v>
      </x:c>
      <x:c r="C28" s="9" t="str">
        <x:v>HMRC v Volkswagen Financial Services</x:v>
      </x:c>
      <x:c r="D28" s="12" t="n">
        <x:v>1</x:v>
      </x:c>
      <x:c r="E28" s="12" t="n">
        <x:v>1</x:v>
      </x:c>
      <x:c r="F28" s="9" t="str">
        <x:v>real</x:v>
      </x:c>
      <x:c r="G28" s="9" t="str">
        <x:v>cmsbr6p4p001704l4z7u6108h</x:v>
      </x:c>
      <x:c r="H28" s="9" t="str">
        <x:v>Hippodrome Casino Ltd v HMRC</x:v>
      </x:c>
      <x:c r="I28" s="9" t="str">
        <x:v>probable_manual_review</x:v>
      </x:c>
      <x:c r="J28" s="9" t="str">
        <x:v>probable_unordered_alias_title</x:v>
      </x:c>
      <x:c r="K28" s="9" t="str">
        <x:v>b9498527-3250-49cd-9d8e-ed7c0dda200e</x:v>
      </x:c>
      <x:c r="L28" s="9" t="str">
        <x:v>Volkswagen Financial Services (UK) Ltd v HM Revenue &amp; Customs</x:v>
      </x:c>
      <x:c r="M28" s="9" t="str">
        <x:v>2015</x:v>
      </x:c>
      <x:c r="N28" s="9" t="str">
        <x:v>-ew-cases-EWCA-Civ-2015-832.xml</x:v>
      </x:c>
      <x:c r="O28" s="9" t="str">
        <x:v>verified_real_ambiguous</x:v>
      </x:c>
      <x:c r="P28" s="9" t="str">
        <x:v>https://www.bailii.org/ew/cases/EWCA/Civ/2015/832.html</x:v>
      </x:c>
      <x:c r="Q28" s="9" t="str">
        <x:v>Volkswagen Financial Services (UK) Ltd v HM Revenue and Customs</x:v>
      </x:c>
      <x:c r="R28" s="9" t="str">
        <x:v>[2015] EWCA Civ 832</x:v>
      </x:c>
      <x:c r="S28" s="9" t="str">
        <x:v>The named dispute is genuine and the Qdrant title is the same national case. Because the generated text gives no citation, it could also be read as the later CJEU reference; accept the national corpus match but mark the citation ambiguous.</x:v>
      </x:c>
      <x:c r="T28" s="9" t="str">
        <x:v>Strong lexical candidate; verify manually before counting as corpus-present.</x:v>
      </x:c>
      <x:c r="U28" s="9" t="str">
        <x:v>accepted</x:v>
      </x:c>
      <x:c r="V28" s="9" t="str">
        <x:v>yes</x:v>
      </x:c>
      <x:c r="W28" s="9" t="str">
        <x:v>primary_judgment</x:v>
      </x:c>
      <x:c r="X28" s="9" t="str">
        <x:v>primary</x:v>
      </x:c>
      <x:c r="Y28" s="9" t="str">
        <x:v>2026-08-14</x:v>
      </x:c>
    </x:row>
    <x:row r="29">
      <x:c r="A29" s="9" t="str">
        <x:v>case:r johnson v sshd</x:v>
      </x:c>
      <x:c r="B29" s="9" t="str">
        <x:v>R (Johnson) v SSHD</x:v>
      </x:c>
      <x:c r="C29" s="9" t="str">
        <x:v>R (Johnson) v SSHD</x:v>
      </x:c>
      <x:c r="D29" s="12" t="n">
        <x:v>1</x:v>
      </x:c>
      <x:c r="E29" s="12" t="n">
        <x:v>1</x:v>
      </x:c>
      <x:c r="F29" s="9" t="str">
        <x:v>real</x:v>
      </x:c>
      <x:c r="G29" s="9" t="str">
        <x:v>cmmc4a8zu000h04jx2w3r0hzo</x:v>
      </x:c>
      <x:c r="H29" s="9" t="str">
        <x:v>R (Fajr Ellis) v Secretary of State for Justice</x:v>
      </x:c>
      <x:c r="I29" s="9" t="str">
        <x:v>probable_manual_review</x:v>
      </x:c>
      <x:c r="J29" s="9" t="str">
        <x:v>probable_unordered_alias_title</x:v>
      </x:c>
      <x:c r="K29" s="9" t="str">
        <x:v>41c885e2-0daa-4c4a-bcf9-e8d82aca462e</x:v>
      </x:c>
      <x:c r="L29" s="9" t="str">
        <x:v>Johnson v Secretary of State for the Home Department [2016] EWCA Civ 22</x:v>
      </x:c>
      <x:c r="M29" s="9" t="str">
        <x:v>2016</x:v>
      </x:c>
      <x:c r="N29" s="9" t="str">
        <x:v>-ew-cases-EWCA-Civ-2016-22.xml</x:v>
      </x:c>
      <x:c r="O29" s="9" t="str">
        <x:v>verified_real_incomplete_citation</x:v>
      </x:c>
      <x:c r="P29" s="9" t="str">
        <x:v>https://www.bailii.org/ew/cases/EWCA/Civ/2016/22.html</x:v>
      </x:c>
      <x:c r="Q29" s="9" t="str">
        <x:v>R (Johnson) v Secretary of State for the Home Department</x:v>
      </x:c>
      <x:c r="R29" s="9" t="str">
        <x:v>[2016] EWCA Civ 22</x:v>
      </x:c>
      <x:c r="S29" s="9" t="str">
        <x:v>The authority is genuine and the Qdrant candidate is the same Court of Appeal case. 'SSHD' is a standard abbreviation, but no citation was supplied. Accept the corpus match.</x:v>
      </x:c>
      <x:c r="T29" s="9" t="str">
        <x:v>Strong lexical candidate; verify manually before counting as corpus-present.</x:v>
      </x:c>
      <x:c r="U29" s="9" t="str">
        <x:v>accepted</x:v>
      </x:c>
      <x:c r="V29" s="9" t="str">
        <x:v>yes</x:v>
      </x:c>
      <x:c r="W29" s="9" t="str">
        <x:v>primary_judgment</x:v>
      </x:c>
      <x:c r="X29" s="9" t="str">
        <x:v>primary</x:v>
      </x:c>
      <x:c r="Y29" s="9" t="str">
        <x:v>2026-08-14</x:v>
      </x:c>
    </x:row>
    <x:row r="30">
      <x:c r="A30" s="9" t="str">
        <x:v>case:2002 ewca civ 605</x:v>
      </x:c>
      <x:c r="B30" s="9" t="str">
        <x:v>English v Emery Reimbold &amp; Strick Ltd [2002] EWCA Civ 605 | [2002] EWCA Civ 605</x:v>
      </x:c>
      <x:c r="C30" s="9" t="str">
        <x:v>English v Emery Reimbold &amp; Strick Ltd [2002] EWCA Civ 605 | [2002] EWCA Civ 605</x:v>
      </x:c>
      <x:c r="D30" s="12" t="n">
        <x:v>34</x:v>
      </x:c>
      <x:c r="E30" s="12" t="n">
        <x:v>35</x:v>
      </x:c>
      <x:c r="F30" s="9" t="str">
        <x:v>real | synthetic</x:v>
      </x:c>
      <x:c r="G30" s="9" t="str">
        <x:v>cmlzpblc7000304jv62ixuvp8 | cmlzy9ss300fz04i80p2yfbg1 | cmm0bebet000404jvmcxyqo4x | cmm0k3nj8000h04l412ruhfxj | cmm3b1g6j000j04jt8w2u9z6w | cmm93eoww000904l4jttzk880 | cmmafut12000904l4kjskwky4 | cmmc2zaji000h04l23a3cp61p | cmmcal70d000h04k3e11w997v | cmmdjqxh3000304kvs37yorn3 | cmmf22axa000h04jxcpnnecs0 | cmmjsmua2000q04jstd4i8p7c | cmmjtnsdx000904l4vhap8xwc | cmmls2r93000304jme0bpsul9 | cmmrr64va000h04jvzuquhz2y | cmmsi1xqb000h04jsef3v6skf | cmmxgyd9z000h04kttryogau2 | cmmxktfx8000904johoqmmfkm | cmmxpdot1000h04i8q3aleh7a | cms1ps00j000j04jsbxrn9wrj | cms1u865i000904jxu5huyjg5 | cmsbj40n7000h04jwpx41ia5n | cmsbqvqsj000h04jnb8tn656h | cmsbr021t001104jndbjo02xo | cmsbr4fhb000v04l4mgwtz5x1 | cmsbrqmhv000j04jp78i2n3gf | cmsbrvtc4001304jp5e4691on | cmsbsp3em001104ji2u62id7q | cmsbsvvmu001x04jittsrlhz0 | cmsbszs77002304ji6ldkbjce | cmsbt3hfa002904ji8k6b026n | cmsbtbxft002t04jic4baeo3l | cmst49zw4001104l7neqlaa0v | cmst80ckg000h04i9rasplurj</x:v>
      </x:c>
      <x:c r="H30" s="9" t="str">
        <x:v>HMRC v Dolphin Drilling Ltd | Transport Action Network Limited v Secretary of State for Transport | Beacon Manufacturing Ltd v Alliance Insurance Plc | R (Harrison) v Secretary of State for Justice | Collins v North Thames NHS Foundation Trust | UnipolSai Assicurazioni S.p.A. v Covéa Insurance Plc | Metropolitan Property Holdings Ltd v Artisan Coffee Co Ltd | R (Fajr Ellis) v Secretary of State for Justice | Karpasitis v Hertfordshire County Council | The King (on the application of Transport Action Network Limited) v Secretary of State for Transport | The King, on the application of Fajr Ellis v (1) The Secretary of State for Education and (2) The Secretary of State for Justice | Greenfields (IOW) Limited v Isle of Wight Council &amp; Westridge Village Limited | Hippodrome Casino Ltd v HMRC | KSY Juice Blends UK Limited v Citrusuco GmbH | Ryanair DAC &amp; Storm Global Limited v Jason Lutz | The Royal Embassy of Saudi Arabia (Cultural Bureau) v Abir Alhayali | Modernatx, Inc. v Pfizer Limited &amp; Others | Webb v Ashworth &amp; Partners | Thompson v Clearview Credit Services Ltd</x:v>
      </x:c>
      <x:c r="I30" s="9" t="str">
        <x:v>present_exact_or_high</x:v>
      </x:c>
      <x:c r="J30" s="9" t="str">
        <x:v>exact_citation</x:v>
      </x:c>
      <x:c r="K30" s="9" t="str">
        <x:v>f11564b3-860c-4adc-bd7a-d530ce37ea95</x:v>
      </x:c>
      <x:c r="L30" s="9" t="str">
        <x:v>English v Emery Reimbold &amp; Strick Ltd</x:v>
      </x:c>
      <x:c r="M30" s="9" t="str">
        <x:v>2002</x:v>
      </x:c>
      <x:c r="N30" s="9" t="str">
        <x:v>PT_EWCA-Civ_2002_605.xml</x:v>
      </x:c>
      <x:c r="O30" s="9" t="str">
        <x:v>not_required_corpus_present</x:v>
      </x:c>
      <x:c r="P30" s="9" t="str"/>
      <x:c r="Q30" s="9" t="str"/>
      <x:c r="R30" s="9" t="str"/>
      <x:c r="S30" s="9" t="str"/>
      <x:c r="T30" s="9" t="str">
        <x:v>Authority exists as a top-level corpus case but was not returned by the linked retrieval event.</x:v>
      </x:c>
      <x:c r="U30" s="9" t="str"/>
      <x:c r="V30" s="9" t="str">
        <x:v>yes</x:v>
      </x:c>
      <x:c r="W30" s="9" t="str"/>
      <x:c r="X30" s="9" t="str"/>
      <x:c r="Y30" s="9" t="str"/>
    </x:row>
    <x:row r="31">
      <x:c r="A31" s="9" t="str">
        <x:v>case:2015 uksc 5</x:v>
      </x:c>
      <x:c r="B31" s="9" t="str">
        <x:v>[2015] UKSC 5</x:v>
      </x:c>
      <x:c r="C31" s="9" t="str">
        <x:v>[2015] UKSC 5</x:v>
      </x:c>
      <x:c r="D31" s="12" t="n">
        <x:v>1</x:v>
      </x:c>
      <x:c r="E31" s="12" t="n">
        <x:v>1</x:v>
      </x:c>
      <x:c r="F31" s="9" t="str">
        <x:v>synthetic</x:v>
      </x:c>
      <x:c r="G31" s="9" t="str">
        <x:v>cmlzrzxca000304l2qk1vevzx</x:v>
      </x:c>
      <x:c r="H31" s="9" t="str">
        <x:v>Karpasitis v Hertfordshire County Council</x:v>
      </x:c>
      <x:c r="I31" s="9" t="str">
        <x:v>present_exact_or_high</x:v>
      </x:c>
      <x:c r="J31" s="9" t="str">
        <x:v>exact_citation</x:v>
      </x:c>
      <x:c r="K31" s="9" t="str">
        <x:v>0041913b-163e-4731-a443-e5a39849646a</x:v>
      </x:c>
      <x:c r="L31" s="9" t="str">
        <x:v>Jackson v Murray &amp; Anor [2015] UKSC 5</x:v>
      </x:c>
      <x:c r="M31" s="9" t="str">
        <x:v>2015</x:v>
      </x:c>
      <x:c r="N31" s="9" t="str">
        <x:v>PT_UKSC_2015_5.xml</x:v>
      </x:c>
      <x:c r="O31" s="9" t="str">
        <x:v>not_required_corpus_present</x:v>
      </x:c>
      <x:c r="P31" s="9" t="str"/>
      <x:c r="Q31" s="9" t="str"/>
      <x:c r="R31" s="9" t="str"/>
      <x:c r="S31" s="9" t="str"/>
      <x:c r="T31" s="9" t="str">
        <x:v>Authority exists as a top-level corpus case but was not returned by the linked retrieval event.</x:v>
      </x:c>
      <x:c r="U31" s="9" t="str"/>
      <x:c r="V31" s="9" t="str">
        <x:v>yes</x:v>
      </x:c>
      <x:c r="W31" s="9" t="str"/>
      <x:c r="X31" s="9" t="str"/>
      <x:c r="Y31" s="9" t="str"/>
    </x:row>
    <x:row r="32">
      <x:c r="A32" s="9" t="str">
        <x:v>case:kalda v estonia</x:v>
      </x:c>
      <x:c r="B32" s="9" t="str">
        <x:v>Kalda v. Estonia</x:v>
      </x:c>
      <x:c r="C32" s="9" t="str">
        <x:v>Kalda v. Estonia</x:v>
      </x:c>
      <x:c r="D32" s="12" t="n">
        <x:v>1</x:v>
      </x:c>
      <x:c r="E32" s="12" t="n">
        <x:v>1</x:v>
      </x:c>
      <x:c r="F32" s="9" t="str">
        <x:v>real</x:v>
      </x:c>
      <x:c r="G32" s="9" t="str">
        <x:v>cmmjsmua2000q04jstd4i8p7c</x:v>
      </x:c>
      <x:c r="H32" s="9" t="str">
        <x:v>R (Fajr Ellis) v Secretary of State for Justice</x:v>
      </x:c>
      <x:c r="I32" s="9" t="str">
        <x:v>present_exact_or_high</x:v>
      </x:c>
      <x:c r="J32" s="9" t="str">
        <x:v>title_containment</x:v>
      </x:c>
      <x:c r="K32" s="9" t="str">
        <x:v>facdee26-7310-4355-9ef5-1fd21f107f72</x:v>
      </x:c>
      <x:c r="L32" s="9" t="str">
        <x:v>Kalda v. Estonia - Access to Information Rights for Prisoners</x:v>
      </x:c>
      <x:c r="M32" s="9" t="str">
        <x:v>2016</x:v>
      </x:c>
      <x:c r="N32" s="9" t="str">
        <x:v>Kalda_v_Estonia_17429_10(1).xml</x:v>
      </x:c>
      <x:c r="O32" s="9" t="str">
        <x:v>not_required_corpus_present</x:v>
      </x:c>
      <x:c r="P32" s="9" t="str"/>
      <x:c r="Q32" s="9" t="str"/>
      <x:c r="R32" s="9" t="str"/>
      <x:c r="S32" s="9" t="str"/>
      <x:c r="T32" s="9" t="str">
        <x:v>Authority exists as a top-level corpus case but was not returned by the linked retrieval event.</x:v>
      </x:c>
      <x:c r="U32" s="9" t="str"/>
      <x:c r="V32" s="9" t="str">
        <x:v>yes</x:v>
      </x:c>
      <x:c r="W32" s="9" t="str"/>
      <x:c r="X32" s="9" t="str"/>
      <x:c r="Y32" s="9" t="str"/>
    </x:row>
    <x:row r="33">
      <x:c r="A33" s="9" t="str">
        <x:v>case:velyo velev v bulgaria app no 16032 07 echr 27 may 2014</x:v>
      </x:c>
      <x:c r="B33" s="9" t="str">
        <x:v>Velyo Velev v Bulgaria (App No 16032/07) ECHR 27 May 2014</x:v>
      </x:c>
      <x:c r="C33" s="9" t="str">
        <x:v>Velyo Velev v Bulgaria (App No 16032/07) ECHR 27 May 2014</x:v>
      </x:c>
      <x:c r="D33" s="12" t="n">
        <x:v>1</x:v>
      </x:c>
      <x:c r="E33" s="12" t="n">
        <x:v>1</x:v>
      </x:c>
      <x:c r="F33" s="9" t="str">
        <x:v>synthetic</x:v>
      </x:c>
      <x:c r="G33" s="9" t="str">
        <x:v>cmmafut12000904l4kjskwky4</x:v>
      </x:c>
      <x:c r="H33" s="9" t="str">
        <x:v>R (Harrison) v Secretary of State for Justice</x:v>
      </x:c>
      <x:c r="I33" s="9" t="str">
        <x:v>present_exact_or_high</x:v>
      </x:c>
      <x:c r="J33" s="9" t="str">
        <x:v>title_containment</x:v>
      </x:c>
      <x:c r="K33" s="9" t="str">
        <x:v>dfa97e6e-7e32-4c80-9f6f-5e4f398f9d82</x:v>
      </x:c>
      <x:c r="L33" s="9" t="str">
        <x:v>Velyo Velev v. Bulgaria (Application No. 16032/07)</x:v>
      </x:c>
      <x:c r="M33" s="9" t="str">
        <x:v>2014</x:v>
      </x:c>
      <x:c r="N33" s="9" t="str">
        <x:v>Velev_v_Bulgaria_16032_07(1).xml</x:v>
      </x:c>
      <x:c r="O33" s="9" t="str">
        <x:v>not_required_corpus_present</x:v>
      </x:c>
      <x:c r="P33" s="9" t="str"/>
      <x:c r="Q33" s="9" t="str"/>
      <x:c r="R33" s="9" t="str"/>
      <x:c r="S33" s="9" t="str"/>
      <x:c r="T33" s="9" t="str">
        <x:v>Authority exists as a top-level corpus case but was not returned by the linked retrieval event.</x:v>
      </x:c>
      <x:c r="U33" s="9" t="str"/>
      <x:c r="V33" s="9" t="str">
        <x:v>yes</x:v>
      </x:c>
      <x:c r="W33" s="9" t="str"/>
      <x:c r="X33" s="9" t="str"/>
      <x:c r="Y33" s="9" t="str"/>
    </x:row>
  </x:sheetData>
  <x:conditionalFormatting sqref="I2:I33">
    <x:cfRule type="containsText" dxfId="5" priority="1" operator="containsText" text="present_exact_or_high"/>
    <x:cfRule type="containsText" dxfId="6" priority="2" operator="containsText" text="probable_manual_review"/>
    <x:cfRule type="containsText" dxfId="7" priority="3" operator="containsText" text="not_found_in_registry"/>
  </x:conditionalFormatting>
  <x:conditionalFormatting sqref="O2:O33">
    <x:cfRule type="containsText" dxfId="8" priority="4" operator="containsText" text="verified_real_exact"/>
    <x:cfRule type="containsText" dxfId="9" priority="5" operator="containsText" text="verified_real_title_variant"/>
    <x:cfRule type="containsText" dxfId="10" priority="6" operator="containsText" text="verified_real_incomplete_citation"/>
    <x:cfRule type="containsText" dxfId="11" priority="7" operator="containsText" text="verified_real_ambiguous"/>
  </x:conditionalFormatting>
  <x:dataValidations count="1">
    <x:dataValidation type="list" sqref="O2:O33">
      <x:formula1>"not_required_corpus_present,verified_real_exact,verified_real_title_variant,verified_real_incomplete_citation,verified_real_ambiguous,verified_not_found,needs_review"</x:formula1>
    </x:dataValidation>
  </x:dataValidations>
  <x:pageMargins left="0.7" right="0.7" top="0.75" bottom="0.75" header="0.3" footer="0.3"/>
  <x:tableParts count="1">
    <x:tablePart xmlns:r="http://schemas.openxmlformats.org/officeDocument/2006/relationships" r:id="Rd99060b501ce4ba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7.219999313354492" hidden="0" customWidth="1"/>
    <x:col min="2" max="2" width="27.219999313354492" hidden="0" customWidth="1"/>
    <x:col min="3" max="3" width="38.88999938964844" hidden="0" customWidth="1"/>
    <x:col min="4" max="4" width="22.219999313354492" hidden="0" customWidth="1"/>
    <x:col min="5" max="5" width="22.219999313354492" hidden="0" customWidth="1"/>
    <x:col min="6" max="6" width="8.890000343322754" hidden="0" customWidth="1"/>
    <x:col min="7" max="7" width="30" hidden="0" customWidth="1"/>
    <x:col min="8" max="8" width="20" hidden="0" customWidth="1"/>
    <x:col min="9" max="9" width="16.670000076293945" hidden="0" customWidth="1"/>
    <x:col min="10" max="10" width="20" hidden="0" customWidth="1"/>
    <x:col min="11" max="11" width="27.780000686645508" hidden="0" customWidth="1"/>
    <x:col min="12" max="12" width="13.329999923706055" hidden="0" customWidth="1"/>
  </x:cols>
  <x:sheetData>
    <x:row r="1">
      <x:c r="A1" t="str">
        <x:v>qdrant_point_id</x:v>
      </x:c>
      <x:c r="B1" t="str">
        <x:v>case_id</x:v>
      </x:c>
      <x:c r="C1" t="str">
        <x:v>title</x:v>
      </x:c>
      <x:c r="D1" t="str">
        <x:v>neutral_citation</x:v>
      </x:c>
      <x:c r="E1" t="str">
        <x:v>citation</x:v>
      </x:c>
      <x:c r="F1" t="str">
        <x:v>case_year</x:v>
      </x:c>
      <x:c r="G1" t="str">
        <x:v>court</x:v>
      </x:c>
      <x:c r="H1" t="str">
        <x:v>court_level</x:v>
      </x:c>
      <x:c r="I1" t="str">
        <x:v>jurisdiction</x:v>
      </x:c>
      <x:c r="J1" t="str">
        <x:v>case_category</x:v>
      </x:c>
      <x:c r="K1" t="str">
        <x:v>source_filename</x:v>
      </x:c>
      <x:c r="L1" t="str">
        <x:v>document_url</x:v>
      </x:c>
    </x:row>
    <x:row r="2">
      <x:c r="A2" t="str">
        <x:v>2ef255e4-128e-446b-b06a-4806480f6809</x:v>
      </x:c>
      <x:c r="B2" t="str">
        <x:v>3b28693f-e52a-4913-ae7e-c9bfc60c9dcd</x:v>
      </x:c>
      <x:c r="C2" s="9" t="str">
        <x:v>3D Morden College v Secretary of State for the Home Department</x:v>
      </x:c>
      <x:c r="D2" s="9" t="str"/>
      <x:c r="E2" s="9" t="str"/>
      <x:c r="F2" s="13" t="str">
        <x:v>2014</x:v>
      </x:c>
      <x:c r="G2" s="9" t="str">
        <x:v>England and Wales Court of Appeal (Civil Division)</x:v>
      </x:c>
      <x:c r="H2" s="9" t="str">
        <x:v>Appellate</x:v>
      </x:c>
      <x:c r="I2" s="9" t="str">
        <x:v>England and Wales</x:v>
      </x:c>
      <x:c r="J2" s="9" t="str">
        <x:v>Administrative Law</x:v>
      </x:c>
      <x:c r="K2" s="9" t="str">
        <x:v>-ew-cases-EWCA-Civ-2014-84.xml</x:v>
      </x:c>
      <x:c r="L2" s="9" t="str">
        <x:v>TBA</x:v>
      </x:c>
    </x:row>
    <x:row r="3">
      <x:c r="A3" t="str">
        <x:v>06c567dd-90e6-4d70-8d75-e6d58dd31d32</x:v>
      </x:c>
      <x:c r="B3" t="str">
        <x:v>1d57c59f-1c5a-49e1-98dc-7840974dedf8</x:v>
      </x:c>
      <x:c r="C3" s="9" t="str">
        <x:v>A (A Child) (1980 Hague Convention: Set Aside) [2021] EWCA Civ 194</x:v>
      </x:c>
      <x:c r="D3" s="9" t="str"/>
      <x:c r="E3" s="9" t="str"/>
      <x:c r="F3" s="13" t="str">
        <x:v>2021</x:v>
      </x:c>
      <x:c r="G3" s="9" t="str">
        <x:v>England and Wales Court of Appeal (Civil Division)</x:v>
      </x:c>
      <x:c r="H3" s="9" t="str">
        <x:v>Appellate</x:v>
      </x:c>
      <x:c r="I3" s="9" t="str">
        <x:v>England</x:v>
      </x:c>
      <x:c r="J3" s="9" t="str">
        <x:v>Family Law</x:v>
      </x:c>
      <x:c r="K3" s="9" t="str">
        <x:v>ew-cases-EWCA-Civ-2021-194.xml</x:v>
      </x:c>
      <x:c r="L3" s="9" t="str">
        <x:v>TBA</x:v>
      </x:c>
    </x:row>
    <x:row r="4">
      <x:c r="A4" t="str">
        <x:v>29a9d683-3333-41e3-8c9a-f8bba9a0a62f</x:v>
      </x:c>
      <x:c r="B4" t="str">
        <x:v>8947b652-08db-4b88-b603-1737e8f49145</x:v>
      </x:c>
      <x:c r="C4" s="9" t="str">
        <x:v>A (A Child) (Withdrawal of Treatment: Legal Representation) [2022] EWCA Civ 1221</x:v>
      </x:c>
      <x:c r="D4" s="9" t="str"/>
      <x:c r="E4" s="9" t="str"/>
      <x:c r="F4" s="13" t="str">
        <x:v>2022</x:v>
      </x:c>
      <x:c r="G4" s="9" t="str">
        <x:v>England and Wales Court of Appeal (Civil Division)</x:v>
      </x:c>
      <x:c r="H4" s="9" t="str">
        <x:v>Court of Appeal (Civil Division)</x:v>
      </x:c>
      <x:c r="I4" s="9" t="str">
        <x:v>England and Wales</x:v>
      </x:c>
      <x:c r="J4" s="9" t="str">
        <x:v>Family Law / Medical Ethics</x:v>
      </x:c>
      <x:c r="K4" s="9" t="str">
        <x:v>ew-cases-EWCA-Civ-2022-1221.xml</x:v>
      </x:c>
      <x:c r="L4" s="9" t="str">
        <x:v>TBA</x:v>
      </x:c>
    </x:row>
    <x:row r="5">
      <x:c r="A5" t="str">
        <x:v>4d6c4f1a-f789-43dc-9d4c-23a775032720</x:v>
      </x:c>
      <x:c r="B5" t="str">
        <x:v>8ebd085b-fdc8-4f28-ab8b-6c511fadfd58</x:v>
      </x:c>
      <x:c r="C5" s="9" t="str">
        <x:v>A (A Child) [2014] EWCA Civ 1577: Analysis of Periodical Payments Under Schedule 1 of the Children Act 1989</x:v>
      </x:c>
      <x:c r="D5" s="9" t="str"/>
      <x:c r="E5" s="9" t="str"/>
      <x:c r="F5" s="13" t="str">
        <x:v>2014</x:v>
      </x:c>
      <x:c r="G5" s="9" t="str">
        <x:v>England and Wales Court of Appeal (Civil Division)</x:v>
      </x:c>
      <x:c r="H5" s="9" t="str">
        <x:v>Appellate</x:v>
      </x:c>
      <x:c r="I5" s="9" t="str">
        <x:v>England and Wales</x:v>
      </x:c>
      <x:c r="J5" s="9" t="str">
        <x:v>Family Law</x:v>
      </x:c>
      <x:c r="K5" s="9" t="str">
        <x:v>-ew-cases-EWCA-Civ-2014-1577.xml</x:v>
      </x:c>
      <x:c r="L5" s="9" t="str">
        <x:v>TBA</x:v>
      </x:c>
    </x:row>
    <x:row r="6">
      <x:c r="A6" t="str">
        <x:v>3c780005-d7aa-403c-bf6a-92de376da83a</x:v>
      </x:c>
      <x:c r="B6" t="str">
        <x:v>d81be292-035f-4bbc-9d4d-c902a12d5466</x:v>
      </x:c>
      <x:c r="C6" s="9" t="str">
        <x:v>A (A Child) [2014] EWCA Civ 871</x:v>
      </x:c>
      <x:c r="D6" s="9" t="str"/>
      <x:c r="E6" s="9" t="str"/>
      <x:c r="F6" s="13" t="str">
        <x:v>2014</x:v>
      </x:c>
      <x:c r="G6" s="9" t="str">
        <x:v>England and Wales Court of Appeal (Civil Division)</x:v>
      </x:c>
      <x:c r="H6" s="9" t="str">
        <x:v>Appellate</x:v>
      </x:c>
      <x:c r="I6" s="9" t="str">
        <x:v>England and Wales</x:v>
      </x:c>
      <x:c r="J6" s="9" t="str">
        <x:v>Family Law</x:v>
      </x:c>
      <x:c r="K6" s="9" t="str">
        <x:v>-ew-cases-EWCA-Civ-2014-871.xml</x:v>
      </x:c>
      <x:c r="L6" s="9" t="str">
        <x:v>TBA</x:v>
      </x:c>
    </x:row>
    <x:row r="7">
      <x:c r="A7" t="str">
        <x:v>ce0fc1e2-22ec-4286-86eb-be74c901bc88</x:v>
      </x:c>
      <x:c r="B7" t="str">
        <x:v>ea2650c6-4c6a-40f2-a9e5-3917399e7ec0</x:v>
      </x:c>
      <x:c r="C7" s="9" t="str">
        <x:v>A (A Child) [2015] EWCA Civ 486</x:v>
      </x:c>
      <x:c r="D7" s="9" t="str"/>
      <x:c r="E7" s="9" t="str"/>
      <x:c r="F7" s="13" t="str">
        <x:v>2015</x:v>
      </x:c>
      <x:c r="G7" s="9" t="str">
        <x:v>England and Wales Court of Appeal (Civil Division)</x:v>
      </x:c>
      <x:c r="H7" s="9" t="str">
        <x:v>Appellate</x:v>
      </x:c>
      <x:c r="I7" s="9" t="str">
        <x:v>England and Wales</x:v>
      </x:c>
      <x:c r="J7" s="9" t="str">
        <x:v>Family Law</x:v>
      </x:c>
      <x:c r="K7" s="9" t="str">
        <x:v>-ew-cases-EWCA-Civ-2015-486.xml</x:v>
      </x:c>
      <x:c r="L7" s="9" t="str">
        <x:v>TBA</x:v>
      </x:c>
    </x:row>
    <x:row r="8">
      <x:c r="A8" t="str">
        <x:v>12943a83-aaec-4e80-8805-6c9b880cb293</x:v>
      </x:c>
      <x:c r="B8" t="str">
        <x:v>1a43cb39-9e56-4522-8bea-0ef0e51e2745</x:v>
      </x:c>
      <x:c r="C8" s="9" t="str">
        <x:v>A (A Child) &amp; Anor, R (On the Application Of) v Secretary of State for Health [2015] EWCA Civ 771</x:v>
      </x:c>
      <x:c r="D8" s="9" t="str"/>
      <x:c r="E8" s="9" t="str"/>
      <x:c r="F8" s="13" t="str">
        <x:v>2015</x:v>
      </x:c>
      <x:c r="G8" s="9" t="str">
        <x:v>England and Wales Court of Appeal (Civil Division)</x:v>
      </x:c>
      <x:c r="H8" s="9" t="str">
        <x:v>Appellate</x:v>
      </x:c>
      <x:c r="I8" s="9" t="str">
        <x:v>England and Wales</x:v>
      </x:c>
      <x:c r="J8" s="9" t="str">
        <x:v>Public Law</x:v>
      </x:c>
      <x:c r="K8" s="9" t="str">
        <x:v>-ew-cases-EWCA-Civ-2015-771.xml</x:v>
      </x:c>
      <x:c r="L8" s="9" t="str">
        <x:v>TBA</x:v>
      </x:c>
    </x:row>
    <x:row r="9">
      <x:c r="A9" t="str">
        <x:v>5e2d00c3-bf66-47a0-bca4-4c3f85852e68</x:v>
      </x:c>
      <x:c r="B9" t="str">
        <x:v>71c01756-04c0-46b1-a858-c9441555cd07</x:v>
      </x:c>
      <x:c r="C9" s="9" t="str">
        <x:v>A (A Child), Re (Enforcement of A Foreign Order) [2022] EWCA Civ 904</x:v>
      </x:c>
      <x:c r="D9" s="9" t="str"/>
      <x:c r="E9" s="9" t="str"/>
      <x:c r="F9" s="13" t="str">
        <x:v>2022</x:v>
      </x:c>
      <x:c r="G9" s="9" t="str">
        <x:v>England and Wales Court of Appeal (Civil Division)</x:v>
      </x:c>
      <x:c r="H9" s="9" t="str">
        <x:v>Court of Appeal (Civil Division)</x:v>
      </x:c>
      <x:c r="I9" s="9" t="str">
        <x:v>England and Wales</x:v>
      </x:c>
      <x:c r="J9" s="9" t="str">
        <x:v>Family Law; Private International Law</x:v>
      </x:c>
      <x:c r="K9" s="9" t="str">
        <x:v>ew-cases-EWCA-Civ-2022-904.xml</x:v>
      </x:c>
      <x:c r="L9" s="9" t="str">
        <x:v>TBA</x:v>
      </x:c>
    </x:row>
    <x:row r="10">
      <x:c r="A10" t="str">
        <x:v>7bc371bd-db0d-4ea6-b739-3eead4233237</x:v>
      </x:c>
      <x:c r="B10" t="str">
        <x:v>f1310be8-1236-484a-bf97-86d44fb0fd28</x:v>
      </x:c>
      <x:c r="C10" s="9" t="str">
        <x:v>A (A Child), Re (Habitual Residence: 1996 Hague Child Protection Convention) [2023] EWCA Civ 659</x:v>
      </x:c>
      <x:c r="D10" s="9" t="str"/>
      <x:c r="E10" s="9" t="str"/>
      <x:c r="F10" s="13" t="str">
        <x:v>2023</x:v>
      </x:c>
      <x:c r="G10" s="9" t="str">
        <x:v>England and Wales Court of Appeal (Civil Division)</x:v>
      </x:c>
      <x:c r="H10" s="9" t="str">
        <x:v>Court of Appeal (Civil Division)</x:v>
      </x:c>
      <x:c r="I10" s="9" t="str">
        <x:v>England and Wales</x:v>
      </x:c>
      <x:c r="J10" s="9" t="str">
        <x:v>Private International Law; Family Law</x:v>
      </x:c>
      <x:c r="K10" s="9" t="str">
        <x:v>ew-cases-EWCA-Civ-2023-659.xml</x:v>
      </x:c>
      <x:c r="L10" s="9" t="str">
        <x:v>TBA</x:v>
      </x:c>
    </x:row>
    <x:row r="11">
      <x:c r="A11" t="str">
        <x:v>cd756ad3-35a0-4b85-a18a-ac4d504c1091</x:v>
      </x:c>
      <x:c r="B11" t="str">
        <x:v>0a1b1b72-4705-4570-9d09-27f0eab24acb</x:v>
      </x:c>
      <x:c r="C11" s="9" t="str">
        <x:v>A (A Child), Re [2015] EWCA Civ 162</x:v>
      </x:c>
      <x:c r="D11" s="9" t="str"/>
      <x:c r="E11" s="9" t="str"/>
      <x:c r="F11" s="13" t="str">
        <x:v>2015</x:v>
      </x:c>
      <x:c r="G11" s="9" t="str">
        <x:v>England and Wales Court of Appeal (Civil Division)</x:v>
      </x:c>
      <x:c r="H11" s="9" t="str">
        <x:v>Appellate</x:v>
      </x:c>
      <x:c r="I11" s="9" t="str">
        <x:v>England and Wales</x:v>
      </x:c>
      <x:c r="J11" s="9" t="str">
        <x:v>Child Welfare/Family Law</x:v>
      </x:c>
      <x:c r="K11" s="9" t="str">
        <x:v>-ew-cases-EWCA-Civ-2015-162.xml</x:v>
      </x:c>
      <x:c r="L11" s="9" t="str">
        <x:v>TBA</x:v>
      </x:c>
    </x:row>
    <x:row r="12">
      <x:c r="A12" t="str">
        <x:v>a1c03049-141e-489d-9468-fd32b1616730</x:v>
      </x:c>
      <x:c r="B12" t="str">
        <x:v>39dbe281-653d-4e77-9594-c319d178e11b</x:v>
      </x:c>
      <x:c r="C12" s="9" t="str">
        <x:v>A (A Child), Re [2015] EWCA Civ 910</x:v>
      </x:c>
      <x:c r="D12" s="9" t="str"/>
      <x:c r="E12" s="9" t="str"/>
      <x:c r="F12" s="13" t="str">
        <x:v>2015</x:v>
      </x:c>
      <x:c r="G12" s="9" t="str">
        <x:v>England and Wales Court of Appeal (Civil Division)</x:v>
      </x:c>
      <x:c r="H12" s="9" t="str">
        <x:v>Appellate</x:v>
      </x:c>
      <x:c r="I12" s="9" t="str">
        <x:v>England and Wales</x:v>
      </x:c>
      <x:c r="J12" s="9" t="str">
        <x:v>Family Law</x:v>
      </x:c>
      <x:c r="K12" s="9" t="str">
        <x:v>-ew-cases-EWCA-Civ-2015-910.xml</x:v>
      </x:c>
      <x:c r="L12" s="9" t="str">
        <x:v>TBA</x:v>
      </x:c>
    </x:row>
    <x:row r="13">
      <x:c r="A13" t="str">
        <x:v>15bde155-27d2-408d-8e23-84fecf65ec7b</x:v>
      </x:c>
      <x:c r="B13" t="str">
        <x:v>db40c33b-7d4e-40d4-8c72-a9f65e3dccd2</x:v>
      </x:c>
      <x:c r="C13" s="9" t="str">
        <x:v>A (A Child), Re [2016] EWCA Civ 759</x:v>
      </x:c>
      <x:c r="D13" s="9" t="str"/>
      <x:c r="E13" s="9" t="str"/>
      <x:c r="F13" s="13" t="str">
        <x:v>2016</x:v>
      </x:c>
      <x:c r="G13" s="9" t="str">
        <x:v>England and Wales Court of Appeal (Civil Division)</x:v>
      </x:c>
      <x:c r="H13" s="9" t="str">
        <x:v>Court of Appeal (Civil Division)</x:v>
      </x:c>
      <x:c r="I13" s="9" t="str">
        <x:v>England and Wales</x:v>
      </x:c>
      <x:c r="J13" s="9" t="str">
        <x:v>Care / Family Law – End-of-Life Medical Decisions for a Child</x:v>
      </x:c>
      <x:c r="K13" s="9" t="str">
        <x:v>-ew-cases-EWCA-Civ-2016-759.xml</x:v>
      </x:c>
      <x:c r="L13" s="9" t="str">
        <x:v>TBA</x:v>
      </x:c>
    </x:row>
    <x:row r="14">
      <x:c r="A14" t="str">
        <x:v>e6bf0a21-9be7-4ae7-b284-3245b7080d46</x:v>
      </x:c>
      <x:c r="B14" t="str">
        <x:v>9938ae56-badb-4193-a08e-e13a694c7827</x:v>
      </x:c>
      <x:c r="C14" s="9" t="str">
        <x:v>A (Child Abduction: Article 13b) [2021] EWCA Civ 328</x:v>
      </x:c>
      <x:c r="D14" s="9" t="str"/>
      <x:c r="E14" s="9" t="str"/>
      <x:c r="F14" s="13" t="str">
        <x:v>2021</x:v>
      </x:c>
      <x:c r="G14" s="9" t="str">
        <x:v>England and Wales Court of Appeal (Civil Division)</x:v>
      </x:c>
      <x:c r="H14" s="9" t="str">
        <x:v>Appellate</x:v>
      </x:c>
      <x:c r="I14" s="9" t="str">
        <x:v>United Kingdom</x:v>
      </x:c>
      <x:c r="J14" s="9" t="str">
        <x:v>Family Law</x:v>
      </x:c>
      <x:c r="K14" s="9" t="str">
        <x:v>ew-cases-EWCA-Civ-2021-328.xml</x:v>
      </x:c>
      <x:c r="L14" s="9" t="str">
        <x:v>TBA</x:v>
      </x:c>
    </x:row>
    <x:row r="15">
      <x:c r="A15" t="str">
        <x:v>7dadf312-7ff0-451c-9e35-f8e46f0f7c20</x:v>
      </x:c>
      <x:c r="B15" t="str">
        <x:v>c4f92d87-67ec-42b5-9c5c-bc1d62a3b299</x:v>
      </x:c>
      <x:c r="C15" s="9" t="str">
        <x:v>A (Child) [2016] EWCA Civ 820</x:v>
      </x:c>
      <x:c r="D15" s="9" t="str"/>
      <x:c r="E15" s="9" t="str"/>
      <x:c r="F15" s="13" t="str">
        <x:v>2016</x:v>
      </x:c>
      <x:c r="G15" s="9" t="str">
        <x:v>England and Wales Court of Appeal (Civil Division)</x:v>
      </x:c>
      <x:c r="H15" s="9" t="str">
        <x:v>Court of Appeal (Civil Division)</x:v>
      </x:c>
      <x:c r="I15" s="9" t="str">
        <x:v>England and Wales</x:v>
      </x:c>
      <x:c r="J15" s="9" t="str">
        <x:v>Family Law – Care Proceedings and Adoption</x:v>
      </x:c>
      <x:c r="K15" s="9" t="str">
        <x:v>-ew-cases-EWCA-Civ-2016-820.xml</x:v>
      </x:c>
      <x:c r="L15" s="9" t="str">
        <x:v>TBA</x:v>
      </x:c>
    </x:row>
    <x:row r="16">
      <x:c r="A16" t="str">
        <x:v>2571458c-4335-4635-984e-47f049ec9810</x:v>
      </x:c>
      <x:c r="B16" t="str">
        <x:v>c8590be2-627d-4dc4-aec5-d15fa89dbeef</x:v>
      </x:c>
      <x:c r="C16" s="9" t="str">
        <x:v>A (child), Re [2016] EWCA Civ 572</x:v>
      </x:c>
      <x:c r="D16" s="9" t="str"/>
      <x:c r="E16" s="9" t="str"/>
      <x:c r="F16" s="13" t="str">
        <x:v>2016</x:v>
      </x:c>
      <x:c r="G16" s="9" t="str">
        <x:v>England and Wales Court of Appeal (Civil Division)</x:v>
      </x:c>
      <x:c r="H16" s="9" t="str">
        <x:v>Court of Appeal (Civil Division)</x:v>
      </x:c>
      <x:c r="I16" s="9" t="str">
        <x:v>England and Wales</x:v>
      </x:c>
      <x:c r="J16" s="9" t="str">
        <x:v>International Family Law / Cross-border Child Abduction</x:v>
      </x:c>
      <x:c r="K16" s="9" t="str">
        <x:v>-ew-cases-EWCA-Civ-2016-572.xml</x:v>
      </x:c>
      <x:c r="L16" s="9" t="str">
        <x:v>TBA</x:v>
      </x:c>
    </x:row>
    <x:row r="17">
      <x:c r="A17" t="str">
        <x:v>19740e32-eb97-433f-b000-e2e336815ba1</x:v>
      </x:c>
      <x:c r="B17" t="str">
        <x:v>81cb9515-fc10-499e-a958-4a276d184ea3</x:v>
      </x:c>
      <x:c r="C17" s="9" t="str">
        <x:v>A (Children : Adoption : long Term Foster Care), Re [2015] EWCA Civ 1021</x:v>
      </x:c>
      <x:c r="D17" s="9" t="str"/>
      <x:c r="E17" s="9" t="str"/>
      <x:c r="F17" s="13" t="str">
        <x:v>2015</x:v>
      </x:c>
      <x:c r="G17" s="9" t="str">
        <x:v>England and Wales Court of Appeal (Civil Division)</x:v>
      </x:c>
      <x:c r="H17" s="9" t="str">
        <x:v>Appellate</x:v>
      </x:c>
      <x:c r="I17" s="9" t="str">
        <x:v>England and Wales</x:v>
      </x:c>
      <x:c r="J17" s="9" t="str">
        <x:v>Family Law</x:v>
      </x:c>
      <x:c r="K17" s="9" t="str">
        <x:v>-ew-cases-EWCA-Civ-2015-1021.xml</x:v>
      </x:c>
      <x:c r="L17" s="9" t="str">
        <x:v>TBA</x:v>
      </x:c>
    </x:row>
    <x:row r="18">
      <x:c r="A18" t="str">
        <x:v>958e612e-567a-4786-a18e-32532753d25d</x:v>
      </x:c>
      <x:c r="B18" t="str">
        <x:v>28f145c1-be75-4b81-b744-62832110fd38</x:v>
      </x:c>
      <x:c r="C18" s="9" t="str">
        <x:v>A (Children) (Abduction: Article 13(b)) [2021] EWCA Civ 939</x:v>
      </x:c>
      <x:c r="D18" s="9" t="str"/>
      <x:c r="E18" s="9" t="str"/>
      <x:c r="F18" s="13" t="str">
        <x:v>2021</x:v>
      </x:c>
      <x:c r="G18" s="9" t="str">
        <x:v>England and Wales Court of Appeal (Civil Division)</x:v>
      </x:c>
      <x:c r="H18" s="9" t="str">
        <x:v>Appellate</x:v>
      </x:c>
      <x:c r="I18" s="9" t="str">
        <x:v>England and Wales</x:v>
      </x:c>
      <x:c r="J18" s="9" t="str">
        <x:v>Family Law</x:v>
      </x:c>
      <x:c r="K18" s="9" t="str">
        <x:v>ew-cases-EWCA-Civ-2021-939.xml</x:v>
      </x:c>
      <x:c r="L18" s="9" t="str">
        <x:v>TBA</x:v>
      </x:c>
    </x:row>
    <x:row r="19">
      <x:c r="A19" t="str">
        <x:v>484e800b-d6f0-4829-b9c6-2f118d6cf455</x:v>
      </x:c>
      <x:c r="B19" t="str">
        <x:v>4f5f61dd-5635-4b66-ad74-225160194b53</x:v>
      </x:c>
      <x:c r="C19" s="9" t="str">
        <x:v>A (Children) [2015] EWCA Civ 1254</x:v>
      </x:c>
      <x:c r="D19" s="9" t="str"/>
      <x:c r="E19" s="9" t="str"/>
      <x:c r="F19" s="13" t="str">
        <x:v>2015</x:v>
      </x:c>
      <x:c r="G19" s="9" t="str">
        <x:v>England and Wales Court of Appeal (Civil Division)</x:v>
      </x:c>
      <x:c r="H19" s="9" t="str">
        <x:v>Appellate</x:v>
      </x:c>
      <x:c r="I19" s="9" t="str">
        <x:v>England and Wales</x:v>
      </x:c>
      <x:c r="J19" s="9" t="str">
        <x:v>Family Law</x:v>
      </x:c>
      <x:c r="K19" s="9" t="str">
        <x:v>-ew-cases-EWCA-Civ-2015-1254.xml</x:v>
      </x:c>
      <x:c r="L19" s="9" t="str">
        <x:v>TBA</x:v>
      </x:c>
    </x:row>
    <x:row r="20">
      <x:c r="A20" t="str">
        <x:v>eab7b7ca-253b-4a76-b2cb-dae570250adc</x:v>
      </x:c>
      <x:c r="B20" t="str">
        <x:v>8a05accf-a6fe-454d-92e5-29c7c5876950</x:v>
      </x:c>
      <x:c r="C20" s="9" t="str">
        <x:v>A (Children), Re [2015] EWCA Civ 133</x:v>
      </x:c>
      <x:c r="D20" s="9" t="str"/>
      <x:c r="E20" s="9" t="str"/>
      <x:c r="F20" s="13" t="str">
        <x:v>2015</x:v>
      </x:c>
      <x:c r="G20" s="9" t="str">
        <x:v>England and Wales Court of Appeal (Civil Division)</x:v>
      </x:c>
      <x:c r="H20" s="9" t="str">
        <x:v>Appellate</x:v>
      </x:c>
      <x:c r="I20" s="9" t="str">
        <x:v>England and Wales</x:v>
      </x:c>
      <x:c r="J20" s="9" t="str">
        <x:v>Family Law</x:v>
      </x:c>
      <x:c r="K20" s="9" t="str">
        <x:v>-ew-cases-EWCA-Civ-2015-133.xml</x:v>
      </x:c>
      <x:c r="L20" s="9" t="str">
        <x:v>TBA</x:v>
      </x:c>
    </x:row>
    <x:row r="21">
      <x:c r="A21" t="str">
        <x:v>35b22d4d-fbba-428e-9071-106518378831</x:v>
      </x:c>
      <x:c r="B21" t="str">
        <x:v>f29aed48-33b4-4a1a-9b04-fb137cc88b0a</x:v>
      </x:c>
      <x:c r="C21" s="9" t="str">
        <x:v>A &amp; B (Children), Re [2016] EWCA Civ 1101 (9 November 2016)</x:v>
      </x:c>
      <x:c r="D21" s="9" t="str"/>
      <x:c r="E21" s="9" t="str"/>
      <x:c r="F21" s="13" t="str">
        <x:v>2016</x:v>
      </x:c>
      <x:c r="G21" s="9" t="str">
        <x:v>England and Wales Court of Appeal (Civil Division)</x:v>
      </x:c>
      <x:c r="H21" s="9" t="str">
        <x:v>Court of Appeal (Civil Division)</x:v>
      </x:c>
      <x:c r="I21" s="9" t="str">
        <x:v>England and Wales</x:v>
      </x:c>
      <x:c r="J21" s="9" t="str">
        <x:v>Public Law – Family (Care Proceedings)</x:v>
      </x:c>
      <x:c r="K21" s="9" t="str">
        <x:v>-ew-cases-EWCA-Civ-2016-1101.xml</x:v>
      </x:c>
      <x:c r="L21" s="9" t="str">
        <x:v>TBA</x:v>
      </x:c>
    </x:row>
    <x:row r="22">
      <x:c r="A22" t="str">
        <x:v>808e99a9-e3dd-46d8-87d7-fd31d08a2d6e</x:v>
      </x:c>
      <x:c r="B22" t="str">
        <x:v>62e9420c-c1d7-4e6d-888d-db9f090201f1</x:v>
      </x:c>
      <x:c r="C22" s="9" t="str">
        <x:v>A &amp; Ors, R (On the Application Of) v Oxfordshire County Council [2016] EWCA Civ 1235</x:v>
      </x:c>
      <x:c r="D22" s="9" t="str"/>
      <x:c r="E22" s="9" t="str"/>
      <x:c r="F22" s="13" t="str">
        <x:v>2016</x:v>
      </x:c>
      <x:c r="G22" s="9" t="str">
        <x:v>England and Wales Court of Appeal (Civil Division)</x:v>
      </x:c>
      <x:c r="H22" s="9" t="str">
        <x:v>Court of Appeal (Civil Division)</x:v>
      </x:c>
      <x:c r="I22" s="9" t="str">
        <x:v>England and Wales</x:v>
      </x:c>
      <x:c r="J22" s="9" t="str">
        <x:v>Administrative Law / Public Law (Judicial Review)</x:v>
      </x:c>
      <x:c r="K22" s="9" t="str">
        <x:v>-ew-cases-EWCA-Civ-2016-1235.xml</x:v>
      </x:c>
      <x:c r="L22" s="9" t="str">
        <x:v>TBA</x:v>
      </x:c>
    </x:row>
    <x:row r="23">
      <x:c r="A23" t="str">
        <x:v>c4d6a0e4-4a42-44e7-b98c-3d4a9ce46562</x:v>
      </x:c>
      <x:c r="B23" t="str">
        <x:v>6269c09b-dca1-4c30-b48f-97f45190319f</x:v>
      </x:c>
      <x:c r="C23" s="9" t="str">
        <x:v>A &amp; V Building Solutions Limited v J &amp; B Hopkins Limited [2023] EWCA Civ 54</x:v>
      </x:c>
      <x:c r="D23" s="9" t="str"/>
      <x:c r="E23" s="9" t="str"/>
      <x:c r="F23" s="13" t="str">
        <x:v>2023</x:v>
      </x:c>
      <x:c r="G23" s="9" t="str">
        <x:v>England and Wales Court of Appeal (Civil Division)</x:v>
      </x:c>
      <x:c r="H23" s="9" t="str">
        <x:v>Court of Appeal (Civil Division)</x:v>
      </x:c>
      <x:c r="I23" s="9" t="str">
        <x:v>England and Wales</x:v>
      </x:c>
      <x:c r="J23" s="9" t="str">
        <x:v>Contract Dispute</x:v>
      </x:c>
      <x:c r="K23" s="9" t="str">
        <x:v>ew-cases-EWCA-Civ-2023-54.xml</x:v>
      </x:c>
      <x:c r="L23" s="9" t="str">
        <x:v>TBA</x:v>
      </x:c>
    </x:row>
    <x:row r="24">
      <x:c r="A24" t="str">
        <x:v>49b05993-ed92-4d27-b95b-92185d7404ad</x:v>
      </x:c>
      <x:c r="B24" t="str">
        <x:v>ca300363-8c1f-4036-8084-4cfe715f06a6</x:v>
      </x:c>
      <x:c r="C24" s="9" t="str">
        <x:v>A and B (Children: Summary Return: Non-Convention State) [2022] EWCA Civ 1664 (19 December 2022)</x:v>
      </x:c>
      <x:c r="D24" s="9" t="str"/>
      <x:c r="E24" s="9" t="str"/>
      <x:c r="F24" s="13" t="str">
        <x:v>2022</x:v>
      </x:c>
      <x:c r="G24" s="9" t="str">
        <x:v>England and Wales Court of Appeal (Civil Division)</x:v>
      </x:c>
      <x:c r="H24" s="9" t="str">
        <x:v>Court of Appeal (Civil Division)</x:v>
      </x:c>
      <x:c r="I24" s="9" t="str">
        <x:v>England and Wales</x:v>
      </x:c>
      <x:c r="J24" s="9" t="str">
        <x:v>Private International Law - Family (Child Abduction) - Hague Convention</x:v>
      </x:c>
      <x:c r="K24" s="9" t="str">
        <x:v>ew-cases-EWCA-Civ-2022-1664.xml</x:v>
      </x:c>
      <x:c r="L24" s="9" t="str">
        <x:v>TBA</x:v>
      </x:c>
    </x:row>
    <x:row r="25">
      <x:c r="A25" t="str">
        <x:v>76cbc82c-4a10-400a-a6d9-4b63f255c202</x:v>
      </x:c>
      <x:c r="B25" t="str">
        <x:v>01d22205-905f-47a6-9dc4-6750aa3d352e</x:v>
      </x:c>
      <x:c r="C25" s="9" t="str">
        <x:v>A L Challis Ltd v British Gas Trading Ltd [2017] EWCA Civ 1972</x:v>
      </x:c>
      <x:c r="D25" s="9" t="str"/>
      <x:c r="E25" s="9" t="str"/>
      <x:c r="F25" s="13" t="str">
        <x:v>2017</x:v>
      </x:c>
      <x:c r="G25" s="9" t="str">
        <x:v>England and Wales Court of Appeal (Civil Division)</x:v>
      </x:c>
      <x:c r="H25" s="9" t="str">
        <x:v>Appellate</x:v>
      </x:c>
      <x:c r="I25" s="9" t="str">
        <x:v>England and Wales</x:v>
      </x:c>
      <x:c r="J25" s="9" t="str">
        <x:v>Contract Dispute</x:v>
      </x:c>
      <x:c r="K25" s="9" t="str">
        <x:v>-ew-cases-EWCA-Civ-2017-1972.xml</x:v>
      </x:c>
      <x:c r="L25" s="9" t="str">
        <x:v>TBA</x:v>
      </x:c>
    </x:row>
    <x:row r="26">
      <x:c r="A26" t="str">
        <x:v>ecef1681-603b-41dc-a643-b70c29f0be4f</x:v>
      </x:c>
      <x:c r="B26" t="str">
        <x:v>5e50a408-22d6-4c9b-a66b-b8a6d5ff1650</x:v>
      </x:c>
      <x:c r="C26" s="9" t="str">
        <x:v>A Local Authority v K &amp; Ors [2005] EWHC 144 (Fam) - Fact-Finding Hearing for Child Welfare</x:v>
      </x:c>
      <x:c r="D26" s="9" t="str"/>
      <x:c r="E26" s="9" t="str"/>
      <x:c r="F26" s="13" t="str">
        <x:v>2005</x:v>
      </x:c>
      <x:c r="G26" s="9" t="str">
        <x:v>England and Wales High Court (Family Division)</x:v>
      </x:c>
      <x:c r="H26" s="9" t="str">
        <x:v>High Court</x:v>
      </x:c>
      <x:c r="I26" s="9" t="str">
        <x:v>England and Wales</x:v>
      </x:c>
      <x:c r="J26" s="9" t="str">
        <x:v>Child Welfare</x:v>
      </x:c>
      <x:c r="K26" s="9" t="str">
        <x:v>PT_EWHC-Fam_2005_144.xml</x:v>
      </x:c>
      <x:c r="L26" s="9" t="str">
        <x:v>TBA</x:v>
      </x:c>
    </x:row>
    <x:row r="27">
      <x:c r="A27" t="str">
        <x:v>82c523ea-e1c8-4b79-bd87-c534d4aced8c</x:v>
      </x:c>
      <x:c r="B27" t="str">
        <x:v>ba1f1394-cc3d-45a1-b88f-13b9582ac1a3</x:v>
      </x:c>
      <x:c r="C27" s="9" t="str">
        <x:v>A Mother v Derby City Council &amp; Anor [2021] EWCA Civ 1867</x:v>
      </x:c>
      <x:c r="D27" s="9" t="str"/>
      <x:c r="E27" s="9" t="str"/>
      <x:c r="F27" s="13" t="str">
        <x:v>2021</x:v>
      </x:c>
      <x:c r="G27" s="9" t="str">
        <x:v>England and Wales Court of Appeal (Civil Division)</x:v>
      </x:c>
      <x:c r="H27" s="9" t="str">
        <x:v>Appellate</x:v>
      </x:c>
      <x:c r="I27" s="9" t="str">
        <x:v>England and Wales</x:v>
      </x:c>
      <x:c r="J27" s="9" t="str">
        <x:v>Family Law</x:v>
      </x:c>
      <x:c r="K27" s="9" t="str">
        <x:v>ew-cases-EWCA-Civ-2021-1867.xml</x:v>
      </x:c>
      <x:c r="L27" s="9" t="str">
        <x:v>TBA</x:v>
      </x:c>
    </x:row>
    <x:row r="28">
      <x:c r="A28" t="str">
        <x:v>c3fcf666-ba5b-482e-8352-7dc76a180f8e</x:v>
      </x:c>
      <x:c r="B28" t="str">
        <x:v>ddc07fe5-b872-4038-b760-cda89ca0e56b</x:v>
      </x:c>
      <x:c r="C28" s="9" t="str">
        <x:v>A v B &amp; Anor [2023] EWCA Civ 360</x:v>
      </x:c>
      <x:c r="D28" s="9" t="str"/>
      <x:c r="E28" s="9" t="str"/>
      <x:c r="F28" s="13" t="str">
        <x:v>2023</x:v>
      </x:c>
      <x:c r="G28" s="9" t="str">
        <x:v>England and Wales Court of Appeal (Civil Division)</x:v>
      </x:c>
      <x:c r="H28" s="9" t="str">
        <x:v>Court of Appeal (Civil Division)</x:v>
      </x:c>
      <x:c r="I28" s="9" t="str">
        <x:v>England and Wales</x:v>
      </x:c>
      <x:c r="J28" s="9" t="str">
        <x:v>Family Law: Private Law / Domestic Abuse</x:v>
      </x:c>
      <x:c r="K28" s="9" t="str">
        <x:v>ew-cases-EWCA-Civ-2023-360.xml</x:v>
      </x:c>
      <x:c r="L28" s="9" t="str">
        <x:v>TBA</x:v>
      </x:c>
    </x:row>
    <x:row r="29">
      <x:c r="A29" t="str">
        <x:v>185893e0-ce82-43f9-96d8-2a12ad422bd6</x:v>
      </x:c>
      <x:c r="B29" t="str">
        <x:v>f8da7c4e-561f-431b-bb02-5be288ce911a</x:v>
      </x:c>
      <x:c r="C29" s="9" t="str">
        <x:v>A v B Local Authority &amp; Anor [2016] EWCA Civ 766 (Court of Appeal, Civil Division)</x:v>
      </x:c>
      <x:c r="D29" s="9" t="str"/>
      <x:c r="E29" s="9" t="str"/>
      <x:c r="F29" s="13" t="str">
        <x:v>2016</x:v>
      </x:c>
      <x:c r="G29" s="9" t="str">
        <x:v>England and Wales Court of Appeal (Civil Division)</x:v>
      </x:c>
      <x:c r="H29" s="9" t="str">
        <x:v>Court of Appeal (Civil Division)</x:v>
      </x:c>
      <x:c r="I29" s="9" t="str">
        <x:v>England and Wales</x:v>
      </x:c>
      <x:c r="J29" s="9" t="str">
        <x:v>Employment Law – Unfair Dismissal and Safeguarding</x:v>
      </x:c>
      <x:c r="K29" s="9" t="str">
        <x:v>-ew-cases-EWCA-Civ-2016-766.xml</x:v>
      </x:c>
      <x:c r="L29" s="9" t="str">
        <x:v>TBA</x:v>
      </x:c>
    </x:row>
    <x:row r="30">
      <x:c r="A30" t="str">
        <x:v>53d704f8-cab7-4675-ad5e-5e8c9916447f</x:v>
      </x:c>
      <x:c r="B30" t="str">
        <x:v>3844cae4-3513-4c14-96a2-d7c8edd921f7</x:v>
      </x:c>
      <x:c r="C30" s="9" t="str">
        <x:v>A-M (A Child : 1980 Hague Convention) [2021] EWCA Civ 998</x:v>
      </x:c>
      <x:c r="D30" s="9" t="str"/>
      <x:c r="E30" s="9" t="str"/>
      <x:c r="F30" s="13" t="str">
        <x:v>2021</x:v>
      </x:c>
      <x:c r="G30" s="9" t="str">
        <x:v>England and Wales Court of Appeal (Civil Division)</x:v>
      </x:c>
      <x:c r="H30" s="9" t="str">
        <x:v>Appellate</x:v>
      </x:c>
      <x:c r="I30" s="9" t="str">
        <x:v>United Kingdom</x:v>
      </x:c>
      <x:c r="J30" s="9" t="str">
        <x:v>Family Law</x:v>
      </x:c>
      <x:c r="K30" s="9" t="str">
        <x:v>ew-cases-EWCA-Civ-2021-998.xml</x:v>
      </x:c>
      <x:c r="L30" s="9" t="str">
        <x:v>TBA</x:v>
      </x:c>
    </x:row>
    <x:row r="31">
      <x:c r="A31" t="str">
        <x:v>817d6738-6c93-4cab-84ee-5bb74c88b930</x:v>
      </x:c>
      <x:c r="B31" t="str">
        <x:v>0a459d57-ebe9-4176-a3bb-167382b9d094</x:v>
      </x:c>
      <x:c r="C31" s="9" t="str">
        <x:v>A-M (Children) [2014] EWCA Civ 1489</x:v>
      </x:c>
      <x:c r="D31" s="9" t="str"/>
      <x:c r="E31" s="9" t="str"/>
      <x:c r="F31" s="13" t="str">
        <x:v>2014</x:v>
      </x:c>
      <x:c r="G31" s="9" t="str">
        <x:v>England and Wales Court of Appeal (Civil Division)</x:v>
      </x:c>
      <x:c r="H31" s="9" t="str">
        <x:v>appellate</x:v>
      </x:c>
      <x:c r="I31" s="9" t="str">
        <x:v>England and Wales</x:v>
      </x:c>
      <x:c r="J31" s="9" t="str">
        <x:v>Family Law</x:v>
      </x:c>
      <x:c r="K31" s="9" t="str">
        <x:v>-ew-cases-EWCA-Civ-2014-1489.xml</x:v>
      </x:c>
      <x:c r="L31" s="9" t="str">
        <x:v>TBA</x:v>
      </x:c>
    </x:row>
    <x:row r="32">
      <x:c r="A32" t="str">
        <x:v>fa369820-291b-4f0d-9ac5-decbfc30c81e</x:v>
      </x:c>
      <x:c r="B32" t="str">
        <x:v>f149b82d-3287-46f6-9d0f-24b28dd52d4b</x:v>
      </x:c>
      <x:c r="C32" s="9" t="str">
        <x:v>A-S (Children) [2015] EWCA Civ 748</x:v>
      </x:c>
      <x:c r="D32" s="9" t="str"/>
      <x:c r="E32" s="9" t="str"/>
      <x:c r="F32" s="13" t="str">
        <x:v>2015</x:v>
      </x:c>
      <x:c r="G32" s="9" t="str">
        <x:v>England and Wales Court of Appeal (Civil Division)</x:v>
      </x:c>
      <x:c r="H32" s="9" t="str">
        <x:v>Appellate</x:v>
      </x:c>
      <x:c r="I32" s="9" t="str">
        <x:v>England and Wales</x:v>
      </x:c>
      <x:c r="J32" s="9" t="str">
        <x:v>Family Law</x:v>
      </x:c>
      <x:c r="K32" s="9" t="str">
        <x:v>-ew-cases-EWCA-Civ-2015-748.xml</x:v>
      </x:c>
      <x:c r="L32" s="9" t="str">
        <x:v>TBA</x:v>
      </x:c>
    </x:row>
    <x:row r="33">
      <x:c r="A33" t="str">
        <x:v>0d813a19-a32d-4248-a7bd-e2ba78fc0449</x:v>
      </x:c>
      <x:c r="B33" t="str">
        <x:v>8abfddd3-7bf1-4917-b0b3-15d6d15a70ca</x:v>
      </x:c>
      <x:c r="C33" s="9" t="str">
        <x:v>A, B &amp; C (Fact-Finding: Gonorrhoea) [2023] EWCA Civ 437</x:v>
      </x:c>
      <x:c r="D33" s="9" t="str"/>
      <x:c r="E33" s="9" t="str"/>
      <x:c r="F33" s="13" t="str">
        <x:v>2023</x:v>
      </x:c>
      <x:c r="G33" s="9" t="str">
        <x:v>England and Wales Court of Appeal (Civil Division)</x:v>
      </x:c>
      <x:c r="H33" s="9" t="str">
        <x:v>Court of Appeal (Civil Division)</x:v>
      </x:c>
      <x:c r="I33" s="9" t="str">
        <x:v>England and Wales</x:v>
      </x:c>
      <x:c r="J33" s="9" t="str">
        <x:v>Care Proceedings / Family Law</x:v>
      </x:c>
      <x:c r="K33" s="9" t="str">
        <x:v>ew-cases-EWCA-Civ-2023-437.xml</x:v>
      </x:c>
      <x:c r="L33" s="9" t="str">
        <x:v>TBA</x:v>
      </x:c>
    </x:row>
    <x:row r="34">
      <x:c r="A34" t="str">
        <x:v>606bd1eb-e7c1-41e6-9a80-42cc1294d300</x:v>
      </x:c>
      <x:c r="B34" t="str">
        <x:v>7e6b2d3e-d3cf-4a3d-b8a2-e46505285837</x:v>
      </x:c>
      <x:c r="C34" s="9" t="str">
        <x:v>A, B and C (Children: Nesting Arrangement) [2022] EWCA Civ 68</x:v>
      </x:c>
      <x:c r="D34" s="9" t="str"/>
      <x:c r="E34" s="9" t="str"/>
      <x:c r="F34" s="13" t="str">
        <x:v>2022</x:v>
      </x:c>
      <x:c r="G34" s="9" t="str">
        <x:v>England and Wales Court of Appeal (Civil Division)</x:v>
      </x:c>
      <x:c r="H34" s="9" t="str">
        <x:v>Court of Appeal (Civil Division)</x:v>
      </x:c>
      <x:c r="I34" s="9" t="str">
        <x:v>England and Wales</x:v>
      </x:c>
      <x:c r="J34" s="9" t="str">
        <x:v>Family Law</x:v>
      </x:c>
      <x:c r="K34" s="9" t="str">
        <x:v>ew-cases-EWCA-Civ-2022-68.xml</x:v>
      </x:c>
      <x:c r="L34" s="9" t="str">
        <x:v>TBA</x:v>
      </x:c>
    </x:row>
    <x:row r="35">
      <x:c r="A35" t="str">
        <x:v>afe66003-9fc7-4e9a-bcc5-f6e249a257b7</x:v>
      </x:c>
      <x:c r="B35" t="str">
        <x:v>1a4fcd2c-0863-4e09-81be-ef316424e562</x:v>
      </x:c>
      <x:c r="C35" s="9" t="str">
        <x:v>A, B and C (Children), Re (Rev 1) [2021] EWCA Civ 451</x:v>
      </x:c>
      <x:c r="D35" s="9" t="str"/>
      <x:c r="E35" s="9" t="str"/>
      <x:c r="F35" s="13" t="str">
        <x:v>2021</x:v>
      </x:c>
      <x:c r="G35" s="9" t="str">
        <x:v>England and Wales Court of Appeal (Civil Division)</x:v>
      </x:c>
      <x:c r="H35" s="9" t="str">
        <x:v>Appellate</x:v>
      </x:c>
      <x:c r="I35" s="9" t="str">
        <x:v>England and Wales</x:v>
      </x:c>
      <x:c r="J35" s="9" t="str">
        <x:v>Family Law</x:v>
      </x:c>
      <x:c r="K35" s="9" t="str">
        <x:v>ew-cases-EWCA-Civ-2021-451.xml</x:v>
      </x:c>
      <x:c r="L35" s="9" t="str">
        <x:v>TBA</x:v>
      </x:c>
    </x:row>
    <x:row r="36">
      <x:c r="A36" t="str">
        <x:v>3d150620-e6fa-40c0-8ba9-00cfbb828f7f</x:v>
      </x:c>
      <x:c r="B36" t="str">
        <x:v>70b0ef03-be9c-4887-ab44-1d2612419d39</x:v>
      </x:c>
      <x:c r="C36" s="9" t="str">
        <x:v>A, R (on the application of) v The Secretary of State for Work and Pensions (Rev 1) [2015] EWCA Civ 772</x:v>
      </x:c>
      <x:c r="D36" s="9" t="str"/>
      <x:c r="E36" s="9" t="str"/>
      <x:c r="F36" s="13" t="str">
        <x:v>2015</x:v>
      </x:c>
      <x:c r="G36" s="9" t="str">
        <x:v>England and Wales Court of Appeal (Civil Division)</x:v>
      </x:c>
      <x:c r="H36" s="9" t="str">
        <x:v>Appellate</x:v>
      </x:c>
      <x:c r="I36" s="9" t="str">
        <x:v>England and Wales</x:v>
      </x:c>
      <x:c r="J36" s="9" t="str">
        <x:v>Administrative Law</x:v>
      </x:c>
      <x:c r="K36" s="9" t="str">
        <x:v>-ew-cases-EWCA-Civ-2015-772.xml</x:v>
      </x:c>
      <x:c r="L36" s="9" t="str">
        <x:v>TBA</x:v>
      </x:c>
    </x:row>
    <x:row r="37">
      <x:c r="A37" t="str">
        <x:v>9ec7935b-c527-46a7-84de-f31864caafbf</x:v>
      </x:c>
      <x:c r="B37" t="str">
        <x:v>2dac9632-f329-4ea8-930a-1c4cd9df1db4</x:v>
      </x:c>
      <x:c r="C37" s="9" t="str">
        <x:v>A, Re (A Child : Findings of Fact) [2022] EWCA Civ 1652</x:v>
      </x:c>
      <x:c r="D37" s="9" t="str"/>
      <x:c r="E37" s="9" t="str"/>
      <x:c r="F37" s="13" t="str">
        <x:v>2022</x:v>
      </x:c>
      <x:c r="G37" s="9" t="str">
        <x:v>England and Wales Court of Appeal (Civil Division)</x:v>
      </x:c>
      <x:c r="H37" s="9" t="str">
        <x:v>Court of Appeal (Civil Division)</x:v>
      </x:c>
      <x:c r="I37" s="9" t="str">
        <x:v>England and Wales</x:v>
      </x:c>
      <x:c r="J37" s="9" t="str">
        <x:v>Family Law / Welfare</x:v>
      </x:c>
      <x:c r="K37" s="9" t="str">
        <x:v>ew-cases-EWCA-Civ-2022-1652.xml</x:v>
      </x:c>
      <x:c r="L37" s="9" t="str">
        <x:v>TBA</x:v>
      </x:c>
    </x:row>
    <x:row r="38">
      <x:c r="A38" t="str">
        <x:v>2a8125eb-8323-4781-a2aa-33216c00935a</x:v>
      </x:c>
      <x:c r="B38" t="str">
        <x:v>de21bb07-c038-46b5-aeb7-c1cfd963e020</x:v>
      </x:c>
      <x:c r="C38" s="9" t="str">
        <x:v>A, Re (Parental Responsibility) [2023] EWCA Civ 689</x:v>
      </x:c>
      <x:c r="D38" s="9" t="str"/>
      <x:c r="E38" s="9" t="str"/>
      <x:c r="F38" s="13" t="str">
        <x:v>2023</x:v>
      </x:c>
      <x:c r="G38" s="9" t="str">
        <x:v>England and Wales Court of Appeal (Civil Division)</x:v>
      </x:c>
      <x:c r="H38" s="9" t="str">
        <x:v>Court of Appeal (Civil Division)</x:v>
      </x:c>
      <x:c r="I38" s="9" t="str">
        <x:v>England and Wales</x:v>
      </x:c>
      <x:c r="J38" s="9" t="str">
        <x:v>Family Law / Administrative &amp; Constitutional Law</x:v>
      </x:c>
      <x:c r="K38" s="9" t="str">
        <x:v>ew-cases-EWCA-Civ-2023-689.xml</x:v>
      </x:c>
      <x:c r="L38" s="9" t="str">
        <x:v>TBA</x:v>
      </x:c>
    </x:row>
    <x:row r="39">
      <x:c r="A39" t="str">
        <x:v>7c2de7e3-5756-48d3-8da1-5f9ab6c16248</x:v>
      </x:c>
      <x:c r="B39" t="str">
        <x:v>66510dde-883c-46da-94c1-307e033a260e</x:v>
      </x:c>
      <x:c r="C39" s="9" t="str">
        <x:v>AA (Algeria) v The Secretary of State for the Home Department</x:v>
      </x:c>
      <x:c r="D39" s="9" t="str"/>
      <x:c r="E39" s="9" t="str"/>
      <x:c r="F39" s="13" t="str">
        <x:v>2014</x:v>
      </x:c>
      <x:c r="G39" s="9" t="str">
        <x:v>England and Wales Court of Appeal (Civil Division)</x:v>
      </x:c>
      <x:c r="H39" s="9" t="str">
        <x:v>Appellate</x:v>
      </x:c>
      <x:c r="I39" s="9" t="str">
        <x:v>England and Wales</x:v>
      </x:c>
      <x:c r="J39" s="9" t="str">
        <x:v>Administrative Law</x:v>
      </x:c>
      <x:c r="K39" s="9" t="str">
        <x:v>-ew-cases-EWCA-Civ-2014-1741.xml</x:v>
      </x:c>
      <x:c r="L39" s="9" t="str">
        <x:v>TBA</x:v>
      </x:c>
    </x:row>
    <x:row r="40">
      <x:c r="A40" t="str">
        <x:v>b93f73f0-9e5a-461c-9a03-6259d909f89a</x:v>
      </x:c>
      <x:c r="B40" t="str">
        <x:v>06c335e3-3c73-4b5a-bd37-6fa1c034d185</x:v>
      </x:c>
      <x:c r="C40" s="9" t="str">
        <x:v>AA (Iraq) v Secretary of State for the Home Department</x:v>
      </x:c>
      <x:c r="D40" s="9" t="str"/>
      <x:c r="E40" s="9" t="str"/>
      <x:c r="F40" s="13" t="str">
        <x:v>2017</x:v>
      </x:c>
      <x:c r="G40" s="9" t="str">
        <x:v>England and Wales Court of Appeal (Civil Division)</x:v>
      </x:c>
      <x:c r="H40" s="9" t="str">
        <x:v>Appellate</x:v>
      </x:c>
      <x:c r="I40" s="9" t="str">
        <x:v>England and Wales</x:v>
      </x:c>
      <x:c r="J40" s="9" t="str">
        <x:v>Immigration Law</x:v>
      </x:c>
      <x:c r="K40" s="9" t="str">
        <x:v>-ew-cases-EWCA-Civ-2017-944.xml</x:v>
      </x:c>
      <x:c r="L40" s="9" t="str">
        <x:v>TBA</x:v>
      </x:c>
    </x:row>
    <x:row r="41">
      <x:c r="A41" t="str">
        <x:v>e77e9347-71cc-472f-912e-b28badb8bf9c</x:v>
      </x:c>
      <x:c r="B41" t="str">
        <x:v>bfaf87b6-052e-4faa-a30d-a7b57bfb7853</x:v>
      </x:c>
      <x:c r="C41" s="9" t="str">
        <x:v>AA (Iraq) v Secretary of State for the Home Department [2016] EWCA Civ 779</x:v>
      </x:c>
      <x:c r="D41" s="9" t="str"/>
      <x:c r="E41" s="9" t="str"/>
      <x:c r="F41" s="13" t="str">
        <x:v>2016</x:v>
      </x:c>
      <x:c r="G41" s="9" t="str">
        <x:v>England and Wales Court of Appeal (Civil Division)</x:v>
      </x:c>
      <x:c r="H41" s="9" t="str">
        <x:v>Court of Appeal (Civil Division)</x:v>
      </x:c>
      <x:c r="I41" s="9" t="str">
        <x:v>England and Wales</x:v>
      </x:c>
      <x:c r="J41" s="9" t="str">
        <x:v>Immigration Law - Asylum</x:v>
      </x:c>
      <x:c r="K41" s="9" t="str">
        <x:v>-ew-cases-EWCA-Civ-2016-779.xml</x:v>
      </x:c>
      <x:c r="L41" s="9" t="str">
        <x:v>TBA</x:v>
      </x:c>
    </x:row>
    <x:row r="42">
      <x:c r="A42" t="str">
        <x:v>c5205b3d-6c44-4c18-b6d1-27d9f44e1bbd</x:v>
      </x:c>
      <x:c r="B42" t="str">
        <x:v>1c041795-be1a-47dc-afd2-c8079513e78a</x:v>
      </x:c>
      <x:c r="C42" s="9" t="str">
        <x:v>AA (Nigeria) v Secretary of State for the Home Department</x:v>
      </x:c>
      <x:c r="D42" s="9" t="str"/>
      <x:c r="E42" s="9" t="str"/>
      <x:c r="F42" s="13" t="str">
        <x:v>2015</x:v>
      </x:c>
      <x:c r="G42" s="9" t="str">
        <x:v>England and Wales Court of Appeal (Civil Division)</x:v>
      </x:c>
      <x:c r="H42" s="9" t="str">
        <x:v>appellate</x:v>
      </x:c>
      <x:c r="I42" s="9" t="str">
        <x:v>England and Wales</x:v>
      </x:c>
      <x:c r="J42" s="9" t="str">
        <x:v>Immigration Law</x:v>
      </x:c>
      <x:c r="K42" s="9" t="str">
        <x:v>-ew-cases-EWCA-Civ-2015-1249.xml</x:v>
      </x:c>
      <x:c r="L42" s="9" t="str">
        <x:v>TBA</x:v>
      </x:c>
    </x:row>
    <x:row r="43">
      <x:c r="A43" t="str">
        <x:v>89cf9c17-8181-405b-a09b-30bc1fb5c7a7</x:v>
      </x:c>
      <x:c r="B43" t="str">
        <x:v>31c44dff-cdbf-4286-99ec-6dcf5a6faa41</x:v>
      </x:c>
      <x:c r="C43" s="9" t="str">
        <x:v>AA (Nigeria) v Secretary of State for the Home Department [2015] EWCA Civ 1183</x:v>
      </x:c>
      <x:c r="D43" s="9" t="str"/>
      <x:c r="E43" s="9" t="str"/>
      <x:c r="F43" s="13" t="str">
        <x:v>2015</x:v>
      </x:c>
      <x:c r="G43" s="9" t="str">
        <x:v>England and Wales Court of Appeal (Civil Division)</x:v>
      </x:c>
      <x:c r="H43" s="9" t="str">
        <x:v>Appellate</x:v>
      </x:c>
      <x:c r="I43" s="9" t="str">
        <x:v>England and Wales</x:v>
      </x:c>
      <x:c r="J43" s="9" t="str">
        <x:v>Immigration</x:v>
      </x:c>
      <x:c r="K43" s="9" t="str">
        <x:v>-ew-cases-EWCA-Civ-2015-1183.xml</x:v>
      </x:c>
      <x:c r="L43" s="9" t="str">
        <x:v>TBA</x:v>
      </x:c>
    </x:row>
    <x:row r="44">
      <x:c r="A44" t="str">
        <x:v>a10853d5-4e5d-4993-88af-35650a81138d</x:v>
      </x:c>
      <x:c r="B44" t="str">
        <x:v>1ed4938a-8018-45b9-bf99-465d1697ff0b</x:v>
      </x:c>
      <x:c r="C44" s="9" t="str">
        <x:v>AA (Poland) v Secretary of State for the Home Department [2016] EWCA Civ 620 (11 May 2016)</x:v>
      </x:c>
      <x:c r="D44" s="9" t="str"/>
      <x:c r="E44" s="9" t="str"/>
      <x:c r="F44" s="13" t="str">
        <x:v>2016</x:v>
      </x:c>
      <x:c r="G44" s="9" t="str">
        <x:v>England and Wales Court of Appeal (Civil Division)</x:v>
      </x:c>
      <x:c r="H44" s="9" t="str">
        <x:v>Court of Appeal (Civil Division)</x:v>
      </x:c>
      <x:c r="I44" s="9" t="str">
        <x:v>England and Wales</x:v>
      </x:c>
      <x:c r="J44" s="9" t="str">
        <x:v>Immigration/Deportation; Extradition</x:v>
      </x:c>
      <x:c r="K44" s="9" t="str">
        <x:v>-ew-cases-EWCA-Civ-2016-620.xml</x:v>
      </x:c>
      <x:c r="L44" s="9" t="str">
        <x:v>TBA</x:v>
      </x:c>
    </x:row>
    <x:row r="45">
      <x:c r="A45" t="str">
        <x:v>c2262c34-0ae6-4f6c-bbcb-83e4013f8c2a</x:v>
      </x:c>
      <x:c r="B45" t="str">
        <x:v>8c57e3df-06ed-49d1-8f6e-3c48c91df447</x:v>
      </x:c>
      <x:c r="C45" s="9" t="str">
        <x:v>AA (Somalia), R (On the Application Of) v Secretary of State for the Home Department [2016] EWCA Civ 167</x:v>
      </x:c>
      <x:c r="D45" s="9" t="str"/>
      <x:c r="E45" s="9" t="str"/>
      <x:c r="F45" s="13" t="str">
        <x:v>2016</x:v>
      </x:c>
      <x:c r="G45" s="9" t="str">
        <x:v>England and Wales Court of Appeal (Civil Division)</x:v>
      </x:c>
      <x:c r="H45" s="9" t="str">
        <x:v>Court of Appeal (Civil Division)</x:v>
      </x:c>
      <x:c r="I45" s="9" t="str">
        <x:v>England and Wales</x:v>
      </x:c>
      <x:c r="J45" s="9" t="str">
        <x:v>Judicial Review / Administrative Law - Immigration Detention</x:v>
      </x:c>
      <x:c r="K45" s="9" t="str">
        <x:v>-ew-cases-EWCA-Civ-2016-167.xml</x:v>
      </x:c>
      <x:c r="L45" s="9" t="str">
        <x:v>TBA</x:v>
      </x:c>
    </x:row>
    <x:row r="46">
      <x:c r="A46" t="str">
        <x:v>97230cbb-4b1a-42f1-b6aa-e42285664ed9</x:v>
      </x:c>
      <x:c r="B46" t="str">
        <x:v>b62f42d9-3a5d-4efc-ad00-c6608acf31ad</x:v>
      </x:c>
      <x:c r="C46" s="9" t="str">
        <x:v>AA (USA) v Secretary of State for the Home Department [2016] EWCA Civ 281</x:v>
      </x:c>
      <x:c r="D46" s="9" t="str"/>
      <x:c r="E46" s="9" t="str"/>
      <x:c r="F46" s="13" t="str">
        <x:v>2016</x:v>
      </x:c>
      <x:c r="G46" s="9" t="str">
        <x:v>England and Wales Court of Appeal (Civil Division)</x:v>
      </x:c>
      <x:c r="H46" s="9" t="str">
        <x:v>Court of Appeal (Civil Division)</x:v>
      </x:c>
      <x:c r="I46" s="9" t="str">
        <x:v>England and Wales</x:v>
      </x:c>
      <x:c r="J46" s="9" t="str">
        <x:v>Immigration</x:v>
      </x:c>
      <x:c r="K46" s="9" t="str">
        <x:v>-ew-cases-EWCA-Civ-2016-281.xml</x:v>
      </x:c>
      <x:c r="L46" s="9" t="str">
        <x:v>TBA</x:v>
      </x:c>
    </x:row>
    <x:row r="47">
      <x:c r="A47" t="str">
        <x:v>19681a7b-c4d3-4ff4-8a2e-7a07495315b0</x:v>
      </x:c>
      <x:c r="B47" t="str">
        <x:v>152de31f-78c5-4deb-ade8-0c09d78a8541</x:v>
      </x:c>
      <x:c r="C47" s="9" t="str">
        <x:v>AA &amp; Ors v BB &amp; Anor [2021] EWCA Civ 1017</x:v>
      </x:c>
      <x:c r="D47" s="9" t="str"/>
      <x:c r="E47" s="9" t="str"/>
      <x:c r="F47" s="13" t="str">
        <x:v>2021</x:v>
      </x:c>
      <x:c r="G47" s="9" t="str">
        <x:v>England and Wales Court of Appeal (Civil Division)</x:v>
      </x:c>
      <x:c r="H47" s="9" t="str">
        <x:v>Appellate</x:v>
      </x:c>
      <x:c r="I47" s="9" t="str">
        <x:v>England and Wales</x:v>
      </x:c>
      <x:c r="J47" s="9" t="str">
        <x:v>Civil Procedure</x:v>
      </x:c>
      <x:c r="K47" s="9" t="str">
        <x:v>ew-cases-EWCA-Civ-2021-1017.xml</x:v>
      </x:c>
      <x:c r="L47" s="9" t="str">
        <x:v>TBA</x:v>
      </x:c>
    </x:row>
    <x:row r="48">
      <x:c r="A48" t="str">
        <x:v>a4a4c8a0-aff6-404d-9072-36e80455785e</x:v>
      </x:c>
      <x:c r="B48" t="str">
        <x:v>f78142fc-13ea-4fb5-9a5e-1efbdc8d3c38</x:v>
      </x:c>
      <x:c r="C48" s="9" t="str">
        <x:v>AAA (Syria) &amp; Ors v Secretary of State for the Home Department [2023] EWCA Civ 266</x:v>
      </x:c>
      <x:c r="D48" s="9" t="str"/>
      <x:c r="E48" s="9" t="str"/>
      <x:c r="F48" s="13" t="str">
        <x:v>2023</x:v>
      </x:c>
      <x:c r="G48" s="9" t="str">
        <x:v>England and Wales Court of Appeal (Civil Division)</x:v>
      </x:c>
      <x:c r="H48" s="9" t="str">
        <x:v>Court of Appeal (Civil Division)</x:v>
      </x:c>
      <x:c r="I48" s="9" t="str">
        <x:v>England and Wales</x:v>
      </x:c>
      <x:c r="J48" s="9" t="str">
        <x:v>Administrative Law / Immigration &amp; Refugee Law</x:v>
      </x:c>
      <x:c r="K48" s="9" t="str">
        <x:v>ew-cases-EWCA-Civ-2023-266.xml</x:v>
      </x:c>
      <x:c r="L48" s="9" t="str">
        <x:v>TBA</x:v>
      </x:c>
    </x:row>
    <x:row r="49">
      <x:c r="A49" t="str">
        <x:v>9e6591e0-ee9a-495e-ae28-e64699eac2f0</x:v>
      </x:c>
      <x:c r="B49" t="str">
        <x:v>93aa71bf-bcf5-4349-a4fd-812e383de8c1</x:v>
      </x:c>
      <x:c r="C49" s="9" t="str">
        <x:v>AAA (Syria) &amp; Ors, R (On the Application Of) v Secretary of State for the Home Department [2023] EWCA Civ 745</x:v>
      </x:c>
      <x:c r="D49" s="9" t="str"/>
      <x:c r="E49" s="9" t="str"/>
      <x:c r="F49" s="13" t="str">
        <x:v>2023</x:v>
      </x:c>
      <x:c r="G49" s="9" t="str">
        <x:v>England and Wales Court of Appeal (Civil Division)</x:v>
      </x:c>
      <x:c r="H49" s="9" t="str">
        <x:v>Court of Appeal (Civil Division)</x:v>
      </x:c>
      <x:c r="I49" s="9" t="str">
        <x:v>England and Wales</x:v>
      </x:c>
      <x:c r="J49" s="9" t="str">
        <x:v>Immigration and Refugee Law (Public Law)</x:v>
      </x:c>
      <x:c r="K49" s="9" t="str">
        <x:v>ew-cases-EWCA-Civ-2023-745.xml</x:v>
      </x:c>
      <x:c r="L49" s="9" t="str">
        <x:v>TBA</x:v>
      </x:c>
    </x:row>
    <x:row r="50">
      <x:c r="A50" t="str">
        <x:v>55b49cb0-0c09-4f67-9b45-f0e6e2c6a31b</x:v>
      </x:c>
      <x:c r="B50" t="str">
        <x:v>a2f8a9c1-146b-4f6c-9d33-4a6ae32664d5</x:v>
      </x:c>
      <x:c r="C50" s="9" t="str">
        <x:v>AAA &amp; Anor v CCC [2022] EWCA Civ 479</x:v>
      </x:c>
      <x:c r="D50" s="9" t="str"/>
      <x:c r="E50" s="9" t="str"/>
      <x:c r="F50" s="13" t="str">
        <x:v>2022</x:v>
      </x:c>
      <x:c r="G50" s="9" t="str">
        <x:v>England and Wales Court of Appeal (Civil Division)</x:v>
      </x:c>
      <x:c r="H50" s="9" t="str">
        <x:v>Court of Appeal (Civil Division)</x:v>
      </x:c>
      <x:c r="I50" s="9" t="str">
        <x:v>England and Wales</x:v>
      </x:c>
      <x:c r="J50" s="9" t="str">
        <x:v>Civil Contempt / Appellate Review</x:v>
      </x:c>
      <x:c r="K50" s="9" t="str">
        <x:v>ew-cases-EWCA-Civ-2022-479.xml</x:v>
      </x:c>
      <x:c r="L50" s="9" t="str">
        <x:v>TBA</x:v>
      </x:c>
    </x:row>
    <x:row r="51">
      <x:c r="A51" t="str">
        <x:v>1b45fffb-d357-45ba-8bd5-a8e6cc35e969</x:v>
      </x:c>
      <x:c r="B51" t="str">
        <x:v>c857497a-43c4-49ce-9abe-ccdfe82e0bea</x:v>
      </x:c>
      <x:c r="C51" s="9" t="str">
        <x:v>AB v CD [2014] EWCA Civ 229</x:v>
      </x:c>
      <x:c r="D51" s="9" t="str"/>
      <x:c r="E51" s="9" t="str"/>
      <x:c r="F51" s="13" t="str">
        <x:v>2014</x:v>
      </x:c>
      <x:c r="G51" s="9" t="str">
        <x:v>England and Wales Court of Appeal (Civil Division)</x:v>
      </x:c>
      <x:c r="H51" s="9" t="str">
        <x:v>Appellate</x:v>
      </x:c>
      <x:c r="I51" s="9" t="str">
        <x:v>England and Wales</x:v>
      </x:c>
      <x:c r="J51" s="9" t="str">
        <x:v>Contract Dispute</x:v>
      </x:c>
      <x:c r="K51" s="9" t="str">
        <x:v>-ew-cases-EWCA-Civ-2014-229.xml</x:v>
      </x:c>
      <x:c r="L51" s="9" t="str">
        <x:v>TBA</x:v>
      </x:c>
    </x:row>
    <x:row r="52">
      <x:c r="A52" t="str">
        <x:v>b8f69700-8a08-4af3-81c4-94778aafd0f9</x:v>
      </x:c>
      <x:c r="B52" t="str">
        <x:v>70900dc9-438b-463e-9cca-987817dd080c</x:v>
      </x:c>
      <x:c r="C52" s="9" t="str">
        <x:v>AB v Worcestershire County Council &amp; Anor (Rev1) [2023] EWCA Civ 529</x:v>
      </x:c>
      <x:c r="D52" s="9" t="str"/>
      <x:c r="E52" s="9" t="str"/>
      <x:c r="F52" s="13" t="str">
        <x:v>2023</x:v>
      </x:c>
      <x:c r="G52" s="9" t="str">
        <x:v>England and Wales Court of Appeal (Civil Division)</x:v>
      </x:c>
      <x:c r="H52" s="9" t="str">
        <x:v>Court of Appeal (Civil Division)</x:v>
      </x:c>
      <x:c r="I52" s="9" t="str">
        <x:v>England and Wales</x:v>
      </x:c>
      <x:c r="J52" s="9" t="str">
        <x:v>Public Law / Human Rights</x:v>
      </x:c>
      <x:c r="K52" s="9" t="str">
        <x:v>ew-cases-EWCA-Civ-2023-529.xml</x:v>
      </x:c>
      <x:c r="L52" s="9" t="str">
        <x:v>TBA</x:v>
      </x:c>
    </x:row>
    <x:row r="53">
      <x:c r="A53" t="str">
        <x:v>f09f6a93-a5fc-48bf-9977-c3b9465e9e4a</x:v>
      </x:c>
      <x:c r="B53" t="str">
        <x:v>7f550baa-4c5b-40df-b47f-62be212502d8</x:v>
      </x:c>
      <x:c r="C53" s="9" t="str">
        <x:v>Abbasi &amp; Anor v Newcastle Upon Tyne Hospitals NHS Foundation Trust [2023] EWCA Civ 331</x:v>
      </x:c>
      <x:c r="D53" s="9" t="str"/>
      <x:c r="E53" s="9" t="str"/>
      <x:c r="F53" s="13" t="str">
        <x:v>2023</x:v>
      </x:c>
      <x:c r="G53" s="9" t="str">
        <x:v>England and Wales Court of Appeal (Civil Division)</x:v>
      </x:c>
      <x:c r="H53" s="9" t="str">
        <x:v>Court of Appeal (Civil Division)</x:v>
      </x:c>
      <x:c r="I53" s="9" t="str">
        <x:v>England and Wales</x:v>
      </x:c>
      <x:c r="J53" s="9" t="str">
        <x:v>Civil Appeal; Family Law; Human Rights</x:v>
      </x:c>
      <x:c r="K53" s="9" t="str">
        <x:v>ew-cases-EWCA-Civ-2023-331.xml</x:v>
      </x:c>
      <x:c r="L53" s="9" t="str">
        <x:v>TBA</x:v>
      </x:c>
    </x:row>
    <x:row r="54">
      <x:c r="A54" t="str">
        <x:v>4a3e0f3a-0936-4339-9b97-240956f78b6a</x:v>
      </x:c>
      <x:c r="B54" t="str">
        <x:v>e5147382-cef2-4a73-86ec-1d4ec8dc076b</x:v>
      </x:c>
      <x:c r="C54" s="9" t="str">
        <x:v>Abbey Healthcare (Mill Hill) Limited v Simply Construct (UK) LLP [2022] EWCA Civ 823</x:v>
      </x:c>
      <x:c r="D54" s="9" t="str"/>
      <x:c r="E54" s="9" t="str"/>
      <x:c r="F54" s="13" t="str">
        <x:v>2022</x:v>
      </x:c>
      <x:c r="G54" s="9" t="str">
        <x:v>England and Wales Court of Appeal (Civil Division)</x:v>
      </x:c>
      <x:c r="H54" s="9" t="str">
        <x:v>Court of Appeal (Civil Division)</x:v>
      </x:c>
      <x:c r="I54" s="9" t="str">
        <x:v>England and Wales</x:v>
      </x:c>
      <x:c r="J54" s="9" t="str">
        <x:v>Contract/Construction Law</x:v>
      </x:c>
      <x:c r="K54" s="9" t="str">
        <x:v>ew-cases-EWCA-Civ-2022-823.xml</x:v>
      </x:c>
      <x:c r="L54" s="9" t="str">
        <x:v>TBA</x:v>
      </x:c>
    </x:row>
    <x:row r="55">
      <x:c r="A55" t="str">
        <x:v>595c8e84-3a29-46c9-bd20-c981c4f39b6e</x:v>
      </x:c>
      <x:c r="B55" t="str">
        <x:v>b36c4a54-f997-4715-a427-d3f02706ed66</x:v>
      </x:c>
      <x:c r="C55" s="9" t="str">
        <x:v>ABC Ltd &amp; Anor v HM Revenue and Customs [2017] EWCA Civ 956</x:v>
      </x:c>
      <x:c r="D55" s="9" t="str"/>
      <x:c r="E55" s="9" t="str"/>
      <x:c r="F55" s="13" t="str">
        <x:v>2017</x:v>
      </x:c>
      <x:c r="G55" s="9" t="str">
        <x:v>England and Wales Court of Appeal (Civil Division)</x:v>
      </x:c>
      <x:c r="H55" s="9" t="str">
        <x:v>Appellate</x:v>
      </x:c>
      <x:c r="I55" s="9" t="str">
        <x:v>England and Wales</x:v>
      </x:c>
      <x:c r="J55" s="9" t="str">
        <x:v>Administrative Law</x:v>
      </x:c>
      <x:c r="K55" s="9" t="str">
        <x:v>-ew-cases-EWCA-Civ-2017-956.xml</x:v>
      </x:c>
      <x:c r="L55" s="9" t="str">
        <x:v>TBA</x:v>
      </x:c>
    </x:row>
    <x:row r="56">
      <x:c r="A56" t="str">
        <x:v>f9f12fdd-5ebb-4904-9444-a9b33fe6b817</x:v>
      </x:c>
      <x:c r="B56" t="str">
        <x:v>0f1ab225-fb8e-4ce0-a51e-1bedfdb749a0</x:v>
      </x:c>
      <x:c r="C56" s="9" t="str">
        <x:v>ABC v St George's Healthcare NHS Trust &amp; Ors [2017] EWCA Civ 336</x:v>
      </x:c>
      <x:c r="D56" s="9" t="str"/>
      <x:c r="E56" s="9" t="str"/>
      <x:c r="F56" s="13" t="str">
        <x:v>2017</x:v>
      </x:c>
      <x:c r="G56" s="9" t="str">
        <x:v>England and Wales Court of Appeal (Civil Division)</x:v>
      </x:c>
      <x:c r="H56" s="9" t="str">
        <x:v>Appellate</x:v>
      </x:c>
      <x:c r="I56" s="9" t="str">
        <x:v>England and Wales</x:v>
      </x:c>
      <x:c r="J56" s="9" t="str">
        <x:v>Medical Negligence</x:v>
      </x:c>
      <x:c r="K56" s="9" t="str">
        <x:v>-ew-cases-EWCA-Civ-2017-336.xml</x:v>
      </x:c>
      <x:c r="L56" s="9" t="str">
        <x:v>TBA</x:v>
      </x:c>
    </x:row>
    <x:row r="57">
      <x:c r="A57" t="str">
        <x:v>4503799e-71d8-40ae-9abe-e409776f6c85</x:v>
      </x:c>
      <x:c r="B57" t="str">
        <x:v>3b56f922-9884-43fd-9704-884f90c524db</x:v>
      </x:c>
      <x:c r="C57" s="9" t="str">
        <x:v>Abdel-Khalek v Ali [2016] EWCA Civ 80</x:v>
      </x:c>
      <x:c r="D57" s="9" t="str"/>
      <x:c r="E57" s="9" t="str"/>
      <x:c r="F57" s="13" t="str">
        <x:v>2016</x:v>
      </x:c>
      <x:c r="G57" s="9" t="str">
        <x:v>England and Wales Court of Appeal (Civil Division)</x:v>
      </x:c>
      <x:c r="H57" s="9" t="str">
        <x:v>Court of Appeal (Civil Division)</x:v>
      </x:c>
      <x:c r="I57" s="9" t="str">
        <x:v>England and Wales</x:v>
      </x:c>
      <x:c r="J57" s="9" t="str">
        <x:v>Tort / Professional Negligence</x:v>
      </x:c>
      <x:c r="K57" s="9" t="str">
        <x:v>-ew-cases-EWCA-Civ-2016-80.xml</x:v>
      </x:c>
      <x:c r="L57" s="9" t="str">
        <x:v>TBA</x:v>
      </x:c>
    </x:row>
    <x:row r="58">
      <x:c r="A58" t="str">
        <x:v>60e8d61b-c0ac-4a10-a780-b5e24700cfc3</x:v>
      </x:c>
      <x:c r="B58" t="str">
        <x:v>689ed181-d23f-464c-84fd-8062c9c9b312</x:v>
      </x:c>
      <x:c r="C58" s="9" t="str">
        <x:v>Abdikadir v London Borough of Ealing [2022] EWCA Civ 979</x:v>
      </x:c>
      <x:c r="D58" s="9" t="str"/>
      <x:c r="E58" s="9" t="str"/>
      <x:c r="F58" s="13" t="str">
        <x:v>2022</x:v>
      </x:c>
      <x:c r="G58" s="9" t="str">
        <x:v>England and Wales Court of Appeal (Civil Division)</x:v>
      </x:c>
      <x:c r="H58" s="9" t="str">
        <x:v>Court of Appeal (Civil Division)</x:v>
      </x:c>
      <x:c r="I58" s="9" t="str">
        <x:v>England and Wales</x:v>
      </x:c>
      <x:c r="J58" s="9" t="str">
        <x:v>Public Law / Housing Law</x:v>
      </x:c>
      <x:c r="K58" s="9" t="str">
        <x:v>ew-cases-EWCA-Civ-2022-979.xml</x:v>
      </x:c>
      <x:c r="L58" s="9" t="str">
        <x:v>TBA</x:v>
      </x:c>
    </x:row>
    <x:row r="59">
      <x:c r="A59" t="str">
        <x:v>58eeb1e4-3bfb-4951-8e55-fd377282a667</x:v>
      </x:c>
      <x:c r="B59" t="str">
        <x:v>57d5bf6b-b5e4-4a29-8fe8-fc6caf7108e9</x:v>
      </x:c>
      <x:c r="C59" s="9" t="str">
        <x:v>Abedin, R (On the Application Of) v Secretary of State for the Home Department [2016] EWCA Civ 296 (10 March 2016)</x:v>
      </x:c>
      <x:c r="D59" s="9" t="str"/>
      <x:c r="E59" s="9" t="str"/>
      <x:c r="F59" s="13" t="str">
        <x:v>2016</x:v>
      </x:c>
      <x:c r="G59" s="9" t="str">
        <x:v>England and Wales Court of Appeal (Civil Division)</x:v>
      </x:c>
      <x:c r="H59" s="9" t="str">
        <x:v>Court of Appeal (Civil Division)</x:v>
      </x:c>
      <x:c r="I59" s="9" t="str">
        <x:v>England and Wales</x:v>
      </x:c>
      <x:c r="J59" s="9" t="str">
        <x:v>Criminal Law and Human Rights (Administrative Law / Appeals)</x:v>
      </x:c>
      <x:c r="K59" s="9" t="str">
        <x:v>-ew-cases-EWCA-Civ-2016-296.xml</x:v>
      </x:c>
      <x:c r="L59" s="9" t="str">
        <x:v>TBA</x:v>
      </x:c>
    </x:row>
    <x:row r="60">
      <x:c r="A60" t="str">
        <x:v>5840856d-a1c7-4322-8407-1eadc5bdfae5</x:v>
      </x:c>
      <x:c r="B60" t="str">
        <x:v>b002b64c-22e2-4756-8c69-ad71ea0e111b</x:v>
      </x:c>
      <x:c r="C60" s="9" t="str">
        <x:v>ABN AMRO Bank N.V. v Royal &amp; Sun Alliance Insurance Plc &amp; Ors</x:v>
      </x:c>
      <x:c r="D60" s="9" t="str"/>
      <x:c r="E60" s="9" t="str"/>
      <x:c r="F60" s="13" t="str">
        <x:v>2021</x:v>
      </x:c>
      <x:c r="G60" s="9" t="str">
        <x:v>England and Wales Court of Appeal (Civil Division)</x:v>
      </x:c>
      <x:c r="H60" s="9" t="str">
        <x:v>Appellate</x:v>
      </x:c>
      <x:c r="I60" s="9" t="str">
        <x:v>England</x:v>
      </x:c>
      <x:c r="J60" s="9" t="str">
        <x:v>Insurance</x:v>
      </x:c>
      <x:c r="K60" s="9" t="str">
        <x:v>ew-cases-EWCA-Civ-2021-1789.xml</x:v>
      </x:c>
      <x:c r="L60" s="9" t="str">
        <x:v>TBA</x:v>
      </x:c>
    </x:row>
    <x:row r="61">
      <x:c r="A61" t="str">
        <x:v>49d7fd65-fca0-4cbd-8532-54e2de3e6c36</x:v>
      </x:c>
      <x:c r="B61" t="str">
        <x:v>defe3a0c-19e9-4e4d-bc91-6d86170121ca</x:v>
      </x:c>
      <x:c r="C61" s="9" t="str">
        <x:v>ABP Technology Limited v Voyetra Turtle Beach Inc &amp; Anor [2022] EWCA Civ 594</x:v>
      </x:c>
      <x:c r="D61" s="9" t="str"/>
      <x:c r="E61" s="9" t="str"/>
      <x:c r="F61" s="13" t="str">
        <x:v>2022</x:v>
      </x:c>
      <x:c r="G61" s="9" t="str">
        <x:v>England and Wales Court of Appeal (Civil Division)</x:v>
      </x:c>
      <x:c r="H61" s="9" t="str">
        <x:v>Court of Appeal (Civil Division)</x:v>
      </x:c>
      <x:c r="I61" s="9" t="str">
        <x:v>England and Wales</x:v>
      </x:c>
      <x:c r="J61" s="9" t="str">
        <x:v>Civil Procedure and Intellectual Property</x:v>
      </x:c>
      <x:c r="K61" s="9" t="str">
        <x:v>ew-cases-EWCA-Civ-2022-594.xml</x:v>
      </x:c>
      <x:c r="L61" s="9" t="str">
        <x:v>TBA</x:v>
      </x:c>
    </x:row>
    <x:row r="62">
      <x:c r="A62" t="str">
        <x:v>74f0dafc-a890-4467-a443-8299c3d2d1d6</x:v>
      </x:c>
      <x:c r="B62" t="str">
        <x:v>46bc7af1-4ca5-4f98-a368-9e30ec4fa6a7</x:v>
      </x:c>
      <x:c r="C62" s="9" t="str">
        <x:v>Aburn v Aburn [2016] EWCA Civ 72</x:v>
      </x:c>
      <x:c r="D62" s="9" t="str"/>
      <x:c r="E62" s="9" t="str"/>
      <x:c r="F62" s="13" t="str">
        <x:v>2016</x:v>
      </x:c>
      <x:c r="G62" s="9" t="str">
        <x:v>England and Wales Court of Appeal (Civil Division)</x:v>
      </x:c>
      <x:c r="H62" s="9" t="str">
        <x:v>Court of Appeal (Civil Division)</x:v>
      </x:c>
      <x:c r="I62" s="9" t="str">
        <x:v>England and Wales</x:v>
      </x:c>
      <x:c r="J62" s="9" t="str">
        <x:v>Family Law</x:v>
      </x:c>
      <x:c r="K62" s="9" t="str">
        <x:v>-ew-cases-EWCA-Civ-2016-72.xml</x:v>
      </x:c>
      <x:c r="L62" s="9" t="str">
        <x:v>TBA</x:v>
      </x:c>
    </x:row>
    <x:row r="63">
      <x:c r="A63" t="str">
        <x:v>38ec3302-9cd0-4a34-808c-488315327388</x:v>
      </x:c>
      <x:c r="B63" t="str">
        <x:v>82409dfe-c7ad-414c-a9bc-977925d6f33e</x:v>
      </x:c>
      <x:c r="C63" s="9" t="str">
        <x:v>Accg &amp; Anor v MN [2014] EWCA Civ 1176</x:v>
      </x:c>
      <x:c r="D63" s="9" t="str"/>
      <x:c r="E63" s="9" t="str"/>
      <x:c r="F63" s="13" t="str">
        <x:v>2014</x:v>
      </x:c>
      <x:c r="G63" s="9" t="str">
        <x:v>England and Wales Court of Appeal (Civil Division)</x:v>
      </x:c>
      <x:c r="H63" s="9" t="str">
        <x:v>appellate</x:v>
      </x:c>
      <x:c r="I63" s="9" t="str">
        <x:v>England and Wales</x:v>
      </x:c>
      <x:c r="J63" s="9" t="str">
        <x:v>Family Law</x:v>
      </x:c>
      <x:c r="K63" s="9" t="str">
        <x:v>-ew-cases-EWCA-Civ-2014-1176.xml</x:v>
      </x:c>
      <x:c r="L63" s="9" t="str">
        <x:v>TBA</x:v>
      </x:c>
    </x:row>
    <x:row r="64">
      <x:c r="A64" t="str">
        <x:v>209a5ef7-7e8f-4b4f-9493-d9eda33f32cd</x:v>
      </x:c>
      <x:c r="B64" t="str">
        <x:v>85b51c5d-205e-4ec0-b1fa-2e6b31537ac0</x:v>
      </x:c>
      <x:c r="C64" s="9" t="str">
        <x:v>Achille v Lawn Tennis Association Services Limited [2022] EWCA Civ 1407</x:v>
      </x:c>
      <x:c r="D64" s="9" t="str"/>
      <x:c r="E64" s="9" t="str"/>
      <x:c r="F64" s="13" t="str">
        <x:v>2022</x:v>
      </x:c>
      <x:c r="G64" s="9" t="str">
        <x:v>England and Wales Court of Appeal (Civil Division)</x:v>
      </x:c>
      <x:c r="H64" s="9" t="str">
        <x:v>Court of Appeal (Civil Division)</x:v>
      </x:c>
      <x:c r="I64" s="9" t="str">
        <x:v>England and Wales</x:v>
      </x:c>
      <x:c r="J64" s="9" t="str">
        <x:v>Civil Procedure; Costs; Personal Injury</x:v>
      </x:c>
      <x:c r="K64" s="9" t="str">
        <x:v>ew-cases-EWCA-Civ-2022-1407.xml</x:v>
      </x:c>
      <x:c r="L64" s="9" t="str">
        <x:v>TBA</x:v>
      </x:c>
    </x:row>
    <x:row r="65">
      <x:c r="A65" t="str">
        <x:v>d8baa5f1-08aa-43ec-8573-06e24337997d</x:v>
      </x:c>
      <x:c r="B65" t="str">
        <x:v>8400e09a-4f07-4593-a124-f177bf2d39e5</x:v>
      </x:c>
      <x:c r="C65" s="9" t="str">
        <x:v>Actavis Group PTC EHF &amp; Anor v Teva UK Ltd &amp; Ors [2017] EWCA Civ 1671</x:v>
      </x:c>
      <x:c r="D65" s="9" t="str"/>
      <x:c r="E65" s="9" t="str"/>
      <x:c r="F65" s="13" t="str">
        <x:v>2017</x:v>
      </x:c>
      <x:c r="G65" s="9" t="str">
        <x:v>England and Wales Court of Appeal (Civil Division)</x:v>
      </x:c>
      <x:c r="H65" s="9" t="str">
        <x:v>Appellate</x:v>
      </x:c>
      <x:c r="I65" s="9" t="str">
        <x:v>England and Wales</x:v>
      </x:c>
      <x:c r="J65" s="9" t="str">
        <x:v>Patent Law</x:v>
      </x:c>
      <x:c r="K65" s="9" t="str">
        <x:v>-ew-cases-EWCA-Civ-2017-1671.xml</x:v>
      </x:c>
      <x:c r="L65" s="9" t="str">
        <x:v>TBA</x:v>
      </x:c>
    </x:row>
    <x:row r="66">
      <x:c r="A66" t="str">
        <x:v>38f7a4fa-a02c-45a8-9d09-908f703d5eab</x:v>
      </x:c>
      <x:c r="B66" t="str">
        <x:v>1a7625cd-60c9-4487-a9b3-c1090d738669</x:v>
      </x:c>
      <x:c r="C66" s="9" t="str">
        <x:v>Actavis UK Ltd &amp; Ors v Eli Lilly &amp; Company</x:v>
      </x:c>
      <x:c r="D66" s="9" t="str"/>
      <x:c r="E66" s="9" t="str"/>
      <x:c r="F66" s="13" t="str">
        <x:v>2015</x:v>
      </x:c>
      <x:c r="G66" s="9" t="str">
        <x:v>England and Wales Court of Appeal (Civil Division)</x:v>
      </x:c>
      <x:c r="H66" s="9" t="str">
        <x:v>Court of Appeal</x:v>
      </x:c>
      <x:c r="I66" s="9" t="str">
        <x:v>England and Wales</x:v>
      </x:c>
      <x:c r="J66" s="9" t="str">
        <x:v>Intellectual Property Law</x:v>
      </x:c>
      <x:c r="K66" s="9" t="str">
        <x:v>-ew-cases-EWCA-Civ-2015-666.xml</x:v>
      </x:c>
      <x:c r="L66" s="9" t="str">
        <x:v>TBA</x:v>
      </x:c>
    </x:row>
    <x:row r="67">
      <x:c r="A67" t="str">
        <x:v>aa8af36c-b855-46a6-82b3-2ab85d00a5b2</x:v>
      </x:c>
      <x:c r="B67" t="str">
        <x:v>a18d4ebd-350f-4ee3-80d9-23d37b4163e1</x:v>
      </x:c>
      <x:c r="C67" s="9" t="str">
        <x:v>Actavis UK Ltd &amp; Ors v Eli Lilly &amp; Company [2015] EWCA Civ 555</x:v>
      </x:c>
      <x:c r="D67" s="9" t="str"/>
      <x:c r="E67" s="9" t="str"/>
      <x:c r="F67" s="13" t="str">
        <x:v>2015</x:v>
      </x:c>
      <x:c r="G67" s="9" t="str">
        <x:v>England and Wales Court of Appeal (Civil Division)</x:v>
      </x:c>
      <x:c r="H67" s="9" t="str">
        <x:v>Appellate</x:v>
      </x:c>
      <x:c r="I67" s="9" t="str">
        <x:v>England and Wales</x:v>
      </x:c>
      <x:c r="J67" s="9" t="str">
        <x:v>Patent Law</x:v>
      </x:c>
      <x:c r="K67" s="9" t="str">
        <x:v>-ew-cases-EWCA-Civ-2015-555.xml</x:v>
      </x:c>
      <x:c r="L67" s="9" t="str">
        <x:v>TBA</x:v>
      </x:c>
    </x:row>
    <x:row r="68">
      <x:c r="A68" t="str">
        <x:v>2dd41698-018f-4fcd-a2b1-aa1b5707f39b</x:v>
      </x:c>
      <x:c r="B68" t="str">
        <x:v>f89d1ff4-6b09-41b4-8765-edb755cbcc8d</x:v>
      </x:c>
      <x:c r="C68" s="9" t="str">
        <x:v>Actial Farmaceutica LDA v De Simone [2015] EWCA Civ 1032</x:v>
      </x:c>
      <x:c r="D68" s="9" t="str"/>
      <x:c r="E68" s="9" t="str"/>
      <x:c r="F68" s="13" t="str">
        <x:v>2015</x:v>
      </x:c>
      <x:c r="G68" s="9" t="str">
        <x:v>England and Wales Court of Appeal (Civil Division)</x:v>
      </x:c>
      <x:c r="H68" s="9" t="str">
        <x:v>Appellate</x:v>
      </x:c>
      <x:c r="I68" s="9" t="str">
        <x:v>England and Wales</x:v>
      </x:c>
      <x:c r="J68" s="9" t="str">
        <x:v>Civil Appeal</x:v>
      </x:c>
      <x:c r="K68" s="9" t="str">
        <x:v>-ew-cases-EWCA-Civ-2015-1032.xml</x:v>
      </x:c>
      <x:c r="L68" s="9" t="str">
        <x:v>TBA</x:v>
      </x:c>
    </x:row>
    <x:row r="69">
      <x:c r="A69" t="str">
        <x:v>e937310d-a357-42ac-a441-7bd82e3a54a9</x:v>
      </x:c>
      <x:c r="B69" t="str">
        <x:v>25a3519b-2f03-4c0c-88d6-44b28732be13</x:v>
      </x:c>
      <x:c r="C69" s="9" t="str">
        <x:v>Actial Farmaceutica LDA v Professor De Simone &amp; Ors [2016] EWCA Civ 1311 (21 December 2016)</x:v>
      </x:c>
      <x:c r="D69" s="9" t="str"/>
      <x:c r="E69" s="9" t="str"/>
      <x:c r="F69" s="13" t="str">
        <x:v>2016</x:v>
      </x:c>
      <x:c r="G69" s="9" t="str">
        <x:v>England and Wales Court of Appeal (Civil Division)</x:v>
      </x:c>
      <x:c r="H69" s="9" t="str">
        <x:v>Court of Appeal (Civil Division)</x:v>
      </x:c>
      <x:c r="I69" s="9" t="str">
        <x:v>England and Wales (UK) with principles of EC law applied to cross-border torts</x:v>
      </x:c>
      <x:c r="J69" s="9" t="str">
        <x:v>Private International Law; International jurisdiction; Tort; Cross-border commercial dispute</x:v>
      </x:c>
      <x:c r="K69" s="9" t="str">
        <x:v>-ew-cases-EWCA-Civ-2016-1311.xml</x:v>
      </x:c>
      <x:c r="L69" s="9" t="str">
        <x:v>TBA</x:v>
      </x:c>
    </x:row>
    <x:row r="70">
      <x:c r="A70" t="str">
        <x:v>94e75f01-dac1-41c0-850e-11d0cc176820</x:v>
      </x:c>
      <x:c r="B70" t="str">
        <x:v>d3e2eef5-822c-46c1-8626-378f1f494b3e</x:v>
      </x:c>
      <x:c r="C70" s="9" t="str">
        <x:v>AD (Nigeria) v Secretary of State for the Home Department</x:v>
      </x:c>
      <x:c r="D70" s="9" t="str"/>
      <x:c r="E70" s="9" t="str"/>
      <x:c r="F70" s="13" t="str">
        <x:v>2015</x:v>
      </x:c>
      <x:c r="G70" s="9" t="str">
        <x:v>England and Wales Court of Appeal (Civil Division)</x:v>
      </x:c>
      <x:c r="H70" s="9" t="str">
        <x:v>Appellate</x:v>
      </x:c>
      <x:c r="I70" s="9" t="str">
        <x:v>England and Wales</x:v>
      </x:c>
      <x:c r="J70" s="9" t="str">
        <x:v>Immigration Law</x:v>
      </x:c>
      <x:c r="K70" s="9" t="str">
        <x:v>-ew-cases-EWCA-Civ-2015-849.xml</x:v>
      </x:c>
      <x:c r="L70" s="9" t="str">
        <x:v>TBA</x:v>
      </x:c>
    </x:row>
    <x:row r="71">
      <x:c r="A71" t="str">
        <x:v>ca96d0e5-ecc0-4a84-8de8-19b87c0a6f69</x:v>
      </x:c>
      <x:c r="B71" t="str">
        <x:v>471c73d6-c251-4582-a791-6e2b5d7108ea</x:v>
      </x:c>
      <x:c r="C71" s="9" t="str">
        <x:v>AD (Pakistan) v Secretary of State for the Home Department [2016] EWCA Civ 313 — Court of Appeal on Article 8 proportionality and permission to appeal (immigration)</x:v>
      </x:c>
      <x:c r="D71" s="9" t="str"/>
      <x:c r="E71" s="9" t="str"/>
      <x:c r="F71" s="13" t="str">
        <x:v>2016</x:v>
      </x:c>
      <x:c r="G71" s="9" t="str">
        <x:v>England and Wales Court of Appeal (Civil Division)</x:v>
      </x:c>
      <x:c r="H71" s="9" t="str">
        <x:v>Court of Appeal (Civil Division)</x:v>
      </x:c>
      <x:c r="I71" s="9" t="str">
        <x:v>England and Wales</x:v>
      </x:c>
      <x:c r="J71" s="9" t="str">
        <x:v>Immigration Law</x:v>
      </x:c>
      <x:c r="K71" s="9" t="str">
        <x:v>-ew-cases-EWCA-Civ-2016-313.xml</x:v>
      </x:c>
      <x:c r="L71" s="9" t="str">
        <x:v>TBA</x:v>
      </x:c>
    </x:row>
    <x:row r="72">
      <x:c r="A72" t="str">
        <x:v>67d219e3-c698-4f9b-95c4-a3fbf538bfbb</x:v>
      </x:c>
      <x:c r="B72" t="str">
        <x:v>d0984773-d759-4b5e-a80c-42467780a9cb</x:v>
      </x:c>
      <x:c r="C72" s="9" t="str">
        <x:v>ADA (Children: Care and Placement Orders) [2023] EWCA Civ 743</x:v>
      </x:c>
      <x:c r="D72" s="9" t="str"/>
      <x:c r="E72" s="9" t="str"/>
      <x:c r="F72" s="13" t="str">
        <x:v>2023</x:v>
      </x:c>
      <x:c r="G72" s="9" t="str">
        <x:v>England and Wales Court of Appeal (Civil Division)</x:v>
      </x:c>
      <x:c r="H72" s="9" t="str">
        <x:v>Court of Appeal (Civil Division)</x:v>
      </x:c>
      <x:c r="I72" s="9" t="str">
        <x:v>England and Wales</x:v>
      </x:c>
      <x:c r="J72" s="9" t="str">
        <x:v>Care Proceedings - Adoption</x:v>
      </x:c>
      <x:c r="K72" s="9" t="str">
        <x:v>ew-cases-EWCA-Civ-2023-743.xml</x:v>
      </x:c>
      <x:c r="L72" s="9" t="str">
        <x:v>TBA</x:v>
      </x:c>
    </x:row>
    <x:row r="73">
      <x:c r="A73" t="str">
        <x:v>1bdb2c72-bd82-4349-9f78-546f64135bd9</x:v>
      </x:c>
      <x:c r="B73" t="str">
        <x:v>fdf47c09-fea8-46f8-b001-93b6fa08790b</x:v>
      </x:c>
      <x:c r="C73" s="9" t="str">
        <x:v>AdActive Media Inc v Ingrouille [2021] EWCA Civ 313</x:v>
      </x:c>
      <x:c r="D73" s="9" t="str"/>
      <x:c r="E73" s="9" t="str"/>
      <x:c r="F73" s="13" t="str">
        <x:v>2021</x:v>
      </x:c>
      <x:c r="G73" s="9" t="str">
        <x:v>England and Wales Court of Appeal (Civil Division)</x:v>
      </x:c>
      <x:c r="H73" s="9" t="str">
        <x:v>Appellate</x:v>
      </x:c>
      <x:c r="I73" s="9" t="str">
        <x:v>England and Wales</x:v>
      </x:c>
      <x:c r="J73" s="9" t="str">
        <x:v>Contract Dispute</x:v>
      </x:c>
      <x:c r="K73" s="9" t="str">
        <x:v>ew-cases-EWCA-Civ-2021-313.xml</x:v>
      </x:c>
      <x:c r="L73" s="9" t="str">
        <x:v>TBA</x:v>
      </x:c>
    </x:row>
    <x:row r="74">
      <x:c r="A74" t="str">
        <x:v>0ab6e5d3-f8d9-46a1-a0b0-e075c63bdf2a</x:v>
      </x:c>
      <x:c r="B74" t="str">
        <x:v>b1713859-2d35-4fdd-aaf6-87e1004e2d7e</x:v>
      </x:c>
      <x:c r="C74" s="9" t="str">
        <x:v>Adam Architecture Ltd v Halsbury Homes Ltd [2017] EWCA Civ 1735</x:v>
      </x:c>
      <x:c r="D74" s="9" t="str"/>
      <x:c r="E74" s="9" t="str"/>
      <x:c r="F74" s="13" t="str">
        <x:v>2017</x:v>
      </x:c>
      <x:c r="G74" s="9" t="str">
        <x:v>England and Wales Court of Appeal (Civil Division)</x:v>
      </x:c>
      <x:c r="H74" s="9" t="str">
        <x:v>Appellate</x:v>
      </x:c>
      <x:c r="I74" s="9" t="str">
        <x:v>England and Wales</x:v>
      </x:c>
      <x:c r="J74" s="9" t="str">
        <x:v>Construction Law</x:v>
      </x:c>
      <x:c r="K74" s="9" t="str">
        <x:v>-ew-cases-EWCA-Civ-2017-1735.xml</x:v>
      </x:c>
      <x:c r="L74" s="9" t="str">
        <x:v>TBA</x:v>
      </x:c>
    </x:row>
    <x:row r="75">
      <x:c r="A75" t="str">
        <x:v>04b1202c-6de8-4c73-b9be-1e92fcfa0baa</x:v>
      </x:c>
      <x:c r="B75" t="str">
        <x:v>52f7beb2-382d-4da7-8f2f-bb8de337987e</x:v>
      </x:c>
      <x:c r="C75" s="9" t="str">
        <x:v>Adam v London Borough Of Waltham Forest [2016] EWCA Civ 248 (Court of Appeal, Civil Division)</x:v>
      </x:c>
      <x:c r="D75" s="9" t="str"/>
      <x:c r="E75" s="9" t="str"/>
      <x:c r="F75" s="13" t="str">
        <x:v>2016</x:v>
      </x:c>
      <x:c r="G75" s="9" t="str">
        <x:v>England and Wales Court of Appeal (Civil Division)</x:v>
      </x:c>
      <x:c r="H75" s="9" t="str">
        <x:v>Court of Appeal (Civil Division)</x:v>
      </x:c>
      <x:c r="I75" s="9" t="str">
        <x:v>England and Wales</x:v>
      </x:c>
      <x:c r="J75" s="9" t="str">
        <x:v>Housing Law</x:v>
      </x:c>
      <x:c r="K75" s="9" t="str">
        <x:v>-ew-cases-EWCA-Civ-2016-248.xml</x:v>
      </x:c>
      <x:c r="L75" s="9" t="str">
        <x:v>TBA</x:v>
      </x:c>
    </x:row>
    <x:row r="76">
      <x:c r="A76" t="str">
        <x:v>be8b8e6c-685b-42e6-b1a3-407d02197bf7</x:v>
      </x:c>
      <x:c r="B76" t="str">
        <x:v>364e92e4-cb25-4890-a961-48456ac1e4fb</x:v>
      </x:c>
      <x:c r="C76" s="9" t="str">
        <x:v>Adams v Crown Prosecution Service (CPS) [2017] EWCA Civ 185</x:v>
      </x:c>
      <x:c r="D76" s="9" t="str"/>
      <x:c r="E76" s="9" t="str"/>
      <x:c r="F76" s="13" t="str">
        <x:v>2017</x:v>
      </x:c>
      <x:c r="G76" s="9" t="str">
        <x:v>England and Wales Court of Appeal (Civil Division)</x:v>
      </x:c>
      <x:c r="H76" s="9" t="str">
        <x:v>Appellate</x:v>
      </x:c>
      <x:c r="I76" s="9" t="str">
        <x:v>England and Wales</x:v>
      </x:c>
      <x:c r="J76" s="9" t="str">
        <x:v>Criminal</x:v>
      </x:c>
      <x:c r="K76" s="9" t="str">
        <x:v>-ew-cases-EWCA-Civ-2017-185.xml</x:v>
      </x:c>
      <x:c r="L76" s="9" t="str">
        <x:v>TBA</x:v>
      </x:c>
    </x:row>
    <x:row r="77">
      <x:c r="A77" t="str">
        <x:v>04d955a8-6a6e-4e00-8589-63c551da48e3</x:v>
      </x:c>
      <x:c r="B77" t="str">
        <x:v>4044e8df-e16b-4b87-8e8d-1435e165dbcd</x:v>
      </x:c>
      <x:c r="C77" s="9" t="str">
        <x:v>Adams v Options UK Personal Pensions LLP [2021] EWCA Civ 1188: Appeal Outcomes on Section 27 Claim and Consequential Relief</x:v>
      </x:c>
      <x:c r="D77" s="9" t="str"/>
      <x:c r="E77" s="9" t="str"/>
      <x:c r="F77" s="13" t="str">
        <x:v>2021</x:v>
      </x:c>
      <x:c r="G77" s="9" t="str">
        <x:v>England and Wales Court of Appeal (Civil Division)</x:v>
      </x:c>
      <x:c r="H77" s="9" t="str">
        <x:v>Appellate</x:v>
      </x:c>
      <x:c r="I77" s="9" t="str">
        <x:v>England and Wales</x:v>
      </x:c>
      <x:c r="J77" s="9" t="str">
        <x:v>Civil Appeal</x:v>
      </x:c>
      <x:c r="K77" s="9" t="str">
        <x:v>ew-cases-EWCA-Civ-2021-1188.xml</x:v>
      </x:c>
      <x:c r="L77" s="9" t="str">
        <x:v>TBA</x:v>
      </x:c>
    </x:row>
    <x:row r="78">
      <x:c r="A78" t="str">
        <x:v>d12862a1-5e48-4632-93be-aaca93aa5c1c</x:v>
      </x:c>
      <x:c r="B78" t="str">
        <x:v>7f8dc863-0a7e-418c-b558-5b1c59cff9fd</x:v>
      </x:c>
      <x:c r="C78" s="9" t="str">
        <x:v>Adams v Options UK Personal Pensions LLP [2021] EWCA Civ 474</x:v>
      </x:c>
      <x:c r="D78" s="9" t="str"/>
      <x:c r="E78" s="9" t="str"/>
      <x:c r="F78" s="13" t="str">
        <x:v>2021</x:v>
      </x:c>
      <x:c r="G78" s="9" t="str">
        <x:v>England and Wales Court of Appeal (Civil Division)</x:v>
      </x:c>
      <x:c r="H78" s="9" t="str">
        <x:v>Appellate</x:v>
      </x:c>
      <x:c r="I78" s="9" t="str">
        <x:v>England and Wales</x:v>
      </x:c>
      <x:c r="J78" s="9" t="str">
        <x:v>Financial Regulation</x:v>
      </x:c>
      <x:c r="K78" s="9" t="str">
        <x:v>ew-cases-EWCA-Civ-2021-474.xml</x:v>
      </x:c>
      <x:c r="L78" s="9" t="str">
        <x:v>TBA</x:v>
      </x:c>
    </x:row>
    <x:row r="79">
      <x:c r="A79" t="str">
        <x:v>0bbd7b43-87d2-4908-85ff-b3a931a595ec</x:v>
      </x:c>
      <x:c r="B79" t="str">
        <x:v>2a6264ea-3009-45b1-a5c0-078fae484007</x:v>
      </x:c>
      <x:c r="C79" s="9" t="str">
        <x:v>Adaptive Spectrum and Signal Alignment Inc v British Telecommunications Plc</x:v>
      </x:c>
      <x:c r="D79" s="9" t="str"/>
      <x:c r="E79" s="9" t="str"/>
      <x:c r="F79" s="13" t="str">
        <x:v>2014</x:v>
      </x:c>
      <x:c r="G79" s="9" t="str">
        <x:v>England and Wales Court of Appeal (Civil Division)</x:v>
      </x:c>
      <x:c r="H79" s="9" t="str">
        <x:v>Appellate</x:v>
      </x:c>
      <x:c r="I79" s="9" t="str">
        <x:v>England and Wales</x:v>
      </x:c>
      <x:c r="J79" s="9" t="str">
        <x:v>Patent Dispute</x:v>
      </x:c>
      <x:c r="K79" s="9" t="str">
        <x:v>-ew-cases-EWCA-Civ-2014-1462.xml</x:v>
      </x:c>
      <x:c r="L79" s="9" t="str">
        <x:v>TBA</x:v>
      </x:c>
    </x:row>
    <x:row r="80">
      <x:c r="A80" t="str">
        <x:v>29f47487-ffba-4c5b-b457-2c1757603b32</x:v>
      </x:c>
      <x:c r="B80" t="str">
        <x:v>aa6b8306-9f7e-4858-8479-8ab2721aebab</x:v>
      </x:c>
      <x:c r="C80" s="9" t="str">
        <x:v>Adaptive Spectrum and Signal Alignment Inc v British Telecommunications Plc [2014] EWCA Civ 1513</x:v>
      </x:c>
      <x:c r="D80" s="9" t="str"/>
      <x:c r="E80" s="9" t="str"/>
      <x:c r="F80" s="13" t="str">
        <x:v>2014</x:v>
      </x:c>
      <x:c r="G80" s="9" t="str">
        <x:v>England and Wales Court of Appeal (Civil Division)</x:v>
      </x:c>
      <x:c r="H80" s="9" t="str">
        <x:v>Appeal</x:v>
      </x:c>
      <x:c r="I80" s="9" t="str">
        <x:v>England and Wales</x:v>
      </x:c>
      <x:c r="J80" s="9" t="str">
        <x:v>Intellectual Property</x:v>
      </x:c>
      <x:c r="K80" s="9" t="str">
        <x:v>-ew-cases-EWCA-Civ-2014-1513.xml</x:v>
      </x:c>
      <x:c r="L80" s="9" t="str">
        <x:v>TBA</x:v>
      </x:c>
    </x:row>
    <x:row r="81">
      <x:c r="A81" t="str">
        <x:v>14331ba3-8344-4905-bcac-4a9668294d6a</x:v>
      </x:c>
      <x:c r="B81" t="str">
        <x:v>0a5f334d-2cf4-4784-ac73-187edc32d1a4</x:v>
      </x:c>
      <x:c r="C81" s="9" t="str">
        <x:v>Adaptive Spectrum and Signal Alignment Inc v British Telecommunications Plc [2023] EWCA Civ 451</x:v>
      </x:c>
      <x:c r="D81" s="9" t="str"/>
      <x:c r="E81" s="9" t="str"/>
      <x:c r="F81" s="13" t="str">
        <x:v>2023</x:v>
      </x:c>
      <x:c r="G81" s="9" t="str">
        <x:v>England and Wales Court of Appeal (Civil Division)</x:v>
      </x:c>
      <x:c r="H81" s="9" t="str">
        <x:v>Court of Appeal (Civil Division)</x:v>
      </x:c>
      <x:c r="I81" s="9" t="str">
        <x:v>England and Wales</x:v>
      </x:c>
      <x:c r="J81" s="9" t="str">
        <x:v>Contract Interpretation</x:v>
      </x:c>
      <x:c r="K81" s="9" t="str">
        <x:v>ew-cases-EWCA-Civ-2023-451.xml</x:v>
      </x:c>
      <x:c r="L81" s="9" t="str">
        <x:v>TBA</x:v>
      </x:c>
    </x:row>
    <x:row r="82">
      <x:c r="A82" t="str">
        <x:v>34dfa8bf-07fe-42e3-9c61-708d2704aeea</x:v>
      </x:c>
      <x:c r="B82" t="str">
        <x:v>f0a70eb3-8bfe-4b23-b2ff-5b0f08ad9b5d</x:v>
      </x:c>
      <x:c r="C82" s="9" t="str">
        <x:v>Addison Lee Ltd v Lange &amp; Ors [2021] EWCA Civ 594</x:v>
      </x:c>
      <x:c r="D82" s="9" t="str"/>
      <x:c r="E82" s="9" t="str"/>
      <x:c r="F82" s="13" t="str">
        <x:v>2021</x:v>
      </x:c>
      <x:c r="G82" s="9" t="str">
        <x:v>England and Wales Court of Appeal (Civil Division)</x:v>
      </x:c>
      <x:c r="H82" s="9" t="str">
        <x:v>Appellate</x:v>
      </x:c>
      <x:c r="I82" s="9" t="str">
        <x:v>England and Wales</x:v>
      </x:c>
      <x:c r="J82" s="9" t="str">
        <x:v>Employment Law</x:v>
      </x:c>
      <x:c r="K82" s="9" t="str">
        <x:v>ew-cases-EWCA-Civ-2021-594.xml</x:v>
      </x:c>
      <x:c r="L82" s="9" t="str">
        <x:v>TBA</x:v>
      </x:c>
    </x:row>
    <x:row r="83">
      <x:c r="A83" t="str">
        <x:v>823dd9ea-b408-4744-9da8-f52543a4b974</x:v>
      </x:c>
      <x:c r="B83" t="str">
        <x:v>ab5f59a7-90ec-44b0-8f32-8515ce9d7b03</x:v>
      </x:c>
      <x:c r="C83" s="9" t="str">
        <x:v>Adedeji v University Hospitals Birmingham NHS Foundation Trust [2021] EWCA Civ 23</x:v>
      </x:c>
      <x:c r="D83" s="9" t="str"/>
      <x:c r="E83" s="9" t="str"/>
      <x:c r="F83" s="13" t="str">
        <x:v>2021</x:v>
      </x:c>
      <x:c r="G83" s="9" t="str">
        <x:v>England and Wales Court of Appeal (Civil Division)</x:v>
      </x:c>
      <x:c r="H83" s="9" t="str">
        <x:v>Appellate</x:v>
      </x:c>
      <x:c r="I83" s="9" t="str">
        <x:v>England and Wales</x:v>
      </x:c>
      <x:c r="J83" s="9" t="str">
        <x:v>Employment Law</x:v>
      </x:c>
      <x:c r="K83" s="9" t="str">
        <x:v>ew-cases-EWCA-Civ-2021-23.xml</x:v>
      </x:c>
      <x:c r="L83" s="9" t="str">
        <x:v>TBA</x:v>
      </x:c>
    </x:row>
    <x:row r="84">
      <x:c r="A84" t="str">
        <x:v>1f6685b2-3e8a-4215-8f08-cd078fc410c3</x:v>
      </x:c>
      <x:c r="B84" t="str">
        <x:v>9365ac87-002c-4767-beb5-daa394718251</x:v>
      </x:c>
      <x:c r="C84" s="9" t="str">
        <x:v>Adeshina v St. George's University Hospitals NHS Foundation Trust &amp; Ors [2017] EWCA Civ 257</x:v>
      </x:c>
      <x:c r="D84" s="9" t="str"/>
      <x:c r="E84" s="9" t="str"/>
      <x:c r="F84" s="13" t="str">
        <x:v>2017</x:v>
      </x:c>
      <x:c r="G84" s="9" t="str">
        <x:v>England and Wales Court of Appeal (Civil Division)</x:v>
      </x:c>
      <x:c r="H84" s="9" t="str">
        <x:v>Court of Appeal</x:v>
      </x:c>
      <x:c r="I84" s="9" t="str">
        <x:v>England and Wales</x:v>
      </x:c>
      <x:c r="J84" s="9" t="str">
        <x:v>Employment Law</x:v>
      </x:c>
      <x:c r="K84" s="9" t="str">
        <x:v>-ew-cases-EWCA-Civ-2017-257.xml</x:v>
      </x:c>
      <x:c r="L84" s="9" t="str">
        <x:v>TBA</x:v>
      </x:c>
    </x:row>
    <x:row r="85">
      <x:c r="A85" t="str">
        <x:v>cc8b9364-e9ab-48e9-9f66-a6d27b0b7eee</x:v>
      </x:c>
      <x:c r="B85" t="str">
        <x:v>b0c5e89e-dff7-47ab-9b9e-571979a27db8</x:v>
      </x:c>
      <x:c r="C85" s="9" t="str">
        <x:v>Adewunmi v Secretary of State for the Home Department</x:v>
      </x:c>
      <x:c r="D85" s="9" t="str"/>
      <x:c r="E85" s="9" t="str"/>
      <x:c r="F85" s="13" t="str">
        <x:v>2017</x:v>
      </x:c>
      <x:c r="G85" s="9" t="str">
        <x:v>England and Wales Court of Appeal (Civil Division)</x:v>
      </x:c>
      <x:c r="H85" s="9" t="str">
        <x:v>Appellate Court</x:v>
      </x:c>
      <x:c r="I85" s="9" t="str">
        <x:v>England and Wales</x:v>
      </x:c>
      <x:c r="J85" s="9" t="str">
        <x:v>Administrative Law / Immigration Law</x:v>
      </x:c>
      <x:c r="K85" s="9" t="str">
        <x:v>-ew-cases-EWCA-Civ-2017-1253.xml</x:v>
      </x:c>
      <x:c r="L85" s="9" t="str">
        <x:v>TBA</x:v>
      </x:c>
    </x:row>
    <x:row r="86">
      <x:c r="A86" t="str">
        <x:v>03981725-0e7d-411d-85c2-b38c74e3ddab</x:v>
      </x:c>
      <x:c r="B86" t="str">
        <x:v>56bd3e9c-3b65-418f-bd5f-5315aa6d5eae</x:v>
      </x:c>
      <x:c r="C86" s="9" t="str">
        <x:v>Advanced Bionics AG &amp; Advanced Bionics UK Limited v Med-El Elektromedizinische Geräte GmbH [2023] EWCA Civ 637</x:v>
      </x:c>
      <x:c r="D86" s="9" t="str"/>
      <x:c r="E86" s="9" t="str"/>
      <x:c r="F86" s="13" t="str">
        <x:v>2023</x:v>
      </x:c>
      <x:c r="G86" s="9" t="str">
        <x:v>England and Wales Court of Appeal (Civil Division)</x:v>
      </x:c>
      <x:c r="H86" s="9" t="str">
        <x:v>Court of Appeal (Civil Division)</x:v>
      </x:c>
      <x:c r="I86" s="9" t="str">
        <x:v>England and Wales</x:v>
      </x:c>
      <x:c r="J86" s="9" t="str">
        <x:v>Intellectual Property - Patent</x:v>
      </x:c>
      <x:c r="K86" s="9" t="str">
        <x:v>ew-cases-EWCA-Civ-2023-637.xml</x:v>
      </x:c>
      <x:c r="L86" s="9" t="str">
        <x:v>TBA</x:v>
      </x:c>
    </x:row>
    <x:row r="87">
      <x:c r="A87" t="str">
        <x:v>eb617e68-fc27-494a-8d02-ad6f501a513c</x:v>
      </x:c>
      <x:c r="B87" t="str">
        <x:v>cd2db340-265d-46ef-86dd-180d07c4fea9</x:v>
      </x:c>
      <x:c r="C87" s="9" t="str">
        <x:v>AE (Algeria) v Secretary of State for the Home Department</x:v>
      </x:c>
      <x:c r="D87" s="9" t="str"/>
      <x:c r="E87" s="9" t="str"/>
      <x:c r="F87" s="13" t="str">
        <x:v>2014</x:v>
      </x:c>
      <x:c r="G87" s="9" t="str">
        <x:v>England and Wales Court of Appeal (Civil Division)</x:v>
      </x:c>
      <x:c r="H87" s="9" t="str">
        <x:v>Appellate</x:v>
      </x:c>
      <x:c r="I87" s="9" t="str">
        <x:v>England and Wales</x:v>
      </x:c>
      <x:c r="J87" s="9" t="str">
        <x:v>Immigration Law</x:v>
      </x:c>
      <x:c r="K87" s="9" t="str">
        <x:v>-ew-cases-EWCA-Civ-2014-653.xml</x:v>
      </x:c>
      <x:c r="L87" s="9" t="str">
        <x:v>TBA</x:v>
      </x:c>
    </x:row>
    <x:row r="88">
      <x:c r="A88" t="str">
        <x:v>8ed64f81-264c-4744-95c4-08c101033c9e</x:v>
      </x:c>
      <x:c r="B88" t="str">
        <x:v>12aa692a-9033-4bb1-9306-aa1e605a9a30</x:v>
      </x:c>
      <x:c r="C88" s="9" t="str">
        <x:v>AE (Iraq) v The Secretary of State for the Home Department [2021] EWCA Civ 948</x:v>
      </x:c>
      <x:c r="D88" s="9" t="str"/>
      <x:c r="E88" s="9" t="str"/>
      <x:c r="F88" s="13" t="str">
        <x:v>2021</x:v>
      </x:c>
      <x:c r="G88" s="9" t="str">
        <x:v>England and Wales Court of Appeal (Civil Division)</x:v>
      </x:c>
      <x:c r="H88" s="9" t="str">
        <x:v>Appellate</x:v>
      </x:c>
      <x:c r="I88" s="9" t="str">
        <x:v>England and Wales</x:v>
      </x:c>
      <x:c r="J88" s="9" t="str">
        <x:v>Immigration Law</x:v>
      </x:c>
      <x:c r="K88" s="9" t="str">
        <x:v>ew-cases-EWCA-Civ-2021-948.xml</x:v>
      </x:c>
      <x:c r="L88" s="9" t="str">
        <x:v>TBA</x:v>
      </x:c>
    </x:row>
    <x:row r="89">
      <x:c r="A89" t="str">
        <x:v>b219248f-5cae-44d0-aa67-162d3179b17d</x:v>
      </x:c>
      <x:c r="B89" t="str">
        <x:v>c64da82f-a8cd-4443-b122-6a0b628df973</x:v>
      </x:c>
      <x:c r="C89" s="9" t="str">
        <x:v>AEB v Secretary of State for the Home Department</x:v>
      </x:c>
      <x:c r="D89" s="9" t="str"/>
      <x:c r="E89" s="9" t="str"/>
      <x:c r="F89" s="13" t="str">
        <x:v>2022</x:v>
      </x:c>
      <x:c r="G89" s="9" t="str">
        <x:v>England and Wales Court of Appeal (Civil Division)</x:v>
      </x:c>
      <x:c r="H89" s="9" t="str">
        <x:v>Court of Appeal (Civil Division)</x:v>
      </x:c>
      <x:c r="I89" s="9" t="str">
        <x:v>England and Wales</x:v>
      </x:c>
      <x:c r="J89" s="9" t="str">
        <x:v>Immigration / Administrative Law</x:v>
      </x:c>
      <x:c r="K89" s="9" t="str">
        <x:v>ew-cases-EWCA-Civ-2022-1512.xml</x:v>
      </x:c>
      <x:c r="L89" s="9" t="str">
        <x:v>TBA</x:v>
      </x:c>
    </x:row>
    <x:row r="90">
      <x:c r="A90" t="str">
        <x:v>040908a0-0d9a-458e-b059-0576691fadf2</x:v>
      </x:c>
      <x:c r="B90" t="str">
        <x:v>7e711821-1058-48c5-9c2d-7ce6a9efbfbc</x:v>
      </x:c>
      <x:c r="C90" s="9" t="str">
        <x:v>AFD Software Limited v DCML Limited [2016] EWCA Civ 425</x:v>
      </x:c>
      <x:c r="D90" s="9" t="str"/>
      <x:c r="E90" s="9" t="str"/>
      <x:c r="F90" s="13" t="str">
        <x:v>2016</x:v>
      </x:c>
      <x:c r="G90" s="9" t="str">
        <x:v>England and Wales Court of Appeal (Civil Division)</x:v>
      </x:c>
      <x:c r="H90" s="9" t="str">
        <x:v>Court of Appeal (Civil Division)</x:v>
      </x:c>
      <x:c r="I90" s="9" t="str">
        <x:v>England and Wales</x:v>
      </x:c>
      <x:c r="J90" s="9" t="str">
        <x:v>Contract/Intellectual Property – Licensing</x:v>
      </x:c>
      <x:c r="K90" s="9" t="str">
        <x:v>-ew-cases-EWCA-Civ-2016-425.xml</x:v>
      </x:c>
      <x:c r="L90" s="9" t="str">
        <x:v>TBA</x:v>
      </x:c>
    </x:row>
    <x:row r="91">
      <x:c r="A91" t="str">
        <x:v>ba6ae795-45c5-472f-a4b8-71428ecf4537</x:v>
      </x:c>
      <x:c r="B91" t="str">
        <x:v>182615b2-8acb-4858-bf0e-6f70fb191afa</x:v>
      </x:c>
      <x:c r="C91" s="9" t="str">
        <x:v>Afolabi v London Borough of Barking &amp; Dagenham [2015] EWCA Civ 1444</x:v>
      </x:c>
      <x:c r="D91" s="9" t="str"/>
      <x:c r="E91" s="9" t="str"/>
      <x:c r="F91" s="13" t="str">
        <x:v>2015</x:v>
      </x:c>
      <x:c r="G91" s="9" t="str">
        <x:v>England and Wales Court of Appeal (Civil Division)</x:v>
      </x:c>
      <x:c r="H91" s="9" t="str">
        <x:v>Appellate</x:v>
      </x:c>
      <x:c r="I91" s="9" t="str">
        <x:v>England and Wales</x:v>
      </x:c>
      <x:c r="J91" s="9" t="str">
        <x:v>Employment Law</x:v>
      </x:c>
      <x:c r="K91" s="9" t="str">
        <x:v>-ew-cases-EWCA-Civ-2015-1444.xml</x:v>
      </x:c>
      <x:c r="L91" s="9" t="str">
        <x:v>TBA</x:v>
      </x:c>
    </x:row>
    <x:row r="92">
      <x:c r="A92" t="str">
        <x:v>6043ec3a-fec5-409a-9410-74974f22c2df</x:v>
      </x:c>
      <x:c r="B92" t="str">
        <x:v>ac9e2aa7-8f93-4867-9f5c-72e9e84f3e82</x:v>
      </x:c>
      <x:c r="C92" s="9" t="str">
        <x:v>African Export-Import Bank &amp; Ors v Shebah Exploration &amp; Production Company Ltd &amp; Ors [2017] EWCA Civ 845</x:v>
      </x:c>
      <x:c r="D92" s="9" t="str"/>
      <x:c r="E92" s="9" t="str"/>
      <x:c r="F92" s="13" t="str">
        <x:v>2017</x:v>
      </x:c>
      <x:c r="G92" s="9" t="str">
        <x:v>England and Wales Court of Appeal (Civil Division)</x:v>
      </x:c>
      <x:c r="H92" s="9" t="str">
        <x:v>Appellate</x:v>
      </x:c>
      <x:c r="I92" s="9" t="str">
        <x:v>England and Wales</x:v>
      </x:c>
      <x:c r="J92" s="9" t="str">
        <x:v>Contract Law</x:v>
      </x:c>
      <x:c r="K92" s="9" t="str">
        <x:v>-ew-cases-EWCA-Civ-2017-845.xml</x:v>
      </x:c>
      <x:c r="L92" s="9" t="str">
        <x:v>TBA</x:v>
      </x:c>
    </x:row>
    <x:row r="93">
      <x:c r="A93" t="str">
        <x:v>674eadfe-cd1a-4f0f-a2e1-e35d9d0ee3e3</x:v>
      </x:c>
      <x:c r="B93" t="str">
        <x:v>5b14093d-7ccf-4e1d-b7d1-4d177b1f07f6</x:v>
      </x:c>
      <x:c r="C93" s="9" t="str">
        <x:v>African Minerals Ltd v Renaissance Capital Ltd [2015] EWCA Civ 448</x:v>
      </x:c>
      <x:c r="D93" s="9" t="str"/>
      <x:c r="E93" s="9" t="str"/>
      <x:c r="F93" s="13" t="str">
        <x:v>2015</x:v>
      </x:c>
      <x:c r="G93" s="9" t="str">
        <x:v>England and Wales Court of Appeal (Civil Division)</x:v>
      </x:c>
      <x:c r="H93" s="9" t="str">
        <x:v>Appellate</x:v>
      </x:c>
      <x:c r="I93" s="9" t="str">
        <x:v>England and Wales</x:v>
      </x:c>
      <x:c r="J93" s="9" t="str">
        <x:v>Contract Dispute</x:v>
      </x:c>
      <x:c r="K93" s="9" t="str">
        <x:v>-ew-cases-EWCA-Civ-2015-448.xml</x:v>
      </x:c>
      <x:c r="L93" s="9" t="str">
        <x:v>TBA</x:v>
      </x:c>
    </x:row>
    <x:row r="94">
      <x:c r="A94" t="str">
        <x:v>56461176-ab33-492c-9890-8b7074b6ef77</x:v>
      </x:c>
      <x:c r="B94" t="str">
        <x:v>32907848-8a9b-410f-9561-9b992a45caf8</x:v>
      </x:c>
      <x:c r="C94" s="9" t="str">
        <x:v>Afzaal v Secretary of State for the Home Department [2015] EWCA Civ 733</x:v>
      </x:c>
      <x:c r="D94" s="9" t="str"/>
      <x:c r="E94" s="9" t="str"/>
      <x:c r="F94" s="13" t="str">
        <x:v>2015</x:v>
      </x:c>
      <x:c r="G94" s="9" t="str">
        <x:v>England and Wales Court of Appeal (Civil Division)</x:v>
      </x:c>
      <x:c r="H94" s="9" t="str">
        <x:v>Appellate</x:v>
      </x:c>
      <x:c r="I94" s="9" t="str">
        <x:v>England and Wales</x:v>
      </x:c>
      <x:c r="J94" s="9" t="str">
        <x:v>Administrative Law</x:v>
      </x:c>
      <x:c r="K94" s="9" t="str">
        <x:v>-ew-cases-EWCA-Civ-2015-733.xml</x:v>
      </x:c>
      <x:c r="L94" s="9" t="str">
        <x:v>TBA</x:v>
      </x:c>
    </x:row>
    <x:row r="95">
      <x:c r="A95" t="str">
        <x:v>45c34e27-b563-4617-baec-8c655ce44699</x:v>
      </x:c>
      <x:c r="B95" t="str">
        <x:v>a3153920-a2a6-4c8f-88bd-49d059441710</x:v>
      </x:c>
      <x:c r="C95" s="9" t="str">
        <x:v>Afzal, R (On the Application Of) v Secretary of State for the Home Department</x:v>
      </x:c>
      <x:c r="D95" s="9" t="str"/>
      <x:c r="E95" s="9" t="str"/>
      <x:c r="F95" s="13" t="str">
        <x:v>2021</x:v>
      </x:c>
      <x:c r="G95" s="9" t="str">
        <x:v>England and Wales Court of Appeal (Civil Division)</x:v>
      </x:c>
      <x:c r="H95" s="9" t="str">
        <x:v>Appellate</x:v>
      </x:c>
      <x:c r="I95" s="9" t="str">
        <x:v>England and Wales</x:v>
      </x:c>
      <x:c r="J95" s="9" t="str">
        <x:v>Immigration Law</x:v>
      </x:c>
      <x:c r="K95" s="9" t="str">
        <x:v>ew-cases-EWCA-Civ-2021-1909.xml</x:v>
      </x:c>
      <x:c r="L95" s="9" t="str">
        <x:v>TBA</x:v>
      </x:c>
    </x:row>
    <x:row r="96">
      <x:c r="A96" t="str">
        <x:v>26e9660a-4f56-4905-b1cd-dd7bf1a1eb38</x:v>
      </x:c>
      <x:c r="B96" t="str">
        <x:v>e67370c8-601c-42a2-9dd0-82bf2b285213</x:v>
      </x:c>
      <x:c r="C96" s="9" t="str">
        <x:v>AG (A Child), Re [2022] EWCA Civ 1505</x:v>
      </x:c>
      <x:c r="D96" s="9" t="str"/>
      <x:c r="E96" s="9" t="str"/>
      <x:c r="F96" s="13" t="str">
        <x:v>2022</x:v>
      </x:c>
      <x:c r="G96" s="9" t="str">
        <x:v>England and Wales Court of Appeal (Civil Division)</x:v>
      </x:c>
      <x:c r="H96" s="9" t="str">
        <x:v>Court of Appeal (Civil Division)</x:v>
      </x:c>
      <x:c r="I96" s="9" t="str">
        <x:v>England and Wales</x:v>
      </x:c>
      <x:c r="J96" s="9" t="str">
        <x:v>Public Law (Human Rights/International Law)</x:v>
      </x:c>
      <x:c r="K96" s="9" t="str">
        <x:v>ew-cases-EWCA-Civ-2022-1505.xml</x:v>
      </x:c>
      <x:c r="L96" s="9" t="str">
        <x:v>TBA</x:v>
      </x:c>
    </x:row>
    <x:row r="97">
      <x:c r="A97" t="str">
        <x:v>1f031756-6387-4986-bdd8-922eb019ea6a</x:v>
      </x:c>
      <x:c r="B97" t="str">
        <x:v>c71b2b8f-b094-4be1-bf50-3f4a07b86684</x:v>
      </x:c>
      <x:c r="C97" s="9" t="str">
        <x:v>Agarwala v Agarwala [2016] EWCA Civ 1252</x:v>
      </x:c>
      <x:c r="D97" s="9" t="str"/>
      <x:c r="E97" s="9" t="str"/>
      <x:c r="F97" s="13" t="str">
        <x:v>2016</x:v>
      </x:c>
      <x:c r="G97" s="9" t="str">
        <x:v>England and Wales Court of Appeal (Civil Division)</x:v>
      </x:c>
      <x:c r="H97" s="9" t="str">
        <x:v>Court of Appeal</x:v>
      </x:c>
      <x:c r="I97" s="9" t="str">
        <x:v>England and Wales</x:v>
      </x:c>
      <x:c r="J97" s="9" t="str">
        <x:v>Civil Appeal / Trusts and Equitable Remedies</x:v>
      </x:c>
      <x:c r="K97" s="9" t="str">
        <x:v>-ew-cases-EWCA-Civ-2016-1252.xml</x:v>
      </x:c>
      <x:c r="L97" s="9" t="str">
        <x:v>TBA</x:v>
      </x:c>
    </x:row>
    <x:row r="98">
      <x:c r="A98" t="str">
        <x:v>10eba6ea-8907-4fb8-bf1d-c5d057c5676b</x:v>
      </x:c>
      <x:c r="B98" t="str">
        <x:v>067c69d2-a18a-4f6f-b3b0-2bf29149d240</x:v>
      </x:c>
      <x:c r="C98" s="9" t="str">
        <x:v>Agbaje v Robert Frew Medical Company Ltd [2023] EWCA Civ 702</x:v>
      </x:c>
      <x:c r="D98" s="9" t="str"/>
      <x:c r="E98" s="9" t="str"/>
      <x:c r="F98" s="13" t="str">
        <x:v>2023</x:v>
      </x:c>
      <x:c r="G98" s="9" t="str">
        <x:v>England and Wales Court of Appeal (Civil Division)</x:v>
      </x:c>
      <x:c r="H98" s="9" t="str">
        <x:v>Court of Appeal (Civil Division)</x:v>
      </x:c>
      <x:c r="I98" s="9" t="str">
        <x:v>England and Wales</x:v>
      </x:c>
      <x:c r="J98" s="9" t="str">
        <x:v>Contract/Company Law (Shareholders' Agreement) – Appellate decision</x:v>
      </x:c>
      <x:c r="K98" s="9" t="str">
        <x:v>ew-cases-EWCA-Civ-2023-702.xml</x:v>
      </x:c>
      <x:c r="L98" s="9" t="str">
        <x:v>TBA</x:v>
      </x:c>
    </x:row>
    <x:row r="99">
      <x:c r="A99" t="str">
        <x:v>2a3f5520-7792-47fc-b263-99ee57264820</x:v>
      </x:c>
      <x:c r="B99" t="str">
        <x:v>9106dcdb-cf09-4bda-8712-36474df03834</x:v>
      </x:c>
      <x:c r="C99" s="9" t="str">
        <x:v>Agbenowossi-Koffi v Donvand Ltd [2014] EWCA Civ 855</x:v>
      </x:c>
      <x:c r="D99" s="9" t="str"/>
      <x:c r="E99" s="9" t="str"/>
      <x:c r="F99" s="13" t="str">
        <x:v>2014</x:v>
      </x:c>
      <x:c r="G99" s="9" t="str">
        <x:v>England and Wales Court of Appeal (Civil Division)</x:v>
      </x:c>
      <x:c r="H99" s="9" t="str">
        <x:v>Appellate</x:v>
      </x:c>
      <x:c r="I99" s="9" t="str">
        <x:v>England and Wales</x:v>
      </x:c>
      <x:c r="J99" s="9" t="str">
        <x:v>Employment Dispute</x:v>
      </x:c>
      <x:c r="K99" s="9" t="str">
        <x:v>-ew-cases-EWCA-Civ-2014-855.xml</x:v>
      </x:c>
      <x:c r="L99" s="9" t="str">
        <x:v>TBA</x:v>
      </x:c>
    </x:row>
    <x:row r="100">
      <x:c r="A100" t="str">
        <x:v>9a56be8c-b813-4ffd-ba04-ac75acffb1a5</x:v>
      </x:c>
      <x:c r="B100" t="str">
        <x:v>bcd5dc79-b5e9-4135-9bb7-844fefdbb267</x:v>
      </x:c>
      <x:c r="C100" s="9" t="str">
        <x:v>Agca (R) v Secretary of State for the Home Department | [2023] EWCA Civ 56 (Court of Appeal, Civil Division)</x:v>
      </x:c>
      <x:c r="D100" s="9" t="str"/>
      <x:c r="E100" s="9" t="str"/>
      <x:c r="F100" s="13" t="str">
        <x:v>2023</x:v>
      </x:c>
      <x:c r="G100" s="9" t="str">
        <x:v>England and Wales Court of Appeal (Civil Division)</x:v>
      </x:c>
      <x:c r="H100" s="9" t="str">
        <x:v>Court of Appeal (Civil Division)</x:v>
      </x:c>
      <x:c r="I100" s="9" t="str">
        <x:v>England and Wales</x:v>
      </x:c>
      <x:c r="J100" s="9" t="str">
        <x:v>Judicial Review / Administrative Law</x:v>
      </x:c>
      <x:c r="K100" s="9" t="str">
        <x:v>ew-cases-EWCA-Civ-2023-56.xml</x:v>
      </x:c>
      <x:c r="L100" s="9" t="str">
        <x:v>TBA</x:v>
      </x:c>
    </x:row>
    <x:row r="101">
      <x:c r="A101" t="str">
        <x:v>23a3851d-6c0d-490f-a929-404d7c76ac3e</x:v>
      </x:c>
      <x:c r="B101" t="str">
        <x:v>f32b7ecf-43c2-4eac-8a1c-e4c9273fe4d0</x:v>
      </x:c>
      <x:c r="C101" s="9" t="str">
        <x:v>Agho v The Secretary of State for the Home Department [2015] EWCA Civ 1198</x:v>
      </x:c>
      <x:c r="D101" s="9" t="str"/>
      <x:c r="E101" s="9" t="str"/>
      <x:c r="F101" s="13" t="str">
        <x:v>2015</x:v>
      </x:c>
      <x:c r="G101" s="9" t="str">
        <x:v>England and Wales Court of Appeal (Civil Division)</x:v>
      </x:c>
      <x:c r="H101" s="9" t="str">
        <x:v>Appellate</x:v>
      </x:c>
      <x:c r="I101" s="9" t="str">
        <x:v>England and Wales</x:v>
      </x:c>
      <x:c r="J101" s="9" t="str">
        <x:v>Immigration</x:v>
      </x:c>
      <x:c r="K101" s="9" t="str">
        <x:v>-ew-cases-EWCA-Civ-2015-1198.xml</x:v>
      </x:c>
      <x:c r="L101" s="9" t="str">
        <x:v>TBA</x:v>
      </x:c>
    </x:row>
    <x:row r="102">
      <x:c r="A102" t="str">
        <x:v>adeb2a29-d7ef-4fd3-9857-46356d94423c</x:v>
      </x:c>
      <x:c r="B102" t="str">
        <x:v>47b925dd-4b2b-44b5-bd5d-1f20e1804d6f</x:v>
      </x:c>
      <x:c r="C102" s="9" t="str">
        <x:v>Agumba v The Secretary of State for the Home Department [2017] EWCA Civ 2660</x:v>
      </x:c>
      <x:c r="D102" s="9" t="str"/>
      <x:c r="E102" s="9" t="str"/>
      <x:c r="F102" s="13" t="str">
        <x:v>2017</x:v>
      </x:c>
      <x:c r="G102" s="9" t="str">
        <x:v>England and Wales Court of Appeal (Civil Division)</x:v>
      </x:c>
      <x:c r="H102" s="9" t="str">
        <x:v>Appellate</x:v>
      </x:c>
      <x:c r="I102" s="9" t="str">
        <x:v>England and Wales</x:v>
      </x:c>
      <x:c r="J102" s="9" t="str">
        <x:v>Immigration Law</x:v>
      </x:c>
      <x:c r="K102" s="9" t="str">
        <x:v>-ew-cases-EWCA-Civ-2017-2660.xml</x:v>
      </x:c>
      <x:c r="L102" s="9" t="str">
        <x:v>TBA</x:v>
      </x:c>
    </x:row>
    <x:row r="103">
      <x:c r="A103" t="str">
        <x:v>11ea1cea-0c23-4d8f-80c6-893d91df0d41</x:v>
      </x:c>
      <x:c r="B103" t="str">
        <x:v>c38616bc-e24b-4e74-b545-082324d6d9f4</x:v>
      </x:c>
      <x:c r="C103" s="9" t="str">
        <x:v>Agyarko &amp; Ors, R (on the application of) v The Secretary of State for the Home Department</x:v>
      </x:c>
      <x:c r="D103" s="9" t="str"/>
      <x:c r="E103" s="9" t="str"/>
      <x:c r="F103" s="13" t="str">
        <x:v>2015</x:v>
      </x:c>
      <x:c r="G103" s="9" t="str">
        <x:v>England and Wales Court of Appeal (Civil Division)</x:v>
      </x:c>
      <x:c r="H103" s="9" t="str">
        <x:v>Appellate</x:v>
      </x:c>
      <x:c r="I103" s="9" t="str">
        <x:v>England and Wales</x:v>
      </x:c>
      <x:c r="J103" s="9" t="str">
        <x:v>Immigration Law</x:v>
      </x:c>
      <x:c r="K103" s="9" t="str">
        <x:v>-ew-cases-EWCA-Civ-2015-440.xml</x:v>
      </x:c>
      <x:c r="L103" s="9" t="str">
        <x:v>TBA</x:v>
      </x:c>
    </x:row>
    <x:row r="104">
      <x:c r="A104" t="str">
        <x:v>def56aad-e734-45c2-aec5-9758e1ca75bf</x:v>
      </x:c>
      <x:c r="B104" t="str">
        <x:v>986b8288-ca7b-4948-ad0a-86f713a86fbc</x:v>
      </x:c>
      <x:c r="C104" s="9" t="str">
        <x:v>Agyemang v The London Borough of Haringey</x:v>
      </x:c>
      <x:c r="D104" s="9" t="str"/>
      <x:c r="E104" s="9" t="str"/>
      <x:c r="F104" s="13" t="str">
        <x:v>2017</x:v>
      </x:c>
      <x:c r="G104" s="9" t="str">
        <x:v>England and Wales Court of Appeal (Civil Division)</x:v>
      </x:c>
      <x:c r="H104" s="9" t="str">
        <x:v>Appellate</x:v>
      </x:c>
      <x:c r="I104" s="9" t="str">
        <x:v>England and Wales</x:v>
      </x:c>
      <x:c r="J104" s="9" t="str">
        <x:v>Administrative Law</x:v>
      </x:c>
      <x:c r="K104" s="9" t="str">
        <x:v>-ew-cases-EWCA-Civ-2017-1630.xml</x:v>
      </x:c>
      <x:c r="L104" s="9" t="str">
        <x:v>TBA</x:v>
      </x:c>
    </x:row>
    <x:row r="105">
      <x:c r="A105" t="str">
        <x:v>ab3fe28e-d2ff-4923-948d-c7360c13b313</x:v>
      </x:c>
      <x:c r="B105" t="str">
        <x:v>0ca9753f-7a74-48ce-a4f3-6f559b63e6cf</x:v>
      </x:c>
      <x:c r="C105" s="9" t="str">
        <x:v>AH (Algeria) v Secretary of State for the Home Department &amp; Anor</x:v>
      </x:c>
      <x:c r="D105" s="9" t="str"/>
      <x:c r="E105" s="9" t="str"/>
      <x:c r="F105" s="13" t="str">
        <x:v>2015</x:v>
      </x:c>
      <x:c r="G105" s="9" t="str">
        <x:v>England and Wales Court of Appeal (Civil Division)</x:v>
      </x:c>
      <x:c r="H105" s="9" t="str">
        <x:v>Appellate</x:v>
      </x:c>
      <x:c r="I105" s="9" t="str">
        <x:v>England and Wales</x:v>
      </x:c>
      <x:c r="J105" s="9" t="str">
        <x:v>Immigration Law</x:v>
      </x:c>
      <x:c r="K105" s="9" t="str">
        <x:v>-ew-cases-EWCA-Civ-2015-1003.xml</x:v>
      </x:c>
      <x:c r="L105" s="9" t="str">
        <x:v>TBA</x:v>
      </x:c>
    </x:row>
    <x:row r="106">
      <x:c r="A106" t="str">
        <x:v>ca2a1284-2f97-45a2-aeb1-b3145d43854c</x:v>
      </x:c>
      <x:c r="B106" t="str">
        <x:v>4d54cec0-8f8d-4739-a85f-b45c53a906aa</x:v>
      </x:c>
      <x:c r="C106" s="9" t="str">
        <x:v>AH (Bangladesh) &amp; Ors v Secretary of State for the Home Department</x:v>
      </x:c>
      <x:c r="D106" s="9" t="str"/>
      <x:c r="E106" s="9" t="str"/>
      <x:c r="F106" s="13" t="str">
        <x:v>2015</x:v>
      </x:c>
      <x:c r="G106" s="9" t="str">
        <x:v>England and Wales Court of Appeal (Civil Division)</x:v>
      </x:c>
      <x:c r="H106" s="9" t="str">
        <x:v>Appellate</x:v>
      </x:c>
      <x:c r="I106" s="9" t="str">
        <x:v>England and Wales</x:v>
      </x:c>
      <x:c r="J106" s="9" t="str">
        <x:v>Immigration Law</x:v>
      </x:c>
      <x:c r="K106" s="9" t="str">
        <x:v>-ew-cases-EWCA-Civ-2015-1071.xml</x:v>
      </x:c>
      <x:c r="L106" s="9" t="str">
        <x:v>TBA</x:v>
      </x:c>
    </x:row>
    <x:row r="107">
      <x:c r="A107" t="str">
        <x:v>0dae783c-eb7d-478a-90bc-f78b63536699</x:v>
      </x:c>
      <x:c r="B107" t="str">
        <x:v>10b08de4-528f-4310-91a6-780d18d63ee8</x:v>
      </x:c>
      <x:c r="C107" s="9" t="str">
        <x:v>AH (Jamaica) v Secretary of State for the Home Department</x:v>
      </x:c>
      <x:c r="D107" s="9" t="str"/>
      <x:c r="E107" s="9" t="str"/>
      <x:c r="F107" s="13" t="str">
        <x:v>2017</x:v>
      </x:c>
      <x:c r="G107" s="9" t="str">
        <x:v>England and Wales Court of Appeal (Civil Division)</x:v>
      </x:c>
      <x:c r="H107" s="9" t="str">
        <x:v>Appellate</x:v>
      </x:c>
      <x:c r="I107" s="9" t="str">
        <x:v>England and Wales</x:v>
      </x:c>
      <x:c r="J107" s="9" t="str">
        <x:v>Immigration Law</x:v>
      </x:c>
      <x:c r="K107" s="9" t="str">
        <x:v>-ew-cases-EWCA-Civ-2017-796.xml</x:v>
      </x:c>
      <x:c r="L107" s="9" t="str">
        <x:v>TBA</x:v>
      </x:c>
    </x:row>
    <x:row r="108">
      <x:c r="A108" t="str">
        <x:v>a5d67fa0-2d07-4ba6-ae7e-b49fd05e10c7</x:v>
      </x:c>
      <x:c r="B108" t="str">
        <x:v>9d079fa6-2224-4a04-9aee-ae042b7ff739</x:v>
      </x:c>
      <x:c r="C108" s="9" t="str">
        <x:v>Ahern v Southern Housing Group Ltd [2015] EWCA Civ 962</x:v>
      </x:c>
      <x:c r="D108" s="9" t="str"/>
      <x:c r="E108" s="9" t="str"/>
      <x:c r="F108" s="13" t="str">
        <x:v>2015</x:v>
      </x:c>
      <x:c r="G108" s="9" t="str">
        <x:v>England and Wales Court of Appeal (Civil Division)</x:v>
      </x:c>
      <x:c r="H108" s="9" t="str">
        <x:v>Appellate</x:v>
      </x:c>
      <x:c r="I108" s="9" t="str">
        <x:v>England and Wales</x:v>
      </x:c>
      <x:c r="J108" s="9" t="str">
        <x:v>Housing</x:v>
      </x:c>
      <x:c r="K108" s="9" t="str">
        <x:v>-ew-cases-EWCA-Civ-2015-962.xml</x:v>
      </x:c>
      <x:c r="L108" s="9" t="str">
        <x:v>TBA</x:v>
      </x:c>
    </x:row>
    <x:row r="109">
      <x:c r="A109" t="str">
        <x:v>d74a99b7-3af6-4103-b597-12cf12d70bdb</x:v>
      </x:c>
      <x:c r="B109" t="str">
        <x:v>99ee7703-e7e9-45b3-8ab5-8fd83163a93d</x:v>
      </x:c>
      <x:c r="C109" s="9" t="str">
        <x:v>AHGR Limited v Kane-Laverack &amp; Anor [2023] EWCA Civ 428</x:v>
      </x:c>
      <x:c r="D109" s="9" t="str"/>
      <x:c r="E109" s="9" t="str"/>
      <x:c r="F109" s="13" t="str">
        <x:v>2023</x:v>
      </x:c>
      <x:c r="G109" s="9" t="str">
        <x:v>England and Wales Court of Appeal (Civil Division)</x:v>
      </x:c>
      <x:c r="H109" s="9" t="str">
        <x:v>Court of Appeal (Civil Division)</x:v>
      </x:c>
      <x:c r="I109" s="9" t="str">
        <x:v>England and Wales</x:v>
      </x:c>
      <x:c r="J109" s="9" t="str">
        <x:v>Planning Law / Property Law</x:v>
      </x:c>
      <x:c r="K109" s="9" t="str">
        <x:v>ew-cases-EWCA-Civ-2023-428.xml</x:v>
      </x:c>
      <x:c r="L109" s="9" t="str">
        <x:v>TBA</x:v>
      </x:c>
    </x:row>
    <x:row r="110">
      <x:c r="A110" t="str">
        <x:v>033cb18a-0955-40dd-b739-28867f0259c1</x:v>
      </x:c>
      <x:c r="B110" t="str">
        <x:v>4b1144b2-2c97-48a1-8fd0-8ebbb0e8a2ce</x:v>
      </x:c>
      <x:c r="C110" s="9" t="str">
        <x:v>Ahir v British Airways Plc [2017] EWCA Civ 1392</x:v>
      </x:c>
      <x:c r="D110" s="9" t="str"/>
      <x:c r="E110" s="9" t="str"/>
      <x:c r="F110" s="13" t="str">
        <x:v>2017</x:v>
      </x:c>
      <x:c r="G110" s="9" t="str">
        <x:v>England and Wales Court of Appeal (Civil Division)</x:v>
      </x:c>
      <x:c r="H110" s="9" t="str">
        <x:v>Appellate</x:v>
      </x:c>
      <x:c r="I110" s="9" t="str">
        <x:v>England and Wales</x:v>
      </x:c>
      <x:c r="J110" s="9" t="str">
        <x:v>Employment Law</x:v>
      </x:c>
      <x:c r="K110" s="9" t="str">
        <x:v>-ew-cases-EWCA-Civ-2017-1392.xml</x:v>
      </x:c>
      <x:c r="L110" s="9" t="str">
        <x:v>TBA</x:v>
      </x:c>
    </x:row>
    <x:row r="111">
      <x:c r="A111" t="str">
        <x:v>25a336d6-8bfc-49b2-b9f1-01c9802cdccd</x:v>
      </x:c>
      <x:c r="B111" t="str">
        <x:v>95385a97-89c9-4dac-ba8f-3eea57d6be51</x:v>
      </x:c>
      <x:c r="C111" s="9" t="str">
        <x:v>AHK &amp; Ors, R (On the Application Of) v Secretary of State for the Home Department</x:v>
      </x:c>
      <x:c r="D111" s="9" t="str"/>
      <x:c r="E111" s="9" t="str"/>
      <x:c r="F111" s="13" t="str">
        <x:v>2014</x:v>
      </x:c>
      <x:c r="G111" s="9" t="str">
        <x:v>England and Wales Court of Appeal (Civil Division)</x:v>
      </x:c>
      <x:c r="H111" s="9" t="str">
        <x:v>Appellate</x:v>
      </x:c>
      <x:c r="I111" s="9" t="str">
        <x:v>England and Wales</x:v>
      </x:c>
      <x:c r="J111" s="9" t="str">
        <x:v>Administrative Law</x:v>
      </x:c>
      <x:c r="K111" s="9" t="str">
        <x:v>-ew-cases-EWCA-Civ-2014-151.xml</x:v>
      </x:c>
      <x:c r="L111" s="9" t="str">
        <x:v>TBA</x:v>
      </x:c>
    </x:row>
    <x:row r="112">
      <x:c r="A112" t="str">
        <x:v>83045d7f-e1ea-4fe5-b1ee-c734cc4047a3</x:v>
      </x:c>
      <x:c r="B112" t="str">
        <x:v>6cdcf5e9-f36c-438a-a978-645cff8eb63a</x:v>
      </x:c>
      <x:c r="C112" s="9" t="str">
        <x:v>Ahmad (Amir, Shabnum, Atif, Rozina) v Bank of Scotland plc &amp; Ors [2016] EWCA Civ 602</x:v>
      </x:c>
      <x:c r="D112" s="9" t="str"/>
      <x:c r="E112" s="9" t="str"/>
      <x:c r="F112" s="13" t="str">
        <x:v>2016</x:v>
      </x:c>
      <x:c r="G112" s="9" t="str">
        <x:v>England and Wales Court of Appeal (Civil Division)</x:v>
      </x:c>
      <x:c r="H112" s="9" t="str">
        <x:v>Court of Appeal</x:v>
      </x:c>
      <x:c r="I112" s="9" t="str">
        <x:v>England and Wales</x:v>
      </x:c>
      <x:c r="J112" s="9" t="str">
        <x:v>Contract Law and Banking/Finance; Receivership; Estoppel; Civil Procedure</x:v>
      </x:c>
      <x:c r="K112" s="9" t="str">
        <x:v>-ew-cases-EWCA-Civ-2016-602.xml</x:v>
      </x:c>
      <x:c r="L112" s="9" t="str">
        <x:v>TBA</x:v>
      </x:c>
    </x:row>
    <x:row r="113">
      <x:c r="A113" t="str">
        <x:v>16db6ce9-869e-4b79-a036-70a9df8080fe</x:v>
      </x:c>
      <x:c r="B113" t="str">
        <x:v>f89ef7a3-b291-45fc-82e8-26d75d79a086</x:v>
      </x:c>
      <x:c r="C113" s="9" t="str">
        <x:v>Ahmad v Secretary of State for the Home Department</x:v>
      </x:c>
      <x:c r="D113" s="9" t="str"/>
      <x:c r="E113" s="9" t="str"/>
      <x:c r="F113" s="13" t="str">
        <x:v>2014</x:v>
      </x:c>
      <x:c r="G113" s="9" t="str">
        <x:v>England and Wales Court of Appeal (Civil Division)</x:v>
      </x:c>
      <x:c r="H113" s="9" t="str">
        <x:v>Appellate</x:v>
      </x:c>
      <x:c r="I113" s="9" t="str">
        <x:v>England and Wales</x:v>
      </x:c>
      <x:c r="J113" s="9" t="str">
        <x:v>Immigration Law</x:v>
      </x:c>
      <x:c r="K113" s="9" t="str">
        <x:v>-ew-cases-EWCA-Civ-2014-988.xml</x:v>
      </x:c>
      <x:c r="L113" s="9" t="str">
        <x:v>TBA</x:v>
      </x:c>
    </x:row>
    <x:row r="114">
      <x:c r="A114" t="str">
        <x:v>6421a936-fe0c-4140-8fd1-6eda3f2081c1</x:v>
      </x:c>
      <x:c r="B114" t="str">
        <x:v>00f0e9cf-43ba-47ea-a968-d48da52cdb71</x:v>
      </x:c>
      <x:c r="C114" s="9" t="str">
        <x:v>Ahmed &amp; Anor v Ahmed [2016] EWCA Civ 686</x:v>
      </x:c>
      <x:c r="D114" s="9" t="str"/>
      <x:c r="E114" s="9" t="str"/>
      <x:c r="F114" s="13" t="str">
        <x:v>2016</x:v>
      </x:c>
      <x:c r="G114" s="9" t="str">
        <x:v>England and Wales Court of Appeal (Civil Division)</x:v>
      </x:c>
      <x:c r="H114" s="9" t="str">
        <x:v>Court of Appeal (Civil Division)</x:v>
      </x:c>
      <x:c r="I114" s="9" t="str">
        <x:v>England and Wales</x:v>
      </x:c>
      <x:c r="J114" s="9" t="str">
        <x:v>Probate/Estates - Will Forgery - Civil Procedure</x:v>
      </x:c>
      <x:c r="K114" s="9" t="str">
        <x:v>-ew-cases-EWCA-Civ-2016-686.xml</x:v>
      </x:c>
      <x:c r="L114" s="9" t="str">
        <x:v>TBA</x:v>
      </x:c>
    </x:row>
    <x:row r="115">
      <x:c r="A115" t="str">
        <x:v>548adc17-5c97-4070-8b84-e61452b5fdd6</x:v>
      </x:c>
      <x:c r="B115" t="str">
        <x:v>2ac41710-0f44-46db-9e4e-767fef0ed3e6</x:v>
      </x:c>
      <x:c r="C115" s="9" t="str">
        <x:v>Ahmed &amp; Anor v Mustafa [2014] EWCA Civ 277</x:v>
      </x:c>
      <x:c r="D115" s="9" t="str"/>
      <x:c r="E115" s="9" t="str"/>
      <x:c r="F115" s="13" t="str">
        <x:v>2014</x:v>
      </x:c>
      <x:c r="G115" s="9" t="str">
        <x:v>England and Wales Court of Appeal (Civil Division)</x:v>
      </x:c>
      <x:c r="H115" s="9" t="str">
        <x:v>Appellate</x:v>
      </x:c>
      <x:c r="I115" s="9" t="str">
        <x:v>England and Wales</x:v>
      </x:c>
      <x:c r="J115" s="9" t="str">
        <x:v>Family Law</x:v>
      </x:c>
      <x:c r="K115" s="9" t="str">
        <x:v>-ew-cases-EWCA-Civ-2014-277.xml</x:v>
      </x:c>
      <x:c r="L115" s="9" t="str">
        <x:v>TBA</x:v>
      </x:c>
    </x:row>
    <x:row r="116">
      <x:c r="A116" t="str">
        <x:v>2c52a1a0-d7f2-428f-84ba-e4ab30d223dd</x:v>
      </x:c>
      <x:c r="B116" t="str">
        <x:v>b9c5a0c4-ec4e-4a48-ac27-2374ad01bf25</x:v>
      </x:c>
      <x:c r="C116" s="9" t="str">
        <x:v>Ahmed v Secretary of State for Communities and Local Government &amp; Anor [2014] EWCA Civ 566</x:v>
      </x:c>
      <x:c r="D116" s="9" t="str"/>
      <x:c r="E116" s="9" t="str"/>
      <x:c r="F116" s="13" t="str">
        <x:v>2014</x:v>
      </x:c>
      <x:c r="G116" s="9" t="str">
        <x:v>England and Wales Court of Appeal (Civil Division)</x:v>
      </x:c>
      <x:c r="H116" s="9" t="str">
        <x:v>Appellate</x:v>
      </x:c>
      <x:c r="I116" s="9" t="str">
        <x:v>England and Wales</x:v>
      </x:c>
      <x:c r="J116" s="9" t="str">
        <x:v>Administrative Law</x:v>
      </x:c>
      <x:c r="K116" s="9" t="str">
        <x:v>-ew-cases-EWCA-Civ-2014-566.xml</x:v>
      </x:c>
      <x:c r="L116" s="9" t="str">
        <x:v>TBA</x:v>
      </x:c>
    </x:row>
    <x:row r="117">
      <x:c r="A117" t="str">
        <x:v>f5ce2a1c-3593-4968-8070-795c11285362</x:v>
      </x:c>
      <x:c r="B117" t="str">
        <x:v>1254f15e-8135-446c-a468-e21a4ac9e2d9</x:v>
      </x:c>
      <x:c r="C117" s="9" t="str">
        <x:v>Ahmed v Secretary of State for the Home Department [2016] EWCA Civ 684</x:v>
      </x:c>
      <x:c r="D117" s="9" t="str"/>
      <x:c r="E117" s="9" t="str"/>
      <x:c r="F117" s="13" t="str">
        <x:v>2016</x:v>
      </x:c>
      <x:c r="G117" s="9" t="str">
        <x:v>England and Wales Court of Appeal (Civil Division)</x:v>
      </x:c>
      <x:c r="H117" s="9" t="str">
        <x:v>Court of Appeal (Civil Division)</x:v>
      </x:c>
      <x:c r="I117" s="9" t="str">
        <x:v>England and Wales</x:v>
      </x:c>
      <x:c r="J117" s="9" t="str">
        <x:v>Immigration Law</x:v>
      </x:c>
      <x:c r="K117" s="9" t="str">
        <x:v>-ew-cases-EWCA-Civ-2016-684.xml</x:v>
      </x:c>
      <x:c r="L117" s="9" t="str">
        <x:v>TBA</x:v>
      </x:c>
    </x:row>
    <x:row r="118">
      <x:c r="A118" t="str">
        <x:v>6d1f6822-2803-4981-8a6a-9636d7f9d161</x:v>
      </x:c>
      <x:c r="B118" t="str">
        <x:v>1a2d69fd-9ddf-4dc7-89a6-64350a47854e</x:v>
      </x:c>
      <x:c r="C118" s="9" t="str">
        <x:v>Ahmed v Secretary of State for the Home Department [2017] EWCA Civ 118</x:v>
      </x:c>
      <x:c r="D118" s="9" t="str"/>
      <x:c r="E118" s="9" t="str"/>
      <x:c r="F118" s="13" t="str">
        <x:v>2017</x:v>
      </x:c>
      <x:c r="G118" s="9" t="str">
        <x:v>England and Wales Court of Appeal (Civil Division)</x:v>
      </x:c>
      <x:c r="H118" s="9" t="str">
        <x:v>Appellate</x:v>
      </x:c>
      <x:c r="I118" s="9" t="str">
        <x:v>England and Wales</x:v>
      </x:c>
      <x:c r="J118" s="9" t="str">
        <x:v>Administrative Law</x:v>
      </x:c>
      <x:c r="K118" s="9" t="str">
        <x:v>-ew-cases-EWCA-Civ-2017-118.xml</x:v>
      </x:c>
      <x:c r="L118" s="9" t="str">
        <x:v>TBA</x:v>
      </x:c>
    </x:row>
    <x:row r="119">
      <x:c r="A119" t="str">
        <x:v>dd675f45-35bc-4428-a871-af440e2c206d</x:v>
      </x:c>
      <x:c r="B119" t="str">
        <x:v>bc25bbb9-719f-4835-b569-cf631296f103</x:v>
      </x:c>
      <x:c r="C119" s="9" t="str">
        <x:v>Ahmed v The Secretary of State for the Home Department [2017] EWCA Civ 99</x:v>
      </x:c>
      <x:c r="D119" s="9" t="str"/>
      <x:c r="E119" s="9" t="str"/>
      <x:c r="F119" s="13" t="str">
        <x:v>2017</x:v>
      </x:c>
      <x:c r="G119" s="9" t="str">
        <x:v>England and Wales Court of Appeal (Civil Division)</x:v>
      </x:c>
      <x:c r="H119" s="9" t="str">
        <x:v>appellate</x:v>
      </x:c>
      <x:c r="I119" s="9" t="str">
        <x:v>England and Wales</x:v>
      </x:c>
      <x:c r="J119" s="9" t="str">
        <x:v>Immigration Law</x:v>
      </x:c>
      <x:c r="K119" s="9" t="str">
        <x:v>-ew-cases-EWCA-Civ-2017-99.xml</x:v>
      </x:c>
      <x:c r="L119" s="9" t="str">
        <x:v>TBA</x:v>
      </x:c>
    </x:row>
    <x:row r="120">
      <x:c r="A120" t="str">
        <x:v>75073ba2-5b09-4462-8d79-8bd118ae2948</x:v>
      </x:c>
      <x:c r="B120" t="str">
        <x:v>fd55f66f-c8c9-4b3e-8f66-16e669d2da69</x:v>
      </x:c>
      <x:c r="C120" s="9" t="str">
        <x:v>Ahmed, R (On the Application Of) v Secretary of State for the Home Department [2016] EWCA Civ 303</x:v>
      </x:c>
      <x:c r="D120" s="9" t="str"/>
      <x:c r="E120" s="9" t="str"/>
      <x:c r="F120" s="13" t="str">
        <x:v>2016</x:v>
      </x:c>
      <x:c r="G120" s="9" t="str">
        <x:v>England and Wales Court of Appeal (Civil Division)</x:v>
      </x:c>
      <x:c r="H120" s="9" t="str">
        <x:v>Court of Appeal (Civil Division)</x:v>
      </x:c>
      <x:c r="I120" s="9" t="str">
        <x:v>England and Wales</x:v>
      </x:c>
      <x:c r="J120" s="9" t="str">
        <x:v>Immigration Law</x:v>
      </x:c>
      <x:c r="K120" s="9" t="str">
        <x:v>-ew-cases-EWCA-Civ-2016-303.xml</x:v>
      </x:c>
      <x:c r="L120" s="9" t="str">
        <x:v>TBA</x:v>
      </x:c>
    </x:row>
    <x:row r="121">
      <x:c r="A121" t="str">
        <x:v>6d7fe95b-6ef3-40ff-95bc-87f192f3fa60</x:v>
      </x:c>
      <x:c r="B121" t="str">
        <x:v>37a2595d-7d9f-4112-8add-98cdeffa3c94</x:v>
      </x:c>
      <x:c r="C121" s="9" t="str">
        <x:v>Ahsan v Secretary of State for the Home Department</x:v>
      </x:c>
      <x:c r="D121" s="9" t="str"/>
      <x:c r="E121" s="9" t="str"/>
      <x:c r="F121" s="13" t="str">
        <x:v>2017</x:v>
      </x:c>
      <x:c r="G121" s="9" t="str">
        <x:v>England and Wales Court of Appeal (Civil Division)</x:v>
      </x:c>
      <x:c r="H121" s="9" t="str">
        <x:v>Appellate</x:v>
      </x:c>
      <x:c r="I121" s="9" t="str">
        <x:v>England and Wales</x:v>
      </x:c>
      <x:c r="J121" s="9" t="str">
        <x:v>Immigration Law</x:v>
      </x:c>
      <x:c r="K121" s="9" t="str">
        <x:v>-ew-cases-EWCA-Civ-2017-2009.xml</x:v>
      </x:c>
      <x:c r="L121" s="9" t="str">
        <x:v>TBA</x:v>
      </x:c>
    </x:row>
    <x:row r="122">
      <x:c r="A122" t="str">
        <x:v>2bbfd478-aec7-4001-86a9-4a0d144da6d1</x:v>
      </x:c>
      <x:c r="B122" t="str">
        <x:v>b1262c6a-0eea-45ea-b3b8-441dd571310e</x:v>
      </x:c>
      <x:c r="C122" s="9" t="str">
        <x:v>Aidiniantz v The Sherlock Holmes International Society Ltd [2017] EWCA Civ 1875</x:v>
      </x:c>
      <x:c r="D122" s="9" t="str"/>
      <x:c r="E122" s="9" t="str"/>
      <x:c r="F122" s="13" t="str">
        <x:v>2017</x:v>
      </x:c>
      <x:c r="G122" s="9" t="str">
        <x:v>England and Wales Court of Appeal (Civil Division)</x:v>
      </x:c>
      <x:c r="H122" s="9" t="str">
        <x:v>Appellate</x:v>
      </x:c>
      <x:c r="I122" s="9" t="str">
        <x:v>England and Wales</x:v>
      </x:c>
      <x:c r="J122" s="9" t="str">
        <x:v>Company Law</x:v>
      </x:c>
      <x:c r="K122" s="9" t="str">
        <x:v>-ew-cases-EWCA-Civ-2017-1875.xml</x:v>
      </x:c>
      <x:c r="L122" s="9" t="str">
        <x:v>TBA</x:v>
      </x:c>
    </x:row>
    <x:row r="123">
      <x:c r="A123" t="str">
        <x:v>25818b8e-f3fe-4b47-a179-4a50fef9d512</x:v>
      </x:c>
      <x:c r="B123" t="str">
        <x:v>2f9fd02a-26e6-4859-90a8-5d64d042f0b9</x:v>
      </x:c>
      <x:c r="C123" s="9" t="str">
        <x:v>AIG Europe Ltd v OC320301 LLP &amp; Ors [2016] EWCA Civ 367</x:v>
      </x:c>
      <x:c r="D123" s="9" t="str"/>
      <x:c r="E123" s="9" t="str"/>
      <x:c r="F123" s="13" t="str">
        <x:v>2016</x:v>
      </x:c>
      <x:c r="G123" s="9" t="str">
        <x:v>England and Wales Court of Appeal (Civil Division)</x:v>
      </x:c>
      <x:c r="H123" s="9" t="str">
        <x:v>Court of Appeal (Civil Division)</x:v>
      </x:c>
      <x:c r="I123" s="9" t="str">
        <x:v>England and Wales</x:v>
      </x:c>
      <x:c r="J123" s="9" t="str">
        <x:v>Insurance</x:v>
      </x:c>
      <x:c r="K123" s="9" t="str">
        <x:v>-ew-cases-EWCA-Civ-2016-367.xml</x:v>
      </x:c>
      <x:c r="L123" s="9" t="str">
        <x:v>TBA</x:v>
      </x:c>
    </x:row>
    <x:row r="124">
      <x:c r="A124" t="str">
        <x:v>b8f8ad8a-be15-4714-aa1a-8be20525d9f8</x:v>
      </x:c>
      <x:c r="B124" t="str">
        <x:v>f4622297-782a-464e-8eda-23f6cf392375</x:v>
      </x:c>
      <x:c r="C124" s="9" t="str">
        <x:v>AIG Europe SA &amp; Ors v John Wood Group Plc &amp; Anor [2022] EWCA Civ 781 (10 June 2022)</x:v>
      </x:c>
      <x:c r="D124" s="9" t="str"/>
      <x:c r="E124" s="9" t="str"/>
      <x:c r="F124" s="13" t="str">
        <x:v>2022</x:v>
      </x:c>
      <x:c r="G124" s="9" t="str">
        <x:v>England and Wales Court of Appeal (Civil Division)</x:v>
      </x:c>
      <x:c r="H124" s="9" t="str">
        <x:v>Court of Appeal (Civil Division)</x:v>
      </x:c>
      <x:c r="I124" s="9" t="str">
        <x:v>England and Wales</x:v>
      </x:c>
      <x:c r="J124" s="9" t="str">
        <x:v>Contract/Insurance</x:v>
      </x:c>
      <x:c r="K124" s="9" t="str">
        <x:v>ew-cases-EWCA-Civ-2022-781.xml</x:v>
      </x:c>
      <x:c r="L124" s="9" t="str">
        <x:v>TBA</x:v>
      </x:c>
    </x:row>
    <x:row r="125">
      <x:c r="A125" t="str">
        <x:v>a1cf8703-2b40-423e-a7aa-801cdb937345</x:v>
      </x:c>
      <x:c r="B125" t="str">
        <x:v>b9769b3a-f9d0-400d-89be-4b2f5eba5cf4</x:v>
      </x:c>
      <x:c r="C125" s="9" t="str">
        <x:v>Air Canada &amp; Ors v Emerald Supplies Limited &amp; Ors [2015] EWCA Civ 1024</x:v>
      </x:c>
      <x:c r="D125" s="9" t="str"/>
      <x:c r="E125" s="9" t="str"/>
      <x:c r="F125" s="13" t="str">
        <x:v>2015</x:v>
      </x:c>
      <x:c r="G125" s="9" t="str">
        <x:v>England and Wales Court of Appeal (Civil Division)</x:v>
      </x:c>
      <x:c r="H125" s="9" t="str">
        <x:v>Appellate</x:v>
      </x:c>
      <x:c r="I125" s="9" t="str">
        <x:v>England and Wales</x:v>
      </x:c>
      <x:c r="J125" s="9" t="str">
        <x:v>Antitrust</x:v>
      </x:c>
      <x:c r="K125" s="9" t="str">
        <x:v>-ew-cases-EWCA-Civ-2015-1024.xml</x:v>
      </x:c>
      <x:c r="L125" s="9" t="str">
        <x:v>TBA</x:v>
      </x:c>
    </x:row>
    <x:row r="126">
      <x:c r="A126" t="str">
        <x:v>8f4b9d97-4b94-49e7-9ccc-ed68df706ccc</x:v>
      </x:c>
      <x:c r="B126" t="str">
        <x:v>0b406128-e466-4640-807e-a1bc75fd7b00</x:v>
      </x:c>
      <x:c r="C126" s="9" t="str">
        <x:v>Airtours Holidays Transport Ltd v Revenue and Customs</x:v>
      </x:c>
      <x:c r="D126" s="9" t="str"/>
      <x:c r="E126" s="9" t="str"/>
      <x:c r="F126" s="13" t="str">
        <x:v>2014</x:v>
      </x:c>
      <x:c r="G126" s="9" t="str">
        <x:v>England and Wales Court of Appeal (Civil Division)</x:v>
      </x:c>
      <x:c r="H126" s="9" t="str">
        <x:v>Appellate</x:v>
      </x:c>
      <x:c r="I126" s="9" t="str">
        <x:v>England and Wales</x:v>
      </x:c>
      <x:c r="J126" s="9" t="str">
        <x:v>Tax Law</x:v>
      </x:c>
      <x:c r="K126" s="9" t="str">
        <x:v>-ew-cases-EWCA-Civ-2014-1033.xml</x:v>
      </x:c>
      <x:c r="L126" s="9" t="str">
        <x:v>TBA</x:v>
      </x:c>
    </x:row>
    <x:row r="127">
      <x:c r="A127" t="str">
        <x:v>185abd94-5a93-40ba-a609-ab8277861ebe</x:v>
      </x:c>
      <x:c r="B127" t="str">
        <x:v>63287192-0ceb-459c-8d41-dd0cd344d725</x:v>
      </x:c>
      <x:c r="C127" s="9" t="str">
        <x:v>AJ (Gambia) v Secretary of State for the Home Department [2016] EWCA Civ 259</x:v>
      </x:c>
      <x:c r="D127" s="9" t="str"/>
      <x:c r="E127" s="9" t="str"/>
      <x:c r="F127" s="13" t="str">
        <x:v>2016</x:v>
      </x:c>
      <x:c r="G127" s="9" t="str">
        <x:v>England and Wales Court of Appeal (Civil Division)</x:v>
      </x:c>
      <x:c r="H127" s="9" t="str">
        <x:v>Court of Appeal (Civil Division)</x:v>
      </x:c>
      <x:c r="I127" s="9" t="str">
        <x:v>England and Wales</x:v>
      </x:c>
      <x:c r="J127" s="9" t="str">
        <x:v>Administrative Law - Immigration/Asylum - Appellate Procedure</x:v>
      </x:c>
      <x:c r="K127" s="9" t="str">
        <x:v>-ew-cases-EWCA-Civ-2016-259.xml</x:v>
      </x:c>
      <x:c r="L127" s="9" t="str">
        <x:v>TBA</x:v>
      </x:c>
    </x:row>
    <x:row r="128">
      <x:c r="A128" t="str">
        <x:v>58307a3d-2fe6-4a3c-b315-7994b28cd174</x:v>
      </x:c>
      <x:c r="B128" t="str">
        <x:v>734f2ab0-d552-4fa2-a4b6-0a889fc6c94f</x:v>
      </x:c>
      <x:c r="C128" s="9" t="str">
        <x:v>Ajilore v London Borough of Hackney: Vulnerability Assessment Under Housing Act 1996</x:v>
      </x:c>
      <x:c r="D128" s="9" t="str"/>
      <x:c r="E128" s="9" t="str"/>
      <x:c r="F128" s="13" t="str">
        <x:v>2014</x:v>
      </x:c>
      <x:c r="G128" s="9" t="str">
        <x:v>England and Wales Court of Appeal (Civil Division)</x:v>
      </x:c>
      <x:c r="H128" s="9" t="str">
        <x:v>Appellate</x:v>
      </x:c>
      <x:c r="I128" s="9" t="str">
        <x:v>England and Wales</x:v>
      </x:c>
      <x:c r="J128" s="9" t="str">
        <x:v>Housing Law</x:v>
      </x:c>
      <x:c r="K128" s="9" t="str">
        <x:v>-ew-cases-EWCA-Civ-2014-1273.xml</x:v>
      </x:c>
      <x:c r="L128" s="9" t="str">
        <x:v>TBA</x:v>
      </x:c>
    </x:row>
    <x:row r="129">
      <x:c r="A129" t="str">
        <x:v>acd9e234-4b65-4603-9891-0c4ca52586e5</x:v>
      </x:c>
      <x:c r="B129" t="str">
        <x:v>f323d662-508b-4506-9780-384912231320</x:v>
      </x:c>
      <x:c r="C129" s="9" t="str">
        <x:v>AK (Sierra Leone) v Secretary of State for the Home Department [2016] EWCA Civ 999</x:v>
      </x:c>
      <x:c r="D129" s="9" t="str"/>
      <x:c r="E129" s="9" t="str"/>
      <x:c r="F129" s="13" t="str">
        <x:v>2016</x:v>
      </x:c>
      <x:c r="G129" s="9" t="str">
        <x:v>England and Wales Court of Appeal (Civil Division)</x:v>
      </x:c>
      <x:c r="H129" s="9" t="str">
        <x:v>Court of Appeal (Civil Division)</x:v>
      </x:c>
      <x:c r="I129" s="9" t="str">
        <x:v>England and Wales</x:v>
      </x:c>
      <x:c r="J129" s="9" t="str">
        <x:v>Immigration and Asylum</x:v>
      </x:c>
      <x:c r="K129" s="9" t="str">
        <x:v>-ew-cases-EWCA-Civ-2016-999.xml</x:v>
      </x:c>
      <x:c r="L129" s="9" t="str">
        <x:v>TBA</x:v>
      </x:c>
    </x:row>
    <x:row r="130">
      <x:c r="A130" t="str">
        <x:v>5ca4d551-c89a-40a9-90e2-dd1e9f2f97bb</x:v>
      </x:c>
      <x:c r="B130" t="str">
        <x:v>a05da520-86c4-476b-8166-5a4afd89f631</x:v>
      </x:c>
      <x:c r="C130" s="9" t="str">
        <x:v>AK (Zimbabwe) &amp; Ors v Secretary of State for the Home Department [2015] EWCA Civ 1417</x:v>
      </x:c>
      <x:c r="D130" s="9" t="str"/>
      <x:c r="E130" s="9" t="str"/>
      <x:c r="F130" s="13" t="str">
        <x:v>2015</x:v>
      </x:c>
      <x:c r="G130" s="9" t="str">
        <x:v>England and Wales Court of Appeal (Civil Division)</x:v>
      </x:c>
      <x:c r="H130" s="9" t="str">
        <x:v>Appellate</x:v>
      </x:c>
      <x:c r="I130" s="9" t="str">
        <x:v>England and Wales</x:v>
      </x:c>
      <x:c r="J130" s="9" t="str">
        <x:v>Immigration Law</x:v>
      </x:c>
      <x:c r="K130" s="9" t="str">
        <x:v>-ew-cases-EWCA-Civ-2015-1417.xml</x:v>
      </x:c>
      <x:c r="L130" s="9" t="str">
        <x:v>TBA</x:v>
      </x:c>
    </x:row>
    <x:row r="131">
      <x:c r="A131" t="str">
        <x:v>9d144d0e-4670-4ba6-b42a-ce0afd476520</x:v>
      </x:c>
      <x:c r="B131" t="str">
        <x:v>c6b9cb2a-95ce-4ed2-9140-c0aa2f9e0be5</x:v>
      </x:c>
      <x:c r="C131" s="9" t="str">
        <x:v>AK &amp; Ors, R (on the application of) v The Entry Clearance Office (Islamabad) &amp; Anor [2021] EWCA Civ 1038</x:v>
      </x:c>
      <x:c r="D131" s="9" t="str"/>
      <x:c r="E131" s="9" t="str"/>
      <x:c r="F131" s="13" t="str">
        <x:v>2021</x:v>
      </x:c>
      <x:c r="G131" s="9" t="str">
        <x:v>England and Wales Court of Appeal (Civil Division)</x:v>
      </x:c>
      <x:c r="H131" s="9" t="str">
        <x:v>Appellate</x:v>
      </x:c>
      <x:c r="I131" s="9" t="str">
        <x:v>England and Wales</x:v>
      </x:c>
      <x:c r="J131" s="9" t="str">
        <x:v>Immigration Law / Judicial Review</x:v>
      </x:c>
      <x:c r="K131" s="9" t="str">
        <x:v>ew-cases-EWCA-Civ-2021-1038.xml</x:v>
      </x:c>
      <x:c r="L131" s="9" t="str">
        <x:v>TBA</x:v>
      </x:c>
    </x:row>
    <x:row r="132">
      <x:c r="A132" t="str">
        <x:v>ec13db44-32a1-4277-846b-b44b028f70b1</x:v>
      </x:c>
      <x:c r="B132" t="str">
        <x:v>780684fa-c703-4f91-8096-84b890c1e81b</x:v>
      </x:c>
      <x:c r="C132" s="9" t="str">
        <x:v>AK v Secretary of State for the Home Department [2014] EWCA Civ 1642</x:v>
      </x:c>
      <x:c r="D132" s="9" t="str"/>
      <x:c r="E132" s="9" t="str"/>
      <x:c r="F132" s="13" t="str">
        <x:v>2014</x:v>
      </x:c>
      <x:c r="G132" s="9" t="str">
        <x:v>England and Wales Court of Appeal (Civil Division)</x:v>
      </x:c>
      <x:c r="H132" s="9" t="str">
        <x:v>Appellate</x:v>
      </x:c>
      <x:c r="I132" s="9" t="str">
        <x:v>England and Wales</x:v>
      </x:c>
      <x:c r="J132" s="9" t="str">
        <x:v>Immigration Law</x:v>
      </x:c>
      <x:c r="K132" s="9" t="str">
        <x:v>-ew-cases-EWCA-Civ-2014-1642.xml</x:v>
      </x:c>
      <x:c r="L132" s="9" t="str">
        <x:v>TBA</x:v>
      </x:c>
    </x:row>
    <x:row r="133">
      <x:c r="A133" t="str">
        <x:v>d2a25b54-6971-40fc-97a2-772e19a4499a</x:v>
      </x:c>
      <x:c r="B133" t="str">
        <x:v>16e6caaa-ee0f-40ed-8b3b-815148d7d9f4</x:v>
      </x:c>
      <x:c r="C133" s="9" t="str">
        <x:v>Akbar v The Secretary of State for Justice [2021] EWCA Civ 898</x:v>
      </x:c>
      <x:c r="D133" s="9" t="str"/>
      <x:c r="E133" s="9" t="str"/>
      <x:c r="F133" s="13" t="str">
        <x:v>2021</x:v>
      </x:c>
      <x:c r="G133" s="9" t="str">
        <x:v>England and Wales Court of Appeal (Civil Division)</x:v>
      </x:c>
      <x:c r="H133" s="9" t="str">
        <x:v>Appellate</x:v>
      </x:c>
      <x:c r="I133" s="9" t="str">
        <x:v>United Kingdom</x:v>
      </x:c>
      <x:c r="J133" s="9" t="str">
        <x:v>Administrative Law</x:v>
      </x:c>
      <x:c r="K133" s="9" t="str">
        <x:v>ew-cases-EWCA-Civ-2021-898.xml</x:v>
      </x:c>
      <x:c r="L133" s="9" t="str">
        <x:v>TBA</x:v>
      </x:c>
    </x:row>
    <x:row r="134">
      <x:c r="A134" t="str">
        <x:v>9862a487-51cd-4de2-a5aa-387b4e7c0111</x:v>
      </x:c>
      <x:c r="B134" t="str">
        <x:v>59c484e0-1310-4327-9ec6-c01f76046370</x:v>
      </x:c>
      <x:c r="C134" s="9" t="str">
        <x:v>AKC (Protected party by her mother and litigation friend MCK) v Barking, Havering &amp; Redbridge University Hospitals NHS Trust [2022] EWCA Civ 630</x:v>
      </x:c>
      <x:c r="D134" s="9" t="str"/>
      <x:c r="E134" s="9" t="str"/>
      <x:c r="F134" s="13" t="str">
        <x:v>2022</x:v>
      </x:c>
      <x:c r="G134" s="9" t="str">
        <x:v>England and Wales Court of Appeal (Civil Division)</x:v>
      </x:c>
      <x:c r="H134" s="9" t="str">
        <x:v>Court of Appeal (Civil Division)</x:v>
      </x:c>
      <x:c r="I134" s="9" t="str">
        <x:v>England and Wales</x:v>
      </x:c>
      <x:c r="J134" s="9" t="str">
        <x:v>Costs/Procedural Law</x:v>
      </x:c>
      <x:c r="K134" s="9" t="str">
        <x:v>ew-cases-EWCA-Civ-2022-630.xml</x:v>
      </x:c>
      <x:c r="L134" s="9" t="str">
        <x:v>TBA</x:v>
      </x:c>
    </x:row>
    <x:row r="135">
      <x:c r="A135" t="str">
        <x:v>5810e896-e783-49b4-96a9-3250c9cbcc0e</x:v>
      </x:c>
      <x:c r="B135" t="str">
        <x:v>9dea4112-b989-4c0d-9151-f68ba6432be4</x:v>
      </x:c>
      <x:c r="C135" s="9" t="str">
        <x:v>Akers &amp; Ors v Samba Financial Group [2014] EWCA Civ 1516</x:v>
      </x:c>
      <x:c r="D135" s="9" t="str"/>
      <x:c r="E135" s="9" t="str"/>
      <x:c r="F135" s="13" t="str">
        <x:v>2014</x:v>
      </x:c>
      <x:c r="G135" s="9" t="str">
        <x:v>England and Wales Court of Appeal (Civil Division)</x:v>
      </x:c>
      <x:c r="H135" s="9" t="str">
        <x:v>Appellate</x:v>
      </x:c>
      <x:c r="I135" s="9" t="str">
        <x:v>England and Wales</x:v>
      </x:c>
      <x:c r="J135" s="9" t="str">
        <x:v>Contract Dispute</x:v>
      </x:c>
      <x:c r="K135" s="9" t="str">
        <x:v>-ew-cases-EWCA-Civ-2014-1516.xml</x:v>
      </x:c>
      <x:c r="L135" s="9" t="str">
        <x:v>TBA</x:v>
      </x:c>
    </x:row>
    <x:row r="136">
      <x:c r="A136" t="str">
        <x:v>0699e138-6aa6-4c7e-8041-d76b2def2cb8</x:v>
      </x:c>
      <x:c r="B136" t="str">
        <x:v>622d5574-d476-4848-8d70-32390a5b83a2</x:v>
      </x:c>
      <x:c r="C136" s="9" t="str">
        <x:v>Akhtar v Boland [2014] EWCA Civ 872</x:v>
      </x:c>
      <x:c r="D136" s="9" t="str"/>
      <x:c r="E136" s="9" t="str"/>
      <x:c r="F136" s="13" t="str">
        <x:v>2014</x:v>
      </x:c>
      <x:c r="G136" s="9" t="str">
        <x:v>England and Wales Court of Appeal (Civil Division)</x:v>
      </x:c>
      <x:c r="H136" s="9" t="str">
        <x:v>Appellate</x:v>
      </x:c>
      <x:c r="I136" s="9" t="str">
        <x:v>England and Wales</x:v>
      </x:c>
      <x:c r="J136" s="9" t="str">
        <x:v>Civil Appeal</x:v>
      </x:c>
      <x:c r="K136" s="9" t="str">
        <x:v>-ew-cases-EWCA-Civ-2014-872.xml</x:v>
      </x:c>
      <x:c r="L136" s="9" t="str">
        <x:v>TBA</x:v>
      </x:c>
    </x:row>
    <x:row r="137">
      <x:c r="A137" t="str">
        <x:v>33ef9c76-3114-41e5-b531-c8b18e5a0b27</x:v>
      </x:c>
      <x:c r="B137" t="str">
        <x:v>4d658c26-5d31-4634-8431-d7bdd200c87b</x:v>
      </x:c>
      <x:c r="C137" s="9" t="str">
        <x:v>Akhtar v Boland [2014] EWCA Civ 943</x:v>
      </x:c>
      <x:c r="D137" s="9" t="str"/>
      <x:c r="E137" s="9" t="str"/>
      <x:c r="F137" s="13" t="str">
        <x:v>2014</x:v>
      </x:c>
      <x:c r="G137" s="9" t="str">
        <x:v>England and Wales Court of Appeal (Civil Division)</x:v>
      </x:c>
      <x:c r="H137" s="9" t="str">
        <x:v>Appellate</x:v>
      </x:c>
      <x:c r="I137" s="9" t="str">
        <x:v>England and Wales</x:v>
      </x:c>
      <x:c r="J137" s="9" t="str">
        <x:v>Civil Procedure</x:v>
      </x:c>
      <x:c r="K137" s="9" t="str">
        <x:v>-ew-cases-EWCA-Civ-2014-943.xml</x:v>
      </x:c>
      <x:c r="L137" s="9" t="str">
        <x:v>TBA</x:v>
      </x:c>
    </x:row>
    <x:row r="138">
      <x:c r="A138" t="str">
        <x:v>0f267ab4-cfe1-435f-9001-9723061f2247</x:v>
      </x:c>
      <x:c r="B138" t="str">
        <x:v>866ddd99-16fc-458c-9583-7d5019f612ac</x:v>
      </x:c>
      <x:c r="C138" s="9" t="str">
        <x:v>Akinola &amp; Anor v Upper Tribunal &amp; Anor</x:v>
      </x:c>
      <x:c r="D138" s="9" t="str"/>
      <x:c r="E138" s="9" t="str"/>
      <x:c r="F138" s="13" t="str">
        <x:v>2021</x:v>
      </x:c>
      <x:c r="G138" s="9" t="str">
        <x:v>England and Wales Court of Appeal (Civil Division)</x:v>
      </x:c>
      <x:c r="H138" s="9" t="str">
        <x:v>Appellate</x:v>
      </x:c>
      <x:c r="I138" s="9" t="str">
        <x:v>England and Wales</x:v>
      </x:c>
      <x:c r="J138" s="9" t="str">
        <x:v>Immigration Law</x:v>
      </x:c>
      <x:c r="K138" s="9" t="str">
        <x:v>ew-cases-EWCA-Civ-2021-1308.xml</x:v>
      </x:c>
      <x:c r="L138" s="9" t="str">
        <x:v>TBA</x:v>
      </x:c>
    </x:row>
    <x:row r="139">
      <x:c r="A139" t="str">
        <x:v>79ca5b82-48a9-4031-bc8f-bdf6e27bece3</x:v>
      </x:c>
      <x:c r="B139" t="str">
        <x:v>38cd5d51-00a4-4574-8d41-3d50015a8cd6</x:v>
      </x:c>
      <x:c r="C139" s="9" t="str">
        <x:v>Akinsanya v Secretary of State for the Home Department [2022] EWCA Civ 37 (Court of Appeal, Civil Division)</x:v>
      </x:c>
      <x:c r="D139" s="9" t="str"/>
      <x:c r="E139" s="9" t="str"/>
      <x:c r="F139" s="13" t="str">
        <x:v>2022</x:v>
      </x:c>
      <x:c r="G139" s="9" t="str">
        <x:v>England and Wales Court of Appeal (Civil Division)</x:v>
      </x:c>
      <x:c r="H139" s="9" t="str">
        <x:v>Court of Appeal (Civil Division)</x:v>
      </x:c>
      <x:c r="I139" s="9" t="str">
        <x:v>United Kingdom</x:v>
      </x:c>
      <x:c r="J139" s="9" t="str">
        <x:v>Immigration Law; EU Law; Human Rights (free movement)</x:v>
      </x:c>
      <x:c r="K139" s="9" t="str">
        <x:v>ew-cases-EWCA-Civ-2022-37.xml</x:v>
      </x:c>
      <x:c r="L139" s="9" t="str">
        <x:v>TBA</x:v>
      </x:c>
    </x:row>
    <x:row r="140">
      <x:c r="A140" t="str">
        <x:v>94d9cb01-1a3f-46fa-a1df-bee679a475e3</x:v>
      </x:c>
      <x:c r="B140" t="str">
        <x:v>7f509e50-6ca8-4422-8ee6-86d93967fd69</x:v>
      </x:c>
      <x:c r="C140" s="9" t="str">
        <x:v>Akinyemi v The Secretary of State for the Home Department</x:v>
      </x:c>
      <x:c r="D140" s="9" t="str"/>
      <x:c r="E140" s="9" t="str"/>
      <x:c r="F140" s="13" t="str">
        <x:v>2017</x:v>
      </x:c>
      <x:c r="G140" s="9" t="str">
        <x:v>England and Wales Court of Appeal (Civil Division)</x:v>
      </x:c>
      <x:c r="H140" s="9" t="str">
        <x:v>appellate</x:v>
      </x:c>
      <x:c r="I140" s="9" t="str">
        <x:v>England and Wales</x:v>
      </x:c>
      <x:c r="J140" s="9" t="str">
        <x:v>Immigration Law</x:v>
      </x:c>
      <x:c r="K140" s="9" t="str">
        <x:v>-ew-cases-EWCA-Civ-2017-236.xml</x:v>
      </x:c>
      <x:c r="L140" s="9" t="str">
        <x:v>TBA</x:v>
      </x:c>
    </x:row>
    <x:row r="141">
      <x:c r="A141" t="str">
        <x:v>88d46c74-e70b-4fdb-9f7f-ab31d7674c19</x:v>
      </x:c>
      <x:c r="B141" t="str">
        <x:v>7b3c6618-ab31-4821-a68f-3f051311999f</x:v>
      </x:c>
      <x:c r="C141" s="9" t="str">
        <x:v>Akpan v Secretary of State for the Home Department [2015] EWCA Civ 1266</x:v>
      </x:c>
      <x:c r="D141" s="9" t="str"/>
      <x:c r="E141" s="9" t="str"/>
      <x:c r="F141" s="13" t="str">
        <x:v>2015</x:v>
      </x:c>
      <x:c r="G141" s="9" t="str">
        <x:v>England and Wales Court of Appeal (Civil Division)</x:v>
      </x:c>
      <x:c r="H141" s="9" t="str">
        <x:v>Appellate</x:v>
      </x:c>
      <x:c r="I141" s="9" t="str">
        <x:v>England and Wales</x:v>
      </x:c>
      <x:c r="J141" s="9" t="str">
        <x:v>Immigration Law</x:v>
      </x:c>
      <x:c r="K141" s="9" t="str">
        <x:v>-ew-cases-EWCA-Civ-2015-1266.xml</x:v>
      </x:c>
      <x:c r="L141" s="9" t="str">
        <x:v>TBA</x:v>
      </x:c>
    </x:row>
    <x:row r="142">
      <x:c r="A142" t="str">
        <x:v>757ae9ac-911d-4bc9-92f6-cc053bf02100</x:v>
      </x:c>
      <x:c r="B142" t="str">
        <x:v>2107e55d-1518-4b1e-a11b-565d5586f249</x:v>
      </x:c>
      <x:c r="C142" s="9" t="str">
        <x:v>Akpinar v Upper Tribunal (Immigration and Asylum Chamber)</x:v>
      </x:c>
      <x:c r="D142" s="9" t="str"/>
      <x:c r="E142" s="9" t="str"/>
      <x:c r="F142" s="13" t="str">
        <x:v>2014</x:v>
      </x:c>
      <x:c r="G142" s="9" t="str">
        <x:v>England and Wales Court of Appeal (Civil Division)</x:v>
      </x:c>
      <x:c r="H142" s="9" t="str">
        <x:v>Appellate</x:v>
      </x:c>
      <x:c r="I142" s="9" t="str">
        <x:v>England and Wales</x:v>
      </x:c>
      <x:c r="J142" s="9" t="str">
        <x:v>Immigration Law</x:v>
      </x:c>
      <x:c r="K142" s="9" t="str">
        <x:v>-ew-cases-EWCA-Civ-2014-937.xml</x:v>
      </x:c>
      <x:c r="L142" s="9" t="str">
        <x:v>TBA</x:v>
      </x:c>
    </x:row>
    <x:row r="143">
      <x:c r="A143" t="str">
        <x:v>2caac4a5-6416-436b-871f-fe339552ec57</x:v>
      </x:c>
      <x:c r="B143" t="str">
        <x:v>e30a732e-7630-4ece-b818-96ac256e40dd</x:v>
      </x:c>
      <x:c r="C143" s="9" t="str">
        <x:v>Akter v Secretary of State for the Home Department [2021] EWCA Civ 704</x:v>
      </x:c>
      <x:c r="D143" s="9" t="str"/>
      <x:c r="E143" s="9" t="str"/>
      <x:c r="F143" s="13" t="str">
        <x:v>2021</x:v>
      </x:c>
      <x:c r="G143" s="9" t="str">
        <x:v>England and Wales Court of Appeal (Civil Division)</x:v>
      </x:c>
      <x:c r="H143" s="9" t="str">
        <x:v>Appellate</x:v>
      </x:c>
      <x:c r="I143" s="9" t="str">
        <x:v>England and Wales</x:v>
      </x:c>
      <x:c r="J143" s="9" t="str">
        <x:v>Immigration Law</x:v>
      </x:c>
      <x:c r="K143" s="9" t="str">
        <x:v>ew-cases-EWCA-Civ-2021-704.xml</x:v>
      </x:c>
      <x:c r="L143" s="9" t="str">
        <x:v>TBA</x:v>
      </x:c>
    </x:row>
    <x:row r="144">
      <x:c r="A144" t="str">
        <x:v>d22fefd3-1d0c-47bc-9ee1-6f2f94f98372</x:v>
      </x:c>
      <x:c r="B144" t="str">
        <x:v>7ab9c057-769a-4296-8322-59aa9d45ca47</x:v>
      </x:c>
      <x:c r="C144" s="9" t="str">
        <x:v>Akter, R (On the Application Of) v The Secretary of State for the Home Department</x:v>
      </x:c>
      <x:c r="D144" s="9" t="str"/>
      <x:c r="E144" s="9" t="str"/>
      <x:c r="F144" s="13" t="str">
        <x:v>2015</x:v>
      </x:c>
      <x:c r="G144" s="9" t="str">
        <x:v>England and Wales Court of Appeal (Civil Division)</x:v>
      </x:c>
      <x:c r="H144" s="9" t="str">
        <x:v>Appellate</x:v>
      </x:c>
      <x:c r="I144" s="9" t="str">
        <x:v>England and Wales</x:v>
      </x:c>
      <x:c r="J144" s="9" t="str">
        <x:v>Immigration Law</x:v>
      </x:c>
      <x:c r="K144" s="9" t="str">
        <x:v>-ew-cases-EWCA-Civ-2015-626.xml</x:v>
      </x:c>
      <x:c r="L144" s="9" t="str">
        <x:v>TBA</x:v>
      </x:c>
    </x:row>
    <x:row r="145">
      <x:c r="A145" t="str">
        <x:v>fa695d70-34a0-426c-963b-1db36b1c330c</x:v>
      </x:c>
      <x:c r="B145" t="str">
        <x:v>451bd3ca-caf6-4717-94d8-859941566cb8</x:v>
      </x:c>
      <x:c r="C145" s="9" t="str">
        <x:v>Akzo Nobel N.V. v Competition Commission &amp; Ors [2014] EWCA Civ 482</x:v>
      </x:c>
      <x:c r="D145" s="9" t="str"/>
      <x:c r="E145" s="9" t="str"/>
      <x:c r="F145" s="13" t="str">
        <x:v>2014</x:v>
      </x:c>
      <x:c r="G145" s="9" t="str">
        <x:v>England and Wales Court of Appeal (Civil Division)</x:v>
      </x:c>
      <x:c r="H145" s="9" t="str">
        <x:v>Appellate</x:v>
      </x:c>
      <x:c r="I145" s="9" t="str">
        <x:v>England and Wales</x:v>
      </x:c>
      <x:c r="J145" s="9" t="str">
        <x:v>Antitrust/Competition Law</x:v>
      </x:c>
      <x:c r="K145" s="9" t="str">
        <x:v>-ew-cases-EWCA-Civ-2014-482.xml</x:v>
      </x:c>
      <x:c r="L145" s="9" t="str">
        <x:v>TBA</x:v>
      </x:c>
    </x:row>
    <x:row r="146">
      <x:c r="A146" t="str">
        <x:v>f154c62a-25ec-4039-9991-2b46634d5208</x:v>
      </x:c>
      <x:c r="B146" t="str">
        <x:v>9a045160-a264-4598-b1bb-6f8d9cada5bd</x:v>
      </x:c>
      <x:c r="C146" s="9" t="str">
        <x:v>AL (Nigeria) v Secretary of State for the Home Department</x:v>
      </x:c>
      <x:c r="D146" s="9" t="str"/>
      <x:c r="E146" s="9" t="str"/>
      <x:c r="F146" s="13" t="str">
        <x:v>2015</x:v>
      </x:c>
      <x:c r="G146" s="9" t="str">
        <x:v>England and Wales Court of Appeal (Civil Division)</x:v>
      </x:c>
      <x:c r="H146" s="9" t="str">
        <x:v>Appellate</x:v>
      </x:c>
      <x:c r="I146" s="9" t="str">
        <x:v>England and Wales</x:v>
      </x:c>
      <x:c r="J146" s="9" t="str">
        <x:v>Immigration Law</x:v>
      </x:c>
      <x:c r="K146" s="9" t="str">
        <x:v>-ew-cases-EWCA-Civ-2015-1039.xml</x:v>
      </x:c>
      <x:c r="L146" s="9" t="str">
        <x:v>TBA</x:v>
      </x:c>
    </x:row>
    <x:row r="147">
      <x:c r="A147" t="str">
        <x:v>e7edc1c2-edc2-4902-af8a-52738e71f782</x:v>
      </x:c>
      <x:c r="B147" t="str">
        <x:v>fc6a4bb1-b5bc-49a3-a63f-cd431f5bb4c0</x:v>
      </x:c>
      <x:c r="C147" s="9" t="str">
        <x:v>Al Jaber &amp; Ors v Mitchell &amp; Ors [2021] EWCA Civ 1190</x:v>
      </x:c>
      <x:c r="D147" s="9" t="str"/>
      <x:c r="E147" s="9" t="str"/>
      <x:c r="F147" s="13" t="str">
        <x:v>2021</x:v>
      </x:c>
      <x:c r="G147" s="9" t="str">
        <x:v>England and Wales Court of Appeal (Civil Division)</x:v>
      </x:c>
      <x:c r="H147" s="9" t="str">
        <x:v>Appellate</x:v>
      </x:c>
      <x:c r="I147" s="9" t="str">
        <x:v>England and Wales</x:v>
      </x:c>
      <x:c r="J147" s="9" t="str">
        <x:v>Insolvency Law</x:v>
      </x:c>
      <x:c r="K147" s="9" t="str">
        <x:v>ew-cases-EWCA-Civ-2021-1190.xml</x:v>
      </x:c>
      <x:c r="L147" s="9" t="str">
        <x:v>TBA</x:v>
      </x:c>
    </x:row>
    <x:row r="148">
      <x:c r="A148" t="str">
        <x:v>220dbd2a-c831-4a62-900a-b2b62d82102d</x:v>
      </x:c>
      <x:c r="B148" t="str">
        <x:v>445f0437-9772-49a4-bfbc-53967e1e53ac</x:v>
      </x:c>
      <x:c r="C148" s="9" t="str">
        <x:v>Al Mana Lifestyle Trading LLC &amp; Ors v United Fidelity Insurance Company PSC &amp; Ors [2023] EWCA Civ 61</x:v>
      </x:c>
      <x:c r="D148" s="9" t="str"/>
      <x:c r="E148" s="9" t="str"/>
      <x:c r="F148" s="13" t="str">
        <x:v>2023</x:v>
      </x:c>
      <x:c r="G148" s="9" t="str">
        <x:v>England and Wales Court of Appeal (Civil Division)</x:v>
      </x:c>
      <x:c r="H148" s="9" t="str">
        <x:v>Appellate (Court of Appeal, Civil Division)</x:v>
      </x:c>
      <x:c r="I148" s="9" t="str">
        <x:v>England and Wales</x:v>
      </x:c>
      <x:c r="J148" s="9" t="str">
        <x:v>Contract/Insurance; Jurisdiction and Choice of Law; Private International Law</x:v>
      </x:c>
      <x:c r="K148" s="9" t="str">
        <x:v>ew-cases-EWCA-Civ-2023-61.xml</x:v>
      </x:c>
      <x:c r="L148" s="9" t="str">
        <x:v>TBA</x:v>
      </x:c>
    </x:row>
    <x:row r="149">
      <x:c r="A149" t="str">
        <x:v>bc899950-ea1f-40b0-aa95-a7c2343b5844</x:v>
      </x:c>
      <x:c r="B149" t="str">
        <x:v>e9178a3b-a0c5-406c-b295-2ce79b4e43a4</x:v>
      </x:c>
      <x:c r="C149" s="9" t="str">
        <x:v>Al Properties (Sunderland) Ltd v Tudor Studios RTM Company Ltd [2024] UKSC 27</x:v>
      </x:c>
      <x:c r="D149" s="9" t="str"/>
      <x:c r="E149" s="9" t="str"/>
      <x:c r="F149" s="13" t="str">
        <x:v>2024</x:v>
      </x:c>
      <x:c r="G149" s="9" t="str">
        <x:v>UK Supreme Court</x:v>
      </x:c>
      <x:c r="H149" s="9" t="str">
        <x:v>Supreme Court</x:v>
      </x:c>
      <x:c r="I149" s="9" t="str">
        <x:v>United Kingdom</x:v>
      </x:c>
      <x:c r="J149" s="9" t="str">
        <x:v>Property Law</x:v>
      </x:c>
      <x:c r="K149" s="9" t="str">
        <x:v>PT_UKSC_2024_27.xml</x:v>
      </x:c>
      <x:c r="L149" s="9" t="str">
        <x:v>TBA</x:v>
      </x:c>
    </x:row>
    <x:row r="150">
      <x:c r="A150" t="str">
        <x:v>f178d35a-831c-475a-b73a-2ac0a6227837</x:v>
      </x:c>
      <x:c r="B150" t="str">
        <x:v>015f5896-7d13-46d4-8c6d-5c7317ecf054</x:v>
      </x:c>
      <x:c r="C150" s="9" t="str">
        <x:v>Al-Juffali v Estrada [2016] EWCA Civ 176</x:v>
      </x:c>
      <x:c r="D150" s="9" t="str"/>
      <x:c r="E150" s="9" t="str"/>
      <x:c r="F150" s="13" t="str">
        <x:v>2016</x:v>
      </x:c>
      <x:c r="G150" s="9" t="str">
        <x:v>England and Wales Court of Appeal (Civil Division)</x:v>
      </x:c>
      <x:c r="H150" s="9" t="str">
        <x:v>Court of Appeal (Civil Division)</x:v>
      </x:c>
      <x:c r="I150" s="9" t="str">
        <x:v>England and Wales</x:v>
      </x:c>
      <x:c r="J150" s="9" t="str">
        <x:v>Civil procedure / International law / Family finance</x:v>
      </x:c>
      <x:c r="K150" s="9" t="str">
        <x:v>-ew-cases-EWCA-Civ-2016-176.xml</x:v>
      </x:c>
      <x:c r="L150" s="9" t="str">
        <x:v>TBA</x:v>
      </x:c>
    </x:row>
    <x:row r="151">
      <x:c r="A151" t="str">
        <x:v>855af18e-e8ff-418b-ba9b-fadc203b7e21</x:v>
      </x:c>
      <x:c r="B151" t="str">
        <x:v>948fc767-31a4-4c63-b735-df551b7244eb</x:v>
      </x:c>
      <x:c r="C151" s="9" t="str">
        <x:v>Al-Rawas &amp; Anor v Hassan Khan &amp; Co &amp; Anor [2022] EWCA Civ 671 (17 May 2022)</x:v>
      </x:c>
      <x:c r="D151" s="9" t="str"/>
      <x:c r="E151" s="9" t="str"/>
      <x:c r="F151" s="13" t="str">
        <x:v>2022</x:v>
      </x:c>
      <x:c r="G151" s="9" t="str">
        <x:v>England and Wales Court of Appeal (Civil Division)</x:v>
      </x:c>
      <x:c r="H151" s="9" t="str">
        <x:v>Court of Appeal (Civil Division)</x:v>
      </x:c>
      <x:c r="I151" s="9" t="str">
        <x:v>England and Wales</x:v>
      </x:c>
      <x:c r="J151" s="9" t="str">
        <x:v>Civil Procedure / Costs in Appeals</x:v>
      </x:c>
      <x:c r="K151" s="9" t="str">
        <x:v>ew-cases-EWCA-Civ-2022-671.xml</x:v>
      </x:c>
      <x:c r="L151" s="9" t="str">
        <x:v>TBA</x:v>
      </x:c>
    </x:row>
    <x:row r="152">
      <x:c r="A152" t="str">
        <x:v>6ed29c6e-2add-424f-84ca-47f9a6339612</x:v>
      </x:c>
      <x:c r="B152" t="str">
        <x:v>7650f4cb-dc69-470f-a3c0-941784304d41</x:v>
      </x:c>
      <x:c r="C152" s="9" t="str">
        <x:v>Al-Saadoon &amp; Ors v The Secretary of State for Defence &amp; Ors; Rahmatullah &amp; Anr v Secretary of State for Defence &amp; Anr [2016] EWCA Civ 811 (Admin Court of Appeal, Civil Division)</x:v>
      </x:c>
      <x:c r="D152" s="9" t="str"/>
      <x:c r="E152" s="9" t="str"/>
      <x:c r="F152" s="13" t="str">
        <x:v>2016</x:v>
      </x:c>
      <x:c r="G152" s="9" t="str">
        <x:v>England and Wales Court of Appeal (Civil Division)</x:v>
      </x:c>
      <x:c r="H152" s="9" t="str">
        <x:v>Court of Appeal (Civil Division)</x:v>
      </x:c>
      <x:c r="I152" s="9" t="str">
        <x:v>England and Wales</x:v>
      </x:c>
      <x:c r="J152" s="9" t="str">
        <x:v>Human Rights / Public International Law</x:v>
      </x:c>
      <x:c r="K152" s="9" t="str">
        <x:v>-ew-cases-EWCA-Civ-2016-811.xml</x:v>
      </x:c>
      <x:c r="L152" s="9" t="str">
        <x:v>TBA</x:v>
      </x:c>
    </x:row>
    <x:row r="153">
      <x:c r="A153" t="str">
        <x:v>015a7dc9-cd7b-4018-9849-92f1399f2b08</x:v>
      </x:c>
      <x:c r="B153" t="str">
        <x:v>99aa4a92-e9de-4dcc-8c24-28e298f0af59</x:v>
      </x:c>
      <x:c r="C153" s="9" t="str">
        <x:v>Al-Siri v Secretary of State for the Home Department</x:v>
      </x:c>
      <x:c r="D153" s="9" t="str"/>
      <x:c r="E153" s="9" t="str"/>
      <x:c r="F153" s="13" t="str">
        <x:v>2021</x:v>
      </x:c>
      <x:c r="G153" s="9" t="str">
        <x:v>England and Wales Court of Appeal (Civil Division)</x:v>
      </x:c>
      <x:c r="H153" s="9" t="str">
        <x:v>Appellate</x:v>
      </x:c>
      <x:c r="I153" s="9" t="str">
        <x:v>England and Wales</x:v>
      </x:c>
      <x:c r="J153" s="9" t="str">
        <x:v>Administrative Law</x:v>
      </x:c>
      <x:c r="K153" s="9" t="str">
        <x:v>ew-cases-EWCA-Civ-2021-113.xml</x:v>
      </x:c>
      <x:c r="L153" s="9" t="str">
        <x:v>TBA</x:v>
      </x:c>
    </x:row>
    <x:row r="154">
      <x:c r="A154" t="str">
        <x:v>7aee8563-4729-4439-9fed-301ae7364978</x:v>
      </x:c>
      <x:c r="B154" t="str">
        <x:v>3947d0e3-4248-4f29-9faf-633ff60dde29</x:v>
      </x:c>
      <x:c r="C154" s="9" t="str">
        <x:v>Al-Subaihi &amp; Anor v Al-Sanea [2022] EWCA Civ 1349</x:v>
      </x:c>
      <x:c r="D154" s="9" t="str"/>
      <x:c r="E154" s="9" t="str"/>
      <x:c r="F154" s="13" t="str">
        <x:v>2022</x:v>
      </x:c>
      <x:c r="G154" s="9" t="str">
        <x:v>England and Wales Court of Appeal (Civil Division)</x:v>
      </x:c>
      <x:c r="H154" s="9" t="str">
        <x:v>Court of Appeal (Civil Division)</x:v>
      </x:c>
      <x:c r="I154" s="9" t="str">
        <x:v>England and Wales</x:v>
      </x:c>
      <x:c r="J154" s="9" t="str">
        <x:v>Contract and Commercial Law</x:v>
      </x:c>
      <x:c r="K154" s="9" t="str">
        <x:v>ew-cases-EWCA-Civ-2022-1349.xml</x:v>
      </x:c>
      <x:c r="L154" s="9" t="str">
        <x:v>TBA</x:v>
      </x:c>
    </x:row>
    <x:row r="155">
      <x:c r="A155" t="str">
        <x:v>4bb79c2c-a7bc-4162-96bd-5827beb1aa34</x:v>
      </x:c>
      <x:c r="B155" t="str">
        <x:v>307add96-cb19-4c26-84fc-013e16174524</x:v>
      </x:c>
      <x:c r="C155" s="9" t="str">
        <x:v>Alam &amp; Anor v Secretary of State for the Home Department [2023] EWCA Civ 30</x:v>
      </x:c>
      <x:c r="D155" s="9" t="str"/>
      <x:c r="E155" s="9" t="str"/>
      <x:c r="F155" s="13" t="str">
        <x:v>2023</x:v>
      </x:c>
      <x:c r="G155" s="9" t="str">
        <x:v>England and Wales Court of Appeal (Civil Division)</x:v>
      </x:c>
      <x:c r="H155" s="9" t="str">
        <x:v>Court of Appeal (Civil Division)</x:v>
      </x:c>
      <x:c r="I155" s="9" t="str">
        <x:v>England and Wales</x:v>
      </x:c>
      <x:c r="J155" s="9" t="str">
        <x:v>Immigration Law; Human Rights Law</x:v>
      </x:c>
      <x:c r="K155" s="9" t="str">
        <x:v>ew-cases-EWCA-Civ-2023-30.xml</x:v>
      </x:c>
      <x:c r="L155" s="9" t="str">
        <x:v>TBA</x:v>
      </x:c>
    </x:row>
    <x:row r="156">
      <x:c r="A156" t="str">
        <x:v>6ebe27ce-8394-43f3-9695-638bd05a6e40</x:v>
      </x:c>
      <x:c r="B156" t="str">
        <x:v>3349bb23-b23f-4fa1-9e23-5e5316e81093</x:v>
      </x:c>
      <x:c r="C156" s="9" t="str">
        <x:v>Alam v Secretary of State for the Home Department</x:v>
      </x:c>
      <x:c r="D156" s="9" t="str"/>
      <x:c r="E156" s="9" t="str"/>
      <x:c r="F156" s="13" t="str">
        <x:v>2021</x:v>
      </x:c>
      <x:c r="G156" s="9" t="str">
        <x:v>England and Wales Court of Appeal (Civil Division)</x:v>
      </x:c>
      <x:c r="H156" s="9" t="str">
        <x:v>Appellate</x:v>
      </x:c>
      <x:c r="I156" s="9" t="str">
        <x:v>England and Wales</x:v>
      </x:c>
      <x:c r="J156" s="9" t="str">
        <x:v>Immigration Law</x:v>
      </x:c>
      <x:c r="K156" s="9" t="str">
        <x:v>ew-cases-EWCA-Civ-2021-1538.xml</x:v>
      </x:c>
      <x:c r="L156" s="9" t="str">
        <x:v>TBA</x:v>
      </x:c>
    </x:row>
    <x:row r="157">
      <x:c r="A157" t="str">
        <x:v>899d8228-cb7f-4fcb-a24d-8eb74fee8152</x:v>
      </x:c>
      <x:c r="B157" t="str">
        <x:v>0b882e45-d34e-49f7-baae-3d5657d1ccc6</x:v>
      </x:c>
      <x:c r="C157" s="9" t="str">
        <x:v>Alan Kind v. Newcastle-Upon-Tyne Council [2001] EWHC Admin 616</x:v>
      </x:c>
      <x:c r="D157" s="9" t="str"/>
      <x:c r="E157" s="9" t="str"/>
      <x:c r="F157" s="13" t="str">
        <x:v>2001</x:v>
      </x:c>
      <x:c r="G157" s="9" t="str">
        <x:v>England and Wales High Court (Administrative Court)</x:v>
      </x:c>
      <x:c r="H157" s="9" t="str">
        <x:v>High Court</x:v>
      </x:c>
      <x:c r="I157" s="9" t="str">
        <x:v>England and Wales</x:v>
      </x:c>
      <x:c r="J157" s="9" t="str">
        <x:v>Administrative Law</x:v>
      </x:c>
      <x:c r="K157" s="9" t="str">
        <x:v>PT_EWHC-Admin_2001_616.xml</x:v>
      </x:c>
      <x:c r="L157" s="9" t="str">
        <x:v>TBA</x:v>
      </x:c>
    </x:row>
    <x:row r="158">
      <x:c r="A158" t="str">
        <x:v>01d3f5ad-43dc-41e0-98fd-719f4082b38c</x:v>
      </x:c>
      <x:c r="B158" t="str">
        <x:v>33d3386d-e19e-4140-bd36-3e7d208b6e5a</x:v>
      </x:c>
      <x:c r="C158" s="9" t="str">
        <x:v>Alcon Research LLC &amp; Anor v Pharmathen SA &amp; Anor [2022] EWCA Civ 845 (28 June 2022)</x:v>
      </x:c>
      <x:c r="D158" s="9" t="str"/>
      <x:c r="E158" s="9" t="str"/>
      <x:c r="F158" s="13" t="str">
        <x:v>2022</x:v>
      </x:c>
      <x:c r="G158" s="9" t="str">
        <x:v>England and Wales Court of Appeal (Civil Division)</x:v>
      </x:c>
      <x:c r="H158" s="9" t="str">
        <x:v>Court of Appeal (Civil Division)</x:v>
      </x:c>
      <x:c r="I158" s="9" t="str">
        <x:v>England and Wales</x:v>
      </x:c>
      <x:c r="J158" s="9" t="str">
        <x:v>Intellectual Property (Patent Law)</x:v>
      </x:c>
      <x:c r="K158" s="9" t="str">
        <x:v>ew-cases-EWCA-Civ-2022-845.xml</x:v>
      </x:c>
      <x:c r="L158" s="9" t="str">
        <x:v>TBA</x:v>
      </x:c>
    </x:row>
    <x:row r="159">
      <x:c r="A159" t="str">
        <x:v>f9cf9fef-a84c-49b2-8278-e9c1a1480fc0</x:v>
      </x:c>
      <x:c r="B159" t="str">
        <x:v>f0bb9afc-53da-4587-9290-9645679d10aa</x:v>
      </x:c>
      <x:c r="C159" s="9" t="str">
        <x:v>Aldermore Bank Plc v Rana [2015] EWCA Civ 1210</x:v>
      </x:c>
      <x:c r="D159" s="9" t="str"/>
      <x:c r="E159" s="9" t="str"/>
      <x:c r="F159" s="13" t="str">
        <x:v>2015</x:v>
      </x:c>
      <x:c r="G159" s="9" t="str">
        <x:v>England and Wales Court of Appeal (Civil Division)</x:v>
      </x:c>
      <x:c r="H159" s="9" t="str">
        <x:v>Appellate</x:v>
      </x:c>
      <x:c r="I159" s="9" t="str">
        <x:v>England and Wales</x:v>
      </x:c>
      <x:c r="J159" s="9" t="str">
        <x:v>Contract Dispute</x:v>
      </x:c>
      <x:c r="K159" s="9" t="str">
        <x:v>-ew-cases-EWCA-Civ-2015-1210.xml</x:v>
      </x:c>
      <x:c r="L159" s="9" t="str">
        <x:v>TBA</x:v>
      </x:c>
    </x:row>
    <x:row r="160">
      <x:c r="A160" t="str">
        <x:v>cfe694f2-2d37-4925-b205-0914da11b15a</x:v>
      </x:c>
      <x:c r="B160" t="str">
        <x:v>f3860e8e-2366-49a6-a6eb-6c8165bb4c3e</x:v>
      </x:c>
      <x:c r="C160" s="9" t="str">
        <x:v>Alebrahim v BM Design London Limited [2022] EWCA Civ 183</x:v>
      </x:c>
      <x:c r="D160" s="9" t="str"/>
      <x:c r="E160" s="9" t="str"/>
      <x:c r="F160" s="13" t="str">
        <x:v>2022</x:v>
      </x:c>
      <x:c r="G160" s="9" t="str">
        <x:v>England and Wales Court of Appeal (Civil Division)</x:v>
      </x:c>
      <x:c r="H160" s="9" t="str">
        <x:v>Court of Appeal (Civil Division)</x:v>
      </x:c>
      <x:c r="I160" s="9" t="str">
        <x:v>England and Wales</x:v>
      </x:c>
      <x:c r="J160" s="9" t="str">
        <x:v>Contract Law</x:v>
      </x:c>
      <x:c r="K160" s="9" t="str">
        <x:v>ew-cases-EWCA-Civ-2022-183.xml</x:v>
      </x:c>
      <x:c r="L160" s="9" t="str">
        <x:v>TBA</x:v>
      </x:c>
    </x:row>
    <x:row r="161">
      <x:c r="A161" t="str">
        <x:v>08d982e6-34a9-46d8-8a79-49b92aa875f6</x:v>
      </x:c>
      <x:c r="B161" t="str">
        <x:v>6a70399a-3787-44f8-86ea-1fd48c3e0a46</x:v>
      </x:c>
      <x:c r="C161" s="9" t="str">
        <x:v>Alexander (representative of the "Property118 Action Group") v West Bromwich Mortgage Company Ltd [2016] EWCA Civ 496</x:v>
      </x:c>
      <x:c r="D161" s="9" t="str"/>
      <x:c r="E161" s="9" t="str"/>
      <x:c r="F161" s="13" t="str">
        <x:v>2016</x:v>
      </x:c>
      <x:c r="G161" s="9" t="str">
        <x:v>England and Wales Court of Appeal (Civil Division)</x:v>
      </x:c>
      <x:c r="H161" s="9" t="str">
        <x:v>Court of Appeal (Civil Division)</x:v>
      </x:c>
      <x:c r="I161" s="9" t="str">
        <x:v>England and Wales</x:v>
      </x:c>
      <x:c r="J161" s="9" t="str">
        <x:v>Contract/Commercial Dispute</x:v>
      </x:c>
      <x:c r="K161" s="9" t="str">
        <x:v>-ew-cases-EWCA-Civ-2016-496.xml</x:v>
      </x:c>
      <x:c r="L161" s="9" t="str">
        <x:v>TBA</x:v>
      </x:c>
    </x:row>
    <x:row r="162">
      <x:c r="A162" t="str">
        <x:v>fa6d9c12-971c-4d9b-bc23-3e3ed2ebea5e</x:v>
      </x:c>
      <x:c r="B162" t="str">
        <x:v>6bae075b-4de2-43ec-ac40-cff7d2166fc6</x:v>
      </x:c>
      <x:c r="C162" s="9" t="str">
        <x:v>Algeilani v El Samawi [2021] EWCA Civ 997</x:v>
      </x:c>
      <x:c r="D162" s="9" t="str"/>
      <x:c r="E162" s="9" t="str"/>
      <x:c r="F162" s="13" t="str">
        <x:v>2021</x:v>
      </x:c>
      <x:c r="G162" s="9" t="str">
        <x:v>England and Wales Court of Appeal (Civil Division)</x:v>
      </x:c>
      <x:c r="H162" s="9" t="str">
        <x:v>Appellate</x:v>
      </x:c>
      <x:c r="I162" s="9" t="str">
        <x:v>England and Wales</x:v>
      </x:c>
      <x:c r="J162" s="9" t="str">
        <x:v>Probate Law</x:v>
      </x:c>
      <x:c r="K162" s="9" t="str">
        <x:v>ew-cases-EWCA-Civ-2021-997.xml</x:v>
      </x:c>
      <x:c r="L162" s="9" t="str">
        <x:v>TBA</x:v>
      </x:c>
    </x:row>
    <x:row r="163">
      <x:c r="A163" t="str">
        <x:v>c3107b8b-c2b7-4c92-99e9-b139f88235d3</x:v>
      </x:c>
      <x:c r="B163" t="str">
        <x:v>7544fb95-3198-4be3-a839-faeedeb8a5e7</x:v>
      </x:c>
      <x:c r="C163" s="9" t="str">
        <x:v>Alhashem v The Secretary of State for Work and Pensions [2016] EWCA Civ 395</x:v>
      </x:c>
      <x:c r="D163" s="9" t="str"/>
      <x:c r="E163" s="9" t="str"/>
      <x:c r="F163" s="13" t="str">
        <x:v>2016</x:v>
      </x:c>
      <x:c r="G163" s="9" t="str">
        <x:v>England and Wales Court of Appeal (Civil Division)</x:v>
      </x:c>
      <x:c r="H163" s="9" t="str">
        <x:v>Court of Appeal (Civil Division)</x:v>
      </x:c>
      <x:c r="I163" s="9" t="str">
        <x:v>England and Wales</x:v>
      </x:c>
      <x:c r="J163" s="9" t="str">
        <x:v>Administrative Law / EU Law / Social Security</x:v>
      </x:c>
      <x:c r="K163" s="9" t="str">
        <x:v>-ew-cases-EWCA-Civ-2016-395.xml</x:v>
      </x:c>
      <x:c r="L163" s="9" t="str">
        <x:v>TBA</x:v>
      </x:c>
    </x:row>
    <x:row r="164">
      <x:c r="A164" t="str">
        <x:v>27b0488f-b6a0-42f5-9a66-87459ccabfce</x:v>
      </x:c>
      <x:c r="B164" t="str">
        <x:v>56628732-6af0-4769-90c1-83214dec216d</x:v>
      </x:c>
      <x:c r="C164" s="9" t="str">
        <x:v>Ali &amp; Others v Secretary of State for the Home Department [2015] EWCA Civ 860</x:v>
      </x:c>
      <x:c r="D164" s="9" t="str"/>
      <x:c r="E164" s="9" t="str"/>
      <x:c r="F164" s="13" t="str">
        <x:v>2015</x:v>
      </x:c>
      <x:c r="G164" s="9" t="str">
        <x:v>England and Wales Court of Appeal (Civil Division)</x:v>
      </x:c>
      <x:c r="H164" s="9" t="str">
        <x:v>Appellate</x:v>
      </x:c>
      <x:c r="I164" s="9" t="str">
        <x:v>England and Wales</x:v>
      </x:c>
      <x:c r="J164" s="9" t="str">
        <x:v>Immigration Law</x:v>
      </x:c>
      <x:c r="K164" s="9" t="str">
        <x:v>-ew-cases-EWCA-Civ-2015-860.xml</x:v>
      </x:c>
      <x:c r="L164" s="9" t="str">
        <x:v>TBA</x:v>
      </x:c>
    </x:row>
    <x:row r="165">
      <x:c r="A165" t="str">
        <x:v>dc381f4b-6897-4afb-a7c7-088ffaff1837</x:v>
      </x:c>
      <x:c r="B165" t="str">
        <x:v>89d8f4cd-b74b-4cbc-a3c3-86bf1ba96db5</x:v>
      </x:c>
      <x:c r="C165" s="9" t="str">
        <x:v>Ali v Ansar-Ali [2016] EWCA Civ 781</x:v>
      </x:c>
      <x:c r="D165" s="9" t="str"/>
      <x:c r="E165" s="9" t="str"/>
      <x:c r="F165" s="13" t="str">
        <x:v>2016</x:v>
      </x:c>
      <x:c r="G165" s="9" t="str">
        <x:v>England and Wales Court of Appeal (Civil Division)</x:v>
      </x:c>
      <x:c r="H165" s="9" t="str">
        <x:v>Court of Appeal (Civil Division)</x:v>
      </x:c>
      <x:c r="I165" s="9" t="str">
        <x:v>England and Wales</x:v>
      </x:c>
      <x:c r="J165" s="9" t="str">
        <x:v>Family Law - Financial Remedies</x:v>
      </x:c>
      <x:c r="K165" s="9" t="str">
        <x:v>-ew-cases-EWCA-Civ-2016-781.xml</x:v>
      </x:c>
      <x:c r="L165" s="9" t="str">
        <x:v>TBA</x:v>
      </x:c>
    </x:row>
    <x:row r="166">
      <x:c r="A166" t="str">
        <x:v>70248138-7472-45d6-9de8-7b4d72410cf3</x:v>
      </x:c>
      <x:c r="B166" t="str">
        <x:v>bc404037-1dd0-47a8-8f10-d0876c870fd7</x:v>
      </x:c>
      <x:c r="C166" s="9" t="str">
        <x:v>Ali v Caton &amp; Anor [2014] EWCA Civ 1313</x:v>
      </x:c>
      <x:c r="D166" s="9" t="str"/>
      <x:c r="E166" s="9" t="str"/>
      <x:c r="F166" s="13" t="str">
        <x:v>2014</x:v>
      </x:c>
      <x:c r="G166" s="9" t="str">
        <x:v>England and Wales Court of Appeal (Civil Division)</x:v>
      </x:c>
      <x:c r="H166" s="9" t="str">
        <x:v>Appellate</x:v>
      </x:c>
      <x:c r="I166" s="9" t="str">
        <x:v>England and Wales</x:v>
      </x:c>
      <x:c r="J166" s="9" t="str">
        <x:v>Personal Injury</x:v>
      </x:c>
      <x:c r="K166" s="9" t="str">
        <x:v>-ew-cases-EWCA-Civ-2014-1313.xml</x:v>
      </x:c>
      <x:c r="L166" s="9" t="str">
        <x:v>TBA</x:v>
      </x:c>
    </x:row>
    <x:row r="167">
      <x:c r="A167" t="str">
        <x:v>26393a04-337c-4f4f-9cc9-383d33763874</x:v>
      </x:c>
      <x:c r="B167" t="str">
        <x:v>fdc86e31-0dc7-4c47-959f-9165af0eca6c</x:v>
      </x:c>
      <x:c r="C167" s="9" t="str">
        <x:v>Ali v Dinc [2022] EWCA Civ 34</x:v>
      </x:c>
      <x:c r="D167" s="9" t="str"/>
      <x:c r="E167" s="9" t="str"/>
      <x:c r="F167" s="13" t="str">
        <x:v>2022</x:v>
      </x:c>
      <x:c r="G167" s="9" t="str">
        <x:v>England and Wales Court of Appeal (Civil Division)</x:v>
      </x:c>
      <x:c r="H167" s="9" t="str">
        <x:v>Court of Appeal (Civil Division)</x:v>
      </x:c>
      <x:c r="I167" s="9" t="str">
        <x:v>England and Wales</x:v>
      </x:c>
      <x:c r="J167" s="9" t="str">
        <x:v>Civil Procedure / Trusts and Property</x:v>
      </x:c>
      <x:c r="K167" s="9" t="str">
        <x:v>ew-cases-EWCA-Civ-2022-34.xml</x:v>
      </x:c>
      <x:c r="L167" s="9" t="str">
        <x:v>TBA</x:v>
      </x:c>
    </x:row>
    <x:row r="168">
      <x:c r="A168" t="str">
        <x:v>68bf28a2-ee7a-4c09-b699-ed3b8acce27b</x:v>
      </x:c>
      <x:c r="B168" t="str">
        <x:v>e9a10ab3-9a6e-409e-bf1f-360b819a0ab3</x:v>
      </x:c>
      <x:c r="C168" s="9" t="str">
        <x:v>Ali v Khatib &amp; Ors [2022] EWCA Civ 481</x:v>
      </x:c>
      <x:c r="D168" s="9" t="str"/>
      <x:c r="E168" s="9" t="str"/>
      <x:c r="F168" s="13" t="str">
        <x:v>2022</x:v>
      </x:c>
      <x:c r="G168" s="9" t="str">
        <x:v>England and Wales Court of Appeal (Civil Division)</x:v>
      </x:c>
      <x:c r="H168" s="9" t="str">
        <x:v>Court of Appeal (Civil Division)</x:v>
      </x:c>
      <x:c r="I168" s="9" t="str">
        <x:v>England and Wales</x:v>
      </x:c>
      <x:c r="J168" s="9" t="str">
        <x:v>Appeal – Property/Trusts and Estates; Occupation rent; Co-ownership</x:v>
      </x:c>
      <x:c r="K168" s="9" t="str">
        <x:v>ew-cases-EWCA-Civ-2022-481.xml</x:v>
      </x:c>
      <x:c r="L168" s="9" t="str">
        <x:v>TBA</x:v>
      </x:c>
    </x:row>
    <x:row r="169">
      <x:c r="A169" t="str">
        <x:v>fdd0c289-0048-469b-9b87-2fe69cf84933</x:v>
      </x:c>
      <x:c r="B169" t="str">
        <x:v>5bb446d6-8e16-48b4-bc3c-69ede069bef8</x:v>
      </x:c>
      <x:c r="C169" s="9" t="str">
        <x:v>Ali v Secretary of State for the Home Department [2015] EWCA Civ 1427</x:v>
      </x:c>
      <x:c r="D169" s="9" t="str"/>
      <x:c r="E169" s="9" t="str"/>
      <x:c r="F169" s="13" t="str">
        <x:v>2015</x:v>
      </x:c>
      <x:c r="G169" s="9" t="str">
        <x:v>England and Wales Court of Appeal (Civil Division)</x:v>
      </x:c>
      <x:c r="H169" s="9" t="str">
        <x:v>Appellate</x:v>
      </x:c>
      <x:c r="I169" s="9" t="str">
        <x:v>England and Wales</x:v>
      </x:c>
      <x:c r="J169" s="9" t="str">
        <x:v>Immigration Law</x:v>
      </x:c>
      <x:c r="K169" s="9" t="str">
        <x:v>-ew-cases-EWCA-Civ-2015-1427.xml</x:v>
      </x:c>
      <x:c r="L169" s="9" t="str">
        <x:v>TBA</x:v>
      </x:c>
    </x:row>
    <x:row r="170">
      <x:c r="A170" t="str">
        <x:v>fd200db1-efe0-499a-a52b-943459c7d96b</x:v>
      </x:c>
      <x:c r="B170" t="str">
        <x:v>592cdbe6-d4c9-4b40-8580-a34f1749d06b</x:v>
      </x:c>
      <x:c r="C170" s="9" t="str">
        <x:v>Ali v Siddique [2015] EWCA Civ 1258</x:v>
      </x:c>
      <x:c r="D170" s="9" t="str"/>
      <x:c r="E170" s="9" t="str"/>
      <x:c r="F170" s="13" t="str">
        <x:v>2015</x:v>
      </x:c>
      <x:c r="G170" s="9" t="str">
        <x:v>England and Wales Court of Appeal (Civil Division)</x:v>
      </x:c>
      <x:c r="H170" s="9" t="str">
        <x:v>Appellate</x:v>
      </x:c>
      <x:c r="I170" s="9" t="str">
        <x:v>England and Wales</x:v>
      </x:c>
      <x:c r="J170" s="9" t="str">
        <x:v>Negligence</x:v>
      </x:c>
      <x:c r="K170" s="9" t="str">
        <x:v>-ew-cases-EWCA-Civ-2015-1258.xml</x:v>
      </x:c>
      <x:c r="L170" s="9" t="str">
        <x:v>TBA</x:v>
      </x:c>
    </x:row>
    <x:row r="171">
      <x:c r="A171" t="str">
        <x:v>98c000f0-69c8-4713-a0c5-cb83be4dc161</x:v>
      </x:c>
      <x:c r="B171" t="str">
        <x:v>029dc95c-69ad-4b44-bde7-408622fcedc2</x:v>
      </x:c>
      <x:c r="C171" s="9" t="str">
        <x:v>Ali v The Secretary of State for the Home Department [2017] EWCA Civ 2688</x:v>
      </x:c>
      <x:c r="D171" s="9" t="str"/>
      <x:c r="E171" s="9" t="str"/>
      <x:c r="F171" s="13" t="str">
        <x:v>2017</x:v>
      </x:c>
      <x:c r="G171" s="9" t="str">
        <x:v>England and Wales Court of Appeal (Civil Division)</x:v>
      </x:c>
      <x:c r="H171" s="9" t="str">
        <x:v>appellate</x:v>
      </x:c>
      <x:c r="I171" s="9" t="str">
        <x:v>England and Wales</x:v>
      </x:c>
      <x:c r="J171" s="9" t="str">
        <x:v>Immigration Law</x:v>
      </x:c>
      <x:c r="K171" s="9" t="str">
        <x:v>-ew-cases-EWCA-Civ-2017-2688.xml</x:v>
      </x:c>
      <x:c r="L171" s="9" t="str">
        <x:v>TBA</x:v>
      </x:c>
    </x:row>
    <x:row r="172">
      <x:c r="A172" t="str">
        <x:v>9eb830a2-2315-4754-97ea-6dacab253f98</x:v>
      </x:c>
      <x:c r="B172" t="str">
        <x:v>3a069494-6968-477a-a4ad-002ee5f30904</x:v>
      </x:c>
      <x:c r="C172" s="9" t="str">
        <x:v>Ali v Washwood Heath Technology College &amp; Ors [2014] EWCA Civ 97</x:v>
      </x:c>
      <x:c r="D172" s="9" t="str"/>
      <x:c r="E172" s="9" t="str"/>
      <x:c r="F172" s="13" t="str">
        <x:v>2014</x:v>
      </x:c>
      <x:c r="G172" s="9" t="str">
        <x:v>England and Wales Court of Appeal (Civil Division)</x:v>
      </x:c>
      <x:c r="H172" s="9" t="str">
        <x:v>Appellate</x:v>
      </x:c>
      <x:c r="I172" s="9" t="str">
        <x:v>England and Wales</x:v>
      </x:c>
      <x:c r="J172" s="9" t="str">
        <x:v>Employment Dispute</x:v>
      </x:c>
      <x:c r="K172" s="9" t="str">
        <x:v>-ew-cases-EWCA-Civ-2014-97.xml</x:v>
      </x:c>
      <x:c r="L172" s="9" t="str">
        <x:v>TBA</x:v>
      </x:c>
    </x:row>
    <x:row r="173">
      <x:c r="A173" t="str">
        <x:v>9ae073f9-ceae-4b06-92a1-517d33bf6fab</x:v>
      </x:c>
      <x:c r="B173" t="str">
        <x:v>7fe05ee5-91a6-43b5-ad81-c04b7cce8482</x:v>
      </x:c>
      <x:c r="C173" s="9" t="str">
        <x:v>Ali, R (on the application of) v The Secretary of State for the Home Department &amp; Anor</x:v>
      </x:c>
      <x:c r="D173" s="9" t="str"/>
      <x:c r="E173" s="9" t="str"/>
      <x:c r="F173" s="13" t="str">
        <x:v>2017</x:v>
      </x:c>
      <x:c r="G173" s="9" t="str">
        <x:v>England and Wales Court of Appeal (Civil Division)</x:v>
      </x:c>
      <x:c r="H173" s="9" t="str">
        <x:v>Appellate</x:v>
      </x:c>
      <x:c r="I173" s="9" t="str">
        <x:v>England and Wales</x:v>
      </x:c>
      <x:c r="J173" s="9" t="str">
        <x:v>Immigration Law</x:v>
      </x:c>
      <x:c r="K173" s="9" t="str">
        <x:v>-ew-cases-EWCA-Civ-2017-138.xml</x:v>
      </x:c>
      <x:c r="L173" s="9" t="str">
        <x:v>TBA</x:v>
      </x:c>
    </x:row>
    <x:row r="174">
      <x:c r="A174" t="str">
        <x:v>d5117501-eab8-46db-9cad-93eedcd51860</x:v>
      </x:c>
      <x:c r="B174" t="str">
        <x:v>ec84f7ce-3b33-434a-a2f6-8a1d57be1e2f</x:v>
      </x:c>
      <x:c r="C174" s="9" t="str">
        <x:v>Alireza v Radwan &amp; Ors [2017] EWCA Civ 1545</x:v>
      </x:c>
      <x:c r="D174" s="9" t="str"/>
      <x:c r="E174" s="9" t="str"/>
      <x:c r="F174" s="13" t="str">
        <x:v>2017</x:v>
      </x:c>
      <x:c r="G174" s="9" t="str">
        <x:v>England and Wales Court of Appeal (Civil Division)</x:v>
      </x:c>
      <x:c r="H174" s="9" t="str">
        <x:v>Appellate</x:v>
      </x:c>
      <x:c r="I174" s="9" t="str">
        <x:v>England and Wales</x:v>
      </x:c>
      <x:c r="J174" s="9" t="str">
        <x:v>Family Law</x:v>
      </x:c>
      <x:c r="K174" s="9" t="str">
        <x:v>-ew-cases-EWCA-Civ-2017-1545.xml</x:v>
      </x:c>
      <x:c r="L174" s="9" t="str">
        <x:v>TBA</x:v>
      </x:c>
    </x:row>
    <x:row r="175">
      <x:c r="A175" t="str">
        <x:v>3c6ec688-3fec-46cb-9021-e5d17756dc64</x:v>
      </x:c>
      <x:c r="B175" t="str">
        <x:v>54bf937f-91c8-4e57-83f4-67a3877df702</x:v>
      </x:c>
      <x:c r="C175" s="9" t="str">
        <x:v>All Answers Ltd v W &amp; Anor [2021] EWCA Civ 606</x:v>
      </x:c>
      <x:c r="D175" s="9" t="str"/>
      <x:c r="E175" s="9" t="str"/>
      <x:c r="F175" s="13" t="str">
        <x:v>2021</x:v>
      </x:c>
      <x:c r="G175" s="9" t="str">
        <x:v>England and Wales Court of Appeal (Civil Division)</x:v>
      </x:c>
      <x:c r="H175" s="9" t="str">
        <x:v>Appellate</x:v>
      </x:c>
      <x:c r="I175" s="9" t="str">
        <x:v>England and Wales</x:v>
      </x:c>
      <x:c r="J175" s="9" t="str">
        <x:v>Employment Law</x:v>
      </x:c>
      <x:c r="K175" s="9" t="str">
        <x:v>ew-cases-EWCA-Civ-2021-606.xml</x:v>
      </x:c>
      <x:c r="L175" s="9" t="str">
        <x:v>TBA</x:v>
      </x:c>
    </x:row>
    <x:row r="176">
      <x:c r="A176" t="str">
        <x:v>5a214bc8-a44f-43f8-8be0-daf8b4b29b09</x:v>
      </x:c>
      <x:c r="B176" t="str">
        <x:v>84d381a2-ffd1-4376-9131-925acb13271a</x:v>
      </x:c>
      <x:c r="C176" s="9" t="str">
        <x:v>Alladin v Secretary of State for the Home Department [2014] EWCA Civ 1334</x:v>
      </x:c>
      <x:c r="D176" s="9" t="str"/>
      <x:c r="E176" s="9" t="str"/>
      <x:c r="F176" s="13" t="str">
        <x:v>2014</x:v>
      </x:c>
      <x:c r="G176" s="9" t="str">
        <x:v>England and Wales Court of Appeal (Civil Division)</x:v>
      </x:c>
      <x:c r="H176" s="9" t="str">
        <x:v>Appellate</x:v>
      </x:c>
      <x:c r="I176" s="9" t="str">
        <x:v>England and Wales</x:v>
      </x:c>
      <x:c r="J176" s="9" t="str">
        <x:v>Immigration Law</x:v>
      </x:c>
      <x:c r="K176" s="9" t="str">
        <x:v>-ew-cases-EWCA-Civ-2014-1334.xml</x:v>
      </x:c>
      <x:c r="L176" s="9" t="str">
        <x:v>TBA</x:v>
      </x:c>
    </x:row>
    <x:row r="177">
      <x:c r="A177" t="str">
        <x:v>a289c8d9-2b33-40b4-be65-df27ec400553</x:v>
      </x:c>
      <x:c r="B177" t="str">
        <x:v>c08c42f1-f37b-45ee-a210-e39eac766f37</x:v>
      </x:c>
      <x:c r="C177" s="9" t="str">
        <x:v>Allami v Fakher [2023] EWCA Civ 532</x:v>
      </x:c>
      <x:c r="D177" s="9" t="str"/>
      <x:c r="E177" s="9" t="str"/>
      <x:c r="F177" s="13" t="str">
        <x:v>2023</x:v>
      </x:c>
      <x:c r="G177" s="9" t="str">
        <x:v>Court of Appeal (Civil Division) England and Wales</x:v>
      </x:c>
      <x:c r="H177" s="9" t="str">
        <x:v>Court of Appeal (Civil Division)</x:v>
      </x:c>
      <x:c r="I177" s="9" t="str">
        <x:v>England and Wales</x:v>
      </x:c>
      <x:c r="J177" s="9" t="str">
        <x:v>Contempt of court; Family law; International child return; Cross-border child protection; Enforcement of court orders</x:v>
      </x:c>
      <x:c r="K177" s="9" t="str">
        <x:v>ew-cases-EWCA-Civ-2023-532.xml</x:v>
      </x:c>
      <x:c r="L177" s="9" t="str">
        <x:v>TBA</x:v>
      </x:c>
    </x:row>
    <x:row r="178">
      <x:c r="A178" t="str">
        <x:v>4f3ec24e-3bb4-489c-bdfa-77e4a2aa1c0c</x:v>
      </x:c>
      <x:c r="B178" t="str">
        <x:v>f4b12d20-d272-48d9-8b29-3050ba72ad0d</x:v>
      </x:c>
      <x:c r="C178" s="9" t="str">
        <x:v>Allard &amp; Ors v Devon &amp; Cornwall Constabulary [2015] EWCA Civ 42</x:v>
      </x:c>
      <x:c r="D178" s="9" t="str"/>
      <x:c r="E178" s="9" t="str"/>
      <x:c r="F178" s="13" t="str">
        <x:v>2015</x:v>
      </x:c>
      <x:c r="G178" s="9" t="str">
        <x:v>England and Wales Court of Appeal (Civil Division)</x:v>
      </x:c>
      <x:c r="H178" s="9" t="str">
        <x:v>Appellate</x:v>
      </x:c>
      <x:c r="I178" s="9" t="str">
        <x:v>England and Wales</x:v>
      </x:c>
      <x:c r="J178" s="9" t="str">
        <x:v>Employment Law</x:v>
      </x:c>
      <x:c r="K178" s="9" t="str">
        <x:v>-ew-cases-EWCA-Civ-2015-42.xml</x:v>
      </x:c>
      <x:c r="L178" s="9" t="str">
        <x:v>TBA</x:v>
      </x:c>
    </x:row>
    <x:row r="179">
      <x:c r="A179" t="str">
        <x:v>0404f0e8-697c-49a0-8da5-6154a4112993</x:v>
      </x:c>
      <x:c r="B179" t="str">
        <x:v>7ce3ca83-e031-45bf-a321-1a245681de7e</x:v>
      </x:c>
      <x:c r="C179" s="9" t="str">
        <x:v>Allensway Recycling Ltd &amp; Ors v The Environment Agency</x:v>
      </x:c>
      <x:c r="D179" s="9" t="str"/>
      <x:c r="E179" s="9" t="str"/>
      <x:c r="F179" s="13" t="str">
        <x:v>2015</x:v>
      </x:c>
      <x:c r="G179" s="9" t="str">
        <x:v>England and Wales Court of Appeal (Civil Division)</x:v>
      </x:c>
      <x:c r="H179" s="9" t="str">
        <x:v>Appellate</x:v>
      </x:c>
      <x:c r="I179" s="9" t="str">
        <x:v>England and Wales</x:v>
      </x:c>
      <x:c r="J179" s="9" t="str">
        <x:v>Administrative Law</x:v>
      </x:c>
      <x:c r="K179" s="9" t="str">
        <x:v>-ew-cases-EWCA-Civ-2015-1289.xml</x:v>
      </x:c>
      <x:c r="L179" s="9" t="str">
        <x:v>TBA</x:v>
      </x:c>
    </x:row>
    <x:row r="180">
      <x:c r="A180" t="str">
        <x:v>de18e7b9-0b00-4bf3-b50c-7d3f968afec6</x:v>
      </x:c>
      <x:c r="B180" t="str">
        <x:v>dbcf0178-be49-4907-95d1-ab35a968b855</x:v>
      </x:c>
      <x:c r="C180" s="9" t="str">
        <x:v>Allianz Global Investors GmbH &amp; Ors v Barclays Bank Plc &amp; Ors (Rev1) [2022] EWCA Civ 353</x:v>
      </x:c>
      <x:c r="D180" s="9" t="str"/>
      <x:c r="E180" s="9" t="str"/>
      <x:c r="F180" s="13" t="str">
        <x:v>2022</x:v>
      </x:c>
      <x:c r="G180" s="9" t="str">
        <x:v>England and Wales Court of Appeal (Civil Division)</x:v>
      </x:c>
      <x:c r="H180" s="9" t="str">
        <x:v>Court of Appeal (Civil Division)</x:v>
      </x:c>
      <x:c r="I180" s="9" t="str">
        <x:v>England and Wales</x:v>
      </x:c>
      <x:c r="J180" s="9" t="str">
        <x:v>Competition Law / Corporate/Trust/Partnership Law</x:v>
      </x:c>
      <x:c r="K180" s="9" t="str">
        <x:v>ew-cases-EWCA-Civ-2022-353.xml</x:v>
      </x:c>
      <x:c r="L180" s="9" t="str">
        <x:v>TBA</x:v>
      </x:c>
    </x:row>
    <x:row r="181">
      <x:c r="A181" t="str">
        <x:v>fcf20a26-b78a-4c48-a316-2750d58d6c8c</x:v>
      </x:c>
      <x:c r="B181" t="str">
        <x:v>d26aa936-bf3b-4b38-88fa-07b3016f44bf</x:v>
      </x:c>
      <x:c r="C181" s="9" t="str">
        <x:v>Allied Fort Insurance Services Ltd &amp; Ors v Creation Consumer Finance Ltd (t/a 'Premium First')</x:v>
      </x:c>
      <x:c r="D181" s="9" t="str"/>
      <x:c r="E181" s="9" t="str"/>
      <x:c r="F181" s="13" t="str">
        <x:v>2015</x:v>
      </x:c>
      <x:c r="G181" s="9" t="str">
        <x:v>England and Wales Court of Appeal (Civil Division)</x:v>
      </x:c>
      <x:c r="H181" s="9" t="str">
        <x:v>Appellate</x:v>
      </x:c>
      <x:c r="I181" s="9" t="str">
        <x:v>England and Wales</x:v>
      </x:c>
      <x:c r="J181" s="9" t="str">
        <x:v>Civil Litigation - Fraud and Agency Law</x:v>
      </x:c>
      <x:c r="K181" s="9" t="str">
        <x:v>-ew-cases-EWCA-Civ-2015-841.xml</x:v>
      </x:c>
      <x:c r="L181" s="9" t="str">
        <x:v>TBA</x:v>
      </x:c>
    </x:row>
    <x:row r="182">
      <x:c r="A182" t="str">
        <x:v>db090219-3425-43ae-99c8-17d6e98f5747</x:v>
      </x:c>
      <x:c r="B182" t="str">
        <x:v>108bda57-d5fb-4ba9-8d12-92cd9543e030</x:v>
      </x:c>
      <x:c r="C182" s="9" t="str">
        <x:v>Allison &amp; Anor v Horner [2014] EWCA Civ 117</x:v>
      </x:c>
      <x:c r="D182" s="9" t="str"/>
      <x:c r="E182" s="9" t="str"/>
      <x:c r="F182" s="13" t="str">
        <x:v>2014</x:v>
      </x:c>
      <x:c r="G182" s="9" t="str">
        <x:v>England and Wales Court of Appeal (Civil Division)</x:v>
      </x:c>
      <x:c r="H182" s="9" t="str">
        <x:v>Appellate</x:v>
      </x:c>
      <x:c r="I182" s="9" t="str">
        <x:v>England and Wales</x:v>
      </x:c>
      <x:c r="J182" s="9" t="str">
        <x:v>Tort</x:v>
      </x:c>
      <x:c r="K182" s="9" t="str">
        <x:v>-ew-cases-EWCA-Civ-2014-117.xml</x:v>
      </x:c>
      <x:c r="L182" s="9" t="str">
        <x:v>TBA</x:v>
      </x:c>
    </x:row>
    <x:row r="183">
      <x:c r="A183" t="str">
        <x:v>5696e694-6057-4d9c-8f78-99ad62ae4b03</x:v>
      </x:c>
      <x:c r="B183" t="str">
        <x:v>bb436bbb-3a78-4c5a-ad55-c0751d94d813</x:v>
      </x:c>
      <x:c r="C183" s="9" t="str">
        <x:v>Allsop v Banner Jones Ltd (t/a Banner Jones Solicitors) - [2021] EWCA Civ 7</x:v>
      </x:c>
      <x:c r="D183" s="9" t="str"/>
      <x:c r="E183" s="9" t="str"/>
      <x:c r="F183" s="13" t="str">
        <x:v>2021</x:v>
      </x:c>
      <x:c r="G183" s="9" t="str">
        <x:v>England and Wales Court of Appeal (Civil Division)</x:v>
      </x:c>
      <x:c r="H183" s="9" t="str">
        <x:v>Appellate</x:v>
      </x:c>
      <x:c r="I183" s="9" t="str">
        <x:v>England and Wales</x:v>
      </x:c>
      <x:c r="J183" s="9" t="str">
        <x:v>Professional Negligence</x:v>
      </x:c>
      <x:c r="K183" s="9" t="str">
        <x:v>ew-cases-EWCA-Civ-2021-7.xml</x:v>
      </x:c>
      <x:c r="L183" s="9" t="str">
        <x:v>TBA</x:v>
      </x:c>
    </x:row>
    <x:row r="184">
      <x:c r="A184" t="str">
        <x:v>2f769a74-9e2f-4674-9d25-3bc8930ca464</x:v>
      </x:c>
      <x:c r="B184" t="str">
        <x:v>8831415c-02af-47f1-8a77-476d153b6877</x:v>
      </x:c>
      <x:c r="C184" s="9" t="str">
        <x:v>Alpha Estates (Essex) Ltd v Singh &amp; Anor</x:v>
      </x:c>
      <x:c r="D184" s="9" t="str"/>
      <x:c r="E184" s="9" t="str"/>
      <x:c r="F184" s="13" t="str">
        <x:v>2015</x:v>
      </x:c>
      <x:c r="G184" s="9" t="str">
        <x:v>England and Wales Court of Appeal (Civil Division)</x:v>
      </x:c>
      <x:c r="H184" s="9" t="str">
        <x:v>Appellate</x:v>
      </x:c>
      <x:c r="I184" s="9" t="str">
        <x:v>England and Wales</x:v>
      </x:c>
      <x:c r="J184" s="9" t="str">
        <x:v>Contract Dispute</x:v>
      </x:c>
      <x:c r="K184" s="9" t="str">
        <x:v>-ew-cases-EWCA-Civ-2015-722.xml</x:v>
      </x:c>
      <x:c r="L184" s="9" t="str">
        <x:v>TBA</x:v>
      </x:c>
    </x:row>
    <x:row r="185">
      <x:c r="A185" t="str">
        <x:v>3c0a23a0-8f32-47e7-a2b5-dfe655f4beaf</x:v>
      </x:c>
      <x:c r="B185" t="str">
        <x:v>71f74dab-a507-480e-a163-0d72426d7a18</x:v>
      </x:c>
      <x:c r="C185" s="9" t="str">
        <x:v>Alpha Rocks Solicitors v Alade [2015] EWCA Civ 685</x:v>
      </x:c>
      <x:c r="D185" s="9" t="str"/>
      <x:c r="E185" s="9" t="str"/>
      <x:c r="F185" s="13" t="str">
        <x:v>2015</x:v>
      </x:c>
      <x:c r="G185" s="9" t="str">
        <x:v>England and Wales Court of Appeal (Civil Division)</x:v>
      </x:c>
      <x:c r="H185" s="9" t="str">
        <x:v>Appellate</x:v>
      </x:c>
      <x:c r="I185" s="9" t="str">
        <x:v>England and Wales</x:v>
      </x:c>
      <x:c r="J185" s="9" t="str">
        <x:v>Tort</x:v>
      </x:c>
      <x:c r="K185" s="9" t="str">
        <x:v>-ew-cases-EWCA-Civ-2015-685.xml</x:v>
      </x:c>
      <x:c r="L185" s="9" t="str">
        <x:v>TBA</x:v>
      </x:c>
    </x:row>
    <x:row r="186">
      <x:c r="A186" t="str">
        <x:v>bbb11052-0a23-4c75-9b45-d774c00b0125</x:v>
      </x:c>
      <x:c r="B186" t="str">
        <x:v>0d4e6d98-b729-46c7-a1e5-39e3f126d142</x:v>
      </x:c>
      <x:c r="C186" s="9" t="str">
        <x:v>Alta Trading UK Ltd v Bosworth [2021] EWCA Civ 687</x:v>
      </x:c>
      <x:c r="D186" s="9" t="str"/>
      <x:c r="E186" s="9" t="str"/>
      <x:c r="F186" s="13" t="str">
        <x:v>2021</x:v>
      </x:c>
      <x:c r="G186" s="9" t="str">
        <x:v>England and Wales Court of Appeal (Civil Division)</x:v>
      </x:c>
      <x:c r="H186" s="9" t="str">
        <x:v>Appellate</x:v>
      </x:c>
      <x:c r="I186" s="9" t="str">
        <x:v>England and Wales</x:v>
      </x:c>
      <x:c r="J186" s="9" t="str">
        <x:v>Civil Jurisdiction</x:v>
      </x:c>
      <x:c r="K186" s="9" t="str">
        <x:v>ew-cases-EWCA-Civ-2021-687.xml</x:v>
      </x:c>
      <x:c r="L186" s="9" t="str">
        <x:v>TBA</x:v>
      </x:c>
    </x:row>
    <x:row r="187">
      <x:c r="A187" t="str">
        <x:v>7ee61404-e998-4a38-97cf-5442b2dead83</x:v>
      </x:c>
      <x:c r="B187" t="str">
        <x:v>c935cdfb-b262-4994-9b2e-1563191669cb</x:v>
      </x:c>
      <x:c r="C187" s="9" t="str">
        <x:v>Altomart Limited v Salford Estates (No. 2) Ltd</x:v>
      </x:c>
      <x:c r="D187" s="9" t="str"/>
      <x:c r="E187" s="9" t="str"/>
      <x:c r="F187" s="13" t="str">
        <x:v>2014</x:v>
      </x:c>
      <x:c r="G187" s="9" t="str">
        <x:v>England and Wales Court of Appeal (Civil Division)</x:v>
      </x:c>
      <x:c r="H187" s="9" t="str">
        <x:v>Appellate</x:v>
      </x:c>
      <x:c r="I187" s="9" t="str">
        <x:v>England and Wales</x:v>
      </x:c>
      <x:c r="J187" s="9" t="str">
        <x:v>Civil Procedure</x:v>
      </x:c>
      <x:c r="K187" s="9" t="str">
        <x:v>-ew-cases-EWCA-Civ-2014-1408.xml</x:v>
      </x:c>
      <x:c r="L187" s="9" t="str">
        <x:v>TBA</x:v>
      </x:c>
    </x:row>
    <x:row r="188">
      <x:c r="A188" t="str">
        <x:v>101af307-3cbc-4cc2-afdf-a91cbf783e7c</x:v>
      </x:c>
      <x:c r="B188" t="str">
        <x:v>d23d9f9f-4d0a-455a-bab1-0ce1a023b722</x:v>
      </x:c>
      <x:c r="C188" s="9" t="str">
        <x:v>Altrad Services Ltd &amp; Anor v Commissioners for HMRC [2023] EWCA Civ 474 (03 May 2023)</x:v>
      </x:c>
      <x:c r="D188" s="9" t="str"/>
      <x:c r="E188" s="9" t="str"/>
      <x:c r="F188" s="13" t="str">
        <x:v>2023</x:v>
      </x:c>
      <x:c r="G188" s="9" t="str">
        <x:v>England and Wales Court of Appeal (Civil Division)</x:v>
      </x:c>
      <x:c r="H188" s="9" t="str">
        <x:v>Court of Appeal (Civil Division)</x:v>
      </x:c>
      <x:c r="I188" s="9" t="str">
        <x:v>England and Wales</x:v>
      </x:c>
      <x:c r="J188" s="9" t="str">
        <x:v>Tax Law / Civil Appeal</x:v>
      </x:c>
      <x:c r="K188" s="9" t="str">
        <x:v>ew-cases-EWCA-Civ-2023-474.xml</x:v>
      </x:c>
      <x:c r="L188" s="9" t="str">
        <x:v>TBA</x:v>
      </x:c>
    </x:row>
    <x:row r="189">
      <x:c r="A189" t="str">
        <x:v>5f88e1b1-62bd-49b3-8af4-1d003c8c16ca</x:v>
      </x:c>
      <x:c r="B189" t="str">
        <x:v>7dd411ed-d24e-4ac7-b34a-ddecfd8aed6c</x:v>
      </x:c>
      <x:c r="C189" s="9" t="str">
        <x:v>AM (Afghanistan) v Secretary of State for the Home Department [2017] EWCA Civ 1123</x:v>
      </x:c>
      <x:c r="D189" s="9" t="str"/>
      <x:c r="E189" s="9" t="str"/>
      <x:c r="F189" s="13" t="str">
        <x:v>2017</x:v>
      </x:c>
      <x:c r="G189" s="9" t="str">
        <x:v>England and Wales Court of Appeal (Civil Division)</x:v>
      </x:c>
      <x:c r="H189" s="9" t="str">
        <x:v>Appellate</x:v>
      </x:c>
      <x:c r="I189" s="9" t="str">
        <x:v>England and Wales</x:v>
      </x:c>
      <x:c r="J189" s="9" t="str">
        <x:v>Immigration Law</x:v>
      </x:c>
      <x:c r="K189" s="9" t="str">
        <x:v>-ew-cases-EWCA-Civ-2017-1123.xml</x:v>
      </x:c>
      <x:c r="L189" s="9" t="str">
        <x:v>TBA</x:v>
      </x:c>
    </x:row>
    <x:row r="190">
      <x:c r="A190" t="str">
        <x:v>dba1114e-ad67-4149-875c-7b1f765ce9c6</x:v>
      </x:c>
      <x:c r="B190" t="str">
        <x:v>54be28ea-1cd9-4cb1-9772-90b2ad75282a</x:v>
      </x:c>
      <x:c r="C190" s="9" t="str">
        <x:v>AM (Belarus) v Secretary of State for the Home Department</x:v>
      </x:c>
      <x:c r="D190" s="9" t="str"/>
      <x:c r="E190" s="9" t="str"/>
      <x:c r="F190" s="13" t="str">
        <x:v>2014</x:v>
      </x:c>
      <x:c r="G190" s="9" t="str">
        <x:v>England and Wales Court of Appeal (Civil Division)</x:v>
      </x:c>
      <x:c r="H190" s="9" t="str">
        <x:v>appellate</x:v>
      </x:c>
      <x:c r="I190" s="9" t="str">
        <x:v>England and Wales</x:v>
      </x:c>
      <x:c r="J190" s="9" t="str">
        <x:v>Immigration Law</x:v>
      </x:c>
      <x:c r="K190" s="9" t="str">
        <x:v>-ew-cases-EWCA-Civ-2014-1506.xml</x:v>
      </x:c>
      <x:c r="L190" s="9" t="str">
        <x:v>TBA</x:v>
      </x:c>
    </x:row>
    <x:row r="191">
      <x:c r="A191" t="str">
        <x:v>7bee8fcc-292c-452f-9ed6-9bae369ef490</x:v>
      </x:c>
      <x:c r="B191" t="str">
        <x:v>ef13887f-5871-4f86-a411-93d72fc4a3fa</x:v>
      </x:c>
      <x:c r="C191" s="9" t="str">
        <x:v>AM (By His Father CM) v The Secretary of State for Work And Pensions</x:v>
      </x:c>
      <x:c r="D191" s="9" t="str"/>
      <x:c r="E191" s="9" t="str"/>
      <x:c r="F191" s="13" t="str">
        <x:v>2014</x:v>
      </x:c>
      <x:c r="G191" s="9" t="str">
        <x:v>England and Wales Court of Appeal (Civil Division)</x:v>
      </x:c>
      <x:c r="H191" s="9" t="str">
        <x:v>Appellate</x:v>
      </x:c>
      <x:c r="I191" s="9" t="str">
        <x:v>England</x:v>
      </x:c>
      <x:c r="J191" s="9" t="str">
        <x:v>Administrative Law</x:v>
      </x:c>
      <x:c r="K191" s="9" t="str">
        <x:v>-ew-cases-EWCA-Civ-2014-286.xml</x:v>
      </x:c>
      <x:c r="L191" s="9" t="str">
        <x:v>TBA</x:v>
      </x:c>
    </x:row>
    <x:row r="192">
      <x:c r="A192" t="str">
        <x:v>8190c5b1-3dab-4a0f-908f-e00e54602d56</x:v>
      </x:c>
      <x:c r="B192" t="str">
        <x:v>0434306b-e1f1-4240-a9a6-336904987857</x:v>
      </x:c>
      <x:c r="C192" s="9" t="str">
        <x:v>AM (Egypt) v Secretary of State for the Home Department</x:v>
      </x:c>
      <x:c r="D192" s="9" t="str"/>
      <x:c r="E192" s="9" t="str"/>
      <x:c r="F192" s="13" t="str">
        <x:v>2015</x:v>
      </x:c>
      <x:c r="G192" s="9" t="str">
        <x:v>England and Wales Court of Appeal (Civil Division)</x:v>
      </x:c>
      <x:c r="H192" s="9" t="str">
        <x:v>appellate</x:v>
      </x:c>
      <x:c r="I192" s="9" t="str">
        <x:v>England and Wales</x:v>
      </x:c>
      <x:c r="J192" s="9" t="str">
        <x:v>Administrative Law</x:v>
      </x:c>
      <x:c r="K192" s="9" t="str">
        <x:v>-ew-cases-EWCA-Civ-2015-1178.xml</x:v>
      </x:c>
      <x:c r="L192" s="9" t="str">
        <x:v>TBA</x:v>
      </x:c>
    </x:row>
    <x:row r="193">
      <x:c r="A193" t="str">
        <x:v>3bd8c445-e64d-4c07-af1e-f40a2c86fd20</x:v>
      </x:c>
      <x:c r="B193" t="str">
        <x:v>d2492f3c-01bd-48c2-9eee-fce910588433</x:v>
      </x:c>
      <x:c r="C193" s="9" t="str">
        <x:v>AM (Jamaica) v Secretary of State for the Home Department [2016] EWCA Civ 262</x:v>
      </x:c>
      <x:c r="D193" s="9" t="str"/>
      <x:c r="E193" s="9" t="str"/>
      <x:c r="F193" s="13" t="str">
        <x:v>2016</x:v>
      </x:c>
      <x:c r="G193" s="9" t="str">
        <x:v>England and Wales Court of Appeal (Civil Division)</x:v>
      </x:c>
      <x:c r="H193" s="9" t="str">
        <x:v>Court of Appeal (Civil Division)</x:v>
      </x:c>
      <x:c r="I193" s="9" t="str">
        <x:v>England and Wales</x:v>
      </x:c>
      <x:c r="J193" s="9" t="str">
        <x:v>Immigration / Administrative Law</x:v>
      </x:c>
      <x:c r="K193" s="9" t="str">
        <x:v>-ew-cases-EWCA-Civ-2016-262.xml</x:v>
      </x:c>
      <x:c r="L193" s="9" t="str">
        <x:v>TBA</x:v>
      </x:c>
    </x:row>
    <x:row r="194">
      <x:c r="A194" t="str">
        <x:v>1f7b3d7a-62f9-4f6d-b0d9-e9514a3ba40e</x:v>
      </x:c>
      <x:c r="B194" t="str">
        <x:v>f7eff3a5-b2ea-40b1-a1f2-307026cadb02</x:v>
      </x:c>
      <x:c r="C194" s="9" t="str">
        <x:v>AM (Jamaica) v Secretary of State for the Home Department [2016] EWCA Civ 536</x:v>
      </x:c>
      <x:c r="D194" s="9" t="str"/>
      <x:c r="E194" s="9" t="str"/>
      <x:c r="F194" s="13" t="str">
        <x:v>2016</x:v>
      </x:c>
      <x:c r="G194" s="9" t="str">
        <x:v>England and Wales Court of Appeal (Civil Division)</x:v>
      </x:c>
      <x:c r="H194" s="9" t="str">
        <x:v>Court of Appeal (Civil Division)</x:v>
      </x:c>
      <x:c r="I194" s="9" t="str">
        <x:v>England and Wales</x:v>
      </x:c>
      <x:c r="J194" s="9" t="str">
        <x:v>Immigration Law</x:v>
      </x:c>
      <x:c r="K194" s="9" t="str">
        <x:v>-ew-cases-EWCA-Civ-2016-536.xml</x:v>
      </x:c>
      <x:c r="L194" s="9" t="str">
        <x:v>TBA</x:v>
      </x:c>
    </x:row>
    <x:row r="195">
      <x:c r="A195" t="str">
        <x:v>27882443-cb3f-4d86-a8a6-3fa7534b8c4b</x:v>
      </x:c>
      <x:c r="B195" t="str">
        <x:v>2e88d662-76cd-400c-9b79-a3b252f228d5</x:v>
      </x:c>
      <x:c r="C195" s="9" t="str">
        <x:v>AM (Pakistan) &amp; Ors v Secretary of State for the Home Department [2017] EWCA Civ 180</x:v>
      </x:c>
      <x:c r="D195" s="9" t="str"/>
      <x:c r="E195" s="9" t="str"/>
      <x:c r="F195" s="13" t="str">
        <x:v>2017</x:v>
      </x:c>
      <x:c r="G195" s="9" t="str">
        <x:v>England and Wales Court of Appeal (Civil Division)</x:v>
      </x:c>
      <x:c r="H195" s="9" t="str">
        <x:v>Appellate</x:v>
      </x:c>
      <x:c r="I195" s="9" t="str">
        <x:v>England and Wales</x:v>
      </x:c>
      <x:c r="J195" s="9" t="str">
        <x:v>Immigration</x:v>
      </x:c>
      <x:c r="K195" s="9" t="str">
        <x:v>-ew-cases-EWCA-Civ-2017-180.xml</x:v>
      </x:c>
      <x:c r="L195" s="9" t="str">
        <x:v>TBA</x:v>
      </x:c>
    </x:row>
    <x:row r="196">
      <x:c r="A196" t="str">
        <x:v>b05e38f9-f204-4e24-9260-54d23272ba4a</x:v>
      </x:c>
      <x:c r="B196" t="str">
        <x:v>5e1be83c-926c-4171-ab99-3077935662ff</x:v>
      </x:c>
      <x:c r="C196" s="9" t="str">
        <x:v>Amdocs Systems Group Ltd v Langton [2022] EWCA Civ 1027</x:v>
      </x:c>
      <x:c r="D196" s="9" t="str"/>
      <x:c r="E196" s="9" t="str"/>
      <x:c r="F196" s="13" t="str">
        <x:v>2022</x:v>
      </x:c>
      <x:c r="G196" s="9" t="str">
        <x:v>England and Wales Court of Appeal (Civil Division)</x:v>
      </x:c>
      <x:c r="H196" s="9" t="str">
        <x:v>Court of Appeal (Civil Division)</x:v>
      </x:c>
      <x:c r="I196" s="9" t="str">
        <x:v>England and Wales</x:v>
      </x:c>
      <x:c r="J196" s="9" t="str">
        <x:v>Employment Law - Contractual Interpretation</x:v>
      </x:c>
      <x:c r="K196" s="9" t="str">
        <x:v>ew-cases-EWCA-Civ-2022-1027.xml</x:v>
      </x:c>
      <x:c r="L196" s="9" t="str">
        <x:v>TBA</x:v>
      </x:c>
    </x:row>
    <x:row r="197">
      <x:c r="A197" t="str">
        <x:v>e8f4e306-337c-4c46-a91a-29a80f94bd77</x:v>
      </x:c>
      <x:c r="B197" t="str">
        <x:v>1c746094-a3e4-4a60-b605-0170fccd31a5</x:v>
      </x:c>
      <x:c r="C197" s="9" t="str">
        <x:v>American Leisure Group Limited v Walker &amp; Anor [2016] EWCA Civ 445 (10 May 2016)</x:v>
      </x:c>
      <x:c r="D197" s="9" t="str"/>
      <x:c r="E197" s="9" t="str"/>
      <x:c r="F197" s="13" t="str">
        <x:v>2016</x:v>
      </x:c>
      <x:c r="G197" s="9" t="str">
        <x:v>England and Wales Court of Appeal (Civil Division)</x:v>
      </x:c>
      <x:c r="H197" s="9" t="str">
        <x:v>Court of Appeal (Civil Division)</x:v>
      </x:c>
      <x:c r="I197" s="9" t="str">
        <x:v>England and Wales</x:v>
      </x:c>
      <x:c r="J197" s="9" t="str">
        <x:v>Civil - Appeals (Commercial/Corporate)</x:v>
      </x:c>
      <x:c r="K197" s="9" t="str">
        <x:v>-ew-cases-EWCA-Civ-2016-445.xml</x:v>
      </x:c>
      <x:c r="L197" s="9" t="str">
        <x:v>TBA</x:v>
      </x:c>
    </x:row>
    <x:row r="198">
      <x:c r="A198" t="str">
        <x:v>b6edb493-7324-4480-89c2-584be57e4e4a</x:v>
      </x:c>
      <x:c r="B198" t="str">
        <x:v>781a46dd-2ffc-4006-b27d-1e04a9c9adb9</x:v>
      </x:c>
      <x:c r="C198" s="9" t="str">
        <x:v>Amin v Amin: Family Financial Relief and Pension Sharing Order</x:v>
      </x:c>
      <x:c r="D198" s="9" t="str"/>
      <x:c r="E198" s="9" t="str"/>
      <x:c r="F198" s="13" t="str">
        <x:v>2017</x:v>
      </x:c>
      <x:c r="G198" s="9" t="str">
        <x:v>England and Wales Court of Appeal (Civil Division)</x:v>
      </x:c>
      <x:c r="H198" s="9" t="str">
        <x:v>Appellate</x:v>
      </x:c>
      <x:c r="I198" s="9" t="str">
        <x:v>England and Wales</x:v>
      </x:c>
      <x:c r="J198" s="9" t="str">
        <x:v>Family Law</x:v>
      </x:c>
      <x:c r="K198" s="9" t="str">
        <x:v>-ew-cases-EWCA-Civ-2017-1114.xml</x:v>
      </x:c>
      <x:c r="L198" s="9" t="str">
        <x:v>TBA</x:v>
      </x:c>
    </x:row>
    <x:row r="199">
      <x:c r="A199" t="str">
        <x:v>2fc160b4-7454-4c84-8c4f-d008ec9d5c63</x:v>
      </x:c>
      <x:c r="B199" t="str">
        <x:v>0f10aeb5-97b0-441b-a4b3-9ccc7a758b9f</x:v>
      </x:c>
      <x:c r="C199" s="9" t="str">
        <x:v>Amin v Director General of the Security Service &amp; Ors</x:v>
      </x:c>
      <x:c r="D199" s="9" t="str"/>
      <x:c r="E199" s="9" t="str"/>
      <x:c r="F199" s="13" t="str">
        <x:v>2015</x:v>
      </x:c>
      <x:c r="G199" s="9" t="str">
        <x:v>England and Wales Court of Appeal (Civil Division)</x:v>
      </x:c>
      <x:c r="H199" s="9" t="str">
        <x:v>Appellate</x:v>
      </x:c>
      <x:c r="I199" s="9" t="str">
        <x:v>England and Wales</x:v>
      </x:c>
      <x:c r="J199" s="9" t="str">
        <x:v>Civil Appeal</x:v>
      </x:c>
      <x:c r="K199" s="9" t="str">
        <x:v>-ew-cases-EWCA-Civ-2015-654.xml</x:v>
      </x:c>
      <x:c r="L199" s="9" t="str">
        <x:v>TBA</x:v>
      </x:c>
    </x:row>
    <x:row r="200">
      <x:c r="A200" t="str">
        <x:v>b40f95f5-d630-43be-89f3-f9fe3d24312c</x:v>
      </x:c>
      <x:c r="B200" t="str">
        <x:v>d7b4351d-8340-4a01-ba73-f80e92cf0449</x:v>
      </x:c>
      <x:c r="C200" s="9" t="str">
        <x:v>Amin v Director General of the Security Service &amp; Ors [2015] EWCA Civ 653</x:v>
      </x:c>
      <x:c r="D200" s="9" t="str"/>
      <x:c r="E200" s="9" t="str"/>
      <x:c r="F200" s="13" t="str">
        <x:v>2015</x:v>
      </x:c>
      <x:c r="G200" s="9" t="str">
        <x:v>England and Wales Court of Appeal (Civil Division)</x:v>
      </x:c>
      <x:c r="H200" s="9" t="str">
        <x:v>Appellate</x:v>
      </x:c>
      <x:c r="I200" s="9" t="str">
        <x:v>England and Wales</x:v>
      </x:c>
      <x:c r="J200" s="9" t="str">
        <x:v>Tort</x:v>
      </x:c>
      <x:c r="K200" s="9" t="str">
        <x:v>-ew-cases-EWCA-Civ-2015-653.xml</x:v>
      </x:c>
      <x:c r="L200" s="9" t="str">
        <x:v>TBA</x:v>
      </x:c>
    </x:row>
    <x:row r="201">
      <x:c r="A201" t="str">
        <x:v>d17bcbf8-c0e5-420e-b479-fe8f914e5112</x:v>
      </x:c>
      <x:c r="B201" t="str">
        <x:v>65aa8b38-71f2-45c0-8cc8-40182a48aeab</x:v>
      </x:c>
      <x:c r="C201" s="9" t="str">
        <x:v>Amin v Secretary of State for the Home Department [2016] EWCA Civ 627</x:v>
      </x:c>
      <x:c r="D201" s="9" t="str"/>
      <x:c r="E201" s="9" t="str"/>
      <x:c r="F201" s="13" t="str">
        <x:v>2016</x:v>
      </x:c>
      <x:c r="G201" s="9" t="str">
        <x:v>England and Wales Court of Appeal (Civil Division)</x:v>
      </x:c>
      <x:c r="H201" s="9" t="str">
        <x:v>Court of Appeal (Civil Division)</x:v>
      </x:c>
      <x:c r="I201" s="9" t="str">
        <x:v>England and Wales</x:v>
      </x:c>
      <x:c r="J201" s="9" t="str">
        <x:v>Administrative Law / Immigration / Employment Status</x:v>
      </x:c>
      <x:c r="K201" s="9" t="str">
        <x:v>-ew-cases-EWCA-Civ-2016-627.xml</x:v>
      </x:c>
      <x:c r="L201" s="9" t="str">
        <x:v>TBA</x:v>
      </x:c>
    </x:row>
    <x:row r="202">
      <x:c r="A202" t="str">
        <x:v>eb42ca90-f6ae-4399-8f03-c2c6b2839cb0</x:v>
      </x:c>
      <x:c r="B202" t="str">
        <x:v>9f2f8d71-b689-42c1-a1a3-6d4814d0dc8e</x:v>
      </x:c>
      <x:c r="C202" s="9" t="str">
        <x:v>Amin v Secretary of State for the Home Department [2022] EWCA Civ 439 (Court of Appeal, Civil Division)</x:v>
      </x:c>
      <x:c r="D202" s="9" t="str"/>
      <x:c r="E202" s="9" t="str"/>
      <x:c r="F202" s="13" t="str">
        <x:v>2022</x:v>
      </x:c>
      <x:c r="G202" s="9" t="str">
        <x:v>England and Wales Court of Appeal (Civil Division)</x:v>
      </x:c>
      <x:c r="H202" s="9" t="str">
        <x:v>Court of Appeal (Civil Division)</x:v>
      </x:c>
      <x:c r="I202" s="9" t="str">
        <x:v>England and Wales</x:v>
      </x:c>
      <x:c r="J202" s="9" t="str">
        <x:v>Immigration/Nationality</x:v>
      </x:c>
      <x:c r="K202" s="9" t="str">
        <x:v>ew-cases-EWCA-Civ-2022-439.xml</x:v>
      </x:c>
      <x:c r="L202" s="9" t="str">
        <x:v>TBA</x:v>
      </x:c>
    </x:row>
    <x:row r="203">
      <x:c r="A203" t="str">
        <x:v>665ef891-98a7-470e-83d8-deab990443e6</x:v>
      </x:c>
      <x:c r="B203" t="str">
        <x:v>5b24243c-66b2-4cda-9e5a-4945b1ac02c0</x:v>
      </x:c>
      <x:c r="C203" s="9" t="str">
        <x:v>Amirteymour v The Secretary of State for the Home Department [2017] EWCA Civ 353</x:v>
      </x:c>
      <x:c r="D203" s="9" t="str"/>
      <x:c r="E203" s="9" t="str"/>
      <x:c r="F203" s="13" t="str">
        <x:v>2017</x:v>
      </x:c>
      <x:c r="G203" s="9" t="str">
        <x:v>England and Wales Court of Appeal (Civil Division)</x:v>
      </x:c>
      <x:c r="H203" s="9" t="str">
        <x:v>Appellate</x:v>
      </x:c>
      <x:c r="I203" s="9" t="str">
        <x:v>England and Wales</x:v>
      </x:c>
      <x:c r="J203" s="9" t="str">
        <x:v>Immigration and Asylum</x:v>
      </x:c>
      <x:c r="K203" s="9" t="str">
        <x:v>-ew-cases-EWCA-Civ-2017-353.xml</x:v>
      </x:c>
      <x:c r="L203" s="9" t="str">
        <x:v>TBA</x:v>
      </x:c>
    </x:row>
    <x:row r="204">
      <x:c r="A204" t="str">
        <x:v>a2daf3cd-10e7-4211-887c-eaed129733a0</x:v>
      </x:c>
      <x:c r="B204" t="str">
        <x:v>72950282-7c5c-41fd-b3ed-cb1ac9ac13fa</x:v>
      </x:c>
      <x:c r="C204" s="9" t="str">
        <x:v>Amoena (UK) Ltd v HM Revenue and Customs [2015] EWCA Civ 25</x:v>
      </x:c>
      <x:c r="D204" s="9" t="str"/>
      <x:c r="E204" s="9" t="str"/>
      <x:c r="F204" s="13" t="str">
        <x:v>2015</x:v>
      </x:c>
      <x:c r="G204" s="9" t="str">
        <x:v>England and Wales Court of Appeal (Civil Division)</x:v>
      </x:c>
      <x:c r="H204" s="9" t="str">
        <x:v>Appellate</x:v>
      </x:c>
      <x:c r="I204" s="9" t="str">
        <x:v>England and Wales</x:v>
      </x:c>
      <x:c r="J204" s="9" t="str">
        <x:v>Tax Law</x:v>
      </x:c>
      <x:c r="K204" s="9" t="str">
        <x:v>-ew-cases-EWCA-Civ-2015-25.xml</x:v>
      </x:c>
      <x:c r="L204" s="9" t="str">
        <x:v>TBA</x:v>
      </x:c>
    </x:row>
    <x:row r="205">
      <x:c r="A205" t="str">
        <x:v>4e81ca98-ca4a-4ac4-a8a8-ca2666cb981c</x:v>
      </x:c>
      <x:c r="B205" t="str">
        <x:v>becdba2a-5be2-4676-87f6-374dd73810ab</x:v>
      </x:c>
      <x:c r="C205" s="9" t="str">
        <x:v>An Taisce (The National Trust for Ireland), R (on the Application of) v The Secretary of State for Energy and Climate Change &amp; Anor</x:v>
      </x:c>
      <x:c r="D205" s="9" t="str"/>
      <x:c r="E205" s="9" t="str"/>
      <x:c r="F205" s="13" t="str">
        <x:v>2014</x:v>
      </x:c>
      <x:c r="G205" s="9" t="str">
        <x:v>England and Wales Court of Appeal (Civil Division)</x:v>
      </x:c>
      <x:c r="H205" s="9" t="str">
        <x:v>Appellate</x:v>
      </x:c>
      <x:c r="I205" s="9" t="str">
        <x:v>England and Wales</x:v>
      </x:c>
      <x:c r="J205" s="9" t="str">
        <x:v>Administrative Law</x:v>
      </x:c>
      <x:c r="K205" s="9" t="str">
        <x:v>-ew-cases-EWCA-Civ-2014-1111.xml</x:v>
      </x:c>
      <x:c r="L205" s="9" t="str">
        <x:v>TBA</x:v>
      </x:c>
    </x:row>
    <x:row r="206">
      <x:c r="A206" t="str">
        <x:v>0ce14d55-eb3d-4514-a144-d510b93fb6cc</x:v>
      </x:c>
      <x:c r="B206" t="str">
        <x:v>180ddc44-caca-46ba-9682-dbba3a061de2</x:v>
      </x:c>
      <x:c r="C206" s="9" t="str">
        <x:v>Anan Kasei Co. Limited (1) v Neo Chemicals &amp; Oxides (Europe) Limited (2) and others [2023] EWCA Civ 11</x:v>
      </x:c>
      <x:c r="D206" s="9" t="str"/>
      <x:c r="E206" s="9" t="str"/>
      <x:c r="F206" s="13" t="str">
        <x:v>2023</x:v>
      </x:c>
      <x:c r="G206" s="9" t="str">
        <x:v>England and Wales Court of Appeal (Civil Division)</x:v>
      </x:c>
      <x:c r="H206" s="9" t="str">
        <x:v>Court of Appeal (Civil Division)</x:v>
      </x:c>
      <x:c r="I206" s="9" t="str">
        <x:v>England and Wales</x:v>
      </x:c>
      <x:c r="J206" s="9" t="str">
        <x:v>Intellectual Property; Patent Law; Damages</x:v>
      </x:c>
      <x:c r="K206" s="9" t="str">
        <x:v>ew-cases-EWCA-Civ-2023-11.xml</x:v>
      </x:c>
      <x:c r="L206" s="9" t="str">
        <x:v>TBA</x:v>
      </x:c>
    </x:row>
    <x:row r="207">
      <x:c r="A207" t="str">
        <x:v>35dc1f3e-e972-4a8c-ab9b-d8fe1ee7faa6</x:v>
      </x:c>
      <x:c r="B207" t="str">
        <x:v>f5ee0684-beb7-41c9-a444-78ba304d15fe</x:v>
      </x:c>
      <x:c r="C207" s="9" t="str">
        <x:v>Anderson &amp; Ors v Basildon District Council</x:v>
      </x:c>
      <x:c r="D207" s="9" t="str"/>
      <x:c r="E207" s="9" t="str"/>
      <x:c r="F207" s="13" t="str">
        <x:v>2021</x:v>
      </x:c>
      <x:c r="G207" s="9" t="str">
        <x:v>England and Wales Court of Appeal (Civil Division)</x:v>
      </x:c>
      <x:c r="H207" s="9" t="str">
        <x:v>Appellate</x:v>
      </x:c>
      <x:c r="I207" s="9" t="str">
        <x:v>England and Wales</x:v>
      </x:c>
      <x:c r="J207" s="9" t="str">
        <x:v>Administrative Law</x:v>
      </x:c>
      <x:c r="K207" s="9" t="str">
        <x:v>ew-cases-EWCA-Civ-2021-363.xml</x:v>
      </x:c>
      <x:c r="L207" s="9" t="str">
        <x:v>TBA</x:v>
      </x:c>
    </x:row>
    <x:row r="208">
      <x:c r="A208" t="str">
        <x:v>cc649879-69ac-465e-bced-836c6f23854e</x:v>
      </x:c>
      <x:c r="B208" t="str">
        <x:v>2af012ee-f986-4994-98cf-058ffb2ae39c</x:v>
      </x:c>
      <x:c r="C208" s="9" t="str">
        <x:v>Andrews v Secretary of State for Environment Food and Rural Affairs</x:v>
      </x:c>
      <x:c r="D208" s="9" t="str"/>
      <x:c r="E208" s="9" t="str"/>
      <x:c r="F208" s="13" t="str">
        <x:v>2015</x:v>
      </x:c>
      <x:c r="G208" s="9" t="str">
        <x:v>England and Wales Court of Appeal (Civil Division)</x:v>
      </x:c>
      <x:c r="H208" s="9" t="str">
        <x:v>Appellate</x:v>
      </x:c>
      <x:c r="I208" s="9" t="str">
        <x:v>England and Wales</x:v>
      </x:c>
      <x:c r="J208" s="9" t="str">
        <x:v>Administrative Law</x:v>
      </x:c>
      <x:c r="K208" s="9" t="str">
        <x:v>-ew-cases-EWCA-Civ-2015-669.xml</x:v>
      </x:c>
      <x:c r="L208" s="9" t="str">
        <x:v>TBA</x:v>
      </x:c>
    </x:row>
    <x:row r="209">
      <x:c r="A209" t="str">
        <x:v>54b54868-a948-4107-8483-3a83b18b956d</x:v>
      </x:c>
      <x:c r="B209" t="str">
        <x:v>84abacd4-ac9e-4547-9c6c-c9f49ad1f96d</x:v>
      </x:c>
      <x:c r="C209" s="9" t="str">
        <x:v>Anselm v Buckle &amp; Anor [2014] EWCA Civ 311</x:v>
      </x:c>
      <x:c r="D209" s="9" t="str"/>
      <x:c r="E209" s="9" t="str"/>
      <x:c r="F209" s="13" t="str">
        <x:v>2014</x:v>
      </x:c>
      <x:c r="G209" s="9" t="str">
        <x:v>England and Wales Court of Appeal (Civil Division)</x:v>
      </x:c>
      <x:c r="H209" s="9" t="str">
        <x:v>Appellate</x:v>
      </x:c>
      <x:c r="I209" s="9" t="str">
        <x:v>England and Wales</x:v>
      </x:c>
      <x:c r="J209" s="9" t="str">
        <x:v>Contract Dispute</x:v>
      </x:c>
      <x:c r="K209" s="9" t="str">
        <x:v>-ew-cases-EWCA-Civ-2014-311.xml</x:v>
      </x:c>
      <x:c r="L209" s="9" t="str">
        <x:v>TBA</x:v>
      </x:c>
    </x:row>
    <x:row r="210">
      <x:c r="A210" t="str">
        <x:v>9d1377d7-57e9-436d-a477-897cd8c02ca8</x:v>
      </x:c>
      <x:c r="B210" t="str">
        <x:v>a9c2ada9-b483-4192-a774-bef3a34518fb</x:v>
      </x:c>
      <x:c r="C210" s="9" t="str">
        <x:v>Antonio v Secretary of State for the Home Department [2022] EWCA Civ 809 (16 June 2022)</x:v>
      </x:c>
      <x:c r="D210" s="9" t="str"/>
      <x:c r="E210" s="9" t="str"/>
      <x:c r="F210" s="13" t="str">
        <x:v>2022</x:v>
      </x:c>
      <x:c r="G210" s="9" t="str">
        <x:v>England and Wales Court of Appeal (Civil Division)</x:v>
      </x:c>
      <x:c r="H210" s="9" t="str">
        <x:v>Court of Appeal (Civil Division)</x:v>
      </x:c>
      <x:c r="I210" s="9" t="str">
        <x:v>England &amp; Wales</x:v>
      </x:c>
      <x:c r="J210" s="9" t="str">
        <x:v>Immigration Law / Deportation / Human Rights</x:v>
      </x:c>
      <x:c r="K210" s="9" t="str">
        <x:v>ew-cases-EWCA-Civ-2022-809.xml</x:v>
      </x:c>
      <x:c r="L210" s="9" t="str">
        <x:v>TBA</x:v>
      </x:c>
    </x:row>
    <x:row r="211">
      <x:c r="A211" t="str">
        <x:v>b19c9c43-c64c-4bd6-8344-3073d72bab28</x:v>
      </x:c>
      <x:c r="B211" t="str">
        <x:v>84563574-0703-4ca0-9f28-51e9090cf522</x:v>
      </x:c>
      <x:c r="C211" s="9" t="str">
        <x:v>Antonio v The Secretary of State for the Home Department</x:v>
      </x:c>
      <x:c r="D211" s="9" t="str"/>
      <x:c r="E211" s="9" t="str"/>
      <x:c r="F211" s="13" t="str">
        <x:v>2017</x:v>
      </x:c>
      <x:c r="G211" s="9" t="str">
        <x:v>England and Wales Court of Appeal (Civil Division)</x:v>
      </x:c>
      <x:c r="H211" s="9" t="str">
        <x:v>Appellate</x:v>
      </x:c>
      <x:c r="I211" s="9" t="str">
        <x:v>England and Wales</x:v>
      </x:c>
      <x:c r="J211" s="9" t="str">
        <x:v>Administrative Law</x:v>
      </x:c>
      <x:c r="K211" s="9" t="str">
        <x:v>-ew-cases-EWCA-Civ-2017-48.xml</x:v>
      </x:c>
      <x:c r="L211" s="9" t="str">
        <x:v>TBA</x:v>
      </x:c>
    </x:row>
    <x:row r="212">
      <x:c r="A212" t="str">
        <x:v>ce638256-47d6-464d-a416-ffe4d091a3db</x:v>
      </x:c>
      <x:c r="B212" t="str">
        <x:v>169af2c4-c5a9-4cce-bc40-a627cdda1dc5</x:v>
      </x:c>
      <x:c r="C212" s="9" t="str">
        <x:v>Anwar v Secretary of State for the Home Department</x:v>
      </x:c>
      <x:c r="D212" s="9" t="str"/>
      <x:c r="E212" s="9" t="str"/>
      <x:c r="F212" s="13" t="str">
        <x:v>2017</x:v>
      </x:c>
      <x:c r="G212" s="9" t="str">
        <x:v>England and Wales Court of Appeal (Civil Division)</x:v>
      </x:c>
      <x:c r="H212" s="9" t="str">
        <x:v>Appellate</x:v>
      </x:c>
      <x:c r="I212" s="9" t="str">
        <x:v>England and Wales</x:v>
      </x:c>
      <x:c r="J212" s="9" t="str">
        <x:v>Immigration Law</x:v>
      </x:c>
      <x:c r="K212" s="9" t="str">
        <x:v>-ew-cases-EWCA-Civ-2017-2134.xml</x:v>
      </x:c>
      <x:c r="L212" s="9" t="str">
        <x:v>TBA</x:v>
      </x:c>
    </x:row>
    <x:row r="213">
      <x:c r="A213" t="str">
        <x:v>3e242760-dc68-42a7-a704-52aaa74c835e</x:v>
      </x:c>
      <x:c r="B213" t="str">
        <x:v>406e50f8-c9d9-40d9-948f-b90bc6e749ee</x:v>
      </x:c>
      <x:c r="C213" s="9" t="str">
        <x:v>Anwer v Central Bridging Loans Limited [2022] EWCA Civ 201</x:v>
      </x:c>
      <x:c r="D213" s="9" t="str"/>
      <x:c r="E213" s="9" t="str"/>
      <x:c r="F213" s="13" t="str">
        <x:v>2022</x:v>
      </x:c>
      <x:c r="G213" s="9" t="str">
        <x:v>England and Wales Court of Appeal (Civil Division)</x:v>
      </x:c>
      <x:c r="H213" s="9" t="str">
        <x:v>Court of Appeal (Civil Division)</x:v>
      </x:c>
      <x:c r="I213" s="9" t="str">
        <x:v>England and Wales</x:v>
      </x:c>
      <x:c r="J213" s="9" t="str">
        <x:v>Civil Procedure - Appeals</x:v>
      </x:c>
      <x:c r="K213" s="9" t="str">
        <x:v>ew-cases-EWCA-Civ-2022-201.xml</x:v>
      </x:c>
      <x:c r="L213" s="9" t="str">
        <x:v>TBA</x:v>
      </x:c>
    </x:row>
    <x:row r="214">
      <x:c r="A214" t="str">
        <x:v>ac88b844-c339-40c5-b6e1-e01b54603873</x:v>
      </x:c>
      <x:c r="B214" t="str">
        <x:v>3d68e965-6b20-45cb-893e-99d9f3f05232</x:v>
      </x:c>
      <x:c r="C214" s="9" t="str">
        <x:v>AO (Ghana) v Secretary of State for the Home Department [2015] EWCA Civ 661</x:v>
      </x:c>
      <x:c r="D214" s="9" t="str"/>
      <x:c r="E214" s="9" t="str"/>
      <x:c r="F214" s="13" t="str">
        <x:v>2015</x:v>
      </x:c>
      <x:c r="G214" s="9" t="str">
        <x:v>England and Wales Court of Appeal (Civil Division)</x:v>
      </x:c>
      <x:c r="H214" s="9" t="str">
        <x:v>Appellate</x:v>
      </x:c>
      <x:c r="I214" s="9" t="str">
        <x:v>England and Wales</x:v>
      </x:c>
      <x:c r="J214" s="9" t="str">
        <x:v>Immigration Law</x:v>
      </x:c>
      <x:c r="K214" s="9" t="str">
        <x:v>-ew-cases-EWCA-Civ-2015-661.xml</x:v>
      </x:c>
      <x:c r="L214" s="9" t="str">
        <x:v>TBA</x:v>
      </x:c>
    </x:row>
    <x:row r="215">
      <x:c r="A215" t="str">
        <x:v>e852bdde-410d-4114-be4a-3bb6931bd869</x:v>
      </x:c>
      <x:c r="B215" t="str">
        <x:v>a0ec47e7-848c-4aa5-a2dd-612f5547e429</x:v>
      </x:c>
      <x:c r="C215" s="9" t="str">
        <x:v>AO (Nigeria) v Secretary of State for the Home Department [2016] EWCA Civ 242</x:v>
      </x:c>
      <x:c r="D215" s="9" t="str"/>
      <x:c r="E215" s="9" t="str"/>
      <x:c r="F215" s="13" t="str">
        <x:v>2016</x:v>
      </x:c>
      <x:c r="G215" s="9" t="str">
        <x:v>England and Wales Court of Appeal (Civil Division)</x:v>
      </x:c>
      <x:c r="H215" s="9" t="str">
        <x:v>Court of Appeal (Civil Division)</x:v>
      </x:c>
      <x:c r="I215" s="9" t="str">
        <x:v>England and Wales</x:v>
      </x:c>
      <x:c r="J215" s="9" t="str">
        <x:v>Immigration Law</x:v>
      </x:c>
      <x:c r="K215" s="9" t="str">
        <x:v>-ew-cases-EWCA-Civ-2016-242.xml</x:v>
      </x:c>
      <x:c r="L215" s="9" t="str">
        <x:v>TBA</x:v>
      </x:c>
    </x:row>
    <x:row r="216">
      <x:c r="A216" t="str">
        <x:v>9a73333b-a606-471e-9744-e5caedd41dbf</x:v>
      </x:c>
      <x:c r="B216" t="str">
        <x:v>1862ccd4-9236-4089-9048-9d1286b31ab6</x:v>
      </x:c>
      <x:c r="C216" s="9" t="str">
        <x:v>AP (India) v The Secretary of State for the Home Department [2015] EWCA Civ 89</x:v>
      </x:c>
      <x:c r="D216" s="9" t="str"/>
      <x:c r="E216" s="9" t="str"/>
      <x:c r="F216" s="13" t="str">
        <x:v>2015</x:v>
      </x:c>
      <x:c r="G216" s="9" t="str">
        <x:v>England and Wales Court of Appeal (Civil Division)</x:v>
      </x:c>
      <x:c r="H216" s="9" t="str">
        <x:v>Appellate</x:v>
      </x:c>
      <x:c r="I216" s="9" t="str">
        <x:v>England and Wales</x:v>
      </x:c>
      <x:c r="J216" s="9" t="str">
        <x:v>Immigration Law</x:v>
      </x:c>
      <x:c r="K216" s="9" t="str">
        <x:v>-ew-cases-EWCA-Civ-2015-89.xml</x:v>
      </x:c>
      <x:c r="L216" s="9" t="str">
        <x:v>TBA</x:v>
      </x:c>
    </x:row>
    <x:row r="217">
      <x:c r="A217" t="str">
        <x:v>4f106aaa-4b47-47a6-8c33-e7ad704ce09c</x:v>
      </x:c>
      <x:c r="B217" t="str">
        <x:v>eeb6bc72-9385-4469-8e60-882fb5e55bf2</x:v>
      </x:c>
      <x:c r="C217" s="9" t="str">
        <x:v>AP Racing Ltd v Alcon Components Ltd [2014] EWCA Civ 40</x:v>
      </x:c>
      <x:c r="D217" s="9" t="str"/>
      <x:c r="E217" s="9" t="str"/>
      <x:c r="F217" s="13" t="str">
        <x:v>2014</x:v>
      </x:c>
      <x:c r="G217" s="9" t="str">
        <x:v>England and Wales Court of Appeal (Civil Division)</x:v>
      </x:c>
      <x:c r="H217" s="9" t="str">
        <x:v>Appellate</x:v>
      </x:c>
      <x:c r="I217" s="9" t="str">
        <x:v>England and Wales</x:v>
      </x:c>
      <x:c r="J217" s="9" t="str">
        <x:v>Patent Law</x:v>
      </x:c>
      <x:c r="K217" s="9" t="str">
        <x:v>-ew-cases-EWCA-Civ-2014-40.xml</x:v>
      </x:c>
      <x:c r="L217" s="9" t="str">
        <x:v>TBA</x:v>
      </x:c>
    </x:row>
    <x:row r="218">
      <x:c r="A218" t="str">
        <x:v>4bac8e7b-8dcf-4eed-afd9-23fe88be702f</x:v>
      </x:c>
      <x:c r="B218" t="str">
        <x:v>7b9d1568-e485-487f-a761-aac4841f1406</x:v>
      </x:c>
      <x:c r="C218" s="9" t="str">
        <x:v>Apata, R (On the Application of) v Secretary of State for the Home Department [2016] EWCA Civ 802</x:v>
      </x:c>
      <x:c r="D218" s="9" t="str"/>
      <x:c r="E218" s="9" t="str"/>
      <x:c r="F218" s="13" t="str">
        <x:v>2016</x:v>
      </x:c>
      <x:c r="G218" s="9" t="str">
        <x:v>England and Wales Court of Appeal (Civil Division)</x:v>
      </x:c>
      <x:c r="H218" s="9" t="str">
        <x:v>Court of Appeal (Civil Division)</x:v>
      </x:c>
      <x:c r="I218" s="9" t="str">
        <x:v>England and Wales</x:v>
      </x:c>
      <x:c r="J218" s="9" t="str">
        <x:v>Immigration and Administrative Law</x:v>
      </x:c>
      <x:c r="K218" s="9" t="str">
        <x:v>-ew-cases-EWCA-Civ-2016-802.xml</x:v>
      </x:c>
      <x:c r="L218" s="9" t="str">
        <x:v>TBA</x:v>
      </x:c>
    </x:row>
    <x:row r="219">
      <x:c r="A219" t="str">
        <x:v>8f1eac2a-468a-42a7-8726-67b2526fcc60</x:v>
      </x:c>
      <x:c r="B219" t="str">
        <x:v>4bf1653f-7514-4308-8434-8ad03c4a608f</x:v>
      </x:c>
      <x:c r="C219" s="9" t="str">
        <x:v>Apex Global Management Ltd &amp; Anor v Global Torch Ltd [2017] EWCA Civ 315</x:v>
      </x:c>
      <x:c r="D219" s="9" t="str"/>
      <x:c r="E219" s="9" t="str"/>
      <x:c r="F219" s="13" t="str">
        <x:v>2017</x:v>
      </x:c>
      <x:c r="G219" s="9" t="str">
        <x:v>England and Wales Court of Appeal (Civil Division)</x:v>
      </x:c>
      <x:c r="H219" s="9" t="str">
        <x:v>Appellate</x:v>
      </x:c>
      <x:c r="I219" s="9" t="str">
        <x:v>England and Wales</x:v>
      </x:c>
      <x:c r="J219" s="9" t="str">
        <x:v>Corporate Law</x:v>
      </x:c>
      <x:c r="K219" s="9" t="str">
        <x:v>-ew-cases-EWCA-Civ-2017-315.xml</x:v>
      </x:c>
      <x:c r="L219" s="9" t="str">
        <x:v>TBA</x:v>
      </x:c>
    </x:row>
    <x:row r="220">
      <x:c r="A220" t="str">
        <x:v>8f815e86-10d0-4a40-b502-2d055d4a42ee</x:v>
      </x:c>
      <x:c r="B220" t="str">
        <x:v>4f10d793-a218-460c-89ce-d36b506dbe6b</x:v>
      </x:c>
      <x:c r="C220" s="9" t="str">
        <x:v>APVCO 19 Ltd &amp; Ors, R (on the application of) v HM Treasury &amp; Anor</x:v>
      </x:c>
      <x:c r="D220" s="9" t="str"/>
      <x:c r="E220" s="9" t="str"/>
      <x:c r="F220" s="13" t="str">
        <x:v>2015</x:v>
      </x:c>
      <x:c r="G220" s="9" t="str">
        <x:v>England and Wales Court of Appeal (Civil Division)</x:v>
      </x:c>
      <x:c r="H220" s="9" t="str">
        <x:v>Appellate</x:v>
      </x:c>
      <x:c r="I220" s="9" t="str">
        <x:v>England and Wales</x:v>
      </x:c>
      <x:c r="J220" s="9" t="str">
        <x:v>Administrative Law</x:v>
      </x:c>
      <x:c r="K220" s="9" t="str">
        <x:v>-ew-cases-EWCA-Civ-2015-648.xml</x:v>
      </x:c>
      <x:c r="L220" s="9" t="str">
        <x:v>TBA</x:v>
      </x:c>
    </x:row>
    <x:row r="221">
      <x:c r="A221" t="str">
        <x:v>665bc12e-c2b3-40ff-9a14-e2bfe6c2ae59</x:v>
      </x:c>
      <x:c r="B221" t="str">
        <x:v>b9c101b6-745c-4d74-9a75-789e414f3724</x:v>
      </x:c>
      <x:c r="C221" s="9" t="str">
        <x:v>AR (A Child), R (On the Application Of) v London Borough of Waltham Forest</x:v>
      </x:c>
      <x:c r="D221" s="9" t="str"/>
      <x:c r="E221" s="9" t="str"/>
      <x:c r="F221" s="13" t="str">
        <x:v>2021</x:v>
      </x:c>
      <x:c r="G221" s="9" t="str">
        <x:v>England and Wales Court of Appeal (Civil Division)</x:v>
      </x:c>
      <x:c r="H221" s="9" t="str">
        <x:v>Appellate</x:v>
      </x:c>
      <x:c r="I221" s="9" t="str">
        <x:v>England and Wales</x:v>
      </x:c>
      <x:c r="J221" s="9" t="str">
        <x:v>Administrative Law</x:v>
      </x:c>
      <x:c r="K221" s="9" t="str">
        <x:v>ew-cases-EWCA-Civ-2021-1185.xml</x:v>
      </x:c>
      <x:c r="L221" s="9" t="str">
        <x:v>TBA</x:v>
      </x:c>
    </x:row>
    <x:row r="222">
      <x:c r="A222" t="str">
        <x:v>b5ec2f3e-c60a-47b2-9cc7-c5d131314060</x:v>
      </x:c>
      <x:c r="B222" t="str">
        <x:v>c22e8209-8838-43e2-89af-8f669c62ad1c</x:v>
      </x:c>
      <x:c r="C222" s="9" t="str">
        <x:v>AR, R (On the Application Of) (Pakistan) v The Secretary of State for the Home Department (Rev 1) [2016] EWCA Civ 807</x:v>
      </x:c>
      <x:c r="D222" s="9" t="str"/>
      <x:c r="E222" s="9" t="str"/>
      <x:c r="F222" s="13" t="str">
        <x:v>2016</x:v>
      </x:c>
      <x:c r="G222" s="9" t="str">
        <x:v>England and Wales Court of Appeal (Civil Division)</x:v>
      </x:c>
      <x:c r="H222" s="9" t="str">
        <x:v>Court of Appeal (Civil Division)</x:v>
      </x:c>
      <x:c r="I222" s="9" t="str">
        <x:v>England and Wales</x:v>
      </x:c>
      <x:c r="J222" s="9" t="str">
        <x:v>Public Law / Administrative Law / Immigration Law</x:v>
      </x:c>
      <x:c r="K222" s="9" t="str">
        <x:v>-ew-cases-EWCA-Civ-2016-807.xml</x:v>
      </x:c>
      <x:c r="L222" s="9" t="str">
        <x:v>TBA</x:v>
      </x:c>
    </x:row>
    <x:row r="223">
      <x:c r="A223" t="str">
        <x:v>011498e5-cec9-418a-8f74-f8d9daf7d530</x:v>
      </x:c>
      <x:c r="B223" t="str">
        <x:v>88dd3dab-81ba-4741-be7a-7d139b695ae5</x:v>
      </x:c>
      <x:c r="C223" s="9" t="str">
        <x:v>AR, R (on the application of) v Greater Manchester Police &amp; Anor [2016] EWCA Civ 490</x:v>
      </x:c>
      <x:c r="D223" s="9" t="str"/>
      <x:c r="E223" s="9" t="str"/>
      <x:c r="F223" s="13" t="str">
        <x:v>2016</x:v>
      </x:c>
      <x:c r="G223" s="9" t="str">
        <x:v>England and Wales Court of Appeal (Civil Division)</x:v>
      </x:c>
      <x:c r="H223" s="9" t="str">
        <x:v>Court of Appeal (Civil Division)</x:v>
      </x:c>
      <x:c r="I223" s="9" t="str">
        <x:v>England and Wales</x:v>
      </x:c>
      <x:c r="J223" s="9" t="str">
        <x:v>Administrative Law / Public Law / Human Rights</x:v>
      </x:c>
      <x:c r="K223" s="9" t="str">
        <x:v>-ew-cases-EWCA-Civ-2016-490.xml</x:v>
      </x:c>
      <x:c r="L223" s="9" t="str">
        <x:v>TBA</x:v>
      </x:c>
    </x:row>
    <x:row r="224">
      <x:c r="A224" t="str">
        <x:v>b102a6e8-d601-4c5e-97de-2e5980b4d68a</x:v>
      </x:c>
      <x:c r="B224" t="str">
        <x:v>cb147fdc-11ca-49d1-b853-892baa49a3f6</x:v>
      </x:c>
      <x:c r="C224" s="9" t="str">
        <x:v>Arbili v Arbili [2015] EWCA Civ 542</x:v>
      </x:c>
      <x:c r="D224" s="9" t="str"/>
      <x:c r="E224" s="9" t="str"/>
      <x:c r="F224" s="13" t="str">
        <x:v>2015</x:v>
      </x:c>
      <x:c r="G224" s="9" t="str">
        <x:v>England and Wales Court of Appeal (Civil Division)</x:v>
      </x:c>
      <x:c r="H224" s="9" t="str">
        <x:v>Appellate</x:v>
      </x:c>
      <x:c r="I224" s="9" t="str">
        <x:v>England and Wales</x:v>
      </x:c>
      <x:c r="J224" s="9" t="str">
        <x:v>Family Law</x:v>
      </x:c>
      <x:c r="K224" s="9" t="str">
        <x:v>-ew-cases-EWCA-Civ-2015-542.xml</x:v>
      </x:c>
      <x:c r="L224" s="9" t="str">
        <x:v>TBA</x:v>
      </x:c>
    </x:row>
    <x:row r="225">
      <x:c r="A225" t="str">
        <x:v>1362a8c1-e055-49ee-b4ce-525a0f9e8421</x:v>
      </x:c>
      <x:c r="B225" t="str">
        <x:v>ead82177-2c28-446e-98bd-e2a263f77d1d</x:v>
      </x:c>
      <x:c r="C225" s="9" t="str">
        <x:v>Arbuthnott v Bonnyman &amp; Ors [2015] EWCA Civ 536</x:v>
      </x:c>
      <x:c r="D225" s="9" t="str"/>
      <x:c r="E225" s="9" t="str"/>
      <x:c r="F225" s="13" t="str">
        <x:v>2015</x:v>
      </x:c>
      <x:c r="G225" s="9" t="str">
        <x:v>England and Wales Court of Appeal (Civil Division)</x:v>
      </x:c>
      <x:c r="H225" s="9" t="str">
        <x:v>Appellate</x:v>
      </x:c>
      <x:c r="I225" s="9" t="str">
        <x:v>England</x:v>
      </x:c>
      <x:c r="J225" s="9" t="str">
        <x:v>Companies Act and Corporate Governance</x:v>
      </x:c>
      <x:c r="K225" s="9" t="str">
        <x:v>-ew-cases-EWCA-Civ-2015-536.xml</x:v>
      </x:c>
      <x:c r="L225" s="9" t="str">
        <x:v>TBA</x:v>
      </x:c>
    </x:row>
    <x:row r="226">
      <x:c r="A226" t="str">
        <x:v>ea3ee554-14ae-4c9b-8841-02042809f96c</x:v>
      </x:c>
      <x:c r="B226" t="str">
        <x:v>074bb39f-6bb9-48a1-9c11-81ec978eb6ab</x:v>
      </x:c>
      <x:c r="C226" s="9" t="str">
        <x:v>Arcadia Group Brands Ltd &amp; Ors v Visa Inc &amp; Ors [2015] EWCA Civ 883</x:v>
      </x:c>
      <x:c r="D226" s="9" t="str"/>
      <x:c r="E226" s="9" t="str"/>
      <x:c r="F226" s="13" t="str">
        <x:v>2015</x:v>
      </x:c>
      <x:c r="G226" s="9" t="str">
        <x:v>England and Wales Court of Appeal (Civil Division)</x:v>
      </x:c>
      <x:c r="H226" s="9" t="str">
        <x:v>appellate</x:v>
      </x:c>
      <x:c r="I226" s="9" t="str">
        <x:v>England and Wales</x:v>
      </x:c>
      <x:c r="J226" s="9" t="str">
        <x:v>Civil Appeal</x:v>
      </x:c>
      <x:c r="K226" s="9" t="str">
        <x:v>-ew-cases-EWCA-Civ-2015-883.xml</x:v>
      </x:c>
      <x:c r="L226" s="9" t="str">
        <x:v>TBA</x:v>
      </x:c>
    </x:row>
    <x:row r="227">
      <x:c r="A227" t="str">
        <x:v>948eda52-b724-46b9-a73b-a86d584fd248</x:v>
      </x:c>
      <x:c r="B227" t="str">
        <x:v>04161c17-078e-4a50-b1b7-dff6d04a57e3</x:v>
      </x:c>
      <x:c r="C227" s="9" t="str">
        <x:v>Archbishop Bowen &amp; Anor v JL [2017] EWCA Civ 82</x:v>
      </x:c>
      <x:c r="D227" s="9" t="str"/>
      <x:c r="E227" s="9" t="str"/>
      <x:c r="F227" s="13" t="str">
        <x:v>2017</x:v>
      </x:c>
      <x:c r="G227" s="9" t="str">
        <x:v>England and Wales Court of Appeal (Civil Division)</x:v>
      </x:c>
      <x:c r="H227" s="9" t="str">
        <x:v>Appellate</x:v>
      </x:c>
      <x:c r="I227" s="9" t="str">
        <x:v>England and Wales</x:v>
      </x:c>
      <x:c r="J227" s="9" t="str">
        <x:v>Tort</x:v>
      </x:c>
      <x:c r="K227" s="9" t="str">
        <x:v>-ew-cases-EWCA-Civ-2017-82.xml</x:v>
      </x:c>
      <x:c r="L227" s="9" t="str">
        <x:v>TBA</x:v>
      </x:c>
    </x:row>
    <x:row r="228">
      <x:c r="A228" t="str">
        <x:v>b07938e3-a3af-4c82-89a1-9ebde940cc49</x:v>
      </x:c>
      <x:c r="B228" t="str">
        <x:v>94074869-9316-4ee8-9316-6323a3f47519</x:v>
      </x:c>
      <x:c r="C228" s="9" t="str">
        <x:v>Archer v HM Revenue and Customs [2023] EWCA Civ 626</x:v>
      </x:c>
      <x:c r="D228" s="9" t="str"/>
      <x:c r="E228" s="9" t="str"/>
      <x:c r="F228" s="13" t="str">
        <x:v>2023</x:v>
      </x:c>
      <x:c r="G228" s="9" t="str">
        <x:v>England and Wales Court of Appeal (Civil Division)</x:v>
      </x:c>
      <x:c r="H228" s="9" t="str">
        <x:v>Court of Appeal (Civil Division)</x:v>
      </x:c>
      <x:c r="I228" s="9" t="str">
        <x:v>England and Wales</x:v>
      </x:c>
      <x:c r="J228" s="9" t="str">
        <x:v>Tax Law</x:v>
      </x:c>
      <x:c r="K228" s="9" t="str">
        <x:v>ew-cases-EWCA-Civ-2023-626.xml</x:v>
      </x:c>
      <x:c r="L228" s="9" t="str">
        <x:v>TBA</x:v>
      </x:c>
    </x:row>
    <x:row r="229">
      <x:c r="A229" t="str">
        <x:v>454b6a52-0355-409e-95c9-de62149daef3</x:v>
      </x:c>
      <x:c r="B229" t="str">
        <x:v>17f94a6d-48ae-47eb-b11d-5df54409e529</x:v>
      </x:c>
      <x:c r="C229" s="9" t="str">
        <x:v>Archer v The Commissioner of Police of the Metropolis [2021] EWCA Civ 1662</x:v>
      </x:c>
      <x:c r="D229" s="9" t="str"/>
      <x:c r="E229" s="9" t="str"/>
      <x:c r="F229" s="13" t="str">
        <x:v>2021</x:v>
      </x:c>
      <x:c r="G229" s="9" t="str">
        <x:v>England and Wales Court of Appeal (Civil Division)</x:v>
      </x:c>
      <x:c r="H229" s="9" t="str">
        <x:v>Appellate</x:v>
      </x:c>
      <x:c r="I229" s="9" t="str">
        <x:v>England and Wales</x:v>
      </x:c>
      <x:c r="J229" s="9" t="str">
        <x:v>Criminal Law</x:v>
      </x:c>
      <x:c r="K229" s="9" t="str">
        <x:v>ew-cases-EWCA-Civ-2021-1662.xml</x:v>
      </x:c>
      <x:c r="L229" s="9" t="str">
        <x:v>TBA</x:v>
      </x:c>
    </x:row>
    <x:row r="230">
      <x:c r="A230" t="str">
        <x:v>b732a156-d117-44e3-8514-be78deef3322</x:v>
      </x:c>
      <x:c r="B230" t="str">
        <x:v>3fa305ff-316a-40a3-b56e-6148e2e973ae</x:v>
      </x:c>
      <x:c r="C230" s="9" t="str">
        <x:v>Archer, R (on the application of) v HM Revenue and Customs</x:v>
      </x:c>
      <x:c r="D230" s="9" t="str"/>
      <x:c r="E230" s="9" t="str"/>
      <x:c r="F230" s="13" t="str">
        <x:v>2017</x:v>
      </x:c>
      <x:c r="G230" s="9" t="str">
        <x:v>England and Wales Court of Appeal (Civil Division)</x:v>
      </x:c>
      <x:c r="H230" s="9" t="str">
        <x:v>Appellate</x:v>
      </x:c>
      <x:c r="I230" s="9" t="str">
        <x:v>England and Wales</x:v>
      </x:c>
      <x:c r="J230" s="9" t="str">
        <x:v>Tax Law</x:v>
      </x:c>
      <x:c r="K230" s="9" t="str">
        <x:v>-ew-cases-EWCA-Civ-2017-1962.xml</x:v>
      </x:c>
      <x:c r="L230" s="9" t="str">
        <x:v>TBA</x:v>
      </x:c>
    </x:row>
    <x:row r="231">
      <x:c r="A231" t="str">
        <x:v>7cc5ed0c-4cfe-4ac0-8087-e0a4d59f7b39</x:v>
      </x:c>
      <x:c r="B231" t="str">
        <x:v>99e499ed-5641-4f75-8c33-a3c4e6031823</x:v>
      </x:c>
      <x:c r="C231" s="9" t="str">
        <x:v>Argentum Exploration Limited v The Silver and all persons claiming to be interested in and/or to have rights in respect of, the Silver [2022] EWCA Civ 1318</x:v>
      </x:c>
      <x:c r="D231" s="9" t="str"/>
      <x:c r="E231" s="9" t="str"/>
      <x:c r="F231" s="13" t="str">
        <x:v>2022</x:v>
      </x:c>
      <x:c r="G231" s="9" t="str">
        <x:v>England and Wales Court of Appeal (Civil Division)</x:v>
      </x:c>
      <x:c r="H231" s="9" t="str">
        <x:v>Court of Appeal (Civil Division)</x:v>
      </x:c>
      <x:c r="I231" s="9" t="str">
        <x:v>England and Wales</x:v>
      </x:c>
      <x:c r="J231" s="9" t="str">
        <x:v>Civil / Admiralty &amp; Maritime Law / International Law</x:v>
      </x:c>
      <x:c r="K231" s="9" t="str">
        <x:v>ew-cases-EWCA-Civ-2022-1318.xml</x:v>
      </x:c>
      <x:c r="L231" s="9" t="str">
        <x:v>TBA</x:v>
      </x:c>
    </x:row>
    <x:row r="232">
      <x:c r="A232" t="str">
        <x:v>ba48befa-b9a8-461d-ad62-099b85d130ca</x:v>
      </x:c>
      <x:c r="B232" t="str">
        <x:v>bebe9b35-d697-4ea8-aac2-5e2a29c13614</x:v>
      </x:c>
      <x:c r="C232" s="9" t="str">
        <x:v>Armchair Answercall Ltd v People in Mind Ltd [2016] EWCA Civ 1039</x:v>
      </x:c>
      <x:c r="D232" s="9" t="str"/>
      <x:c r="E232" s="9" t="str"/>
      <x:c r="F232" s="13" t="str">
        <x:v>2016</x:v>
      </x:c>
      <x:c r="G232" s="9" t="str">
        <x:v>England and Wales Court of Appeal (Civil Division)</x:v>
      </x:c>
      <x:c r="H232" s="9" t="str">
        <x:v>Court of Appeal (Civil Division)</x:v>
      </x:c>
      <x:c r="I232" s="9" t="str">
        <x:v>England and Wales</x:v>
      </x:c>
      <x:c r="J232" s="9" t="str">
        <x:v>Contract law - Frustration</x:v>
      </x:c>
      <x:c r="K232" s="9" t="str">
        <x:v>-ew-cases-EWCA-Civ-2016-1039.xml</x:v>
      </x:c>
      <x:c r="L232" s="9" t="str">
        <x:v>TBA</x:v>
      </x:c>
    </x:row>
    <x:row r="233">
      <x:c r="A233" t="str">
        <x:v>c9f1f95d-4823-4f99-87a0-15f750c166d6</x:v>
      </x:c>
      <x:c r="B233" t="str">
        <x:v>ac141aef-6238-4e3c-9080-a028260aa867</x:v>
      </x:c>
      <x:c r="C233" s="9" t="str">
        <x:v>Armstead v Royal Sun Alliance Insurance Company Limited [2022] EWCA Civ 497</x:v>
      </x:c>
      <x:c r="D233" s="9" t="str"/>
      <x:c r="E233" s="9" t="str"/>
      <x:c r="F233" s="13" t="str">
        <x:v>2022</x:v>
      </x:c>
      <x:c r="G233" s="9" t="str">
        <x:v>England and Wales Court of Appeal (Civil Division)</x:v>
      </x:c>
      <x:c r="H233" s="9" t="str">
        <x:v>Court of Appeal (Civil Division)</x:v>
      </x:c>
      <x:c r="I233" s="9" t="str">
        <x:v>England and Wales</x:v>
      </x:c>
      <x:c r="J233" s="9" t="str">
        <x:v>Insurance Law</x:v>
      </x:c>
      <x:c r="K233" s="9" t="str">
        <x:v>ew-cases-EWCA-Civ-2022-497.xml</x:v>
      </x:c>
      <x:c r="L233" s="9" t="str">
        <x:v>TBA</x:v>
      </x:c>
    </x:row>
    <x:row r="234">
      <x:c r="A234" t="str">
        <x:v>0f48bb50-6335-4d7d-8e3e-e37814045545</x:v>
      </x:c>
      <x:c r="B234" t="str">
        <x:v>b442c1b2-8abb-405b-84e7-ed548033e605</x:v>
      </x:c>
      <x:c r="C234" s="9" t="str">
        <x:v>Armstrong v Onyearu &amp; Anor [2017] EWCA Civ 268</x:v>
      </x:c>
      <x:c r="D234" s="9" t="str"/>
      <x:c r="E234" s="9" t="str"/>
      <x:c r="F234" s="13" t="str">
        <x:v>2017</x:v>
      </x:c>
      <x:c r="G234" s="9" t="str">
        <x:v>England and Wales Court of Appeal (Civil Division)</x:v>
      </x:c>
      <x:c r="H234" s="9" t="str">
        <x:v>Appellate</x:v>
      </x:c>
      <x:c r="I234" s="9" t="str">
        <x:v>England and Wales</x:v>
      </x:c>
      <x:c r="J234" s="9" t="str">
        <x:v>Bankruptcy and Equity</x:v>
      </x:c>
      <x:c r="K234" s="9" t="str">
        <x:v>-ew-cases-EWCA-Civ-2017-268.xml</x:v>
      </x:c>
      <x:c r="L234" s="9" t="str">
        <x:v>TBA</x:v>
      </x:c>
    </x:row>
    <x:row r="235">
      <x:c r="A235" t="str">
        <x:v>8985857a-eb41-4759-87cc-906b4232abcf</x:v>
      </x:c>
      <x:c r="B235" t="str">
        <x:v>e8b0fecb-e492-46a4-b2a3-c4e891f71368</x:v>
      </x:c>
      <x:c r="C235" s="9" t="str">
        <x:v>Arnold &amp; Anor v Secretary of State for Communities and Local Government &amp; Anor</x:v>
      </x:c>
      <x:c r="D235" s="9" t="str"/>
      <x:c r="E235" s="9" t="str"/>
      <x:c r="F235" s="13" t="str">
        <x:v>2017</x:v>
      </x:c>
      <x:c r="G235" s="9" t="str">
        <x:v>England and Wales Court of Appeal (Civil Division)</x:v>
      </x:c>
      <x:c r="H235" s="9" t="str">
        <x:v>Appellate</x:v>
      </x:c>
      <x:c r="I235" s="9" t="str">
        <x:v>England and Wales</x:v>
      </x:c>
      <x:c r="J235" s="9" t="str">
        <x:v>Planning Law</x:v>
      </x:c>
      <x:c r="K235" s="9" t="str">
        <x:v>-ew-cases-EWCA-Civ-2017-231.xml</x:v>
      </x:c>
      <x:c r="L235" s="9" t="str">
        <x:v>TBA</x:v>
      </x:c>
    </x:row>
    <x:row r="236">
      <x:c r="A236" t="str">
        <x:v>e3af7c00-8137-4a39-87ae-55d76b52a84b</x:v>
      </x:c>
      <x:c r="B236" t="str">
        <x:v>0637f79f-8d32-4067-bec7-17f10449cbe1</x:v>
      </x:c>
      <x:c r="C236" s="9" t="str">
        <x:v>Arnold v Britton &amp; Ors [2015] UKSC 36</x:v>
      </x:c>
      <x:c r="D236" s="9" t="str"/>
      <x:c r="E236" s="9" t="str"/>
      <x:c r="F236" s="13" t="str">
        <x:v>2015</x:v>
      </x:c>
      <x:c r="G236" s="9" t="str">
        <x:v>United Kingdom Supreme Court</x:v>
      </x:c>
      <x:c r="H236" s="9" t="str">
        <x:v>Supreme Court</x:v>
      </x:c>
      <x:c r="I236" s="9" t="str">
        <x:v>United Kingdom</x:v>
      </x:c>
      <x:c r="J236" s="9" t="str">
        <x:v>Contract Law</x:v>
      </x:c>
      <x:c r="K236" s="9" t="str">
        <x:v>PT_UKSC_2015_36.xml</x:v>
      </x:c>
      <x:c r="L236" s="9" t="str">
        <x:v>TBA</x:v>
      </x:c>
    </x:row>
    <x:row r="237">
      <x:c r="A237" t="str">
        <x:v>b0070cc9-5db2-4b87-8066-4551545e1ff0</x:v>
      </x:c>
      <x:c r="B237" t="str">
        <x:v>76e6ffcd-af03-4155-a667-51d98a79d1d7</x:v>
      </x:c>
      <x:c r="C237" s="9" t="str">
        <x:v>Arnold White Estates Ltd v The Forestry Commission [2022] EWCA Civ 1304</x:v>
      </x:c>
      <x:c r="D237" s="9" t="str"/>
      <x:c r="E237" s="9" t="str"/>
      <x:c r="F237" s="13" t="str">
        <x:v>2022</x:v>
      </x:c>
      <x:c r="G237" s="9" t="str">
        <x:v>England and Wales Court of Appeal (Civil Division)</x:v>
      </x:c>
      <x:c r="H237" s="9" t="str">
        <x:v>Court of Appeal (Civil Division)</x:v>
      </x:c>
      <x:c r="I237" s="9" t="str">
        <x:v>England and Wales</x:v>
      </x:c>
      <x:c r="J237" s="9" t="str">
        <x:v>Administrative Law; Planning &amp; Environment</x:v>
      </x:c>
      <x:c r="K237" s="9" t="str">
        <x:v>ew-cases-EWCA-Civ-2022-1304.xml</x:v>
      </x:c>
      <x:c r="L237" s="9" t="str">
        <x:v>TBA</x:v>
      </x:c>
    </x:row>
    <x:row r="238">
      <x:c r="A238" t="str">
        <x:v>19cd8baa-99f0-4e26-9905-b3e7dc3f967c</x:v>
      </x:c>
      <x:c r="B238" t="str">
        <x:v>02a8936e-3ba0-4ada-ad37-e2c46d005cdf</x:v>
      </x:c>
      <x:c r="C238" s="9" t="str">
        <x:v>Arthur v Revenue And Customs [2017] EWCA Civ 1756</x:v>
      </x:c>
      <x:c r="D238" s="9" t="str"/>
      <x:c r="E238" s="9" t="str"/>
      <x:c r="F238" s="13" t="str">
        <x:v>2017</x:v>
      </x:c>
      <x:c r="G238" s="9" t="str">
        <x:v>England and Wales Court of Appeal (Civil Division)</x:v>
      </x:c>
      <x:c r="H238" s="9" t="str">
        <x:v>appellate</x:v>
      </x:c>
      <x:c r="I238" s="9" t="str">
        <x:v>England and Wales</x:v>
      </x:c>
      <x:c r="J238" s="9" t="str">
        <x:v>Administrative Law</x:v>
      </x:c>
      <x:c r="K238" s="9" t="str">
        <x:v>-ew-cases-EWCA-Civ-2017-1756.xml</x:v>
      </x:c>
      <x:c r="L238" s="9" t="str">
        <x:v>TBA</x:v>
      </x:c>
    </x:row>
    <x:row r="239">
      <x:c r="A239" t="str">
        <x:v>56d55d19-c39b-4cd5-8902-72403c31ebe6</x:v>
      </x:c>
      <x:c r="B239" t="str">
        <x:v>d9d4622e-cb67-41b2-bca5-74fcd6bb0472</x:v>
      </x:c>
      <x:c r="C239" s="9" t="str">
        <x:v>Arvunescu v Quick Release (Automotive) Ltd [2022] EWCA Civ 1600</x:v>
      </x:c>
      <x:c r="D239" s="9" t="str"/>
      <x:c r="E239" s="9" t="str"/>
      <x:c r="F239" s="13" t="str">
        <x:v>2022</x:v>
      </x:c>
      <x:c r="G239" s="9" t="str">
        <x:v>England and Wales Court of Appeal (Civil Division)</x:v>
      </x:c>
      <x:c r="H239" s="9" t="str">
        <x:v>Court of Appeal (Civil Division)</x:v>
      </x:c>
      <x:c r="I239" s="9" t="str">
        <x:v>England and Wales</x:v>
      </x:c>
      <x:c r="J239" s="9" t="str">
        <x:v>Contract/Settlement interpretation in Employment Law</x:v>
      </x:c>
      <x:c r="K239" s="9" t="str">
        <x:v>ew-cases-EWCA-Civ-2022-1600.xml</x:v>
      </x:c>
      <x:c r="L239" s="9" t="str">
        <x:v>TBA</x:v>
      </x:c>
    </x:row>
    <x:row r="240">
      <x:c r="A240" t="str">
        <x:v>67731654-ecf4-41c9-b923-514802495d36</x:v>
      </x:c>
      <x:c r="B240" t="str">
        <x:v>da1e5d59-2a67-4ae0-9f49-9fcbe629034f</x:v>
      </x:c>
      <x:c r="C240" s="9" t="str">
        <x:v>AS (Afghanistan) v Secretary of State for the Home Department</x:v>
      </x:c>
      <x:c r="D240" s="9" t="str"/>
      <x:c r="E240" s="9" t="str"/>
      <x:c r="F240" s="13" t="str">
        <x:v>2021</x:v>
      </x:c>
      <x:c r="G240" s="9" t="str">
        <x:v>England and Wales Court of Appeal (Civil Division)</x:v>
      </x:c>
      <x:c r="H240" s="9" t="str">
        <x:v>Appellate</x:v>
      </x:c>
      <x:c r="I240" s="9" t="str">
        <x:v>England and Wales</x:v>
      </x:c>
      <x:c r="J240" s="9" t="str">
        <x:v>Immigration Law</x:v>
      </x:c>
      <x:c r="K240" s="9" t="str">
        <x:v>ew-cases-EWCA-Civ-2021-195.xml</x:v>
      </x:c>
      <x:c r="L240" s="9" t="str">
        <x:v>TBA</x:v>
      </x:c>
    </x:row>
    <x:row r="241">
      <x:c r="A241" t="str">
        <x:v>005522c8-69ca-4168-b976-77863675b718</x:v>
      </x:c>
      <x:c r="B241" t="str">
        <x:v>f0221f6f-2fe9-404a-9e94-de5ce3339fe3</x:v>
      </x:c>
      <x:c r="C241" s="9" t="str">
        <x:v>AS (Gambia) v The Secretary of State for the Home Department</x:v>
      </x:c>
      <x:c r="D241" s="9" t="str"/>
      <x:c r="E241" s="9" t="str"/>
      <x:c r="F241" s="13" t="str">
        <x:v>2015</x:v>
      </x:c>
      <x:c r="G241" s="9" t="str">
        <x:v>England and Wales Court of Appeal (Civil Division)</x:v>
      </x:c>
      <x:c r="H241" s="9" t="str">
        <x:v>Appellate</x:v>
      </x:c>
      <x:c r="I241" s="9" t="str">
        <x:v>England and Wales</x:v>
      </x:c>
      <x:c r="J241" s="9" t="str">
        <x:v>Immigration Law</x:v>
      </x:c>
      <x:c r="K241" s="9" t="str">
        <x:v>-ew-cases-EWCA-Civ-2015-1516.xml</x:v>
      </x:c>
      <x:c r="L241" s="9" t="str">
        <x:v>TBA</x:v>
      </x:c>
    </x:row>
    <x:row r="242">
      <x:c r="A242" t="str">
        <x:v>3005be03-a761-46b5-9b69-8fa721666f09</x:v>
      </x:c>
      <x:c r="B242" t="str">
        <x:v>18303a6c-c0f6-4c98-bb8f-9cb715e42143</x:v>
      </x:c>
      <x:c r="C242" s="9" t="str">
        <x:v>AS (Ghana) v Secretary of State for the Home Department [2016] EWCA Civ 133</x:v>
      </x:c>
      <x:c r="D242" s="9" t="str"/>
      <x:c r="E242" s="9" t="str"/>
      <x:c r="F242" s="13" t="str">
        <x:v>2016</x:v>
      </x:c>
      <x:c r="G242" s="9" t="str">
        <x:v>England and Wales Court of Appeal (Civil Division)</x:v>
      </x:c>
      <x:c r="H242" s="9" t="str">
        <x:v>Court of Appeal (Civil Division)</x:v>
      </x:c>
      <x:c r="I242" s="9" t="str">
        <x:v>England and Wales</x:v>
      </x:c>
      <x:c r="J242" s="9" t="str">
        <x:v>Immigration Law; EU Free Movement; Administrative Law</x:v>
      </x:c>
      <x:c r="K242" s="9" t="str">
        <x:v>-ew-cases-EWCA-Civ-2016-133.xml</x:v>
      </x:c>
      <x:c r="L242" s="9" t="str">
        <x:v>TBA</x:v>
      </x:c>
    </x:row>
    <x:row r="243">
      <x:c r="A243" t="str">
        <x:v>37c2193b-89f4-4ca4-92e8-18d0d13b20dc</x:v>
      </x:c>
      <x:c r="B243" t="str">
        <x:v>914bc64c-4303-414d-a88c-13e98555fbfb</x:v>
      </x:c>
      <x:c r="C243" s="9" t="str">
        <x:v>AS (Iran) v Secretary of State for the Home Department</x:v>
      </x:c>
      <x:c r="D243" s="9" t="str"/>
      <x:c r="E243" s="9" t="str"/>
      <x:c r="F243" s="13" t="str">
        <x:v>2015</x:v>
      </x:c>
      <x:c r="G243" s="9" t="str">
        <x:v>England and Wales Court of Appeal (Civil Division)</x:v>
      </x:c>
      <x:c r="H243" s="9" t="str">
        <x:v>Appellate</x:v>
      </x:c>
      <x:c r="I243" s="9" t="str">
        <x:v>England and Wales</x:v>
      </x:c>
      <x:c r="J243" s="9" t="str">
        <x:v>Immigration Law</x:v>
      </x:c>
      <x:c r="K243" s="9" t="str">
        <x:v>-ew-cases-EWCA-Civ-2015-824.xml</x:v>
      </x:c>
      <x:c r="L243" s="9" t="str">
        <x:v>TBA</x:v>
      </x:c>
    </x:row>
    <x:row r="244">
      <x:c r="A244" t="str">
        <x:v>a7dc7650-5b4d-4e61-a241-b10e4b686ee7</x:v>
      </x:c>
      <x:c r="B244" t="str">
        <x:v>963b09af-bb48-454a-ac81-1650b3af65a6</x:v>
      </x:c>
      <x:c r="C244" s="9" t="str">
        <x:v>AS (Iran) v The Secretary of State for the Home Department [2017] EWCA Civ 1539</x:v>
      </x:c>
      <x:c r="D244" s="9" t="str"/>
      <x:c r="E244" s="9" t="str"/>
      <x:c r="F244" s="13" t="str">
        <x:v>2017</x:v>
      </x:c>
      <x:c r="G244" s="9" t="str">
        <x:v>England and Wales Court of Appeal (Civil Division)</x:v>
      </x:c>
      <x:c r="H244" s="9" t="str">
        <x:v>Appellate</x:v>
      </x:c>
      <x:c r="I244" s="9" t="str">
        <x:v>England and Wales</x:v>
      </x:c>
      <x:c r="J244" s="9" t="str">
        <x:v>Immigration Law</x:v>
      </x:c>
      <x:c r="K244" s="9" t="str">
        <x:v>-ew-cases-EWCA-Civ-2017-1539.xml</x:v>
      </x:c>
      <x:c r="L244" s="9" t="str">
        <x:v>TBA</x:v>
      </x:c>
    </x:row>
    <x:row r="245">
      <x:c r="A245" t="str">
        <x:v>4a57db75-61e0-4742-ba1f-081f77910982</x:v>
      </x:c>
      <x:c r="B245" t="str">
        <x:v>ba52918d-769c-4a45-b561-e4fbc220b155</x:v>
      </x:c>
      <x:c r="C245" s="9" t="str">
        <x:v>AS v Secretary of State for the Home Department</x:v>
      </x:c>
      <x:c r="D245" s="9" t="str"/>
      <x:c r="E245" s="9" t="str"/>
      <x:c r="F245" s="13" t="str">
        <x:v>2017</x:v>
      </x:c>
      <x:c r="G245" s="9" t="str">
        <x:v>England and Wales Court of Appeal (Civil Division)</x:v>
      </x:c>
      <x:c r="H245" s="9" t="str">
        <x:v>Appellate</x:v>
      </x:c>
      <x:c r="I245" s="9" t="str">
        <x:v>England and Wales</x:v>
      </x:c>
      <x:c r="J245" s="9" t="str">
        <x:v>Immigration Law</x:v>
      </x:c>
      <x:c r="K245" s="9" t="str">
        <x:v>-ew-cases-EWCA-Civ-2017-1284.xml</x:v>
      </x:c>
      <x:c r="L245" s="9" t="str">
        <x:v>TBA</x:v>
      </x:c>
    </x:row>
    <x:row r="246">
      <x:c r="A246" t="str">
        <x:v>530a7bf9-b420-497b-8456-39fa280f6101</x:v>
      </x:c>
      <x:c r="B246" t="str">
        <x:v>445437f9-246a-4c24-bdfd-410a4fd8567a</x:v>
      </x:c>
      <x:c r="C246" s="9" t="str">
        <x:v>ASDA Stores Ltd v Brierley &amp; Ors [2016] EWCA Civ 566</x:v>
      </x:c>
      <x:c r="D246" s="9" t="str"/>
      <x:c r="E246" s="9" t="str"/>
      <x:c r="F246" s="13" t="str">
        <x:v>2016</x:v>
      </x:c>
      <x:c r="G246" s="9" t="str">
        <x:v>England and Wales Court of Appeal (Civil Division)</x:v>
      </x:c>
      <x:c r="H246" s="9" t="str">
        <x:v>Court of Appeal (Civil Division)</x:v>
      </x:c>
      <x:c r="I246" s="9" t="str">
        <x:v>England and Wales</x:v>
      </x:c>
      <x:c r="J246" s="9" t="str">
        <x:v>Civil Law; Employment Law; Equal Pay; Jurisdiction/Forum</x:v>
      </x:c>
      <x:c r="K246" s="9" t="str">
        <x:v>-ew-cases-EWCA-Civ-2016-566.xml</x:v>
      </x:c>
      <x:c r="L246" s="9" t="str">
        <x:v>TBA</x:v>
      </x:c>
    </x:row>
    <x:row r="247">
      <x:c r="A247" t="str">
        <x:v>71875bda-477c-42ea-a79a-3b2da34cee80</x:v>
      </x:c>
      <x:c r="B247" t="str">
        <x:v>905c72ff-26ef-47ee-b964-b389c40ab89d</x:v>
      </x:c>
      <x:c r="C247" s="9" t="str">
        <x:v>Asda Stores Ltd v The Commissioners for Her Majesty's Revenue And Customs</x:v>
      </x:c>
      <x:c r="D247" s="9" t="str"/>
      <x:c r="E247" s="9" t="str"/>
      <x:c r="F247" s="13" t="str">
        <x:v>2014</x:v>
      </x:c>
      <x:c r="G247" s="9" t="str">
        <x:v>England and Wales Court of Appeal (Civil Division)</x:v>
      </x:c>
      <x:c r="H247" s="9" t="str">
        <x:v>Appellate</x:v>
      </x:c>
      <x:c r="I247" s="9" t="str">
        <x:v>England and Wales</x:v>
      </x:c>
      <x:c r="J247" s="9" t="str">
        <x:v>Taxation</x:v>
      </x:c>
      <x:c r="K247" s="9" t="str">
        <x:v>-ew-cases-EWCA-Civ-2014-317.xml</x:v>
      </x:c>
      <x:c r="L247" s="9" t="str">
        <x:v>TBA</x:v>
      </x:c>
    </x:row>
    <x:row r="248">
      <x:c r="A248" t="str">
        <x:v>a87a397d-3191-43f9-95da-73b67ae202ff</x:v>
      </x:c>
      <x:c r="B248" t="str">
        <x:v>db21ddb8-c086-4a4a-bc32-54f972770cbe</x:v>
      </x:c>
      <x:c r="C248" s="9" t="str">
        <x:v>Asda Stores Ltd, R (On the Application Of) v Leeds City Council</x:v>
      </x:c>
      <x:c r="D248" s="9" t="str"/>
      <x:c r="E248" s="9" t="str"/>
      <x:c r="F248" s="13" t="str">
        <x:v>2021</x:v>
      </x:c>
      <x:c r="G248" s="9" t="str">
        <x:v>England and Wales Court of Appeal (Civil Division)</x:v>
      </x:c>
      <x:c r="H248" s="9" t="str">
        <x:v>Appellate</x:v>
      </x:c>
      <x:c r="I248" s="9" t="str">
        <x:v>England and Wales</x:v>
      </x:c>
      <x:c r="J248" s="9" t="str">
        <x:v>Administrative Law</x:v>
      </x:c>
      <x:c r="K248" s="9" t="str">
        <x:v>ew-cases-EWCA-Civ-2021-32.xml</x:v>
      </x:c>
      <x:c r="L248" s="9" t="str">
        <x:v>TBA</x:v>
      </x:c>
    </x:row>
    <x:row r="249">
      <x:c r="A249" t="str">
        <x:v>e66543ef-02ef-4f5c-ae7d-ff60e1c465f5</x:v>
      </x:c>
      <x:c r="B249" t="str">
        <x:v>76cd3a35-03e9-4300-b6c9-27ac34a88301</x:v>
      </x:c>
      <x:c r="C249" s="9" t="str">
        <x:v>Ashburton Trading Ltd v Secretary of State for Communities And Local Government &amp; Anor [2014] EWCA Civ 378</x:v>
      </x:c>
      <x:c r="D249" s="9" t="str"/>
      <x:c r="E249" s="9" t="str"/>
      <x:c r="F249" s="13" t="str">
        <x:v>2014</x:v>
      </x:c>
      <x:c r="G249" s="9" t="str">
        <x:v>England and Wales Court of Appeal (Civil Division)</x:v>
      </x:c>
      <x:c r="H249" s="9" t="str">
        <x:v>Appellate</x:v>
      </x:c>
      <x:c r="I249" s="9" t="str">
        <x:v>England and Wales</x:v>
      </x:c>
      <x:c r="J249" s="9" t="str">
        <x:v>Administrative Law</x:v>
      </x:c>
      <x:c r="K249" s="9" t="str">
        <x:v>-ew-cases-EWCA-Civ-2014-378.xml</x:v>
      </x:c>
      <x:c r="L249" s="9" t="str">
        <x:v>TBA</x:v>
      </x:c>
    </x:row>
    <x:row r="250">
      <x:c r="A250" t="str">
        <x:v>c375a7b2-ceaf-4610-905c-04626064011c</x:v>
      </x:c>
      <x:c r="B250" t="str">
        <x:v>4c3b8da7-6c82-4056-ab98-dea339f7af1d</x:v>
      </x:c>
      <x:c r="C250" s="9" t="str">
        <x:v>Ashchurch Rural Parish Council, R (On the Application Of) v Tewkesbury Borough Council [2023] EWCA Civ 101</x:v>
      </x:c>
      <x:c r="D250" s="9" t="str"/>
      <x:c r="E250" s="9" t="str"/>
      <x:c r="F250" s="13" t="str">
        <x:v>2023</x:v>
      </x:c>
      <x:c r="G250" s="9" t="str">
        <x:v>England and Wales Court of Appeal (Civil Division)</x:v>
      </x:c>
      <x:c r="H250" s="9" t="str">
        <x:v>Court of Appeal (Civil Division)</x:v>
      </x:c>
      <x:c r="I250" s="9" t="str">
        <x:v>England and Wales</x:v>
      </x:c>
      <x:c r="J250" s="9" t="str">
        <x:v>Planning / Administrative Law</x:v>
      </x:c>
      <x:c r="K250" s="9" t="str">
        <x:v>ew-cases-EWCA-Civ-2023-101.xml</x:v>
      </x:c>
      <x:c r="L250" s="9" t="str">
        <x:v>TBA</x:v>
      </x:c>
    </x:row>
    <x:row r="251">
      <x:c r="A251" t="str">
        <x:v>668a35f6-d1f1-45fc-8f9f-4bb049b9dd1b</x:v>
      </x:c>
      <x:c r="B251" t="str">
        <x:v>d74bd270-9585-46d8-84e4-1def18ad493c</x:v>
      </x:c>
      <x:c r="C251" s="9" t="str">
        <x:v>Ashdown Forest Economic Development LLP v Wealden District Council &amp; South Downs National Park Authority</x:v>
      </x:c>
      <x:c r="D251" s="9" t="str"/>
      <x:c r="E251" s="9" t="str"/>
      <x:c r="F251" s="13" t="str">
        <x:v>2015</x:v>
      </x:c>
      <x:c r="G251" s="9" t="str">
        <x:v>England and Wales Court of Appeal (Civil Division)</x:v>
      </x:c>
      <x:c r="H251" s="9" t="str">
        <x:v>Appellate</x:v>
      </x:c>
      <x:c r="I251" s="9" t="str">
        <x:v>England and Wales</x:v>
      </x:c>
      <x:c r="J251" s="9" t="str">
        <x:v>Environmental Law</x:v>
      </x:c>
      <x:c r="K251" s="9" t="str">
        <x:v>-ew-cases-EWCA-Civ-2015-681.xml</x:v>
      </x:c>
      <x:c r="L251" s="9" t="str">
        <x:v>TBA</x:v>
      </x:c>
    </x:row>
    <x:row r="252">
      <x:c r="A252" t="str">
        <x:v>171c885d-bcce-4f02-b4fe-d8355e7e7c2c</x:v>
      </x:c>
      <x:c r="B252" t="str">
        <x:v>e65b404b-26bd-43a7-91e6-536a21868277</x:v>
      </x:c>
      <x:c r="C252" s="9" t="str">
        <x:v>Ashfaq v International Insurance Company of Hannover Plc [2017] EWCA Civ 357</x:v>
      </x:c>
      <x:c r="D252" s="9" t="str"/>
      <x:c r="E252" s="9" t="str"/>
      <x:c r="F252" s="13" t="str">
        <x:v>2017</x:v>
      </x:c>
      <x:c r="G252" s="9" t="str">
        <x:v>England and Wales Court of Appeal (Civil Division)</x:v>
      </x:c>
      <x:c r="H252" s="9" t="str">
        <x:v>Appellate</x:v>
      </x:c>
      <x:c r="I252" s="9" t="str">
        <x:v>England and Wales</x:v>
      </x:c>
      <x:c r="J252" s="9" t="str">
        <x:v>Insurance Law</x:v>
      </x:c>
      <x:c r="K252" s="9" t="str">
        <x:v>-ew-cases-EWCA-Civ-2017-357.xml</x:v>
      </x:c>
      <x:c r="L252" s="9" t="str">
        <x:v>TBA</x:v>
      </x:c>
    </x:row>
    <x:row r="253">
      <x:c r="A253" t="str">
        <x:v>fbd39d44-d283-46b8-98e3-2e0a6118ab80</x:v>
      </x:c>
      <x:c r="B253" t="str">
        <x:v>9a69f28c-02c6-4fe8-99be-e42f072bd7b6</x:v>
      </x:c>
      <x:c r="C253" s="9" t="str">
        <x:v>Ashley &amp; Ors v Tesco Stores &amp; Ors [2015] EWCA Civ 414</x:v>
      </x:c>
      <x:c r="D253" s="9" t="str"/>
      <x:c r="E253" s="9" t="str"/>
      <x:c r="F253" s="13" t="str">
        <x:v>2015</x:v>
      </x:c>
      <x:c r="G253" s="9" t="str">
        <x:v>England and Wales Court of Appeal (Civil Division)</x:v>
      </x:c>
      <x:c r="H253" s="9" t="str">
        <x:v>Appellate</x:v>
      </x:c>
      <x:c r="I253" s="9" t="str">
        <x:v>England and Wales</x:v>
      </x:c>
      <x:c r="J253" s="9" t="str">
        <x:v>Civil Procedure</x:v>
      </x:c>
      <x:c r="K253" s="9" t="str">
        <x:v>-ew-cases-EWCA-Civ-2015-414.xml</x:v>
      </x:c>
      <x:c r="L253" s="9" t="str">
        <x:v>TBA</x:v>
      </x:c>
    </x:row>
    <x:row r="254">
      <x:c r="A254" t="str">
        <x:v>9dfebd71-ad01-4095-bf9f-efb770d3820a</x:v>
      </x:c>
      <x:c r="B254" t="str">
        <x:v>8d3566aa-9c6c-4af2-aae2-6c7f72b4a711</x:v>
      </x:c>
      <x:c r="C254" s="9" t="str">
        <x:v>Ashraf v Lester Dominic Solicitors &amp; Ors [2023] EWCA Civ 4</x:v>
      </x:c>
      <x:c r="D254" s="9" t="str"/>
      <x:c r="E254" s="9" t="str"/>
      <x:c r="F254" s="13" t="str">
        <x:v>2023</x:v>
      </x:c>
      <x:c r="G254" s="9" t="str">
        <x:v>England and Wales Court of Appeal (Civil Division)</x:v>
      </x:c>
      <x:c r="H254" s="9" t="str">
        <x:v>Court of Appeal (Civil Division)</x:v>
      </x:c>
      <x:c r="I254" s="9" t="str">
        <x:v>England and Wales</x:v>
      </x:c>
      <x:c r="J254" s="9" t="str">
        <x:v>Civil appellate, Professional Negligence</x:v>
      </x:c>
      <x:c r="K254" s="9" t="str">
        <x:v>ew-cases-EWCA-Civ-2023-4.xml</x:v>
      </x:c>
      <x:c r="L254" s="9" t="str">
        <x:v>TBA</x:v>
      </x:c>
    </x:row>
    <x:row r="255">
      <x:c r="A255" t="str">
        <x:v>6f25b9e0-8780-4a20-9e2d-cc4b2968e659</x:v>
      </x:c>
      <x:c r="B255" t="str">
        <x:v>2a00b0bb-4a34-4dda-a16b-acd38a216923</x:v>
      </x:c>
      <x:c r="C255" s="9" t="str">
        <x:v>Aslam v Aviva Insurance Group</x:v>
      </x:c>
      <x:c r="D255" s="9" t="str"/>
      <x:c r="E255" s="9" t="str"/>
      <x:c r="F255" s="13" t="str">
        <x:v>2014</x:v>
      </x:c>
      <x:c r="G255" s="9" t="str">
        <x:v>England and Wales Court of Appeal (Civil Division)</x:v>
      </x:c>
      <x:c r="H255" s="9" t="str">
        <x:v>Appellate</x:v>
      </x:c>
      <x:c r="I255" s="9" t="str">
        <x:v>England and Wales</x:v>
      </x:c>
      <x:c r="J255" s="9" t="str">
        <x:v>Insurance Dispute</x:v>
      </x:c>
      <x:c r="K255" s="9" t="str">
        <x:v>-ew-cases-EWCA-Civ-2014-1043.xml</x:v>
      </x:c>
      <x:c r="L255" s="9" t="str">
        <x:v>TBA</x:v>
      </x:c>
    </x:row>
    <x:row r="256">
      <x:c r="A256" t="str">
        <x:v>7352a3af-6bf1-4cac-89ea-d056ecb0de08</x:v>
      </x:c>
      <x:c r="B256" t="str">
        <x:v>394294db-f0b6-4f0f-a9df-ced441c7f6f1</x:v>
      </x:c>
      <x:c r="C256" s="9" t="str">
        <x:v>Aspen Insurance UK Ltd v Adana Construction Ltd [2015] EWCA Civ 176</x:v>
      </x:c>
      <x:c r="D256" s="9" t="str"/>
      <x:c r="E256" s="9" t="str"/>
      <x:c r="F256" s="13" t="str">
        <x:v>2015</x:v>
      </x:c>
      <x:c r="G256" s="9" t="str">
        <x:v>England and Wales Court of Appeal (Civil Division)</x:v>
      </x:c>
      <x:c r="H256" s="9" t="str">
        <x:v>Appellate</x:v>
      </x:c>
      <x:c r="I256" s="9" t="str">
        <x:v>England and Wales</x:v>
      </x:c>
      <x:c r="J256" s="9" t="str">
        <x:v>Insurance/Construction Liability</x:v>
      </x:c>
      <x:c r="K256" s="9" t="str">
        <x:v>-ew-cases-EWCA-Civ-2015-176.xml</x:v>
      </x:c>
      <x:c r="L256" s="9" t="str">
        <x:v>TBA</x:v>
      </x:c>
    </x:row>
    <x:row r="257">
      <x:c r="A257" t="str">
        <x:v>de9bb97a-7951-484f-a518-917984efbaf9</x:v>
      </x:c>
      <x:c r="B257" t="str">
        <x:v>4296a1c4-97a5-4cdf-a4bc-79814dd73b44</x:v>
      </x:c>
      <x:c r="C257" s="9" t="str">
        <x:v>Aspen Insurance UK Ltd v Adana Construction Ltd [2015] EWCA Civ 177</x:v>
      </x:c>
      <x:c r="D257" s="9" t="str"/>
      <x:c r="E257" s="9" t="str"/>
      <x:c r="F257" s="13" t="str">
        <x:v>2015</x:v>
      </x:c>
      <x:c r="G257" s="9" t="str">
        <x:v>England and Wales Court of Appeal (Civil Division)</x:v>
      </x:c>
      <x:c r="H257" s="9" t="str">
        <x:v>Appellate</x:v>
      </x:c>
      <x:c r="I257" s="9" t="str">
        <x:v>England and Wales</x:v>
      </x:c>
      <x:c r="J257" s="9" t="str">
        <x:v>Insurance and Liability</x:v>
      </x:c>
      <x:c r="K257" s="9" t="str">
        <x:v>-ew-cases-EWCA-Civ-2015-177.xml</x:v>
      </x:c>
      <x:c r="L257" s="9" t="str">
        <x:v>TBA</x:v>
      </x:c>
    </x:row>
    <x:row r="258">
      <x:c r="A258" t="str">
        <x:v>2acded76-1845-42fe-8d13-0969e0bcb028</x:v>
      </x:c>
      <x:c r="B258" t="str">
        <x:v>4a9bb88c-9e11-493f-92cb-2c84efe40f34</x:v>
      </x:c>
      <x:c r="C258" s="9" t="str">
        <x:v>Assaubayev &amp; Ors v Michael Wilson &amp; Partners Ltd</x:v>
      </x:c>
      <x:c r="D258" s="9" t="str"/>
      <x:c r="E258" s="9" t="str"/>
      <x:c r="F258" s="13" t="str">
        <x:v>2014</x:v>
      </x:c>
      <x:c r="G258" s="9" t="str">
        <x:v>England and Wales Court of Appeal (Civil Division)</x:v>
      </x:c>
      <x:c r="H258" s="9" t="str">
        <x:v>Appellate Court</x:v>
      </x:c>
      <x:c r="I258" s="9" t="str">
        <x:v>England and Wales</x:v>
      </x:c>
      <x:c r="J258" s="9" t="str">
        <x:v>Civil</x:v>
      </x:c>
      <x:c r="K258" s="9" t="str">
        <x:v>-ew-cases-EWCA-Civ-2014-1491.xml</x:v>
      </x:c>
      <x:c r="L258" s="9" t="str">
        <x:v>TBA</x:v>
      </x:c>
    </x:row>
    <x:row r="259">
      <x:c r="A259" t="str">
        <x:v>3069ca9e-40ee-494a-9445-a48926b0af45</x:v>
      </x:c>
      <x:c r="B259" t="str">
        <x:v>b4e5eb9c-82c1-4910-beaf-c30269939bbe</x:v>
      </x:c>
      <x:c r="C259" s="9" t="str">
        <x:v>Asset Land Investment Plc &amp; Anor v The Financial Conduct Authority (FCA)</x:v>
      </x:c>
      <x:c r="D259" s="9" t="str"/>
      <x:c r="E259" s="9" t="str"/>
      <x:c r="F259" s="13" t="str">
        <x:v>2014</x:v>
      </x:c>
      <x:c r="G259" s="9" t="str">
        <x:v>England and Wales Court of Appeal (Civil Division)</x:v>
      </x:c>
      <x:c r="H259" s="9" t="str">
        <x:v>Appellate</x:v>
      </x:c>
      <x:c r="I259" s="9" t="str">
        <x:v>England and Wales</x:v>
      </x:c>
      <x:c r="J259" s="9" t="str">
        <x:v>Financial Services Regulation</x:v>
      </x:c>
      <x:c r="K259" s="9" t="str">
        <x:v>-ew-cases-EWCA-Civ-2014-435.xml</x:v>
      </x:c>
      <x:c r="L259" s="9" t="str">
        <x:v>TBA</x:v>
      </x:c>
    </x:row>
    <x:row r="260">
      <x:c r="A260" t="str">
        <x:v>edae0c9d-07f0-450a-9a42-344288909855</x:v>
      </x:c>
      <x:c r="B260" t="str">
        <x:v>dc715706-f35f-4a5c-8ad7-a824c23f5260</x:v>
      </x:c>
      <x:c r="C260" s="9" t="str">
        <x:v>Associated Newspapers Ltd v HM Revenue &amp; Customs [2017] EWCA Civ 54</x:v>
      </x:c>
      <x:c r="D260" s="9" t="str"/>
      <x:c r="E260" s="9" t="str"/>
      <x:c r="F260" s="13" t="str">
        <x:v>2017</x:v>
      </x:c>
      <x:c r="G260" s="9" t="str">
        <x:v>England and Wales Court of Appeal (Civil Division)</x:v>
      </x:c>
      <x:c r="H260" s="9" t="str">
        <x:v>Appellate</x:v>
      </x:c>
      <x:c r="I260" s="9" t="str">
        <x:v>United Kingdom</x:v>
      </x:c>
      <x:c r="J260" s="9" t="str">
        <x:v>Tax Law</x:v>
      </x:c>
      <x:c r="K260" s="9" t="str">
        <x:v>-ew-cases-EWCA-Civ-2017-54.xml</x:v>
      </x:c>
      <x:c r="L260" s="9" t="str">
        <x:v>TBA</x:v>
      </x:c>
    </x:row>
    <x:row r="261">
      <x:c r="A261" t="str">
        <x:v>a5fa6621-d2c8-464c-9a00-fbe0493e6ea4</x:v>
      </x:c>
      <x:c r="B261" t="str">
        <x:v>9be1a3a9-79c3-4f0b-9969-cad5cb726964</x:v>
      </x:c>
      <x:c r="C261" s="9" t="str">
        <x:v>Associated Newspapers Ltd v Murray [2015] EWCA Civ 488</x:v>
      </x:c>
      <x:c r="D261" s="9" t="str"/>
      <x:c r="E261" s="9" t="str"/>
      <x:c r="F261" s="13" t="str">
        <x:v>2015</x:v>
      </x:c>
      <x:c r="G261" s="9" t="str">
        <x:v>England and Wales Court of Appeal (Civil Division)</x:v>
      </x:c>
      <x:c r="H261" s="9" t="str">
        <x:v>Appellate</x:v>
      </x:c>
      <x:c r="I261" s="9" t="str">
        <x:v>England and Wales</x:v>
      </x:c>
      <x:c r="J261" s="9" t="str">
        <x:v>Defamation</x:v>
      </x:c>
      <x:c r="K261" s="9" t="str">
        <x:v>-ew-cases-EWCA-Civ-2015-488.xml</x:v>
      </x:c>
      <x:c r="L261" s="9" t="str">
        <x:v>TBA</x:v>
      </x:c>
    </x:row>
    <x:row r="262">
      <x:c r="A262" t="str">
        <x:v>42e0cf3c-a8b1-459b-ad9b-a651e3e17836</x:v>
      </x:c>
      <x:c r="B262" t="str">
        <x:v>0f61f5dc-6ddc-4b33-904d-6ca3c1a17b93</x:v>
      </x:c>
      <x:c r="C262" s="9" t="str">
        <x:v>Association of Chartered Certified Accountants v Awodola</x:v>
      </x:c>
      <x:c r="D262" s="9" t="str"/>
      <x:c r="E262" s="9" t="str"/>
      <x:c r="F262" s="13" t="str">
        <x:v>2021</x:v>
      </x:c>
      <x:c r="G262" s="9" t="str">
        <x:v>England and Wales Court of Appeal (Civil Division)</x:v>
      </x:c>
      <x:c r="H262" s="9" t="str">
        <x:v>Appellate</x:v>
      </x:c>
      <x:c r="I262" s="9" t="str">
        <x:v>England and Wales</x:v>
      </x:c>
      <x:c r="J262" s="9" t="str">
        <x:v>Administrative Law</x:v>
      </x:c>
      <x:c r="K262" s="9" t="str">
        <x:v>ew-cases-EWCA-Civ-2021-1635.xml</x:v>
      </x:c>
      <x:c r="L262" s="9" t="str">
        <x:v>TBA</x:v>
      </x:c>
    </x:row>
    <x:row r="263">
      <x:c r="A263" t="str">
        <x:v>8142013e-db4c-4ef1-a6b2-5a05d75fdcce</x:v>
      </x:c>
      <x:c r="B263" t="str">
        <x:v>5fcb684a-6cb8-414c-8915-299ec1b8ddca</x:v>
      </x:c>
      <x:c r="C263" s="9" t="str">
        <x:v>Assoun v Assoun - Appeal for Payment-Out of Court Funds</x:v>
      </x:c>
      <x:c r="D263" s="9" t="str"/>
      <x:c r="E263" s="9" t="str"/>
      <x:c r="F263" s="13" t="str">
        <x:v>2017</x:v>
      </x:c>
      <x:c r="G263" s="9" t="str">
        <x:v>England and Wales Court of Appeal (Civil Division)</x:v>
      </x:c>
      <x:c r="H263" s="9" t="str">
        <x:v>Appellate</x:v>
      </x:c>
      <x:c r="I263" s="9" t="str">
        <x:v>England and Wales</x:v>
      </x:c>
      <x:c r="J263" s="9" t="str">
        <x:v>Family Law</x:v>
      </x:c>
      <x:c r="K263" s="9" t="str">
        <x:v>-ew-cases-EWCA-Civ-2017-370.xml</x:v>
      </x:c>
      <x:c r="L263" s="9" t="str">
        <x:v>TBA</x:v>
      </x:c>
    </x:row>
    <x:row r="264">
      <x:c r="A264" t="str">
        <x:v>2f558ab2-5e72-41c4-832b-f7136eac99e1</x:v>
      </x:c>
      <x:c r="B264" t="str">
        <x:v>7edf1fc9-ebf6-48d2-94b3-4ababedb7c37</x:v>
      </x:c>
      <x:c r="C264" s="9" t="str">
        <x:v>Assoun v Assoun [No 2] [2017] EWCA Civ 179</x:v>
      </x:c>
      <x:c r="D264" s="9" t="str"/>
      <x:c r="E264" s="9" t="str"/>
      <x:c r="F264" s="13" t="str">
        <x:v>2017</x:v>
      </x:c>
      <x:c r="G264" s="9" t="str">
        <x:v>England and Wales Court of Appeal (Civil Division)</x:v>
      </x:c>
      <x:c r="H264" s="9" t="str">
        <x:v>Appellate</x:v>
      </x:c>
      <x:c r="I264" s="9" t="str">
        <x:v>England and Wales</x:v>
      </x:c>
      <x:c r="J264" s="9" t="str">
        <x:v>Civil Appeal</x:v>
      </x:c>
      <x:c r="K264" s="9" t="str">
        <x:v>-ew-cases-EWCA-Civ-2017-179.xml</x:v>
      </x:c>
      <x:c r="L264" s="9" t="str">
        <x:v>TBA</x:v>
      </x:c>
    </x:row>
    <x:row r="265">
      <x:c r="A265" t="str">
        <x:v>a7343b52-fb3e-4556-9a91-ee33f013d8bf</x:v>
      </x:c>
      <x:c r="B265" t="str">
        <x:v>4ab7a4ed-0c58-4591-92bc-242298ad4467</x:v>
      </x:c>
      <x:c r="C265" s="9" t="str">
        <x:v>Aster Communities Ltd v Akerman-Livingstone [2014] EWCA Civ 1081</x:v>
      </x:c>
      <x:c r="D265" s="9" t="str"/>
      <x:c r="E265" s="9" t="str"/>
      <x:c r="F265" s="13" t="str">
        <x:v>2014</x:v>
      </x:c>
      <x:c r="G265" s="9" t="str">
        <x:v>England and Wales Court of Appeal (Civil Division)</x:v>
      </x:c>
      <x:c r="H265" s="9" t="str">
        <x:v>Appellate</x:v>
      </x:c>
      <x:c r="I265" s="9" t="str">
        <x:v>England and Wales</x:v>
      </x:c>
      <x:c r="J265" s="9" t="str">
        <x:v>Housing Law</x:v>
      </x:c>
      <x:c r="K265" s="9" t="str">
        <x:v>-ew-cases-EWCA-Civ-2014-1081.xml</x:v>
      </x:c>
      <x:c r="L265" s="9" t="str">
        <x:v>TBA</x:v>
      </x:c>
    </x:row>
    <x:row r="266">
      <x:c r="A266" t="str">
        <x:v>ff0d387f-13e2-4891-986a-dfc7b1894c05</x:v>
      </x:c>
      <x:c r="B266" t="str">
        <x:v>e024147d-94bc-40fe-9784-df8b63565b0e</x:v>
      </x:c>
      <x:c r="C266" s="9" t="str">
        <x:v>Aster Communities v Kerry Chapman &amp; Ors [2021] EWCA Civ 660</x:v>
      </x:c>
      <x:c r="D266" s="9" t="str"/>
      <x:c r="E266" s="9" t="str"/>
      <x:c r="F266" s="13" t="str">
        <x:v>2021</x:v>
      </x:c>
      <x:c r="G266" s="9" t="str">
        <x:v>England and Wales Court of Appeal (Civil Division)</x:v>
      </x:c>
      <x:c r="H266" s="9" t="str">
        <x:v>Appellate</x:v>
      </x:c>
      <x:c r="I266" s="9" t="str">
        <x:v>England and Wales</x:v>
      </x:c>
      <x:c r="J266" s="9" t="str">
        <x:v>Landlord and Tenant</x:v>
      </x:c>
      <x:c r="K266" s="9" t="str">
        <x:v>ew-cases-EWCA-Civ-2021-660.xml</x:v>
      </x:c>
      <x:c r="L266" s="9" t="str">
        <x:v>TBA</x:v>
      </x:c>
    </x:row>
    <x:row r="267">
      <x:c r="A267" t="str">
        <x:v>813a4db6-e712-4e91-9013-66d6206134fb</x:v>
      </x:c>
      <x:c r="B267" t="str">
        <x:v>735c532f-f4e8-473f-9ae0-d1973503eb2f</x:v>
      </x:c>
      <x:c r="C267" s="9" t="str">
        <x:v>Aster Healthcare Ltd v The Estate of Mr Mohammed Shafi, Deceased</x:v>
      </x:c>
      <x:c r="D267" s="9" t="str"/>
      <x:c r="E267" s="9" t="str"/>
      <x:c r="F267" s="13" t="str">
        <x:v>2014</x:v>
      </x:c>
      <x:c r="G267" s="9" t="str">
        <x:v>England and Wales Court of Appeal (Civil Division)</x:v>
      </x:c>
      <x:c r="H267" s="9" t="str">
        <x:v>Appellate</x:v>
      </x:c>
      <x:c r="I267" s="9" t="str">
        <x:v>England and Wales</x:v>
      </x:c>
      <x:c r="J267" s="9" t="str">
        <x:v>Contract Dispute</x:v>
      </x:c>
      <x:c r="K267" s="9" t="str">
        <x:v>-ew-cases-EWCA-Civ-2014-1350.xml</x:v>
      </x:c>
      <x:c r="L267" s="9" t="str">
        <x:v>TBA</x:v>
      </x:c>
    </x:row>
    <x:row r="268">
      <x:c r="A268" t="str">
        <x:v>cb516388-149c-4427-9c99-d1fe6006bf3f</x:v>
      </x:c>
      <x:c r="B268" t="str">
        <x:v>ce2c5450-10ef-48fe-8096-640e3906f0b5</x:v>
      </x:c>
      <x:c r="C268" s="9" t="str">
        <x:v>AstraZeneca AB &amp; Anor v KRKA dd Novo Mesto &amp; Anor [2015] EWCA Civ 484</x:v>
      </x:c>
      <x:c r="D268" s="9" t="str"/>
      <x:c r="E268" s="9" t="str"/>
      <x:c r="F268" s="13" t="str">
        <x:v>2015</x:v>
      </x:c>
      <x:c r="G268" s="9" t="str">
        <x:v>England and Wales Court of Appeal (Civil Division)</x:v>
      </x:c>
      <x:c r="H268" s="9" t="str">
        <x:v>Appellate</x:v>
      </x:c>
      <x:c r="I268" s="9" t="str">
        <x:v>England and Wales</x:v>
      </x:c>
      <x:c r="J268" s="9" t="str">
        <x:v>Intellectual Property</x:v>
      </x:c>
      <x:c r="K268" s="9" t="str">
        <x:v>-ew-cases-EWCA-Civ-2015-484.xml</x:v>
      </x:c>
      <x:c r="L268" s="9" t="str">
        <x:v>TBA</x:v>
      </x:c>
    </x:row>
    <x:row r="269">
      <x:c r="A269" t="str">
        <x:v>44241429-f937-4512-832a-cee4592e3300</x:v>
      </x:c>
      <x:c r="B269" t="str">
        <x:v>6e155cd4-da3f-426c-8e8c-e39621c36168</x:v>
      </x:c>
      <x:c r="C269" s="9" t="str">
        <x:v>AT (Afghanistan) v Secretary of State for the Home Department [2015] EWCA Civ 1105</x:v>
      </x:c>
      <x:c r="D269" s="9" t="str"/>
      <x:c r="E269" s="9" t="str"/>
      <x:c r="F269" s="13" t="str">
        <x:v>2015</x:v>
      </x:c>
      <x:c r="G269" s="9" t="str">
        <x:v>England and Wales Court of Appeal (Civil Division)</x:v>
      </x:c>
      <x:c r="H269" s="9" t="str">
        <x:v>Appellate</x:v>
      </x:c>
      <x:c r="I269" s="9" t="str">
        <x:v>England and Wales</x:v>
      </x:c>
      <x:c r="J269" s="9" t="str">
        <x:v>Immigration Law</x:v>
      </x:c>
      <x:c r="K269" s="9" t="str">
        <x:v>-ew-cases-EWCA-Civ-2015-1105.xml</x:v>
      </x:c>
      <x:c r="L269" s="9" t="str">
        <x:v>TBA</x:v>
      </x:c>
    </x:row>
    <x:row r="270">
      <x:c r="A270" t="str">
        <x:v>a335d5a5-1a8e-4347-b232-f0a40f7f41d5</x:v>
      </x:c>
      <x:c r="B270" t="str">
        <x:v>7a524f94-2932-4f6f-895d-481394129f94</x:v>
      </x:c>
      <x:c r="C270" s="9" t="str">
        <x:v>Athanasopoulos v The Institute for Orthodox Christian Studies</x:v>
      </x:c>
      <x:c r="D270" s="9" t="str"/>
      <x:c r="E270" s="9" t="str"/>
      <x:c r="F270" s="13" t="str">
        <x:v>2015</x:v>
      </x:c>
      <x:c r="G270" s="9" t="str">
        <x:v>England and Wales Court of Appeal (Civil Division)</x:v>
      </x:c>
      <x:c r="H270" s="9" t="str">
        <x:v>Appellate</x:v>
      </x:c>
      <x:c r="I270" s="9" t="str">
        <x:v>England and Wales</x:v>
      </x:c>
      <x:c r="J270" s="9" t="str">
        <x:v>Employment Law</x:v>
      </x:c>
      <x:c r="K270" s="9" t="str">
        <x:v>-ew-cases-EWCA-Civ-2015-1181.xml</x:v>
      </x:c>
      <x:c r="L270" s="9" t="str">
        <x:v>TBA</x:v>
      </x:c>
    </x:row>
    <x:row r="271">
      <x:c r="A271" t="str">
        <x:v>df9cf84a-5f21-4bd9-aab0-94ffd379701d</x:v>
      </x:c>
      <x:c r="B271" t="str">
        <x:v>241bf608-0fb1-4532-b4d9-5831cf3ae9fd</x:v>
      </x:c>
      <x:c r="C271" s="9" t="str">
        <x:v>Athena Capital Fund SICAV-FIS S.A v Crownmark Ltd</x:v>
      </x:c>
      <x:c r="D271" s="9" t="str"/>
      <x:c r="E271" s="9" t="str"/>
      <x:c r="F271" s="13" t="str">
        <x:v>2021</x:v>
      </x:c>
      <x:c r="G271" s="9" t="str">
        <x:v>England and Wales Court of Appeal (Civil Division)</x:v>
      </x:c>
      <x:c r="H271" s="9" t="str">
        <x:v>Appellate</x:v>
      </x:c>
      <x:c r="I271" s="9" t="str">
        <x:v>England and Wales</x:v>
      </x:c>
      <x:c r="J271" s="9" t="str">
        <x:v>Commercial Law</x:v>
      </x:c>
      <x:c r="K271" s="9" t="str">
        <x:v>ew-cases-EWCA-Civ-2021-414.xml</x:v>
      </x:c>
      <x:c r="L271" s="9" t="str">
        <x:v>TBA</x:v>
      </x:c>
    </x:row>
    <x:row r="272">
      <x:c r="A272" t="str">
        <x:v>1d5e9cbb-43bc-4a32-baac-64fe18066ceb</x:v>
      </x:c>
      <x:c r="B272" t="str">
        <x:v>f49235a1-55c4-41c7-bcb6-f61acd770ea2</x:v>
      </x:c>
      <x:c r="C272" s="9" t="str">
        <x:v>Athena Capital Fund SICAV-FIS SCA &amp; Ors v Secretariat of State for the Holy See (Costs) [2022] EWCA Civ 1061</x:v>
      </x:c>
      <x:c r="D272" s="9" t="str"/>
      <x:c r="E272" s="9" t="str"/>
      <x:c r="F272" s="13" t="str">
        <x:v>2022</x:v>
      </x:c>
      <x:c r="G272" s="9" t="str">
        <x:v>England and Wales Court of Appeal (Civil Division)</x:v>
      </x:c>
      <x:c r="H272" s="9" t="str">
        <x:v>Court of Appeal (Civil Division)</x:v>
      </x:c>
      <x:c r="I272" s="9" t="str">
        <x:v>England and Wales</x:v>
      </x:c>
      <x:c r="J272" s="9" t="str">
        <x:v>Costs Dispute / Appellate Procedure</x:v>
      </x:c>
      <x:c r="K272" s="9" t="str">
        <x:v>ew-cases-EWCA-Civ-2022-1061.xml</x:v>
      </x:c>
      <x:c r="L272" s="9" t="str">
        <x:v>TBA</x:v>
      </x:c>
    </x:row>
    <x:row r="273">
      <x:c r="A273" t="str">
        <x:v>37bd520e-e83f-4775-80d7-34ae543c6ab5</x:v>
      </x:c>
      <x:c r="B273" t="str">
        <x:v>0782e718-43b6-43d8-a734-1fbc220c3f3f</x:v>
      </x:c>
      <x:c r="C273" s="9" t="str">
        <x:v>Athena Capital Fund SICAV-FIS SCA &amp; Ors v Secretariat of State for the Holy See [2022] EWCA Civ 1051</x:v>
      </x:c>
      <x:c r="D273" s="9" t="str"/>
      <x:c r="E273" s="9" t="str"/>
      <x:c r="F273" s="13" t="str">
        <x:v>2022</x:v>
      </x:c>
      <x:c r="G273" s="9" t="str">
        <x:v>England and Wales Court of Appeal (Civil Division)</x:v>
      </x:c>
      <x:c r="H273" s="9" t="str">
        <x:v>Court of Appeal (Civil Division)</x:v>
      </x:c>
      <x:c r="I273" s="9" t="str">
        <x:v>England and Wales</x:v>
      </x:c>
      <x:c r="J273" s="9" t="str">
        <x:v>Civil Procedure / Commercial Dispute / Declaratory Relief</x:v>
      </x:c>
      <x:c r="K273" s="9" t="str">
        <x:v>ew-cases-EWCA-Civ-2022-1051.xml</x:v>
      </x:c>
      <x:c r="L273" s="9" t="str">
        <x:v>TBA</x:v>
      </x:c>
    </x:row>
    <x:row r="274">
      <x:c r="A274" t="str">
        <x:v>9ea86aa2-91b0-449c-9f02-650f285af7bc</x:v>
      </x:c>
      <x:c r="B274" t="str">
        <x:v>5352b85c-c430-4cfe-b948-d2f8042a9dbf</x:v>
      </x:c>
      <x:c r="C274" s="9" t="str">
        <x:v>Atlantisrealm Ltd v Intelligent Land Investments (Renewable Energy) Ltd</x:v>
      </x:c>
      <x:c r="D274" s="9" t="str"/>
      <x:c r="E274" s="9" t="str"/>
      <x:c r="F274" s="13" t="str">
        <x:v>2017</x:v>
      </x:c>
      <x:c r="G274" s="9" t="str">
        <x:v>England and Wales Court of Appeal (Civil Division)</x:v>
      </x:c>
      <x:c r="H274" s="9" t="str">
        <x:v>Appellate</x:v>
      </x:c>
      <x:c r="I274" s="9" t="str">
        <x:v>England and Wales</x:v>
      </x:c>
      <x:c r="J274" s="9" t="str">
        <x:v>Civil Appeal</x:v>
      </x:c>
      <x:c r="K274" s="9" t="str">
        <x:v>-ew-cases-EWCA-Civ-2017-1029.xml</x:v>
      </x:c>
      <x:c r="L274" s="9" t="str">
        <x:v>TBA</x:v>
      </x:c>
    </x:row>
    <x:row r="275">
      <x:c r="A275" t="str">
        <x:v>5602f2c1-0b9b-4b76-9153-4e4915c27b14</x:v>
      </x:c>
      <x:c r="B275" t="str">
        <x:v>4f90c73b-25bd-43e1-b8d0-006b79e9359a</x:v>
      </x:c>
      <x:c r="C275" s="9" t="str">
        <x:v>Atlasnavios - Navegação, LDA v Navigators Insurance Company Ltd &amp; Ors [2016] EWCA Civ 808 (Court of Appeal, Civil Division)</x:v>
      </x:c>
      <x:c r="D275" s="9" t="str"/>
      <x:c r="E275" s="9" t="str"/>
      <x:c r="F275" s="13" t="str">
        <x:v>2016</x:v>
      </x:c>
      <x:c r="G275" s="9" t="str">
        <x:v>England and Wales Court of Appeal (Civil Division)</x:v>
      </x:c>
      <x:c r="H275" s="9" t="str">
        <x:v>Court of Appeal (Civil Division)</x:v>
      </x:c>
      <x:c r="I275" s="9" t="str">
        <x:v>United Kingdom (England and Wales)</x:v>
      </x:c>
      <x:c r="J275" s="9" t="str">
        <x:v>Marine Insurance; War Risks; Contract Interpretation</x:v>
      </x:c>
      <x:c r="K275" s="9" t="str">
        <x:v>-ew-cases-EWCA-Civ-2016-808.xml</x:v>
      </x:c>
      <x:c r="L275" s="9" t="str">
        <x:v>TBA</x:v>
      </x:c>
    </x:row>
    <x:row r="276">
      <x:c r="A276" t="str">
        <x:v>7a9efecf-5d82-43f5-8a79-3be594d82b47</x:v>
      </x:c>
      <x:c r="B276" t="str">
        <x:v>68fd0222-c069-4c66-afb2-36be2230ee20</x:v>
      </x:c>
      <x:c r="C276" s="9" t="str">
        <x:v>Austin v Haynes [2021] EWCA Civ 1919</x:v>
      </x:c>
      <x:c r="D276" s="9" t="str"/>
      <x:c r="E276" s="9" t="str"/>
      <x:c r="F276" s="13" t="str">
        <x:v>2021</x:v>
      </x:c>
      <x:c r="G276" s="9" t="str">
        <x:v>England and Wales Court of Appeal (Civil Division)</x:v>
      </x:c>
      <x:c r="H276" s="9" t="str">
        <x:v>Appellate</x:v>
      </x:c>
      <x:c r="I276" s="9" t="str">
        <x:v>England and Wales</x:v>
      </x:c>
      <x:c r="J276" s="9" t="str">
        <x:v>Civil Appeal</x:v>
      </x:c>
      <x:c r="K276" s="9" t="str">
        <x:v>ew-cases-EWCA-Civ-2021-1919.xml</x:v>
      </x:c>
      <x:c r="L276" s="9" t="str">
        <x:v>TBA</x:v>
      </x:c>
    </x:row>
    <x:row r="277">
      <x:c r="A277" t="str">
        <x:v>9e1ce0d0-94db-4933-82ce-b23b03a29792</x:v>
      </x:c>
      <x:c r="B277" t="str">
        <x:v>e4dd8edb-6d88-455c-ae10-cb2640fc2502</x:v>
      </x:c>
      <x:c r="C277" s="9" t="str">
        <x:v>Austin v Miller Argent (South Wales) Ltd [2014] EWCA Civ 1012</x:v>
      </x:c>
      <x:c r="D277" s="9" t="str"/>
      <x:c r="E277" s="9" t="str"/>
      <x:c r="F277" s="13" t="str">
        <x:v>2014</x:v>
      </x:c>
      <x:c r="G277" s="9" t="str">
        <x:v>England and Wales Court of Appeal (Civil Division)</x:v>
      </x:c>
      <x:c r="H277" s="9" t="str">
        <x:v>Appellate</x:v>
      </x:c>
      <x:c r="I277" s="9" t="str">
        <x:v>England and Wales</x:v>
      </x:c>
      <x:c r="J277" s="9" t="str">
        <x:v>Environmental Law</x:v>
      </x:c>
      <x:c r="K277" s="9" t="str">
        <x:v>-ew-cases-EWCA-Civ-2014-1012.xml</x:v>
      </x:c>
      <x:c r="L277" s="9" t="str">
        <x:v>TBA</x:v>
      </x:c>
    </x:row>
    <x:row r="278">
      <x:c r="A278" t="str">
        <x:v>31cc06a1-09a6-4cc7-9ece-5418f7e94718</x:v>
      </x:c>
      <x:c r="B278" t="str">
        <x:v>2c6c9779-70da-45ba-88df-4c005469c5ba</x:v>
      </x:c>
      <x:c r="C278" s="9" t="str">
        <x:v>AutoStore Technology AS v Ocado Group Plc &amp; Ors [2021] EWCA Civ 1003</x:v>
      </x:c>
      <x:c r="D278" s="9" t="str"/>
      <x:c r="E278" s="9" t="str"/>
      <x:c r="F278" s="13" t="str">
        <x:v>2021</x:v>
      </x:c>
      <x:c r="G278" s="9" t="str">
        <x:v>England and Wales Court of Appeal (Civil Division)</x:v>
      </x:c>
      <x:c r="H278" s="9" t="str">
        <x:v>Appellate</x:v>
      </x:c>
      <x:c r="I278" s="9" t="str">
        <x:v>England and Wales</x:v>
      </x:c>
      <x:c r="J278" s="9" t="str">
        <x:v>Intellectual Property</x:v>
      </x:c>
      <x:c r="K278" s="9" t="str">
        <x:v>ew-cases-EWCA-Civ-2021-1003.xml</x:v>
      </x:c>
      <x:c r="L278" s="9" t="str">
        <x:v>TBA</x:v>
      </x:c>
    </x:row>
    <x:row r="279">
      <x:c r="A279" t="str">
        <x:v>750385fe-35c0-4f93-8b15-7e6634d21288</x:v>
      </x:c>
      <x:c r="B279" t="str">
        <x:v>943f2fb8-52dc-4dc8-90f8-ec2d43a7b75e</x:v>
      </x:c>
      <x:c r="C279" s="9" t="str">
        <x:v>Avison Young Ltd v Jackson (Valuation Officer) [2021] EWCA Civ 969</x:v>
      </x:c>
      <x:c r="D279" s="9" t="str"/>
      <x:c r="E279" s="9" t="str"/>
      <x:c r="F279" s="13" t="str">
        <x:v>2021</x:v>
      </x:c>
      <x:c r="G279" s="9" t="str">
        <x:v>England and Wales Court of Appeal (Civil Division)</x:v>
      </x:c>
      <x:c r="H279" s="9" t="str">
        <x:v>Appellate</x:v>
      </x:c>
      <x:c r="I279" s="9" t="str">
        <x:v>England and Wales</x:v>
      </x:c>
      <x:c r="J279" s="9" t="str">
        <x:v>Administrative Law</x:v>
      </x:c>
      <x:c r="K279" s="9" t="str">
        <x:v>ew-cases-EWCA-Civ-2021-969.xml</x:v>
      </x:c>
      <x:c r="L279" s="9" t="str">
        <x:v>TBA</x:v>
      </x:c>
    </x:row>
    <x:row r="280">
      <x:c r="A280" t="str">
        <x:v>8bed6ca4-7433-461b-8d26-9d15f8aba50a</x:v>
      </x:c>
      <x:c r="B280" t="str">
        <x:v>8bf594df-88d1-4791-89f3-b2699310ed7a</x:v>
      </x:c>
      <x:c r="C280" s="9" t="str">
        <x:v>Aviva Insurance Limited and Swiss Reinsurance Company Limited v Secretary of State for Work and Pensions [2022] EWCA Civ 15</x:v>
      </x:c>
      <x:c r="D280" s="9" t="str"/>
      <x:c r="E280" s="9" t="str"/>
      <x:c r="F280" s="13" t="str">
        <x:v>2022</x:v>
      </x:c>
      <x:c r="G280" s="9" t="str">
        <x:v>England and Wales Court of Appeal (Civil Division)</x:v>
      </x:c>
      <x:c r="H280" s="9" t="str">
        <x:v>Court of Appeal (Civil Division)</x:v>
      </x:c>
      <x:c r="I280" s="9" t="str">
        <x:v>England and Wales</x:v>
      </x:c>
      <x:c r="J280" s="9" t="str">
        <x:v>Public Law / Human Rights / Administrative Law</x:v>
      </x:c>
      <x:c r="K280" s="9" t="str">
        <x:v>ew-cases-EWCA-Civ-2022-15.xml</x:v>
      </x:c>
      <x:c r="L280" s="9" t="str">
        <x:v>TBA</x:v>
      </x:c>
    </x:row>
    <x:row r="281">
      <x:c r="A281" t="str">
        <x:v>bfd02b42-e262-4380-a087-c76426c7cc85</x:v>
      </x:c>
      <x:c r="B281" t="str">
        <x:v>cf3510f1-2dc3-4b08-80a5-e45eceb98db4</x:v>
      </x:c>
      <x:c r="C281" s="9" t="str">
        <x:v>Aviva Investors Ground Rent GP Ltd &amp; Anor v Williams &amp; Ors</x:v>
      </x:c>
      <x:c r="D281" s="9" t="str"/>
      <x:c r="E281" s="9" t="str"/>
      <x:c r="F281" s="13" t="str">
        <x:v>2021</x:v>
      </x:c>
      <x:c r="G281" s="9" t="str">
        <x:v>England and Wales Court of Appeal (Civil Division)</x:v>
      </x:c>
      <x:c r="H281" s="9" t="str">
        <x:v>Appellate</x:v>
      </x:c>
      <x:c r="I281" s="9" t="str">
        <x:v>England and Wales</x:v>
      </x:c>
      <x:c r="J281" s="9" t="str">
        <x:v>Contract Dispute</x:v>
      </x:c>
      <x:c r="K281" s="9" t="str">
        <x:v>ew-cases-EWCA-Civ-2021-27.xml</x:v>
      </x:c>
      <x:c r="L281" s="9" t="str">
        <x:v>TBA</x:v>
      </x:c>
    </x:row>
    <x:row r="282">
      <x:c r="A282" t="str">
        <x:v>779adeda-7e7e-4a1c-b095-0a6c2de58d79</x:v>
      </x:c>
      <x:c r="B282" t="str">
        <x:v>9f034ea4-3a4f-459a-99b6-fb8075344625</x:v>
      </x:c>
      <x:c r="C282" s="9" t="str">
        <x:v>Avon Ground Rents Limited v Canary Gateway (Block A) RTM Company Ltd [2023] EWCA Civ 616</x:v>
      </x:c>
      <x:c r="D282" s="9" t="str"/>
      <x:c r="E282" s="9" t="str"/>
      <x:c r="F282" s="13" t="str">
        <x:v>2023</x:v>
      </x:c>
      <x:c r="G282" s="9" t="str">
        <x:v>England and Wales Court of Appeal (Civil Division)</x:v>
      </x:c>
      <x:c r="H282" s="9" t="str">
        <x:v>Court of Appeal (Civil Division)</x:v>
      </x:c>
      <x:c r="I282" s="9" t="str">
        <x:v>England and Wales</x:v>
      </x:c>
      <x:c r="J282" s="9" t="str">
        <x:v>Property Law / Leasehold</x:v>
      </x:c>
      <x:c r="K282" s="9" t="str">
        <x:v>ew-cases-EWCA-Civ-2023-616.xml</x:v>
      </x:c>
      <x:c r="L282" s="9" t="str">
        <x:v>TBA</x:v>
      </x:c>
    </x:row>
    <x:row r="283">
      <x:c r="A283" t="str">
        <x:v>d8e87d4e-3001-449b-9157-ffb038141aab</x:v>
      </x:c>
      <x:c r="B283" t="str">
        <x:v>9ae54893-645b-407a-81e6-304f415cf9c8</x:v>
      </x:c>
      <x:c r="C283" s="9" t="str">
        <x:v>Avondale Park Limited v Miss Delaney's Nursery Schools Limited [2023] EWCA Civ 641</x:v>
      </x:c>
      <x:c r="D283" s="9" t="str"/>
      <x:c r="E283" s="9" t="str"/>
      <x:c r="F283" s="13" t="str">
        <x:v>2023</x:v>
      </x:c>
      <x:c r="G283" s="9" t="str">
        <x:v>England and Wales Court of Appeal (Civil Division)</x:v>
      </x:c>
      <x:c r="H283" s="9" t="str">
        <x:v>Court of Appeal ( Civil Division )</x:v>
      </x:c>
      <x:c r="I283" s="9" t="str">
        <x:v>England and Wales</x:v>
      </x:c>
      <x:c r="J283" s="9" t="str">
        <x:v>Contract/Property Dispute</x:v>
      </x:c>
      <x:c r="K283" s="9" t="str">
        <x:v>ew-cases-EWCA-Civ-2023-641.xml</x:v>
      </x:c>
      <x:c r="L283" s="9" t="str">
        <x:v>TBA</x:v>
      </x:c>
    </x:row>
    <x:row r="284">
      <x:c r="A284" t="str">
        <x:v>a3083fb7-e12e-4857-8b2c-544c8c86f7ab</x:v>
      </x:c>
      <x:c r="B284" t="str">
        <x:v>1599c21f-7119-4037-aaba-201b26c06131</x:v>
      </x:c>
      <x:c r="C284" s="9" t="str">
        <x:v>Avonwick Holdings Limited &amp; Anor v Shlosberg [2016] EWCA Civ 1138 (18 November 2016)</x:v>
      </x:c>
      <x:c r="D284" s="9" t="str"/>
      <x:c r="E284" s="9" t="str"/>
      <x:c r="F284" s="13" t="str">
        <x:v>2016</x:v>
      </x:c>
      <x:c r="G284" s="9" t="str">
        <x:v>England and Wales Court of Appeal (Civil Division)</x:v>
      </x:c>
      <x:c r="H284" s="9" t="str">
        <x:v>Court of Appeal (Civil Division)</x:v>
      </x:c>
      <x:c r="I284" s="9" t="str">
        <x:v>England and Wales</x:v>
      </x:c>
      <x:c r="J284" s="9" t="str">
        <x:v>Insolvency and Bankruptcy; Privilege and Confidentiality; Civil Procedure; Trusts and Trustees</x:v>
      </x:c>
      <x:c r="K284" s="9" t="str">
        <x:v>-ew-cases-EWCA-Civ-2016-1138.xml</x:v>
      </x:c>
      <x:c r="L284" s="9" t="str">
        <x:v>TBA</x:v>
      </x:c>
    </x:row>
    <x:row r="285">
      <x:c r="A285" t="str">
        <x:v>82713d90-8daf-41da-9ddd-b7b65f19e3e4</x:v>
      </x:c>
      <x:c r="B285" t="str">
        <x:v>a0414c48-6d93-4a39-8bd5-0223fcf75523</x:v>
      </x:c>
      <x:c r="C285" s="9" t="str">
        <x:v>Avonwick Holdings Ltd v Webinvest Ltd &amp; Anor [2014] EWCA Civ 1436</x:v>
      </x:c>
      <x:c r="D285" s="9" t="str"/>
      <x:c r="E285" s="9" t="str"/>
      <x:c r="F285" s="13" t="str">
        <x:v>2014</x:v>
      </x:c>
      <x:c r="G285" s="9" t="str">
        <x:v>England and Wales Court of Appeal (Civil Division)</x:v>
      </x:c>
      <x:c r="H285" s="9" t="str">
        <x:v>Appellate</x:v>
      </x:c>
      <x:c r="I285" s="9" t="str">
        <x:v>England and Wales</x:v>
      </x:c>
      <x:c r="J285" s="9" t="str">
        <x:v>Contract Dispute</x:v>
      </x:c>
      <x:c r="K285" s="9" t="str">
        <x:v>-ew-cases-EWCA-Civ-2014-1436.xml</x:v>
      </x:c>
      <x:c r="L285" s="9" t="str">
        <x:v>TBA</x:v>
      </x:c>
    </x:row>
    <x:row r="286">
      <x:c r="A286" t="str">
        <x:v>919f8451-8ee7-4350-bf7f-fab0e0ffea50</x:v>
      </x:c>
      <x:c r="B286" t="str">
        <x:v>fdbc6a3c-8f8a-46d6-bced-8407ae440500</x:v>
      </x:c>
      <x:c r="C286" s="9" t="str">
        <x:v>AW Group Ltd v Taylor Walton (a firm) [2014] EWCA Civ 592</x:v>
      </x:c>
      <x:c r="D286" s="9" t="str"/>
      <x:c r="E286" s="9" t="str"/>
      <x:c r="F286" s="13" t="str">
        <x:v>2014</x:v>
      </x:c>
      <x:c r="G286" s="9" t="str">
        <x:v>England and Wales Court of Appeal (Civil Division)</x:v>
      </x:c>
      <x:c r="H286" s="9" t="str">
        <x:v>appellate</x:v>
      </x:c>
      <x:c r="I286" s="9" t="str">
        <x:v>England and Wales</x:v>
      </x:c>
      <x:c r="J286" s="9" t="str">
        <x:v>Civil</x:v>
      </x:c>
      <x:c r="K286" s="9" t="str">
        <x:v>-ew-cases-EWCA-Civ-2014-592.xml</x:v>
      </x:c>
      <x:c r="L286" s="9" t="str">
        <x:v>TBA</x:v>
      </x:c>
    </x:row>
    <x:row r="287">
      <x:c r="A287" t="str">
        <x:v>cab3560f-4a86-4da4-ad35-a88920e13e90</x:v>
      </x:c>
      <x:c r="B287" t="str">
        <x:v>8ff8e674-030f-42af-a58b-71ec37ece29a</x:v>
      </x:c>
      <x:c r="C287" s="9" t="str">
        <x:v>Awan &amp; Ors v Secretary of State for the Home Department [2015] EWCA Civ 1445</x:v>
      </x:c>
      <x:c r="D287" s="9" t="str"/>
      <x:c r="E287" s="9" t="str"/>
      <x:c r="F287" s="13" t="str">
        <x:v>2015</x:v>
      </x:c>
      <x:c r="G287" s="9" t="str">
        <x:v>England and Wales Court of Appeal (Civil Division)</x:v>
      </x:c>
      <x:c r="H287" s="9" t="str">
        <x:v>appellate</x:v>
      </x:c>
      <x:c r="I287" s="9" t="str">
        <x:v>England and Wales</x:v>
      </x:c>
      <x:c r="J287" s="9" t="str">
        <x:v>Immigration Law</x:v>
      </x:c>
      <x:c r="K287" s="9" t="str">
        <x:v>-ew-cases-EWCA-Civ-2015-1445.xml</x:v>
      </x:c>
      <x:c r="L287" s="9" t="str">
        <x:v>TBA</x:v>
      </x:c>
    </x:row>
    <x:row r="288">
      <x:c r="A288" t="str">
        <x:v>df78b82b-85fe-4d15-bf8d-3bd3c22c9bdc</x:v>
      </x:c>
      <x:c r="B288" t="str">
        <x:v>db269a3a-4da0-4655-8ca5-290f0ddad79e</x:v>
      </x:c>
      <x:c r="C288" s="9" t="str">
        <x:v>Awards Drinks Ltd v Revenue And Customs</x:v>
      </x:c>
      <x:c r="D288" s="9" t="str"/>
      <x:c r="E288" s="9" t="str"/>
      <x:c r="F288" s="13" t="str">
        <x:v>2021</x:v>
      </x:c>
      <x:c r="G288" s="9" t="str">
        <x:v>England and Wales Court of Appeal (Civil Division)</x:v>
      </x:c>
      <x:c r="H288" s="9" t="str">
        <x:v>Appellate</x:v>
      </x:c>
      <x:c r="I288" s="9" t="str">
        <x:v>England and Wales</x:v>
      </x:c>
      <x:c r="J288" s="9" t="str">
        <x:v>Tax Law</x:v>
      </x:c>
      <x:c r="K288" s="9" t="str">
        <x:v>ew-cases-EWCA-Civ-2021-1235.xml</x:v>
      </x:c>
      <x:c r="L288" s="9" t="str">
        <x:v>TBA</x:v>
      </x:c>
    </x:row>
    <x:row r="289">
      <x:c r="A289" t="str">
        <x:v>506a427b-e9ff-4c64-9d24-6fd47e0993a8</x:v>
      </x:c>
      <x:c r="B289" t="str">
        <x:v>16457420-8544-426d-9f4f-ec823987ad09</x:v>
      </x:c>
      <x:c r="C289" s="9" t="str">
        <x:v>Awuku v Secretary of State for the Home Department [2016] EWCA Civ 1303</x:v>
      </x:c>
      <x:c r="D289" s="9" t="str"/>
      <x:c r="E289" s="9" t="str"/>
      <x:c r="F289" s="13" t="str">
        <x:v>2016</x:v>
      </x:c>
      <x:c r="G289" s="9" t="str">
        <x:v>England and Wales Court of Appeal (Civil Division)</x:v>
      </x:c>
      <x:c r="H289" s="9" t="str">
        <x:v>Court of Appeal (Civil Division)</x:v>
      </x:c>
      <x:c r="I289" s="9" t="str">
        <x:v>England and Wales</x:v>
      </x:c>
      <x:c r="J289" s="9" t="str">
        <x:v>Immigration Law; EU Law; Human Rights</x:v>
      </x:c>
      <x:c r="K289" s="9" t="str">
        <x:v>-ew-cases-EWCA-Civ-2016-1303.xml</x:v>
      </x:c>
      <x:c r="L289" s="9" t="str">
        <x:v>TBA</x:v>
      </x:c>
    </x:row>
    <x:row r="290">
      <x:c r="A290" t="str">
        <x:v>f45aced8-7c17-4aa2-8347-3900cef5b917</x:v>
      </x:c>
      <x:c r="B290" t="str">
        <x:v>63821369-a317-4741-99a5-9423024a2171</x:v>
      </x:c>
      <x:c r="C290" s="9" t="str">
        <x:v>Awuku v Secretary of State for the Home Department [2017] EWCA Civ 178</x:v>
      </x:c>
      <x:c r="D290" s="9" t="str"/>
      <x:c r="E290" s="9" t="str"/>
      <x:c r="F290" s="13" t="str">
        <x:v>2017</x:v>
      </x:c>
      <x:c r="G290" s="9" t="str">
        <x:v>England and Wales Court of Appeal (Civil Division)</x:v>
      </x:c>
      <x:c r="H290" s="9" t="str">
        <x:v>Appellate</x:v>
      </x:c>
      <x:c r="I290" s="9" t="str">
        <x:v>England and Wales</x:v>
      </x:c>
      <x:c r="J290" s="9" t="str">
        <x:v>Immigration</x:v>
      </x:c>
      <x:c r="K290" s="9" t="str">
        <x:v>-ew-cases-EWCA-Civ-2017-178.xml</x:v>
      </x:c>
      <x:c r="L290" s="9" t="str">
        <x:v>TBA</x:v>
      </x:c>
    </x:row>
    <x:row r="291">
      <x:c r="A291" t="str">
        <x:v>8b2ae36e-b116-459b-8bd1-bccaa18c49d8</x:v>
      </x:c>
      <x:c r="B291" t="str">
        <x:v>644a15a3-b754-4e4b-9bd7-a55db05d4bfd</x:v>
      </x:c>
      <x:c r="C291" s="9" t="str">
        <x:v>AXA Versicherung Ag v Arab Insurance Group [2017] EWCA Civ 96</x:v>
      </x:c>
      <x:c r="D291" s="9" t="str"/>
      <x:c r="E291" s="9" t="str"/>
      <x:c r="F291" s="13" t="str">
        <x:v>2017</x:v>
      </x:c>
      <x:c r="G291" s="9" t="str">
        <x:v>England and Wales Court of Appeal (Civil Division)</x:v>
      </x:c>
      <x:c r="H291" s="9" t="str">
        <x:v>Appellate</x:v>
      </x:c>
      <x:c r="I291" s="9" t="str">
        <x:v>England and Wales</x:v>
      </x:c>
      <x:c r="J291" s="9" t="str">
        <x:v>Insurance Law</x:v>
      </x:c>
      <x:c r="K291" s="9" t="str">
        <x:v>-ew-cases-EWCA-Civ-2017-96.xml</x:v>
      </x:c>
      <x:c r="L291" s="9" t="str">
        <x:v>TBA</x:v>
      </x:c>
    </x:row>
    <x:row r="292">
      <x:c r="A292" t="str">
        <x:v>21bb47bc-e870-4dcf-81b9-58d4bc0a178c</x:v>
      </x:c>
      <x:c r="B292" t="str">
        <x:v>9505adbf-4b10-41b0-bc0d-d71d70aa9210</x:v>
      </x:c>
      <x:c r="C292" s="9" t="str">
        <x:v>Ayodele v Citylink Ltd &amp; Anor</x:v>
      </x:c>
      <x:c r="D292" s="9" t="str"/>
      <x:c r="E292" s="9" t="str"/>
      <x:c r="F292" s="13" t="str">
        <x:v>2017</x:v>
      </x:c>
      <x:c r="G292" s="9" t="str">
        <x:v>England and Wales Court of Appeal (Civil Division)</x:v>
      </x:c>
      <x:c r="H292" s="9" t="str">
        <x:v>appellate</x:v>
      </x:c>
      <x:c r="I292" s="9" t="str">
        <x:v>England and Wales</x:v>
      </x:c>
      <x:c r="J292" s="9" t="str">
        <x:v>Employment Law</x:v>
      </x:c>
      <x:c r="K292" s="9" t="str">
        <x:v>-ew-cases-EWCA-Civ-2017-1913.xml</x:v>
      </x:c>
      <x:c r="L292" s="9" t="str">
        <x:v>TBA</x:v>
      </x:c>
    </x:row>
    <x:row r="293">
      <x:c r="A293" t="str">
        <x:v>b4f10d30-d216-4180-a0ca-75e384625cef</x:v>
      </x:c>
      <x:c r="B293" t="str">
        <x:v>1393d4fb-4c89-4fc5-816e-5d518153a20e</x:v>
      </x:c>
      <x:c r="C293" s="9" t="str">
        <x:v>AZ (A Child) (Recusal) [2022] EWCA Civ 911 (Court of Appeal, Civil Division)</x:v>
      </x:c>
      <x:c r="D293" s="9" t="str"/>
      <x:c r="E293" s="9" t="str"/>
      <x:c r="F293" s="13" t="str">
        <x:v>2022</x:v>
      </x:c>
      <x:c r="G293" s="9" t="str">
        <x:v>England and Wales Court of Appeal (Civil Division)</x:v>
      </x:c>
      <x:c r="H293" s="9" t="str">
        <x:v>Court of Appeal (Civil Division)</x:v>
      </x:c>
      <x:c r="I293" s="9" t="str">
        <x:v>England and Wales</x:v>
      </x:c>
      <x:c r="J293" s="9" t="str">
        <x:v>Recusal / Bias in Private Family Law</x:v>
      </x:c>
      <x:c r="K293" s="9" t="str">
        <x:v>ew-cases-EWCA-Civ-2022-911.xml</x:v>
      </x:c>
      <x:c r="L293" s="9" t="str">
        <x:v>TBA</x:v>
      </x:c>
    </x:row>
    <x:row r="294">
      <x:c r="A294" t="str">
        <x:v>5eee8250-48b6-4142-b01e-fddaf3fc0244</x:v>
      </x:c>
      <x:c r="B294" t="str">
        <x:v>ab8413e2-6433-4af1-9829-07d37c1a7e16</x:v>
      </x:c>
      <x:c r="C294" s="9" t="str">
        <x:v>Azarmi-Movafagh v Bassiri-Dezfouli [2021] EWCA Civ 1184</x:v>
      </x:c>
      <x:c r="D294" s="9" t="str"/>
      <x:c r="E294" s="9" t="str"/>
      <x:c r="F294" s="13" t="str">
        <x:v>2021</x:v>
      </x:c>
      <x:c r="G294" s="9" t="str">
        <x:v>England and Wales Court of Appeal (Civil Division)</x:v>
      </x:c>
      <x:c r="H294" s="9" t="str">
        <x:v>Appellate</x:v>
      </x:c>
      <x:c r="I294" s="9" t="str">
        <x:v>England and Wales</x:v>
      </x:c>
      <x:c r="J294" s="9" t="str">
        <x:v>Family Law</x:v>
      </x:c>
      <x:c r="K294" s="9" t="str">
        <x:v>ew-cases-EWCA-Civ-2021-1184.xml</x:v>
      </x:c>
      <x:c r="L294" s="9" t="str">
        <x:v>TBA</x:v>
      </x:c>
    </x:row>
    <x:row r="295">
      <x:c r="A295" t="str">
        <x:v>b78f5bfc-e9d0-4a6c-8596-f37118315869</x:v>
      </x:c>
      <x:c r="B295" t="str">
        <x:v>d5a4833e-7f68-462e-9c82-2f7ce854c335</x:v>
      </x:c>
      <x:c r="C295" s="9" t="str">
        <x:v>B (A Child) - Appeal Against Change of Residence Order</x:v>
      </x:c>
      <x:c r="D295" s="9" t="str"/>
      <x:c r="E295" s="9" t="str"/>
      <x:c r="F295" s="13" t="str">
        <x:v>2015</x:v>
      </x:c>
      <x:c r="G295" s="9" t="str">
        <x:v>England and Wales Court of Appeal (Civil Division)</x:v>
      </x:c>
      <x:c r="H295" s="9" t="str">
        <x:v>Appellate</x:v>
      </x:c>
      <x:c r="I295" s="9" t="str">
        <x:v>United Kingdom</x:v>
      </x:c>
      <x:c r="J295" s="9" t="str">
        <x:v>Family Law</x:v>
      </x:c>
      <x:c r="K295" s="9" t="str">
        <x:v>-ew-cases-EWCA-Civ-2015-1041.xml</x:v>
      </x:c>
      <x:c r="L295" s="9" t="str">
        <x:v>TBA</x:v>
      </x:c>
    </x:row>
    <x:row r="296">
      <x:c r="A296" t="str">
        <x:v>5a9def92-7934-4ba6-be90-1e2de65ff6d6</x:v>
      </x:c>
      <x:c r="B296" t="str">
        <x:v>bbd953ad-fc34-492c-8034-215fa9b7414d</x:v>
      </x:c>
      <x:c r="C296" s="9" t="str">
        <x:v>B (A Child) (Habitual Residence) (Inherent Jurisdiction) [2015] EWCA Civ 886</x:v>
      </x:c>
      <x:c r="D296" s="9" t="str"/>
      <x:c r="E296" s="9" t="str"/>
      <x:c r="F296" s="13" t="str">
        <x:v>2015</x:v>
      </x:c>
      <x:c r="G296" s="9" t="str">
        <x:v>England and Wales Court of Appeal (Civil Division)</x:v>
      </x:c>
      <x:c r="H296" s="9" t="str">
        <x:v>Appellate</x:v>
      </x:c>
      <x:c r="I296" s="9" t="str">
        <x:v>England and Wales</x:v>
      </x:c>
      <x:c r="J296" s="9" t="str">
        <x:v>Family Law</x:v>
      </x:c>
      <x:c r="K296" s="9" t="str">
        <x:v>-ew-cases-EWCA-Civ-2015-886.xml</x:v>
      </x:c>
      <x:c r="L296" s="9" t="str">
        <x:v>TBA</x:v>
      </x:c>
    </x:row>
    <x:row r="297">
      <x:c r="A297" t="str">
        <x:v>522c3e73-7b96-4277-a987-eecc93558759</x:v>
      </x:c>
      <x:c r="B297" t="str">
        <x:v>680621f1-8395-4d59-b9a6-d53f87ac8e27</x:v>
      </x:c>
      <x:c r="C297" s="9" t="str">
        <x:v>B (A Child) [2014] EWCA Civ 843</x:v>
      </x:c>
      <x:c r="D297" s="9" t="str"/>
      <x:c r="E297" s="9" t="str"/>
      <x:c r="F297" s="13" t="str">
        <x:v>2014</x:v>
      </x:c>
      <x:c r="G297" s="9" t="str">
        <x:v>England and Wales Court of Appeal (Civil Division)</x:v>
      </x:c>
      <x:c r="H297" s="9" t="str">
        <x:v>Appellate</x:v>
      </x:c>
      <x:c r="I297" s="9" t="str">
        <x:v>England and Wales</x:v>
      </x:c>
      <x:c r="J297" s="9" t="str">
        <x:v>Family Law</x:v>
      </x:c>
      <x:c r="K297" s="9" t="str">
        <x:v>-ew-cases-EWCA-Civ-2014-843.xml</x:v>
      </x:c>
      <x:c r="L297" s="9" t="str">
        <x:v>TBA</x:v>
      </x:c>
    </x:row>
    <x:row r="298">
      <x:c r="A298" t="str">
        <x:v>4829f358-f475-444b-8b0d-cb2d8af88458</x:v>
      </x:c>
      <x:c r="B298" t="str">
        <x:v>a64867b2-1a55-4d8e-8a18-f36c0043f3eb</x:v>
      </x:c>
      <x:c r="C298" s="9" t="str">
        <x:v>B (A Child) Re (Adequacy of Reasons) [2022] EWCA Civ 407 (25 March 2022)</x:v>
      </x:c>
      <x:c r="D298" s="9" t="str"/>
      <x:c r="E298" s="9" t="str"/>
      <x:c r="F298" s="13" t="str">
        <x:v>2022</x:v>
      </x:c>
      <x:c r="G298" s="9" t="str">
        <x:v>England and Wales Court of Appeal (Civil Division)</x:v>
      </x:c>
      <x:c r="H298" s="9" t="str">
        <x:v>Court of Appeal (Civil Division)</x:v>
      </x:c>
      <x:c r="I298" s="9" t="str">
        <x:v>England and Wales</x:v>
      </x:c>
      <x:c r="J298" s="9" t="str">
        <x:v>Public Law - Family &amp; Adoption</x:v>
      </x:c>
      <x:c r="K298" s="9" t="str">
        <x:v>ew-cases-EWCA-Civ-2022-407.xml</x:v>
      </x:c>
      <x:c r="L298" s="9" t="str">
        <x:v>TBA</x:v>
      </x:c>
    </x:row>
    <x:row r="299">
      <x:c r="A299" t="str">
        <x:v>e4417a25-3ac3-4c8f-b3ac-a7d59a1de910</x:v>
      </x:c>
      <x:c r="B299" t="str">
        <x:v>f76542cb-1642-47ad-a805-2b08b71ea1c0</x:v>
      </x:c>
      <x:c r="C299" s="9" t="str">
        <x:v>B (A Child), Re [2015] EWCA Civ 1053</x:v>
      </x:c>
      <x:c r="D299" s="9" t="str"/>
      <x:c r="E299" s="9" t="str"/>
      <x:c r="F299" s="13" t="str">
        <x:v>2015</x:v>
      </x:c>
      <x:c r="G299" s="9" t="str">
        <x:v>England and Wales Court of Appeal (Civil Division)</x:v>
      </x:c>
      <x:c r="H299" s="9" t="str">
        <x:v>Appellate</x:v>
      </x:c>
      <x:c r="I299" s="9" t="str">
        <x:v>England and Wales</x:v>
      </x:c>
      <x:c r="J299" s="9" t="str">
        <x:v>Family Law</x:v>
      </x:c>
      <x:c r="K299" s="9" t="str">
        <x:v>-ew-cases-EWCA-Civ-2015-1053.xml</x:v>
      </x:c>
      <x:c r="L299" s="9" t="str">
        <x:v>TBA</x:v>
      </x:c>
    </x:row>
    <x:row r="300">
      <x:c r="A300" t="str">
        <x:v>a135cd49-a96f-444c-b637-05810474fd69</x:v>
      </x:c>
      <x:c r="B300" t="str">
        <x:v>bb12b0d6-42e8-4b80-aaf9-ffb643df2d1d</x:v>
      </x:c>
      <x:c r="C300" s="9" t="str">
        <x:v>B (A Child), Re [2016] EWCA Civ 1088 (13 September 2016)</x:v>
      </x:c>
      <x:c r="D300" s="9" t="str"/>
      <x:c r="E300" s="9" t="str"/>
      <x:c r="F300" s="13" t="str">
        <x:v>2016</x:v>
      </x:c>
      <x:c r="G300" s="9" t="str">
        <x:v>England and Wales Court of Appeal (Civil Division)</x:v>
      </x:c>
      <x:c r="H300" s="9" t="str">
        <x:v>Court of Appeal (Civil Division)</x:v>
      </x:c>
      <x:c r="I300" s="9" t="str">
        <x:v>England and Wales</x:v>
      </x:c>
      <x:c r="J300" s="9" t="str">
        <x:v>Family Law</x:v>
      </x:c>
      <x:c r="K300" s="9" t="str">
        <x:v>-ew-cases-EWCA-Civ-2016-1088.xml</x:v>
      </x:c>
      <x:c r="L300" s="9" t="str">
        <x:v>TBA</x:v>
      </x:c>
    </x:row>
    <x:row r="301">
      <x:c r="A301" t="str">
        <x:v>7e7f24c1-5a0b-482a-b17d-1ee936375e09</x:v>
      </x:c>
      <x:c r="B301" t="str">
        <x:v>5ff00905-926e-4065-97c2-7cf95bea63dc</x:v>
      </x:c>
      <x:c r="C301" s="9" t="str">
        <x:v>B (A Child), Re [2022] EWCA Civ 1439 (Court of Appeal, Civil Division)</x:v>
      </x:c>
      <x:c r="D301" s="9" t="str"/>
      <x:c r="E301" s="9" t="str"/>
      <x:c r="F301" s="13" t="str">
        <x:v>2022</x:v>
      </x:c>
      <x:c r="G301" s="9" t="str">
        <x:v>England and Wales Court of Appeal (Civil Division)</x:v>
      </x:c>
      <x:c r="H301" s="9" t="str">
        <x:v>Court of Appeal (Civil Division)</x:v>
      </x:c>
      <x:c r="I301" s="9" t="str">
        <x:v>England and Wales</x:v>
      </x:c>
      <x:c r="J301" s="9" t="str">
        <x:v>Private Family Law (Domestic Abuse/Children)</x:v>
      </x:c>
      <x:c r="K301" s="9" t="str">
        <x:v>ew-cases-EWCA-Civ-2022-1439.xml</x:v>
      </x:c>
      <x:c r="L301" s="9" t="str">
        <x:v>TBA</x:v>
      </x:c>
    </x:row>
    <x:row r="302">
      <x:c r="A302" t="str">
        <x:v>cf80bdf3-520f-412f-b054-51b9cf95f286</x:v>
      </x:c>
      <x:c r="B302" t="str">
        <x:v>395ec59a-d0d8-459c-b558-92056214bd9e</x:v>
      </x:c>
      <x:c r="C302" s="9" t="str">
        <x:v>B (Children) (Abduction: Consent: Oral Evidence) (Article 13(B)) (Rev1) [2022] EWCA Civ 1171</x:v>
      </x:c>
      <x:c r="D302" s="9" t="str"/>
      <x:c r="E302" s="9" t="str"/>
      <x:c r="F302" s="13" t="str">
        <x:v>2022</x:v>
      </x:c>
      <x:c r="G302" s="9" t="str">
        <x:v>England and Wales Court of Appeal (Civil Division)</x:v>
      </x:c>
      <x:c r="H302" s="9" t="str">
        <x:v>Court of Appeal (Civil Division)</x:v>
      </x:c>
      <x:c r="I302" s="9" t="str">
        <x:v>England and Wales</x:v>
      </x:c>
      <x:c r="J302" s="9" t="str">
        <x:v>Family Law – International Child Abduction</x:v>
      </x:c>
      <x:c r="K302" s="9" t="str">
        <x:v>ew-cases-EWCA-Civ-2022-1171.xml</x:v>
      </x:c>
      <x:c r="L302" s="9" t="str">
        <x:v>TBA</x:v>
      </x:c>
    </x:row>
    <x:row r="303">
      <x:c r="A303" t="str">
        <x:v>f6d5ed12-40ab-4e15-a2fb-a0cd4aa33198</x:v>
      </x:c>
      <x:c r="B303" t="str">
        <x:v>1afc3883-b59c-47ca-b6e4-31051334d78f</x:v>
      </x:c>
      <x:c r="C303" s="9" t="str">
        <x:v>B (Children) [2014] EWCA Civ 1623 - Appeal Related to Allegations of Inappropriate Conduct</x:v>
      </x:c>
      <x:c r="D303" s="9" t="str"/>
      <x:c r="E303" s="9" t="str"/>
      <x:c r="F303" s="13" t="str">
        <x:v>2014</x:v>
      </x:c>
      <x:c r="G303" s="9" t="str">
        <x:v>England and Wales Court of Appeal (Civil Division)</x:v>
      </x:c>
      <x:c r="H303" s="9" t="str">
        <x:v>appellate</x:v>
      </x:c>
      <x:c r="I303" s="9" t="str">
        <x:v>England and Wales</x:v>
      </x:c>
      <x:c r="J303" s="9" t="str">
        <x:v>Family Law</x:v>
      </x:c>
      <x:c r="K303" s="9" t="str">
        <x:v>-ew-cases-EWCA-Civ-2014-1623.xml</x:v>
      </x:c>
      <x:c r="L303" s="9" t="str">
        <x:v>TBA</x:v>
      </x:c>
    </x:row>
    <x:row r="304">
      <x:c r="A304" t="str">
        <x:v>36721663-e0be-4d98-9845-4357e8f0b89f</x:v>
      </x:c>
      <x:c r="B304" t="str">
        <x:v>00a50318-6637-44b6-b5ec-b518c7f03827</x:v>
      </x:c>
      <x:c r="C304" s="9" t="str">
        <x:v>B (Children) [2017] EWCA Civ 1635 – Appeal Regarding Custodial Orders</x:v>
      </x:c>
      <x:c r="D304" s="9" t="str"/>
      <x:c r="E304" s="9" t="str"/>
      <x:c r="F304" s="13" t="str">
        <x:v>2017</x:v>
      </x:c>
      <x:c r="G304" s="9" t="str">
        <x:v>England and Wales Court of Appeal (Civil Division)</x:v>
      </x:c>
      <x:c r="H304" s="9" t="str">
        <x:v>Appellate</x:v>
      </x:c>
      <x:c r="I304" s="9" t="str">
        <x:v>England and Wales</x:v>
      </x:c>
      <x:c r="J304" s="9" t="str">
        <x:v>Family Law</x:v>
      </x:c>
      <x:c r="K304" s="9" t="str">
        <x:v>-ew-cases-EWCA-Civ-2017-1635.xml</x:v>
      </x:c>
      <x:c r="L304" s="9" t="str">
        <x:v>TBA</x:v>
      </x:c>
    </x:row>
    <x:row r="305">
      <x:c r="A305" t="str">
        <x:v>1354182c-cdd7-476a-a8f5-0d19c5c9e57a</x:v>
      </x:c>
      <x:c r="B305" t="str">
        <x:v>7b3ca079-5146-4714-b9db-a1df862a8fe4</x:v>
      </x:c>
      <x:c r="C305" s="9" t="str">
        <x:v>B (Children), Re [2021] EWCA Civ 1221</x:v>
      </x:c>
      <x:c r="D305" s="9" t="str"/>
      <x:c r="E305" s="9" t="str"/>
      <x:c r="F305" s="13" t="str">
        <x:v>2021</x:v>
      </x:c>
      <x:c r="G305" s="9" t="str">
        <x:v>England and Wales Court of Appeal (Civil Division)</x:v>
      </x:c>
      <x:c r="H305" s="9" t="str">
        <x:v>Appellate</x:v>
      </x:c>
      <x:c r="I305" s="9" t="str">
        <x:v>England and Wales</x:v>
      </x:c>
      <x:c r="J305" s="9" t="str">
        <x:v>Family Law</x:v>
      </x:c>
      <x:c r="K305" s="9" t="str">
        <x:v>ew-cases-EWCA-Civ-2021-1221.xml</x:v>
      </x:c>
      <x:c r="L305" s="9" t="str">
        <x:v>TBA</x:v>
      </x:c>
    </x:row>
    <x:row r="306">
      <x:c r="A306" t="str">
        <x:v>22e44eb3-a622-44fc-9f3b-e982e3635acb</x:v>
      </x:c>
      <x:c r="B306" t="str">
        <x:v>ad6e570d-2de3-45b5-8699-5677405528f4</x:v>
      </x:c>
      <x:c r="C306" s="9" t="str">
        <x:v>B &amp; Anor, R (on the application of) v Secretary of State for the Home Department &amp; Anor [2014] EWCA Civ 854</x:v>
      </x:c>
      <x:c r="D306" s="9" t="str"/>
      <x:c r="E306" s="9" t="str"/>
      <x:c r="F306" s="13" t="str">
        <x:v>2014</x:v>
      </x:c>
      <x:c r="G306" s="9" t="str">
        <x:v>England and Wales Court of Appeal (Civil Division)</x:v>
      </x:c>
      <x:c r="H306" s="9" t="str">
        <x:v>Appellate</x:v>
      </x:c>
      <x:c r="I306" s="9" t="str">
        <x:v>England and Wales</x:v>
      </x:c>
      <x:c r="J306" s="9" t="str">
        <x:v>Administrative Law</x:v>
      </x:c>
      <x:c r="K306" s="9" t="str">
        <x:v>-ew-cases-EWCA-Civ-2014-854.xml</x:v>
      </x:c>
      <x:c r="L306" s="9" t="str">
        <x:v>TBA</x:v>
      </x:c>
    </x:row>
    <x:row r="307">
      <x:c r="A307" t="str">
        <x:v>e3407381-ea37-4597-885c-b13812ac0c40</x:v>
      </x:c>
      <x:c r="B307" t="str">
        <x:v>cedbab2b-041c-4c8e-8046-671345859014</x:v>
      </x:c>
      <x:c r="C307" s="9" t="str">
        <x:v>B &amp; Anor, Re [2014] EWCA Civ 1133</x:v>
      </x:c>
      <x:c r="D307" s="9" t="str"/>
      <x:c r="E307" s="9" t="str"/>
      <x:c r="F307" s="13" t="str">
        <x:v>2014</x:v>
      </x:c>
      <x:c r="G307" s="9" t="str">
        <x:v>England and Wales Court of Appeal (Civil Division)</x:v>
      </x:c>
      <x:c r="H307" s="9" t="str">
        <x:v>Appellate</x:v>
      </x:c>
      <x:c r="I307" s="9" t="str">
        <x:v>England and Wales</x:v>
      </x:c>
      <x:c r="J307" s="9" t="str">
        <x:v>Family Law</x:v>
      </x:c>
      <x:c r="K307" s="9" t="str">
        <x:v>-ew-cases-EWCA-Civ-2014-1133.xml</x:v>
      </x:c>
      <x:c r="L307" s="9" t="str">
        <x:v>TBA</x:v>
      </x:c>
    </x:row>
    <x:row r="308">
      <x:c r="A308" t="str">
        <x:v>3f2ed369-9172-4132-8f85-3e48351924f3</x:v>
      </x:c>
      <x:c r="B308" t="str">
        <x:v>8ebce192-737e-4e4a-9d42-c08edb6f02cd</x:v>
      </x:c>
      <x:c r="C308" s="9" t="str">
        <x:v>B J Aviation Ltd v Pool Aviation Ltd [2002] EWCA Civ 163</x:v>
      </x:c>
      <x:c r="D308" s="9" t="str"/>
      <x:c r="E308" s="9" t="str"/>
      <x:c r="F308" s="13" t="str">
        <x:v>2002</x:v>
      </x:c>
      <x:c r="G308" s="9" t="str">
        <x:v>England and Wales Court of Appeal (Civil Division)</x:v>
      </x:c>
      <x:c r="H308" s="9" t="str">
        <x:v>Appellate</x:v>
      </x:c>
      <x:c r="I308" s="9" t="str">
        <x:v>England and Wales</x:v>
      </x:c>
      <x:c r="J308" s="9" t="str">
        <x:v>Contract Dispute</x:v>
      </x:c>
      <x:c r="K308" s="9" t="str">
        <x:v>PT_EWCA-Civ_2002_163.xml</x:v>
      </x:c>
      <x:c r="L308" s="9" t="str">
        <x:v>TBA</x:v>
      </x:c>
    </x:row>
    <x:row r="309">
      <x:c r="A309" t="str">
        <x:v>c0cf02ee-e3c3-4c40-91a7-a43e21b797f8</x:v>
      </x:c>
      <x:c r="B309" t="str">
        <x:v>ffb4df0b-159c-43e1-98ca-dce8b9b8a8cc</x:v>
      </x:c>
      <x:c r="C309" s="9" t="str">
        <x:v>B v B [2015] EWCA Civ 1166 - Appeal Against Costs Order in Hague Convention Child Abduction Case</x:v>
      </x:c>
      <x:c r="D309" s="9" t="str"/>
      <x:c r="E309" s="9" t="str"/>
      <x:c r="F309" s="13" t="str">
        <x:v>2015</x:v>
      </x:c>
      <x:c r="G309" s="9" t="str">
        <x:v>England and Wales Court of Appeal (Civil Division)</x:v>
      </x:c>
      <x:c r="H309" s="9" t="str">
        <x:v>Appellate</x:v>
      </x:c>
      <x:c r="I309" s="9" t="str">
        <x:v>England and Wales</x:v>
      </x:c>
      <x:c r="J309" s="9" t="str">
        <x:v>Family Law</x:v>
      </x:c>
      <x:c r="K309" s="9" t="str">
        <x:v>-ew-cases-EWCA-Civ-2015-1166.xml</x:v>
      </x:c>
      <x:c r="L309" s="9" t="str">
        <x:v>TBA</x:v>
      </x:c>
    </x:row>
    <x:row r="310">
      <x:c r="A310" t="str">
        <x:v>8581610c-4586-4fcb-b1af-5f2e55fad169</x:v>
      </x:c>
      <x:c r="B310" t="str">
        <x:v>ccfac3ff-bd45-4efb-8ae7-496813227718</x:v>
      </x:c>
      <x:c r="C310" s="9" t="str">
        <x:v>B v The Secretary of State for the Home Department</x:v>
      </x:c>
      <x:c r="D310" s="9" t="str"/>
      <x:c r="E310" s="9" t="str"/>
      <x:c r="F310" s="13" t="str">
        <x:v>2015</x:v>
      </x:c>
      <x:c r="G310" s="9" t="str">
        <x:v>England and Wales Court of Appeal (Civil Division)</x:v>
      </x:c>
      <x:c r="H310" s="9" t="str">
        <x:v>Appellate</x:v>
      </x:c>
      <x:c r="I310" s="9" t="str">
        <x:v>England and Wales</x:v>
      </x:c>
      <x:c r="J310" s="9" t="str">
        <x:v>Administrative Law</x:v>
      </x:c>
      <x:c r="K310" s="9" t="str">
        <x:v>-ew-cases-EWCA-Civ-2015-445.xml</x:v>
      </x:c>
      <x:c r="L310" s="9" t="str">
        <x:v>TBA</x:v>
      </x:c>
    </x:row>
    <x:row r="311">
      <x:c r="A311" t="str">
        <x:v>24aed164-c6c7-4449-8af9-ed89f0784182</x:v>
      </x:c>
      <x:c r="B311" t="str">
        <x:v>ad69f7e3-6b34-4a01-9e01-13bfb93c0147</x:v>
      </x:c>
      <x:c r="C311" s="9" t="str">
        <x:v>B-C (A Child), Re [2016] EWCA Civ 970</x:v>
      </x:c>
      <x:c r="D311" s="9" t="str"/>
      <x:c r="E311" s="9" t="str"/>
      <x:c r="F311" s="13" t="str">
        <x:v>2016</x:v>
      </x:c>
      <x:c r="G311" s="9" t="str">
        <x:v>England and Wales Court of Appeal (Civil Division)</x:v>
      </x:c>
      <x:c r="H311" s="9" t="str">
        <x:v>Court of Appeal (Civil Division)</x:v>
      </x:c>
      <x:c r="I311" s="9" t="str">
        <x:v>England and Wales</x:v>
      </x:c>
      <x:c r="J311" s="9" t="str">
        <x:v>Family Law / Child Protection</x:v>
      </x:c>
      <x:c r="K311" s="9" t="str">
        <x:v>-ew-cases-EWCA-Civ-2016-970.xml</x:v>
      </x:c>
      <x:c r="L311" s="9" t="str">
        <x:v>TBA</x:v>
      </x:c>
    </x:row>
    <x:row r="312">
      <x:c r="A312" t="str">
        <x:v>f3e2931c-606b-47fe-96ea-30b68e4635ce</x:v>
      </x:c>
      <x:c r="B312" t="str">
        <x:v>29fdb71c-0487-475b-bc3c-1b42e23ecc02</x:v>
      </x:c>
      <x:c r="C312" s="9" t="str">
        <x:v>B-M (Children: Findings of Fact) [2021] EWCA Civ 1371</x:v>
      </x:c>
      <x:c r="D312" s="9" t="str"/>
      <x:c r="E312" s="9" t="str"/>
      <x:c r="F312" s="13" t="str">
        <x:v>2021</x:v>
      </x:c>
      <x:c r="G312" s="9" t="str">
        <x:v>England and Wales Court of Appeal (Civil Division)</x:v>
      </x:c>
      <x:c r="H312" s="9" t="str">
        <x:v>Appellate</x:v>
      </x:c>
      <x:c r="I312" s="9" t="str">
        <x:v>England and Wales</x:v>
      </x:c>
      <x:c r="J312" s="9" t="str">
        <x:v>Family Law</x:v>
      </x:c>
      <x:c r="K312" s="9" t="str">
        <x:v>ew-cases-EWCA-Civ-2021-1371.xml</x:v>
      </x:c>
      <x:c r="L312" s="9" t="str">
        <x:v>TBA</x:v>
      </x:c>
    </x:row>
    <x:row r="313">
      <x:c r="A313" t="str">
        <x:v>ec80da70-27b1-48dc-b517-d78ae4285515</x:v>
      </x:c>
      <x:c r="B313" t="str">
        <x:v>a86d4177-5880-40f7-afd5-c5abee0757ea</x:v>
      </x:c>
      <x:c r="C313" s="9" t="str">
        <x:v>B-S (A Child), Re [2017] EWCA Civ 2680</x:v>
      </x:c>
      <x:c r="D313" s="9" t="str"/>
      <x:c r="E313" s="9" t="str"/>
      <x:c r="F313" s="13" t="str">
        <x:v>2017</x:v>
      </x:c>
      <x:c r="G313" s="9" t="str">
        <x:v>England and Wales Court of Appeal (Civil Division)</x:v>
      </x:c>
      <x:c r="H313" s="9" t="str">
        <x:v>Appellate</x:v>
      </x:c>
      <x:c r="I313" s="9" t="str">
        <x:v>England and Wales</x:v>
      </x:c>
      <x:c r="J313" s="9" t="str">
        <x:v>Family Law</x:v>
      </x:c>
      <x:c r="K313" s="9" t="str">
        <x:v>-ew-cases-EWCA-Civ-2017-2680.xml</x:v>
      </x:c>
      <x:c r="L313" s="9" t="str">
        <x:v>TBA</x:v>
      </x:c>
    </x:row>
    <x:row r="314">
      <x:c r="A314" t="str">
        <x:v>f665d78e-1f93-41e4-be8d-79ee854ac0ac</x:v>
      </x:c>
      <x:c r="B314" t="str">
        <x:v>e8b29c92-7345-4818-b5e5-63e7c2d5ce39</x:v>
      </x:c>
      <x:c r="C314" s="9" t="str">
        <x:v>BA (Eritrea) &amp; Anor, R (on the application of) v Secretary of State for the Home Department [2016] EWCA Civ 458 (12 May 2016)</x:v>
      </x:c>
      <x:c r="D314" s="9" t="str"/>
      <x:c r="E314" s="9" t="str"/>
      <x:c r="F314" s="13" t="str">
        <x:v>2016</x:v>
      </x:c>
      <x:c r="G314" s="9" t="str">
        <x:v>England and Wales Court of Appeal (Civil Division)</x:v>
      </x:c>
      <x:c r="H314" s="9" t="str">
        <x:v>Court of Appeal (Civil Division)</x:v>
      </x:c>
      <x:c r="I314" s="9" t="str">
        <x:v>England and Wales</x:v>
      </x:c>
      <x:c r="J314" s="9" t="str">
        <x:v>Immigration Detention / Public Law</x:v>
      </x:c>
      <x:c r="K314" s="9" t="str">
        <x:v>-ew-cases-EWCA-Civ-2016-458.xml</x:v>
      </x:c>
      <x:c r="L314" s="9" t="str">
        <x:v>TBA</x:v>
      </x:c>
    </x:row>
    <x:row r="315">
      <x:c r="A315" t="str">
        <x:v>6dfaf708-c72a-4374-8111-36f6d99a364c</x:v>
      </x:c>
      <x:c r="B315" t="str">
        <x:v>13a41077-ffe0-40b0-9f6a-7e274cfbbd3d</x:v>
      </x:c>
      <x:c r="C315" s="9" t="str">
        <x:v>BAA &amp; Anor, R (on the application of) v Secretary of State for the Home Department</x:v>
      </x:c>
      <x:c r="D315" s="9" t="str"/>
      <x:c r="E315" s="9" t="str"/>
      <x:c r="F315" s="13" t="str">
        <x:v>2021</x:v>
      </x:c>
      <x:c r="G315" s="9" t="str">
        <x:v>England and Wales Court of Appeal (Civil Division)</x:v>
      </x:c>
      <x:c r="H315" s="9" t="str">
        <x:v>Appellate</x:v>
      </x:c>
      <x:c r="I315" s="9" t="str">
        <x:v>England and Wales</x:v>
      </x:c>
      <x:c r="J315" s="9" t="str">
        <x:v>Immigration Law</x:v>
      </x:c>
      <x:c r="K315" s="9" t="str">
        <x:v>ew-cases-EWCA-Civ-2021-1428.xml</x:v>
      </x:c>
      <x:c r="L315" s="9" t="str">
        <x:v>TBA</x:v>
      </x:c>
    </x:row>
    <x:row r="316">
      <x:c r="A316" t="str">
        <x:v>b71ecbab-2a6e-4f05-8d62-7bc91e1a12ac</x:v>
      </x:c>
      <x:c r="B316" t="str">
        <x:v>7a3b323f-f395-405c-86ca-85d8cc34faa3</x:v>
      </x:c>
      <x:c r="C316" s="9" t="str">
        <x:v>Bacci &amp; Ors v Green [2022] EWCA Civ 1393 (Court of Appeal, Civil Division)</x:v>
      </x:c>
      <x:c r="D316" s="9" t="str"/>
      <x:c r="E316" s="9" t="str"/>
      <x:c r="F316" s="13" t="str">
        <x:v>2022</x:v>
      </x:c>
      <x:c r="G316" s="9" t="str">
        <x:v>England and Wales Court of Appeal (Civil Division)</x:v>
      </x:c>
      <x:c r="H316" s="9" t="str">
        <x:v>Court of Appeal (Civil Division)</x:v>
      </x:c>
      <x:c r="I316" s="9" t="str">
        <x:v>England and Wales</x:v>
      </x:c>
      <x:c r="J316" s="9" t="str">
        <x:v>Civil Procedure / Insolvency / Equity</x:v>
      </x:c>
      <x:c r="K316" s="9" t="str">
        <x:v>ew-cases-EWCA-Civ-2022-1393.xml</x:v>
      </x:c>
      <x:c r="L316" s="9" t="str">
        <x:v>TBA</x:v>
      </x:c>
    </x:row>
    <x:row r="317">
      <x:c r="A317" t="str">
        <x:v>d67368da-0861-4beb-b0f1-10491d762fab</x:v>
      </x:c>
      <x:c r="B317" t="str">
        <x:v>36d910e8-672b-4caf-815a-9d51702e9231</x:v>
      </x:c>
      <x:c r="C317" s="9" t="str">
        <x:v>Bacciottini &amp; Anor v Gotelee and Goldsmith (A Firm) [2016] EWCA Civ 170</x:v>
      </x:c>
      <x:c r="D317" s="9" t="str"/>
      <x:c r="E317" s="9" t="str"/>
      <x:c r="F317" s="13" t="str">
        <x:v>2016</x:v>
      </x:c>
      <x:c r="G317" s="9" t="str">
        <x:v>England and Wales Court of Appeal (Civil Division)</x:v>
      </x:c>
      <x:c r="H317" s="9" t="str">
        <x:v>Court of Appeal (Civil Division)</x:v>
      </x:c>
      <x:c r="I317" s="9" t="str">
        <x:v>England and Wales</x:v>
      </x:c>
      <x:c r="J317" s="9" t="str">
        <x:v>Professional Negligence - Solicitors</x:v>
      </x:c>
      <x:c r="K317" s="9" t="str">
        <x:v>-ew-cases-EWCA-Civ-2016-170.xml</x:v>
      </x:c>
      <x:c r="L317" s="9" t="str">
        <x:v>TBA</x:v>
      </x:c>
    </x:row>
    <x:row r="318">
      <x:c r="A318" t="str">
        <x:v>ab8a17c2-f6ed-4ac8-a435-f82d29baebec</x:v>
      </x:c>
      <x:c r="B318" t="str">
        <x:v>dc0765fe-1d11-4227-840d-7b4b7babcfea</x:v>
      </x:c>
      <x:c r="C318" s="9" t="str">
        <x:v>Badger Trust, R (on the application of) v Secretary of State for the Environment, Food &amp; Rural Affairs &amp; Anor [2014] EWCA Civ 1405</x:v>
      </x:c>
      <x:c r="D318" s="9" t="str"/>
      <x:c r="E318" s="9" t="str"/>
      <x:c r="F318" s="13" t="str">
        <x:v>2014</x:v>
      </x:c>
      <x:c r="G318" s="9" t="str">
        <x:v>England and Wales Court of Appeal (Civil Division)</x:v>
      </x:c>
      <x:c r="H318" s="9" t="str">
        <x:v>Appellate</x:v>
      </x:c>
      <x:c r="I318" s="9" t="str">
        <x:v>England and Wales</x:v>
      </x:c>
      <x:c r="J318" s="9" t="str">
        <x:v>Administrative Law</x:v>
      </x:c>
      <x:c r="K318" s="9" t="str">
        <x:v>-ew-cases-EWCA-Civ-2014-1405.xml</x:v>
      </x:c>
      <x:c r="L318" s="9" t="str">
        <x:v>TBA</x:v>
      </x:c>
    </x:row>
    <x:row r="319">
      <x:c r="A319" t="str">
        <x:v>7b1c7e11-ac86-4259-8fc9-22a61f45fe63</x:v>
      </x:c>
      <x:c r="B319" t="str">
        <x:v>ed1129b7-3b90-490b-b4eb-11007e2898b3</x:v>
      </x:c>
      <x:c r="C319" s="9" t="str">
        <x:v>BAE Systems (Operations) Ltd v Konczak [2017] EWCA Civ 1188</x:v>
      </x:c>
      <x:c r="D319" s="9" t="str"/>
      <x:c r="E319" s="9" t="str"/>
      <x:c r="F319" s="13" t="str">
        <x:v>2017</x:v>
      </x:c>
      <x:c r="G319" s="9" t="str">
        <x:v>England and Wales Court of Appeal (Civil Division)</x:v>
      </x:c>
      <x:c r="H319" s="9" t="str">
        <x:v>Appellate</x:v>
      </x:c>
      <x:c r="I319" s="9" t="str">
        <x:v>England and Wales</x:v>
      </x:c>
      <x:c r="J319" s="9" t="str">
        <x:v>Employment Law</x:v>
      </x:c>
      <x:c r="K319" s="9" t="str">
        <x:v>-ew-cases-EWCA-Civ-2017-1188.xml</x:v>
      </x:c>
      <x:c r="L319" s="9" t="str">
        <x:v>TBA</x:v>
      </x:c>
    </x:row>
    <x:row r="320">
      <x:c r="A320" t="str">
        <x:v>c4cce82e-f0df-440a-a978-0ef237ea4990</x:v>
      </x:c>
      <x:c r="B320" t="str">
        <x:v>d9e49f87-eae5-424f-856b-7e483531a28c</x:v>
      </x:c>
      <x:c r="C320" s="9" t="str">
        <x:v>Bagum v Hafiz &amp; Anor [2015] EWCA Civ 801</x:v>
      </x:c>
      <x:c r="D320" s="9" t="str"/>
      <x:c r="E320" s="9" t="str"/>
      <x:c r="F320" s="13" t="str">
        <x:v>2015</x:v>
      </x:c>
      <x:c r="G320" s="9" t="str">
        <x:v>England and Wales Court of Appeal (Civil Division)</x:v>
      </x:c>
      <x:c r="H320" s="9" t="str">
        <x:v>Appellate</x:v>
      </x:c>
      <x:c r="I320" s="9" t="str">
        <x:v>England and Wales</x:v>
      </x:c>
      <x:c r="J320" s="9" t="str">
        <x:v>Property Law</x:v>
      </x:c>
      <x:c r="K320" s="9" t="str">
        <x:v>-ew-cases-EWCA-Civ-2015-801.xml</x:v>
      </x:c>
      <x:c r="L320" s="9" t="str">
        <x:v>TBA</x:v>
      </x:c>
    </x:row>
    <x:row r="321">
      <x:c r="A321" t="str">
        <x:v>85cc522c-5c31-45e6-b23f-df10aeaf8b89</x:v>
      </x:c>
      <x:c r="B321" t="str">
        <x:v>e8478e32-62c4-4671-beb8-f68ac88012ef</x:v>
      </x:c>
      <x:c r="C321" s="9" t="str">
        <x:v>Bailey &amp; Anor (The Joint Liquidators of D &amp; D Wines International Ltd) v Angove's Pty Ltd</x:v>
      </x:c>
      <x:c r="D321" s="9" t="str"/>
      <x:c r="E321" s="9" t="str"/>
      <x:c r="F321" s="13" t="str">
        <x:v>2014</x:v>
      </x:c>
      <x:c r="G321" s="9" t="str">
        <x:v>England and Wales Court of Appeal (Civil Division)</x:v>
      </x:c>
      <x:c r="H321" s="9" t="str">
        <x:v>Appellate</x:v>
      </x:c>
      <x:c r="I321" s="9" t="str">
        <x:v>England and Wales</x:v>
      </x:c>
      <x:c r="J321" s="9" t="str">
        <x:v>Insolvency Law</x:v>
      </x:c>
      <x:c r="K321" s="9" t="str">
        <x:v>-ew-cases-EWCA-Civ-2014-215.xml</x:v>
      </x:c>
      <x:c r="L321" s="9" t="str">
        <x:v>TBA</x:v>
      </x:c>
    </x:row>
    <x:row r="322">
      <x:c r="A322" t="str">
        <x:v>5904e960-82bf-47e1-bfcc-7a6fa7d4c069</x:v>
      </x:c>
      <x:c r="B322" t="str">
        <x:v>69d6e92d-abaa-4de1-af6f-40555b0822b8</x:v>
      </x:c>
      <x:c r="C322" s="9" t="str">
        <x:v>Bailey v Cherry Hill Skip Hire Ltd &amp; Ors [2022] EWCA Civ 531</x:v>
      </x:c>
      <x:c r="D322" s="9" t="str"/>
      <x:c r="E322" s="9" t="str"/>
      <x:c r="F322" s="13" t="str">
        <x:v>2022</x:v>
      </x:c>
      <x:c r="G322" s="9" t="str">
        <x:v>England and Wales Court of Appeal (Civil Division)</x:v>
      </x:c>
      <x:c r="H322" s="9" t="str">
        <x:v>Court of Appeal (Civil Division)</x:v>
      </x:c>
      <x:c r="I322" s="9" t="str">
        <x:v>England and Wales</x:v>
      </x:c>
      <x:c r="J322" s="9" t="str">
        <x:v>Contract/Company Law – Minority Shareholder Relief</x:v>
      </x:c>
      <x:c r="K322" s="9" t="str">
        <x:v>ew-cases-EWCA-Civ-2022-531.xml</x:v>
      </x:c>
      <x:c r="L322" s="9" t="str">
        <x:v>TBA</x:v>
      </x:c>
    </x:row>
    <x:row r="323">
      <x:c r="A323" t="str">
        <x:v>c6779c57-8023-42bb-89c9-59267ba0baa5</x:v>
      </x:c>
      <x:c r="B323" t="str">
        <x:v>d1cab045-2406-444f-a342-84c31b80fb42</x:v>
      </x:c>
      <x:c r="C323" s="9" t="str">
        <x:v>Baines &amp; Anor v Dixon Coles &amp; Gill (A Firm) &amp; Ors</x:v>
      </x:c>
      <x:c r="D323" s="9" t="str"/>
      <x:c r="E323" s="9" t="str"/>
      <x:c r="F323" s="13" t="str">
        <x:v>2021</x:v>
      </x:c>
      <x:c r="G323" s="9" t="str">
        <x:v>England and Wales Court of Appeal (Civil Division)</x:v>
      </x:c>
      <x:c r="H323" s="9" t="str">
        <x:v>Appellate</x:v>
      </x:c>
      <x:c r="I323" s="9" t="str">
        <x:v>England and Wales</x:v>
      </x:c>
      <x:c r="J323" s="9" t="str">
        <x:v>Commercial Law</x:v>
      </x:c>
      <x:c r="K323" s="9" t="str">
        <x:v>ew-cases-EWCA-Civ-2021-1211.xml</x:v>
      </x:c>
      <x:c r="L323" s="9" t="str">
        <x:v>TBA</x:v>
      </x:c>
    </x:row>
    <x:row r="324">
      <x:c r="A324" t="str">
        <x:v>2a001b54-92bb-436f-a5cb-d9868e5d8149</x:v>
      </x:c>
      <x:c r="B324" t="str">
        <x:v>7bb471dc-faca-4d2d-b1a7-e273b02ddb97</x:v>
      </x:c>
      <x:c r="C324" s="9" t="str">
        <x:v>Baker &amp; Anor v Financial Conduct Authority (Re Ipagoo LLP) [2022] EWCA Civ 302</x:v>
      </x:c>
      <x:c r="D324" s="9" t="str"/>
      <x:c r="E324" s="9" t="str"/>
      <x:c r="F324" s="13" t="str">
        <x:v>2022</x:v>
      </x:c>
      <x:c r="G324" s="9" t="str">
        <x:v>England and Wales Court of Appeal (Civil Division)</x:v>
      </x:c>
      <x:c r="H324" s="9" t="str">
        <x:v>Court of Appeal (Civil Division)</x:v>
      </x:c>
      <x:c r="I324" s="9" t="str">
        <x:v>England and Wales</x:v>
      </x:c>
      <x:c r="J324" s="9" t="str">
        <x:v>Regulatory/Financial Regulation; Insolvency; Trusts</x:v>
      </x:c>
      <x:c r="K324" s="9" t="str">
        <x:v>ew-cases-EWCA-Civ-2022-302.xml</x:v>
      </x:c>
      <x:c r="L324" s="9" t="str">
        <x:v>TBA</x:v>
      </x:c>
    </x:row>
    <x:row r="325">
      <x:c r="A325" t="str">
        <x:v>5414c93c-b1fd-4389-9b46-33984e79f9fb</x:v>
      </x:c>
      <x:c r="B325" t="str">
        <x:v>4c829edf-7220-42ec-8469-095aa85153b4</x:v>
      </x:c>
      <x:c r="C325" s="9" t="str">
        <x:v>Baker Tilly UK Audit LLP &amp; Ors v Financial Reporting Council &amp; Ors</x:v>
      </x:c>
      <x:c r="D325" s="9" t="str"/>
      <x:c r="E325" s="9" t="str"/>
      <x:c r="F325" s="13" t="str">
        <x:v>2017</x:v>
      </x:c>
      <x:c r="G325" s="9" t="str">
        <x:v>England and Wales Court of Appeal (Civil Division)</x:v>
      </x:c>
      <x:c r="H325" s="9" t="str">
        <x:v>Appellate</x:v>
      </x:c>
      <x:c r="I325" s="9" t="str">
        <x:v>England and Wales</x:v>
      </x:c>
      <x:c r="J325" s="9" t="str">
        <x:v>Administrative Law</x:v>
      </x:c>
      <x:c r="K325" s="9" t="str">
        <x:v>-ew-cases-EWCA-Civ-2017-406.xml</x:v>
      </x:c>
      <x:c r="L325" s="9" t="str">
        <x:v>TBA</x:v>
      </x:c>
    </x:row>
    <x:row r="326">
      <x:c r="A326" t="str">
        <x:v>82c3bcd2-41c4-4693-a610-e66c9a4359e9</x:v>
      </x:c>
      <x:c r="B326" t="str">
        <x:v>c9ba84a4-cd9e-4de6-b98a-3e0981caafe4</x:v>
      </x:c>
      <x:c r="C326" s="9" t="str">
        <x:v>Baker v KTM Sportmotorcycle UK Ltd &amp; Anor [2017] EWCA Civ 378</x:v>
      </x:c>
      <x:c r="D326" s="9" t="str"/>
      <x:c r="E326" s="9" t="str"/>
      <x:c r="F326" s="13" t="str">
        <x:v>2017</x:v>
      </x:c>
      <x:c r="G326" s="9" t="str">
        <x:v>England and Wales Court of Appeal (Civil Division)</x:v>
      </x:c>
      <x:c r="H326" s="9" t="str">
        <x:v>appellate</x:v>
      </x:c>
      <x:c r="I326" s="9" t="str">
        <x:v>England and Wales</x:v>
      </x:c>
      <x:c r="J326" s="9" t="str">
        <x:v>Personal Injury</x:v>
      </x:c>
      <x:c r="K326" s="9" t="str">
        <x:v>-ew-cases-EWCA-Civ-2017-378.xml</x:v>
      </x:c>
      <x:c r="L326" s="9" t="str">
        <x:v>TBA</x:v>
      </x:c>
    </x:row>
    <x:row r="327">
      <x:c r="A327" t="str">
        <x:v>a54c0296-8638-4722-b0d4-eeeb585b897d</x:v>
      </x:c>
      <x:c r="B327" t="str">
        <x:v>9ad69869-4dab-46a0-9f04-c64fba98abda</x:v>
      </x:c>
      <x:c r="C327" s="9" t="str">
        <x:v>Balfour Beatty Regional Construction Limited v Grove Developments Limited</x:v>
      </x:c>
      <x:c r="D327" s="9" t="str"/>
      <x:c r="E327" s="9" t="str"/>
      <x:c r="F327" s="13" t="str">
        <x:v>2016</x:v>
      </x:c>
      <x:c r="G327" s="9" t="str">
        <x:v>England and Wales Court of Appeal (Civil Division)</x:v>
      </x:c>
      <x:c r="H327" s="9" t="str">
        <x:v>Court of Appeal (Civil Division)</x:v>
      </x:c>
      <x:c r="I327" s="9" t="str">
        <x:v>England and Wales</x:v>
      </x:c>
      <x:c r="J327" s="9" t="str">
        <x:v>Contract/Construction Law</x:v>
      </x:c>
      <x:c r="K327" s="9" t="str">
        <x:v>-ew-cases-EWCA-Civ-2016-990.xml</x:v>
      </x:c>
      <x:c r="L327" s="9" t="str">
        <x:v>TBA</x:v>
      </x:c>
    </x:row>
    <x:row r="328">
      <x:c r="A328" t="str">
        <x:v>70533ac6-ae3e-4b4d-ac1f-487cd48180b6</x:v>
      </x:c>
      <x:c r="B328" t="str">
        <x:v>287cb090-1260-4383-9072-27e3b2fde65a</x:v>
      </x:c>
      <x:c r="C328" s="9" t="str">
        <x:v>Balk v Otkritie International Investment Management Ltd &amp; Ors [2017] EWCA Civ 134</x:v>
      </x:c>
      <x:c r="D328" s="9" t="str"/>
      <x:c r="E328" s="9" t="str"/>
      <x:c r="F328" s="13" t="str">
        <x:v>2017</x:v>
      </x:c>
      <x:c r="G328" s="9" t="str">
        <x:v>England and Wales Court of Appeal (Civil Division)</x:v>
      </x:c>
      <x:c r="H328" s="9" t="str">
        <x:v>Appellate</x:v>
      </x:c>
      <x:c r="I328" s="9" t="str">
        <x:v>England and Wales</x:v>
      </x:c>
      <x:c r="J328" s="9" t="str">
        <x:v>Fraud</x:v>
      </x:c>
      <x:c r="K328" s="9" t="str">
        <x:v>-ew-cases-EWCA-Civ-2017-134.xml</x:v>
      </x:c>
      <x:c r="L328" s="9" t="str">
        <x:v>TBA</x:v>
      </x:c>
    </x:row>
    <x:row r="329">
      <x:c r="A329" t="str">
        <x:v>d2d318e9-5d2a-471a-9d38-775d552cacbc</x:v>
      </x:c>
      <x:c r="B329" t="str">
        <x:v>4445024a-5f65-4083-8a26-f3cf974100af</x:v>
      </x:c>
      <x:c r="C329" s="9" t="str">
        <x:v>Ball v Secretary of State for Communities and Local Government [2014] EWCA Civ 372</x:v>
      </x:c>
      <x:c r="D329" s="9" t="str"/>
      <x:c r="E329" s="9" t="str"/>
      <x:c r="F329" s="13" t="str">
        <x:v>2014</x:v>
      </x:c>
      <x:c r="G329" s="9" t="str">
        <x:v>England and Wales Court of Appeal (Civil Division)</x:v>
      </x:c>
      <x:c r="H329" s="9" t="str">
        <x:v>Appellate</x:v>
      </x:c>
      <x:c r="I329" s="9" t="str">
        <x:v>England and Wales</x:v>
      </x:c>
      <x:c r="J329" s="9" t="str">
        <x:v>Administrative Law</x:v>
      </x:c>
      <x:c r="K329" s="9" t="str">
        <x:v>-ew-cases-EWCA-Civ-2014-372.xml</x:v>
      </x:c>
      <x:c r="L329" s="9" t="str">
        <x:v>TBA</x:v>
      </x:c>
    </x:row>
    <x:row r="330">
      <x:c r="A330" t="str">
        <x:v>131659ad-3cf0-43e6-a89c-c5efd2b59e8b</x:v>
      </x:c>
      <x:c r="B330" t="str">
        <x:v>6796bc23-c543-43bf-bc86-0eb2378c5906</x:v>
      </x:c>
      <x:c r="C330" s="9" t="str">
        <x:v>Balogun v Boyes Sutton &amp; Perry [2015] EWCA Civ 1587</x:v>
      </x:c>
      <x:c r="D330" s="9" t="str"/>
      <x:c r="E330" s="9" t="str"/>
      <x:c r="F330" s="13" t="str">
        <x:v>2015</x:v>
      </x:c>
      <x:c r="G330" s="9" t="str">
        <x:v>England and Wales Court of Appeal (Civil Division)</x:v>
      </x:c>
      <x:c r="H330" s="9" t="str">
        <x:v>Appellate</x:v>
      </x:c>
      <x:c r="I330" s="9" t="str">
        <x:v>England and Wales</x:v>
      </x:c>
      <x:c r="J330" s="9" t="str">
        <x:v>Tort</x:v>
      </x:c>
      <x:c r="K330" s="9" t="str">
        <x:v>-ew-cases-EWCA-Civ-2015-1587.xml</x:v>
      </x:c>
      <x:c r="L330" s="9" t="str">
        <x:v>TBA</x:v>
      </x:c>
    </x:row>
    <x:row r="331">
      <x:c r="A331" t="str">
        <x:v>931a5438-0271-4c9f-8bd1-248b7e5b390e</x:v>
      </x:c>
      <x:c r="B331" t="str">
        <x:v>a113ee6c-ad76-4f05-b07b-1f74ed291724</x:v>
      </x:c>
      <x:c r="C331" s="9" t="str">
        <x:v>Balogun v Boyes Sutton and Perry (a firm) [2017] EWCA Civ 75</x:v>
      </x:c>
      <x:c r="D331" s="9" t="str"/>
      <x:c r="E331" s="9" t="str"/>
      <x:c r="F331" s="13" t="str">
        <x:v>2017</x:v>
      </x:c>
      <x:c r="G331" s="9" t="str">
        <x:v>England and Wales Court of Appeal (Civil Division)</x:v>
      </x:c>
      <x:c r="H331" s="9" t="str">
        <x:v>Appellate</x:v>
      </x:c>
      <x:c r="I331" s="9" t="str">
        <x:v>England and Wales</x:v>
      </x:c>
      <x:c r="J331" s="9" t="str">
        <x:v>Contract Dispute</x:v>
      </x:c>
      <x:c r="K331" s="9" t="str">
        <x:v>-ew-cases-EWCA-Civ-2017-75.xml</x:v>
      </x:c>
      <x:c r="L331" s="9" t="str">
        <x:v>TBA</x:v>
      </x:c>
    </x:row>
    <x:row r="332">
      <x:c r="A332" t="str">
        <x:v>6cbefdc4-5227-44cb-ac0c-ea5f33d66942</x:v>
      </x:c>
      <x:c r="B332" t="str">
        <x:v>9f7548ef-5413-4c0a-a6df-d58b9845ebfd</x:v>
      </x:c>
      <x:c r="C332" s="9" t="str">
        <x:v>Balogun v Secretary of State for the Home Department [2023] EWCA Civ 414</x:v>
      </x:c>
      <x:c r="D332" s="9" t="str"/>
      <x:c r="E332" s="9" t="str"/>
      <x:c r="F332" s="13" t="str">
        <x:v>2023</x:v>
      </x:c>
      <x:c r="G332" s="9" t="str">
        <x:v>England and Wales Court of Appeal (Civil Division)</x:v>
      </x:c>
      <x:c r="H332" s="9" t="str">
        <x:v>Court of Appeal (Civil Division)</x:v>
      </x:c>
      <x:c r="I332" s="9" t="str">
        <x:v>England and Wales</x:v>
      </x:c>
      <x:c r="J332" s="9" t="str">
        <x:v>Immigration and asylum</x:v>
      </x:c>
      <x:c r="K332" s="9" t="str">
        <x:v>ew-cases-EWCA-Civ-2023-414.xml</x:v>
      </x:c>
      <x:c r="L332" s="9" t="str">
        <x:v>TBA</x:v>
      </x:c>
    </x:row>
    <x:row r="333">
      <x:c r="A333" t="str">
        <x:v>ad531a86-c2b4-4db2-be04-6a9b4837af27</x:v>
      </x:c>
      <x:c r="B333" t="str">
        <x:v>8fd0b714-5fa9-43cf-9e51-5c74a6e3d911</x:v>
      </x:c>
      <x:c r="C333" s="9" t="str">
        <x:v>Banco Santander Totta SA v Companhia Carris De Ferro De Lisboa SA &amp; Ors [2016] EWCA Civ 1267</x:v>
      </x:c>
      <x:c r="D333" s="9" t="str"/>
      <x:c r="E333" s="9" t="str"/>
      <x:c r="F333" s="13" t="str">
        <x:v>2016</x:v>
      </x:c>
      <x:c r="G333" s="9" t="str">
        <x:v>England and Wales Court of Appeal (Civil Division)</x:v>
      </x:c>
      <x:c r="H333" s="9" t="str">
        <x:v>Court of Appeal (Civil Division)</x:v>
      </x:c>
      <x:c r="I333" s="9" t="str">
        <x:v>England and Wales</x:v>
      </x:c>
      <x:c r="J333" s="9" t="str">
        <x:v>Contract Law; Private International Law; Conflict of Laws; Financial Instruments</x:v>
      </x:c>
      <x:c r="K333" s="9" t="str">
        <x:v>-ew-cases-EWCA-Civ-2016-1267.xml</x:v>
      </x:c>
      <x:c r="L333" s="9" t="str">
        <x:v>TBA</x:v>
      </x:c>
    </x:row>
    <x:row r="334">
      <x:c r="A334" t="str">
        <x:v>fbb0e8cc-2be0-42ae-a751-3c638d119612</x:v>
      </x:c>
      <x:c r="B334" t="str">
        <x:v>ec5448de-66c8-4206-b932-a7ce151a59e8</x:v>
      </x:c>
      <x:c r="C334" s="9" t="str">
        <x:v>Bancoult, R (on the application of) v Secretary of State for Foreign &amp; Commonwealth Affairs</x:v>
      </x:c>
      <x:c r="D334" s="9" t="str"/>
      <x:c r="E334" s="9" t="str"/>
      <x:c r="F334" s="13" t="str">
        <x:v>2014</x:v>
      </x:c>
      <x:c r="G334" s="9" t="str">
        <x:v>England and Wales Court of Appeal (Civil Division)</x:v>
      </x:c>
      <x:c r="H334" s="9" t="str">
        <x:v>Appellate</x:v>
      </x:c>
      <x:c r="I334" s="9" t="str">
        <x:v>England and Wales</x:v>
      </x:c>
      <x:c r="J334" s="9" t="str">
        <x:v>Administrative Law</x:v>
      </x:c>
      <x:c r="K334" s="9" t="str">
        <x:v>-ew-cases-EWCA-Civ-2014-708.xml</x:v>
      </x:c>
      <x:c r="L334" s="9" t="str">
        <x:v>TBA</x:v>
      </x:c>
    </x:row>
    <x:row r="335">
      <x:c r="A335" t="str">
        <x:v>8b17c14a-3321-4359-93b9-0f44d84fe035</x:v>
      </x:c>
      <x:c r="B335" t="str">
        <x:v>77e9cd8d-1e39-48d0-9c07-e160cf4b3750</x:v>
      </x:c>
      <x:c r="C335" s="9" t="str">
        <x:v>Banerjee v The General Medical Council [2017] EWCA Civ 78</x:v>
      </x:c>
      <x:c r="D335" s="9" t="str"/>
      <x:c r="E335" s="9" t="str"/>
      <x:c r="F335" s="13" t="str">
        <x:v>2017</x:v>
      </x:c>
      <x:c r="G335" s="9" t="str">
        <x:v>England and Wales Court of Appeal (Civil Division)</x:v>
      </x:c>
      <x:c r="H335" s="9" t="str">
        <x:v>Appellate Court</x:v>
      </x:c>
      <x:c r="I335" s="9" t="str">
        <x:v>England and Wales</x:v>
      </x:c>
      <x:c r="J335" s="9" t="str">
        <x:v>Administrative Law</x:v>
      </x:c>
      <x:c r="K335" s="9" t="str">
        <x:v>-ew-cases-EWCA-Civ-2017-78.xml</x:v>
      </x:c>
      <x:c r="L335" s="9" t="str">
        <x:v>TBA</x:v>
      </x:c>
    </x:row>
    <x:row r="336">
      <x:c r="A336" t="str">
        <x:v>05e4ba61-5353-4fdc-b392-2456aaa02d28</x:v>
      </x:c>
      <x:c r="B336" t="str">
        <x:v>92d0dfda-f587-4a3e-bfd4-0c1e12b49032</x:v>
      </x:c>
      <x:c r="C336" s="9" t="str">
        <x:v>Bangura &amp; Anor v The Upper Tribunal (Immigration &amp; Asylum Chamber) [2016] EWCA Civ 279</x:v>
      </x:c>
      <x:c r="D336" s="9" t="str"/>
      <x:c r="E336" s="9" t="str"/>
      <x:c r="F336" s="13" t="str">
        <x:v>2016</x:v>
      </x:c>
      <x:c r="G336" s="9" t="str">
        <x:v>England and Wales Court of Appeal (Civil Division)</x:v>
      </x:c>
      <x:c r="H336" s="9" t="str">
        <x:v>Court of Appeal (Civil Division)</x:v>
      </x:c>
      <x:c r="I336" s="9" t="str">
        <x:v>England and Wales</x:v>
      </x:c>
      <x:c r="J336" s="9" t="str">
        <x:v>Judicial Review / Administrative Law (Immigration)</x:v>
      </x:c>
      <x:c r="K336" s="9" t="str">
        <x:v>-ew-cases-EWCA-Civ-2016-279.xml</x:v>
      </x:c>
      <x:c r="L336" s="9" t="str">
        <x:v>TBA</x:v>
      </x:c>
    </x:row>
    <x:row r="337">
      <x:c r="A337" t="str">
        <x:v>e139c3ba-d1c6-4910-9b93-53cc6832eab0</x:v>
      </x:c>
      <x:c r="B337" t="str">
        <x:v>65f641a4-220c-457e-901e-94e8c5a54757</x:v>
      </x:c>
      <x:c r="C337" s="9" t="str">
        <x:v>Bank Leumi (UK) Plc v Akrill [2014] EWCA Civ 907</x:v>
      </x:c>
      <x:c r="D337" s="9" t="str"/>
      <x:c r="E337" s="9" t="str"/>
      <x:c r="F337" s="13" t="str">
        <x:v>2014</x:v>
      </x:c>
      <x:c r="G337" s="9" t="str">
        <x:v>England and Wales Court of Appeal (Civil Division)</x:v>
      </x:c>
      <x:c r="H337" s="9" t="str">
        <x:v>Appellate</x:v>
      </x:c>
      <x:c r="I337" s="9" t="str">
        <x:v>England and Wales</x:v>
      </x:c>
      <x:c r="J337" s="9" t="str">
        <x:v>Contract Dispute</x:v>
      </x:c>
      <x:c r="K337" s="9" t="str">
        <x:v>-ew-cases-EWCA-Civ-2014-907.xml</x:v>
      </x:c>
      <x:c r="L337" s="9" t="str">
        <x:v>TBA</x:v>
      </x:c>
    </x:row>
    <x:row r="338">
      <x:c r="A338" t="str">
        <x:v>211697c6-71e4-4786-9906-6b0a91a7215d</x:v>
      </x:c>
      <x:c r="B338" t="str">
        <x:v>9a308fff-9dbd-49af-a8ce-8219a3874ac4</x:v>
      </x:c>
      <x:c r="C338" s="9" t="str">
        <x:v>Bank Mellat v Her Majesty's Treasury [2015] EWCA Civ 1052</x:v>
      </x:c>
      <x:c r="D338" s="9" t="str"/>
      <x:c r="E338" s="9" t="str"/>
      <x:c r="F338" s="13" t="str">
        <x:v>2015</x:v>
      </x:c>
      <x:c r="G338" s="9" t="str">
        <x:v>England and Wales Court of Appeal (Civil Division)</x:v>
      </x:c>
      <x:c r="H338" s="9" t="str">
        <x:v>Appellate Court</x:v>
      </x:c>
      <x:c r="I338" s="9" t="str">
        <x:v>England and Wales</x:v>
      </x:c>
      <x:c r="J338" s="9" t="str">
        <x:v>Administrative Law</x:v>
      </x:c>
      <x:c r="K338" s="9" t="str">
        <x:v>-ew-cases-EWCA-Civ-2015-1052.xml</x:v>
      </x:c>
      <x:c r="L338" s="9" t="str">
        <x:v>TBA</x:v>
      </x:c>
    </x:row>
    <x:row r="339">
      <x:c r="A339" t="str">
        <x:v>2e9f065c-ad4c-40b9-b796-776d9af70ba2</x:v>
      </x:c>
      <x:c r="B339" t="str">
        <x:v>b4cd9399-2156-4b0d-b987-3d131ca4a0c6</x:v>
      </x:c>
      <x:c r="C339" s="9" t="str">
        <x:v>Bank Mellat v HM Treasury [2016] EWCA Civ 452</x:v>
      </x:c>
      <x:c r="D339" s="9" t="str"/>
      <x:c r="E339" s="9" t="str"/>
      <x:c r="F339" s="13" t="str">
        <x:v>2016</x:v>
      </x:c>
      <x:c r="G339" s="9" t="str">
        <x:v>England and Wales Court of Appeal (Civil Division)</x:v>
      </x:c>
      <x:c r="H339" s="9" t="str">
        <x:v>Court of Appeal (Civil Division)</x:v>
      </x:c>
      <x:c r="I339" s="9" t="str">
        <x:v>England and Wales</x:v>
      </x:c>
      <x:c r="J339" s="9" t="str">
        <x:v>Civil / Public Law / Human Rights</x:v>
      </x:c>
      <x:c r="K339" s="9" t="str">
        <x:v>-ew-cases-EWCA-Civ-2016-452.xml</x:v>
      </x:c>
      <x:c r="L339" s="9" t="str">
        <x:v>TBA</x:v>
      </x:c>
    </x:row>
    <x:row r="340">
      <x:c r="A340" t="str">
        <x:v>14646ce2-9868-4b19-9e9d-7eb06513075b</x:v>
      </x:c>
      <x:c r="B340" t="str">
        <x:v>00167e1d-845c-4a1d-b17c-1c91c10b2c37</x:v>
      </x:c>
      <x:c r="C340" s="9" t="str">
        <x:v>Bank of New York Mellon (International) Limited v Cine-UK Limited [2022] EWCA Civ 1021</x:v>
      </x:c>
      <x:c r="D340" s="9" t="str"/>
      <x:c r="E340" s="9" t="str"/>
      <x:c r="F340" s="13" t="str">
        <x:v>2022</x:v>
      </x:c>
      <x:c r="G340" s="9" t="str">
        <x:v>England and Wales Court of Appeal (Civil Division)</x:v>
      </x:c>
      <x:c r="H340" s="9" t="str">
        <x:v>Court of Appeal (Civil Division)</x:v>
      </x:c>
      <x:c r="I340" s="9" t="str">
        <x:v>England and Wales</x:v>
      </x:c>
      <x:c r="J340" s="9" t="str">
        <x:v>Contract Dispute; Leases; Landlord-Tenant; Commercial leases; Real property</x:v>
      </x:c>
      <x:c r="K340" s="9" t="str">
        <x:v>ew-cases-EWCA-Civ-2022-1021.xml</x:v>
      </x:c>
      <x:c r="L340" s="9" t="str">
        <x:v>TBA</x:v>
      </x:c>
    </x:row>
    <x:row r="341">
      <x:c r="A341" t="str">
        <x:v>10139695-95b7-4bdd-a7bc-924b9367ad4a</x:v>
      </x:c>
      <x:c r="B341" t="str">
        <x:v>82123a67-19f4-4ea1-ad74-b5b3a2828421</x:v>
      </x:c>
      <x:c r="C341" s="9" t="str">
        <x:v>Bank of Scotland Plc v Hurst [2015] EWCA Civ 1451</x:v>
      </x:c>
      <x:c r="D341" s="9" t="str"/>
      <x:c r="E341" s="9" t="str"/>
      <x:c r="F341" s="13" t="str">
        <x:v>2015</x:v>
      </x:c>
      <x:c r="G341" s="9" t="str">
        <x:v>England and Wales Court of Appeal (Civil Division)</x:v>
      </x:c>
      <x:c r="H341" s="9" t="str">
        <x:v>Appellate</x:v>
      </x:c>
      <x:c r="I341" s="9" t="str">
        <x:v>England and Wales</x:v>
      </x:c>
      <x:c r="J341" s="9" t="str">
        <x:v>Civil Procedure</x:v>
      </x:c>
      <x:c r="K341" s="9" t="str">
        <x:v>-ew-cases-EWCA-Civ-2015-1451.xml</x:v>
      </x:c>
      <x:c r="L341" s="9" t="str">
        <x:v>TBA</x:v>
      </x:c>
    </x:row>
    <x:row r="342">
      <x:c r="A342" t="str">
        <x:v>c8049ab5-596d-4452-b76a-07e2240c8665</x:v>
      </x:c>
      <x:c r="B342" t="str">
        <x:v>50968bde-cfcc-401f-bf69-0b55894a3fc1</x:v>
      </x:c>
      <x:c r="C342" s="9" t="str">
        <x:v>Bank of Scotland Plc v Joseph &amp; Ors [2014] EWCA Civ 28</x:v>
      </x:c>
      <x:c r="D342" s="9" t="str"/>
      <x:c r="E342" s="9" t="str"/>
      <x:c r="F342" s="13" t="str">
        <x:v>2014</x:v>
      </x:c>
      <x:c r="G342" s="9" t="str">
        <x:v>England and Wales Court of Appeal (Civil Division)</x:v>
      </x:c>
      <x:c r="H342" s="9" t="str">
        <x:v>appellate</x:v>
      </x:c>
      <x:c r="I342" s="9" t="str">
        <x:v>England and Wales</x:v>
      </x:c>
      <x:c r="J342" s="9" t="str">
        <x:v>Property Law</x:v>
      </x:c>
      <x:c r="K342" s="9" t="str">
        <x:v>-ew-cases-EWCA-Civ-2014-28.xml</x:v>
      </x:c>
      <x:c r="L342" s="9" t="str">
        <x:v>TBA</x:v>
      </x:c>
    </x:row>
    <x:row r="343">
      <x:c r="A343" t="str">
        <x:v>b6a7ba23-80ba-4097-9081-873ada0e9a1d</x:v>
      </x:c>
      <x:c r="B343" t="str">
        <x:v>f009a456-b5c0-424b-ae5b-4e338f940a40</x:v>
      </x:c>
      <x:c r="C343" s="9" t="str">
        <x:v>Bank St Petersburg Ojsc &amp; Anor v Arkhangelsky &amp; Ors (Rev 1) [2014] EWCA Civ 593</x:v>
      </x:c>
      <x:c r="D343" s="9" t="str"/>
      <x:c r="E343" s="9" t="str"/>
      <x:c r="F343" s="13" t="str">
        <x:v>2014</x:v>
      </x:c>
      <x:c r="G343" s="9" t="str">
        <x:v>England and Wales Court of Appeal (Civil Division)</x:v>
      </x:c>
      <x:c r="H343" s="9" t="str">
        <x:v>Appellate</x:v>
      </x:c>
      <x:c r="I343" s="9" t="str">
        <x:v>England and Wales</x:v>
      </x:c>
      <x:c r="J343" s="9" t="str">
        <x:v>Civil Law</x:v>
      </x:c>
      <x:c r="K343" s="9" t="str">
        <x:v>-ew-cases-EWCA-Civ-2014-593.xml</x:v>
      </x:c>
      <x:c r="L343" s="9" t="str">
        <x:v>TBA</x:v>
      </x:c>
    </x:row>
    <x:row r="344">
      <x:c r="A344" t="str">
        <x:v>dec0bc48-12e6-4743-94f8-d823a9f8b170</x:v>
      </x:c>
      <x:c r="B344" t="str">
        <x:v>86019b8f-a5ed-490e-b697-18936cf896a6</x:v>
      </x:c>
      <x:c r="C344" s="9" t="str">
        <x:v>Bank St Petersburg PJSC &amp; Anor v Arkhangelsky &amp; Anor</x:v>
      </x:c>
      <x:c r="D344" s="9" t="str"/>
      <x:c r="E344" s="9" t="str"/>
      <x:c r="F344" s="13" t="str">
        <x:v>2020</x:v>
      </x:c>
      <x:c r="G344" s="9" t="str">
        <x:v>England and Wales Court of Appeal (Civil Division)</x:v>
      </x:c>
      <x:c r="H344" s="9" t="str">
        <x:v>Appellate</x:v>
      </x:c>
      <x:c r="I344" s="9" t="str">
        <x:v>England and Wales</x:v>
      </x:c>
      <x:c r="J344" s="9" t="str">
        <x:v>Civil Appeal</x:v>
      </x:c>
      <x:c r="K344" s="9" t="str">
        <x:v>PT_EWCA-Civ_2020_408.xml</x:v>
      </x:c>
      <x:c r="L344" s="9" t="str">
        <x:v>TBA</x:v>
      </x:c>
    </x:row>
    <x:row r="345">
      <x:c r="A345" t="str">
        <x:v>cadfc197-08e3-43a1-99a3-135f218eb7df</x:v>
      </x:c>
      <x:c r="B345" t="str">
        <x:v>3ddde38d-93a5-48ed-b980-3e55cdebad1e</x:v>
      </x:c>
      <x:c r="C345" s="9" t="str">
        <x:v>Bank St Petersburg PJSC &amp; Anor v Arkhangelsky &amp; Ors [2015] EWCA Civ 1420</x:v>
      </x:c>
      <x:c r="D345" s="9" t="str"/>
      <x:c r="E345" s="9" t="str"/>
      <x:c r="F345" s="13" t="str">
        <x:v>2015</x:v>
      </x:c>
      <x:c r="G345" s="9" t="str">
        <x:v>England and Wales Court of Appeal (Civil Division)</x:v>
      </x:c>
      <x:c r="H345" s="9" t="str">
        <x:v>Appellate</x:v>
      </x:c>
      <x:c r="I345" s="9" t="str">
        <x:v>England and Wales</x:v>
      </x:c>
      <x:c r="J345" s="9" t="str">
        <x:v>Civil Procedure</x:v>
      </x:c>
      <x:c r="K345" s="9" t="str">
        <x:v>-ew-cases-EWCA-Civ-2015-1420.xml</x:v>
      </x:c>
      <x:c r="L345" s="9" t="str">
        <x:v>TBA</x:v>
      </x:c>
    </x:row>
    <x:row r="346">
      <x:c r="A346" t="str">
        <x:v>a8a9fb89-49e0-4cf5-9e52-d50613bc4045</x:v>
      </x:c>
      <x:c r="B346" t="str">
        <x:v>56c4205c-4ca8-4bf8-a200-9b531c637394</x:v>
      </x:c>
      <x:c r="C346" s="9" t="str">
        <x:v>Banks v Cadwalladr (Rev1) [2023] EWCA Civ 219</x:v>
      </x:c>
      <x:c r="D346" s="9" t="str"/>
      <x:c r="E346" s="9" t="str"/>
      <x:c r="F346" s="13" t="str">
        <x:v>2023</x:v>
      </x:c>
      <x:c r="G346" s="9" t="str">
        <x:v>England and Wales Court of Appeal (Civil Division)</x:v>
      </x:c>
      <x:c r="H346" s="9" t="str">
        <x:v>Court of Appeal (Civil Division)</x:v>
      </x:c>
      <x:c r="I346" s="9" t="str">
        <x:v>England and Wales</x:v>
      </x:c>
      <x:c r="J346" s="9" t="str">
        <x:v>Civil Defamation; Appeal</x:v>
      </x:c>
      <x:c r="K346" s="9" t="str">
        <x:v>ew-cases-EWCA-Civ-2023-219.xml</x:v>
      </x:c>
      <x:c r="L346" s="9" t="str">
        <x:v>TBA</x:v>
      </x:c>
    </x:row>
    <x:row r="347">
      <x:c r="A347" t="str">
        <x:v>ba111de4-0975-41a9-b8bd-51a29deb5332</x:v>
      </x:c>
      <x:c r="B347" t="str">
        <x:v>d766a925-96e8-49fc-8c7f-26e68bd37373</x:v>
      </x:c>
      <x:c r="C347" s="9" t="str">
        <x:v>Banks v Revenue And Customs [2021] EWCA Civ 1439</x:v>
      </x:c>
      <x:c r="D347" s="9" t="str"/>
      <x:c r="E347" s="9" t="str"/>
      <x:c r="F347" s="13" t="str">
        <x:v>2021</x:v>
      </x:c>
      <x:c r="G347" s="9" t="str">
        <x:v>England and Wales Court of Appeal (Civil Division)</x:v>
      </x:c>
      <x:c r="H347" s="9" t="str">
        <x:v>Appellate</x:v>
      </x:c>
      <x:c r="I347" s="9" t="str">
        <x:v>England and Wales</x:v>
      </x:c>
      <x:c r="J347" s="9" t="str">
        <x:v>Tax Law</x:v>
      </x:c>
      <x:c r="K347" s="9" t="str">
        <x:v>ew-cases-EWCA-Civ-2021-1439.xml</x:v>
      </x:c>
      <x:c r="L347" s="9" t="str">
        <x:v>TBA</x:v>
      </x:c>
    </x:row>
    <x:row r="348">
      <x:c r="A348" t="str">
        <x:v>40523c1f-708f-44ac-ac84-65b975cf7512</x:v>
      </x:c>
      <x:c r="B348" t="str">
        <x:v>2a8814e6-52cb-4fce-aff2-3bae83c3b9b9</x:v>
      </x:c>
      <x:c r="C348" s="9" t="str">
        <x:v>Banwaitt v Dewji [2014] EWCA Civ 67</x:v>
      </x:c>
      <x:c r="D348" s="9" t="str"/>
      <x:c r="E348" s="9" t="str"/>
      <x:c r="F348" s="13" t="str">
        <x:v>2014</x:v>
      </x:c>
      <x:c r="G348" s="9" t="str">
        <x:v>England and Wales Court of Appeal (Civil Division)</x:v>
      </x:c>
      <x:c r="H348" s="9" t="str">
        <x:v>Appellate</x:v>
      </x:c>
      <x:c r="I348" s="9" t="str">
        <x:v>England and Wales</x:v>
      </x:c>
      <x:c r="J348" s="9" t="str">
        <x:v>Contract Dispute</x:v>
      </x:c>
      <x:c r="K348" s="9" t="str">
        <x:v>-ew-cases-EWCA-Civ-2014-67.xml</x:v>
      </x:c>
      <x:c r="L348" s="9" t="str">
        <x:v>TBA</x:v>
      </x:c>
    </x:row>
    <x:row r="349">
      <x:c r="A349" t="str">
        <x:v>26a20482-347b-4836-9aa9-5a40af7774c6</x:v>
      </x:c>
      <x:c r="B349" t="str">
        <x:v>40579ae4-b1f9-445e-be2c-1618d5e8d305</x:v>
      </x:c>
      <x:c r="C349" s="9" t="str">
        <x:v>Baptie v The Royal Borough of Kingston Upon Thames [2022] EWCA Civ 888</x:v>
      </x:c>
      <x:c r="D349" s="9" t="str"/>
      <x:c r="E349" s="9" t="str"/>
      <x:c r="F349" s="13" t="str">
        <x:v>2022</x:v>
      </x:c>
      <x:c r="G349" s="9" t="str">
        <x:v>England and Wales Court of Appeal (Civil Division)</x:v>
      </x:c>
      <x:c r="H349" s="9" t="str">
        <x:v>Court of Appeal (Civil Division)</x:v>
      </x:c>
      <x:c r="I349" s="9" t="str">
        <x:v>England and Wales</x:v>
      </x:c>
      <x:c r="J349" s="9" t="str">
        <x:v>Public Law / Housing</x:v>
      </x:c>
      <x:c r="K349" s="9" t="str">
        <x:v>ew-cases-EWCA-Civ-2022-888.xml</x:v>
      </x:c>
      <x:c r="L349" s="9" t="str">
        <x:v>TBA</x:v>
      </x:c>
    </x:row>
    <x:row r="350">
      <x:c r="A350" t="str">
        <x:v>f929c34c-efb3-4ff9-9c10-4d1c0324e93d</x:v>
      </x:c>
      <x:c r="B350" t="str">
        <x:v>2df233af-271d-49ca-83cb-7cf995beb577</x:v>
      </x:c>
      <x:c r="C350" s="9" t="str">
        <x:v>Bar Standards Board, R (On the Application Of) v Disciplinary Tribunal of the Council of the Inns of Court [2016] EWCA Civ 478</x:v>
      </x:c>
      <x:c r="D350" s="9" t="str"/>
      <x:c r="E350" s="9" t="str"/>
      <x:c r="F350" s="13" t="str">
        <x:v>2016</x:v>
      </x:c>
      <x:c r="G350" s="9" t="str">
        <x:v>England and Wales Court of Appeal (Civil Division)</x:v>
      </x:c>
      <x:c r="H350" s="9" t="str">
        <x:v>Court of Appeal (Civil Division)</x:v>
      </x:c>
      <x:c r="I350" s="9" t="str">
        <x:v>England and Wales</x:v>
      </x:c>
      <x:c r="J350" s="9" t="str">
        <x:v>Costs and Procedure; Professional Regulation; Judicial Review</x:v>
      </x:c>
      <x:c r="K350" s="9" t="str">
        <x:v>-ew-cases-EWCA-Civ-2016-478.xml</x:v>
      </x:c>
      <x:c r="L350" s="9" t="str">
        <x:v>TBA</x:v>
      </x:c>
    </x:row>
    <x:row r="351">
      <x:c r="A351" t="str">
        <x:v>aaf7a5f9-cd44-43de-a105-499fb88848f3</x:v>
      </x:c>
      <x:c r="B351" t="str">
        <x:v>0e8b6187-21fe-40cb-933a-7a6c8e0ba3f5</x:v>
      </x:c>
      <x:c r="C351" s="9" t="str">
        <x:v>Barclay-Watt &amp; Ors v Alpha Panareti Public Ltd &amp; Anor [2022] EWCA Civ 1169</x:v>
      </x:c>
      <x:c r="D351" s="9" t="str"/>
      <x:c r="E351" s="9" t="str"/>
      <x:c r="F351" s="13" t="str">
        <x:v>2022</x:v>
      </x:c>
      <x:c r="G351" s="9" t="str">
        <x:v>England and Wales Court of Appeal (Civil Division)</x:v>
      </x:c>
      <x:c r="H351" s="9" t="str">
        <x:v>Court of Appeal (Civil Division)</x:v>
      </x:c>
      <x:c r="I351" s="9" t="str">
        <x:v>England and Wales</x:v>
      </x:c>
      <x:c r="J351" s="9" t="str">
        <x:v>Tort - Misrepresentation, Negligence; Corporate/Director liability; Accessory liability</x:v>
      </x:c>
      <x:c r="K351" s="9" t="str">
        <x:v>ew-cases-EWCA-Civ-2022-1169.xml</x:v>
      </x:c>
      <x:c r="L351" s="9" t="str">
        <x:v>TBA</x:v>
      </x:c>
    </x:row>
    <x:row r="352">
      <x:c r="A352" t="str">
        <x:v>8d5baa07-c06b-413c-a373-8794812467af</x:v>
      </x:c>
      <x:c r="B352" t="str">
        <x:v>c98d7435-62c8-4548-91ad-6d5868634836</x:v>
      </x:c>
      <x:c r="C352" s="9" t="str">
        <x:v>Barclays Bank Plc v Ente Nazionale di Previdenza ed Assistenza dei Medici e degli Odontoiatri</x:v>
      </x:c>
      <x:c r="D352" s="9" t="str"/>
      <x:c r="E352" s="9" t="str"/>
      <x:c r="F352" s="13" t="str">
        <x:v>2016</x:v>
      </x:c>
      <x:c r="G352" s="9" t="str">
        <x:v>England and Wales Court of Appeal (Civil Division)</x:v>
      </x:c>
      <x:c r="H352" s="9" t="str">
        <x:v>Court of Appeal</x:v>
      </x:c>
      <x:c r="I352" s="9" t="str">
        <x:v>England and Wales</x:v>
      </x:c>
      <x:c r="J352" s="9" t="str">
        <x:v>International Jurisdiction / Conflict of Laws (Judgments Regulation) / Contract</x:v>
      </x:c>
      <x:c r="K352" s="9" t="str">
        <x:v>-ew-cases-EWCA-Civ-2016-1261.xml</x:v>
      </x:c>
      <x:c r="L352" s="9" t="str">
        <x:v>TBA</x:v>
      </x:c>
    </x:row>
    <x:row r="353">
      <x:c r="A353" t="str">
        <x:v>d4387f99-efb1-439c-b71b-e4c959cf52da</x:v>
      </x:c>
      <x:c r="B353" t="str">
        <x:v>56e09c75-068c-4c99-b3ce-8b6bef4b8d07</x:v>
      </x:c>
      <x:c r="C353" s="9" t="str">
        <x:v>Barclays Bank Plc v Unicredit Bank Ag &amp; Anor [2014] EWCA Civ 302</x:v>
      </x:c>
      <x:c r="D353" s="9" t="str"/>
      <x:c r="E353" s="9" t="str"/>
      <x:c r="F353" s="13" t="str">
        <x:v>2014</x:v>
      </x:c>
      <x:c r="G353" s="9" t="str">
        <x:v>England and Wales Court of Appeal (Civil Division)</x:v>
      </x:c>
      <x:c r="H353" s="9" t="str">
        <x:v>Appellate</x:v>
      </x:c>
      <x:c r="I353" s="9" t="str">
        <x:v>England and Wales</x:v>
      </x:c>
      <x:c r="J353" s="9" t="str">
        <x:v>Contract Dispute</x:v>
      </x:c>
      <x:c r="K353" s="9" t="str">
        <x:v>-ew-cases-EWCA-Civ-2014-302.xml</x:v>
      </x:c>
      <x:c r="L353" s="9" t="str">
        <x:v>TBA</x:v>
      </x:c>
    </x:row>
    <x:row r="354">
      <x:c r="A354" t="str">
        <x:v>9250be42-6eb4-4815-ae88-9e514d923668</x:v>
      </x:c>
      <x:c r="B354" t="str">
        <x:v>06d995ff-1f8e-4eac-8b66-6d3bc3f40386</x:v>
      </x:c>
      <x:c r="C354" s="9" t="str">
        <x:v>Barclays Wealth Trustees (Jersey) Ltd v Revenue And Customs</x:v>
      </x:c>
      <x:c r="D354" s="9" t="str"/>
      <x:c r="E354" s="9" t="str"/>
      <x:c r="F354" s="13" t="str">
        <x:v>2017</x:v>
      </x:c>
      <x:c r="G354" s="9" t="str">
        <x:v>England and Wales Court of Appeal (Civil Division)</x:v>
      </x:c>
      <x:c r="H354" s="9" t="str">
        <x:v>Appellate</x:v>
      </x:c>
      <x:c r="I354" s="9" t="str">
        <x:v>England and Wales</x:v>
      </x:c>
      <x:c r="J354" s="9" t="str">
        <x:v>Tax Law</x:v>
      </x:c>
      <x:c r="K354" s="9" t="str">
        <x:v>-ew-cases-EWCA-Civ-2017-1512.xml</x:v>
      </x:c>
      <x:c r="L354" s="9" t="str">
        <x:v>TBA</x:v>
      </x:c>
    </x:row>
    <x:row r="355">
      <x:c r="A355" t="str">
        <x:v>49b201ea-3823-4da5-b05d-779f09e6413d</x:v>
      </x:c>
      <x:c r="B355" t="str">
        <x:v>bb52ee0e-510f-47b7-86fc-020bbda6c8af</x:v>
      </x:c>
      <x:c r="C355" s="9" t="str">
        <x:v>Barker v Baxendale Walker Solicitors (a firm) &amp; Anor</x:v>
      </x:c>
      <x:c r="D355" s="9" t="str"/>
      <x:c r="E355" s="9" t="str"/>
      <x:c r="F355" s="13" t="str">
        <x:v>2017</x:v>
      </x:c>
      <x:c r="G355" s="9" t="str">
        <x:v>England and Wales Court of Appeal (Civil Division)</x:v>
      </x:c>
      <x:c r="H355" s="9" t="str">
        <x:v>Appellate</x:v>
      </x:c>
      <x:c r="I355" s="9" t="str">
        <x:v>England and Wales</x:v>
      </x:c>
      <x:c r="J355" s="9" t="str">
        <x:v>Professional Negligence</x:v>
      </x:c>
      <x:c r="K355" s="9" t="str">
        <x:v>-ew-cases-EWCA-Civ-2017-2056.xml</x:v>
      </x:c>
      <x:c r="L355" s="9" t="str">
        <x:v>TBA</x:v>
      </x:c>
    </x:row>
    <x:row r="356">
      <x:c r="A356" t="str">
        <x:v>ff8233c5-9834-4102-8a6d-59704cd40a57</x:v>
      </x:c>
      <x:c r="B356" t="str">
        <x:v>e3db5746-be22-4b88-a090-a4cbf8d7a897</x:v>
      </x:c>
      <x:c r="C356" s="9" t="str">
        <x:v>Barnardo's &amp; Ors v Buckinghamshire &amp; Ors [2016] EWCA Civ 1064 (2 November 2016)</x:v>
      </x:c>
      <x:c r="D356" s="9" t="str"/>
      <x:c r="E356" s="9" t="str"/>
      <x:c r="F356" s="13" t="str">
        <x:v>2016</x:v>
      </x:c>
      <x:c r="G356" s="9" t="str">
        <x:v>England and Wales Court of Appeal (Civil Division)</x:v>
      </x:c>
      <x:c r="H356" s="9" t="str">
        <x:v>Court of Appeal (Civil Division)</x:v>
      </x:c>
      <x:c r="I356" s="9" t="str">
        <x:v>England and Wales</x:v>
      </x:c>
      <x:c r="J356" s="9" t="str">
        <x:v>Pension Law / Trusts and Schemes / Statutory Interpretation</x:v>
      </x:c>
      <x:c r="K356" s="9" t="str">
        <x:v>-ew-cases-EWCA-Civ-2016-1064.xml</x:v>
      </x:c>
      <x:c r="L356" s="9" t="str">
        <x:v>TBA</x:v>
      </x:c>
    </x:row>
    <x:row r="357">
      <x:c r="A357" t="str">
        <x:v>183775c8-87e6-4e65-b400-97e5fb927e61</x:v>
      </x:c>
      <x:c r="B357" t="str">
        <x:v>ee6d167b-5778-437c-971b-bf278702b390</x:v>
      </x:c>
      <x:c r="C357" s="9" t="str">
        <x:v>Barnes v HM Revenue and Customs [2014] EWCA Civ 31</x:v>
      </x:c>
      <x:c r="D357" s="9" t="str"/>
      <x:c r="E357" s="9" t="str"/>
      <x:c r="F357" s="13" t="str">
        <x:v>2014</x:v>
      </x:c>
      <x:c r="G357" s="9" t="str">
        <x:v>England and Wales Court of Appeal (Civil Division)</x:v>
      </x:c>
      <x:c r="H357" s="9" t="str">
        <x:v>appellate</x:v>
      </x:c>
      <x:c r="I357" s="9" t="str">
        <x:v>England and Wales</x:v>
      </x:c>
      <x:c r="J357" s="9" t="str">
        <x:v>Taxation</x:v>
      </x:c>
      <x:c r="K357" s="9" t="str">
        <x:v>-ew-cases-EWCA-Civ-2014-31.xml</x:v>
      </x:c>
      <x:c r="L357" s="9" t="str">
        <x:v>TBA</x:v>
      </x:c>
    </x:row>
    <x:row r="358">
      <x:c r="A358" t="str">
        <x:v>d7254802-a608-420f-beaa-e7233e411e32</x:v>
      </x:c>
      <x:c r="B358" t="str">
        <x:v>f23c3571-33ba-4a67-b917-2c6f40b74593</x:v>
      </x:c>
      <x:c r="C358" s="9" t="str">
        <x:v>Barnes v London Borough of Lewisham [2016] EWCA Civ 582</x:v>
      </x:c>
      <x:c r="D358" s="9" t="str"/>
      <x:c r="E358" s="9" t="str"/>
      <x:c r="F358" s="13" t="str">
        <x:v>2016</x:v>
      </x:c>
      <x:c r="G358" s="9" t="str">
        <x:v>England and Wales Court of Appeal (Civil Division)</x:v>
      </x:c>
      <x:c r="H358" s="9" t="str">
        <x:v>Court of Appeal (Civil Division)</x:v>
      </x:c>
      <x:c r="I358" s="9" t="str">
        <x:v>England and Wales</x:v>
      </x:c>
      <x:c r="J358" s="9" t="str">
        <x:v>Employment Law / Appellate Review</x:v>
      </x:c>
      <x:c r="K358" s="9" t="str">
        <x:v>-ew-cases-EWCA-Civ-2016-582.xml</x:v>
      </x:c>
      <x:c r="L358" s="9" t="str">
        <x:v>TBA</x:v>
      </x:c>
    </x:row>
    <x:row r="359">
      <x:c r="A359" t="str">
        <x:v>4fe9c838-7fda-429c-833f-d37b9c2f591a</x:v>
      </x:c>
      <x:c r="B359" t="str">
        <x:v>e182fab2-c427-495f-acba-7921ceac1430</x:v>
      </x:c>
      <x:c r="C359" s="9" t="str">
        <x:v>Barnes v Phillips [2015] EWCA Civ 1056</x:v>
      </x:c>
      <x:c r="D359" s="9" t="str"/>
      <x:c r="E359" s="9" t="str"/>
      <x:c r="F359" s="13" t="str">
        <x:v>2015</x:v>
      </x:c>
      <x:c r="G359" s="9" t="str">
        <x:v>England and Wales Court of Appeal (Civil Division)</x:v>
      </x:c>
      <x:c r="H359" s="9" t="str">
        <x:v>Appellate</x:v>
      </x:c>
      <x:c r="I359" s="9" t="str">
        <x:v>England and Wales</x:v>
      </x:c>
      <x:c r="J359" s="9" t="str">
        <x:v>Property Law</x:v>
      </x:c>
      <x:c r="K359" s="9" t="str">
        <x:v>-ew-cases-EWCA-Civ-2015-1056.xml</x:v>
      </x:c>
      <x:c r="L359" s="9" t="str">
        <x:v>TBA</x:v>
      </x:c>
    </x:row>
    <x:row r="360">
      <x:c r="A360" t="str">
        <x:v>8087d225-7798-4449-890a-cf0a277f6902</x:v>
      </x:c>
      <x:c r="B360" t="str">
        <x:v>9db7314f-f3aa-45bb-8ca3-e3d60be37b5c</x:v>
      </x:c>
      <x:c r="C360" s="9" t="str">
        <x:v>Barnett v Medway NHS Foundation Trust [2017] EWCA Civ 235</x:v>
      </x:c>
      <x:c r="D360" s="9" t="str"/>
      <x:c r="E360" s="9" t="str"/>
      <x:c r="F360" s="13" t="str">
        <x:v>2017</x:v>
      </x:c>
      <x:c r="G360" s="9" t="str">
        <x:v>England and Wales Court of Appeal (Civil Division)</x:v>
      </x:c>
      <x:c r="H360" s="9" t="str">
        <x:v>Appellate</x:v>
      </x:c>
      <x:c r="I360" s="9" t="str">
        <x:v>England and Wales</x:v>
      </x:c>
      <x:c r="J360" s="9" t="str">
        <x:v>Negligence</x:v>
      </x:c>
      <x:c r="K360" s="9" t="str">
        <x:v>-ew-cases-EWCA-Civ-2017-235.xml</x:v>
      </x:c>
      <x:c r="L360" s="9" t="str">
        <x:v>TBA</x:v>
      </x:c>
    </x:row>
    <x:row r="361">
      <x:c r="A361" t="str">
        <x:v>72738d0b-5dea-4e3c-8e0f-6b7b7501c83f</x:v>
      </x:c>
      <x:c r="B361" t="str">
        <x:v>3b5a5d99-fa11-4f41-8c87-d7c8d17b738a</x:v>
      </x:c>
      <x:c r="C361" s="9" t="str">
        <x:v>Barney-Smith &amp; Anor v Tonbridge and Malling Borough Council [2016] EWCA Civ 1264</x:v>
      </x:c>
      <x:c r="D361" s="9" t="str"/>
      <x:c r="E361" s="9" t="str"/>
      <x:c r="F361" s="13" t="str">
        <x:v>2016</x:v>
      </x:c>
      <x:c r="G361" s="9" t="str">
        <x:v>England and Wales Court of Appeal (Civil Division)</x:v>
      </x:c>
      <x:c r="H361" s="9" t="str">
        <x:v>Court of Appeal (Civil Division)</x:v>
      </x:c>
      <x:c r="I361" s="9" t="str">
        <x:v>England and Wales</x:v>
      </x:c>
      <x:c r="J361" s="9" t="str">
        <x:v>Planning Law / Administrative Law</x:v>
      </x:c>
      <x:c r="K361" s="9" t="str">
        <x:v>-ew-cases-EWCA-Civ-2016-1264.xml</x:v>
      </x:c>
      <x:c r="L361" s="9" t="str">
        <x:v>TBA</x:v>
      </x:c>
    </x:row>
    <x:row r="362">
      <x:c r="A362" t="str">
        <x:v>ced665f2-2501-4ea5-85b9-86f2012c808a</x:v>
      </x:c>
      <x:c r="B362" t="str">
        <x:v>8c2741c2-7eeb-471a-91de-bc6accd97a3c</x:v>
      </x:c>
      <x:c r="C362" s="9" t="str">
        <x:v>Barnsley &amp; Ors v Noble (Rev1) [2016] EWCA Civ 799 (Court of Appeal, Civil Division)</x:v>
      </x:c>
      <x:c r="D362" s="9" t="str"/>
      <x:c r="E362" s="9" t="str"/>
      <x:c r="F362" s="13" t="str">
        <x:v>2016</x:v>
      </x:c>
      <x:c r="G362" s="9" t="str">
        <x:v>Court of Appeal (Civil Division), England and Wales</x:v>
      </x:c>
      <x:c r="H362" s="9" t="str">
        <x:v>Court of Appeal (Civil Division)</x:v>
      </x:c>
      <x:c r="I362" s="9" t="str">
        <x:v>England and Wales</x:v>
      </x:c>
      <x:c r="J362" s="9" t="str">
        <x:v>Contract/Trusts; Fiduciary Duty; Will interpretation; Exoneration clauses</x:v>
      </x:c>
      <x:c r="K362" s="9" t="str">
        <x:v>-ew-cases-EWCA-Civ-2016-799.xml</x:v>
      </x:c>
      <x:c r="L362" s="9" t="str">
        <x:v>TBA</x:v>
      </x:c>
    </x:row>
    <x:row r="363">
      <x:c r="A363" t="str">
        <x:v>c41215a6-4d99-4d5e-b49d-3f11fe82bb0f</x:v>
      </x:c>
      <x:c r="B363" t="str">
        <x:v>b89e7355-a3c5-4910-8e28-e3245f87366e</x:v>
      </x:c>
      <x:c r="C363" s="9" t="str">
        <x:v>Barnsley &amp; Ors v Noble [2015] EWCA Civ 875</x:v>
      </x:c>
      <x:c r="D363" s="9" t="str"/>
      <x:c r="E363" s="9" t="str"/>
      <x:c r="F363" s="13" t="str">
        <x:v>2015</x:v>
      </x:c>
      <x:c r="G363" s="9" t="str">
        <x:v>England and Wales Court of Appeal (Civil Division)</x:v>
      </x:c>
      <x:c r="H363" s="9" t="str">
        <x:v>Appellate</x:v>
      </x:c>
      <x:c r="I363" s="9" t="str">
        <x:v>England and Wales</x:v>
      </x:c>
      <x:c r="J363" s="9" t="str">
        <x:v>Trusts and Estates</x:v>
      </x:c>
      <x:c r="K363" s="9" t="str">
        <x:v>-ew-cases-EWCA-Civ-2015-875.xml</x:v>
      </x:c>
      <x:c r="L363" s="9" t="str">
        <x:v>TBA</x:v>
      </x:c>
    </x:row>
    <x:row r="364">
      <x:c r="A364" t="str">
        <x:v>0eb9c0d1-ffdb-464b-83b2-700dd3a367d1</x:v>
      </x:c>
      <x:c r="B364" t="str">
        <x:v>efbb7c17-110d-4e5d-a824-48fc8679cd57</x:v>
      </x:c>
      <x:c r="C364" s="9" t="str">
        <x:v>Barnwell Manor Wind Energy Ltd v East Northamptonshire District Council &amp; Ors</x:v>
      </x:c>
      <x:c r="D364" s="9" t="str"/>
      <x:c r="E364" s="9" t="str"/>
      <x:c r="F364" s="13" t="str">
        <x:v>2014</x:v>
      </x:c>
      <x:c r="G364" s="9" t="str">
        <x:v>England and Wales Court of Appeal (Civil Division)</x:v>
      </x:c>
      <x:c r="H364" s="9" t="str">
        <x:v>Appellate</x:v>
      </x:c>
      <x:c r="I364" s="9" t="str">
        <x:v>England and Wales</x:v>
      </x:c>
      <x:c r="J364" s="9" t="str">
        <x:v>Administrative Law</x:v>
      </x:c>
      <x:c r="K364" s="9" t="str">
        <x:v>-ew-cases-EWCA-Civ-2014-137.xml</x:v>
      </x:c>
      <x:c r="L364" s="9" t="str">
        <x:v>TBA</x:v>
      </x:c>
    </x:row>
    <x:row r="365">
      <x:c r="A365" t="str">
        <x:v>61b1f1ef-c468-4243-a58a-244ae82f6872</x:v>
      </x:c>
      <x:c r="B365" t="str">
        <x:v>fedec875-ddd6-4963-a87e-f063b6cae436</x:v>
      </x:c>
      <x:c r="C365" s="9" t="str">
        <x:v>Barons Bridging Finance 1 Limited &amp; Ors v Barons Finance Limited (In Liquidation) [2016] EWCA Civ 550</x:v>
      </x:c>
      <x:c r="D365" s="9" t="str"/>
      <x:c r="E365" s="9" t="str"/>
      <x:c r="F365" s="13" t="str">
        <x:v>2016</x:v>
      </x:c>
      <x:c r="G365" s="9" t="str">
        <x:v>England and Wales Court of Appeal (Civil Division)</x:v>
      </x:c>
      <x:c r="H365" s="9" t="str">
        <x:v>Court of Appeal (Civil Division)</x:v>
      </x:c>
      <x:c r="I365" s="9" t="str">
        <x:v>England and Wales</x:v>
      </x:c>
      <x:c r="J365" s="9" t="str">
        <x:v>Insolvency/Contract/Procedural Fairness</x:v>
      </x:c>
      <x:c r="K365" s="9" t="str">
        <x:v>-ew-cases-EWCA-Civ-2016-550.xml</x:v>
      </x:c>
      <x:c r="L365" s="9" t="str">
        <x:v>TBA</x:v>
      </x:c>
    </x:row>
    <x:row r="366">
      <x:c r="A366" t="str">
        <x:v>5d637fde-3e68-4724-9424-d32f4539bfe1</x:v>
      </x:c>
      <x:c r="B366" t="str">
        <x:v>ea772c81-3002-463d-9196-4b349d17d64e</x:v>
      </x:c>
      <x:c r="C366" s="9" t="str">
        <x:v>Barons Finance Ltd v Barons Bridging Finance &amp; Anor [2015] EWCA Civ 1016</x:v>
      </x:c>
      <x:c r="D366" s="9" t="str"/>
      <x:c r="E366" s="9" t="str"/>
      <x:c r="F366" s="13" t="str">
        <x:v>2015</x:v>
      </x:c>
      <x:c r="G366" s="9" t="str">
        <x:v>England and Wales Court of Appeal (Civil Division)</x:v>
      </x:c>
      <x:c r="H366" s="9" t="str">
        <x:v>Appellate</x:v>
      </x:c>
      <x:c r="I366" s="9" t="str">
        <x:v>England and Wales</x:v>
      </x:c>
      <x:c r="J366" s="9" t="str">
        <x:v>Commercial Equity</x:v>
      </x:c>
      <x:c r="K366" s="9" t="str">
        <x:v>-ew-cases-EWCA-Civ-2015-1016.xml</x:v>
      </x:c>
      <x:c r="L366" s="9" t="str">
        <x:v>TBA</x:v>
      </x:c>
    </x:row>
    <x:row r="367">
      <x:c r="A367" t="str">
        <x:v>2afbc10e-2b43-42b3-a173-ca822df8540d</x:v>
      </x:c>
      <x:c r="B367" t="str">
        <x:v>41fa955d-c81a-4e72-a5d9-78e4db3e847b</x:v>
      </x:c>
      <x:c r="C367" s="9" t="str">
        <x:v>Barons Finance Ltd v Odedra [2013] EWCA Civ 1045</x:v>
      </x:c>
      <x:c r="D367" s="9" t="str"/>
      <x:c r="E367" s="9" t="str"/>
      <x:c r="F367" s="13" t="str">
        <x:v>2015</x:v>
      </x:c>
      <x:c r="G367" s="9" t="str">
        <x:v>England and Wales Court of Appeal (Civil Division)</x:v>
      </x:c>
      <x:c r="H367" s="9" t="str">
        <x:v>Appellate</x:v>
      </x:c>
      <x:c r="I367" s="9" t="str">
        <x:v>England and Wales</x:v>
      </x:c>
      <x:c r="J367" s="9" t="str">
        <x:v>Civil Procedure</x:v>
      </x:c>
      <x:c r="K367" s="9" t="str">
        <x:v>-ew-cases-EWCA-Civ-2015-1045.xml</x:v>
      </x:c>
      <x:c r="L367" s="9" t="str">
        <x:v>TBA</x:v>
      </x:c>
    </x:row>
    <x:row r="368">
      <x:c r="A368" t="str">
        <x:v>18a9d995-b370-435b-8584-a83d6be5f57a</x:v>
      </x:c>
      <x:c r="B368" t="str">
        <x:v>880e79e1-325f-4cf1-a0c9-bdac6d491cba</x:v>
      </x:c>
      <x:c r="C368" s="9" t="str">
        <x:v>Barrow (by his litigation friend and grandfather) &amp; Ors v Merrett &amp; Anor [2022] EWCA Civ 1241</x:v>
      </x:c>
      <x:c r="D368" s="9" t="str"/>
      <x:c r="E368" s="9" t="str"/>
      <x:c r="F368" s="13" t="str">
        <x:v>2022</x:v>
      </x:c>
      <x:c r="G368" s="9" t="str">
        <x:v>England and Wales Court of Appeal (Civil Division)</x:v>
      </x:c>
      <x:c r="H368" s="9" t="str">
        <x:v>Court of Appeal (Civil Division)</x:v>
      </x:c>
      <x:c r="I368" s="9" t="str">
        <x:v>England and Wales</x:v>
      </x:c>
      <x:c r="J368" s="9" t="str">
        <x:v>Tort - Negligence</x:v>
      </x:c>
      <x:c r="K368" s="9" t="str">
        <x:v>ew-cases-EWCA-Civ-2022-1241.xml</x:v>
      </x:c>
      <x:c r="L368" s="9" t="str">
        <x:v>TBA</x:v>
      </x:c>
    </x:row>
    <x:row r="369">
      <x:c r="A369" t="str">
        <x:v>33fa6b91-5973-46bf-85e2-a5e806a210c5</x:v>
      </x:c>
      <x:c r="B369" t="str">
        <x:v>fe011f6f-fe6b-41c0-bca0-3a63e2854c20</x:v>
      </x:c>
      <x:c r="C369" s="9" t="str">
        <x:v>Barry Congregation of Jehovah's Witnesses v BXB [2021] EWCA Civ 356</x:v>
      </x:c>
      <x:c r="D369" s="9" t="str"/>
      <x:c r="E369" s="9" t="str"/>
      <x:c r="F369" s="13" t="str">
        <x:v>2021</x:v>
      </x:c>
      <x:c r="G369" s="9" t="str">
        <x:v>England and Wales Court of Appeal (Civil Division)</x:v>
      </x:c>
      <x:c r="H369" s="9" t="str">
        <x:v>Appellate</x:v>
      </x:c>
      <x:c r="I369" s="9" t="str">
        <x:v>England and Wales</x:v>
      </x:c>
      <x:c r="J369" s="9" t="str">
        <x:v>Tort</x:v>
      </x:c>
      <x:c r="K369" s="9" t="str">
        <x:v>ew-cases-EWCA-Civ-2021-356.xml</x:v>
      </x:c>
      <x:c r="L369" s="9" t="str">
        <x:v>TBA</x:v>
      </x:c>
    </x:row>
    <x:row r="370">
      <x:c r="A370" t="str">
        <x:v>7aaf6d0e-9f64-4648-a4c6-b574f0516374</x:v>
      </x:c>
      <x:c r="B370" t="str">
        <x:v>9adfee0f-c2c7-4caa-83ed-720a548a4aab</x:v>
      </x:c>
      <x:c r="C370" s="9" t="str">
        <x:v>Barton &amp; Ors v Morris &amp; Anor [2023] UKSC 3</x:v>
      </x:c>
      <x:c r="D370" s="9" t="str"/>
      <x:c r="E370" s="9" t="str"/>
      <x:c r="F370" s="13" t="str">
        <x:v>2023</x:v>
      </x:c>
      <x:c r="G370" s="9" t="str">
        <x:v>United Kingdom Supreme Court</x:v>
      </x:c>
      <x:c r="H370" s="9" t="str">
        <x:v>Supreme Court</x:v>
      </x:c>
      <x:c r="I370" s="9" t="str">
        <x:v>United Kingdom</x:v>
      </x:c>
      <x:c r="J370" s="9" t="str">
        <x:v>Contract Dispute</x:v>
      </x:c>
      <x:c r="K370" s="9" t="str">
        <x:v>PT_UKSC_2023_3.xml</x:v>
      </x:c>
      <x:c r="L370" s="9" t="str">
        <x:v>TBA</x:v>
      </x:c>
    </x:row>
    <x:row r="371">
      <x:c r="A371" t="str">
        <x:v>93295642-597c-452e-a3d3-5e1f54ddecbe</x:v>
      </x:c>
      <x:c r="B371" t="str">
        <x:v>dff55308-b8ce-4219-981e-a74faafa2d4f</x:v>
      </x:c>
      <x:c r="C371" s="9" t="str">
        <x:v>Barton Park Estates Ltd v Secretary of State for Housing, Communities and Local Government &amp; Anor [2022] EWCA Civ 833</x:v>
      </x:c>
      <x:c r="D371" s="9" t="str"/>
      <x:c r="E371" s="9" t="str"/>
      <x:c r="F371" s="13" t="str">
        <x:v>2022</x:v>
      </x:c>
      <x:c r="G371" s="9" t="str">
        <x:v>England and Wales Court of Appeal (Civil Division)</x:v>
      </x:c>
      <x:c r="H371" s="9" t="str">
        <x:v>Court of Appeal (Civil Division)</x:v>
      </x:c>
      <x:c r="I371" s="9" t="str">
        <x:v>England and Wales</x:v>
      </x:c>
      <x:c r="J371" s="9" t="str">
        <x:v>Planning Law</x:v>
      </x:c>
      <x:c r="K371" s="9" t="str">
        <x:v>ew-cases-EWCA-Civ-2022-833.xml</x:v>
      </x:c>
      <x:c r="L371" s="9" t="str">
        <x:v>TBA</x:v>
      </x:c>
    </x:row>
    <x:row r="372">
      <x:c r="A372" t="str">
        <x:v>23e42130-e14b-4a6a-aa44-299e2b6ee9d7</x:v>
      </x:c>
      <x:c r="B372" t="str">
        <x:v>d9e8802a-d718-4772-93f9-d0786e1ec4c7</x:v>
      </x:c>
      <x:c r="C372" s="9" t="str">
        <x:v>Barton v Wright Hassall LLP [2016] EWCA Civ 177 (Court of Appeal, Civil Division)</x:v>
      </x:c>
      <x:c r="D372" s="9" t="str"/>
      <x:c r="E372" s="9" t="str"/>
      <x:c r="F372" s="13" t="str">
        <x:v>2016</x:v>
      </x:c>
      <x:c r="G372" s="9" t="str">
        <x:v>England and Wales Court of Appeal (Civil Division)</x:v>
      </x:c>
      <x:c r="H372" s="9" t="str">
        <x:v>Court of Appeal (Civil Division)</x:v>
      </x:c>
      <x:c r="I372" s="9" t="str">
        <x:v>England and Wales</x:v>
      </x:c>
      <x:c r="J372" s="9" t="str">
        <x:v>Civil Procedure / Service of Proceedings</x:v>
      </x:c>
      <x:c r="K372" s="9" t="str">
        <x:v>-ew-cases-EWCA-Civ-2016-177.xml</x:v>
      </x:c>
      <x:c r="L372" s="9" t="str">
        <x:v>TBA</x:v>
      </x:c>
    </x:row>
    <x:row r="373">
      <x:c r="A373" t="str">
        <x:v>32380ece-d7fd-45ea-a864-29891df37636</x:v>
      </x:c>
      <x:c r="B373" t="str">
        <x:v>e2a2d275-5039-453a-8699-cdaf24960b42</x:v>
      </x:c>
      <x:c r="C373" s="9" t="str">
        <x:v>Barton v Wright Hassall Solicitors LLP [2015] EWCA Civ 757</x:v>
      </x:c>
      <x:c r="D373" s="9" t="str"/>
      <x:c r="E373" s="9" t="str"/>
      <x:c r="F373" s="13" t="str">
        <x:v>2015</x:v>
      </x:c>
      <x:c r="G373" s="9" t="str">
        <x:v>England and Wales Court of Appeal (Civil Division)</x:v>
      </x:c>
      <x:c r="H373" s="9" t="str">
        <x:v>Appellate</x:v>
      </x:c>
      <x:c r="I373" s="9" t="str">
        <x:v>England and Wales</x:v>
      </x:c>
      <x:c r="J373" s="9" t="str">
        <x:v>Civil Procedure</x:v>
      </x:c>
      <x:c r="K373" s="9" t="str">
        <x:v>-ew-cases-EWCA-Civ-2015-757.xml</x:v>
      </x:c>
      <x:c r="L373" s="9" t="str">
        <x:v>TBA</x:v>
      </x:c>
    </x:row>
    <x:row r="374">
      <x:c r="A374" t="str">
        <x:v>182c6422-b4bd-4b51-862a-e0494e598847</x:v>
      </x:c>
      <x:c r="B374" t="str">
        <x:v>b28de95b-7a4e-4f9f-8215-addbae761392</x:v>
      </x:c>
      <x:c r="C374" s="9" t="str">
        <x:v>Barts Health NHS Trust v Dance &amp; Ors (Re Archie Battersbee) [2022] EWCA Civ 935</x:v>
      </x:c>
      <x:c r="D374" s="9" t="str"/>
      <x:c r="E374" s="9" t="str"/>
      <x:c r="F374" s="13" t="str">
        <x:v>2022</x:v>
      </x:c>
      <x:c r="G374" s="9" t="str">
        <x:v>England and Wales Court of Appeal (Civil Division)</x:v>
      </x:c>
      <x:c r="H374" s="9" t="str">
        <x:v>Court of Appeal (Civil Division)</x:v>
      </x:c>
      <x:c r="I374" s="9" t="str">
        <x:v>England and Wales</x:v>
      </x:c>
      <x:c r="J374" s="9" t="str">
        <x:v>Medical Law (End-of-life/Best interests)</x:v>
      </x:c>
      <x:c r="K374" s="9" t="str">
        <x:v>ew-cases-EWCA-Civ-2022-935.xml</x:v>
      </x:c>
      <x:c r="L374" s="9" t="str">
        <x:v>TBA</x:v>
      </x:c>
    </x:row>
    <x:row r="375">
      <x:c r="A375" t="str">
        <x:v>ebe052ab-9813-4a8c-90b9-08c264b889bc</x:v>
      </x:c>
      <x:c r="B375" t="str">
        <x:v>5b8dd2eb-c5c7-40bf-aac8-fa6362e3a817</x:v>
      </x:c>
      <x:c r="C375" s="9" t="str">
        <x:v>Barwood Strategic Land II LLP v East Staffordshire Borough Council &amp; Anor [2017] EWCA Civ 893</x:v>
      </x:c>
      <x:c r="D375" s="9" t="str"/>
      <x:c r="E375" s="9" t="str"/>
      <x:c r="F375" s="13" t="str">
        <x:v>2017</x:v>
      </x:c>
      <x:c r="G375" s="9" t="str">
        <x:v>England and Wales Court of Appeal (Civil Division)</x:v>
      </x:c>
      <x:c r="H375" s="9" t="str">
        <x:v>Appellate</x:v>
      </x:c>
      <x:c r="I375" s="9" t="str">
        <x:v>England and Wales</x:v>
      </x:c>
      <x:c r="J375" s="9" t="str">
        <x:v>Administrative Law</x:v>
      </x:c>
      <x:c r="K375" s="9" t="str">
        <x:v>-ew-cases-EWCA-Civ-2017-893.xml</x:v>
      </x:c>
      <x:c r="L375" s="9" t="str">
        <x:v>TBA</x:v>
      </x:c>
    </x:row>
    <x:row r="376">
      <x:c r="A376" t="str">
        <x:v>3c3fcca2-1aad-4ce0-9cfc-8530af6e0147</x:v>
      </x:c>
      <x:c r="B376" t="str">
        <x:v>6998575a-fea6-4586-bc94-d9f3d44fa771</x:v>
      </x:c>
      <x:c r="C376" s="9" t="str">
        <x:v>Basma v Manchester University Hospitals NHS Foundation Trust &amp; Anor [2021] EWCA Civ 278</x:v>
      </x:c>
      <x:c r="D376" s="9" t="str"/>
      <x:c r="E376" s="9" t="str"/>
      <x:c r="F376" s="13" t="str">
        <x:v>2021</x:v>
      </x:c>
      <x:c r="G376" s="9" t="str">
        <x:v>England and Wales Court of Appeal (Civil Division)</x:v>
      </x:c>
      <x:c r="H376" s="9" t="str">
        <x:v>Appellate</x:v>
      </x:c>
      <x:c r="I376" s="9" t="str">
        <x:v>England and Wales</x:v>
      </x:c>
      <x:c r="J376" s="9" t="str">
        <x:v>Administrative Law</x:v>
      </x:c>
      <x:c r="K376" s="9" t="str">
        <x:v>ew-cases-EWCA-Civ-2021-278.xml</x:v>
      </x:c>
      <x:c r="L376" s="9" t="str">
        <x:v>TBA</x:v>
      </x:c>
    </x:row>
    <x:row r="377">
      <x:c r="A377" t="str">
        <x:v>cf8a100a-b2aa-4248-94c5-0cbbf093dcbf</x:v>
      </x:c>
      <x:c r="B377" t="str">
        <x:v>4921c458-3361-438d-a152-b6b87d47c0fe</x:v>
      </x:c>
      <x:c r="C377" s="9" t="str">
        <x:v>BAT Caribbean S.A. &amp; Ors v PHP Tobacco Carib SARL &amp; Ors</x:v>
      </x:c>
      <x:c r="D377" s="9" t="str"/>
      <x:c r="E377" s="9" t="str"/>
      <x:c r="F377" s="13" t="str">
        <x:v>2017</x:v>
      </x:c>
      <x:c r="G377" s="9" t="str">
        <x:v>England and Wales Court of Appeal (Civil Division)</x:v>
      </x:c>
      <x:c r="H377" s="9" t="str">
        <x:v>Appellate</x:v>
      </x:c>
      <x:c r="I377" s="9" t="str">
        <x:v>England and Wales</x:v>
      </x:c>
      <x:c r="J377" s="9" t="str">
        <x:v>Contract Dispute</x:v>
      </x:c>
      <x:c r="K377" s="9" t="str">
        <x:v>-ew-cases-EWCA-Civ-2017-1131.xml</x:v>
      </x:c>
      <x:c r="L377" s="9" t="str">
        <x:v>TBA</x:v>
      </x:c>
    </x:row>
    <x:row r="378">
      <x:c r="A378" t="str">
        <x:v>bdbfb272-e915-42fd-9440-a41504857d55</x:v>
      </x:c>
      <x:c r="B378" t="str">
        <x:v>3fd15e8c-4fa9-4c85-ad33-49768aa69f0b</x:v>
      </x:c>
      <x:c r="C378" s="9" t="str">
        <x:v>Bate v Aviva Insurance UK Ltd [2014] EWCA Civ 334</x:v>
      </x:c>
      <x:c r="D378" s="9" t="str"/>
      <x:c r="E378" s="9" t="str"/>
      <x:c r="F378" s="13" t="str">
        <x:v>2014</x:v>
      </x:c>
      <x:c r="G378" s="9" t="str">
        <x:v>England and Wales Court of Appeal (Civil Division)</x:v>
      </x:c>
      <x:c r="H378" s="9" t="str">
        <x:v>Appellate</x:v>
      </x:c>
      <x:c r="I378" s="9" t="str">
        <x:v>England and Wales</x:v>
      </x:c>
      <x:c r="J378" s="9" t="str">
        <x:v>Insurance Law</x:v>
      </x:c>
      <x:c r="K378" s="9" t="str">
        <x:v>-ew-cases-EWCA-Civ-2014-334.xml</x:v>
      </x:c>
      <x:c r="L378" s="9" t="str">
        <x:v>TBA</x:v>
      </x:c>
    </x:row>
    <x:row r="379">
      <x:c r="A379" t="str">
        <x:v>060bc56f-581d-440a-a9b3-e3107e0ff67c</x:v>
      </x:c>
      <x:c r="B379" t="str">
        <x:v>9de6038c-bfcf-4fcc-a559-e56ad6722195</x:v>
      </x:c>
      <x:c r="C379" s="9" t="str">
        <x:v>Bath Rugby Ltd v Greenwood &amp; Ors [2021] EWCA Civ 1927: Restrictive Covenant and Its Enforceability</x:v>
      </x:c>
      <x:c r="D379" s="9" t="str"/>
      <x:c r="E379" s="9" t="str"/>
      <x:c r="F379" s="13" t="str">
        <x:v>2021</x:v>
      </x:c>
      <x:c r="G379" s="9" t="str">
        <x:v>England and Wales Court of Appeal (Civil Division)</x:v>
      </x:c>
      <x:c r="H379" s="9" t="str">
        <x:v>Appellate</x:v>
      </x:c>
      <x:c r="I379" s="9" t="str">
        <x:v>England and Wales</x:v>
      </x:c>
      <x:c r="J379" s="9" t="str">
        <x:v>Property Law</x:v>
      </x:c>
      <x:c r="K379" s="9" t="str">
        <x:v>ew-cases-EWCA-Civ-2021-1927.xml</x:v>
      </x:c>
      <x:c r="L379" s="9" t="str">
        <x:v>TBA</x:v>
      </x:c>
    </x:row>
    <x:row r="380">
      <x:c r="A380" t="str">
        <x:v>da91fbe3-b5be-4577-b631-753feccab89d</x:v>
      </x:c>
      <x:c r="B380" t="str">
        <x:v>2a81dd18-0dc9-41b3-9862-69d08cffe3c2</x:v>
      </x:c>
      <x:c r="C380" s="9" t="str">
        <x:v>Baturina v Chistyakov [2014] EWCA Civ 1134</x:v>
      </x:c>
      <x:c r="D380" s="9" t="str"/>
      <x:c r="E380" s="9" t="str"/>
      <x:c r="F380" s="13" t="str">
        <x:v>2014</x:v>
      </x:c>
      <x:c r="G380" s="9" t="str">
        <x:v>England and Wales Court of Appeal (Civil Division)</x:v>
      </x:c>
      <x:c r="H380" s="9" t="str">
        <x:v>appellate</x:v>
      </x:c>
      <x:c r="I380" s="9" t="str">
        <x:v>England and Wales</x:v>
      </x:c>
      <x:c r="J380" s="9" t="str">
        <x:v>Contract Dispute</x:v>
      </x:c>
      <x:c r="K380" s="9" t="str">
        <x:v>-ew-cases-EWCA-Civ-2014-1134.xml</x:v>
      </x:c>
      <x:c r="L380" s="9" t="str">
        <x:v>TBA</x:v>
      </x:c>
    </x:row>
    <x:row r="381">
      <x:c r="A381" t="str">
        <x:v>19164717-211c-4103-830f-e31670dfa9b2</x:v>
      </x:c>
      <x:c r="B381" t="str">
        <x:v>0151e29e-c137-45f9-9f69-dc0ccb964d29</x:v>
      </x:c>
      <x:c r="C381" s="9" t="str">
        <x:v>Bawden v WM Morrison Supermarkets Plc</x:v>
      </x:c>
      <x:c r="D381" s="9" t="str"/>
      <x:c r="E381" s="9" t="str"/>
      <x:c r="F381" s="13" t="str">
        <x:v>2015</x:v>
      </x:c>
      <x:c r="G381" s="9" t="str">
        <x:v>England and Wales Court of Appeal (Civil Division)</x:v>
      </x:c>
      <x:c r="H381" s="9" t="str">
        <x:v>Appellate</x:v>
      </x:c>
      <x:c r="I381" s="9" t="str">
        <x:v>England and Wales</x:v>
      </x:c>
      <x:c r="J381" s="9" t="str">
        <x:v>Personal Injury</x:v>
      </x:c>
      <x:c r="K381" s="9" t="str">
        <x:v>-ew-cases-EWCA-Civ-2015-957.xml</x:v>
      </x:c>
      <x:c r="L381" s="9" t="str">
        <x:v>TBA</x:v>
      </x:c>
    </x:row>
    <x:row r="382">
      <x:c r="A382" t="str">
        <x:v>8418154d-5b7b-44ce-8d3e-10db6a617253</x:v>
      </x:c>
      <x:c r="B382" t="str">
        <x:v>10f1bfff-6c4a-43e2-82a8-cced609600ea</x:v>
      </x:c>
      <x:c r="C382" s="9" t="str">
        <x:v>Baxter v Lincolnshire County Council [2015] EWCA Civ 1290</x:v>
      </x:c>
      <x:c r="D382" s="9" t="str"/>
      <x:c r="E382" s="9" t="str"/>
      <x:c r="F382" s="13" t="str">
        <x:v>2015</x:v>
      </x:c>
      <x:c r="G382" s="9" t="str">
        <x:v>England and Wales Court of Appeal (Civil Division)</x:v>
      </x:c>
      <x:c r="H382" s="9" t="str">
        <x:v>Appellate</x:v>
      </x:c>
      <x:c r="I382" s="9" t="str">
        <x:v>England and Wales</x:v>
      </x:c>
      <x:c r="J382" s="9" t="str">
        <x:v>Administrative Law</x:v>
      </x:c>
      <x:c r="K382" s="9" t="str">
        <x:v>-ew-cases-EWCA-Civ-2015-1290.xml</x:v>
      </x:c>
      <x:c r="L382" s="9" t="str">
        <x:v>TBA</x:v>
      </x:c>
    </x:row>
    <x:row r="383">
      <x:c r="A383" t="str">
        <x:v>363a6082-e6ee-43b4-a4f3-d34b8d5c9b42</x:v>
      </x:c>
      <x:c r="B383" t="str">
        <x:v>da4eb7fe-3803-4b77-9931-7b28a9d55190</x:v>
      </x:c>
      <x:c r="C383" s="9" t="str">
        <x:v>Bay Hotel and Resort Limited v. Cavalier Construction Co. Ltd. [2001] UKPC 34</x:v>
      </x:c>
      <x:c r="D383" s="9" t="str"/>
      <x:c r="E383" s="9" t="str"/>
      <x:c r="F383" s="13" t="str">
        <x:v>2001</x:v>
      </x:c>
      <x:c r="G383" s="9" t="str">
        <x:v>The Judicial Committee of the Privy Council</x:v>
      </x:c>
      <x:c r="H383" s="9" t="str">
        <x:v>Appellate</x:v>
      </x:c>
      <x:c r="I383" s="9" t="str">
        <x:v>Turks and Caicos Islands</x:v>
      </x:c>
      <x:c r="J383" s="9" t="str">
        <x:v>Arbitration</x:v>
      </x:c>
      <x:c r="K383" s="9" t="str">
        <x:v>PT_UKPC_2001_34.xml</x:v>
      </x:c>
      <x:c r="L383" s="9" t="str">
        <x:v>TBA</x:v>
      </x:c>
    </x:row>
    <x:row r="384">
      <x:c r="A384" t="str">
        <x:v>a6a8e642-6230-4cd1-89a5-aab664d4988e</x:v>
      </x:c>
      <x:c r="B384" t="str">
        <x:v>6d14378c-6460-413e-aad7-aeaafc197873</x:v>
      </x:c>
      <x:c r="C384" s="9" t="str">
        <x:v>Bayerische Motoren Werke Aktiengesellschaft v Technosport London Ltd &amp; Anor [2017] EWCA Civ 779</x:v>
      </x:c>
      <x:c r="D384" s="9" t="str"/>
      <x:c r="E384" s="9" t="str"/>
      <x:c r="F384" s="13" t="str">
        <x:v>2017</x:v>
      </x:c>
      <x:c r="G384" s="9" t="str">
        <x:v>England and Wales Court of Appeal (Civil Division)</x:v>
      </x:c>
      <x:c r="H384" s="9" t="str">
        <x:v>Appellate</x:v>
      </x:c>
      <x:c r="I384" s="9" t="str">
        <x:v>England and Wales</x:v>
      </x:c>
      <x:c r="J384" s="9" t="str">
        <x:v>Intellectual Property</x:v>
      </x:c>
      <x:c r="K384" s="9" t="str">
        <x:v>-ew-cases-EWCA-Civ-2017-779.xml</x:v>
      </x:c>
      <x:c r="L384" s="9" t="str">
        <x:v>TBA</x:v>
      </x:c>
    </x:row>
    <x:row r="385">
      <x:c r="A385" t="str">
        <x:v>ca6db3cf-f5b3-455b-b7f6-f5f5f003c68f</x:v>
      </x:c>
      <x:c r="B385" t="str">
        <x:v>d3f74ddd-5d01-4b10-8568-13bf829aece1</x:v>
      </x:c>
      <x:c r="C385" s="9" t="str">
        <x:v>Bayliss v Secretary of State for Communities and Local Government &amp; Ors [2014] EWCA Civ 347</x:v>
      </x:c>
      <x:c r="D385" s="9" t="str"/>
      <x:c r="E385" s="9" t="str"/>
      <x:c r="F385" s="13" t="str">
        <x:v>2014</x:v>
      </x:c>
      <x:c r="G385" s="9" t="str">
        <x:v>England and Wales Court of Appeal (Civil Division)</x:v>
      </x:c>
      <x:c r="H385" s="9" t="str">
        <x:v>Appellate</x:v>
      </x:c>
      <x:c r="I385" s="9" t="str">
        <x:v>England and Wales</x:v>
      </x:c>
      <x:c r="J385" s="9" t="str">
        <x:v>Administrative Law</x:v>
      </x:c>
      <x:c r="K385" s="9" t="str">
        <x:v>-ew-cases-EWCA-Civ-2014-347.xml</x:v>
      </x:c>
      <x:c r="L385" s="9" t="str">
        <x:v>TBA</x:v>
      </x:c>
    </x:row>
    <x:row r="386">
      <x:c r="A386" t="str">
        <x:v>e4879d4f-d915-49b1-b853-01fde5261c0d</x:v>
      </x:c>
      <x:c r="B386" t="str">
        <x:v>90f8b18f-1e00-4177-9cfb-1304fdbc0a97</x:v>
      </x:c>
      <x:c r="C386" s="9" t="str">
        <x:v>Bayliss v The Parole Board of England &amp; Wales [2014] EWCA Civ 1268</x:v>
      </x:c>
      <x:c r="D386" s="9" t="str"/>
      <x:c r="E386" s="9" t="str"/>
      <x:c r="F386" s="13" t="str">
        <x:v>2014</x:v>
      </x:c>
      <x:c r="G386" s="9" t="str">
        <x:v>England and Wales Court of Appeal (Civil Division)</x:v>
      </x:c>
      <x:c r="H386" s="9" t="str">
        <x:v>Appellate</x:v>
      </x:c>
      <x:c r="I386" s="9" t="str">
        <x:v>England and Wales</x:v>
      </x:c>
      <x:c r="J386" s="9" t="str">
        <x:v>Criminal</x:v>
      </x:c>
      <x:c r="K386" s="9" t="str">
        <x:v>-ew-cases-EWCA-Civ-2014-1268.xml</x:v>
      </x:c>
      <x:c r="L386" s="9" t="str">
        <x:v>TBA</x:v>
      </x:c>
    </x:row>
    <x:row r="387">
      <x:c r="A387" t="str">
        <x:v>134673c7-e2e5-4d24-a71f-5d463e12c9f0</x:v>
      </x:c>
      <x:c r="B387" t="str">
        <x:v>0c4144ef-9642-4280-9526-95be21a99f19</x:v>
      </x:c>
      <x:c r="C387" s="9" t="str">
        <x:v>Bayliss v The Parole Board of England And Wales &amp; Anor [2014] EWCA Civ 1631</x:v>
      </x:c>
      <x:c r="D387" s="9" t="str"/>
      <x:c r="E387" s="9" t="str"/>
      <x:c r="F387" s="13" t="str">
        <x:v>2014</x:v>
      </x:c>
      <x:c r="G387" s="9" t="str">
        <x:v>England and Wales Court of Appeal (Civil Division)</x:v>
      </x:c>
      <x:c r="H387" s="9" t="str">
        <x:v>Appellate</x:v>
      </x:c>
      <x:c r="I387" s="9" t="str">
        <x:v>England and Wales</x:v>
      </x:c>
      <x:c r="J387" s="9" t="str">
        <x:v>Administrative Law</x:v>
      </x:c>
      <x:c r="K387" s="9" t="str">
        <x:v>-ew-cases-EWCA-Civ-2014-1631.xml</x:v>
      </x:c>
      <x:c r="L387" s="9" t="str">
        <x:v>TBA</x:v>
      </x:c>
    </x:row>
    <x:row r="388">
      <x:c r="A388" t="str">
        <x:v>2b1d860d-2db3-410c-9d64-ff03a4c57097</x:v>
      </x:c>
      <x:c r="B388" t="str">
        <x:v>df9771ae-3001-477b-8515-59640b06023c</x:v>
      </x:c>
      <x:c r="C388" s="9" t="str">
        <x:v>Baynham v Royal Wolverhampton Hospitals NHS Trust [2016] EWCA Civ 1249</x:v>
      </x:c>
      <x:c r="D388" s="9" t="str"/>
      <x:c r="E388" s="9" t="str"/>
      <x:c r="F388" s="13" t="str">
        <x:v>2016</x:v>
      </x:c>
      <x:c r="G388" s="9" t="str">
        <x:v>England and Wales Court of Appeal (Civil Division)</x:v>
      </x:c>
      <x:c r="H388" s="9" t="str">
        <x:v>Court of Appeal (Civil Division)</x:v>
      </x:c>
      <x:c r="I388" s="9" t="str">
        <x:v>England and Wales</x:v>
      </x:c>
      <x:c r="J388" s="9" t="str">
        <x:v>Medical Negligence</x:v>
      </x:c>
      <x:c r="K388" s="9" t="str">
        <x:v>-ew-cases-EWCA-Civ-2016-1249.xml</x:v>
      </x:c>
      <x:c r="L388" s="9" t="str">
        <x:v>TBA</x:v>
      </x:c>
    </x:row>
    <x:row r="389">
      <x:c r="A389" t="str">
        <x:v>b34a2cc6-6eeb-4199-a234-56898502f04e</x:v>
      </x:c>
      <x:c r="B389" t="str">
        <x:v>a3bc5c5c-45c6-43d9-a394-d561f86f949c</x:v>
      </x:c>
      <x:c r="C389" s="9" t="str">
        <x:v>BB (Algeria), R (on the application of) v Secretary of State for the Home Department [2016] EWCA Civ 25</x:v>
      </x:c>
      <x:c r="D389" s="9" t="str"/>
      <x:c r="E389" s="9" t="str"/>
      <x:c r="F389" s="13" t="str">
        <x:v>2016</x:v>
      </x:c>
      <x:c r="G389" s="9" t="str">
        <x:v>England and Wales Court of Appeal (Civil Division)</x:v>
      </x:c>
      <x:c r="H389" s="9" t="str">
        <x:v>Court of Appeal (Civil Division)</x:v>
      </x:c>
      <x:c r="I389" s="9" t="str">
        <x:v>England and Wales</x:v>
      </x:c>
      <x:c r="J389" s="9" t="str">
        <x:v>Immigration Law; Administrative Law; Human Rights</x:v>
      </x:c>
      <x:c r="K389" s="9" t="str">
        <x:v>-ew-cases-EWCA-Civ-2016-25.xml</x:v>
      </x:c>
      <x:c r="L389" s="9" t="str">
        <x:v>TBA</x:v>
      </x:c>
    </x:row>
    <x:row r="390">
      <x:c r="A390" t="str">
        <x:v>aa809aef-5aa5-4741-a265-56cffc13a0f6</x:v>
      </x:c>
      <x:c r="B390" t="str">
        <x:v>4eb05824-a1c8-4abe-8a2c-9b2d305e2c16</x:v>
      </x:c>
      <x:c r="C390" s="9" t="str">
        <x:v>BB &amp; Ors v Doha Bank Ltd [2023] EWCA Civ 253 (Court of Appeal, Civil Division)</x:v>
      </x:c>
      <x:c r="D390" s="9" t="str"/>
      <x:c r="E390" s="9" t="str"/>
      <x:c r="F390" s="13" t="str">
        <x:v>2023</x:v>
      </x:c>
      <x:c r="G390" s="9" t="str">
        <x:v>England and Wales Court of Appeal (Civil Division)</x:v>
      </x:c>
      <x:c r="H390" s="9" t="str">
        <x:v>Court of Appeal (Civil Division)</x:v>
      </x:c>
      <x:c r="I390" s="9" t="str">
        <x:v>England and Wales</x:v>
      </x:c>
      <x:c r="J390" s="9" t="str">
        <x:v>Civil Appeal</x:v>
      </x:c>
      <x:c r="K390" s="9" t="str">
        <x:v>ew-cases-EWCA-Civ-2023-253.xml</x:v>
      </x:c>
      <x:c r="L390" s="9" t="str">
        <x:v>TBA</x:v>
      </x:c>
    </x:row>
    <x:row r="391">
      <x:c r="A391" t="str">
        <x:v>24c828b1-87d6-4988-b3cc-fcb581343010</x:v>
      </x:c>
      <x:c r="B391" t="str">
        <x:v>22f5a58b-4272-4bb0-8476-e2d0333f5032</x:v>
      </x:c>
      <x:c r="C391" s="9" t="str">
        <x:v>BB, PP, W, U &amp; Ors v Secretary of State for the Home Department</x:v>
      </x:c>
      <x:c r="D391" s="9" t="str"/>
      <x:c r="E391" s="9" t="str"/>
      <x:c r="F391" s="13" t="str">
        <x:v>2015</x:v>
      </x:c>
      <x:c r="G391" s="9" t="str">
        <x:v>England and Wales Court of Appeal (Civil Division)</x:v>
      </x:c>
      <x:c r="H391" s="9" t="str">
        <x:v>Appellate</x:v>
      </x:c>
      <x:c r="I391" s="9" t="str">
        <x:v>England and Wales</x:v>
      </x:c>
      <x:c r="J391" s="9" t="str">
        <x:v>Immigration Law</x:v>
      </x:c>
      <x:c r="K391" s="9" t="str">
        <x:v>-ew-cases-EWCA-Civ-2015-9.xml</x:v>
      </x:c>
      <x:c r="L391" s="9" t="str">
        <x:v>TBA</x:v>
      </x:c>
    </x:row>
    <x:row r="392">
      <x:c r="A392" t="str">
        <x:v>db9d25ff-92be-4f34-9aed-4d4b22f33f7f</x:v>
      </x:c>
      <x:c r="B392" t="str">
        <x:v>27be67b1-3e6c-4a07-90e1-cbb8420b8cee</x:v>
      </x:c>
      <x:c r="C392" s="9" t="str">
        <x:v>Beatt v Croydon Health Services NHS Trust</x:v>
      </x:c>
      <x:c r="D392" s="9" t="str"/>
      <x:c r="E392" s="9" t="str"/>
      <x:c r="F392" s="13" t="str">
        <x:v>2017</x:v>
      </x:c>
      <x:c r="G392" s="9" t="str">
        <x:v>England and Wales Court of Appeal (Civil Division)</x:v>
      </x:c>
      <x:c r="H392" s="9" t="str">
        <x:v>Appellate</x:v>
      </x:c>
      <x:c r="I392" s="9" t="str">
        <x:v>England and Wales</x:v>
      </x:c>
      <x:c r="J392" s="9" t="str">
        <x:v>Employment Law</x:v>
      </x:c>
      <x:c r="K392" s="9" t="str">
        <x:v>-ew-cases-EWCA-Civ-2017-401.xml</x:v>
      </x:c>
      <x:c r="L392" s="9" t="str">
        <x:v>TBA</x:v>
      </x:c>
    </x:row>
    <x:row r="393">
      <x:c r="A393" t="str">
        <x:v>ca6c2fd3-40e8-4a07-b3ae-61f6bc58aef5</x:v>
      </x:c>
      <x:c r="B393" t="str">
        <x:v>57bf779f-da1f-4ee4-a60c-89018cb3b828</x:v>
      </x:c>
      <x:c r="C393" s="9" t="str">
        <x:v>Beaumont &amp; Anor v Ferrer [2016] EWCA Civ 768</x:v>
      </x:c>
      <x:c r="D393" s="9" t="str"/>
      <x:c r="E393" s="9" t="str"/>
      <x:c r="F393" s="13" t="str">
        <x:v>2016</x:v>
      </x:c>
      <x:c r="G393" s="9" t="str">
        <x:v>England and Wales Court of Appeal (Civil Division)</x:v>
      </x:c>
      <x:c r="H393" s="9" t="str">
        <x:v>Court of Appeal (Civil Division)</x:v>
      </x:c>
      <x:c r="I393" s="9" t="str">
        <x:v>England and Wales</x:v>
      </x:c>
      <x:c r="J393" s="9" t="str">
        <x:v>Tort / Negligence with illegality (ex turpi)</x:v>
      </x:c>
      <x:c r="K393" s="9" t="str">
        <x:v>-ew-cases-EWCA-Civ-2016-768.xml</x:v>
      </x:c>
      <x:c r="L393" s="9" t="str">
        <x:v>TBA</x:v>
      </x:c>
    </x:row>
    <x:row r="394">
      <x:c r="A394" t="str">
        <x:v>3b046443-b171-45ae-b3d0-82d614909c0d</x:v>
      </x:c>
      <x:c r="B394" t="str">
        <x:v>954bc480-7235-404b-aa6b-03d45cb2c36c</x:v>
      </x:c>
      <x:c r="C394" s="9" t="str">
        <x:v>Beauty Star Ltd v Janmohamed [2014] EWCA Civ 451</x:v>
      </x:c>
      <x:c r="D394" s="9" t="str"/>
      <x:c r="E394" s="9" t="str"/>
      <x:c r="F394" s="13" t="str">
        <x:v>2014</x:v>
      </x:c>
      <x:c r="G394" s="9" t="str">
        <x:v>England and Wales Court of Appeal (Civil Division)</x:v>
      </x:c>
      <x:c r="H394" s="9" t="str">
        <x:v>Appellate</x:v>
      </x:c>
      <x:c r="I394" s="9" t="str">
        <x:v>England and Wales</x:v>
      </x:c>
      <x:c r="J394" s="9" t="str">
        <x:v>Contract Dispute</x:v>
      </x:c>
      <x:c r="K394" s="9" t="str">
        <x:v>-ew-cases-EWCA-Civ-2014-451.xml</x:v>
      </x:c>
      <x:c r="L394" s="9" t="str">
        <x:v>TBA</x:v>
      </x:c>
    </x:row>
    <x:row r="395">
      <x:c r="A395" t="str">
        <x:v>e203b05f-18ef-4eb6-97ff-a61319708c02</x:v>
      </x:c>
      <x:c r="B395" t="str">
        <x:v>5c6ddbd5-10a1-41c1-9f11-a6d773d0729d</x:v>
      </x:c>
      <x:c r="C395" s="9" t="str">
        <x:v>Bedford County Council v GE (Eritrea) [2017] EWCA Civ 1521</x:v>
      </x:c>
      <x:c r="D395" s="9" t="str"/>
      <x:c r="E395" s="9" t="str"/>
      <x:c r="F395" s="13" t="str">
        <x:v>2017</x:v>
      </x:c>
      <x:c r="G395" s="9" t="str">
        <x:v>England and Wales Court of Appeal (Civil Division)</x:v>
      </x:c>
      <x:c r="H395" s="9" t="str">
        <x:v>Appellate</x:v>
      </x:c>
      <x:c r="I395" s="9" t="str">
        <x:v>England and Wales</x:v>
      </x:c>
      <x:c r="J395" s="9" t="str">
        <x:v>Administrative Law</x:v>
      </x:c>
      <x:c r="K395" s="9" t="str">
        <x:v>-ew-cases-EWCA-Civ-2017-1521.xml</x:v>
      </x:c>
      <x:c r="L395" s="9" t="str">
        <x:v>TBA</x:v>
      </x:c>
    </x:row>
    <x:row r="396">
      <x:c r="A396" t="str">
        <x:v>43dc2fa1-0e1c-4f54-9149-e44234503b40</x:v>
      </x:c>
      <x:c r="B396" t="str">
        <x:v>524ead46-0ffe-4081-b302-58bebd31f51a</x:v>
      </x:c>
      <x:c r="C396" s="9" t="str">
        <x:v>Beech &amp; Anor v Birmingham City Council</x:v>
      </x:c>
      <x:c r="D396" s="9" t="str"/>
      <x:c r="E396" s="9" t="str"/>
      <x:c r="F396" s="13" t="str">
        <x:v>2014</x:v>
      </x:c>
      <x:c r="G396" s="9" t="str">
        <x:v>England and Wales Court of Appeal (Civil Division)</x:v>
      </x:c>
      <x:c r="H396" s="9" t="str">
        <x:v>Appellate Court</x:v>
      </x:c>
      <x:c r="I396" s="9" t="str">
        <x:v>England and Wales</x:v>
      </x:c>
      <x:c r="J396" s="9" t="str">
        <x:v>Property Law</x:v>
      </x:c>
      <x:c r="K396" s="9" t="str">
        <x:v>-ew-cases-EWCA-Civ-2014-830.xml</x:v>
      </x:c>
      <x:c r="L396" s="9" t="str">
        <x:v>TBA</x:v>
      </x:c>
    </x:row>
    <x:row r="397">
      <x:c r="A397" t="str">
        <x:v>8334bf22-23cd-4787-aac3-38389d832e23</x:v>
      </x:c>
      <x:c r="B397" t="str">
        <x:v>2eee03d5-6ea3-4316-9c91-ffafa0ed13ce</x:v>
      </x:c>
      <x:c r="C397" s="9" t="str">
        <x:v>Begg v HM Treasury [2016] EWCA Civ 568</x:v>
      </x:c>
      <x:c r="D397" s="9" t="str"/>
      <x:c r="E397" s="9" t="str"/>
      <x:c r="F397" s="13" t="str">
        <x:v>2016</x:v>
      </x:c>
      <x:c r="G397" s="9" t="str">
        <x:v>England and Wales Court of Appeal (Civil Division)</x:v>
      </x:c>
      <x:c r="H397" s="9" t="str">
        <x:v>Court of Appeal (Civil Division)</x:v>
      </x:c>
      <x:c r="I397" s="9" t="str">
        <x:v>England and Wales</x:v>
      </x:c>
      <x:c r="J397" s="9" t="str">
        <x:v>Public Law / Administrative Law</x:v>
      </x:c>
      <x:c r="K397" s="9" t="str">
        <x:v>-ew-cases-EWCA-Civ-2016-568.xml</x:v>
      </x:c>
      <x:c r="L397" s="9" t="str">
        <x:v>TBA</x:v>
      </x:c>
    </x:row>
    <x:row r="398">
      <x:c r="A398" t="str">
        <x:v>42e8632e-3b3b-4cc8-89eb-c2086147eaf7</x:v>
      </x:c>
      <x:c r="B398" t="str">
        <x:v>8850c06b-bfef-4a8f-b2a3-67794e0b52c6</x:v>
      </x:c>
      <x:c r="C398" s="9" t="str">
        <x:v>Begum v Birmingham City Council [2015] EWCA Civ 386</x:v>
      </x:c>
      <x:c r="D398" s="9" t="str"/>
      <x:c r="E398" s="9" t="str"/>
      <x:c r="F398" s="13" t="str">
        <x:v>2015</x:v>
      </x:c>
      <x:c r="G398" s="9" t="str">
        <x:v>England and Wales Court of Appeal (Civil Division)</x:v>
      </x:c>
      <x:c r="H398" s="9" t="str">
        <x:v>Appellate</x:v>
      </x:c>
      <x:c r="I398" s="9" t="str">
        <x:v>England and Wales</x:v>
      </x:c>
      <x:c r="J398" s="9" t="str">
        <x:v>Tort/Property</x:v>
      </x:c>
      <x:c r="K398" s="9" t="str">
        <x:v>-ew-cases-EWCA-Civ-2015-386.xml</x:v>
      </x:c>
      <x:c r="L398" s="9" t="str">
        <x:v>TBA</x:v>
      </x:c>
    </x:row>
    <x:row r="399">
      <x:c r="A399" t="str">
        <x:v>a4b67dd9-4be2-4905-9ff3-21f315390eb1</x:v>
      </x:c>
      <x:c r="B399" t="str">
        <x:v>65cd4656-b4bb-47e9-82c4-a6ba99d3f06d</x:v>
      </x:c>
      <x:c r="C399" s="9" t="str">
        <x:v>Begum v Hossain &amp; Anor [2015] EWCA Civ 717</x:v>
      </x:c>
      <x:c r="D399" s="9" t="str"/>
      <x:c r="E399" s="9" t="str"/>
      <x:c r="F399" s="13" t="str">
        <x:v>2015</x:v>
      </x:c>
      <x:c r="G399" s="9" t="str">
        <x:v>England and Wales Court of Appeal (Civil Division)</x:v>
      </x:c>
      <x:c r="H399" s="9" t="str">
        <x:v>Appellate</x:v>
      </x:c>
      <x:c r="I399" s="9" t="str">
        <x:v>England and Wales</x:v>
      </x:c>
      <x:c r="J399" s="9" t="str">
        <x:v>Company Law</x:v>
      </x:c>
      <x:c r="K399" s="9" t="str">
        <x:v>-ew-cases-EWCA-Civ-2015-717.xml</x:v>
      </x:c>
      <x:c r="L399" s="9" t="str">
        <x:v>TBA</x:v>
      </x:c>
    </x:row>
    <x:row r="400">
      <x:c r="A400" t="str">
        <x:v>fca2239d-5592-44f8-bc74-9c89a7f4e624</x:v>
      </x:c>
      <x:c r="B400" t="str">
        <x:v>9caf7232-f031-4d18-b4e3-b44bf614cdb1</x:v>
      </x:c>
      <x:c r="C400" s="9" t="str">
        <x:v>Begum v Maran (UK) Ltd</x:v>
      </x:c>
      <x:c r="D400" s="9" t="str"/>
      <x:c r="E400" s="9" t="str"/>
      <x:c r="F400" s="13" t="str">
        <x:v>2021</x:v>
      </x:c>
      <x:c r="G400" s="9" t="str">
        <x:v>England and Wales Court of Appeal (Civil Division)</x:v>
      </x:c>
      <x:c r="H400" s="9" t="str">
        <x:v>Appellate</x:v>
      </x:c>
      <x:c r="I400" s="9" t="str">
        <x:v>England and Wales</x:v>
      </x:c>
      <x:c r="J400" s="9" t="str">
        <x:v>Tort Law</x:v>
      </x:c>
      <x:c r="K400" s="9" t="str">
        <x:v>ew-cases-EWCA-Civ-2021-326.xml</x:v>
      </x:c>
      <x:c r="L400" s="9" t="str">
        <x:v>TBA</x:v>
      </x:c>
    </x:row>
    <x:row r="401">
      <x:c r="A401" t="str">
        <x:v>801d6524-7285-4bf7-a817-3161c6a4a5ff</x:v>
      </x:c>
      <x:c r="B401" t="str">
        <x:v>495e77a4-ece7-4ded-b99d-8177a1f35b3f</x:v>
      </x:c>
      <x:c r="C401" s="9" t="str">
        <x:v>Begum v Secretary of State for the Home Department</x:v>
      </x:c>
      <x:c r="D401" s="9" t="str"/>
      <x:c r="E401" s="9" t="str"/>
      <x:c r="F401" s="13" t="str">
        <x:v>2021</x:v>
      </x:c>
      <x:c r="G401" s="9" t="str">
        <x:v>England and Wales Court of Appeal (Civil Division)</x:v>
      </x:c>
      <x:c r="H401" s="9" t="str">
        <x:v>Appellate</x:v>
      </x:c>
      <x:c r="I401" s="9" t="str">
        <x:v>England and Wales</x:v>
      </x:c>
      <x:c r="J401" s="9" t="str">
        <x:v>Immigration Law</x:v>
      </x:c>
      <x:c r="K401" s="9" t="str">
        <x:v>ew-cases-EWCA-Civ-2021-1878.xml</x:v>
      </x:c>
      <x:c r="L401" s="9" t="str">
        <x:v>TBA</x:v>
      </x:c>
    </x:row>
    <x:row r="402">
      <x:c r="A402" t="str">
        <x:v>a28dcdee-e6dd-4f58-917a-495e72e77ab7</x:v>
      </x:c>
      <x:c r="B402" t="str">
        <x:v>e78c88ea-c4b8-4523-a560-44e73d6c3fe3</x:v>
      </x:c>
      <x:c r="C402" s="9" t="str">
        <x:v>Behary &amp; Anor, R (on the application of) v Secretary of State for the Home Department [2016] EWCA Civ 702</x:v>
      </x:c>
      <x:c r="D402" s="9" t="str"/>
      <x:c r="E402" s="9" t="str"/>
      <x:c r="F402" s="13" t="str">
        <x:v>2016</x:v>
      </x:c>
      <x:c r="G402" s="9" t="str">
        <x:v>England and Wales Court of Appeal (Civil Division)</x:v>
      </x:c>
      <x:c r="H402" s="9" t="str">
        <x:v>Court of Appeal (Civil Division)</x:v>
      </x:c>
      <x:c r="I402" s="9" t="str">
        <x:v>England and Wales</x:v>
      </x:c>
      <x:c r="J402" s="9" t="str">
        <x:v>Immigration Law; Administrative Law; Judicial Review</x:v>
      </x:c>
      <x:c r="K402" s="9" t="str">
        <x:v>-ew-cases-EWCA-Civ-2016-702.xml</x:v>
      </x:c>
      <x:c r="L402" s="9" t="str">
        <x:v>TBA</x:v>
      </x:c>
    </x:row>
    <x:row r="403">
      <x:c r="A403" t="str">
        <x:v>b636a693-a6c6-4c3a-8408-3b6d09428015</x:v>
      </x:c>
      <x:c r="B403" t="str">
        <x:v>47b7ca59-4dae-4e38-9b19-66a4d28a1d9e</x:v>
      </x:c>
      <x:c r="C403" s="9" t="str">
        <x:v>Belhaj &amp; Anor v Straw &amp; Ors [2014] EWCA Civ 1394</x:v>
      </x:c>
      <x:c r="D403" s="9" t="str"/>
      <x:c r="E403" s="9" t="str"/>
      <x:c r="F403" s="13" t="str">
        <x:v>2014</x:v>
      </x:c>
      <x:c r="G403" s="9" t="str">
        <x:v>England and Wales Court of Appeal (Civil Division)</x:v>
      </x:c>
      <x:c r="H403" s="9" t="str">
        <x:v>Appellate</x:v>
      </x:c>
      <x:c r="I403" s="9" t="str">
        <x:v>England and Wales</x:v>
      </x:c>
      <x:c r="J403" s="9" t="str">
        <x:v>Human Rights Violations</x:v>
      </x:c>
      <x:c r="K403" s="9" t="str">
        <x:v>-ew-cases-EWCA-Civ-2014-1394.xml</x:v>
      </x:c>
      <x:c r="L403" s="9" t="str">
        <x:v>TBA</x:v>
      </x:c>
    </x:row>
    <x:row r="404">
      <x:c r="A404" t="str">
        <x:v>c7a0ef2c-5bff-4cd5-8ea1-cea88df44c24</x:v>
      </x:c>
      <x:c r="B404" t="str">
        <x:v>60024318-624d-4e3e-8ce7-bc7a76639f31</x:v>
      </x:c>
      <x:c r="C404" s="9" t="str">
        <x:v>Bell &amp; Anor v The Tavistock and Portman NHS Foundation Trust</x:v>
      </x:c>
      <x:c r="D404" s="9" t="str"/>
      <x:c r="E404" s="9" t="str"/>
      <x:c r="F404" s="13" t="str">
        <x:v>2021</x:v>
      </x:c>
      <x:c r="G404" s="9" t="str">
        <x:v>England and Wales Court of Appeal (Civil Division)</x:v>
      </x:c>
      <x:c r="H404" s="9" t="str">
        <x:v>Appellate</x:v>
      </x:c>
      <x:c r="I404" s="9" t="str">
        <x:v>England and Wales</x:v>
      </x:c>
      <x:c r="J404" s="9" t="str">
        <x:v>Administrative Law</x:v>
      </x:c>
      <x:c r="K404" s="9" t="str">
        <x:v>ew-cases-EWCA-Civ-2021-1363.xml</x:v>
      </x:c>
      <x:c r="L404" s="9" t="str">
        <x:v>TBA</x:v>
      </x:c>
    </x:row>
    <x:row r="405">
      <x:c r="A405" t="str">
        <x:v>c4189f0d-6aa0-40e9-a83f-4d1a7ea8f4d1</x:v>
      </x:c>
      <x:c r="B405" t="str">
        <x:v>c52a9a9e-f3b4-4265-a89a-d2effe52c9f0</x:v>
      </x:c>
      <x:c r="C405" s="9" t="str">
        <x:v>Bellis &amp; Ors v Challinor &amp; Ors [2015] EWCA Civ 59</x:v>
      </x:c>
      <x:c r="D405" s="9" t="str"/>
      <x:c r="E405" s="9" t="str"/>
      <x:c r="F405" s="13" t="str">
        <x:v>2015</x:v>
      </x:c>
      <x:c r="G405" s="9" t="str">
        <x:v>England and Wales Court of Appeal (Civil Division)</x:v>
      </x:c>
      <x:c r="H405" s="9" t="str">
        <x:v>Appellate</x:v>
      </x:c>
      <x:c r="I405" s="9" t="str">
        <x:v>England and Wales</x:v>
      </x:c>
      <x:c r="J405" s="9" t="str">
        <x:v>Trust Law</x:v>
      </x:c>
      <x:c r="K405" s="9" t="str">
        <x:v>-ew-cases-EWCA-Civ-2015-59.xml</x:v>
      </x:c>
      <x:c r="L405" s="9" t="str">
        <x:v>TBA</x:v>
      </x:c>
    </x:row>
    <x:row r="406">
      <x:c r="A406" t="str">
        <x:v>d41e653a-6265-4062-8ea5-c155f84c3858</x:v>
      </x:c>
      <x:c r="B406" t="str">
        <x:v>4014fdff-4769-4a2e-a7d8-5d10556a5b77</x:v>
      </x:c>
      <x:c r="C406" s="9" t="str">
        <x:v>Belsner v CAM Legal Services Limited [2022] EWCA Civ 1387</x:v>
      </x:c>
      <x:c r="D406" s="9" t="str"/>
      <x:c r="E406" s="9" t="str"/>
      <x:c r="F406" s="13" t="str">
        <x:v>2022</x:v>
      </x:c>
      <x:c r="G406" s="9" t="str">
        <x:v>England and Wales Court of Appeal (Civil Division)</x:v>
      </x:c>
      <x:c r="H406" s="9" t="str">
        <x:v>Court of Appeal (Civil Division)</x:v>
      </x:c>
      <x:c r="I406" s="9" t="str">
        <x:v>England and Wales</x:v>
      </x:c>
      <x:c r="J406" s="9" t="str">
        <x:v>Costs / Fees in Civil Litigation</x:v>
      </x:c>
      <x:c r="K406" s="9" t="str">
        <x:v>ew-cases-EWCA-Civ-2022-1387.xml</x:v>
      </x:c>
      <x:c r="L406" s="9" t="str">
        <x:v>TBA</x:v>
      </x:c>
    </x:row>
    <x:row r="407">
      <x:c r="A407" t="str">
        <x:v>090b16e5-77fc-4ee8-962a-6905aab0d0e3</x:v>
      </x:c>
      <x:c r="B407" t="str">
        <x:v>48a6c9aa-6aaf-46f0-a0a1-db486992f637</x:v>
      </x:c>
      <x:c r="C407" s="9" t="str">
        <x:v>Benkharbouche &amp; Anor v Embassy of the Republic of Sudan</x:v>
      </x:c>
      <x:c r="D407" s="9" t="str"/>
      <x:c r="E407" s="9" t="str"/>
      <x:c r="F407" s="13" t="str">
        <x:v>2015</x:v>
      </x:c>
      <x:c r="G407" s="9" t="str">
        <x:v>England and Wales Court of Appeal (Civil Division)</x:v>
      </x:c>
      <x:c r="H407" s="9" t="str">
        <x:v>Appellate</x:v>
      </x:c>
      <x:c r="I407" s="9" t="str">
        <x:v>United Kingdom</x:v>
      </x:c>
      <x:c r="J407" s="9" t="str">
        <x:v>Civil Procedure/Employment Law</x:v>
      </x:c>
      <x:c r="K407" s="9" t="str">
        <x:v>-ew-cases-EWCA-Civ-2015-33.xml</x:v>
      </x:c>
      <x:c r="L407" s="9" t="str">
        <x:v>TBA</x:v>
      </x:c>
    </x:row>
    <x:row r="408">
      <x:c r="A408" t="str">
        <x:v>b8f58ba4-49e9-4ae0-a4d9-53f9f811a2a3</x:v>
      </x:c>
      <x:c r="B408" t="str">
        <x:v>2921b484-02a2-430f-8b33-894971606b5a</x:v>
      </x:c>
      <x:c r="C408" s="9" t="str">
        <x:v>Bentley Motors Limited v GTI Corporation [2016] EWCA Civ 148 (8 February 2016)</x:v>
      </x:c>
      <x:c r="D408" s="9" t="str"/>
      <x:c r="E408" s="9" t="str"/>
      <x:c r="F408" s="13" t="str">
        <x:v>2016</x:v>
      </x:c>
      <x:c r="G408" s="9" t="str">
        <x:v>England and Wales Court of Appeal (Civil Division)</x:v>
      </x:c>
      <x:c r="H408" s="9" t="str">
        <x:v>Court of Appeal (Civil Division)</x:v>
      </x:c>
      <x:c r="I408" s="9" t="str">
        <x:v>England and Wales</x:v>
      </x:c>
      <x:c r="J408" s="9" t="str">
        <x:v>Contract Law / Injunctions</x:v>
      </x:c>
      <x:c r="K408" s="9" t="str">
        <x:v>-ew-cases-EWCA-Civ-2016-148.xml</x:v>
      </x:c>
      <x:c r="L408" s="9" t="str">
        <x:v>TBA</x:v>
      </x:c>
    </x:row>
    <x:row r="409">
      <x:c r="A409" t="str">
        <x:v>8dbc3d45-dd38-4fa5-9633-c83bc4f46462</x:v>
      </x:c>
      <x:c r="B409" t="str">
        <x:v>2e37836d-c57c-4eb6-942a-5a1a3a46714f</x:v>
      </x:c>
      <x:c r="C409" s="9" t="str">
        <x:v>Benyatov v Credit Suisse (Securities) Europe Ltd [2023] EWCA Civ 140</x:v>
      </x:c>
      <x:c r="D409" s="9" t="str"/>
      <x:c r="E409" s="9" t="str"/>
      <x:c r="F409" s="13" t="str">
        <x:v>2023</x:v>
      </x:c>
      <x:c r="G409" s="9" t="str">
        <x:v>England and Wales Court of Appeal (Civil Division)</x:v>
      </x:c>
      <x:c r="H409" s="9" t="str">
        <x:v>Court of Appeal (Civil Division)</x:v>
      </x:c>
      <x:c r="I409" s="9" t="str">
        <x:v>England and Wales</x:v>
      </x:c>
      <x:c r="J409" s="9" t="str">
        <x:v>Negligence and Contract Indemnity in Employment Context (Civil Appeal)</x:v>
      </x:c>
      <x:c r="K409" s="9" t="str">
        <x:v>ew-cases-EWCA-Civ-2023-140.xml</x:v>
      </x:c>
      <x:c r="L409" s="9" t="str">
        <x:v>TBA</x:v>
      </x:c>
    </x:row>
    <x:row r="410">
      <x:c r="A410" t="str">
        <x:v>d92d7d02-bdd3-4df2-b3c2-f5aae3822735</x:v>
      </x:c>
      <x:c r="B410" t="str">
        <x:v>328c2c9a-1fdf-47b2-8ba1-5718904876af</x:v>
      </x:c>
      <x:c r="C410" s="9" t="str">
        <x:v>Berkeley Square Holdings Ltd &amp; Ors v Lancer Property Asset Management Ltd &amp; Ors</x:v>
      </x:c>
      <x:c r="D410" s="9" t="str"/>
      <x:c r="E410" s="9" t="str"/>
      <x:c r="F410" s="13" t="str">
        <x:v>2021</x:v>
      </x:c>
      <x:c r="G410" s="9" t="str">
        <x:v>England and Wales Court of Appeal (Civil Division)</x:v>
      </x:c>
      <x:c r="H410" s="9" t="str">
        <x:v>Appellate</x:v>
      </x:c>
      <x:c r="I410" s="9" t="str">
        <x:v>England and Wales</x:v>
      </x:c>
      <x:c r="J410" s="9" t="str">
        <x:v>Civil Appeal</x:v>
      </x:c>
      <x:c r="K410" s="9" t="str">
        <x:v>ew-cases-EWCA-Civ-2021-551.xml</x:v>
      </x:c>
      <x:c r="L410" s="9" t="str">
        <x:v>TBA</x:v>
      </x:c>
    </x:row>
    <x:row r="411">
      <x:c r="A411" t="str">
        <x:v>f117e1bb-f4d8-4c0c-9642-0b7e65596627</x:v>
      </x:c>
      <x:c r="B411" t="str">
        <x:v>5f8ee07f-810a-4a3c-8bc4-63f880f8a275</x:v>
      </x:c>
      <x:c r="C411" s="9" t="str">
        <x:v>Berntsen &amp; Anor v Tait &amp; Anor [2015] EWCA Civ 1001</x:v>
      </x:c>
      <x:c r="D411" s="9" t="str"/>
      <x:c r="E411" s="9" t="str"/>
      <x:c r="F411" s="13" t="str">
        <x:v>2015</x:v>
      </x:c>
      <x:c r="G411" s="9" t="str">
        <x:v>England and Wales Court of Appeal (Civil Division)</x:v>
      </x:c>
      <x:c r="H411" s="9" t="str">
        <x:v>Appellate</x:v>
      </x:c>
      <x:c r="I411" s="9" t="str">
        <x:v>England and Wales</x:v>
      </x:c>
      <x:c r="J411" s="9" t="str">
        <x:v>Insolvency</x:v>
      </x:c>
      <x:c r="K411" s="9" t="str">
        <x:v>-ew-cases-EWCA-Civ-2015-1001.xml</x:v>
      </x:c>
      <x:c r="L411" s="9" t="str">
        <x:v>TBA</x:v>
      </x:c>
    </x:row>
    <x:row r="412">
      <x:c r="A412" t="str">
        <x:v>71f4973c-40f5-46b6-9952-31892cd986a3</x:v>
      </x:c>
      <x:c r="B412" t="str">
        <x:v>b5b25eba-d0e7-4c42-8d30-f97bfc71e025</x:v>
      </x:c>
      <x:c r="C412" s="9" t="str">
        <x:v>Besharova v Berezovsky [2016] EWCA Civ 161 (Court of Appeal, Civil Division) - Construction of a Consent Order and Set-off in a Private Family Financial Remedy</x:v>
      </x:c>
      <x:c r="D412" s="9" t="str"/>
      <x:c r="E412" s="9" t="str"/>
      <x:c r="F412" s="13" t="str">
        <x:v>2016</x:v>
      </x:c>
      <x:c r="G412" s="9" t="str">
        <x:v>England and Wales Court of Appeal (Civil Division)</x:v>
      </x:c>
      <x:c r="H412" s="9" t="str">
        <x:v>Court of Appeal (Civil Division)</x:v>
      </x:c>
      <x:c r="I412" s="9" t="str">
        <x:v>England and Wales</x:v>
      </x:c>
      <x:c r="J412" s="9" t="str">
        <x:v>Private family law; Financial remedies; Consent orders; Set-off; Contract construction</x:v>
      </x:c>
      <x:c r="K412" s="9" t="str">
        <x:v>-ew-cases-EWCA-Civ-2016-161.xml</x:v>
      </x:c>
      <x:c r="L412" s="9" t="str">
        <x:v>TBA</x:v>
      </x:c>
    </x:row>
    <x:row r="413">
      <x:c r="A413" t="str">
        <x:v>77af701f-5ccf-4352-91d5-c401d6698427</x:v>
      </x:c>
      <x:c r="B413" t="str">
        <x:v>5ea42c85-c22f-45d9-a507-8cab3b770c32</x:v>
      </x:c>
      <x:c r="C413" s="9" t="str">
        <x:v>Best, R (On the Application Of) v The Secretary of State for Justice (Rev 1)</x:v>
      </x:c>
      <x:c r="D413" s="9" t="str"/>
      <x:c r="E413" s="9" t="str"/>
      <x:c r="F413" s="13" t="str">
        <x:v>2015</x:v>
      </x:c>
      <x:c r="G413" s="9" t="str">
        <x:v>England and Wales Court of Appeal (Civil Division)</x:v>
      </x:c>
      <x:c r="H413" s="9" t="str">
        <x:v>Appellate</x:v>
      </x:c>
      <x:c r="I413" s="9" t="str">
        <x:v>England and Wales</x:v>
      </x:c>
      <x:c r="J413" s="9" t="str">
        <x:v>Property Law</x:v>
      </x:c>
      <x:c r="K413" s="9" t="str">
        <x:v>-ew-cases-EWCA-Civ-2015-17.xml</x:v>
      </x:c>
      <x:c r="L413" s="9" t="str">
        <x:v>TBA</x:v>
      </x:c>
    </x:row>
    <x:row r="414">
      <x:c r="A414" t="str">
        <x:v>ad3d120b-4d60-4ab6-b118-95e436f8f3ff</x:v>
      </x:c>
      <x:c r="B414" t="str">
        <x:v>95a09909-d350-4cc6-8e33-4153cfe28a7f</x:v>
      </x:c>
      <x:c r="C414" s="9" t="str">
        <x:v>Bestfort Developments LLP &amp; Ors v Ras Al Khaimah Investment Authority &amp; Ors [2016] EWCA Civ 1099</x:v>
      </x:c>
      <x:c r="D414" s="9" t="str"/>
      <x:c r="E414" s="9" t="str"/>
      <x:c r="F414" s="13" t="str">
        <x:v>2016</x:v>
      </x:c>
      <x:c r="G414" s="9" t="str">
        <x:v>England and Wales Court of Appeal (Civil Division)</x:v>
      </x:c>
      <x:c r="H414" s="9" t="str">
        <x:v>Court of Appeal (Civil Division)</x:v>
      </x:c>
      <x:c r="I414" s="9" t="str">
        <x:v>England and Wales</x:v>
      </x:c>
      <x:c r="J414" s="9" t="str">
        <x:v>Civil Procedure / Costs and Jurisdiction</x:v>
      </x:c>
      <x:c r="K414" s="9" t="str">
        <x:v>-ew-cases-EWCA-Civ-2016-1099.xml</x:v>
      </x:c>
      <x:c r="L414" s="9" t="str">
        <x:v>TBA</x:v>
      </x:c>
    </x:row>
    <x:row r="415">
      <x:c r="A415" t="str">
        <x:v>bdc52efc-5942-4748-93b9-7ac7c819a07b</x:v>
      </x:c>
      <x:c r="B415" t="str">
        <x:v>a1104bed-8dc2-4d55-92fd-d8a029f4a6a2</x:v>
      </x:c>
      <x:c r="C415" s="9" t="str">
        <x:v>Bezeliansky v Bezelianskaya [2016] EWCA Civ 76</x:v>
      </x:c>
      <x:c r="D415" s="9" t="str"/>
      <x:c r="E415" s="9" t="str"/>
      <x:c r="F415" s="13" t="str">
        <x:v>2017</x:v>
      </x:c>
      <x:c r="G415" s="9" t="str">
        <x:v>England and Wales Court of Appeal (Civil Division)</x:v>
      </x:c>
      <x:c r="H415" s="9" t="str">
        <x:v>Appellate</x:v>
      </x:c>
      <x:c r="I415" s="9" t="str">
        <x:v>England and Wales</x:v>
      </x:c>
      <x:c r="J415" s="9" t="str">
        <x:v>Family Law</x:v>
      </x:c>
      <x:c r="K415" s="9" t="str">
        <x:v>-ew-cases-EWCA-Civ-2017-76.xml</x:v>
      </x:c>
      <x:c r="L415" s="9" t="str">
        <x:v>TBA</x:v>
      </x:c>
    </x:row>
    <x:row r="416">
      <x:c r="A416" t="str">
        <x:v>e8a5b01b-0462-446e-b31b-b28de2ca2039</x:v>
      </x:c>
      <x:c r="B416" t="str">
        <x:v>a56a6754-dde3-4ecd-b2ab-9eb684e05cfd</x:v>
      </x:c>
      <x:c r="C416" s="9" t="str">
        <x:v>BF (Eritrea), R (On the Application Of) v Secretary of State for the Home Department [2016] EWCA Civ 1113 (11 October 2016)</x:v>
      </x:c>
      <x:c r="D416" s="9" t="str"/>
      <x:c r="E416" s="9" t="str"/>
      <x:c r="F416" s="13" t="str">
        <x:v>2016</x:v>
      </x:c>
      <x:c r="G416" s="9" t="str">
        <x:v>England and Wales Court of Appeal (Civil Division)</x:v>
      </x:c>
      <x:c r="H416" s="9" t="str">
        <x:v>Court of Appeal (Civil Division)</x:v>
      </x:c>
      <x:c r="I416" s="9" t="str">
        <x:v>England and Wales</x:v>
      </x:c>
      <x:c r="J416" s="9" t="str">
        <x:v>Immigration Law / Administrative Law</x:v>
      </x:c>
      <x:c r="K416" s="9" t="str">
        <x:v>-ew-cases-EWCA-Civ-2016-1113.xml</x:v>
      </x:c>
      <x:c r="L416" s="9" t="str">
        <x:v>TBA</x:v>
      </x:c>
    </x:row>
    <x:row r="417">
      <x:c r="A417" t="str">
        <x:v>8a6b1be9-7d5d-442d-b05c-b6dad1bf8110</x:v>
      </x:c>
      <x:c r="B417" t="str">
        <x:v>f52deedd-ffa5-472c-be23-b959a15db5f6</x:v>
      </x:c>
      <x:c r="C417" s="9" t="str">
        <x:v>BG (Jamaica) v Secretary of State for the Home Department [2015] EWCA Civ 960</x:v>
      </x:c>
      <x:c r="D417" s="9" t="str"/>
      <x:c r="E417" s="9" t="str"/>
      <x:c r="F417" s="13" t="str">
        <x:v>2015</x:v>
      </x:c>
      <x:c r="G417" s="9" t="str">
        <x:v>England and Wales Court of Appeal (Civil Division)</x:v>
      </x:c>
      <x:c r="H417" s="9" t="str">
        <x:v>Appellate</x:v>
      </x:c>
      <x:c r="I417" s="9" t="str">
        <x:v>England and Wales</x:v>
      </x:c>
      <x:c r="J417" s="9" t="str">
        <x:v>Immigration</x:v>
      </x:c>
      <x:c r="K417" s="9" t="str">
        <x:v>-ew-cases-EWCA-Civ-2015-960.xml</x:v>
      </x:c>
      <x:c r="L417" s="9" t="str">
        <x:v>TBA</x:v>
      </x:c>
    </x:row>
    <x:row r="418">
      <x:c r="A418" t="str">
        <x:v>eb416ec3-18ec-430d-8628-2b98d2a870c5</x:v>
      </x:c>
      <x:c r="B418" t="str">
        <x:v>b083d2a9-e0ab-47b7-8cac-9cf7689de234</x:v>
      </x:c>
      <x:c r="C418" s="9" t="str">
        <x:v>BG &amp; Anor, R (On the Application Of) v Suffolk County Council (Consequentials) [2022] EWCA Civ 1053</x:v>
      </x:c>
      <x:c r="D418" s="9" t="str"/>
      <x:c r="E418" s="9" t="str"/>
      <x:c r="F418" s="13" t="str">
        <x:v>2022</x:v>
      </x:c>
      <x:c r="G418" s="9" t="str">
        <x:v>England and Wales Court of Appeal (Civil Division)</x:v>
      </x:c>
      <x:c r="H418" s="9" t="str">
        <x:v>Court of Appeal (Civil Division)</x:v>
      </x:c>
      <x:c r="I418" s="9" t="str">
        <x:v>England and Wales</x:v>
      </x:c>
      <x:c r="J418" s="9" t="str">
        <x:v>Administrative Law / Judicial Review</x:v>
      </x:c>
      <x:c r="K418" s="9" t="str">
        <x:v>ew-cases-EWCA-Civ-2022-1053.xml</x:v>
      </x:c>
      <x:c r="L418" s="9" t="str">
        <x:v>TBA</x:v>
      </x:c>
    </x:row>
    <x:row r="419">
      <x:c r="A419" t="str">
        <x:v>fbd47cc7-6cf1-4974-89ff-fbbf70aa5edc</x:v>
      </x:c>
      <x:c r="B419" t="str">
        <x:v>b8a00374-13b5-4b47-b557-20b98e7429bd</x:v>
      </x:c>
      <x:c r="C419" s="9" t="str">
        <x:v>BG &amp; Anor, R (On the Application Of) v Suffolk County Council [2022] EWCA Civ 1047</x:v>
      </x:c>
      <x:c r="D419" s="9" t="str"/>
      <x:c r="E419" s="9" t="str"/>
      <x:c r="F419" s="13" t="str">
        <x:v>2022</x:v>
      </x:c>
      <x:c r="G419" s="9" t="str">
        <x:v>England and Wales Court of Appeal (Civil Division)</x:v>
      </x:c>
      <x:c r="H419" s="9" t="str">
        <x:v>Court of Appeal (Civil Division)</x:v>
      </x:c>
      <x:c r="I419" s="9" t="str">
        <x:v>England and Wales</x:v>
      </x:c>
      <x:c r="J419" s="9" t="str">
        <x:v>Judicial Review / Administrative Law / Social Care Law</x:v>
      </x:c>
      <x:c r="K419" s="9" t="str">
        <x:v>ew-cases-EWCA-Civ-2022-1047.xml</x:v>
      </x:c>
      <x:c r="L419" s="9" t="str">
        <x:v>TBA</x:v>
      </x:c>
    </x:row>
    <x:row r="420">
      <x:c r="A420" t="str">
        <x:v>b1832f4e-1323-4f3f-bd59-ebc622b87b94</x:v>
      </x:c>
      <x:c r="B420" t="str">
        <x:v>9b87b588-7cc7-4880-b83c-62a1950d9743</x:v>
      </x:c>
      <x:c r="C420" s="9" t="str">
        <x:v>BH (Eritrea) v Secretary of State for the Home Department</x:v>
      </x:c>
      <x:c r="D420" s="9" t="str"/>
      <x:c r="E420" s="9" t="str"/>
      <x:c r="F420" s="13" t="str">
        <x:v>2015</x:v>
      </x:c>
      <x:c r="G420" s="9" t="str">
        <x:v>England and Wales Court of Appeal (Civil Division)</x:v>
      </x:c>
      <x:c r="H420" s="9" t="str">
        <x:v>Appellate</x:v>
      </x:c>
      <x:c r="I420" s="9" t="str">
        <x:v>England and Wales</x:v>
      </x:c>
      <x:c r="J420" s="9" t="str">
        <x:v>Immigration</x:v>
      </x:c>
      <x:c r="K420" s="9" t="str">
        <x:v>-ew-cases-EWCA-Civ-2015-1177.xml</x:v>
      </x:c>
      <x:c r="L420" s="9" t="str">
        <x:v>TBA</x:v>
      </x:c>
    </x:row>
    <x:row r="421">
      <x:c r="A421" t="str">
        <x:v>2beac97a-d0d7-4b82-ac49-1ed11e9402c8</x:v>
      </x:c>
      <x:c r="B421" t="str">
        <x:v>fe7aab09-b7bc-4255-a98e-dbbbd366ac21</x:v>
      </x:c>
      <x:c r="C421" s="9" t="str">
        <x:v>Bhamani &amp; Ors v Sattar &amp; Ors [2021] EWCA Civ 243</x:v>
      </x:c>
      <x:c r="D421" s="9" t="str"/>
      <x:c r="E421" s="9" t="str"/>
      <x:c r="F421" s="13" t="str">
        <x:v>2021</x:v>
      </x:c>
      <x:c r="G421" s="9" t="str">
        <x:v>England and Wales Court of Appeal (Civil Division)</x:v>
      </x:c>
      <x:c r="H421" s="9" t="str">
        <x:v>Appellate</x:v>
      </x:c>
      <x:c r="I421" s="9" t="str">
        <x:v>England and Wales</x:v>
      </x:c>
      <x:c r="J421" s="9" t="str">
        <x:v>Charity Law</x:v>
      </x:c>
      <x:c r="K421" s="9" t="str">
        <x:v>ew-cases-EWCA-Civ-2021-243.xml</x:v>
      </x:c>
      <x:c r="L421" s="9" t="str">
        <x:v>TBA</x:v>
      </x:c>
    </x:row>
    <x:row r="422">
      <x:c r="A422" t="str">
        <x:v>7d186a5b-2e46-4390-ac35-a32346b2ed69</x:v>
      </x:c>
      <x:c r="B422" t="str">
        <x:v>c7763be7-d3d8-4e78-acc8-2eae10851872</x:v>
      </x:c>
      <x:c r="C422" s="9" t="str">
        <x:v>Bhardwaj v FDA &amp; Ors [2015] EWCA Civ 658</x:v>
      </x:c>
      <x:c r="D422" s="9" t="str"/>
      <x:c r="E422" s="9" t="str"/>
      <x:c r="F422" s="13" t="str">
        <x:v>2015</x:v>
      </x:c>
      <x:c r="G422" s="9" t="str">
        <x:v>England and Wales Court of Appeal (Civil Division)</x:v>
      </x:c>
      <x:c r="H422" s="9" t="str">
        <x:v>Appellate</x:v>
      </x:c>
      <x:c r="I422" s="9" t="str">
        <x:v>England and Wales</x:v>
      </x:c>
      <x:c r="J422" s="9" t="str">
        <x:v>Employment Law</x:v>
      </x:c>
      <x:c r="K422" s="9" t="str">
        <x:v>-ew-cases-EWCA-Civ-2015-658.xml</x:v>
      </x:c>
      <x:c r="L422" s="9" t="str">
        <x:v>TBA</x:v>
      </x:c>
    </x:row>
    <x:row r="423">
      <x:c r="A423" t="str">
        <x:v>ea1647d2-9f6b-4795-b39f-0e74d1f2664c</x:v>
      </x:c>
      <x:c r="B423" t="str">
        <x:v>32bd5e9b-528d-4742-b671-0c509a2a411b</x:v>
      </x:c>
      <x:c r="C423" s="9" t="str">
        <x:v>Bhardwaj v FDA &amp; Ors [2016] EWCA Civ 800</x:v>
      </x:c>
      <x:c r="D423" s="9" t="str"/>
      <x:c r="E423" s="9" t="str"/>
      <x:c r="F423" s="13" t="str">
        <x:v>2016</x:v>
      </x:c>
      <x:c r="G423" s="9" t="str">
        <x:v>England and Wales Court of Appeal (Civil Division)</x:v>
      </x:c>
      <x:c r="H423" s="9" t="str">
        <x:v>Court of Appeal (Civil Division)</x:v>
      </x:c>
      <x:c r="I423" s="9" t="str">
        <x:v>England and Wales</x:v>
      </x:c>
      <x:c r="J423" s="9" t="str">
        <x:v>Civil Procedure; Employment Law; Judicial Bias; Tribunal Proceedings</x:v>
      </x:c>
      <x:c r="K423" s="9" t="str">
        <x:v>-ew-cases-EWCA-Civ-2016-800.xml</x:v>
      </x:c>
      <x:c r="L423" s="9" t="str">
        <x:v>TBA</x:v>
      </x:c>
    </x:row>
    <x:row r="424">
      <x:c r="A424" t="str">
        <x:v>e1bc9792-06a6-40d6-aa5c-30d4cd52c7c6</x:v>
      </x:c>
      <x:c r="B424" t="str">
        <x:v>177ef874-6217-46e6-b6f2-3f6cf7bd2316</x:v>
      </x:c>
      <x:c r="C424" s="9" t="str">
        <x:v>Bhaur &amp; Ors v Equity First Trustees (Nevis) Ltd &amp; Ors [2023] EWCA Civ 534 (18 May 2023)</x:v>
      </x:c>
      <x:c r="D424" s="9" t="str"/>
      <x:c r="E424" s="9" t="str"/>
      <x:c r="F424" s="13" t="str">
        <x:v>2023</x:v>
      </x:c>
      <x:c r="G424" s="9" t="str">
        <x:v>England and Wales Court of Appeal (Civil Division)</x:v>
      </x:c>
      <x:c r="H424" s="9" t="str">
        <x:v>Court of Appeal (Civil Division)</x:v>
      </x:c>
      <x:c r="I424" s="9" t="str">
        <x:v>England and Wales</x:v>
      </x:c>
      <x:c r="J424" s="9" t="str">
        <x:v>Equitable relief; Mistake in dispositions; Tax avoidance; Trusts and estates</x:v>
      </x:c>
      <x:c r="K424" s="9" t="str">
        <x:v>ew-cases-EWCA-Civ-2023-534.xml</x:v>
      </x:c>
      <x:c r="L424" s="9" t="str">
        <x:v>TBA</x:v>
      </x:c>
    </x:row>
    <x:row r="425">
      <x:c r="A425" t="str">
        <x:v>e657fee0-6359-4034-b464-2c8aa4b66eb0</x:v>
      </x:c>
      <x:c r="B425" t="str">
        <x:v>312c8f0a-60ad-42fb-9c3b-1fbeda28968d</x:v>
      </x:c>
      <x:c r="C425" s="9" t="str">
        <x:v>Bhuiyan v Sainsbury's Plc</x:v>
      </x:c>
      <x:c r="D425" s="9" t="str"/>
      <x:c r="E425" s="9" t="str"/>
      <x:c r="F425" s="13" t="str">
        <x:v>2015</x:v>
      </x:c>
      <x:c r="G425" s="9" t="str">
        <x:v>England and Wales Court of Appeal (Civil Division)</x:v>
      </x:c>
      <x:c r="H425" s="9" t="str">
        <x:v>Appellate</x:v>
      </x:c>
      <x:c r="I425" s="9" t="str">
        <x:v>England and Wales</x:v>
      </x:c>
      <x:c r="J425" s="9" t="str">
        <x:v>Personal Injury</x:v>
      </x:c>
      <x:c r="K425" s="9" t="str">
        <x:v>-ew-cases-EWCA-Civ-2015-859.xml</x:v>
      </x:c>
      <x:c r="L425" s="9" t="str">
        <x:v>TBA</x:v>
      </x:c>
    </x:row>
    <x:row r="426">
      <x:c r="A426" t="str">
        <x:v>2a693e8c-3766-4810-94f1-18f27d709a65</x:v>
      </x:c>
      <x:c r="B426" t="str">
        <x:v>4ea40dee-862a-4b2b-87cd-d0066f3dfb1e</x:v>
      </x:c>
      <x:c r="C426" s="9" t="str">
        <x:v>Bibby Factors Northwest Ltd v HFD Ltd &amp; Anor [2015] EWCA Civ 1908</x:v>
      </x:c>
      <x:c r="D426" s="9" t="str"/>
      <x:c r="E426" s="9" t="str"/>
      <x:c r="F426" s="13" t="str">
        <x:v>2015</x:v>
      </x:c>
      <x:c r="G426" s="9" t="str">
        <x:v>England and Wales Court of Appeal (Civil Division)</x:v>
      </x:c>
      <x:c r="H426" s="9" t="str">
        <x:v>Appellate</x:v>
      </x:c>
      <x:c r="I426" s="9" t="str">
        <x:v>England and Wales</x:v>
      </x:c>
      <x:c r="J426" s="9" t="str">
        <x:v>Commercial Law</x:v>
      </x:c>
      <x:c r="K426" s="9" t="str">
        <x:v>-ew-cases-EWCA-Civ-2015-1908.xml</x:v>
      </x:c>
      <x:c r="L426" s="9" t="str">
        <x:v>TBA</x:v>
      </x:c>
    </x:row>
    <x:row r="427">
      <x:c r="A427" t="str">
        <x:v>755dfbfd-8d57-4034-8b09-e7254f7c62ca</x:v>
      </x:c>
      <x:c r="B427" t="str">
        <x:v>b609923b-da43-4309-8ec1-889b9baea3bc</x:v>
      </x:c>
      <x:c r="C427" s="9" t="str">
        <x:v>Biddick (Deceased), Representatives of the Estate of v Morcom [2014] EWCA Civ 182</x:v>
      </x:c>
      <x:c r="D427" s="9" t="str"/>
      <x:c r="E427" s="9" t="str"/>
      <x:c r="F427" s="13" t="str">
        <x:v>2014</x:v>
      </x:c>
      <x:c r="G427" s="9" t="str">
        <x:v>England and Wales Court of Appeal (Civil Division)</x:v>
      </x:c>
      <x:c r="H427" s="9" t="str">
        <x:v>Appellate</x:v>
      </x:c>
      <x:c r="I427" s="9" t="str">
        <x:v>England and Wales</x:v>
      </x:c>
      <x:c r="J427" s="9" t="str">
        <x:v>Personal Injury</x:v>
      </x:c>
      <x:c r="K427" s="9" t="str">
        <x:v>-ew-cases-EWCA-Civ-2014-182.xml</x:v>
      </x:c>
      <x:c r="L427" s="9" t="str">
        <x:v>TBA</x:v>
      </x:c>
    </x:row>
    <x:row r="428">
      <x:c r="A428" t="str">
        <x:v>283a4a81-5a84-4181-9ea9-b721312a6fc2</x:v>
      </x:c>
      <x:c r="B428" t="str">
        <x:v>d278da65-d42a-46c5-8c95-a34944bc081c</x:v>
      </x:c>
      <x:c r="C428" s="9" t="str">
        <x:v>Biden v Waverley Borough Council [2022] EWCA Civ 442</x:v>
      </x:c>
      <x:c r="D428" s="9" t="str"/>
      <x:c r="E428" s="9" t="str"/>
      <x:c r="F428" s="13" t="str">
        <x:v>2022</x:v>
      </x:c>
      <x:c r="G428" s="9" t="str">
        <x:v>England and Wales Court of Appeal (Civil Division)</x:v>
      </x:c>
      <x:c r="H428" s="9" t="str">
        <x:v>Court of Appeal (Civil Division)</x:v>
      </x:c>
      <x:c r="I428" s="9" t="str">
        <x:v>England and Wales</x:v>
      </x:c>
      <x:c r="J428" s="9" t="str">
        <x:v>Housing Law; Public Law; Administrative Law</x:v>
      </x:c>
      <x:c r="K428" s="9" t="str">
        <x:v>ew-cases-EWCA-Civ-2022-442.xml</x:v>
      </x:c>
      <x:c r="L428" s="9" t="str">
        <x:v>TBA</x:v>
      </x:c>
    </x:row>
    <x:row r="429">
      <x:c r="A429" t="str">
        <x:v>b21ead7e-280d-4108-a2a0-4a48356f8f0c</x:v>
      </x:c>
      <x:c r="B429" t="str">
        <x:v>031797cd-b2d5-42dc-9292-4485d3c8553c</x:v>
      </x:c>
      <x:c r="C429" s="9" t="str">
        <x:v>Bilal &amp; Anor v St George's University Hospital NHS Foundation Trust [2023] EWCA Civ 605</x:v>
      </x:c>
      <x:c r="D429" s="9" t="str"/>
      <x:c r="E429" s="9" t="str"/>
      <x:c r="F429" s="13" t="str">
        <x:v>2023</x:v>
      </x:c>
      <x:c r="G429" s="9" t="str">
        <x:v>England and Wales Court of Appeal (Civil Division)</x:v>
      </x:c>
      <x:c r="H429" s="9" t="str">
        <x:v>Court of Appeal (Civil Division)</x:v>
      </x:c>
      <x:c r="I429" s="9" t="str">
        <x:v>England and Wales</x:v>
      </x:c>
      <x:c r="J429" s="9" t="str">
        <x:v>Tort / Medical Negligence</x:v>
      </x:c>
      <x:c r="K429" s="9" t="str">
        <x:v>ew-cases-EWCA-Civ-2023-605.xml</x:v>
      </x:c>
      <x:c r="L429" s="9" t="str">
        <x:v>TBA</x:v>
      </x:c>
    </x:row>
    <x:row r="430">
      <x:c r="A430" t="str">
        <x:v>fa357070-837b-4620-a09a-b558e365f352</x:v>
      </x:c>
      <x:c r="B430" t="str">
        <x:v>5ee50d23-45cf-482e-b898-5a1247ee544b</x:v>
      </x:c>
      <x:c r="C430" s="9" t="str">
        <x:v>Billett v Ministry of Defence (MOD) [2015] EWCA Civ 773</x:v>
      </x:c>
      <x:c r="D430" s="9" t="str"/>
      <x:c r="E430" s="9" t="str"/>
      <x:c r="F430" s="13" t="str">
        <x:v>2015</x:v>
      </x:c>
      <x:c r="G430" s="9" t="str">
        <x:v>England and Wales Court of Appeal (Civil Division)</x:v>
      </x:c>
      <x:c r="H430" s="9" t="str">
        <x:v>Appellate</x:v>
      </x:c>
      <x:c r="I430" s="9" t="str">
        <x:v>England and Wales</x:v>
      </x:c>
      <x:c r="J430" s="9" t="str">
        <x:v>Personal Injury</x:v>
      </x:c>
      <x:c r="K430" s="9" t="str">
        <x:v>-ew-cases-EWCA-Civ-2015-773.xml</x:v>
      </x:c>
      <x:c r="L430" s="9" t="str">
        <x:v>TBA</x:v>
      </x:c>
    </x:row>
    <x:row r="431">
      <x:c r="A431" t="str">
        <x:v>5bccf227-cf36-4d77-b978-dae8ae9a0fea</x:v>
      </x:c>
      <x:c r="B431" t="str">
        <x:v>2574455d-4826-43b7-b203-6a460ac848c8</x:v>
      </x:c>
      <x:c r="C431" s="9" t="str">
        <x:v>Bilous v Secretary of State for the Home Department</x:v>
      </x:c>
      <x:c r="D431" s="9" t="str"/>
      <x:c r="E431" s="9" t="str"/>
      <x:c r="F431" s="13" t="str">
        <x:v>2015</x:v>
      </x:c>
      <x:c r="G431" s="9" t="str">
        <x:v>England and Wales Court of Appeal (Civil Division)</x:v>
      </x:c>
      <x:c r="H431" s="9" t="str">
        <x:v>Appellate</x:v>
      </x:c>
      <x:c r="I431" s="9" t="str">
        <x:v>United Kingdom</x:v>
      </x:c>
      <x:c r="J431" s="9" t="str">
        <x:v>Immigration Law</x:v>
      </x:c>
      <x:c r="K431" s="9" t="str">
        <x:v>-ew-cases-EWCA-Civ-2015-1426.xml</x:v>
      </x:c>
      <x:c r="L431" s="9" t="str">
        <x:v>TBA</x:v>
      </x:c>
    </x:row>
    <x:row r="432">
      <x:c r="A432" t="str">
        <x:v>3789aaa6-1298-449b-871d-44217d6f0801</x:v>
      </x:c>
      <x:c r="B432" t="str">
        <x:v>6fd9db9b-e4a2-4189-88e4-ec17d4628c9d</x:v>
      </x:c>
      <x:c r="C432" s="9" t="str">
        <x:v>Bilta (UK) Ltd &amp; Ors v Tradition Financial Services Ltd [2021] EWCA Civ 221</x:v>
      </x:c>
      <x:c r="D432" s="9" t="str"/>
      <x:c r="E432" s="9" t="str"/>
      <x:c r="F432" s="13" t="str">
        <x:v>2021</x:v>
      </x:c>
      <x:c r="G432" s="9" t="str">
        <x:v>England and Wales Court of Appeal (Civil Division)</x:v>
      </x:c>
      <x:c r="H432" s="9" t="str">
        <x:v>Appellate</x:v>
      </x:c>
      <x:c r="I432" s="9" t="str">
        <x:v>England and Wales</x:v>
      </x:c>
      <x:c r="J432" s="9" t="str">
        <x:v>Civil Litigation</x:v>
      </x:c>
      <x:c r="K432" s="9" t="str">
        <x:v>ew-cases-EWCA-Civ-2021-221.xml</x:v>
      </x:c>
      <x:c r="L432" s="9" t="str">
        <x:v>TBA</x:v>
      </x:c>
    </x:row>
    <x:row r="433">
      <x:c r="A433" t="str">
        <x:v>c3b94dc2-5d6b-4b1d-b31a-ab68c4fb37b2</x:v>
      </x:c>
      <x:c r="B433" t="str">
        <x:v>e68ffe9b-3c78-4e66-ad6f-d6865f9c5118</x:v>
      </x:c>
      <x:c r="C433" s="9" t="str">
        <x:v>Birch v Birch [2015] EWCA Civ 833</x:v>
      </x:c>
      <x:c r="D433" s="9" t="str"/>
      <x:c r="E433" s="9" t="str"/>
      <x:c r="F433" s="13" t="str">
        <x:v>2015</x:v>
      </x:c>
      <x:c r="G433" s="9" t="str">
        <x:v>England and Wales Court of Appeal (Civil Division)</x:v>
      </x:c>
      <x:c r="H433" s="9" t="str">
        <x:v>Appellate</x:v>
      </x:c>
      <x:c r="I433" s="9" t="str">
        <x:v>England and Wales</x:v>
      </x:c>
      <x:c r="J433" s="9" t="str">
        <x:v>Family Law</x:v>
      </x:c>
      <x:c r="K433" s="9" t="str">
        <x:v>-ew-cases-EWCA-Civ-2015-833.xml</x:v>
      </x:c>
      <x:c r="L433" s="9" t="str">
        <x:v>TBA</x:v>
      </x:c>
    </x:row>
    <x:row r="434">
      <x:c r="A434" t="str">
        <x:v>68e51a03-0d9a-4028-a980-d294919296d8</x:v>
      </x:c>
      <x:c r="B434" t="str">
        <x:v>11ee9b8c-91a2-43fd-8739-cbb0cc32e185</x:v>
      </x:c>
      <x:c r="C434" s="9" t="str">
        <x:v>Bird v Acorn Group Limited [2016] EWCA Civ 1096</x:v>
      </x:c>
      <x:c r="D434" s="9" t="str"/>
      <x:c r="E434" s="9" t="str"/>
      <x:c r="F434" s="13" t="str">
        <x:v>2016</x:v>
      </x:c>
      <x:c r="G434" s="9" t="str">
        <x:v>England and Wales Court of Appeal (Civil Division)</x:v>
      </x:c>
      <x:c r="H434" s="9" t="str">
        <x:v>Court of Appeal (Civil Division)</x:v>
      </x:c>
      <x:c r="I434" s="9" t="str">
        <x:v>England and Wales</x:v>
      </x:c>
      <x:c r="J434" s="9" t="str">
        <x:v>Costs and Civil Procedure</x:v>
      </x:c>
      <x:c r="K434" s="9" t="str">
        <x:v>-ew-cases-EWCA-Civ-2016-1096.xml</x:v>
      </x:c>
      <x:c r="L434" s="9" t="str">
        <x:v>TBA</x:v>
      </x:c>
    </x:row>
    <x:row r="435">
      <x:c r="A435" t="str">
        <x:v>6f63932b-b8eb-4b42-b972-22f9c40dbd28</x:v>
      </x:c>
      <x:c r="B435" t="str">
        <x:v>7a856da3-a730-472f-9592-4aa4cfedc60a</x:v>
      </x:c>
      <x:c r="C435" s="9" t="str">
        <x:v>Birdlip Limited v Hunter &amp; Anor [2016] EWCA Civ 603</x:v>
      </x:c>
      <x:c r="D435" s="9" t="str"/>
      <x:c r="E435" s="9" t="str"/>
      <x:c r="F435" s="13" t="str">
        <x:v>2016</x:v>
      </x:c>
      <x:c r="G435" s="9" t="str">
        <x:v>England and Wales Court of Appeal (Civil Division)</x:v>
      </x:c>
      <x:c r="H435" s="9" t="str">
        <x:v>Court of Appeal (Civil Division)</x:v>
      </x:c>
      <x:c r="I435" s="9" t="str">
        <x:v>England and Wales</x:v>
      </x:c>
      <x:c r="J435" s="9" t="str">
        <x:v>Property Law / Real Property (Restrictive Covenants)</x:v>
      </x:c>
      <x:c r="K435" s="9" t="str">
        <x:v>-ew-cases-EWCA-Civ-2016-603.xml</x:v>
      </x:c>
      <x:c r="L435" s="9" t="str">
        <x:v>TBA</x:v>
      </x:c>
    </x:row>
    <x:row r="436">
      <x:c r="A436" t="str">
        <x:v>22851a1e-5fc9-4e9d-b7c5-b8eb714c396e</x:v>
      </x:c>
      <x:c r="B436" t="str">
        <x:v>49237fe8-9162-4ac6-8bbb-c8a45d22859f</x:v>
      </x:c>
      <x:c r="C436" s="9" t="str">
        <x:v>Birmingham City Council v Bravington [2023] EWCA Civ 308</x:v>
      </x:c>
      <x:c r="D436" s="9" t="str"/>
      <x:c r="E436" s="9" t="str"/>
      <x:c r="F436" s="13" t="str">
        <x:v>2023</x:v>
      </x:c>
      <x:c r="G436" s="9" t="str">
        <x:v>England and Wales Court of Appeal (Civil Division)</x:v>
      </x:c>
      <x:c r="H436" s="9" t="str">
        <x:v>Court of Appeal (Civil Division)</x:v>
      </x:c>
      <x:c r="I436" s="9" t="str">
        <x:v>England and Wales</x:v>
      </x:c>
      <x:c r="J436" s="9" t="str">
        <x:v>Housing law; Local government; Tenancy; Administrative/service of notices</x:v>
      </x:c>
      <x:c r="K436" s="9" t="str">
        <x:v>ew-cases-EWCA-Civ-2023-308.xml</x:v>
      </x:c>
      <x:c r="L436" s="9" t="str">
        <x:v>TBA</x:v>
      </x:c>
    </x:row>
    <x:row r="437">
      <x:c r="A437" t="str">
        <x:v>3a423408-1558-49aa-bdb4-3d4cc1b6b108</x:v>
      </x:c>
      <x:c r="B437" t="str">
        <x:v>dae53b78-51aa-4de7-9d5d-d2f965947b6c</x:v>
      </x:c>
      <x:c r="C437" s="9" t="str">
        <x:v>Birmingham City Council v D (A Child) [2017] EWCA Civ 1695</x:v>
      </x:c>
      <x:c r="D437" s="9" t="str"/>
      <x:c r="E437" s="9" t="str"/>
      <x:c r="F437" s="13" t="str">
        <x:v>2017</x:v>
      </x:c>
      <x:c r="G437" s="9" t="str">
        <x:v>England and Wales Court of Appeal (Civil Division)</x:v>
      </x:c>
      <x:c r="H437" s="9" t="str">
        <x:v>Appellate</x:v>
      </x:c>
      <x:c r="I437" s="9" t="str">
        <x:v>England and Wales</x:v>
      </x:c>
      <x:c r="J437" s="9" t="str">
        <x:v>Child Welfare</x:v>
      </x:c>
      <x:c r="K437" s="9" t="str">
        <x:v>-ew-cases-EWCA-Civ-2017-1695.xml</x:v>
      </x:c>
      <x:c r="L437" s="9" t="str">
        <x:v>TBA</x:v>
      </x:c>
    </x:row>
    <x:row r="438">
      <x:c r="A438" t="str">
        <x:v>4ccb5a11-e78c-42e5-b30e-a4a233b1920b</x:v>
      </x:c>
      <x:c r="B438" t="str">
        <x:v>2d098c81-3b62-4d06-9de0-37f915ece927</x:v>
      </x:c>
      <x:c r="C438" s="9" t="str">
        <x:v>Birmingham City Council v SS &amp; Ors [2016] EWCA Civ 1211</x:v>
      </x:c>
      <x:c r="D438" s="9" t="str"/>
      <x:c r="E438" s="9" t="str"/>
      <x:c r="F438" s="13" t="str">
        <x:v>2016</x:v>
      </x:c>
      <x:c r="G438" s="9" t="str">
        <x:v>England and Wales Court of Appeal (Civil Division)</x:v>
      </x:c>
      <x:c r="H438" s="9" t="str">
        <x:v>Court of Appeal (Civil Division)</x:v>
      </x:c>
      <x:c r="I438" s="9" t="str">
        <x:v>England and Wales</x:v>
      </x:c>
      <x:c r="J438" s="9" t="str">
        <x:v>Administrative Law / Social Welfare (Housing Benefit)</x:v>
      </x:c>
      <x:c r="K438" s="9" t="str">
        <x:v>-ew-cases-EWCA-Civ-2016-1211.xml</x:v>
      </x:c>
      <x:c r="L438" s="9" t="str">
        <x:v>TBA</x:v>
      </x:c>
    </x:row>
    <x:row r="439">
      <x:c r="A439" t="str">
        <x:v>f84f9e1e-c317-4925-b70b-9520c54687aa</x:v>
      </x:c>
      <x:c r="B439" t="str">
        <x:v>a8b76825-0d9b-41fd-b456-439278b96794</x:v>
      </x:c>
      <x:c r="C439" s="9" t="str">
        <x:v>Birmingham City Council v Wilson [2016] EWCA Civ 1137</x:v>
      </x:c>
      <x:c r="D439" s="9" t="str"/>
      <x:c r="E439" s="9" t="str"/>
      <x:c r="F439" s="13" t="str">
        <x:v>2016</x:v>
      </x:c>
      <x:c r="G439" s="9" t="str">
        <x:v>England and Wales Court of Appeal (Civil Division)</x:v>
      </x:c>
      <x:c r="H439" s="9" t="str">
        <x:v>Court of Appeal (Civil Division)</x:v>
      </x:c>
      <x:c r="I439" s="9" t="str">
        <x:v>England and Wales</x:v>
      </x:c>
      <x:c r="J439" s="9" t="str">
        <x:v>Housing/Homelessness; Public Law; Equality Law</x:v>
      </x:c>
      <x:c r="K439" s="9" t="str">
        <x:v>-ew-cases-EWCA-Civ-2016-1137.xml</x:v>
      </x:c>
      <x:c r="L439" s="9" t="str">
        <x:v>TBA</x:v>
      </x:c>
    </x:row>
    <x:row r="440">
      <x:c r="A440" t="str">
        <x:v>4c68d3d0-659c-4d72-81ff-9b656054f826</x:v>
      </x:c>
      <x:c r="B440" t="str">
        <x:v>cd495d17-4a70-4b1a-ad32-713927ce6d8e</x:v>
      </x:c>
      <x:c r="C440" s="9" t="str">
        <x:v>Birmingham Hippodrome Theatre Trust Ltd v Revenue And Customs</x:v>
      </x:c>
      <x:c r="D440" s="9" t="str"/>
      <x:c r="E440" s="9" t="str"/>
      <x:c r="F440" s="13" t="str">
        <x:v>2014</x:v>
      </x:c>
      <x:c r="G440" s="9" t="str">
        <x:v>England and Wales Court of Appeal (Civil Division)</x:v>
      </x:c>
      <x:c r="H440" s="9" t="str">
        <x:v>Appellate</x:v>
      </x:c>
      <x:c r="I440" s="9" t="str">
        <x:v>England and Wales</x:v>
      </x:c>
      <x:c r="J440" s="9" t="str">
        <x:v>Tax Law</x:v>
      </x:c>
      <x:c r="K440" s="9" t="str">
        <x:v>-ew-cases-EWCA-Civ-2014-684.xml</x:v>
      </x:c>
      <x:c r="L440" s="9" t="str">
        <x:v>TBA</x:v>
      </x:c>
    </x:row>
    <x:row r="441">
      <x:c r="A441" t="str">
        <x:v>efe4be87-66b7-4438-adff-d4816fa119f8</x:v>
      </x:c>
      <x:c r="B441" t="str">
        <x:v>945cd74c-6126-4ef5-ae71-7c0099a28f2b</x:v>
      </x:c>
      <x:c r="C441" s="9" t="str">
        <x:v>Bishop v Chhokar [2015] EWCA Civ 24</x:v>
      </x:c>
      <x:c r="D441" s="9" t="str"/>
      <x:c r="E441" s="9" t="str"/>
      <x:c r="F441" s="13" t="str">
        <x:v>2015</x:v>
      </x:c>
      <x:c r="G441" s="9" t="str">
        <x:v>England and Wales Court of Appeal (Civil Division)</x:v>
      </x:c>
      <x:c r="H441" s="9" t="str">
        <x:v>Appellate</x:v>
      </x:c>
      <x:c r="I441" s="9" t="str">
        <x:v>England and Wales</x:v>
      </x:c>
      <x:c r="J441" s="9" t="str">
        <x:v>Contract Dispute</x:v>
      </x:c>
      <x:c r="K441" s="9" t="str">
        <x:v>-ew-cases-EWCA-Civ-2015-24.xml</x:v>
      </x:c>
      <x:c r="L441" s="9" t="str">
        <x:v>TBA</x:v>
      </x:c>
    </x:row>
    <x:row r="442">
      <x:c r="A442" t="str">
        <x:v>6c1fcdc7-77ba-4ad5-bb3e-fb5138a753b8</x:v>
      </x:c>
      <x:c r="B442" t="str">
        <x:v>f7eeb48f-eaa2-46b2-bd6e-8938f828540c</x:v>
      </x:c>
      <x:c r="C442" s="9" t="str">
        <x:v>Bishop v Golstein [2014] EWCA Civ 10</x:v>
      </x:c>
      <x:c r="D442" s="9" t="str"/>
      <x:c r="E442" s="9" t="str"/>
      <x:c r="F442" s="13" t="str">
        <x:v>2014</x:v>
      </x:c>
      <x:c r="G442" s="9" t="str">
        <x:v>England and Wales Court of Appeal (Civil Division)</x:v>
      </x:c>
      <x:c r="H442" s="9" t="str">
        <x:v>Appellate</x:v>
      </x:c>
      <x:c r="I442" s="9" t="str">
        <x:v>England and Wales</x:v>
      </x:c>
      <x:c r="J442" s="9" t="str">
        <x:v>Partnership Law</x:v>
      </x:c>
      <x:c r="K442" s="9" t="str">
        <x:v>-ew-cases-EWCA-Civ-2014-10.xml</x:v>
      </x:c>
      <x:c r="L442" s="9" t="str">
        <x:v>TBA</x:v>
      </x:c>
    </x:row>
    <x:row r="443">
      <x:c r="A443" t="str">
        <x:v>0ffb98e6-566b-415c-9f59-07997d09f296</x:v>
      </x:c>
      <x:c r="B443" t="str">
        <x:v>c5a5edf0-4845-4195-a969-082c8b5afa2a</x:v>
      </x:c>
      <x:c r="C443" s="9" t="str">
        <x:v>BK &amp; Anor v The Secretary of State for Justice [2015] EWCA Civ 1259</x:v>
      </x:c>
      <x:c r="D443" s="9" t="str"/>
      <x:c r="E443" s="9" t="str"/>
      <x:c r="F443" s="13" t="str">
        <x:v>2015</x:v>
      </x:c>
      <x:c r="G443" s="9" t="str">
        <x:v>England and Wales Court of Appeal (Civil Division)</x:v>
      </x:c>
      <x:c r="H443" s="9" t="str">
        <x:v>Appellate</x:v>
      </x:c>
      <x:c r="I443" s="9" t="str">
        <x:v>England and Wales</x:v>
      </x:c>
      <x:c r="J443" s="9" t="str">
        <x:v>Human Rights</x:v>
      </x:c>
      <x:c r="K443" s="9" t="str">
        <x:v>-ew-cases-EWCA-Civ-2015-1259.xml</x:v>
      </x:c>
      <x:c r="L443" s="9" t="str">
        <x:v>TBA</x:v>
      </x:c>
    </x:row>
    <x:row r="444">
      <x:c r="A444" t="str">
        <x:v>2fa78c7e-5aef-4132-8c00-829d0b4a3ac6</x:v>
      </x:c>
      <x:c r="B444" t="str">
        <x:v>0b9c65d4-5a4b-404e-8e21-51600d9a5672</x:v>
      </x:c>
      <x:c r="C444" s="9" t="str">
        <x:v>BK-S (Children) (Expert Evidence and Probability) [2015] EWCA Civ 442</x:v>
      </x:c>
      <x:c r="D444" s="9" t="str"/>
      <x:c r="E444" s="9" t="str"/>
      <x:c r="F444" s="13" t="str">
        <x:v>2015</x:v>
      </x:c>
      <x:c r="G444" s="9" t="str">
        <x:v>England and Wales Court of Appeal (Civil Division)</x:v>
      </x:c>
      <x:c r="H444" s="9" t="str">
        <x:v>Appellate</x:v>
      </x:c>
      <x:c r="I444" s="9" t="str">
        <x:v>England and Wales</x:v>
      </x:c>
      <x:c r="J444" s="9" t="str">
        <x:v>Public Law Children Proceedings</x:v>
      </x:c>
      <x:c r="K444" s="9" t="str">
        <x:v>-ew-cases-EWCA-Civ-2015-442.xml</x:v>
      </x:c>
      <x:c r="L444" s="9" t="str">
        <x:v>TBA</x:v>
      </x:c>
    </x:row>
    <x:row r="445">
      <x:c r="A445" t="str">
        <x:v>d8d418b2-ba6a-4f03-a955-93b8821a846d</x:v>
      </x:c>
      <x:c r="B445" t="str">
        <x:v>762b75a3-fc2f-4b63-bb4c-e238f73c1455</x:v>
      </x:c>
      <x:c r="C445" s="9" t="str">
        <x:v>BL (Jamaica) v The Secretary of State for the Home Department [2016] EWCA Civ 357</x:v>
      </x:c>
      <x:c r="D445" s="9" t="str"/>
      <x:c r="E445" s="9" t="str"/>
      <x:c r="F445" s="13" t="str">
        <x:v>2016</x:v>
      </x:c>
      <x:c r="G445" s="9" t="str">
        <x:v>England and Wales Court of Appeal (Civil Division)</x:v>
      </x:c>
      <x:c r="H445" s="9" t="str">
        <x:v>Court of Appeal (Civil Division)</x:v>
      </x:c>
      <x:c r="I445" s="9" t="str">
        <x:v>England and Wales</x:v>
      </x:c>
      <x:c r="J445" s="9" t="str">
        <x:v>Administrative Law; Immigration; Human Rights</x:v>
      </x:c>
      <x:c r="K445" s="9" t="str">
        <x:v>-ew-cases-EWCA-Civ-2016-357.xml</x:v>
      </x:c>
      <x:c r="L445" s="9" t="str">
        <x:v>TBA</x:v>
      </x:c>
    </x:row>
    <x:row r="446">
      <x:c r="A446" t="str">
        <x:v>9ca1da89-c819-4dcb-a14e-0d343ce9ea86</x:v>
      </x:c>
      <x:c r="B446" t="str">
        <x:v>5b394d57-ab56-4a29-ae8a-ac422d0df40e</x:v>
      </x:c>
      <x:c r="C446" s="9" t="str">
        <x:v>Blackbushe Airport Ltd v Hampshire County Council, R (On the Application of) &amp; Ors</x:v>
      </x:c>
      <x:c r="D446" s="9" t="str"/>
      <x:c r="E446" s="9" t="str"/>
      <x:c r="F446" s="13" t="str">
        <x:v>2021</x:v>
      </x:c>
      <x:c r="G446" s="9" t="str">
        <x:v>England and Wales Court of Appeal (Civil Division)</x:v>
      </x:c>
      <x:c r="H446" s="9" t="str">
        <x:v>Appellate</x:v>
      </x:c>
      <x:c r="I446" s="9" t="str">
        <x:v>England and Wales</x:v>
      </x:c>
      <x:c r="J446" s="9" t="str">
        <x:v>Administrative Law</x:v>
      </x:c>
      <x:c r="K446" s="9" t="str">
        <x:v>ew-cases-EWCA-Civ-2021-398.xml</x:v>
      </x:c>
      <x:c r="L446" s="9" t="str">
        <x:v>TBA</x:v>
      </x:c>
    </x:row>
    <x:row r="447">
      <x:c r="A447" t="str">
        <x:v>431d9771-16b3-4367-8bf7-dc566dec55d4</x:v>
      </x:c>
      <x:c r="B447" t="str">
        <x:v>85be361d-d4e8-464d-9b56-e7ba0996efd0</x:v>
      </x:c>
      <x:c r="C447" s="9" t="str">
        <x:v>Blacker, R (On the Application Of) v Chelmsford City Council (Rev1) [2023] EWCA Civ 25</x:v>
      </x:c>
      <x:c r="D447" s="9" t="str"/>
      <x:c r="E447" s="9" t="str"/>
      <x:c r="F447" s="13" t="str">
        <x:v>2023</x:v>
      </x:c>
      <x:c r="G447" s="9" t="str">
        <x:v>England and Wales Court of Appeal (Civil Division)</x:v>
      </x:c>
      <x:c r="H447" s="9" t="str">
        <x:v>Court of Appeal (Civil Division)</x:v>
      </x:c>
      <x:c r="I447" s="9" t="str">
        <x:v>England and Wales</x:v>
      </x:c>
      <x:c r="J447" s="9" t="str">
        <x:v>Public Law / Administrative Law (Planning) - Court of Appeal</x:v>
      </x:c>
      <x:c r="K447" s="9" t="str">
        <x:v>ew-cases-EWCA-Civ-2023-25.xml</x:v>
      </x:c>
      <x:c r="L447" s="9" t="str">
        <x:v>TBA</x:v>
      </x:c>
    </x:row>
    <x:row r="448">
      <x:c r="A448" t="str">
        <x:v>02a5228f-d62a-4e31-b9a0-90980d53a94f</x:v>
      </x:c>
      <x:c r="B448" t="str">
        <x:v>d0b6ef34-7b54-47f5-b104-c9b4028a92ca</x:v>
      </x:c>
      <x:c r="C448" s="9" t="str">
        <x:v>Blacklion Law LLP v Amira Nature Foods Ltd &amp; Anor [2023] EWCA Civ 663</x:v>
      </x:c>
      <x:c r="D448" s="9" t="str"/>
      <x:c r="E448" s="9" t="str"/>
      <x:c r="F448" s="13" t="str">
        <x:v>2023</x:v>
      </x:c>
      <x:c r="G448" s="9" t="str">
        <x:v>England and Wales Court of Appeal (Civil Division)</x:v>
      </x:c>
      <x:c r="H448" s="9" t="str">
        <x:v>Court of Appeal (Civil Division)</x:v>
      </x:c>
      <x:c r="I448" s="9" t="str">
        <x:v>England and Wales</x:v>
      </x:c>
      <x:c r="J448" s="9" t="str">
        <x:v>Contract Dispute; Tort; Appeals</x:v>
      </x:c>
      <x:c r="K448" s="9" t="str">
        <x:v>ew-cases-EWCA-Civ-2023-663.xml</x:v>
      </x:c>
      <x:c r="L448" s="9" t="str">
        <x:v>TBA</x:v>
      </x:c>
    </x:row>
    <x:row r="449">
      <x:c r="A449" t="str">
        <x:v>2f666eb7-da19-46e4-826d-a09fde15dc47</x:v>
      </x:c>
      <x:c r="B449" t="str">
        <x:v>f5189c16-01b1-4735-96f1-152e451e57e0</x:v>
      </x:c>
      <x:c r="C449" s="9" t="str">
        <x:v>Blackpool Football Club Ltd v DSN [2021] EWCA Civ 1352</x:v>
      </x:c>
      <x:c r="D449" s="9" t="str"/>
      <x:c r="E449" s="9" t="str"/>
      <x:c r="F449" s="13" t="str">
        <x:v>2021</x:v>
      </x:c>
      <x:c r="G449" s="9" t="str">
        <x:v>England and Wales Court of Appeal (Civil Division)</x:v>
      </x:c>
      <x:c r="H449" s="9" t="str">
        <x:v>Appellate</x:v>
      </x:c>
      <x:c r="I449" s="9" t="str">
        <x:v>England and Wales</x:v>
      </x:c>
      <x:c r="J449" s="9" t="str">
        <x:v>Tort</x:v>
      </x:c>
      <x:c r="K449" s="9" t="str">
        <x:v>ew-cases-EWCA-Civ-2021-1352.xml</x:v>
      </x:c>
      <x:c r="L449" s="9" t="str">
        <x:v>TBA</x:v>
      </x:c>
    </x:row>
    <x:row r="450">
      <x:c r="A450" t="str">
        <x:v>bb53e866-a53e-4326-9c3e-a930cf77df03</x:v>
      </x:c>
      <x:c r="B450" t="str">
        <x:v>f11318fb-c772-47dc-ba77-93454c37ba3f</x:v>
      </x:c>
      <x:c r="C450" s="9" t="str">
        <x:v>Blackwell v HM Revenue &amp; Customs [2017] EWCA Civ 232</x:v>
      </x:c>
      <x:c r="D450" s="9" t="str"/>
      <x:c r="E450" s="9" t="str"/>
      <x:c r="F450" s="13" t="str">
        <x:v>2017</x:v>
      </x:c>
      <x:c r="G450" s="9" t="str">
        <x:v>England and Wales Court of Appeal (Civil Division)</x:v>
      </x:c>
      <x:c r="H450" s="9" t="str">
        <x:v>Appellate</x:v>
      </x:c>
      <x:c r="I450" s="9" t="str">
        <x:v>England and Wales</x:v>
      </x:c>
      <x:c r="J450" s="9" t="str">
        <x:v>Tax Law</x:v>
      </x:c>
      <x:c r="K450" s="9" t="str">
        <x:v>-ew-cases-EWCA-Civ-2017-232.xml</x:v>
      </x:c>
      <x:c r="L450" s="9" t="str">
        <x:v>TBA</x:v>
      </x:c>
    </x:row>
    <x:row r="451">
      <x:c r="A451" t="str">
        <x:v>7ec13378-e085-42be-93fe-8c9513b24f83</x:v>
      </x:c>
      <x:c r="B451" t="str">
        <x:v>c9f35935-9997-46b2-8361-e27f28f7407a</x:v>
      </x:c>
      <x:c r="C451" s="9" t="str">
        <x:v>Blackwood v Birmingham &amp; Solihull Mental Health NHS Foundation Trust [2016] EWCA Civ 607</x:v>
      </x:c>
      <x:c r="D451" s="9" t="str"/>
      <x:c r="E451" s="9" t="str"/>
      <x:c r="F451" s="13" t="str">
        <x:v>2016</x:v>
      </x:c>
      <x:c r="G451" s="9" t="str">
        <x:v>England and Wales Court of Appeal (Civil Division)</x:v>
      </x:c>
      <x:c r="H451" s="9" t="str">
        <x:v>Court of Appeal (Civil Division)</x:v>
      </x:c>
      <x:c r="I451" s="9" t="str">
        <x:v>England and Wales</x:v>
      </x:c>
      <x:c r="J451" s="9" t="str">
        <x:v>Discrimination; Employment and Education Law</x:v>
      </x:c>
      <x:c r="K451" s="9" t="str">
        <x:v>-ew-cases-EWCA-Civ-2016-607.xml</x:v>
      </x:c>
      <x:c r="L451" s="9" t="str">
        <x:v>TBA</x:v>
      </x:c>
    </x:row>
    <x:row r="452">
      <x:c r="A452" t="str">
        <x:v>651cd733-529f-4bfe-a4fa-7da1d81846de</x:v>
      </x:c>
      <x:c r="B452" t="str">
        <x:v>67717e1c-b5c1-4c88-85ff-ee62178e437b</x:v>
      </x:c>
      <x:c r="C452" s="9" t="str">
        <x:v>Blakemores LDP v Scott &amp; Anor [2015] EWCA Civ 999</x:v>
      </x:c>
      <x:c r="D452" s="9" t="str"/>
      <x:c r="E452" s="9" t="str"/>
      <x:c r="F452" s="13" t="str">
        <x:v>2015</x:v>
      </x:c>
      <x:c r="G452" s="9" t="str">
        <x:v>England and Wales Court of Appeal (Civil Division)</x:v>
      </x:c>
      <x:c r="H452" s="9" t="str">
        <x:v>Appellate</x:v>
      </x:c>
      <x:c r="I452" s="9" t="str">
        <x:v>United Kingdom</x:v>
      </x:c>
      <x:c r="J452" s="9" t="str">
        <x:v>Negligence</x:v>
      </x:c>
      <x:c r="K452" s="9" t="str">
        <x:v>-ew-cases-EWCA-Civ-2015-999.xml</x:v>
      </x:c>
      <x:c r="L452" s="9" t="str">
        <x:v>TBA</x:v>
      </x:c>
    </x:row>
    <x:row r="453">
      <x:c r="A453" t="str">
        <x:v>a188e815-fc98-4a88-b14f-27ed8faba918</x:v>
      </x:c>
      <x:c r="B453" t="str">
        <x:v>ef5a39fe-b98f-4a10-b71b-98c3d2fd7baf</x:v>
      </x:c>
      <x:c r="C453" s="9" t="str">
        <x:v>Blakesley v Secretary of State for Work And Pensions [2015] EWCA Civ 141</x:v>
      </x:c>
      <x:c r="D453" s="9" t="str"/>
      <x:c r="E453" s="9" t="str"/>
      <x:c r="F453" s="13" t="str">
        <x:v>2015</x:v>
      </x:c>
      <x:c r="G453" s="9" t="str">
        <x:v>England and Wales Court of Appeal (Civil Division)</x:v>
      </x:c>
      <x:c r="H453" s="9" t="str">
        <x:v>Appellate</x:v>
      </x:c>
      <x:c r="I453" s="9" t="str">
        <x:v>England and Wales</x:v>
      </x:c>
      <x:c r="J453" s="9" t="str">
        <x:v>Social Welfare Law</x:v>
      </x:c>
      <x:c r="K453" s="9" t="str">
        <x:v>-ew-cases-EWCA-Civ-2015-141.xml</x:v>
      </x:c>
      <x:c r="L453" s="9" t="str">
        <x:v>TBA</x:v>
      </x:c>
    </x:row>
    <x:row r="454">
      <x:c r="A454" t="str">
        <x:v>406e724b-0fd8-40dd-8a81-f000a6e9f5da</x:v>
      </x:c>
      <x:c r="B454" t="str">
        <x:v>613c8a08-0ef2-46ac-ad1a-778f429af96c</x:v>
      </x:c>
      <x:c r="C454" s="9" t="str">
        <x:v>Blankley v Central Manchester And Manchester Children's University Hospitals NHS Trust [2015] EWCA Civ 18</x:v>
      </x:c>
      <x:c r="D454" s="9" t="str"/>
      <x:c r="E454" s="9" t="str"/>
      <x:c r="F454" s="13" t="str">
        <x:v>2015</x:v>
      </x:c>
      <x:c r="G454" s="9" t="str">
        <x:v>England and Wales Court of Appeal (Civil Division)</x:v>
      </x:c>
      <x:c r="H454" s="9" t="str">
        <x:v>Appellate</x:v>
      </x:c>
      <x:c r="I454" s="9" t="str">
        <x:v>England and Wales</x:v>
      </x:c>
      <x:c r="J454" s="9" t="str">
        <x:v>Civil Litigation</x:v>
      </x:c>
      <x:c r="K454" s="9" t="str">
        <x:v>-ew-cases-EWCA-Civ-2015-18.xml</x:v>
      </x:c>
      <x:c r="L454" s="9" t="str">
        <x:v>TBA</x:v>
      </x:c>
    </x:row>
    <x:row r="455">
      <x:c r="A455" t="str">
        <x:v>25dea9cb-3c68-4941-a799-3a8b7e2c6111</x:v>
      </x:c>
      <x:c r="B455" t="str">
        <x:v>6d0d92fa-7926-484d-844a-a9c00daa3391</x:v>
      </x:c>
      <x:c r="C455" s="9" t="str">
        <x:v>Blue Bio Pharmaceuticals Ltd &amp; Anor v Secretary of State for Health &amp; Anor [2016] EWCA Civ 554 (17 June 2016)</x:v>
      </x:c>
      <x:c r="D455" s="9" t="str"/>
      <x:c r="E455" s="9" t="str"/>
      <x:c r="F455" s="13" t="str">
        <x:v>2016</x:v>
      </x:c>
      <x:c r="G455" s="9" t="str">
        <x:v>England and Wales Court of Appeal (Civil Division)</x:v>
      </x:c>
      <x:c r="H455" s="9" t="str">
        <x:v>Court of Appeal (Civil Division)</x:v>
      </x:c>
      <x:c r="I455" s="9" t="str">
        <x:v>England and Wales</x:v>
      </x:c>
      <x:c r="J455" s="9" t="str">
        <x:v>Regulatory/Administrative Law</x:v>
      </x:c>
      <x:c r="K455" s="9" t="str">
        <x:v>-ew-cases-EWCA-Civ-2016-554.xml</x:v>
      </x:c>
      <x:c r="L455" s="9" t="str">
        <x:v>TBA</x:v>
      </x:c>
    </x:row>
    <x:row r="456">
      <x:c r="A456" t="str">
        <x:v>4c8680ee-4bf6-4d11-b2b0-913dae25a91c</x:v>
      </x:c>
      <x:c r="B456" t="str">
        <x:v>c4b78e7a-84ea-48ee-8153-38286d8f9094</x:v>
      </x:c>
      <x:c r="C456" s="9" t="str">
        <x:v>Blue Gentian LLC &amp; Anor v Tristar Products (UK) Ltd &amp; Anor [2015] EWCA Civ 746</x:v>
      </x:c>
      <x:c r="D456" s="9" t="str"/>
      <x:c r="E456" s="9" t="str"/>
      <x:c r="F456" s="13" t="str">
        <x:v>2015</x:v>
      </x:c>
      <x:c r="G456" s="9" t="str">
        <x:v>England and Wales Court of Appeal (Civil Division)</x:v>
      </x:c>
      <x:c r="H456" s="9" t="str">
        <x:v>Appellate</x:v>
      </x:c>
      <x:c r="I456" s="9" t="str">
        <x:v>England and Wales</x:v>
      </x:c>
      <x:c r="J456" s="9" t="str">
        <x:v>Patent Law</x:v>
      </x:c>
      <x:c r="K456" s="9" t="str">
        <x:v>-ew-cases-EWCA-Civ-2015-746.xml</x:v>
      </x:c>
      <x:c r="L456" s="9" t="str">
        <x:v>TBA</x:v>
      </x:c>
    </x:row>
    <x:row r="457">
      <x:c r="A457" t="str">
        <x:v>70231e39-198b-434e-8656-094c730ab354</x:v>
      </x:c>
      <x:c r="B457" t="str">
        <x:v>2507b8fb-a7d2-4775-aae3-b8f5d167d420</x:v>
      </x:c>
      <x:c r="C457" s="9" t="str">
        <x:v>Blue Holding &amp; Ors v United States of America</x:v>
      </x:c>
      <x:c r="D457" s="9" t="str"/>
      <x:c r="E457" s="9" t="str"/>
      <x:c r="F457" s="13" t="str">
        <x:v>2014</x:v>
      </x:c>
      <x:c r="G457" s="9" t="str">
        <x:v>England and Wales Court of Appeal (Civil Division)</x:v>
      </x:c>
      <x:c r="H457" s="9" t="str">
        <x:v>Appellate</x:v>
      </x:c>
      <x:c r="I457" s="9" t="str">
        <x:v>England and Wales</x:v>
      </x:c>
      <x:c r="J457" s="9" t="str">
        <x:v>Civil Procedure</x:v>
      </x:c>
      <x:c r="K457" s="9" t="str">
        <x:v>-ew-cases-EWCA-Civ-2014-1291.xml</x:v>
      </x:c>
      <x:c r="L457" s="9" t="str">
        <x:v>TBA</x:v>
      </x:c>
    </x:row>
    <x:row r="458">
      <x:c r="A458" t="str">
        <x:v>6f69aa6b-6ed2-4a2c-910a-c3e8ee150865</x:v>
      </x:c>
      <x:c r="B458" t="str">
        <x:v>2e5e5410-0543-4d79-bb6c-7877e3b6cc97</x:v>
      </x:c>
      <x:c r="C458" s="9" t="str">
        <x:v>Blue Holdings (1) PTE Limited &amp; ANOTHER v National Crime Agency [2016] EWCA Civ 760</x:v>
      </x:c>
      <x:c r="D458" s="9" t="str"/>
      <x:c r="E458" s="9" t="str"/>
      <x:c r="F458" s="13" t="str">
        <x:v>2016</x:v>
      </x:c>
      <x:c r="G458" s="9" t="str">
        <x:v>England and Wales Court of Appeal (Civil Division)</x:v>
      </x:c>
      <x:c r="H458" s="9" t="str">
        <x:v>Court of Appeal (Civil Division)</x:v>
      </x:c>
      <x:c r="I458" s="9" t="str">
        <x:v>England and Wales</x:v>
      </x:c>
      <x:c r="J458" s="9" t="str">
        <x:v>Civil Procedure / International Law</x:v>
      </x:c>
      <x:c r="K458" s="9" t="str">
        <x:v>-ew-cases-EWCA-Civ-2016-760.xml</x:v>
      </x:c>
      <x:c r="L458" s="9" t="str">
        <x:v>TBA</x:v>
      </x:c>
    </x:row>
    <x:row r="459">
      <x:c r="A459" t="str">
        <x:v>5291cd6a-f3c7-4973-8d88-d2ce14d5e55d</x:v>
      </x:c>
      <x:c r="B459" t="str">
        <x:v>8dc7ffb4-552c-4acf-ab1d-4415324f2905</x:v>
      </x:c>
      <x:c r="C459" s="9" t="str">
        <x:v>Blue Tropic Ltd &amp; Coppella Ventures Ltd v Chkhartishvili [2016] EWCA Civ 1259 (Court of Appeal, Civil Division) – Limitation, Amendment and Georgian Law Delict</x:v>
      </x:c>
      <x:c r="D459" s="9" t="str"/>
      <x:c r="E459" s="9" t="str"/>
      <x:c r="F459" s="13" t="str">
        <x:v>2016</x:v>
      </x:c>
      <x:c r="G459" s="9" t="str">
        <x:v>England and Wales Court of Appeal (Civil Division)</x:v>
      </x:c>
      <x:c r="H459" s="9" t="str">
        <x:v>Court of Appeal (Civil Division)</x:v>
      </x:c>
      <x:c r="I459" s="9" t="str">
        <x:v>England and Wales</x:v>
      </x:c>
      <x:c r="J459" s="9" t="str">
        <x:v>Civil Procedure / International Private Law</x:v>
      </x:c>
      <x:c r="K459" s="9" t="str">
        <x:v>-ew-cases-EWCA-Civ-2016-1259.xml</x:v>
      </x:c>
      <x:c r="L459" s="9" t="str">
        <x:v>TBA</x:v>
      </x:c>
    </x:row>
    <x:row r="460">
      <x:c r="A460" t="str">
        <x:v>0f2feaff-e99c-4fd6-b77f-4503b1699d0f</x:v>
      </x:c>
      <x:c r="B460" t="str">
        <x:v>9a272ef6-d2cd-4a55-90eb-9840f7b328a0</x:v>
      </x:c>
      <x:c r="C460" s="9" t="str">
        <x:v>Bluebridge Ltd v S Kelly (Building Contractors) Ltd [2015] EWCA Civ 1104</x:v>
      </x:c>
      <x:c r="D460" s="9" t="str"/>
      <x:c r="E460" s="9" t="str"/>
      <x:c r="F460" s="13" t="str">
        <x:v>2015</x:v>
      </x:c>
      <x:c r="G460" s="9" t="str">
        <x:v>England and Wales Court of Appeal (Civil Division)</x:v>
      </x:c>
      <x:c r="H460" s="9" t="str">
        <x:v>Appellate</x:v>
      </x:c>
      <x:c r="I460" s="9" t="str">
        <x:v>England and Wales</x:v>
      </x:c>
      <x:c r="J460" s="9" t="str">
        <x:v>Commercial Law</x:v>
      </x:c>
      <x:c r="K460" s="9" t="str">
        <x:v>-ew-cases-EWCA-Civ-2015-1104.xml</x:v>
      </x:c>
      <x:c r="L460" s="9" t="str">
        <x:v>TBA</x:v>
      </x:c>
    </x:row>
    <x:row r="461">
      <x:c r="A461" t="str">
        <x:v>88e9aabc-d559-4551-ae11-592405b55634</x:v>
      </x:c>
      <x:c r="B461" t="str">
        <x:v>f15e7a11-2936-4122-9b8c-7bbea078f37d</x:v>
      </x:c>
      <x:c r="C461" s="9" t="str">
        <x:v>BM (Iran) v Secretary of State for the Home Department [2015] EWCA Civ 491</x:v>
      </x:c>
      <x:c r="D461" s="9" t="str"/>
      <x:c r="E461" s="9" t="str"/>
      <x:c r="F461" s="13" t="str">
        <x:v>2015</x:v>
      </x:c>
      <x:c r="G461" s="9" t="str">
        <x:v>England and Wales Court of Appeal (Civil Division)</x:v>
      </x:c>
      <x:c r="H461" s="9" t="str">
        <x:v>Appellate</x:v>
      </x:c>
      <x:c r="I461" s="9" t="str">
        <x:v>England and Wales</x:v>
      </x:c>
      <x:c r="J461" s="9" t="str">
        <x:v>Immigration Law</x:v>
      </x:c>
      <x:c r="K461" s="9" t="str">
        <x:v>-ew-cases-EWCA-Civ-2015-491.xml</x:v>
      </x:c>
      <x:c r="L461" s="9" t="str">
        <x:v>TBA</x:v>
      </x:c>
    </x:row>
    <x:row r="462">
      <x:c r="A462" t="str">
        <x:v>b0302840-37b1-4fa8-9829-9cbc22518d02</x:v>
      </x:c>
      <x:c r="B462" t="str">
        <x:v>ae5d4967-b39d-44bb-8b43-7ee77a09a34c</x:v>
      </x:c>
      <x:c r="C462" s="9" t="str">
        <x:v>BMC Properties &amp; Management Ltd v Jackson (Valuation Officer) [2015] EWCA Civ 1306</x:v>
      </x:c>
      <x:c r="D462" s="9" t="str"/>
      <x:c r="E462" s="9" t="str"/>
      <x:c r="F462" s="13" t="str">
        <x:v>2015</x:v>
      </x:c>
      <x:c r="G462" s="9" t="str">
        <x:v>England and Wales Court of Appeal (Civil Division)</x:v>
      </x:c>
      <x:c r="H462" s="9" t="str">
        <x:v>Appellate</x:v>
      </x:c>
      <x:c r="I462" s="9" t="str">
        <x:v>England and Wales</x:v>
      </x:c>
      <x:c r="J462" s="9" t="str">
        <x:v>Administrative Law / Rating Appeals</x:v>
      </x:c>
      <x:c r="K462" s="9" t="str">
        <x:v>-ew-cases-EWCA-Civ-2015-1306.xml</x:v>
      </x:c>
      <x:c r="L462" s="9" t="str">
        <x:v>TBA</x:v>
      </x:c>
    </x:row>
    <x:row r="463">
      <x:c r="A463" t="str">
        <x:v>501f0e4d-ea25-4261-8eaf-08fd691c2afd</x:v>
      </x:c>
      <x:c r="B463" t="str">
        <x:v>d8d7531b-858b-4a71-9cd0-aa8c9ca73558</x:v>
      </x:c>
      <x:c r="C463" s="9" t="str">
        <x:v>BNM v MGN Ltd [2017] EWCA Civ 1767</x:v>
      </x:c>
      <x:c r="D463" s="9" t="str"/>
      <x:c r="E463" s="9" t="str"/>
      <x:c r="F463" s="13" t="str">
        <x:v>2017</x:v>
      </x:c>
      <x:c r="G463" s="9" t="str">
        <x:v>England and Wales Court of Appeal (Civil Division)</x:v>
      </x:c>
      <x:c r="H463" s="9" t="str">
        <x:v>Appellate</x:v>
      </x:c>
      <x:c r="I463" s="9" t="str">
        <x:v>England and Wales</x:v>
      </x:c>
      <x:c r="J463" s="9" t="str">
        <x:v>Costs Assessment</x:v>
      </x:c>
      <x:c r="K463" s="9" t="str">
        <x:v>-ew-cases-EWCA-Civ-2017-1767.xml</x:v>
      </x:c>
      <x:c r="L463" s="9" t="str">
        <x:v>TBA</x:v>
      </x:c>
    </x:row>
    <x:row r="464">
      <x:c r="A464" t="str">
        <x:v>fc4b6048-df73-41eb-97f9-193f3fc64d56</x:v>
      </x:c>
      <x:c r="B464" t="str">
        <x:v>e36f4ec6-7b11-424d-a9a1-47b0cc6c99b3</x:v>
      </x:c>
      <x:c r="C464" s="9" t="str">
        <x:v>Bogolyubova v Bogolyubov &amp; Anor [2023] EWCA Civ 547</x:v>
      </x:c>
      <x:c r="D464" s="9" t="str"/>
      <x:c r="E464" s="9" t="str"/>
      <x:c r="F464" s="13" t="str">
        <x:v>2023</x:v>
      </x:c>
      <x:c r="G464" s="9" t="str">
        <x:v>England and Wales Court of Appeal (Civil Division)</x:v>
      </x:c>
      <x:c r="H464" s="9" t="str">
        <x:v>Court of Appeal</x:v>
      </x:c>
      <x:c r="I464" s="9" t="str">
        <x:v>England and Wales</x:v>
      </x:c>
      <x:c r="J464" s="9" t="str">
        <x:v>Family Law / Financial Remedies</x:v>
      </x:c>
      <x:c r="K464" s="9" t="str">
        <x:v>ew-cases-EWCA-Civ-2023-547.xml</x:v>
      </x:c>
      <x:c r="L464" s="9" t="str">
        <x:v>TBA</x:v>
      </x:c>
    </x:row>
    <x:row r="465">
      <x:c r="A465" t="str">
        <x:v>06d97218-c023-4c3c-a5f7-47921b9864ad</x:v>
      </x:c>
      <x:c r="B465" t="str">
        <x:v>8737b0a3-c0ba-467a-b6f1-315a886fe143</x:v>
      </x:c>
      <x:c r="C465" s="9" t="str">
        <x:v>Bolle Transport BV v Secretary of State for the Home Department [2016] EWCA Civ 783</x:v>
      </x:c>
      <x:c r="D465" s="9" t="str"/>
      <x:c r="E465" s="9" t="str"/>
      <x:c r="F465" s="13" t="str">
        <x:v>2016</x:v>
      </x:c>
      <x:c r="G465" s="9" t="str">
        <x:v>England and Wales Court of Appeal (Civil Division)</x:v>
      </x:c>
      <x:c r="H465" s="9" t="str">
        <x:v>Court of Appeal (Civil Division)</x:v>
      </x:c>
      <x:c r="I465" s="9" t="str">
        <x:v>England and Wales</x:v>
      </x:c>
      <x:c r="J465" s="9" t="str">
        <x:v>Civil / Administrative Law</x:v>
      </x:c>
      <x:c r="K465" s="9" t="str">
        <x:v>-ew-cases-EWCA-Civ-2016-783.xml</x:v>
      </x:c>
      <x:c r="L465" s="9" t="str">
        <x:v>TBA</x:v>
      </x:c>
    </x:row>
    <x:row r="466">
      <x:c r="A466" t="str">
        <x:v>699240cf-f5d6-48bf-9b3a-10888d8358a3</x:v>
      </x:c>
      <x:c r="B466" t="str">
        <x:v>ac6c304a-0226-46d7-ba8b-4db4def29ae5</x:v>
      </x:c>
      <x:c r="C466" s="9" t="str">
        <x:v>Bolton &amp; Ors v St Anselm Development Company Ltd</x:v>
      </x:c>
      <x:c r="D466" s="9" t="str"/>
      <x:c r="E466" s="9" t="str"/>
      <x:c r="F466" s="13" t="str">
        <x:v>2014</x:v>
      </x:c>
      <x:c r="G466" s="9" t="str">
        <x:v>England and Wales Court of Appeal (Civil Division)</x:v>
      </x:c>
      <x:c r="H466" s="9" t="str">
        <x:v>Appellate</x:v>
      </x:c>
      <x:c r="I466" s="9" t="str">
        <x:v>England and Wales</x:v>
      </x:c>
      <x:c r="J466" s="9" t="str">
        <x:v>Property Law</x:v>
      </x:c>
      <x:c r="K466" s="9" t="str">
        <x:v>-ew-cases-EWCA-Civ-2014-27.xml</x:v>
      </x:c>
      <x:c r="L466" s="9" t="str">
        <x:v>TBA</x:v>
      </x:c>
    </x:row>
    <x:row r="467">
      <x:c r="A467" t="str">
        <x:v>4154d66a-2ec4-4e18-867d-1953947d10a2</x:v>
      </x:c>
      <x:c r="B467" t="str">
        <x:v>d3b33e5e-adc0-419f-ab43-45acfd51f421</x:v>
      </x:c>
      <x:c r="C467" s="9" t="str">
        <x:v>Bond v Dunster Properties Ltd &amp; Ors [2011] EWCA Civ 455</x:v>
      </x:c>
      <x:c r="D467" s="9" t="str"/>
      <x:c r="E467" s="9" t="str"/>
      <x:c r="F467" s="13" t="str">
        <x:v>2011</x:v>
      </x:c>
      <x:c r="G467" s="9" t="str">
        <x:v>England and Wales Court of Appeal (Civil Division)</x:v>
      </x:c>
      <x:c r="H467" s="9" t="str">
        <x:v>Appellate</x:v>
      </x:c>
      <x:c r="I467" s="9" t="str">
        <x:v>England and Wales</x:v>
      </x:c>
      <x:c r="J467" s="9" t="str">
        <x:v>Civil</x:v>
      </x:c>
      <x:c r="K467" s="9" t="str">
        <x:v>PT_EWCA-Civ_2011_455.xml</x:v>
      </x:c>
      <x:c r="L467" s="9" t="str">
        <x:v>TBA</x:v>
      </x:c>
    </x:row>
    <x:row r="468">
      <x:c r="A468" t="str">
        <x:v>0b378b2c-26a8-420b-8b34-25b6ed01a76a</x:v>
      </x:c>
      <x:c r="B468" t="str">
        <x:v>df31e7f9-7109-4d2f-8061-acb4974c1b8e</x:v>
      </x:c>
      <x:c r="C468" s="9" t="str">
        <x:v>Bone v North Essex Partnership NHS Foundation Trust [2014] EWCA Civ 652</x:v>
      </x:c>
      <x:c r="D468" s="9" t="str"/>
      <x:c r="E468" s="9" t="str"/>
      <x:c r="F468" s="13" t="str">
        <x:v>2014</x:v>
      </x:c>
      <x:c r="G468" s="9" t="str">
        <x:v>England and Wales Court of Appeal (Civil Division)</x:v>
      </x:c>
      <x:c r="H468" s="9" t="str">
        <x:v>Appellate</x:v>
      </x:c>
      <x:c r="I468" s="9" t="str">
        <x:v>England and Wales</x:v>
      </x:c>
      <x:c r="J468" s="9" t="str">
        <x:v>Employment Law</x:v>
      </x:c>
      <x:c r="K468" s="9" t="str">
        <x:v>-ew-cases-EWCA-Civ-2014-652.xml</x:v>
      </x:c>
      <x:c r="L468" s="9" t="str">
        <x:v>TBA</x:v>
      </x:c>
    </x:row>
    <x:row r="469">
      <x:c r="A469" t="str">
        <x:v>dfdc1577-d6e2-4d6d-97ef-c9c91d59d128</x:v>
      </x:c>
      <x:c r="B469" t="str">
        <x:v>1771150a-79c0-4f84-b72f-ec359226bb1b</x:v>
      </x:c>
      <x:c r="C469" s="9" t="str">
        <x:v>Bone v North Essex Partnership NHS Foundation Trust [2016] EWCA Civ 45</x:v>
      </x:c>
      <x:c r="D469" s="9" t="str"/>
      <x:c r="E469" s="9" t="str"/>
      <x:c r="F469" s="13" t="str">
        <x:v>2016</x:v>
      </x:c>
      <x:c r="G469" s="9" t="str">
        <x:v>England and Wales Court of Appeal (Civil Division)</x:v>
      </x:c>
      <x:c r="H469" s="9" t="str">
        <x:v>Court of Appeal (Civil Division)</x:v>
      </x:c>
      <x:c r="I469" s="9" t="str">
        <x:v>England and Wales</x:v>
      </x:c>
      <x:c r="J469" s="9" t="str">
        <x:v>Employment Law – Trade Union Rights / Discrimination</x:v>
      </x:c>
      <x:c r="K469" s="9" t="str">
        <x:v>-ew-cases-EWCA-Civ-2016-45.xml</x:v>
      </x:c>
      <x:c r="L469" s="9" t="str">
        <x:v>TBA</x:v>
      </x:c>
    </x:row>
    <x:row r="470">
      <x:c r="A470" t="str">
        <x:v>bdda390a-8274-4c9f-80e2-49be1eed0383</x:v>
      </x:c>
      <x:c r="B470" t="str">
        <x:v>e4fcddfc-c62a-453c-be50-406b47e5fd0d</x:v>
      </x:c>
      <x:c r="C470" s="9" t="str">
        <x:v>Bonhams 1973 Ltd v Lawson &amp; Ors [2015] EWCA Civ 1062</x:v>
      </x:c>
      <x:c r="D470" s="9" t="str"/>
      <x:c r="E470" s="9" t="str"/>
      <x:c r="F470" s="13" t="str">
        <x:v>2015</x:v>
      </x:c>
      <x:c r="G470" s="9" t="str">
        <x:v>England and Wales Court of Appeal (Civil Division)</x:v>
      </x:c>
      <x:c r="H470" s="9" t="str">
        <x:v>Appellate</x:v>
      </x:c>
      <x:c r="I470" s="9" t="str">
        <x:v>England and Wales</x:v>
      </x:c>
      <x:c r="J470" s="9" t="str">
        <x:v>Civil Procedure</x:v>
      </x:c>
      <x:c r="K470" s="9" t="str">
        <x:v>-ew-cases-EWCA-Civ-2015-1062.xml</x:v>
      </x:c>
      <x:c r="L470" s="9" t="str">
        <x:v>TBA</x:v>
      </x:c>
    </x:row>
    <x:row r="471">
      <x:c r="A471" t="str">
        <x:v>2dc3ebf1-1ccb-49fa-b4d6-d00e33d452f1</x:v>
      </x:c>
      <x:c r="B471" t="str">
        <x:v>3e3e3bf7-ee19-4a93-a92d-d4e88a8038ec</x:v>
      </x:c>
      <x:c r="C471" s="9" t="str">
        <x:v>Bonsall v Secretary of State for Communities and Local Government &amp; Anor [2015] EWCA Civ 1246</x:v>
      </x:c>
      <x:c r="D471" s="9" t="str"/>
      <x:c r="E471" s="9" t="str"/>
      <x:c r="F471" s="13" t="str">
        <x:v>2015</x:v>
      </x:c>
      <x:c r="G471" s="9" t="str">
        <x:v>England and Wales Court of Appeal (Civil Division)</x:v>
      </x:c>
      <x:c r="H471" s="9" t="str">
        <x:v>Appellate</x:v>
      </x:c>
      <x:c r="I471" s="9" t="str">
        <x:v>England and Wales</x:v>
      </x:c>
      <x:c r="J471" s="9" t="str">
        <x:v>Planning Law</x:v>
      </x:c>
      <x:c r="K471" s="9" t="str">
        <x:v>-ew-cases-EWCA-Civ-2015-1246.xml</x:v>
      </x:c>
      <x:c r="L471" s="9" t="str">
        <x:v>TBA</x:v>
      </x:c>
    </x:row>
    <x:row r="472">
      <x:c r="A472" t="str">
        <x:v>7598c83d-78e1-4aba-b5c6-1b96deda2bb1</x:v>
      </x:c>
      <x:c r="B472" t="str">
        <x:v>cbde4993-6f49-4dca-9879-601d91220796</x:v>
      </x:c>
      <x:c r="C472" s="9" t="str">
        <x:v>Boodia v Yatsyna [2021] EWCA Civ 1705</x:v>
      </x:c>
      <x:c r="D472" s="9" t="str"/>
      <x:c r="E472" s="9" t="str"/>
      <x:c r="F472" s="13" t="str">
        <x:v>2021</x:v>
      </x:c>
      <x:c r="G472" s="9" t="str">
        <x:v>England and Wales Court of Appeal (Civil Division)</x:v>
      </x:c>
      <x:c r="H472" s="9" t="str">
        <x:v>appellate</x:v>
      </x:c>
      <x:c r="I472" s="9" t="str">
        <x:v>England and Wales</x:v>
      </x:c>
      <x:c r="J472" s="9" t="str">
        <x:v>Civil Procedure</x:v>
      </x:c>
      <x:c r="K472" s="9" t="str">
        <x:v>ew-cases-EWCA-Civ-2021-1705.xml</x:v>
      </x:c>
      <x:c r="L472" s="9" t="str">
        <x:v>TBA</x:v>
      </x:c>
    </x:row>
    <x:row r="473">
      <x:c r="A473" t="str">
        <x:v>a532fd34-941a-405b-bbd0-673792eff887</x:v>
      </x:c>
      <x:c r="B473" t="str">
        <x:v>1cbf7265-8831-48d0-96a6-60281c5db2ee</x:v>
      </x:c>
      <x:c r="C473" s="9" t="str">
        <x:v>Border v Lewisham And Greenwich NHS Trust [2015] EWCA Civ 8</x:v>
      </x:c>
      <x:c r="D473" s="9" t="str"/>
      <x:c r="E473" s="9" t="str"/>
      <x:c r="F473" s="13" t="str">
        <x:v>2015</x:v>
      </x:c>
      <x:c r="G473" s="9" t="str">
        <x:v>England and Wales Court of Appeal (Civil Division)</x:v>
      </x:c>
      <x:c r="H473" s="9" t="str">
        <x:v>Appellate</x:v>
      </x:c>
      <x:c r="I473" s="9" t="str">
        <x:v>England and Wales</x:v>
      </x:c>
      <x:c r="J473" s="9" t="str">
        <x:v>Tort</x:v>
      </x:c>
      <x:c r="K473" s="9" t="str">
        <x:v>-ew-cases-EWCA-Civ-2015-8.xml</x:v>
      </x:c>
      <x:c r="L473" s="9" t="str">
        <x:v>TBA</x:v>
      </x:c>
    </x:row>
    <x:row r="474">
      <x:c r="A474" t="str">
        <x:v>68ce0f96-3606-4970-a1e4-4bdfbdfecc4b</x:v>
      </x:c>
      <x:c r="B474" t="str">
        <x:v>d0e8d097-9444-47d4-8e43-8a730bbccb6c</x:v>
      </x:c>
      <x:c r="C474" s="9" t="str">
        <x:v>Borovikovs v London Borough of Lewisham &amp; Anor [2016] EWCA Civ 657</x:v>
      </x:c>
      <x:c r="D474" s="9" t="str"/>
      <x:c r="E474" s="9" t="str"/>
      <x:c r="F474" s="13" t="str">
        <x:v>2016</x:v>
      </x:c>
      <x:c r="G474" s="9" t="str">
        <x:v>England and Wales Court of Appeal (Civil Division)</x:v>
      </x:c>
      <x:c r="H474" s="9" t="str">
        <x:v>Court of Appeal (Civil Division)</x:v>
      </x:c>
      <x:c r="I474" s="9" t="str">
        <x:v>England and Wales</x:v>
      </x:c>
      <x:c r="J474" s="9" t="str">
        <x:v>Public Law / Administrative Law</x:v>
      </x:c>
      <x:c r="K474" s="9" t="str">
        <x:v>-ew-cases-EWCA-Civ-2016-657.xml</x:v>
      </x:c>
      <x:c r="L474" s="9" t="str">
        <x:v>TBA</x:v>
      </x:c>
    </x:row>
    <x:row r="475">
      <x:c r="A475" t="str">
        <x:v>69b894d9-ca55-443e-98fa-0b832fb7ada9</x:v>
      </x:c>
      <x:c r="B475" t="str">
        <x:v>b8fb8f78-aa05-4483-9328-b88c205448c2</x:v>
      </x:c>
      <x:c r="C475" s="9" t="str">
        <x:v>Boston Trust Company Ltd &amp; Anor v Verhoef</x:v>
      </x:c>
      <x:c r="D475" s="9" t="str"/>
      <x:c r="E475" s="9" t="str"/>
      <x:c r="F475" s="13" t="str">
        <x:v>2021</x:v>
      </x:c>
      <x:c r="G475" s="9" t="str">
        <x:v>England and Wales Court of Appeal (Civil Division)</x:v>
      </x:c>
      <x:c r="H475" s="9" t="str">
        <x:v>Appellate</x:v>
      </x:c>
      <x:c r="I475" s="9" t="str">
        <x:v>England and Wales</x:v>
      </x:c>
      <x:c r="J475" s="9" t="str">
        <x:v>Civil Procedure</x:v>
      </x:c>
      <x:c r="K475" s="9" t="str">
        <x:v>ew-cases-EWCA-Civ-2021-1176.xml</x:v>
      </x:c>
      <x:c r="L475" s="9" t="str">
        <x:v>TBA</x:v>
      </x:c>
    </x:row>
    <x:row r="476">
      <x:c r="A476" t="str">
        <x:v>e63198a7-7532-4348-9f60-7d208243c12a</x:v>
      </x:c>
      <x:c r="B476" t="str">
        <x:v>07c6f524-ad09-44a3-abad-e4485e8758c5</x:v>
      </x:c>
      <x:c r="C476" s="9" t="str">
        <x:v>Bostridge v Oxleas NHS Foundation Trust [2015] EWCA Civ 79</x:v>
      </x:c>
      <x:c r="D476" s="9" t="str"/>
      <x:c r="E476" s="9" t="str"/>
      <x:c r="F476" s="13" t="str">
        <x:v>2015</x:v>
      </x:c>
      <x:c r="G476" s="9" t="str">
        <x:v>England and Wales Court of Appeal (Civil Division)</x:v>
      </x:c>
      <x:c r="H476" s="9" t="str">
        <x:v>Appellate</x:v>
      </x:c>
      <x:c r="I476" s="9" t="str">
        <x:v>England and Wales</x:v>
      </x:c>
      <x:c r="J476" s="9" t="str">
        <x:v>Tort</x:v>
      </x:c>
      <x:c r="K476" s="9" t="str">
        <x:v>-ew-cases-EWCA-Civ-2015-79.xml</x:v>
      </x:c>
      <x:c r="L476" s="9" t="str">
        <x:v>TBA</x:v>
      </x:c>
    </x:row>
    <x:row r="477">
      <x:c r="A477" t="str">
        <x:v>6d6b7d29-e206-45b7-9636-8cd12f298963</x:v>
      </x:c>
      <x:c r="B477" t="str">
        <x:v>83dcbb3a-493b-4121-a0e1-90557d552889</x:v>
      </x:c>
      <x:c r="C477" s="9" t="str">
        <x:v>Bosworth &amp; Anor v Arcadia Petroleum Ltd &amp; Ors [2016] EWCA Civ 818</x:v>
      </x:c>
      <x:c r="D477" s="9" t="str"/>
      <x:c r="E477" s="9" t="str"/>
      <x:c r="F477" s="13" t="str">
        <x:v>2016</x:v>
      </x:c>
      <x:c r="G477" s="9" t="str">
        <x:v>England and Wales Court of Appeal (Civil Division)</x:v>
      </x:c>
      <x:c r="H477" s="9" t="str">
        <x:v>Court of Appeal (Civil Division)</x:v>
      </x:c>
      <x:c r="I477" s="9" t="str">
        <x:v>England and Wales</x:v>
      </x:c>
      <x:c r="J477" s="9" t="str">
        <x:v>Civil litigation; International jurisdiction; Employment law; Fraud and fiduciary duties</x:v>
      </x:c>
      <x:c r="K477" s="9" t="str">
        <x:v>-ew-cases-EWCA-Civ-2016-818.xml</x:v>
      </x:c>
      <x:c r="L477" s="9" t="str">
        <x:v>TBA</x:v>
      </x:c>
    </x:row>
    <x:row r="478">
      <x:c r="A478" t="str">
        <x:v>90f6e676-0b4a-4720-9531-b55650d3408c</x:v>
      </x:c>
      <x:c r="B478" t="str">
        <x:v>2dc9c63b-f386-4985-9fbf-4c238b0ca453</x:v>
      </x:c>
      <x:c r="C478" s="9" t="str">
        <x:v>Bottrill v Harling [2015] EWCA Civ 564</x:v>
      </x:c>
      <x:c r="D478" s="9" t="str"/>
      <x:c r="E478" s="9" t="str"/>
      <x:c r="F478" s="13" t="str">
        <x:v>2015</x:v>
      </x:c>
      <x:c r="G478" s="9" t="str">
        <x:v>England and Wales Court of Appeal (Civil Division)</x:v>
      </x:c>
      <x:c r="H478" s="9" t="str">
        <x:v>Appellate</x:v>
      </x:c>
      <x:c r="I478" s="9" t="str">
        <x:v>England and Wales</x:v>
      </x:c>
      <x:c r="J478" s="9" t="str">
        <x:v>Partnership Dispute</x:v>
      </x:c>
      <x:c r="K478" s="9" t="str">
        <x:v>-ew-cases-EWCA-Civ-2015-564.xml</x:v>
      </x:c>
      <x:c r="L478" s="9" t="str">
        <x:v>TBA</x:v>
      </x:c>
    </x:row>
    <x:row r="479">
      <x:c r="A479" t="str">
        <x:v>f3695016-8067-4bbd-b950-e51313d74b09</x:v>
      </x:c>
      <x:c r="B479" t="str">
        <x:v>95bcc2fc-4905-4c81-8780-4fff6bee3f78</x:v>
      </x:c>
      <x:c r="C479" s="9" t="str">
        <x:v>Bourne v Lloyds Tsb Bank Plc &amp; Anor [2015] EWCA Civ 881</x:v>
      </x:c>
      <x:c r="D479" s="9" t="str"/>
      <x:c r="E479" s="9" t="str"/>
      <x:c r="F479" s="13" t="str">
        <x:v>2015</x:v>
      </x:c>
      <x:c r="G479" s="9" t="str">
        <x:v>England and Wales Court of Appeal (Civil Division)</x:v>
      </x:c>
      <x:c r="H479" s="9" t="str">
        <x:v>Appellate</x:v>
      </x:c>
      <x:c r="I479" s="9" t="str">
        <x:v>England and Wales</x:v>
      </x:c>
      <x:c r="J479" s="9" t="str">
        <x:v>Probate Law</x:v>
      </x:c>
      <x:c r="K479" s="9" t="str">
        <x:v>-ew-cases-EWCA-Civ-2015-881.xml</x:v>
      </x:c>
      <x:c r="L479" s="9" t="str">
        <x:v>TBA</x:v>
      </x:c>
    </x:row>
    <x:row r="480">
      <x:c r="A480" t="str">
        <x:v>a4bcc574-e186-4c16-ab8c-96395acb4ef0</x:v>
      </x:c>
      <x:c r="B480" t="str">
        <x:v>0dcbed84-c156-4a68-8ed1-5965dc040938</x:v>
      </x:c>
      <x:c r="C480" s="9" t="str">
        <x:v>Bowen v Secretary of State for Justice</x:v>
      </x:c>
      <x:c r="D480" s="9" t="str"/>
      <x:c r="E480" s="9" t="str"/>
      <x:c r="F480" s="13" t="str">
        <x:v>2017</x:v>
      </x:c>
      <x:c r="G480" s="9" t="str">
        <x:v>England and Wales Court of Appeal (Civil Division)</x:v>
      </x:c>
      <x:c r="H480" s="9" t="str">
        <x:v>Appellate</x:v>
      </x:c>
      <x:c r="I480" s="9" t="str">
        <x:v>England and Wales</x:v>
      </x:c>
      <x:c r="J480" s="9" t="str">
        <x:v>Administrative Law</x:v>
      </x:c>
      <x:c r="K480" s="9" t="str">
        <x:v>-ew-cases-EWCA-Civ-2017-2181.xml</x:v>
      </x:c>
      <x:c r="L480" s="9" t="str">
        <x:v>TBA</x:v>
      </x:c>
    </x:row>
    <x:row r="481">
      <x:c r="A481" t="str">
        <x:v>a9e95794-bac6-48bb-92f5-2c3c4567fb11</x:v>
      </x:c>
      <x:c r="B481" t="str">
        <x:v>18af7f48-3069-4315-8b8e-72156c2f8d15</x:v>
      </x:c>
      <x:c r="C481" s="9" t="str">
        <x:v>Boydell v NZP Ltd &amp; Anor [2023] EWCA Civ 373</x:v>
      </x:c>
      <x:c r="D481" s="9" t="str"/>
      <x:c r="E481" s="9" t="str"/>
      <x:c r="F481" s="13" t="str">
        <x:v>2023</x:v>
      </x:c>
      <x:c r="G481" s="9" t="str">
        <x:v>England and Wales Court of Appeal (Civil Division)</x:v>
      </x:c>
      <x:c r="H481" s="9" t="str">
        <x:v>Court of Appeal (Appellate)</x:v>
      </x:c>
      <x:c r="I481" s="9" t="str">
        <x:v>England and Wales</x:v>
      </x:c>
      <x:c r="J481" s="9" t="str">
        <x:v>Contract/Restrictive Covenants</x:v>
      </x:c>
      <x:c r="K481" s="9" t="str">
        <x:v>ew-cases-EWCA-Civ-2023-373.xml</x:v>
      </x:c>
      <x:c r="L481" s="9" t="str">
        <x:v>TBA</x:v>
      </x:c>
    </x:row>
    <x:row r="482">
      <x:c r="A482" t="str">
        <x:v>b7fd56e2-e5b5-4999-bae5-286c2b490e8a</x:v>
      </x:c>
      <x:c r="B482" t="str">
        <x:v>8305fadb-81eb-4d0c-a8f7-0c57b067c506</x:v>
      </x:c>
      <x:c r="C482" s="9" t="str">
        <x:v>BP (Pakistan) v Secretary of State for the Home Department</x:v>
      </x:c>
      <x:c r="D482" s="9" t="str"/>
      <x:c r="E482" s="9" t="str"/>
      <x:c r="F482" s="13" t="str">
        <x:v>2015</x:v>
      </x:c>
      <x:c r="G482" s="9" t="str">
        <x:v>England and Wales Court of Appeal (Civil Division)</x:v>
      </x:c>
      <x:c r="H482" s="9" t="str">
        <x:v>Appellate</x:v>
      </x:c>
      <x:c r="I482" s="9" t="str">
        <x:v>England and Wales</x:v>
      </x:c>
      <x:c r="J482" s="9" t="str">
        <x:v>Immigration Law</x:v>
      </x:c>
      <x:c r="K482" s="9" t="str">
        <x:v>-ew-cases-EWCA-Civ-2015-638.xml</x:v>
      </x:c>
      <x:c r="L482" s="9" t="str">
        <x:v>TBA</x:v>
      </x:c>
    </x:row>
    <x:row r="483">
      <x:c r="A483" t="str">
        <x:v>836f2cfb-636c-4f58-8703-4e9c9b814345</x:v>
      </x:c>
      <x:c r="B483" t="str">
        <x:v>8e95ee7c-f3e7-459a-8de1-c8415f53f850</x:v>
      </x:c>
      <x:c r="C483" s="9" t="str">
        <x:v>BP (Sri Lanka) v Secretary of State for the Home Department [2015] EWCA Civ 635</x:v>
      </x:c>
      <x:c r="D483" s="9" t="str"/>
      <x:c r="E483" s="9" t="str"/>
      <x:c r="F483" s="13" t="str">
        <x:v>2015</x:v>
      </x:c>
      <x:c r="G483" s="9" t="str">
        <x:v>England and Wales Court of Appeal (Civil Division)</x:v>
      </x:c>
      <x:c r="H483" s="9" t="str">
        <x:v>Appellate</x:v>
      </x:c>
      <x:c r="I483" s="9" t="str">
        <x:v>United Kingdom</x:v>
      </x:c>
      <x:c r="J483" s="9" t="str">
        <x:v>Immigration and Asylum</x:v>
      </x:c>
      <x:c r="K483" s="9" t="str">
        <x:v>-ew-cases-EWCA-Civ-2015-635.xml</x:v>
      </x:c>
      <x:c r="L483" s="9" t="str">
        <x:v>TBA</x:v>
      </x:c>
    </x:row>
    <x:row r="484">
      <x:c r="A484" t="str">
        <x:v>dea2682a-2baf-4cb1-ac99-4fa3cffdd2a0</x:v>
      </x:c>
      <x:c r="B484" t="str">
        <x:v>95e10220-9d5f-4657-9afc-808837488a7b</x:v>
      </x:c>
      <x:c r="C484" s="9" t="str">
        <x:v>BP &amp; Ors v Hertfordshire County Council &amp; Anor [2014] EWCA Civ 1524</x:v>
      </x:c>
      <x:c r="D484" s="9" t="str"/>
      <x:c r="E484" s="9" t="str"/>
      <x:c r="F484" s="13" t="str">
        <x:v>2014</x:v>
      </x:c>
      <x:c r="G484" s="9" t="str">
        <x:v>England and Wales Court of Appeal (Civil Division)</x:v>
      </x:c>
      <x:c r="H484" s="9" t="str">
        <x:v>Appellate</x:v>
      </x:c>
      <x:c r="I484" s="9" t="str">
        <x:v>England and Wales</x:v>
      </x:c>
      <x:c r="J484" s="9" t="str">
        <x:v>Family Law</x:v>
      </x:c>
      <x:c r="K484" s="9" t="str">
        <x:v>-ew-cases-EWCA-Civ-2014-1524.xml</x:v>
      </x:c>
      <x:c r="L484" s="9" t="str">
        <x:v>TBA</x:v>
      </x:c>
    </x:row>
    <x:row r="485">
      <x:c r="A485" t="str">
        <x:v>40a6ff68-68ea-41b0-b5e1-816c45fe31fe</x:v>
      </x:c>
      <x:c r="B485" t="str">
        <x:v>16f61521-59b6-4c57-8af3-c654be05eab0</x:v>
      </x:c>
      <x:c r="C485" s="9" t="str">
        <x:v>BPP Holdings v Revenue And Customs [2016] EWCA Civ 121</x:v>
      </x:c>
      <x:c r="D485" s="9" t="str"/>
      <x:c r="E485" s="9" t="str"/>
      <x:c r="F485" s="13" t="str">
        <x:v>2016</x:v>
      </x:c>
      <x:c r="G485" s="9" t="str">
        <x:v>England and Wales Court of Appeal (Civil Division)</x:v>
      </x:c>
      <x:c r="H485" s="9" t="str">
        <x:v>Court of Appeal (Civil Division)</x:v>
      </x:c>
      <x:c r="I485" s="9" t="str">
        <x:v>England and Wales</x:v>
      </x:c>
      <x:c r="J485" s="9" t="str">
        <x:v>Appellate decision; Tax/Procedural</x:v>
      </x:c>
      <x:c r="K485" s="9" t="str">
        <x:v>-ew-cases-EWCA-Civ-2016-121.xml</x:v>
      </x:c>
      <x:c r="L485" s="9" t="str">
        <x:v>TBA</x:v>
      </x:c>
    </x:row>
    <x:row r="486">
      <x:c r="A486" t="str">
        <x:v>5cf8df90-f845-4593-aebd-4d391aa18cbe</x:v>
      </x:c>
      <x:c r="B486" t="str">
        <x:v>ea88cbea-aab2-49fe-8517-9293b5396e0e</x:v>
      </x:c>
      <x:c r="C486" s="9" t="str">
        <x:v>Bradbury v British Broadcasting Corporation [2017] EWCA Civ 1144</x:v>
      </x:c>
      <x:c r="D486" s="9" t="str"/>
      <x:c r="E486" s="9" t="str"/>
      <x:c r="F486" s="13" t="str">
        <x:v>2017</x:v>
      </x:c>
      <x:c r="G486" s="9" t="str">
        <x:v>England and Wales Court of Appeal (Civil Division)</x:v>
      </x:c>
      <x:c r="H486" s="9" t="str">
        <x:v>Appellate</x:v>
      </x:c>
      <x:c r="I486" s="9" t="str">
        <x:v>England and Wales</x:v>
      </x:c>
      <x:c r="J486" s="9" t="str">
        <x:v>Pension Dispute</x:v>
      </x:c>
      <x:c r="K486" s="9" t="str">
        <x:v>-ew-cases-EWCA-Civ-2017-1144.xml</x:v>
      </x:c>
      <x:c r="L486" s="9" t="str">
        <x:v>TBA</x:v>
      </x:c>
    </x:row>
    <x:row r="487">
      <x:c r="A487" t="str">
        <x:v>5c635a64-7cc2-434b-b85a-9d665d388905</x:v>
      </x:c>
      <x:c r="B487" t="str">
        <x:v>2070ea10-2f71-465d-96bf-4157ade0edff</x:v>
      </x:c>
      <x:c r="C487" s="9" t="str">
        <x:v>Brady v Jackson [2022] EWCA Civ 1301</x:v>
      </x:c>
      <x:c r="D487" s="9" t="str"/>
      <x:c r="E487" s="9" t="str"/>
      <x:c r="F487" s="13" t="str">
        <x:v>2022</x:v>
      </x:c>
      <x:c r="G487" s="9" t="str">
        <x:v>England and Wales Court of Appeal (Civil Division)</x:v>
      </x:c>
      <x:c r="H487" s="9" t="str">
        <x:v>Court of Appeal (Civil Division)</x:v>
      </x:c>
      <x:c r="I487" s="9" t="str">
        <x:v>England and Wales</x:v>
      </x:c>
      <x:c r="J487" s="9" t="str">
        <x:v>Civil Procedure / Contempt of Court</x:v>
      </x:c>
      <x:c r="K487" s="9" t="str">
        <x:v>ew-cases-EWCA-Civ-2022-1301.xml</x:v>
      </x:c>
      <x:c r="L487" s="9" t="str">
        <x:v>TBA</x:v>
      </x:c>
    </x:row>
    <x:row r="488">
      <x:c r="A488" t="str">
        <x:v>51ea3620-2d50-4dcc-80ce-4918e5434c19</x:v>
      </x:c>
      <x:c r="B488" t="str">
        <x:v>5d67e6bf-5a94-4298-82ae-1f13fea951bc</x:v>
      </x:c>
      <x:c r="C488" s="9" t="str">
        <x:v>Braintree District Council v Secretary of State for the Home Department &amp; Anor [2023] EWCA Civ 727 (23 June 2023)</x:v>
      </x:c>
      <x:c r="D488" s="9" t="str"/>
      <x:c r="E488" s="9" t="str"/>
      <x:c r="F488" s="13" t="str">
        <x:v>2023</x:v>
      </x:c>
      <x:c r="G488" s="9" t="str">
        <x:v>England and Wales Court of Appeal (Civil Division)</x:v>
      </x:c>
      <x:c r="H488" s="9" t="str">
        <x:v>Court of Appeal (Civil Division)</x:v>
      </x:c>
      <x:c r="I488" s="9" t="str">
        <x:v>England and Wales</x:v>
      </x:c>
      <x:c r="J488" s="9" t="str">
        <x:v>Public Law / Planning Law</x:v>
      </x:c>
      <x:c r="K488" s="9" t="str">
        <x:v>ew-cases-EWCA-Civ-2023-727.xml</x:v>
      </x:c>
      <x:c r="L488" s="9" t="str">
        <x:v>TBA</x:v>
      </x:c>
    </x:row>
    <x:row r="489">
      <x:c r="A489" t="str">
        <x:v>c148a804-e16c-40d4-a67e-c30393953e45</x:v>
      </x:c>
      <x:c r="B489" t="str">
        <x:v>c370bf30-4fed-4187-beea-6476e69f964f</x:v>
      </x:c>
      <x:c r="C489" s="9" t="str">
        <x:v>Braithwaite and Melton Meadows Properties Ltd, R (On the Application Of) v East Suffolk Council [2022] EWCA Civ 1716</x:v>
      </x:c>
      <x:c r="D489" s="9" t="str"/>
      <x:c r="E489" s="9" t="str"/>
      <x:c r="F489" s="13" t="str">
        <x:v>2022</x:v>
      </x:c>
      <x:c r="G489" s="9" t="str">
        <x:v>England and Wales Court of Appeal (Civil Division)</x:v>
      </x:c>
      <x:c r="H489" s="9" t="str">
        <x:v>Court of Appeal (Civil Division)</x:v>
      </x:c>
      <x:c r="I489" s="9" t="str">
        <x:v>England and Wales</x:v>
      </x:c>
      <x:c r="J489" s="9" t="str">
        <x:v>Planning Law / Administrative Law</x:v>
      </x:c>
      <x:c r="K489" s="9" t="str">
        <x:v>ew-cases-EWCA-Civ-2022-1716.xml</x:v>
      </x:c>
      <x:c r="L489" s="9" t="str">
        <x:v>TBA</x:v>
      </x:c>
    </x:row>
    <x:row r="490">
      <x:c r="A490" t="str">
        <x:v>fc7f4144-38e1-440e-b53b-6f4f672aa13e</x:v>
      </x:c>
      <x:c r="B490" t="str">
        <x:v>2faaac2c-34ae-462d-b1a9-79f33642c6af</x:v>
      </x:c>
      <x:c r="C490" s="9" t="str">
        <x:v>Brake &amp; Anor v Guy &amp; Ors [2022] EWCA Civ 235</x:v>
      </x:c>
      <x:c r="D490" s="9" t="str"/>
      <x:c r="E490" s="9" t="str"/>
      <x:c r="F490" s="13" t="str">
        <x:v>2022</x:v>
      </x:c>
      <x:c r="G490" s="9" t="str">
        <x:v>England and Wales Court of Appeal (Civil Division)</x:v>
      </x:c>
      <x:c r="H490" s="9" t="str">
        <x:v>Court of Appeal (Civil Division)</x:v>
      </x:c>
      <x:c r="I490" s="9" t="str">
        <x:v>England and Wales</x:v>
      </x:c>
      <x:c r="J490" s="9" t="str">
        <x:v>Civil dispute involving privacy and confidentiality</x:v>
      </x:c>
      <x:c r="K490" s="9" t="str">
        <x:v>ew-cases-EWCA-Civ-2022-235.xml</x:v>
      </x:c>
      <x:c r="L490" s="9" t="str">
        <x:v>TBA</x:v>
      </x:c>
    </x:row>
    <x:row r="491">
      <x:c r="A491" t="str">
        <x:v>371acc30-93b3-4b0e-95de-aace170444ac</x:v>
      </x:c>
      <x:c r="B491" t="str">
        <x:v>6ef33425-a898-40d8-8f5b-4043fe6ee709</x:v>
      </x:c>
      <x:c r="C491" s="9" t="str">
        <x:v>Brake &amp; Ors v The Chedington Court Estate Ltd [2022] EWCA Civ 1302</x:v>
      </x:c>
      <x:c r="D491" s="9" t="str"/>
      <x:c r="E491" s="9" t="str"/>
      <x:c r="F491" s="13" t="str">
        <x:v>2022</x:v>
      </x:c>
      <x:c r="G491" s="9" t="str">
        <x:v>England and Wales Court of Appeal (Civil Division)</x:v>
      </x:c>
      <x:c r="H491" s="9" t="str">
        <x:v>Court of Appeal (Civil Division)</x:v>
      </x:c>
      <x:c r="I491" s="9" t="str">
        <x:v>England and Wales</x:v>
      </x:c>
      <x:c r="J491" s="9" t="str">
        <x:v>Property Law; Trusts; Land Law; Insolvency</x:v>
      </x:c>
      <x:c r="K491" s="9" t="str">
        <x:v>ew-cases-EWCA-Civ-2022-1302.xml</x:v>
      </x:c>
      <x:c r="L491" s="9" t="str">
        <x:v>TBA</x:v>
      </x:c>
    </x:row>
    <x:row r="492">
      <x:c r="A492" t="str">
        <x:v>ab9d1591-b3d5-4bae-abd3-32212eaf8d5a</x:v>
      </x:c>
      <x:c r="B492" t="str">
        <x:v>77f68588-fdc2-401c-8ce3-6d39ad42b82c</x:v>
      </x:c>
      <x:c r="C492" s="9" t="str">
        <x:v>Breen &amp; Ors v Esso Petroleum Company Ltd [2022] EWCA Civ 1405</x:v>
      </x:c>
      <x:c r="D492" s="9" t="str"/>
      <x:c r="E492" s="9" t="str"/>
      <x:c r="F492" s="13" t="str">
        <x:v>2022</x:v>
      </x:c>
      <x:c r="G492" s="9" t="str">
        <x:v>England and Wales Court of Appeal (Civil Division)</x:v>
      </x:c>
      <x:c r="H492" s="9" t="str">
        <x:v>Court of Appeal (Civil Division)</x:v>
      </x:c>
      <x:c r="I492" s="9" t="str">
        <x:v>England and Wales</x:v>
      </x:c>
      <x:c r="J492" s="9" t="str">
        <x:v>Civil - Contempt of Court</x:v>
      </x:c>
      <x:c r="K492" s="9" t="str">
        <x:v>ew-cases-EWCA-Civ-2022-1405.xml</x:v>
      </x:c>
      <x:c r="L492" s="9" t="str">
        <x:v>TBA</x:v>
      </x:c>
    </x:row>
    <x:row r="493">
      <x:c r="A493" t="str">
        <x:v>c2e6a772-bdf4-4058-a2a7-5e43c5b3485f</x:v>
      </x:c>
      <x:c r="B493" t="str">
        <x:v>af8f213d-ac16-4c2d-92ee-fcd5ca16e6cf</x:v>
      </x:c>
      <x:c r="C493" s="9" t="str">
        <x:v>Brevan Howard Asset Management LLP v Reuters Ltd &amp; Anor [2017] EWCA Civ 950</x:v>
      </x:c>
      <x:c r="D493" s="9" t="str"/>
      <x:c r="E493" s="9" t="str"/>
      <x:c r="F493" s="13" t="str">
        <x:v>2017</x:v>
      </x:c>
      <x:c r="G493" s="9" t="str">
        <x:v>England and Wales Court of Appeal (Civil Division)</x:v>
      </x:c>
      <x:c r="H493" s="9" t="str">
        <x:v>Appellate</x:v>
      </x:c>
      <x:c r="I493" s="9" t="str">
        <x:v>England and Wales</x:v>
      </x:c>
      <x:c r="J493" s="9" t="str">
        <x:v>Injunctions and Confidentiality</x:v>
      </x:c>
      <x:c r="K493" s="9" t="str">
        <x:v>-ew-cases-EWCA-Civ-2017-950.xml</x:v>
      </x:c>
      <x:c r="L493" s="9" t="str">
        <x:v>TBA</x:v>
      </x:c>
    </x:row>
    <x:row r="494">
      <x:c r="A494" t="str">
        <x:v>deeb689f-6d83-4bf0-a671-120694787978</x:v>
      </x:c>
      <x:c r="B494" t="str">
        <x:v>45bf3534-9207-4765-b9a4-3a0e9008a109</x:v>
      </x:c>
      <x:c r="C494" s="9" t="str">
        <x:v>Brian Leighton (Garages) Limited v Allianz Insurance Plc [2023] EWCA Civ 8</x:v>
      </x:c>
      <x:c r="D494" s="9" t="str"/>
      <x:c r="E494" s="9" t="str"/>
      <x:c r="F494" s="13" t="str">
        <x:v>2023</x:v>
      </x:c>
      <x:c r="G494" s="9" t="str">
        <x:v>England and Wales Court of Appeal (Civil Division)</x:v>
      </x:c>
      <x:c r="H494" s="9" t="str">
        <x:v>Court of Appeal (Civil Division)</x:v>
      </x:c>
      <x:c r="I494" s="9" t="str">
        <x:v>England and Wales</x:v>
      </x:c>
      <x:c r="J494" s="9" t="str">
        <x:v>Insurance/Contract/Property damage</x:v>
      </x:c>
      <x:c r="K494" s="9" t="str">
        <x:v>ew-cases-EWCA-Civ-2023-8.xml</x:v>
      </x:c>
      <x:c r="L494" s="9" t="str">
        <x:v>TBA</x:v>
      </x:c>
    </x:row>
    <x:row r="495">
      <x:c r="A495" t="str">
        <x:v>73511768-d9e4-4a54-99ad-011cf3145a32</x:v>
      </x:c>
      <x:c r="B495" t="str">
        <x:v>fe7cea7e-d01e-4b77-87c8-476be6a58abb</x:v>
      </x:c>
      <x:c r="C495" s="9" t="str">
        <x:v>Bridgend County Borough Council v Boland &amp; Anor [2017] EWCA Civ 1004</x:v>
      </x:c>
      <x:c r="D495" s="9" t="str"/>
      <x:c r="E495" s="9" t="str"/>
      <x:c r="F495" s="13" t="str">
        <x:v>2017</x:v>
      </x:c>
      <x:c r="G495" s="9" t="str">
        <x:v>England and Wales Court of Appeal (Civil Division)</x:v>
      </x:c>
      <x:c r="H495" s="9" t="str">
        <x:v>Appellate</x:v>
      </x:c>
      <x:c r="I495" s="9" t="str">
        <x:v>England and Wales</x:v>
      </x:c>
      <x:c r="J495" s="9" t="str">
        <x:v>Land Law/Compulsory Purchase</x:v>
      </x:c>
      <x:c r="K495" s="9" t="str">
        <x:v>-ew-cases-EWCA-Civ-2017-1004.xml</x:v>
      </x:c>
      <x:c r="L495" s="9" t="str">
        <x:v>TBA</x:v>
      </x:c>
    </x:row>
    <x:row r="496">
      <x:c r="A496" t="str">
        <x:v>2ba4d680-cfad-4df4-927f-ae5c625c00a5</x:v>
      </x:c>
      <x:c r="B496" t="str">
        <x:v>da4b6be7-2b22-4bd1-af6b-a68873f0af8d</x:v>
      </x:c>
      <x:c r="C496" s="9" t="str">
        <x:v>Bright &amp; Anor v The Secretary of State for Justice</x:v>
      </x:c>
      <x:c r="D496" s="9" t="str"/>
      <x:c r="E496" s="9" t="str"/>
      <x:c r="F496" s="13" t="str">
        <x:v>2014</x:v>
      </x:c>
      <x:c r="G496" s="9" t="str">
        <x:v>England and Wales Court of Appeal (Civil Division)</x:v>
      </x:c>
      <x:c r="H496" s="9" t="str">
        <x:v>Appellate</x:v>
      </x:c>
      <x:c r="I496" s="9" t="str">
        <x:v>England and Wales</x:v>
      </x:c>
      <x:c r="J496" s="9" t="str">
        <x:v>Human Rights &amp; Prison Law</x:v>
      </x:c>
      <x:c r="K496" s="9" t="str">
        <x:v>-ew-cases-EWCA-Civ-2014-1628.xml</x:v>
      </x:c>
      <x:c r="L496" s="9" t="str">
        <x:v>TBA</x:v>
      </x:c>
    </x:row>
    <x:row r="497">
      <x:c r="A497" t="str">
        <x:v>409e2820-b1a6-46ed-8451-87f4b74212e7</x:v>
      </x:c>
      <x:c r="B497" t="str">
        <x:v>aa7c0d45-be74-46db-9c26-16cb25caf991</x:v>
      </x:c>
      <x:c r="C497" s="9" t="str">
        <x:v>Bristol Rovers (1883) Limited v Sainsbury's Supermarkets Limited [2016] EWCA Civ 160</x:v>
      </x:c>
      <x:c r="D497" s="9" t="str"/>
      <x:c r="E497" s="9" t="str"/>
      <x:c r="F497" s="13" t="str">
        <x:v>2016</x:v>
      </x:c>
      <x:c r="G497" s="9" t="str">
        <x:v>England and Wales Court of Appeal (Civil Division)</x:v>
      </x:c>
      <x:c r="H497" s="9" t="str">
        <x:v>Court of Appeal (Civil Division)</x:v>
      </x:c>
      <x:c r="I497" s="9" t="str">
        <x:v>England and Wales</x:v>
      </x:c>
      <x:c r="J497" s="9" t="str">
        <x:v>Contract and Planning Law</x:v>
      </x:c>
      <x:c r="K497" s="9" t="str">
        <x:v>-ew-cases-EWCA-Civ-2016-160.xml</x:v>
      </x:c>
      <x:c r="L497" s="9" t="str">
        <x:v>TBA</x:v>
      </x:c>
    </x:row>
    <x:row r="498">
      <x:c r="A498" t="str">
        <x:v>c2ee22f8-a0a4-4c58-8520-ac6816b071b2</x:v>
      </x:c>
      <x:c r="B498" t="str">
        <x:v>1dbb4242-42ac-456f-989f-5098066d87ca</x:v>
      </x:c>
      <x:c r="C498" s="9" t="str">
        <x:v>Bristow v The Secretary of State for Justice &amp; Anor [2015] EWCA Civ 1170</x:v>
      </x:c>
      <x:c r="D498" s="9" t="str"/>
      <x:c r="E498" s="9" t="str"/>
      <x:c r="F498" s="13" t="str">
        <x:v>2015</x:v>
      </x:c>
      <x:c r="G498" s="9" t="str">
        <x:v>England and Wales Court of Appeal (Civil Division)</x:v>
      </x:c>
      <x:c r="H498" s="9" t="str">
        <x:v>appellate</x:v>
      </x:c>
      <x:c r="I498" s="9" t="str">
        <x:v>England and Wales</x:v>
      </x:c>
      <x:c r="J498" s="9" t="str">
        <x:v>Administrative Law</x:v>
      </x:c>
      <x:c r="K498" s="9" t="str">
        <x:v>-ew-cases-EWCA-Civ-2015-1170.xml</x:v>
      </x:c>
      <x:c r="L498" s="9" t="str">
        <x:v>TBA</x:v>
      </x:c>
    </x:row>
    <x:row r="499">
      <x:c r="A499" t="str">
        <x:v>6fc0e541-3717-4267-bf5d-3ffc410ee15a</x:v>
      </x:c>
      <x:c r="B499" t="str">
        <x:v>883e70a1-b1be-4426-8ef0-e403d76a22df</x:v>
      </x:c>
      <x:c r="C499" s="9" t="str">
        <x:v>BRITCITS v The Secretary of State for the Home Department</x:v>
      </x:c>
      <x:c r="D499" s="9" t="str"/>
      <x:c r="E499" s="9" t="str"/>
      <x:c r="F499" s="13" t="str">
        <x:v>2017</x:v>
      </x:c>
      <x:c r="G499" s="9" t="str">
        <x:v>England and Wales Court of Appeal (Civil Division)</x:v>
      </x:c>
      <x:c r="H499" s="9" t="str">
        <x:v>Appellate</x:v>
      </x:c>
      <x:c r="I499" s="9" t="str">
        <x:v>England and Wales</x:v>
      </x:c>
      <x:c r="J499" s="9" t="str">
        <x:v>Immigration Law</x:v>
      </x:c>
      <x:c r="K499" s="9" t="str">
        <x:v>-ew-cases-EWCA-Civ-2017-368.xml</x:v>
      </x:c>
      <x:c r="L499" s="9" t="str">
        <x:v>TBA</x:v>
      </x:c>
    </x:row>
    <x:row r="500">
      <x:c r="A500" t="str">
        <x:v>b8949df3-4662-4d35-858d-3b3154415aa6</x:v>
      </x:c>
      <x:c r="B500" t="str">
        <x:v>6eb314be-7a0c-4433-9cbf-a633a7652d6f</x:v>
      </x:c>
      <x:c r="C500" s="9" t="str">
        <x:v>British American Tobacco UK Ltd &amp; Ors, R (on the application of) v The Secretary of State for Health [2016] EWCA Civ 1182</x:v>
      </x:c>
      <x:c r="D500" s="9" t="str"/>
      <x:c r="E500" s="9" t="str"/>
      <x:c r="F500" s="13" t="str">
        <x:v>2016</x:v>
      </x:c>
      <x:c r="G500" s="9" t="str">
        <x:v>England and Wales Court of Appeal (Civil Division)</x:v>
      </x:c>
      <x:c r="H500" s="9" t="str">
        <x:v>Court of Appeal (Civil Division)</x:v>
      </x:c>
      <x:c r="I500" s="9" t="str">
        <x:v>England and Wales Court of Appeal (Civil Division)</x:v>
      </x:c>
      <x:c r="J500" s="9" t="str">
        <x:v>Administrative Law; EU Law; Public Health Regulation; Intellectual Property</x:v>
      </x:c>
      <x:c r="K500" s="9" t="str">
        <x:v>-ew-cases-EWCA-Civ-2016-1182.xml</x:v>
      </x:c>
      <x:c r="L500" s="9" t="str">
        <x:v>TBA</x:v>
      </x:c>
    </x:row>
    <x:row r="501">
      <x:c r="A501" t="str">
        <x:v>beb7c8d4-7adc-439b-9657-15804cea92c7</x:v>
      </x:c>
      <x:c r="B501" t="str">
        <x:v>a697864c-4a9b-448a-9c45-1589a5e13ac5</x:v>
      </x:c>
      <x:c r="C501" s="9" t="str">
        <x:v>British Gas Trading Limited v Lock &amp; Anor [2016] EWCA Civ 983</x:v>
      </x:c>
      <x:c r="D501" s="9" t="str"/>
      <x:c r="E501" s="9" t="str"/>
      <x:c r="F501" s="13" t="str">
        <x:v>2016</x:v>
      </x:c>
      <x:c r="G501" s="9" t="str">
        <x:v>England and Wales Court of Appeal (Civil Division)</x:v>
      </x:c>
      <x:c r="H501" s="9" t="str">
        <x:v>Court of Appeal (Civil Division)</x:v>
      </x:c>
      <x:c r="I501" s="9" t="str">
        <x:v>England and Wales</x:v>
      </x:c>
      <x:c r="J501" s="9" t="str">
        <x:v>Employment Law; EU Law</x:v>
      </x:c>
      <x:c r="K501" s="9" t="str">
        <x:v>-ew-cases-EWCA-Civ-2016-983.xml</x:v>
      </x:c>
      <x:c r="L501" s="9" t="str">
        <x:v>TBA</x:v>
      </x:c>
    </x:row>
    <x:row r="502">
      <x:c r="A502" t="str">
        <x:v>a1dc5db3-058b-4614-a48b-18107f002435</x:v>
      </x:c>
      <x:c r="B502" t="str">
        <x:v>acdaf535-5b5b-4507-831e-09d9550a5793</x:v>
      </x:c>
      <x:c r="C502" s="9" t="str">
        <x:v>British Telecommunications Plc v Office of Communications &amp; Ors</x:v>
      </x:c>
      <x:c r="D502" s="9" t="str"/>
      <x:c r="E502" s="9" t="str"/>
      <x:c r="F502" s="13" t="str">
        <x:v>2014</x:v>
      </x:c>
      <x:c r="G502" s="9" t="str">
        <x:v>England and Wales Court of Appeal (Civil Division)</x:v>
      </x:c>
      <x:c r="H502" s="9" t="str">
        <x:v>Appellate</x:v>
      </x:c>
      <x:c r="I502" s="9" t="str">
        <x:v>England and Wales</x:v>
      </x:c>
      <x:c r="J502" s="9" t="str">
        <x:v>Telecommunications Law</x:v>
      </x:c>
      <x:c r="K502" s="9" t="str">
        <x:v>-ew-cases-EWCA-Civ-2014-133.xml</x:v>
      </x:c>
      <x:c r="L502" s="9" t="str">
        <x:v>TBA</x:v>
      </x:c>
    </x:row>
    <x:row r="503">
      <x:c r="A503" t="str">
        <x:v>5fd0b051-762a-4e77-917f-78e92c3d214e</x:v>
      </x:c>
      <x:c r="B503" t="str">
        <x:v>2fffe482-5701-483a-a35a-7ebba2564e68</x:v>
      </x:c>
      <x:c r="C503" s="9" t="str">
        <x:v>British Telecommunications plc v Office Of Communications &amp; Ors [2017] EWCA Civ 330</x:v>
      </x:c>
      <x:c r="D503" s="9" t="str"/>
      <x:c r="E503" s="9" t="str"/>
      <x:c r="F503" s="13" t="str">
        <x:v>2017</x:v>
      </x:c>
      <x:c r="G503" s="9" t="str">
        <x:v>England and Wales Court of Appeal (Civil Division)</x:v>
      </x:c>
      <x:c r="H503" s="9" t="str">
        <x:v>Appellate</x:v>
      </x:c>
      <x:c r="I503" s="9" t="str">
        <x:v>England and Wales</x:v>
      </x:c>
      <x:c r="J503" s="9" t="str">
        <x:v>Administrative Law</x:v>
      </x:c>
      <x:c r="K503" s="9" t="str">
        <x:v>-ew-cases-EWCA-Civ-2017-330.xml</x:v>
      </x:c>
      <x:c r="L503" s="9" t="str">
        <x:v>TBA</x:v>
      </x:c>
    </x:row>
    <x:row r="504">
      <x:c r="A504" t="str">
        <x:v>69b3e53f-b417-43a5-a40d-e587143fe7e6</x:v>
      </x:c>
      <x:c r="B504" t="str">
        <x:v>c1322657-6e6e-4829-b705-715edca4d96d</x:v>
      </x:c>
      <x:c r="C504" s="9" t="str">
        <x:v>Brito-Babapulle v Ealing Hospital NHS Trust</x:v>
      </x:c>
      <x:c r="D504" s="9" t="str"/>
      <x:c r="E504" s="9" t="str"/>
      <x:c r="F504" s="13" t="str">
        <x:v>2014</x:v>
      </x:c>
      <x:c r="G504" s="9" t="str">
        <x:v>England and Wales Court of Appeal (Civil Division)</x:v>
      </x:c>
      <x:c r="H504" s="9" t="str">
        <x:v>Appellate</x:v>
      </x:c>
      <x:c r="I504" s="9" t="str">
        <x:v>England and Wales</x:v>
      </x:c>
      <x:c r="J504" s="9" t="str">
        <x:v>Employment Law</x:v>
      </x:c>
      <x:c r="K504" s="9" t="str">
        <x:v>-ew-cases-EWCA-Civ-2014-1626.xml</x:v>
      </x:c>
      <x:c r="L504" s="9" t="str">
        <x:v>TBA</x:v>
      </x:c>
    </x:row>
    <x:row r="505">
      <x:c r="A505" t="str">
        <x:v>d4a2b797-1054-4776-a24e-c88da04caddb</x:v>
      </x:c>
      <x:c r="B505" t="str">
        <x:v>8450ad33-b36a-4ab2-8fdd-7255224624fd</x:v>
      </x:c>
      <x:c r="C505" s="9" t="str">
        <x:v>Britvic Plc v Britvic Pensions Ltd &amp; Anor</x:v>
      </x:c>
      <x:c r="D505" s="9" t="str"/>
      <x:c r="E505" s="9" t="str"/>
      <x:c r="F505" s="13" t="str">
        <x:v>2021</x:v>
      </x:c>
      <x:c r="G505" s="9" t="str">
        <x:v>England and Wales Court of Appeal (Civil Division)</x:v>
      </x:c>
      <x:c r="H505" s="9" t="str">
        <x:v>Appellate</x:v>
      </x:c>
      <x:c r="I505" s="9" t="str">
        <x:v>England and Wales</x:v>
      </x:c>
      <x:c r="J505" s="9" t="str">
        <x:v>Contract Interpretation</x:v>
      </x:c>
      <x:c r="K505" s="9" t="str">
        <x:v>ew-cases-EWCA-Civ-2021-867.xml</x:v>
      </x:c>
      <x:c r="L505" s="9" t="str">
        <x:v>TBA</x:v>
      </x:c>
    </x:row>
    <x:row r="506">
      <x:c r="A506" t="str">
        <x:v>2e37fc34-7fc5-4773-ac00-04ee9d3ae914</x:v>
      </x:c>
      <x:c r="B506" t="str">
        <x:v>14fbf5ed-e461-4972-bd71-90c5a840c930</x:v>
      </x:c>
      <x:c r="C506" s="9" t="str">
        <x:v>Broadcasting Investment Group Ltd &amp; Ors v Smith &amp; Anor [2021] EWCA Civ 912</x:v>
      </x:c>
      <x:c r="D506" s="9" t="str"/>
      <x:c r="E506" s="9" t="str"/>
      <x:c r="F506" s="13" t="str">
        <x:v>2021</x:v>
      </x:c>
      <x:c r="G506" s="9" t="str">
        <x:v>England and Wales Court of Appeal (Civil Division)</x:v>
      </x:c>
      <x:c r="H506" s="9" t="str">
        <x:v>Appellate</x:v>
      </x:c>
      <x:c r="I506" s="9" t="str">
        <x:v>England and Wales</x:v>
      </x:c>
      <x:c r="J506" s="9" t="str">
        <x:v>Corporate Law</x:v>
      </x:c>
      <x:c r="K506" s="9" t="str">
        <x:v>ew-cases-EWCA-Civ-2021-912.xml</x:v>
      </x:c>
      <x:c r="L506" s="9" t="str">
        <x:v>TBA</x:v>
      </x:c>
    </x:row>
    <x:row r="507">
      <x:c r="A507" t="str">
        <x:v>dbf0d4ac-b0eb-4f93-91b3-f4cf2cf42452</x:v>
      </x:c>
      <x:c r="B507" t="str">
        <x:v>9da405e4-5de2-488d-9790-1a3be1ad9750</x:v>
      </x:c>
      <x:c r="C507" s="9" t="str">
        <x:v>Broadhurst &amp; Anor v Tan &amp; Anor [2016] EWCA Civ 94</x:v>
      </x:c>
      <x:c r="D507" s="9" t="str"/>
      <x:c r="E507" s="9" t="str"/>
      <x:c r="F507" s="13" t="str">
        <x:v>2016</x:v>
      </x:c>
      <x:c r="G507" s="9" t="str">
        <x:v>England and Wales Court of Appeal (Civil Division)</x:v>
      </x:c>
      <x:c r="H507" s="9" t="str">
        <x:v>Court of Appeal (Civil Division)</x:v>
      </x:c>
      <x:c r="I507" s="9" t="str">
        <x:v>England and Wales</x:v>
      </x:c>
      <x:c r="J507" s="9" t="str">
        <x:v>Costs and Civil Procedure</x:v>
      </x:c>
      <x:c r="K507" s="9" t="str">
        <x:v>-ew-cases-EWCA-Civ-2016-94.xml</x:v>
      </x:c>
      <x:c r="L507" s="9" t="str">
        <x:v>TBA</x:v>
      </x:c>
    </x:row>
    <x:row r="508">
      <x:c r="A508" t="str">
        <x:v>a08a6e70-5073-4e70-897a-41275dbf9e93</x:v>
      </x:c>
      <x:c r="B508" t="str">
        <x:v>702e0527-fb33-427f-afbb-f906ba355802</x:v>
      </x:c>
      <x:c r="C508" s="9" t="str">
        <x:v>Broadview Energy Developments Limited v The Secretary of State for Communities and Local Government &amp; Ors [2016] EWCA Civ 562</x:v>
      </x:c>
      <x:c r="D508" s="9" t="str"/>
      <x:c r="E508" s="9" t="str"/>
      <x:c r="F508" s="13" t="str">
        <x:v>2016</x:v>
      </x:c>
      <x:c r="G508" s="9" t="str">
        <x:v>England and Wales Court of Appeal (Civil Division)</x:v>
      </x:c>
      <x:c r="H508" s="9" t="str">
        <x:v>Court of Appeal (Civil Division)</x:v>
      </x:c>
      <x:c r="I508" s="9" t="str">
        <x:v>England and Wales</x:v>
      </x:c>
      <x:c r="J508" s="9" t="str">
        <x:v>Administrative Law / Planning Law</x:v>
      </x:c>
      <x:c r="K508" s="9" t="str">
        <x:v>-ew-cases-EWCA-Civ-2016-562.xml</x:v>
      </x:c>
      <x:c r="L508" s="9" t="str">
        <x:v>TBA</x:v>
      </x:c>
    </x:row>
    <x:row r="509">
      <x:c r="A509" t="str">
        <x:v>a7fa8347-9da5-423a-a090-208157696917</x:v>
      </x:c>
      <x:c r="B509" t="str">
        <x:v>f78d302e-5032-43ca-927d-6f8281cda46f</x:v>
      </x:c>
      <x:c r="C509" s="9" t="str">
        <x:v>Brogden &amp; Anor v Investec Bank Plc [2016] EWCA Civ 1031 (Court of Appeal, Civil Division)</x:v>
      </x:c>
      <x:c r="D509" s="9" t="str"/>
      <x:c r="E509" s="9" t="str"/>
      <x:c r="F509" s="13" t="str">
        <x:v>2016</x:v>
      </x:c>
      <x:c r="G509" s="9" t="str">
        <x:v>England and Wales Court of Appeal (Civil Division)</x:v>
      </x:c>
      <x:c r="H509" s="9" t="str">
        <x:v>Court of Appeal (Civil Division)</x:v>
      </x:c>
      <x:c r="I509" s="9" t="str">
        <x:v>England and Wales</x:v>
      </x:c>
      <x:c r="J509" s="9" t="str">
        <x:v>Contract Dispute</x:v>
      </x:c>
      <x:c r="K509" s="9" t="str">
        <x:v>-ew-cases-EWCA-Civ-2016-1031.xml</x:v>
      </x:c>
      <x:c r="L509" s="9" t="str">
        <x:v>TBA</x:v>
      </x:c>
    </x:row>
    <x:row r="510">
      <x:c r="A510" t="str">
        <x:v>cf27e1ce-ac26-48bd-9429-14abce1d94bd</x:v>
      </x:c>
      <x:c r="B510" t="str">
        <x:v>250a2de0-32f3-4ce2-8b1f-ee964131ee78</x:v>
      </x:c>
      <x:c r="C510" s="9" t="str">
        <x:v>Brooks, R (on the application of) v The Independent Adjudicator &amp; Anor [2016] EWCA Civ 1033</x:v>
      </x:c>
      <x:c r="D510" s="9" t="str"/>
      <x:c r="E510" s="9" t="str"/>
      <x:c r="F510" s="13" t="str">
        <x:v>2016</x:v>
      </x:c>
      <x:c r="G510" s="9" t="str">
        <x:v>England and Wales Court of Appeal (Civil Division)</x:v>
      </x:c>
      <x:c r="H510" s="9" t="str">
        <x:v>Court of Appeal (Civil Division)</x:v>
      </x:c>
      <x:c r="I510" s="9" t="str">
        <x:v>England and Wales</x:v>
      </x:c>
      <x:c r="J510" s="9" t="str">
        <x:v>Administrative Law; Human Rights; Criminal Justice</x:v>
      </x:c>
      <x:c r="K510" s="9" t="str">
        <x:v>-ew-cases-EWCA-Civ-2016-1033.xml</x:v>
      </x:c>
      <x:c r="L510" s="9" t="str">
        <x:v>TBA</x:v>
      </x:c>
    </x:row>
    <x:row r="511">
      <x:c r="A511" t="str">
        <x:v>02ff649c-feeb-4956-a208-775bca0ef2f6</x:v>
      </x:c>
      <x:c r="B511" t="str">
        <x:v>7c3926f5-8d68-459d-993c-8108e07bd6f3</x:v>
      </x:c>
      <x:c r="C511" s="9" t="str">
        <x:v>Broomfield Developments Ltd &amp; Anor v Secretary of State for Business, Innovation &amp; Skills</x:v>
      </x:c>
      <x:c r="D511" s="9" t="str"/>
      <x:c r="E511" s="9" t="str"/>
      <x:c r="F511" s="13" t="str">
        <x:v>2015</x:v>
      </x:c>
      <x:c r="G511" s="9" t="str">
        <x:v>England and Wales Court of Appeal (Civil Division)</x:v>
      </x:c>
      <x:c r="H511" s="9" t="str">
        <x:v>Appellate</x:v>
      </x:c>
      <x:c r="I511" s="9" t="str">
        <x:v>England and Wales</x:v>
      </x:c>
      <x:c r="J511" s="9" t="str">
        <x:v>Insolvency</x:v>
      </x:c>
      <x:c r="K511" s="9" t="str">
        <x:v>-ew-cases-EWCA-Civ-2015-1526.xml</x:v>
      </x:c>
      <x:c r="L511" s="9" t="str">
        <x:v>TBA</x:v>
      </x:c>
    </x:row>
    <x:row r="512">
      <x:c r="A512" t="str">
        <x:v>fc51417e-86f3-43fa-8c5d-e2f7a41ab0eb</x:v>
      </x:c>
      <x:c r="B512" t="str">
        <x:v>cc9e0329-eae3-44fb-92de-e522489de4d8</x:v>
      </x:c>
      <x:c r="C512" s="9" t="str">
        <x:v>Brown &amp; Anor v Complete Buildings Solutions Ltd [2016] EWCA Civ 1</x:v>
      </x:c>
      <x:c r="D512" s="9" t="str"/>
      <x:c r="E512" s="9" t="str"/>
      <x:c r="F512" s="13" t="str">
        <x:v>2016</x:v>
      </x:c>
      <x:c r="G512" s="9" t="str">
        <x:v>England and Wales Court of Appeal (Civil Division)</x:v>
      </x:c>
      <x:c r="H512" s="9" t="str">
        <x:v>Court of Appeal (Civil Division)</x:v>
      </x:c>
      <x:c r="I512" s="9" t="str">
        <x:v>England and Wales</x:v>
      </x:c>
      <x:c r="J512" s="9" t="str">
        <x:v>Contract Law / Construction Adjudication</x:v>
      </x:c>
      <x:c r="K512" s="9" t="str">
        <x:v>-ew-cases-EWCA-Civ-2016-1.xml</x:v>
      </x:c>
      <x:c r="L512" s="9" t="str">
        <x:v>TBA</x:v>
      </x:c>
    </x:row>
    <x:row r="513">
      <x:c r="A513" t="str">
        <x:v>cb83f344-fd2f-4d0c-8409-dc17d32b559b</x:v>
      </x:c>
      <x:c r="B513" t="str">
        <x:v>70d43223-0ec6-458b-b052-bdc295e0d6ec</x:v>
      </x:c>
      <x:c r="C513" s="9" t="str">
        <x:v>Brown &amp; Ors v South West Lakes Trust &amp; Ors [2022] EWCA Civ 18</x:v>
      </x:c>
      <x:c r="D513" s="9" t="str"/>
      <x:c r="E513" s="9" t="str"/>
      <x:c r="F513" s="13" t="str">
        <x:v>2022</x:v>
      </x:c>
      <x:c r="G513" s="9" t="str">
        <x:v>England and Wales Court of Appeal (Civil Division)</x:v>
      </x:c>
      <x:c r="H513" s="9" t="str">
        <x:v>Court of Appeal (Civil Division)</x:v>
      </x:c>
      <x:c r="I513" s="9" t="str">
        <x:v>England and Wales</x:v>
      </x:c>
      <x:c r="J513" s="9" t="str">
        <x:v>Tort / Civil liability</x:v>
      </x:c>
      <x:c r="K513" s="9" t="str">
        <x:v>ew-cases-EWCA-Civ-2022-18.xml</x:v>
      </x:c>
      <x:c r="L513" s="9" t="str">
        <x:v>TBA</x:v>
      </x:c>
    </x:row>
    <x:row r="514">
      <x:c r="A514" t="str">
        <x:v>738595b8-2b19-4b7d-8c4e-14cf3fca3afd</x:v>
      </x:c>
      <x:c r="B514" t="str">
        <x:v>05e080ae-e1a9-4cc0-83db-2b5de7f9580e</x:v>
      </x:c>
      <x:c r="C514" s="9" t="str">
        <x:v>Brown v London Borough of Haringey [2015] EWCA Civ 483</x:v>
      </x:c>
      <x:c r="D514" s="9" t="str"/>
      <x:c r="E514" s="9" t="str"/>
      <x:c r="F514" s="13" t="str">
        <x:v>2015</x:v>
      </x:c>
      <x:c r="G514" s="9" t="str">
        <x:v>England and Wales Court of Appeal (Civil Division)</x:v>
      </x:c>
      <x:c r="H514" s="9" t="str">
        <x:v>Appellate</x:v>
      </x:c>
      <x:c r="I514" s="9" t="str">
        <x:v>England and Wales</x:v>
      </x:c>
      <x:c r="J514" s="9" t="str">
        <x:v>Civil Appeal</x:v>
      </x:c>
      <x:c r="K514" s="9" t="str">
        <x:v>-ew-cases-EWCA-Civ-2015-483.xml</x:v>
      </x:c>
      <x:c r="L514" s="9" t="str">
        <x:v>TBA</x:v>
      </x:c>
    </x:row>
    <x:row r="515">
      <x:c r="A515" t="str">
        <x:v>a49c7245-f8be-406d-9def-3e8be0d823fd</x:v>
      </x:c>
      <x:c r="B515" t="str">
        <x:v>fb1a7919-1425-48f3-a1be-d484b735c6ee</x:v>
      </x:c>
      <x:c r="C515" s="9" t="str">
        <x:v>Browning v The Information Commissioner &amp; Anor</x:v>
      </x:c>
      <x:c r="D515" s="9" t="str"/>
      <x:c r="E515" s="9" t="str"/>
      <x:c r="F515" s="13" t="str">
        <x:v>2014</x:v>
      </x:c>
      <x:c r="G515" s="9" t="str">
        <x:v>England and Wales Court of Appeal (Civil Division)</x:v>
      </x:c>
      <x:c r="H515" s="9" t="str">
        <x:v>Appellate</x:v>
      </x:c>
      <x:c r="I515" s="9" t="str">
        <x:v>England and Wales</x:v>
      </x:c>
      <x:c r="J515" s="9" t="str">
        <x:v>Administrative Law</x:v>
      </x:c>
      <x:c r="K515" s="9" t="str">
        <x:v>-ew-cases-EWCA-Civ-2014-1050.xml</x:v>
      </x:c>
      <x:c r="L515" s="9" t="str">
        <x:v>TBA</x:v>
      </x:c>
    </x:row>
    <x:row r="516">
      <x:c r="A516" t="str">
        <x:v>5aef4f18-20ba-4ac5-8b1c-f41a285214e3</x:v>
      </x:c>
      <x:c r="B516" t="str">
        <x:v>cf730fc2-bf37-499b-8428-74697668b3af</x:v>
      </x:c>
      <x:c r="C516" s="9" t="str">
        <x:v>Brownlie v Four Seasons Holdings Incorporated [2015] EWCA Civ 665</x:v>
      </x:c>
      <x:c r="D516" s="9" t="str"/>
      <x:c r="E516" s="9" t="str"/>
      <x:c r="F516" s="13" t="str">
        <x:v>2015</x:v>
      </x:c>
      <x:c r="G516" s="9" t="str">
        <x:v>England and Wales Court of Appeal (Civil Division)</x:v>
      </x:c>
      <x:c r="H516" s="9" t="str">
        <x:v>Appellate Court</x:v>
      </x:c>
      <x:c r="I516" s="9" t="str">
        <x:v>England and Wales</x:v>
      </x:c>
      <x:c r="J516" s="9" t="str">
        <x:v>International Tort and Jurisdiction</x:v>
      </x:c>
      <x:c r="K516" s="9" t="str">
        <x:v>-ew-cases-EWCA-Civ-2015-665.xml</x:v>
      </x:c>
      <x:c r="L516" s="9" t="str">
        <x:v>TBA</x:v>
      </x:c>
    </x:row>
    <x:row r="517">
      <x:c r="A517" t="str">
        <x:v>66d3ee9e-b2e1-4a10-ad09-bd9dbc3646fd</x:v>
      </x:c>
      <x:c r="B517" t="str">
        <x:v>59091337-3bc6-45c6-85a7-c4ca74a572ba</x:v>
      </x:c>
      <x:c r="C517" s="9" t="str">
        <x:v>Brundle v Perry &amp; Ors [2015] EWCA Civ 672</x:v>
      </x:c>
      <x:c r="D517" s="9" t="str"/>
      <x:c r="E517" s="9" t="str"/>
      <x:c r="F517" s="13" t="str">
        <x:v>2015</x:v>
      </x:c>
      <x:c r="G517" s="9" t="str">
        <x:v>England and Wales Court of Appeal (Civil Division)</x:v>
      </x:c>
      <x:c r="H517" s="9" t="str">
        <x:v>Appellate</x:v>
      </x:c>
      <x:c r="I517" s="9" t="str">
        <x:v>England and Wales</x:v>
      </x:c>
      <x:c r="J517" s="9" t="str">
        <x:v>Intellectual Property Law</x:v>
      </x:c>
      <x:c r="K517" s="9" t="str">
        <x:v>-ew-cases-EWCA-Civ-2015-672.xml</x:v>
      </x:c>
      <x:c r="L517" s="9" t="str">
        <x:v>TBA</x:v>
      </x:c>
    </x:row>
    <x:row r="518">
      <x:c r="A518" t="str">
        <x:v>c3341298-48d5-46d7-998f-13c5eac4b070</x:v>
      </x:c>
      <x:c r="B518" t="str">
        <x:v>f6086e73-a8b3-44cb-98b1-62ed418b801b</x:v>
      </x:c>
      <x:c r="C518" s="9" t="str">
        <x:v>BS (Congo) &amp; Ors v Secretary of State for the Home Department [2015] EWCA Civ 639</x:v>
      </x:c>
      <x:c r="D518" s="9" t="str"/>
      <x:c r="E518" s="9" t="str"/>
      <x:c r="F518" s="13" t="str">
        <x:v>2015</x:v>
      </x:c>
      <x:c r="G518" s="9" t="str">
        <x:v>England and Wales Court of Appeal (Civil Division)</x:v>
      </x:c>
      <x:c r="H518" s="9" t="str">
        <x:v>Appellate</x:v>
      </x:c>
      <x:c r="I518" s="9" t="str">
        <x:v>England and Wales</x:v>
      </x:c>
      <x:c r="J518" s="9" t="str">
        <x:v>Immigration Law</x:v>
      </x:c>
      <x:c r="K518" s="9" t="str">
        <x:v>-ew-cases-EWCA-Civ-2015-639.xml</x:v>
      </x:c>
      <x:c r="L518" s="9" t="str">
        <x:v>TBA</x:v>
      </x:c>
    </x:row>
    <x:row r="519">
      <x:c r="A519" t="str">
        <x:v>5721d7fb-6129-4314-a21d-d8207abf698e</x:v>
      </x:c>
      <x:c r="B519" t="str">
        <x:v>88818e47-6cda-4e0f-a7eb-2a984196fc5a</x:v>
      </x:c>
      <x:c r="C519" s="9" t="str">
        <x:v>BS (Congo) v The Secretary of State for the Home Department</x:v>
      </x:c>
      <x:c r="D519" s="9" t="str"/>
      <x:c r="E519" s="9" t="str"/>
      <x:c r="F519" s="13" t="str">
        <x:v>2017</x:v>
      </x:c>
      <x:c r="G519" s="9" t="str">
        <x:v>England and Wales Court of Appeal (Civil Division)</x:v>
      </x:c>
      <x:c r="H519" s="9" t="str">
        <x:v>Appellate</x:v>
      </x:c>
      <x:c r="I519" s="9" t="str">
        <x:v>England and Wales</x:v>
      </x:c>
      <x:c r="J519" s="9" t="str">
        <x:v>Immigration Law</x:v>
      </x:c>
      <x:c r="K519" s="9" t="str">
        <x:v>-ew-cases-EWCA-Civ-2017-53.xml</x:v>
      </x:c>
      <x:c r="L519" s="9" t="str">
        <x:v>TBA</x:v>
      </x:c>
    </x:row>
    <x:row r="520">
      <x:c r="A520" t="str">
        <x:v>e6237954-297b-4171-a26d-a3dbccdbc0e2</x:v>
      </x:c>
      <x:c r="B520" t="str">
        <x:v>90c3be3b-ad15-4b0f-b124-362a9481b7e9</x:v>
      </x:c>
      <x:c r="C520" s="9" t="str">
        <x:v>BS (India) v Secretary of State for the Home Department</x:v>
      </x:c>
      <x:c r="D520" s="9" t="str"/>
      <x:c r="E520" s="9" t="str"/>
      <x:c r="F520" s="13" t="str">
        <x:v>2015</x:v>
      </x:c>
      <x:c r="G520" s="9" t="str">
        <x:v>England and Wales Court of Appeal (Civil Division)</x:v>
      </x:c>
      <x:c r="H520" s="9" t="str">
        <x:v>Appellate</x:v>
      </x:c>
      <x:c r="I520" s="9" t="str">
        <x:v>England and Wales</x:v>
      </x:c>
      <x:c r="J520" s="9" t="str">
        <x:v>Immigration Law</x:v>
      </x:c>
      <x:c r="K520" s="9" t="str">
        <x:v>-ew-cases-EWCA-Civ-2015-1408.xml</x:v>
      </x:c>
      <x:c r="L520" s="9" t="str">
        <x:v>TBA</x:v>
      </x:c>
    </x:row>
    <x:row r="521">
      <x:c r="A521" t="str">
        <x:v>8ae28aca-55c4-4173-9f84-23b0d9a0bb52</x:v>
      </x:c>
      <x:c r="B521" t="str">
        <x:v>f362ac73-2a50-4ab0-b102-b4f9175f4bf1</x:v>
      </x:c>
      <x:c r="C521" s="9" t="str">
        <x:v>BS (Kosovo) v Secretary of State for the Home Department [2016] EWCA Civ 655 (Court of Appeal, Civil Division)</x:v>
      </x:c>
      <x:c r="D521" s="9" t="str"/>
      <x:c r="E521" s="9" t="str"/>
      <x:c r="F521" s="13" t="str">
        <x:v>2016</x:v>
      </x:c>
      <x:c r="G521" s="9" t="str">
        <x:v>England and Wales Court of Appeal (Civil Division)</x:v>
      </x:c>
      <x:c r="H521" s="9" t="str">
        <x:v>Court of Appeal (Civil Division)</x:v>
      </x:c>
      <x:c r="I521" s="9" t="str">
        <x:v>England and Wales</x:v>
      </x:c>
      <x:c r="J521" s="9" t="str">
        <x:v>Administrative Law; Immigration Law; Judicial Review</x:v>
      </x:c>
      <x:c r="K521" s="9" t="str">
        <x:v>-ew-cases-EWCA-Civ-2016-655.xml</x:v>
      </x:c>
      <x:c r="L521" s="9" t="str">
        <x:v>TBA</x:v>
      </x:c>
    </x:row>
    <x:row r="522">
      <x:c r="A522" t="str">
        <x:v>64966d03-ff68-425d-aa56-a4bf3ad026c7</x:v>
      </x:c>
      <x:c r="B522" t="str">
        <x:v>faedae29-2c89-4484-9346-ad288bc00cd5</x:v>
      </x:c>
      <x:c r="C522" s="9" t="str">
        <x:v>BSI Enterprises Ltd &amp; Anor v Blue Mountain Music Ltd [2015] EWCA Civ 1151</x:v>
      </x:c>
      <x:c r="D522" s="9" t="str"/>
      <x:c r="E522" s="9" t="str"/>
      <x:c r="F522" s="13" t="str">
        <x:v>2015</x:v>
      </x:c>
      <x:c r="G522" s="9" t="str">
        <x:v>England and Wales Court of Appeal (Civil Division)</x:v>
      </x:c>
      <x:c r="H522" s="9" t="str">
        <x:v>Appellate</x:v>
      </x:c>
      <x:c r="I522" s="9" t="str">
        <x:v>England and Wales</x:v>
      </x:c>
      <x:c r="J522" s="9" t="str">
        <x:v>Intellectual Property</x:v>
      </x:c>
      <x:c r="K522" s="9" t="str">
        <x:v>-ew-cases-EWCA-Civ-2015-1151.xml</x:v>
      </x:c>
      <x:c r="L522" s="9" t="str">
        <x:v>TBA</x:v>
      </x:c>
    </x:row>
    <x:row r="523">
      <x:c r="A523" t="str">
        <x:v>05ba90da-3d66-478a-a660-2d0a22973540</x:v>
      </x:c>
      <x:c r="B523" t="str">
        <x:v>8353388e-8422-4bcc-9dc0-16f9ba582ec3</x:v>
      </x:c>
      <x:c r="C523" s="9" t="str">
        <x:v>BT Group plc v Le Paturel [2022] EWCA Civ 593 (BT Group PLC v Patourel)</x:v>
      </x:c>
      <x:c r="D523" s="9" t="str"/>
      <x:c r="E523" s="9" t="str"/>
      <x:c r="F523" s="13" t="str">
        <x:v>2022</x:v>
      </x:c>
      <x:c r="G523" s="9" t="str">
        <x:v>England and Wales Court of Appeal (Civil Division)</x:v>
      </x:c>
      <x:c r="H523" s="9" t="str">
        <x:v>Court of Appeal (Civil Division)</x:v>
      </x:c>
      <x:c r="I523" s="9" t="str">
        <x:v>England and Wales</x:v>
      </x:c>
      <x:c r="J523" s="9" t="str">
        <x:v>Civil Procedure / Competition Law / Collective Proceedings</x:v>
      </x:c>
      <x:c r="K523" s="9" t="str">
        <x:v>ew-cases-EWCA-Civ-2022-593.xml</x:v>
      </x:c>
      <x:c r="L523" s="9" t="str">
        <x:v>TBA</x:v>
      </x:c>
    </x:row>
    <x:row r="524">
      <x:c r="A524" t="str">
        <x:v>963b4201-c9e2-4f61-aef1-a401858e3c94</x:v>
      </x:c>
      <x:c r="B524" t="str">
        <x:v>b068ad00-bb52-4927-b88d-28533430cae3</x:v>
      </x:c>
      <x:c r="C524" s="9" t="str">
        <x:v>BT Managed Services Ltd v Edwards &amp; Anor [2016] EWCA Civ 679 (14 June 2016)</x:v>
      </x:c>
      <x:c r="D524" s="9" t="str"/>
      <x:c r="E524" s="9" t="str"/>
      <x:c r="F524" s="13" t="str">
        <x:v>2016</x:v>
      </x:c>
      <x:c r="G524" s="9" t="str">
        <x:v>England and Wales Court of Appeal (Civil Division)</x:v>
      </x:c>
      <x:c r="H524" s="9" t="str">
        <x:v>Court of Appeal (Civil Division)</x:v>
      </x:c>
      <x:c r="I524" s="9" t="str">
        <x:v>England and Wales</x:v>
      </x:c>
      <x:c r="J524" s="9" t="str">
        <x:v>Employment Law</x:v>
      </x:c>
      <x:c r="K524" s="9" t="str">
        <x:v>-ew-cases-EWCA-Civ-2016-679.xml</x:v>
      </x:c>
      <x:c r="L524" s="9" t="str">
        <x:v>TBA</x:v>
      </x:c>
    </x:row>
    <x:row r="525">
      <x:c r="A525" t="str">
        <x:v>819b52cd-04ca-445f-ae4d-5179cd42fa19</x:v>
      </x:c>
      <x:c r="B525" t="str">
        <x:v>32da8b2b-114f-4a55-8fff-21b61538b4ca</x:v>
      </x:c>
      <x:c r="C525" s="9" t="str">
        <x:v>BT Pension Scheme Trustees v HM Revenue &amp; Customs [2014] EWCA Civ 23</x:v>
      </x:c>
      <x:c r="D525" s="9" t="str"/>
      <x:c r="E525" s="9" t="str"/>
      <x:c r="F525" s="13" t="str">
        <x:v>2014</x:v>
      </x:c>
      <x:c r="G525" s="9" t="str">
        <x:v>England and Wales Court of Appeal (Civil Division)</x:v>
      </x:c>
      <x:c r="H525" s="9" t="str">
        <x:v>Appellate</x:v>
      </x:c>
      <x:c r="I525" s="9" t="str">
        <x:v>England and Wales</x:v>
      </x:c>
      <x:c r="J525" s="9" t="str">
        <x:v>Tax Law</x:v>
      </x:c>
      <x:c r="K525" s="9" t="str">
        <x:v>-ew-cases-EWCA-Civ-2014-23.xml</x:v>
      </x:c>
      <x:c r="L525" s="9" t="str">
        <x:v>TBA</x:v>
      </x:c>
    </x:row>
    <x:row r="526">
      <x:c r="A526" t="str">
        <x:v>ddff8d11-bae8-49d2-904c-478e92cec502</x:v>
      </x:c>
      <x:c r="B526" t="str">
        <x:v>bd155808-d472-4421-be72-65af1508069e</x:v>
      </x:c>
      <x:c r="C526" s="9" t="str">
        <x:v>Bubbles &amp; Wine Ltd v Lusha [2018] EWCA Civ 468</x:v>
      </x:c>
      <x:c r="D526" s="9" t="str"/>
      <x:c r="E526" s="9" t="str"/>
      <x:c r="F526" s="13" t="str">
        <x:v>2018</x:v>
      </x:c>
      <x:c r="G526" s="9" t="str">
        <x:v>England and Wales Court of Appeal (Civil Division)</x:v>
      </x:c>
      <x:c r="H526" s="9" t="str">
        <x:v>Appellate</x:v>
      </x:c>
      <x:c r="I526" s="9" t="str">
        <x:v>England and Wales</x:v>
      </x:c>
      <x:c r="J526" s="9" t="str">
        <x:v>Judicial Conduct/Procedural Issues</x:v>
      </x:c>
      <x:c r="K526" s="9" t="str">
        <x:v>PT_EWCA-Civ_2018_468.xml</x:v>
      </x:c>
      <x:c r="L526" s="9" t="str">
        <x:v>TBA</x:v>
      </x:c>
    </x:row>
    <x:row r="527">
      <x:c r="A527" t="str">
        <x:v>b967db52-c47f-4343-998f-533e181e8115</x:v>
      </x:c>
      <x:c r="B527" t="str">
        <x:v>6c8eb083-ef93-44ce-a2df-8790057e9537</x:v>
      </x:c>
      <x:c r="C527" s="9" t="str">
        <x:v>Bucci v Carman (Liquidator of Casa Estates (UK) Limited) [2014] EWCA Civ 383</x:v>
      </x:c>
      <x:c r="D527" s="9" t="str"/>
      <x:c r="E527" s="9" t="str"/>
      <x:c r="F527" s="13" t="str">
        <x:v>2014</x:v>
      </x:c>
      <x:c r="G527" s="9" t="str">
        <x:v>England and Wales Court of Appeal (Civil Division)</x:v>
      </x:c>
      <x:c r="H527" s="9" t="str">
        <x:v>Appellate</x:v>
      </x:c>
      <x:c r="I527" s="9" t="str">
        <x:v>England and Wales</x:v>
      </x:c>
      <x:c r="J527" s="9" t="str">
        <x:v>Insolvency and Companies Law</x:v>
      </x:c>
      <x:c r="K527" s="9" t="str">
        <x:v>-ew-cases-EWCA-Civ-2014-383.xml</x:v>
      </x:c>
      <x:c r="L527" s="9" t="str">
        <x:v>TBA</x:v>
      </x:c>
    </x:row>
    <x:row r="528">
      <x:c r="A528" t="str">
        <x:v>bcf8d15a-10a8-41d0-a4c7-f137eddabcd6</x:v>
      </x:c>
      <x:c r="B528" t="str">
        <x:v>6c8d416e-c105-4e58-b48c-ad72962fdc86</x:v>
      </x:c>
      <x:c r="C528" s="9" t="str">
        <x:v>Budana v The Leeds Teaching Hospitals NHS Trust &amp; Anor [2017] EWCA Civ 1980</x:v>
      </x:c>
      <x:c r="D528" s="9" t="str"/>
      <x:c r="E528" s="9" t="str"/>
      <x:c r="F528" s="13" t="str">
        <x:v>2017</x:v>
      </x:c>
      <x:c r="G528" s="9" t="str">
        <x:v>England and Wales Court of Appeal (Civil Division)</x:v>
      </x:c>
      <x:c r="H528" s="9" t="str">
        <x:v>Appellate</x:v>
      </x:c>
      <x:c r="I528" s="9" t="str">
        <x:v>England and Wales</x:v>
      </x:c>
      <x:c r="J528" s="9" t="str">
        <x:v>Contract Law</x:v>
      </x:c>
      <x:c r="K528" s="9" t="str">
        <x:v>-ew-cases-EWCA-Civ-2017-1980.xml</x:v>
      </x:c>
      <x:c r="L528" s="9" t="str">
        <x:v>TBA</x:v>
      </x:c>
    </x:row>
    <x:row r="529">
      <x:c r="A529" t="str">
        <x:v>f1cea08d-2752-436d-8372-a68fd5214c27</x:v>
      </x:c>
      <x:c r="B529" t="str">
        <x:v>3058cbda-87cc-47e0-8e12-1a09b4031854</x:v>
      </x:c>
      <x:c r="C529" s="9" t="str">
        <x:v>Bui, R (On the Application Of) v Secretary of State for Work and Pensions (Re Universal Credit) [2023] EWCA Civ 566</x:v>
      </x:c>
      <x:c r="D529" s="9" t="str"/>
      <x:c r="E529" s="9" t="str"/>
      <x:c r="F529" s="13" t="str">
        <x:v>2023</x:v>
      </x:c>
      <x:c r="G529" s="9" t="str">
        <x:v>England and Wales Court of Appeal (Civil Division)</x:v>
      </x:c>
      <x:c r="H529" s="9" t="str">
        <x:v>Court of Appeal (Civil Division)</x:v>
      </x:c>
      <x:c r="I529" s="9" t="str">
        <x:v>England and Wales</x:v>
      </x:c>
      <x:c r="J529" s="9" t="str">
        <x:v>Civil Appeal / Welfare Benefits / Administrative Law</x:v>
      </x:c>
      <x:c r="K529" s="9" t="str">
        <x:v>ew-cases-EWCA-Civ-2023-566.xml</x:v>
      </x:c>
      <x:c r="L529" s="9" t="str">
        <x:v>TBA</x:v>
      </x:c>
    </x:row>
    <x:row r="530">
      <x:c r="A530" t="str">
        <x:v>b0df9ed0-9d16-40dc-8cea-addcda3d564b</x:v>
      </x:c>
      <x:c r="B530" t="str">
        <x:v>a3764101-12f9-47f3-a373-45d1cb07f2f2</x:v>
      </x:c>
      <x:c r="C530" s="9" t="str">
        <x:v>Build-A-Bear Workshop UK Holdings Limited v Commissioners for HM Revenue and Customs [2022] EWCA Civ 825</x:v>
      </x:c>
      <x:c r="D530" s="9" t="str"/>
      <x:c r="E530" s="9" t="str"/>
      <x:c r="F530" s="13" t="str">
        <x:v>2022</x:v>
      </x:c>
      <x:c r="G530" s="9" t="str">
        <x:v>England and Wales Court of Appeal (Civil Division)</x:v>
      </x:c>
      <x:c r="H530" s="9" t="str">
        <x:v>Court of Appeal (Civil Division)</x:v>
      </x:c>
      <x:c r="I530" s="9" t="str">
        <x:v>England and Wales</x:v>
      </x:c>
      <x:c r="J530" s="9" t="str">
        <x:v>Tax / Customs Duty</x:v>
      </x:c>
      <x:c r="K530" s="9" t="str">
        <x:v>ew-cases-EWCA-Civ-2022-825.xml</x:v>
      </x:c>
      <x:c r="L530" s="9" t="str">
        <x:v>TBA</x:v>
      </x:c>
    </x:row>
    <x:row r="531">
      <x:c r="A531" t="str">
        <x:v>e430843c-ef10-4746-890b-e29bd0d36ee2</x:v>
      </x:c>
      <x:c r="B531" t="str">
        <x:v>709f5438-0a23-4fca-8f7c-203f2fce0270</x:v>
      </x:c>
      <x:c r="C531" s="9" t="str">
        <x:v>Building Design Partnership Ltd v Standard Life Assurance Ltd [2021] EWCA Civ 1793</x:v>
      </x:c>
      <x:c r="D531" s="9" t="str"/>
      <x:c r="E531" s="9" t="str"/>
      <x:c r="F531" s="13" t="str">
        <x:v>2021</x:v>
      </x:c>
      <x:c r="G531" s="9" t="str">
        <x:v>England and Wales Court of Appeal (Civil Division)</x:v>
      </x:c>
      <x:c r="H531" s="9" t="str">
        <x:v>Court of Appeal</x:v>
      </x:c>
      <x:c r="I531" s="9" t="str">
        <x:v>England and Wales</x:v>
      </x:c>
      <x:c r="J531" s="9" t="str">
        <x:v>Civil Appeal</x:v>
      </x:c>
      <x:c r="K531" s="9" t="str">
        <x:v>ew-cases-EWCA-Civ-2021-1793.xml</x:v>
      </x:c>
      <x:c r="L531" s="9" t="str">
        <x:v>TBA</x:v>
      </x:c>
    </x:row>
    <x:row r="532">
      <x:c r="A532" t="str">
        <x:v>a349f245-d9d8-4dc6-a82e-3e43ebf08ebc</x:v>
      </x:c>
      <x:c r="B532" t="str">
        <x:v>bb12d8f2-60fe-4293-9d65-1ccd21a49208</x:v>
      </x:c>
      <x:c r="C532" s="9" t="str">
        <x:v>Bukovsky v Crown Prosecution Service [2017] EWCA Civ 1529</x:v>
      </x:c>
      <x:c r="D532" s="9" t="str"/>
      <x:c r="E532" s="9" t="str"/>
      <x:c r="F532" s="13" t="str">
        <x:v>2017</x:v>
      </x:c>
      <x:c r="G532" s="9" t="str">
        <x:v>England and Wales Court of Appeal (Civil Division)</x:v>
      </x:c>
      <x:c r="H532" s="9" t="str">
        <x:v>Appellate</x:v>
      </x:c>
      <x:c r="I532" s="9" t="str">
        <x:v>England and Wales</x:v>
      </x:c>
      <x:c r="J532" s="9" t="str">
        <x:v>Tort</x:v>
      </x:c>
      <x:c r="K532" s="9" t="str">
        <x:v>-ew-cases-EWCA-Civ-2017-1529.xml</x:v>
      </x:c>
      <x:c r="L532" s="9" t="str">
        <x:v>TBA</x:v>
      </x:c>
    </x:row>
    <x:row r="533">
      <x:c r="A533" t="str">
        <x:v>1cfe70f4-42bf-447a-99df-7dfa0710933c</x:v>
      </x:c>
      <x:c r="B533" t="str">
        <x:v>3bc44550-e115-448b-82b6-d7c9d69cb1ea</x:v>
      </x:c>
      <x:c r="C533" s="9" t="str">
        <x:v>Burlington Loan Management Ltd &amp; Ors v Lomas &amp; Ors [2017] EWCA Civ 1462</x:v>
      </x:c>
      <x:c r="D533" s="9" t="str"/>
      <x:c r="E533" s="9" t="str"/>
      <x:c r="F533" s="13" t="str">
        <x:v>2017</x:v>
      </x:c>
      <x:c r="G533" s="9" t="str">
        <x:v>England and Wales Court of Appeal (Civil Division)</x:v>
      </x:c>
      <x:c r="H533" s="9" t="str">
        <x:v>Appellate</x:v>
      </x:c>
      <x:c r="I533" s="9" t="str">
        <x:v>England and Wales</x:v>
      </x:c>
      <x:c r="J533" s="9" t="str">
        <x:v>Insolvency</x:v>
      </x:c>
      <x:c r="K533" s="9" t="str">
        <x:v>-ew-cases-EWCA-Civ-2017-1462.xml</x:v>
      </x:c>
      <x:c r="L533" s="9" t="str">
        <x:v>TBA</x:v>
      </x:c>
    </x:row>
    <x:row r="534">
      <x:c r="A534" t="str">
        <x:v>c8fb3401-741d-479e-8d03-7445133d5165</x:v>
      </x:c>
      <x:c r="B534" t="str">
        <x:v>089fcaf4-9c71-4fe5-a81a-b883c252ae99</x:v>
      </x:c>
      <x:c r="C534" s="9" t="str">
        <x:v>Burn v Alder Hey Children's NHS Foundation Trust (Rev1)</x:v>
      </x:c>
      <x:c r="D534" s="9" t="str"/>
      <x:c r="E534" s="9" t="str"/>
      <x:c r="F534" s="13" t="str">
        <x:v>2021</x:v>
      </x:c>
      <x:c r="G534" s="9" t="str">
        <x:v>England and Wales Court of Appeal (Civil Division)</x:v>
      </x:c>
      <x:c r="H534" s="9" t="str">
        <x:v>Appellate</x:v>
      </x:c>
      <x:c r="I534" s="9" t="str">
        <x:v>England and Wales</x:v>
      </x:c>
      <x:c r="J534" s="9" t="str">
        <x:v>Employment Law</x:v>
      </x:c>
      <x:c r="K534" s="9" t="str">
        <x:v>ew-cases-EWCA-Civ-2021-1791.xml</x:v>
      </x:c>
      <x:c r="L534" s="9" t="str">
        <x:v>TBA</x:v>
      </x:c>
    </x:row>
    <x:row r="535">
      <x:c r="A535" t="str">
        <x:v>a604c56e-8611-425f-86a6-d6480064b019</x:v>
      </x:c>
      <x:c r="B535" t="str">
        <x:v>63f1ceea-1ae6-4e29-9f3b-c354ab3fba11</x:v>
      </x:c>
      <x:c r="C535" s="9" t="str">
        <x:v>Burnden Holdings (UK) Limited (in Liquidation) v Fielding &amp; Anor [2016] EWCA Civ 557</x:v>
      </x:c>
      <x:c r="D535" s="9" t="str"/>
      <x:c r="E535" s="9" t="str"/>
      <x:c r="F535" s="13" t="str">
        <x:v>2016</x:v>
      </x:c>
      <x:c r="G535" s="9" t="str">
        <x:v>England and Wales Court of Appeal (Civil Division)</x:v>
      </x:c>
      <x:c r="H535" s="9" t="str">
        <x:v>Court of Appeal (Civil Division)</x:v>
      </x:c>
      <x:c r="I535" s="9" t="str">
        <x:v>England and Wales</x:v>
      </x:c>
      <x:c r="J535" s="9" t="str">
        <x:v>Company Law / Fiduciary Duty / Limitation</x:v>
      </x:c>
      <x:c r="K535" s="9" t="str">
        <x:v>-ew-cases-EWCA-Civ-2016-557.xml</x:v>
      </x:c>
      <x:c r="L535" s="9" t="str">
        <x:v>TBA</x:v>
      </x:c>
    </x:row>
    <x:row r="536">
      <x:c r="A536" t="str">
        <x:v>b072ec39-66eb-4666-9cfb-1f782db708a8</x:v>
      </x:c>
      <x:c r="B536" t="str">
        <x:v>c40f1b34-e79f-4291-8356-10abde2adc83</x:v>
      </x:c>
      <x:c r="C536" s="9" t="str">
        <x:v>Burnett v Lynch [2012] EWCA Civ 347</x:v>
      </x:c>
      <x:c r="D536" s="9" t="str"/>
      <x:c r="E536" s="9" t="str"/>
      <x:c r="F536" s="13" t="str">
        <x:v>2012</x:v>
      </x:c>
      <x:c r="G536" s="9" t="str">
        <x:v>England and Wales Court of Appeal (Civil Division)</x:v>
      </x:c>
      <x:c r="H536" s="9" t="str">
        <x:v>Appellate</x:v>
      </x:c>
      <x:c r="I536" s="9" t="str">
        <x:v>England and Wales</x:v>
      </x:c>
      <x:c r="J536" s="9" t="str">
        <x:v>Tort</x:v>
      </x:c>
      <x:c r="K536" s="9" t="str">
        <x:v>PT_EWCA-Civ_2012_347.xml</x:v>
      </x:c>
      <x:c r="L536" s="9" t="str">
        <x:v>TBA</x:v>
      </x:c>
    </x:row>
    <x:row r="537">
      <x:c r="A537" t="str">
        <x:v>a1a9dfc4-bce2-4e3f-bdf3-ba417b7c26da</x:v>
      </x:c>
      <x:c r="B537" t="str">
        <x:v>6436f55e-06d2-4659-86d5-143b8282fec2</x:v>
      </x:c>
      <x:c r="C537" s="9" t="str">
        <x:v>Burnford &amp; Ors v Automobile Association Developments Limited [2022] EWCA Civ 1943</x:v>
      </x:c>
      <x:c r="D537" s="9" t="str"/>
      <x:c r="E537" s="9" t="str"/>
      <x:c r="F537" s="13" t="str">
        <x:v>2022</x:v>
      </x:c>
      <x:c r="G537" s="9" t="str">
        <x:v>England and Wales Court of Appeal (Civil Division)</x:v>
      </x:c>
      <x:c r="H537" s="9" t="str">
        <x:v>Court of Appeal (Civil Division)</x:v>
      </x:c>
      <x:c r="I537" s="9" t="str">
        <x:v>England and Wales</x:v>
      </x:c>
      <x:c r="J537" s="9" t="str">
        <x:v>Civil Appeal / Company Law</x:v>
      </x:c>
      <x:c r="K537" s="9" t="str">
        <x:v>ew-cases-EWCA-Civ-2022-1943.xml</x:v>
      </x:c>
      <x:c r="L537" s="9" t="str">
        <x:v>TBA</x:v>
      </x:c>
    </x:row>
    <x:row r="538">
      <x:c r="A538" t="str">
        <x:v>33435dc6-639d-434f-b383-70cc8aa76175</x:v>
      </x:c>
      <x:c r="B538" t="str">
        <x:v>282112a0-b0ca-41dc-9b51-a2648cde7589</x:v>
      </x:c>
      <x:c r="C538" s="9" t="str">
        <x:v>Burns &amp; Ors v Burns [2016] EWCA Civ 37</x:v>
      </x:c>
      <x:c r="D538" s="9" t="str"/>
      <x:c r="E538" s="9" t="str"/>
      <x:c r="F538" s="13" t="str">
        <x:v>2016</x:v>
      </x:c>
      <x:c r="G538" s="9" t="str">
        <x:v>England and Wales Court of Appeal (Civil Division)</x:v>
      </x:c>
      <x:c r="H538" s="9" t="str">
        <x:v>Court of Appeal (Civil Division)</x:v>
      </x:c>
      <x:c r="I538" s="9" t="str">
        <x:v>England and Wales</x:v>
      </x:c>
      <x:c r="J538" s="9" t="str">
        <x:v>Wills and probate</x:v>
      </x:c>
      <x:c r="K538" s="9" t="str">
        <x:v>-ew-cases-EWCA-Civ-2016-37.xml</x:v>
      </x:c>
      <x:c r="L538" s="9" t="str">
        <x:v>TBA</x:v>
      </x:c>
    </x:row>
    <x:row r="539">
      <x:c r="A539" t="str">
        <x:v>00f2fc38-99eb-4026-8e92-c7ff7ae3c7ca</x:v>
      </x:c>
      <x:c r="B539" t="str">
        <x:v>7996066b-1cf5-46a7-8875-178ae96491a1</x:v>
      </x:c>
      <x:c r="C539" s="9" t="str">
        <x:v>Burns v The Financial Conduct Authority [2017] EWCA Civ 2140</x:v>
      </x:c>
      <x:c r="D539" s="9" t="str"/>
      <x:c r="E539" s="9" t="str"/>
      <x:c r="F539" s="13" t="str">
        <x:v>2017</x:v>
      </x:c>
      <x:c r="G539" s="9" t="str">
        <x:v>England and Wales Court of Appeal (Civil Division)</x:v>
      </x:c>
      <x:c r="H539" s="9" t="str">
        <x:v>Appellate</x:v>
      </x:c>
      <x:c r="I539" s="9" t="str">
        <x:v>England and Wales</x:v>
      </x:c>
      <x:c r="J539" s="9" t="str">
        <x:v>Regulatory Compliance</x:v>
      </x:c>
      <x:c r="K539" s="9" t="str">
        <x:v>-ew-cases-EWCA-Civ-2017-2140.xml</x:v>
      </x:c>
      <x:c r="L539" s="9" t="str">
        <x:v>TBA</x:v>
      </x:c>
    </x:row>
    <x:row r="540">
      <x:c r="A540" t="str">
        <x:v>1033e9c4-02ab-4092-8507-51b2d24321c2</x:v>
      </x:c>
      <x:c r="B540" t="str">
        <x:v>48b2068c-80e9-4d0c-81f5-46a177a4c560</x:v>
      </x:c>
      <x:c r="C540" s="9" t="str">
        <x:v>Burrell v Micheldever Tyre Services Ltd</x:v>
      </x:c>
      <x:c r="D540" s="9" t="str"/>
      <x:c r="E540" s="9" t="str"/>
      <x:c r="F540" s="13" t="str">
        <x:v>2014</x:v>
      </x:c>
      <x:c r="G540" s="9" t="str">
        <x:v>England and Wales Court of Appeal (Civil Division)</x:v>
      </x:c>
      <x:c r="H540" s="9" t="str">
        <x:v>Appellate</x:v>
      </x:c>
      <x:c r="I540" s="9" t="str">
        <x:v>England and Wales</x:v>
      </x:c>
      <x:c r="J540" s="9" t="str">
        <x:v>Employment Law</x:v>
      </x:c>
      <x:c r="K540" s="9" t="str">
        <x:v>-ew-cases-EWCA-Civ-2014-716.xml</x:v>
      </x:c>
      <x:c r="L540" s="9" t="str">
        <x:v>TBA</x:v>
      </x:c>
    </x:row>
    <x:row r="541">
      <x:c r="A541" t="str">
        <x:v>91c70692-9bea-4171-9d04-042e18c0c27d</x:v>
      </x:c>
      <x:c r="B541" t="str">
        <x:v>13883cb9-19dc-4cfb-bea1-da6ae6482579</x:v>
      </x:c>
      <x:c r="C541" s="9" t="str">
        <x:v>Burrows Investments Ltd v Ward Homes Ltd [2017] EWCA Civ 1577</x:v>
      </x:c>
      <x:c r="D541" s="9" t="str"/>
      <x:c r="E541" s="9" t="str"/>
      <x:c r="F541" s="13" t="str">
        <x:v>2017</x:v>
      </x:c>
      <x:c r="G541" s="9" t="str">
        <x:v>England and Wales Court of Appeal (Civil Division)</x:v>
      </x:c>
      <x:c r="H541" s="9" t="str">
        <x:v>Appellate</x:v>
      </x:c>
      <x:c r="I541" s="9" t="str">
        <x:v>England and Wales</x:v>
      </x:c>
      <x:c r="J541" s="9" t="str">
        <x:v>Contract Dispute</x:v>
      </x:c>
      <x:c r="K541" s="9" t="str">
        <x:v>-ew-cases-EWCA-Civ-2017-1577.xml</x:v>
      </x:c>
      <x:c r="L541" s="9" t="str">
        <x:v>TBA</x:v>
      </x:c>
    </x:row>
    <x:row r="542">
      <x:c r="A542" t="str">
        <x:v>eacaa514-045b-4506-828d-0e3ebdf56fb3</x:v>
      </x:c>
      <x:c r="B542" t="str">
        <x:v>c4cd518c-c41e-4935-beb9-29277f5634b3</x:v>
      </x:c>
      <x:c r="C542" s="9" t="str">
        <x:v>Burry &amp; Knight Ltd &amp; Anor v Knight [2014] EWCA Civ 604</x:v>
      </x:c>
      <x:c r="D542" s="9" t="str"/>
      <x:c r="E542" s="9" t="str"/>
      <x:c r="F542" s="13" t="str">
        <x:v>2014</x:v>
      </x:c>
      <x:c r="G542" s="9" t="str">
        <x:v>England and Wales Court of Appeal (Civil Division)</x:v>
      </x:c>
      <x:c r="H542" s="9" t="str">
        <x:v>Appellate</x:v>
      </x:c>
      <x:c r="I542" s="9" t="str">
        <x:v>England and Wales</x:v>
      </x:c>
      <x:c r="J542" s="9" t="str">
        <x:v>Corporate Law</x:v>
      </x:c>
      <x:c r="K542" s="9" t="str">
        <x:v>-ew-cases-EWCA-Civ-2014-604.xml</x:v>
      </x:c>
      <x:c r="L542" s="9" t="str">
        <x:v>TBA</x:v>
      </x:c>
    </x:row>
    <x:row r="543">
      <x:c r="A543" t="str">
        <x:v>4b1b69e4-a1c4-4e0c-b7ca-7afb86ac75c3</x:v>
      </x:c>
      <x:c r="B543" t="str">
        <x:v>9acb5356-a119-4c3a-b9c1-3164ae43cf3c</x:v>
      </x:c>
      <x:c r="C543" s="9" t="str">
        <x:v>Burton v Walters [2016] EWCA Civ 675</x:v>
      </x:c>
      <x:c r="D543" s="9" t="str"/>
      <x:c r="E543" s="9" t="str"/>
      <x:c r="F543" s="13" t="str">
        <x:v>2016</x:v>
      </x:c>
      <x:c r="G543" s="9" t="str">
        <x:v>England and Wales Court of Appeal (Civil Division)</x:v>
      </x:c>
      <x:c r="H543" s="9" t="str">
        <x:v>Court of Appeal (Civil Division)</x:v>
      </x:c>
      <x:c r="I543" s="9" t="str">
        <x:v>England and Wales</x:v>
      </x:c>
      <x:c r="J543" s="9" t="str">
        <x:v>Contract and Property / Equity</x:v>
      </x:c>
      <x:c r="K543" s="9" t="str">
        <x:v>-ew-cases-EWCA-Civ-2016-675.xml</x:v>
      </x:c>
      <x:c r="L543" s="9" t="str">
        <x:v>TBA</x:v>
      </x:c>
    </x:row>
    <x:row r="544">
      <x:c r="A544" t="str">
        <x:v>64429269-7284-46ff-a85e-db94e6083245</x:v>
      </x:c>
      <x:c r="B544" t="str">
        <x:v>b2d92dd6-5b27-49c0-bbc2-89041cfecfa5</x:v>
      </x:c>
      <x:c r="C544" s="9" t="str">
        <x:v>Business Mortgage Finance 4 PLC &amp; Ors v Hussain [2022] EWCA Civ 1264</x:v>
      </x:c>
      <x:c r="D544" s="9" t="str"/>
      <x:c r="E544" s="9" t="str"/>
      <x:c r="F544" s="13" t="str">
        <x:v>2022</x:v>
      </x:c>
      <x:c r="G544" s="9" t="str">
        <x:v>England and Wales Court of Appeal (Civil Division)</x:v>
      </x:c>
      <x:c r="H544" s="9" t="str">
        <x:v>Court of Appeal (Civil Division)</x:v>
      </x:c>
      <x:c r="I544" s="9" t="str">
        <x:v>England and Wales</x:v>
      </x:c>
      <x:c r="J544" s="9" t="str">
        <x:v>Civil Procedure; Contempt of Court; Appellate</x:v>
      </x:c>
      <x:c r="K544" s="9" t="str">
        <x:v>ew-cases-EWCA-Civ-2022-1264.xml</x:v>
      </x:c>
      <x:c r="L544" s="9" t="str">
        <x:v>TBA</x:v>
      </x:c>
    </x:row>
    <x:row r="545">
      <x:c r="A545" t="str">
        <x:v>b058eac8-0835-4a6a-8a28-0d75d033f3bc</x:v>
      </x:c>
      <x:c r="B545" t="str">
        <x:v>f00b081e-e2ad-4662-b331-62420acc5ed1</x:v>
      </x:c>
      <x:c r="C545" s="9" t="str">
        <x:v>Butcher &amp; Anor v Pike &amp; Ors [2021] EWCA Civ 1407 - Appeal on Contractual Interpretation</x:v>
      </x:c>
      <x:c r="D545" s="9" t="str"/>
      <x:c r="E545" s="9" t="str"/>
      <x:c r="F545" s="13" t="str">
        <x:v>2021</x:v>
      </x:c>
      <x:c r="G545" s="9" t="str">
        <x:v>England and Wales Court of Appeal (Civil Division)</x:v>
      </x:c>
      <x:c r="H545" s="9" t="str">
        <x:v>Appellate</x:v>
      </x:c>
      <x:c r="I545" s="9" t="str">
        <x:v>England and Wales</x:v>
      </x:c>
      <x:c r="J545" s="9" t="str">
        <x:v>Contract Dispute</x:v>
      </x:c>
      <x:c r="K545" s="9" t="str">
        <x:v>ew-cases-EWCA-Civ-2021-1407.xml</x:v>
      </x:c>
      <x:c r="L545" s="9" t="str">
        <x:v>TBA</x:v>
      </x:c>
    </x:row>
    <x:row r="546">
      <x:c r="A546" t="str">
        <x:v>5f2796d4-24e7-4dbb-a707-da729c7b24ab</x:v>
      </x:c>
      <x:c r="B546" t="str">
        <x:v>4840c2e7-7326-456e-84e1-def231729686</x:v>
      </x:c>
      <x:c r="C546" s="9" t="str">
        <x:v>Butcher v Southend-On-Sea Borough Council (2014)</x:v>
      </x:c>
      <x:c r="D546" s="9" t="str"/>
      <x:c r="E546" s="9" t="str"/>
      <x:c r="F546" s="13" t="str">
        <x:v>2014</x:v>
      </x:c>
      <x:c r="G546" s="9" t="str">
        <x:v>England and Wales Court of Appeal (Civil Division)</x:v>
      </x:c>
      <x:c r="H546" s="9" t="str">
        <x:v>Appellate</x:v>
      </x:c>
      <x:c r="I546" s="9" t="str">
        <x:v>England and Wales</x:v>
      </x:c>
      <x:c r="J546" s="9" t="str">
        <x:v>Personal Injury</x:v>
      </x:c>
      <x:c r="K546" s="9" t="str">
        <x:v>-ew-cases-EWCA-Civ-2014-1556.xml</x:v>
      </x:c>
      <x:c r="L546" s="9" t="str">
        <x:v>TBA</x:v>
      </x:c>
    </x:row>
    <x:row r="547">
      <x:c r="A547" t="str">
        <x:v>ad7ae230-53cf-4d29-869c-8416f53a27da</x:v>
      </x:c>
      <x:c r="B547" t="str">
        <x:v>b4fc8738-7e67-4b6a-bd4e-89a46550fc8a</x:v>
      </x:c>
      <x:c r="C547" s="9" t="str">
        <x:v>Butt v Secretary of State for the Home Department [2017] EWCA Civ 184</x:v>
      </x:c>
      <x:c r="D547" s="9" t="str"/>
      <x:c r="E547" s="9" t="str"/>
      <x:c r="F547" s="13" t="str">
        <x:v>2017</x:v>
      </x:c>
      <x:c r="G547" s="9" t="str">
        <x:v>England and Wales Court of Appeal (Civil Division)</x:v>
      </x:c>
      <x:c r="H547" s="9" t="str">
        <x:v>Appellate</x:v>
      </x:c>
      <x:c r="I547" s="9" t="str">
        <x:v>England and Wales</x:v>
      </x:c>
      <x:c r="J547" s="9" t="str">
        <x:v>Immigration Law</x:v>
      </x:c>
      <x:c r="K547" s="9" t="str">
        <x:v>-ew-cases-EWCA-Civ-2017-184.xml</x:v>
      </x:c>
      <x:c r="L547" s="9" t="str">
        <x:v>TBA</x:v>
      </x:c>
    </x:row>
    <x:row r="548">
      <x:c r="A548" t="str">
        <x:v>ceff423a-0af6-4fff-b593-f5887d4a59f8</x:v>
      </x:c>
      <x:c r="B548" t="str">
        <x:v>29096c2f-b38f-48c1-8f9c-79bd8bac0356</x:v>
      </x:c>
      <x:c r="C548" s="9" t="str">
        <x:v>Buttar Construction Ltd v Arshdeep [2021] EWCA Civ 1408</x:v>
      </x:c>
      <x:c r="D548" s="9" t="str"/>
      <x:c r="E548" s="9" t="str"/>
      <x:c r="F548" s="13" t="str">
        <x:v>2021</x:v>
      </x:c>
      <x:c r="G548" s="9" t="str">
        <x:v>England and Wales Court of Appeal (Civil Division)</x:v>
      </x:c>
      <x:c r="H548" s="9" t="str">
        <x:v>Appellate</x:v>
      </x:c>
      <x:c r="I548" s="9" t="str">
        <x:v>England and Wales</x:v>
      </x:c>
      <x:c r="J548" s="9" t="str">
        <x:v>Personal Injury</x:v>
      </x:c>
      <x:c r="K548" s="9" t="str">
        <x:v>ew-cases-EWCA-Civ-2021-1408.xml</x:v>
      </x:c>
      <x:c r="L548" s="9" t="str">
        <x:v>TBA</x:v>
      </x:c>
    </x:row>
    <x:row r="549">
      <x:c r="A549" t="str">
        <x:v>42461155-c073-46a4-87f3-4fd75c152c54</x:v>
      </x:c>
      <x:c r="B549" t="str">
        <x:v>4b432ed8-900a-4c07-a9b1-2943769f2db6</x:v>
      </x:c>
      <x:c r="C549" s="9" t="str">
        <x:v>Butters &amp; Anor v Hayes [2021] EWCA Civ 252</x:v>
      </x:c>
      <x:c r="D549" s="9" t="str"/>
      <x:c r="E549" s="9" t="str"/>
      <x:c r="F549" s="13" t="str">
        <x:v>2021</x:v>
      </x:c>
      <x:c r="G549" s="9" t="str">
        <x:v>England and Wales Court of Appeal (Civil Division)</x:v>
      </x:c>
      <x:c r="H549" s="9" t="str">
        <x:v>Appellate</x:v>
      </x:c>
      <x:c r="I549" s="9" t="str">
        <x:v>England and Wales</x:v>
      </x:c>
      <x:c r="J549" s="9" t="str">
        <x:v>Civil Procedure</x:v>
      </x:c>
      <x:c r="K549" s="9" t="str">
        <x:v>ew-cases-EWCA-Civ-2021-252.xml</x:v>
      </x:c>
      <x:c r="L549" s="9" t="str">
        <x:v>TBA</x:v>
      </x:c>
    </x:row>
    <x:row r="550">
      <x:c r="A550" t="str">
        <x:v>da2fe25a-90ac-49da-a1dd-679ee393de86</x:v>
      </x:c>
      <x:c r="B550" t="str">
        <x:v>a487b270-8ee3-4d2e-ba2b-29416f73ccb4</x:v>
      </x:c>
      <x:c r="C550" s="9" t="str">
        <x:v>Byers &amp; Ors v The Saudi National Bank [2022] EWCA Civ 43</x:v>
      </x:c>
      <x:c r="D550" s="9" t="str"/>
      <x:c r="E550" s="9" t="str"/>
      <x:c r="F550" s="13" t="str">
        <x:v>2022</x:v>
      </x:c>
      <x:c r="G550" s="9" t="str">
        <x:v>England and Wales Court of Appeal (Civil Division)</x:v>
      </x:c>
      <x:c r="H550" s="9" t="str">
        <x:v>Court of Appeal (Civil Division)</x:v>
      </x:c>
      <x:c r="I550" s="9" t="str">
        <x:v>England and Wales</x:v>
      </x:c>
      <x:c r="J550" s="9" t="str">
        <x:v>Equitable relief / Trusts - Knowing receipt</x:v>
      </x:c>
      <x:c r="K550" s="9" t="str">
        <x:v>ew-cases-EWCA-Civ-2022-43.xml</x:v>
      </x:c>
      <x:c r="L550" s="9" t="str">
        <x:v>TBA</x:v>
      </x:c>
    </x:row>
    <x:row r="551">
      <x:c r="A551" t="str">
        <x:v>4b6277e4-03da-4fc1-906c-4b3454903d3a</x:v>
      </x:c>
      <x:c r="B551" t="str">
        <x:v>19d5d1d3-2d0b-4a7f-9c22-84cc6be38d49</x:v>
      </x:c>
      <x:c r="C551" s="9" t="str">
        <x:v>Byndloss, R (On the Application Of) v The Secretary of State for the Home Department</x:v>
      </x:c>
      <x:c r="D551" s="9" t="str"/>
      <x:c r="E551" s="9" t="str"/>
      <x:c r="F551" s="13" t="str">
        <x:v>2015</x:v>
      </x:c>
      <x:c r="G551" s="9" t="str">
        <x:v>England and Wales Court of Appeal (Civil Division)</x:v>
      </x:c>
      <x:c r="H551" s="9" t="str">
        <x:v>Appellate</x:v>
      </x:c>
      <x:c r="I551" s="9" t="str">
        <x:v>England and Wales</x:v>
      </x:c>
      <x:c r="J551" s="9" t="str">
        <x:v>Immigration Law</x:v>
      </x:c>
      <x:c r="K551" s="9" t="str">
        <x:v>-ew-cases-EWCA-Civ-2015-678.xml</x:v>
      </x:c>
      <x:c r="L551" s="9" t="str">
        <x:v>TBA</x:v>
      </x:c>
    </x:row>
    <x:row r="552">
      <x:c r="A552" t="str">
        <x:v>0761cc06-20fe-4543-81a6-a32877e00869</x:v>
      </x:c>
      <x:c r="B552" t="str">
        <x:v>bee23633-fbf9-4d18-89fc-cfd8ff71af62</x:v>
      </x:c>
      <x:c r="C552" s="9" t="str">
        <x:v>C (A Child) (Abduction: Article 13(b))</x:v>
      </x:c>
      <x:c r="D552" s="9" t="str"/>
      <x:c r="E552" s="9" t="str"/>
      <x:c r="F552" s="13" t="str">
        <x:v>2021</x:v>
      </x:c>
      <x:c r="G552" s="9" t="str">
        <x:v>England and Wales Court of Appeal (Civil Division)</x:v>
      </x:c>
      <x:c r="H552" s="9" t="str">
        <x:v>Appellate</x:v>
      </x:c>
      <x:c r="I552" s="9" t="str">
        <x:v>England and Wales</x:v>
      </x:c>
      <x:c r="J552" s="9" t="str">
        <x:v>Family Law</x:v>
      </x:c>
      <x:c r="K552" s="9" t="str">
        <x:v>ew-cases-EWCA-Civ-2021-1354.xml</x:v>
      </x:c>
      <x:c r="L552" s="9" t="str">
        <x:v>TBA</x:v>
      </x:c>
    </x:row>
    <x:row r="553">
      <x:c r="A553" t="str">
        <x:v>ec820b35-505e-4ff2-9d75-63d65b58594e</x:v>
      </x:c>
      <x:c r="B553" t="str">
        <x:v>7f36ffab-56fa-4bdc-9a36-82cf38f53133</x:v>
      </x:c>
      <x:c r="C553" s="9" t="str">
        <x:v>C (A Child) (Fact-Finding) [2022] EWCA Civ 584</x:v>
      </x:c>
      <x:c r="D553" s="9" t="str"/>
      <x:c r="E553" s="9" t="str"/>
      <x:c r="F553" s="13" t="str">
        <x:v>2022</x:v>
      </x:c>
      <x:c r="G553" s="9" t="str">
        <x:v>England and Wales Court of Appeal (Civil Division)</x:v>
      </x:c>
      <x:c r="H553" s="9" t="str">
        <x:v>Court of Appeal (Civil Division)</x:v>
      </x:c>
      <x:c r="I553" s="9" t="str">
        <x:v>England and Wales</x:v>
      </x:c>
      <x:c r="J553" s="9" t="str">
        <x:v>Family Law - Care Proceedings (Fact-Finding)</x:v>
      </x:c>
      <x:c r="K553" s="9" t="str">
        <x:v>ew-cases-EWCA-Civ-2022-584.xml</x:v>
      </x:c>
      <x:c r="L553" s="9" t="str">
        <x:v>TBA</x:v>
      </x:c>
    </x:row>
    <x:row r="554">
      <x:c r="A554" t="str">
        <x:v>94ca4d5f-9d5a-472c-8f1b-fc22ef74a44c</x:v>
      </x:c>
      <x:c r="B554" t="str">
        <x:v>24ed012d-0e8e-4e6f-b20a-908b98ceb9f8</x:v>
      </x:c>
      <x:c r="C554" s="9" t="str">
        <x:v>C (A Child) [2016] EWCA Civ 798 (Publication of Judgment in Private Care Proceedings)</x:v>
      </x:c>
      <x:c r="D554" s="9" t="str"/>
      <x:c r="E554" s="9" t="str"/>
      <x:c r="F554" s="13" t="str">
        <x:v>2016</x:v>
      </x:c>
      <x:c r="G554" s="9" t="str">
        <x:v>England and Wales Court of Appeal (Civil Division)</x:v>
      </x:c>
      <x:c r="H554" s="9" t="str">
        <x:v>Court of Appeal (Civil Division)</x:v>
      </x:c>
      <x:c r="I554" s="9" t="str">
        <x:v>England and Wales</x:v>
      </x:c>
      <x:c r="J554" s="9" t="str">
        <x:v>Public Law - Family; Freedom of Expression; Publicity and Reporting in Family Proceedings</x:v>
      </x:c>
      <x:c r="K554" s="9" t="str">
        <x:v>-ew-cases-EWCA-Civ-2016-798.xml</x:v>
      </x:c>
      <x:c r="L554" s="9" t="str">
        <x:v>TBA</x:v>
      </x:c>
    </x:row>
    <x:row r="555">
      <x:c r="A555" t="str">
        <x:v>e42a8346-9e91-418c-af81-ede5784a6fa6</x:v>
      </x:c>
      <x:c r="B555" t="str">
        <x:v>f99dc6c1-052d-452c-a12c-79367aeee461</x:v>
      </x:c>
      <x:c r="C555" s="9" t="str">
        <x:v>C (A Child) v. [2021] EWCA Civ 1236: Child Abduction Case</x:v>
      </x:c>
      <x:c r="D555" s="9" t="str"/>
      <x:c r="E555" s="9" t="str"/>
      <x:c r="F555" s="13" t="str">
        <x:v>2021</x:v>
      </x:c>
      <x:c r="G555" s="9" t="str">
        <x:v>England and Wales Court of Appeal (Civil Division)</x:v>
      </x:c>
      <x:c r="H555" s="9" t="str">
        <x:v>Appellate Court</x:v>
      </x:c>
      <x:c r="I555" s="9" t="str">
        <x:v>England and Wales</x:v>
      </x:c>
      <x:c r="J555" s="9" t="str">
        <x:v>Family Law</x:v>
      </x:c>
      <x:c r="K555" s="9" t="str">
        <x:v>ew-cases-EWCA-Civ-2021-1236.xml</x:v>
      </x:c>
      <x:c r="L555" s="9" t="str">
        <x:v>TBA</x:v>
      </x:c>
    </x:row>
    <x:row r="556">
      <x:c r="A556" t="str">
        <x:v>03e8050f-01e4-4130-92be-d70e2d92ccd5</x:v>
      </x:c>
      <x:c r="B556" t="str">
        <x:v>b626c012-dee6-4c64-9770-137766936cd3</x:v>
      </x:c>
      <x:c r="C556" s="9" t="str">
        <x:v>C (A Child), Re [2014] EWCA Civ 128</x:v>
      </x:c>
      <x:c r="D556" s="9" t="str"/>
      <x:c r="E556" s="9" t="str"/>
      <x:c r="F556" s="13" t="str">
        <x:v>2014</x:v>
      </x:c>
      <x:c r="G556" s="9" t="str">
        <x:v>England and Wales Court of Appeal (Civil Division)</x:v>
      </x:c>
      <x:c r="H556" s="9" t="str">
        <x:v>Appellate</x:v>
      </x:c>
      <x:c r="I556" s="9" t="str">
        <x:v>England and Wales</x:v>
      </x:c>
      <x:c r="J556" s="9" t="str">
        <x:v>Child Welfare</x:v>
      </x:c>
      <x:c r="K556" s="9" t="str">
        <x:v>-ew-cases-EWCA-Civ-2014-128.xml</x:v>
      </x:c>
      <x:c r="L556" s="9" t="str">
        <x:v>TBA</x:v>
      </x:c>
    </x:row>
    <x:row r="557">
      <x:c r="A557" t="str">
        <x:v>1d8f16e6-4fc3-422f-a9cb-b83711214aa4</x:v>
      </x:c>
      <x:c r="B557" t="str">
        <x:v>62b41e7b-0019-4165-986a-7f98b68516ba</x:v>
      </x:c>
      <x:c r="C557" s="9" t="str">
        <x:v>C (A Child), Re [2015] EWCA Civ 500</x:v>
      </x:c>
      <x:c r="D557" s="9" t="str"/>
      <x:c r="E557" s="9" t="str"/>
      <x:c r="F557" s="13" t="str">
        <x:v>2015</x:v>
      </x:c>
      <x:c r="G557" s="9" t="str">
        <x:v>England and Wales Court of Appeal (Civil Division)</x:v>
      </x:c>
      <x:c r="H557" s="9" t="str">
        <x:v>Appellate</x:v>
      </x:c>
      <x:c r="I557" s="9" t="str">
        <x:v>England and Wales</x:v>
      </x:c>
      <x:c r="J557" s="9" t="str">
        <x:v>Family Law</x:v>
      </x:c>
      <x:c r="K557" s="9" t="str">
        <x:v>-ew-cases-EWCA-Civ-2015-500.xml</x:v>
      </x:c>
      <x:c r="L557" s="9" t="str">
        <x:v>TBA</x:v>
      </x:c>
    </x:row>
    <x:row r="558">
      <x:c r="A558" t="str">
        <x:v>2b9ff760-77f7-4dcc-8cb8-4f09b3787bae</x:v>
      </x:c>
      <x:c r="B558" t="str">
        <x:v>7a1f6f3b-a747-46b8-bfe3-2171a034357e</x:v>
      </x:c>
      <x:c r="C558" s="9" t="str">
        <x:v>C (Children) [2017] EWCA Civ 980 - Hague Convention &amp; Wrongful Retention</x:v>
      </x:c>
      <x:c r="D558" s="9" t="str"/>
      <x:c r="E558" s="9" t="str"/>
      <x:c r="F558" s="13" t="str">
        <x:v>2017</x:v>
      </x:c>
      <x:c r="G558" s="9" t="str">
        <x:v>England and Wales Court of Appeal (Civil Division)</x:v>
      </x:c>
      <x:c r="H558" s="9" t="str">
        <x:v>Appellate</x:v>
      </x:c>
      <x:c r="I558" s="9" t="str">
        <x:v>England and Wales</x:v>
      </x:c>
      <x:c r="J558" s="9" t="str">
        <x:v>Family Law</x:v>
      </x:c>
      <x:c r="K558" s="9" t="str">
        <x:v>-ew-cases-EWCA-Civ-2017-980.xml</x:v>
      </x:c>
      <x:c r="L558" s="9" t="str">
        <x:v>TBA</x:v>
      </x:c>
    </x:row>
    <x:row r="559">
      <x:c r="A559" t="str">
        <x:v>206a8876-c0b2-4013-9869-977ec077b396</x:v>
      </x:c>
      <x:c r="B559" t="str">
        <x:v>39d321a7-99f0-4c53-8c9c-f8d75e4c0be2</x:v>
      </x:c>
      <x:c r="C559" s="9" t="str">
        <x:v>C (Older Children: Relocation), Re (Rev 1) [2015] EWCA Civ 1298</x:v>
      </x:c>
      <x:c r="D559" s="9" t="str"/>
      <x:c r="E559" s="9" t="str"/>
      <x:c r="F559" s="13" t="str">
        <x:v>2015</x:v>
      </x:c>
      <x:c r="G559" s="9" t="str">
        <x:v>England and Wales Court of Appeal (Civil Division)</x:v>
      </x:c>
      <x:c r="H559" s="9" t="str">
        <x:v>Appellate</x:v>
      </x:c>
      <x:c r="I559" s="9" t="str">
        <x:v>England and Wales</x:v>
      </x:c>
      <x:c r="J559" s="9" t="str">
        <x:v>Family Law</x:v>
      </x:c>
      <x:c r="K559" s="9" t="str">
        <x:v>-ew-cases-EWCA-Civ-2015-1298.xml</x:v>
      </x:c>
      <x:c r="L559" s="9" t="str">
        <x:v>TBA</x:v>
      </x:c>
    </x:row>
    <x:row r="560">
      <x:c r="A560" t="str">
        <x:v>14834052-7c59-4f3d-bd58-de5305d31128</x:v>
      </x:c>
      <x:c r="B560" t="str">
        <x:v>a2e1ac04-c4b9-4b41-96a9-fb670371e618</x:v>
      </x:c>
      <x:c r="C560" s="9" t="str">
        <x:v>C and Others (Care Proceedings: Fact-Finding) [2023] EWCA Civ 38</x:v>
      </x:c>
      <x:c r="D560" s="9" t="str"/>
      <x:c r="E560" s="9" t="str"/>
      <x:c r="F560" s="13" t="str">
        <x:v>2023</x:v>
      </x:c>
      <x:c r="G560" s="9" t="str">
        <x:v>England and Wales Court of Appeal (Civil Division)</x:v>
      </x:c>
      <x:c r="H560" s="9" t="str">
        <x:v>Court of Appeal (Civil Division)</x:v>
      </x:c>
      <x:c r="I560" s="9" t="str">
        <x:v>England and Wales</x:v>
      </x:c>
      <x:c r="J560" s="9" t="str">
        <x:v>Public Law / Family Law (Care Proceedings)</x:v>
      </x:c>
      <x:c r="K560" s="9" t="str">
        <x:v>ew-cases-EWCA-Civ-2023-38.xml</x:v>
      </x:c>
      <x:c r="L560" s="9" t="str">
        <x:v>TBA</x:v>
      </x:c>
    </x:row>
    <x:row r="561">
      <x:c r="A561" t="str">
        <x:v>70fb4cab-445c-48ef-921f-1caad5136cca</x:v>
      </x:c>
      <x:c r="B561" t="str">
        <x:v>c45b113b-b1e9-442c-bce8-4a22844d94ea</x:v>
      </x:c>
      <x:c r="C561" s="9" t="str">
        <x:v>C v North Cumbria University Hospitals NHS Trust</x:v>
      </x:c>
      <x:c r="D561" s="9" t="str"/>
      <x:c r="E561" s="9" t="str"/>
      <x:c r="F561" s="13" t="str">
        <x:v>2014</x:v>
      </x:c>
      <x:c r="G561" s="9" t="str">
        <x:v>England and Wales Court of Appeal (Civil Division)</x:v>
      </x:c>
      <x:c r="H561" s="9" t="str">
        <x:v>Appellate</x:v>
      </x:c>
      <x:c r="I561" s="9" t="str">
        <x:v>England and Wales</x:v>
      </x:c>
      <x:c r="J561" s="9" t="str">
        <x:v>Medical Negligence</x:v>
      </x:c>
      <x:c r="K561" s="9" t="str">
        <x:v>-ew-cases-EWCA-Civ-2014-61.xml</x:v>
      </x:c>
      <x:c r="L561" s="9" t="str">
        <x:v>TBA</x:v>
      </x:c>
    </x:row>
    <x:row r="562">
      <x:c r="A562" t="str">
        <x:v>83564072-2561-4c34-b97a-c7901222f97e</x:v>
      </x:c>
      <x:c r="B562" t="str">
        <x:v>9d5c49fb-7476-49af-a68e-49dac00fcbf7</x:v>
      </x:c>
      <x:c r="C562" s="9" t="str">
        <x:v>C, D And E (Care Proceedings: Adequacy of Reasons) [2023] EWCA Civ 334</x:v>
      </x:c>
      <x:c r="D562" s="9" t="str"/>
      <x:c r="E562" s="9" t="str"/>
      <x:c r="F562" s="13" t="str">
        <x:v>2023</x:v>
      </x:c>
      <x:c r="G562" s="9" t="str">
        <x:v>England and Wales Court of Appeal (Civil Division)</x:v>
      </x:c>
      <x:c r="H562" s="9" t="str">
        <x:v>Court of Appeal (Civil Division)</x:v>
      </x:c>
      <x:c r="I562" s="9" t="str">
        <x:v>England and Wales</x:v>
      </x:c>
      <x:c r="J562" s="9" t="str">
        <x:v>Care proceedings; Appellate review; Child welfare</x:v>
      </x:c>
      <x:c r="K562" s="9" t="str">
        <x:v>ew-cases-EWCA-Civ-2023-334.xml</x:v>
      </x:c>
      <x:c r="L562" s="9" t="str">
        <x:v>TBA</x:v>
      </x:c>
    </x:row>
    <x:row r="563">
      <x:c r="A563" t="str">
        <x:v>c7ed857c-fcd4-4bed-99d8-0b4502fdba88</x:v>
      </x:c>
      <x:c r="B563" t="str">
        <x:v>f43f10c4-ed7a-4417-a744-acac92de3299</x:v>
      </x:c>
      <x:c r="C563" s="9" t="str">
        <x:v>C, R (on the application of) v Secretary of State for Work and Pensions [2016] EWCA Civ 47</x:v>
      </x:c>
      <x:c r="D563" s="9" t="str"/>
      <x:c r="E563" s="9" t="str"/>
      <x:c r="F563" s="13" t="str">
        <x:v>2016</x:v>
      </x:c>
      <x:c r="G563" s="9" t="str">
        <x:v>England and Wales Court of Appeal (Civil Division)</x:v>
      </x:c>
      <x:c r="H563" s="9" t="str">
        <x:v>Court of Appeal (Civil Division)</x:v>
      </x:c>
      <x:c r="I563" s="9" t="str">
        <x:v>England and Wales</x:v>
      </x:c>
      <x:c r="J563" s="9" t="str">
        <x:v>Administrative Law; Human Rights; Equality Law</x:v>
      </x:c>
      <x:c r="K563" s="9" t="str">
        <x:v>-ew-cases-EWCA-Civ-2016-47.xml</x:v>
      </x:c>
      <x:c r="L563" s="9" t="str">
        <x:v>TBA</x:v>
      </x:c>
    </x:row>
    <x:row r="564">
      <x:c r="A564" t="str">
        <x:v>846518e0-a491-40d1-94f2-b10dc50e8677</x:v>
      </x:c>
      <x:c r="B564" t="str">
        <x:v>c4e2b43d-7608-42c4-b959-be5a7cfdf7fe</x:v>
      </x:c>
      <x:c r="C564" s="9" t="str">
        <x:v>C, T, M and U, R (on the application of) v London Borough of Southwark [2016] EWCA Civ 707</x:v>
      </x:c>
      <x:c r="D564" s="9" t="str"/>
      <x:c r="E564" s="9" t="str"/>
      <x:c r="F564" s="13" t="str">
        <x:v>2016</x:v>
      </x:c>
      <x:c r="G564" s="9" t="str">
        <x:v>England and Wales Court of Appeal (Civil Division)</x:v>
      </x:c>
      <x:c r="H564" s="9" t="str">
        <x:v>Court of Appeal (Civil Division)</x:v>
      </x:c>
      <x:c r="I564" s="9" t="str">
        <x:v>England and Wales</x:v>
      </x:c>
      <x:c r="J564" s="9" t="str">
        <x:v>Judicial Review / Administrative Law</x:v>
      </x:c>
      <x:c r="K564" s="9" t="str">
        <x:v>-ew-cases-EWCA-Civ-2016-707.xml</x:v>
      </x:c>
      <x:c r="L564" s="9" t="str">
        <x:v>TBA</x:v>
      </x:c>
    </x:row>
    <x:row r="565">
      <x:c r="A565" t="str">
        <x:v>26feecf4-0158-4f11-beb7-442c3b7a052f</x:v>
      </x:c>
      <x:c r="B565" t="str">
        <x:v>9826ea30-d68f-4beb-b85e-e38b5e1c7cae</x:v>
      </x:c>
      <x:c r="C565" s="9" t="str">
        <x:v>C3 &amp; Anor v The Secretary of State for Foreign, Commonwealth &amp; Development Affairs [2023] EWCA Civ 444</x:v>
      </x:c>
      <x:c r="D565" s="9" t="str"/>
      <x:c r="E565" s="9" t="str"/>
      <x:c r="F565" s="13" t="str">
        <x:v>2023</x:v>
      </x:c>
      <x:c r="G565" s="9" t="str">
        <x:v>England and Wales Court of Appeal (Civil Division)</x:v>
      </x:c>
      <x:c r="H565" s="9" t="str">
        <x:v>Court of Appeal (Civil Division)</x:v>
      </x:c>
      <x:c r="I565" s="9" t="str">
        <x:v>England and Wales</x:v>
      </x:c>
      <x:c r="J565" s="9" t="str">
        <x:v>Administrative Law</x:v>
      </x:c>
      <x:c r="K565" s="9" t="str">
        <x:v>ew-cases-EWCA-Civ-2023-444.xml</x:v>
      </x:c>
      <x:c r="L565" s="9" t="str">
        <x:v>TBA</x:v>
      </x:c>
    </x:row>
    <x:row r="566">
      <x:c r="A566" t="str">
        <x:v>5c4eee25-0755-4c7a-af0b-2293a6cc53c6</x:v>
      </x:c>
      <x:c r="B566" t="str">
        <x:v>7cce4927-35a4-4b74-90f4-ac2262bb34d7</x:v>
      </x:c>
      <x:c r="C566" s="9" t="str">
        <x:v>C7 v Secretary of State for the Home Department [2023] EWCA Civ 265</x:v>
      </x:c>
      <x:c r="D566" s="9" t="str"/>
      <x:c r="E566" s="9" t="str"/>
      <x:c r="F566" s="13" t="str">
        <x:v>2023</x:v>
      </x:c>
      <x:c r="G566" s="9" t="str">
        <x:v>England and Wales Court of Appeal (Civil Division)</x:v>
      </x:c>
      <x:c r="H566" s="9" t="str">
        <x:v>Court of Appeal (Civil Division)</x:v>
      </x:c>
      <x:c r="I566" s="9" t="str">
        <x:v>England and Wales</x:v>
      </x:c>
      <x:c r="J566" s="9" t="str">
        <x:v>Administrative Law; Immigration Law</x:v>
      </x:c>
      <x:c r="K566" s="9" t="str">
        <x:v>ew-cases-EWCA-Civ-2023-265.xml</x:v>
      </x:c>
      <x:c r="L566" s="9" t="str">
        <x:v>TBA</x:v>
      </x:c>
    </x:row>
    <x:row r="567">
      <x:c r="A567" t="str">
        <x:v>afa2ace3-0d7f-447f-82ff-bd17f9b371b4</x:v>
      </x:c>
      <x:c r="B567" t="str">
        <x:v>aa66d157-e659-4b1f-9c8a-39b98d92a107</x:v>
      </x:c>
      <x:c r="C567" s="9" t="str">
        <x:v>CAB Housing Limited v Secretary of State for Levelling Up, Housing and Communities &amp; Anor [2023] EWCA Civ 194</x:v>
      </x:c>
      <x:c r="D567" s="9" t="str"/>
      <x:c r="E567" s="9" t="str"/>
      <x:c r="F567" s="13" t="str">
        <x:v>2023</x:v>
      </x:c>
      <x:c r="G567" s="9" t="str">
        <x:v>England and Wales Court of Appeal (Civil Division)</x:v>
      </x:c>
      <x:c r="H567" s="9" t="str">
        <x:v>Court of Appeal (Civil Division)</x:v>
      </x:c>
      <x:c r="I567" s="9" t="str">
        <x:v>England and Wales</x:v>
      </x:c>
      <x:c r="J567" s="9" t="str">
        <x:v>Planning Law / Administrative Law</x:v>
      </x:c>
      <x:c r="K567" s="9" t="str">
        <x:v>ew-cases-EWCA-Civ-2023-194.xml</x:v>
      </x:c>
      <x:c r="L567" s="9" t="str">
        <x:v>TBA</x:v>
      </x:c>
    </x:row>
    <x:row r="568">
      <x:c r="A568" t="str">
        <x:v>d8fcc15f-ee5c-4ca7-927b-c0581549cf90</x:v>
      </x:c>
      <x:c r="B568" t="str">
        <x:v>68e16c6a-c452-4b4e-a447-475cc8581541</x:v>
      </x:c>
      <x:c r="C568" s="9" t="str">
        <x:v>Cadogan Holdings Ltd v Alberti [2022] EWCA Civ 499</x:v>
      </x:c>
      <x:c r="D568" s="9" t="str"/>
      <x:c r="E568" s="9" t="str"/>
      <x:c r="F568" s="13" t="str">
        <x:v>2022</x:v>
      </x:c>
      <x:c r="G568" s="9" t="str">
        <x:v>England and Wales Court of Appeal (Civil Division)</x:v>
      </x:c>
      <x:c r="H568" s="9" t="str">
        <x:v>Court of Appeal (Civil Division)</x:v>
      </x:c>
      <x:c r="I568" s="9" t="str">
        <x:v>England and Wales</x:v>
      </x:c>
      <x:c r="J568" s="9" t="str">
        <x:v>Leasehold Enfranchisement / Property Law</x:v>
      </x:c>
      <x:c r="K568" s="9" t="str">
        <x:v>ew-cases-EWCA-Civ-2022-499.xml</x:v>
      </x:c>
      <x:c r="L568" s="9" t="str">
        <x:v>TBA</x:v>
      </x:c>
    </x:row>
    <x:row r="569">
      <x:c r="A569" t="str">
        <x:v>652b8cef-8795-4789-ab38-a3f76a1ccc8a</x:v>
      </x:c>
      <x:c r="B569" t="str">
        <x:v>85fcd54c-9f7c-4a34-b190-9369b12a5c48</x:v>
      </x:c>
      <x:c r="C569" s="9" t="str">
        <x:v>Calder v Secretary of State for Justice [2015] EWCA Civ 1050</x:v>
      </x:c>
      <x:c r="D569" s="9" t="str"/>
      <x:c r="E569" s="9" t="str"/>
      <x:c r="F569" s="13" t="str">
        <x:v>2015</x:v>
      </x:c>
      <x:c r="G569" s="9" t="str">
        <x:v>England and Wales Court of Appeal (Civil Division)</x:v>
      </x:c>
      <x:c r="H569" s="9" t="str">
        <x:v>Appellate</x:v>
      </x:c>
      <x:c r="I569" s="9" t="str">
        <x:v>England and Wales</x:v>
      </x:c>
      <x:c r="J569" s="9" t="str">
        <x:v>Administrative Law</x:v>
      </x:c>
      <x:c r="K569" s="9" t="str">
        <x:v>-ew-cases-EWCA-Civ-2015-1050.xml</x:v>
      </x:c>
      <x:c r="L569" s="9" t="str">
        <x:v>TBA</x:v>
      </x:c>
    </x:row>
    <x:row r="570">
      <x:c r="A570" t="str">
        <x:v>86f0384e-0342-49fc-abbe-04d4e50688d8</x:v>
      </x:c>
      <x:c r="B570" t="str">
        <x:v>7316db70-1a52-4424-8373-cd0cd06c5fa6</x:v>
      </x:c>
      <x:c r="C570" s="9" t="str">
        <x:v>Caldero Trading Ltd v Leibson Corporation Ltd &amp; Ors [2014] EWCA Civ 935</x:v>
      </x:c>
      <x:c r="D570" s="9" t="str"/>
      <x:c r="E570" s="9" t="str"/>
      <x:c r="F570" s="13" t="str">
        <x:v>2014</x:v>
      </x:c>
      <x:c r="G570" s="9" t="str">
        <x:v>England and Wales Court of Appeal (Civil Division)</x:v>
      </x:c>
      <x:c r="H570" s="9" t="str">
        <x:v>Appellate</x:v>
      </x:c>
      <x:c r="I570" s="9" t="str">
        <x:v>England and Wales</x:v>
      </x:c>
      <x:c r="J570" s="9" t="str">
        <x:v>Company Law</x:v>
      </x:c>
      <x:c r="K570" s="9" t="str">
        <x:v>-ew-cases-EWCA-Civ-2014-935.xml</x:v>
      </x:c>
      <x:c r="L570" s="9" t="str">
        <x:v>TBA</x:v>
      </x:c>
    </x:row>
    <x:row r="571">
      <x:c r="A571" t="str">
        <x:v>f9d93696-7bcb-4de7-834a-867cc4b3e7fb</x:v>
      </x:c>
      <x:c r="B571" t="str">
        <x:v>ab7f6563-ffbc-46f8-a354-e1a0f0fdf80b</x:v>
      </x:c>
      <x:c r="C571" s="9" t="str">
        <x:v>Calland v Financial Conduct Authority [2015] EWCA Civ 192</x:v>
      </x:c>
      <x:c r="D571" s="9" t="str"/>
      <x:c r="E571" s="9" t="str"/>
      <x:c r="F571" s="13" t="str">
        <x:v>2015</x:v>
      </x:c>
      <x:c r="G571" s="9" t="str">
        <x:v>England and Wales Court of Appeal (Civil Division)</x:v>
      </x:c>
      <x:c r="H571" s="9" t="str">
        <x:v>Appellate</x:v>
      </x:c>
      <x:c r="I571" s="9" t="str">
        <x:v>England and Wales</x:v>
      </x:c>
      <x:c r="J571" s="9" t="str">
        <x:v>Tort</x:v>
      </x:c>
      <x:c r="K571" s="9" t="str">
        <x:v>-ew-cases-EWCA-Civ-2015-192.xml</x:v>
      </x:c>
      <x:c r="L571" s="9" t="str">
        <x:v>TBA</x:v>
      </x:c>
    </x:row>
    <x:row r="572">
      <x:c r="A572" t="str">
        <x:v>ad65c7d8-eaa6-4cfc-93f2-867259b35492</x:v>
      </x:c>
      <x:c r="B572" t="str">
        <x:v>7f743112-52bc-478c-9607-eaf8c46dcfc7</x:v>
      </x:c>
      <x:c r="C572" s="9" t="str">
        <x:v>Calland v Financial Services Authority (FSA) [2014] EWCA Civ 954</x:v>
      </x:c>
      <x:c r="D572" s="9" t="str"/>
      <x:c r="E572" s="9" t="str"/>
      <x:c r="F572" s="13" t="str">
        <x:v>2014</x:v>
      </x:c>
      <x:c r="G572" s="9" t="str">
        <x:v>England and Wales Court of Appeal (Civil Division)</x:v>
      </x:c>
      <x:c r="H572" s="9" t="str">
        <x:v>Appellate</x:v>
      </x:c>
      <x:c r="I572" s="9" t="str">
        <x:v>England and Wales</x:v>
      </x:c>
      <x:c r="J572" s="9" t="str">
        <x:v>Civil Procedure</x:v>
      </x:c>
      <x:c r="K572" s="9" t="str">
        <x:v>-ew-cases-EWCA-Civ-2014-954.xml</x:v>
      </x:c>
      <x:c r="L572" s="9" t="str">
        <x:v>TBA</x:v>
      </x:c>
    </x:row>
    <x:row r="573">
      <x:c r="A573" t="str">
        <x:v>feccffe5-7826-4c6c-90f9-bb5b5fa8871b</x:v>
      </x:c>
      <x:c r="B573" t="str">
        <x:v>abf5faa5-9aff-4976-adb4-d1c9c677cd8b</x:v>
      </x:c>
      <x:c r="C573" s="9" t="str">
        <x:v>Calvert &amp; Ors v Cruddas [2014] EWCA Civ 476</x:v>
      </x:c>
      <x:c r="D573" s="9" t="str"/>
      <x:c r="E573" s="9" t="str"/>
      <x:c r="F573" s="13" t="str">
        <x:v>2014</x:v>
      </x:c>
      <x:c r="G573" s="9" t="str">
        <x:v>England and Wales Court of Appeal (Civil Division)</x:v>
      </x:c>
      <x:c r="H573" s="9" t="str">
        <x:v>Appellate</x:v>
      </x:c>
      <x:c r="I573" s="9" t="str">
        <x:v>England and Wales</x:v>
      </x:c>
      <x:c r="J573" s="9" t="str">
        <x:v>Defamation</x:v>
      </x:c>
      <x:c r="K573" s="9" t="str">
        <x:v>-ew-cases-EWCA-Civ-2014-476.xml</x:v>
      </x:c>
      <x:c r="L573" s="9" t="str">
        <x:v>TBA</x:v>
      </x:c>
    </x:row>
    <x:row r="574">
      <x:c r="A574" t="str">
        <x:v>3511b470-c7b7-43cc-b951-511351b74be4</x:v>
      </x:c>
      <x:c r="B574" t="str">
        <x:v>3dbc256f-12a8-4d9f-acc7-7dcc1ec012e9</x:v>
      </x:c>
      <x:c r="C574" s="9" t="str">
        <x:v>Camelot UK Lotteries Limited &amp; Anor v Gambling Commission &amp; Ors [2022] EWCA Civ 1020</x:v>
      </x:c>
      <x:c r="D574" s="9" t="str"/>
      <x:c r="E574" s="9" t="str"/>
      <x:c r="F574" s="13" t="str">
        <x:v>2022</x:v>
      </x:c>
      <x:c r="G574" s="9" t="str">
        <x:v>England and Wales Court of Appeal (Civil Division)</x:v>
      </x:c>
      <x:c r="H574" s="9" t="str">
        <x:v>Court of Appeal (Civil Division)</x:v>
      </x:c>
      <x:c r="I574" s="9" t="str">
        <x:v>England and Wales</x:v>
      </x:c>
      <x:c r="J574" s="9" t="str">
        <x:v>Civil Appeal - Regulatory/Commercial</x:v>
      </x:c>
      <x:c r="K574" s="9" t="str">
        <x:v>ew-cases-EWCA-Civ-2022-1020.xml</x:v>
      </x:c>
      <x:c r="L574" s="9" t="str">
        <x:v>TBA</x:v>
      </x:c>
    </x:row>
    <x:row r="575">
      <x:c r="A575" t="str">
        <x:v>00db7f16-6099-4115-b19a-fb0d19e340f1</x:v>
      </x:c>
      <x:c r="B575" t="str">
        <x:v>603f2146-38d3-4092-928e-eb27c44be499</x:v>
      </x:c>
      <x:c r="C575" s="9" t="str">
        <x:v>Cameron Taylor Consulting Ltd &amp; Anor v BDW Trading Ltd [2022] EWCA Civ 31</x:v>
      </x:c>
      <x:c r="D575" s="9" t="str"/>
      <x:c r="E575" s="9" t="str"/>
      <x:c r="F575" s="13" t="str">
        <x:v>2022</x:v>
      </x:c>
      <x:c r="G575" s="9" t="str">
        <x:v>England and Wales Court of Appeal (Civil Division)</x:v>
      </x:c>
      <x:c r="H575" s="9" t="str">
        <x:v>Court of Appeal (Civil Division)</x:v>
      </x:c>
      <x:c r="I575" s="9" t="str">
        <x:v>England and Wales</x:v>
      </x:c>
      <x:c r="J575" s="9" t="str">
        <x:v>Civil Procedure / Limitation and Amendments / Substitution of Parties</x:v>
      </x:c>
      <x:c r="K575" s="9" t="str">
        <x:v>ew-cases-EWCA-Civ-2022-31.xml</x:v>
      </x:c>
      <x:c r="L575" s="9" t="str">
        <x:v>TBA</x:v>
      </x:c>
    </x:row>
    <x:row r="576">
      <x:c r="A576" t="str">
        <x:v>8dce2926-72eb-4e98-b147-1d78578e638b</x:v>
      </x:c>
      <x:c r="B576" t="str">
        <x:v>9d54140e-433e-4138-a4db-a0ee40b03094</x:v>
      </x:c>
      <x:c r="C576" s="9" t="str">
        <x:v>Cameron v Hussain &amp; Anor [2017] EWCA Civ 366</x:v>
      </x:c>
      <x:c r="D576" s="9" t="str"/>
      <x:c r="E576" s="9" t="str"/>
      <x:c r="F576" s="13" t="str">
        <x:v>2017</x:v>
      </x:c>
      <x:c r="G576" s="9" t="str">
        <x:v>England and Wales Court of Appeal (Civil Division)</x:v>
      </x:c>
      <x:c r="H576" s="9" t="str">
        <x:v>Appellate</x:v>
      </x:c>
      <x:c r="I576" s="9" t="str">
        <x:v>England and Wales</x:v>
      </x:c>
      <x:c r="J576" s="9" t="str">
        <x:v>Civil Appeal</x:v>
      </x:c>
      <x:c r="K576" s="9" t="str">
        <x:v>-ew-cases-EWCA-Civ-2017-366.xml</x:v>
      </x:c>
      <x:c r="L576" s="9" t="str">
        <x:v>TBA</x:v>
      </x:c>
    </x:row>
    <x:row r="577">
      <x:c r="A577" t="str">
        <x:v>c43dd026-b97a-4cbc-b1d5-0549e4e37d3d</x:v>
      </x:c>
      <x:c r="B577" t="str">
        <x:v>bce3f52f-dd32-43a0-8c12-72c170a94ada</x:v>
      </x:c>
      <x:c r="C577" s="9" t="str">
        <x:v>Campaign To Protect Rural England, Kent (CPRE), R (On the Application Of) v Dover District Council [2016] EWCA Civ 936</x:v>
      </x:c>
      <x:c r="D577" s="9" t="str"/>
      <x:c r="E577" s="9" t="str"/>
      <x:c r="F577" s="13" t="str">
        <x:v>2016</x:v>
      </x:c>
      <x:c r="G577" s="9" t="str">
        <x:v>England and Wales Court of Appeal (Civil Division)</x:v>
      </x:c>
      <x:c r="H577" s="9" t="str">
        <x:v>Court of Appeal (Civil Division)</x:v>
      </x:c>
      <x:c r="I577" s="9" t="str">
        <x:v>England and Wales</x:v>
      </x:c>
      <x:c r="J577" s="9" t="str">
        <x:v>Administrative Law; Planning Law</x:v>
      </x:c>
      <x:c r="K577" s="9" t="str">
        <x:v>-ew-cases-EWCA-Civ-2016-936.xml</x:v>
      </x:c>
      <x:c r="L577" s="9" t="str">
        <x:v>TBA</x:v>
      </x:c>
    </x:row>
    <x:row r="578">
      <x:c r="A578" t="str">
        <x:v>6cba13d1-3a85-4a3f-91b8-f0b1edb5fed4</x:v>
      </x:c>
      <x:c r="B578" t="str">
        <x:v>2f978214-dd87-4fff-8167-acc6eb9dbfff</x:v>
      </x:c>
      <x:c r="C578" s="9" t="str">
        <x:v>Campbell v Advantage Insurance Company Ltd [2021] EWCA Civ 1698</x:v>
      </x:c>
      <x:c r="D578" s="9" t="str"/>
      <x:c r="E578" s="9" t="str"/>
      <x:c r="F578" s="13" t="str">
        <x:v>2021</x:v>
      </x:c>
      <x:c r="G578" s="9" t="str">
        <x:v>England and Wales Court of Appeal (Civil Division)</x:v>
      </x:c>
      <x:c r="H578" s="9" t="str">
        <x:v>Appellate</x:v>
      </x:c>
      <x:c r="I578" s="9" t="str">
        <x:v>England and Wales</x:v>
      </x:c>
      <x:c r="J578" s="9" t="str">
        <x:v>Tort Law</x:v>
      </x:c>
      <x:c r="K578" s="9" t="str">
        <x:v>ew-cases-EWCA-Civ-2021-1698.xml</x:v>
      </x:c>
      <x:c r="L578" s="9" t="str">
        <x:v>TBA</x:v>
      </x:c>
    </x:row>
    <x:row r="579">
      <x:c r="A579" t="str">
        <x:v>e814296f-6013-4813-a763-99178bed297c</x:v>
      </x:c>
      <x:c r="B579" t="str">
        <x:v>2a93e9c4-8223-479d-9a13-8652615d560e</x:v>
      </x:c>
      <x:c r="C579" s="9" t="str">
        <x:v>Campbell v Bromley Magistrates' Court [2017] EWCA Civ 1161</x:v>
      </x:c>
      <x:c r="D579" s="9" t="str"/>
      <x:c r="E579" s="9" t="str"/>
      <x:c r="F579" s="13" t="str">
        <x:v>2017</x:v>
      </x:c>
      <x:c r="G579" s="9" t="str">
        <x:v>England and Wales Court of Appeal (Civil Division)</x:v>
      </x:c>
      <x:c r="H579" s="9" t="str">
        <x:v>Appellate</x:v>
      </x:c>
      <x:c r="I579" s="9" t="str">
        <x:v>England and Wales</x:v>
      </x:c>
      <x:c r="J579" s="9" t="str">
        <x:v>Administrative Law</x:v>
      </x:c>
      <x:c r="K579" s="9" t="str">
        <x:v>-ew-cases-EWCA-Civ-2017-1161.xml</x:v>
      </x:c>
      <x:c r="L579" s="9" t="str">
        <x:v>TBA</x:v>
      </x:c>
    </x:row>
    <x:row r="580">
      <x:c r="A580" t="str">
        <x:v>2825db0d-ba5c-4ee5-8388-8f852e6abeaf</x:v>
      </x:c>
      <x:c r="B580" t="str">
        <x:v>c62f897d-99de-494a-b893-b99dcea76eff</x:v>
      </x:c>
      <x:c r="C580" s="9" t="str">
        <x:v>Campbell v London Borough of Croydon [2017] EWCA Civ 2693</x:v>
      </x:c>
      <x:c r="D580" s="9" t="str"/>
      <x:c r="E580" s="9" t="str"/>
      <x:c r="F580" s="13" t="str">
        <x:v>2017</x:v>
      </x:c>
      <x:c r="G580" s="9" t="str">
        <x:v>England and Wales Court of Appeal (Civil Division)</x:v>
      </x:c>
      <x:c r="H580" s="9" t="str">
        <x:v>Appellate</x:v>
      </x:c>
      <x:c r="I580" s="9" t="str">
        <x:v>England and Wales</x:v>
      </x:c>
      <x:c r="J580" s="9" t="str">
        <x:v>Housing Law</x:v>
      </x:c>
      <x:c r="K580" s="9" t="str">
        <x:v>-ew-cases-EWCA-Civ-2017-2693.xml</x:v>
      </x:c>
      <x:c r="L580" s="9" t="str">
        <x:v>TBA</x:v>
      </x:c>
    </x:row>
    <x:row r="581">
      <x:c r="A581" t="str">
        <x:v>d7725d10-c2fd-498e-b0f7-adf62e2e026a</x:v>
      </x:c>
      <x:c r="B581" t="str">
        <x:v>847c6dc6-b0d1-4a4d-a799-e592731f6aba</x:v>
      </x:c>
      <x:c r="C581" s="9" t="str">
        <x:v>Campbell v Thomas Cook Tour Operations Ltd</x:v>
      </x:c>
      <x:c r="D581" s="9" t="str"/>
      <x:c r="E581" s="9" t="str"/>
      <x:c r="F581" s="13" t="str">
        <x:v>2014</x:v>
      </x:c>
      <x:c r="G581" s="9" t="str">
        <x:v>England and Wales Court of Appeal (Civil Division)</x:v>
      </x:c>
      <x:c r="H581" s="9" t="str">
        <x:v>Appellate</x:v>
      </x:c>
      <x:c r="I581" s="9" t="str">
        <x:v>England and Wales</x:v>
      </x:c>
      <x:c r="J581" s="9" t="str">
        <x:v>Disability Discrimination</x:v>
      </x:c>
      <x:c r="K581" s="9" t="str">
        <x:v>-ew-cases-EWCA-Civ-2014-1668.xml</x:v>
      </x:c>
      <x:c r="L581" s="9" t="str">
        <x:v>TBA</x:v>
      </x:c>
    </x:row>
    <x:row r="582">
      <x:c r="A582" t="str">
        <x:v>3da9ac09-1e77-49c1-8195-be46d4d1ba24</x:v>
      </x:c>
      <x:c r="B582" t="str">
        <x:v>28a3c82e-4ee6-4653-b08e-6c16e08e8817</x:v>
      </x:c>
      <x:c r="C582" s="9" t="str">
        <x:v>Canada Square Operations Ltd v Potter [2021] EWCA Civ 339</x:v>
      </x:c>
      <x:c r="D582" s="9" t="str"/>
      <x:c r="E582" s="9" t="str"/>
      <x:c r="F582" s="13" t="str">
        <x:v>2021</x:v>
      </x:c>
      <x:c r="G582" s="9" t="str">
        <x:v>England and Wales Court of Appeal (Civil Division)</x:v>
      </x:c>
      <x:c r="H582" s="9" t="str">
        <x:v>Appellate</x:v>
      </x:c>
      <x:c r="I582" s="9" t="str">
        <x:v>England and Wales</x:v>
      </x:c>
      <x:c r="J582" s="9" t="str">
        <x:v>Contract Dispute</x:v>
      </x:c>
      <x:c r="K582" s="9" t="str">
        <x:v>ew-cases-EWCA-Civ-2021-339.xml</x:v>
      </x:c>
      <x:c r="L582" s="9" t="str">
        <x:v>TBA</x:v>
      </x:c>
    </x:row>
    <x:row r="583">
      <x:c r="A583" t="str">
        <x:v>a98e66c3-7da2-48e2-88c8-b4174e173cd6</x:v>
      </x:c>
      <x:c r="B583" t="str">
        <x:v>52adf3bc-8b19-4f24-9782-4fb618e86779</x:v>
      </x:c>
      <x:c r="C583" s="9" t="str">
        <x:v>Candey Ltd v Bosheh &amp; Anor [2022] EWCA Civ 1103 (01 August 2022)</x:v>
      </x:c>
      <x:c r="D583" s="9" t="str"/>
      <x:c r="E583" s="9" t="str"/>
      <x:c r="F583" s="13" t="str">
        <x:v>2022</x:v>
      </x:c>
      <x:c r="G583" s="9" t="str">
        <x:v>England and Wales Court of Appeal (Civil Division)</x:v>
      </x:c>
      <x:c r="H583" s="9" t="str">
        <x:v>Court of Appeal (Civil Division)</x:v>
      </x:c>
      <x:c r="I583" s="9" t="str">
        <x:v>England and Wales</x:v>
      </x:c>
      <x:c r="J583" s="9" t="str">
        <x:v>Civil Appeals; Privilege; Contract / Retainer terms; Costs and funding agreements; Settlement effects</x:v>
      </x:c>
      <x:c r="K583" s="9" t="str">
        <x:v>ew-cases-EWCA-Civ-2022-1103.xml</x:v>
      </x:c>
      <x:c r="L583" s="9" t="str">
        <x:v>TBA</x:v>
      </x:c>
    </x:row>
    <x:row r="584">
      <x:c r="A584" t="str">
        <x:v>18dd0b93-55ee-4719-91b4-553aca8489b4</x:v>
      </x:c>
      <x:c r="B584" t="str">
        <x:v>d44e632a-13c5-4ef9-99cb-07739888e1f8</x:v>
      </x:c>
      <x:c r="C584" s="9" t="str">
        <x:v>Candey Ltd v Tonstate Group Ltd &amp; Ors [2022] EWCA Civ 936</x:v>
      </x:c>
      <x:c r="D584" s="9" t="str"/>
      <x:c r="E584" s="9" t="str"/>
      <x:c r="F584" s="13" t="str">
        <x:v>2022</x:v>
      </x:c>
      <x:c r="G584" s="9" t="str">
        <x:v>England and Wales Court of Appeal (Civil Division)</x:v>
      </x:c>
      <x:c r="H584" s="9" t="str">
        <x:v>Court of Appeal (Civil Division)</x:v>
      </x:c>
      <x:c r="I584" s="9" t="str">
        <x:v>England and Wales</x:v>
      </x:c>
      <x:c r="J584" s="9" t="str">
        <x:v>Civil Procedure / Civil Litigation Funding</x:v>
      </x:c>
      <x:c r="K584" s="9" t="str">
        <x:v>ew-cases-EWCA-Civ-2022-936.xml</x:v>
      </x:c>
      <x:c r="L584" s="9" t="str">
        <x:v>TBA</x:v>
      </x:c>
    </x:row>
    <x:row r="585">
      <x:c r="A585" t="str">
        <x:v>62345978-3e24-4c49-abcf-6a489eb86181</x:v>
      </x:c>
      <x:c r="B585" t="str">
        <x:v>02447790-a96d-49c0-99af-acd088e9f518</x:v>
      </x:c>
      <x:c r="C585" s="9" t="str">
        <x:v>Candy &amp; Ors v Holyoake &amp; Anor</x:v>
      </x:c>
      <x:c r="D585" s="9" t="str"/>
      <x:c r="E585" s="9" t="str"/>
      <x:c r="F585" s="13" t="str">
        <x:v>2017</x:v>
      </x:c>
      <x:c r="G585" s="9" t="str">
        <x:v>England and Wales Court of Appeal (Civil Division)</x:v>
      </x:c>
      <x:c r="H585" s="9" t="str">
        <x:v>Appellate</x:v>
      </x:c>
      <x:c r="I585" s="9" t="str">
        <x:v>England and Wales</x:v>
      </x:c>
      <x:c r="J585" s="9" t="str">
        <x:v>Injunctions</x:v>
      </x:c>
      <x:c r="K585" s="9" t="str">
        <x:v>-ew-cases-EWCA-Civ-2017-92.xml</x:v>
      </x:c>
      <x:c r="L585" s="9" t="str">
        <x:v>TBA</x:v>
      </x:c>
    </x:row>
    <x:row r="586">
      <x:c r="A586" t="str">
        <x:v>0d366a1b-c352-45c6-8dc3-f855c5d115f6</x:v>
      </x:c>
      <x:c r="B586" t="str">
        <x:v>650cd88f-5c7b-4789-a699-6f4fe8550ff4</x:v>
      </x:c>
      <x:c r="C586" s="9" t="str">
        <x:v>Candy v Commissioners for HM Revenue &amp; Customs [2022] EWCA Civ 1447</x:v>
      </x:c>
      <x:c r="D586" s="9" t="str"/>
      <x:c r="E586" s="9" t="str"/>
      <x:c r="F586" s="13" t="str">
        <x:v>2022</x:v>
      </x:c>
      <x:c r="G586" s="9" t="str">
        <x:v>England and Wales Court of Appeal (Civil Division)</x:v>
      </x:c>
      <x:c r="H586" s="9" t="str">
        <x:v>Court of Appeal (Civil Division)</x:v>
      </x:c>
      <x:c r="I586" s="9" t="str">
        <x:v>England and Wales</x:v>
      </x:c>
      <x:c r="J586" s="9" t="str">
        <x:v>Tax Law / SDLT / Statutory construction</x:v>
      </x:c>
      <x:c r="K586" s="9" t="str">
        <x:v>ew-cases-EWCA-Civ-2022-1447.xml</x:v>
      </x:c>
      <x:c r="L586" s="9" t="str">
        <x:v>TBA</x:v>
      </x:c>
    </x:row>
    <x:row r="587">
      <x:c r="A587" t="str">
        <x:v>7c1d0230-df4e-4690-be26-311b538e5b61</x:v>
      </x:c>
      <x:c r="B587" t="str">
        <x:v>2264ec9b-6fdb-4859-afd9-42c47a13479d</x:v>
      </x:c>
      <x:c r="C587" s="9" t="str">
        <x:v>Cannon v Bar Standards Board [2023] EWCA Civ 278</x:v>
      </x:c>
      <x:c r="D587" s="9" t="str"/>
      <x:c r="E587" s="9" t="str"/>
      <x:c r="F587" s="13" t="str">
        <x:v>2023</x:v>
      </x:c>
      <x:c r="G587" s="9" t="str">
        <x:v>England and Wales Court of Appeal (Civil Division)</x:v>
      </x:c>
      <x:c r="H587" s="9" t="str">
        <x:v>Court of Appeal (Civil Division)</x:v>
      </x:c>
      <x:c r="I587" s="9" t="str">
        <x:v>England and Wales</x:v>
      </x:c>
      <x:c r="J587" s="9" t="str">
        <x:v>Civil Appeal – Professional Regulation</x:v>
      </x:c>
      <x:c r="K587" s="9" t="str">
        <x:v>ew-cases-EWCA-Civ-2023-278.xml</x:v>
      </x:c>
      <x:c r="L587" s="9" t="str">
        <x:v>TBA</x:v>
      </x:c>
    </x:row>
    <x:row r="588">
      <x:c r="A588" t="str">
        <x:v>64a8ad2e-918b-48fc-981d-c94c8b3ff242</x:v>
      </x:c>
      <x:c r="B588" t="str">
        <x:v>1b2b3cd2-1292-4842-b359-a8a1704dc68c</x:v>
      </x:c>
      <x:c r="C588" s="9" t="str">
        <x:v>Capehorn v Harris [2015] EWCA Civ 955</x:v>
      </x:c>
      <x:c r="D588" s="9" t="str"/>
      <x:c r="E588" s="9" t="str"/>
      <x:c r="F588" s="13" t="str">
        <x:v>2015</x:v>
      </x:c>
      <x:c r="G588" s="9" t="str">
        <x:v>England and Wales Court of Appeal (Civil Division)</x:v>
      </x:c>
      <x:c r="H588" s="9" t="str">
        <x:v>Appellate</x:v>
      </x:c>
      <x:c r="I588" s="9" t="str">
        <x:v>England and Wales</x:v>
      </x:c>
      <x:c r="J588" s="9" t="str">
        <x:v>Property Dispute</x:v>
      </x:c>
      <x:c r="K588" s="9" t="str">
        <x:v>-ew-cases-EWCA-Civ-2015-955.xml</x:v>
      </x:c>
      <x:c r="L588" s="9" t="str">
        <x:v>TBA</x:v>
      </x:c>
    </x:row>
    <x:row r="589">
      <x:c r="A589" t="str">
        <x:v>4c23ba22-9b31-4a92-9d70-832af87adf79</x:v>
      </x:c>
      <x:c r="B589" t="str">
        <x:v>2e22698f-fc3c-47d0-870a-40e6d2decdbb</x:v>
      </x:c>
      <x:c r="C589" s="9" t="str">
        <x:v>Capita (Banstead 2011) Ltd &amp; Anor v RFIB Group Ltd</x:v>
      </x:c>
      <x:c r="D589" s="9" t="str"/>
      <x:c r="E589" s="9" t="str"/>
      <x:c r="F589" s="13" t="str">
        <x:v>2015</x:v>
      </x:c>
      <x:c r="G589" s="9" t="str">
        <x:v>England and Wales Court of Appeal (Civil Division)</x:v>
      </x:c>
      <x:c r="H589" s="9" t="str">
        <x:v>Appellate</x:v>
      </x:c>
      <x:c r="I589" s="9" t="str">
        <x:v>England and Wales</x:v>
      </x:c>
      <x:c r="J589" s="9" t="str">
        <x:v>Contract Law</x:v>
      </x:c>
      <x:c r="K589" s="9" t="str">
        <x:v>-ew-cases-EWCA-Civ-2015-1310.xml</x:v>
      </x:c>
      <x:c r="L589" s="9" t="str">
        <x:v>TBA</x:v>
      </x:c>
    </x:row>
    <x:row r="590">
      <x:c r="A590" t="str">
        <x:v>ba0fde12-c545-4a13-82be-f694c3f5554e</x:v>
      </x:c>
      <x:c r="B590" t="str">
        <x:v>7158d373-4c78-4549-b49c-356e26b55395</x:v>
      </x:c>
      <x:c r="C590" s="9" t="str">
        <x:v>Capita (Banstead 2011) Ltd &amp; Anor v RFIB Group Ltd [2017] EWCA Civ 1032</x:v>
      </x:c>
      <x:c r="D590" s="9" t="str"/>
      <x:c r="E590" s="9" t="str"/>
      <x:c r="F590" s="13" t="str">
        <x:v>2017</x:v>
      </x:c>
      <x:c r="G590" s="9" t="str">
        <x:v>England and Wales Court of Appeal (Civil Division)</x:v>
      </x:c>
      <x:c r="H590" s="9" t="str">
        <x:v>Appellate</x:v>
      </x:c>
      <x:c r="I590" s="9" t="str">
        <x:v>England and Wales</x:v>
      </x:c>
      <x:c r="J590" s="9" t="str">
        <x:v>Civil Procedure</x:v>
      </x:c>
      <x:c r="K590" s="9" t="str">
        <x:v>-ew-cases-EWCA-Civ-2017-1032.xml</x:v>
      </x:c>
      <x:c r="L590" s="9" t="str">
        <x:v>TBA</x:v>
      </x:c>
    </x:row>
    <x:row r="591">
      <x:c r="A591" t="str">
        <x:v>3e6e9ffa-00fe-4320-b8e2-ca837897b748</x:v>
      </x:c>
      <x:c r="B591" t="str">
        <x:v>2c448fb4-eec9-41e5-a011-a7e9cc160032</x:v>
      </x:c>
      <x:c r="C591" s="9" t="str">
        <x:v>Capitol Park Leeds Plc &amp; Anor v Global Radio Services Ltd</x:v>
      </x:c>
      <x:c r="D591" s="9" t="str"/>
      <x:c r="E591" s="9" t="str"/>
      <x:c r="F591" s="13" t="str">
        <x:v>2021</x:v>
      </x:c>
      <x:c r="G591" s="9" t="str">
        <x:v>England and Wales Court of Appeal (Civil Division)</x:v>
      </x:c>
      <x:c r="H591" s="9" t="str">
        <x:v>Appellate</x:v>
      </x:c>
      <x:c r="I591" s="9" t="str">
        <x:v>England and Wales</x:v>
      </x:c>
      <x:c r="J591" s="9" t="str">
        <x:v>Property Law</x:v>
      </x:c>
      <x:c r="K591" s="9" t="str">
        <x:v>ew-cases-EWCA-Civ-2021-995.xml</x:v>
      </x:c>
      <x:c r="L591" s="9" t="str">
        <x:v>TBA</x:v>
      </x:c>
    </x:row>
    <x:row r="592">
      <x:c r="A592" t="str">
        <x:v>8fde2d00-cb6e-448e-be40-24e668b9cd91</x:v>
      </x:c>
      <x:c r="B592" t="str">
        <x:v>c2ed3287-3177-4309-a473-e1e57dca764f</x:v>
      </x:c>
      <x:c r="C592" s="9" t="str">
        <x:v>Carbon Smart Ltd v Prevista Ltd [2015] EWCA Civ 668</x:v>
      </x:c>
      <x:c r="D592" s="9" t="str"/>
      <x:c r="E592" s="9" t="str"/>
      <x:c r="F592" s="13" t="str">
        <x:v>2015</x:v>
      </x:c>
      <x:c r="G592" s="9" t="str">
        <x:v>England and Wales Court of Appeal (Civil Division)</x:v>
      </x:c>
      <x:c r="H592" s="9" t="str">
        <x:v>Appellate</x:v>
      </x:c>
      <x:c r="I592" s="9" t="str">
        <x:v>England and Wales</x:v>
      </x:c>
      <x:c r="J592" s="9" t="str">
        <x:v>Contract Dispute</x:v>
      </x:c>
      <x:c r="K592" s="9" t="str">
        <x:v>-ew-cases-EWCA-Civ-2015-668.xml</x:v>
      </x:c>
      <x:c r="L592" s="9" t="str">
        <x:v>TBA</x:v>
      </x:c>
    </x:row>
    <x:row r="593">
      <x:c r="A593" t="str">
        <x:v>70490578-68fa-45d5-a5e8-23b213cf4261</x:v>
      </x:c>
      <x:c r="B593" t="str">
        <x:v>da4cbfa5-b2dc-4fe2-83e1-1f8f92dde0fa</x:v>
      </x:c>
      <x:c r="C593" s="9" t="str">
        <x:v>Carder v The University of Exeter [2016] EWCA Civ 790</x:v>
      </x:c>
      <x:c r="D593" s="9" t="str"/>
      <x:c r="E593" s="9" t="str"/>
      <x:c r="F593" s="13" t="str">
        <x:v>2016</x:v>
      </x:c>
      <x:c r="G593" s="9" t="str">
        <x:v>England and Wales Court of Appeal (Civil Division)</x:v>
      </x:c>
      <x:c r="H593" s="9" t="str">
        <x:v>Court of Appeal (Civil Division)</x:v>
      </x:c>
      <x:c r="I593" s="9" t="str">
        <x:v>England and Wales</x:v>
      </x:c>
      <x:c r="J593" s="9" t="str">
        <x:v>Tort - Negligence; Occupational Disease; Asbestos-related disease</x:v>
      </x:c>
      <x:c r="K593" s="9" t="str">
        <x:v>-ew-cases-EWCA-Civ-2016-790.xml</x:v>
      </x:c>
      <x:c r="L593" s="9" t="str">
        <x:v>TBA</x:v>
      </x:c>
    </x:row>
    <x:row r="594">
      <x:c r="A594" t="str">
        <x:v>fb4a55d1-de6e-4113-88d1-d204c50ac107</x:v>
      </x:c>
      <x:c r="B594" t="str">
        <x:v>667c711c-c148-4723-8d3d-9df0edd06c7b</x:v>
      </x:c>
      <x:c r="C594" s="9" t="str">
        <x:v>Cardiff County Council v Lee (Flowers) [2016] EWCA Civ 1034</x:v>
      </x:c>
      <x:c r="D594" s="9" t="str"/>
      <x:c r="E594" s="9" t="str"/>
      <x:c r="F594" s="13" t="str">
        <x:v>2016</x:v>
      </x:c>
      <x:c r="G594" s="9" t="str">
        <x:v>England and Wales Court of Appeal (Civil Division)</x:v>
      </x:c>
      <x:c r="H594" s="9" t="str">
        <x:v>Court of Appeal (Civil Division)</x:v>
      </x:c>
      <x:c r="I594" s="9" t="str">
        <x:v>England and Wales</x:v>
      </x:c>
      <x:c r="J594" s="9" t="str">
        <x:v>Landlord and Tenant; Civil Procedure</x:v>
      </x:c>
      <x:c r="K594" s="9" t="str">
        <x:v>-ew-cases-EWCA-Civ-2016-1034.xml</x:v>
      </x:c>
      <x:c r="L594" s="9" t="str">
        <x:v>TBA</x:v>
      </x:c>
    </x:row>
    <x:row r="595">
      <x:c r="A595" t="str">
        <x:v>44f44cc9-1da9-450d-bf2c-138a8ac8e3c9</x:v>
      </x:c>
      <x:c r="B595" t="str">
        <x:v>bb75dacf-5d63-45e6-ab25-d14960fe4df8</x:v>
      </x:c>
      <x:c r="C595" s="9" t="str">
        <x:v>Caresse Navigation Ltd v Zurich Assurances Maroc &amp; Ors [2014] EWCA Civ 1366</x:v>
      </x:c>
      <x:c r="D595" s="9" t="str"/>
      <x:c r="E595" s="9" t="str"/>
      <x:c r="F595" s="13" t="str">
        <x:v>2014</x:v>
      </x:c>
      <x:c r="G595" s="9" t="str">
        <x:v>England and Wales Court of Appeal (Civil Division)</x:v>
      </x:c>
      <x:c r="H595" s="9" t="str">
        <x:v>Appellate Court</x:v>
      </x:c>
      <x:c r="I595" s="9" t="str">
        <x:v>England and Wales</x:v>
      </x:c>
      <x:c r="J595" s="9" t="str">
        <x:v>Commercial Law</x:v>
      </x:c>
      <x:c r="K595" s="9" t="str">
        <x:v>-ew-cases-EWCA-Civ-2014-1366.xml</x:v>
      </x:c>
      <x:c r="L595" s="9" t="str">
        <x:v>TBA</x:v>
      </x:c>
    </x:row>
    <x:row r="596">
      <x:c r="A596" t="str">
        <x:v>4656c997-bd0a-455e-8d56-137fc8f3c752</x:v>
      </x:c>
      <x:c r="B596" t="str">
        <x:v>901542c7-0e53-446e-8e3a-f24f9f454d96</x:v>
      </x:c>
      <x:c r="C596" s="9" t="str">
        <x:v>Carillion Construction Ltd v Emcor Engineering Services Ltd &amp; Anor [2017] EWCA Civ 65</x:v>
      </x:c>
      <x:c r="D596" s="9" t="str"/>
      <x:c r="E596" s="9" t="str"/>
      <x:c r="F596" s="13" t="str">
        <x:v>2017</x:v>
      </x:c>
      <x:c r="G596" s="9" t="str">
        <x:v>England and Wales Court of Appeal (Civil Division)</x:v>
      </x:c>
      <x:c r="H596" s="9" t="str">
        <x:v>Appellate</x:v>
      </x:c>
      <x:c r="I596" s="9" t="str">
        <x:v>England and Wales</x:v>
      </x:c>
      <x:c r="J596" s="9" t="str">
        <x:v>Contract Dispute</x:v>
      </x:c>
      <x:c r="K596" s="9" t="str">
        <x:v>-ew-cases-EWCA-Civ-2017-65.xml</x:v>
      </x:c>
      <x:c r="L596" s="9" t="str">
        <x:v>TBA</x:v>
      </x:c>
    </x:row>
    <x:row r="597">
      <x:c r="A597" t="str">
        <x:v>3e6162ea-41da-4153-baa3-a8bc89511770</x:v>
      </x:c>
      <x:c r="B597" t="str">
        <x:v>06a5d10c-c37a-4741-99fd-e2602c94effc</x:v>
      </x:c>
      <x:c r="C597" s="9" t="str">
        <x:v>Caroopen &amp; Myrie v The Secretary of State for the Home Department [2016] EWCA Civ 1307</x:v>
      </x:c>
      <x:c r="D597" s="9" t="str"/>
      <x:c r="E597" s="9" t="str"/>
      <x:c r="F597" s="13" t="str">
        <x:v>2016</x:v>
      </x:c>
      <x:c r="G597" s="9" t="str">
        <x:v>England and Wales Court of Appeal (Civil Division)</x:v>
      </x:c>
      <x:c r="H597" s="9" t="str">
        <x:v>Court of Appeal (Civil Division)</x:v>
      </x:c>
      <x:c r="I597" s="9" t="str">
        <x:v>England and Wales</x:v>
      </x:c>
      <x:c r="J597" s="9" t="str">
        <x:v>Immigration / Public Law</x:v>
      </x:c>
      <x:c r="K597" s="9" t="str">
        <x:v>-ew-cases-EWCA-Civ-2016-1307.xml</x:v>
      </x:c>
      <x:c r="L597" s="9" t="str">
        <x:v>TBA</x:v>
      </x:c>
    </x:row>
    <x:row r="598">
      <x:c r="A598" t="str">
        <x:v>4a9168b8-bcec-4227-89d3-c12b03488106</x:v>
      </x:c>
      <x:c r="B598" t="str">
        <x:v>103c8e43-39ed-4e30-8584-a207f007b02f</x:v>
      </x:c>
      <x:c r="C598" s="9" t="str">
        <x:v>Carrington v Revenue and Customs</x:v>
      </x:c>
      <x:c r="D598" s="9" t="str"/>
      <x:c r="E598" s="9" t="str"/>
      <x:c r="F598" s="13" t="str">
        <x:v>2021</x:v>
      </x:c>
      <x:c r="G598" s="9" t="str">
        <x:v>England and Wales Court of Appeal (Civil Division)</x:v>
      </x:c>
      <x:c r="H598" s="9" t="str">
        <x:v>Appellate</x:v>
      </x:c>
      <x:c r="I598" s="9" t="str">
        <x:v>England and Wales</x:v>
      </x:c>
      <x:c r="J598" s="9" t="str">
        <x:v>Social Security</x:v>
      </x:c>
      <x:c r="K598" s="9" t="str">
        <x:v>ew-cases-EWCA-Civ-2021-1724.xml</x:v>
      </x:c>
      <x:c r="L598" s="9" t="str">
        <x:v>TBA</x:v>
      </x:c>
    </x:row>
    <x:row r="599">
      <x:c r="A599" t="str">
        <x:v>185cb7f2-81bd-47f5-a0b0-3806f28c4f6f</x:v>
      </x:c>
      <x:c r="B599" t="str">
        <x:v>39bc2d3f-5d5b-4aca-af67-3fed3701d32e</x:v>
      </x:c>
      <x:c r="C599" s="9" t="str">
        <x:v>Cartier International AG &amp; Ors v British Sky Broadcasting Ltd &amp; Ors [2016] EWCA Civ 658</x:v>
      </x:c>
      <x:c r="D599" s="9" t="str"/>
      <x:c r="E599" s="9" t="str"/>
      <x:c r="F599" s="13" t="str">
        <x:v>2016</x:v>
      </x:c>
      <x:c r="G599" s="9" t="str">
        <x:v>England and Wales Court of Appeal (Civil Division)</x:v>
      </x:c>
      <x:c r="H599" s="9" t="str">
        <x:v>Court of Appeal (Civil Division)</x:v>
      </x:c>
      <x:c r="I599" s="9" t="str">
        <x:v>United Kingdom (England and Wales)</x:v>
      </x:c>
      <x:c r="J599" s="9" t="str">
        <x:v>Intellectual Property; Injunctions; Internet Blocking; Trade Mark Enforcement; EU-law integration</x:v>
      </x:c>
      <x:c r="K599" s="9" t="str">
        <x:v>-ew-cases-EWCA-Civ-2016-658.xml</x:v>
      </x:c>
      <x:c r="L599" s="9" t="str">
        <x:v>TBA</x:v>
      </x:c>
    </x:row>
    <x:row r="600">
      <x:c r="A600" t="str">
        <x:v>ae7f4dda-b8d9-42f4-8fac-d7f6eabd752b</x:v>
      </x:c>
      <x:c r="B600" t="str">
        <x:v>ea009eb1-d609-4034-8ed9-7ba71d1129a2</x:v>
      </x:c>
      <x:c r="C600" s="9" t="str">
        <x:v>Caspian Pizza Ltd &amp; Ors v Shah &amp; Anor</x:v>
      </x:c>
      <x:c r="D600" s="9" t="str"/>
      <x:c r="E600" s="9" t="str"/>
      <x:c r="F600" s="13" t="str">
        <x:v>2017</x:v>
      </x:c>
      <x:c r="G600" s="9" t="str">
        <x:v>England and Wales Court of Appeal (Civil Division)</x:v>
      </x:c>
      <x:c r="H600" s="9" t="str">
        <x:v>Appellate</x:v>
      </x:c>
      <x:c r="I600" s="9" t="str">
        <x:v>England and Wales</x:v>
      </x:c>
      <x:c r="J600" s="9" t="str">
        <x:v>Intellectual Property</x:v>
      </x:c>
      <x:c r="K600" s="9" t="str">
        <x:v>-ew-cases-EWCA-Civ-2017-1874.xml</x:v>
      </x:c>
      <x:c r="L600" s="9" t="str">
        <x:v>TBA</x:v>
      </x:c>
    </x:row>
    <x:row r="601">
      <x:c r="A601" t="str">
        <x:v>edb5b36c-32fa-4625-93dd-afa6a705861d</x:v>
      </x:c>
      <x:c r="B601" t="str">
        <x:v>f5317ba2-f676-4b11-9181-e4e119c8221f</x:v>
      </x:c>
      <x:c r="C601" s="9" t="str">
        <x:v>Cassini SAS v Emerald Pasture Designated Activity Company &amp; Ors [2022] EWCA Civ 102</x:v>
      </x:c>
      <x:c r="D601" s="9" t="str"/>
      <x:c r="E601" s="9" t="str"/>
      <x:c r="F601" s="13" t="str">
        <x:v>2022</x:v>
      </x:c>
      <x:c r="G601" s="9" t="str">
        <x:v>England and Wales Court of Appeal (Civil Division)</x:v>
      </x:c>
      <x:c r="H601" s="9" t="str">
        <x:v>Court of Appeal (Civil Division)</x:v>
      </x:c>
      <x:c r="I601" s="9" t="str">
        <x:v>England and Wales</x:v>
      </x:c>
      <x:c r="J601" s="9" t="str">
        <x:v>Contract and Insolvency; Cross-border/Conflict of Laws; Appellate decision</x:v>
      </x:c>
      <x:c r="K601" s="9" t="str">
        <x:v>ew-cases-EWCA-Civ-2022-102.xml</x:v>
      </x:c>
      <x:c r="L601" s="9" t="str">
        <x:v>TBA</x:v>
      </x:c>
    </x:row>
    <x:row r="602">
      <x:c r="A602" t="str">
        <x:v>1ba58540-ec17-46a5-b6d3-c9811c66c4f4</x:v>
      </x:c>
      <x:c r="B602" t="str">
        <x:v>997252a3-f8c4-48c8-bab1-fbe24fb0a226</x:v>
      </x:c>
      <x:c r="C602" s="9" t="str">
        <x:v>Cassley &amp; Ors v GMP Securities Europe LLP [2016] EWCA Civ 711 (Court of Appeal, Civil Division)</x:v>
      </x:c>
      <x:c r="D602" s="9" t="str"/>
      <x:c r="E602" s="9" t="str"/>
      <x:c r="F602" s="13" t="str">
        <x:v>2016</x:v>
      </x:c>
      <x:c r="G602" s="9" t="str">
        <x:v>England and Wales Court of Appeal (Civil Division)</x:v>
      </x:c>
      <x:c r="H602" s="9" t="str">
        <x:v>Court of Appeal (Civil Division)</x:v>
      </x:c>
      <x:c r="I602" s="9" t="str">
        <x:v>England and Wales</x:v>
      </x:c>
      <x:c r="J602" s="9" t="str">
        <x:v>Tort / Negligence</x:v>
      </x:c>
      <x:c r="K602" s="9" t="str">
        <x:v>-ew-cases-EWCA-Civ-2016-711.xml</x:v>
      </x:c>
      <x:c r="L602" s="9" t="str">
        <x:v>TBA</x:v>
      </x:c>
    </x:row>
    <x:row r="603">
      <x:c r="A603" t="str">
        <x:v>9a39267f-351d-425c-a94f-2c74bdcd0c1e</x:v>
      </x:c>
      <x:c r="B603" t="str">
        <x:v>8c865f7b-2f60-4eb0-80d3-c4e4e215bafc</x:v>
      </x:c>
      <x:c r="C603" s="9" t="str">
        <x:v>Casson v Hudson &amp; Anor [2017] EWCA Civ 125</x:v>
      </x:c>
      <x:c r="D603" s="9" t="str"/>
      <x:c r="E603" s="9" t="str"/>
      <x:c r="F603" s="13" t="str">
        <x:v>2017</x:v>
      </x:c>
      <x:c r="G603" s="9" t="str">
        <x:v>England and Wales Court of Appeal (Civil Division)</x:v>
      </x:c>
      <x:c r="H603" s="9" t="str">
        <x:v>Court of Appeal</x:v>
      </x:c>
      <x:c r="I603" s="9" t="str">
        <x:v>England and Wales</x:v>
      </x:c>
      <x:c r="J603" s="9" t="str">
        <x:v>Tort</x:v>
      </x:c>
      <x:c r="K603" s="9" t="str">
        <x:v>-ew-cases-EWCA-Civ-2017-125.xml</x:v>
      </x:c>
      <x:c r="L603" s="9" t="str">
        <x:v>TBA</x:v>
      </x:c>
    </x:row>
    <x:row r="604">
      <x:c r="A604" t="str">
        <x:v>83321076-9e2b-4b7e-8192-1964d4e99427</x:v>
      </x:c>
      <x:c r="B604" t="str">
        <x:v>e3fbfdda-f473-4ddf-8720-ca58f9e70c1e</x:v>
      </x:c>
      <x:c r="C604" s="9" t="str">
        <x:v>Casson v Spotmix Ltd &amp; Ors [2017] EWCA Civ 1994</x:v>
      </x:c>
      <x:c r="D604" s="9" t="str"/>
      <x:c r="E604" s="9" t="str"/>
      <x:c r="F604" s="13" t="str">
        <x:v>2017</x:v>
      </x:c>
      <x:c r="G604" s="9" t="str">
        <x:v>England and Wales Court of Appeal (Civil Division)</x:v>
      </x:c>
      <x:c r="H604" s="9" t="str">
        <x:v>Appellate</x:v>
      </x:c>
      <x:c r="I604" s="9" t="str">
        <x:v>England and Wales</x:v>
      </x:c>
      <x:c r="J604" s="9" t="str">
        <x:v>Tort - Negligence</x:v>
      </x:c>
      <x:c r="K604" s="9" t="str">
        <x:v>-ew-cases-EWCA-Civ-2017-1994.xml</x:v>
      </x:c>
      <x:c r="L604" s="9" t="str">
        <x:v>TBA</x:v>
      </x:c>
    </x:row>
    <x:row r="605">
      <x:c r="A605" t="str">
        <x:v>b24baf4c-d3cb-490e-91e3-bd76009f3ec0</x:v>
      </x:c>
      <x:c r="B605" t="str">
        <x:v>748bccda-2110-47b2-ab91-36cc47b9c6b5</x:v>
      </x:c>
      <x:c r="C605" s="9" t="str">
        <x:v>Catalano v Espley-Tyas Development Group Ltd [2017] EWCA Civ 1132</x:v>
      </x:c>
      <x:c r="D605" s="9" t="str"/>
      <x:c r="E605" s="9" t="str"/>
      <x:c r="F605" s="13" t="str">
        <x:v>2017</x:v>
      </x:c>
      <x:c r="G605" s="9" t="str">
        <x:v>England and Wales Court of Appeal (Civil Division)</x:v>
      </x:c>
      <x:c r="H605" s="9" t="str">
        <x:v>Appellate</x:v>
      </x:c>
      <x:c r="I605" s="9" t="str">
        <x:v>England and Wales</x:v>
      </x:c>
      <x:c r="J605" s="9" t="str">
        <x:v>Costs and Funding</x:v>
      </x:c>
      <x:c r="K605" s="9" t="str">
        <x:v>-ew-cases-EWCA-Civ-2017-1132.xml</x:v>
      </x:c>
      <x:c r="L605" s="9" t="str">
        <x:v>TBA</x:v>
      </x:c>
    </x:row>
    <x:row r="606">
      <x:c r="A606" t="str">
        <x:v>82aed890-db73-4d08-acd3-8c22f1201ea1</x:v>
      </x:c>
      <x:c r="B606" t="str">
        <x:v>522b4f69-32d0-44e3-9bb5-92859e5efde0</x:v>
      </x:c>
      <x:c r="C606" s="9" t="str">
        <x:v>Catan and Others v. Moldova and Russia</x:v>
      </x:c>
      <x:c r="D606" s="9" t="str"/>
      <x:c r="E606" s="9" t="str"/>
      <x:c r="F606" s="13" t="str">
        <x:v>2012</x:v>
      </x:c>
      <x:c r="G606" s="9" t="str">
        <x:v>European Court of Human Rights (Grand Chamber)</x:v>
      </x:c>
      <x:c r="H606" s="9" t="str">
        <x:v>International</x:v>
      </x:c>
      <x:c r="I606" s="9" t="str">
        <x:v>European</x:v>
      </x:c>
      <x:c r="J606" s="9" t="str">
        <x:v>Human Rights</x:v>
      </x:c>
      <x:c r="K606" s="9" t="str">
        <x:v>Catan_v_Moldova_43370_04(1).xml</x:v>
      </x:c>
      <x:c r="L606" s="9" t="str">
        <x:v>TBA</x:v>
      </x:c>
    </x:row>
    <x:row r="607">
      <x:c r="A607" t="str">
        <x:v>0b0bc300-1fc6-41ab-9ab6-a6faaa67f80f</x:v>
      </x:c>
      <x:c r="B607" t="str">
        <x:v>f0cad471-e222-49db-b138-c99f671aff4f</x:v>
      </x:c>
      <x:c r="C607" s="9" t="str">
        <x:v>Cawsand Fort Management Company v Kane &amp; Ors [2015] EWCA Civ 1520</x:v>
      </x:c>
      <x:c r="D607" s="9" t="str"/>
      <x:c r="E607" s="9" t="str"/>
      <x:c r="F607" s="13" t="str">
        <x:v>2015</x:v>
      </x:c>
      <x:c r="G607" s="9" t="str">
        <x:v>England and Wales Court of Appeal (Civil Division)</x:v>
      </x:c>
      <x:c r="H607" s="9" t="str">
        <x:v>Appellate</x:v>
      </x:c>
      <x:c r="I607" s="9" t="str">
        <x:v>England and Wales</x:v>
      </x:c>
      <x:c r="J607" s="9" t="str">
        <x:v>Administrative Law</x:v>
      </x:c>
      <x:c r="K607" s="9" t="str">
        <x:v>-ew-cases-EWCA-Civ-2015-1520.xml</x:v>
      </x:c>
      <x:c r="L607" s="9" t="str">
        <x:v>TBA</x:v>
      </x:c>
    </x:row>
    <x:row r="608">
      <x:c r="A608" t="str">
        <x:v>ecbffecf-227e-473d-ad00-50a1dfaead0e</x:v>
      </x:c>
      <x:c r="B608" t="str">
        <x:v>8fb98ca3-51f6-443f-9867-ba07ded7e9b1</x:v>
      </x:c>
      <x:c r="C608" s="9" t="str">
        <x:v>CB (A Child) [2015] EWCA Civ 888 - Adoption Proceedings and Jurisdiction Issues</x:v>
      </x:c>
      <x:c r="D608" s="9" t="str"/>
      <x:c r="E608" s="9" t="str"/>
      <x:c r="F608" s="13" t="str">
        <x:v>2015</x:v>
      </x:c>
      <x:c r="G608" s="9" t="str">
        <x:v>England and Wales Court of Appeal (Civil Division)</x:v>
      </x:c>
      <x:c r="H608" s="9" t="str">
        <x:v>Appellate</x:v>
      </x:c>
      <x:c r="I608" s="9" t="str">
        <x:v>England and Wales</x:v>
      </x:c>
      <x:c r="J608" s="9" t="str">
        <x:v>Family Law - Adoption</x:v>
      </x:c>
      <x:c r="K608" s="9" t="str">
        <x:v>-ew-cases-EWCA-Civ-2015-888.xml</x:v>
      </x:c>
      <x:c r="L608" s="9" t="str">
        <x:v>TBA</x:v>
      </x:c>
    </x:row>
    <x:row r="609">
      <x:c r="A609" t="str">
        <x:v>2527722e-b679-446f-9395-b0609d4fab46</x:v>
      </x:c>
      <x:c r="B609" t="str">
        <x:v>2a2f6d9e-43a4-401e-ac29-522ef2abe9f0</x:v>
      </x:c>
      <x:c r="C609" s="9" t="str">
        <x:v>CC&amp;C Ltd v Revenue &amp; Customs [2014] EWCA Civ 1653</x:v>
      </x:c>
      <x:c r="D609" s="9" t="str"/>
      <x:c r="E609" s="9" t="str"/>
      <x:c r="F609" s="13" t="str">
        <x:v>2014</x:v>
      </x:c>
      <x:c r="G609" s="9" t="str">
        <x:v>England and Wales Court of Appeal (Civil Division)</x:v>
      </x:c>
      <x:c r="H609" s="9" t="str">
        <x:v>Appellate</x:v>
      </x:c>
      <x:c r="I609" s="9" t="str">
        <x:v>England and Wales</x:v>
      </x:c>
      <x:c r="J609" s="9" t="str">
        <x:v>Administrative Law</x:v>
      </x:c>
      <x:c r="K609" s="9" t="str">
        <x:v>-ew-cases-EWCA-Civ-2014-1653.xml</x:v>
      </x:c>
      <x:c r="L609" s="9" t="str">
        <x:v>TBA</x:v>
      </x:c>
    </x:row>
    <x:row r="610">
      <x:c r="A610" t="str">
        <x:v>e92c077a-13c4-4b9d-b658-d84ae1213ef6</x:v>
      </x:c>
      <x:c r="B610" t="str">
        <x:v>3e0af3e6-5dea-483a-b0f0-dd1b88895d80</x:v>
      </x:c>
      <x:c r="C610" s="9" t="str">
        <x:v>CCA Distribution Ltd v Revenue And Customs</x:v>
      </x:c>
      <x:c r="D610" s="9" t="str"/>
      <x:c r="E610" s="9" t="str"/>
      <x:c r="F610" s="13" t="str">
        <x:v>2017</x:v>
      </x:c>
      <x:c r="G610" s="9" t="str">
        <x:v>England and Wales Court of Appeal (Civil Division)</x:v>
      </x:c>
      <x:c r="H610" s="9" t="str">
        <x:v>appellate</x:v>
      </x:c>
      <x:c r="I610" s="9" t="str">
        <x:v>England and Wales</x:v>
      </x:c>
      <x:c r="J610" s="9" t="str">
        <x:v>Tax Law</x:v>
      </x:c>
      <x:c r="K610" s="9" t="str">
        <x:v>-ew-cases-EWCA-Civ-2017-1899.xml</x:v>
      </x:c>
      <x:c r="L610" s="9" t="str">
        <x:v>TBA</x:v>
      </x:c>
    </x:row>
    <x:row r="611">
      <x:c r="A611" t="str">
        <x:v>e62a75a0-ba10-458e-b0f0-ec4ee1777135</x:v>
      </x:c>
      <x:c r="B611" t="str">
        <x:v>22ab8ca4-b295-460e-a30b-38b0a8f39f0c</x:v>
      </x:c>
      <x:c r="C611" s="9" t="str">
        <x:v>CDE v NOP [2021] EWCA Civ 1908: Conflict Between Open Justice and Arbitral Confidentiality</x:v>
      </x:c>
      <x:c r="D611" s="9" t="str"/>
      <x:c r="E611" s="9" t="str"/>
      <x:c r="F611" s="13" t="str">
        <x:v>2021</x:v>
      </x:c>
      <x:c r="G611" s="9" t="str">
        <x:v>England and Wales Court of Appeal (Civil Division)</x:v>
      </x:c>
      <x:c r="H611" s="9" t="str">
        <x:v>Appellate</x:v>
      </x:c>
      <x:c r="I611" s="9" t="str">
        <x:v>England</x:v>
      </x:c>
      <x:c r="J611" s="9" t="str">
        <x:v>Civil Appeal</x:v>
      </x:c>
      <x:c r="K611" s="9" t="str">
        <x:v>ew-cases-EWCA-Civ-2021-1908.xml</x:v>
      </x:c>
      <x:c r="L611" s="9" t="str">
        <x:v>TBA</x:v>
      </x:c>
    </x:row>
    <x:row r="612">
      <x:c r="A612" t="str">
        <x:v>fbe7c6bd-7cdc-48c3-b7f1-fb4f85022ccd</x:v>
      </x:c>
      <x:c r="B612" t="str">
        <x:v>9dded1b0-b63f-4e5b-b508-6bf0186812b5</x:v>
      </x:c>
      <x:c r="C612" s="9" t="str">
        <x:v>Ceredigion Recycling &amp; Furniture Team v Pope &amp; Anor [2022] EWCA Civ 22</x:v>
      </x:c>
      <x:c r="D612" s="9" t="str"/>
      <x:c r="E612" s="9" t="str"/>
      <x:c r="F612" s="13" t="str">
        <x:v>2022</x:v>
      </x:c>
      <x:c r="G612" s="9" t="str">
        <x:v>England and Wales Court of Appeal (Civil Division)</x:v>
      </x:c>
      <x:c r="H612" s="9" t="str">
        <x:v>Court of Appeal (Civil Division)</x:v>
      </x:c>
      <x:c r="I612" s="9" t="str">
        <x:v>England and Wales</x:v>
      </x:c>
      <x:c r="J612" s="9" t="str">
        <x:v>Civil Procedure; Company Law; Directors’ Duties</x:v>
      </x:c>
      <x:c r="K612" s="9" t="str">
        <x:v>ew-cases-EWCA-Civ-2022-22.xml</x:v>
      </x:c>
      <x:c r="L612" s="9" t="str">
        <x:v>TBA</x:v>
      </x:c>
    </x:row>
    <x:row r="613">
      <x:c r="A613" t="str">
        <x:v>0cee4395-a3a7-4236-b13b-19923a650db2</x:v>
      </x:c>
      <x:c r="B613" t="str">
        <x:v>8e566ae3-dccb-44ba-b99d-850d0fab8839</x:v>
      </x:c>
      <x:c r="C613" s="9" t="str">
        <x:v>CF Asset Finance Ltd v Okonji [2014] EWCA Civ 870</x:v>
      </x:c>
      <x:c r="D613" s="9" t="str"/>
      <x:c r="E613" s="9" t="str"/>
      <x:c r="F613" s="13" t="str">
        <x:v>2014</x:v>
      </x:c>
      <x:c r="G613" s="9" t="str">
        <x:v>England and Wales Court of Appeal (Civil Division)</x:v>
      </x:c>
      <x:c r="H613" s="9" t="str">
        <x:v>Appellate</x:v>
      </x:c>
      <x:c r="I613" s="9" t="str">
        <x:v>England and Wales</x:v>
      </x:c>
      <x:c r="J613" s="9" t="str">
        <x:v>Contract Dispute</x:v>
      </x:c>
      <x:c r="K613" s="9" t="str">
        <x:v>-ew-cases-EWCA-Civ-2014-870.xml</x:v>
      </x:c>
      <x:c r="L613" s="9" t="str">
        <x:v>TBA</x:v>
      </x:c>
    </x:row>
    <x:row r="614">
      <x:c r="A614" t="str">
        <x:v>2cd069dc-8018-48a2-8791-2d877875106e</x:v>
      </x:c>
      <x:c r="B614" t="str">
        <x:v>8afbdd81-49af-42b7-bb8a-cee6736898b3</x:v>
      </x:c>
      <x:c r="C614" s="9" t="str">
        <x:v>CFL Finance Ltd v Laser Trust &amp; Anor [2021] EWCA Civ 228</x:v>
      </x:c>
      <x:c r="D614" s="9" t="str"/>
      <x:c r="E614" s="9" t="str"/>
      <x:c r="F614" s="13" t="str">
        <x:v>2021</x:v>
      </x:c>
      <x:c r="G614" s="9" t="str">
        <x:v>England and Wales Court of Appeal (Civil Division)</x:v>
      </x:c>
      <x:c r="H614" s="9" t="str">
        <x:v>Appellate</x:v>
      </x:c>
      <x:c r="I614" s="9" t="str">
        <x:v>England and Wales</x:v>
      </x:c>
      <x:c r="J614" s="9" t="str">
        <x:v>Civil Procedure</x:v>
      </x:c>
      <x:c r="K614" s="9" t="str">
        <x:v>ew-cases-EWCA-Civ-2021-228.xml</x:v>
      </x:c>
      <x:c r="L614" s="9" t="str">
        <x:v>TBA</x:v>
      </x:c>
    </x:row>
    <x:row r="615">
      <x:c r="A615" t="str">
        <x:v>10ce812a-9db7-4d81-974b-0533257c1c27</x:v>
      </x:c>
      <x:c r="B615" t="str">
        <x:v>b8fc6f33-ce8f-4666-b345-08282117a38a</x:v>
      </x:c>
      <x:c r="C615" s="9" t="str">
        <x:v>CG (China) &amp; Anor v Secretary of State for the Home Department</x:v>
      </x:c>
      <x:c r="D615" s="9" t="str"/>
      <x:c r="E615" s="9" t="str"/>
      <x:c r="F615" s="13" t="str">
        <x:v>2015</x:v>
      </x:c>
      <x:c r="G615" s="9" t="str">
        <x:v>England and Wales Court of Appeal (Civil Division)</x:v>
      </x:c>
      <x:c r="H615" s="9" t="str">
        <x:v>Appellate</x:v>
      </x:c>
      <x:c r="I615" s="9" t="str">
        <x:v>England and Wales</x:v>
      </x:c>
      <x:c r="J615" s="9" t="str">
        <x:v>Immigration Law</x:v>
      </x:c>
      <x:c r="K615" s="9" t="str">
        <x:v>-ew-cases-EWCA-Civ-2015-1574.xml</x:v>
      </x:c>
      <x:c r="L615" s="9" t="str">
        <x:v>TBA</x:v>
      </x:c>
    </x:row>
    <x:row r="616">
      <x:c r="A616" t="str">
        <x:v>834ef278-c8ea-4e7c-aa39-76af352354df</x:v>
      </x:c>
      <x:c r="B616" t="str">
        <x:v>a07a571c-28d7-4846-857e-029740f2b4ac</x:v>
      </x:c>
      <x:c r="C616" s="9" t="str">
        <x:v>CG (Jamaica) v The Secretary of State for the Home Department</x:v>
      </x:c>
      <x:c r="D616" s="9" t="str"/>
      <x:c r="E616" s="9" t="str"/>
      <x:c r="F616" s="13" t="str">
        <x:v>2015</x:v>
      </x:c>
      <x:c r="G616" s="9" t="str">
        <x:v>England and Wales Court of Appeal (Civil Division)</x:v>
      </x:c>
      <x:c r="H616" s="9" t="str">
        <x:v>Appellate</x:v>
      </x:c>
      <x:c r="I616" s="9" t="str">
        <x:v>England and Wales</x:v>
      </x:c>
      <x:c r="J616" s="9" t="str">
        <x:v>Immigration Law</x:v>
      </x:c>
      <x:c r="K616" s="9" t="str">
        <x:v>-ew-cases-EWCA-Civ-2015-194.xml</x:v>
      </x:c>
      <x:c r="L616" s="9" t="str">
        <x:v>TBA</x:v>
      </x:c>
    </x:row>
    <x:row r="617">
      <x:c r="A617" t="str">
        <x:v>ffc8b400-290f-4446-a39e-57bd5253b05f</x:v>
      </x:c>
      <x:c r="B617" t="str">
        <x:v>83821fb0-ba9c-43e6-bb47-76a85327b471</x:v>
      </x:c>
      <x:c r="C617" s="9" t="str">
        <x:v>CGL Group Ltd &amp; Ors v The Royal Bank of Scotland Plc &amp; National Westminster Bank Plc &amp; Ors</x:v>
      </x:c>
      <x:c r="D617" s="9" t="str"/>
      <x:c r="E617" s="9" t="str"/>
      <x:c r="F617" s="13" t="str">
        <x:v>2017</x:v>
      </x:c>
      <x:c r="G617" s="9" t="str">
        <x:v>England and Wales Court of Appeal (Civil Division)</x:v>
      </x:c>
      <x:c r="H617" s="9" t="str">
        <x:v>Appellate</x:v>
      </x:c>
      <x:c r="I617" s="9" t="str">
        <x:v>England and Wales</x:v>
      </x:c>
      <x:c r="J617" s="9" t="str">
        <x:v>Financial Services Regulation</x:v>
      </x:c>
      <x:c r="K617" s="9" t="str">
        <x:v>-ew-cases-EWCA-Civ-2017-1073.xml</x:v>
      </x:c>
      <x:c r="L617" s="9" t="str">
        <x:v>TBA</x:v>
      </x:c>
    </x:row>
    <x:row r="618">
      <x:c r="A618" t="str">
        <x:v>4c4fa651-e739-4ae1-b2c3-ea8a66c64d80</x:v>
      </x:c>
      <x:c r="B618" t="str">
        <x:v>1360dc9a-d098-4e78-abeb-22aac91d5713</x:v>
      </x:c>
      <x:c r="C618" s="9" t="str">
        <x:v>Chadha v HM Senior Coroner for West London [2017] EWCA Civ 2710</x:v>
      </x:c>
      <x:c r="D618" s="9" t="str"/>
      <x:c r="E618" s="9" t="str"/>
      <x:c r="F618" s="13" t="str">
        <x:v>2017</x:v>
      </x:c>
      <x:c r="G618" s="9" t="str">
        <x:v>England and Wales Court of Appeal (Civil Division)</x:v>
      </x:c>
      <x:c r="H618" s="9" t="str">
        <x:v>Appellate</x:v>
      </x:c>
      <x:c r="I618" s="9" t="str">
        <x:v>England</x:v>
      </x:c>
      <x:c r="J618" s="9" t="str">
        <x:v>Judicial Review</x:v>
      </x:c>
      <x:c r="K618" s="9" t="str">
        <x:v>-ew-cases-EWCA-Civ-2017-2710.xml</x:v>
      </x:c>
      <x:c r="L618" s="9" t="str">
        <x:v>TBA</x:v>
      </x:c>
    </x:row>
    <x:row r="619">
      <x:c r="A619" t="str">
        <x:v>cc7fabb0-85e6-4774-8e61-1d99ea23caa2</x:v>
      </x:c>
      <x:c r="B619" t="str">
        <x:v>33d054b2-7fbd-46fa-945e-c7e748f223cb</x:v>
      </x:c>
      <x:c r="C619" s="9" t="str">
        <x:v>Chai v Peng [2015] EWCA Civ 790</x:v>
      </x:c>
      <x:c r="D619" s="9" t="str"/>
      <x:c r="E619" s="9" t="str"/>
      <x:c r="F619" s="13" t="str">
        <x:v>2015</x:v>
      </x:c>
      <x:c r="G619" s="9" t="str">
        <x:v>England and Wales Court of Appeal (Civil Division)</x:v>
      </x:c>
      <x:c r="H619" s="9" t="str">
        <x:v>Appellate</x:v>
      </x:c>
      <x:c r="I619" s="9" t="str">
        <x:v>England and Wales</x:v>
      </x:c>
      <x:c r="J619" s="9" t="str">
        <x:v>Family Law</x:v>
      </x:c>
      <x:c r="K619" s="9" t="str">
        <x:v>-ew-cases-EWCA-Civ-2015-790.xml</x:v>
      </x:c>
      <x:c r="L619" s="9" t="str">
        <x:v>TBA</x:v>
      </x:c>
    </x:row>
    <x:row r="620">
      <x:c r="A620" t="str">
        <x:v>f5b210e2-6a5e-4d9c-92e1-a2aee4b4264e</x:v>
      </x:c>
      <x:c r="B620" t="str">
        <x:v>dbe0c664-e736-4727-8df4-ed27fc522458</x:v>
      </x:c>
      <x:c r="C620" s="9" t="str">
        <x:v>Chalcot Training Ltd v Ralph &amp; Anor [2021] EWCA Civ 795</x:v>
      </x:c>
      <x:c r="D620" s="9" t="str"/>
      <x:c r="E620" s="9" t="str"/>
      <x:c r="F620" s="13" t="str">
        <x:v>2021</x:v>
      </x:c>
      <x:c r="G620" s="9" t="str">
        <x:v>England and Wales Court of Appeal (Civil Division)</x:v>
      </x:c>
      <x:c r="H620" s="9" t="str">
        <x:v>Appellate</x:v>
      </x:c>
      <x:c r="I620" s="9" t="str">
        <x:v>England and Wales</x:v>
      </x:c>
      <x:c r="J620" s="9" t="str">
        <x:v>Corporate Law</x:v>
      </x:c>
      <x:c r="K620" s="9" t="str">
        <x:v>ew-cases-EWCA-Civ-2021-795.xml</x:v>
      </x:c>
      <x:c r="L620" s="9" t="str">
        <x:v>TBA</x:v>
      </x:c>
    </x:row>
    <x:row r="621">
      <x:c r="A621" t="str">
        <x:v>ec1f1fb9-aeb6-417b-8453-ff8ef0a648c6</x:v>
      </x:c>
      <x:c r="B621" t="str">
        <x:v>edaa06d0-05a9-41c2-b34b-1408204f7ba3</x:v>
      </x:c>
      <x:c r="C621" s="9" t="str">
        <x:v>Chalfont St Peter Parish Council v Chiltern District Council</x:v>
      </x:c>
      <x:c r="D621" s="9" t="str"/>
      <x:c r="E621" s="9" t="str"/>
      <x:c r="F621" s="13" t="str">
        <x:v>2014</x:v>
      </x:c>
      <x:c r="G621" s="9" t="str">
        <x:v>England and Wales Court of Appeal (Civil Division)</x:v>
      </x:c>
      <x:c r="H621" s="9" t="str">
        <x:v>Appellate</x:v>
      </x:c>
      <x:c r="I621" s="9" t="str">
        <x:v>England and Wales</x:v>
      </x:c>
      <x:c r="J621" s="9" t="str">
        <x:v>Administrative Law</x:v>
      </x:c>
      <x:c r="K621" s="9" t="str">
        <x:v>-ew-cases-EWCA-Civ-2014-1393.xml</x:v>
      </x:c>
      <x:c r="L621" s="9" t="str">
        <x:v>TBA</x:v>
      </x:c>
    </x:row>
    <x:row r="622">
      <x:c r="A622" t="str">
        <x:v>775cd55c-6ba8-4fce-be6e-09d0d57e12dc</x:v>
      </x:c>
      <x:c r="B622" t="str">
        <x:v>d9167d92-3e2d-462b-b1dd-0c42056c65b9</x:v>
      </x:c>
      <x:c r="C622" s="9" t="str">
        <x:v>Chaplair Ltd v Kumari [2015] EWCA Civ 798</x:v>
      </x:c>
      <x:c r="D622" s="9" t="str"/>
      <x:c r="E622" s="9" t="str"/>
      <x:c r="F622" s="13" t="str">
        <x:v>2015</x:v>
      </x:c>
      <x:c r="G622" s="9" t="str">
        <x:v>England and Wales Court of Appeal (Civil Division)</x:v>
      </x:c>
      <x:c r="H622" s="9" t="str">
        <x:v>Appellate</x:v>
      </x:c>
      <x:c r="I622" s="9" t="str">
        <x:v>England and Wales</x:v>
      </x:c>
      <x:c r="J622" s="9" t="str">
        <x:v>Civil Appeal</x:v>
      </x:c>
      <x:c r="K622" s="9" t="str">
        <x:v>-ew-cases-EWCA-Civ-2015-798.xml</x:v>
      </x:c>
      <x:c r="L622" s="9" t="str">
        <x:v>TBA</x:v>
      </x:c>
    </x:row>
    <x:row r="623">
      <x:c r="A623" t="str">
        <x:v>f008b723-c871-474e-878e-430339531f00</x:v>
      </x:c>
      <x:c r="B623" t="str">
        <x:v>4abf45dd-062d-4f4a-a661-7f3d7d178f31</x:v>
      </x:c>
      <x:c r="C623" s="9" t="str">
        <x:v>Chapman v Mid &amp; South Essex NHS Foundation Trust</x:v>
      </x:c>
      <x:c r="D623" s="9" t="str"/>
      <x:c r="E623" s="9" t="str"/>
      <x:c r="F623" s="13" t="str">
        <x:v>2023</x:v>
      </x:c>
      <x:c r="G623" s="9" t="str">
        <x:v>England and Wales High Court (King's Bench Division)</x:v>
      </x:c>
      <x:c r="H623" s="9" t="str">
        <x:v>High Court</x:v>
      </x:c>
      <x:c r="I623" s="9" t="str">
        <x:v>England and Wales</x:v>
      </x:c>
      <x:c r="J623" s="9" t="str">
        <x:v>Medical Malpractice</x:v>
      </x:c>
      <x:c r="K623" s="9" t="str">
        <x:v>PT_EWHC-KB_2023_1290.xml</x:v>
      </x:c>
      <x:c r="L623" s="9" t="str">
        <x:v>TBA</x:v>
      </x:c>
    </x:row>
    <x:row r="624">
      <x:c r="A624" t="str">
        <x:v>0cd35c49-4865-49eb-b092-196aa43d356a</x:v>
      </x:c>
      <x:c r="B624" t="str">
        <x:v>969f076d-9173-440b-9f31-7f9c274d33d7</x:v>
      </x:c>
      <x:c r="C624" s="9" t="str">
        <x:v>Chappell v HM Revenue and Customs [2016] EWCA Civ 809</x:v>
      </x:c>
      <x:c r="D624" s="9" t="str"/>
      <x:c r="E624" s="9" t="str"/>
      <x:c r="F624" s="13" t="str">
        <x:v>2016</x:v>
      </x:c>
      <x:c r="G624" s="9" t="str">
        <x:v>England and Wales Court of Appeal (Civil Division)</x:v>
      </x:c>
      <x:c r="H624" s="9" t="str">
        <x:v>Court of Appeal (Civil Division)</x:v>
      </x:c>
      <x:c r="I624" s="9" t="str">
        <x:v>England and Wales</x:v>
      </x:c>
      <x:c r="J624" s="9" t="str">
        <x:v>Tax Law / Tax Avoidance</x:v>
      </x:c>
      <x:c r="K624" s="9" t="str">
        <x:v>-ew-cases-EWCA-Civ-2016-809.xml</x:v>
      </x:c>
      <x:c r="L624" s="9" t="str">
        <x:v>TBA</x:v>
      </x:c>
    </x:row>
    <x:row r="625">
      <x:c r="A625" t="str">
        <x:v>5e34805b-6c6a-4c89-8cb3-c41639874cb2</x:v>
      </x:c>
      <x:c r="B625" t="str">
        <x:v>bbece3ed-11d4-4f68-8c60-4b9065eb5839</x:v>
      </x:c>
      <x:c r="C625" s="9" t="str">
        <x:v>Chappell v Revenue &amp; Customs [2015] EWCA Civ 702</x:v>
      </x:c>
      <x:c r="D625" s="9" t="str"/>
      <x:c r="E625" s="9" t="str"/>
      <x:c r="F625" s="13" t="str">
        <x:v>2015</x:v>
      </x:c>
      <x:c r="G625" s="9" t="str">
        <x:v>England and Wales Court of Appeal (Civil Division)</x:v>
      </x:c>
      <x:c r="H625" s="9" t="str">
        <x:v>Appellate</x:v>
      </x:c>
      <x:c r="I625" s="9" t="str">
        <x:v>England and Wales</x:v>
      </x:c>
      <x:c r="J625" s="9" t="str">
        <x:v>Tax Dispute</x:v>
      </x:c>
      <x:c r="K625" s="9" t="str">
        <x:v>-ew-cases-EWCA-Civ-2015-702.xml</x:v>
      </x:c>
      <x:c r="L625" s="9" t="str">
        <x:v>TBA</x:v>
      </x:c>
    </x:row>
    <x:row r="626">
      <x:c r="A626" t="str">
        <x:v>b44ed9f1-d5a6-4945-bd33-6e7f86d5b0a9</x:v>
      </x:c>
      <x:c r="B626" t="str">
        <x:v>7310fcbd-cf7f-49ad-9b6a-cfee628998fb</x:v>
      </x:c>
      <x:c r="C626" s="9" t="str">
        <x:v>Charalambous &amp; Anor v NG &amp; Anor [2014] EWCA Civ 1604</x:v>
      </x:c>
      <x:c r="D626" s="9" t="str"/>
      <x:c r="E626" s="9" t="str"/>
      <x:c r="F626" s="13" t="str">
        <x:v>2014</x:v>
      </x:c>
      <x:c r="G626" s="9" t="str">
        <x:v>England and Wales Court of Appeal (Civil Division)</x:v>
      </x:c>
      <x:c r="H626" s="9" t="str">
        <x:v>Appellate</x:v>
      </x:c>
      <x:c r="I626" s="9" t="str">
        <x:v>England and Wales</x:v>
      </x:c>
      <x:c r="J626" s="9" t="str">
        <x:v>Real Estate Law</x:v>
      </x:c>
      <x:c r="K626" s="9" t="str">
        <x:v>-ew-cases-EWCA-Civ-2014-1604.xml</x:v>
      </x:c>
      <x:c r="L626" s="9" t="str">
        <x:v>TBA</x:v>
      </x:c>
    </x:row>
    <x:row r="627">
      <x:c r="A627" t="str">
        <x:v>0e9ed949-38b6-468b-ba6e-a992a37dab32</x:v>
      </x:c>
      <x:c r="B627" t="str">
        <x:v>c8d6483e-f1cc-4c3e-b512-7cc39b8d4be7</x:v>
      </x:c>
      <x:c r="C627" s="9" t="str">
        <x:v>Charman v Revenue And Customs [2021] EWCA Civ 1804</x:v>
      </x:c>
      <x:c r="D627" s="9" t="str"/>
      <x:c r="E627" s="9" t="str"/>
      <x:c r="F627" s="13" t="str">
        <x:v>2021</x:v>
      </x:c>
      <x:c r="G627" s="9" t="str">
        <x:v>England and Wales Court of Appeal (Civil Division)</x:v>
      </x:c>
      <x:c r="H627" s="9" t="str">
        <x:v>Appellate</x:v>
      </x:c>
      <x:c r="I627" s="9" t="str">
        <x:v>England and Wales</x:v>
      </x:c>
      <x:c r="J627" s="9" t="str">
        <x:v>Taxation</x:v>
      </x:c>
      <x:c r="K627" s="9" t="str">
        <x:v>ew-cases-EWCA-Civ-2021-1804.xml</x:v>
      </x:c>
      <x:c r="L627" s="9" t="str">
        <x:v>TBA</x:v>
      </x:c>
    </x:row>
    <x:row r="628">
      <x:c r="A628" t="str">
        <x:v>e0a7e92c-2bf2-49e5-a10a-a883cd7424f7</x:v>
      </x:c>
      <x:c r="B628" t="str">
        <x:v>2d2f67c0-33b8-47de-ade5-124c90fc1a95</x:v>
      </x:c>
      <x:c r="C628" s="9" t="str">
        <x:v>Chartbrook Ltd v Persimmon Homes Ltd &amp; Ors [2009] UKHL 38</x:v>
      </x:c>
      <x:c r="D628" s="9" t="str"/>
      <x:c r="E628" s="9" t="str"/>
      <x:c r="F628" s="13" t="str">
        <x:v>2009</x:v>
      </x:c>
      <x:c r="G628" s="9" t="str">
        <x:v>United Kingdom House of Lords</x:v>
      </x:c>
      <x:c r="H628" s="9" t="str">
        <x:v>House of Lords</x:v>
      </x:c>
      <x:c r="I628" s="9" t="str">
        <x:v>UK</x:v>
      </x:c>
      <x:c r="J628" s="9" t="str">
        <x:v>Commercial Law</x:v>
      </x:c>
      <x:c r="K628" s="9" t="str">
        <x:v>PT_UKHL_2009_38.xml</x:v>
      </x:c>
      <x:c r="L628" s="9" t="str">
        <x:v>TBA</x:v>
      </x:c>
    </x:row>
    <x:row r="629">
      <x:c r="A629" t="str">
        <x:v>87efb8fd-5052-4137-9d1a-fddbb3c2f70e</x:v>
      </x:c>
      <x:c r="B629" t="str">
        <x:v>d4b0ad0e-9866-4ae4-91ce-0eeb209c31d0</x:v>
      </x:c>
      <x:c r="C629" s="9" t="str">
        <x:v>Chartwell Estate Agents Ltd v Fergies Properties SA &amp; Anor</x:v>
      </x:c>
      <x:c r="D629" s="9" t="str"/>
      <x:c r="E629" s="9" t="str"/>
      <x:c r="F629" s="13" t="str">
        <x:v>2014</x:v>
      </x:c>
      <x:c r="G629" s="9" t="str">
        <x:v>England and Wales Court of Appeal (Civil Division)</x:v>
      </x:c>
      <x:c r="H629" s="9" t="str">
        <x:v>Appellate</x:v>
      </x:c>
      <x:c r="I629" s="9" t="str">
        <x:v>England and Wales</x:v>
      </x:c>
      <x:c r="J629" s="9" t="str">
        <x:v>Civil Procedure</x:v>
      </x:c>
      <x:c r="K629" s="9" t="str">
        <x:v>-ew-cases-EWCA-Civ-2014-506.xml</x:v>
      </x:c>
      <x:c r="L629" s="9" t="str">
        <x:v>TBA</x:v>
      </x:c>
    </x:row>
    <x:row r="630">
      <x:c r="A630" t="str">
        <x:v>13aa1269-6e05-4c45-a046-a3fd0d9e2213</x:v>
      </x:c>
      <x:c r="B630" t="str">
        <x:v>d981d671-558c-4e39-9bef-d4b77fbe1f92</x:v>
      </x:c>
      <x:c r="C630" s="9" t="str">
        <x:v>Cheema v Jones &amp; Ors [2017] EWCA Civ 1706</x:v>
      </x:c>
      <x:c r="D630" s="9" t="str"/>
      <x:c r="E630" s="9" t="str"/>
      <x:c r="F630" s="13" t="str">
        <x:v>2017</x:v>
      </x:c>
      <x:c r="G630" s="9" t="str">
        <x:v>England and Wales Court of Appeal (Civil Division)</x:v>
      </x:c>
      <x:c r="H630" s="9" t="str">
        <x:v>Appellate</x:v>
      </x:c>
      <x:c r="I630" s="9" t="str">
        <x:v>England and Wales</x:v>
      </x:c>
      <x:c r="J630" s="9" t="str">
        <x:v>Partnership Dispute</x:v>
      </x:c>
      <x:c r="K630" s="9" t="str">
        <x:v>-ew-cases-EWCA-Civ-2017-1706.xml</x:v>
      </x:c>
      <x:c r="L630" s="9" t="str">
        <x:v>TBA</x:v>
      </x:c>
    </x:row>
    <x:row r="631">
      <x:c r="A631" t="str">
        <x:v>d8deaaf5-ed40-4c3d-afbe-ad6415537482</x:v>
      </x:c>
      <x:c r="B631" t="str">
        <x:v>46b17d91-ec83-40ce-a347-89574837b364</x:v>
      </x:c>
      <x:c r="C631" s="9" t="str">
        <x:v>Chelfat v Hutchinson 3G UK Limited [2022] EWCA Civ 455</x:v>
      </x:c>
      <x:c r="D631" s="9" t="str"/>
      <x:c r="E631" s="9" t="str"/>
      <x:c r="F631" s="13" t="str">
        <x:v>2022</x:v>
      </x:c>
      <x:c r="G631" s="9" t="str">
        <x:v>England and Wales Court of Appeal (Civil Division)</x:v>
      </x:c>
      <x:c r="H631" s="9" t="str">
        <x:v>Court of Appeal (Civil Division)</x:v>
      </x:c>
      <x:c r="I631" s="9" t="str">
        <x:v>England and Wales</x:v>
      </x:c>
      <x:c r="J631" s="9" t="str">
        <x:v>Civil Procedure / Limitation / Jurisdiction</x:v>
      </x:c>
      <x:c r="K631" s="9" t="str">
        <x:v>ew-cases-EWCA-Civ-2022-455.xml</x:v>
      </x:c>
      <x:c r="L631" s="9" t="str">
        <x:v>TBA</x:v>
      </x:c>
    </x:row>
    <x:row r="632">
      <x:c r="A632" t="str">
        <x:v>412d6b51-cc59-4fd0-ae3c-385dbf4a9ad0</x:v>
      </x:c>
      <x:c r="B632" t="str">
        <x:v>b8b4b1a4-5b65-4118-b5af-abda475f627d</x:v>
      </x:c>
      <x:c r="C632" s="9" t="str">
        <x:v>Chell v Tarmac Cement And Lime Limited [2022] EWCA Civ 7</x:v>
      </x:c>
      <x:c r="D632" s="9" t="str"/>
      <x:c r="E632" s="9" t="str"/>
      <x:c r="F632" s="13" t="str">
        <x:v>2022</x:v>
      </x:c>
      <x:c r="G632" s="9" t="str">
        <x:v>England and Wales Court of Appeal (Civil Division)</x:v>
      </x:c>
      <x:c r="H632" s="9" t="str">
        <x:v>Court of Appeal (Civil Division)</x:v>
      </x:c>
      <x:c r="I632" s="9" t="str">
        <x:v>England and Wales</x:v>
      </x:c>
      <x:c r="J632" s="9" t="str">
        <x:v>Tort Law – Vicarious Liability</x:v>
      </x:c>
      <x:c r="K632" s="9" t="str">
        <x:v>ew-cases-EWCA-Civ-2022-7.xml</x:v>
      </x:c>
      <x:c r="L632" s="9" t="str">
        <x:v>TBA</x:v>
      </x:c>
    </x:row>
    <x:row r="633">
      <x:c r="A633" t="str">
        <x:v>80f38ac4-b8ac-41b5-8cfd-275371435eb8</x:v>
      </x:c>
      <x:c r="B633" t="str">
        <x:v>88f32a97-f90e-4b37-84c2-084f427a123d</x:v>
      </x:c>
      <x:c r="C633" s="9" t="str">
        <x:v>Chelluri v Air India Ltd [2021] EWCA Civ 1953</x:v>
      </x:c>
      <x:c r="D633" s="9" t="str"/>
      <x:c r="E633" s="9" t="str"/>
      <x:c r="F633" s="13" t="str">
        <x:v>2021</x:v>
      </x:c>
      <x:c r="G633" s="9" t="str">
        <x:v>England and Wales Court of Appeal (Civil Division)</x:v>
      </x:c>
      <x:c r="H633" s="9" t="str">
        <x:v>Appellate</x:v>
      </x:c>
      <x:c r="I633" s="9" t="str">
        <x:v>England and Wales</x:v>
      </x:c>
      <x:c r="J633" s="9" t="str">
        <x:v>Civil Appeals – Aviation Law</x:v>
      </x:c>
      <x:c r="K633" s="9" t="str">
        <x:v>ew-cases-EWCA-Civ-2021-1953.xml</x:v>
      </x:c>
      <x:c r="L633" s="9" t="str">
        <x:v>TBA</x:v>
      </x:c>
    </x:row>
    <x:row r="634">
      <x:c r="A634" t="str">
        <x:v>39ee5124-1f6b-4beb-acfc-6c07f13837bf</x:v>
      </x:c>
      <x:c r="B634" t="str">
        <x:v>8bcfe046-b941-4c02-beff-a777364cdfc9</x:v>
      </x:c>
      <x:c r="C634" s="9" t="str">
        <x:v>Chenembo v London Borough of Lambeth [2014] EWCA Civ 1576</x:v>
      </x:c>
      <x:c r="D634" s="9" t="str"/>
      <x:c r="E634" s="9" t="str"/>
      <x:c r="F634" s="13" t="str">
        <x:v>2014</x:v>
      </x:c>
      <x:c r="G634" s="9" t="str">
        <x:v>England and Wales Court of Appeal (Civil Division)</x:v>
      </x:c>
      <x:c r="H634" s="9" t="str">
        <x:v>Appellate</x:v>
      </x:c>
      <x:c r="I634" s="9" t="str">
        <x:v>England and Wales</x:v>
      </x:c>
      <x:c r="J634" s="9" t="str">
        <x:v>Employment Law</x:v>
      </x:c>
      <x:c r="K634" s="9" t="str">
        <x:v>-ew-cases-EWCA-Civ-2014-1576.xml</x:v>
      </x:c>
      <x:c r="L634" s="9" t="str">
        <x:v>TBA</x:v>
      </x:c>
    </x:row>
    <x:row r="635">
      <x:c r="A635" t="str">
        <x:v>b405fd6a-2e4c-422f-8637-033476602255</x:v>
      </x:c>
      <x:c r="B635" t="str">
        <x:v>f42492fd-8832-4f70-b315-d7597c15a5ef</x:v>
      </x:c>
      <x:c r="C635" s="9" t="str">
        <x:v>Cherkley Campaign Ltd, R (on the application of) v Mole Valley District Council &amp; Anor</x:v>
      </x:c>
      <x:c r="D635" s="9" t="str"/>
      <x:c r="E635" s="9" t="str"/>
      <x:c r="F635" s="13" t="str">
        <x:v>2014</x:v>
      </x:c>
      <x:c r="G635" s="9" t="str">
        <x:v>England and Wales Court of Appeal (Civil Division)</x:v>
      </x:c>
      <x:c r="H635" s="9" t="str">
        <x:v>appellate</x:v>
      </x:c>
      <x:c r="I635" s="9" t="str">
        <x:v>England and Wales</x:v>
      </x:c>
      <x:c r="J635" s="9" t="str">
        <x:v>Administrative Law</x:v>
      </x:c>
      <x:c r="K635" s="9" t="str">
        <x:v>-ew-cases-EWCA-Civ-2014-567.xml</x:v>
      </x:c>
      <x:c r="L635" s="9" t="str">
        <x:v>TBA</x:v>
      </x:c>
    </x:row>
    <x:row r="636">
      <x:c r="A636" t="str">
        <x:v>e08edd1a-1ad6-4740-9d7e-f3cff7208aa9</x:v>
      </x:c>
      <x:c r="B636" t="str">
        <x:v>321f1eb3-a7ee-452d-a5d1-e08732d9ac84</x:v>
      </x:c>
      <x:c r="C636" s="9" t="str">
        <x:v>Cheshire Cavity Storage 1 Limited v HM Revenue &amp; Customs [2022] EWCA Civ 305</x:v>
      </x:c>
      <x:c r="D636" s="9" t="str"/>
      <x:c r="E636" s="9" t="str"/>
      <x:c r="F636" s="13" t="str">
        <x:v>2022</x:v>
      </x:c>
      <x:c r="G636" s="9" t="str">
        <x:v>England and Wales Court of Appeal (Civil Division)</x:v>
      </x:c>
      <x:c r="H636" s="9" t="str">
        <x:v>Court of Appeal (Civil Division)</x:v>
      </x:c>
      <x:c r="I636" s="9" t="str">
        <x:v>England and Wales</x:v>
      </x:c>
      <x:c r="J636" s="9" t="str">
        <x:v>Tax Law - Capital Allowances</x:v>
      </x:c>
      <x:c r="K636" s="9" t="str">
        <x:v>ew-cases-EWCA-Civ-2022-305.xml</x:v>
      </x:c>
      <x:c r="L636" s="9" t="str">
        <x:v>TBA</x:v>
      </x:c>
    </x:row>
    <x:row r="637">
      <x:c r="A637" t="str">
        <x:v>87e8995d-a3de-4c08-b0a7-48d035811a4b</x:v>
      </x:c>
      <x:c r="B637" t="str">
        <x:v>8b6843e2-a05d-4712-8f61-9132cd4bb585</x:v>
      </x:c>
      <x:c r="C637" s="9" t="str">
        <x:v>Chesterton Global Ltd &amp; Anor v Nurmohamed &amp; Anor</x:v>
      </x:c>
      <x:c r="D637" s="9" t="str"/>
      <x:c r="E637" s="9" t="str"/>
      <x:c r="F637" s="13" t="str">
        <x:v>2017</x:v>
      </x:c>
      <x:c r="G637" s="9" t="str">
        <x:v>England and Wales Court of Appeal (Civil Division)</x:v>
      </x:c>
      <x:c r="H637" s="9" t="str">
        <x:v>Appellate</x:v>
      </x:c>
      <x:c r="I637" s="9" t="str">
        <x:v>England and Wales</x:v>
      </x:c>
      <x:c r="J637" s="9" t="str">
        <x:v>Employment Law</x:v>
      </x:c>
      <x:c r="K637" s="9" t="str">
        <x:v>-ew-cases-EWCA-Civ-2017-979.xml</x:v>
      </x:c>
      <x:c r="L637" s="9" t="str">
        <x:v>TBA</x:v>
      </x:c>
    </x:row>
    <x:row r="638">
      <x:c r="A638" t="str">
        <x:v>017ae1d9-830c-42c8-868c-c7ab2eba997b</x:v>
      </x:c>
      <x:c r="B638" t="str">
        <x:v>52084c3a-3fc0-4e3b-8b07-635b9b95cef6</x:v>
      </x:c>
      <x:c r="C638" s="9" t="str">
        <x:v>Cheyne Capital (Management) UK (LLP) v Deutsche Trustee Company Ltd [2016] EWCA Civ 743</x:v>
      </x:c>
      <x:c r="D638" s="9" t="str"/>
      <x:c r="E638" s="9" t="str"/>
      <x:c r="F638" s="13" t="str">
        <x:v>2016</x:v>
      </x:c>
      <x:c r="G638" s="9" t="str">
        <x:v>England and Wales Court of Appeal (Civil Division)</x:v>
      </x:c>
      <x:c r="H638" s="9" t="str">
        <x:v>Court of Appeal (Civil Division)</x:v>
      </x:c>
      <x:c r="I638" s="9" t="str">
        <x:v>England and Wales</x:v>
      </x:c>
      <x:c r="J638" s="9" t="str">
        <x:v>Appeal / Contract Interpretation</x:v>
      </x:c>
      <x:c r="K638" s="9" t="str">
        <x:v>-ew-cases-EWCA-Civ-2016-743.xml</x:v>
      </x:c>
      <x:c r="L638" s="9" t="str">
        <x:v>TBA</x:v>
      </x:c>
    </x:row>
    <x:row r="639">
      <x:c r="A639" t="str">
        <x:v>0f240c79-c425-43fe-a2f5-da9d02e77e97</x:v>
      </x:c>
      <x:c r="B639" t="str">
        <x:v>90f5bc68-cc95-4299-a967-d5b2208f47cf</x:v>
      </x:c>
      <x:c r="C639" s="9" t="str">
        <x:v>CHF &amp; Ors, R (On the Application Of) v Newick Church of England Primary School &amp; Anor [2021] EWCA Civ 613</x:v>
      </x:c>
      <x:c r="D639" s="9" t="str"/>
      <x:c r="E639" s="9" t="str"/>
      <x:c r="F639" s="13" t="str">
        <x:v>2021</x:v>
      </x:c>
      <x:c r="G639" s="9" t="str">
        <x:v>England and Wales Court of Appeal (Civil Division)</x:v>
      </x:c>
      <x:c r="H639" s="9" t="str">
        <x:v>Appellate</x:v>
      </x:c>
      <x:c r="I639" s="9" t="str">
        <x:v>England and Wales</x:v>
      </x:c>
      <x:c r="J639" s="9" t="str">
        <x:v>Administrative Law</x:v>
      </x:c>
      <x:c r="K639" s="9" t="str">
        <x:v>ew-cases-EWCA-Civ-2021-613.xml</x:v>
      </x:c>
      <x:c r="L639" s="9" t="str">
        <x:v>TBA</x:v>
      </x:c>
    </x:row>
    <x:row r="640">
      <x:c r="A640" t="str">
        <x:v>e45f3e68-f801-424c-ab9d-d26e9653fa09</x:v>
      </x:c>
      <x:c r="B640" t="str">
        <x:v>12f11c8c-5892-46cb-a173-45b751583529</x:v>
      </x:c>
      <x:c r="C640" s="9" t="str">
        <x:v>Chief Constable of Merseyside Police v McCarthy [2016] EWCA Civ 1257</x:v>
      </x:c>
      <x:c r="D640" s="9" t="str"/>
      <x:c r="E640" s="9" t="str"/>
      <x:c r="F640" s="13" t="str">
        <x:v>2016</x:v>
      </x:c>
      <x:c r="G640" s="9" t="str">
        <x:v>England and Wales Court of Appeal (Civil Division)</x:v>
      </x:c>
      <x:c r="H640" s="9" t="str">
        <x:v>Court of Appeal (Civil Division)</x:v>
      </x:c>
      <x:c r="I640" s="9" t="str">
        <x:v>England and Wales</x:v>
      </x:c>
      <x:c r="J640" s="9" t="str">
        <x:v>Civil Tort – Police Use of Force</x:v>
      </x:c>
      <x:c r="K640" s="9" t="str">
        <x:v>-ew-cases-EWCA-Civ-2016-1257.xml</x:v>
      </x:c>
      <x:c r="L640" s="9" t="str">
        <x:v>TBA</x:v>
      </x:c>
    </x:row>
    <x:row r="641">
      <x:c r="A641" t="str">
        <x:v>7cc3adfc-3134-4596-9e8f-4361b7994c60</x:v>
      </x:c>
      <x:c r="B641" t="str">
        <x:v>6aaf6a8c-1a7d-4c47-91f6-1812ef902e88</x:v>
      </x:c>
      <x:c r="C641" s="9" t="str">
        <x:v>Chief Constable of South Yorkshire Police, R (On the Application Of) v Kelly &amp; Anor</x:v>
      </x:c>
      <x:c r="D641" s="9" t="str"/>
      <x:c r="E641" s="9" t="str"/>
      <x:c r="F641" s="13" t="str">
        <x:v>2021</x:v>
      </x:c>
      <x:c r="G641" s="9" t="str">
        <x:v>England and Wales Court of Appeal (Civil Division)</x:v>
      </x:c>
      <x:c r="H641" s="9" t="str">
        <x:v>Appellate</x:v>
      </x:c>
      <x:c r="I641" s="9" t="str">
        <x:v>England and Wales</x:v>
      </x:c>
      <x:c r="J641" s="9" t="str">
        <x:v>Administrative Law</x:v>
      </x:c>
      <x:c r="K641" s="9" t="str">
        <x:v>ew-cases-EWCA-Civ-2021-1699.xml</x:v>
      </x:c>
      <x:c r="L641" s="9" t="str">
        <x:v>TBA</x:v>
      </x:c>
    </x:row>
    <x:row r="642">
      <x:c r="A642" t="str">
        <x:v>594f210f-a8b1-4466-84f2-79c643ba35dd</x:v>
      </x:c>
      <x:c r="B642" t="str">
        <x:v>35a9e4c7-94b1-43d4-9c04-ae730d77611b</x:v>
      </x:c>
      <x:c r="C642" s="9" t="str">
        <x:v>Chief Inspector of Education, Children's Services and Skills v The Interim Executive Board of Al-Hijrah School</x:v>
      </x:c>
      <x:c r="D642" s="9" t="str"/>
      <x:c r="E642" s="9" t="str"/>
      <x:c r="F642" s="13" t="str">
        <x:v>2017</x:v>
      </x:c>
      <x:c r="G642" s="9" t="str">
        <x:v>England and Wales Court of Appeal (Civil Division)</x:v>
      </x:c>
      <x:c r="H642" s="9" t="str">
        <x:v>Appellate</x:v>
      </x:c>
      <x:c r="I642" s="9" t="str">
        <x:v>England and Wales</x:v>
      </x:c>
      <x:c r="J642" s="9" t="str">
        <x:v>Education Law</x:v>
      </x:c>
      <x:c r="K642" s="9" t="str">
        <x:v>-ew-cases-EWCA-Civ-2017-1787.xml</x:v>
      </x:c>
      <x:c r="L642" s="9" t="str">
        <x:v>TBA</x:v>
      </x:c>
    </x:row>
    <x:row r="643">
      <x:c r="A643" t="str">
        <x:v>a400aa44-0329-4fa4-8614-ba6fa67712d3</x:v>
      </x:c>
      <x:c r="B643" t="str">
        <x:v>fbee7694-8af8-421a-91b2-aab17efa753b</x:v>
      </x:c>
      <x:c r="C643" s="9" t="str">
        <x:v>Chief Inspector of Education, Children's Services and Skills v The Interim Executive Board of Al-Hijrah School</x:v>
      </x:c>
      <x:c r="D643" s="9" t="str"/>
      <x:c r="E643" s="9" t="str"/>
      <x:c r="F643" s="13" t="str">
        <x:v>2017</x:v>
      </x:c>
      <x:c r="G643" s="9" t="str">
        <x:v>England and Wales Court of Appeal (Civil Division)</x:v>
      </x:c>
      <x:c r="H643" s="9" t="str">
        <x:v>Appellate</x:v>
      </x:c>
      <x:c r="I643" s="9" t="str">
        <x:v>England and Wales</x:v>
      </x:c>
      <x:c r="J643" s="9" t="str">
        <x:v>Administrative Law</x:v>
      </x:c>
      <x:c r="K643" s="9" t="str">
        <x:v>-ew-cases-EWCA-Civ-2017-1426.xml</x:v>
      </x:c>
      <x:c r="L643" s="9" t="str">
        <x:v>TBA</x:v>
      </x:c>
    </x:row>
    <x:row r="644">
      <x:c r="A644" t="str">
        <x:v>70848d0a-a807-4103-b138-b53c786993c8</x:v>
      </x:c>
      <x:c r="B644" t="str">
        <x:v>48712729-9a1b-4432-8f48-f5d5ad2ab7af</x:v>
      </x:c>
      <x:c r="C644" s="9" t="str">
        <x:v>Chinnock v Wasbrough &amp; Anor [2015] EWCA Civ 441</x:v>
      </x:c>
      <x:c r="D644" s="9" t="str"/>
      <x:c r="E644" s="9" t="str"/>
      <x:c r="F644" s="13" t="str">
        <x:v>2015</x:v>
      </x:c>
      <x:c r="G644" s="9" t="str">
        <x:v>England and Wales Court of Appeal (Civil Division)</x:v>
      </x:c>
      <x:c r="H644" s="9" t="str">
        <x:v>Appellate</x:v>
      </x:c>
      <x:c r="I644" s="9" t="str">
        <x:v>England</x:v>
      </x:c>
      <x:c r="J644" s="9" t="str">
        <x:v>Professional Negligence</x:v>
      </x:c>
      <x:c r="K644" s="9" t="str">
        <x:v>-ew-cases-EWCA-Civ-2015-441.xml</x:v>
      </x:c>
      <x:c r="L644" s="9" t="str">
        <x:v>TBA</x:v>
      </x:c>
    </x:row>
    <x:row r="645">
      <x:c r="A645" t="str">
        <x:v>3650eed1-0aae-4f0f-b1d2-2e91ecbf4480</x:v>
      </x:c>
      <x:c r="B645" t="str">
        <x:v>deb3aa71-dae8-4062-b047-4382b5d14792</x:v>
      </x:c>
      <x:c r="C645" s="9" t="str">
        <x:v>Chirairo, R (on the application of) v Secretary of State for the Home Department [2016] EWCA Civ 77</x:v>
      </x:c>
      <x:c r="D645" s="9" t="str"/>
      <x:c r="E645" s="9" t="str"/>
      <x:c r="F645" s="13" t="str">
        <x:v>2016</x:v>
      </x:c>
      <x:c r="G645" s="9" t="str">
        <x:v>England and Wales Court of Appeal (Civil Division)</x:v>
      </x:c>
      <x:c r="H645" s="9" t="str">
        <x:v>Court of Appeal (Civil Division)</x:v>
      </x:c>
      <x:c r="I645" s="9" t="str">
        <x:v>England and Wales</x:v>
      </x:c>
      <x:c r="J645" s="9" t="str">
        <x:v>Administrative Law; Immigration Law</x:v>
      </x:c>
      <x:c r="K645" s="9" t="str">
        <x:v>-ew-cases-EWCA-Civ-2016-77.xml</x:v>
      </x:c>
      <x:c r="L645" s="9" t="str">
        <x:v>TBA</x:v>
      </x:c>
    </x:row>
    <x:row r="646">
      <x:c r="A646" t="str">
        <x:v>8b2fc41e-1af4-4b0f-8d1b-b80f9e8e4da1</x:v>
      </x:c>
      <x:c r="B646" t="str">
        <x:v>f003fe71-66e2-47ca-a145-653af5a320ad</x:v>
      </x:c>
      <x:c r="C646" s="9" t="str">
        <x:v>Chisese v Eze [2016] EWCA Civ 1240</x:v>
      </x:c>
      <x:c r="D646" s="9" t="str"/>
      <x:c r="E646" s="9" t="str"/>
      <x:c r="F646" s="13" t="str">
        <x:v>2016</x:v>
      </x:c>
      <x:c r="G646" s="9" t="str">
        <x:v>England and Wales Court of Appeal (Civil Division)</x:v>
      </x:c>
      <x:c r="H646" s="9" t="str">
        <x:v>Court of Appeal (Civil Division)</x:v>
      </x:c>
      <x:c r="I646" s="9" t="str">
        <x:v>England and Wales</x:v>
      </x:c>
      <x:c r="J646" s="9" t="str">
        <x:v>Civil Appeal</x:v>
      </x:c>
      <x:c r="K646" s="9" t="str">
        <x:v>-ew-cases-EWCA-Civ-2016-1240.xml</x:v>
      </x:c>
      <x:c r="L646" s="9" t="str">
        <x:v>TBA</x:v>
      </x:c>
    </x:row>
    <x:row r="647">
      <x:c r="A647" t="str">
        <x:v>61ee8c71-6d2a-436a-b508-89c7258f6957</x:v>
      </x:c>
      <x:c r="B647" t="str">
        <x:v>cc853d79-8764-4318-a98e-f44d1ff24ea3</x:v>
      </x:c>
      <x:c r="C647" s="9" t="str">
        <x:v>Chiva v Chiva [2014] EWCA Civ 1558</x:v>
      </x:c>
      <x:c r="D647" s="9" t="str"/>
      <x:c r="E647" s="9" t="str"/>
      <x:c r="F647" s="13" t="str">
        <x:v>2014</x:v>
      </x:c>
      <x:c r="G647" s="9" t="str">
        <x:v>England and Wales Court of Appeal (Civil Division)</x:v>
      </x:c>
      <x:c r="H647" s="9" t="str">
        <x:v>Appellate</x:v>
      </x:c>
      <x:c r="I647" s="9" t="str">
        <x:v>England and Wales</x:v>
      </x:c>
      <x:c r="J647" s="9" t="str">
        <x:v>Family Law</x:v>
      </x:c>
      <x:c r="K647" s="9" t="str">
        <x:v>-ew-cases-EWCA-Civ-2014-1558.xml</x:v>
      </x:c>
      <x:c r="L647" s="9" t="str">
        <x:v>TBA</x:v>
      </x:c>
    </x:row>
    <x:row r="648">
      <x:c r="A648" t="str">
        <x:v>ff5ebede-21e9-4df3-a1ae-a3385923b10b</x:v>
      </x:c>
      <x:c r="B648" t="str">
        <x:v>3a52610a-a0e1-40ad-8c8e-c887003fb6e5</x:v>
      </x:c>
      <x:c r="C648" s="9" t="str">
        <x:v>Chowdhury Mueen-Uddin v Secretary of State for the Home Department [2022] EWCA Civ 1073</x:v>
      </x:c>
      <x:c r="D648" s="9" t="str"/>
      <x:c r="E648" s="9" t="str"/>
      <x:c r="F648" s="13" t="str">
        <x:v>2022</x:v>
      </x:c>
      <x:c r="G648" s="9" t="str">
        <x:v>England and Wales Court of Appeal (Civil Division)</x:v>
      </x:c>
      <x:c r="H648" s="9" t="str">
        <x:v>Court of Appeal (Civil Division)</x:v>
      </x:c>
      <x:c r="I648" s="9" t="str">
        <x:v>England and Wales</x:v>
      </x:c>
      <x:c r="J648" s="9" t="str">
        <x:v>Civil - Defamation; Data Protection; Abuse of Process; Appellate Decision</x:v>
      </x:c>
      <x:c r="K648" s="9" t="str">
        <x:v>ew-cases-EWCA-Civ-2022-1073.xml</x:v>
      </x:c>
      <x:c r="L648" s="9" t="str">
        <x:v>TBA</x:v>
      </x:c>
    </x:row>
    <x:row r="649">
      <x:c r="A649" t="str">
        <x:v>7a3b1497-b531-4585-b2d0-0bdff6c21bfc</x:v>
      </x:c>
      <x:c r="B649" t="str">
        <x:v>afa5e7a2-695a-454d-bf52-ec07e4bcecdf</x:v>
      </x:c>
      <x:c r="C649" s="9" t="str">
        <x:v>Chowdhury v Secretary of State for the Home Department</x:v>
      </x:c>
      <x:c r="D649" s="9" t="str"/>
      <x:c r="E649" s="9" t="str"/>
      <x:c r="F649" s="13" t="str">
        <x:v>2021</x:v>
      </x:c>
      <x:c r="G649" s="9" t="str">
        <x:v>England and Wales Court of Appeal (Civil Division)</x:v>
      </x:c>
      <x:c r="H649" s="9" t="str">
        <x:v>Appellate</x:v>
      </x:c>
      <x:c r="I649" s="9" t="str">
        <x:v>England and Wales</x:v>
      </x:c>
      <x:c r="J649" s="9" t="str">
        <x:v>Immigration Law</x:v>
      </x:c>
      <x:c r="K649" s="9" t="str">
        <x:v>ew-cases-EWCA-Civ-2021-1220.xml</x:v>
      </x:c>
      <x:c r="L649" s="9" t="str">
        <x:v>TBA</x:v>
      </x:c>
    </x:row>
    <x:row r="650">
      <x:c r="A650" t="str">
        <x:v>6a72af3e-8fc4-4d2a-beff-f23f828aa525</x:v>
      </x:c>
      <x:c r="B650" t="str">
        <x:v>ed70a00e-07d1-4bcc-ba19-9b0291138789</x:v>
      </x:c>
      <x:c r="C650" s="9" t="str">
        <x:v>Christian v South East London And Kent Bus Company [2014] EWCA Civ 944</x:v>
      </x:c>
      <x:c r="D650" s="9" t="str"/>
      <x:c r="E650" s="9" t="str"/>
      <x:c r="F650" s="13" t="str">
        <x:v>2014</x:v>
      </x:c>
      <x:c r="G650" s="9" t="str">
        <x:v>England and Wales Court of Appeal (Civil Division)</x:v>
      </x:c>
      <x:c r="H650" s="9" t="str">
        <x:v>Appellate</x:v>
      </x:c>
      <x:c r="I650" s="9" t="str">
        <x:v>England and Wales</x:v>
      </x:c>
      <x:c r="J650" s="9" t="str">
        <x:v>Tort</x:v>
      </x:c>
      <x:c r="K650" s="9" t="str">
        <x:v>-ew-cases-EWCA-Civ-2014-944.xml</x:v>
      </x:c>
      <x:c r="L650" s="9" t="str">
        <x:v>TBA</x:v>
      </x:c>
    </x:row>
    <x:row r="651">
      <x:c r="A651" t="str">
        <x:v>cef47f27-1046-419f-b83f-c78d0c575f5e</x:v>
      </x:c>
      <x:c r="B651" t="str">
        <x:v>3c1e2647-7360-438a-8d22-07a0aabde0d4</x:v>
      </x:c>
      <x:c r="C651" s="9" t="str">
        <x:v>Christiana Properties Ltd v Annauth [2017] EWCA Civ 1070</x:v>
      </x:c>
      <x:c r="D651" s="9" t="str"/>
      <x:c r="E651" s="9" t="str"/>
      <x:c r="F651" s="13" t="str">
        <x:v>2017</x:v>
      </x:c>
      <x:c r="G651" s="9" t="str">
        <x:v>England and Wales Court of Appeal (Civil Division)</x:v>
      </x:c>
      <x:c r="H651" s="9" t="str">
        <x:v>Appellate</x:v>
      </x:c>
      <x:c r="I651" s="9" t="str">
        <x:v>England and Wales</x:v>
      </x:c>
      <x:c r="J651" s="9" t="str">
        <x:v>Contract Dispute</x:v>
      </x:c>
      <x:c r="K651" s="9" t="str">
        <x:v>-ew-cases-EWCA-Civ-2017-1070.xml</x:v>
      </x:c>
      <x:c r="L651" s="9" t="str">
        <x:v>TBA</x:v>
      </x:c>
    </x:row>
    <x:row r="652">
      <x:c r="A652" t="str">
        <x:v>f0f1a535-47a9-4a69-bdf6-791e6386de95</x:v>
      </x:c>
      <x:c r="B652" t="str">
        <x:v>fd997e28-b069-46ab-9295-08f8d3187c0f</x:v>
      </x:c>
      <x:c r="C652" s="9" t="str">
        <x:v>Christofi v National Bank of Greece (Cyprus) Limited [2016] EWCA Civ 304</x:v>
      </x:c>
      <x:c r="D652" s="9" t="str"/>
      <x:c r="E652" s="9" t="str"/>
      <x:c r="F652" s="13" t="str">
        <x:v>2016</x:v>
      </x:c>
      <x:c r="G652" s="9" t="str">
        <x:v>England and Wales Court of Appeal (Civil Division)</x:v>
      </x:c>
      <x:c r="H652" s="9" t="str">
        <x:v>Court of Appeal (Civil Division)</x:v>
      </x:c>
      <x:c r="I652" s="9" t="str">
        <x:v>England and Wales</x:v>
      </x:c>
      <x:c r="J652" s="9" t="str">
        <x:v>Appeal / Civil Procedure</x:v>
      </x:c>
      <x:c r="K652" s="9" t="str">
        <x:v>-ew-cases-EWCA-Civ-2016-304.xml</x:v>
      </x:c>
      <x:c r="L652" s="9" t="str">
        <x:v>TBA</x:v>
      </x:c>
    </x:row>
    <x:row r="653">
      <x:c r="A653" t="str">
        <x:v>7bf1d32d-184f-451a-b9ae-1f063bb0b658</x:v>
      </x:c>
      <x:c r="B653" t="str">
        <x:v>ba7ce78d-1e86-454d-aa8d-c18eb6774b2f</x:v>
      </x:c>
      <x:c r="C653" s="9" t="str">
        <x:v>Chuan-Hui &amp; Ors v K Group Holdings Inc &amp; Ors</x:v>
      </x:c>
      <x:c r="D653" s="9" t="str"/>
      <x:c r="E653" s="9" t="str"/>
      <x:c r="F653" s="13" t="str">
        <x:v>2021</x:v>
      </x:c>
      <x:c r="G653" s="9" t="str">
        <x:v>England and Wales Court of Appeal (Civil Division)</x:v>
      </x:c>
      <x:c r="H653" s="9" t="str">
        <x:v>Appellate</x:v>
      </x:c>
      <x:c r="I653" s="9" t="str">
        <x:v>England and Wales</x:v>
      </x:c>
      <x:c r="J653" s="9" t="str">
        <x:v>Landlord and Tenant</x:v>
      </x:c>
      <x:c r="K653" s="9" t="str">
        <x:v>ew-cases-EWCA-Civ-2021-403.xml</x:v>
      </x:c>
      <x:c r="L653" s="9" t="str">
        <x:v>TBA</x:v>
      </x:c>
    </x:row>
    <x:row r="654">
      <x:c r="A654" t="str">
        <x:v>2f633863-f0fc-4c90-bdb0-594358b1b978</x:v>
      </x:c>
      <x:c r="B654" t="str">
        <x:v>def1016e-7d1a-4a7b-8275-5a13d97cdaaa</x:v>
      </x:c>
      <x:c r="C654" s="9" t="str">
        <x:v>Church Commissioners for England v Hampshire County Council &amp; Anor</x:v>
      </x:c>
      <x:c r="D654" s="9" t="str"/>
      <x:c r="E654" s="9" t="str"/>
      <x:c r="F654" s="13" t="str">
        <x:v>2014</x:v>
      </x:c>
      <x:c r="G654" s="9" t="str">
        <x:v>England and Wales Court of Appeal (Civil Division)</x:v>
      </x:c>
      <x:c r="H654" s="9" t="str">
        <x:v>Appellate</x:v>
      </x:c>
      <x:c r="I654" s="9" t="str">
        <x:v>England</x:v>
      </x:c>
      <x:c r="J654" s="9" t="str">
        <x:v>Administrative Law</x:v>
      </x:c>
      <x:c r="K654" s="9" t="str">
        <x:v>-ew-cases-EWCA-Civ-2014-634.xml</x:v>
      </x:c>
      <x:c r="L654" s="9" t="str">
        <x:v>TBA</x:v>
      </x:c>
    </x:row>
    <x:row r="655">
      <x:c r="A655" t="str">
        <x:v>a567701c-9880-44eb-9af4-dd470dfc7be9</x:v>
      </x:c>
      <x:c r="B655" t="str">
        <x:v>565f5e91-7c54-4337-a905-cf672da54e73</x:v>
      </x:c>
      <x:c r="C655" s="9" t="str">
        <x:v>Ciftci v London Borough of Haringey</x:v>
      </x:c>
      <x:c r="D655" s="9" t="str"/>
      <x:c r="E655" s="9" t="str"/>
      <x:c r="F655" s="13" t="str">
        <x:v>2021</x:v>
      </x:c>
      <x:c r="G655" s="9" t="str">
        <x:v>England and Wales Court of Appeal (Civil Division)</x:v>
      </x:c>
      <x:c r="H655" s="9" t="str">
        <x:v>Appellate</x:v>
      </x:c>
      <x:c r="I655" s="9" t="str">
        <x:v>England and Wales</x:v>
      </x:c>
      <x:c r="J655" s="9" t="str">
        <x:v>Housing Law</x:v>
      </x:c>
      <x:c r="K655" s="9" t="str">
        <x:v>ew-cases-EWCA-Civ-2021-1772.xml</x:v>
      </x:c>
      <x:c r="L655" s="9" t="str">
        <x:v>TBA</x:v>
      </x:c>
    </x:row>
    <x:row r="656">
      <x:c r="A656" t="str">
        <x:v>9d00d3b2-f745-493d-9ef2-c1fe056f5c90</x:v>
      </x:c>
      <x:c r="B656" t="str">
        <x:v>7c89e103-c6a4-49d4-8f4f-983f4c2be0b4</x:v>
      </x:c>
      <x:c r="C656" s="9" t="str">
        <x:v>CitizenM LND St Paul's Properties B.V. v Chil Limited [2016] EWCA Civ 771</x:v>
      </x:c>
      <x:c r="D656" s="9" t="str"/>
      <x:c r="E656" s="9" t="str"/>
      <x:c r="F656" s="13" t="str">
        <x:v>2016</x:v>
      </x:c>
      <x:c r="G656" s="9" t="str">
        <x:v>England and Wales Court of Appeal (Civil Division)</x:v>
      </x:c>
      <x:c r="H656" s="9" t="str">
        <x:v>Court of Appeal (Civil Division)</x:v>
      </x:c>
      <x:c r="I656" s="9" t="str">
        <x:v>England and Wales</x:v>
      </x:c>
      <x:c r="J656" s="9" t="str">
        <x:v>Contract interpretation; Joint venture and partnership governance; Corporate law</x:v>
      </x:c>
      <x:c r="K656" s="9" t="str">
        <x:v>-ew-cases-EWCA-Civ-2016-771.xml</x:v>
      </x:c>
      <x:c r="L656" s="9" t="str">
        <x:v>TBA</x:v>
      </x:c>
    </x:row>
    <x:row r="657">
      <x:c r="A657" t="str">
        <x:v>9e36344d-7b0e-4222-ae6c-f9a6ddf421d2</x:v>
      </x:c>
      <x:c r="B657" t="str">
        <x:v>d78bedff-5659-4714-8157-cb5a2eef8f42</x:v>
      </x:c>
      <x:c r="C657" s="9" t="str">
        <x:v>Citizens UK, R (On the Application Of) v Secretary of State for the Home Department</x:v>
      </x:c>
      <x:c r="D657" s="9" t="str"/>
      <x:c r="E657" s="9" t="str"/>
      <x:c r="F657" s="13" t="str">
        <x:v>2018</x:v>
      </x:c>
      <x:c r="G657" s="9" t="str">
        <x:v>England and Wales Court of Appeal (Civil Division)</x:v>
      </x:c>
      <x:c r="H657" s="9" t="str">
        <x:v>Appellate</x:v>
      </x:c>
      <x:c r="I657" s="9" t="str">
        <x:v>England and Wales</x:v>
      </x:c>
      <x:c r="J657" s="9" t="str">
        <x:v>Administrative Law</x:v>
      </x:c>
      <x:c r="K657" s="9" t="str">
        <x:v>PT_EWCA-Civ_2018_1812.xml</x:v>
      </x:c>
      <x:c r="L657" s="9" t="str">
        <x:v>TBA</x:v>
      </x:c>
    </x:row>
    <x:row r="658">
      <x:c r="A658" t="str">
        <x:v>6bfb726d-b5a6-478b-928e-c4bbadb00f02</x:v>
      </x:c>
      <x:c r="B658" t="str">
        <x:v>32e27f71-a09e-47e4-93c6-ef2574a5897d</x:v>
      </x:c>
      <x:c r="C658" s="9" t="str">
        <x:v>City &amp; Country Bramshill Ltd v Secretary of State for Housing, Communities and Local Government</x:v>
      </x:c>
      <x:c r="D658" s="9" t="str"/>
      <x:c r="E658" s="9" t="str"/>
      <x:c r="F658" s="13" t="str">
        <x:v>2021</x:v>
      </x:c>
      <x:c r="G658" s="9" t="str">
        <x:v>England and Wales Court of Appeal (Civil Division)</x:v>
      </x:c>
      <x:c r="H658" s="9" t="str">
        <x:v>Appellate</x:v>
      </x:c>
      <x:c r="I658" s="9" t="str">
        <x:v>England and Wales</x:v>
      </x:c>
      <x:c r="J658" s="9" t="str">
        <x:v>Administrative Law</x:v>
      </x:c>
      <x:c r="K658" s="9" t="str">
        <x:v>ew-cases-EWCA-Civ-2021-320.xml</x:v>
      </x:c>
      <x:c r="L658" s="9" t="str">
        <x:v>TBA</x:v>
      </x:c>
    </x:row>
    <x:row r="659">
      <x:c r="A659" t="str">
        <x:v>66bafbee-302e-4d04-92d6-6a24b96e09c3</x:v>
      </x:c>
      <x:c r="B659" t="str">
        <x:v>88042e1c-e857-4c03-9860-d22ccdb0a678</x:v>
      </x:c>
      <x:c r="C659" s="9" t="str">
        <x:v>City of London Police v Geldart [2021] EWCA Civ 611</x:v>
      </x:c>
      <x:c r="D659" s="9" t="str"/>
      <x:c r="E659" s="9" t="str"/>
      <x:c r="F659" s="13" t="str">
        <x:v>2021</x:v>
      </x:c>
      <x:c r="G659" s="9" t="str">
        <x:v>England and Wales Court of Appeal (Civil Division)</x:v>
      </x:c>
      <x:c r="H659" s="9" t="str">
        <x:v>Appellate</x:v>
      </x:c>
      <x:c r="I659" s="9" t="str">
        <x:v>England and Wales</x:v>
      </x:c>
      <x:c r="J659" s="9" t="str">
        <x:v>Discrimination</x:v>
      </x:c>
      <x:c r="K659" s="9" t="str">
        <x:v>ew-cases-EWCA-Civ-2021-611.xml</x:v>
      </x:c>
      <x:c r="L659" s="9" t="str">
        <x:v>TBA</x:v>
      </x:c>
    </x:row>
    <x:row r="660">
      <x:c r="A660" t="str">
        <x:v>9bbf9cbd-000a-4101-9c69-ad5324581546</x:v>
      </x:c>
      <x:c r="B660" t="str">
        <x:v>c266392d-1ded-4257-ba06-d8dc50a1f171</x:v>
      </x:c>
      <x:c r="C660" s="9" t="str">
        <x:v>City of London v Various Leaseholders of Great Arthur House [2021] EWCA Civ 431</x:v>
      </x:c>
      <x:c r="D660" s="9" t="str"/>
      <x:c r="E660" s="9" t="str"/>
      <x:c r="F660" s="13" t="str">
        <x:v>2021</x:v>
      </x:c>
      <x:c r="G660" s="9" t="str">
        <x:v>England and Wales Court of Appeal (Civil Division)</x:v>
      </x:c>
      <x:c r="H660" s="9" t="str">
        <x:v>Appellate</x:v>
      </x:c>
      <x:c r="I660" s="9" t="str">
        <x:v>England and Wales</x:v>
      </x:c>
      <x:c r="J660" s="9" t="str">
        <x:v>Property Law</x:v>
      </x:c>
      <x:c r="K660" s="9" t="str">
        <x:v>ew-cases-EWCA-Civ-2021-431.xml</x:v>
      </x:c>
      <x:c r="L660" s="9" t="str">
        <x:v>TBA</x:v>
      </x:c>
    </x:row>
    <x:row r="661">
      <x:c r="A661" t="str">
        <x:v>3b0861d3-d548-4a4e-b4af-f2e9054d8de6</x:v>
      </x:c>
      <x:c r="B661" t="str">
        <x:v>78cb8e16-892a-4804-888a-a21e30db23c3</x:v>
      </x:c>
      <x:c r="C661" s="9" t="str">
        <x:v>City West Housing Trust v Massey [2016] EWCA Civ 704</x:v>
      </x:c>
      <x:c r="D661" s="9" t="str"/>
      <x:c r="E661" s="9" t="str"/>
      <x:c r="F661" s="13" t="str">
        <x:v>2016</x:v>
      </x:c>
      <x:c r="G661" s="9" t="str">
        <x:v>England and Wales Court of Appeal (Civil Division)</x:v>
      </x:c>
      <x:c r="H661" s="9" t="str">
        <x:v>Court of Appeal (Civil Division)</x:v>
      </x:c>
      <x:c r="I661" s="9" t="str">
        <x:v>England and Wales</x:v>
      </x:c>
      <x:c r="J661" s="9" t="str">
        <x:v>Landlord-Tenant Disputes (Housing)</x:v>
      </x:c>
      <x:c r="K661" s="9" t="str">
        <x:v>-ew-cases-EWCA-Civ-2016-704.xml</x:v>
      </x:c>
      <x:c r="L661" s="9" t="str">
        <x:v>TBA</x:v>
      </x:c>
    </x:row>
    <x:row r="662">
      <x:c r="A662" t="str">
        <x:v>6b488ef3-5be7-4cc6-a572-56f47a8f3c26</x:v>
      </x:c>
      <x:c r="B662" t="str">
        <x:v>e24bf0f8-bf81-48ec-8e73-263be488038d</x:v>
      </x:c>
      <x:c r="C662" s="9" t="str">
        <x:v>Civic Environmental Systems Ltd v Revenue And Customs</x:v>
      </x:c>
      <x:c r="D662" s="9" t="str"/>
      <x:c r="E662" s="9" t="str"/>
      <x:c r="F662" s="13" t="str">
        <x:v>2023</x:v>
      </x:c>
      <x:c r="G662" s="9" t="str">
        <x:v>England and Wales Court of Appeal (Civil Division)</x:v>
      </x:c>
      <x:c r="H662" s="9" t="str">
        <x:v>Court of Appeal (Civil Division)</x:v>
      </x:c>
      <x:c r="I662" s="9" t="str">
        <x:v>England and Wales</x:v>
      </x:c>
      <x:c r="J662" s="9" t="str">
        <x:v>Tax Law</x:v>
      </x:c>
      <x:c r="K662" s="9" t="str">
        <x:v>ew-cases-EWCA-Civ-2023-722.xml</x:v>
      </x:c>
      <x:c r="L662" s="9" t="str">
        <x:v>TBA</x:v>
      </x:c>
    </x:row>
    <x:row r="663">
      <x:c r="A663" t="str">
        <x:v>9986f4e3-7b34-4648-9705-f2aeadbd1df9</x:v>
      </x:c>
      <x:c r="B663" t="str">
        <x:v>3ffcc627-c815-43a7-8335-261e8502917f</x:v>
      </x:c>
      <x:c r="C663" s="9" t="str">
        <x:v>CK (A Child: Fact-Finding) [2022] EWCA Civ 952</x:v>
      </x:c>
      <x:c r="D663" s="9" t="str"/>
      <x:c r="E663" s="9" t="str"/>
      <x:c r="F663" s="13" t="str">
        <x:v>2022</x:v>
      </x:c>
      <x:c r="G663" s="9" t="str">
        <x:v>England and Wales Court of Appeal (Civil Division)</x:v>
      </x:c>
      <x:c r="H663" s="9" t="str">
        <x:v>Appellate (Court of Appeal)</x:v>
      </x:c>
      <x:c r="I663" s="9" t="str">
        <x:v>England and Wales</x:v>
      </x:c>
      <x:c r="J663" s="9" t="str">
        <x:v>Civil procedure/Family law (care proceedings) - appellate review of fact-finding</x:v>
      </x:c>
      <x:c r="K663" s="9" t="str">
        <x:v>ew-cases-EWCA-Civ-2022-952.xml</x:v>
      </x:c>
      <x:c r="L663" s="9" t="str">
        <x:v>TBA</x:v>
      </x:c>
    </x:row>
    <x:row r="664">
      <x:c r="A664" t="str">
        <x:v>35c17314-d416-46ab-a5a8-8a684bbf2296</x:v>
      </x:c>
      <x:c r="B664" t="str">
        <x:v>595bf430-957d-42ea-a199-e38dc24a1bcc</x:v>
      </x:c>
      <x:c r="C664" s="9" t="str">
        <x:v>CK (Afghanistan) &amp; Ors, R (on the application of) v The Secretary of State for the Home Department [2016] EWCA Civ 166</x:v>
      </x:c>
      <x:c r="D664" s="9" t="str"/>
      <x:c r="E664" s="9" t="str"/>
      <x:c r="F664" s="13" t="str">
        <x:v>2016</x:v>
      </x:c>
      <x:c r="G664" s="9" t="str">
        <x:v>England and Wales Court of Appeal (Civil Division)</x:v>
      </x:c>
      <x:c r="H664" s="9" t="str">
        <x:v>Court of Appeal (Civil Division)</x:v>
      </x:c>
      <x:c r="I664" s="9" t="str">
        <x:v>England and Wales</x:v>
      </x:c>
      <x:c r="J664" s="9" t="str">
        <x:v>Administrative Law / Immigration &amp; Refugee Law / Human Rights</x:v>
      </x:c>
      <x:c r="K664" s="9" t="str">
        <x:v>-ew-cases-EWCA-Civ-2016-166.xml</x:v>
      </x:c>
      <x:c r="L664" s="9" t="str">
        <x:v>TBA</x:v>
      </x:c>
    </x:row>
    <x:row r="665">
      <x:c r="A665" t="str">
        <x:v>c52e1b3c-8050-41de-8181-7b0849450788</x:v>
      </x:c>
      <x:c r="B665" t="str">
        <x:v>851d1bae-e32b-4680-91bc-a1f73d756bd2</x:v>
      </x:c>
      <x:c r="C665" s="9" t="str">
        <x:v>CK (Afghanistan) v Secretary of State for the Home Department [2015] EWCA Civ 693</x:v>
      </x:c>
      <x:c r="D665" s="9" t="str"/>
      <x:c r="E665" s="9" t="str"/>
      <x:c r="F665" s="13" t="str">
        <x:v>2015</x:v>
      </x:c>
      <x:c r="G665" s="9" t="str">
        <x:v>England and Wales Court of Appeal (Civil Division)</x:v>
      </x:c>
      <x:c r="H665" s="9" t="str">
        <x:v>Appellate</x:v>
      </x:c>
      <x:c r="I665" s="9" t="str">
        <x:v>England and Wales</x:v>
      </x:c>
      <x:c r="J665" s="9" t="str">
        <x:v>Immigration Law</x:v>
      </x:c>
      <x:c r="K665" s="9" t="str">
        <x:v>-ew-cases-EWCA-Civ-2015-693.xml</x:v>
      </x:c>
      <x:c r="L665" s="9" t="str">
        <x:v>TBA</x:v>
      </x:c>
    </x:row>
    <x:row r="666">
      <x:c r="A666" t="str">
        <x:v>f7d8f12f-d793-45a0-b4a7-c731b191fd65</x:v>
      </x:c>
      <x:c r="B666" t="str">
        <x:v>913440be-f6e1-4184-9c44-bd8c61dd12e9</x:v>
      </x:c>
      <x:c r="C666" s="9" t="str">
        <x:v>Clarence Court Eggs Ltd v Chapman &amp; Anor [2022] EWCA Civ 1681</x:v>
      </x:c>
      <x:c r="D666" s="9" t="str"/>
      <x:c r="E666" s="9" t="str"/>
      <x:c r="F666" s="13" t="str">
        <x:v>2022</x:v>
      </x:c>
      <x:c r="G666" s="9" t="str">
        <x:v>England and Wales Court of Appeal (Civil Division)</x:v>
      </x:c>
      <x:c r="H666" s="9" t="str">
        <x:v>Court of Appeal (Civil Division)</x:v>
      </x:c>
      <x:c r="I666" s="9" t="str">
        <x:v>England and Wales</x:v>
      </x:c>
      <x:c r="J666" s="9" t="str">
        <x:v>Contract/Commercial Remedies under Competition Act 1998 (UK) - Merger remedies and divestiture undertakings; Competition law (SLC remedy)</x:v>
      </x:c>
      <x:c r="K666" s="9" t="str">
        <x:v>ew-cases-EWCA-Civ-2022-1681.xml</x:v>
      </x:c>
      <x:c r="L666" s="9" t="str">
        <x:v>TBA</x:v>
      </x:c>
    </x:row>
    <x:row r="667">
      <x:c r="A667" t="str">
        <x:v>d630d35a-d0da-4570-86f3-73a5b2d8c1ef</x:v>
      </x:c>
      <x:c r="B667" t="str">
        <x:v>cd40e5ad-dc14-42a2-9711-f5eb635dc1d9</x:v>
      </x:c>
      <x:c r="C667" s="9" t="str">
        <x:v>Clarise Properties Ltd v Rees &amp; Anor [2015] EWCA Civ 1118</x:v>
      </x:c>
      <x:c r="D667" s="9" t="str"/>
      <x:c r="E667" s="9" t="str"/>
      <x:c r="F667" s="13" t="str">
        <x:v>2015</x:v>
      </x:c>
      <x:c r="G667" s="9" t="str">
        <x:v>England and Wales Court of Appeal (Civil Division)</x:v>
      </x:c>
      <x:c r="H667" s="9" t="str">
        <x:v>Appellate</x:v>
      </x:c>
      <x:c r="I667" s="9" t="str">
        <x:v>England and Wales</x:v>
      </x:c>
      <x:c r="J667" s="9" t="str">
        <x:v>Property Law</x:v>
      </x:c>
      <x:c r="K667" s="9" t="str">
        <x:v>-ew-cases-EWCA-Civ-2015-1118.xml</x:v>
      </x:c>
      <x:c r="L667" s="9" t="str">
        <x:v>TBA</x:v>
      </x:c>
    </x:row>
    <x:row r="668">
      <x:c r="A668" t="str">
        <x:v>0d755129-ffb5-4670-8b6b-4c5721be49a1</x:v>
      </x:c>
      <x:c r="B668" t="str">
        <x:v>ad4bb845-9cdf-48ea-aa5e-2ff931c86d70</x:v>
      </x:c>
      <x:c r="C668" s="9" t="str">
        <x:v>Clarise Properties Ltd v Rees &amp; Anor [2017] EWCA Civ 1135</x:v>
      </x:c>
      <x:c r="D668" s="9" t="str"/>
      <x:c r="E668" s="9" t="str"/>
      <x:c r="F668" s="13" t="str">
        <x:v>2017</x:v>
      </x:c>
      <x:c r="G668" s="9" t="str">
        <x:v>England and Wales Court of Appeal (Civil Division)</x:v>
      </x:c>
      <x:c r="H668" s="9" t="str">
        <x:v>Appellate</x:v>
      </x:c>
      <x:c r="I668" s="9" t="str">
        <x:v>England and Wales</x:v>
      </x:c>
      <x:c r="J668" s="9" t="str">
        <x:v>Property Law</x:v>
      </x:c>
      <x:c r="K668" s="9" t="str">
        <x:v>-ew-cases-EWCA-Civ-2017-1135.xml</x:v>
      </x:c>
      <x:c r="L668" s="9" t="str">
        <x:v>TBA</x:v>
      </x:c>
    </x:row>
    <x:row r="669">
      <x:c r="A669" t="str">
        <x:v>c587b9ea-b43a-419b-a1ac-d9984697d588</x:v>
      </x:c>
      <x:c r="B669" t="str">
        <x:v>b3c7f9f0-2523-496b-9c25-962ba9f3fb17</x:v>
      </x:c>
      <x:c r="C669" s="9" t="str">
        <x:v>Clark &amp; Anor v In Focus Asset Management &amp; Tax Solutions Ltd &amp; Anor [2014] EWCA Civ 118</x:v>
      </x:c>
      <x:c r="D669" s="9" t="str"/>
      <x:c r="E669" s="9" t="str"/>
      <x:c r="F669" s="13" t="str">
        <x:v>2014</x:v>
      </x:c>
      <x:c r="G669" s="9" t="str">
        <x:v>England and Wales Court of Appeal (Civil Division)</x:v>
      </x:c>
      <x:c r="H669" s="9" t="str">
        <x:v>Appellate</x:v>
      </x:c>
      <x:c r="I669" s="9" t="str">
        <x:v>England and Wales</x:v>
      </x:c>
      <x:c r="J669" s="9" t="str">
        <x:v>Civil Procedure</x:v>
      </x:c>
      <x:c r="K669" s="9" t="str">
        <x:v>-ew-cases-EWCA-Civ-2014-118.xml</x:v>
      </x:c>
      <x:c r="L669" s="9" t="str">
        <x:v>TBA</x:v>
      </x:c>
    </x:row>
    <x:row r="670">
      <x:c r="A670" t="str">
        <x:v>92f7c737-ed0b-468d-9ae4-7c909f3db964</x:v>
      </x:c>
      <x:c r="B670" t="str">
        <x:v>0213cd47-efa9-4e22-adc9-23439c4bed4a</x:v>
      </x:c>
      <x:c r="C670" s="9" t="str">
        <x:v>Clarkson v Future Resources FZE &amp; Ors [2022] EWCA Civ 230</x:v>
      </x:c>
      <x:c r="D670" s="9" t="str"/>
      <x:c r="E670" s="9" t="str"/>
      <x:c r="F670" s="13" t="str">
        <x:v>2022</x:v>
      </x:c>
      <x:c r="G670" s="9" t="str">
        <x:v>England and Wales Court of Appeal (Civil Division)</x:v>
      </x:c>
      <x:c r="H670" s="9" t="str">
        <x:v>Court of Appeal (Civil Division)</x:v>
      </x:c>
      <x:c r="I670" s="9" t="str">
        <x:v>England and Wales</x:v>
      </x:c>
      <x:c r="J670" s="9" t="str">
        <x:v>Civil Procedure / Commercial Litigation</x:v>
      </x:c>
      <x:c r="K670" s="9" t="str">
        <x:v>ew-cases-EWCA-Civ-2022-230.xml</x:v>
      </x:c>
      <x:c r="L670" s="9" t="str">
        <x:v>TBA</x:v>
      </x:c>
    </x:row>
    <x:row r="671">
      <x:c r="A671" t="str">
        <x:v>cbab9a7d-9413-4c75-8cf5-d78831a201bb</x:v>
      </x:c>
      <x:c r="B671" t="str">
        <x:v>354d2b06-e098-4a82-90e3-f68f6198c865</x:v>
      </x:c>
      <x:c r="C671" s="9" t="str">
        <x:v>Clear Call Limited v Central London Investments Limited [2016] EWCA Civ 1231</x:v>
      </x:c>
      <x:c r="D671" s="9" t="str"/>
      <x:c r="E671" s="9" t="str"/>
      <x:c r="F671" s="13" t="str">
        <x:v>2016</x:v>
      </x:c>
      <x:c r="G671" s="9" t="str">
        <x:v>England and Wales Court of Appeal (Civil Division)</x:v>
      </x:c>
      <x:c r="H671" s="9" t="str">
        <x:v>Court of Appeal (Civil Division)</x:v>
      </x:c>
      <x:c r="I671" s="9" t="str">
        <x:v>England and Wales</x:v>
      </x:c>
      <x:c r="J671" s="9" t="str">
        <x:v>Property Law / Landlord and Tenant Act 1954 (Part II) / Rent determination</x:v>
      </x:c>
      <x:c r="K671" s="9" t="str">
        <x:v>-ew-cases-EWCA-Civ-2016-1231.xml</x:v>
      </x:c>
      <x:c r="L671" s="9" t="str">
        <x:v>TBA</x:v>
      </x:c>
    </x:row>
    <x:row r="672">
      <x:c r="A672" t="str">
        <x:v>7a24646a-5a11-4dab-9de1-0a938f1f4343</x:v>
      </x:c>
      <x:c r="B672" t="str">
        <x:v>e239d5ab-7aec-47ca-a9cc-826e51569acd</x:v>
      </x:c>
      <x:c r="C672" s="9" t="str">
        <x:v>Clearway Drainage Systems Limited v Miles Smith Limited [2016] EWCA Civ 1258</x:v>
      </x:c>
      <x:c r="D672" s="9" t="str"/>
      <x:c r="E672" s="9" t="str"/>
      <x:c r="F672" s="13" t="str">
        <x:v>2016</x:v>
      </x:c>
      <x:c r="G672" s="9" t="str">
        <x:v>England and Wales Court of Appeal (Civil Division)</x:v>
      </x:c>
      <x:c r="H672" s="9" t="str">
        <x:v>Court of Appeal (Civil Division)</x:v>
      </x:c>
      <x:c r="I672" s="9" t="str">
        <x:v>England and Wales</x:v>
      </x:c>
      <x:c r="J672" s="9" t="str">
        <x:v>Civil Procedure / Sanctions Relief / Evidence and Disclosure</x:v>
      </x:c>
      <x:c r="K672" s="9" t="str">
        <x:v>-ew-cases-EWCA-Civ-2016-1258.xml</x:v>
      </x:c>
      <x:c r="L672" s="9" t="str">
        <x:v>TBA</x:v>
      </x:c>
    </x:row>
    <x:row r="673">
      <x:c r="A673" t="str">
        <x:v>ecd6954c-061c-4c71-9270-6d2f07e9a270</x:v>
      </x:c>
      <x:c r="B673" t="str">
        <x:v>3e059541-8504-4163-a05b-ede4202b7675</x:v>
      </x:c>
      <x:c r="C673" s="9" t="str">
        <x:v>Cleeland, R (On the Application Of) v Criminal Cases Review Commission [2022] EWCA Civ 5</x:v>
      </x:c>
      <x:c r="D673" s="9" t="str"/>
      <x:c r="E673" s="9" t="str"/>
      <x:c r="F673" s="13" t="str">
        <x:v>2022</x:v>
      </x:c>
      <x:c r="G673" s="9" t="str">
        <x:v>England and Wales Court of Appeal (Civil Division)</x:v>
      </x:c>
      <x:c r="H673" s="9" t="str">
        <x:v>Court of Appeal (Civil Division)</x:v>
      </x:c>
      <x:c r="I673" s="9" t="str">
        <x:v>England and Wales</x:v>
      </x:c>
      <x:c r="J673" s="9" t="str">
        <x:v>Judicial Review / Administrative Law; Criminal Law</x:v>
      </x:c>
      <x:c r="K673" s="9" t="str">
        <x:v>ew-cases-EWCA-Civ-2022-5.xml</x:v>
      </x:c>
      <x:c r="L673" s="9" t="str">
        <x:v>TBA</x:v>
      </x:c>
    </x:row>
    <x:row r="674">
      <x:c r="A674" t="str">
        <x:v>88006f29-dbab-45f2-ba1d-e69c1cc68cd7</x:v>
      </x:c>
      <x:c r="B674" t="str">
        <x:v>380f1df9-195b-40ba-aeb1-c01d8a217955</x:v>
      </x:c>
      <x:c r="C674" s="9" t="str">
        <x:v>Clegg v The Estate &amp; Personal Representatives of Andrew Gregory Pache &amp; Ors [2017] EWCA Civ 256</x:v>
      </x:c>
      <x:c r="D674" s="9" t="str"/>
      <x:c r="E674" s="9" t="str"/>
      <x:c r="F674" s="13" t="str">
        <x:v>2017</x:v>
      </x:c>
      <x:c r="G674" s="9" t="str">
        <x:v>England and Wales Court of Appeal (Civil Division)</x:v>
      </x:c>
      <x:c r="H674" s="9" t="str">
        <x:v>Appellate</x:v>
      </x:c>
      <x:c r="I674" s="9" t="str">
        <x:v>England and Wales</x:v>
      </x:c>
      <x:c r="J674" s="9" t="str">
        <x:v>Civil Litigation</x:v>
      </x:c>
      <x:c r="K674" s="9" t="str">
        <x:v>-ew-cases-EWCA-Civ-2017-256.xml</x:v>
      </x:c>
      <x:c r="L674" s="9" t="str">
        <x:v>TBA</x:v>
      </x:c>
    </x:row>
    <x:row r="675">
      <x:c r="A675" t="str">
        <x:v>c6953cd0-4531-44d7-a53c-52cc0f3b471c</x:v>
      </x:c>
      <x:c r="B675" t="str">
        <x:v>b4ad29dd-8d36-4752-aee3-a30666a9f3ed</x:v>
      </x:c>
      <x:c r="C675" s="9" t="str">
        <x:v>Cleland, R (On the Application Of) v The Lord Chancellor [2016] EWCA Civ 571 (24 June 2016)</x:v>
      </x:c>
      <x:c r="D675" s="9" t="str"/>
      <x:c r="E675" s="9" t="str"/>
      <x:c r="F675" s="13" t="str">
        <x:v>2016</x:v>
      </x:c>
      <x:c r="G675" s="9" t="str">
        <x:v>England and Wales Court of Appeal (Civil Division)</x:v>
      </x:c>
      <x:c r="H675" s="9" t="str">
        <x:v>Court of Appeal (Civil Division)</x:v>
      </x:c>
      <x:c r="I675" s="9" t="str">
        <x:v>England and Wales</x:v>
      </x:c>
      <x:c r="J675" s="9" t="str">
        <x:v>Administrative Law / Judicial Review</x:v>
      </x:c>
      <x:c r="K675" s="9" t="str">
        <x:v>-ew-cases-EWCA-Civ-2016-571.xml</x:v>
      </x:c>
      <x:c r="L675" s="9" t="str">
        <x:v>TBA</x:v>
      </x:c>
    </x:row>
    <x:row r="676">
      <x:c r="A676" t="str">
        <x:v>dfff4692-f9ec-411d-9637-b0e1241968ec</x:v>
      </x:c>
      <x:c r="B676" t="str">
        <x:v>d0274784-a003-4439-8e79-06947376b0e7</x:v>
      </x:c>
      <x:c r="C676" s="9" t="str">
        <x:v>CLFIS (UK) Ltd v Reynolds</x:v>
      </x:c>
      <x:c r="D676" s="9" t="str"/>
      <x:c r="E676" s="9" t="str"/>
      <x:c r="F676" s="13" t="str">
        <x:v>2015</x:v>
      </x:c>
      <x:c r="G676" s="9" t="str">
        <x:v>England and Wales Court of Appeal (Civil Division)</x:v>
      </x:c>
      <x:c r="H676" s="9" t="str">
        <x:v>Appellate</x:v>
      </x:c>
      <x:c r="I676" s="9" t="str">
        <x:v>England and Wales</x:v>
      </x:c>
      <x:c r="J676" s="9" t="str">
        <x:v>Employment Law</x:v>
      </x:c>
      <x:c r="K676" s="9" t="str">
        <x:v>-ew-cases-EWCA-Civ-2015-439.xml</x:v>
      </x:c>
      <x:c r="L676" s="9" t="str">
        <x:v>TBA</x:v>
      </x:c>
    </x:row>
    <x:row r="677">
      <x:c r="A677" t="str">
        <x:v>3b71d337-dba7-4542-8fee-04caf685a399</x:v>
      </x:c>
      <x:c r="B677" t="str">
        <x:v>286b2c34-281e-4227-9651-ccbd2c91b1d5</x:v>
      </x:c>
      <x:c r="C677" s="9" t="str">
        <x:v>CLG &amp; Ors v Chief Constable of Merseyside Police [2015] EWCA Civ 836</x:v>
      </x:c>
      <x:c r="D677" s="9" t="str"/>
      <x:c r="E677" s="9" t="str"/>
      <x:c r="F677" s="13" t="str">
        <x:v>2015</x:v>
      </x:c>
      <x:c r="G677" s="9" t="str">
        <x:v>England and Wales Court of Appeal (Civil Division)</x:v>
      </x:c>
      <x:c r="H677" s="9" t="str">
        <x:v>Appellate</x:v>
      </x:c>
      <x:c r="I677" s="9" t="str">
        <x:v>England and Wales</x:v>
      </x:c>
      <x:c r="J677" s="9" t="str">
        <x:v>Negligence and Public Policy</x:v>
      </x:c>
      <x:c r="K677" s="9" t="str">
        <x:v>-ew-cases-EWCA-Civ-2015-836.xml</x:v>
      </x:c>
      <x:c r="L677" s="9" t="str">
        <x:v>TBA</x:v>
      </x:c>
    </x:row>
    <x:row r="678">
      <x:c r="A678" t="str">
        <x:v>1eb90209-667c-4b4c-9486-e537a339c084</x:v>
      </x:c>
      <x:c r="B678" t="str">
        <x:v>e96ab3ad-ded5-4d66-9fa4-9407e306dde6</x:v>
      </x:c>
      <x:c r="C678" s="9" t="str">
        <x:v>ClientEarth, R (on the application of) v Secretary of State for Business, Energy and Industrial Strategy &amp; Anor</x:v>
      </x:c>
      <x:c r="D678" s="9" t="str"/>
      <x:c r="E678" s="9" t="str"/>
      <x:c r="F678" s="13" t="str">
        <x:v>2021</x:v>
      </x:c>
      <x:c r="G678" s="9" t="str">
        <x:v>England and Wales Court of Appeal (Civil Division)</x:v>
      </x:c>
      <x:c r="H678" s="9" t="str">
        <x:v>Appellate</x:v>
      </x:c>
      <x:c r="I678" s="9" t="str">
        <x:v>England and Wales</x:v>
      </x:c>
      <x:c r="J678" s="9" t="str">
        <x:v>Administrative Law</x:v>
      </x:c>
      <x:c r="K678" s="9" t="str">
        <x:v>ew-cases-EWCA-Civ-2021-43.xml</x:v>
      </x:c>
      <x:c r="L678" s="9" t="str">
        <x:v>TBA</x:v>
      </x:c>
    </x:row>
    <x:row r="679">
      <x:c r="A679" t="str">
        <x:v>0462836d-dda2-4c2f-b6f6-588368d86386</x:v>
      </x:c>
      <x:c r="B679" t="str">
        <x:v>3054ae89-4fdf-4879-a9ae-0e7c8a19d90e</x:v>
      </x:c>
      <x:c r="C679" s="9" t="str">
        <x:v>Clifford v Millicom Services UK Ltd &amp; Ors [2023] EWCA Civ 50</x:v>
      </x:c>
      <x:c r="D679" s="9" t="str"/>
      <x:c r="E679" s="9" t="str"/>
      <x:c r="F679" s="13" t="str">
        <x:v>2023</x:v>
      </x:c>
      <x:c r="G679" s="9" t="str">
        <x:v>England and Wales Court of Appeal (Civil Division)</x:v>
      </x:c>
      <x:c r="H679" s="9" t="str">
        <x:v>Court of Appeal (Civil Division)</x:v>
      </x:c>
      <x:c r="I679" s="9" t="str">
        <x:v>England and Wales</x:v>
      </x:c>
      <x:c r="J679" s="9" t="str">
        <x:v>Civil Procedure / Employment Law</x:v>
      </x:c>
      <x:c r="K679" s="9" t="str">
        <x:v>ew-cases-EWCA-Civ-2023-50.xml</x:v>
      </x:c>
      <x:c r="L679" s="9" t="str">
        <x:v>TBA</x:v>
      </x:c>
    </x:row>
    <x:row r="680">
      <x:c r="A680" t="str">
        <x:v>7d26d25d-37a8-4664-a9ad-27c8cda75cbc</x:v>
      </x:c>
      <x:c r="B680" t="str">
        <x:v>82a2924b-a32a-4aa2-ae65-e2ef22c3c741</x:v>
      </x:c>
      <x:c r="C680" s="9" t="str">
        <x:v>Clin v Walter Lilly &amp; Co. Ltd [2021] EWCA Civ 136</x:v>
      </x:c>
      <x:c r="D680" s="9" t="str"/>
      <x:c r="E680" s="9" t="str"/>
      <x:c r="F680" s="13" t="str">
        <x:v>2021</x:v>
      </x:c>
      <x:c r="G680" s="9" t="str">
        <x:v>England and Wales Court of Appeal (Civil Division)</x:v>
      </x:c>
      <x:c r="H680" s="9" t="str">
        <x:v>Appellate</x:v>
      </x:c>
      <x:c r="I680" s="9" t="str">
        <x:v>England and Wales</x:v>
      </x:c>
      <x:c r="J680" s="9" t="str">
        <x:v>Contract Dispute</x:v>
      </x:c>
      <x:c r="K680" s="9" t="str">
        <x:v>ew-cases-EWCA-Civ-2021-136.xml</x:v>
      </x:c>
      <x:c r="L680" s="9" t="str">
        <x:v>TBA</x:v>
      </x:c>
    </x:row>
    <x:row r="681">
      <x:c r="A681" t="str">
        <x:v>d09c3278-0d28-4a44-a2fb-06a6fa789725</x:v>
      </x:c>
      <x:c r="B681" t="str">
        <x:v>07f154d1-a5e6-46c0-95f4-b05194577c5a</x:v>
      </x:c>
      <x:c r="C681" s="9" t="str">
        <x:v>Close Brothers Limited (trading as Close Brothers Asset Finance) v Rooster Trucking Company Limited &amp; Ors [2023] EWCA Civ 533</x:v>
      </x:c>
      <x:c r="D681" s="9" t="str"/>
      <x:c r="E681" s="9" t="str"/>
      <x:c r="F681" s="13" t="str">
        <x:v>2023</x:v>
      </x:c>
      <x:c r="G681" s="9" t="str">
        <x:v>England and Wales Court of Appeal (Civil Division)</x:v>
      </x:c>
      <x:c r="H681" s="9" t="str">
        <x:v>Court of Appeal (Civil Division)</x:v>
      </x:c>
      <x:c r="I681" s="9" t="str">
        <x:v>England and Wales</x:v>
      </x:c>
      <x:c r="J681" s="9" t="str">
        <x:v>Civil Appeal / Contract Dispute / Fraud &amp; Enforcement</x:v>
      </x:c>
      <x:c r="K681" s="9" t="str">
        <x:v>ew-cases-EWCA-Civ-2023-533.xml</x:v>
      </x:c>
      <x:c r="L681" s="9" t="str">
        <x:v>TBA</x:v>
      </x:c>
    </x:row>
    <x:row r="682">
      <x:c r="A682" t="str">
        <x:v>f89de8b5-4691-48b5-af93-8f417fbfa759</x:v>
      </x:c>
      <x:c r="B682" t="str">
        <x:v>7e72208e-c071-43db-9c8c-05ced0e9c527</x:v>
      </x:c>
      <x:c r="C682" s="9" t="str">
        <x:v>CLP Holding Company Ltd v Singh &amp; Anor</x:v>
      </x:c>
      <x:c r="D682" s="9" t="str"/>
      <x:c r="E682" s="9" t="str"/>
      <x:c r="F682" s="13" t="str">
        <x:v>2014</x:v>
      </x:c>
      <x:c r="G682" s="9" t="str">
        <x:v>England and Wales Court of Appeal (Civil Division)</x:v>
      </x:c>
      <x:c r="H682" s="9" t="str">
        <x:v>Appellate</x:v>
      </x:c>
      <x:c r="I682" s="9" t="str">
        <x:v>England and Wales</x:v>
      </x:c>
      <x:c r="J682" s="9" t="str">
        <x:v>Contract Dispute</x:v>
      </x:c>
      <x:c r="K682" s="9" t="str">
        <x:v>-ew-cases-EWCA-Civ-2014-1103.xml</x:v>
      </x:c>
      <x:c r="L682" s="9" t="str">
        <x:v>TBA</x:v>
      </x:c>
    </x:row>
    <x:row r="683">
      <x:c r="A683" t="str">
        <x:v>9d635f1a-16b8-4588-abd8-41d31758a88e</x:v>
      </x:c>
      <x:c r="B683" t="str">
        <x:v>ab82d00b-68d6-4f71-9a40-616a4b8d288a</x:v>
      </x:c>
      <x:c r="C683" s="9" t="str">
        <x:v>Clutterbuck &amp; Anor v Cleghorn [2017] EWCA Civ 234</x:v>
      </x:c>
      <x:c r="D683" s="9" t="str"/>
      <x:c r="E683" s="9" t="str"/>
      <x:c r="F683" s="13" t="str">
        <x:v>2017</x:v>
      </x:c>
      <x:c r="G683" s="9" t="str">
        <x:v>England and Wales Court of Appeal (Civil Division)</x:v>
      </x:c>
      <x:c r="H683" s="9" t="str">
        <x:v>Appellate</x:v>
      </x:c>
      <x:c r="I683" s="9" t="str">
        <x:v>England and Wales</x:v>
      </x:c>
      <x:c r="J683" s="9" t="str">
        <x:v>Civil Appeals</x:v>
      </x:c>
      <x:c r="K683" s="9" t="str">
        <x:v>-ew-cases-EWCA-Civ-2017-234.xml</x:v>
      </x:c>
      <x:c r="L683" s="9" t="str">
        <x:v>TBA</x:v>
      </x:c>
    </x:row>
    <x:row r="684">
      <x:c r="A684" t="str">
        <x:v>97dec49a-6d7b-458a-9089-375c61d9a38d</x:v>
      </x:c>
      <x:c r="B684" t="str">
        <x:v>b3ecc63a-95ba-4166-bd6e-e6434d9d21fa</x:v>
      </x:c>
      <x:c r="C684" s="9" t="str">
        <x:v>Clutterbuck &amp; Ors v Cleghorn [2017] EWCA Civ 137</x:v>
      </x:c>
      <x:c r="D684" s="9" t="str"/>
      <x:c r="E684" s="9" t="str"/>
      <x:c r="F684" s="13" t="str">
        <x:v>2017</x:v>
      </x:c>
      <x:c r="G684" s="9" t="str">
        <x:v>England and Wales Court of Appeal (Civil Division)</x:v>
      </x:c>
      <x:c r="H684" s="9" t="str">
        <x:v>Appellate</x:v>
      </x:c>
      <x:c r="I684" s="9" t="str">
        <x:v>England and Wales</x:v>
      </x:c>
      <x:c r="J684" s="9" t="str">
        <x:v>Contract Dispute</x:v>
      </x:c>
      <x:c r="K684" s="9" t="str">
        <x:v>-ew-cases-EWCA-Civ-2017-137.xml</x:v>
      </x:c>
      <x:c r="L684" s="9" t="str">
        <x:v>TBA</x:v>
      </x:c>
    </x:row>
    <x:row r="685">
      <x:c r="A685" t="str">
        <x:v>06241ecd-3103-46a0-aa98-7dec290c544d</x:v>
      </x:c>
      <x:c r="B685" t="str">
        <x:v>28531b58-f6f1-4281-86ec-3fc1b2030997</x:v>
      </x:c>
      <x:c r="C685" s="9" t="str">
        <x:v>Clutterbuck v Al Amoudi Case Analysis [2015] EWCA Civ 1593</x:v>
      </x:c>
      <x:c r="D685" s="9" t="str"/>
      <x:c r="E685" s="9" t="str"/>
      <x:c r="F685" s="13" t="str">
        <x:v>2015</x:v>
      </x:c>
      <x:c r="G685" s="9" t="str">
        <x:v>England and Wales Court of Appeal (Civil Division)</x:v>
      </x:c>
      <x:c r="H685" s="9" t="str">
        <x:v>appellate</x:v>
      </x:c>
      <x:c r="I685" s="9" t="str">
        <x:v>England and Wales</x:v>
      </x:c>
      <x:c r="J685" s="9" t="str">
        <x:v>Civil Law</x:v>
      </x:c>
      <x:c r="K685" s="9" t="str">
        <x:v>-ew-cases-EWCA-Civ-2015-1593.xml</x:v>
      </x:c>
      <x:c r="L685" s="9" t="str">
        <x:v>TBA</x:v>
      </x:c>
    </x:row>
    <x:row r="686">
      <x:c r="A686" t="str">
        <x:v>8b33688d-5806-43d7-a0b4-906034e6ed8a</x:v>
      </x:c>
      <x:c r="B686" t="str">
        <x:v>0b431757-5942-43c0-a4b7-dee7deedf8a3</x:v>
      </x:c>
      <x:c r="C686" s="9" t="str">
        <x:v>Clydesdale Bank Plc v Duffy [2014] EWCA Civ 1260</x:v>
      </x:c>
      <x:c r="D686" s="9" t="str"/>
      <x:c r="E686" s="9" t="str"/>
      <x:c r="F686" s="13" t="str">
        <x:v>2014</x:v>
      </x:c>
      <x:c r="G686" s="9" t="str">
        <x:v>England and Wales Court of Appeal (Civil Division)</x:v>
      </x:c>
      <x:c r="H686" s="9" t="str">
        <x:v>Appellate</x:v>
      </x:c>
      <x:c r="I686" s="9" t="str">
        <x:v>England and Wales</x:v>
      </x:c>
      <x:c r="J686" s="9" t="str">
        <x:v>Contract Dispute</x:v>
      </x:c>
      <x:c r="K686" s="9" t="str">
        <x:v>-ew-cases-EWCA-Civ-2014-1260.xml</x:v>
      </x:c>
      <x:c r="L686" s="9" t="str">
        <x:v>TBA</x:v>
      </x:c>
    </x:row>
    <x:row r="687">
      <x:c r="A687" t="str">
        <x:v>687e5f29-f915-4837-b4ec-15cbc51101e3</x:v>
      </x:c>
      <x:c r="B687" t="str">
        <x:v>d8428c04-a2a1-49d3-b93b-e14c4a4632d9</x:v>
      </x:c>
      <x:c r="C687" s="9" t="str">
        <x:v>Clydesdale Bank plc v John Workman &amp; Ors (formerly trading as BPE Solicitors) &amp; Shoosmiths, [2016] EWCA Civ 73</x:v>
      </x:c>
      <x:c r="D687" s="9" t="str"/>
      <x:c r="E687" s="9" t="str"/>
      <x:c r="F687" s="13" t="str">
        <x:v>2016</x:v>
      </x:c>
      <x:c r="G687" s="9" t="str">
        <x:v>England and Wales Court of Appeal (Civil Division)</x:v>
      </x:c>
      <x:c r="H687" s="9" t="str">
        <x:v>Court of Appeal (Civil Division)</x:v>
      </x:c>
      <x:c r="I687" s="9" t="str">
        <x:v>England and Wales</x:v>
      </x:c>
      <x:c r="J687" s="9" t="str">
        <x:v>Civil – Trusts / Professional Conduct / Property Law</x:v>
      </x:c>
      <x:c r="K687" s="9" t="str">
        <x:v>-ew-cases-EWCA-Civ-2016-73.xml</x:v>
      </x:c>
      <x:c r="L687" s="9" t="str">
        <x:v>TBA</x:v>
      </x:c>
    </x:row>
    <x:row r="688">
      <x:c r="A688" t="str">
        <x:v>eb29035b-905b-4833-973e-a7cb565e5f57</x:v>
      </x:c>
      <x:c r="B688" t="str">
        <x:v>3873ea4d-d838-4ccd-beea-1c3cb938a9c6</x:v>
      </x:c>
      <x:c r="C688" s="9" t="str">
        <x:v>CM v Blackburn With Darwen Borough Council [2014] EWCA Civ 1479</x:v>
      </x:c>
      <x:c r="D688" s="9" t="str"/>
      <x:c r="E688" s="9" t="str"/>
      <x:c r="F688" s="13" t="str">
        <x:v>2014</x:v>
      </x:c>
      <x:c r="G688" s="9" t="str">
        <x:v>England and Wales Court of Appeal (Civil Division)</x:v>
      </x:c>
      <x:c r="H688" s="9" t="str">
        <x:v>Appellate</x:v>
      </x:c>
      <x:c r="I688" s="9" t="str">
        <x:v>England and Wales</x:v>
      </x:c>
      <x:c r="J688" s="9" t="str">
        <x:v>Family Law</x:v>
      </x:c>
      <x:c r="K688" s="9" t="str">
        <x:v>-ew-cases-EWCA-Civ-2014-1479.xml</x:v>
      </x:c>
      <x:c r="L688" s="9" t="str">
        <x:v>TBA</x:v>
      </x:c>
    </x:row>
    <x:row r="689">
      <x:c r="A689" t="str">
        <x:v>9463e80a-b32d-4667-88ce-4d0da48c48ff</x:v>
      </x:c>
      <x:c r="B689" t="str">
        <x:v>6fadf183-047e-4e2f-b764-94f5e0e91721</x:v>
      </x:c>
      <x:c r="C689" s="9" t="str">
        <x:v>CN (Malawi) &amp; Ors v Secretary of State for the Home Department - [2016] EWCA Civ 526 (Court of Appeal, Civil Division)</x:v>
      </x:c>
      <x:c r="D689" s="9" t="str"/>
      <x:c r="E689" s="9" t="str"/>
      <x:c r="F689" s="13" t="str">
        <x:v>2016</x:v>
      </x:c>
      <x:c r="G689" s="9" t="str">
        <x:v>England and Wales Court of Appeal (Civil Division)</x:v>
      </x:c>
      <x:c r="H689" s="9" t="str">
        <x:v>Court of Appeal (Civil Division)</x:v>
      </x:c>
      <x:c r="I689" s="9" t="str">
        <x:v>England and Wales</x:v>
      </x:c>
      <x:c r="J689" s="9" t="str">
        <x:v>Immigration Law / Human Rights (Art 8)</x:v>
      </x:c>
      <x:c r="K689" s="9" t="str">
        <x:v>-ew-cases-EWCA-Civ-2016-526.xml</x:v>
      </x:c>
      <x:c r="L689" s="9" t="str">
        <x:v>TBA</x:v>
      </x:c>
    </x:row>
    <x:row r="690">
      <x:c r="A690" t="str">
        <x:v>42e1cc15-0680-40da-83fe-82da699ddf57</x:v>
      </x:c>
      <x:c r="B690" t="str">
        <x:v>c09a8062-2dca-4c75-a548-075833d679f2</x:v>
      </x:c>
      <x:c r="C690" s="9" t="str">
        <x:v>CN &amp; Anor v Poole Borough Council [2017] EWCA Civ 2185</x:v>
      </x:c>
      <x:c r="D690" s="9" t="str"/>
      <x:c r="E690" s="9" t="str"/>
      <x:c r="F690" s="13" t="str">
        <x:v>2017</x:v>
      </x:c>
      <x:c r="G690" s="9" t="str">
        <x:v>England and Wales Court of Appeal (Civil Division)</x:v>
      </x:c>
      <x:c r="H690" s="9" t="str">
        <x:v>Appellate</x:v>
      </x:c>
      <x:c r="I690" s="9" t="str">
        <x:v>England and Wales</x:v>
      </x:c>
      <x:c r="J690" s="9" t="str">
        <x:v>Tort Law</x:v>
      </x:c>
      <x:c r="K690" s="9" t="str">
        <x:v>-ew-cases-EWCA-Civ-2017-2185.xml</x:v>
      </x:c>
      <x:c r="L690" s="9" t="str">
        <x:v>TBA</x:v>
      </x:c>
    </x:row>
    <x:row r="691">
      <x:c r="A691" t="str">
        <x:v>d6935b5c-f96e-4d77-8f41-c8f00e9eb124</x:v>
      </x:c>
      <x:c r="B691" t="str">
        <x:v>db2dee2c-9f25-4a5f-b936-f6ab9028b072</x:v>
      </x:c>
      <x:c r="C691" s="9" t="str">
        <x:v>CN v Secretary of State for Health and Social Care [2022] EWCA Civ 86 (Court of Appeal, Civil Division)</x:v>
      </x:c>
      <x:c r="D691" s="9" t="str"/>
      <x:c r="E691" s="9" t="str"/>
      <x:c r="F691" s="13" t="str">
        <x:v>2022</x:v>
      </x:c>
      <x:c r="G691" s="9" t="str">
        <x:v>England and Wales Court of Appeal (Civil Division)</x:v>
      </x:c>
      <x:c r="H691" s="9" t="str">
        <x:v>Court of Appeal (Civil Division)</x:v>
      </x:c>
      <x:c r="I691" s="9" t="str">
        <x:v>England and Wales</x:v>
      </x:c>
      <x:c r="J691" s="9" t="str">
        <x:v>Administrative Law / Judicial Review</x:v>
      </x:c>
      <x:c r="K691" s="9" t="str">
        <x:v>ew-cases-EWCA-Civ-2022-86.xml</x:v>
      </x:c>
      <x:c r="L691" s="9" t="str">
        <x:v>TBA</x:v>
      </x:c>
    </x:row>
    <x:row r="692">
      <x:c r="A692" t="str">
        <x:v>4864a36e-5579-44d9-9437-0525fe71db55</x:v>
      </x:c>
      <x:c r="B692" t="str">
        <x:v>762bd55d-4be4-40ab-8b78-fccdf41a507b</x:v>
      </x:c>
      <x:c r="C692" s="9" t="str">
        <x:v>CNM Estates (Tolworth Tower) Limited v Carvill-Biggs &amp; Anor [2023] EWCA Civ 480</x:v>
      </x:c>
      <x:c r="D692" s="9" t="str"/>
      <x:c r="E692" s="9" t="str"/>
      <x:c r="F692" s="13" t="str">
        <x:v>2023</x:v>
      </x:c>
      <x:c r="G692" s="9" t="str">
        <x:v>England and Wales Court of Appeal (Civil Division)</x:v>
      </x:c>
      <x:c r="H692" s="9" t="str">
        <x:v>Court of Appeal (Civil Division)</x:v>
      </x:c>
      <x:c r="I692" s="9" t="str">
        <x:v>England and Wales</x:v>
      </x:c>
      <x:c r="J692" s="9" t="str">
        <x:v>Civil Appeal - Property/Equity</x:v>
      </x:c>
      <x:c r="K692" s="9" t="str">
        <x:v>ew-cases-EWCA-Civ-2023-480.xml</x:v>
      </x:c>
      <x:c r="L692" s="9" t="str">
        <x:v>TBA</x:v>
      </x:c>
    </x:row>
    <x:row r="693">
      <x:c r="A693" t="str">
        <x:v>da8dfa7d-12d7-4e48-add9-ca5aa2acce3b</x:v>
      </x:c>
      <x:c r="B693" t="str">
        <x:v>0b85ba33-95d2-4cf3-a08d-ed6833230187</x:v>
      </x:c>
      <x:c r="C693" s="9" t="str">
        <x:v>Co-Operative Group Ltd v Baddeley [2014] EWCA Civ 658</x:v>
      </x:c>
      <x:c r="D693" s="9" t="str"/>
      <x:c r="E693" s="9" t="str"/>
      <x:c r="F693" s="13" t="str">
        <x:v>2014</x:v>
      </x:c>
      <x:c r="G693" s="9" t="str">
        <x:v>England and Wales Court of Appeal (Civil Division)</x:v>
      </x:c>
      <x:c r="H693" s="9" t="str">
        <x:v>Appellate</x:v>
      </x:c>
      <x:c r="I693" s="9" t="str">
        <x:v>England and Wales</x:v>
      </x:c>
      <x:c r="J693" s="9" t="str">
        <x:v>Employment Law</x:v>
      </x:c>
      <x:c r="K693" s="9" t="str">
        <x:v>-ew-cases-EWCA-Civ-2014-658.xml</x:v>
      </x:c>
      <x:c r="L693" s="9" t="str">
        <x:v>TBA</x:v>
      </x:c>
    </x:row>
    <x:row r="694">
      <x:c r="A694" t="str">
        <x:v>ad6d2684-abe9-443d-b99b-d82c733e46d6</x:v>
      </x:c>
      <x:c r="B694" t="str">
        <x:v>f9efe1f5-bb3d-4355-859b-0546c64a84e6</x:v>
      </x:c>
      <x:c r="C694" s="9" t="str">
        <x:v>Co-Operative Group Ltd v Birse Developments Ltd &amp; Ors</x:v>
      </x:c>
      <x:c r="D694" s="9" t="str"/>
      <x:c r="E694" s="9" t="str"/>
      <x:c r="F694" s="13" t="str">
        <x:v>2014</x:v>
      </x:c>
      <x:c r="G694" s="9" t="str">
        <x:v>England and Wales Court of Appeal (Civil Division)</x:v>
      </x:c>
      <x:c r="H694" s="9" t="str">
        <x:v>Appellate</x:v>
      </x:c>
      <x:c r="I694" s="9" t="str">
        <x:v>England and Wales</x:v>
      </x:c>
      <x:c r="J694" s="9" t="str">
        <x:v>Contract Dispute</x:v>
      </x:c>
      <x:c r="K694" s="9" t="str">
        <x:v>-ew-cases-EWCA-Civ-2014-707.xml</x:v>
      </x:c>
      <x:c r="L694" s="9" t="str">
        <x:v>TBA</x:v>
      </x:c>
    </x:row>
    <x:row r="695">
      <x:c r="A695" t="str">
        <x:v>e1ec80b0-1e4e-4b85-9147-7e477b394c5e</x:v>
      </x:c>
      <x:c r="B695" t="str">
        <x:v>84658f61-4af0-431c-88bb-f1415437c08d</x:v>
      </x:c>
      <x:c r="C695" s="9" t="str">
        <x:v>Coates v The Secretary of State for Communities And Local Government &amp; Anor [2017] EWCA 940 (Civ)</x:v>
      </x:c>
      <x:c r="D695" s="9" t="str"/>
      <x:c r="E695" s="9" t="str"/>
      <x:c r="F695" s="13" t="str">
        <x:v>2017</x:v>
      </x:c>
      <x:c r="G695" s="9" t="str">
        <x:v>England and Wales Court of Appeal (Civil Division)</x:v>
      </x:c>
      <x:c r="H695" s="9" t="str">
        <x:v>appellate</x:v>
      </x:c>
      <x:c r="I695" s="9" t="str">
        <x:v>England and Wales</x:v>
      </x:c>
      <x:c r="J695" s="9" t="str">
        <x:v>Administrative Law</x:v>
      </x:c>
      <x:c r="K695" s="9" t="str">
        <x:v>-ew-cases-EWCA-Civ-2017-940.xml</x:v>
      </x:c>
      <x:c r="L695" s="9" t="str">
        <x:v>TBA</x:v>
      </x:c>
    </x:row>
    <x:row r="696">
      <x:c r="A696" t="str">
        <x:v>e7b41797-29b4-4320-a465-847380a00d2c</x:v>
      </x:c>
      <x:c r="B696" t="str">
        <x:v>3b5f0b35-9abc-4644-bd76-178e4ddaa226</x:v>
      </x:c>
      <x:c r="C696" s="9" t="str">
        <x:v>Cobalt Data Centre 2 LLP &amp; Anor v HM Revenue &amp; Customs [2022] EWCA Civ 1422</x:v>
      </x:c>
      <x:c r="D696" s="9" t="str"/>
      <x:c r="E696" s="9" t="str"/>
      <x:c r="F696" s="13" t="str">
        <x:v>2022</x:v>
      </x:c>
      <x:c r="G696" s="9" t="str">
        <x:v>England and Wales Court of Appeal (Civil Division)</x:v>
      </x:c>
      <x:c r="H696" s="9" t="str">
        <x:v>Court of Appeal (Civil Division)</x:v>
      </x:c>
      <x:c r="I696" s="9" t="str">
        <x:v>England and Wales</x:v>
      </x:c>
      <x:c r="J696" s="9" t="str">
        <x:v>Tax Law and Contract Law</x:v>
      </x:c>
      <x:c r="K696" s="9" t="str">
        <x:v>ew-cases-EWCA-Civ-2022-1422.xml</x:v>
      </x:c>
      <x:c r="L696" s="9" t="str">
        <x:v>TBA</x:v>
      </x:c>
    </x:row>
    <x:row r="697">
      <x:c r="A697" t="str">
        <x:v>f0638744-d0fe-4d16-ae2f-d5ff0f526b40</x:v>
      </x:c>
      <x:c r="B697" t="str">
        <x:v>cf573360-3fce-450e-8c42-e7af981c74f8</x:v>
      </x:c>
      <x:c r="C697" s="9" t="str">
        <x:v>Cocking &amp; Anor v Eacott &amp; Anor [2016] EWCA Civ 140</x:v>
      </x:c>
      <x:c r="D697" s="9" t="str"/>
      <x:c r="E697" s="9" t="str"/>
      <x:c r="F697" s="13" t="str">
        <x:v>2016</x:v>
      </x:c>
      <x:c r="G697" s="9" t="str">
        <x:v>England and Wales Court of Appeal (Civil Division)</x:v>
      </x:c>
      <x:c r="H697" s="9" t="str">
        <x:v>Court of Appeal (Civil Division)</x:v>
      </x:c>
      <x:c r="I697" s="9" t="str">
        <x:v>England and Wales</x:v>
      </x:c>
      <x:c r="J697" s="9" t="str">
        <x:v>Tort; Property; Nuisance</x:v>
      </x:c>
      <x:c r="K697" s="9" t="str">
        <x:v>-ew-cases-EWCA-Civ-2016-140.xml</x:v>
      </x:c>
      <x:c r="L697" s="9" t="str">
        <x:v>TBA</x:v>
      </x:c>
    </x:row>
    <x:row r="698">
      <x:c r="A698" t="str">
        <x:v>6ac5314b-4df1-408d-b183-470540227547</x:v>
      </x:c>
      <x:c r="B698" t="str">
        <x:v>ed502a56-5e3c-484c-8704-ffd0a38c137a</x:v>
      </x:c>
      <x:c r="C698" s="9" t="str">
        <x:v>Coghlan v Bailey &amp; Anor [2015] EWCA Civ 863</x:v>
      </x:c>
      <x:c r="D698" s="9" t="str"/>
      <x:c r="E698" s="9" t="str"/>
      <x:c r="F698" s="13" t="str">
        <x:v>2015</x:v>
      </x:c>
      <x:c r="G698" s="9" t="str">
        <x:v>England and Wales Court of Appeal (Civil Division)</x:v>
      </x:c>
      <x:c r="H698" s="9" t="str">
        <x:v>Appellate</x:v>
      </x:c>
      <x:c r="I698" s="9" t="str">
        <x:v>England and Wales</x:v>
      </x:c>
      <x:c r="J698" s="9" t="str">
        <x:v>Civil Procedure</x:v>
      </x:c>
      <x:c r="K698" s="9" t="str">
        <x:v>-ew-cases-EWCA-Civ-2015-863.xml</x:v>
      </x:c>
      <x:c r="L698" s="9" t="str">
        <x:v>TBA</x:v>
      </x:c>
    </x:row>
    <x:row r="699">
      <x:c r="A699" t="str">
        <x:v>06c6afe2-0d9d-4151-8e4e-0f90220f557a</x:v>
      </x:c>
      <x:c r="B699" t="str">
        <x:v>7edf1d86-7ff4-4caf-ad11-52f31d0c0e13</x:v>
      </x:c>
      <x:c r="C699" s="9" t="str">
        <x:v>Colaingrove Ltd v Revenue And Customs [2017] EWCA Civ 332</x:v>
      </x:c>
      <x:c r="D699" s="9" t="str"/>
      <x:c r="E699" s="9" t="str"/>
      <x:c r="F699" s="13" t="str">
        <x:v>2017</x:v>
      </x:c>
      <x:c r="G699" s="9" t="str">
        <x:v>England and Wales Court of Appeal (Civil Division)</x:v>
      </x:c>
      <x:c r="H699" s="9" t="str">
        <x:v>Appellate</x:v>
      </x:c>
      <x:c r="I699" s="9" t="str">
        <x:v>England and Wales</x:v>
      </x:c>
      <x:c r="J699" s="9" t="str">
        <x:v>Tax Law</x:v>
      </x:c>
      <x:c r="K699" s="9" t="str">
        <x:v>-ew-cases-EWCA-Civ-2017-332.xml</x:v>
      </x:c>
      <x:c r="L699" s="9" t="str">
        <x:v>TBA</x:v>
      </x:c>
    </x:row>
    <x:row r="700">
      <x:c r="A700" t="str">
        <x:v>d7955400-0639-4d28-b7d2-01df990a9b67</x:v>
      </x:c>
      <x:c r="B700" t="str">
        <x:v>2f0be9af-1f56-4bcc-868b-5d05b3d9d3ff</x:v>
      </x:c>
      <x:c r="C700" s="9" t="str">
        <x:v>Colborne v. Colborne [2014] EWCA Civ 1488</x:v>
      </x:c>
      <x:c r="D700" s="9" t="str"/>
      <x:c r="E700" s="9" t="str"/>
      <x:c r="F700" s="13" t="str">
        <x:v>2014</x:v>
      </x:c>
      <x:c r="G700" s="9" t="str">
        <x:v>England and Wales Court of Appeal (Civil Division)</x:v>
      </x:c>
      <x:c r="H700" s="9" t="str">
        <x:v>Appellate</x:v>
      </x:c>
      <x:c r="I700" s="9" t="str">
        <x:v>England and Wales</x:v>
      </x:c>
      <x:c r="J700" s="9" t="str">
        <x:v>Family Law</x:v>
      </x:c>
      <x:c r="K700" s="9" t="str">
        <x:v>-ew-cases-EWCA-Civ-2014-1488.xml</x:v>
      </x:c>
      <x:c r="L700" s="9" t="str">
        <x:v>TBA</x:v>
      </x:c>
    </x:row>
    <x:row r="701">
      <x:c r="A701" t="str">
        <x:v>65b91fe0-8d65-435c-85d8-98f8b11edb00</x:v>
      </x:c>
      <x:c r="B701" t="str">
        <x:v>33d6e5f8-74e8-4943-afb2-837e5078a401</x:v>
      </x:c>
      <x:c r="C701" s="9" t="str">
        <x:v>Colefax v First Tier Tribunal (Social Entitlement Chamber) &amp; Anor [2014] EWCA Civ 945</x:v>
      </x:c>
      <x:c r="D701" s="9" t="str"/>
      <x:c r="E701" s="9" t="str"/>
      <x:c r="F701" s="13" t="str">
        <x:v>2014</x:v>
      </x:c>
      <x:c r="G701" s="9" t="str">
        <x:v>England and Wales Court of Appeal (Civil Division)</x:v>
      </x:c>
      <x:c r="H701" s="9" t="str">
        <x:v>Appellate</x:v>
      </x:c>
      <x:c r="I701" s="9" t="str">
        <x:v>United Kingdom</x:v>
      </x:c>
      <x:c r="J701" s="9" t="str">
        <x:v>Administrative Law</x:v>
      </x:c>
      <x:c r="K701" s="9" t="str">
        <x:v>-ew-cases-EWCA-Civ-2014-945.xml</x:v>
      </x:c>
      <x:c r="L701" s="9" t="str">
        <x:v>TBA</x:v>
      </x:c>
    </x:row>
    <x:row r="702">
      <x:c r="A702" t="str">
        <x:v>fef1dd16-d37c-4383-979a-9316aef57cf8</x:v>
      </x:c>
      <x:c r="B702" t="str">
        <x:v>8e5233b8-f53f-493d-b74d-5262db993621</x:v>
      </x:c>
      <x:c r="C702" s="9" t="str">
        <x:v>Colin George Watts v Revenue And Customs</x:v>
      </x:c>
      <x:c r="D702" s="9" t="str"/>
      <x:c r="E702" s="9" t="str"/>
      <x:c r="F702" s="13" t="str">
        <x:v>2021</x:v>
      </x:c>
      <x:c r="G702" s="9" t="str">
        <x:v>England and Wales Court of Appeal (Civil Division)</x:v>
      </x:c>
      <x:c r="H702" s="9" t="str">
        <x:v>Appellate</x:v>
      </x:c>
      <x:c r="I702" s="9" t="str">
        <x:v>England and Wales</x:v>
      </x:c>
      <x:c r="J702" s="9" t="str">
        <x:v>Bankruptcy Law</x:v>
      </x:c>
      <x:c r="K702" s="9" t="str">
        <x:v>ew-cases-EWCA-Civ-2021-1124.xml</x:v>
      </x:c>
      <x:c r="L702" s="9" t="str">
        <x:v>TBA</x:v>
      </x:c>
    </x:row>
    <x:row r="703">
      <x:c r="A703" t="str">
        <x:v>6b5a97c8-54f7-4f94-8f84-6c4c3e6ceca0</x:v>
      </x:c>
      <x:c r="B703" t="str">
        <x:v>d43e9179-fec2-4fc9-a5b0-3113b6e57fb4</x:v>
      </x:c>
      <x:c r="C703" s="9" t="str">
        <x:v>Coll v Secretary of State for Justice [2015] EWCA Civ 328</x:v>
      </x:c>
      <x:c r="D703" s="9" t="str"/>
      <x:c r="E703" s="9" t="str"/>
      <x:c r="F703" s="13" t="str">
        <x:v>2015</x:v>
      </x:c>
      <x:c r="G703" s="9" t="str">
        <x:v>England and Wales Court of Appeal (Civil Division)</x:v>
      </x:c>
      <x:c r="H703" s="9" t="str">
        <x:v>Appellate</x:v>
      </x:c>
      <x:c r="I703" s="9" t="str">
        <x:v>England and Wales</x:v>
      </x:c>
      <x:c r="J703" s="9" t="str">
        <x:v>Civil Rights</x:v>
      </x:c>
      <x:c r="K703" s="9" t="str">
        <x:v>-ew-cases-EWCA-Civ-2015-328.xml</x:v>
      </x:c>
      <x:c r="L703" s="9" t="str">
        <x:v>TBA</x:v>
      </x:c>
    </x:row>
    <x:row r="704">
      <x:c r="A704" t="str">
        <x:v>098e37a2-fc4b-4ba3-a8d5-dec1fd590f02</x:v>
      </x:c>
      <x:c r="B704" t="str">
        <x:v>8136df10-50ff-4429-9337-ed784781ea88</x:v>
      </x:c>
      <x:c r="C704" s="9" t="str">
        <x:v>Colley v Motor Insurers' Bureau [2022] EWCA Civ 360</x:v>
      </x:c>
      <x:c r="D704" s="9" t="str"/>
      <x:c r="E704" s="9" t="str"/>
      <x:c r="F704" s="13" t="str">
        <x:v>2022</x:v>
      </x:c>
      <x:c r="G704" s="9" t="str">
        <x:v>England and Wales Court of Appeal (Civil Division)</x:v>
      </x:c>
      <x:c r="H704" s="9" t="str">
        <x:v>Court of Appeal (Civil Division)</x:v>
      </x:c>
      <x:c r="I704" s="9" t="str">
        <x:v>England and Wales</x:v>
      </x:c>
      <x:c r="J704" s="9" t="str">
        <x:v>EU law / Insurance law / Administrative law</x:v>
      </x:c>
      <x:c r="K704" s="9" t="str">
        <x:v>ew-cases-EWCA-Civ-2022-360.xml</x:v>
      </x:c>
      <x:c r="L704" s="9" t="str">
        <x:v>TBA</x:v>
      </x:c>
    </x:row>
    <x:row r="705">
      <x:c r="A705" t="str">
        <x:v>b2516204-658b-455d-bb3c-a3a164057abc</x:v>
      </x:c>
      <x:c r="B705" t="str">
        <x:v>e4df3db3-524d-4685-a84c-baa73ac5d598</x:v>
      </x:c>
      <x:c r="C705" s="9" t="str">
        <x:v>Collins v Lawrence [2017] EWCA 2268 Civ</x:v>
      </x:c>
      <x:c r="D705" s="9" t="str"/>
      <x:c r="E705" s="9" t="str"/>
      <x:c r="F705" s="13" t="str">
        <x:v>2017</x:v>
      </x:c>
      <x:c r="G705" s="9" t="str">
        <x:v>England and Wales Court of Appeal (Civil Division)</x:v>
      </x:c>
      <x:c r="H705" s="9" t="str">
        <x:v>Appellate</x:v>
      </x:c>
      <x:c r="I705" s="9" t="str">
        <x:v>England and Wales</x:v>
      </x:c>
      <x:c r="J705" s="9" t="str">
        <x:v>Tort</x:v>
      </x:c>
      <x:c r="K705" s="9" t="str">
        <x:v>-ew-cases-EWCA-Civ-2017-2268.xml</x:v>
      </x:c>
      <x:c r="L705" s="9" t="str">
        <x:v>TBA</x:v>
      </x:c>
    </x:row>
    <x:row r="706">
      <x:c r="A706" t="str">
        <x:v>e81ef0d3-f3c1-4350-8933-671ef23a1f26</x:v>
      </x:c>
      <x:c r="B706" t="str">
        <x:v>127de7d1-1e96-4936-82d9-f933bbeb8539</x:v>
      </x:c>
      <x:c r="C706" s="9" t="str">
        <x:v>Collins v Secretary of State for Business Innovation and Skills &amp; Anor</x:v>
      </x:c>
      <x:c r="D706" s="9" t="str"/>
      <x:c r="E706" s="9" t="str"/>
      <x:c r="F706" s="13" t="str">
        <x:v>2014</x:v>
      </x:c>
      <x:c r="G706" s="9" t="str">
        <x:v>England and Wales Court of Appeal (Civil Division)</x:v>
      </x:c>
      <x:c r="H706" s="9" t="str">
        <x:v>Appellate</x:v>
      </x:c>
      <x:c r="I706" s="9" t="str">
        <x:v>England and Wales</x:v>
      </x:c>
      <x:c r="J706" s="9" t="str">
        <x:v>Personal Injury</x:v>
      </x:c>
      <x:c r="K706" s="9" t="str">
        <x:v>-ew-cases-EWCA-Civ-2014-717.xml</x:v>
      </x:c>
      <x:c r="L706" s="9" t="str">
        <x:v>TBA</x:v>
      </x:c>
    </x:row>
    <x:row r="707">
      <x:c r="A707" t="str">
        <x:v>cb0ca5f5-cf52-48d4-b644-19541cdf2c4d</x:v>
      </x:c>
      <x:c r="B707" t="str">
        <x:v>75cd17a6-e580-4030-997f-5d90babbfad8</x:v>
      </x:c>
      <x:c r="C707" s="9" t="str">
        <x:v>Colwill v European Heritage Ltd [2014] EWCA Civ 238</x:v>
      </x:c>
      <x:c r="D707" s="9" t="str"/>
      <x:c r="E707" s="9" t="str"/>
      <x:c r="F707" s="13" t="str">
        <x:v>2014</x:v>
      </x:c>
      <x:c r="G707" s="9" t="str">
        <x:v>England and Wales Court of Appeal (Civil Division)</x:v>
      </x:c>
      <x:c r="H707" s="9" t="str">
        <x:v>Appellate</x:v>
      </x:c>
      <x:c r="I707" s="9" t="str">
        <x:v>England and Wales</x:v>
      </x:c>
      <x:c r="J707" s="9" t="str">
        <x:v>Civil Appeal</x:v>
      </x:c>
      <x:c r="K707" s="9" t="str">
        <x:v>-ew-cases-EWCA-Civ-2014-238.xml</x:v>
      </x:c>
      <x:c r="L707" s="9" t="str">
        <x:v>TBA</x:v>
      </x:c>
    </x:row>
    <x:row r="708">
      <x:c r="A708" t="str">
        <x:v>95a7bf90-05f3-4187-9b7d-c37df658f093</x:v>
      </x:c>
      <x:c r="B708" t="str">
        <x:v>80a9ade6-80fd-41dd-9da3-c75c66381972</x:v>
      </x:c>
      <x:c r="C708" s="9" t="str">
        <x:v>Combe International LLC &amp; Anor v Dr August Wolff GmbH &amp; Co KG Arzneimittel &amp; Anor [2022] EWCA Civ 1562</x:v>
      </x:c>
      <x:c r="D708" s="9" t="str"/>
      <x:c r="E708" s="9" t="str"/>
      <x:c r="F708" s="13" t="str">
        <x:v>2022</x:v>
      </x:c>
      <x:c r="G708" s="9" t="str">
        <x:v>England and Wales Court of Appeal (Civil Division)</x:v>
      </x:c>
      <x:c r="H708" s="9" t="str">
        <x:v>Court of Appeal (Civil Division)</x:v>
      </x:c>
      <x:c r="I708" s="9" t="str">
        <x:v>England and Wales</x:v>
      </x:c>
      <x:c r="J708" s="9" t="str">
        <x:v>Intellectual Property - Trade Marks</x:v>
      </x:c>
      <x:c r="K708" s="9" t="str">
        <x:v>ew-cases-EWCA-Civ-2022-1562.xml</x:v>
      </x:c>
      <x:c r="L708" s="9" t="str">
        <x:v>TBA</x:v>
      </x:c>
    </x:row>
    <x:row r="709">
      <x:c r="A709" t="str">
        <x:v>4f48d318-bf14-45fd-9188-66c5cb20fdc4</x:v>
      </x:c>
      <x:c r="B709" t="str">
        <x:v>b00cbfd9-ee1d-4144-9b2a-ef9bd6d5f94d</x:v>
      </x:c>
      <x:c r="C709" s="9" t="str">
        <x:v>Combined Parking Solutions Ltd v AJH Films Ltd</x:v>
      </x:c>
      <x:c r="D709" s="9" t="str"/>
      <x:c r="E709" s="9" t="str"/>
      <x:c r="F709" s="13" t="str">
        <x:v>2015</x:v>
      </x:c>
      <x:c r="G709" s="9" t="str">
        <x:v>England and Wales Court of Appeal (Civil Division)</x:v>
      </x:c>
      <x:c r="H709" s="9" t="str">
        <x:v>appellate</x:v>
      </x:c>
      <x:c r="I709" s="9" t="str">
        <x:v>England and Wales</x:v>
      </x:c>
      <x:c r="J709" s="9" t="str">
        <x:v>Contract Dispute</x:v>
      </x:c>
      <x:c r="K709" s="9" t="str">
        <x:v>-ew-cases-EWCA-Civ-2015-1453.xml</x:v>
      </x:c>
      <x:c r="L709" s="9" t="str">
        <x:v>TBA</x:v>
      </x:c>
    </x:row>
    <x:row r="710">
      <x:c r="A710" t="str">
        <x:v>bb51b852-33a5-4d6e-aed7-8ee42e1ebd74</x:v>
      </x:c>
      <x:c r="B710" t="str">
        <x:v>7ea5c28b-94ef-4d70-ad10-5a29b6c4a5ec</x:v>
      </x:c>
      <x:c r="C710" s="9" t="str">
        <x:v>Comic Enterprises Ltd v Twentieth Century Fox Film Corporation (2016) EWCA Civ 455</x:v>
      </x:c>
      <x:c r="D710" s="9" t="str"/>
      <x:c r="E710" s="9" t="str"/>
      <x:c r="F710" s="13" t="str">
        <x:v>2016</x:v>
      </x:c>
      <x:c r="G710" s="9" t="str">
        <x:v>England and Wales Court of Appeal (Civil Division)</x:v>
      </x:c>
      <x:c r="H710" s="9" t="str">
        <x:v>Court of Appeal (Civil Division)</x:v>
      </x:c>
      <x:c r="I710" s="9" t="str">
        <x:v>England and Wales</x:v>
      </x:c>
      <x:c r="J710" s="9" t="str">
        <x:v>Intellectual Property - Trade Marks</x:v>
      </x:c>
      <x:c r="K710" s="9" t="str">
        <x:v>-ew-cases-EWCA-Civ-2016-455.xml</x:v>
      </x:c>
      <x:c r="L710" s="9" t="str">
        <x:v>TBA</x:v>
      </x:c>
    </x:row>
    <x:row r="711">
      <x:c r="A711" t="str">
        <x:v>bd218528-2613-406a-a7d3-0d6038eac887</x:v>
      </x:c>
      <x:c r="B711" t="str">
        <x:v>b88b59e2-6c25-4730-93fe-b134e9a5176b</x:v>
      </x:c>
      <x:c r="C711" s="9" t="str">
        <x:v>Comic Enterprises Ltd v Twentieth Century Fox Film Corporation [2016] EWCA Civ 41</x:v>
      </x:c>
      <x:c r="D711" s="9" t="str"/>
      <x:c r="E711" s="9" t="str"/>
      <x:c r="F711" s="13" t="str">
        <x:v>2016</x:v>
      </x:c>
      <x:c r="G711" s="9" t="str">
        <x:v>England and Wales Court of Appeal (Civil Division)</x:v>
      </x:c>
      <x:c r="H711" s="9" t="str">
        <x:v>Court of Appeal (Civil Division)</x:v>
      </x:c>
      <x:c r="I711" s="9" t="str">
        <x:v>England and Wales</x:v>
      </x:c>
      <x:c r="J711" s="9" t="str">
        <x:v>Intellectual Property (Trade Marks) and Passing Off</x:v>
      </x:c>
      <x:c r="K711" s="9" t="str">
        <x:v>-ew-cases-EWCA-Civ-2016-41.xml</x:v>
      </x:c>
      <x:c r="L711" s="9" t="str">
        <x:v>TBA</x:v>
      </x:c>
    </x:row>
    <x:row r="712">
      <x:c r="A712" t="str">
        <x:v>0db1b4fd-79fc-4344-bbf8-65402afee588</x:v>
      </x:c>
      <x:c r="B712" t="str">
        <x:v>564c3c61-bd63-47b8-920d-68740ee4ed76</x:v>
      </x:c>
      <x:c r="C712" s="9" t="str">
        <x:v>Commercial First Business Limited v Munday &amp; Anor [2014] EWCA Civ 1296</x:v>
      </x:c>
      <x:c r="D712" s="9" t="str"/>
      <x:c r="E712" s="9" t="str"/>
      <x:c r="F712" s="13" t="str">
        <x:v>2014</x:v>
      </x:c>
      <x:c r="G712" s="9" t="str">
        <x:v>England and Wales Court of Appeal (Civil Division)</x:v>
      </x:c>
      <x:c r="H712" s="9" t="str">
        <x:v>Appellate</x:v>
      </x:c>
      <x:c r="I712" s="9" t="str">
        <x:v>England and Wales</x:v>
      </x:c>
      <x:c r="J712" s="9" t="str">
        <x:v>Contract Dispute</x:v>
      </x:c>
      <x:c r="K712" s="9" t="str">
        <x:v>-ew-cases-EWCA-Civ-2014-1296.xml</x:v>
      </x:c>
      <x:c r="L712" s="9" t="str">
        <x:v>TBA</x:v>
      </x:c>
    </x:row>
    <x:row r="713">
      <x:c r="A713" t="str">
        <x:v>e2ceb6df-814a-4db0-a4ef-436068b5206a</x:v>
      </x:c>
      <x:c r="B713" t="str">
        <x:v>a096e05a-4c69-4dcc-85ad-e7ed8a2e8b2c</x:v>
      </x:c>
      <x:c r="C713" s="9" t="str">
        <x:v>Commissioner of Police of the Metropolis v Copeland [2014] EWCA Civ 1014</x:v>
      </x:c>
      <x:c r="D713" s="9" t="str"/>
      <x:c r="E713" s="9" t="str"/>
      <x:c r="F713" s="13" t="str">
        <x:v>2014</x:v>
      </x:c>
      <x:c r="G713" s="9" t="str">
        <x:v>England and Wales Court of Appeal (Civil Division)</x:v>
      </x:c>
      <x:c r="H713" s="9" t="str">
        <x:v>Appellate</x:v>
      </x:c>
      <x:c r="I713" s="9" t="str">
        <x:v>England and Wales</x:v>
      </x:c>
      <x:c r="J713" s="9" t="str">
        <x:v>Civil Rights</x:v>
      </x:c>
      <x:c r="K713" s="9" t="str">
        <x:v>-ew-cases-EWCA-Civ-2014-1014.xml</x:v>
      </x:c>
      <x:c r="L713" s="9" t="str">
        <x:v>TBA</x:v>
      </x:c>
    </x:row>
    <x:row r="714">
      <x:c r="A714" t="str">
        <x:v>379c0f4e-9dbe-49be-84b3-515a6b22538a</x:v>
      </x:c>
      <x:c r="B714" t="str">
        <x:v>55cd4823-5b95-40f9-9a1a-8dfc3375f6d1</x:v>
      </x:c>
      <x:c r="C714" s="9" t="str">
        <x:v>Commissioners for Her Majesty's Revenue and Customs v Denning &amp; Ors [2022] EWCA Civ 909</x:v>
      </x:c>
      <x:c r="D714" s="9" t="str"/>
      <x:c r="E714" s="9" t="str"/>
      <x:c r="F714" s="13" t="str">
        <x:v>2022</x:v>
      </x:c>
      <x:c r="G714" s="9" t="str">
        <x:v>England and Wales Court of Appeal (Civil Division)</x:v>
      </x:c>
      <x:c r="H714" s="9" t="str">
        <x:v>Court of Appeal (Civil Division)</x:v>
      </x:c>
      <x:c r="I714" s="9" t="str">
        <x:v>England and Wales</x:v>
      </x:c>
      <x:c r="J714" s="9" t="str">
        <x:v>Tax Law</x:v>
      </x:c>
      <x:c r="K714" s="9" t="str">
        <x:v>ew-cases-EWCA-Civ-2022-909.xml</x:v>
      </x:c>
      <x:c r="L714" s="9" t="str">
        <x:v>TBA</x:v>
      </x:c>
    </x:row>
    <x:row r="715">
      <x:c r="A715" t="str">
        <x:v>c02bfc7e-2bec-4b73-ae13-724b41c558a3</x:v>
      </x:c>
      <x:c r="B715" t="str">
        <x:v>d8a97814-f000-467c-a202-ef9226a745e4</x:v>
      </x:c>
      <x:c r="C715" s="9" t="str">
        <x:v>Commissioners for His Majesty's Revenue and Customs v Centrica Overseas Holdings Limited [2022] EWCA Civ 1520</x:v>
      </x:c>
      <x:c r="D715" s="9" t="str"/>
      <x:c r="E715" s="9" t="str"/>
      <x:c r="F715" s="13" t="str">
        <x:v>2022</x:v>
      </x:c>
      <x:c r="G715" s="9" t="str">
        <x:v>England and Wales Court of Appeal (Civil Division)</x:v>
      </x:c>
      <x:c r="H715" s="9" t="str">
        <x:v>Court of Appeal (Civil Division)</x:v>
      </x:c>
      <x:c r="I715" s="9" t="str">
        <x:v>England and Wales</x:v>
      </x:c>
      <x:c r="J715" s="9" t="str">
        <x:v>Tax Law / Corporate Tax / Investment Business</x:v>
      </x:c>
      <x:c r="K715" s="9" t="str">
        <x:v>ew-cases-EWCA-Civ-2022-1520.xml</x:v>
      </x:c>
      <x:c r="L715" s="9" t="str">
        <x:v>TBA</x:v>
      </x:c>
    </x:row>
    <x:row r="716">
      <x:c r="A716" t="str">
        <x:v>44f16a7e-c612-4d32-906c-02fbd9591ce4</x:v>
      </x:c>
      <x:c r="B716" t="str">
        <x:v>046e1c8b-89e0-4a66-870e-3e9d763900a6</x:v>
      </x:c>
      <x:c r="C716" s="9" t="str">
        <x:v>Commissioners for HM Revenue and Customs v Atholl House Productions Ltd [2022] EWCA Civ 501 (IR35)</x:v>
      </x:c>
      <x:c r="D716" s="9" t="str"/>
      <x:c r="E716" s="9" t="str"/>
      <x:c r="F716" s="13" t="str">
        <x:v>2022</x:v>
      </x:c>
      <x:c r="G716" s="9" t="str">
        <x:v>England and Wales Court of Appeal (Civil Division)</x:v>
      </x:c>
      <x:c r="H716" s="9" t="str">
        <x:v>Court of Appeal (Civil Division)</x:v>
      </x:c>
      <x:c r="I716" s="9" t="str">
        <x:v>England and Wales</x:v>
      </x:c>
      <x:c r="J716" s="9" t="str">
        <x:v>Tax Law - Employment status under IR35</x:v>
      </x:c>
      <x:c r="K716" s="9" t="str">
        <x:v>ew-cases-EWCA-Civ-2022-501.xml</x:v>
      </x:c>
      <x:c r="L716" s="9" t="str">
        <x:v>TBA</x:v>
      </x:c>
    </x:row>
    <x:row r="717">
      <x:c r="A717" t="str">
        <x:v>d0367efa-f451-4275-bda9-4f3c579046f6</x:v>
      </x:c>
      <x:c r="B717" t="str">
        <x:v>37322248-7ff9-40fc-81db-2c85731a6f2d</x:v>
      </x:c>
      <x:c r="C717" s="9" t="str">
        <x:v>Commodities Research Unit International (Holdings) Ltd &amp; Ors v QSP Residual Recoveries LLP</x:v>
      </x:c>
      <x:c r="D717" s="9" t="str"/>
      <x:c r="E717" s="9" t="str"/>
      <x:c r="F717" s="13" t="str">
        <x:v>2017</x:v>
      </x:c>
      <x:c r="G717" s="9" t="str">
        <x:v>England and Wales Court of Appeal (Civil Division)</x:v>
      </x:c>
      <x:c r="H717" s="9" t="str">
        <x:v>Appellate</x:v>
      </x:c>
      <x:c r="I717" s="9" t="str">
        <x:v>England and Wales</x:v>
      </x:c>
      <x:c r="J717" s="9" t="str">
        <x:v>Professional Negligence</x:v>
      </x:c>
      <x:c r="K717" s="9" t="str">
        <x:v>-ew-cases-EWCA-Civ-2017-1197.xml</x:v>
      </x:c>
      <x:c r="L717" s="9" t="str">
        <x:v>TBA</x:v>
      </x:c>
    </x:row>
    <x:row r="718">
      <x:c r="A718" t="str">
        <x:v>527296ba-ecf5-4e5c-88d6-853c2d6b9765</x:v>
      </x:c>
      <x:c r="B718" t="str">
        <x:v>333f1916-0a9a-47c9-803b-e5904e26f3c4</x:v>
      </x:c>
      <x:c r="C718" s="9" t="str">
        <x:v>Complete Building Solutions Ltd v Brown &amp; Anor [2015] EWCA Civ 1316</x:v>
      </x:c>
      <x:c r="D718" s="9" t="str"/>
      <x:c r="E718" s="9" t="str"/>
      <x:c r="F718" s="13" t="str">
        <x:v>2015</x:v>
      </x:c>
      <x:c r="G718" s="9" t="str">
        <x:v>England and Wales Court of Appeal (Civil Division)</x:v>
      </x:c>
      <x:c r="H718" s="9" t="str">
        <x:v>Appellate</x:v>
      </x:c>
      <x:c r="I718" s="9" t="str">
        <x:v>England and Wales</x:v>
      </x:c>
      <x:c r="J718" s="9" t="str">
        <x:v>Contract Dispute</x:v>
      </x:c>
      <x:c r="K718" s="9" t="str">
        <x:v>-ew-cases-EWCA-Civ-2015-1316.xml</x:v>
      </x:c>
      <x:c r="L718" s="9" t="str">
        <x:v>TBA</x:v>
      </x:c>
    </x:row>
    <x:row r="719">
      <x:c r="A719" t="str">
        <x:v>caf43664-93be-484d-beb7-83342c60d7c2</x:v>
      </x:c>
      <x:c r="B719" t="str">
        <x:v>4328ca01-119e-4940-b504-eac9504a66dd</x:v>
      </x:c>
      <x:c r="C719" s="9" t="str">
        <x:v>Compound Photonics Group Ltd, Re [2022] EWCA Civ 1371</x:v>
      </x:c>
      <x:c r="D719" s="9" t="str"/>
      <x:c r="E719" s="9" t="str"/>
      <x:c r="F719" s="13" t="str">
        <x:v>2022</x:v>
      </x:c>
      <x:c r="G719" s="9" t="str">
        <x:v>England and Wales Court of Appeal (Civil Division)</x:v>
      </x:c>
      <x:c r="H719" s="9" t="str">
        <x:v>Court of Appeal (Civil Division)</x:v>
      </x:c>
      <x:c r="I719" s="9" t="str">
        <x:v>England and Wales</x:v>
      </x:c>
      <x:c r="J719" s="9" t="str">
        <x:v>Company Law – Unfair prejudice (Companies Act 2006 s. 994) and governance under private shareholders' agreements</x:v>
      </x:c>
      <x:c r="K719" s="9" t="str">
        <x:v>ew-cases-EWCA-Civ-2022-1371.xml</x:v>
      </x:c>
      <x:c r="L719" s="9" t="str">
        <x:v>TBA</x:v>
      </x:c>
    </x:row>
    <x:row r="720">
      <x:c r="A720" t="str">
        <x:v>355bba5c-a557-4d85-815e-17559636f984</x:v>
      </x:c>
      <x:c r="B720" t="str">
        <x:v>0368612b-ff89-4bce-bd72-c0362fa5ad4c</x:v>
      </x:c>
      <x:c r="C720" s="9" t="str">
        <x:v>Compromise Agreements Ltd v Secretary of State for Business, Innovation and Skills</x:v>
      </x:c>
      <x:c r="D720" s="9" t="str"/>
      <x:c r="E720" s="9" t="str"/>
      <x:c r="F720" s="13" t="str">
        <x:v>2015</x:v>
      </x:c>
      <x:c r="G720" s="9" t="str">
        <x:v>England and Wales Court of Appeal (Civil Division)</x:v>
      </x:c>
      <x:c r="H720" s="9" t="str">
        <x:v>Appellate</x:v>
      </x:c>
      <x:c r="I720" s="9" t="str">
        <x:v>England and Wales</x:v>
      </x:c>
      <x:c r="J720" s="9" t="str">
        <x:v>Administrative Law</x:v>
      </x:c>
      <x:c r="K720" s="9" t="str">
        <x:v>-ew-cases-EWCA-Civ-2015-732.xml</x:v>
      </x:c>
      <x:c r="L720" s="9" t="str">
        <x:v>TBA</x:v>
      </x:c>
    </x:row>
    <x:row r="721">
      <x:c r="A721" t="str">
        <x:v>cebb6f89-ca77-4d11-8c2c-8d8801c1bc0c</x:v>
      </x:c>
      <x:c r="B721" t="str">
        <x:v>d2ec70e3-3f92-4a6f-9056-4c3097b15352</x:v>
      </x:c>
      <x:c r="C721" s="9" t="str">
        <x:v>Conlon v Royal Sun Alliance Insurance Plc [2015] EWCA Civ 92</x:v>
      </x:c>
      <x:c r="D721" s="9" t="str"/>
      <x:c r="E721" s="9" t="str"/>
      <x:c r="F721" s="13" t="str">
        <x:v>2015</x:v>
      </x:c>
      <x:c r="G721" s="9" t="str">
        <x:v>England and Wales Court of Appeal (Civil Division)</x:v>
      </x:c>
      <x:c r="H721" s="9" t="str">
        <x:v>Appellate Court</x:v>
      </x:c>
      <x:c r="I721" s="9" t="str">
        <x:v>England and Wales</x:v>
      </x:c>
      <x:c r="J721" s="9" t="str">
        <x:v>Civil Appeal</x:v>
      </x:c>
      <x:c r="K721" s="9" t="str">
        <x:v>-ew-cases-EWCA-Civ-2015-92.xml</x:v>
      </x:c>
      <x:c r="L721" s="9" t="str">
        <x:v>TBA</x:v>
      </x:c>
    </x:row>
    <x:row r="722">
      <x:c r="A722" t="str">
        <x:v>53a4cbb5-7529-4112-894d-5be9028557fb</x:v>
      </x:c>
      <x:c r="B722" t="str">
        <x:v>9b9f9e4b-b866-4635-bf22-d0b01e344db9</x:v>
      </x:c>
      <x:c r="C722" s="9" t="str">
        <x:v>Connors &amp; Ors v Secretary of State for Communities and Local Government &amp; Ors</x:v>
      </x:c>
      <x:c r="D722" s="9" t="str"/>
      <x:c r="E722" s="9" t="str"/>
      <x:c r="F722" s="13" t="str">
        <x:v>2015</x:v>
      </x:c>
      <x:c r="G722" s="9" t="str">
        <x:v>England and Wales Court of Appeal (Civil Division)</x:v>
      </x:c>
      <x:c r="H722" s="9" t="str">
        <x:v>Appellate</x:v>
      </x:c>
      <x:c r="I722" s="9" t="str">
        <x:v>England and Wales</x:v>
      </x:c>
      <x:c r="J722" s="9" t="str">
        <x:v>Administrative Law/Planning</x:v>
      </x:c>
      <x:c r="K722" s="9" t="str">
        <x:v>-ew-cases-EWCA-Civ-2015-1454.xml</x:v>
      </x:c>
      <x:c r="L722" s="9" t="str">
        <x:v>TBA</x:v>
      </x:c>
    </x:row>
    <x:row r="723">
      <x:c r="A723" t="str">
        <x:v>97c67514-d9ee-464e-a9f1-0ee52a21b7b6</x:v>
      </x:c>
      <x:c r="B723" t="str">
        <x:v>55997d8d-c5fd-422f-b796-2c6f2ee3a0b0</x:v>
      </x:c>
      <x:c r="C723" s="9" t="str">
        <x:v>Connors &amp; Ors v Secretary of State for Communities and Local Government &amp; Ors</x:v>
      </x:c>
      <x:c r="D723" s="9" t="str"/>
      <x:c r="E723" s="9" t="str"/>
      <x:c r="F723" s="13" t="str">
        <x:v>2017</x:v>
      </x:c>
      <x:c r="G723" s="9" t="str">
        <x:v>England and Wales Court of Appeal (Civil Division)</x:v>
      </x:c>
      <x:c r="H723" s="9" t="str">
        <x:v>Appellate</x:v>
      </x:c>
      <x:c r="I723" s="9" t="str">
        <x:v>England and Wales</x:v>
      </x:c>
      <x:c r="J723" s="9" t="str">
        <x:v>Administrative Law</x:v>
      </x:c>
      <x:c r="K723" s="9" t="str">
        <x:v>-ew-cases-EWCA-Civ-2017-1850.xml</x:v>
      </x:c>
      <x:c r="L723" s="9" t="str">
        <x:v>TBA</x:v>
      </x:c>
    </x:row>
    <x:row r="724">
      <x:c r="A724" t="str">
        <x:v>1189bcf2-5044-46d5-806d-9c65268afc07</x:v>
      </x:c>
      <x:c r="B724" t="str">
        <x:v>c1380042-a659-4c86-a09d-b82af9675c58</x:v>
      </x:c>
      <x:c r="C724" s="9" t="str">
        <x:v>Contra Holdings Ltd v Bamford [2023] EWCA Civ 374</x:v>
      </x:c>
      <x:c r="D724" s="9" t="str"/>
      <x:c r="E724" s="9" t="str"/>
      <x:c r="F724" s="13" t="str">
        <x:v>2023</x:v>
      </x:c>
      <x:c r="G724" s="9" t="str">
        <x:v>England and Wales Court of Appeal (Civil Division)</x:v>
      </x:c>
      <x:c r="H724" s="9" t="str">
        <x:v>Court of Appeal (Civil Division)</x:v>
      </x:c>
      <x:c r="I724" s="9" t="str">
        <x:v>England and Wales</x:v>
      </x:c>
      <x:c r="J724" s="9" t="str">
        <x:v>Contract Law / Commercial Contract Interpretation</x:v>
      </x:c>
      <x:c r="K724" s="9" t="str">
        <x:v>ew-cases-EWCA-Civ-2023-374.xml</x:v>
      </x:c>
      <x:c r="L724" s="9" t="str">
        <x:v>TBA</x:v>
      </x:c>
    </x:row>
    <x:row r="725">
      <x:c r="A725" t="str">
        <x:v>a0e9f626-5de1-4bb5-b35e-114b6508c0d0</x:v>
      </x:c>
      <x:c r="B725" t="str">
        <x:v>92582ee0-b5d3-43b4-af9d-10276fa36be9</x:v>
      </x:c>
      <x:c r="C725" s="9" t="str">
        <x:v>Cook &amp; Ors v McNeil &amp; Anor [2015] EWCA Civ 1287</x:v>
      </x:c>
      <x:c r="D725" s="9" t="str"/>
      <x:c r="E725" s="9" t="str"/>
      <x:c r="F725" s="13" t="str">
        <x:v>2015</x:v>
      </x:c>
      <x:c r="G725" s="9" t="str">
        <x:v>England and Wales Court of Appeal (Civil Division)</x:v>
      </x:c>
      <x:c r="H725" s="9" t="str">
        <x:v>Appellate</x:v>
      </x:c>
      <x:c r="I725" s="9" t="str">
        <x:v>England and Wales</x:v>
      </x:c>
      <x:c r="J725" s="9" t="str">
        <x:v>Civil Jurisdiction</x:v>
      </x:c>
      <x:c r="K725" s="9" t="str">
        <x:v>-ew-cases-EWCA-Civ-2015-1287.xml</x:v>
      </x:c>
      <x:c r="L725" s="9" t="str">
        <x:v>TBA</x:v>
      </x:c>
    </x:row>
    <x:row r="726">
      <x:c r="A726" t="str">
        <x:v>0ad1a54b-e8f2-484b-94ef-af8a3c3f3d1e</x:v>
      </x:c>
      <x:c r="B726" t="str">
        <x:v>68688c20-0748-4e48-a8cb-ea4e2e2123b8</x:v>
      </x:c>
      <x:c r="C726" s="9" t="str">
        <x:v>Cook v Mortgage Debenture Limited [2016] EWCA Civ 103</x:v>
      </x:c>
      <x:c r="D726" s="9" t="str"/>
      <x:c r="E726" s="9" t="str"/>
      <x:c r="F726" s="13" t="str">
        <x:v>2016</x:v>
      </x:c>
      <x:c r="G726" s="9" t="str">
        <x:v>England and Wales Court of Appeal (Civil Division)</x:v>
      </x:c>
      <x:c r="H726" s="9" t="str">
        <x:v>Court of Appeal (Civil Division)</x:v>
      </x:c>
      <x:c r="I726" s="9" t="str">
        <x:v>England and Wales</x:v>
      </x:c>
      <x:c r="J726" s="9" t="str">
        <x:v>Civil and Insolvency Law; Moratorium in Administration; Procedural Proceedings</x:v>
      </x:c>
      <x:c r="K726" s="9" t="str">
        <x:v>-ew-cases-EWCA-Civ-2016-103.xml</x:v>
      </x:c>
      <x:c r="L726" s="9" t="str">
        <x:v>TBA</x:v>
      </x:c>
    </x:row>
    <x:row r="727">
      <x:c r="A727" t="str">
        <x:v>7b0311e6-0c29-4766-a109-cfe87b35c261</x:v>
      </x:c>
      <x:c r="B727" t="str">
        <x:v>f2c35805-f9cf-4129-a35f-ebc9704dc03d</x:v>
      </x:c>
      <x:c r="C727" s="9" t="str">
        <x:v>Cook v Swansea City Council [2017] EWCA Civ 2142</x:v>
      </x:c>
      <x:c r="D727" s="9" t="str"/>
      <x:c r="E727" s="9" t="str"/>
      <x:c r="F727" s="13" t="str">
        <x:v>2017</x:v>
      </x:c>
      <x:c r="G727" s="9" t="str">
        <x:v>England and Wales Court of Appeal (Civil Division)</x:v>
      </x:c>
      <x:c r="H727" s="9" t="str">
        <x:v>Appellate</x:v>
      </x:c>
      <x:c r="I727" s="9" t="str">
        <x:v>England and Wales</x:v>
      </x:c>
      <x:c r="J727" s="9" t="str">
        <x:v>Negligence</x:v>
      </x:c>
      <x:c r="K727" s="9" t="str">
        <x:v>-ew-cases-EWCA-Civ-2017-2142.xml</x:v>
      </x:c>
      <x:c r="L727" s="9" t="str">
        <x:v>TBA</x:v>
      </x:c>
    </x:row>
    <x:row r="728">
      <x:c r="A728" t="str">
        <x:v>9369edcb-c70b-447d-80d4-26d8f2e86828</x:v>
      </x:c>
      <x:c r="B728" t="str">
        <x:v>2e352e2e-994a-4640-b36d-18aa52611c07</x:v>
      </x:c>
      <x:c r="C728" s="9" t="str">
        <x:v>Cooneen Watts &amp; Stone Ltd v HM Revenue and Customs</x:v>
      </x:c>
      <x:c r="D728" s="9" t="str"/>
      <x:c r="E728" s="9" t="str"/>
      <x:c r="F728" s="13" t="str">
        <x:v>2015</x:v>
      </x:c>
      <x:c r="G728" s="9" t="str">
        <x:v>England and Wales Court of Appeal (Civil Division)</x:v>
      </x:c>
      <x:c r="H728" s="9" t="str">
        <x:v>Appellate</x:v>
      </x:c>
      <x:c r="I728" s="9" t="str">
        <x:v>England and Wales</x:v>
      </x:c>
      <x:c r="J728" s="9" t="str">
        <x:v>Tax Law</x:v>
      </x:c>
      <x:c r="K728" s="9" t="str">
        <x:v>-ew-cases-EWCA-Civ-2015-1261.xml</x:v>
      </x:c>
      <x:c r="L728" s="9" t="str">
        <x:v>TBA</x:v>
      </x:c>
    </x:row>
    <x:row r="729">
      <x:c r="A729" t="str">
        <x:v>cbbb305a-cd41-4b4e-88c3-6db8f3d02c4c</x:v>
      </x:c>
      <x:c r="B729" t="str">
        <x:v>074ce087-492f-4b41-aa15-d0ba6226ecc9</x:v>
      </x:c>
      <x:c r="C729" s="9" t="str">
        <x:v>Coope &amp; Ors v Ward &amp; Anor [2015] EWCA Civ 283</x:v>
      </x:c>
      <x:c r="D729" s="9" t="str"/>
      <x:c r="E729" s="9" t="str"/>
      <x:c r="F729" s="13" t="str">
        <x:v>2015</x:v>
      </x:c>
      <x:c r="G729" s="9" t="str">
        <x:v>England and Wales Court of Appeal (Civil Division)</x:v>
      </x:c>
      <x:c r="H729" s="9" t="str">
        <x:v>Appellate</x:v>
      </x:c>
      <x:c r="I729" s="9" t="str">
        <x:v>England and Wales</x:v>
      </x:c>
      <x:c r="J729" s="9" t="str">
        <x:v>Property Law</x:v>
      </x:c>
      <x:c r="K729" s="9" t="str">
        <x:v>-ew-cases-EWCA-Civ-2015-283.xml</x:v>
      </x:c>
      <x:c r="L729" s="9" t="str">
        <x:v>TBA</x:v>
      </x:c>
    </x:row>
    <x:row r="730">
      <x:c r="A730" t="str">
        <x:v>e2e5a043-3b58-46e4-9c33-b8b7b598ffba</x:v>
      </x:c>
      <x:c r="B730" t="str">
        <x:v>87b2a51a-72d4-4a9f-8b13-f77e369a7c22</x:v>
      </x:c>
      <x:c r="C730" s="9" t="str">
        <x:v>Coope &amp; Ors v Ward &amp; Anor [2015] EWCA Civ 30</x:v>
      </x:c>
      <x:c r="D730" s="9" t="str"/>
      <x:c r="E730" s="9" t="str"/>
      <x:c r="F730" s="13" t="str">
        <x:v>2015</x:v>
      </x:c>
      <x:c r="G730" s="9" t="str">
        <x:v>England and Wales Court of Appeal (Civil Division)</x:v>
      </x:c>
      <x:c r="H730" s="9" t="str">
        <x:v>Appellate</x:v>
      </x:c>
      <x:c r="I730" s="9" t="str">
        <x:v>England and Wales</x:v>
      </x:c>
      <x:c r="J730" s="9" t="str">
        <x:v>Tort</x:v>
      </x:c>
      <x:c r="K730" s="9" t="str">
        <x:v>-ew-cases-EWCA-Civ-2015-30.xml</x:v>
      </x:c>
      <x:c r="L730" s="9" t="str">
        <x:v>TBA</x:v>
      </x:c>
    </x:row>
    <x:row r="731">
      <x:c r="A731" t="str">
        <x:v>3496e89e-21e2-4307-acf6-f6c1205a1afc</x:v>
      </x:c>
      <x:c r="B731" t="str">
        <x:v>8e4e8f89-c7a7-4168-937b-a814af2b81a9</x:v>
      </x:c>
      <x:c r="C731" s="9" t="str">
        <x:v>Cooper v The Freedom Travel Group Ltd</x:v>
      </x:c>
      <x:c r="D731" s="9" t="str"/>
      <x:c r="E731" s="9" t="str"/>
      <x:c r="F731" s="13" t="str">
        <x:v>2022</x:v>
      </x:c>
      <x:c r="G731" s="9" t="str">
        <x:v>England and Wales Court of Appeal (Civil Division)</x:v>
      </x:c>
      <x:c r="H731" s="9" t="str">
        <x:v>Court of Appeal (Civil Division)</x:v>
      </x:c>
      <x:c r="I731" s="9" t="str">
        <x:v>England and Wales</x:v>
      </x:c>
      <x:c r="J731" s="9" t="str">
        <x:v>Contract/Consumer Credit law and statutory interpretation</x:v>
      </x:c>
      <x:c r="K731" s="9" t="str">
        <x:v>ew-cases-EWCA-Civ-2022-1557.xml</x:v>
      </x:c>
      <x:c r="L731" s="9" t="str">
        <x:v>TBA</x:v>
      </x:c>
    </x:row>
    <x:row r="732">
      <x:c r="A732" t="str">
        <x:v>89dde3bc-07a2-4a92-a20c-6c2f780a902c</x:v>
      </x:c>
      <x:c r="B732" t="str">
        <x:v>a1b35831-8ed8-43ad-bc7e-488100344627</x:v>
      </x:c>
      <x:c r="C732" s="9" t="str">
        <x:v>Corbett v Cornwall Council [2022] EWCA Civ 1069</x:v>
      </x:c>
      <x:c r="D732" s="9" t="str"/>
      <x:c r="E732" s="9" t="str"/>
      <x:c r="F732" s="13" t="str">
        <x:v>2022</x:v>
      </x:c>
      <x:c r="G732" s="9" t="str">
        <x:v>England and Wales Court of Appeal (Civil Division)</x:v>
      </x:c>
      <x:c r="H732" s="9" t="str">
        <x:v>Court of Appeal (Civil Division)</x:v>
      </x:c>
      <x:c r="I732" s="9" t="str">
        <x:v>England and Wales</x:v>
      </x:c>
      <x:c r="J732" s="9" t="str">
        <x:v>Planning Law</x:v>
      </x:c>
      <x:c r="K732" s="9" t="str">
        <x:v>ew-cases-EWCA-Civ-2022-1069.xml</x:v>
      </x:c>
      <x:c r="L732" s="9" t="str">
        <x:v>TBA</x:v>
      </x:c>
    </x:row>
    <x:row r="733">
      <x:c r="A733" t="str">
        <x:v>45616423-1b46-4bb5-9d20-dea322f02c7d</x:v>
      </x:c>
      <x:c r="B733" t="str">
        <x:v>f2dbd1ac-676b-4071-9d54-f0b41e6d79dd</x:v>
      </x:c>
      <x:c r="C733" s="9" t="str">
        <x:v>Corbyn v Millett [2021] EWCA Civ 567 - Libel Appeal Analysis</x:v>
      </x:c>
      <x:c r="D733" s="9" t="str"/>
      <x:c r="E733" s="9" t="str"/>
      <x:c r="F733" s="13" t="str">
        <x:v>2021</x:v>
      </x:c>
      <x:c r="G733" s="9" t="str">
        <x:v>England and Wales Court of Appeal (Civil Division)</x:v>
      </x:c>
      <x:c r="H733" s="9" t="str">
        <x:v>Appellate</x:v>
      </x:c>
      <x:c r="I733" s="9" t="str">
        <x:v>England and Wales</x:v>
      </x:c>
      <x:c r="J733" s="9" t="str">
        <x:v>Defamation</x:v>
      </x:c>
      <x:c r="K733" s="9" t="str">
        <x:v>ew-cases-EWCA-Civ-2021-567.xml</x:v>
      </x:c>
      <x:c r="L733" s="9" t="str">
        <x:v>TBA</x:v>
      </x:c>
    </x:row>
    <x:row r="734">
      <x:c r="A734" t="str">
        <x:v>5cafe336-cb18-432b-83b3-88f02a197474</x:v>
      </x:c>
      <x:c r="B734" t="str">
        <x:v>12c01d71-44c6-4956-8b4b-f5e1e58f7e48</x:v>
      </x:c>
      <x:c r="C734" s="9" t="str">
        <x:v>Core Issues Trust v Transport For London</x:v>
      </x:c>
      <x:c r="D734" s="9" t="str"/>
      <x:c r="E734" s="9" t="str"/>
      <x:c r="F734" s="13" t="str">
        <x:v>2014</x:v>
      </x:c>
      <x:c r="G734" s="9" t="str">
        <x:v>England and Wales Court of Appeal (Civil Division)</x:v>
      </x:c>
      <x:c r="H734" s="9" t="str">
        <x:v>Appellate</x:v>
      </x:c>
      <x:c r="I734" s="9" t="str">
        <x:v>England and Wales</x:v>
      </x:c>
      <x:c r="J734" s="9" t="str">
        <x:v>Administrative Law</x:v>
      </x:c>
      <x:c r="K734" s="9" t="str">
        <x:v>-ew-cases-EWCA-Civ-2014-34.xml</x:v>
      </x:c>
      <x:c r="L734" s="9" t="str">
        <x:v>TBA</x:v>
      </x:c>
    </x:row>
    <x:row r="735">
      <x:c r="A735" t="str">
        <x:v>e657de5a-7606-450d-8ab0-31f96ce851fa</x:v>
      </x:c>
      <x:c r="B735" t="str">
        <x:v>89eec5b0-6a53-4135-8ab9-17e062417bff</x:v>
      </x:c>
      <x:c r="C735" s="9" t="str">
        <x:v>Cornelius v Dubai Islamic Bank PJSC</x:v>
      </x:c>
      <x:c r="D735" s="9" t="str"/>
      <x:c r="E735" s="9" t="str"/>
      <x:c r="F735" s="13" t="str">
        <x:v>2014</x:v>
      </x:c>
      <x:c r="G735" s="9" t="str">
        <x:v>England and Wales Court of Appeal (Civil Division)</x:v>
      </x:c>
      <x:c r="H735" s="9" t="str">
        <x:v>appellate</x:v>
      </x:c>
      <x:c r="I735" s="9" t="str">
        <x:v>England and Wales</x:v>
      </x:c>
      <x:c r="J735" s="9" t="str">
        <x:v>Contract Dispute</x:v>
      </x:c>
      <x:c r="K735" s="9" t="str">
        <x:v>-ew-cases-EWCA-Civ-2014-1274.xml</x:v>
      </x:c>
      <x:c r="L735" s="9" t="str">
        <x:v>TBA</x:v>
      </x:c>
    </x:row>
    <x:row r="736">
      <x:c r="A736" t="str">
        <x:v>1f8a5f5a-e2bc-412f-b2ee-b4400b64855e</x:v>
      </x:c>
      <x:c r="B736" t="str">
        <x:v>fb550de2-46f0-4e9d-a141-e5e6dba358bb</x:v>
      </x:c>
      <x:c r="C736" s="9" t="str">
        <x:v>Cornerstone (North East) Adoption and Fostering Services Ltd v HM Chief Inspector of Education, Children's Services and Skills (OFSTED)</x:v>
      </x:c>
      <x:c r="D736" s="9" t="str"/>
      <x:c r="E736" s="9" t="str"/>
      <x:c r="F736" s="13" t="str">
        <x:v>2021</x:v>
      </x:c>
      <x:c r="G736" s="9" t="str">
        <x:v>England and Wales Court of Appeal (Civil Division)</x:v>
      </x:c>
      <x:c r="H736" s="9" t="str">
        <x:v>Appellate</x:v>
      </x:c>
      <x:c r="I736" s="9" t="str">
        <x:v>England and Wales</x:v>
      </x:c>
      <x:c r="J736" s="9" t="str">
        <x:v>Discrimination</x:v>
      </x:c>
      <x:c r="K736" s="9" t="str">
        <x:v>ew-cases-EWCA-Civ-2021-1390.xml</x:v>
      </x:c>
      <x:c r="L736" s="9" t="str">
        <x:v>TBA</x:v>
      </x:c>
    </x:row>
    <x:row r="737">
      <x:c r="A737" t="str">
        <x:v>8871b59e-d041-4530-ad89-5ad167e93dd2</x:v>
      </x:c>
      <x:c r="B737" t="str">
        <x:v>e261f4f9-819b-45b6-b209-478e7892609c</x:v>
      </x:c>
      <x:c r="C737" s="9" t="str">
        <x:v>Cornerstone Telecommunications Infrastructure v Ashloch Ltd &amp; Anor (Rev 2)</x:v>
      </x:c>
      <x:c r="D737" s="9" t="str"/>
      <x:c r="E737" s="9" t="str"/>
      <x:c r="F737" s="13" t="str">
        <x:v>2021</x:v>
      </x:c>
      <x:c r="G737" s="9" t="str">
        <x:v>England and Wales Court of Appeal (Civil Division)</x:v>
      </x:c>
      <x:c r="H737" s="9" t="str">
        <x:v>Court of Appeal</x:v>
      </x:c>
      <x:c r="I737" s="9" t="str">
        <x:v>England and Wales</x:v>
      </x:c>
      <x:c r="J737" s="9" t="str">
        <x:v>Administrative Law</x:v>
      </x:c>
      <x:c r="K737" s="9" t="str">
        <x:v>ew-cases-EWCA-Civ-2021-90.xml</x:v>
      </x:c>
      <x:c r="L737" s="9" t="str">
        <x:v>TBA</x:v>
      </x:c>
    </x:row>
    <x:row r="738">
      <x:c r="A738" t="str">
        <x:v>52f13c07-825b-48d2-82f1-88e60606c7ad</x:v>
      </x:c>
      <x:c r="B738" t="str">
        <x:v>cd98cd93-1541-413a-916a-6811c8458732</x:v>
      </x:c>
      <x:c r="C738" s="9" t="str">
        <x:v>Cornwall Council, R (on the application of) v Secretary of State for Health &amp; Ors</x:v>
      </x:c>
      <x:c r="D738" s="9" t="str"/>
      <x:c r="E738" s="9" t="str"/>
      <x:c r="F738" s="13" t="str">
        <x:v>2014</x:v>
      </x:c>
      <x:c r="G738" s="9" t="str">
        <x:v>England and Wales Court of Appeal (Civil Division)</x:v>
      </x:c>
      <x:c r="H738" s="9" t="str">
        <x:v>Appellate</x:v>
      </x:c>
      <x:c r="I738" s="9" t="str">
        <x:v>England and Wales</x:v>
      </x:c>
      <x:c r="J738" s="9" t="str">
        <x:v>Administrative Law</x:v>
      </x:c>
      <x:c r="K738" s="9" t="str">
        <x:v>-ew-cases-EWCA-Civ-2014-12.xml</x:v>
      </x:c>
      <x:c r="L738" s="9" t="str">
        <x:v>TBA</x:v>
      </x:c>
    </x:row>
    <x:row r="739">
      <x:c r="A739" t="str">
        <x:v>0008dc7b-e8dd-4810-b7a6-58beb54925d6</x:v>
      </x:c>
      <x:c r="B739" t="str">
        <x:v>2282d207-63f7-4b06-93b5-820d69216b33</x:v>
      </x:c>
      <x:c r="C739" s="9" t="str">
        <x:v>Correia v University Hospital of North Staffordshire NHS Trust [2017] EWCA Civ 356</x:v>
      </x:c>
      <x:c r="D739" s="9" t="str"/>
      <x:c r="E739" s="9" t="str"/>
      <x:c r="F739" s="13" t="str">
        <x:v>2017</x:v>
      </x:c>
      <x:c r="G739" s="9" t="str">
        <x:v>England and Wales Court of Appeal (Civil Division)</x:v>
      </x:c>
      <x:c r="H739" s="9" t="str">
        <x:v>Appellate</x:v>
      </x:c>
      <x:c r="I739" s="9" t="str">
        <x:v>England and Wales</x:v>
      </x:c>
      <x:c r="J739" s="9" t="str">
        <x:v>Tort Law / Clinical Negligence</x:v>
      </x:c>
      <x:c r="K739" s="9" t="str">
        <x:v>-ew-cases-EWCA-Civ-2017-356.xml</x:v>
      </x:c>
      <x:c r="L739" s="9" t="str">
        <x:v>TBA</x:v>
      </x:c>
    </x:row>
    <x:row r="740">
      <x:c r="A740" t="str">
        <x:v>a8f1eb23-c8e6-43fe-ba79-940a33f663f0</x:v>
      </x:c>
      <x:c r="B740" t="str">
        <x:v>07e753c0-ce67-43f3-a129-7db536a9373e</x:v>
      </x:c>
      <x:c r="C740" s="9" t="str">
        <x:v>Cosmetic Warriors Ltd &amp; Anor v Gerrie [2017] EWCA Civ 324</x:v>
      </x:c>
      <x:c r="D740" s="9" t="str"/>
      <x:c r="E740" s="9" t="str"/>
      <x:c r="F740" s="13" t="str">
        <x:v>2017</x:v>
      </x:c>
      <x:c r="G740" s="9" t="str">
        <x:v>England and Wales Court of Appeal (Civil Division)</x:v>
      </x:c>
      <x:c r="H740" s="9" t="str">
        <x:v>appellate</x:v>
      </x:c>
      <x:c r="I740" s="9" t="str">
        <x:v>England and Wales</x:v>
      </x:c>
      <x:c r="J740" s="9" t="str">
        <x:v>Corporate Law</x:v>
      </x:c>
      <x:c r="K740" s="9" t="str">
        <x:v>-ew-cases-EWCA-Civ-2017-324.xml</x:v>
      </x:c>
      <x:c r="L740" s="9" t="str">
        <x:v>TBA</x:v>
      </x:c>
    </x:row>
    <x:row r="741">
      <x:c r="A741" t="str">
        <x:v>49950389-786f-4342-a199-4d009316897c</x:v>
      </x:c>
      <x:c r="B741" t="str">
        <x:v>f67a97e4-21a5-4ee6-9796-cb4c9999b2cf</x:v>
      </x:c>
      <x:c r="C741" s="9" t="str">
        <x:v>Cotterhill Hitchman Solicitors LLP v Guest [2016] EWCA Civ 1455</x:v>
      </x:c>
      <x:c r="D741" s="9" t="str"/>
      <x:c r="E741" s="9" t="str"/>
      <x:c r="F741" s="13" t="str">
        <x:v>2016</x:v>
      </x:c>
      <x:c r="G741" s="9" t="str">
        <x:v>England and Wales Court of Appeal (Civil Division)</x:v>
      </x:c>
      <x:c r="H741" s="9" t="str">
        <x:v>Court of Appeal (Civil Division)</x:v>
      </x:c>
      <x:c r="I741" s="9" t="str">
        <x:v>England and Wales</x:v>
      </x:c>
      <x:c r="J741" s="9" t="str">
        <x:v>Civil Procedure / Costs and Professional Negligence</x:v>
      </x:c>
      <x:c r="K741" s="9" t="str">
        <x:v>-ew-cases-EWCA-Civ-2016-1455.xml</x:v>
      </x:c>
      <x:c r="L741" s="9" t="str">
        <x:v>TBA</x:v>
      </x:c>
    </x:row>
    <x:row r="742">
      <x:c r="A742" t="str">
        <x:v>00fa543b-3835-4bd1-8694-bdff4d1664b8</x:v>
      </x:c>
      <x:c r="B742" t="str">
        <x:v>0f564d6f-98e5-402b-abc8-a39f1fa33427</x:v>
      </x:c>
      <x:c r="C742" s="9" t="str">
        <x:v>Cotton &amp; Anor v Brudenell-Bruce, Earl of Cardigan &amp; Ors [2014] EWCA Civ 1312</x:v>
      </x:c>
      <x:c r="D742" s="9" t="str"/>
      <x:c r="E742" s="9" t="str"/>
      <x:c r="F742" s="13" t="str">
        <x:v>2014</x:v>
      </x:c>
      <x:c r="G742" s="9" t="str">
        <x:v>England and Wales Court of Appeal (Civil Division)</x:v>
      </x:c>
      <x:c r="H742" s="9" t="str">
        <x:v>Appellate</x:v>
      </x:c>
      <x:c r="I742" s="9" t="str">
        <x:v>England and Wales</x:v>
      </x:c>
      <x:c r="J742" s="9" t="str">
        <x:v>Trust Law</x:v>
      </x:c>
      <x:c r="K742" s="9" t="str">
        <x:v>-ew-cases-EWCA-Civ-2014-1312.xml</x:v>
      </x:c>
      <x:c r="L742" s="9" t="str">
        <x:v>TBA</x:v>
      </x:c>
    </x:row>
    <x:row r="743">
      <x:c r="A743" t="str">
        <x:v>a46c6f50-e7d8-4303-9c12-447ebc4f8ff4</x:v>
      </x:c>
      <x:c r="B743" t="str">
        <x:v>b75f869f-2e26-4cdb-869e-8feb13ca2403</x:v>
      </x:c>
      <x:c r="C743" s="9" t="str">
        <x:v>Countess of Wemyss and March &amp; Anor v Simon C. Dickinson Ltd [2023] EWCA Civ 724</x:v>
      </x:c>
      <x:c r="D743" s="9" t="str"/>
      <x:c r="E743" s="9" t="str"/>
      <x:c r="F743" s="13" t="str">
        <x:v>2023</x:v>
      </x:c>
      <x:c r="G743" s="9" t="str">
        <x:v>England and Wales Court of Appeal (Civil Division)</x:v>
      </x:c>
      <x:c r="H743" s="9" t="str">
        <x:v>Court of Appeal (Civil Division)</x:v>
      </x:c>
      <x:c r="I743" s="9" t="str">
        <x:v>England and Wales</x:v>
      </x:c>
      <x:c r="J743" s="9" t="str">
        <x:v>Appeal; Civil; Art Law; Trusts</x:v>
      </x:c>
      <x:c r="K743" s="9" t="str">
        <x:v>ew-cases-EWCA-Civ-2023-724.xml</x:v>
      </x:c>
      <x:c r="L743" s="9" t="str">
        <x:v>TBA</x:v>
      </x:c>
    </x:row>
    <x:row r="744">
      <x:c r="A744" t="str">
        <x:v>08277cee-8a8c-4884-ac9b-734a8a4b612f</x:v>
      </x:c>
      <x:c r="B744" t="str">
        <x:v>9cc5e0b1-1973-468f-9b99-db6f8bd9f7d6</x:v>
      </x:c>
      <x:c r="C744" s="9" t="str">
        <x:v>County Leasing Asset Management Ltd &amp; Ors v Hawkes [2015] EWCA Civ 1251</x:v>
      </x:c>
      <x:c r="D744" s="9" t="str"/>
      <x:c r="E744" s="9" t="str"/>
      <x:c r="F744" s="13" t="str">
        <x:v>2015</x:v>
      </x:c>
      <x:c r="G744" s="9" t="str">
        <x:v>England and Wales Court of Appeal (Civil Division)</x:v>
      </x:c>
      <x:c r="H744" s="9" t="str">
        <x:v>Appellate</x:v>
      </x:c>
      <x:c r="I744" s="9" t="str">
        <x:v>England and Wales</x:v>
      </x:c>
      <x:c r="J744" s="9" t="str">
        <x:v>Corporate Law</x:v>
      </x:c>
      <x:c r="K744" s="9" t="str">
        <x:v>-ew-cases-EWCA-Civ-2015-1251.xml</x:v>
      </x:c>
      <x:c r="L744" s="9" t="str">
        <x:v>TBA</x:v>
      </x:c>
    </x:row>
    <x:row r="745">
      <x:c r="A745" t="str">
        <x:v>2713d44c-7f1e-4749-a83d-926cfca0c68e</x:v>
      </x:c>
      <x:c r="B745" t="str">
        <x:v>7ae3f6d3-0628-471e-a0f0-f7daec53a23f</x:v>
      </x:c>
      <x:c r="C745" s="9" t="str">
        <x:v>Court v Van Dijk &amp; Anor [2016] EWCA Civ 483</x:v>
      </x:c>
      <x:c r="D745" s="9" t="str"/>
      <x:c r="E745" s="9" t="str"/>
      <x:c r="F745" s="13" t="str">
        <x:v>2016</x:v>
      </x:c>
      <x:c r="G745" s="9" t="str">
        <x:v>England and Wales Court of Appeal (Civil Division)</x:v>
      </x:c>
      <x:c r="H745" s="9" t="str">
        <x:v>Court of Appeal (Civil Division)</x:v>
      </x:c>
      <x:c r="I745" s="9" t="str">
        <x:v>England and Wales</x:v>
      </x:c>
      <x:c r="J745" s="9" t="str">
        <x:v>Tort - Nuisance / Property Law</x:v>
      </x:c>
      <x:c r="K745" s="9" t="str">
        <x:v>-ew-cases-EWCA-Civ-2016-483.xml</x:v>
      </x:c>
      <x:c r="L745" s="9" t="str">
        <x:v>TBA</x:v>
      </x:c>
    </x:row>
    <x:row r="746">
      <x:c r="A746" t="str">
        <x:v>e8821723-bec8-4eca-ad5c-7301a2e59903</x:v>
      </x:c>
      <x:c r="B746" t="str">
        <x:v>87fe7360-158a-49e4-8725-7a68e18ba9ac</x:v>
      </x:c>
      <x:c r="C746" s="9" t="str">
        <x:v>Coventry University v Mian [2014] EWCA Civ 1275</x:v>
      </x:c>
      <x:c r="D746" s="9" t="str"/>
      <x:c r="E746" s="9" t="str"/>
      <x:c r="F746" s="13" t="str">
        <x:v>2014</x:v>
      </x:c>
      <x:c r="G746" s="9" t="str">
        <x:v>England and Wales Court of Appeal (Civil Division)</x:v>
      </x:c>
      <x:c r="H746" s="9" t="str">
        <x:v>Appellate</x:v>
      </x:c>
      <x:c r="I746" s="9" t="str">
        <x:v>England and Wales</x:v>
      </x:c>
      <x:c r="J746" s="9" t="str">
        <x:v>Employment Law</x:v>
      </x:c>
      <x:c r="K746" s="9" t="str">
        <x:v>-ew-cases-EWCA-Civ-2014-1275.xml</x:v>
      </x:c>
      <x:c r="L746" s="9" t="str">
        <x:v>TBA</x:v>
      </x:c>
    </x:row>
    <x:row r="747">
      <x:c r="A747" t="str">
        <x:v>0b82c15e-a54d-4dc1-a9a9-d9c9dcbaab62</x:v>
      </x:c>
      <x:c r="B747" t="str">
        <x:v>655339b4-3d16-45b5-be53-94b20674ac04</x:v>
      </x:c>
      <x:c r="C747" s="9" t="str">
        <x:v>Coward v Phaestos Ltd &amp; Ors [2014] EWCA Civ 1256</x:v>
      </x:c>
      <x:c r="D747" s="9" t="str"/>
      <x:c r="E747" s="9" t="str"/>
      <x:c r="F747" s="13" t="str">
        <x:v>2014</x:v>
      </x:c>
      <x:c r="G747" s="9" t="str">
        <x:v>England and Wales Court of Appeal (Civil Division)</x:v>
      </x:c>
      <x:c r="H747" s="9" t="str">
        <x:v>Appellate</x:v>
      </x:c>
      <x:c r="I747" s="9" t="str">
        <x:v>England and Wales</x:v>
      </x:c>
      <x:c r="J747" s="9" t="str">
        <x:v>Cost Dispute</x:v>
      </x:c>
      <x:c r="K747" s="9" t="str">
        <x:v>-ew-cases-EWCA-Civ-2014-1256.xml</x:v>
      </x:c>
      <x:c r="L747" s="9" t="str">
        <x:v>TBA</x:v>
      </x:c>
    </x:row>
    <x:row r="748">
      <x:c r="A748" t="str">
        <x:v>1948c09b-1a60-46b3-a03e-111f7728c5fc</x:v>
      </x:c>
      <x:c r="B748" t="str">
        <x:v>57ef13de-a211-4682-8aaa-bea653dfacae</x:v>
      </x:c>
      <x:c r="C748" s="9" t="str">
        <x:v>Cowling v Worcester Community Housing Ltd [2015] EWCA Civ 1624</x:v>
      </x:c>
      <x:c r="D748" s="9" t="str"/>
      <x:c r="E748" s="9" t="str"/>
      <x:c r="F748" s="13" t="str">
        <x:v>2015</x:v>
      </x:c>
      <x:c r="G748" s="9" t="str">
        <x:v>England and Wales Court of Appeal (Civil Division)</x:v>
      </x:c>
      <x:c r="H748" s="9" t="str">
        <x:v>Appellate</x:v>
      </x:c>
      <x:c r="I748" s="9" t="str">
        <x:v>England and Wales</x:v>
      </x:c>
      <x:c r="J748" s="9" t="str">
        <x:v>Property Law</x:v>
      </x:c>
      <x:c r="K748" s="9" t="str">
        <x:v>-ew-cases-EWCA-Civ-2015-1624.xml</x:v>
      </x:c>
      <x:c r="L748" s="9" t="str">
        <x:v>TBA</x:v>
      </x:c>
    </x:row>
    <x:row r="749">
      <x:c r="A749" t="str">
        <x:v>63fd196e-56be-4f86-a296-d53ff2a4a570</x:v>
      </x:c>
      <x:c r="B749" t="str">
        <x:v>c682fc09-9ad0-47cc-b6ac-a64da2a65a15</x:v>
      </x:c>
      <x:c r="C749" s="9" t="str">
        <x:v>Cox v Ministry of Justice [2014] EWCA Civ 132</x:v>
      </x:c>
      <x:c r="D749" s="9" t="str"/>
      <x:c r="E749" s="9" t="str"/>
      <x:c r="F749" s="13" t="str">
        <x:v>2014</x:v>
      </x:c>
      <x:c r="G749" s="9" t="str">
        <x:v>England and Wales Court of Appeal (Civil Division)</x:v>
      </x:c>
      <x:c r="H749" s="9" t="str">
        <x:v>Appellate</x:v>
      </x:c>
      <x:c r="I749" s="9" t="str">
        <x:v>England and Wales</x:v>
      </x:c>
      <x:c r="J749" s="9" t="str">
        <x:v>Tort</x:v>
      </x:c>
      <x:c r="K749" s="9" t="str">
        <x:v>-ew-cases-EWCA-Civ-2014-132.xml</x:v>
      </x:c>
      <x:c r="L749" s="9" t="str">
        <x:v>TBA</x:v>
      </x:c>
    </x:row>
    <x:row r="750">
      <x:c r="A750" t="str">
        <x:v>55558135-59a0-4a51-b4e3-c44038bdc541</x:v>
      </x:c>
      <x:c r="B750" t="str">
        <x:v>ee0e4769-b74c-4e0d-af1f-e9aa5489ab19</x:v>
      </x:c>
      <x:c r="C750" s="9" t="str">
        <x:v>CP (A Child) v First-Tier Tribunal (Criminal Injuries Compensation) &amp; Ors [2014] EWCA Civ 1554</x:v>
      </x:c>
      <x:c r="D750" s="9" t="str"/>
      <x:c r="E750" s="9" t="str"/>
      <x:c r="F750" s="13" t="str">
        <x:v>2014</x:v>
      </x:c>
      <x:c r="G750" s="9" t="str">
        <x:v>England and Wales Court of Appeal (Civil Division)</x:v>
      </x:c>
      <x:c r="H750" s="9" t="str">
        <x:v>Appellate</x:v>
      </x:c>
      <x:c r="I750" s="9" t="str">
        <x:v>England and Wales</x:v>
      </x:c>
      <x:c r="J750" s="9" t="str">
        <x:v>Tort</x:v>
      </x:c>
      <x:c r="K750" s="9" t="str">
        <x:v>-ew-cases-EWCA-Civ-2014-1554.xml</x:v>
      </x:c>
      <x:c r="L750" s="9" t="str">
        <x:v>TBA</x:v>
      </x:c>
    </x:row>
    <x:row r="751">
      <x:c r="A751" t="str">
        <x:v>8b62f182-1b44-4c4d-b031-0506dd11f7d4</x:v>
      </x:c>
      <x:c r="B751" t="str">
        <x:v>996223e2-35d3-4235-a915-b10cb1a05737</x:v>
      </x:c>
      <x:c r="C751" s="9" t="str">
        <x:v>CR, R (On the Application Of) v Director of Legal Aid Casework &amp; Ors [2023] EWCA Civ 717</x:v>
      </x:c>
      <x:c r="D751" s="9" t="str"/>
      <x:c r="E751" s="9" t="str"/>
      <x:c r="F751" s="13" t="str">
        <x:v>2023</x:v>
      </x:c>
      <x:c r="G751" s="9" t="str">
        <x:v>England and Wales Court of Appeal (Civil Division)</x:v>
      </x:c>
      <x:c r="H751" s="9" t="str">
        <x:v>Court of Appeal (Civil Division)</x:v>
      </x:c>
      <x:c r="I751" s="9" t="str">
        <x:v>England and Wales</x:v>
      </x:c>
      <x:c r="J751" s="9" t="str">
        <x:v>Public Law / Administrative Law (Judicial Review) – Costs</x:v>
      </x:c>
      <x:c r="K751" s="9" t="str">
        <x:v>ew-cases-EWCA-Civ-2023-717.xml</x:v>
      </x:c>
      <x:c r="L751" s="9" t="str">
        <x:v>TBA</x:v>
      </x:c>
    </x:row>
    <x:row r="752">
      <x:c r="A752" t="str">
        <x:v>8ccecfbf-a5b5-4223-84f1-704f8e4e7367</x:v>
      </x:c>
      <x:c r="B752" t="str">
        <x:v>2236fffc-41a1-47ba-952d-90f8e082ce7b</x:v>
      </x:c>
      <x:c r="C752" s="9" t="str">
        <x:v>Craven-Hodgson v Athersmith [2016] EWCA Civ 243</x:v>
      </x:c>
      <x:c r="D752" s="9" t="str"/>
      <x:c r="E752" s="9" t="str"/>
      <x:c r="F752" s="13" t="str">
        <x:v>2016</x:v>
      </x:c>
      <x:c r="G752" s="9" t="str">
        <x:v>England and Wales Court of Appeal (Civil Division)</x:v>
      </x:c>
      <x:c r="H752" s="9" t="str">
        <x:v>Court of Appeal (Civil Division)</x:v>
      </x:c>
      <x:c r="I752" s="9" t="str">
        <x:v>England and Wales</x:v>
      </x:c>
      <x:c r="J752" s="9" t="str">
        <x:v>Civil appeal in tort/personal injury</x:v>
      </x:c>
      <x:c r="K752" s="9" t="str">
        <x:v>-ew-cases-EWCA-Civ-2016-243.xml</x:v>
      </x:c>
      <x:c r="L752" s="9" t="str">
        <x:v>TBA</x:v>
      </x:c>
    </x:row>
    <x:row r="753">
      <x:c r="A753" t="str">
        <x:v>4fdb353e-412a-40d2-a010-6283467eab88</x:v>
      </x:c>
      <x:c r="B753" t="str">
        <x:v>c8113bd1-0236-4456-a121-636dbc384522</x:v>
      </x:c>
      <x:c r="C753" s="9" t="str">
        <x:v>Crawford v Jenkins [2014] EWCA Civ 1035</x:v>
      </x:c>
      <x:c r="D753" s="9" t="str"/>
      <x:c r="E753" s="9" t="str"/>
      <x:c r="F753" s="13" t="str">
        <x:v>2014</x:v>
      </x:c>
      <x:c r="G753" s="9" t="str">
        <x:v>England and Wales Court of Appeal (Civil Division)</x:v>
      </x:c>
      <x:c r="H753" s="9" t="str">
        <x:v>Appellate</x:v>
      </x:c>
      <x:c r="I753" s="9" t="str">
        <x:v>England and Wales</x:v>
      </x:c>
      <x:c r="J753" s="9" t="str">
        <x:v>Tort</x:v>
      </x:c>
      <x:c r="K753" s="9" t="str">
        <x:v>-ew-cases-EWCA-Civ-2014-1035.xml</x:v>
      </x:c>
      <x:c r="L753" s="9" t="str">
        <x:v>TBA</x:v>
      </x:c>
    </x:row>
    <x:row r="754">
      <x:c r="A754" t="str">
        <x:v>d85cca25-1255-4927-8071-707a98bcc415</x:v>
      </x:c>
      <x:c r="B754" t="str">
        <x:v>1dbe7725-7086-40c8-888f-47a0474f3dae</x:v>
      </x:c>
      <x:c r="C754" s="9" t="str">
        <x:v>Credico Marketing Limited &amp; Anor v Lambert &amp; Anor [2023] EWCA Civ 262 (10 February 2023)</x:v>
      </x:c>
      <x:c r="D754" s="9" t="str"/>
      <x:c r="E754" s="9" t="str"/>
      <x:c r="F754" s="13" t="str">
        <x:v>2023</x:v>
      </x:c>
      <x:c r="G754" s="9" t="str">
        <x:v>England and Wales Court of Appeal (Civil Division)</x:v>
      </x:c>
      <x:c r="H754" s="9" t="str">
        <x:v>Court of Appeal (Civil Division)</x:v>
      </x:c>
      <x:c r="I754" s="9" t="str">
        <x:v>England and Wales</x:v>
      </x:c>
      <x:c r="J754" s="9" t="str">
        <x:v>Civil Appeal</x:v>
      </x:c>
      <x:c r="K754" s="9" t="str">
        <x:v>ew-cases-EWCA-Civ-2023-262.xml</x:v>
      </x:c>
      <x:c r="L754" s="9" t="str">
        <x:v>TBA</x:v>
      </x:c>
    </x:row>
    <x:row r="755">
      <x:c r="A755" t="str">
        <x:v>0b0b3406-e5ff-4fb8-9f90-d833ba64fb56</x:v>
      </x:c>
      <x:c r="B755" t="str">
        <x:v>20148175-b499-4fef-a52f-c5e39d881e06</x:v>
      </x:c>
      <x:c r="C755" s="9" t="str">
        <x:v>Credico Marketing Ltd &amp; Anor v Lambert &amp; Anor [2022] EWCA Civ 864</x:v>
      </x:c>
      <x:c r="D755" s="9" t="str"/>
      <x:c r="E755" s="9" t="str"/>
      <x:c r="F755" s="13" t="str">
        <x:v>2022</x:v>
      </x:c>
      <x:c r="G755" s="9" t="str">
        <x:v>England and Wales Court of Appeal (Civil Division)</x:v>
      </x:c>
      <x:c r="H755" s="9" t="str">
        <x:v>Court of Appeal (Civil Division)</x:v>
      </x:c>
      <x:c r="I755" s="9" t="str">
        <x:v>England and Wales</x:v>
      </x:c>
      <x:c r="J755" s="9" t="str">
        <x:v>Contract/Commercial – Restraint of Trade; Covenants</x:v>
      </x:c>
      <x:c r="K755" s="9" t="str">
        <x:v>ew-cases-EWCA-Civ-2022-864.xml</x:v>
      </x:c>
      <x:c r="L755" s="9" t="str">
        <x:v>TBA</x:v>
      </x:c>
    </x:row>
    <x:row r="756">
      <x:c r="A756" t="str">
        <x:v>fc398d76-11b5-4600-8942-1699581ea681</x:v>
      </x:c>
      <x:c r="B756" t="str">
        <x:v>20c41856-c64f-4dad-b767-100e914e3e97</x:v>
      </x:c>
      <x:c r="C756" s="9" t="str">
        <x:v>Credit Suisse Asset Management LLC v Titan Europe 2006-1 PLC &amp; Ors [2016] EWCA Civ 1293</x:v>
      </x:c>
      <x:c r="D756" s="9" t="str"/>
      <x:c r="E756" s="9" t="str"/>
      <x:c r="F756" s="13" t="str">
        <x:v>2016</x:v>
      </x:c>
      <x:c r="G756" s="9" t="str">
        <x:v>England and Wales Court of Appeal (Civil Division)</x:v>
      </x:c>
      <x:c r="H756" s="9" t="str">
        <x:v>Court of Appeal (Civil Division)</x:v>
      </x:c>
      <x:c r="I756" s="9" t="str">
        <x:v>England and Wales</x:v>
      </x:c>
      <x:c r="J756" s="9" t="str">
        <x:v>Contract Interpretation / Financial Securities</x:v>
      </x:c>
      <x:c r="K756" s="9" t="str">
        <x:v>-ew-cases-EWCA-Civ-2016-1293.xml</x:v>
      </x:c>
      <x:c r="L756" s="9" t="str">
        <x:v>TBA</x:v>
      </x:c>
    </x:row>
    <x:row r="757">
      <x:c r="A757" t="str">
        <x:v>c3dc344f-6b5a-410e-b637-395b550f809c</x:v>
      </x:c>
      <x:c r="B757" t="str">
        <x:v>61dd8025-2416-42b9-91eb-a789f5f98110</x:v>
      </x:c>
      <x:c r="C757" s="9" t="str">
        <x:v>Creditsights Ltd v Dhunna [2014] EWCA Civ 1238</x:v>
      </x:c>
      <x:c r="D757" s="9" t="str"/>
      <x:c r="E757" s="9" t="str"/>
      <x:c r="F757" s="13" t="str">
        <x:v>2014</x:v>
      </x:c>
      <x:c r="G757" s="9" t="str">
        <x:v>England and Wales Court of Appeal (Civil Division)</x:v>
      </x:c>
      <x:c r="H757" s="9" t="str">
        <x:v>Appellate</x:v>
      </x:c>
      <x:c r="I757" s="9" t="str">
        <x:v>England and Wales</x:v>
      </x:c>
      <x:c r="J757" s="9" t="str">
        <x:v>Employment Law</x:v>
      </x:c>
      <x:c r="K757" s="9" t="str">
        <x:v>-ew-cases-EWCA-Civ-2014-1238.xml</x:v>
      </x:c>
      <x:c r="L757" s="9" t="str">
        <x:v>TBA</x:v>
      </x:c>
    </x:row>
    <x:row r="758">
      <x:c r="A758" t="str">
        <x:v>7cd696b9-4b4f-45e3-9eed-aeb3f81eb6ee</x:v>
      </x:c>
      <x:c r="B758" t="str">
        <x:v>4f894b7c-50f6-46f4-b08a-7d5f549411bb</x:v>
      </x:c>
      <x:c r="C758" s="9" t="str">
        <x:v>Creggy v Barnett &amp; Anor [2016] EWCA Civ 1004 (Court of Appeal (Civil Division))</x:v>
      </x:c>
      <x:c r="D758" s="9" t="str"/>
      <x:c r="E758" s="9" t="str"/>
      <x:c r="F758" s="13" t="str">
        <x:v>2016</x:v>
      </x:c>
      <x:c r="G758" s="9" t="str">
        <x:v>England and Wales Court of Appeal (Civil Division)</x:v>
      </x:c>
      <x:c r="H758" s="9" t="str">
        <x:v>Court of Appeal (Civil Division)</x:v>
      </x:c>
      <x:c r="I758" s="9" t="str">
        <x:v>England and Wales</x:v>
      </x:c>
      <x:c r="J758" s="9" t="str">
        <x:v>Fiduciary Duty / Trusts; Limitation of Actions; Equitable Compensation</x:v>
      </x:c>
      <x:c r="K758" s="9" t="str">
        <x:v>-ew-cases-EWCA-Civ-2016-1004.xml</x:v>
      </x:c>
      <x:c r="L758" s="9" t="str">
        <x:v>TBA</x:v>
      </x:c>
    </x:row>
    <x:row r="759">
      <x:c r="A759" t="str">
        <x:v>038133c5-4147-4365-9dd0-e003987b8213</x:v>
      </x:c>
      <x:c r="B759" t="str">
        <x:v>a1fcbe31-60cf-480d-aa88-19492f68df24</x:v>
      </x:c>
      <x:c r="C759" s="9" t="str">
        <x:v>Crestsign Ltd v National Westminster Bank Plc &amp; Anor [2015] EWCA Civ 986</x:v>
      </x:c>
      <x:c r="D759" s="9" t="str"/>
      <x:c r="E759" s="9" t="str"/>
      <x:c r="F759" s="13" t="str">
        <x:v>2015</x:v>
      </x:c>
      <x:c r="G759" s="9" t="str">
        <x:v>England and Wales Court of Appeal (Civil Division)</x:v>
      </x:c>
      <x:c r="H759" s="9" t="str">
        <x:v>Appellate</x:v>
      </x:c>
      <x:c r="I759" s="9" t="str">
        <x:v>England and Wales</x:v>
      </x:c>
      <x:c r="J759" s="9" t="str">
        <x:v>Tort Law</x:v>
      </x:c>
      <x:c r="K759" s="9" t="str">
        <x:v>-ew-cases-EWCA-Civ-2015-986.xml</x:v>
      </x:c>
      <x:c r="L759" s="9" t="str">
        <x:v>TBA</x:v>
      </x:c>
    </x:row>
    <x:row r="760">
      <x:c r="A760" t="str">
        <x:v>c46fd9f2-0218-41f8-9cfb-dafd8265fcda</x:v>
      </x:c>
      <x:c r="B760" t="str">
        <x:v>de30e21f-a724-4582-a00e-330f5860c93d</x:v>
      </x:c>
      <x:c r="C760" s="9" t="str">
        <x:v>Crick v Crick &amp; Ors [2015] EWCA Civ 826</x:v>
      </x:c>
      <x:c r="D760" s="9" t="str"/>
      <x:c r="E760" s="9" t="str"/>
      <x:c r="F760" s="13" t="str">
        <x:v>2015</x:v>
      </x:c>
      <x:c r="G760" s="9" t="str">
        <x:v>England and Wales Court of Appeal (Civil Division)</x:v>
      </x:c>
      <x:c r="H760" s="9" t="str">
        <x:v>Appellate</x:v>
      </x:c>
      <x:c r="I760" s="9" t="str">
        <x:v>England and Wales</x:v>
      </x:c>
      <x:c r="J760" s="9" t="str">
        <x:v>Inheritance Law</x:v>
      </x:c>
      <x:c r="K760" s="9" t="str">
        <x:v>-ew-cases-EWCA-Civ-2015-826.xml</x:v>
      </x:c>
      <x:c r="L760" s="9" t="str">
        <x:v>TBA</x:v>
      </x:c>
    </x:row>
    <x:row r="761">
      <x:c r="A761" t="str">
        <x:v>8ad0f751-896b-4857-9b4d-9b7981e2629c</x:v>
      </x:c>
      <x:c r="B761" t="str">
        <x:v>8428e350-050d-445f-bc42-4fece4e349e5</x:v>
      </x:c>
      <x:c r="C761" s="9" t="str">
        <x:v>Criminal Injuries Compensation Authority v First Tier Tribunal</x:v>
      </x:c>
      <x:c r="D761" s="9" t="str"/>
      <x:c r="E761" s="9" t="str"/>
      <x:c r="F761" s="13" t="str">
        <x:v>2015</x:v>
      </x:c>
      <x:c r="G761" s="9" t="str">
        <x:v>England and Wales Court of Appeal (Civil Division)</x:v>
      </x:c>
      <x:c r="H761" s="9" t="str">
        <x:v>Appellate</x:v>
      </x:c>
      <x:c r="I761" s="9" t="str">
        <x:v>England and Wales</x:v>
      </x:c>
      <x:c r="J761" s="9" t="str">
        <x:v>Administrative Law</x:v>
      </x:c>
      <x:c r="K761" s="9" t="str">
        <x:v>-ew-cases-EWCA-Civ-2015-1329.xml</x:v>
      </x:c>
      <x:c r="L761" s="9" t="str">
        <x:v>TBA</x:v>
      </x:c>
    </x:row>
    <x:row r="762">
      <x:c r="A762" t="str">
        <x:v>5b556834-fbfb-4e4a-8978-d1c9dd33da77</x:v>
      </x:c>
      <x:c r="B762" t="str">
        <x:v>f39e6689-8616-4c92-ba4a-72fe707a9a1a</x:v>
      </x:c>
      <x:c r="C762" s="9" t="str">
        <x:v>Criminal Injuries Compensation Authority v First Tier Tribunal (Social Entitlement Chamber) &amp; Anor [2017] EWCA Civ 139</x:v>
      </x:c>
      <x:c r="D762" s="9" t="str"/>
      <x:c r="E762" s="9" t="str"/>
      <x:c r="F762" s="13" t="str">
        <x:v>2017</x:v>
      </x:c>
      <x:c r="G762" s="9" t="str">
        <x:v>England and Wales Court of Appeal (Civil Division)</x:v>
      </x:c>
      <x:c r="H762" s="9" t="str">
        <x:v>Appellate</x:v>
      </x:c>
      <x:c r="I762" s="9" t="str">
        <x:v>England and Wales</x:v>
      </x:c>
      <x:c r="J762" s="9" t="str">
        <x:v>Administrative Law</x:v>
      </x:c>
      <x:c r="K762" s="9" t="str">
        <x:v>-ew-cases-EWCA-Civ-2017-139.xml</x:v>
      </x:c>
      <x:c r="L762" s="9" t="str">
        <x:v>TBA</x:v>
      </x:c>
    </x:row>
    <x:row r="763">
      <x:c r="A763" t="str">
        <x:v>68b55153-e4db-40bc-a28e-ef8d5b74c5e5</x:v>
      </x:c>
      <x:c r="B763" t="str">
        <x:v>d3f54368-3416-43dc-b17c-0a4875ab52fc</x:v>
      </x:c>
      <x:c r="C763" s="9" t="str">
        <x:v>Criminal Injuries Compensation Authority v First-Tier Tribunal (Social Entitlement Chamber) &amp; Anor</x:v>
      </x:c>
      <x:c r="D763" s="9" t="str"/>
      <x:c r="E763" s="9" t="str"/>
      <x:c r="F763" s="13" t="str">
        <x:v>2014</x:v>
      </x:c>
      <x:c r="G763" s="9" t="str">
        <x:v>England and Wales Court of Appeal (Civil Division)</x:v>
      </x:c>
      <x:c r="H763" s="9" t="str">
        <x:v>Appellate</x:v>
      </x:c>
      <x:c r="I763" s="9" t="str">
        <x:v>England and Wales</x:v>
      </x:c>
      <x:c r="J763" s="9" t="str">
        <x:v>Administrative Law</x:v>
      </x:c>
      <x:c r="K763" s="9" t="str">
        <x:v>-ew-cases-EWCA-Civ-2014-65.xml</x:v>
      </x:c>
      <x:c r="L763" s="9" t="str">
        <x:v>TBA</x:v>
      </x:c>
    </x:row>
    <x:row r="764">
      <x:c r="A764" t="str">
        <x:v>315a08cb-f545-48f3-867e-8e2fdacef72f</x:v>
      </x:c>
      <x:c r="B764" t="str">
        <x:v>d65b1268-5312-4b4b-8d34-ddce6ecdcc57</x:v>
      </x:c>
      <x:c r="C764" s="9" t="str">
        <x:v>Criminal Injuries Compensation Authority v Hutton &amp; Ors [2016] EWCA Civ 1305</x:v>
      </x:c>
      <x:c r="D764" s="9" t="str"/>
      <x:c r="E764" s="9" t="str"/>
      <x:c r="F764" s="13" t="str">
        <x:v>2016</x:v>
      </x:c>
      <x:c r="G764" s="9" t="str">
        <x:v>England and Wales Court of Appeal (Civil Division)</x:v>
      </x:c>
      <x:c r="H764" s="9" t="str">
        <x:v>Court of Appeal (Civil Division)</x:v>
      </x:c>
      <x:c r="I764" s="9" t="str">
        <x:v>England and Wales</x:v>
      </x:c>
      <x:c r="J764" s="9" t="str">
        <x:v>Administrative/Public Law; Civil Appeals</x:v>
      </x:c>
      <x:c r="K764" s="9" t="str">
        <x:v>-ew-cases-EWCA-Civ-2016-1305.xml</x:v>
      </x:c>
      <x:c r="L764" s="9" t="str">
        <x:v>TBA</x:v>
      </x:c>
    </x:row>
    <x:row r="765">
      <x:c r="A765" t="str">
        <x:v>fd12f631-82ce-4b15-831e-e046e5919d4d</x:v>
      </x:c>
      <x:c r="B765" t="str">
        <x:v>c2fac702-56be-4c64-a368-3bfbfeb8ec34</x:v>
      </x:c>
      <x:c r="C765" s="9" t="str">
        <x:v>Critchell v Critchell [2015] EWCA Civ 436</x:v>
      </x:c>
      <x:c r="D765" s="9" t="str"/>
      <x:c r="E765" s="9" t="str"/>
      <x:c r="F765" s="13" t="str">
        <x:v>2015</x:v>
      </x:c>
      <x:c r="G765" s="9" t="str">
        <x:v>England and Wales Court of Appeal (Civil Division)</x:v>
      </x:c>
      <x:c r="H765" s="9" t="str">
        <x:v>Appellate</x:v>
      </x:c>
      <x:c r="I765" s="9" t="str">
        <x:v>England and Wales</x:v>
      </x:c>
      <x:c r="J765" s="9" t="str">
        <x:v>Family Law</x:v>
      </x:c>
      <x:c r="K765" s="9" t="str">
        <x:v>-ew-cases-EWCA-Civ-2015-436.xml</x:v>
      </x:c>
      <x:c r="L765" s="9" t="str">
        <x:v>TBA</x:v>
      </x:c>
    </x:row>
    <x:row r="766">
      <x:c r="A766" t="str">
        <x:v>8b02702b-a96b-44ef-a9a5-3a0e52c819f2</x:v>
      </x:c>
      <x:c r="B766" t="str">
        <x:v>c3dbe431-18cf-46e4-91ab-5d5b0ef0fdea</x:v>
      </x:c>
      <x:c r="C766" s="9" t="str">
        <x:v>Croke v Secretary of State for Communities and Local Government &amp; Anor [2017] EWCA Civ 423</x:v>
      </x:c>
      <x:c r="D766" s="9" t="str"/>
      <x:c r="E766" s="9" t="str"/>
      <x:c r="F766" s="13" t="str">
        <x:v>2017</x:v>
      </x:c>
      <x:c r="G766" s="9" t="str">
        <x:v>England and Wales Court of Appeal (Civil Division)</x:v>
      </x:c>
      <x:c r="H766" s="9" t="str">
        <x:v>Appellate</x:v>
      </x:c>
      <x:c r="I766" s="9" t="str">
        <x:v>United Kingdom</x:v>
      </x:c>
      <x:c r="J766" s="9" t="str">
        <x:v>Administrative Law</x:v>
      </x:c>
      <x:c r="K766" s="9" t="str">
        <x:v>-ew-cases-EWCA-Civ-2017-423.xml</x:v>
      </x:c>
      <x:c r="L766" s="9" t="str">
        <x:v>TBA</x:v>
      </x:c>
    </x:row>
    <x:row r="767">
      <x:c r="A767" t="str">
        <x:v>be7ad26d-cf2c-4874-a69e-97e02d29a7b3</x:v>
      </x:c>
      <x:c r="B767" t="str">
        <x:v>9616f105-3416-4e5e-a201-b7f2b49e0c00</x:v>
      </x:c>
      <x:c r="C767" s="9" t="str">
        <x:v>Crooks v Hendricks Lovell Limited [2016] EWCA Civ 8</x:v>
      </x:c>
      <x:c r="D767" s="9" t="str"/>
      <x:c r="E767" s="9" t="str"/>
      <x:c r="F767" s="13" t="str">
        <x:v>2016</x:v>
      </x:c>
      <x:c r="G767" s="9" t="str">
        <x:v>England and Wales Court of Appeal (Civil Division)</x:v>
      </x:c>
      <x:c r="H767" s="9" t="str">
        <x:v>Court of Appeal</x:v>
      </x:c>
      <x:c r="I767" s="9" t="str">
        <x:v>England and Wales</x:v>
      </x:c>
      <x:c r="J767" s="9" t="str">
        <x:v>Costs and Civil Procedure; Personal Injury</x:v>
      </x:c>
      <x:c r="K767" s="9" t="str">
        <x:v>-ew-cases-EWCA-Civ-2016-8.xml</x:v>
      </x:c>
      <x:c r="L767" s="9" t="str">
        <x:v>TBA</x:v>
      </x:c>
    </x:row>
    <x:row r="768">
      <x:c r="A768" t="str">
        <x:v>ba348d38-f32f-4186-8d9c-2055e9e49bf5</x:v>
      </x:c>
      <x:c r="B768" t="str">
        <x:v>c21e0bef-b8ff-4f7a-8747-96ed5c2813e1</x:v>
      </x:c>
      <x:c r="C768" s="9" t="str">
        <x:v>Crossfield v Jackson [2014] EWCA Civ 1548</x:v>
      </x:c>
      <x:c r="D768" s="9" t="str"/>
      <x:c r="E768" s="9" t="str"/>
      <x:c r="F768" s="13" t="str">
        <x:v>2014</x:v>
      </x:c>
      <x:c r="G768" s="9" t="str">
        <x:v>England and Wales Court of Appeal (Civil Division)</x:v>
      </x:c>
      <x:c r="H768" s="9" t="str">
        <x:v>appellate</x:v>
      </x:c>
      <x:c r="I768" s="9" t="str">
        <x:v>England and Wales</x:v>
      </x:c>
      <x:c r="J768" s="9" t="str">
        <x:v>Property Law</x:v>
      </x:c>
      <x:c r="K768" s="9" t="str">
        <x:v>-ew-cases-EWCA-Civ-2014-1548.xml</x:v>
      </x:c>
      <x:c r="L768" s="9" t="str">
        <x:v>TBA</x:v>
      </x:c>
    </x:row>
    <x:row r="769">
      <x:c r="A769" t="str">
        <x:v>383c75e7-4056-46ff-8f4c-f46e2c68cefe</x:v>
      </x:c>
      <x:c r="B769" t="str">
        <x:v>34c7dfa7-ffb8-4940-aeb2-139122aa5cf5</x:v>
      </x:c>
      <x:c r="C769" s="9" t="str">
        <x:v>Crossland v OCS Group UK Ltd &amp; Anor [2014] EWCA Civ 576</x:v>
      </x:c>
      <x:c r="D769" s="9" t="str"/>
      <x:c r="E769" s="9" t="str"/>
      <x:c r="F769" s="13" t="str">
        <x:v>2014</x:v>
      </x:c>
      <x:c r="G769" s="9" t="str">
        <x:v>England and Wales Court of Appeal (Civil Division)</x:v>
      </x:c>
      <x:c r="H769" s="9" t="str">
        <x:v>appellate</x:v>
      </x:c>
      <x:c r="I769" s="9" t="str">
        <x:v>England and Wales</x:v>
      </x:c>
      <x:c r="J769" s="9" t="str">
        <x:v>Employment Law</x:v>
      </x:c>
      <x:c r="K769" s="9" t="str">
        <x:v>-ew-cases-EWCA-Civ-2014-576.xml</x:v>
      </x:c>
      <x:c r="L769" s="9" t="str">
        <x:v>TBA</x:v>
      </x:c>
    </x:row>
    <x:row r="770">
      <x:c r="A770" t="str">
        <x:v>a8ea696f-66b4-4aa7-a25f-d04444dc3ca0</x:v>
      </x:c>
      <x:c r="B770" t="str">
        <x:v>461ef78b-725d-426c-94c2-6619ba45264c</x:v>
      </x:c>
      <x:c r="C770" s="9" t="str">
        <x:v>Crossland v OCS Group UK Ltd &amp; Anor [2014] EWCA Civ 678</x:v>
      </x:c>
      <x:c r="D770" s="9" t="str"/>
      <x:c r="E770" s="9" t="str"/>
      <x:c r="F770" s="13" t="str">
        <x:v>2014</x:v>
      </x:c>
      <x:c r="G770" s="9" t="str">
        <x:v>England and Wales Court of Appeal (Civil Division)</x:v>
      </x:c>
      <x:c r="H770" s="9" t="str">
        <x:v>Appellate</x:v>
      </x:c>
      <x:c r="I770" s="9" t="str">
        <x:v>England and Wales</x:v>
      </x:c>
      <x:c r="J770" s="9" t="str">
        <x:v>Employment Law</x:v>
      </x:c>
      <x:c r="K770" s="9" t="str">
        <x:v>-ew-cases-EWCA-Civ-2014-678.xml</x:v>
      </x:c>
      <x:c r="L770" s="9" t="str">
        <x:v>TBA</x:v>
      </x:c>
    </x:row>
    <x:row r="771">
      <x:c r="A771" t="str">
        <x:v>6aadf773-73a3-4090-a657-0c1ddbb6fe50</x:v>
      </x:c>
      <x:c r="B771" t="str">
        <x:v>c5ce22c3-fb2b-47ea-8345-cf1429bccc73</x:v>
      </x:c>
      <x:c r="C771" s="9" t="str">
        <x:v>Crowter &amp; Anor, R (On the Application Of) v The Secretary of State for Health And Social Care [2022] EWCA Civ 1559</x:v>
      </x:c>
      <x:c r="D771" s="9" t="str"/>
      <x:c r="E771" s="9" t="str"/>
      <x:c r="F771" s="13" t="str">
        <x:v>2022</x:v>
      </x:c>
      <x:c r="G771" s="9" t="str">
        <x:v>England and Wales Court of Appeal (Civil Division)</x:v>
      </x:c>
      <x:c r="H771" s="9" t="str">
        <x:v>Court of Appeal (Civil Division)</x:v>
      </x:c>
      <x:c r="I771" s="9" t="str">
        <x:v>England and Wales</x:v>
      </x:c>
      <x:c r="J771" s="9" t="str">
        <x:v>Judicial Review / Human Rights / Administrative Law</x:v>
      </x:c>
      <x:c r="K771" s="9" t="str">
        <x:v>ew-cases-EWCA-Civ-2022-1559.xml</x:v>
      </x:c>
      <x:c r="L771" s="9" t="str">
        <x:v>TBA</x:v>
      </x:c>
    </x:row>
    <x:row r="772">
      <x:c r="A772" t="str">
        <x:v>5730cae6-32f8-469c-8269-ce5a4c7b705d</x:v>
      </x:c>
      <x:c r="B772" t="str">
        <x:v>c8be27ef-cde3-49ff-bb0d-12fbbe8a2c55</x:v>
      </x:c>
      <x:c r="C772" s="9" t="str">
        <x:v>Crowther v Crowther [2017] EWCA Civ 2698</x:v>
      </x:c>
      <x:c r="D772" s="9" t="str"/>
      <x:c r="E772" s="9" t="str"/>
      <x:c r="F772" s="13" t="str">
        <x:v>2017</x:v>
      </x:c>
      <x:c r="G772" s="9" t="str">
        <x:v>England and Wales Court of Appeal (Civil Division)</x:v>
      </x:c>
      <x:c r="H772" s="9" t="str">
        <x:v>appellate</x:v>
      </x:c>
      <x:c r="I772" s="9" t="str">
        <x:v>England and Wales</x:v>
      </x:c>
      <x:c r="J772" s="9" t="str">
        <x:v>Family Law</x:v>
      </x:c>
      <x:c r="K772" s="9" t="str">
        <x:v>-ew-cases-EWCA-Civ-2017-2698.xml</x:v>
      </x:c>
      <x:c r="L772" s="9" t="str">
        <x:v>TBA</x:v>
      </x:c>
    </x:row>
    <x:row r="773">
      <x:c r="A773" t="str">
        <x:v>a02fe746-e256-477c-a983-25650db8ad8d</x:v>
      </x:c>
      <x:c r="B773" t="str">
        <x:v>20302d7f-93c0-4f17-bb0c-2087a4acf1c6</x:v>
      </x:c>
      <x:c r="C773" s="9" t="str">
        <x:v>Croydon London Borough Council v Kalonga [2021] EWCA Civ 77</x:v>
      </x:c>
      <x:c r="D773" s="9" t="str"/>
      <x:c r="E773" s="9" t="str"/>
      <x:c r="F773" s="13" t="str">
        <x:v>2021</x:v>
      </x:c>
      <x:c r="G773" s="9" t="str">
        <x:v>England and Wales Court of Appeal (Civil Division)</x:v>
      </x:c>
      <x:c r="H773" s="9" t="str">
        <x:v>Appellate</x:v>
      </x:c>
      <x:c r="I773" s="9" t="str">
        <x:v>England and Wales</x:v>
      </x:c>
      <x:c r="J773" s="9" t="str">
        <x:v>Property Law</x:v>
      </x:c>
      <x:c r="K773" s="9" t="str">
        <x:v>ew-cases-EWCA-Civ-2021-77.xml</x:v>
      </x:c>
      <x:c r="L773" s="9" t="str">
        <x:v>TBA</x:v>
      </x:c>
    </x:row>
    <x:row r="774">
      <x:c r="A774" t="str">
        <x:v>8e8cff6a-dae0-48d6-bd1e-90e8547a1170</x:v>
      </x:c>
      <x:c r="B774" t="str">
        <x:v>5d9597a8-3333-4a7f-9773-8ce968be798a</x:v>
      </x:c>
      <x:c r="C774" s="9" t="str">
        <x:v>Cruddas v Calvert &amp; Ors [2015] EWCA Civ 171</x:v>
      </x:c>
      <x:c r="D774" s="9" t="str"/>
      <x:c r="E774" s="9" t="str"/>
      <x:c r="F774" s="13" t="str">
        <x:v>2015</x:v>
      </x:c>
      <x:c r="G774" s="9" t="str">
        <x:v>England and Wales Court of Appeal (Civil Division)</x:v>
      </x:c>
      <x:c r="H774" s="9" t="str">
        <x:v>Appellate</x:v>
      </x:c>
      <x:c r="I774" s="9" t="str">
        <x:v>England and Wales</x:v>
      </x:c>
      <x:c r="J774" s="9" t="str">
        <x:v>Defamation</x:v>
      </x:c>
      <x:c r="K774" s="9" t="str">
        <x:v>-ew-cases-EWCA-Civ-2015-171.xml</x:v>
      </x:c>
      <x:c r="L774" s="9" t="str">
        <x:v>TBA</x:v>
      </x:c>
    </x:row>
    <x:row r="775">
      <x:c r="A775" t="str">
        <x:v>032a1a06-5741-4c20-9fd8-9789ebd54f64</x:v>
      </x:c>
      <x:c r="B775" t="str">
        <x:v>d7b6a4b9-cb2a-4990-981d-38847a055e04</x:v>
      </x:c>
      <x:c r="C775" s="9" t="str">
        <x:v>Crutchley v Kruger &amp; Ors [2016] EWCA Civ 427</x:v>
      </x:c>
      <x:c r="D775" s="9" t="str"/>
      <x:c r="E775" s="9" t="str"/>
      <x:c r="F775" s="13" t="str">
        <x:v>2016</x:v>
      </x:c>
      <x:c r="G775" s="9" t="str">
        <x:v>England and Wales Court of Appeal (Civil Division)</x:v>
      </x:c>
      <x:c r="H775" s="9" t="str">
        <x:v>Court of Appeal (Civil Division)</x:v>
      </x:c>
      <x:c r="I775" s="9" t="str">
        <x:v>England and Wales</x:v>
      </x:c>
      <x:c r="J775" s="9" t="str">
        <x:v>Civil Procedure; Personal Injury</x:v>
      </x:c>
      <x:c r="K775" s="9" t="str">
        <x:v>-ew-cases-EWCA-Civ-2016-427.xml</x:v>
      </x:c>
      <x:c r="L775" s="9" t="str">
        <x:v>TBA</x:v>
      </x:c>
    </x:row>
    <x:row r="776">
      <x:c r="A776" t="str">
        <x:v>5e84fbd7-2240-4ce7-a704-2cdc81445439</x:v>
      </x:c>
      <x:c r="B776" t="str">
        <x:v>f9ff8eee-2610-4570-9989-ef1043fa686e</x:v>
      </x:c>
      <x:c r="C776" s="9" t="str">
        <x:v>Cruz v Lancashire Police &amp; Anr [2016] EWCA Civ 402</x:v>
      </x:c>
      <x:c r="D776" s="9" t="str"/>
      <x:c r="E776" s="9" t="str"/>
      <x:c r="F776" s="13" t="str">
        <x:v>2016</x:v>
      </x:c>
      <x:c r="G776" s="9" t="str">
        <x:v>England and Wales Court of Appeal (Civil Division)</x:v>
      </x:c>
      <x:c r="H776" s="9" t="str">
        <x:v>Court of Appeal (Civil Division)</x:v>
      </x:c>
      <x:c r="I776" s="9" t="str">
        <x:v>England and Wales</x:v>
      </x:c>
      <x:c r="J776" s="9" t="str">
        <x:v>Health and Safety Regulation / Civil Appeal</x:v>
      </x:c>
      <x:c r="K776" s="9" t="str">
        <x:v>-ew-cases-EWCA-Civ-2016-402.xml</x:v>
      </x:c>
      <x:c r="L776" s="9" t="str">
        <x:v>TBA</x:v>
      </x:c>
    </x:row>
    <x:row r="777">
      <x:c r="A777" t="str">
        <x:v>08da9550-2090-41d3-b65f-583bcccdaf37</x:v>
      </x:c>
      <x:c r="B777" t="str">
        <x:v>9694d610-3ec9-4981-b9db-40dc38156277</x:v>
      </x:c>
      <x:c r="C777" s="9" t="str">
        <x:v>Crystal Property (London) Ltd v Secretary of State for Communities and Local Government &amp; Anor [2016] EWCA Civ 1265</x:v>
      </x:c>
      <x:c r="D777" s="9" t="str"/>
      <x:c r="E777" s="9" t="str"/>
      <x:c r="F777" s="13" t="str">
        <x:v>2016</x:v>
      </x:c>
      <x:c r="G777" s="9" t="str">
        <x:v>England and Wales Court of Appeal (Civil Division)</x:v>
      </x:c>
      <x:c r="H777" s="9" t="str">
        <x:v>Court of Appeal (Civil Division)</x:v>
      </x:c>
      <x:c r="I777" s="9" t="str">
        <x:v>England and Wales</x:v>
      </x:c>
      <x:c r="J777" s="9" t="str">
        <x:v>Planning Law / Administrative Law</x:v>
      </x:c>
      <x:c r="K777" s="9" t="str">
        <x:v>-ew-cases-EWCA-Civ-2016-1265.xml</x:v>
      </x:c>
      <x:c r="L777" s="9" t="str">
        <x:v>TBA</x:v>
      </x:c>
    </x:row>
    <x:row r="778">
      <x:c r="A778" t="str">
        <x:v>104358cd-2aa5-43d6-be45-e9d171083404</x:v>
      </x:c>
      <x:c r="B778" t="str">
        <x:v>f52b20b0-a55d-4039-a67d-35811badb24b</x:v>
      </x:c>
      <x:c r="C778" s="9" t="str">
        <x:v>Cuciurean v Secretary of State for Transport &amp; Anor [2022] EWCA Civ 1519</x:v>
      </x:c>
      <x:c r="D778" s="9" t="str"/>
      <x:c r="E778" s="9" t="str"/>
      <x:c r="F778" s="13" t="str">
        <x:v>2022</x:v>
      </x:c>
      <x:c r="G778" s="9" t="str">
        <x:v>England and Wales Court of Appeal (Civil Division)</x:v>
      </x:c>
      <x:c r="H778" s="9" t="str">
        <x:v>Court of Appeal (Civil Division)</x:v>
      </x:c>
      <x:c r="I778" s="9" t="str">
        <x:v>England and Wales</x:v>
      </x:c>
      <x:c r="J778" s="9" t="str">
        <x:v>Civil Contempt / Injunctions</x:v>
      </x:c>
      <x:c r="K778" s="9" t="str">
        <x:v>ew-cases-EWCA-Civ-2022-1519.xml</x:v>
      </x:c>
      <x:c r="L778" s="9" t="str">
        <x:v>TBA</x:v>
      </x:c>
    </x:row>
    <x:row r="779">
      <x:c r="A779" t="str">
        <x:v>24bc0e9f-a0eb-4e69-97bf-171894e14f88</x:v>
      </x:c>
      <x:c r="B779" t="str">
        <x:v>9de51d61-5b67-41c3-9429-717e793b083e</x:v>
      </x:c>
      <x:c r="C779" s="9" t="str">
        <x:v>Cuciurean v The Secretary of State for Transport &amp; Anor</x:v>
      </x:c>
      <x:c r="D779" s="9" t="str"/>
      <x:c r="E779" s="9" t="str"/>
      <x:c r="F779" s="13" t="str">
        <x:v>2021</x:v>
      </x:c>
      <x:c r="G779" s="9" t="str">
        <x:v>England and Wales Court of Appeal (Civil Division)</x:v>
      </x:c>
      <x:c r="H779" s="9" t="str">
        <x:v>Appellate</x:v>
      </x:c>
      <x:c r="I779" s="9" t="str">
        <x:v>United Kingdom (England and Wales)</x:v>
      </x:c>
      <x:c r="J779" s="9" t="str">
        <x:v>Contempt of Court</x:v>
      </x:c>
      <x:c r="K779" s="9" t="str">
        <x:v>ew-cases-EWCA-Civ-2021-357.xml</x:v>
      </x:c>
      <x:c r="L779" s="9" t="str">
        <x:v>TBA</x:v>
      </x:c>
    </x:row>
    <x:row r="780">
      <x:c r="A780" t="str">
        <x:v>64d588e3-73fc-4287-8541-f3b999cf854d</x:v>
      </x:c>
      <x:c r="B780" t="str">
        <x:v>f5cc2283-1d7d-499f-bd84-bb25368a40bc</x:v>
      </x:c>
      <x:c r="C780" s="9" t="str">
        <x:v>Cunningham (t/a Urban Developments) v Buckley &amp; Anor [2017] EWCA Civ 224</x:v>
      </x:c>
      <x:c r="D780" s="9" t="str"/>
      <x:c r="E780" s="9" t="str"/>
      <x:c r="F780" s="13" t="str">
        <x:v>2017</x:v>
      </x:c>
      <x:c r="G780" s="9" t="str">
        <x:v>England and Wales Court of Appeal (Civil Division)</x:v>
      </x:c>
      <x:c r="H780" s="9" t="str">
        <x:v>Appellate</x:v>
      </x:c>
      <x:c r="I780" s="9" t="str">
        <x:v>England and Wales</x:v>
      </x:c>
      <x:c r="J780" s="9" t="str">
        <x:v>Contract Dispute</x:v>
      </x:c>
      <x:c r="K780" s="9" t="str">
        <x:v>-ew-cases-EWCA-Civ-2017-224.xml</x:v>
      </x:c>
      <x:c r="L780" s="9" t="str">
        <x:v>TBA</x:v>
      </x:c>
    </x:row>
    <x:row r="781">
      <x:c r="A781" t="str">
        <x:v>1cae85e6-5a5f-4a6c-b58f-1f779baf911e</x:v>
      </x:c>
      <x:c r="B781" t="str">
        <x:v>c758bcb2-2d5a-4322-b298-bd13b2122ed5</x:v>
      </x:c>
      <x:c r="C781" s="9" t="str">
        <x:v>Cunningham v Rochdale Metropolitan Borough Council [2021] EWCA Civ 1719</x:v>
      </x:c>
      <x:c r="D781" s="9" t="str"/>
      <x:c r="E781" s="9" t="str"/>
      <x:c r="F781" s="13" t="str">
        <x:v>2021</x:v>
      </x:c>
      <x:c r="G781" s="9" t="str">
        <x:v>England and Wales Court of Appeal (Civil Division)</x:v>
      </x:c>
      <x:c r="H781" s="9" t="str">
        <x:v>Appellate</x:v>
      </x:c>
      <x:c r="I781" s="9" t="str">
        <x:v>England and Wales</x:v>
      </x:c>
      <x:c r="J781" s="9" t="str">
        <x:v>Tort</x:v>
      </x:c>
      <x:c r="K781" s="9" t="str">
        <x:v>ew-cases-EWCA-Civ-2021-1719.xml</x:v>
      </x:c>
      <x:c r="L781" s="9" t="str">
        <x:v>TBA</x:v>
      </x:c>
    </x:row>
    <x:row r="782">
      <x:c r="A782" t="str">
        <x:v>ca7469e6-d6c8-42a2-9193-8cb782f00de5</x:v>
      </x:c>
      <x:c r="B782" t="str">
        <x:v>49b24ca6-c2dd-4001-bea0-62c0273baf68</x:v>
      </x:c>
      <x:c r="C782" s="9" t="str">
        <x:v>Cunningham, R (on the application of) v Hertfordshire County Council &amp; Anor [2016] EWCA Civ 1108 (11 November 2016)</x:v>
      </x:c>
      <x:c r="D782" s="9" t="str"/>
      <x:c r="E782" s="9" t="str"/>
      <x:c r="F782" s="13" t="str">
        <x:v>2016</x:v>
      </x:c>
      <x:c r="G782" s="9" t="str">
        <x:v>England and Wales Court of Appeal (Civil Division)</x:v>
      </x:c>
      <x:c r="H782" s="9" t="str">
        <x:v>Court of Appeal (Civil Division)</x:v>
      </x:c>
      <x:c r="I782" s="9" t="str">
        <x:v>England and Wales</x:v>
      </x:c>
      <x:c r="J782" s="9" t="str">
        <x:v>Administrative Law / Public Law</x:v>
      </x:c>
      <x:c r="K782" s="9" t="str">
        <x:v>-ew-cases-EWCA-Civ-2016-1108.xml</x:v>
      </x:c>
      <x:c r="L782" s="9" t="str">
        <x:v>TBA</x:v>
      </x:c>
    </x:row>
    <x:row r="783">
      <x:c r="A783" t="str">
        <x:v>c3937c87-d297-417a-89fc-68fd36509ac8</x:v>
      </x:c>
      <x:c r="B783" t="str">
        <x:v>34556d1f-b826-4e5d-9145-f3bd62ff1165</x:v>
      </x:c>
      <x:c r="C783" s="9" t="str">
        <x:v>Curran v Collins [2015] EWCA Civ 404</x:v>
      </x:c>
      <x:c r="D783" s="9" t="str"/>
      <x:c r="E783" s="9" t="str"/>
      <x:c r="F783" s="13" t="str">
        <x:v>2015</x:v>
      </x:c>
      <x:c r="G783" s="9" t="str">
        <x:v>England and Wales Court of Appeal (Civil Division)</x:v>
      </x:c>
      <x:c r="H783" s="9" t="str">
        <x:v>Appellate</x:v>
      </x:c>
      <x:c r="I783" s="9" t="str">
        <x:v>England and Wales</x:v>
      </x:c>
      <x:c r="J783" s="9" t="str">
        <x:v>Property Law</x:v>
      </x:c>
      <x:c r="K783" s="9" t="str">
        <x:v>-ew-cases-EWCA-Civ-2015-404.xml</x:v>
      </x:c>
      <x:c r="L783" s="9" t="str">
        <x:v>TBA</x:v>
      </x:c>
    </x:row>
    <x:row r="784">
      <x:c r="A784" t="str">
        <x:v>5e1daa1a-34d5-43d9-9e7d-ba19760fe516</x:v>
      </x:c>
      <x:c r="B784" t="str">
        <x:v>33c480af-f9c1-4af6-ab84-a0b1c12307f1</x:v>
      </x:c>
      <x:c r="C784" s="9" t="str">
        <x:v>Curzon v Wolstenholme &amp; Ors</x:v>
      </x:c>
      <x:c r="D784" s="9" t="str"/>
      <x:c r="E784" s="9" t="str"/>
      <x:c r="F784" s="13" t="str">
        <x:v>2017</x:v>
      </x:c>
      <x:c r="G784" s="9" t="str">
        <x:v>England and Wales Court of Appeal (Civil Division)</x:v>
      </x:c>
      <x:c r="H784" s="9" t="str">
        <x:v>Appellate</x:v>
      </x:c>
      <x:c r="I784" s="9" t="str">
        <x:v>England and Wales</x:v>
      </x:c>
      <x:c r="J784" s="9" t="str">
        <x:v>Property Law</x:v>
      </x:c>
      <x:c r="K784" s="9" t="str">
        <x:v>-ew-cases-EWCA-Civ-2017-1098.xml</x:v>
      </x:c>
      <x:c r="L784" s="9" t="str">
        <x:v>TBA</x:v>
      </x:c>
    </x:row>
    <x:row r="785">
      <x:c r="A785" t="str">
        <x:v>162e7211-7557-439a-80a0-f35f1cab73de</x:v>
      </x:c>
      <x:c r="B785" t="str">
        <x:v>deed10a7-4b01-4f02-926f-91a358a7c388</x:v>
      </x:c>
      <x:c r="C785" s="9" t="str">
        <x:v>CV (A Child) (Placement Order) (Rev1) [2022] EWCA Civ 930</x:v>
      </x:c>
      <x:c r="D785" s="9" t="str"/>
      <x:c r="E785" s="9" t="str"/>
      <x:c r="F785" s="13" t="str">
        <x:v>2022</x:v>
      </x:c>
      <x:c r="G785" s="9" t="str">
        <x:v>England and Wales Court of Appeal (Civil Division)</x:v>
      </x:c>
      <x:c r="H785" s="9" t="str">
        <x:v>Court of Appeal (Civil Division)</x:v>
      </x:c>
      <x:c r="I785" s="9" t="str">
        <x:v>England and Wales</x:v>
      </x:c>
      <x:c r="J785" s="9" t="str">
        <x:v>Care Proceedings / Adoption</x:v>
      </x:c>
      <x:c r="K785" s="9" t="str">
        <x:v>ew-cases-EWCA-Civ-2022-930.xml</x:v>
      </x:c>
      <x:c r="L785" s="9" t="str">
        <x:v>TBA</x:v>
      </x:c>
    </x:row>
    <x:row r="786">
      <x:c r="A786" t="str">
        <x:v>ebc4c473-e6f7-45e6-a203-21561a074332</x:v>
      </x:c>
      <x:c r="B786" t="str">
        <x:v>39f00253-487d-40d0-b73c-f83594c6b220</x:v>
      </x:c>
      <x:c r="C786" s="9" t="str">
        <x:v>D (A Child: Placement Order), Re [2022] EWCA Civ 896 (30 June 2022)</x:v>
      </x:c>
      <x:c r="D786" s="9" t="str"/>
      <x:c r="E786" s="9" t="str"/>
      <x:c r="F786" s="13" t="str">
        <x:v>2022</x:v>
      </x:c>
      <x:c r="G786" s="9" t="str">
        <x:v>England and Wales Court of Appeal (Civil Division)</x:v>
      </x:c>
      <x:c r="H786" s="9" t="str">
        <x:v>Court of Appeal (Civil Division)</x:v>
      </x:c>
      <x:c r="I786" s="9" t="str">
        <x:v>England and Wales</x:v>
      </x:c>
      <x:c r="J786" s="9" t="str">
        <x:v>Family Law / Adoption</x:v>
      </x:c>
      <x:c r="K786" s="9" t="str">
        <x:v>ew-cases-EWCA-Civ-2022-896.xml</x:v>
      </x:c>
      <x:c r="L786" s="9" t="str">
        <x:v>TBA</x:v>
      </x:c>
    </x:row>
    <x:row r="787">
      <x:c r="A787" t="str">
        <x:v>1bbbc320-ff68-486c-af09-318d593c972a</x:v>
      </x:c>
      <x:c r="B787" t="str">
        <x:v>d89fa0e6-5973-4621-a8b9-76ca1c7c86fc</x:v>
      </x:c>
      <x:c r="C787" s="9" t="str">
        <x:v>D (A Child) (Appeal From the Registration of a Maintenance Order) (Rev 1) [2022] EWCA Civ 641</x:v>
      </x:c>
      <x:c r="D787" s="9" t="str"/>
      <x:c r="E787" s="9" t="str"/>
      <x:c r="F787" s="13" t="str">
        <x:v>2022</x:v>
      </x:c>
      <x:c r="G787" s="9" t="str">
        <x:v>England and Wales Court of Appeal (Civil Division)</x:v>
      </x:c>
      <x:c r="H787" s="9" t="str">
        <x:v>Court of Appeal (Civil Division)</x:v>
      </x:c>
      <x:c r="I787" s="9" t="str">
        <x:v>England and Wales</x:v>
      </x:c>
      <x:c r="J787" s="9" t="str">
        <x:v>Procedural / International Family Maintenance Law</x:v>
      </x:c>
      <x:c r="K787" s="9" t="str">
        <x:v>ew-cases-EWCA-Civ-2022-641.xml</x:v>
      </x:c>
      <x:c r="L787" s="9" t="str">
        <x:v>TBA</x:v>
      </x:c>
    </x:row>
    <x:row r="788">
      <x:c r="A788" t="str">
        <x:v>b4ec3368-625b-40ce-9e9c-8dfe0a228acf</x:v>
      </x:c>
      <x:c r="B788" t="str">
        <x:v>4db07398-bea5-444c-bac0-19e918f0394f</x:v>
      </x:c>
      <x:c r="C788" s="9" t="str">
        <x:v>D (A Child) (International Recognition) [2016] EWCA Civ 12</x:v>
      </x:c>
      <x:c r="D788" s="9" t="str"/>
      <x:c r="E788" s="9" t="str"/>
      <x:c r="F788" s="13" t="str">
        <x:v>2016</x:v>
      </x:c>
      <x:c r="G788" s="9" t="str">
        <x:v>England and Wales Court of Appeal (Civil Division)</x:v>
      </x:c>
      <x:c r="H788" s="9" t="str">
        <x:v>Court of Appeal (Civil Division)</x:v>
      </x:c>
      <x:c r="I788" s="9" t="str">
        <x:v>England and Wales</x:v>
      </x:c>
      <x:c r="J788" s="9" t="str">
        <x:v>International Family Law / Private International Law</x:v>
      </x:c>
      <x:c r="K788" s="9" t="str">
        <x:v>-ew-cases-EWCA-Civ-2016-12.xml</x:v>
      </x:c>
      <x:c r="L788" s="9" t="str">
        <x:v>TBA</x:v>
      </x:c>
    </x:row>
    <x:row r="789">
      <x:c r="A789" t="str">
        <x:v>1db99645-4fa3-4dd7-9ed7-6c8b8e23ee9d</x:v>
      </x:c>
      <x:c r="B789" t="str">
        <x:v>8a2d82ed-e5c9-416a-aa2a-b511da7beb8c</x:v>
      </x:c>
      <x:c r="C789" s="9" t="str">
        <x:v>D (A Child) [2014] EWCA Civ 315</x:v>
      </x:c>
      <x:c r="D789" s="9" t="str"/>
      <x:c r="E789" s="9" t="str"/>
      <x:c r="F789" s="13" t="str">
        <x:v>2014</x:v>
      </x:c>
      <x:c r="G789" s="9" t="str">
        <x:v>England and Wales Court of Appeal (Civil Division)</x:v>
      </x:c>
      <x:c r="H789" s="9" t="str">
        <x:v>Appellate</x:v>
      </x:c>
      <x:c r="I789" s="9" t="str">
        <x:v>England and Wales</x:v>
      </x:c>
      <x:c r="J789" s="9" t="str">
        <x:v>Family Law</x:v>
      </x:c>
      <x:c r="K789" s="9" t="str">
        <x:v>-ew-cases-EWCA-Civ-2014-315.xml</x:v>
      </x:c>
      <x:c r="L789" s="9" t="str">
        <x:v>TBA</x:v>
      </x:c>
    </x:row>
    <x:row r="790">
      <x:c r="A790" t="str">
        <x:v>ae605074-ea71-4ebb-a2f3-ed9358f1fdd4</x:v>
      </x:c>
      <x:c r="B790" t="str">
        <x:v>14f7595c-efb1-40bc-9642-5c8d9f28f4c0</x:v>
      </x:c>
      <x:c r="C790" s="9" t="str">
        <x:v>D (A Child) [2021] EWCA Civ 787</x:v>
      </x:c>
      <x:c r="D790" s="9" t="str"/>
      <x:c r="E790" s="9" t="str"/>
      <x:c r="F790" s="13" t="str">
        <x:v>2021</x:v>
      </x:c>
      <x:c r="G790" s="9" t="str">
        <x:v>England and Wales Court of Appeal (Civil Division)</x:v>
      </x:c>
      <x:c r="H790" s="9" t="str">
        <x:v>Appellate</x:v>
      </x:c>
      <x:c r="I790" s="9" t="str">
        <x:v>England and Wales</x:v>
      </x:c>
      <x:c r="J790" s="9" t="str">
        <x:v>Family Law</x:v>
      </x:c>
      <x:c r="K790" s="9" t="str">
        <x:v>ew-cases-EWCA-Civ-2021-787.xml</x:v>
      </x:c>
      <x:c r="L790" s="9" t="str">
        <x:v>TBA</x:v>
      </x:c>
    </x:row>
    <x:row r="791">
      <x:c r="A791" t="str">
        <x:v>8044ed1a-de55-4a2c-9f0a-6fff0581da60</x:v>
      </x:c>
      <x:c r="B791" t="str">
        <x:v>d8750958-e24b-4eae-b87e-5c879eb7e8e2</x:v>
      </x:c>
      <x:c r="C791" s="9" t="str">
        <x:v>D (A Child) v. Warwickshire County Council [2017] EWCA Civ 196</x:v>
      </x:c>
      <x:c r="D791" s="9" t="str"/>
      <x:c r="E791" s="9" t="str"/>
      <x:c r="F791" s="13" t="str">
        <x:v>2017</x:v>
      </x:c>
      <x:c r="G791" s="9" t="str">
        <x:v>England and Wales Court of Appeal (Civil Division)</x:v>
      </x:c>
      <x:c r="H791" s="9" t="str">
        <x:v>Appellate</x:v>
      </x:c>
      <x:c r="I791" s="9" t="str">
        <x:v>England and Wales</x:v>
      </x:c>
      <x:c r="J791" s="9" t="str">
        <x:v>Child Welfare</x:v>
      </x:c>
      <x:c r="K791" s="9" t="str">
        <x:v>-ew-cases-EWCA-Civ-2017-196.xml</x:v>
      </x:c>
      <x:c r="L791" s="9" t="str">
        <x:v>TBA</x:v>
      </x:c>
    </x:row>
    <x:row r="792">
      <x:c r="A792" t="str">
        <x:v>d9eb102c-b163-43c0-a0a6-eaac4f47fbc0</x:v>
      </x:c>
      <x:c r="B792" t="str">
        <x:v>c252c3d8-901d-479c-8713-9478154b2e25</x:v>
      </x:c>
      <x:c r="C792" s="9" t="str">
        <x:v>D (Children) [2016] EWCA Civ 89</x:v>
      </x:c>
      <x:c r="D792" s="9" t="str"/>
      <x:c r="E792" s="9" t="str"/>
      <x:c r="F792" s="13" t="str">
        <x:v>2016</x:v>
      </x:c>
      <x:c r="G792" s="9" t="str">
        <x:v>England and Wales Court of Appeal (Civil Division)</x:v>
      </x:c>
      <x:c r="H792" s="9" t="str">
        <x:v>Court of Appeal (Civil Division)</x:v>
      </x:c>
      <x:c r="I792" s="9" t="str">
        <x:v>England and Wales</x:v>
      </x:c>
      <x:c r="J792" s="9" t="str">
        <x:v>Family Law – Children Proceedings</x:v>
      </x:c>
      <x:c r="K792" s="9" t="str">
        <x:v>-ew-cases-EWCA-Civ-2016-89.xml</x:v>
      </x:c>
      <x:c r="L792" s="9" t="str">
        <x:v>TBA</x:v>
      </x:c>
    </x:row>
    <x:row r="793">
      <x:c r="A793" t="str">
        <x:v>cbff12db-0105-4f15-98e6-106ceb09f9d0</x:v>
      </x:c>
      <x:c r="B793" t="str">
        <x:v>71405705-dd02-4c98-a439-2307085e1ff1</x:v>
      </x:c>
      <x:c r="C793" s="9" t="str">
        <x:v>D &amp; K Drost Consult GmbH &amp; Anor v Foremost Leisure (Holdings) Ltd</x:v>
      </x:c>
      <x:c r="D793" s="9" t="str"/>
      <x:c r="E793" s="9" t="str"/>
      <x:c r="F793" s="13" t="str">
        <x:v>2015</x:v>
      </x:c>
      <x:c r="G793" s="9" t="str">
        <x:v>England and Wales Court of Appeal (Civil Division)</x:v>
      </x:c>
      <x:c r="H793" s="9" t="str">
        <x:v>Appellate</x:v>
      </x:c>
      <x:c r="I793" s="9" t="str">
        <x:v>England and Wales</x:v>
      </x:c>
      <x:c r="J793" s="9" t="str">
        <x:v>Contract Dispute</x:v>
      </x:c>
      <x:c r="K793" s="9" t="str">
        <x:v>-ew-cases-EWCA-Civ-2015-73.xml</x:v>
      </x:c>
      <x:c r="L793" s="9" t="str">
        <x:v>TBA</x:v>
      </x:c>
    </x:row>
    <x:row r="794">
      <x:c r="A794" t="str">
        <x:v>ad259d52-ff41-49e8-ab4a-6d109d932c3b</x:v>
      </x:c>
      <x:c r="B794" t="str">
        <x:v>5aca8ee5-265a-406e-a602-c36788fd5320</x:v>
      </x:c>
      <x:c r="C794" s="9" t="str">
        <x:v>D v D [2015] EWCA Civ 181: Appeal Against Striking Out of Financial Remedy Proceedings</x:v>
      </x:c>
      <x:c r="D794" s="9" t="str"/>
      <x:c r="E794" s="9" t="str"/>
      <x:c r="F794" s="13" t="str">
        <x:v>2015</x:v>
      </x:c>
      <x:c r="G794" s="9" t="str">
        <x:v>England and Wales Court of Appeal (Civil Division)</x:v>
      </x:c>
      <x:c r="H794" s="9" t="str">
        <x:v>Appellate</x:v>
      </x:c>
      <x:c r="I794" s="9" t="str">
        <x:v>England and Wales</x:v>
      </x:c>
      <x:c r="J794" s="9" t="str">
        <x:v>Family Law</x:v>
      </x:c>
      <x:c r="K794" s="9" t="str">
        <x:v>-ew-cases-EWCA-Civ-2015-181.xml</x:v>
      </x:c>
      <x:c r="L794" s="9" t="str">
        <x:v>TBA</x:v>
      </x:c>
    </x:row>
    <x:row r="795">
      <x:c r="A795" t="str">
        <x:v>86198d9f-2dc2-4d96-9119-3a88a3951785</x:v>
      </x:c>
      <x:c r="B795" t="str">
        <x:v>33e4030d-89a4-4db7-bf4a-bb50e09ff4dc</x:v>
      </x:c>
      <x:c r="C795" s="9" t="str">
        <x:v>D, Re (Leave to Apply to Revoke Placement Orders) [2022] EWCA Civ 299</x:v>
      </x:c>
      <x:c r="D795" s="9" t="str"/>
      <x:c r="E795" s="9" t="str"/>
      <x:c r="F795" s="13" t="str">
        <x:v>2022</x:v>
      </x:c>
      <x:c r="G795" s="9" t="str">
        <x:v>England and Wales Court of Appeal (Civil Division)</x:v>
      </x:c>
      <x:c r="H795" s="9" t="str">
        <x:v>Court of Appeal (Civil Division)</x:v>
      </x:c>
      <x:c r="I795" s="9" t="str">
        <x:v>England and Wales</x:v>
      </x:c>
      <x:c r="J795" s="9" t="str">
        <x:v>Family Law / Adoption</x:v>
      </x:c>
      <x:c r="K795" s="9" t="str">
        <x:v>ew-cases-EWCA-Civ-2022-299.xml</x:v>
      </x:c>
      <x:c r="L795" s="9" t="str">
        <x:v>TBA</x:v>
      </x:c>
    </x:row>
    <x:row r="796">
      <x:c r="A796" t="str">
        <x:v>2e5ce05d-c402-4d3a-b12c-dedb60fa54b9</x:v>
      </x:c>
      <x:c r="B796" t="str">
        <x:v>655eb8ee-909c-437b-8fc8-b668965bbd44</x:v>
      </x:c>
      <x:c r="C796" s="9" t="str">
        <x:v>D4, R (On the Application Of) v Secretary of State for the Home Department [2022] EWCA Civ 33 (26 January 2022) – Ultra Vires Challenge to Regulation 10(4) of the British Nationality Regulations 2003</x:v>
      </x:c>
      <x:c r="D796" s="9" t="str"/>
      <x:c r="E796" s="9" t="str"/>
      <x:c r="F796" s="13" t="str">
        <x:v>2022</x:v>
      </x:c>
      <x:c r="G796" s="9" t="str">
        <x:v>England and Wales Court of Appeal (Civil Division)</x:v>
      </x:c>
      <x:c r="H796" s="9" t="str">
        <x:v>Court of Appeal (Civil Division)</x:v>
      </x:c>
      <x:c r="I796" s="9" t="str">
        <x:v>England and Wales</x:v>
      </x:c>
      <x:c r="J796" s="9" t="str">
        <x:v>Administrative Law; Nationality Law</x:v>
      </x:c>
      <x:c r="K796" s="9" t="str">
        <x:v>ew-cases-EWCA-Civ-2022-33.xml</x:v>
      </x:c>
      <x:c r="L796" s="9" t="str">
        <x:v>TBA</x:v>
      </x:c>
    </x:row>
    <x:row r="797">
      <x:c r="A797" t="str">
        <x:v>08e85c96-1100-486e-b1e5-6d8f55380061</x:v>
      </x:c>
      <x:c r="B797" t="str">
        <x:v>afe6b030-4ac5-46cd-bf1b-3e2f471df9c1</x:v>
      </x:c>
      <x:c r="C797" s="9" t="str">
        <x:v>DA (Iran), R (On the Application Of) v Secretary of State for the Home Department</x:v>
      </x:c>
      <x:c r="D797" s="9" t="str"/>
      <x:c r="E797" s="9" t="str"/>
      <x:c r="F797" s="13" t="str">
        <x:v>2014</x:v>
      </x:c>
      <x:c r="G797" s="9" t="str">
        <x:v>England and Wales Court of Appeal (Civil Division)</x:v>
      </x:c>
      <x:c r="H797" s="9" t="str">
        <x:v>Appellate</x:v>
      </x:c>
      <x:c r="I797" s="9" t="str">
        <x:v>England and Wales</x:v>
      </x:c>
      <x:c r="J797" s="9" t="str">
        <x:v>Administrative Law</x:v>
      </x:c>
      <x:c r="K797" s="9" t="str">
        <x:v>-ew-cases-EWCA-Civ-2014-654.xml</x:v>
      </x:c>
      <x:c r="L797" s="9" t="str">
        <x:v>TBA</x:v>
      </x:c>
    </x:row>
    <x:row r="798">
      <x:c r="A798" t="str">
        <x:v>be3a1912-b7fb-44d9-8c9f-3e4ae81b7a70</x:v>
      </x:c>
      <x:c r="B798" t="str">
        <x:v>cc0c3833-f0d7-44ae-9281-e6b836259563</x:v>
      </x:c>
      <x:c r="C798" s="9" t="str">
        <x:v>DA (Iraq) v The Secretary of State for the Home Department: Asylum and Credibility Issues</x:v>
      </x:c>
      <x:c r="D798" s="9" t="str"/>
      <x:c r="E798" s="9" t="str"/>
      <x:c r="F798" s="13" t="str">
        <x:v>2015</x:v>
      </x:c>
      <x:c r="G798" s="9" t="str">
        <x:v>England and Wales Court of Appeal (Civil Division)</x:v>
      </x:c>
      <x:c r="H798" s="9" t="str">
        <x:v>Appellate</x:v>
      </x:c>
      <x:c r="I798" s="9" t="str">
        <x:v>England and Wales</x:v>
      </x:c>
      <x:c r="J798" s="9" t="str">
        <x:v>Immigration Law</x:v>
      </x:c>
      <x:c r="K798" s="9" t="str">
        <x:v>-ew-cases-EWCA-Civ-2015-1523.xml</x:v>
      </x:c>
      <x:c r="L798" s="9" t="str">
        <x:v>TBA</x:v>
      </x:c>
    </x:row>
    <x:row r="799">
      <x:c r="A799" t="str">
        <x:v>1629f139-e5ce-48b9-b647-220f198e8cad</x:v>
      </x:c>
      <x:c r="B799" t="str">
        <x:v>4ea41ef6-4ee1-4ef0-b94f-82dc6224f5ea</x:v>
      </x:c>
      <x:c r="C799" s="9" t="str">
        <x:v>Da Costa &amp; Anor v Sargaco &amp; Anor [2016] EWCA Civ 764 (Court of Appeal, Civil Division)</x:v>
      </x:c>
      <x:c r="D799" s="9" t="str"/>
      <x:c r="E799" s="9" t="str"/>
      <x:c r="F799" s="13" t="str">
        <x:v>2016</x:v>
      </x:c>
      <x:c r="G799" s="9" t="str">
        <x:v>England and Wales Court of Appeal (Civil Division)</x:v>
      </x:c>
      <x:c r="H799" s="9" t="str">
        <x:v>Court of Appeal (Civil Division)</x:v>
      </x:c>
      <x:c r="I799" s="9" t="str">
        <x:v>England and Wales</x:v>
      </x:c>
      <x:c r="J799" s="9" t="str">
        <x:v>Civil dispute / Tort and insurance fraud within English jurisdiction</x:v>
      </x:c>
      <x:c r="K799" s="9" t="str">
        <x:v>-ew-cases-EWCA-Civ-2016-764.xml</x:v>
      </x:c>
      <x:c r="L799" s="9" t="str">
        <x:v>TBA</x:v>
      </x:c>
    </x:row>
    <x:row r="800">
      <x:c r="A800" t="str">
        <x:v>63971d2d-13fe-478b-94e0-f0cf03bec692</x:v>
      </x:c>
      <x:c r="B800" t="str">
        <x:v>10b41294-9d26-4c07-aec1-4139bcc3f9d7</x:v>
      </x:c>
      <x:c r="C800" s="9" t="str">
        <x:v>Da Rocha-Afodu &amp; Anor v Mortgage Express Ltd &amp; Anor [2014] EWCA Civ 454</x:v>
      </x:c>
      <x:c r="D800" s="9" t="str"/>
      <x:c r="E800" s="9" t="str"/>
      <x:c r="F800" s="13" t="str">
        <x:v>2014</x:v>
      </x:c>
      <x:c r="G800" s="9" t="str">
        <x:v>England and Wales Court of Appeal (Civil Division)</x:v>
      </x:c>
      <x:c r="H800" s="9" t="str">
        <x:v>Appellate</x:v>
      </x:c>
      <x:c r="I800" s="9" t="str">
        <x:v>England and Wales</x:v>
      </x:c>
      <x:c r="J800" s="9" t="str">
        <x:v>Property Law</x:v>
      </x:c>
      <x:c r="K800" s="9" t="str">
        <x:v>-ew-cases-EWCA-Civ-2014-454.xml</x:v>
      </x:c>
      <x:c r="L800" s="9" t="str">
        <x:v>TBA</x:v>
      </x:c>
    </x:row>
    <x:row r="801">
      <x:c r="A801" t="str">
        <x:v>0bdb2b9f-1d8b-4a9b-9ad1-22b253f0d54e</x:v>
      </x:c>
      <x:c r="B801" t="str">
        <x:v>b5b457b5-5299-4a15-9cda-d7989fb42711</x:v>
      </x:c>
      <x:c r="C801" s="9" t="str">
        <x:v>Da Silva v Heselton (Re Estate of Gladys Dulcie Townsend) [2022] EWCA Civ 880</x:v>
      </x:c>
      <x:c r="D801" s="9" t="str"/>
      <x:c r="E801" s="9" t="str"/>
      <x:c r="F801" s="13" t="str">
        <x:v>2022</x:v>
      </x:c>
      <x:c r="G801" s="9" t="str">
        <x:v>England and Wales Court of Appeal (Civil Division)</x:v>
      </x:c>
      <x:c r="H801" s="9" t="str">
        <x:v>Court of Appeal (Civil Division)</x:v>
      </x:c>
      <x:c r="I801" s="9" t="str">
        <x:v>England and Wales</x:v>
      </x:c>
      <x:c r="J801" s="9" t="str">
        <x:v>Trusts and Estates; Will interpretation; Estate administration</x:v>
      </x:c>
      <x:c r="K801" s="9" t="str">
        <x:v>ew-cases-EWCA-Civ-2022-880.xml</x:v>
      </x:c>
      <x:c r="L801" s="9" t="str">
        <x:v>TBA</x:v>
      </x:c>
    </x:row>
    <x:row r="802">
      <x:c r="A802" t="str">
        <x:v>09d0686e-9099-4ca5-91c3-10523d2e1f50</x:v>
      </x:c>
      <x:c r="B802" t="str">
        <x:v>839d2a92-ae51-48e3-acac-d19a7f50e9e7</x:v>
      </x:c>
      <x:c r="C802" s="9" t="str">
        <x:v>Dacorum Borough Council v Foy [2016] EWCA Civ 48</x:v>
      </x:c>
      <x:c r="D802" s="9" t="str"/>
      <x:c r="E802" s="9" t="str"/>
      <x:c r="F802" s="13" t="str">
        <x:v>2016</x:v>
      </x:c>
      <x:c r="G802" s="9" t="str">
        <x:v>England and Wales Court of Appeal (Civil Division)</x:v>
      </x:c>
      <x:c r="H802" s="9" t="str">
        <x:v>Court of Appeal (Civil Division)</x:v>
      </x:c>
      <x:c r="I802" s="9" t="str">
        <x:v>England and Wales</x:v>
      </x:c>
      <x:c r="J802" s="9" t="str">
        <x:v>Property/Land Law</x:v>
      </x:c>
      <x:c r="K802" s="9" t="str">
        <x:v>-ew-cases-EWCA-Civ-2016-48.xml</x:v>
      </x:c>
      <x:c r="L802" s="9" t="str">
        <x:v>TBA</x:v>
      </x:c>
    </x:row>
    <x:row r="803">
      <x:c r="A803" t="str">
        <x:v>c67ab86e-93c1-4dfa-860e-b22fed239a1b</x:v>
      </x:c>
      <x:c r="B803" t="str">
        <x:v>62e69f2b-c760-4229-9a81-8cae6644792c</x:v>
      </x:c>
      <x:c r="C803" s="9" t="str">
        <x:v>Dahou v Serco Ltd [2016] EWCA Civ 832</x:v>
      </x:c>
      <x:c r="D803" s="9" t="str"/>
      <x:c r="E803" s="9" t="str"/>
      <x:c r="F803" s="13" t="str">
        <x:v>2016</x:v>
      </x:c>
      <x:c r="G803" s="9" t="str">
        <x:v>England and Wales Court of Appeal (Civil Division)</x:v>
      </x:c>
      <x:c r="H803" s="9" t="str">
        <x:v>Court of Appeal (Civil Division)</x:v>
      </x:c>
      <x:c r="I803" s="9" t="str">
        <x:v>England and Wales</x:v>
      </x:c>
      <x:c r="J803" s="9" t="str">
        <x:v>Employment Law</x:v>
      </x:c>
      <x:c r="K803" s="9" t="str">
        <x:v>-ew-cases-EWCA-Civ-2016-832.xml</x:v>
      </x:c>
      <x:c r="L803" s="9" t="str">
        <x:v>TBA</x:v>
      </x:c>
    </x:row>
    <x:row r="804">
      <x:c r="A804" t="str">
        <x:v>4042a6b7-1022-4800-9250-4f308146342e</x:v>
      </x:c>
      <x:c r="B804" t="str">
        <x:v>70829dc2-c174-4afb-b6b2-05ad625bbe33</x:v>
      </x:c>
      <x:c r="C804" s="9" t="str">
        <x:v>Dale v Banga &amp; Ors [2021] EWCA Civ 240</x:v>
      </x:c>
      <x:c r="D804" s="9" t="str"/>
      <x:c r="E804" s="9" t="str"/>
      <x:c r="F804" s="13" t="str">
        <x:v>2021</x:v>
      </x:c>
      <x:c r="G804" s="9" t="str">
        <x:v>England and Wales Court of Appeal (Civil Division)</x:v>
      </x:c>
      <x:c r="H804" s="9" t="str">
        <x:v>Appellate</x:v>
      </x:c>
      <x:c r="I804" s="9" t="str">
        <x:v>England and Wales</x:v>
      </x:c>
      <x:c r="J804" s="9" t="str">
        <x:v>Probate Dispute</x:v>
      </x:c>
      <x:c r="K804" s="9" t="str">
        <x:v>ew-cases-EWCA-Civ-2021-240.xml</x:v>
      </x:c>
      <x:c r="L804" s="9" t="str">
        <x:v>TBA</x:v>
      </x:c>
    </x:row>
    <x:row r="805">
      <x:c r="A805" t="str">
        <x:v>76a8d064-00b1-4643-ad20-d8bde9b81dc7</x:v>
      </x:c>
      <x:c r="B805" t="str">
        <x:v>e711cba1-6869-4233-9431-83a09b14df08</x:v>
      </x:c>
      <x:c r="C805" s="9" t="str">
        <x:v>Dammermann v Lanyon Bowdler LLP</x:v>
      </x:c>
      <x:c r="D805" s="9" t="str"/>
      <x:c r="E805" s="9" t="str"/>
      <x:c r="F805" s="13" t="str">
        <x:v>2017</x:v>
      </x:c>
      <x:c r="G805" s="9" t="str">
        <x:v>England and Wales Court of Appeal (Civil Division)</x:v>
      </x:c>
      <x:c r="H805" s="9" t="str">
        <x:v>Appellate</x:v>
      </x:c>
      <x:c r="I805" s="9" t="str">
        <x:v>England and Wales</x:v>
      </x:c>
      <x:c r="J805" s="9" t="str">
        <x:v>Civil Appeal</x:v>
      </x:c>
      <x:c r="K805" s="9" t="str">
        <x:v>-ew-cases-EWCA-Civ-2017-269.xml</x:v>
      </x:c>
      <x:c r="L805" s="9" t="str">
        <x:v>TBA</x:v>
      </x:c>
    </x:row>
    <x:row r="806">
      <x:c r="A806" t="str">
        <x:v>1c677778-cb43-4242-afa6-8ff48b773f4c</x:v>
      </x:c>
      <x:c r="B806" t="str">
        <x:v>67cb4494-a476-4300-8b38-dc7d9a54f9ef</x:v>
      </x:c>
      <x:c r="C806" s="9" t="str">
        <x:v>Dance &amp; Anor v Barts Health NHS Trust &amp; Anor (Re Archie Battersbee) [2022] EWCA Civ 1106</x:v>
      </x:c>
      <x:c r="D806" s="9" t="str"/>
      <x:c r="E806" s="9" t="str"/>
      <x:c r="F806" s="13" t="str">
        <x:v>2022</x:v>
      </x:c>
      <x:c r="G806" s="9" t="str">
        <x:v>England and Wales Court of Appeal (Civil Division)</x:v>
      </x:c>
      <x:c r="H806" s="9" t="str">
        <x:v>Court of Appeal (Civil Division)</x:v>
      </x:c>
      <x:c r="I806" s="9" t="str">
        <x:v>England and Wales</x:v>
      </x:c>
      <x:c r="J806" s="9" t="str">
        <x:v>Public Law - Human Rights / Medical Law</x:v>
      </x:c>
      <x:c r="K806" s="9" t="str">
        <x:v>ew-cases-EWCA-Civ-2022-1106.xml</x:v>
      </x:c>
      <x:c r="L806" s="9" t="str">
        <x:v>TBA</x:v>
      </x:c>
    </x:row>
    <x:row r="807">
      <x:c r="A807" t="str">
        <x:v>a40106ca-4bf8-40a1-ad0a-3d16d915a34f</x:v>
      </x:c>
      <x:c r="B807" t="str">
        <x:v>ca91e248-2407-40a7-8d94-43a150f7e97a</x:v>
      </x:c>
      <x:c r="C807" s="9" t="str">
        <x:v>Dance &amp; Anor v Barts Health NHS Trust &amp; Anor [2022] EWCA Civ 1055</x:v>
      </x:c>
      <x:c r="D807" s="9" t="str"/>
      <x:c r="E807" s="9" t="str"/>
      <x:c r="F807" s="13" t="str">
        <x:v>2022</x:v>
      </x:c>
      <x:c r="G807" s="9" t="str">
        <x:v>England and Wales Court of Appeal (Civil Division)</x:v>
      </x:c>
      <x:c r="H807" s="9" t="str">
        <x:v>Court of Appeal (Civil Division)</x:v>
      </x:c>
      <x:c r="I807" s="9" t="str">
        <x:v>England and Wales</x:v>
      </x:c>
      <x:c r="J807" s="9" t="str">
        <x:v>Family Law / Health Law / Court of Protection / End-of-life decision</x:v>
      </x:c>
      <x:c r="K807" s="9" t="str">
        <x:v>ew-cases-EWCA-Civ-2022-1055.xml</x:v>
      </x:c>
      <x:c r="L807" s="9" t="str">
        <x:v>TBA</x:v>
      </x:c>
    </x:row>
    <x:row r="808">
      <x:c r="A808" t="str">
        <x:v>912f4e59-cba4-4e36-b4d1-cef9684f0f9e</x:v>
      </x:c>
      <x:c r="B808" t="str">
        <x:v>b3046c9b-3dbb-489d-986c-bbc98aaa9660</x:v>
      </x:c>
      <x:c r="C808" s="9" t="str">
        <x:v>Dansingani &amp; Anor v Canara Bank [2021] EWCA Civ 714</x:v>
      </x:c>
      <x:c r="D808" s="9" t="str"/>
      <x:c r="E808" s="9" t="str"/>
      <x:c r="F808" s="13" t="str">
        <x:v>2021</x:v>
      </x:c>
      <x:c r="G808" s="9" t="str">
        <x:v>England and Wales Court of Appeal (Civil Division)</x:v>
      </x:c>
      <x:c r="H808" s="9" t="str">
        <x:v>Appeal</x:v>
      </x:c>
      <x:c r="I808" s="9" t="str">
        <x:v>England and Wales</x:v>
      </x:c>
      <x:c r="J808" s="9" t="str">
        <x:v>Contractual Dispute</x:v>
      </x:c>
      <x:c r="K808" s="9" t="str">
        <x:v>ew-cases-EWCA-Civ-2021-714.xml</x:v>
      </x:c>
      <x:c r="L808" s="9" t="str">
        <x:v>TBA</x:v>
      </x:c>
    </x:row>
    <x:row r="809">
      <x:c r="A809" t="str">
        <x:v>64687e37-5448-42ec-96c3-365d990622f1</x:v>
      </x:c>
      <x:c r="B809" t="str">
        <x:v>7ffda681-b86a-4d7d-864c-7dd3a414f80e</x:v>
      </x:c>
      <x:c r="C809" s="9" t="str">
        <x:v>Danso v Secretary of State for the Home Department [2015] EWCA Civ 596</x:v>
      </x:c>
      <x:c r="D809" s="9" t="str"/>
      <x:c r="E809" s="9" t="str"/>
      <x:c r="F809" s="13" t="str">
        <x:v>2015</x:v>
      </x:c>
      <x:c r="G809" s="9" t="str">
        <x:v>England and Wales Court of Appeal (Civil Division)</x:v>
      </x:c>
      <x:c r="H809" s="9" t="str">
        <x:v>Appellate</x:v>
      </x:c>
      <x:c r="I809" s="9" t="str">
        <x:v>England and Wales</x:v>
      </x:c>
      <x:c r="J809" s="9" t="str">
        <x:v>Immigration Law</x:v>
      </x:c>
      <x:c r="K809" s="9" t="str">
        <x:v>-ew-cases-EWCA-Civ-2015-596.xml</x:v>
      </x:c>
      <x:c r="L809" s="9" t="str">
        <x:v>TBA</x:v>
      </x:c>
    </x:row>
    <x:row r="810">
      <x:c r="A810" t="str">
        <x:v>d84ed6bc-0737-468c-93c7-5584d72a19f1</x:v>
      </x:c>
      <x:c r="B810" t="str">
        <x:v>dff02271-575f-4c0d-9138-9a1bbe4a3d94</x:v>
      </x:c>
      <x:c r="C810" s="9" t="str">
        <x:v>Dar Al Arkan Real Estate Development Co &amp; Anor v Refai &amp; Ors</x:v>
      </x:c>
      <x:c r="D810" s="9" t="str"/>
      <x:c r="E810" s="9" t="str"/>
      <x:c r="F810" s="13" t="str">
        <x:v>2014</x:v>
      </x:c>
      <x:c r="G810" s="9" t="str">
        <x:v>England and Wales Court of Appeal (Civil Division)</x:v>
      </x:c>
      <x:c r="H810" s="9" t="str">
        <x:v>Appellate</x:v>
      </x:c>
      <x:c r="I810" s="9" t="str">
        <x:v>England and Wales</x:v>
      </x:c>
      <x:c r="J810" s="9" t="str">
        <x:v>Civil Procedure</x:v>
      </x:c>
      <x:c r="K810" s="9" t="str">
        <x:v>-ew-cases-EWCA-Civ-2014-715.xml</x:v>
      </x:c>
      <x:c r="L810" s="9" t="str">
        <x:v>TBA</x:v>
      </x:c>
    </x:row>
    <x:row r="811">
      <x:c r="A811" t="str">
        <x:v>e469901a-61be-4b71-b0f1-5f990abf7595</x:v>
      </x:c>
      <x:c r="B811" t="str">
        <x:v>1b00756f-3518-4941-a51f-f5500a6dbcee</x:v>
      </x:c>
      <x:c r="C811" s="9" t="str">
        <x:v>Darby &amp; Darby (A Firm) v Joyce</x:v>
      </x:c>
      <x:c r="D811" s="9" t="str"/>
      <x:c r="E811" s="9" t="str"/>
      <x:c r="F811" s="13" t="str">
        <x:v>2014</x:v>
      </x:c>
      <x:c r="G811" s="9" t="str">
        <x:v>England and Wales Court of Appeal (Civil Division)</x:v>
      </x:c>
      <x:c r="H811" s="9" t="str">
        <x:v>Appellate</x:v>
      </x:c>
      <x:c r="I811" s="9" t="str">
        <x:v>England and Wales</x:v>
      </x:c>
      <x:c r="J811" s="9" t="str">
        <x:v>Tort</x:v>
      </x:c>
      <x:c r="K811" s="9" t="str">
        <x:v>-ew-cases-EWCA-Civ-2014-677.xml</x:v>
      </x:c>
      <x:c r="L811" s="9" t="str">
        <x:v>TBA</x:v>
      </x:c>
    </x:row>
    <x:row r="812">
      <x:c r="A812" t="str">
        <x:v>4d8670fe-e1d7-478b-8f29-14416c613a47</x:v>
      </x:c>
      <x:c r="B812" t="str">
        <x:v>22578315-6902-4507-bd18-9db0d5485d4c</x:v>
      </x:c>
      <x:c r="C812" s="9" t="str">
        <x:v>Darby v Richmond on Thames London Borough Council</x:v>
      </x:c>
      <x:c r="D812" s="9" t="str"/>
      <x:c r="E812" s="9" t="str"/>
      <x:c r="F812" s="13" t="str">
        <x:v>2017</x:v>
      </x:c>
      <x:c r="G812" s="9" t="str">
        <x:v>England and Wales Court of Appeal (Civil Division)</x:v>
      </x:c>
      <x:c r="H812" s="9" t="str">
        <x:v>Appellate</x:v>
      </x:c>
      <x:c r="I812" s="9" t="str">
        <x:v>England and Wales</x:v>
      </x:c>
      <x:c r="J812" s="9" t="str">
        <x:v>Tort</x:v>
      </x:c>
      <x:c r="K812" s="9" t="str">
        <x:v>-ew-cases-EWCA-Civ-2017-252.xml</x:v>
      </x:c>
      <x:c r="L812" s="9" t="str">
        <x:v>TBA</x:v>
      </x:c>
    </x:row>
    <x:row r="813">
      <x:c r="A813" t="str">
        <x:v>9dbe5a31-8572-487c-bbc5-4ae786496dcf</x:v>
      </x:c>
      <x:c r="B813" t="str">
        <x:v>23c9ffc8-7808-4e53-b4ad-e95a6e6ba145</x:v>
      </x:c>
      <x:c r="C813" s="9" t="str">
        <x:v>Dargamo Holdings Ltd &amp; Anor v Avonwick Holdings Ltd &amp; Ors</x:v>
      </x:c>
      <x:c r="D813" s="9" t="str"/>
      <x:c r="E813" s="9" t="str"/>
      <x:c r="F813" s="13" t="str">
        <x:v>2021</x:v>
      </x:c>
      <x:c r="G813" s="9" t="str">
        <x:v>England and Wales Court of Appeal (Civil Division)</x:v>
      </x:c>
      <x:c r="H813" s="9" t="str">
        <x:v>Appellate</x:v>
      </x:c>
      <x:c r="I813" s="9" t="str">
        <x:v>England and Wales</x:v>
      </x:c>
      <x:c r="J813" s="9" t="str">
        <x:v>Civil Law</x:v>
      </x:c>
      <x:c r="K813" s="9" t="str">
        <x:v>ew-cases-EWCA-Civ-2021-1149.xml</x:v>
      </x:c>
      <x:c r="L813" s="9" t="str">
        <x:v>TBA</x:v>
      </x:c>
    </x:row>
    <x:row r="814">
      <x:c r="A814" t="str">
        <x:v>72241460-3679-43d4-8313-a14302c3face</x:v>
      </x:c>
      <x:c r="B814" t="str">
        <x:v>5269bd59-c9be-4b7a-9a81-a999c7b39e00</x:v>
      </x:c>
      <x:c r="C814" s="9" t="str">
        <x:v>Darnley v Croydon Health Services NHS Trust</x:v>
      </x:c>
      <x:c r="D814" s="9" t="str"/>
      <x:c r="E814" s="9" t="str"/>
      <x:c r="F814" s="13" t="str">
        <x:v>2017</x:v>
      </x:c>
      <x:c r="G814" s="9" t="str">
        <x:v>England and Wales Court of Appeal (Civil Division)</x:v>
      </x:c>
      <x:c r="H814" s="9" t="str">
        <x:v>Court of Appeal</x:v>
      </x:c>
      <x:c r="I814" s="9" t="str">
        <x:v>England and Wales</x:v>
      </x:c>
      <x:c r="J814" s="9" t="str">
        <x:v>Negligence</x:v>
      </x:c>
      <x:c r="K814" s="9" t="str">
        <x:v>-ew-cases-EWCA-Civ-2017-151.xml</x:v>
      </x:c>
      <x:c r="L814" s="9" t="str">
        <x:v>TBA</x:v>
      </x:c>
    </x:row>
    <x:row r="815">
      <x:c r="A815" t="str">
        <x:v>8e67ac48-8e0a-4c97-956f-8c4abd68f36e</x:v>
      </x:c>
      <x:c r="B815" t="str">
        <x:v>10352d96-86e9-483b-a30d-d10b48943e4c</x:v>
      </x:c>
      <x:c r="C815" s="9" t="str">
        <x:v>Darroch &amp; Anor v Football Association Premier League Ltd [2016] EWCA Civ 1220</x:v>
      </x:c>
      <x:c r="D815" s="9" t="str"/>
      <x:c r="E815" s="9" t="str"/>
      <x:c r="F815" s="13" t="str">
        <x:v>2016</x:v>
      </x:c>
      <x:c r="G815" s="9" t="str">
        <x:v>England and Wales Court of Appeal (Civil Division)</x:v>
      </x:c>
      <x:c r="H815" s="9" t="str">
        <x:v>Court of Appeal (Civil Division)</x:v>
      </x:c>
      <x:c r="I815" s="9" t="str">
        <x:v>England and Wales</x:v>
      </x:c>
      <x:c r="J815" s="9" t="str">
        <x:v>Civil Appeal / Costs in criminal context</x:v>
      </x:c>
      <x:c r="K815" s="9" t="str">
        <x:v>-ew-cases-EWCA-Civ-2016-1220.xml</x:v>
      </x:c>
      <x:c r="L815" s="9" t="str">
        <x:v>TBA</x:v>
      </x:c>
    </x:row>
    <x:row r="816">
      <x:c r="A816" t="str">
        <x:v>b1a2905f-df17-4341-8d50-609aa997bc32</x:v>
      </x:c>
      <x:c r="B816" t="str">
        <x:v>efcde8e0-ffb9-41ca-99d2-b228785dd74f</x:v>
      </x:c>
      <x:c r="C816" s="9" t="str">
        <x:v>Dartford Borough Council v The Secretary of State for Communities and Local Government &amp; Ors</x:v>
      </x:c>
      <x:c r="D816" s="9" t="str"/>
      <x:c r="E816" s="9" t="str"/>
      <x:c r="F816" s="13" t="str">
        <x:v>2017</x:v>
      </x:c>
      <x:c r="G816" s="9" t="str">
        <x:v>England and Wales Court of Appeal (Civil Division)</x:v>
      </x:c>
      <x:c r="H816" s="9" t="str">
        <x:v>Appellate</x:v>
      </x:c>
      <x:c r="I816" s="9" t="str">
        <x:v>England and Wales</x:v>
      </x:c>
      <x:c r="J816" s="9" t="str">
        <x:v>Administrative Law</x:v>
      </x:c>
      <x:c r="K816" s="9" t="str">
        <x:v>-ew-cases-EWCA-Civ-2017-141.xml</x:v>
      </x:c>
      <x:c r="L816" s="9" t="str">
        <x:v>TBA</x:v>
      </x:c>
    </x:row>
    <x:row r="817">
      <x:c r="A817" t="str">
        <x:v>0c911304-a6f8-4874-807b-758fbf789d44</x:v>
      </x:c>
      <x:c r="B817" t="str">
        <x:v>5ac1a330-b09c-46c7-91e2-dcaa62dba6a4</x:v>
      </x:c>
      <x:c r="C817" s="9" t="str">
        <x:v>Das v Secretary of State for the Home Department [2014] EWCA Civ 45</x:v>
      </x:c>
      <x:c r="D817" s="9" t="str"/>
      <x:c r="E817" s="9" t="str"/>
      <x:c r="F817" s="13" t="str">
        <x:v>2014</x:v>
      </x:c>
      <x:c r="G817" s="9" t="str">
        <x:v>England and Wales Court of Appeal (Civil Division)</x:v>
      </x:c>
      <x:c r="H817" s="9" t="str">
        <x:v>Appellate</x:v>
      </x:c>
      <x:c r="I817" s="9" t="str">
        <x:v>England and Wales</x:v>
      </x:c>
      <x:c r="J817" s="9" t="str">
        <x:v>Administrative Law / Immigration</x:v>
      </x:c>
      <x:c r="K817" s="9" t="str">
        <x:v>-ew-cases-EWCA-Civ-2014-45.xml</x:v>
      </x:c>
      <x:c r="L817" s="9" t="str">
        <x:v>TBA</x:v>
      </x:c>
    </x:row>
    <x:row r="818">
      <x:c r="A818" t="str">
        <x:v>d9617c04-018d-4c66-9210-7860bf8e66eb</x:v>
      </x:c>
      <x:c r="B818" t="str">
        <x:v>d30faf1d-ee41-4583-9671-6efcaf57e4e7</x:v>
      </x:c>
      <x:c r="C818" s="9" t="str">
        <x:v>Davey, R (on the application of) v Oxfordshire County Council &amp; Ors [2017] EWCA Civ 1308</x:v>
      </x:c>
      <x:c r="D818" s="9" t="str"/>
      <x:c r="E818" s="9" t="str"/>
      <x:c r="F818" s="13" t="str">
        <x:v>2017</x:v>
      </x:c>
      <x:c r="G818" s="9" t="str">
        <x:v>England and Wales Court of Appeal (Civil Division)</x:v>
      </x:c>
      <x:c r="H818" s="9" t="str">
        <x:v>appellate</x:v>
      </x:c>
      <x:c r="I818" s="9" t="str">
        <x:v>England and Wales</x:v>
      </x:c>
      <x:c r="J818" s="9" t="str">
        <x:v>Administrative Law</x:v>
      </x:c>
      <x:c r="K818" s="9" t="str">
        <x:v>-ew-cases-EWCA-Civ-2017-1308.xml</x:v>
      </x:c>
      <x:c r="L818" s="9" t="str">
        <x:v>TBA</x:v>
      </x:c>
    </x:row>
    <x:row r="819">
      <x:c r="A819" t="str">
        <x:v>8debdfae-8cd8-4a81-b983-738dd4d72a56</x:v>
      </x:c>
      <x:c r="B819" t="str">
        <x:v>8a7414a1-9515-4294-9f60-c903a916d5cf</x:v>
      </x:c>
      <x:c r="C819" s="9" t="str">
        <x:v>David Cary v Commissioner of Police for the Metropolis - Discrimination Claim</x:v>
      </x:c>
      <x:c r="D819" s="9" t="str"/>
      <x:c r="E819" s="9" t="str"/>
      <x:c r="F819" s="13" t="str">
        <x:v>2014</x:v>
      </x:c>
      <x:c r="G819" s="9" t="str">
        <x:v>England and Wales Court of Appeal (Civil Division)</x:v>
      </x:c>
      <x:c r="H819" s="9" t="str">
        <x:v>Appellate</x:v>
      </x:c>
      <x:c r="I819" s="9" t="str">
        <x:v>England and Wales</x:v>
      </x:c>
      <x:c r="J819" s="9" t="str">
        <x:v>Discrimination</x:v>
      </x:c>
      <x:c r="K819" s="9" t="str">
        <x:v>-ew-cases-EWCA-Civ-2014-987.xml</x:v>
      </x:c>
      <x:c r="L819" s="9" t="str">
        <x:v>TBA</x:v>
      </x:c>
    </x:row>
    <x:row r="820">
      <x:c r="A820" t="str">
        <x:v>2d71f072-6019-4e01-9825-b545096290de</x:v>
      </x:c>
      <x:c r="B820" t="str">
        <x:v>38ca50f8-6d4f-48bc-aa88-5b8227e20005</x:v>
      </x:c>
      <x:c r="C820" s="9" t="str">
        <x:v>David W. Flavell Consultants Ltd v Uddin [2014] EWCA Civ 901</x:v>
      </x:c>
      <x:c r="D820" s="9" t="str"/>
      <x:c r="E820" s="9" t="str"/>
      <x:c r="F820" s="13" t="str">
        <x:v>2014</x:v>
      </x:c>
      <x:c r="G820" s="9" t="str">
        <x:v>England and Wales Court of Appeal (Civil Division)</x:v>
      </x:c>
      <x:c r="H820" s="9" t="str">
        <x:v>Appellate</x:v>
      </x:c>
      <x:c r="I820" s="9" t="str">
        <x:v>England and Wales</x:v>
      </x:c>
      <x:c r="J820" s="9" t="str">
        <x:v>Civil</x:v>
      </x:c>
      <x:c r="K820" s="9" t="str">
        <x:v>-ew-cases-EWCA-Civ-2014-901.xml</x:v>
      </x:c>
      <x:c r="L820" s="9" t="str">
        <x:v>TBA</x:v>
      </x:c>
    </x:row>
    <x:row r="821">
      <x:c r="A821" t="str">
        <x:v>e60fbafd-74c7-4be4-aa58-0bc15a4a2924</x:v>
      </x:c>
      <x:c r="B821" t="str">
        <x:v>41af7230-3a34-46c1-8f12-e67f622ff035</x:v>
      </x:c>
      <x:c r="C821" s="9" t="str">
        <x:v>Davies &amp; Anor v Davies [2014] EWCA Civ 568</x:v>
      </x:c>
      <x:c r="D821" s="9" t="str"/>
      <x:c r="E821" s="9" t="str"/>
      <x:c r="F821" s="13" t="str">
        <x:v>2014</x:v>
      </x:c>
      <x:c r="G821" s="9" t="str">
        <x:v>England and Wales Court of Appeal (Civil Division)</x:v>
      </x:c>
      <x:c r="H821" s="9" t="str">
        <x:v>Appellate</x:v>
      </x:c>
      <x:c r="I821" s="9" t="str">
        <x:v>England and Wales</x:v>
      </x:c>
      <x:c r="J821" s="9" t="str">
        <x:v>Equity</x:v>
      </x:c>
      <x:c r="K821" s="9" t="str">
        <x:v>-ew-cases-EWCA-Civ-2014-568.xml</x:v>
      </x:c>
      <x:c r="L821" s="9" t="str">
        <x:v>TBA</x:v>
      </x:c>
    </x:row>
    <x:row r="822">
      <x:c r="A822" t="str">
        <x:v>dc8200c7-a6d9-4f16-babc-e79eef176cb5</x:v>
      </x:c>
      <x:c r="B822" t="str">
        <x:v>8bef4dc5-2ea1-4623-b2a1-f14c7fa91bb5</x:v>
      </x:c>
      <x:c r="C822" s="9" t="str">
        <x:v>Davies &amp; Anor v Davies [2016] EWCA Civ 463</x:v>
      </x:c>
      <x:c r="D822" s="9" t="str"/>
      <x:c r="E822" s="9" t="str"/>
      <x:c r="F822" s="13" t="str">
        <x:v>2016</x:v>
      </x:c>
      <x:c r="G822" s="9" t="str">
        <x:v>England and Wales Court of Appeal (Civil Division)</x:v>
      </x:c>
      <x:c r="H822" s="9" t="str">
        <x:v>Court of Appeal (Civil Division)</x:v>
      </x:c>
      <x:c r="I822" s="9" t="str">
        <x:v>England and Wales</x:v>
      </x:c>
      <x:c r="J822" s="9" t="str">
        <x:v>Proprietary estoppel / Equity and Trusts</x:v>
      </x:c>
      <x:c r="K822" s="9" t="str">
        <x:v>-ew-cases-EWCA-Civ-2016-463.xml</x:v>
      </x:c>
      <x:c r="L822" s="9" t="str">
        <x:v>TBA</x:v>
      </x:c>
    </x:row>
    <x:row r="823">
      <x:c r="A823" t="str">
        <x:v>f1722d14-a7bb-4d88-8803-e99c7f14f4da</x:v>
      </x:c>
      <x:c r="B823" t="str">
        <x:v>70da8edb-72a3-4357-923e-043f4ea10408</x:v>
      </x:c>
      <x:c r="C823" s="9" t="str">
        <x:v>Davies v Bridgend County Borough Council [2023] EWCA Civ 80</x:v>
      </x:c>
      <x:c r="D823" s="9" t="str"/>
      <x:c r="E823" s="9" t="str"/>
      <x:c r="F823" s="13" t="str">
        <x:v>2023</x:v>
      </x:c>
      <x:c r="G823" s="9" t="str">
        <x:v>England and Wales Court of Appeal (Civil Division)</x:v>
      </x:c>
      <x:c r="H823" s="9" t="str">
        <x:v>Court of Appeal (Civil Division)</x:v>
      </x:c>
      <x:c r="I823" s="9" t="str">
        <x:v>England and Wales</x:v>
      </x:c>
      <x:c r="J823" s="9" t="str">
        <x:v>Private nuisance (Tort) / Real property rights</x:v>
      </x:c>
      <x:c r="K823" s="9" t="str">
        <x:v>ew-cases-EWCA-Civ-2023-80.xml</x:v>
      </x:c>
      <x:c r="L823" s="9" t="str">
        <x:v>TBA</x:v>
      </x:c>
    </x:row>
    <x:row r="824">
      <x:c r="A824" t="str">
        <x:v>4b8137bb-9c3a-4c4a-8d43-996dfb6411d6</x:v>
      </x:c>
      <x:c r="B824" t="str">
        <x:v>558d3609-1aae-4983-8158-4506630e6c7a</x:v>
      </x:c>
      <x:c r="C824" s="9" t="str">
        <x:v>Davies v Davies [2015] EWCA Civ 1008</x:v>
      </x:c>
      <x:c r="D824" s="9" t="str"/>
      <x:c r="E824" s="9" t="str"/>
      <x:c r="F824" s="13" t="str">
        <x:v>2015</x:v>
      </x:c>
      <x:c r="G824" s="9" t="str">
        <x:v>England and Wales Court of Appeal (Civil Division)</x:v>
      </x:c>
      <x:c r="H824" s="9" t="str">
        <x:v>Appellate</x:v>
      </x:c>
      <x:c r="I824" s="9" t="str">
        <x:v>England and Wales</x:v>
      </x:c>
      <x:c r="J824" s="9" t="str">
        <x:v>Property Law</x:v>
      </x:c>
      <x:c r="K824" s="9" t="str">
        <x:v>-ew-cases-EWCA-Civ-2015-1008.xml</x:v>
      </x:c>
      <x:c r="L824" s="9" t="str">
        <x:v>TBA</x:v>
      </x:c>
    </x:row>
    <x:row r="825">
      <x:c r="A825" t="str">
        <x:v>6d559640-c862-48e0-b94c-61f962e4c569</x:v>
      </x:c>
      <x:c r="B825" t="str">
        <x:v>7d4b37f2-bfb0-4f96-a5c0-d63cd27e8dc3</x:v>
      </x:c>
      <x:c r="C825" s="9" t="str">
        <x:v>Davies v Ford &amp; Ors [2023] EWCA Civ 167</x:v>
      </x:c>
      <x:c r="D825" s="9" t="str"/>
      <x:c r="E825" s="9" t="str"/>
      <x:c r="F825" s="13" t="str">
        <x:v>2023</x:v>
      </x:c>
      <x:c r="G825" s="9" t="str">
        <x:v>England and Wales Court of Appeal (Civil Division)</x:v>
      </x:c>
      <x:c r="H825" s="9" t="str">
        <x:v>Court of Appeal (Civil Division)</x:v>
      </x:c>
      <x:c r="I825" s="9" t="str">
        <x:v>England and Wales</x:v>
      </x:c>
      <x:c r="J825" s="9" t="str">
        <x:v>Equity and Trusts / Company Law</x:v>
      </x:c>
      <x:c r="K825" s="9" t="str">
        <x:v>ew-cases-EWCA-Civ-2023-167.xml</x:v>
      </x:c>
      <x:c r="L825" s="9" t="str">
        <x:v>TBA</x:v>
      </x:c>
    </x:row>
    <x:row r="826">
      <x:c r="A826" t="str">
        <x:v>fde2d1a6-6a8c-4ea2-b578-1f680097b039</x:v>
      </x:c>
      <x:c r="B826" t="str">
        <x:v>02a1b49d-59d7-4063-aaf1-8b418c06abdf</x:v>
      </x:c>
      <x:c r="C826" s="9" t="str">
        <x:v>Davies v Merseyside Police &amp; Anor [2015] EWCA Civ 114</x:v>
      </x:c>
      <x:c r="D826" s="9" t="str"/>
      <x:c r="E826" s="9" t="str"/>
      <x:c r="F826" s="13" t="str">
        <x:v>2015</x:v>
      </x:c>
      <x:c r="G826" s="9" t="str">
        <x:v>England and Wales Court of Appeal (Civil Division)</x:v>
      </x:c>
      <x:c r="H826" s="9" t="str">
        <x:v>Appellate</x:v>
      </x:c>
      <x:c r="I826" s="9" t="str">
        <x:v>England and Wales</x:v>
      </x:c>
      <x:c r="J826" s="9" t="str">
        <x:v>Human Rights / Police Misconduct</x:v>
      </x:c>
      <x:c r="K826" s="9" t="str">
        <x:v>-ew-cases-EWCA-Civ-2015-114.xml</x:v>
      </x:c>
      <x:c r="L826" s="9" t="str">
        <x:v>TBA</x:v>
      </x:c>
    </x:row>
    <x:row r="827">
      <x:c r="A827" t="str">
        <x:v>3d7ca902-77ff-480d-99c7-1a48eb75a6e2</x:v>
      </x:c>
      <x:c r="B827" t="str">
        <x:v>d9254a84-8c82-463a-a78b-df7ef55ad75d</x:v>
      </x:c>
      <x:c r="C827" s="9" t="str">
        <x:v>Davis &amp; Dann Ltd &amp; Anor v HM Revenue and Customs [2016] EWCA Civ 142 (Court of Appeal, Civil Division)</x:v>
      </x:c>
      <x:c r="D827" s="9" t="str"/>
      <x:c r="E827" s="9" t="str"/>
      <x:c r="F827" s="13" t="str">
        <x:v>2016</x:v>
      </x:c>
      <x:c r="G827" s="9" t="str">
        <x:v>England and Wales Court of Appeal (Civil Division)</x:v>
      </x:c>
      <x:c r="H827" s="9" t="str">
        <x:v>Court of Appeal (Civil Division)</x:v>
      </x:c>
      <x:c r="I827" s="9" t="str">
        <x:v>England and Wales</x:v>
      </x:c>
      <x:c r="J827" s="9" t="str">
        <x:v>Tax Law / VAT / Fraud</x:v>
      </x:c>
      <x:c r="K827" s="9" t="str">
        <x:v>-ew-cases-EWCA-Civ-2016-142.xml</x:v>
      </x:c>
      <x:c r="L827" s="9" t="str">
        <x:v>TBA</x:v>
      </x:c>
    </x:row>
    <x:row r="828">
      <x:c r="A828" t="str">
        <x:v>f5a89ec9-83be-4422-85b6-9d3c78ed201d</x:v>
      </x:c>
      <x:c r="B828" t="str">
        <x:v>3580dae3-cc89-4eeb-91ca-447c00f35511</x:v>
      </x:c>
      <x:c r="C828" s="9" t="str">
        <x:v>Davis v Lloyds Bank Plc [2021] EWCA Civ 557 - Appeal on Breach of Statutory Duty</x:v>
      </x:c>
      <x:c r="D828" s="9" t="str"/>
      <x:c r="E828" s="9" t="str"/>
      <x:c r="F828" s="13" t="str">
        <x:v>2021</x:v>
      </x:c>
      <x:c r="G828" s="9" t="str">
        <x:v>England and Wales Court of Appeal (Civil Division)</x:v>
      </x:c>
      <x:c r="H828" s="9" t="str">
        <x:v>Appellate</x:v>
      </x:c>
      <x:c r="I828" s="9" t="str">
        <x:v>England and Wales</x:v>
      </x:c>
      <x:c r="J828" s="9" t="str">
        <x:v>Breach of Statutory Duty</x:v>
      </x:c>
      <x:c r="K828" s="9" t="str">
        <x:v>ew-cases-EWCA-Civ-2021-557.xml</x:v>
      </x:c>
      <x:c r="L828" s="9" t="str">
        <x:v>TBA</x:v>
      </x:c>
    </x:row>
    <x:row r="829">
      <x:c r="A829" t="str">
        <x:v>b2faf3e1-99a0-45f3-bb26-8c12f69b7305</x:v>
      </x:c>
      <x:c r="B829" t="str">
        <x:v>423d467e-fdd1-4a9b-83bd-795615385fd9</x:v>
      </x:c>
      <x:c r="C829" s="9" t="str">
        <x:v>Davis v Watford Borough Council</x:v>
      </x:c>
      <x:c r="D829" s="9" t="str"/>
      <x:c r="E829" s="9" t="str"/>
      <x:c r="F829" s="13" t="str">
        <x:v>2018</x:v>
      </x:c>
      <x:c r="G829" s="9" t="str">
        <x:v>England and Wales Court of Appeal (Civil Division)</x:v>
      </x:c>
      <x:c r="H829" s="9" t="str">
        <x:v>Appellate</x:v>
      </x:c>
      <x:c r="I829" s="9" t="str">
        <x:v>England and Wales</x:v>
      </x:c>
      <x:c r="J829" s="9" t="str">
        <x:v>Administrative Law</x:v>
      </x:c>
      <x:c r="K829" s="9" t="str">
        <x:v>-ew-cases-EWCA-Civ-2017-529.xml</x:v>
      </x:c>
      <x:c r="L829" s="9" t="str">
        <x:v>TBA</x:v>
      </x:c>
    </x:row>
    <x:row r="830">
      <x:c r="A830" t="str">
        <x:v>a5d22425-8eec-4f8c-b235-27b6cfd8b1fb</x:v>
      </x:c>
      <x:c r="B830" t="str">
        <x:v>0f9e339e-5c9f-4470-83c0-6e03443b1200</x:v>
      </x:c>
      <x:c r="C830" s="9" t="str">
        <x:v>Davison v Davison &amp; Ors [2015] EWCA Civ 587</x:v>
      </x:c>
      <x:c r="D830" s="9" t="str"/>
      <x:c r="E830" s="9" t="str"/>
      <x:c r="F830" s="13" t="str">
        <x:v>2015</x:v>
      </x:c>
      <x:c r="G830" s="9" t="str">
        <x:v>England and Wales Court of Appeal (Civil Division)</x:v>
      </x:c>
      <x:c r="H830" s="9" t="str">
        <x:v>Appellate</x:v>
      </x:c>
      <x:c r="I830" s="9" t="str">
        <x:v>England and Wales</x:v>
      </x:c>
      <x:c r="J830" s="9" t="str">
        <x:v>Family Law</x:v>
      </x:c>
      <x:c r="K830" s="9" t="str">
        <x:v>-ew-cases-EWCA-Civ-2015-587.xml</x:v>
      </x:c>
      <x:c r="L830" s="9" t="str">
        <x:v>TBA</x:v>
      </x:c>
    </x:row>
    <x:row r="831">
      <x:c r="A831" t="str">
        <x:v>0998df54-155a-4073-a24a-18ac0bc19e79</x:v>
      </x:c>
      <x:c r="B831" t="str">
        <x:v>88833a93-2bad-475f-9c53-9359c3e8af8d</x:v>
      </x:c>
      <x:c r="C831" s="9" t="str">
        <x:v>Daws Hill Neighbourhood Forum &amp; Ors v Wycombe District Council</x:v>
      </x:c>
      <x:c r="D831" s="9" t="str"/>
      <x:c r="E831" s="9" t="str"/>
      <x:c r="F831" s="13" t="str">
        <x:v>2014</x:v>
      </x:c>
      <x:c r="G831" s="9" t="str">
        <x:v>England and Wales Court of Appeal (Civil Division)</x:v>
      </x:c>
      <x:c r="H831" s="9" t="str">
        <x:v>Appellate</x:v>
      </x:c>
      <x:c r="I831" s="9" t="str">
        <x:v>England and Wales</x:v>
      </x:c>
      <x:c r="J831" s="9" t="str">
        <x:v>Administrative Law</x:v>
      </x:c>
      <x:c r="K831" s="9" t="str">
        <x:v>-ew-cases-EWCA-Civ-2014-228.xml</x:v>
      </x:c>
      <x:c r="L831" s="9" t="str">
        <x:v>TBA</x:v>
      </x:c>
    </x:row>
    <x:row r="832">
      <x:c r="A832" t="str">
        <x:v>9fa35e38-b35b-4c5a-b2be-5556058bac9b</x:v>
      </x:c>
      <x:c r="B832" t="str">
        <x:v>21af0ab8-d27d-4664-8f69-fc3b8eb8e20e</x:v>
      </x:c>
      <x:c r="C832" s="9" t="str">
        <x:v>Dawson v Bell [2016] EWCA Civ 96 (Court of Appeal, Civil Division)</x:v>
      </x:c>
      <x:c r="D832" s="9" t="str"/>
      <x:c r="E832" s="9" t="str"/>
      <x:c r="F832" s="13" t="str">
        <x:v>2016</x:v>
      </x:c>
      <x:c r="G832" s="9" t="str">
        <x:v>England and Wales Court of Appeal (Civil Division)</x:v>
      </x:c>
      <x:c r="H832" s="9" t="str">
        <x:v>Court of Appeal (Civil Division)</x:v>
      </x:c>
      <x:c r="I832" s="9" t="str">
        <x:v>England and Wales</x:v>
      </x:c>
      <x:c r="J832" s="9" t="str">
        <x:v>Contract/Commercial dispute; Company Law; Trusts and Property</x:v>
      </x:c>
      <x:c r="K832" s="9" t="str">
        <x:v>-ew-cases-EWCA-Civ-2016-96.xml</x:v>
      </x:c>
      <x:c r="L832" s="9" t="str">
        <x:v>TBA</x:v>
      </x:c>
    </x:row>
    <x:row r="833">
      <x:c r="A833" t="str">
        <x:v>6a7a4461-4103-4202-98fc-bda9f7e119fb</x:v>
      </x:c>
      <x:c r="B833" t="str">
        <x:v>e6b55a39-0d8c-44ba-8477-9a2de8873902</x:v>
      </x:c>
      <x:c r="C833" s="9" t="str">
        <x:v>Dawson v Thomson Airways Ltd</x:v>
      </x:c>
      <x:c r="D833" s="9" t="str"/>
      <x:c r="E833" s="9" t="str"/>
      <x:c r="F833" s="13" t="str">
        <x:v>2014</x:v>
      </x:c>
      <x:c r="G833" s="9" t="str">
        <x:v>England and Wales Court of Appeal (Civil Division)</x:v>
      </x:c>
      <x:c r="H833" s="9" t="str">
        <x:v>Appellate</x:v>
      </x:c>
      <x:c r="I833" s="9" t="str">
        <x:v>England and Wales</x:v>
      </x:c>
      <x:c r="J833" s="9" t="str">
        <x:v>Contract Dispute</x:v>
      </x:c>
      <x:c r="K833" s="9" t="str">
        <x:v>-ew-cases-EWCA-Civ-2014-845.xml</x:v>
      </x:c>
      <x:c r="L833" s="9" t="str">
        <x:v>TBA</x:v>
      </x:c>
    </x:row>
    <x:row r="834">
      <x:c r="A834" t="str">
        <x:v>c1fa0b9f-9573-4f66-bba6-f1dfd720e97d</x:v>
      </x:c>
      <x:c r="B834" t="str">
        <x:v>392cbc56-c52f-42c2-be92-e15ff72e5286</x:v>
      </x:c>
      <x:c r="C834" s="9" t="str">
        <x:v>Dawson-Damer &amp; Ors v Taylor Wessing LLP [2017] EWCA Civ 74</x:v>
      </x:c>
      <x:c r="D834" s="9" t="str"/>
      <x:c r="E834" s="9" t="str"/>
      <x:c r="F834" s="13" t="str">
        <x:v>2017</x:v>
      </x:c>
      <x:c r="G834" s="9" t="str">
        <x:v>England and Wales Court of Appeal (Civil Division)</x:v>
      </x:c>
      <x:c r="H834" s="9" t="str">
        <x:v>Appellate</x:v>
      </x:c>
      <x:c r="I834" s="9" t="str">
        <x:v>England and Wales</x:v>
      </x:c>
      <x:c r="J834" s="9" t="str">
        <x:v>Data Protection Law</x:v>
      </x:c>
      <x:c r="K834" s="9" t="str">
        <x:v>-ew-cases-EWCA-Civ-2017-74.xml</x:v>
      </x:c>
      <x:c r="L834" s="9" t="str">
        <x:v>TBA</x:v>
      </x:c>
    </x:row>
    <x:row r="835">
      <x:c r="A835" t="str">
        <x:v>93da4b33-3406-47f4-9ca2-c065659bb27d</x:v>
      </x:c>
      <x:c r="B835" t="str">
        <x:v>5f096d49-2a17-4252-839a-438cd198b444</x:v>
      </x:c>
      <x:c r="C835" s="9" t="str">
        <x:v>Dawson's (Wales) Ltd v Revenue &amp; Customs [2023] EWCA Civ 332</x:v>
      </x:c>
      <x:c r="D835" s="9" t="str"/>
      <x:c r="E835" s="9" t="str"/>
      <x:c r="F835" s="13" t="str">
        <x:v>2023</x:v>
      </x:c>
      <x:c r="G835" s="9" t="str">
        <x:v>England and Wales Court of Appeal (Civil Division)</x:v>
      </x:c>
      <x:c r="H835" s="9" t="str">
        <x:v>Court of Appeal (Civil Division)</x:v>
      </x:c>
      <x:c r="I835" s="9" t="str">
        <x:v>England and Wales</x:v>
      </x:c>
      <x:c r="J835" s="9" t="str">
        <x:v>Tax Law / Administrative Law (Excise Duty) cross-border EU law</x:v>
      </x:c>
      <x:c r="K835" s="9" t="str">
        <x:v>ew-cases-EWCA-Civ-2023-332.xml</x:v>
      </x:c>
      <x:c r="L835" s="9" t="str">
        <x:v>TBA</x:v>
      </x:c>
    </x:row>
    <x:row r="836">
      <x:c r="A836" t="str">
        <x:v>f4a313dc-5ca5-4518-a2a6-55ad3895a2ec</x:v>
      </x:c>
      <x:c r="B836" t="str">
        <x:v>b7b135d9-d728-4191-a414-4446e5d3358c</x:v>
      </x:c>
      <x:c r="C836" s="9" t="str">
        <x:v>Day v Health Education England &amp; Ors [2017] EWCA Civ 329</x:v>
      </x:c>
      <x:c r="D836" s="9" t="str"/>
      <x:c r="E836" s="9" t="str"/>
      <x:c r="F836" s="13" t="str">
        <x:v>2017</x:v>
      </x:c>
      <x:c r="G836" s="9" t="str">
        <x:v>England and Wales Court of Appeal (Civil Division)</x:v>
      </x:c>
      <x:c r="H836" s="9" t="str">
        <x:v>Appellate</x:v>
      </x:c>
      <x:c r="I836" s="9" t="str">
        <x:v>England and Wales</x:v>
      </x:c>
      <x:c r="J836" s="9" t="str">
        <x:v>Employment Law</x:v>
      </x:c>
      <x:c r="K836" s="9" t="str">
        <x:v>-ew-cases-EWCA-Civ-2017-329.xml</x:v>
      </x:c>
      <x:c r="L836" s="9" t="str">
        <x:v>TBA</x:v>
      </x:c>
    </x:row>
    <x:row r="837">
      <x:c r="A837" t="str">
        <x:v>62bd63c9-885c-47d8-ad46-ce0de350bb88</x:v>
      </x:c>
      <x:c r="B837" t="str">
        <x:v>265b1664-3357-412b-8dc0-ec43e4a6f2a2</x:v>
      </x:c>
      <x:c r="C837" s="9" t="str">
        <x:v>Day v Tiuta International Ltd &amp; Anor [2014] EWCA Civ 1246</x:v>
      </x:c>
      <x:c r="D837" s="9" t="str"/>
      <x:c r="E837" s="9" t="str"/>
      <x:c r="F837" s="13" t="str">
        <x:v>2014</x:v>
      </x:c>
      <x:c r="G837" s="9" t="str">
        <x:v>England and Wales Court of Appeal (Civil Division)</x:v>
      </x:c>
      <x:c r="H837" s="9" t="str">
        <x:v>Appellate</x:v>
      </x:c>
      <x:c r="I837" s="9" t="str">
        <x:v>England and Wales</x:v>
      </x:c>
      <x:c r="J837" s="9" t="str">
        <x:v>Civil Appeal</x:v>
      </x:c>
      <x:c r="K837" s="9" t="str">
        <x:v>-ew-cases-EWCA-Civ-2014-1246.xml</x:v>
      </x:c>
      <x:c r="L837" s="9" t="str">
        <x:v>TBA</x:v>
      </x:c>
    </x:row>
    <x:row r="838">
      <x:c r="A838" t="str">
        <x:v>9729e7c6-1c09-4512-ad92-9f2b3201d3e1</x:v>
      </x:c>
      <x:c r="B838" t="str">
        <x:v>197c27ec-5bfa-4bf9-88c5-68710e3c4cbe</x:v>
      </x:c>
      <x:c r="C838" s="9" t="str">
        <x:v>DB Group Services (UK) Ltd v HM Revenue and Customs [2014] EWCA Civ 452</x:v>
      </x:c>
      <x:c r="D838" s="9" t="str"/>
      <x:c r="E838" s="9" t="str"/>
      <x:c r="F838" s="13" t="str">
        <x:v>2014</x:v>
      </x:c>
      <x:c r="G838" s="9" t="str">
        <x:v>England and Wales Court of Appeal (Civil Division)</x:v>
      </x:c>
      <x:c r="H838" s="9" t="str">
        <x:v>Appellate</x:v>
      </x:c>
      <x:c r="I838" s="9" t="str">
        <x:v>England and Wales</x:v>
      </x:c>
      <x:c r="J838" s="9" t="str">
        <x:v>Tax Law</x:v>
      </x:c>
      <x:c r="K838" s="9" t="str">
        <x:v>-ew-cases-EWCA-Civ-2014-452.xml</x:v>
      </x:c>
      <x:c r="L838" s="9" t="str">
        <x:v>TBA</x:v>
      </x:c>
    </x:row>
    <x:row r="839">
      <x:c r="A839" t="str">
        <x:v>8d200514-613d-41eb-8575-7cba0cb89c72</x:v>
      </x:c>
      <x:c r="B839" t="str">
        <x:v>ca38efda-7d3c-4e2e-af80-b5f5807db12b</x:v>
      </x:c>
      <x:c r="C839" s="9" t="str">
        <x:v>DC (Jamaica) v Secretary of State for the Home Department [2016] EWCA Civ 649</x:v>
      </x:c>
      <x:c r="D839" s="9" t="str"/>
      <x:c r="E839" s="9" t="str"/>
      <x:c r="F839" s="13" t="str">
        <x:v>2016</x:v>
      </x:c>
      <x:c r="G839" s="9" t="str">
        <x:v>England and Wales Court of Appeal (Civil Division)</x:v>
      </x:c>
      <x:c r="H839" s="9" t="str">
        <x:v>Court of Appeal (Civil Division)</x:v>
      </x:c>
      <x:c r="I839" s="9" t="str">
        <x:v>England and Wales</x:v>
      </x:c>
      <x:c r="J839" s="9" t="str">
        <x:v>Immigration and Human Rights</x:v>
      </x:c>
      <x:c r="K839" s="9" t="str">
        <x:v>-ew-cases-EWCA-Civ-2016-649.xml</x:v>
      </x:c>
      <x:c r="L839" s="9" t="str">
        <x:v>TBA</x:v>
      </x:c>
    </x:row>
    <x:row r="840">
      <x:c r="A840" t="str">
        <x:v>c5d1a2cc-961f-440c-89de-42953f65528c</x:v>
      </x:c>
      <x:c r="B840" t="str">
        <x:v>31d55767-eed3-44fc-8bd3-77e4d5d037b1</x:v>
      </x:c>
      <x:c r="C840" s="9" t="str">
        <x:v>De Silva &amp; Anor v HM Revenue and Customs [2016] EWCA Civ 40 (Court of Appeal, Civil Division)</x:v>
      </x:c>
      <x:c r="D840" s="9" t="str"/>
      <x:c r="E840" s="9" t="str"/>
      <x:c r="F840" s="13" t="str">
        <x:v>2016</x:v>
      </x:c>
      <x:c r="G840" s="9" t="str">
        <x:v>England and Wales Court of Appeal (Civil Division)</x:v>
      </x:c>
      <x:c r="H840" s="9" t="str">
        <x:v>Court of Appeal (Civil Division)</x:v>
      </x:c>
      <x:c r="I840" s="9" t="str">
        <x:v>England and Wales</x:v>
      </x:c>
      <x:c r="J840" s="9" t="str">
        <x:v>Tax Law – Judicial Review</x:v>
      </x:c>
      <x:c r="K840" s="9" t="str">
        <x:v>-ew-cases-EWCA-Civ-2016-40.xml</x:v>
      </x:c>
      <x:c r="L840" s="9" t="str">
        <x:v>TBA</x:v>
      </x:c>
    </x:row>
    <x:row r="841">
      <x:c r="A841" t="str">
        <x:v>5cc339b5-42c2-4eb1-b1a7-aaa8f5bcc007</x:v>
      </x:c>
      <x:c r="B841" t="str">
        <x:v>9ef6dbf8-8b8c-436a-a34d-f0c70d54cbc6</x:v>
      </x:c>
      <x:c r="C841" s="9" t="str">
        <x:v>De Souza v Vinci Construction (UK) Ltd [2017] EWCA Civ 879</x:v>
      </x:c>
      <x:c r="D841" s="9" t="str"/>
      <x:c r="E841" s="9" t="str"/>
      <x:c r="F841" s="13" t="str">
        <x:v>2017</x:v>
      </x:c>
      <x:c r="G841" s="9" t="str">
        <x:v>England and Wales Court of Appeal (Civil Division)</x:v>
      </x:c>
      <x:c r="H841" s="9" t="str">
        <x:v>Appellate</x:v>
      </x:c>
      <x:c r="I841" s="9" t="str">
        <x:v>England and Wales</x:v>
      </x:c>
      <x:c r="J841" s="9" t="str">
        <x:v>Employment Law</x:v>
      </x:c>
      <x:c r="K841" s="9" t="str">
        <x:v>-ew-cases-EWCA-Civ-2017-879.xml</x:v>
      </x:c>
      <x:c r="L841" s="9" t="str">
        <x:v>TBA</x:v>
      </x:c>
    </x:row>
    <x:row r="842">
      <x:c r="A842" t="str">
        <x:v>4240852a-53a1-4c62-b02d-9c17f8507123</x:v>
      </x:c>
      <x:c r="B842" t="str">
        <x:v>d62e4824-9a15-47d1-aa7b-cc17d4f5c74e</x:v>
      </x:c>
      <x:c r="C842" s="9" t="str">
        <x:v>DE v AB [2014] EWCA Civ 1064 - Court of Appeal Ruling on Application for Private Hearing and Public Interest</x:v>
      </x:c>
      <x:c r="D842" s="9" t="str"/>
      <x:c r="E842" s="9" t="str"/>
      <x:c r="F842" s="13" t="str">
        <x:v>2014</x:v>
      </x:c>
      <x:c r="G842" s="9" t="str">
        <x:v>England and Wales Court of Appeal (Civil Division)</x:v>
      </x:c>
      <x:c r="H842" s="9" t="str">
        <x:v>Appellate</x:v>
      </x:c>
      <x:c r="I842" s="9" t="str">
        <x:v>England and Wales</x:v>
      </x:c>
      <x:c r="J842" s="9" t="str">
        <x:v>Family Law</x:v>
      </x:c>
      <x:c r="K842" s="9" t="str">
        <x:v>-ew-cases-EWCA-Civ-2014-1064.xml</x:v>
      </x:c>
      <x:c r="L842" s="9" t="str">
        <x:v>TBA</x:v>
      </x:c>
    </x:row>
    <x:row r="843">
      <x:c r="A843" t="str">
        <x:v>3d8e5956-a6eb-488a-b6d4-b36ba7b169d7</x:v>
      </x:c>
      <x:c r="B843" t="str">
        <x:v>29b57846-31cd-4592-b0bb-d49f37fcc7bb</x:v>
      </x:c>
      <x:c r="C843" s="9" t="str">
        <x:v>Dean and Chapter of Rochester Cathedral v Debell [2016] EWCA Civ 1094</x:v>
      </x:c>
      <x:c r="D843" s="9" t="str"/>
      <x:c r="E843" s="9" t="str"/>
      <x:c r="F843" s="13" t="str">
        <x:v>2016</x:v>
      </x:c>
      <x:c r="G843" s="9" t="str">
        <x:v>England and Wales Court of Appeal (Civil Division)</x:v>
      </x:c>
      <x:c r="H843" s="9" t="str">
        <x:v>Court of Appeal (Civil Division)</x:v>
      </x:c>
      <x:c r="I843" s="9" t="str">
        <x:v>England and Wales</x:v>
      </x:c>
      <x:c r="J843" s="9" t="str">
        <x:v>Tort - Premises liability / Occupiers' liability</x:v>
      </x:c>
      <x:c r="K843" s="9" t="str">
        <x:v>-ew-cases-EWCA-Civ-2016-1094.xml</x:v>
      </x:c>
      <x:c r="L843" s="9" t="str">
        <x:v>TBA</x:v>
      </x:c>
    </x:row>
    <x:row r="844">
      <x:c r="A844" t="str">
        <x:v>f9aedc99-b66e-4642-892d-31c23679fd29</x:v>
      </x:c>
      <x:c r="B844" t="str">
        <x:v>95a771eb-b2fc-414d-997b-ca07713591dd</x:v>
      </x:c>
      <x:c r="C844" s="9" t="str">
        <x:v>Dechert LLP v Eurasian Natural Resources Corporation Limited [2016] EWCA Civ 375</x:v>
      </x:c>
      <x:c r="D844" s="9" t="str"/>
      <x:c r="E844" s="9" t="str"/>
      <x:c r="F844" s="13" t="str">
        <x:v>2016</x:v>
      </x:c>
      <x:c r="G844" s="9" t="str">
        <x:v>England and Wales Court of Appeal (Civil Division)</x:v>
      </x:c>
      <x:c r="H844" s="9" t="str">
        <x:v>Court of Appeal (Civil Division)</x:v>
      </x:c>
      <x:c r="I844" s="9" t="str">
        <x:v>England and Wales</x:v>
      </x:c>
      <x:c r="J844" s="9" t="str">
        <x:v>Civil Procedure / Costs / Legal Professional Privilege</x:v>
      </x:c>
      <x:c r="K844" s="9" t="str">
        <x:v>-ew-cases-EWCA-Civ-2016-375.xml</x:v>
      </x:c>
      <x:c r="L844" s="9" t="str">
        <x:v>TBA</x:v>
      </x:c>
    </x:row>
    <x:row r="845">
      <x:c r="A845" t="str">
        <x:v>cbe06299-f8cd-4a70-b058-845c9baf4a44</x:v>
      </x:c>
      <x:c r="B845" t="str">
        <x:v>45a5d8ea-db23-409f-a868-c43d86700767</x:v>
      </x:c>
      <x:c r="C845" s="9" t="str">
        <x:v>Decker v Secretary of State for the Home Department</x:v>
      </x:c>
      <x:c r="D845" s="9" t="str"/>
      <x:c r="E845" s="9" t="str"/>
      <x:c r="F845" s="13" t="str">
        <x:v>2017</x:v>
      </x:c>
      <x:c r="G845" s="9" t="str">
        <x:v>England and Wales Court of Appeal (Civil Division)</x:v>
      </x:c>
      <x:c r="H845" s="9" t="str">
        <x:v>Appellate</x:v>
      </x:c>
      <x:c r="I845" s="9" t="str">
        <x:v>England and Wales</x:v>
      </x:c>
      <x:c r="J845" s="9" t="str">
        <x:v>Immigration Law</x:v>
      </x:c>
      <x:c r="K845" s="9" t="str">
        <x:v>-ew-cases-EWCA-Civ-2017-1752.xml</x:v>
      </x:c>
      <x:c r="L845" s="9" t="str">
        <x:v>TBA</x:v>
      </x:c>
    </x:row>
    <x:row r="846">
      <x:c r="A846" t="str">
        <x:v>382ed5b9-db82-444d-a358-ecf19b084f31</x:v>
      </x:c>
      <x:c r="B846" t="str">
        <x:v>a4a983ff-35d7-489b-9e81-b5d81c701c7c</x:v>
      </x:c>
      <x:c r="C846" s="9" t="str">
        <x:v>Decoulos v Axel Springer Schweiz AG &amp; Ors [2017] EWCA 2632 Civ</x:v>
      </x:c>
      <x:c r="D846" s="9" t="str"/>
      <x:c r="E846" s="9" t="str"/>
      <x:c r="F846" s="13" t="str">
        <x:v>2017</x:v>
      </x:c>
      <x:c r="G846" s="9" t="str">
        <x:v>England and Wales Court of Appeal (Civil Division)</x:v>
      </x:c>
      <x:c r="H846" s="9" t="str">
        <x:v>Appeal</x:v>
      </x:c>
      <x:c r="I846" s="9" t="str">
        <x:v>England and Wales</x:v>
      </x:c>
      <x:c r="J846" s="9" t="str">
        <x:v>Civil Procedure</x:v>
      </x:c>
      <x:c r="K846" s="9" t="str">
        <x:v>-ew-cases-EWCA-Civ-2017-2632.xml</x:v>
      </x:c>
      <x:c r="L846" s="9" t="str">
        <x:v>TBA</x:v>
      </x:c>
    </x:row>
    <x:row r="847">
      <x:c r="A847" t="str">
        <x:v>bd80f25e-df93-4101-b0fc-cc0d8d19b60a</x:v>
      </x:c>
      <x:c r="B847" t="str">
        <x:v>10a71119-9043-432f-a505-443da2de460d</x:v>
      </x:c>
      <x:c r="C847" s="9" t="str">
        <x:v>Deer v University of Oxford: Employment Appeal on Victimisation Claims</x:v>
      </x:c>
      <x:c r="D847" s="9" t="str"/>
      <x:c r="E847" s="9" t="str"/>
      <x:c r="F847" s="13" t="str">
        <x:v>2015</x:v>
      </x:c>
      <x:c r="G847" s="9" t="str">
        <x:v>England and Wales Court of Appeal (Civil Division)</x:v>
      </x:c>
      <x:c r="H847" s="9" t="str">
        <x:v>appellate</x:v>
      </x:c>
      <x:c r="I847" s="9" t="str">
        <x:v>England and Wales</x:v>
      </x:c>
      <x:c r="J847" s="9" t="str">
        <x:v>Employment Dispute</x:v>
      </x:c>
      <x:c r="K847" s="9" t="str">
        <x:v>-ew-cases-EWCA-Civ-2015-52.xml</x:v>
      </x:c>
      <x:c r="L847" s="9" t="str">
        <x:v>TBA</x:v>
      </x:c>
    </x:row>
    <x:row r="848">
      <x:c r="A848" t="str">
        <x:v>b0625322-16c6-47fe-b27b-a972b3e7c9cf</x:v>
      </x:c>
      <x:c r="B848" t="str">
        <x:v>9fd09062-9946-4636-8374-8ca95811604d</x:v>
      </x:c>
      <x:c r="C848" s="9" t="str">
        <x:v>Degorce v Revenue and Customs [2017] EWCA Civ 1427</x:v>
      </x:c>
      <x:c r="D848" s="9" t="str"/>
      <x:c r="E848" s="9" t="str"/>
      <x:c r="F848" s="13" t="str">
        <x:v>2017</x:v>
      </x:c>
      <x:c r="G848" s="9" t="str">
        <x:v>England and Wales Court of Appeal (Civil Division)</x:v>
      </x:c>
      <x:c r="H848" s="9" t="str">
        <x:v>Appellate</x:v>
      </x:c>
      <x:c r="I848" s="9" t="str">
        <x:v>England and Wales</x:v>
      </x:c>
      <x:c r="J848" s="9" t="str">
        <x:v>Tax Law</x:v>
      </x:c>
      <x:c r="K848" s="9" t="str">
        <x:v>-ew-cases-EWCA-Civ-2017-1427.xml</x:v>
      </x:c>
      <x:c r="L848" s="9" t="str">
        <x:v>TBA</x:v>
      </x:c>
    </x:row>
    <x:row r="849">
      <x:c r="A849" t="str">
        <x:v>ce5ab5f8-0d7f-4ff2-ab95-a808a2b5d727</x:v>
      </x:c>
      <x:c r="B849" t="str">
        <x:v>145b7782-dd13-493d-916d-c0533e38be08</x:v>
      </x:c>
      <x:c r="C849" s="9" t="str">
        <x:v>Delaney v Secretary of State for Transport</x:v>
      </x:c>
      <x:c r="D849" s="9" t="str"/>
      <x:c r="E849" s="9" t="str"/>
      <x:c r="F849" s="13" t="str">
        <x:v>2015</x:v>
      </x:c>
      <x:c r="G849" s="9" t="str">
        <x:v>England and Wales Court of Appeal (Civil Division)</x:v>
      </x:c>
      <x:c r="H849" s="9" t="str">
        <x:v>Appellate</x:v>
      </x:c>
      <x:c r="I849" s="9" t="str">
        <x:v>England and Wales</x:v>
      </x:c>
      <x:c r="J849" s="9" t="str">
        <x:v>Tort</x:v>
      </x:c>
      <x:c r="K849" s="9" t="str">
        <x:v>-ew-cases-EWCA-Civ-2015-172.xml</x:v>
      </x:c>
      <x:c r="L849" s="9" t="str">
        <x:v>TBA</x:v>
      </x:c>
    </x:row>
    <x:row r="850">
      <x:c r="A850" t="str">
        <x:v>68e99b2a-fb70-403f-8cad-cc53269ae721</x:v>
      </x:c>
      <x:c r="B850" t="str">
        <x:v>57f0a72d-3a7e-4205-ad7f-07731b77ef81</x:v>
      </x:c>
      <x:c r="C850" s="9" t="str">
        <x:v>Demetriou v Mapara &amp; Ors [2022] EWCA Civ 1001</x:v>
      </x:c>
      <x:c r="D850" s="9" t="str"/>
      <x:c r="E850" s="9" t="str"/>
      <x:c r="F850" s="13" t="str">
        <x:v>2022</x:v>
      </x:c>
      <x:c r="G850" s="9" t="str">
        <x:v>England and Wales Court of Appeal (Civil Division)</x:v>
      </x:c>
      <x:c r="H850" s="9" t="str">
        <x:v>Court of Appeal (Civil Division)</x:v>
      </x:c>
      <x:c r="I850" s="9" t="str">
        <x:v>England and Wales</x:v>
      </x:c>
      <x:c r="J850" s="9" t="str">
        <x:v>Private Law - Property/Trusts</x:v>
      </x:c>
      <x:c r="K850" s="9" t="str">
        <x:v>ew-cases-EWCA-Civ-2022-1001.xml</x:v>
      </x:c>
      <x:c r="L850" s="9" t="str">
        <x:v>TBA</x:v>
      </x:c>
    </x:row>
    <x:row r="851">
      <x:c r="A851" t="str">
        <x:v>4de5a7a3-5e80-4a38-93d1-a8ad45fc86df</x:v>
      </x:c>
      <x:c r="B851" t="str">
        <x:v>631ead5e-27e1-4072-ad5e-70f321b6e161</x:v>
      </x:c>
      <x:c r="C851" s="9" t="str">
        <x:v>Denaxe Limited v Cooper &amp; Anor [2023] EWCA Civ 752</x:v>
      </x:c>
      <x:c r="D851" s="9" t="str"/>
      <x:c r="E851" s="9" t="str"/>
      <x:c r="F851" s="13" t="str">
        <x:v>2023</x:v>
      </x:c>
      <x:c r="G851" s="9" t="str">
        <x:v>England and Wales Court of Appeal (Civil Division)</x:v>
      </x:c>
      <x:c r="H851" s="9" t="str">
        <x:v>Court of Appeal (Civil Division)</x:v>
      </x:c>
      <x:c r="I851" s="9" t="str">
        <x:v>England and Wales</x:v>
      </x:c>
      <x:c r="J851" s="9" t="str">
        <x:v>Civil Procedure / Equity / Trusts / Insolvency</x:v>
      </x:c>
      <x:c r="K851" s="9" t="str">
        <x:v>ew-cases-EWCA-Civ-2023-752.xml</x:v>
      </x:c>
      <x:c r="L851" s="9" t="str">
        <x:v>TBA</x:v>
      </x:c>
    </x:row>
    <x:row r="852">
      <x:c r="A852" t="str">
        <x:v>8d342496-76b2-4143-aa65-1f4fdeda2ae1</x:v>
      </x:c>
      <x:c r="B852" t="str">
        <x:v>dee9b633-992d-4d56-bcd0-9ce410effc9c</x:v>
      </x:c>
      <x:c r="C852" s="9" t="str">
        <x:v>Denton &amp; Ors v TH White Ltd &amp; Ors [2014] EWCA Civ 906</x:v>
      </x:c>
      <x:c r="D852" s="9" t="str"/>
      <x:c r="E852" s="9" t="str"/>
      <x:c r="F852" s="13" t="str">
        <x:v>2014</x:v>
      </x:c>
      <x:c r="G852" s="9" t="str">
        <x:v>England and Wales Court of Appeal (Civil Division)</x:v>
      </x:c>
      <x:c r="H852" s="9" t="str">
        <x:v>Appellate</x:v>
      </x:c>
      <x:c r="I852" s="9" t="str">
        <x:v>England and Wales</x:v>
      </x:c>
      <x:c r="J852" s="9" t="str">
        <x:v>Civil Procedure</x:v>
      </x:c>
      <x:c r="K852" s="9" t="str">
        <x:v>-ew-cases-EWCA-Civ-2014-906.xml</x:v>
      </x:c>
      <x:c r="L852" s="9" t="str">
        <x:v>TBA</x:v>
      </x:c>
    </x:row>
    <x:row r="853">
      <x:c r="A853" t="str">
        <x:v>cced3417-cb0c-47e0-b27d-6297690755b6</x:v>
      </x:c>
      <x:c r="B853" t="str">
        <x:v>427f4773-55d4-44c2-96df-ce2f3814e141</x:v>
      </x:c>
      <x:c r="C853" s="9" t="str">
        <x:v>Department for Transport v Sparks &amp; Ors (EWCA Civ 360, 2016)</x:v>
      </x:c>
      <x:c r="D853" s="9" t="str"/>
      <x:c r="E853" s="9" t="str"/>
      <x:c r="F853" s="13" t="str">
        <x:v>2016</x:v>
      </x:c>
      <x:c r="G853" s="9" t="str">
        <x:v>England and Wales Court of Appeal (Civil Division)</x:v>
      </x:c>
      <x:c r="H853" s="9" t="str">
        <x:v>Court of Appeal (Civil Division)</x:v>
      </x:c>
      <x:c r="I853" s="9" t="str">
        <x:v>England and Wales</x:v>
      </x:c>
      <x:c r="J853" s="9" t="str">
        <x:v>Contract/Employment Law</x:v>
      </x:c>
      <x:c r="K853" s="9" t="str">
        <x:v>-ew-cases-EWCA-Civ-2016-360.xml</x:v>
      </x:c>
      <x:c r="L853" s="9" t="str">
        <x:v>TBA</x:v>
      </x:c>
    </x:row>
    <x:row r="854">
      <x:c r="A854" t="str">
        <x:v>bf644085-9f23-4aad-8fb3-6b1f03d7b5b8</x:v>
      </x:c>
      <x:c r="B854" t="str">
        <x:v>f9ae86d7-d99b-4cc4-a23c-d8028c7429af</x:v>
      </x:c>
      <x:c r="C854" s="9" t="str">
        <x:v>Department for Work and Pensions v The Information Commissioner &amp; Anor</x:v>
      </x:c>
      <x:c r="D854" s="9" t="str"/>
      <x:c r="E854" s="9" t="str"/>
      <x:c r="F854" s="13" t="str">
        <x:v>2016</x:v>
      </x:c>
      <x:c r="G854" s="9" t="str">
        <x:v>England and Wales Court of Appeal (Civil Division)</x:v>
      </x:c>
      <x:c r="H854" s="9" t="str">
        <x:v>Court of Appeal (Civil Division)</x:v>
      </x:c>
      <x:c r="I854" s="9" t="str">
        <x:v>England and Wales</x:v>
      </x:c>
      <x:c r="J854" s="9" t="str">
        <x:v>Public Law / Freedom of Information</x:v>
      </x:c>
      <x:c r="K854" s="9" t="str">
        <x:v>-ew-cases-EWCA-Civ-2016-758.xml</x:v>
      </x:c>
      <x:c r="L854" s="9" t="str">
        <x:v>TBA</x:v>
      </x:c>
    </x:row>
    <x:row r="855">
      <x:c r="A855" t="str">
        <x:v>6c09089f-dc68-4f38-8c55-abf49f7fb011</x:v>
      </x:c>
      <x:c r="B855" t="str">
        <x:v>5077f50f-8092-4614-bec8-018884431b2a</x:v>
      </x:c>
      <x:c r="C855" s="9" t="str">
        <x:v>Department of Health v The Information Commissioner &amp; Anor [2017] EWCA Civ 374</x:v>
      </x:c>
      <x:c r="D855" s="9" t="str"/>
      <x:c r="E855" s="9" t="str"/>
      <x:c r="F855" s="13" t="str">
        <x:v>2017</x:v>
      </x:c>
      <x:c r="G855" s="9" t="str">
        <x:v>England and Wales Court of Appeal (Civil Division)</x:v>
      </x:c>
      <x:c r="H855" s="9" t="str">
        <x:v>Appellate</x:v>
      </x:c>
      <x:c r="I855" s="9" t="str">
        <x:v>England and Wales</x:v>
      </x:c>
      <x:c r="J855" s="9" t="str">
        <x:v>Administrative Law</x:v>
      </x:c>
      <x:c r="K855" s="9" t="str">
        <x:v>-ew-cases-EWCA-Civ-2017-374.xml</x:v>
      </x:c>
      <x:c r="L855" s="9" t="str">
        <x:v>TBA</x:v>
      </x:c>
    </x:row>
    <x:row r="856">
      <x:c r="A856" t="str">
        <x:v>c2126be1-5caa-472e-a77c-f1eeb257cec4</x:v>
      </x:c>
      <x:c r="B856" t="str">
        <x:v>323ec1c2-a175-4296-93f5-1d5e65fb1764</x:v>
      </x:c>
      <x:c r="C856" s="9" t="str">
        <x:v>Depp II v News Group Newspapers Ltd &amp; Anor</x:v>
      </x:c>
      <x:c r="D856" s="9" t="str"/>
      <x:c r="E856" s="9" t="str"/>
      <x:c r="F856" s="13" t="str">
        <x:v>2021</x:v>
      </x:c>
      <x:c r="G856" s="9" t="str">
        <x:v>England and Wales Court of Appeal (Civil Division)</x:v>
      </x:c>
      <x:c r="H856" s="9" t="str">
        <x:v>Appellate</x:v>
      </x:c>
      <x:c r="I856" s="9" t="str">
        <x:v>England and Wales</x:v>
      </x:c>
      <x:c r="J856" s="9" t="str">
        <x:v>Defamation</x:v>
      </x:c>
      <x:c r="K856" s="9" t="str">
        <x:v>ew-cases-EWCA-Civ-2021-423.xml</x:v>
      </x:c>
      <x:c r="L856" s="9" t="str">
        <x:v>TBA</x:v>
      </x:c>
    </x:row>
    <x:row r="857">
      <x:c r="A857" t="str">
        <x:v>3966d44d-f6e3-4b03-9dff-be084e976202</x:v>
      </x:c>
      <x:c r="B857" t="str">
        <x:v>dd348d82-2a53-443f-9df3-cacc3fb272dd</x:v>
      </x:c>
      <x:c r="C857" s="9" t="str">
        <x:v>Derhalli v Derhalli [2021] EWCA Civ 112</x:v>
      </x:c>
      <x:c r="D857" s="9" t="str"/>
      <x:c r="E857" s="9" t="str"/>
      <x:c r="F857" s="13" t="str">
        <x:v>2021</x:v>
      </x:c>
      <x:c r="G857" s="9" t="str">
        <x:v>England and Wales Court of Appeal (Civil Division)</x:v>
      </x:c>
      <x:c r="H857" s="9" t="str">
        <x:v>Appellate</x:v>
      </x:c>
      <x:c r="I857" s="9" t="str">
        <x:v>England and Wales</x:v>
      </x:c>
      <x:c r="J857" s="9" t="str">
        <x:v>Family Law</x:v>
      </x:c>
      <x:c r="K857" s="9" t="str">
        <x:v>ew-cases-EWCA-Civ-2021-112.xml</x:v>
      </x:c>
      <x:c r="L857" s="9" t="str">
        <x:v>TBA</x:v>
      </x:c>
    </x:row>
    <x:row r="858">
      <x:c r="A858" t="str">
        <x:v>4114dc73-33a2-479d-91e6-92db7c16f728</x:v>
      </x:c>
      <x:c r="B858" t="str">
        <x:v>c20c9fd6-152a-4858-8ede-10b6713cbf9e</x:v>
      </x:c>
      <x:c r="C858" s="9" t="str">
        <x:v>Derrin Brothers Properties Ltd &amp; Ors v A Judge of the First Tier Tribunal (Tax Chamber) &amp; Ors [2016] EWCA Civ 15</x:v>
      </x:c>
      <x:c r="D858" s="9" t="str"/>
      <x:c r="E858" s="9" t="str"/>
      <x:c r="F858" s="13" t="str">
        <x:v>2016</x:v>
      </x:c>
      <x:c r="G858" s="9" t="str">
        <x:v>England and Wales Court of Appeal (Civil Division)</x:v>
      </x:c>
      <x:c r="H858" s="9" t="str">
        <x:v>Court of Appeal (Civil Division)</x:v>
      </x:c>
      <x:c r="I858" s="9" t="str">
        <x:v>England and Wales</x:v>
      </x:c>
      <x:c r="J858" s="9" t="str">
        <x:v>Administrative Law; Tax Law; Human Rights</x:v>
      </x:c>
      <x:c r="K858" s="9" t="str">
        <x:v>-ew-cases-EWCA-Civ-2016-15.xml</x:v>
      </x:c>
      <x:c r="L858" s="9" t="str">
        <x:v>TBA</x:v>
      </x:c>
    </x:row>
    <x:row r="859">
      <x:c r="A859" t="str">
        <x:v>885888be-48f1-496f-965f-ea30db4743e0</x:v>
      </x:c>
      <x:c r="B859" t="str">
        <x:v>0e112a43-8bb4-45cd-a169-4a5b83e617e7</x:v>
      </x:c>
      <x:c r="C859" s="9" t="str">
        <x:v>Derry v HM Revenue and Customs [2017] EWCA Civ 435: Appeal on Tax Relief Claim</x:v>
      </x:c>
      <x:c r="D859" s="9" t="str"/>
      <x:c r="E859" s="9" t="str"/>
      <x:c r="F859" s="13" t="str">
        <x:v>2017</x:v>
      </x:c>
      <x:c r="G859" s="9" t="str">
        <x:v>England and Wales Court of Appeal (Civil Division)</x:v>
      </x:c>
      <x:c r="H859" s="9" t="str">
        <x:v>Appellate</x:v>
      </x:c>
      <x:c r="I859" s="9" t="str">
        <x:v>England and Wales</x:v>
      </x:c>
      <x:c r="J859" s="9" t="str">
        <x:v>Tax</x:v>
      </x:c>
      <x:c r="K859" s="9" t="str">
        <x:v>-ew-cases-EWCA-Civ-2017-435.xml</x:v>
      </x:c>
      <x:c r="L859" s="9" t="str">
        <x:v>TBA</x:v>
      </x:c>
    </x:row>
    <x:row r="860">
      <x:c r="A860" t="str">
        <x:v>6b2785e2-6a8d-4a45-887b-21cacdb00e29</x:v>
      </x:c>
      <x:c r="B860" t="str">
        <x:v>aed28efb-eef4-4113-8750-5b51280a471b</x:v>
      </x:c>
      <x:c r="C860" s="9" t="str">
        <x:v>Des Pallieres v Des Pallieres [2021] EWCA Civ 955</x:v>
      </x:c>
      <x:c r="D860" s="9" t="str"/>
      <x:c r="E860" s="9" t="str"/>
      <x:c r="F860" s="13" t="str">
        <x:v>2021</x:v>
      </x:c>
      <x:c r="G860" s="9" t="str">
        <x:v>England and Wales Court of Appeal (Civil Division)</x:v>
      </x:c>
      <x:c r="H860" s="9" t="str">
        <x:v>Appellate</x:v>
      </x:c>
      <x:c r="I860" s="9" t="str">
        <x:v>England and Wales</x:v>
      </x:c>
      <x:c r="J860" s="9" t="str">
        <x:v>Family Law</x:v>
      </x:c>
      <x:c r="K860" s="9" t="str">
        <x:v>ew-cases-EWCA-Civ-2021-955.xml</x:v>
      </x:c>
      <x:c r="L860" s="9" t="str">
        <x:v>TBA</x:v>
      </x:c>
    </x:row>
    <x:row r="861">
      <x:c r="A861" t="str">
        <x:v>db01327c-3292-4432-878a-4545e827dc55</x:v>
      </x:c>
      <x:c r="B861" t="str">
        <x:v>a43ae668-c990-4ad5-a34a-8e5ff739b25e</x:v>
      </x:c>
      <x:c r="C861" s="9" t="str">
        <x:v>Design &amp; Display Limited v Abbott &amp; Anor [2016] EWCA Civ 95 (Court of Appeal, Civil Division) – Account of profits in patent infringement; apportionment and overheads in the sale of slatwall panels with infringing inserts</x:v>
      </x:c>
      <x:c r="D861" s="9" t="str"/>
      <x:c r="E861" s="9" t="str"/>
      <x:c r="F861" s="13" t="str">
        <x:v>2016</x:v>
      </x:c>
      <x:c r="G861" s="9" t="str">
        <x:v>England and Wales Court of Appeal (Civil Division)</x:v>
      </x:c>
      <x:c r="H861" s="9" t="str">
        <x:v>Court of Appeal (Civil Division)</x:v>
      </x:c>
      <x:c r="I861" s="9" t="str">
        <x:v>England and Wales</x:v>
      </x:c>
      <x:c r="J861" s="9" t="str">
        <x:v>Intellectual Property – Patent Infringement, Account of Profits</x:v>
      </x:c>
      <x:c r="K861" s="9" t="str">
        <x:v>-ew-cases-EWCA-Civ-2016-95.xml</x:v>
      </x:c>
      <x:c r="L861" s="9" t="str">
        <x:v>TBA</x:v>
      </x:c>
    </x:row>
    <x:row r="862">
      <x:c r="A862" t="str">
        <x:v>699e2ff8-d559-4290-a85c-110d76392d3c</x:v>
      </x:c>
      <x:c r="B862" t="str">
        <x:v>13861f9a-9967-483b-a2af-0ab8fd445dd2</x:v>
      </x:c>
      <x:c r="C862" s="9" t="str">
        <x:v>Detention Action, R (on the Application of) v Secretary of State for the Home Department</x:v>
      </x:c>
      <x:c r="D862" s="9" t="str"/>
      <x:c r="E862" s="9" t="str"/>
      <x:c r="F862" s="13" t="str">
        <x:v>2014</x:v>
      </x:c>
      <x:c r="G862" s="9" t="str">
        <x:v>England and Wales Court of Appeal (Civil Division)</x:v>
      </x:c>
      <x:c r="H862" s="9" t="str">
        <x:v>Appellate</x:v>
      </x:c>
      <x:c r="I862" s="9" t="str">
        <x:v>England and Wales</x:v>
      </x:c>
      <x:c r="J862" s="9" t="str">
        <x:v>Administrative Law</x:v>
      </x:c>
      <x:c r="K862" s="9" t="str">
        <x:v>-ew-cases-EWCA-Civ-2014-1270.xml</x:v>
      </x:c>
      <x:c r="L862" s="9" t="str">
        <x:v>TBA</x:v>
      </x:c>
    </x:row>
    <x:row r="863">
      <x:c r="A863" t="str">
        <x:v>1dd7e87f-e65d-48b5-9fb0-9519e51aa166</x:v>
      </x:c>
      <x:c r="B863" t="str">
        <x:v>48121f33-f39e-4aa3-bb5c-5473a0eb1da5</x:v>
      </x:c>
      <x:c r="C863" s="9" t="str">
        <x:v>Detention Action, R (On the Application Of) v Secretary of State for the Home Department</x:v>
      </x:c>
      <x:c r="D863" s="9" t="str"/>
      <x:c r="E863" s="9" t="str"/>
      <x:c r="F863" s="13" t="str">
        <x:v>2014</x:v>
      </x:c>
      <x:c r="G863" s="9" t="str">
        <x:v>England and Wales Court of Appeal (Civil Division)</x:v>
      </x:c>
      <x:c r="H863" s="9" t="str">
        <x:v>appellate</x:v>
      </x:c>
      <x:c r="I863" s="9" t="str">
        <x:v>England and Wales</x:v>
      </x:c>
      <x:c r="J863" s="9" t="str">
        <x:v>Administrative Law</x:v>
      </x:c>
      <x:c r="K863" s="9" t="str">
        <x:v>-ew-cases-EWCA-Civ-2014-1634.xml</x:v>
      </x:c>
      <x:c r="L863" s="9" t="str">
        <x:v>TBA</x:v>
      </x:c>
    </x:row>
    <x:row r="864">
      <x:c r="A864" t="str">
        <x:v>bb09c222-ca8c-47d7-9190-ce7f9e3c8866</x:v>
      </x:c>
      <x:c r="B864" t="str">
        <x:v>023cf870-b46e-4d17-b168-94e329029b4c</x:v>
      </x:c>
      <x:c r="C864" s="9" t="str">
        <x:v>Deutsche Bank A.G. v Sebastian Holdings Inc &amp; Anor [2016] EWCA Civ 23</x:v>
      </x:c>
      <x:c r="D864" s="9" t="str"/>
      <x:c r="E864" s="9" t="str"/>
      <x:c r="F864" s="13" t="str">
        <x:v>2016</x:v>
      </x:c>
      <x:c r="G864" s="9" t="str">
        <x:v>England and Wales Court of Appeal (Civil Division)</x:v>
      </x:c>
      <x:c r="H864" s="9" t="str">
        <x:v>Court of Appeal (Civil Division)</x:v>
      </x:c>
      <x:c r="I864" s="9" t="str">
        <x:v>England and Wales</x:v>
      </x:c>
      <x:c r="J864" s="9" t="str">
        <x:v>Costs/Procedural Law (Civil) – Court of Appeal</x:v>
      </x:c>
      <x:c r="K864" s="9" t="str">
        <x:v>-ew-cases-EWCA-Civ-2016-23.xml</x:v>
      </x:c>
      <x:c r="L864" s="9" t="str">
        <x:v>TBA</x:v>
      </x:c>
    </x:row>
    <x:row r="865">
      <x:c r="A865" t="str">
        <x:v>c1ca6072-9927-4777-b34b-d1653086c34a</x:v>
      </x:c>
      <x:c r="B865" t="str">
        <x:v>2d3de610-b4c8-4251-bf39-42da3c3a2dfa</x:v>
      </x:c>
      <x:c r="C865" s="9" t="str">
        <x:v>Deutsche Bank AG (London Branch) v Central Bank of Venezuela &amp; Ors [2023] EWCA Civ 742</x:v>
      </x:c>
      <x:c r="D865" s="9" t="str"/>
      <x:c r="E865" s="9" t="str"/>
      <x:c r="F865" s="13" t="str">
        <x:v>2023</x:v>
      </x:c>
      <x:c r="G865" s="9" t="str">
        <x:v>England and Wales Court of Appeal (Civil Division)</x:v>
      </x:c>
      <x:c r="H865" s="9" t="str">
        <x:v>Court of Appeal (Civil Division)</x:v>
      </x:c>
      <x:c r="I865" s="9" t="str">
        <x:v>England and Wales</x:v>
      </x:c>
      <x:c r="J865" s="9" t="str">
        <x:v>Civil Appeal / Private International Law</x:v>
      </x:c>
      <x:c r="K865" s="9" t="str">
        <x:v>ew-cases-EWCA-Civ-2023-742.xml</x:v>
      </x:c>
      <x:c r="L865" s="9" t="str">
        <x:v>TBA</x:v>
      </x:c>
    </x:row>
    <x:row r="866">
      <x:c r="A866" t="str">
        <x:v>aeb885e3-493e-4d7f-9578-15cd5f0b3bfe</x:v>
      </x:c>
      <x:c r="B866" t="str">
        <x:v>3e0760dd-4ca5-40ad-b2c3-a2a2e9ad50b7</x:v>
      </x:c>
      <x:c r="C866" s="9" t="str">
        <x:v>Deutsche Bank AG London Branch v Petromena ASA [2015] EWCA Civ 226</x:v>
      </x:c>
      <x:c r="D866" s="9" t="str"/>
      <x:c r="E866" s="9" t="str"/>
      <x:c r="F866" s="13" t="str">
        <x:v>2015</x:v>
      </x:c>
      <x:c r="G866" s="9" t="str">
        <x:v>England and Wales Court of Appeal (Civil Division)</x:v>
      </x:c>
      <x:c r="H866" s="9" t="str">
        <x:v>Appellate</x:v>
      </x:c>
      <x:c r="I866" s="9" t="str">
        <x:v>England and Wales</x:v>
      </x:c>
      <x:c r="J866" s="9" t="str">
        <x:v>Civil Procedure</x:v>
      </x:c>
      <x:c r="K866" s="9" t="str">
        <x:v>-ew-cases-EWCA-Civ-2015-226.xml</x:v>
      </x:c>
      <x:c r="L866" s="9" t="str">
        <x:v>TBA</x:v>
      </x:c>
    </x:row>
    <x:row r="867">
      <x:c r="A867" t="str">
        <x:v>51b89671-57e8-4856-857c-523fd3f4c4d4</x:v>
      </x:c>
      <x:c r="B867" t="str">
        <x:v>31447129-c494-44ca-9329-afa62c74d705</x:v>
      </x:c>
      <x:c r="C867" s="9" t="str">
        <x:v>Deutsche Bank AG v Sebastian Holdings Inc &amp; Anor [2023] EWCA Civ 191</x:v>
      </x:c>
      <x:c r="D867" s="9" t="str"/>
      <x:c r="E867" s="9" t="str"/>
      <x:c r="F867" s="13" t="str">
        <x:v>2023</x:v>
      </x:c>
      <x:c r="G867" s="9" t="str">
        <x:v>England and Wales Court of Appeal (Civil Division)</x:v>
      </x:c>
      <x:c r="H867" s="9" t="str">
        <x:v>Court of Appeal (Civil Division)</x:v>
      </x:c>
      <x:c r="I867" s="9" t="str">
        <x:v>England and Wales</x:v>
      </x:c>
      <x:c r="J867" s="9" t="str">
        <x:v>Contempt of Court / Civil Procedure / Appellate Review</x:v>
      </x:c>
      <x:c r="K867" s="9" t="str">
        <x:v>ew-cases-EWCA-Civ-2023-191.xml</x:v>
      </x:c>
      <x:c r="L867" s="9" t="str">
        <x:v>TBA</x:v>
      </x:c>
    </x:row>
    <x:row r="868">
      <x:c r="A868" t="str">
        <x:v>035d9f2e-8846-4658-a755-31d75b637d0c</x:v>
      </x:c>
      <x:c r="B868" t="str">
        <x:v>5efa7b7e-80f2-4a0e-ad80-5ab0db7a9c17</x:v>
      </x:c>
      <x:c r="C868" s="9" t="str">
        <x:v>Deutsche Bank AG v Unitech Global Limited &amp; Ors [2016] EWCA Civ 119</x:v>
      </x:c>
      <x:c r="D868" s="9" t="str"/>
      <x:c r="E868" s="9" t="str"/>
      <x:c r="F868" s="13" t="str">
        <x:v>2016</x:v>
      </x:c>
      <x:c r="G868" s="9" t="str">
        <x:v>England and Wales Court of Appeal (Civil Division)</x:v>
      </x:c>
      <x:c r="H868" s="9" t="str">
        <x:v>Court of Appeal (Civil Division)</x:v>
      </x:c>
      <x:c r="I868" s="9" t="str">
        <x:v>England and Wales</x:v>
      </x:c>
      <x:c r="J868" s="9" t="str">
        <x:v>Contract Dispute; Financial Litigation; Banking and Finance; LIBOR-related Misrepresentation</x:v>
      </x:c>
      <x:c r="K868" s="9" t="str">
        <x:v>-ew-cases-EWCA-Civ-2016-119.xml</x:v>
      </x:c>
      <x:c r="L868" s="9" t="str">
        <x:v>TBA</x:v>
      </x:c>
    </x:row>
    <x:row r="869">
      <x:c r="A869" t="str">
        <x:v>962e7056-82c2-4a99-ae76-c28bab6999b1</x:v>
      </x:c>
      <x:c r="B869" t="str">
        <x:v>f3385c76-3a24-4f9a-84f0-c46f6e70510c</x:v>
      </x:c>
      <x:c r="C869" s="9" t="str">
        <x:v>Devai v London South Bank University [2015] EWCA Civ 807</x:v>
      </x:c>
      <x:c r="D869" s="9" t="str"/>
      <x:c r="E869" s="9" t="str"/>
      <x:c r="F869" s="13" t="str">
        <x:v>2015</x:v>
      </x:c>
      <x:c r="G869" s="9" t="str">
        <x:v>England and Wales Court of Appeal (Civil Division)</x:v>
      </x:c>
      <x:c r="H869" s="9" t="str">
        <x:v>Appellate</x:v>
      </x:c>
      <x:c r="I869" s="9" t="str">
        <x:v>England and Wales</x:v>
      </x:c>
      <x:c r="J869" s="9" t="str">
        <x:v>Employment Law</x:v>
      </x:c>
      <x:c r="K869" s="9" t="str">
        <x:v>-ew-cases-EWCA-Civ-2015-807.xml</x:v>
      </x:c>
      <x:c r="L869" s="9" t="str">
        <x:v>TBA</x:v>
      </x:c>
    </x:row>
    <x:row r="870">
      <x:c r="A870" t="str">
        <x:v>cd1f6d72-b089-475d-bec8-1d16c3842700</x:v>
      </x:c>
      <x:c r="B870" t="str">
        <x:v>90743ee0-c75d-4140-93eb-89a3938f7523</x:v>
      </x:c>
      <x:c r="C870" s="9" t="str">
        <x:v>Devine v Secretary of State for Levelling Up, Housing and Communities [2023] EWCA Civ 601</x:v>
      </x:c>
      <x:c r="D870" s="9" t="str"/>
      <x:c r="E870" s="9" t="str"/>
      <x:c r="F870" s="13" t="str">
        <x:v>2023</x:v>
      </x:c>
      <x:c r="G870" s="9" t="str">
        <x:v>England and Wales Court of Appeal (Civil Division)</x:v>
      </x:c>
      <x:c r="H870" s="9" t="str">
        <x:v>Court of Appeal (Civil Division)</x:v>
      </x:c>
      <x:c r="I870" s="9" t="str">
        <x:v>England and Wales</x:v>
      </x:c>
      <x:c r="J870" s="9" t="str">
        <x:v>Public Law - Planning</x:v>
      </x:c>
      <x:c r="K870" s="9" t="str">
        <x:v>ew-cases-EWCA-Civ-2023-601.xml</x:v>
      </x:c>
      <x:c r="L870" s="9" t="str">
        <x:v>TBA</x:v>
      </x:c>
    </x:row>
    <x:row r="871">
      <x:c r="A871" t="str">
        <x:v>fc053260-db51-4e51-92f4-f2be7cf46c9d</x:v>
      </x:c>
      <x:c r="B871" t="str">
        <x:v>d5e66a9d-7a7b-470d-a425-b94bc9b12734</x:v>
      </x:c>
      <x:c r="C871" s="9" t="str">
        <x:v>Devon County Council v Kirk [2016] EWCA Civ 1221</x:v>
      </x:c>
      <x:c r="D871" s="9" t="str"/>
      <x:c r="E871" s="9" t="str"/>
      <x:c r="F871" s="13" t="str">
        <x:v>2016</x:v>
      </x:c>
      <x:c r="G871" s="9" t="str">
        <x:v>England and Wales Court of Appeal (Civil Division)</x:v>
      </x:c>
      <x:c r="H871" s="9" t="str">
        <x:v>Court of Appeal (Civil Division)</x:v>
      </x:c>
      <x:c r="I871" s="9" t="str">
        <x:v>England and Wales</x:v>
      </x:c>
      <x:c r="J871" s="9" t="str">
        <x:v>Public Law / Family Law / Court of Protection</x:v>
      </x:c>
      <x:c r="K871" s="9" t="str">
        <x:v>-ew-cases-EWCA-Civ-2016-1221.xml</x:v>
      </x:c>
      <x:c r="L871" s="9" t="str">
        <x:v>TBA</x:v>
      </x:c>
    </x:row>
    <x:row r="872">
      <x:c r="A872" t="str">
        <x:v>6592a05f-4943-402e-b8cd-02ff4a7ddea8</x:v>
      </x:c>
      <x:c r="B872" t="str">
        <x:v>211bd1c7-a680-4145-82d8-dfba57d7eb9f</x:v>
      </x:c>
      <x:c r="C872" s="9" t="str">
        <x:v>Dexia Crediop SPA v Comune Di Prato</x:v>
      </x:c>
      <x:c r="D872" s="9" t="str"/>
      <x:c r="E872" s="9" t="str"/>
      <x:c r="F872" s="13" t="str">
        <x:v>2017</x:v>
      </x:c>
      <x:c r="G872" s="9" t="str">
        <x:v>England and Wales Court of Appeal (Civil Division)</x:v>
      </x:c>
      <x:c r="H872" s="9" t="str">
        <x:v>Appellate</x:v>
      </x:c>
      <x:c r="I872" s="9" t="str">
        <x:v>England</x:v>
      </x:c>
      <x:c r="J872" s="9" t="str">
        <x:v>Contract Law</x:v>
      </x:c>
      <x:c r="K872" s="9" t="str">
        <x:v>-ew-cases-EWCA-Civ-2017-428.xml</x:v>
      </x:c>
      <x:c r="L872" s="9" t="str">
        <x:v>TBA</x:v>
      </x:c>
    </x:row>
    <x:row r="873">
      <x:c r="A873" t="str">
        <x:v>834c2b19-e541-4bc8-8fad-ed53a46b5747</x:v>
      </x:c>
      <x:c r="B873" t="str">
        <x:v>10e1d1c7-de65-4acc-818e-ac72b26d7d6a</x:v>
      </x:c>
      <x:c r="C873" s="9" t="str">
        <x:v>DHL Project &amp; Chartering Ltd v Gemini Ocean Shipping Co Ltd (Re "Newcastle Express") [2022] EWCA Civ 1555</x:v>
      </x:c>
      <x:c r="D873" s="9" t="str"/>
      <x:c r="E873" s="9" t="str"/>
      <x:c r="F873" s="13" t="str">
        <x:v>2022</x:v>
      </x:c>
      <x:c r="G873" s="9" t="str">
        <x:v>England and Wales Court of Appeal (Civil Division)</x:v>
      </x:c>
      <x:c r="H873" s="9" t="str">
        <x:v>Court of Appeal (Civil Division)</x:v>
      </x:c>
      <x:c r="I873" s="9" t="str">
        <x:v>England and Wales</x:v>
      </x:c>
      <x:c r="J873" s="9" t="str">
        <x:v>Contract Law / Arbitration</x:v>
      </x:c>
      <x:c r="K873" s="9" t="str">
        <x:v>ew-cases-EWCA-Civ-2022-1555.xml</x:v>
      </x:c>
      <x:c r="L873" s="9" t="str">
        <x:v>TBA</x:v>
      </x:c>
    </x:row>
    <x:row r="874">
      <x:c r="A874" t="str">
        <x:v>e1dc8efb-9bf0-4a43-8304-9dc55bac44d3</x:v>
      </x:c>
      <x:c r="B874" t="str">
        <x:v>c4801ec2-dce9-41df-8e87-15fb389a046d</x:v>
      </x:c>
      <x:c r="C874" s="9" t="str">
        <x:v>Dickinson &amp; Anor v Cassillas [2017] EWCA Civ 1254</x:v>
      </x:c>
      <x:c r="D874" s="9" t="str"/>
      <x:c r="E874" s="9" t="str"/>
      <x:c r="F874" s="13" t="str">
        <x:v>2017</x:v>
      </x:c>
      <x:c r="G874" s="9" t="str">
        <x:v>England and Wales Court of Appeal (Civil Division)</x:v>
      </x:c>
      <x:c r="H874" s="9" t="str">
        <x:v>Appellate</x:v>
      </x:c>
      <x:c r="I874" s="9" t="str">
        <x:v>England and Wales</x:v>
      </x:c>
      <x:c r="J874" s="9" t="str">
        <x:v>Property Law</x:v>
      </x:c>
      <x:c r="K874" s="9" t="str">
        <x:v>-ew-cases-EWCA-Civ-2017-1254.xml</x:v>
      </x:c>
      <x:c r="L874" s="9" t="str">
        <x:v>TBA</x:v>
      </x:c>
    </x:row>
    <x:row r="875">
      <x:c r="A875" t="str">
        <x:v>6dc12143-0525-4ea5-81d8-714ff2c34ad2</x:v>
      </x:c>
      <x:c r="B875" t="str">
        <x:v>ef6f8412-f80a-4412-83c9-6dc67e58cfda</x:v>
      </x:c>
      <x:c r="C875" s="9" t="str">
        <x:v>Dickinson &amp; Anor v UK Acorn Finance Ltd [2015] EWCA Civ 1194</x:v>
      </x:c>
      <x:c r="D875" s="9" t="str"/>
      <x:c r="E875" s="9" t="str"/>
      <x:c r="F875" s="13" t="str">
        <x:v>2015</x:v>
      </x:c>
      <x:c r="G875" s="9" t="str">
        <x:v>England and Wales Court of Appeal (Civil Division)</x:v>
      </x:c>
      <x:c r="H875" s="9" t="str">
        <x:v>Appellate</x:v>
      </x:c>
      <x:c r="I875" s="9" t="str">
        <x:v>England and Wales</x:v>
      </x:c>
      <x:c r="J875" s="9" t="str">
        <x:v>Civil Appeal</x:v>
      </x:c>
      <x:c r="K875" s="9" t="str">
        <x:v>-ew-cases-EWCA-Civ-2015-1194.xml</x:v>
      </x:c>
      <x:c r="L875" s="9" t="str">
        <x:v>TBA</x:v>
      </x:c>
    </x:row>
    <x:row r="876">
      <x:c r="A876" t="str">
        <x:v>60dd7390-090e-45f5-945d-a732598f705f</x:v>
      </x:c>
      <x:c r="B876" t="str">
        <x:v>a89f6084-5e72-4fa5-b904-98d51d732a1d</x:v>
      </x:c>
      <x:c r="C876" s="9" t="str">
        <x:v>Director of Legal Aid Casework &amp; Ors v Briggs</x:v>
      </x:c>
      <x:c r="D876" s="9" t="str"/>
      <x:c r="E876" s="9" t="str"/>
      <x:c r="F876" s="13" t="str">
        <x:v>2017</x:v>
      </x:c>
      <x:c r="G876" s="9" t="str">
        <x:v>England and Wales Court of Appeal (Civil Division)</x:v>
      </x:c>
      <x:c r="H876" s="9" t="str">
        <x:v>Appellate</x:v>
      </x:c>
      <x:c r="I876" s="9" t="str">
        <x:v>England and Wales</x:v>
      </x:c>
      <x:c r="J876" s="9" t="str">
        <x:v>Welfare/Elder Law</x:v>
      </x:c>
      <x:c r="K876" s="9" t="str">
        <x:v>-ew-cases-EWCA-Civ-2017-1169.xml</x:v>
      </x:c>
      <x:c r="L876" s="9" t="str">
        <x:v>TBA</x:v>
      </x:c>
    </x:row>
    <x:row r="877">
      <x:c r="A877" t="str">
        <x:v>f06e3e3d-0f79-465f-b663-84c3418c0d94</x:v>
      </x:c>
      <x:c r="B877" t="str">
        <x:v>ffba8343-144d-4e7b-a649-baf187d81cc2</x:v>
      </x:c>
      <x:c r="C877" s="9" t="str">
        <x:v>Director of Legal Aid Casework v The Queen on the Application of Sunita Sisangia [2016] EWCA Civ 24</x:v>
      </x:c>
      <x:c r="D877" s="9" t="str"/>
      <x:c r="E877" s="9" t="str"/>
      <x:c r="F877" s="13" t="str">
        <x:v>2016</x:v>
      </x:c>
      <x:c r="G877" s="9" t="str">
        <x:v>England and Wales Court of Appeal (Civil Division)</x:v>
      </x:c>
      <x:c r="H877" s="9" t="str">
        <x:v>Court of Appeal (Civil Division)</x:v>
      </x:c>
      <x:c r="I877" s="9" t="str">
        <x:v>England and Wales</x:v>
      </x:c>
      <x:c r="J877" s="9" t="str">
        <x:v>Public Law / Administrative Law</x:v>
      </x:c>
      <x:c r="K877" s="9" t="str">
        <x:v>-ew-cases-EWCA-Civ-2016-24.xml</x:v>
      </x:c>
      <x:c r="L877" s="9" t="str">
        <x:v>TBA</x:v>
      </x:c>
    </x:row>
    <x:row r="878">
      <x:c r="A878" t="str">
        <x:v>7eb6ba94-4ec7-4f1f-8880-10f295a4e6b3</x:v>
      </x:c>
      <x:c r="B878" t="str">
        <x:v>eab2f50f-478b-4dfe-99e0-abbb5442b099</x:v>
      </x:c>
      <x:c r="C878" s="9" t="str">
        <x:v>Disclosure and Barring Service v AB</x:v>
      </x:c>
      <x:c r="D878" s="9" t="str"/>
      <x:c r="E878" s="9" t="str"/>
      <x:c r="F878" s="13" t="str">
        <x:v>2021</x:v>
      </x:c>
      <x:c r="G878" s="9" t="str">
        <x:v>England and Wales Court of Appeal (Civil Division)</x:v>
      </x:c>
      <x:c r="H878" s="9" t="str">
        <x:v>Appellate</x:v>
      </x:c>
      <x:c r="I878" s="9" t="str">
        <x:v>England and Wales</x:v>
      </x:c>
      <x:c r="J878" s="9" t="str">
        <x:v>Administrative Law</x:v>
      </x:c>
      <x:c r="K878" s="9" t="str">
        <x:v>ew-cases-EWCA-Civ-2021-1575.xml</x:v>
      </x:c>
      <x:c r="L878" s="9" t="str">
        <x:v>TBA</x:v>
      </x:c>
    </x:row>
    <x:row r="879">
      <x:c r="A879" t="str">
        <x:v>199a28de-8634-4b64-b3a6-323e38bd7736</x:v>
      </x:c>
      <x:c r="B879" t="str">
        <x:v>6d3761a2-35d4-48e7-b5d7-833643377e28</x:v>
      </x:c>
      <x:c r="C879" s="9" t="str">
        <x:v>Distinctive Properties (Ascot) Ltd v Secretary of State for Communities and Local Government &amp; Anor</x:v>
      </x:c>
      <x:c r="D879" s="9" t="str"/>
      <x:c r="E879" s="9" t="str"/>
      <x:c r="F879" s="13" t="str">
        <x:v>2015</x:v>
      </x:c>
      <x:c r="G879" s="9" t="str">
        <x:v>England and Wales Court of Appeal (Civil Division)</x:v>
      </x:c>
      <x:c r="H879" s="9" t="str">
        <x:v>Appellate</x:v>
      </x:c>
      <x:c r="I879" s="9" t="str">
        <x:v>England and Wales</x:v>
      </x:c>
      <x:c r="J879" s="9" t="str">
        <x:v>Administrative Law</x:v>
      </x:c>
      <x:c r="K879" s="9" t="str">
        <x:v>-ew-cases-EWCA-Civ-2015-1250.xml</x:v>
      </x:c>
      <x:c r="L879" s="9" t="str">
        <x:v>TBA</x:v>
      </x:c>
    </x:row>
    <x:row r="880">
      <x:c r="A880" t="str">
        <x:v>6b57656b-7b21-486d-b15f-8be8be2814d7</x:v>
      </x:c>
      <x:c r="B880" t="str">
        <x:v>82d8ca93-47f5-468a-805f-22afbaf56924</x:v>
      </x:c>
      <x:c r="C880" s="9" t="str">
        <x:v>Dixon &amp; Anor v Blindley Heath Investments Ltd &amp; Anor [2015] EWCA Civ 1023</x:v>
      </x:c>
      <x:c r="D880" s="9" t="str"/>
      <x:c r="E880" s="9" t="str"/>
      <x:c r="F880" s="13" t="str">
        <x:v>2015</x:v>
      </x:c>
      <x:c r="G880" s="9" t="str">
        <x:v>England and Wales Court of Appeal (Civil Division)</x:v>
      </x:c>
      <x:c r="H880" s="9" t="str">
        <x:v>Appellate</x:v>
      </x:c>
      <x:c r="I880" s="9" t="str">
        <x:v>England and Wales</x:v>
      </x:c>
      <x:c r="J880" s="9" t="str">
        <x:v>Commercial Litigation</x:v>
      </x:c>
      <x:c r="K880" s="9" t="str">
        <x:v>-ew-cases-EWCA-Civ-2015-1023.xml</x:v>
      </x:c>
      <x:c r="L880" s="9" t="str">
        <x:v>TBA</x:v>
      </x:c>
    </x:row>
    <x:row r="881">
      <x:c r="A881" t="str">
        <x:v>7eaa989c-9365-41b8-a327-25acf51575d9</x:v>
      </x:c>
      <x:c r="B881" t="str">
        <x:v>81d01868-5d9b-4213-a17c-ce1084ca043a</x:v>
      </x:c>
      <x:c r="C881" s="9" t="str">
        <x:v>Dixon Coles &amp; Gill (A Former Firm) v Baines, Bishop of Leeds &amp; Anor [2021] EWCA Civ 1097</x:v>
      </x:c>
      <x:c r="D881" s="9" t="str"/>
      <x:c r="E881" s="9" t="str"/>
      <x:c r="F881" s="13" t="str">
        <x:v>2021</x:v>
      </x:c>
      <x:c r="G881" s="9" t="str">
        <x:v>England and Wales Court of Appeal (Civil Division)</x:v>
      </x:c>
      <x:c r="H881" s="9" t="str">
        <x:v>Appellate</x:v>
      </x:c>
      <x:c r="I881" s="9" t="str">
        <x:v>England and Wales</x:v>
      </x:c>
      <x:c r="J881" s="9" t="str">
        <x:v>Partnership Liability and Trust Law</x:v>
      </x:c>
      <x:c r="K881" s="9" t="str">
        <x:v>ew-cases-EWCA-Civ-2021-1097.xml</x:v>
      </x:c>
      <x:c r="L881" s="9" t="str">
        <x:v>TBA</x:v>
      </x:c>
    </x:row>
    <x:row r="882">
      <x:c r="A882" t="str">
        <x:v>bb805236-3f05-4fe3-ba3f-b03a3349a3a0</x:v>
      </x:c>
      <x:c r="B882" t="str">
        <x:v>d39ffce2-c60d-4cdb-8099-3ece6ecbf459</x:v>
      </x:c>
      <x:c r="C882" s="9" t="str">
        <x:v>Dixon v The Secretary of State for Justice [2017] EWCA Civ 961</x:v>
      </x:c>
      <x:c r="D882" s="9" t="str"/>
      <x:c r="E882" s="9" t="str"/>
      <x:c r="F882" s="13" t="str">
        <x:v>2017</x:v>
      </x:c>
      <x:c r="G882" s="9" t="str">
        <x:v>England and Wales Court of Appeal (Civil Division)</x:v>
      </x:c>
      <x:c r="H882" s="9" t="str">
        <x:v>Appellate</x:v>
      </x:c>
      <x:c r="I882" s="9" t="str">
        <x:v>England and Wales</x:v>
      </x:c>
      <x:c r="J882" s="9" t="str">
        <x:v>Human Rights</x:v>
      </x:c>
      <x:c r="K882" s="9" t="str">
        <x:v>-ew-cases-EWCA-Civ-2017-961.xml</x:v>
      </x:c>
      <x:c r="L882" s="9" t="str">
        <x:v>TBA</x:v>
      </x:c>
    </x:row>
    <x:row r="883">
      <x:c r="A883" t="str">
        <x:v>5fad2bc6-1762-4ada-a1eb-4f551800774c</x:v>
      </x:c>
      <x:c r="B883" t="str">
        <x:v>b293e967-2f36-4ecf-b32f-db6614193b8b</x:v>
      </x:c>
      <x:c r="C883" s="9" t="str">
        <x:v>DJ (Pakistan) v Secretary of State for the Home Department [2022] EWCA Civ 1057</x:v>
      </x:c>
      <x:c r="D883" s="9" t="str"/>
      <x:c r="E883" s="9" t="str"/>
      <x:c r="F883" s="13" t="str">
        <x:v>2022</x:v>
      </x:c>
      <x:c r="G883" s="9" t="str">
        <x:v>England and Wales Court of Appeal (Civil Division)</x:v>
      </x:c>
      <x:c r="H883" s="9" t="str">
        <x:v>Court of Appeal (Civil Division)</x:v>
      </x:c>
      <x:c r="I883" s="9" t="str">
        <x:v>England and Wales</x:v>
      </x:c>
      <x:c r="J883" s="9" t="str">
        <x:v>Administrative Law / Immigration and Asylum / Procedural Law</x:v>
      </x:c>
      <x:c r="K883" s="9" t="str">
        <x:v>ew-cases-EWCA-Civ-2022-1057.xml</x:v>
      </x:c>
      <x:c r="L883" s="9" t="str">
        <x:v>TBA</x:v>
      </x:c>
    </x:row>
    <x:row r="884">
      <x:c r="A884" t="str">
        <x:v>94a2fa0f-5f22-4f32-9c3b-f5809ca14c4d</x:v>
      </x:c>
      <x:c r="B884" t="str">
        <x:v>6e0abd3d-f5fe-4e51-9294-1ce7417f1178</x:v>
      </x:c>
      <x:c r="C884" s="9" t="str">
        <x:v>Djaba v West London Mental Health Trust &amp; Anor [2017] EWCA Civ 436</x:v>
      </x:c>
      <x:c r="D884" s="9" t="str"/>
      <x:c r="E884" s="9" t="str"/>
      <x:c r="F884" s="13" t="str">
        <x:v>2017</x:v>
      </x:c>
      <x:c r="G884" s="9" t="str">
        <x:v>England and Wales Court of Appeal (Civil Division)</x:v>
      </x:c>
      <x:c r="H884" s="9" t="str">
        <x:v>Appellate</x:v>
      </x:c>
      <x:c r="I884" s="9" t="str">
        <x:v>England and Wales</x:v>
      </x:c>
      <x:c r="J884" s="9" t="str">
        <x:v>Mental Health Law</x:v>
      </x:c>
      <x:c r="K884" s="9" t="str">
        <x:v>-ew-cases-EWCA-Civ-2017-436.xml</x:v>
      </x:c>
      <x:c r="L884" s="9" t="str">
        <x:v>TBA</x:v>
      </x:c>
    </x:row>
    <x:row r="885">
      <x:c r="A885" t="str">
        <x:v>624f472b-69b8-4dfa-ab93-3440082f443c</x:v>
      </x:c>
      <x:c r="B885" t="str">
        <x:v>4edc6c21-e276-4fc9-b992-dbb294236014</x:v>
      </x:c>
      <x:c r="C885" s="9" t="str">
        <x:v>DK, R (On the Application Of) v Revenue and Customs [2022] EWCA Civ 120</x:v>
      </x:c>
      <x:c r="D885" s="9" t="str"/>
      <x:c r="E885" s="9" t="str"/>
      <x:c r="F885" s="13" t="str">
        <x:v>2022</x:v>
      </x:c>
      <x:c r="G885" s="9" t="str">
        <x:v>England and Wales Court of Appeal (Civil Division)</x:v>
      </x:c>
      <x:c r="H885" s="9" t="str">
        <x:v>Court of Appeal (Civil Division)</x:v>
      </x:c>
      <x:c r="I885" s="9" t="str">
        <x:v>England and Wales</x:v>
      </x:c>
      <x:c r="J885" s="9" t="str">
        <x:v>Public Law / Administrative Law; Welfare Benefits</x:v>
      </x:c>
      <x:c r="K885" s="9" t="str">
        <x:v>ew-cases-EWCA-Civ-2022-120.xml</x:v>
      </x:c>
      <x:c r="L885" s="9" t="str">
        <x:v>TBA</x:v>
      </x:c>
    </x:row>
    <x:row r="886">
      <x:c r="A886" t="str">
        <x:v>962c6474-96e8-4359-8b0f-f630b51a5f22</x:v>
      </x:c>
      <x:c r="B886" t="str">
        <x:v>bd27a411-e074-4ec2-a171-9361d30886b5</x:v>
      </x:c>
      <x:c r="C886" s="9" t="str">
        <x:v>DLA Delivery Ltd, R (On the Application Of) v Lewes District Council [2017] EWCA Civ 58</x:v>
      </x:c>
      <x:c r="D886" s="9" t="str"/>
      <x:c r="E886" s="9" t="str"/>
      <x:c r="F886" s="13" t="str">
        <x:v>2017</x:v>
      </x:c>
      <x:c r="G886" s="9" t="str">
        <x:v>England and Wales Court of Appeal (Civil Division)</x:v>
      </x:c>
      <x:c r="H886" s="9" t="str">
        <x:v>Appellate</x:v>
      </x:c>
      <x:c r="I886" s="9" t="str">
        <x:v>England and Wales</x:v>
      </x:c>
      <x:c r="J886" s="9" t="str">
        <x:v>Administrative Law</x:v>
      </x:c>
      <x:c r="K886" s="9" t="str">
        <x:v>-ew-cases-EWCA-Civ-2017-58.xml</x:v>
      </x:c>
      <x:c r="L886" s="9" t="str">
        <x:v>TBA</x:v>
      </x:c>
    </x:row>
    <x:row r="887">
      <x:c r="A887" t="str">
        <x:v>5684c66a-b658-4c85-85de-ffdb6a97b4c5</x:v>
      </x:c>
      <x:c r="B887" t="str">
        <x:v>bb4a7ac5-773e-4091-a487-6b54d3de2c4e</x:v>
      </x:c>
      <x:c r="C887" s="9" t="str">
        <x:v>DM (Bangladesh) v Secretary of State for the Home Department</x:v>
      </x:c>
      <x:c r="D887" s="9" t="str"/>
      <x:c r="E887" s="9" t="str"/>
      <x:c r="F887" s="13" t="str">
        <x:v>2015</x:v>
      </x:c>
      <x:c r="G887" s="9" t="str">
        <x:v>England and Wales Court of Appeal (Civil Division)</x:v>
      </x:c>
      <x:c r="H887" s="9" t="str">
        <x:v>Appellate</x:v>
      </x:c>
      <x:c r="I887" s="9" t="str">
        <x:v>England and Wales</x:v>
      </x:c>
      <x:c r="J887" s="9" t="str">
        <x:v>Immigration Appeal</x:v>
      </x:c>
      <x:c r="K887" s="9" t="str">
        <x:v>-ew-cases-EWCA-Civ-2015-727.xml</x:v>
      </x:c>
      <x:c r="L887" s="9" t="str">
        <x:v>TBA</x:v>
      </x:c>
    </x:row>
    <x:row r="888">
      <x:c r="A888" t="str">
        <x:v>4cc065fe-b3a6-42f1-b6c7-a4d2b50acb0c</x:v>
      </x:c>
      <x:c r="B888" t="str">
        <x:v>a4fa5023-00bc-415b-94d7-888553893257</x:v>
      </x:c>
      <x:c r="C888" s="9" t="str">
        <x:v>DM (Zimbabwe) v The Secretary of State for the Home Department</x:v>
      </x:c>
      <x:c r="D888" s="9" t="str"/>
      <x:c r="E888" s="9" t="str"/>
      <x:c r="F888" s="13" t="str">
        <x:v>2015</x:v>
      </x:c>
      <x:c r="G888" s="9" t="str">
        <x:v>England and Wales Court of Appeal (Civil Division)</x:v>
      </x:c>
      <x:c r="H888" s="9" t="str">
        <x:v>Appellate</x:v>
      </x:c>
      <x:c r="I888" s="9" t="str">
        <x:v>England and Wales</x:v>
      </x:c>
      <x:c r="J888" s="9" t="str">
        <x:v>Immigration Law</x:v>
      </x:c>
      <x:c r="K888" s="9" t="str">
        <x:v>-ew-cases-EWCA-Civ-2015-1288.xml</x:v>
      </x:c>
      <x:c r="L888" s="9" t="str">
        <x:v>TBA</x:v>
      </x:c>
    </x:row>
    <x:row r="889">
      <x:c r="A889" t="str">
        <x:v>239f1ecf-0c07-4d77-98e6-8d059a3b6fa3</x:v>
      </x:c>
      <x:c r="B889" t="str">
        <x:v>b0407053-05d4-4dce-b9ae-507de4b199b4</x:v>
      </x:c>
      <x:c r="C889" s="9" t="str">
        <x:v>DMWSHNZ Ltd v HM Revenue and Customs [2015] EWCA Civ 1036</x:v>
      </x:c>
      <x:c r="D889" s="9" t="str"/>
      <x:c r="E889" s="9" t="str"/>
      <x:c r="F889" s="13" t="str">
        <x:v>2015</x:v>
      </x:c>
      <x:c r="G889" s="9" t="str">
        <x:v>England and Wales Court of Appeal (Civil Division)</x:v>
      </x:c>
      <x:c r="H889" s="9" t="str">
        <x:v>Appellate</x:v>
      </x:c>
      <x:c r="I889" s="9" t="str">
        <x:v>England and Wales</x:v>
      </x:c>
      <x:c r="J889" s="9" t="str">
        <x:v>Tax Law</x:v>
      </x:c>
      <x:c r="K889" s="9" t="str">
        <x:v>-ew-cases-EWCA-Civ-2015-1036.xml</x:v>
      </x:c>
      <x:c r="L889" s="9" t="str">
        <x:v>TBA</x:v>
      </x:c>
    </x:row>
    <x:row r="890">
      <x:c r="A890" t="str">
        <x:v>8b66c45a-2659-49e7-8b17-93d407ca9f10</x:v>
      </x:c>
      <x:c r="B890" t="str">
        <x:v>9fead5d5-d7b4-4939-ad35-3429a92c6178</x:v>
      </x:c>
      <x:c r="C890" s="9" t="str">
        <x:v>Dodd v Raebarn Estates Ltd &amp; Ors [2017] EWCA Civ 439</x:v>
      </x:c>
      <x:c r="D890" s="9" t="str"/>
      <x:c r="E890" s="9" t="str"/>
      <x:c r="F890" s="13" t="str">
        <x:v>2017</x:v>
      </x:c>
      <x:c r="G890" s="9" t="str">
        <x:v>England and Wales Court of Appeal (Civil Division)</x:v>
      </x:c>
      <x:c r="H890" s="9" t="str">
        <x:v>Appellate</x:v>
      </x:c>
      <x:c r="I890" s="9" t="str">
        <x:v>England and Wales</x:v>
      </x:c>
      <x:c r="J890" s="9" t="str">
        <x:v>Tort</x:v>
      </x:c>
      <x:c r="K890" s="9" t="str">
        <x:v>-ew-cases-EWCA-Civ-2017-439.xml</x:v>
      </x:c>
      <x:c r="L890" s="9" t="str">
        <x:v>TBA</x:v>
      </x:c>
    </x:row>
    <x:row r="891">
      <x:c r="A891" t="str">
        <x:v>f4ac1a24-31cb-454e-9745-0425455e9ff8</x:v>
      </x:c>
      <x:c r="B891" t="str">
        <x:v>ade5ef1b-5f76-4626-8fc5-517f5ee049f8</x:v>
      </x:c>
      <x:c r="C891" s="9" t="str">
        <x:v>Dodika Ltd &amp; Ors v United Luck Group Holdings Ltd [2021] EWCA Civ 638</x:v>
      </x:c>
      <x:c r="D891" s="9" t="str"/>
      <x:c r="E891" s="9" t="str"/>
      <x:c r="F891" s="13" t="str">
        <x:v>2021</x:v>
      </x:c>
      <x:c r="G891" s="9" t="str">
        <x:v>England and Wales Court of Appeal (Civil Division)</x:v>
      </x:c>
      <x:c r="H891" s="9" t="str">
        <x:v>Appellate</x:v>
      </x:c>
      <x:c r="I891" s="9" t="str">
        <x:v>England and Wales</x:v>
      </x:c>
      <x:c r="J891" s="9" t="str">
        <x:v>Contract Dispute</x:v>
      </x:c>
      <x:c r="K891" s="9" t="str">
        <x:v>ew-cases-EWCA-Civ-2021-638.xml</x:v>
      </x:c>
      <x:c r="L891" s="9" t="str">
        <x:v>TBA</x:v>
      </x:c>
    </x:row>
    <x:row r="892">
      <x:c r="A892" t="str">
        <x:v>c30cd2f7-4585-4bb3-b933-b82cd3f98a6c</x:v>
      </x:c>
      <x:c r="B892" t="str">
        <x:v>2e4002bc-bd9b-4d00-a282-156d7a61f5b8</x:v>
      </x:c>
      <x:c r="C892" s="9" t="str">
        <x:v>Doherty v The Nursing and Midwifery Council</x:v>
      </x:c>
      <x:c r="D892" s="9" t="str"/>
      <x:c r="E892" s="9" t="str"/>
      <x:c r="F892" s="13" t="str">
        <x:v>2017</x:v>
      </x:c>
      <x:c r="G892" s="9" t="str">
        <x:v>England and Wales Court of Appeal (Civil Division)</x:v>
      </x:c>
      <x:c r="H892" s="9" t="str">
        <x:v>appellate</x:v>
      </x:c>
      <x:c r="I892" s="9" t="str">
        <x:v>England and Wales</x:v>
      </x:c>
      <x:c r="J892" s="9" t="str">
        <x:v>Administrative Law</x:v>
      </x:c>
      <x:c r="K892" s="9" t="str">
        <x:v>-ew-cases-EWCA-Civ-2017-1344.xml</x:v>
      </x:c>
      <x:c r="L892" s="9" t="str">
        <x:v>TBA</x:v>
      </x:c>
    </x:row>
    <x:row r="893">
      <x:c r="A893" t="str">
        <x:v>9dee2183-b5ce-4cb5-8873-2a3b950c7fbd</x:v>
      </x:c>
      <x:c r="B893" t="str">
        <x:v>432b52a2-0d9a-436f-b994-c26059909bed</x:v>
      </x:c>
      <x:c r="C893" s="9" t="str">
        <x:v>Doka v London Borough of Southwark [2017] EWCA Civ 1532</x:v>
      </x:c>
      <x:c r="D893" s="9" t="str"/>
      <x:c r="E893" s="9" t="str"/>
      <x:c r="F893" s="13" t="str">
        <x:v>2017</x:v>
      </x:c>
      <x:c r="G893" s="9" t="str">
        <x:v>England and Wales Court of Appeal (Civil Division)</x:v>
      </x:c>
      <x:c r="H893" s="9" t="str">
        <x:v>appellate</x:v>
      </x:c>
      <x:c r="I893" s="9" t="str">
        <x:v>England and Wales</x:v>
      </x:c>
      <x:c r="J893" s="9" t="str">
        <x:v>Housing Law</x:v>
      </x:c>
      <x:c r="K893" s="9" t="str">
        <x:v>-ew-cases-EWCA-Civ-2017-1532.xml</x:v>
      </x:c>
      <x:c r="L893" s="9" t="str">
        <x:v>TBA</x:v>
      </x:c>
    </x:row>
    <x:row r="894">
      <x:c r="A894" t="str">
        <x:v>83093fd7-8f52-4036-b154-fe00309c88c6</x:v>
      </x:c>
      <x:c r="B894" t="str">
        <x:v>d5802bed-07eb-4d54-8e52-d25bf3e09fd5</x:v>
      </x:c>
      <x:c r="C894" s="9" t="str">
        <x:v>Donaldson v HMRC [2016] EWCA Civ 761</x:v>
      </x:c>
      <x:c r="D894" s="9" t="str"/>
      <x:c r="E894" s="9" t="str"/>
      <x:c r="F894" s="13" t="str">
        <x:v>2016</x:v>
      </x:c>
      <x:c r="G894" s="9" t="str">
        <x:v>England and Wales Court of Appeal (Civil Division)</x:v>
      </x:c>
      <x:c r="H894" s="9" t="str">
        <x:v>Court of Appeal (Civil Division)</x:v>
      </x:c>
      <x:c r="I894" s="9" t="str">
        <x:v>England and Wales</x:v>
      </x:c>
      <x:c r="J894" s="9" t="str">
        <x:v>Tax Law / Administrative Law</x:v>
      </x:c>
      <x:c r="K894" s="9" t="str">
        <x:v>-ew-cases-EWCA-Civ-2016-761.xml</x:v>
      </x:c>
      <x:c r="L894" s="9" t="str">
        <x:v>TBA</x:v>
      </x:c>
    </x:row>
    <x:row r="895">
      <x:c r="A895" t="str">
        <x:v>0625630f-6b3b-436f-a28b-fe0d7fa9222b</x:v>
      </x:c>
      <x:c r="B895" t="str">
        <x:v>77cd9619-9a80-4d62-be26-7670efd74cf8</x:v>
      </x:c>
      <x:c r="C895" s="9" t="str">
        <x:v>Donelien v Liberata (UK) Ltd</x:v>
      </x:c>
      <x:c r="D895" s="9" t="str"/>
      <x:c r="E895" s="9" t="str"/>
      <x:c r="F895" s="13" t="str">
        <x:v>2015</x:v>
      </x:c>
      <x:c r="G895" s="9" t="str">
        <x:v>England and Wales Court of Appeal (Civil Division)</x:v>
      </x:c>
      <x:c r="H895" s="9" t="str">
        <x:v>Appellate</x:v>
      </x:c>
      <x:c r="I895" s="9" t="str">
        <x:v>England and Wales</x:v>
      </x:c>
      <x:c r="J895" s="9" t="str">
        <x:v>Employment Law</x:v>
      </x:c>
      <x:c r="K895" s="9" t="str">
        <x:v>-ew-cases-EWCA-Civ-2015-1449.xml</x:v>
      </x:c>
      <x:c r="L895" s="9" t="str">
        <x:v>TBA</x:v>
      </x:c>
    </x:row>
    <x:row r="896">
      <x:c r="A896" t="str">
        <x:v>7e0c41ed-d929-409b-8c48-371497df81c0</x:v>
      </x:c>
      <x:c r="B896" t="str">
        <x:v>e9bbaede-aa07-4dbf-a856-5a9a8185ccc1</x:v>
      </x:c>
      <x:c r="C896" s="9" t="str">
        <x:v>Donovan &amp; Anor v Grainmarket Asset Management LLP [2021] EWCA Civ 686</x:v>
      </x:c>
      <x:c r="D896" s="9" t="str"/>
      <x:c r="E896" s="9" t="str"/>
      <x:c r="F896" s="13" t="str">
        <x:v>2021</x:v>
      </x:c>
      <x:c r="G896" s="9" t="str">
        <x:v>England and Wales Court of Appeal (Civil Division)</x:v>
      </x:c>
      <x:c r="H896" s="9" t="str">
        <x:v>Appellate</x:v>
      </x:c>
      <x:c r="I896" s="9" t="str">
        <x:v>England and Wales</x:v>
      </x:c>
      <x:c r="J896" s="9" t="str">
        <x:v>Contract Dispute</x:v>
      </x:c>
      <x:c r="K896" s="9" t="str">
        <x:v>ew-cases-EWCA-Civ-2021-686.xml</x:v>
      </x:c>
      <x:c r="L896" s="9" t="str">
        <x:v>TBA</x:v>
      </x:c>
    </x:row>
    <x:row r="897">
      <x:c r="A897" t="str">
        <x:v>6c497ea0-1e11-4eb6-8bc7-74b02be49b36</x:v>
      </x:c>
      <x:c r="B897" t="str">
        <x:v>e5bea198-573c-437a-a0fd-b282f1674d22</x:v>
      </x:c>
      <x:c r="C897" s="9" t="str">
        <x:v>Donovan &amp; Anor v Rana &amp; Anor [2014] EWCA Civ 99</x:v>
      </x:c>
      <x:c r="D897" s="9" t="str"/>
      <x:c r="E897" s="9" t="str"/>
      <x:c r="F897" s="13" t="str">
        <x:v>2014</x:v>
      </x:c>
      <x:c r="G897" s="9" t="str">
        <x:v>England and Wales Court of Appeal (Civil Division)</x:v>
      </x:c>
      <x:c r="H897" s="9" t="str">
        <x:v>Appellate</x:v>
      </x:c>
      <x:c r="I897" s="9" t="str">
        <x:v>England and Wales</x:v>
      </x:c>
      <x:c r="J897" s="9" t="str">
        <x:v>Property Law</x:v>
      </x:c>
      <x:c r="K897" s="9" t="str">
        <x:v>-ew-cases-EWCA-Civ-2014-99.xml</x:v>
      </x:c>
      <x:c r="L897" s="9" t="str">
        <x:v>TBA</x:v>
      </x:c>
    </x:row>
    <x:row r="898">
      <x:c r="A898" t="str">
        <x:v>332bf6b3-b398-4c8f-a8c6-47d323532313</x:v>
      </x:c>
      <x:c r="B898" t="str">
        <x:v>c4489a38-5c6b-4cd9-8dae-41da5c960718</x:v>
      </x:c>
      <x:c r="C898" s="9" t="str">
        <x:v>Dooley &amp; Ors v Castle Trust &amp; Management Services Ltd [2022] EWCA Civ 1569</x:v>
      </x:c>
      <x:c r="D898" s="9" t="str"/>
      <x:c r="E898" s="9" t="str"/>
      <x:c r="F898" s="13" t="str">
        <x:v>2022</x:v>
      </x:c>
      <x:c r="G898" s="9" t="str">
        <x:v>England and Wales Court of Appeal (Civil Division)</x:v>
      </x:c>
      <x:c r="H898" s="9" t="str">
        <x:v>Court of Appeal (Civil Division)</x:v>
      </x:c>
      <x:c r="I898" s="9" t="str">
        <x:v>England and Wales</x:v>
      </x:c>
      <x:c r="J898" s="9" t="str">
        <x:v>Civil Appeal - Jurisdiction; Contract and Tort; Trusts and Pensions; Cross-border</x:v>
      </x:c>
      <x:c r="K898" s="9" t="str">
        <x:v>ew-cases-EWCA-Civ-2022-1569.xml</x:v>
      </x:c>
      <x:c r="L898" s="9" t="str">
        <x:v>TBA</x:v>
      </x:c>
    </x:row>
    <x:row r="899">
      <x:c r="A899" t="str">
        <x:v>c2df2f45-3c06-4de3-b3ed-b3eee745a3ef</x:v>
      </x:c>
      <x:c r="B899" t="str">
        <x:v>5f184983-bea0-493c-bb5b-5cc1e44a6c19</x:v>
      </x:c>
      <x:c r="C899" s="9" t="str">
        <x:v>Doran &amp; Anor v County Rentals Ltd (t/a Hunters) [2022] EWCA Civ 1376</x:v>
      </x:c>
      <x:c r="D899" s="9" t="str"/>
      <x:c r="E899" s="9" t="str"/>
      <x:c r="F899" s="13" t="str">
        <x:v>2022</x:v>
      </x:c>
      <x:c r="G899" s="9" t="str">
        <x:v>England and Wales Court of Appeal (Civil Division)</x:v>
      </x:c>
      <x:c r="H899" s="9" t="str">
        <x:v>Court of Appeal (Civil Division)</x:v>
      </x:c>
      <x:c r="I899" s="9" t="str">
        <x:v>England and Wales</x:v>
      </x:c>
      <x:c r="J899" s="9" t="str">
        <x:v>Insolvency / Winding-up / Administrative</x:v>
      </x:c>
      <x:c r="K899" s="9" t="str">
        <x:v>ew-cases-EWCA-Civ-2022-1376.xml</x:v>
      </x:c>
      <x:c r="L899" s="9" t="str">
        <x:v>TBA</x:v>
      </x:c>
    </x:row>
    <x:row r="900">
      <x:c r="A900" t="str">
        <x:v>a2df90dd-2e4a-4178-af67-5d5e8ed88f2a</x:v>
      </x:c>
      <x:c r="B900" t="str">
        <x:v>30768630-5d9f-4521-9571-f6b78e1f154c</x:v>
      </x:c>
      <x:c r="C900" s="9" t="str">
        <x:v>Dore &amp; Anor v EasyJet Airline Company Ltd [2022] EWCA Civ 1553</x:v>
      </x:c>
      <x:c r="D900" s="9" t="str"/>
      <x:c r="E900" s="9" t="str"/>
      <x:c r="F900" s="13" t="str">
        <x:v>2022</x:v>
      </x:c>
      <x:c r="G900" s="9" t="str">
        <x:v>England and Wales Court of Appeal (Civil Division)</x:v>
      </x:c>
      <x:c r="H900" s="9" t="str">
        <x:v>Court of Appeal (Civil Division)</x:v>
      </x:c>
      <x:c r="I900" s="9" t="str">
        <x:v>England and Wales</x:v>
      </x:c>
      <x:c r="J900" s="9" t="str">
        <x:v>Civil appellate decision; Regulatory/Contractual interpretation in aviation law</x:v>
      </x:c>
      <x:c r="K900" s="9" t="str">
        <x:v>ew-cases-EWCA-Civ-2022-1553.xml</x:v>
      </x:c>
      <x:c r="L900" s="9" t="str">
        <x:v>TBA</x:v>
      </x:c>
    </x:row>
    <x:row r="901">
      <x:c r="A901" t="str">
        <x:v>5c5aff07-4d36-46c5-bf21-daaaef6b30d5</x:v>
      </x:c>
      <x:c r="B901" t="str">
        <x:v>09c9ceaa-d9e3-48d1-bafc-8249373aa104</x:v>
      </x:c>
      <x:c r="C901" s="9" t="str">
        <x:v>Dove v HM Assistant Coroner for Teesside and Hartlepool &amp; Anor [2023] EWCA Civ 289</x:v>
      </x:c>
      <x:c r="D901" s="9" t="str"/>
      <x:c r="E901" s="9" t="str"/>
      <x:c r="F901" s="13" t="str">
        <x:v>2023</x:v>
      </x:c>
      <x:c r="G901" s="9" t="str">
        <x:v>England and Wales Court of Appeal (Civil Division)</x:v>
      </x:c>
      <x:c r="H901" s="9" t="str">
        <x:v>Court of Appeal (Civil Division)</x:v>
      </x:c>
      <x:c r="I901" s="9" t="str">
        <x:v>England and Wales</x:v>
      </x:c>
      <x:c r="J901" s="9" t="str">
        <x:v>Administrative Law / Coronial Inquest</x:v>
      </x:c>
      <x:c r="K901" s="9" t="str">
        <x:v>ew-cases-EWCA-Civ-2023-289.xml</x:v>
      </x:c>
      <x:c r="L901" s="9" t="str">
        <x:v>TBA</x:v>
      </x:c>
    </x:row>
    <x:row r="902">
      <x:c r="A902" t="str">
        <x:v>8494e4fa-928f-459f-ba84-54a7f1a9a8cc</x:v>
      </x:c>
      <x:c r="B902" t="str">
        <x:v>e8ea792f-5114-4439-b8fd-1c5a7ddd670b</x:v>
      </x:c>
      <x:c r="C902" s="9" t="str">
        <x:v>Dove v London Borough of Havering [2017] EWCA Civ 156</x:v>
      </x:c>
      <x:c r="D902" s="9" t="str"/>
      <x:c r="E902" s="9" t="str"/>
      <x:c r="F902" s="13" t="str">
        <x:v>2017</x:v>
      </x:c>
      <x:c r="G902" s="9" t="str">
        <x:v>England and Wales Court of Appeal (Civil Division)</x:v>
      </x:c>
      <x:c r="H902" s="9" t="str">
        <x:v>Appellate</x:v>
      </x:c>
      <x:c r="I902" s="9" t="str">
        <x:v>England and Wales</x:v>
      </x:c>
      <x:c r="J902" s="9" t="str">
        <x:v>Housing Law</x:v>
      </x:c>
      <x:c r="K902" s="9" t="str">
        <x:v>-ew-cases-EWCA-Civ-2017-156.xml</x:v>
      </x:c>
      <x:c r="L902" s="9" t="str">
        <x:v>TBA</x:v>
      </x:c>
    </x:row>
    <x:row r="903">
      <x:c r="A903" t="str">
        <x:v>d6abeddc-ce4d-4ea7-92ef-da7b6effacb1</x:v>
      </x:c>
      <x:c r="B903" t="str">
        <x:v>195a2fe5-f48f-4d61-b24f-86268079be1f</x:v>
      </x:c>
      <x:c r="C903" s="9" t="str">
        <x:v>Dowling &amp; Ors v Bennett Griffin [2014] EWCA Civ 473</x:v>
      </x:c>
      <x:c r="D903" s="9" t="str"/>
      <x:c r="E903" s="9" t="str"/>
      <x:c r="F903" s="13" t="str">
        <x:v>2014</x:v>
      </x:c>
      <x:c r="G903" s="9" t="str">
        <x:v>England and Wales Court of Appeal (Civil Division)</x:v>
      </x:c>
      <x:c r="H903" s="9" t="str">
        <x:v>Appellate</x:v>
      </x:c>
      <x:c r="I903" s="9" t="str">
        <x:v>England and Wales</x:v>
      </x:c>
      <x:c r="J903" s="9" t="str">
        <x:v>Tort</x:v>
      </x:c>
      <x:c r="K903" s="9" t="str">
        <x:v>-ew-cases-EWCA-Civ-2014-473.xml</x:v>
      </x:c>
      <x:c r="L903" s="9" t="str">
        <x:v>TBA</x:v>
      </x:c>
    </x:row>
    <x:row r="904">
      <x:c r="A904" t="str">
        <x:v>64d1d65a-d9d9-4f0f-9c10-6e090f4cb14e</x:v>
      </x:c>
      <x:c r="B904" t="str">
        <x:v>3f8f64bf-8917-45f1-ac4e-d5c0890c76e6</x:v>
      </x:c>
      <x:c r="C904" s="9" t="str">
        <x:v>Dowling v Griffin [2014] EWCA Civ 1545</x:v>
      </x:c>
      <x:c r="D904" s="9" t="str"/>
      <x:c r="E904" s="9" t="str"/>
      <x:c r="F904" s="13" t="str">
        <x:v>2014</x:v>
      </x:c>
      <x:c r="G904" s="9" t="str">
        <x:v>England and Wales Court of Appeal (Civil Division)</x:v>
      </x:c>
      <x:c r="H904" s="9" t="str">
        <x:v>Appellate</x:v>
      </x:c>
      <x:c r="I904" s="9" t="str">
        <x:v>England and Wales</x:v>
      </x:c>
      <x:c r="J904" s="9" t="str">
        <x:v>Negligence</x:v>
      </x:c>
      <x:c r="K904" s="9" t="str">
        <x:v>-ew-cases-EWCA-Civ-2014-1545.xml</x:v>
      </x:c>
      <x:c r="L904" s="9" t="str">
        <x:v>TBA</x:v>
      </x:c>
    </x:row>
    <x:row r="905">
      <x:c r="A905" t="str">
        <x:v>f8271517-b4a8-4703-ba7e-3605fee0d2bb</x:v>
      </x:c>
      <x:c r="B905" t="str">
        <x:v>5c0afba6-3b82-4ab2-9363-8c570514d87d</x:v>
      </x:c>
      <x:c r="C905" s="9" t="str">
        <x:v>Doyle v M&amp;D Foundations &amp; Building Services Ltd [2022] EWCA Civ 927</x:v>
      </x:c>
      <x:c r="D905" s="9" t="str"/>
      <x:c r="E905" s="9" t="str"/>
      <x:c r="F905" s="13" t="str">
        <x:v>2022</x:v>
      </x:c>
      <x:c r="G905" s="9" t="str">
        <x:v>England and Wales Court of Appeal (Civil Division)</x:v>
      </x:c>
      <x:c r="H905" s="9" t="str">
        <x:v>Court of Appeal (Civil Division)</x:v>
      </x:c>
      <x:c r="I905" s="9" t="str">
        <x:v>England and Wales</x:v>
      </x:c>
      <x:c r="J905" s="9" t="str">
        <x:v>Costs/Procedural Law; Civil Procedure; Contract Interpretation</x:v>
      </x:c>
      <x:c r="K905" s="9" t="str">
        <x:v>ew-cases-EWCA-Civ-2022-927.xml</x:v>
      </x:c>
      <x:c r="L905" s="9" t="str">
        <x:v>TBA</x:v>
      </x:c>
    </x:row>
    <x:row r="906">
      <x:c r="A906" t="str">
        <x:v>907e5e4d-dd31-492b-bca0-92a68c0f83be</x:v>
      </x:c>
      <x:c r="B906" t="str">
        <x:v>b2eae199-0fcf-429b-aa06-3ba27b2f0639</x:v>
      </x:c>
      <x:c r="C906" s="9" t="str">
        <x:v>DP (Mauritius) v Secretary of State for the Home Department</x:v>
      </x:c>
      <x:c r="D906" s="9" t="str"/>
      <x:c r="E906" s="9" t="str"/>
      <x:c r="F906" s="13" t="str">
        <x:v>2015</x:v>
      </x:c>
      <x:c r="G906" s="9" t="str">
        <x:v>England and Wales Court of Appeal (Civil Division)</x:v>
      </x:c>
      <x:c r="H906" s="9" t="str">
        <x:v>Appellate</x:v>
      </x:c>
      <x:c r="I906" s="9" t="str">
        <x:v>England and Wales</x:v>
      </x:c>
      <x:c r="J906" s="9" t="str">
        <x:v>Immigration</x:v>
      </x:c>
      <x:c r="K906" s="9" t="str">
        <x:v>-ew-cases-EWCA-Civ-2015-578.xml</x:v>
      </x:c>
      <x:c r="L906" s="9" t="str">
        <x:v>TBA</x:v>
      </x:c>
    </x:row>
    <x:row r="907">
      <x:c r="A907" t="str">
        <x:v>39f27cd6-82f7-4656-be66-a1afc408d0ab</x:v>
      </x:c>
      <x:c r="B907" t="str">
        <x:v>3aea19c0-9f48-40ac-acae-3e30ee6aa003</x:v>
      </x:c>
      <x:c r="C907" s="9" t="str">
        <x:v>DPP Law Ltd v Greenberg [2021] EWCA Civ 672</x:v>
      </x:c>
      <x:c r="D907" s="9" t="str"/>
      <x:c r="E907" s="9" t="str"/>
      <x:c r="F907" s="13" t="str">
        <x:v>2021</x:v>
      </x:c>
      <x:c r="G907" s="9" t="str">
        <x:v>England and Wales Court of Appeal (Civil Division)</x:v>
      </x:c>
      <x:c r="H907" s="9" t="str">
        <x:v>Appellate</x:v>
      </x:c>
      <x:c r="I907" s="9" t="str">
        <x:v>England and Wales</x:v>
      </x:c>
      <x:c r="J907" s="9" t="str">
        <x:v>Employment Law</x:v>
      </x:c>
      <x:c r="K907" s="9" t="str">
        <x:v>ew-cases-EWCA-Civ-2021-672.xml</x:v>
      </x:c>
      <x:c r="L907" s="9" t="str">
        <x:v>TBA</x:v>
      </x:c>
    </x:row>
    <x:row r="908">
      <x:c r="A908" t="str">
        <x:v>ed5e7149-9455-49dc-8707-2a18800c5e12</x:v>
      </x:c>
      <x:c r="B908" t="str">
        <x:v>17e35e21-bed1-42fb-8c03-a8359c6334fd</x:v>
      </x:c>
      <x:c r="C908" s="9" t="str">
        <x:v>DR (Jamaica) v Secretary of State for Home Department</x:v>
      </x:c>
      <x:c r="D908" s="9" t="str"/>
      <x:c r="E908" s="9" t="str"/>
      <x:c r="F908" s="13" t="str">
        <x:v>2017</x:v>
      </x:c>
      <x:c r="G908" s="9" t="str">
        <x:v>England and Wales Court of Appeal (Civil Division)</x:v>
      </x:c>
      <x:c r="H908" s="9" t="str">
        <x:v>Appellate</x:v>
      </x:c>
      <x:c r="I908" s="9" t="str">
        <x:v>England and Wales</x:v>
      </x:c>
      <x:c r="J908" s="9" t="str">
        <x:v>Immigration Law</x:v>
      </x:c>
      <x:c r="K908" s="9" t="str">
        <x:v>-ew-cases-EWCA-Civ-2017-271.xml</x:v>
      </x:c>
      <x:c r="L908" s="9" t="str">
        <x:v>TBA</x:v>
      </x:c>
    </x:row>
    <x:row r="909">
      <x:c r="A909" t="str">
        <x:v>203f3a98-4807-4adc-9356-bd6402bd53b2</x:v>
      </x:c>
      <x:c r="B909" t="str">
        <x:v>1d955c3c-6cd3-49b9-95f8-36cc63eb6320</x:v>
      </x:c>
      <x:c r="C909" s="9" t="str">
        <x:v>DR (Jamaica) v Secretary of State for the Home Department</x:v>
      </x:c>
      <x:c r="D909" s="9" t="str"/>
      <x:c r="E909" s="9" t="str"/>
      <x:c r="F909" s="13" t="str">
        <x:v>2015</x:v>
      </x:c>
      <x:c r="G909" s="9" t="str">
        <x:v>England and Wales Court of Appeal (Civil Division)</x:v>
      </x:c>
      <x:c r="H909" s="9" t="str">
        <x:v>Appellate</x:v>
      </x:c>
      <x:c r="I909" s="9" t="str">
        <x:v>England and Wales</x:v>
      </x:c>
      <x:c r="J909" s="9" t="str">
        <x:v>Immigration Law</x:v>
      </x:c>
      <x:c r="K909" s="9" t="str">
        <x:v>-ew-cases-EWCA-Civ-2015-1585.xml</x:v>
      </x:c>
      <x:c r="L909" s="9" t="str">
        <x:v>TBA</x:v>
      </x:c>
    </x:row>
    <x:row r="910">
      <x:c r="A910" t="str">
        <x:v>c922b9e0-ff4b-4c7b-98fd-dfe6890b8616</x:v>
      </x:c>
      <x:c r="B910" t="str">
        <x:v>11464556-955b-4142-86d7-0d80daa5ca11</x:v>
      </x:c>
      <x:c r="C910" s="9" t="str">
        <x:v>Dr Reddy's Laboratories (UK) Ltd &amp; Ors v Warner-Lambert Company LLC [2023] EWCA Civ 73 (Court of Appeal, Civil Division)</x:v>
      </x:c>
      <x:c r="D910" s="9" t="str"/>
      <x:c r="E910" s="9" t="str"/>
      <x:c r="F910" s="13" t="str">
        <x:v>2023</x:v>
      </x:c>
      <x:c r="G910" s="9" t="str">
        <x:v>England and Wales Court of Appeal (Civil Division)</x:v>
      </x:c>
      <x:c r="H910" s="9" t="str">
        <x:v>Court of Appeal (Civil Division)</x:v>
      </x:c>
      <x:c r="I910" s="9" t="str">
        <x:v>England and Wales</x:v>
      </x:c>
      <x:c r="J910" s="9" t="str">
        <x:v>Civil appellate decision in Intellectual Property / Patent Law</x:v>
      </x:c>
      <x:c r="K910" s="9" t="str">
        <x:v>ew-cases-EWCA-Civ-2023-73.xml</x:v>
      </x:c>
      <x:c r="L910" s="9" t="str">
        <x:v>TBA</x:v>
      </x:c>
    </x:row>
    <x:row r="911">
      <x:c r="A911" t="str">
        <x:v>bf43a736-64c0-41f2-9c1e-61f2dcd24407</x:v>
      </x:c>
      <x:c r="B911" t="str">
        <x:v>d3a19b02-ffcf-47cd-b82f-b9a6fbcd8ac1</x:v>
      </x:c>
      <x:c r="C911" s="9" t="str">
        <x:v>Dransfield &amp; Anor v The Information Commissioner &amp; Anor</x:v>
      </x:c>
      <x:c r="D911" s="9" t="str"/>
      <x:c r="E911" s="9" t="str"/>
      <x:c r="F911" s="13" t="str">
        <x:v>2015</x:v>
      </x:c>
      <x:c r="G911" s="9" t="str">
        <x:v>England and Wales Court of Appeal (Civil Division)</x:v>
      </x:c>
      <x:c r="H911" s="9" t="str">
        <x:v>Appellate</x:v>
      </x:c>
      <x:c r="I911" s="9" t="str">
        <x:v>England and Wales</x:v>
      </x:c>
      <x:c r="J911" s="9" t="str">
        <x:v>Administrative Law</x:v>
      </x:c>
      <x:c r="K911" s="9" t="str">
        <x:v>-ew-cases-EWCA-Civ-2015-454.xml</x:v>
      </x:c>
      <x:c r="L911" s="9" t="str">
        <x:v>TBA</x:v>
      </x:c>
    </x:row>
    <x:row r="912">
      <x:c r="A912" t="str">
        <x:v>f3d07ca5-2d33-42fb-a3b6-8718586c48ad</x:v>
      </x:c>
      <x:c r="B912" t="str">
        <x:v>e6d88911-81f6-475f-9517-d55db94ad8a2</x:v>
      </x:c>
      <x:c r="C912" s="9" t="str">
        <x:v>Drax Power Ltd, R (On the Application Of) v Secretary of State for Energy And Climate Change</x:v>
      </x:c>
      <x:c r="D912" s="9" t="str"/>
      <x:c r="E912" s="9" t="str"/>
      <x:c r="F912" s="13" t="str">
        <x:v>2014</x:v>
      </x:c>
      <x:c r="G912" s="9" t="str">
        <x:v>England and Wales Court of Appeal (Civil Division)</x:v>
      </x:c>
      <x:c r="H912" s="9" t="str">
        <x:v>Appellate</x:v>
      </x:c>
      <x:c r="I912" s="9" t="str">
        <x:v>England and Wales</x:v>
      </x:c>
      <x:c r="J912" s="9" t="str">
        <x:v>Administrative Law</x:v>
      </x:c>
      <x:c r="K912" s="9" t="str">
        <x:v>-ew-cases-EWCA-Civ-2014-1153.xml</x:v>
      </x:c>
      <x:c r="L912" s="9" t="str">
        <x:v>TBA</x:v>
      </x:c>
    </x:row>
    <x:row r="913">
      <x:c r="A913" t="str">
        <x:v>4b45d8d4-5ad8-4ccb-87ed-dc0684dcedd9</x:v>
      </x:c>
      <x:c r="B913" t="str">
        <x:v>e95dca2a-db55-4648-91d9-3510528639fd</x:v>
      </x:c>
      <x:c r="C913" s="9" t="str">
        <x:v>Drysdale v The Department of Transport (The Maritime And Coastguard Agency) [2014] EWCA Civ 1083</x:v>
      </x:c>
      <x:c r="D913" s="9" t="str"/>
      <x:c r="E913" s="9" t="str"/>
      <x:c r="F913" s="13" t="str">
        <x:v>2014</x:v>
      </x:c>
      <x:c r="G913" s="9" t="str">
        <x:v>England and Wales Court of Appeal (Civil Division)</x:v>
      </x:c>
      <x:c r="H913" s="9" t="str">
        <x:v>Appellate</x:v>
      </x:c>
      <x:c r="I913" s="9" t="str">
        <x:v>England and Wales</x:v>
      </x:c>
      <x:c r="J913" s="9" t="str">
        <x:v>Employment Law</x:v>
      </x:c>
      <x:c r="K913" s="9" t="str">
        <x:v>-ew-cases-EWCA-Civ-2014-1083.xml</x:v>
      </x:c>
      <x:c r="L913" s="9" t="str">
        <x:v>TBA</x:v>
      </x:c>
    </x:row>
    <x:row r="914">
      <x:c r="A914" t="str">
        <x:v>e3c34167-192b-4478-8a4a-aa9becdf4214</x:v>
      </x:c>
      <x:c r="B914" t="str">
        <x:v>0ec82c7e-d9a7-4c06-ab69-1e704937503a</x:v>
      </x:c>
      <x:c r="C914" s="9" t="str">
        <x:v>DT (Afghanistan) v Secretary of State for the Home Department</x:v>
      </x:c>
      <x:c r="D914" s="9" t="str"/>
      <x:c r="E914" s="9" t="str"/>
      <x:c r="F914" s="13" t="str">
        <x:v>2014</x:v>
      </x:c>
      <x:c r="G914" s="9" t="str">
        <x:v>England and Wales Court of Appeal (Civil Division)</x:v>
      </x:c>
      <x:c r="H914" s="9" t="str">
        <x:v>Appellate</x:v>
      </x:c>
      <x:c r="I914" s="9" t="str">
        <x:v>England and Wales</x:v>
      </x:c>
      <x:c r="J914" s="9" t="str">
        <x:v>Immigration and Asylum Law</x:v>
      </x:c>
      <x:c r="K914" s="9" t="str">
        <x:v>-ew-cases-EWCA-Civ-2014-259.xml</x:v>
      </x:c>
      <x:c r="L914" s="9" t="str">
        <x:v>TBA</x:v>
      </x:c>
    </x:row>
    <x:row r="915">
      <x:c r="A915" t="str">
        <x:v>4eb26b92-c954-4b84-9bc6-bebff4e458d8</x:v>
      </x:c>
      <x:c r="B915" t="str">
        <x:v>b1f35a78-d1dd-4ba6-be9f-7fb2168cb703</x:v>
      </x:c>
      <x:c r="C915" s="9" t="str">
        <x:v>Dubai Financial Group LLC v National Private Air Transport Services Company (National Air Services) Ltd [2016] EWCA Civ 71</x:v>
      </x:c>
      <x:c r="D915" s="9" t="str"/>
      <x:c r="E915" s="9" t="str"/>
      <x:c r="F915" s="13" t="str">
        <x:v>2016</x:v>
      </x:c>
      <x:c r="G915" s="9" t="str">
        <x:v>England and Wales Court of Appeal (Civil Division)</x:v>
      </x:c>
      <x:c r="H915" s="9" t="str">
        <x:v>Court of Appeal (Civil Division)</x:v>
      </x:c>
      <x:c r="I915" s="9" t="str">
        <x:v>England and Wales</x:v>
      </x:c>
      <x:c r="J915" s="9" t="str">
        <x:v>Contract Dispute / Civil Procedure</x:v>
      </x:c>
      <x:c r="K915" s="9" t="str">
        <x:v>-ew-cases-EWCA-Civ-2016-71.xml</x:v>
      </x:c>
      <x:c r="L915" s="9" t="str">
        <x:v>TBA</x:v>
      </x:c>
    </x:row>
    <x:row r="916">
      <x:c r="A916" t="str">
        <x:v>c2b6fd85-c619-4c2c-98c9-8e8655760d9e</x:v>
      </x:c>
      <x:c r="B916" t="str">
        <x:v>2c529d3c-f445-459e-ae7c-ae0fb3f24875</x:v>
      </x:c>
      <x:c r="C916" s="9" t="str">
        <x:v>Duce v Worcestershire Acute Hospitals NHS Trust</x:v>
      </x:c>
      <x:c r="D916" s="9" t="str"/>
      <x:c r="E916" s="9" t="str"/>
      <x:c r="F916" s="13" t="str">
        <x:v>2014</x:v>
      </x:c>
      <x:c r="G916" s="9" t="str">
        <x:v>England and Wales Court of Appeal (Civil Division)</x:v>
      </x:c>
      <x:c r="H916" s="9" t="str">
        <x:v>Appellate</x:v>
      </x:c>
      <x:c r="I916" s="9" t="str">
        <x:v>England and Wales</x:v>
      </x:c>
      <x:c r="J916" s="9" t="str">
        <x:v>Medical Negligence</x:v>
      </x:c>
      <x:c r="K916" s="9" t="str">
        <x:v>-ew-cases-EWCA-Civ-2014-249.xml</x:v>
      </x:c>
      <x:c r="L916" s="9" t="str">
        <x:v>TBA</x:v>
      </x:c>
    </x:row>
    <x:row r="917">
      <x:c r="A917" t="str">
        <x:v>49bc3174-bdf6-4e89-81ed-f84e560b3d70</x:v>
      </x:c>
      <x:c r="B917" t="str">
        <x:v>a05c74f6-66b8-44dc-8653-f025fc2d33d8</x:v>
      </x:c>
      <x:c r="C917" s="9" t="str">
        <x:v>Dudley Muslim Association v Dudley Metropolitan Borough Council [2015] EWCA Civ 1123</x:v>
      </x:c>
      <x:c r="D917" s="9" t="str"/>
      <x:c r="E917" s="9" t="str"/>
      <x:c r="F917" s="13" t="str">
        <x:v>2015</x:v>
      </x:c>
      <x:c r="G917" s="9" t="str">
        <x:v>England and Wales Court of Appeal (Civil Division)</x:v>
      </x:c>
      <x:c r="H917" s="9" t="str">
        <x:v>appellate</x:v>
      </x:c>
      <x:c r="I917" s="9" t="str">
        <x:v>England and Wales</x:v>
      </x:c>
      <x:c r="J917" s="9" t="str">
        <x:v>Contract Dispute</x:v>
      </x:c>
      <x:c r="K917" s="9" t="str">
        <x:v>-ew-cases-EWCA-Civ-2015-1123.xml</x:v>
      </x:c>
      <x:c r="L917" s="9" t="str">
        <x:v>TBA</x:v>
      </x:c>
    </x:row>
    <x:row r="918">
      <x:c r="A918" t="str">
        <x:v>38224156-fd02-4bdb-ab3e-b58ca1aa670f</x:v>
      </x:c>
      <x:c r="B918" t="str">
        <x:v>e1b6572b-6173-4acc-bfbf-e1ffadd60e15</x:v>
      </x:c>
      <x:c r="C918" s="9" t="str">
        <x:v>Dufoo v Tolaini &amp; Ors [2014] EWCA Civ 1536</x:v>
      </x:c>
      <x:c r="D918" s="9" t="str"/>
      <x:c r="E918" s="9" t="str"/>
      <x:c r="F918" s="13" t="str">
        <x:v>2014</x:v>
      </x:c>
      <x:c r="G918" s="9" t="str">
        <x:v>England and Wales Court of Appeal (Civil Division)</x:v>
      </x:c>
      <x:c r="H918" s="9" t="str">
        <x:v>Appellate</x:v>
      </x:c>
      <x:c r="I918" s="9" t="str">
        <x:v>England and Wales</x:v>
      </x:c>
      <x:c r="J918" s="9" t="str">
        <x:v>Civil Procedure</x:v>
      </x:c>
      <x:c r="K918" s="9" t="str">
        <x:v>-ew-cases-EWCA-Civ-2014-1536.xml</x:v>
      </x:c>
      <x:c r="L918" s="9" t="str">
        <x:v>TBA</x:v>
      </x:c>
    </x:row>
    <x:row r="919">
      <x:c r="A919" t="str">
        <x:v>ebefca06-685d-4755-9e4c-d7bbf07be08a</x:v>
      </x:c>
      <x:c r="B919" t="str">
        <x:v>a0dc220e-4fc0-4215-bb8c-f4f8156f68bc</x:v>
      </x:c>
      <x:c r="C919" s="9" t="str">
        <x:v>Duggan v HM Assistant Deputy Coroner for the Northern District of Greater London</x:v>
      </x:c>
      <x:c r="D919" s="9" t="str"/>
      <x:c r="E919" s="9" t="str"/>
      <x:c r="F919" s="13" t="str">
        <x:v>2017</x:v>
      </x:c>
      <x:c r="G919" s="9" t="str">
        <x:v>England and Wales Court of Appeal (Civil Division)</x:v>
      </x:c>
      <x:c r="H919" s="9" t="str">
        <x:v>appellate</x:v>
      </x:c>
      <x:c r="I919" s="9" t="str">
        <x:v>England and Wales</x:v>
      </x:c>
      <x:c r="J919" s="9" t="str">
        <x:v>Tort</x:v>
      </x:c>
      <x:c r="K919" s="9" t="str">
        <x:v>-ew-cases-EWCA-Civ-2017-142.xml</x:v>
      </x:c>
      <x:c r="L919" s="9" t="str">
        <x:v>TBA</x:v>
      </x:c>
    </x:row>
    <x:row r="920">
      <x:c r="A920" t="str">
        <x:v>a1d90a6d-0be6-4f94-82db-94bf641c57d7</x:v>
      </x:c>
      <x:c r="B920" t="str">
        <x:v>396220ac-b35a-4d25-afd2-14a196a0cf7b</x:v>
      </x:c>
      <x:c r="C920" s="9" t="str">
        <x:v>Dune Group Limited &amp; Ors v Visa Europe Ltd &amp; Ors [2022] EWCA Civ 1278</x:v>
      </x:c>
      <x:c r="D920" s="9" t="str"/>
      <x:c r="E920" s="9" t="str"/>
      <x:c r="F920" s="13" t="str">
        <x:v>2022</x:v>
      </x:c>
      <x:c r="G920" s="9" t="str">
        <x:v>England and Wales Court of Appeal (Civil Division)</x:v>
      </x:c>
      <x:c r="H920" s="9" t="str">
        <x:v>Court of Appeal (Civil Division)</x:v>
      </x:c>
      <x:c r="I920" s="9" t="str">
        <x:v>England and Wales</x:v>
      </x:c>
      <x:c r="J920" s="9" t="str">
        <x:v>Competition Law</x:v>
      </x:c>
      <x:c r="K920" s="9" t="str">
        <x:v>ew-cases-EWCA-Civ-2022-1278.xml</x:v>
      </x:c>
      <x:c r="L920" s="9" t="str">
        <x:v>TBA</x:v>
      </x:c>
    </x:row>
    <x:row r="921">
      <x:c r="A921" t="str">
        <x:v>589948d5-b9e7-4275-90df-0fb03f3349f3</x:v>
      </x:c>
      <x:c r="B921" t="str">
        <x:v>40629bba-06c5-4cf4-b83a-bc0badbc4848</x:v>
      </x:c>
      <x:c r="C921" s="9" t="str">
        <x:v>Dunnage v Randall &amp; UK Insurance Ltd [2015] EWCA Civ 673</x:v>
      </x:c>
      <x:c r="D921" s="9" t="str"/>
      <x:c r="E921" s="9" t="str"/>
      <x:c r="F921" s="13" t="str">
        <x:v>2015</x:v>
      </x:c>
      <x:c r="G921" s="9" t="str">
        <x:v>England and Wales Court of Appeal (Civil Division)</x:v>
      </x:c>
      <x:c r="H921" s="9" t="str">
        <x:v>Appellate</x:v>
      </x:c>
      <x:c r="I921" s="9" t="str">
        <x:v>England and Wales</x:v>
      </x:c>
      <x:c r="J921" s="9" t="str">
        <x:v>Tort</x:v>
      </x:c>
      <x:c r="K921" s="9" t="str">
        <x:v>-ew-cases-EWCA-Civ-2015-673.xml</x:v>
      </x:c>
      <x:c r="L921" s="9" t="str">
        <x:v>TBA</x:v>
      </x:c>
    </x:row>
    <x:row r="922">
      <x:c r="A922" t="str">
        <x:v>fbc44e6b-78ae-48b8-90e8-207d9fdf4237</x:v>
      </x:c>
      <x:c r="B922" t="str">
        <x:v>52ff9e9a-600d-458d-be02-3ae036593f29</x:v>
      </x:c>
      <x:c r="C922" s="9" t="str">
        <x:v>Dunnett Investments Ltd v The Secretary of State for Communities and Local Government &amp; Anor [2017] EWCA Civ 192</x:v>
      </x:c>
      <x:c r="D922" s="9" t="str"/>
      <x:c r="E922" s="9" t="str"/>
      <x:c r="F922" s="13" t="str">
        <x:v>2017</x:v>
      </x:c>
      <x:c r="G922" s="9" t="str">
        <x:v>England and Wales Court of Appeal (Civil Division)</x:v>
      </x:c>
      <x:c r="H922" s="9" t="str">
        <x:v>Appellate</x:v>
      </x:c>
      <x:c r="I922" s="9" t="str">
        <x:v>England and Wales</x:v>
      </x:c>
      <x:c r="J922" s="9" t="str">
        <x:v>Administrative Law</x:v>
      </x:c>
      <x:c r="K922" s="9" t="str">
        <x:v>-ew-cases-EWCA-Civ-2017-192.xml</x:v>
      </x:c>
      <x:c r="L922" s="9" t="str">
        <x:v>TBA</x:v>
      </x:c>
    </x:row>
    <x:row r="923">
      <x:c r="A923" t="str">
        <x:v>ca8ce028-8d93-4ff2-8e37-adea7f90388d</x:v>
      </x:c>
      <x:c r="B923" t="str">
        <x:v>bc9aee7e-0226-427f-b93c-b053f682df5a</x:v>
      </x:c>
      <x:c r="C923" s="9" t="str">
        <x:v>Dunsfold Park Ltd v Secretary of State for Communities and Local Government &amp; Anor [2014] EWCA Civ 627</x:v>
      </x:c>
      <x:c r="D923" s="9" t="str"/>
      <x:c r="E923" s="9" t="str"/>
      <x:c r="F923" s="13" t="str">
        <x:v>2014</x:v>
      </x:c>
      <x:c r="G923" s="9" t="str">
        <x:v>England and Wales Court of Appeal (Civil Division)</x:v>
      </x:c>
      <x:c r="H923" s="9" t="str">
        <x:v>Appellate</x:v>
      </x:c>
      <x:c r="I923" s="9" t="str">
        <x:v>England and Wales</x:v>
      </x:c>
      <x:c r="J923" s="9" t="str">
        <x:v>Administrative Law</x:v>
      </x:c>
      <x:c r="K923" s="9" t="str">
        <x:v>-ew-cases-EWCA-Civ-2014-627.xml</x:v>
      </x:c>
      <x:c r="L923" s="9" t="str">
        <x:v>TBA</x:v>
      </x:c>
    </x:row>
    <x:row r="924">
      <x:c r="A924" t="str">
        <x:v>f7e91878-7fda-4a05-93db-3a212d98f66d</x:v>
      </x:c>
      <x:c r="B924" t="str">
        <x:v>c671abf8-058b-4872-a1b9-82b27e8b0a0e</x:v>
      </x:c>
      <x:c r="C924" s="9" t="str">
        <x:v>Durham County Council v The Durham Company Limited [2023] EWCA Civ 729</x:v>
      </x:c>
      <x:c r="D924" s="9" t="str"/>
      <x:c r="E924" s="9" t="str"/>
      <x:c r="F924" s="13" t="str">
        <x:v>2023</x:v>
      </x:c>
      <x:c r="G924" s="9" t="str">
        <x:v>England and Wales Court of Appeal (Civil Division)</x:v>
      </x:c>
      <x:c r="H924" s="9" t="str">
        <x:v>Court of Appeal (Civil Division)</x:v>
      </x:c>
      <x:c r="I924" s="9" t="str">
        <x:v>England and Wales</x:v>
      </x:c>
      <x:c r="J924" s="9" t="str">
        <x:v>Administrative Law / Subsidy Control / Judicial Review</x:v>
      </x:c>
      <x:c r="K924" s="9" t="str">
        <x:v>ew-cases-EWCA-Civ-2023-729.xml</x:v>
      </x:c>
      <x:c r="L924" s="9" t="str">
        <x:v>TBA</x:v>
      </x:c>
    </x:row>
    <x:row r="925">
      <x:c r="A925" t="str">
        <x:v>3d547db3-e0db-4652-95b5-44ba20e95039</x:v>
      </x:c>
      <x:c r="B925" t="str">
        <x:v>4490737b-8980-427e-a041-655876be7e66</x:v>
      </x:c>
      <x:c r="C925" s="9" t="str">
        <x:v>Durrant v Chief Constable of Avon &amp; Somerset Constabulary</x:v>
      </x:c>
      <x:c r="D925" s="9" t="str"/>
      <x:c r="E925" s="9" t="str"/>
      <x:c r="F925" s="13" t="str">
        <x:v>2017</x:v>
      </x:c>
      <x:c r="G925" s="9" t="str">
        <x:v>England and Wales Court of Appeal (Civil Division)</x:v>
      </x:c>
      <x:c r="H925" s="9" t="str">
        <x:v>Appellate</x:v>
      </x:c>
      <x:c r="I925" s="9" t="str">
        <x:v>England and Wales</x:v>
      </x:c>
      <x:c r="J925" s="9" t="str">
        <x:v>Civil Rights</x:v>
      </x:c>
      <x:c r="K925" s="9" t="str">
        <x:v>-ew-cases-EWCA-Civ-2017-1275.xml</x:v>
      </x:c>
      <x:c r="L925" s="9" t="str">
        <x:v>TBA</x:v>
      </x:c>
    </x:row>
    <x:row r="926">
      <x:c r="A926" t="str">
        <x:v>8ecb0c77-9a9f-4a95-9b08-63d9008ef9cb</x:v>
      </x:c>
      <x:c r="B926" t="str">
        <x:v>c335446a-45bc-4e2b-b9df-2012c7f47750</x:v>
      </x:c>
      <x:c r="C926" s="9" t="str">
        <x:v>Durrant v Chief Constable of Avon &amp; Somerset Constabulary</x:v>
      </x:c>
      <x:c r="D926" s="9" t="str"/>
      <x:c r="E926" s="9" t="str"/>
      <x:c r="F926" s="13" t="str">
        <x:v>2017</x:v>
      </x:c>
      <x:c r="G926" s="9" t="str">
        <x:v>England and Wales Court of Appeal (Civil Division)</x:v>
      </x:c>
      <x:c r="H926" s="9" t="str">
        <x:v>Appellate</x:v>
      </x:c>
      <x:c r="I926" s="9" t="str">
        <x:v>England and Wales</x:v>
      </x:c>
      <x:c r="J926" s="9" t="str">
        <x:v>Civil Rights Discrimination</x:v>
      </x:c>
      <x:c r="K926" s="9" t="str">
        <x:v>-ew-cases-EWCA-Civ-2017-1808.xml</x:v>
      </x:c>
      <x:c r="L926" s="9" t="str">
        <x:v>TBA</x:v>
      </x:c>
    </x:row>
    <x:row r="927">
      <x:c r="A927" t="str">
        <x:v>d44dbbfd-7ecd-45e0-9994-522099b6e443</x:v>
      </x:c>
      <x:c r="B927" t="str">
        <x:v>9c134ffc-3c0d-436d-b685-3afd924f80b8</x:v>
      </x:c>
      <x:c r="C927" s="9" t="str">
        <x:v>Dutton &amp; Ors v Minards &amp; Ors [2015] EWCA Civ 984</x:v>
      </x:c>
      <x:c r="D927" s="9" t="str"/>
      <x:c r="E927" s="9" t="str"/>
      <x:c r="F927" s="13" t="str">
        <x:v>2015</x:v>
      </x:c>
      <x:c r="G927" s="9" t="str">
        <x:v>England and Wales Court of Appeal (Civil Division)</x:v>
      </x:c>
      <x:c r="H927" s="9" t="str">
        <x:v>Appellate</x:v>
      </x:c>
      <x:c r="I927" s="9" t="str">
        <x:v>England and Wales</x:v>
      </x:c>
      <x:c r="J927" s="9" t="str">
        <x:v>Civil Appeal</x:v>
      </x:c>
      <x:c r="K927" s="9" t="str">
        <x:v>-ew-cases-EWCA-Civ-2015-984.xml</x:v>
      </x:c>
      <x:c r="L927" s="9" t="str">
        <x:v>TBA</x:v>
      </x:c>
    </x:row>
    <x:row r="928">
      <x:c r="A928" t="str">
        <x:v>6deaa649-521d-4fb7-b67f-286c08c9fc63</x:v>
      </x:c>
      <x:c r="B928" t="str">
        <x:v>bb2c6c34-54ee-417c-a849-2ded6193ac8e</x:v>
      </x:c>
      <x:c r="C928" s="9" t="str">
        <x:v>DWF LLP v Secretary of State for Business Innovation and Skills [2014] EWCA Civ 900</x:v>
      </x:c>
      <x:c r="D928" s="9" t="str"/>
      <x:c r="E928" s="9" t="str"/>
      <x:c r="F928" s="13" t="str">
        <x:v>2014</x:v>
      </x:c>
      <x:c r="G928" s="9" t="str">
        <x:v>England and Wales Court of Appeal (Civil Division)</x:v>
      </x:c>
      <x:c r="H928" s="9" t="str">
        <x:v>Appellate</x:v>
      </x:c>
      <x:c r="I928" s="9" t="str">
        <x:v>England and Wales</x:v>
      </x:c>
      <x:c r="J928" s="9" t="str">
        <x:v>Public Procurement Law</x:v>
      </x:c>
      <x:c r="K928" s="9" t="str">
        <x:v>-ew-cases-EWCA-Civ-2014-900.xml</x:v>
      </x:c>
      <x:c r="L928" s="9" t="str">
        <x:v>TBA</x:v>
      </x:c>
    </x:row>
    <x:row r="929">
      <x:c r="A929" t="str">
        <x:v>be089cbc-c7d0-41f0-8f1d-89fcef2e7c62</x:v>
      </x:c>
      <x:c r="B929" t="str">
        <x:v>2cbe4781-c16f-4bde-8fa6-465c272840b2</x:v>
      </x:c>
      <x:c r="C929" s="9" t="str">
        <x:v>Dwyer (UK Franchising) Limited v Fredbar Limited &amp; Anor [2022] EWCA Civ 889</x:v>
      </x:c>
      <x:c r="D929" s="9" t="str"/>
      <x:c r="E929" s="9" t="str"/>
      <x:c r="F929" s="13" t="str">
        <x:v>2022</x:v>
      </x:c>
      <x:c r="G929" s="9" t="str">
        <x:v>England and Wales Court of Appeal (Civil Division)</x:v>
      </x:c>
      <x:c r="H929" s="9" t="str">
        <x:v>Court of Appeal (Civil Division)</x:v>
      </x:c>
      <x:c r="I929" s="9" t="str">
        <x:v>England and Wales</x:v>
      </x:c>
      <x:c r="J929" s="9" t="str">
        <x:v>Contract Law – Restraint of Trade; Franchise Agreements</x:v>
      </x:c>
      <x:c r="K929" s="9" t="str">
        <x:v>ew-cases-EWCA-Civ-2022-889.xml</x:v>
      </x:c>
      <x:c r="L929" s="9" t="str">
        <x:v>TBA</x:v>
      </x:c>
    </x:row>
    <x:row r="930">
      <x:c r="A930" t="str">
        <x:v>5f60d62d-4446-4d3f-8b53-f748a342bd4c</x:v>
      </x:c>
      <x:c r="B930" t="str">
        <x:v>97db4f46-95b9-4f6b-89ec-b9002fa12f07</x:v>
      </x:c>
      <x:c r="C930" s="9" t="str">
        <x:v>Dwyer v The City of Westminster [2014] EWCA Civ 153</x:v>
      </x:c>
      <x:c r="D930" s="9" t="str"/>
      <x:c r="E930" s="9" t="str"/>
      <x:c r="F930" s="13" t="str">
        <x:v>2014</x:v>
      </x:c>
      <x:c r="G930" s="9" t="str">
        <x:v>England and Wales Court of Appeal (Civil Division)</x:v>
      </x:c>
      <x:c r="H930" s="9" t="str">
        <x:v>Appellate</x:v>
      </x:c>
      <x:c r="I930" s="9" t="str">
        <x:v>England and Wales</x:v>
      </x:c>
      <x:c r="J930" s="9" t="str">
        <x:v>Property Law</x:v>
      </x:c>
      <x:c r="K930" s="9" t="str">
        <x:v>-ew-cases-EWCA-Civ-2014-153.xml</x:v>
      </x:c>
      <x:c r="L930" s="9" t="str">
        <x:v>TBA</x:v>
      </x:c>
    </x:row>
    <x:row r="931">
      <x:c r="A931" t="str">
        <x:v>f9794f47-dc4d-4519-8a35-767c3f1d6295</x:v>
      </x:c>
      <x:c r="B931" t="str">
        <x:v>577f094f-52eb-4539-b09d-d7a158f627df</x:v>
      </x:c>
      <x:c r="C931" s="9" t="str">
        <x:v>Dyson Technology Limited v Pellerey [2016] EWCA Civ 87</x:v>
      </x:c>
      <x:c r="D931" s="9" t="str"/>
      <x:c r="E931" s="9" t="str"/>
      <x:c r="F931" s="13" t="str">
        <x:v>2016</x:v>
      </x:c>
      <x:c r="G931" s="9" t="str">
        <x:v>England and Wales Court of Appeal (Civil Division)</x:v>
      </x:c>
      <x:c r="H931" s="9" t="str">
        <x:v>Court of Appeal (Civil Division)</x:v>
      </x:c>
      <x:c r="I931" s="9" t="str">
        <x:v>England and Wales</x:v>
      </x:c>
      <x:c r="J931" s="9" t="str">
        <x:v>Contract/Employment Law - Restraint of Trade and Confidential Information</x:v>
      </x:c>
      <x:c r="K931" s="9" t="str">
        <x:v>-ew-cases-EWCA-Civ-2016-87.xml</x:v>
      </x:c>
      <x:c r="L931" s="9" t="str">
        <x:v>TBA</x:v>
      </x:c>
    </x:row>
    <x:row r="932">
      <x:c r="A932" t="str">
        <x:v>e64c8a09-87c7-4428-90b6-4c6238aac228</x:v>
      </x:c>
      <x:c r="B932" t="str">
        <x:v>532badd2-f39f-47d0-b91c-3de78ea9260d</x:v>
      </x:c>
      <x:c r="C932" s="9" t="str">
        <x:v>E (A Child) (Care and Placement Orders) [2023] EWCA Civ 721</x:v>
      </x:c>
      <x:c r="D932" s="9" t="str"/>
      <x:c r="E932" s="9" t="str"/>
      <x:c r="F932" s="13" t="str">
        <x:v>2023</x:v>
      </x:c>
      <x:c r="G932" s="9" t="str">
        <x:v>England and Wales Court of Appeal (Civil Division)</x:v>
      </x:c>
      <x:c r="H932" s="9" t="str">
        <x:v>Court of Appeal (Civil Division)</x:v>
      </x:c>
      <x:c r="I932" s="9" t="str">
        <x:v>England and Wales</x:v>
      </x:c>
      <x:c r="J932" s="9" t="str">
        <x:v>Family Law / Child Welfare</x:v>
      </x:c>
      <x:c r="K932" s="9" t="str">
        <x:v>ew-cases-EWCA-Civ-2023-721.xml</x:v>
      </x:c>
      <x:c r="L932" s="9" t="str">
        <x:v>TBA</x:v>
      </x:c>
    </x:row>
    <x:row r="933">
      <x:c r="A933" t="str">
        <x:v>63ba70cd-c138-4fba-8bfe-a819f4d047ba</x:v>
      </x:c>
      <x:c r="B933" t="str">
        <x:v>9b3a7619-0d8b-42bf-a1dd-6c7145a9ba7d</x:v>
      </x:c>
      <x:c r="C933" s="9" t="str">
        <x:v>E (A Child) [2016] EWCA Civ 473 (Court of Appeal, Civil Division) - Appeal against findings of sexual abuse in care proceedings</x:v>
      </x:c>
      <x:c r="D933" s="9" t="str"/>
      <x:c r="E933" s="9" t="str"/>
      <x:c r="F933" s="13" t="str">
        <x:v>2016</x:v>
      </x:c>
      <x:c r="G933" s="9" t="str">
        <x:v>England and Wales Court of Appeal (Civil Division)</x:v>
      </x:c>
      <x:c r="H933" s="9" t="str">
        <x:v>Court of Appeal (Civil Division)</x:v>
      </x:c>
      <x:c r="I933" s="9" t="str">
        <x:v>England and Wales</x:v>
      </x:c>
      <x:c r="J933" s="9" t="str">
        <x:v>Family Law - Care Proceedings</x:v>
      </x:c>
      <x:c r="K933" s="9" t="str">
        <x:v>-ew-cases-EWCA-Civ-2016-473.xml</x:v>
      </x:c>
      <x:c r="L933" s="9" t="str">
        <x:v>TBA</x:v>
      </x:c>
    </x:row>
    <x:row r="934">
      <x:c r="A934" t="str">
        <x:v>73211f94-d118-4ecc-bd91-2ce4c042a713</x:v>
      </x:c>
      <x:c r="B934" t="str">
        <x:v>ea50e0ff-3cd5-4356-8b02-6f952b8ab7ed</x:v>
      </x:c>
      <x:c r="C934" s="9" t="str">
        <x:v>E (A Child), Re [2014] EWCA Civ 1754</x:v>
      </x:c>
      <x:c r="D934" s="9" t="str"/>
      <x:c r="E934" s="9" t="str"/>
      <x:c r="F934" s="13" t="str">
        <x:v>2014</x:v>
      </x:c>
      <x:c r="G934" s="9" t="str">
        <x:v>England and Wales Court of Appeal (Civil Division)</x:v>
      </x:c>
      <x:c r="H934" s="9" t="str">
        <x:v>Appellate</x:v>
      </x:c>
      <x:c r="I934" s="9" t="str">
        <x:v>England and Wales</x:v>
      </x:c>
      <x:c r="J934" s="9" t="str">
        <x:v>Family Law</x:v>
      </x:c>
      <x:c r="K934" s="9" t="str">
        <x:v>-ew-cases-EWCA-Civ-2014-1754.xml</x:v>
      </x:c>
      <x:c r="L934" s="9" t="str">
        <x:v>TBA</x:v>
      </x:c>
    </x:row>
    <x:row r="935">
      <x:c r="A935" t="str">
        <x:v>620783d7-7c00-4f62-a023-9fac54869faf</x:v>
      </x:c>
      <x:c r="B935" t="str">
        <x:v>c88f4d39-8e7e-4fc4-89ec-ef44a914a46c</x:v>
      </x:c>
      <x:c r="C935" s="9" t="str">
        <x:v>E &amp; F (Minors: Blood Transfusion) [2021] EWCA Civ 1888</x:v>
      </x:c>
      <x:c r="D935" s="9" t="str"/>
      <x:c r="E935" s="9" t="str"/>
      <x:c r="F935" s="13" t="str">
        <x:v>2021</x:v>
      </x:c>
      <x:c r="G935" s="9" t="str">
        <x:v>England and Wales Court of Appeal (Civil Division)</x:v>
      </x:c>
      <x:c r="H935" s="9" t="str">
        <x:v>Appellate</x:v>
      </x:c>
      <x:c r="I935" s="9" t="str">
        <x:v>England and Wales</x:v>
      </x:c>
      <x:c r="J935" s="9" t="str">
        <x:v>Family Law</x:v>
      </x:c>
      <x:c r="K935" s="9" t="str">
        <x:v>ew-cases-EWCA-Civ-2021-1888.xml</x:v>
      </x:c>
      <x:c r="L935" s="9" t="str">
        <x:v>TBA</x:v>
      </x:c>
    </x:row>
    <x:row r="936">
      <x:c r="A936" t="str">
        <x:v>3c210be4-ba05-4f3d-a419-79e116b04cde</x:v>
      </x:c>
      <x:c r="B936" t="str">
        <x:v>bd7f5f3a-f80d-4f69-a6da-ed5274662646</x:v>
      </x:c>
      <x:c r="C936" s="9" t="str">
        <x:v>E v M [2015] EWCA Civ 1313 - Child Arrangement Orders Appeal</x:v>
      </x:c>
      <x:c r="D936" s="9" t="str"/>
      <x:c r="E936" s="9" t="str"/>
      <x:c r="F936" s="13" t="str">
        <x:v>2015</x:v>
      </x:c>
      <x:c r="G936" s="9" t="str">
        <x:v>England and Wales Court of Appeal (Civil Division)</x:v>
      </x:c>
      <x:c r="H936" s="9" t="str">
        <x:v>Appellate</x:v>
      </x:c>
      <x:c r="I936" s="9" t="str">
        <x:v>England and Wales</x:v>
      </x:c>
      <x:c r="J936" s="9" t="str">
        <x:v>Family Law</x:v>
      </x:c>
      <x:c r="K936" s="9" t="str">
        <x:v>-ew-cases-EWCA-Civ-2015-1313.xml</x:v>
      </x:c>
      <x:c r="L936" s="9" t="str">
        <x:v>TBA</x:v>
      </x:c>
    </x:row>
    <x:row r="937">
      <x:c r="A937" t="str">
        <x:v>71a51b2d-4d17-431e-bbd2-cd761adafc8d</x:v>
      </x:c>
      <x:c r="B937" t="str">
        <x:v>69931778-230c-4f9d-9516-058138a9527d</x:v>
      </x:c>
      <x:c r="C937" s="9" t="str">
        <x:v>E3 &amp; Ors v Secretary of State for the Home Department [2023] EWCA Civ 26</x:v>
      </x:c>
      <x:c r="D937" s="9" t="str"/>
      <x:c r="E937" s="9" t="str"/>
      <x:c r="F937" s="13" t="str">
        <x:v>2023</x:v>
      </x:c>
      <x:c r="G937" s="9" t="str">
        <x:v>England and Wales Court of Appeal (Civil Division)</x:v>
      </x:c>
      <x:c r="H937" s="9" t="str">
        <x:v>Court of Appeal (Civil Division)</x:v>
      </x:c>
      <x:c r="I937" s="9" t="str">
        <x:v>England and Wales</x:v>
      </x:c>
      <x:c r="J937" s="9" t="str">
        <x:v>Administrative Law / Immigration &amp; Nationality</x:v>
      </x:c>
      <x:c r="K937" s="9" t="str">
        <x:v>ew-cases-EWCA-Civ-2023-26.xml</x:v>
      </x:c>
      <x:c r="L937" s="9" t="str">
        <x:v>TBA</x:v>
      </x:c>
    </x:row>
    <x:row r="938">
      <x:c r="A938" t="str">
        <x:v>0f0299c2-4e5d-45be-9fea-c7f3b2e0a470</x:v>
      </x:c>
      <x:c r="B938" t="str">
        <x:v>acd4bc07-e44a-4f18-8e9d-84600dc957d3</x:v>
      </x:c>
      <x:c r="C938" s="9" t="str">
        <x:v>EA (Nigeria) v Secretary of State for the Home Department</x:v>
      </x:c>
      <x:c r="D938" s="9" t="str"/>
      <x:c r="E938" s="9" t="str"/>
      <x:c r="F938" s="13" t="str">
        <x:v>2015</x:v>
      </x:c>
      <x:c r="G938" s="9" t="str">
        <x:v>England and Wales Court of Appeal (Civil Division)</x:v>
      </x:c>
      <x:c r="H938" s="9" t="str">
        <x:v>Appellate</x:v>
      </x:c>
      <x:c r="I938" s="9" t="str">
        <x:v>England and Wales</x:v>
      </x:c>
      <x:c r="J938" s="9" t="str">
        <x:v>Immigration Law</x:v>
      </x:c>
      <x:c r="K938" s="9" t="str">
        <x:v>-ew-cases-EWCA-Civ-2015-759.xml</x:v>
      </x:c>
      <x:c r="L938" s="9" t="str">
        <x:v>TBA</x:v>
      </x:c>
    </x:row>
    <x:row r="939">
      <x:c r="A939" t="str">
        <x:v>bbb2e4f7-27d4-46a3-836a-7df65f026841</x:v>
      </x:c>
      <x:c r="B939" t="str">
        <x:v>42ddc59d-249f-452b-9e1e-6a4fbac2cab2</x:v>
      </x:c>
      <x:c r="C939" s="9" t="str">
        <x:v>Ealing London Borough Council v H &amp; Ors (On the Application of) [2017] EWCA Civ 1127</x:v>
      </x:c>
      <x:c r="D939" s="9" t="str"/>
      <x:c r="E939" s="9" t="str"/>
      <x:c r="F939" s="13" t="str">
        <x:v>2017</x:v>
      </x:c>
      <x:c r="G939" s="9" t="str">
        <x:v>England and Wales Court of Appeal (Civil Division)</x:v>
      </x:c>
      <x:c r="H939" s="9" t="str">
        <x:v>Appellate</x:v>
      </x:c>
      <x:c r="I939" s="9" t="str">
        <x:v>England and Wales</x:v>
      </x:c>
      <x:c r="J939" s="9" t="str">
        <x:v>Administrative Law</x:v>
      </x:c>
      <x:c r="K939" s="9" t="str">
        <x:v>-ew-cases-EWCA-Civ-2017-1127.xml</x:v>
      </x:c>
      <x:c r="L939" s="9" t="str">
        <x:v>TBA</x:v>
      </x:c>
    </x:row>
    <x:row r="940">
      <x:c r="A940" t="str">
        <x:v>439b1133-d820-4f19-b71f-966244e2a8cd</x:v>
      </x:c>
      <x:c r="B940" t="str">
        <x:v>3fae9752-b3e5-4a98-a0e5-5ade79ee3e8d</x:v>
      </x:c>
      <x:c r="C940" s="9" t="str">
        <x:v>East Quayside 12 LLP v The Council of the City of Newcastle upon Tyne [2023] EWCA Civ 359</x:v>
      </x:c>
      <x:c r="D940" s="9" t="str"/>
      <x:c r="E940" s="9" t="str"/>
      <x:c r="F940" s="13" t="str">
        <x:v>2023</x:v>
      </x:c>
      <x:c r="G940" s="9" t="str">
        <x:v>England and Wales Court of Appeal (Civil Division)</x:v>
      </x:c>
      <x:c r="H940" s="9" t="str">
        <x:v>Court of Appeal (Civil Division)</x:v>
      </x:c>
      <x:c r="I940" s="9" t="str">
        <x:v>England and Wales</x:v>
      </x:c>
      <x:c r="J940" s="9" t="str">
        <x:v>Planning Law / Administrative Law</x:v>
      </x:c>
      <x:c r="K940" s="9" t="str">
        <x:v>ew-cases-EWCA-Civ-2023-359.xml</x:v>
      </x:c>
      <x:c r="L940" s="9" t="str">
        <x:v>TBA</x:v>
      </x:c>
    </x:row>
    <x:row r="941">
      <x:c r="A941" t="str">
        <x:v>cff478ec-d0f6-460d-9448-c8b0cb569b5e</x:v>
      </x:c>
      <x:c r="B941" t="str">
        <x:v>e1bea634-6b75-45c9-81a2-44d4360a197c</x:v>
      </x:c>
      <x:c r="C941" s="9" t="str">
        <x:v>East-West Logistics LLP v Melars Group Ltd [2022] EWCA Civ 1419</x:v>
      </x:c>
      <x:c r="D941" s="9" t="str"/>
      <x:c r="E941" s="9" t="str"/>
      <x:c r="F941" s="13" t="str">
        <x:v>2022</x:v>
      </x:c>
      <x:c r="G941" s="9" t="str">
        <x:v>England and Wales Court of Appeal (Civil Division)</x:v>
      </x:c>
      <x:c r="H941" s="9" t="str">
        <x:v>Court of Appeal</x:v>
      </x:c>
      <x:c r="I941" s="9" t="str">
        <x:v>England and Wales</x:v>
      </x:c>
      <x:c r="J941" s="9" t="str">
        <x:v>Insolvency/Jurisdiction</x:v>
      </x:c>
      <x:c r="K941" s="9" t="str">
        <x:v>ew-cases-EWCA-Civ-2022-1419.xml</x:v>
      </x:c>
      <x:c r="L941" s="9" t="str">
        <x:v>TBA</x:v>
      </x:c>
    </x:row>
    <x:row r="942">
      <x:c r="A942" t="str">
        <x:v>82a81669-4296-4406-bccf-42a05fa69fc1</x:v>
      </x:c>
      <x:c r="B942" t="str">
        <x:v>1cf2f614-6019-4455-81f9-6ef87955bdbe</x:v>
      </x:c>
      <x:c r="C942" s="9" t="str">
        <x:v>Eastern Power Networks Plc &amp; Ors v Revenue And Customs [2021] EWCA Civ 283</x:v>
      </x:c>
      <x:c r="D942" s="9" t="str"/>
      <x:c r="E942" s="9" t="str"/>
      <x:c r="F942" s="13" t="str">
        <x:v>2021</x:v>
      </x:c>
      <x:c r="G942" s="9" t="str">
        <x:v>England and Wales Court of Appeal (Civil Division)</x:v>
      </x:c>
      <x:c r="H942" s="9" t="str">
        <x:v>Appellate</x:v>
      </x:c>
      <x:c r="I942" s="9" t="str">
        <x:v>England and Wales</x:v>
      </x:c>
      <x:c r="J942" s="9" t="str">
        <x:v>Tax Law</x:v>
      </x:c>
      <x:c r="K942" s="9" t="str">
        <x:v>ew-cases-EWCA-Civ-2021-283.xml</x:v>
      </x:c>
      <x:c r="L942" s="9" t="str">
        <x:v>TBA</x:v>
      </x:c>
    </x:row>
    <x:row r="943">
      <x:c r="A943" t="str">
        <x:v>e44b69dc-831f-499f-8fe9-ec837667ff1f</x:v>
      </x:c>
      <x:c r="B943" t="str">
        <x:v>d01aced0-1901-400f-a1f6-15317dc86f7e</x:v>
      </x:c>
      <x:c r="C943" s="9" t="str">
        <x:v>Eastern Pyramid Group Corporation SA v Spire House RTM Company Ltd [2021] EWCA Civ 1658</x:v>
      </x:c>
      <x:c r="D943" s="9" t="str"/>
      <x:c r="E943" s="9" t="str"/>
      <x:c r="F943" s="13" t="str">
        <x:v>2021</x:v>
      </x:c>
      <x:c r="G943" s="9" t="str">
        <x:v>England and Wales Court of Appeal (Civil Division)</x:v>
      </x:c>
      <x:c r="H943" s="9" t="str">
        <x:v>appellate</x:v>
      </x:c>
      <x:c r="I943" s="9" t="str">
        <x:v>England and Wales</x:v>
      </x:c>
      <x:c r="J943" s="9" t="str">
        <x:v>Property Management Dispute</x:v>
      </x:c>
      <x:c r="K943" s="9" t="str">
        <x:v>ew-cases-EWCA-Civ-2021-1658.xml</x:v>
      </x:c>
      <x:c r="L943" s="9" t="str">
        <x:v>TBA</x:v>
      </x:c>
    </x:row>
    <x:row r="944">
      <x:c r="A944" t="str">
        <x:v>b4a56645-f04a-44bd-8a06-3ff386bdcd36</x:v>
      </x:c>
      <x:c r="B944" t="str">
        <x:v>5670c83e-a363-46ab-8cee-864ffb7b7a80</x:v>
      </x:c>
      <x:c r="C944" s="9" t="str">
        <x:v>Eastwood, R (on the application of) v The Royal Borough of Windsor and Maidenhead [2016] EWCA Civ 437</x:v>
      </x:c>
      <x:c r="D944" s="9" t="str"/>
      <x:c r="E944" s="9" t="str"/>
      <x:c r="F944" s="13" t="str">
        <x:v>2016</x:v>
      </x:c>
      <x:c r="G944" s="9" t="str">
        <x:v>England and Wales Court of Appeal (Civil Division)</x:v>
      </x:c>
      <x:c r="H944" s="9" t="str">
        <x:v>Court of Appeal (Civil Division)</x:v>
      </x:c>
      <x:c r="I944" s="9" t="str">
        <x:v>England and Wales</x:v>
      </x:c>
      <x:c r="J944" s="9" t="str">
        <x:v>Judicial Review / Administrative Law / Planning Law</x:v>
      </x:c>
      <x:c r="K944" s="9" t="str">
        <x:v>-ew-cases-EWCA-Civ-2016-437.xml</x:v>
      </x:c>
      <x:c r="L944" s="9" t="str">
        <x:v>TBA</x:v>
      </x:c>
    </x:row>
    <x:row r="945">
      <x:c r="A945" t="str">
        <x:v>57bdc774-0921-4d12-be78-691bfcb1e5bd</x:v>
      </x:c>
      <x:c r="B945" t="str">
        <x:v>773bda50-9103-40a2-9a18-8bf194041d02</x:v>
      </x:c>
      <x:c r="C945" s="9" t="str">
        <x:v>EasyJet PLC v EasyJet European Works Council [2023] EWCA Civ 756</x:v>
      </x:c>
      <x:c r="D945" s="9" t="str"/>
      <x:c r="E945" s="9" t="str"/>
      <x:c r="F945" s="13" t="str">
        <x:v>2023</x:v>
      </x:c>
      <x:c r="G945" s="9" t="str">
        <x:v>England and Wales Court of Appeal (Civil Division)</x:v>
      </x:c>
      <x:c r="H945" s="9" t="str">
        <x:v>Court of Appeal (Civil Division)</x:v>
      </x:c>
      <x:c r="I945" s="9" t="str">
        <x:v>England and Wales</x:v>
      </x:c>
      <x:c r="J945" s="9" t="str">
        <x:v>Regulatory and Administrative Law; EU/UK Labour/Information and Consultation; Brexit transitional provisions</x:v>
      </x:c>
      <x:c r="K945" s="9" t="str">
        <x:v>ew-cases-EWCA-Civ-2023-756.xml</x:v>
      </x:c>
      <x:c r="L945" s="9" t="str">
        <x:v>TBA</x:v>
      </x:c>
    </x:row>
    <x:row r="946">
      <x:c r="A946" t="str">
        <x:v>99d324c1-f7c7-483f-815b-e5dcc4a95424</x:v>
      </x:c>
      <x:c r="B946" t="str">
        <x:v>ec78e346-8b5e-4313-a615-4024a7aeb6c4</x:v>
      </x:c>
      <x:c r="C946" s="9" t="str">
        <x:v>Eckland v Chief Constable of the Avon and Somerset Constabulary (Rev3)</x:v>
      </x:c>
      <x:c r="D946" s="9" t="str"/>
      <x:c r="E946" s="9" t="str"/>
      <x:c r="F946" s="13" t="str">
        <x:v>2022</x:v>
      </x:c>
      <x:c r="G946" s="9" t="str">
        <x:v>England and Wales Court of Appeal (Civil Division)</x:v>
      </x:c>
      <x:c r="H946" s="9" t="str">
        <x:v>Appellate</x:v>
      </x:c>
      <x:c r="I946" s="9" t="str">
        <x:v>England and Wales</x:v>
      </x:c>
      <x:c r="J946" s="9" t="str">
        <x:v>Employment Law</x:v>
      </x:c>
      <x:c r="K946" s="9" t="str">
        <x:v>ew-cases-EWCA-Civ-2021-1961.xml</x:v>
      </x:c>
      <x:c r="L946" s="9" t="str">
        <x:v>TBA</x:v>
      </x:c>
    </x:row>
    <x:row r="947">
      <x:c r="A947" t="str">
        <x:v>d31d0b00-12bf-4764-ac62-236dd285baf5</x:v>
      </x:c>
      <x:c r="B947" t="str">
        <x:v>14434596-76db-4abb-8e78-f5f1640f8b82</x:v>
      </x:c>
      <x:c r="C947" s="9" t="str">
        <x:v>Eclipse Film Partners No 35 LLP v HM Revenue and Customs</x:v>
      </x:c>
      <x:c r="D947" s="9" t="str"/>
      <x:c r="E947" s="9" t="str"/>
      <x:c r="F947" s="13" t="str">
        <x:v>2015</x:v>
      </x:c>
      <x:c r="G947" s="9" t="str">
        <x:v>England and Wales Court of Appeal (Civil Division)</x:v>
      </x:c>
      <x:c r="H947" s="9" t="str">
        <x:v>Appellate</x:v>
      </x:c>
      <x:c r="I947" s="9" t="str">
        <x:v>England and Wales</x:v>
      </x:c>
      <x:c r="J947" s="9" t="str">
        <x:v>Tax Law</x:v>
      </x:c>
      <x:c r="K947" s="9" t="str">
        <x:v>-ew-cases-EWCA-Civ-2015-95.xml</x:v>
      </x:c>
      <x:c r="L947" s="9" t="str">
        <x:v>TBA</x:v>
      </x:c>
    </x:row>
    <x:row r="948">
      <x:c r="A948" t="str">
        <x:v>f68e1b0e-9d65-4704-9c42-4a939508ef87</x:v>
      </x:c>
      <x:c r="B948" t="str">
        <x:v>d7b5044d-3acf-4ab2-aa67-39461933ac9d</x:v>
      </x:c>
      <x:c r="C948" s="9" t="str">
        <x:v>Eclipse Film Partners No. 35 LLP v Revenue &amp; Customs</x:v>
      </x:c>
      <x:c r="D948" s="9" t="str"/>
      <x:c r="E948" s="9" t="str"/>
      <x:c r="F948" s="13" t="str">
        <x:v>2014</x:v>
      </x:c>
      <x:c r="G948" s="9" t="str">
        <x:v>England and Wales Court of Appeal (Civil Division)</x:v>
      </x:c>
      <x:c r="H948" s="9" t="str">
        <x:v>Appellate</x:v>
      </x:c>
      <x:c r="I948" s="9" t="str">
        <x:v>England and Wales</x:v>
      </x:c>
      <x:c r="J948" s="9" t="str">
        <x:v>Tax Dispute</x:v>
      </x:c>
      <x:c r="K948" s="9" t="str">
        <x:v>-ew-cases-EWCA-Civ-2014-184.xml</x:v>
      </x:c>
      <x:c r="L948" s="9" t="str">
        <x:v>TBA</x:v>
      </x:c>
    </x:row>
    <x:row r="949">
      <x:c r="A949" t="str">
        <x:v>e9b96ad0-35c6-4bb6-bb46-1d155a44ad1e</x:v>
      </x:c>
      <x:c r="B949" t="str">
        <x:v>a8d6d6cb-86fd-4660-ad42-f7910920bd80</x:v>
      </x:c>
      <x:c r="C949" s="9" t="str">
        <x:v>Ecobank Transnational Incorporated v Tanoh [2015] EWCA Civ 1309</x:v>
      </x:c>
      <x:c r="D949" s="9" t="str"/>
      <x:c r="E949" s="9" t="str"/>
      <x:c r="F949" s="13" t="str">
        <x:v>2015</x:v>
      </x:c>
      <x:c r="G949" s="9" t="str">
        <x:v>England and Wales Court of Appeal (Civil Division)</x:v>
      </x:c>
      <x:c r="H949" s="9" t="str">
        <x:v>Appellate</x:v>
      </x:c>
      <x:c r="I949" s="9" t="str">
        <x:v>England and Wales</x:v>
      </x:c>
      <x:c r="J949" s="9" t="str">
        <x:v>Civil</x:v>
      </x:c>
      <x:c r="K949" s="9" t="str">
        <x:v>-ew-cases-EWCA-Civ-2015-1309.xml</x:v>
      </x:c>
      <x:c r="L949" s="9" t="str">
        <x:v>TBA</x:v>
      </x:c>
    </x:row>
    <x:row r="950">
      <x:c r="A950" t="str">
        <x:v>705d9d20-f7e7-457c-b85c-ae7437a9472a</x:v>
      </x:c>
      <x:c r="B950" t="str">
        <x:v>cd9810c9-9f44-4279-b870-e1d0ce5ff63f</x:v>
      </x:c>
      <x:c r="C950" s="9" t="str">
        <x:v>Ecotricity (Next Generation) Ltd v Secretary of State for Communities &amp; Local Government</x:v>
      </x:c>
      <x:c r="D950" s="9" t="str"/>
      <x:c r="E950" s="9" t="str"/>
      <x:c r="F950" s="13" t="str">
        <x:v>2015</x:v>
      </x:c>
      <x:c r="G950" s="9" t="str">
        <x:v>England and Wales Court of Appeal (Civil Division)</x:v>
      </x:c>
      <x:c r="H950" s="9" t="str">
        <x:v>Appellate</x:v>
      </x:c>
      <x:c r="I950" s="9" t="str">
        <x:v>England and Wales</x:v>
      </x:c>
      <x:c r="J950" s="9" t="str">
        <x:v>Administrative Law</x:v>
      </x:c>
      <x:c r="K950" s="9" t="str">
        <x:v>-ew-cases-EWCA-Civ-2015-657.xml</x:v>
      </x:c>
      <x:c r="L950" s="9" t="str">
        <x:v>TBA</x:v>
      </x:c>
    </x:row>
    <x:row r="951">
      <x:c r="A951" t="str">
        <x:v>3c5c8d38-8af4-4695-9957-1ea5ea9bbe08</x:v>
      </x:c>
      <x:c r="B951" t="str">
        <x:v>ca41f65d-74ab-4260-bb73-77d949ba2899</x:v>
      </x:c>
      <x:c r="C951" s="9" t="str">
        <x:v>ED &amp; F Man Capital Markets Limited v Come Harvest Holdings Limited &amp; Ors [2022] EWCA Civ 1704</x:v>
      </x:c>
      <x:c r="D951" s="9" t="str"/>
      <x:c r="E951" s="9" t="str"/>
      <x:c r="F951" s="13" t="str">
        <x:v>2022</x:v>
      </x:c>
      <x:c r="G951" s="9" t="str">
        <x:v>England and Wales Court of Appeal (Civil Division)</x:v>
      </x:c>
      <x:c r="H951" s="9" t="str">
        <x:v>Court of Appeal (Civil Division)</x:v>
      </x:c>
      <x:c r="I951" s="9" t="str">
        <x:v>England and Wales</x:v>
      </x:c>
      <x:c r="J951" s="9" t="str">
        <x:v>Civil Appeal; Tort - Deceit; Damages</x:v>
      </x:c>
      <x:c r="K951" s="9" t="str">
        <x:v>ew-cases-EWCA-Civ-2022-1704.xml</x:v>
      </x:c>
      <x:c r="L951" s="9" t="str">
        <x:v>TBA</x:v>
      </x:c>
    </x:row>
    <x:row r="952">
      <x:c r="A952" t="str">
        <x:v>5703561d-8b20-4c18-a042-ad630d8a3594</x:v>
      </x:c>
      <x:c r="B952" t="str">
        <x:v>fd26b18c-791c-454c-b969-9e2452a97a2d</x:v>
      </x:c>
      <x:c r="C952" s="9" t="str">
        <x:v>Edem v The Information Commissioner &amp; Anor</x:v>
      </x:c>
      <x:c r="D952" s="9" t="str"/>
      <x:c r="E952" s="9" t="str"/>
      <x:c r="F952" s="13" t="str">
        <x:v>2014</x:v>
      </x:c>
      <x:c r="G952" s="9" t="str">
        <x:v>England and Wales Court of Appeal (Civil Division)</x:v>
      </x:c>
      <x:c r="H952" s="9" t="str">
        <x:v>Appellate</x:v>
      </x:c>
      <x:c r="I952" s="9" t="str">
        <x:v>England and Wales</x:v>
      </x:c>
      <x:c r="J952" s="9" t="str">
        <x:v>Administrative Law</x:v>
      </x:c>
      <x:c r="K952" s="9" t="str">
        <x:v>-ew-cases-EWCA-Civ-2014-92.xml</x:v>
      </x:c>
      <x:c r="L952" s="9" t="str">
        <x:v>TBA</x:v>
      </x:c>
    </x:row>
    <x:row r="953">
      <x:c r="A953" t="str">
        <x:v>ccc276d5-aebd-4b4f-8092-086acde17f7f</x:v>
      </x:c>
      <x:c r="B953" t="str">
        <x:v>f2eef30a-c4d7-4094-933c-b6b1194531dd</x:v>
      </x:c>
      <x:c r="C953" s="9" t="str">
        <x:v>Edengate Homes (Butley Hall) Limited (in Liquidation), Re Adele Lock v Paul Stanley (in his capacity as liquidator) [2022] EWCA Civ 626</x:v>
      </x:c>
      <x:c r="D953" s="9" t="str"/>
      <x:c r="E953" s="9" t="str"/>
      <x:c r="F953" s="13" t="str">
        <x:v>2022</x:v>
      </x:c>
      <x:c r="G953" s="9" t="str">
        <x:v>England and Wales Court of Appeal (Civil Division)</x:v>
      </x:c>
      <x:c r="H953" s="9" t="str">
        <x:v>Court of Appeal (Civil Division)</x:v>
      </x:c>
      <x:c r="I953" s="9" t="str">
        <x:v>England and Wales</x:v>
      </x:c>
      <x:c r="J953" s="9" t="str">
        <x:v>Insolvency/Company Law; Standing in liquidation; Assignment of claims; Civil appeals</x:v>
      </x:c>
      <x:c r="K953" s="9" t="str">
        <x:v>ew-cases-EWCA-Civ-2022-626.xml</x:v>
      </x:c>
      <x:c r="L953" s="9" t="str">
        <x:v>TBA</x:v>
      </x:c>
    </x:row>
    <x:row r="954">
      <x:c r="A954" t="str">
        <x:v>9d278118-3ed3-4f93-98d1-b06344ff82dc</x:v>
      </x:c>
      <x:c r="B954" t="str">
        <x:v>5d1d7e7f-f139-4170-9d7e-54641a5da1ba</x:v>
      </x:c>
      <x:c r="C954" s="9" t="str">
        <x:v>Edenred (UK Group) Ltd v Her Majesty's Treasury &amp; Ors [2015] EWCA Civ 326</x:v>
      </x:c>
      <x:c r="D954" s="9" t="str"/>
      <x:c r="E954" s="9" t="str"/>
      <x:c r="F954" s="13" t="str">
        <x:v>2015</x:v>
      </x:c>
      <x:c r="G954" s="9" t="str">
        <x:v>England and Wales Court of Appeal (Civil Division)</x:v>
      </x:c>
      <x:c r="H954" s="9" t="str">
        <x:v>Appellate</x:v>
      </x:c>
      <x:c r="I954" s="9" t="str">
        <x:v>England and Wales</x:v>
      </x:c>
      <x:c r="J954" s="9" t="str">
        <x:v>Public Procurement</x:v>
      </x:c>
      <x:c r="K954" s="9" t="str">
        <x:v>-ew-cases-EWCA-Civ-2015-326.xml</x:v>
      </x:c>
      <x:c r="L954" s="9" t="str">
        <x:v>TBA</x:v>
      </x:c>
    </x:row>
    <x:row r="955">
      <x:c r="A955" t="str">
        <x:v>b808a677-bb79-4c3e-ad09-4e958c969256</x:v>
      </x:c>
      <x:c r="B955" t="str">
        <x:v>5cafcae4-7fad-401b-b7ee-f1ae488bc1ab</x:v>
      </x:c>
      <x:c r="C955" s="9" t="str">
        <x:v>Edgehill &amp; Anor v Secretary of State for the Home Department</x:v>
      </x:c>
      <x:c r="D955" s="9" t="str"/>
      <x:c r="E955" s="9" t="str"/>
      <x:c r="F955" s="13" t="str">
        <x:v>2014</x:v>
      </x:c>
      <x:c r="G955" s="9" t="str">
        <x:v>England and Wales Court of Appeal (Civil Division)</x:v>
      </x:c>
      <x:c r="H955" s="9" t="str">
        <x:v>Appellate</x:v>
      </x:c>
      <x:c r="I955" s="9" t="str">
        <x:v>England and Wales</x:v>
      </x:c>
      <x:c r="J955" s="9" t="str">
        <x:v>Immigration Law</x:v>
      </x:c>
      <x:c r="K955" s="9" t="str">
        <x:v>-ew-cases-EWCA-Civ-2014-402.xml</x:v>
      </x:c>
      <x:c r="L955" s="9" t="str">
        <x:v>TBA</x:v>
      </x:c>
    </x:row>
    <x:row r="956">
      <x:c r="A956" t="str">
        <x:v>1a5e310c-8d49-4229-9edf-93f40bfac4bd</x:v>
      </x:c>
      <x:c r="B956" t="str">
        <x:v>440d1f42-a9be-4773-bfca-06319ae044c2</x:v>
      </x:c>
      <x:c r="C956" s="9" t="str">
        <x:v>Edgeworth Capital (Luxembourg) S.Á.R.L &amp; Aabar Block S.Á.R.L v Ramblas Investments B.V., [2016] EWCA Civ 412</x:v>
      </x:c>
      <x:c r="D956" s="9" t="str"/>
      <x:c r="E956" s="9" t="str"/>
      <x:c r="F956" s="13" t="str">
        <x:v>2016</x:v>
      </x:c>
      <x:c r="G956" s="9" t="str">
        <x:v>England and Wales Court of Appeal (Civil Division)</x:v>
      </x:c>
      <x:c r="H956" s="9" t="str">
        <x:v>Court of Appeal (Civil Division)</x:v>
      </x:c>
      <x:c r="I956" s="9" t="str">
        <x:v>England and Wales</x:v>
      </x:c>
      <x:c r="J956" s="9" t="str">
        <x:v>Contract Dispute</x:v>
      </x:c>
      <x:c r="K956" s="9" t="str">
        <x:v>-ew-cases-EWCA-Civ-2016-412.xml</x:v>
      </x:c>
      <x:c r="L956" s="9" t="str">
        <x:v>TBA</x:v>
      </x:c>
    </x:row>
    <x:row r="957">
      <x:c r="A957" t="str">
        <x:v>792054ac-f4fd-4cef-a42d-c644aa4c16a1</x:v>
      </x:c>
      <x:c r="B957" t="str">
        <x:v>49903331-b7b9-4644-88a0-aecf454bbe1c</x:v>
      </x:c>
      <x:c r="C957" s="9" t="str">
        <x:v>Edginton v Sekhon &amp; Anor [2015] EWCA Civ 816</x:v>
      </x:c>
      <x:c r="D957" s="9" t="str"/>
      <x:c r="E957" s="9" t="str"/>
      <x:c r="F957" s="13" t="str">
        <x:v>2015</x:v>
      </x:c>
      <x:c r="G957" s="9" t="str">
        <x:v>England and Wales Court of Appeal (Civil Division)</x:v>
      </x:c>
      <x:c r="H957" s="9" t="str">
        <x:v>Appellate</x:v>
      </x:c>
      <x:c r="I957" s="9" t="str">
        <x:v>England and Wales</x:v>
      </x:c>
      <x:c r="J957" s="9" t="str">
        <x:v>Bankruptcy Law</x:v>
      </x:c>
      <x:c r="K957" s="9" t="str">
        <x:v>-ew-cases-EWCA-Civ-2015-816.xml</x:v>
      </x:c>
      <x:c r="L957" s="9" t="str">
        <x:v>TBA</x:v>
      </x:c>
    </x:row>
    <x:row r="958">
      <x:c r="A958" t="str">
        <x:v>267bb097-b76f-4019-977e-7826abe1a3d7</x:v>
      </x:c>
      <x:c r="B958" t="str">
        <x:v>e95538c2-02e0-4334-9b4f-628e251bfe38</x:v>
      </x:c>
      <x:c r="C958" s="9" t="str">
        <x:v>Edwards v Kumarasamy [2015] EWCA Civ 20</x:v>
      </x:c>
      <x:c r="D958" s="9" t="str"/>
      <x:c r="E958" s="9" t="str"/>
      <x:c r="F958" s="13" t="str">
        <x:v>2015</x:v>
      </x:c>
      <x:c r="G958" s="9" t="str">
        <x:v>England and Wales Court of Appeal (Civil Division)</x:v>
      </x:c>
      <x:c r="H958" s="9" t="str">
        <x:v>Appellate</x:v>
      </x:c>
      <x:c r="I958" s="9" t="str">
        <x:v>England and Wales</x:v>
      </x:c>
      <x:c r="J958" s="9" t="str">
        <x:v>Tort</x:v>
      </x:c>
      <x:c r="K958" s="9" t="str">
        <x:v>-ew-cases-EWCA-Civ-2015-20.xml</x:v>
      </x:c>
      <x:c r="L958" s="9" t="str">
        <x:v>TBA</x:v>
      </x:c>
    </x:row>
    <x:row r="959">
      <x:c r="A959" t="str">
        <x:v>a039268a-6fc9-4872-8676-11498017b72e</x:v>
      </x:c>
      <x:c r="B959" t="str">
        <x:v>e16d7203-6f9e-4896-96e0-d021cb6f5579</x:v>
      </x:c>
      <x:c r="C959" s="9" t="str">
        <x:v>Edwards v London Borough of Sutton [2016] EWCA Civ 1005</x:v>
      </x:c>
      <x:c r="D959" s="9" t="str"/>
      <x:c r="E959" s="9" t="str"/>
      <x:c r="F959" s="13" t="str">
        <x:v>2016</x:v>
      </x:c>
      <x:c r="G959" s="9" t="str">
        <x:v>England and Wales Court of Appeal (Civil Division)</x:v>
      </x:c>
      <x:c r="H959" s="9" t="str">
        <x:v>Court of Appeal (Civil Division)</x:v>
      </x:c>
      <x:c r="I959" s="9" t="str">
        <x:v>England and Wales</x:v>
      </x:c>
      <x:c r="J959" s="9" t="str">
        <x:v>Civil – Tort / Premises Liability</x:v>
      </x:c>
      <x:c r="K959" s="9" t="str">
        <x:v>-ew-cases-EWCA-Civ-2016-1005.xml</x:v>
      </x:c>
      <x:c r="L959" s="9" t="str">
        <x:v>TBA</x:v>
      </x:c>
    </x:row>
    <x:row r="960">
      <x:c r="A960" t="str">
        <x:v>fbdb110b-9021-44e0-bf93-c3550565949e</x:v>
      </x:c>
      <x:c r="B960" t="str">
        <x:v>b95f1402-e7e1-473c-80dc-2f1763e8cc02</x:v>
      </x:c>
      <x:c r="C960" s="9" t="str">
        <x:v>Edwards v Parabis Law LLP t/a Cogent Law [2016] EWCA Civ 35</x:v>
      </x:c>
      <x:c r="D960" s="9" t="str"/>
      <x:c r="E960" s="9" t="str"/>
      <x:c r="F960" s="13" t="str">
        <x:v>2016</x:v>
      </x:c>
      <x:c r="G960" s="9" t="str">
        <x:v>England and Wales Court of Appeal (Civil Division)</x:v>
      </x:c>
      <x:c r="H960" s="9" t="str">
        <x:v>Court of Appeal (Civil Division)</x:v>
      </x:c>
      <x:c r="I960" s="9" t="str">
        <x:v>England and Wales</x:v>
      </x:c>
      <x:c r="J960" s="9" t="str">
        <x:v>Civil – Court of Appeal (Civil Division) decision in Employment Law</x:v>
      </x:c>
      <x:c r="K960" s="9" t="str">
        <x:v>-ew-cases-EWCA-Civ-2016-35.xml</x:v>
      </x:c>
      <x:c r="L960" s="9" t="str">
        <x:v>TBA</x:v>
      </x:c>
    </x:row>
    <x:row r="961">
      <x:c r="A961" t="str">
        <x:v>3d2f8823-4d51-48fd-a5fd-3455bf6cc09f</x:v>
      </x:c>
      <x:c r="B961" t="str">
        <x:v>9b8c7a0f-aad6-4109-a088-efd1021a1a2f</x:v>
      </x:c>
      <x:c r="C961" s="9" t="str">
        <x:v>EE (Nigeria) v Secretary of State for the Home Department [2015] EWCA Civ 724</x:v>
      </x:c>
      <x:c r="D961" s="9" t="str"/>
      <x:c r="E961" s="9" t="str"/>
      <x:c r="F961" s="13" t="str">
        <x:v>2015</x:v>
      </x:c>
      <x:c r="G961" s="9" t="str">
        <x:v>England and Wales Court of Appeal (Civil Division)</x:v>
      </x:c>
      <x:c r="H961" s="9" t="str">
        <x:v>Appellate</x:v>
      </x:c>
      <x:c r="I961" s="9" t="str">
        <x:v>England and Wales</x:v>
      </x:c>
      <x:c r="J961" s="9" t="str">
        <x:v>Immigration Law</x:v>
      </x:c>
      <x:c r="K961" s="9" t="str">
        <x:v>-ew-cases-EWCA-Civ-2015-724.xml</x:v>
      </x:c>
      <x:c r="L961" s="9" t="str">
        <x:v>TBA</x:v>
      </x:c>
    </x:row>
    <x:row r="962">
      <x:c r="A962" t="str">
        <x:v>ac5275d6-b3c4-4e24-94de-253953586dc6</x:v>
      </x:c>
      <x:c r="B962" t="str">
        <x:v>59cb9b6a-f917-44ba-881b-242c65905dcf</x:v>
      </x:c>
      <x:c r="C962" s="9" t="str">
        <x:v>EE (Nigeria) v The Secretary of State for the Home Department [2016] EWCA Civ 687</x:v>
      </x:c>
      <x:c r="D962" s="9" t="str"/>
      <x:c r="E962" s="9" t="str"/>
      <x:c r="F962" s="13" t="str">
        <x:v>2016</x:v>
      </x:c>
      <x:c r="G962" s="9" t="str">
        <x:v>England and Wales Court of Appeal (Civil Division)</x:v>
      </x:c>
      <x:c r="H962" s="9" t="str">
        <x:v>Court of Appeal (Civil Division)</x:v>
      </x:c>
      <x:c r="I962" s="9" t="str">
        <x:v>England and Wales</x:v>
      </x:c>
      <x:c r="J962" s="9" t="str">
        <x:v>Immigration and Asylum</x:v>
      </x:c>
      <x:c r="K962" s="9" t="str">
        <x:v>-ew-cases-EWCA-Civ-2016-687.xml</x:v>
      </x:c>
      <x:c r="L962" s="9" t="str">
        <x:v>TBA</x:v>
      </x:c>
    </x:row>
    <x:row r="963">
      <x:c r="A963" t="str">
        <x:v>83c4b30e-8bf3-46eb-ab59-78621818e86a</x:v>
      </x:c>
      <x:c r="B963" t="str">
        <x:v>4027679f-8509-4767-948d-f26eab8434c6</x:v>
      </x:c>
      <x:c r="C963" s="9" t="str">
        <x:v>EE Ltd v Office of Communications &amp; Ors [2017] EWCA Civ 1873: Judicial Review of Spectrum Licensing Fees</x:v>
      </x:c>
      <x:c r="D963" s="9" t="str"/>
      <x:c r="E963" s="9" t="str"/>
      <x:c r="F963" s="13" t="str">
        <x:v>2017</x:v>
      </x:c>
      <x:c r="G963" s="9" t="str">
        <x:v>England and Wales Court of Appeal (Civil Division)</x:v>
      </x:c>
      <x:c r="H963" s="9" t="str">
        <x:v>Appellate</x:v>
      </x:c>
      <x:c r="I963" s="9" t="str">
        <x:v>England and Wales</x:v>
      </x:c>
      <x:c r="J963" s="9" t="str">
        <x:v>Administrative Law</x:v>
      </x:c>
      <x:c r="K963" s="9" t="str">
        <x:v>-ew-cases-EWCA-Civ-2017-1873.xml</x:v>
      </x:c>
      <x:c r="L963" s="9" t="str">
        <x:v>TBA</x:v>
      </x:c>
    </x:row>
    <x:row r="964">
      <x:c r="A964" t="str">
        <x:v>9c86d170-2597-4c21-b963-782cea443df0</x:v>
      </x:c>
      <x:c r="B964" t="str">
        <x:v>c0165fc5-0376-46ca-a1bf-0899d5b636ae</x:v>
      </x:c>
      <x:c r="C964" s="9" t="str">
        <x:v>EG (Jamaica) v Secretary of State for the Home Department [2015] EWCA Civ 692</x:v>
      </x:c>
      <x:c r="D964" s="9" t="str"/>
      <x:c r="E964" s="9" t="str"/>
      <x:c r="F964" s="13" t="str">
        <x:v>2015</x:v>
      </x:c>
      <x:c r="G964" s="9" t="str">
        <x:v>England and Wales Court of Appeal (Civil Division)</x:v>
      </x:c>
      <x:c r="H964" s="9" t="str">
        <x:v>Appellate</x:v>
      </x:c>
      <x:c r="I964" s="9" t="str">
        <x:v>England and Wales</x:v>
      </x:c>
      <x:c r="J964" s="9" t="str">
        <x:v>Immigration Law</x:v>
      </x:c>
      <x:c r="K964" s="9" t="str">
        <x:v>-ew-cases-EWCA-Civ-2015-692.xml</x:v>
      </x:c>
      <x:c r="L964" s="9" t="str">
        <x:v>TBA</x:v>
      </x:c>
    </x:row>
    <x:row r="965">
      <x:c r="A965" t="str">
        <x:v>5ec4cc85-2541-40c4-8d40-593940cea820</x:v>
      </x:c>
      <x:c r="B965" t="str">
        <x:v>466b3a60-a547-4ac2-87f8-1d390e28e5f7</x:v>
      </x:c>
      <x:c r="C965" s="9" t="str">
        <x:v>EK (Ivory Coast) v The Secretary of State for the Home Department [2014] EWCA Civ 1517</x:v>
      </x:c>
      <x:c r="D965" s="9" t="str"/>
      <x:c r="E965" s="9" t="str"/>
      <x:c r="F965" s="13" t="str">
        <x:v>2014</x:v>
      </x:c>
      <x:c r="G965" s="9" t="str">
        <x:v>England and Wales Court of Appeal (Civil Division)</x:v>
      </x:c>
      <x:c r="H965" s="9" t="str">
        <x:v>Appellate</x:v>
      </x:c>
      <x:c r="I965" s="9" t="str">
        <x:v>England and Wales</x:v>
      </x:c>
      <x:c r="J965" s="9" t="str">
        <x:v>Immigration Law</x:v>
      </x:c>
      <x:c r="K965" s="9" t="str">
        <x:v>-ew-cases-EWCA-Civ-2014-1517.xml</x:v>
      </x:c>
      <x:c r="L965" s="9" t="str">
        <x:v>TBA</x:v>
      </x:c>
    </x:row>
    <x:row r="966">
      <x:c r="A966" t="str">
        <x:v>64b2360c-9791-40e9-8956-c16a1c87abdf</x:v>
      </x:c>
      <x:c r="B966" t="str">
        <x:v>62387ec9-7133-4b5a-9c31-64fcf95429ce</x:v>
      </x:c>
      <x:c r="C966" s="9" t="str">
        <x:v>El Zubaidy v Borg [2023] EWCA Civ 148 (Court of Appeal, Civil Division)</x:v>
      </x:c>
      <x:c r="D966" s="9" t="str"/>
      <x:c r="E966" s="9" t="str"/>
      <x:c r="F966" s="13" t="str">
        <x:v>2023</x:v>
      </x:c>
      <x:c r="G966" s="9" t="str">
        <x:v>England and Wales Court of Appeal (Civil Division)</x:v>
      </x:c>
      <x:c r="H966" s="9" t="str">
        <x:v>Court of Appeal (Civil Division)</x:v>
      </x:c>
      <x:c r="I966" s="9" t="str">
        <x:v>England and Wales</x:v>
      </x:c>
      <x:c r="J966" s="9" t="str">
        <x:v>Contempt of Court; Family Law; Cross-border Child Abduction</x:v>
      </x:c>
      <x:c r="K966" s="9" t="str">
        <x:v>ew-cases-EWCA-Civ-2023-148.xml</x:v>
      </x:c>
      <x:c r="L966" s="9" t="str">
        <x:v>TBA</x:v>
      </x:c>
    </x:row>
    <x:row r="967">
      <x:c r="A967" t="str">
        <x:v>ccca1dac-c42c-4706-8000-43d9a4e38ced</x:v>
      </x:c>
      <x:c r="B967" t="str">
        <x:v>ee25b714-a850-4788-bcd3-623a5cbe4ede</x:v>
      </x:c>
      <x:c r="C967" s="9" t="str">
        <x:v>Electro Mechanical Installations Ltd v Royal Bank of Scotland [2014] EWCA Civ 77</x:v>
      </x:c>
      <x:c r="D967" s="9" t="str"/>
      <x:c r="E967" s="9" t="str"/>
      <x:c r="F967" s="13" t="str">
        <x:v>2014</x:v>
      </x:c>
      <x:c r="G967" s="9" t="str">
        <x:v>England and Wales Court of Appeal (Civil Division)</x:v>
      </x:c>
      <x:c r="H967" s="9" t="str">
        <x:v>Appellate</x:v>
      </x:c>
      <x:c r="I967" s="9" t="str">
        <x:v>England and Wales</x:v>
      </x:c>
      <x:c r="J967" s="9" t="str">
        <x:v>Banking Law</x:v>
      </x:c>
      <x:c r="K967" s="9" t="str">
        <x:v>-ew-cases-EWCA-Civ-2014-77.xml</x:v>
      </x:c>
      <x:c r="L967" s="9" t="str">
        <x:v>TBA</x:v>
      </x:c>
    </x:row>
    <x:row r="968">
      <x:c r="A968" t="str">
        <x:v>41d15c6f-4da9-4e82-8358-6052965bf62c</x:v>
      </x:c>
      <x:c r="B968" t="str">
        <x:v>5fa5daa4-5425-4b9c-98a6-26f59ca51e26</x:v>
      </x:c>
      <x:c r="C968" s="9" t="str">
        <x:v>Elim Court RTM Company Ltd v Avon Freeholds Ltd</x:v>
      </x:c>
      <x:c r="D968" s="9" t="str"/>
      <x:c r="E968" s="9" t="str"/>
      <x:c r="F968" s="13" t="str">
        <x:v>2017</x:v>
      </x:c>
      <x:c r="G968" s="9" t="str">
        <x:v>England and Wales Court of Appeal (Civil Division)</x:v>
      </x:c>
      <x:c r="H968" s="9" t="str">
        <x:v>Appellate</x:v>
      </x:c>
      <x:c r="I968" s="9" t="str">
        <x:v>England and Wales</x:v>
      </x:c>
      <x:c r="J968" s="9" t="str">
        <x:v>Property Law</x:v>
      </x:c>
      <x:c r="K968" s="9" t="str">
        <x:v>-ew-cases-EWCA-Civ-2017-89.xml</x:v>
      </x:c>
      <x:c r="L968" s="9" t="str">
        <x:v>TBA</x:v>
      </x:c>
    </x:row>
    <x:row r="969">
      <x:c r="A969" t="str">
        <x:v>7080f1e7-8b1f-450b-9386-ff8d64f772b8</x:v>
      </x:c>
      <x:c r="B969" t="str">
        <x:v>de4a5f2b-b3c7-4369-9020-dcc807bb315b</x:v>
      </x:c>
      <x:c r="C969" s="9" t="str">
        <x:v>Elkundi, R (On the Application Of) v Birmingham City Council [2022] EWCA Civ 601</x:v>
      </x:c>
      <x:c r="D969" s="9" t="str"/>
      <x:c r="E969" s="9" t="str"/>
      <x:c r="F969" s="13" t="str">
        <x:v>2022</x:v>
      </x:c>
      <x:c r="G969" s="9" t="str">
        <x:v>England and Wales Court of Appeal (Civil Division)</x:v>
      </x:c>
      <x:c r="H969" s="9" t="str">
        <x:v>Court of Appeal (Civil Division)</x:v>
      </x:c>
      <x:c r="I969" s="9" t="str">
        <x:v>England and Wales</x:v>
      </x:c>
      <x:c r="J969" s="9" t="str">
        <x:v>Public Law / Housing</x:v>
      </x:c>
      <x:c r="K969" s="9" t="str">
        <x:v>ew-cases-EWCA-Civ-2022-601.xml</x:v>
      </x:c>
      <x:c r="L969" s="9" t="str">
        <x:v>TBA</x:v>
      </x:c>
    </x:row>
    <x:row r="970">
      <x:c r="A970" t="str">
        <x:v>f5aec605-83be-40a6-83a9-6b4d5410b3d2</x:v>
      </x:c>
      <x:c r="B970" t="str">
        <x:v>8be234db-f6e6-4349-847b-e47ecc71b82e</x:v>
      </x:c>
      <x:c r="C970" s="9" t="str">
        <x:v>Ellam v Ellam [2015] EWCA Civ 287</x:v>
      </x:c>
      <x:c r="D970" s="9" t="str"/>
      <x:c r="E970" s="9" t="str"/>
      <x:c r="F970" s="13" t="str">
        <x:v>2015</x:v>
      </x:c>
      <x:c r="G970" s="9" t="str">
        <x:v>England and Wales Court of Appeal (Civil Division)</x:v>
      </x:c>
      <x:c r="H970" s="9" t="str">
        <x:v>Appellate</x:v>
      </x:c>
      <x:c r="I970" s="9" t="str">
        <x:v>England and Wales</x:v>
      </x:c>
      <x:c r="J970" s="9" t="str">
        <x:v>Tort</x:v>
      </x:c>
      <x:c r="K970" s="9" t="str">
        <x:v>-ew-cases-EWCA-Civ-2015-287.xml</x:v>
      </x:c>
      <x:c r="L970" s="9" t="str">
        <x:v>TBA</x:v>
      </x:c>
    </x:row>
    <x:row r="971">
      <x:c r="A971" t="str">
        <x:v>b1f7c0eb-abf7-4ea3-a217-306f054c52e0</x:v>
      </x:c>
      <x:c r="B971" t="str">
        <x:v>2c8bed8b-0add-4965-bd1f-aa4f59c94e01</x:v>
      </x:c>
      <x:c r="C971" s="9" t="str">
        <x:v>Elliott v Hattens Solicitors (a firm) [2021] EWCA Civ 720</x:v>
      </x:c>
      <x:c r="D971" s="9" t="str"/>
      <x:c r="E971" s="9" t="str"/>
      <x:c r="F971" s="13" t="str">
        <x:v>2021</x:v>
      </x:c>
      <x:c r="G971" s="9" t="str">
        <x:v>England and Wales Court of Appeal (Civil Division)</x:v>
      </x:c>
      <x:c r="H971" s="9" t="str">
        <x:v>Appellate</x:v>
      </x:c>
      <x:c r="I971" s="9" t="str">
        <x:v>England and Wales</x:v>
      </x:c>
      <x:c r="J971" s="9" t="str">
        <x:v>Tort</x:v>
      </x:c>
      <x:c r="K971" s="9" t="str">
        <x:v>ew-cases-EWCA-Civ-2021-720.xml</x:v>
      </x:c>
      <x:c r="L971" s="9" t="str">
        <x:v>TBA</x:v>
      </x:c>
    </x:row>
    <x:row r="972">
      <x:c r="A972" t="str">
        <x:v>34366d4b-055f-4b45-9089-92f07a6e0cf4</x:v>
      </x:c>
      <x:c r="B972" t="str">
        <x:v>5f489422-9a77-4e0f-bc3b-925d14c5876f</x:v>
      </x:c>
      <x:c r="C972" s="9" t="str">
        <x:v>Elliott v Rufus [2015] EWCA Civ 121</x:v>
      </x:c>
      <x:c r="D972" s="9" t="str"/>
      <x:c r="E972" s="9" t="str"/>
      <x:c r="F972" s="13" t="str">
        <x:v>2015</x:v>
      </x:c>
      <x:c r="G972" s="9" t="str">
        <x:v>England and Wales Court of Appeal (Civil Division)</x:v>
      </x:c>
      <x:c r="H972" s="9" t="str">
        <x:v>Appellate</x:v>
      </x:c>
      <x:c r="I972" s="9" t="str">
        <x:v>England</x:v>
      </x:c>
      <x:c r="J972" s="9" t="str">
        <x:v>Defamation</x:v>
      </x:c>
      <x:c r="K972" s="9" t="str">
        <x:v>-ew-cases-EWCA-Civ-2015-121.xml</x:v>
      </x:c>
      <x:c r="L972" s="9" t="str">
        <x:v>TBA</x:v>
      </x:c>
    </x:row>
    <x:row r="973">
      <x:c r="A973" t="str">
        <x:v>63c7ac1b-66a2-41f3-9763-618c860b52e4</x:v>
      </x:c>
      <x:c r="B973" t="str">
        <x:v>c43026a8-63c6-464c-ac00-b5807b262b43</x:v>
      </x:c>
      <x:c r="C973" s="9" t="str">
        <x:v>Elliottt v Stobart Group Ltd &amp; Ors [2015] EWCA Civ 449</x:v>
      </x:c>
      <x:c r="D973" s="9" t="str"/>
      <x:c r="E973" s="9" t="str"/>
      <x:c r="F973" s="13" t="str">
        <x:v>2015</x:v>
      </x:c>
      <x:c r="G973" s="9" t="str">
        <x:v>England and Wales Court of Appeal (Civil Division)</x:v>
      </x:c>
      <x:c r="H973" s="9" t="str">
        <x:v>Appellate</x:v>
      </x:c>
      <x:c r="I973" s="9" t="str">
        <x:v>England and Wales</x:v>
      </x:c>
      <x:c r="J973" s="9" t="str">
        <x:v>Civil Appeal</x:v>
      </x:c>
      <x:c r="K973" s="9" t="str">
        <x:v>-ew-cases-EWCA-Civ-2015-449.xml</x:v>
      </x:c>
      <x:c r="L973" s="9" t="str">
        <x:v>TBA</x:v>
      </x:c>
    </x:row>
    <x:row r="974">
      <x:c r="A974" t="str">
        <x:v>03d51398-4108-4a00-940a-9d299c1ed85b</x:v>
      </x:c>
      <x:c r="B974" t="str">
        <x:v>0fbfa459-0157-4476-8dbd-9d22ddafcebe</x:v>
      </x:c>
      <x:c r="C974" s="9" t="str">
        <x:v>Ellis v HM Solicitor General [2023] EWCA Civ 585</x:v>
      </x:c>
      <x:c r="D974" s="9" t="str"/>
      <x:c r="E974" s="9" t="str"/>
      <x:c r="F974" s="13" t="str">
        <x:v>2023</x:v>
      </x:c>
      <x:c r="G974" s="9" t="str">
        <x:v>England and Wales Court of Appeal (Civil Division)</x:v>
      </x:c>
      <x:c r="H974" s="9" t="str">
        <x:v>Court of Appeal (Civil Division)</x:v>
      </x:c>
      <x:c r="I974" s="9" t="str">
        <x:v>England and Wales</x:v>
      </x:c>
      <x:c r="J974" s="9" t="str">
        <x:v>Contempt of Court</x:v>
      </x:c>
      <x:c r="K974" s="9" t="str">
        <x:v>ew-cases-EWCA-Civ-2023-585.xml</x:v>
      </x:c>
      <x:c r="L974" s="9" t="str">
        <x:v>TBA</x:v>
      </x:c>
    </x:row>
    <x:row r="975">
      <x:c r="A975" t="str">
        <x:v>68deffb9-194e-4908-880b-3e000f674666</x:v>
      </x:c>
      <x:c r="B975" t="str">
        <x:v>f24206db-252f-4315-9329-1a0e99b5e099</x:v>
      </x:c>
      <x:c r="C975" s="9" t="str">
        <x:v>Ellis v The Cabinet Office [2015] EWCA Civ 252</x:v>
      </x:c>
      <x:c r="D975" s="9" t="str"/>
      <x:c r="E975" s="9" t="str"/>
      <x:c r="F975" s="13" t="str">
        <x:v>2015</x:v>
      </x:c>
      <x:c r="G975" s="9" t="str">
        <x:v>England and Wales Court of Appeal (Civil Division)</x:v>
      </x:c>
      <x:c r="H975" s="9" t="str">
        <x:v>Appellate</x:v>
      </x:c>
      <x:c r="I975" s="9" t="str">
        <x:v>England and Wales</x:v>
      </x:c>
      <x:c r="J975" s="9" t="str">
        <x:v>Employment Law</x:v>
      </x:c>
      <x:c r="K975" s="9" t="str">
        <x:v>-ew-cases-EWCA-Civ-2015-252.xml</x:v>
      </x:c>
      <x:c r="L975" s="9" t="str">
        <x:v>TBA</x:v>
      </x:c>
    </x:row>
    <x:row r="976">
      <x:c r="A976" t="str">
        <x:v>6a7420a3-f61b-41bd-9b36-1f5493c0e6e0</x:v>
      </x:c>
      <x:c r="B976" t="str">
        <x:v>7346b5f7-28ee-4240-82ae-7c91ba7aa08f</x:v>
      </x:c>
      <x:c r="C976" s="9" t="str">
        <x:v>Elliston v Glencore Services (UK) Ltd [2016] EWCA Civ 407</x:v>
      </x:c>
      <x:c r="D976" s="9" t="str"/>
      <x:c r="E976" s="9" t="str"/>
      <x:c r="F976" s="13" t="str">
        <x:v>2016</x:v>
      </x:c>
      <x:c r="G976" s="9" t="str">
        <x:v>England and Wales Court of Appeal (Civil Division)</x:v>
      </x:c>
      <x:c r="H976" s="9" t="str">
        <x:v>Court of Appeal (Civil Division)</x:v>
      </x:c>
      <x:c r="I976" s="9" t="str">
        <x:v>England and Wales</x:v>
      </x:c>
      <x:c r="J976" s="9" t="str">
        <x:v>Contract Dispute</x:v>
      </x:c>
      <x:c r="K976" s="9" t="str">
        <x:v>-ew-cases-EWCA-Civ-2016-407.xml</x:v>
      </x:c>
      <x:c r="L976" s="9" t="str">
        <x:v>TBA</x:v>
      </x:c>
    </x:row>
    <x:row r="977">
      <x:c r="A977" t="str">
        <x:v>c70ecbe3-795a-462a-a3cb-bc1d4a9de6df</x:v>
      </x:c>
      <x:c r="B977" t="str">
        <x:v>bd6d980c-e73b-4485-b863-9ccb5e3474bb</x:v>
      </x:c>
      <x:c r="C977" s="9" t="str">
        <x:v>Elo Trustees Limited v Bonhams 1793 Ltd &amp; Anor [2023] EWCA Civ 664</x:v>
      </x:c>
      <x:c r="D977" s="9" t="str"/>
      <x:c r="E977" s="9" t="str"/>
      <x:c r="F977" s="13" t="str">
        <x:v>2023</x:v>
      </x:c>
      <x:c r="G977" s="9" t="str">
        <x:v>England and Wales Court of Appeal (Civil Division)</x:v>
      </x:c>
      <x:c r="H977" s="9" t="str">
        <x:v>Court of Appeal (Civil Division)</x:v>
      </x:c>
      <x:c r="I977" s="9" t="str">
        <x:v>England and Wales</x:v>
      </x:c>
      <x:c r="J977" s="9" t="str">
        <x:v>Procedural Law / Civil Procedure</x:v>
      </x:c>
      <x:c r="K977" s="9" t="str">
        <x:v>ew-cases-EWCA-Civ-2023-664.xml</x:v>
      </x:c>
      <x:c r="L977" s="9" t="str">
        <x:v>TBA</x:v>
      </x:c>
    </x:row>
    <x:row r="978">
      <x:c r="A978" t="str">
        <x:v>74fa3efa-0694-4478-ab97-46149a9d12cc</x:v>
      </x:c>
      <x:c r="B978" t="str">
        <x:v>72b664d8-4341-47df-888b-63fa9063caf6</x:v>
      </x:c>
      <x:c r="C978" s="9" t="str">
        <x:v>ELS Group Ltd, R (on the application of) v HM Revenue and Customs [2016] EWCA Civ 663</x:v>
      </x:c>
      <x:c r="D978" s="9" t="str"/>
      <x:c r="E978" s="9" t="str"/>
      <x:c r="F978" s="13" t="str">
        <x:v>2016</x:v>
      </x:c>
      <x:c r="G978" s="9" t="str">
        <x:v>England and Wales Court of Appeal (Civil Division)</x:v>
      </x:c>
      <x:c r="H978" s="9" t="str">
        <x:v>Court of Appeal (Civil Division)</x:v>
      </x:c>
      <x:c r="I978" s="9" t="str">
        <x:v>England and Wales</x:v>
      </x:c>
      <x:c r="J978" s="9" t="str">
        <x:v>Tax Law; Value Added Tax; Agency/Principal; Employment Agencies Act 1973; VAT Regulations 1995</x:v>
      </x:c>
      <x:c r="K978" s="9" t="str">
        <x:v>-ew-cases-EWCA-Civ-2016-663.xml</x:v>
      </x:c>
      <x:c r="L978" s="9" t="str">
        <x:v>TBA</x:v>
      </x:c>
    </x:row>
    <x:row r="979">
      <x:c r="A979" t="str">
        <x:v>5bc837c1-a0ed-40d3-8846-8fdf5a162799</x:v>
      </x:c>
      <x:c r="B979" t="str">
        <x:v>bf055312-eaa7-4990-b797-e8611333fcf4</x:v>
      </x:c>
      <x:c r="C979" s="9" t="str">
        <x:v>Elson v Stilgoe [2017] EWCA Civ 193</x:v>
      </x:c>
      <x:c r="D979" s="9" t="str"/>
      <x:c r="E979" s="9" t="str"/>
      <x:c r="F979" s="13" t="str">
        <x:v>2017</x:v>
      </x:c>
      <x:c r="G979" s="9" t="str">
        <x:v>England and Wales Court of Appeal (Civil Division)</x:v>
      </x:c>
      <x:c r="H979" s="9" t="str">
        <x:v>Appellate</x:v>
      </x:c>
      <x:c r="I979" s="9" t="str">
        <x:v>England and Wales</x:v>
      </x:c>
      <x:c r="J979" s="9" t="str">
        <x:v>Personal Injury</x:v>
      </x:c>
      <x:c r="K979" s="9" t="str">
        <x:v>-ew-cases-EWCA-Civ-2017-193.xml</x:v>
      </x:c>
      <x:c r="L979" s="9" t="str">
        <x:v>TBA</x:v>
      </x:c>
    </x:row>
    <x:row r="980">
      <x:c r="A980" t="str">
        <x:v>3b75fd31-0ee5-4f39-a271-0b17d0e682f7</x:v>
      </x:c>
      <x:c r="B980" t="str">
        <x:v>63ef2757-1a67-40a3-a684-a4901ad74648</x:v>
      </x:c>
      <x:c r="C980" s="9" t="str">
        <x:v>Ely v Robson [2016] EWCA Civ 774</x:v>
      </x:c>
      <x:c r="D980" s="9" t="str"/>
      <x:c r="E980" s="9" t="str"/>
      <x:c r="F980" s="13" t="str">
        <x:v>2016</x:v>
      </x:c>
      <x:c r="G980" s="9" t="str">
        <x:v>England and Wales Court of Appeal (Civil Division)</x:v>
      </x:c>
      <x:c r="H980" s="9" t="str">
        <x:v>Court of Appeal (Civil Division)</x:v>
      </x:c>
      <x:c r="I980" s="9" t="str">
        <x:v>England and Wales</x:v>
      </x:c>
      <x:c r="J980" s="9" t="str">
        <x:v>Property and Trusts</x:v>
      </x:c>
      <x:c r="K980" s="9" t="str">
        <x:v>-ew-cases-EWCA-Civ-2016-774.xml</x:v>
      </x:c>
      <x:c r="L980" s="9" t="str">
        <x:v>TBA</x:v>
      </x:c>
    </x:row>
    <x:row r="981">
      <x:c r="A981" t="str">
        <x:v>4ca69dc1-1cb3-49c7-a766-442aa44030df</x:v>
      </x:c>
      <x:c r="B981" t="str">
        <x:v>270a7a8f-7f38-4fe7-ac53-617dcb955baf</x:v>
      </x:c>
      <x:c r="C981" s="9" t="str">
        <x:v>EM (Zimbabwe) v Secretary of State for the Home Department</x:v>
      </x:c>
      <x:c r="D981" s="9" t="str"/>
      <x:c r="E981" s="9" t="str"/>
      <x:c r="F981" s="13" t="str">
        <x:v>2015</x:v>
      </x:c>
      <x:c r="G981" s="9" t="str">
        <x:v>England and Wales Court of Appeal (Civil Division)</x:v>
      </x:c>
      <x:c r="H981" s="9" t="str">
        <x:v>Appellate</x:v>
      </x:c>
      <x:c r="I981" s="9" t="str">
        <x:v>England and Wales</x:v>
      </x:c>
      <x:c r="J981" s="9" t="str">
        <x:v>Immigration Law</x:v>
      </x:c>
      <x:c r="K981" s="9" t="str">
        <x:v>-ew-cases-EWCA-Civ-2015-961.xml</x:v>
      </x:c>
      <x:c r="L981" s="9" t="str">
        <x:v>TBA</x:v>
      </x:c>
    </x:row>
    <x:row r="982">
      <x:c r="A982" t="str">
        <x:v>45c69411-d68e-4c02-ba0c-922bc3c44280</x:v>
      </x:c>
      <x:c r="B982" t="str">
        <x:v>0d9deb9d-f92f-4f8e-8ed5-57b439fafe8d</x:v>
      </x:c>
      <x:c r="C982" s="9" t="str">
        <x:v>Embiricos v HM Revenue and Customs [2022] EWCA Civ 3</x:v>
      </x:c>
      <x:c r="D982" s="9" t="str"/>
      <x:c r="E982" s="9" t="str"/>
      <x:c r="F982" s="13" t="str">
        <x:v>2022</x:v>
      </x:c>
      <x:c r="G982" s="9" t="str">
        <x:v>England and Wales Court of Appeal (Civil Division)</x:v>
      </x:c>
      <x:c r="H982" s="9" t="str">
        <x:v>Court of Appeal (Civil Division)</x:v>
      </x:c>
      <x:c r="I982" s="9" t="str">
        <x:v>England and Wales</x:v>
      </x:c>
      <x:c r="J982" s="9" t="str">
        <x:v>Tax Law</x:v>
      </x:c>
      <x:c r="K982" s="9" t="str">
        <x:v>ew-cases-EWCA-Civ-2022-3.xml</x:v>
      </x:c>
      <x:c r="L982" s="9" t="str">
        <x:v>TBA</x:v>
      </x:c>
    </x:row>
    <x:row r="983">
      <x:c r="A983" t="str">
        <x:v>5d7dba5e-af5b-46a9-b74a-7bfa23eae170</x:v>
      </x:c>
      <x:c r="B983" t="str">
        <x:v>5e48060b-4f27-436f-bdee-40229d3aa8f2</x:v>
      </x:c>
      <x:c r="C983" s="9" t="str">
        <x:v>EMFC Loan Syndications LLP v The Resort Group Plc</x:v>
      </x:c>
      <x:c r="D983" s="9" t="str"/>
      <x:c r="E983" s="9" t="str"/>
      <x:c r="F983" s="13" t="str">
        <x:v>2021</x:v>
      </x:c>
      <x:c r="G983" s="9" t="str">
        <x:v>England and Wales Court of Appeal (Civil Division)</x:v>
      </x:c>
      <x:c r="H983" s="9" t="str">
        <x:v>appellate</x:v>
      </x:c>
      <x:c r="I983" s="9" t="str">
        <x:v>England and Wales</x:v>
      </x:c>
      <x:c r="J983" s="9" t="str">
        <x:v>Contract Dispute</x:v>
      </x:c>
      <x:c r="K983" s="9" t="str">
        <x:v>ew-cases-EWCA-Civ-2021-844.xml</x:v>
      </x:c>
      <x:c r="L983" s="9" t="str">
        <x:v>TBA</x:v>
      </x:c>
    </x:row>
    <x:row r="984">
      <x:c r="A984" t="str">
        <x:v>f05467ba-d56e-4e45-8bd6-4f05b4fbba2c</x:v>
      </x:c>
      <x:c r="B984" t="str">
        <x:v>944d88b3-0eee-4232-bae9-6cf36a88286d</x:v>
      </x:c>
      <x:c r="C984" s="9" t="str">
        <x:v>Emmett v Sisson [2014] EWCA Civ 64 - Right of Way Dispute</x:v>
      </x:c>
      <x:c r="D984" s="9" t="str"/>
      <x:c r="E984" s="9" t="str"/>
      <x:c r="F984" s="13" t="str">
        <x:v>2014</x:v>
      </x:c>
      <x:c r="G984" s="9" t="str">
        <x:v>England and Wales Court of Appeal (Civil Division)</x:v>
      </x:c>
      <x:c r="H984" s="9" t="str">
        <x:v>Appellate</x:v>
      </x:c>
      <x:c r="I984" s="9" t="str">
        <x:v>England and Wales</x:v>
      </x:c>
      <x:c r="J984" s="9" t="str">
        <x:v>Property Law</x:v>
      </x:c>
      <x:c r="K984" s="9" t="str">
        <x:v>-ew-cases-EWCA-Civ-2014-64.xml</x:v>
      </x:c>
      <x:c r="L984" s="9" t="str">
        <x:v>TBA</x:v>
      </x:c>
    </x:row>
    <x:row r="985">
      <x:c r="A985" t="str">
        <x:v>ad29b4e9-930d-44ba-a11f-1614c3cda1bc</x:v>
      </x:c>
      <x:c r="B985" t="str">
        <x:v>7d462ba3-ea6f-4563-9139-308ded6eb452</x:v>
      </x:c>
      <x:c r="C985" s="9" t="str">
        <x:v>Emmott v Michael Wilson &amp; Partners Ltd [2017] EWCA Civ 367</x:v>
      </x:c>
      <x:c r="D985" s="9" t="str"/>
      <x:c r="E985" s="9" t="str"/>
      <x:c r="F985" s="13" t="str">
        <x:v>2017</x:v>
      </x:c>
      <x:c r="G985" s="9" t="str">
        <x:v>England and Wales Court of Appeal (Civil Division)</x:v>
      </x:c>
      <x:c r="H985" s="9" t="str">
        <x:v>Appellate</x:v>
      </x:c>
      <x:c r="I985" s="9" t="str">
        <x:v>England and Wales</x:v>
      </x:c>
      <x:c r="J985" s="9" t="str">
        <x:v>Civil</x:v>
      </x:c>
      <x:c r="K985" s="9" t="str">
        <x:v>-ew-cases-EWCA-Civ-2017-367.xml</x:v>
      </x:c>
      <x:c r="L985" s="9" t="str">
        <x:v>TBA</x:v>
      </x:c>
    </x:row>
    <x:row r="986">
      <x:c r="A986" t="str">
        <x:v>07892505-7528-493b-9b92-49533597cc5f</x:v>
      </x:c>
      <x:c r="B986" t="str">
        <x:v>21a0b3f4-8918-49d8-accd-c9c03b97e382</x:v>
      </x:c>
      <x:c r="C986" s="9" t="str">
        <x:v>Emojevbe v Secretary of State for Transport [2017] EWCA Civ 934</x:v>
      </x:c>
      <x:c r="D986" s="9" t="str"/>
      <x:c r="E986" s="9" t="str"/>
      <x:c r="F986" s="13" t="str">
        <x:v>2017</x:v>
      </x:c>
      <x:c r="G986" s="9" t="str">
        <x:v>England and Wales Court of Appeal (Civil Division)</x:v>
      </x:c>
      <x:c r="H986" s="9" t="str">
        <x:v>Appellate</x:v>
      </x:c>
      <x:c r="I986" s="9" t="str">
        <x:v>England and Wales</x:v>
      </x:c>
      <x:c r="J986" s="9" t="str">
        <x:v>Civil Procedure</x:v>
      </x:c>
      <x:c r="K986" s="9" t="str">
        <x:v>-ew-cases-EWCA-Civ-2017-934.xml</x:v>
      </x:c>
      <x:c r="L986" s="9" t="str">
        <x:v>TBA</x:v>
      </x:c>
    </x:row>
    <x:row r="987">
      <x:c r="A987" t="str">
        <x:v>004b20c2-aca4-4d60-9ff1-4e2b14ec3ab2</x:v>
      </x:c>
      <x:c r="B987" t="str">
        <x:v>63d2c1b3-0f4b-4b50-98cb-21ec694c2814</x:v>
      </x:c>
      <x:c r="C987" s="9" t="str">
        <x:v>End Violence Against Women Coalition, R (On the Application Of) v Director of Public Prosecutions</x:v>
      </x:c>
      <x:c r="D987" s="9" t="str"/>
      <x:c r="E987" s="9" t="str"/>
      <x:c r="F987" s="13" t="str">
        <x:v>2021</x:v>
      </x:c>
      <x:c r="G987" s="9" t="str">
        <x:v>England and Wales Court of Appeal (Civil Division)</x:v>
      </x:c>
      <x:c r="H987" s="9" t="str">
        <x:v>Appellate</x:v>
      </x:c>
      <x:c r="I987" s="9" t="str">
        <x:v>England and Wales</x:v>
      </x:c>
      <x:c r="J987" s="9" t="str">
        <x:v>Judicial Review</x:v>
      </x:c>
      <x:c r="K987" s="9" t="str">
        <x:v>ew-cases-EWCA-Civ-2021-350.xml</x:v>
      </x:c>
      <x:c r="L987" s="9" t="str">
        <x:v>TBA</x:v>
      </x:c>
    </x:row>
    <x:row r="988">
      <x:c r="A988" t="str">
        <x:v>194e29c4-054e-4aa6-a814-89b46afc78bb</x:v>
      </x:c>
      <x:c r="B988" t="str">
        <x:v>9c7eb0cd-261d-44c4-80bd-df1c587dc3c2</x:v>
      </x:c>
      <x:c r="C988" s="9" t="str">
        <x:v>Energy Data Company Ltd v Eyers &amp; Anor [2015] EWCA Civ 1425</x:v>
      </x:c>
      <x:c r="D988" s="9" t="str"/>
      <x:c r="E988" s="9" t="str"/>
      <x:c r="F988" s="13" t="str">
        <x:v>2015</x:v>
      </x:c>
      <x:c r="G988" s="9" t="str">
        <x:v>England and Wales Court of Appeal (Civil Division)</x:v>
      </x:c>
      <x:c r="H988" s="9" t="str">
        <x:v>Appellate</x:v>
      </x:c>
      <x:c r="I988" s="9" t="str">
        <x:v>England and Wales</x:v>
      </x:c>
      <x:c r="J988" s="9" t="str">
        <x:v>Contract Dispute</x:v>
      </x:c>
      <x:c r="K988" s="9" t="str">
        <x:v>-ew-cases-EWCA-Civ-2015-1425.xml</x:v>
      </x:c>
      <x:c r="L988" s="9" t="str">
        <x:v>TBA</x:v>
      </x:c>
    </x:row>
    <x:row r="989">
      <x:c r="A989" t="str">
        <x:v>c6b41a46-0e7a-423b-894c-2bff921a2be3</x:v>
      </x:c>
      <x:c r="B989" t="str">
        <x:v>1c770f58-c911-4e4f-af8e-b404b9d327b1</x:v>
      </x:c>
      <x:c r="C989" s="9" t="str">
        <x:v>Energy Venture Partners Ltd v Malabu Oil and Gas Ltd</x:v>
      </x:c>
      <x:c r="D989" s="9" t="str"/>
      <x:c r="E989" s="9" t="str"/>
      <x:c r="F989" s="13" t="str">
        <x:v>2014</x:v>
      </x:c>
      <x:c r="G989" s="9" t="str">
        <x:v>England and Wales Court of Appeal (Civil Division)</x:v>
      </x:c>
      <x:c r="H989" s="9" t="str">
        <x:v>Appellate</x:v>
      </x:c>
      <x:c r="I989" s="9" t="str">
        <x:v>England and Wales</x:v>
      </x:c>
      <x:c r="J989" s="9" t="str">
        <x:v>Commercial Law</x:v>
      </x:c>
      <x:c r="K989" s="9" t="str">
        <x:v>-ew-cases-EWCA-Civ-2014-1295.xml</x:v>
      </x:c>
      <x:c r="L989" s="9" t="str">
        <x:v>TBA</x:v>
      </x:c>
    </x:row>
    <x:row r="990">
      <x:c r="A990" t="str">
        <x:v>f86ae6a8-548d-4e20-ae9d-bd8da88c44f8</x:v>
      </x:c>
      <x:c r="B990" t="str">
        <x:v>978a6183-f528-4857-bb46-605c08e6c13d</x:v>
      </x:c>
      <x:c r="C990" s="9" t="str">
        <x:v>Energysolutions EU Ltd v Nuclear Decommissioning Authority [2015] EWCA Civ 1262</x:v>
      </x:c>
      <x:c r="D990" s="9" t="str"/>
      <x:c r="E990" s="9" t="str"/>
      <x:c r="F990" s="13" t="str">
        <x:v>2015</x:v>
      </x:c>
      <x:c r="G990" s="9" t="str">
        <x:v>England and Wales Court of Appeal (Civil Division)</x:v>
      </x:c>
      <x:c r="H990" s="9" t="str">
        <x:v>Appellate</x:v>
      </x:c>
      <x:c r="I990" s="9" t="str">
        <x:v>England and Wales</x:v>
      </x:c>
      <x:c r="J990" s="9" t="str">
        <x:v>Contract Dispute</x:v>
      </x:c>
      <x:c r="K990" s="9" t="str">
        <x:v>-ew-cases-EWCA-Civ-2015-1262.xml</x:v>
      </x:c>
      <x:c r="L990" s="9" t="str">
        <x:v>TBA</x:v>
      </x:c>
    </x:row>
    <x:row r="991">
      <x:c r="A991" t="str">
        <x:v>c8dec2e1-be4b-4161-b29d-c5ab5149aab7</x:v>
      </x:c>
      <x:c r="B991" t="str">
        <x:v>f30cc6e6-eaaa-4d4b-acf6-f518445a4d7c</x:v>
      </x:c>
      <x:c r="C991" s="9" t="str">
        <x:v>Engeham v London &amp; Quadrant Housing Trust &amp; Anor</x:v>
      </x:c>
      <x:c r="D991" s="9" t="str"/>
      <x:c r="E991" s="9" t="str"/>
      <x:c r="F991" s="13" t="str">
        <x:v>2015</x:v>
      </x:c>
      <x:c r="G991" s="9" t="str">
        <x:v>England and Wales Court of Appeal (Civil Division)</x:v>
      </x:c>
      <x:c r="H991" s="9" t="str">
        <x:v>Appellate</x:v>
      </x:c>
      <x:c r="I991" s="9" t="str">
        <x:v>England and Wales</x:v>
      </x:c>
      <x:c r="J991" s="9" t="str">
        <x:v>Civil Appeal</x:v>
      </x:c>
      <x:c r="K991" s="9" t="str">
        <x:v>-ew-cases-EWCA-Civ-2015-1530.xml</x:v>
      </x:c>
      <x:c r="L991" s="9" t="str">
        <x:v>TBA</x:v>
      </x:c>
    </x:row>
    <x:row r="992">
      <x:c r="A992" t="str">
        <x:v>4e76fee3-3e4c-41b6-b06e-19caf3dc38d3</x:v>
      </x:c>
      <x:c r="B992" t="str">
        <x:v>69e3b9fe-a44c-49fd-bf83-fcd3dc5bccaf</x:v>
      </x:c>
      <x:c r="C992" s="9" t="str">
        <x:v>England and Wales Court of Appeal (Civil Division) Decisions — Withdrawn Draft Version [2016] EWCA B1 Civ</x:v>
      </x:c>
      <x:c r="D992" s="9" t="str"/>
      <x:c r="E992" s="9" t="str"/>
      <x:c r="F992" s="13" t="str">
        <x:v>2016</x:v>
      </x:c>
      <x:c r="G992" s="9" t="str">
        <x:v>England and Wales Court of Appeal (Civil Division)</x:v>
      </x:c>
      <x:c r="H992" s="9" t="str">
        <x:v>Court of Appeal (Civil Division)</x:v>
      </x:c>
      <x:c r="I992" s="9" t="str">
        <x:v>England and Wales</x:v>
      </x:c>
      <x:c r="J992" s="9" t="str">
        <x:v>Civil Procedure / Appellate Practice</x:v>
      </x:c>
      <x:c r="K992" s="9" t="str">
        <x:v>-ew-cases-EWCA-Civ-2016-B1.xml</x:v>
      </x:c>
      <x:c r="L992" s="9" t="str">
        <x:v>TBA</x:v>
      </x:c>
    </x:row>
    <x:row r="993">
      <x:c r="A993" t="str">
        <x:v>3c8d3441-bf0e-46f4-bcec-be1518252bad</x:v>
      </x:c>
      <x:c r="B993" t="str">
        <x:v>26a8199d-2c00-43b8-815c-036d01dbe2a6</x:v>
      </x:c>
      <x:c r="C993" s="9" t="str">
        <x:v>English Heritage v Taylor [2016] EWCA Civ 448</x:v>
      </x:c>
      <x:c r="D993" s="9" t="str"/>
      <x:c r="E993" s="9" t="str"/>
      <x:c r="F993" s="13" t="str">
        <x:v>2016</x:v>
      </x:c>
      <x:c r="G993" s="9" t="str">
        <x:v>England and Wales Court of Appeal (Civil Division)</x:v>
      </x:c>
      <x:c r="H993" s="9" t="str">
        <x:v>Court of Appeal (Civil Division)</x:v>
      </x:c>
      <x:c r="I993" s="9" t="str">
        <x:v>England and Wales</x:v>
      </x:c>
      <x:c r="J993" s="9" t="str">
        <x:v>Tort - Occupiers' Liability</x:v>
      </x:c>
      <x:c r="K993" s="9" t="str">
        <x:v>-ew-cases-EWCA-Civ-2016-448.xml</x:v>
      </x:c>
      <x:c r="L993" s="9" t="str">
        <x:v>TBA</x:v>
      </x:c>
    </x:row>
    <x:row r="994">
      <x:c r="A994" t="str">
        <x:v>87b469af-671a-4f02-a159-2010abce35f9</x:v>
      </x:c>
      <x:c r="B994" t="str">
        <x:v>f11564b3-860c-4adc-bd7a-d530ce37ea95</x:v>
      </x:c>
      <x:c r="C994" s="9" t="str">
        <x:v>English v Emery Reimbold &amp; Strick Ltd</x:v>
      </x:c>
      <x:c r="D994" s="9" t="str"/>
      <x:c r="E994" s="9" t="str"/>
      <x:c r="F994" s="13" t="str">
        <x:v>2002</x:v>
      </x:c>
      <x:c r="G994" s="9" t="str">
        <x:v>England and Wales Court of Appeal (Civil Division)</x:v>
      </x:c>
      <x:c r="H994" s="9" t="str">
        <x:v>Appellate</x:v>
      </x:c>
      <x:c r="I994" s="9" t="str">
        <x:v>England and Wales</x:v>
      </x:c>
      <x:c r="J994" s="9" t="str">
        <x:v>Civil Appeal</x:v>
      </x:c>
      <x:c r="K994" s="9" t="str">
        <x:v>PT_EWCA-Civ_2002_605.xml</x:v>
      </x:c>
      <x:c r="L994" s="9" t="str">
        <x:v>TBA</x:v>
      </x:c>
    </x:row>
    <x:row r="995">
      <x:c r="A995" t="str">
        <x:v>0848e40b-daf9-452b-8327-f2dfa82f309e</x:v>
      </x:c>
      <x:c r="B995" t="str">
        <x:v>29beb175-5090-4429-8a52-13b51ae6b744</x:v>
      </x:c>
      <x:c r="C995" s="9" t="str">
        <x:v>Entry Clearance Officer - United States of America v MW (United States of America) &amp; Ors [2016] EWCA Civ 1273</x:v>
      </x:c>
      <x:c r="D995" s="9" t="str"/>
      <x:c r="E995" s="9" t="str"/>
      <x:c r="F995" s="13" t="str">
        <x:v>2016</x:v>
      </x:c>
      <x:c r="G995" s="9" t="str">
        <x:v>England and Wales Court of Appeal (Civil Division)</x:v>
      </x:c>
      <x:c r="H995" s="9" t="str">
        <x:v>Court of Appeal (Civil Division)</x:v>
      </x:c>
      <x:c r="I995" s="9" t="str">
        <x:v>England and Wales</x:v>
      </x:c>
      <x:c r="J995" s="9" t="str">
        <x:v>Administrative Law / Immigration Law</x:v>
      </x:c>
      <x:c r="K995" s="9" t="str">
        <x:v>-ew-cases-EWCA-Civ-2016-1273.xml</x:v>
      </x:c>
      <x:c r="L995" s="9" t="str">
        <x:v>TBA</x:v>
      </x:c>
    </x:row>
    <x:row r="996">
      <x:c r="A996" t="str">
        <x:v>401ac182-0037-478e-b588-61ff94a893b2</x:v>
      </x:c>
      <x:c r="B996" t="str">
        <x:v>bb9b5cfd-8542-41bb-9d13-37b67de8f79d</x:v>
      </x:c>
      <x:c r="C996" s="9" t="str">
        <x:v>Entry Clearance Officer, Sierra Leone v Kopoi [2017] EWCA Civ 1511</x:v>
      </x:c>
      <x:c r="D996" s="9" t="str"/>
      <x:c r="E996" s="9" t="str"/>
      <x:c r="F996" s="13" t="str">
        <x:v>2017</x:v>
      </x:c>
      <x:c r="G996" s="9" t="str">
        <x:v>England and Wales Court of Appeal (Civil Division)</x:v>
      </x:c>
      <x:c r="H996" s="9" t="str">
        <x:v>Appellate</x:v>
      </x:c>
      <x:c r="I996" s="9" t="str">
        <x:v>England and Wales</x:v>
      </x:c>
      <x:c r="J996" s="9" t="str">
        <x:v>Immigration Law</x:v>
      </x:c>
      <x:c r="K996" s="9" t="str">
        <x:v>-ew-cases-EWCA-Civ-2017-1511.xml</x:v>
      </x:c>
      <x:c r="L996" s="9" t="str">
        <x:v>TBA</x:v>
      </x:c>
    </x:row>
    <x:row r="997">
      <x:c r="A997" t="str">
        <x:v>fd4a45c1-c5af-449e-8fa1-5d544554ace3</x:v>
      </x:c>
      <x:c r="B997" t="str">
        <x:v>02943652-a250-44f9-84c2-7eaa9f852c7b</x:v>
      </x:c>
      <x:c r="C997" s="9" t="str">
        <x:v>Environment Agency v Churngold Recycling Ltd [2014] EWCA Civ 909</x:v>
      </x:c>
      <x:c r="D997" s="9" t="str"/>
      <x:c r="E997" s="9" t="str"/>
      <x:c r="F997" s="13" t="str">
        <x:v>2014</x:v>
      </x:c>
      <x:c r="G997" s="9" t="str">
        <x:v>England and Wales Court of Appeal (Civil Division)</x:v>
      </x:c>
      <x:c r="H997" s="9" t="str">
        <x:v>Appellate</x:v>
      </x:c>
      <x:c r="I997" s="9" t="str">
        <x:v>England and Wales</x:v>
      </x:c>
      <x:c r="J997" s="9" t="str">
        <x:v>Environmental Law</x:v>
      </x:c>
      <x:c r="K997" s="9" t="str">
        <x:v>-ew-cases-EWCA-Civ-2014-909.xml</x:v>
      </x:c>
      <x:c r="L997" s="9" t="str">
        <x:v>TBA</x:v>
      </x:c>
    </x:row>
    <x:row r="998">
      <x:c r="A998" t="str">
        <x:v>fde727f1-d1c3-4cc6-b7a8-a638a3864e50</x:v>
      </x:c>
      <x:c r="B998" t="str">
        <x:v>cce7413a-8b7c-4012-a81a-37936dab1c86</x:v>
      </x:c>
      <x:c r="C998" s="9" t="str">
        <x:v>EO (Nigeria) v Secretary of State for the Home Department [2014] EWCA Civ 1418</x:v>
      </x:c>
      <x:c r="D998" s="9" t="str"/>
      <x:c r="E998" s="9" t="str"/>
      <x:c r="F998" s="13" t="str">
        <x:v>2014</x:v>
      </x:c>
      <x:c r="G998" s="9" t="str">
        <x:v>England and Wales Court of Appeal (Civil Division)</x:v>
      </x:c>
      <x:c r="H998" s="9" t="str">
        <x:v>Appellate</x:v>
      </x:c>
      <x:c r="I998" s="9" t="str">
        <x:v>England and Wales</x:v>
      </x:c>
      <x:c r="J998" s="9" t="str">
        <x:v>Immigration Law</x:v>
      </x:c>
      <x:c r="K998" s="9" t="str">
        <x:v>-ew-cases-EWCA-Civ-2014-1418.xml</x:v>
      </x:c>
      <x:c r="L998" s="9" t="str">
        <x:v>TBA</x:v>
      </x:c>
    </x:row>
    <x:row r="999">
      <x:c r="A999" t="str">
        <x:v>9c9c7475-7a65-4db0-a7b4-3f3a2f4eac6b</x:v>
      </x:c>
      <x:c r="B999" t="str">
        <x:v>d9ee3df6-1f10-47e6-82c1-771cbe0bbdaa</x:v>
      </x:c>
      <x:c r="C999" s="9" t="str">
        <x:v>EOG &amp; Anor v Secretary of State for the Home Department [2022] EWCA Civ 307</x:v>
      </x:c>
      <x:c r="D999" s="9" t="str"/>
      <x:c r="E999" s="9" t="str"/>
      <x:c r="F999" s="13" t="str">
        <x:v>2022</x:v>
      </x:c>
      <x:c r="G999" s="9" t="str">
        <x:v>England and Wales Court of Appeal (Civil Division)</x:v>
      </x:c>
      <x:c r="H999" s="9" t="str">
        <x:v>Court of Appeal (Civil Division)</x:v>
      </x:c>
      <x:c r="I999" s="9" t="str">
        <x:v>England and Wales</x:v>
      </x:c>
      <x:c r="J999" s="9" t="str">
        <x:v>Administrative Law / Immigration / Human Rights</x:v>
      </x:c>
      <x:c r="K999" s="9" t="str">
        <x:v>ew-cases-EWCA-Civ-2022-307.xml</x:v>
      </x:c>
      <x:c r="L999" s="9" t="str">
        <x:v>TBA</x:v>
      </x:c>
    </x:row>
    <x:row r="1000">
      <x:c r="A1000" t="str">
        <x:v>41324c54-5b8d-4040-8a9d-3e46de362cac</x:v>
      </x:c>
      <x:c r="B1000" t="str">
        <x:v>38228566-f138-413e-98cf-b8c35fe9afaa</x:v>
      </x:c>
      <x:c r="C1000" s="9" t="str">
        <x:v>Erimus Housing Ltd v Barclays Wealth Trustees (Jersey) Ltd &amp; Ors [2014] EWCA Civ 303</x:v>
      </x:c>
      <x:c r="D1000" s="9" t="str"/>
      <x:c r="E1000" s="9" t="str"/>
      <x:c r="F1000" s="13" t="str">
        <x:v>2014</x:v>
      </x:c>
      <x:c r="G1000" s="9" t="str">
        <x:v>England and Wales Court of Appeal (Civil Division)</x:v>
      </x:c>
      <x:c r="H1000" s="9" t="str">
        <x:v>Appellate</x:v>
      </x:c>
      <x:c r="I1000" s="9" t="str">
        <x:v>England and Wales</x:v>
      </x:c>
      <x:c r="J1000" s="9" t="str">
        <x:v>Property Law</x:v>
      </x:c>
      <x:c r="K1000" s="9" t="str">
        <x:v>-ew-cases-EWCA-Civ-2014-303.xml</x:v>
      </x:c>
      <x:c r="L1000" s="9" t="str">
        <x:v>TBA</x:v>
      </x:c>
    </x:row>
    <x:row r="1001">
      <x:c r="A1001" t="str">
        <x:v>22a5d45d-b14a-43e5-888a-c39a6c553d53</x:v>
      </x:c>
      <x:c r="B1001" t="str">
        <x:v>18e56856-295c-48b1-ba4f-89ef8ee53d9c</x:v>
      </x:c>
      <x:c r="C1001" s="9" t="str">
        <x:v>Erste Group Bank AG v JSC 'VMZ Red October' &amp; Ors</x:v>
      </x:c>
      <x:c r="D1001" s="9" t="str"/>
      <x:c r="E1001" s="9" t="str"/>
      <x:c r="F1001" s="13" t="str">
        <x:v>2015</x:v>
      </x:c>
      <x:c r="G1001" s="9" t="str">
        <x:v>England and Wales Court of Appeal (Civil Division)</x:v>
      </x:c>
      <x:c r="H1001" s="9" t="str">
        <x:v>Appellate</x:v>
      </x:c>
      <x:c r="I1001" s="9" t="str">
        <x:v>England and Wales</x:v>
      </x:c>
      <x:c r="J1001" s="9" t="str">
        <x:v>Civil Appeal</x:v>
      </x:c>
      <x:c r="K1001" s="9" t="str">
        <x:v>-ew-cases-EWCA-Civ-2015-379.xml</x:v>
      </x:c>
      <x:c r="L1001" s="9" t="str">
        <x:v>TBA</x:v>
      </x:c>
    </x:row>
    <x:row r="1002">
      <x:c r="A1002" t="str">
        <x:v>6291de28-92d0-4811-bade-e5d51c399dde</x:v>
      </x:c>
      <x:c r="B1002" t="str">
        <x:v>e8bfaeea-f647-4cc0-9dca-90712ad2cb8e</x:v>
      </x:c>
      <x:c r="C1002" s="9" t="str">
        <x:v>Esporta Ltd v Revenue And Customs [2014] EWCA Civ 155</x:v>
      </x:c>
      <x:c r="D1002" s="9" t="str"/>
      <x:c r="E1002" s="9" t="str"/>
      <x:c r="F1002" s="13" t="str">
        <x:v>2014</x:v>
      </x:c>
      <x:c r="G1002" s="9" t="str">
        <x:v>England and Wales Court of Appeal (Civil Division)</x:v>
      </x:c>
      <x:c r="H1002" s="9" t="str">
        <x:v>Appellate</x:v>
      </x:c>
      <x:c r="I1002" s="9" t="str">
        <x:v>England and Wales</x:v>
      </x:c>
      <x:c r="J1002" s="9" t="str">
        <x:v>Taxation</x:v>
      </x:c>
      <x:c r="K1002" s="9" t="str">
        <x:v>-ew-cases-EWCA-Civ-2014-155.xml</x:v>
      </x:c>
      <x:c r="L1002" s="9" t="str">
        <x:v>TBA</x:v>
      </x:c>
    </x:row>
    <x:row r="1003">
      <x:c r="A1003" t="str">
        <x:v>7310536e-7a2e-482c-9ea0-94583a23ba67</x:v>
      </x:c>
      <x:c r="B1003" t="str">
        <x:v>0a92aa63-ceb6-4a05-9de8-8449d1c0b8d4</x:v>
      </x:c>
      <x:c r="C1003" s="9" t="str">
        <x:v>Essence Bars (London) Ltd (t/a Essence), R (on the application of) v Wimbledon Magistrates' Court &amp; Anor [2016] EWCA Civ 63</x:v>
      </x:c>
      <x:c r="D1003" s="9" t="str"/>
      <x:c r="E1003" s="9" t="str"/>
      <x:c r="F1003" s="13" t="str">
        <x:v>2016</x:v>
      </x:c>
      <x:c r="G1003" s="9" t="str">
        <x:v>England and Wales Court of Appeal (Civil Division)</x:v>
      </x:c>
      <x:c r="H1003" s="9" t="str">
        <x:v>Court of Appeal (Civil Division)</x:v>
      </x:c>
      <x:c r="I1003" s="9" t="str">
        <x:v>England and Wales</x:v>
      </x:c>
      <x:c r="J1003" s="9" t="str">
        <x:v>Administrative Law / Licensing</x:v>
      </x:c>
      <x:c r="K1003" s="9" t="str">
        <x:v>-ew-cases-EWCA-Civ-2016-63.xml</x:v>
      </x:c>
      <x:c r="L1003" s="9" t="str">
        <x:v>TBA</x:v>
      </x:c>
    </x:row>
    <x:row r="1004">
      <x:c r="A1004" t="str">
        <x:v>edf46431-6460-41cf-8d07-d48c1eac8a69</x:v>
      </x:c>
      <x:c r="B1004" t="str">
        <x:v>6e6df15d-220b-4a48-a5c2-f994075dfe68</x:v>
      </x:c>
      <x:c r="C1004" s="9" t="str">
        <x:v>Essex County Council v Secretary of State for Education [2015] EWCA Civ 1237</x:v>
      </x:c>
      <x:c r="D1004" s="9" t="str"/>
      <x:c r="E1004" s="9" t="str"/>
      <x:c r="F1004" s="13" t="str">
        <x:v>2015</x:v>
      </x:c>
      <x:c r="G1004" s="9" t="str">
        <x:v>England and Wales Court of Appeal (Civil Division)</x:v>
      </x:c>
      <x:c r="H1004" s="9" t="str">
        <x:v>Appellate</x:v>
      </x:c>
      <x:c r="I1004" s="9" t="str">
        <x:v>England and Wales</x:v>
      </x:c>
      <x:c r="J1004" s="9" t="str">
        <x:v>Administrative Law</x:v>
      </x:c>
      <x:c r="K1004" s="9" t="str">
        <x:v>-ew-cases-EWCA-Civ-2015-1237.xml</x:v>
      </x:c>
      <x:c r="L1004" s="9" t="str">
        <x:v>TBA</x:v>
      </x:c>
    </x:row>
    <x:row r="1005">
      <x:c r="A1005" t="str">
        <x:v>5868b4ba-3ea0-4455-b6f3-8ec52a76070b</x:v>
      </x:c>
      <x:c r="B1005" t="str">
        <x:v>f5b32886-8b05-4dd1-8591-1eebef6c00c4</x:v>
      </x:c>
      <x:c r="C1005" s="9" t="str">
        <x:v>ET (Albania) v Secretary of State for the Home Department [2015] EWCA Civ 871</x:v>
      </x:c>
      <x:c r="D1005" s="9" t="str"/>
      <x:c r="E1005" s="9" t="str"/>
      <x:c r="F1005" s="13" t="str">
        <x:v>2015</x:v>
      </x:c>
      <x:c r="G1005" s="9" t="str">
        <x:v>England and Wales Court of Appeal (Civil Division)</x:v>
      </x:c>
      <x:c r="H1005" s="9" t="str">
        <x:v>Appellate</x:v>
      </x:c>
      <x:c r="I1005" s="9" t="str">
        <x:v>England and Wales</x:v>
      </x:c>
      <x:c r="J1005" s="9" t="str">
        <x:v>Immigration Law</x:v>
      </x:c>
      <x:c r="K1005" s="9" t="str">
        <x:v>-ew-cases-EWCA-Civ-2015-871.xml</x:v>
      </x:c>
      <x:c r="L1005" s="9" t="str">
        <x:v>TBA</x:v>
      </x:c>
    </x:row>
    <x:row r="1006">
      <x:c r="A1006" t="str">
        <x:v>d2421b8a-fef8-43d0-8c1c-7890d24959c8</x:v>
      </x:c>
      <x:c r="B1006" t="str">
        <x:v>0dffc6ac-3baa-4cbd-b58b-9b362303e836</x:v>
      </x:c>
      <x:c r="C1006" s="9" t="str">
        <x:v>EUI Ltd v UK Vodafone Ltd</x:v>
      </x:c>
      <x:c r="D1006" s="9" t="str"/>
      <x:c r="E1006" s="9" t="str"/>
      <x:c r="F1006" s="13" t="str">
        <x:v>2021</x:v>
      </x:c>
      <x:c r="G1006" s="9" t="str">
        <x:v>England and Wales Court of Appeal (Civil Division)</x:v>
      </x:c>
      <x:c r="H1006" s="9" t="str">
        <x:v>appeal</x:v>
      </x:c>
      <x:c r="I1006" s="9" t="str">
        <x:v>England and Wales</x:v>
      </x:c>
      <x:c r="J1006" s="9" t="str">
        <x:v>Civil Procedure</x:v>
      </x:c>
      <x:c r="K1006" s="9" t="str">
        <x:v>ew-cases-EWCA-Civ-2021-1771.xml</x:v>
      </x:c>
      <x:c r="L1006" s="9" t="str">
        <x:v>TBA</x:v>
      </x:c>
    </x:row>
    <x:row r="1007">
      <x:c r="A1007" t="str">
        <x:v>cc81f742-2e17-464e-ab39-00169a22c99f</x:v>
      </x:c>
      <x:c r="B1007" t="str">
        <x:v>1a38cde6-97e1-4d4a-b574-2b9dc6c6f745</x:v>
      </x:c>
      <x:c r="C1007" s="9" t="str">
        <x:v>Eurasian Natural Resources Corporation Ltd v Dechert LLP [2015] EWCA Civ 915</x:v>
      </x:c>
      <x:c r="D1007" s="9" t="str"/>
      <x:c r="E1007" s="9" t="str"/>
      <x:c r="F1007" s="13" t="str">
        <x:v>2015</x:v>
      </x:c>
      <x:c r="G1007" s="9" t="str">
        <x:v>England and Wales Court of Appeal (Civil Division)</x:v>
      </x:c>
      <x:c r="H1007" s="9" t="str">
        <x:v>Appellate</x:v>
      </x:c>
      <x:c r="I1007" s="9" t="str">
        <x:v>England and Wales</x:v>
      </x:c>
      <x:c r="J1007" s="9" t="str">
        <x:v>Professional Negligence</x:v>
      </x:c>
      <x:c r="K1007" s="9" t="str">
        <x:v>-ew-cases-EWCA-Civ-2015-915.xml</x:v>
      </x:c>
      <x:c r="L1007" s="9" t="str">
        <x:v>TBA</x:v>
      </x:c>
    </x:row>
    <x:row r="1008">
      <x:c r="A1008" t="str">
        <x:v>b58e221a-a844-4e6f-bbdd-a861557068a4</x:v>
      </x:c>
      <x:c r="B1008" t="str">
        <x:v>8869f7b6-e1e7-4b97-af0a-81cc393184c2</x:v>
      </x:c>
      <x:c r="C1008" s="9" t="str">
        <x:v>Europa Oil and Gas Ltd v Secretary of State for Communities And Local Government &amp; Ors [2014] EWCA Civ 825</x:v>
      </x:c>
      <x:c r="D1008" s="9" t="str"/>
      <x:c r="E1008" s="9" t="str"/>
      <x:c r="F1008" s="13" t="str">
        <x:v>2014</x:v>
      </x:c>
      <x:c r="G1008" s="9" t="str">
        <x:v>England and Wales Court of Appeal (Civil Division)</x:v>
      </x:c>
      <x:c r="H1008" s="9" t="str">
        <x:v>Appellate</x:v>
      </x:c>
      <x:c r="I1008" s="9" t="str">
        <x:v>England and Wales</x:v>
      </x:c>
      <x:c r="J1008" s="9" t="str">
        <x:v>Administrative Law</x:v>
      </x:c>
      <x:c r="K1008" s="9" t="str">
        <x:v>-ew-cases-EWCA-Civ-2014-825.xml</x:v>
      </x:c>
      <x:c r="L1008" s="9" t="str">
        <x:v>TBA</x:v>
      </x:c>
    </x:row>
    <x:row r="1009">
      <x:c r="A1009" t="str">
        <x:v>c95eed4e-d722-4652-baf9-513a5915bdf5</x:v>
      </x:c>
      <x:c r="B1009" t="str">
        <x:v>48c71bff-c68c-476d-b057-5883bad13178</x:v>
      </x:c>
      <x:c r="C1009" s="9" t="str">
        <x:v>European Brand Trading Ltd v HM Revenue and Customs [2016] EWCA Civ 90</x:v>
      </x:c>
      <x:c r="D1009" s="9" t="str"/>
      <x:c r="E1009" s="9" t="str"/>
      <x:c r="F1009" s="13" t="str">
        <x:v>2016</x:v>
      </x:c>
      <x:c r="G1009" s="9" t="str">
        <x:v>England and Wales Court of Appeal (Civil Division)</x:v>
      </x:c>
      <x:c r="H1009" s="9" t="str">
        <x:v>Court of Appeal (Civil Division)</x:v>
      </x:c>
      <x:c r="I1009" s="9" t="str">
        <x:v>England and Wales</x:v>
      </x:c>
      <x:c r="J1009" s="9" t="str">
        <x:v>Forfeiture under Customs/Tax Law; Administrative/Public Law</x:v>
      </x:c>
      <x:c r="K1009" s="9" t="str">
        <x:v>-ew-cases-EWCA-Civ-2016-90.xml</x:v>
      </x:c>
      <x:c r="L1009" s="9" t="str">
        <x:v>TBA</x:v>
      </x:c>
    </x:row>
    <x:row r="1010">
      <x:c r="A1010" t="str">
        <x:v>5309b2ab-d2e1-4de7-9f92-05a356271fe9</x:v>
      </x:c>
      <x:c r="B1010" t="str">
        <x:v>56f4b936-dea5-4437-8bf4-f2f5b204aa71</x:v>
      </x:c>
      <x:c r="C1010" s="9" t="str">
        <x:v>European Film Bonds A/S &amp; Ors v Lotus Holdings LLC &amp; Ors [2021] EWCA Civ 807</x:v>
      </x:c>
      <x:c r="D1010" s="9" t="str"/>
      <x:c r="E1010" s="9" t="str"/>
      <x:c r="F1010" s="13" t="str">
        <x:v>2021</x:v>
      </x:c>
      <x:c r="G1010" s="9" t="str">
        <x:v>England and Wales Court of Appeal (Civil Division)</x:v>
      </x:c>
      <x:c r="H1010" s="9" t="str">
        <x:v>appellate</x:v>
      </x:c>
      <x:c r="I1010" s="9" t="str">
        <x:v>England and Wales</x:v>
      </x:c>
      <x:c r="J1010" s="9" t="str">
        <x:v>Contract Dispute</x:v>
      </x:c>
      <x:c r="K1010" s="9" t="str">
        <x:v>ew-cases-EWCA-Civ-2021-807.xml</x:v>
      </x:c>
      <x:c r="L1010" s="9" t="str">
        <x:v>TBA</x:v>
      </x:c>
    </x:row>
    <x:row r="1011">
      <x:c r="A1011" t="str">
        <x:v>6cbf0972-9ed3-4314-b4bc-94616891ee68</x:v>
      </x:c>
      <x:c r="B1011" t="str">
        <x:v>2129cacb-5617-4aee-8761-2e3c0080092d</x:v>
      </x:c>
      <x:c r="C1011" s="9" t="str">
        <x:v>Eurosail-UK 2007-4BL PLC et al v Wilmington Trust SP Services (London) Ltd &amp; Anor [2022] EWCA Civ 1172</x:v>
      </x:c>
      <x:c r="D1011" s="9" t="str"/>
      <x:c r="E1011" s="9" t="str"/>
      <x:c r="F1011" s="13" t="str">
        <x:v>2022</x:v>
      </x:c>
      <x:c r="G1011" s="9" t="str">
        <x:v>England and Wales Court of Appeal (Civil Division)</x:v>
      </x:c>
      <x:c r="H1011" s="9" t="str">
        <x:v>Court of Appeal (Civil Division)</x:v>
      </x:c>
      <x:c r="I1011" s="9" t="str">
        <x:v>England and Wales</x:v>
      </x:c>
      <x:c r="J1011" s="9" t="str">
        <x:v>Civil Procedure / Appeals / Abuse of Process / Vexatious Litigation</x:v>
      </x:c>
      <x:c r="K1011" s="9" t="str">
        <x:v>ew-cases-EWCA-Civ-2022-1172.xml</x:v>
      </x:c>
      <x:c r="L1011" s="9" t="str">
        <x:v>TBA</x:v>
      </x:c>
    </x:row>
    <x:row r="1012">
      <x:c r="A1012" t="str">
        <x:v>ba67c87b-1c5f-468e-8fd1-0ba1b187bd33</x:v>
      </x:c>
      <x:c r="B1012" t="str">
        <x:v>cb7fdb6e-0e78-4fc5-b9fe-0d6e1c905051</x:v>
      </x:c>
      <x:c r="C1012" s="9" t="str">
        <x:v>EV (Philippines) &amp; Ors v Secretary of State for the Home Department [2014] EWCA Civ 874</x:v>
      </x:c>
      <x:c r="D1012" s="9" t="str"/>
      <x:c r="E1012" s="9" t="str"/>
      <x:c r="F1012" s="13" t="str">
        <x:v>2014</x:v>
      </x:c>
      <x:c r="G1012" s="9" t="str">
        <x:v>England and Wales Court of Appeal (Civil Division)</x:v>
      </x:c>
      <x:c r="H1012" s="9" t="str">
        <x:v>Appellate</x:v>
      </x:c>
      <x:c r="I1012" s="9" t="str">
        <x:v>United Kingdom</x:v>
      </x:c>
      <x:c r="J1012" s="9" t="str">
        <x:v>Immigration Law</x:v>
      </x:c>
      <x:c r="K1012" s="9" t="str">
        <x:v>-ew-cases-EWCA-Civ-2014-874.xml</x:v>
      </x:c>
      <x:c r="L1012" s="9" t="str">
        <x:v>TBA</x:v>
      </x:c>
    </x:row>
    <x:row r="1013">
      <x:c r="A1013" t="str">
        <x:v>a13da455-5d54-475b-af34-e372902124b7</x:v>
      </x:c>
      <x:c r="B1013" t="str">
        <x:v>d360670d-fa4d-4fed-b79a-03f09fe7855c</x:v>
      </x:c>
      <x:c r="C1013" s="9" t="str">
        <x:v>Evangelou &amp; Ors v McNicol (Rev 1) [2016] EWCA Civ 817</x:v>
      </x:c>
      <x:c r="D1013" s="9" t="str"/>
      <x:c r="E1013" s="9" t="str"/>
      <x:c r="F1013" s="13" t="str">
        <x:v>2016</x:v>
      </x:c>
      <x:c r="G1013" s="9" t="str">
        <x:v>England and Wales Court of Appeal (Civil Division)</x:v>
      </x:c>
      <x:c r="H1013" s="9" t="str">
        <x:v>Court of Appeal (Civil Division)</x:v>
      </x:c>
      <x:c r="I1013" s="9" t="str">
        <x:v>England and Wales</x:v>
      </x:c>
      <x:c r="J1013" s="9" t="str">
        <x:v>Civil / Contract interpretation within an unincorporated association; Internal party governance; Election rules</x:v>
      </x:c>
      <x:c r="K1013" s="9" t="str">
        <x:v>-ew-cases-EWCA-Civ-2016-817.xml</x:v>
      </x:c>
      <x:c r="L1013" s="9" t="str">
        <x:v>TBA</x:v>
      </x:c>
    </x:row>
    <x:row r="1014">
      <x:c r="A1014" t="str">
        <x:v>925002ae-c667-4203-ab8b-8ad739edc9b9</x:v>
      </x:c>
      <x:c r="B1014" t="str">
        <x:v>98eddc5b-56a9-45da-9893-af6d5ef632b3</x:v>
      </x:c>
      <x:c r="C1014" s="9" t="str">
        <x:v>Evans &amp; Anor v Jones &amp; Anor [2016] EWCA Civ 660</x:v>
      </x:c>
      <x:c r="D1014" s="9" t="str"/>
      <x:c r="E1014" s="9" t="str"/>
      <x:c r="F1014" s="13" t="str">
        <x:v>2016</x:v>
      </x:c>
      <x:c r="G1014" s="9" t="str">
        <x:v>England and Wales Court of Appeal (Civil Division)</x:v>
      </x:c>
      <x:c r="H1014" s="9" t="str">
        <x:v>Court of Appeal (Civil Division)</x:v>
      </x:c>
      <x:c r="I1014" s="9" t="str">
        <x:v>England and Wales</x:v>
      </x:c>
      <x:c r="J1014" s="9" t="str">
        <x:v>Insolvency and corporate finance</x:v>
      </x:c>
      <x:c r="K1014" s="9" t="str">
        <x:v>-ew-cases-EWCA-Civ-2016-660.xml</x:v>
      </x:c>
      <x:c r="L1014" s="9" t="str">
        <x:v>TBA</x:v>
      </x:c>
    </x:row>
    <x:row r="1015">
      <x:c r="A1015" t="str">
        <x:v>42ffdd92-3e60-4591-b73f-09d738ba5f0e</x:v>
      </x:c>
      <x:c r="B1015" t="str">
        <x:v>8ca428a9-26ca-49ae-9100-b4044d451c6f</x:v>
      </x:c>
      <x:c r="C1015" s="9" t="str">
        <x:v>Evans v Betesh Partnership &amp; Ors [2021] EWCA Civ 1194</x:v>
      </x:c>
      <x:c r="D1015" s="9" t="str"/>
      <x:c r="E1015" s="9" t="str"/>
      <x:c r="F1015" s="13" t="str">
        <x:v>2021</x:v>
      </x:c>
      <x:c r="G1015" s="9" t="str">
        <x:v>England and Wales Court of Appeal (Civil Division)</x:v>
      </x:c>
      <x:c r="H1015" s="9" t="str">
        <x:v>appellate</x:v>
      </x:c>
      <x:c r="I1015" s="9" t="str">
        <x:v>England and Wales</x:v>
      </x:c>
      <x:c r="J1015" s="9" t="str">
        <x:v>Negligence</x:v>
      </x:c>
      <x:c r="K1015" s="9" t="str">
        <x:v>ew-cases-EWCA-Civ-2021-1194.xml</x:v>
      </x:c>
      <x:c r="L1015" s="9" t="str">
        <x:v>TBA</x:v>
      </x:c>
    </x:row>
    <x:row r="1016">
      <x:c r="A1016" t="str">
        <x:v>8720b57e-3fa6-4a8a-bbbc-dc88c63ab632</x:v>
      </x:c>
      <x:c r="B1016" t="str">
        <x:v>4510eef4-6577-48a6-bce3-1a0158d9bec4</x:v>
      </x:c>
      <x:c r="C1016" s="9" t="str">
        <x:v>Evans v Royal Borough of Kensington and Chelsea [2016] EWCA Civ 653</x:v>
      </x:c>
      <x:c r="D1016" s="9" t="str"/>
      <x:c r="E1016" s="9" t="str"/>
      <x:c r="F1016" s="13" t="str">
        <x:v>2016</x:v>
      </x:c>
      <x:c r="G1016" s="9" t="str">
        <x:v>England and Wales Court of Appeal (Civil Division)</x:v>
      </x:c>
      <x:c r="H1016" s="9" t="str">
        <x:v>Court of Appeal (Civil Division)</x:v>
      </x:c>
      <x:c r="I1016" s="9" t="str">
        <x:v>England and Wales</x:v>
      </x:c>
      <x:c r="J1016" s="9" t="str">
        <x:v>Housing and Homelessness Law</x:v>
      </x:c>
      <x:c r="K1016" s="9" t="str">
        <x:v>-ew-cases-EWCA-Civ-2016-653.xml</x:v>
      </x:c>
      <x:c r="L1016" s="9" t="str">
        <x:v>TBA</x:v>
      </x:c>
    </x:row>
    <x:row r="1017">
      <x:c r="A1017" t="str">
        <x:v>ea49533d-1e1d-44a3-bd5d-be381be2c07a</x:v>
      </x:c>
      <x:c r="B1017" t="str">
        <x:v>8e710548-9eab-4921-86a1-60efdc010ea6</x:v>
      </x:c>
      <x:c r="C1017" s="9" t="str">
        <x:v>Evans v The Information Commissioner [2014] EWCA Civ 253</x:v>
      </x:c>
      <x:c r="D1017" s="9" t="str"/>
      <x:c r="E1017" s="9" t="str"/>
      <x:c r="F1017" s="13" t="str">
        <x:v>2014</x:v>
      </x:c>
      <x:c r="G1017" s="9" t="str">
        <x:v>England and Wales Court of Appeal (Civil Division)</x:v>
      </x:c>
      <x:c r="H1017" s="9" t="str">
        <x:v>Appellate</x:v>
      </x:c>
      <x:c r="I1017" s="9" t="str">
        <x:v>England and Wales</x:v>
      </x:c>
      <x:c r="J1017" s="9" t="str">
        <x:v>Administrative Law</x:v>
      </x:c>
      <x:c r="K1017" s="9" t="str">
        <x:v>-ew-cases-EWCA-Civ-2014-253.xml</x:v>
      </x:c>
      <x:c r="L1017" s="9" t="str">
        <x:v>TBA</x:v>
      </x:c>
    </x:row>
    <x:row r="1018">
      <x:c r="A1018" t="str">
        <x:v>98a67646-0416-4465-82b3-506ffafe854d</x:v>
      </x:c>
      <x:c r="B1018" t="str">
        <x:v>92178ae9-a37e-4337-8e6c-e575764f08d4</x:v>
      </x:c>
      <x:c r="C1018" s="9" t="str">
        <x:v>Evans v Wimbledon And Putney Commons Conservators [2014] EWCA Civ 940</x:v>
      </x:c>
      <x:c r="D1018" s="9" t="str"/>
      <x:c r="E1018" s="9" t="str"/>
      <x:c r="F1018" s="13" t="str">
        <x:v>2014</x:v>
      </x:c>
      <x:c r="G1018" s="9" t="str">
        <x:v>England and Wales Court of Appeal (Civil Division)</x:v>
      </x:c>
      <x:c r="H1018" s="9" t="str">
        <x:v>Appellate</x:v>
      </x:c>
      <x:c r="I1018" s="9" t="str">
        <x:v>England and Wales</x:v>
      </x:c>
      <x:c r="J1018" s="9" t="str">
        <x:v>Administrative Law</x:v>
      </x:c>
      <x:c r="K1018" s="9" t="str">
        <x:v>-ew-cases-EWCA-Civ-2014-940.xml</x:v>
      </x:c>
      <x:c r="L1018" s="9" t="str">
        <x:v>TBA</x:v>
      </x:c>
    </x:row>
    <x:row r="1019">
      <x:c r="A1019" t="str">
        <x:v>09a16025-c917-4bb5-875e-5d9fb29f1dc4</x:v>
      </x:c>
      <x:c r="B1019" t="str">
        <x:v>e995d1fb-1f55-4c25-ba14-953a4392c1c7</x:v>
      </x:c>
      <x:c r="C1019" s="9" t="str">
        <x:v>Evans, R (On the Application Of) v The Information Commissioner</x:v>
      </x:c>
      <x:c r="D1019" s="9" t="str"/>
      <x:c r="E1019" s="9" t="str"/>
      <x:c r="F1019" s="13" t="str">
        <x:v>2014</x:v>
      </x:c>
      <x:c r="G1019" s="9" t="str">
        <x:v>England and Wales Court of Appeal (Civil Division)</x:v>
      </x:c>
      <x:c r="H1019" s="9" t="str">
        <x:v>Appellate</x:v>
      </x:c>
      <x:c r="I1019" s="9" t="str">
        <x:v>England and Wales</x:v>
      </x:c>
      <x:c r="J1019" s="9" t="str">
        <x:v>Judicial Review</x:v>
      </x:c>
      <x:c r="K1019" s="9" t="str">
        <x:v>-ew-cases-EWCA-Civ-2014-254.xml</x:v>
      </x:c>
      <x:c r="L1019" s="9" t="str">
        <x:v>TBA</x:v>
      </x:c>
    </x:row>
    <x:row r="1020">
      <x:c r="A1020" t="str">
        <x:v>4ba86121-ef35-43b2-a012-590476cff935</x:v>
      </x:c>
      <x:c r="B1020" t="str">
        <x:v>491f942b-ff29-49d2-a221-f1d443b0009f</x:v>
      </x:c>
      <x:c r="C1020" s="9" t="str">
        <x:v>Excalibur &amp; Keswick Groundworks Ltd v McDonald [2023] EWCA Civ 18</x:v>
      </x:c>
      <x:c r="D1020" s="9" t="str"/>
      <x:c r="E1020" s="9" t="str"/>
      <x:c r="F1020" s="13" t="str">
        <x:v>2023</x:v>
      </x:c>
      <x:c r="G1020" s="9" t="str">
        <x:v>England and Wales Court of Appeal (Civil Division)</x:v>
      </x:c>
      <x:c r="H1020" s="9" t="str">
        <x:v>Court of Appeal (Civil Division)</x:v>
      </x:c>
      <x:c r="I1020" s="9" t="str">
        <x:v>England and Wales</x:v>
      </x:c>
      <x:c r="J1020" s="9" t="str">
        <x:v>Personal Injury - Civil Procedure (Costs, QOCS, discontinuance)</x:v>
      </x:c>
      <x:c r="K1020" s="9" t="str">
        <x:v>ew-cases-EWCA-Civ-2023-18.xml</x:v>
      </x:c>
      <x:c r="L1020" s="9" t="str">
        <x:v>TBA</x:v>
      </x:c>
    </x:row>
    <x:row r="1021">
      <x:c r="A1021" t="str">
        <x:v>6aa6ee50-72d0-404d-b3d1-edb4e95a8918</x:v>
      </x:c>
      <x:c r="B1021" t="str">
        <x:v>b40c52e2-d353-4096-a9f0-b7811e62adb2</x:v>
      </x:c>
      <x:c r="C1021" s="9" t="str">
        <x:v>Excalibur Ventures LLC v Texas Keystone Inc &amp; Ors (EWCA Civ 1144 of 2016) – Court of Appeal on third-party funding, indemnity costs and the Arkin cap</x:v>
      </x:c>
      <x:c r="D1021" s="9" t="str"/>
      <x:c r="E1021" s="9" t="str"/>
      <x:c r="F1021" s="13" t="str">
        <x:v>2016</x:v>
      </x:c>
      <x:c r="G1021" s="9" t="str">
        <x:v>England and Wales Court of Appeal (Civil Division)</x:v>
      </x:c>
      <x:c r="H1021" s="9" t="str">
        <x:v>Court of Appeal (Civil Division)</x:v>
      </x:c>
      <x:c r="I1021" s="9" t="str">
        <x:v>England and Wales</x:v>
      </x:c>
      <x:c r="J1021" s="9" t="str">
        <x:v>Civil Procedure / Costs and Litigation Funding</x:v>
      </x:c>
      <x:c r="K1021" s="9" t="str">
        <x:v>-ew-cases-EWCA-Civ-2016-1144.xml</x:v>
      </x:c>
      <x:c r="L1021" s="9" t="str">
        <x:v>TBA</x:v>
      </x:c>
    </x:row>
    <x:row r="1022">
      <x:c r="A1022" t="str">
        <x:v>7efedbff-d915-484d-8cbe-2c70c2cc6070</x:v>
      </x:c>
      <x:c r="B1022" t="str">
        <x:v>2f406c59-14c7-424e-9ba2-ef6ff0cb28e6</x:v>
      </x:c>
      <x:c r="C1022" s="9" t="str">
        <x:v>Executor of HRH Prince Philip v Guardian News and Media (Court of Appeal, Civil Division) [2022] EWCA Civ 1081</x:v>
      </x:c>
      <x:c r="D1022" s="9" t="str"/>
      <x:c r="E1022" s="9" t="str"/>
      <x:c r="F1022" s="13" t="str">
        <x:v>2022</x:v>
      </x:c>
      <x:c r="G1022" s="9" t="str">
        <x:v>England and Wales Court of Appeal (Civil Division)</x:v>
      </x:c>
      <x:c r="H1022" s="9" t="str">
        <x:v>Court of Appeal (Civil Division)</x:v>
      </x:c>
      <x:c r="I1022" s="9" t="str">
        <x:v>England and Wales</x:v>
      </x:c>
      <x:c r="J1022" s="9" t="str">
        <x:v>Civil – Probate/Will sealing; Open justice; Royal privacy; Media access</x:v>
      </x:c>
      <x:c r="K1022" s="9" t="str">
        <x:v>ew-cases-EWCA-Civ-2022-1081.xml</x:v>
      </x:c>
      <x:c r="L1022" s="9" t="str">
        <x:v>TBA</x:v>
      </x:c>
    </x:row>
    <x:row r="1023">
      <x:c r="A1023" t="str">
        <x:v>a2bef77d-4695-4049-ab85-185cdf887e39</x:v>
      </x:c>
      <x:c r="B1023" t="str">
        <x:v>8fb25220-a73a-4236-b139-ce322c87818f</x:v>
      </x:c>
      <x:c r="C1023" s="9" t="str">
        <x:v>EXP v Barker [2017] EWCA Civ 63 - Negligent Failure to Identify Aneurysm</x:v>
      </x:c>
      <x:c r="D1023" s="9" t="str"/>
      <x:c r="E1023" s="9" t="str"/>
      <x:c r="F1023" s="13" t="str">
        <x:v>2017</x:v>
      </x:c>
      <x:c r="G1023" s="9" t="str">
        <x:v>England and Wales Court of Appeal (Civil Division)</x:v>
      </x:c>
      <x:c r="H1023" s="9" t="str">
        <x:v>Appellate</x:v>
      </x:c>
      <x:c r="I1023" s="9" t="str">
        <x:v>England and Wales</x:v>
      </x:c>
      <x:c r="J1023" s="9" t="str">
        <x:v>Tort</x:v>
      </x:c>
      <x:c r="K1023" s="9" t="str">
        <x:v>-ew-cases-EWCA-Civ-2017-63.xml</x:v>
      </x:c>
      <x:c r="L1023" s="9" t="str">
        <x:v>TBA</x:v>
      </x:c>
    </x:row>
    <x:row r="1024">
      <x:c r="A1024" t="str">
        <x:v>4e9db99c-e8fa-44b8-a6b7-d0cc481a2d72</x:v>
      </x:c>
      <x:c r="B1024" t="str">
        <x:v>7641cf75-bf33-4eb2-a987-5917c801570d</x:v>
      </x:c>
      <x:c r="C1024" s="9" t="str">
        <x:v>Express Electrical Distributors Limited v Beavis &amp; Ors [2016] EWCA Civ 765</x:v>
      </x:c>
      <x:c r="D1024" s="9" t="str"/>
      <x:c r="E1024" s="9" t="str"/>
      <x:c r="F1024" s="13" t="str">
        <x:v>2016</x:v>
      </x:c>
      <x:c r="G1024" s="9" t="str">
        <x:v>England and Wales Court of Appeal (Civil Division)</x:v>
      </x:c>
      <x:c r="H1024" s="9" t="str">
        <x:v>Court of Appeal (Civil Division)</x:v>
      </x:c>
      <x:c r="I1024" s="9" t="str">
        <x:v>England and Wales</x:v>
      </x:c>
      <x:c r="J1024" s="9" t="str">
        <x:v>Insolvency / Corporate Law</x:v>
      </x:c>
      <x:c r="K1024" s="9" t="str">
        <x:v>-ew-cases-EWCA-Civ-2016-765.xml</x:v>
      </x:c>
      <x:c r="L1024" s="9" t="str">
        <x:v>TBA</x:v>
      </x:c>
    </x:row>
    <x:row r="1025">
      <x:c r="A1025" t="str">
        <x:v>762b3882-9354-4a70-b124-077841acdee1</x:v>
      </x:c>
      <x:c r="B1025" t="str">
        <x:v>34fd0bdd-fa69-44ec-9a9e-78c54b3463ba</x:v>
      </x:c>
      <x:c r="C1025" s="9" t="str">
        <x:v>Exsus Travel Ltd &amp; Ors v Turner &amp; Anor [2014] EWCA Civ 1331</x:v>
      </x:c>
      <x:c r="D1025" s="9" t="str"/>
      <x:c r="E1025" s="9" t="str"/>
      <x:c r="F1025" s="13" t="str">
        <x:v>2014</x:v>
      </x:c>
      <x:c r="G1025" s="9" t="str">
        <x:v>England and Wales Court of Appeal (Civil Division)</x:v>
      </x:c>
      <x:c r="H1025" s="9" t="str">
        <x:v>Appellate</x:v>
      </x:c>
      <x:c r="I1025" s="9" t="str">
        <x:v>England and Wales</x:v>
      </x:c>
      <x:c r="J1025" s="9" t="str">
        <x:v>Account Dispute</x:v>
      </x:c>
      <x:c r="K1025" s="9" t="str">
        <x:v>-ew-cases-EWCA-Civ-2014-1331.xml</x:v>
      </x:c>
      <x:c r="L1025" s="9" t="str">
        <x:v>TBA</x:v>
      </x:c>
    </x:row>
    <x:row r="1026">
      <x:c r="A1026" t="str">
        <x:v>97f79a91-8d97-42ef-8aec-fa7c81319f38</x:v>
      </x:c>
      <x:c r="B1026" t="str">
        <x:v>24bccfff-262b-4b52-a529-b14d74bf7514</x:v>
      </x:c>
      <x:c r="C1026" s="9" t="str">
        <x:v>Eyitene v Wirral Metropolitan Borough Council [2014] EWCA Civ 1243</x:v>
      </x:c>
      <x:c r="D1026" s="9" t="str"/>
      <x:c r="E1026" s="9" t="str"/>
      <x:c r="F1026" s="13" t="str">
        <x:v>2014</x:v>
      </x:c>
      <x:c r="G1026" s="9" t="str">
        <x:v>England and Wales Court of Appeal (Civil Division)</x:v>
      </x:c>
      <x:c r="H1026" s="9" t="str">
        <x:v>Appellate</x:v>
      </x:c>
      <x:c r="I1026" s="9" t="str">
        <x:v>England and Wales</x:v>
      </x:c>
      <x:c r="J1026" s="9" t="str">
        <x:v>Employment Law</x:v>
      </x:c>
      <x:c r="K1026" s="9" t="str">
        <x:v>-ew-cases-EWCA-Civ-2014-1243.xml</x:v>
      </x:c>
      <x:c r="L1026" s="9" t="str">
        <x:v>TBA</x:v>
      </x:c>
    </x:row>
    <x:row r="1027">
      <x:c r="A1027" t="str">
        <x:v>b2ac9913-c7b8-4f72-92a4-133fbbaf6b09</x:v>
      </x:c>
      <x:c r="B1027" t="str">
        <x:v>dc4d9f92-bb62-427a-9632-dbe1df2a1318</x:v>
      </x:c>
      <x:c r="C1027" s="9" t="str">
        <x:v>Eynsham Cricket Club v Revenue &amp; Customs [2021] EWCA Civ 225</x:v>
      </x:c>
      <x:c r="D1027" s="9" t="str"/>
      <x:c r="E1027" s="9" t="str"/>
      <x:c r="F1027" s="13" t="str">
        <x:v>2021</x:v>
      </x:c>
      <x:c r="G1027" s="9" t="str">
        <x:v>England and Wales Court of Appeal (Civil Division)</x:v>
      </x:c>
      <x:c r="H1027" s="9" t="str">
        <x:v>Appellate</x:v>
      </x:c>
      <x:c r="I1027" s="9" t="str">
        <x:v>England and Wales</x:v>
      </x:c>
      <x:c r="J1027" s="9" t="str">
        <x:v>Tax Law</x:v>
      </x:c>
      <x:c r="K1027" s="9" t="str">
        <x:v>ew-cases-EWCA-Civ-2021-225.xml</x:v>
      </x:c>
      <x:c r="L1027" s="9" t="str">
        <x:v>TBA</x:v>
      </x:c>
    </x:row>
    <x:row r="1028">
      <x:c r="A1028" t="str">
        <x:v>be37e790-082e-4c9e-bb34-63d1573987f3</x:v>
      </x:c>
      <x:c r="B1028" t="str">
        <x:v>f37388a0-a94e-437d-a99a-6558997a4ace</x:v>
      </x:c>
      <x:c r="C1028" s="9" t="str">
        <x:v>F (A Child: Adjournment) [2021] EWCA Civ 469</x:v>
      </x:c>
      <x:c r="D1028" s="9" t="str"/>
      <x:c r="E1028" s="9" t="str"/>
      <x:c r="F1028" s="13" t="str">
        <x:v>2021</x:v>
      </x:c>
      <x:c r="G1028" s="9" t="str">
        <x:v>England and Wales Court of Appeal (Civil Division)</x:v>
      </x:c>
      <x:c r="H1028" s="9" t="str">
        <x:v>Appellate</x:v>
      </x:c>
      <x:c r="I1028" s="9" t="str">
        <x:v>England and Wales</x:v>
      </x:c>
      <x:c r="J1028" s="9" t="str">
        <x:v>Family Law</x:v>
      </x:c>
      <x:c r="K1028" s="9" t="str">
        <x:v>ew-cases-EWCA-Civ-2021-469.xml</x:v>
      </x:c>
      <x:c r="L1028" s="9" t="str">
        <x:v>TBA</x:v>
      </x:c>
    </x:row>
    <x:row r="1029">
      <x:c r="A1029" t="str">
        <x:v>119d919b-06e9-4f53-a151-ff92089ce050</x:v>
      </x:c>
      <x:c r="B1029" t="str">
        <x:v>82300a0d-98c4-4cb7-90dd-a3b8acc12cdf</x:v>
      </x:c>
      <x:c r="C1029" s="9" t="str">
        <x:v>F (A Child) (International Relocation Cases) [2015] EWCA Civ 882</x:v>
      </x:c>
      <x:c r="D1029" s="9" t="str"/>
      <x:c r="E1029" s="9" t="str"/>
      <x:c r="F1029" s="13" t="str">
        <x:v>2015</x:v>
      </x:c>
      <x:c r="G1029" s="9" t="str">
        <x:v>England and Wales Court of Appeal (Civil Division)</x:v>
      </x:c>
      <x:c r="H1029" s="9" t="str">
        <x:v>Appellate</x:v>
      </x:c>
      <x:c r="I1029" s="9" t="str">
        <x:v>England and Wales</x:v>
      </x:c>
      <x:c r="J1029" s="9" t="str">
        <x:v>Family Law</x:v>
      </x:c>
      <x:c r="K1029" s="9" t="str">
        <x:v>-ew-cases-EWCA-Civ-2015-882.xml</x:v>
      </x:c>
      <x:c r="L1029" s="9" t="str">
        <x:v>TBA</x:v>
      </x:c>
    </x:row>
    <x:row r="1030">
      <x:c r="A1030" t="str">
        <x:v>8e45e30c-265e-4331-a119-3ee28e69b30c</x:v>
      </x:c>
      <x:c r="B1030" t="str">
        <x:v>57df9180-ef44-44b3-9fd5-dd9e782bfd53</x:v>
      </x:c>
      <x:c r="C1030" s="9" t="str">
        <x:v>F (A Child), Re [2014] EWCA Civ 275</x:v>
      </x:c>
      <x:c r="D1030" s="9" t="str"/>
      <x:c r="E1030" s="9" t="str"/>
      <x:c r="F1030" s="13" t="str">
        <x:v>2014</x:v>
      </x:c>
      <x:c r="G1030" s="9" t="str">
        <x:v>England and Wales Court of Appeal (Civil Division)</x:v>
      </x:c>
      <x:c r="H1030" s="9" t="str">
        <x:v>Appellate</x:v>
      </x:c>
      <x:c r="I1030" s="9" t="str">
        <x:v>England and Wales</x:v>
      </x:c>
      <x:c r="J1030" s="9" t="str">
        <x:v>Family Law</x:v>
      </x:c>
      <x:c r="K1030" s="9" t="str">
        <x:v>-ew-cases-EWCA-Civ-2014-275.xml</x:v>
      </x:c>
      <x:c r="L1030" s="9" t="str">
        <x:v>TBA</x:v>
      </x:c>
    </x:row>
    <x:row r="1031">
      <x:c r="A1031" t="str">
        <x:v>f0f4f441-744c-439e-ba96-31b8bc573039</x:v>
      </x:c>
      <x:c r="B1031" t="str">
        <x:v>f07e4542-88b0-4ee6-999e-60088a4f4fd6</x:v>
      </x:c>
      <x:c r="C1031" s="9" t="str">
        <x:v>F (Child's Objections) (was Re N on appeal) [2015] EWCA Civ 1022</x:v>
      </x:c>
      <x:c r="D1031" s="9" t="str"/>
      <x:c r="E1031" s="9" t="str"/>
      <x:c r="F1031" s="13" t="str">
        <x:v>2015</x:v>
      </x:c>
      <x:c r="G1031" s="9" t="str">
        <x:v>England and Wales Court of Appeal (Civil Division)</x:v>
      </x:c>
      <x:c r="H1031" s="9" t="str">
        <x:v>Appellate</x:v>
      </x:c>
      <x:c r="I1031" s="9" t="str">
        <x:v>England and Wales</x:v>
      </x:c>
      <x:c r="J1031" s="9" t="str">
        <x:v>Family Law</x:v>
      </x:c>
      <x:c r="K1031" s="9" t="str">
        <x:v>-ew-cases-EWCA-Civ-2015-1022.xml</x:v>
      </x:c>
      <x:c r="L1031" s="9" t="str">
        <x:v>TBA</x:v>
      </x:c>
    </x:row>
    <x:row r="1032">
      <x:c r="A1032" t="str">
        <x:v>80405432-9267-4163-a8f4-1612aa8f7fcb</x:v>
      </x:c>
      <x:c r="B1032" t="str">
        <x:v>c9c90d1f-1507-4a80-9cb5-a8626dc7faa3</x:v>
      </x:c>
      <x:c r="C1032" s="9" t="str">
        <x:v>F (Children) (Rev 1) [2014] EWCA Civ 1474</x:v>
      </x:c>
      <x:c r="D1032" s="9" t="str"/>
      <x:c r="E1032" s="9" t="str"/>
      <x:c r="F1032" s="13" t="str">
        <x:v>2014</x:v>
      </x:c>
      <x:c r="G1032" s="9" t="str">
        <x:v>England and Wales Court of Appeal (Civil Division)</x:v>
      </x:c>
      <x:c r="H1032" s="9" t="str">
        <x:v>Appellate</x:v>
      </x:c>
      <x:c r="I1032" s="9" t="str">
        <x:v>England and Wales</x:v>
      </x:c>
      <x:c r="J1032" s="9" t="str">
        <x:v>Family Law</x:v>
      </x:c>
      <x:c r="K1032" s="9" t="str">
        <x:v>-ew-cases-EWCA-Civ-2014-1474.xml</x:v>
      </x:c>
      <x:c r="L1032" s="9" t="str">
        <x:v>TBA</x:v>
      </x:c>
    </x:row>
    <x:row r="1033">
      <x:c r="A1033" t="str">
        <x:v>a054bcc4-1ff9-47eb-99c4-8355df46f443</x:v>
      </x:c>
      <x:c r="B1033" t="str">
        <x:v>fe9f19e1-5661-4c1b-b0f2-616ed490b087</x:v>
      </x:c>
      <x:c r="C1033" s="9" t="str">
        <x:v>F (Children), Re [2016] EWCA Civ 1253</x:v>
      </x:c>
      <x:c r="D1033" s="9" t="str"/>
      <x:c r="E1033" s="9" t="str"/>
      <x:c r="F1033" s="13" t="str">
        <x:v>2016</x:v>
      </x:c>
      <x:c r="G1033" s="9" t="str">
        <x:v>England and Wales Court of Appeal (Civil Division)</x:v>
      </x:c>
      <x:c r="H1033" s="9" t="str">
        <x:v>Court of Appeal (Civil Division)</x:v>
      </x:c>
      <x:c r="I1033" s="9" t="str">
        <x:v>England and Wales</x:v>
      </x:c>
      <x:c r="J1033" s="9" t="str">
        <x:v>International Family Law / Hague Convention</x:v>
      </x:c>
      <x:c r="K1033" s="9" t="str">
        <x:v>-ew-cases-EWCA-Civ-2016-1253.xml</x:v>
      </x:c>
      <x:c r="L1033" s="9" t="str">
        <x:v>TBA</x:v>
      </x:c>
    </x:row>
    <x:row r="1034">
      <x:c r="A1034" t="str">
        <x:v>6f02872d-c553-40fe-ab3a-8f104cdda963</x:v>
      </x:c>
      <x:c r="B1034" t="str">
        <x:v>d624b546-fb2c-4ae1-976d-2c6da011fbfd</x:v>
      </x:c>
      <x:c r="C1034" s="9" t="str">
        <x:v>F (Eritrea) v Secretary of State for the Home Department</x:v>
      </x:c>
      <x:c r="D1034" s="9" t="str"/>
      <x:c r="E1034" s="9" t="str"/>
      <x:c r="F1034" s="13" t="str">
        <x:v>2015</x:v>
      </x:c>
      <x:c r="G1034" s="9" t="str">
        <x:v>England and Wales Court of Appeal (Civil Division)</x:v>
      </x:c>
      <x:c r="H1034" s="9" t="str">
        <x:v>Appellate</x:v>
      </x:c>
      <x:c r="I1034" s="9" t="str">
        <x:v>England and Wales</x:v>
      </x:c>
      <x:c r="J1034" s="9" t="str">
        <x:v>Immigration Law</x:v>
      </x:c>
      <x:c r="K1034" s="9" t="str">
        <x:v>-ew-cases-EWCA-Civ-2015-1605.xml</x:v>
      </x:c>
      <x:c r="L1034" s="9" t="str">
        <x:v>TBA</x:v>
      </x:c>
    </x:row>
    <x:row r="1035">
      <x:c r="A1035" t="str">
        <x:v>02583fc4-b4d8-4216-a311-c99b80d9ba35</x:v>
      </x:c>
      <x:c r="B1035" t="str">
        <x:v>039fb2b5-f428-43f4-97b4-d3411108e4f0</x:v>
      </x:c>
      <x:c r="C1035" s="9" t="str">
        <x:v>F &amp; G, Re (Discharge of Special Guardianship Order) (Rev1)</x:v>
      </x:c>
      <x:c r="D1035" s="9" t="str"/>
      <x:c r="E1035" s="9" t="str"/>
      <x:c r="F1035" s="13" t="str">
        <x:v>2021</x:v>
      </x:c>
      <x:c r="G1035" s="9" t="str">
        <x:v>England and Wales Court of Appeal (Civil Division)</x:v>
      </x:c>
      <x:c r="H1035" s="9" t="str">
        <x:v>Appellate</x:v>
      </x:c>
      <x:c r="I1035" s="9" t="str">
        <x:v>England and Wales</x:v>
      </x:c>
      <x:c r="J1035" s="9" t="str">
        <x:v>Family Law</x:v>
      </x:c>
      <x:c r="K1035" s="9" t="str">
        <x:v>ew-cases-EWCA-Civ-2021-622.xml</x:v>
      </x:c>
      <x:c r="L1035" s="9" t="str">
        <x:v>TBA</x:v>
      </x:c>
    </x:row>
    <x:row r="1036">
      <x:c r="A1036" t="str">
        <x:v>1399822b-501c-414f-9357-2258ecec9e93</x:v>
      </x:c>
      <x:c r="B1036" t="str">
        <x:v>042ec464-4fea-48d4-989a-00688bba13e4</x:v>
      </x:c>
      <x:c r="C1036" s="9" t="str">
        <x:v>F and G (Children) (Sexual Abuse Allegations) [2022] EWCA Civ 1002</x:v>
      </x:c>
      <x:c r="D1036" s="9" t="str"/>
      <x:c r="E1036" s="9" t="str"/>
      <x:c r="F1036" s="13" t="str">
        <x:v>2022</x:v>
      </x:c>
      <x:c r="G1036" s="9" t="str">
        <x:v>England and Wales Court of Appeal (Civil Division)</x:v>
      </x:c>
      <x:c r="H1036" s="9" t="str">
        <x:v>Court of Appeal (Civil Division)</x:v>
      </x:c>
      <x:c r="I1036" s="9" t="str">
        <x:v>England and Wales</x:v>
      </x:c>
      <x:c r="J1036" s="9" t="str">
        <x:v>Family Law / Care Proceedings / Child Protection</x:v>
      </x:c>
      <x:c r="K1036" s="9" t="str">
        <x:v>ew-cases-EWCA-Civ-2022-1002.xml</x:v>
      </x:c>
      <x:c r="L1036" s="9" t="str">
        <x:v>TBA</x:v>
      </x:c>
    </x:row>
    <x:row r="1037">
      <x:c r="A1037" t="str">
        <x:v>fe38fe75-1570-4527-8e1f-8aad1a7df181</x:v>
      </x:c>
      <x:c r="B1037" t="str">
        <x:v>55da373e-0e19-420a-a311-cbe5ce3ce09b</x:v>
      </x:c>
      <x:c r="C1037" s="9" t="str">
        <x:v>F-S (A Child: Placement Order) [2021] EWCA Civ 1212</x:v>
      </x:c>
      <x:c r="D1037" s="9" t="str"/>
      <x:c r="E1037" s="9" t="str"/>
      <x:c r="F1037" s="13" t="str">
        <x:v>2021</x:v>
      </x:c>
      <x:c r="G1037" s="9" t="str">
        <x:v>England and Wales Court of Appeal (Civil Division)</x:v>
      </x:c>
      <x:c r="H1037" s="9" t="str">
        <x:v>Appellate</x:v>
      </x:c>
      <x:c r="I1037" s="9" t="str">
        <x:v>England and Wales</x:v>
      </x:c>
      <x:c r="J1037" s="9" t="str">
        <x:v>Family Law</x:v>
      </x:c>
      <x:c r="K1037" s="9" t="str">
        <x:v>ew-cases-EWCA-Civ-2021-1212.xml</x:v>
      </x:c>
      <x:c r="L1037" s="9" t="str">
        <x:v>TBA</x:v>
      </x:c>
    </x:row>
    <x:row r="1038">
      <x:c r="A1038" t="str">
        <x:v>d256074b-3adb-49fc-8faf-c524718858ac</x:v>
      </x:c>
      <x:c r="B1038" t="str">
        <x:v>87f59b8e-17e2-4466-88dc-f8cbb9e4b22a</x:v>
      </x:c>
      <x:c r="C1038" s="9" t="str">
        <x:v>FA (Bangladesh) v Secretary of State for the Home Department</x:v>
      </x:c>
      <x:c r="D1038" s="9" t="str"/>
      <x:c r="E1038" s="9" t="str"/>
      <x:c r="F1038" s="13" t="str">
        <x:v>2015</x:v>
      </x:c>
      <x:c r="G1038" s="9" t="str">
        <x:v>England and Wales Court of Appeal (Civil Division)</x:v>
      </x:c>
      <x:c r="H1038" s="9" t="str">
        <x:v>Appellate</x:v>
      </x:c>
      <x:c r="I1038" s="9" t="str">
        <x:v>England and Wales</x:v>
      </x:c>
      <x:c r="J1038" s="9" t="str">
        <x:v>Immigration Law</x:v>
      </x:c>
      <x:c r="K1038" s="9" t="str">
        <x:v>-ew-cases-EWCA-Civ-2015-874.xml</x:v>
      </x:c>
      <x:c r="L1038" s="9" t="str">
        <x:v>TBA</x:v>
      </x:c>
    </x:row>
    <x:row r="1039">
      <x:c r="A1039" t="str">
        <x:v>41f2c388-435d-4a5d-8960-e84d8933aa2a</x:v>
      </x:c>
      <x:c r="B1039" t="str">
        <x:v>8de802a3-b4f3-498f-8eea-99bdf275376a</x:v>
      </x:c>
      <x:c r="C1039" s="9" t="str">
        <x:v>FA (Pakistan) v Secretary of State for the Home Department [2016] EWCA Civ 763</x:v>
      </x:c>
      <x:c r="D1039" s="9" t="str"/>
      <x:c r="E1039" s="9" t="str"/>
      <x:c r="F1039" s="13" t="str">
        <x:v>2016</x:v>
      </x:c>
      <x:c r="G1039" s="9" t="str">
        <x:v>England and Wales Court of Appeal (Civil Division)</x:v>
      </x:c>
      <x:c r="H1039" s="9" t="str">
        <x:v>Court of Appeal (Civil Division)</x:v>
      </x:c>
      <x:c r="I1039" s="9" t="str">
        <x:v>England and Wales</x:v>
      </x:c>
      <x:c r="J1039" s="9" t="str">
        <x:v>Asylum / Immigration</x:v>
      </x:c>
      <x:c r="K1039" s="9" t="str">
        <x:v>-ew-cases-EWCA-Civ-2016-763.xml</x:v>
      </x:c>
      <x:c r="L1039" s="9" t="str">
        <x:v>TBA</x:v>
      </x:c>
    </x:row>
    <x:row r="1040">
      <x:c r="A1040" t="str">
        <x:v>c3cdee4f-5a80-4f30-90ef-e84f9785c9e8</x:v>
      </x:c>
      <x:c r="B1040" t="str">
        <x:v>2a27a953-d6c3-4c5a-a40d-5055a5d77cdb</x:v>
      </x:c>
      <x:c r="C1040" s="9" t="str">
        <x:v>FA (Sudan), R (On the Application Of) v Secretary of State for the Home Department</x:v>
      </x:c>
      <x:c r="D1040" s="9" t="str"/>
      <x:c r="E1040" s="9" t="str"/>
      <x:c r="F1040" s="13" t="str">
        <x:v>2021</x:v>
      </x:c>
      <x:c r="G1040" s="9" t="str">
        <x:v>England and Wales Court of Appeal (Civil Division)</x:v>
      </x:c>
      <x:c r="H1040" s="9" t="str">
        <x:v>Appellate</x:v>
      </x:c>
      <x:c r="I1040" s="9" t="str">
        <x:v>England and Wales</x:v>
      </x:c>
      <x:c r="J1040" s="9" t="str">
        <x:v>Immigration Law</x:v>
      </x:c>
      <x:c r="K1040" s="9" t="str">
        <x:v>ew-cases-EWCA-Civ-2021-59.xml</x:v>
      </x:c>
      <x:c r="L1040" s="9" t="str">
        <x:v>TBA</x:v>
      </x:c>
    </x:row>
    <x:row r="1041">
      <x:c r="A1041" t="str">
        <x:v>bbb9b5c6-eb31-4c9c-b98b-01c771e981c8</x:v>
      </x:c>
      <x:c r="B1041" t="str">
        <x:v>d74e03dc-4c15-4a5e-9ebe-c591f116b9e1</x:v>
      </x:c>
      <x:c r="C1041" s="9" t="str">
        <x:v>Facebook, Inc. &amp; Anor v The Competition And Markets Authority [2021] EWCA Civ 701</x:v>
      </x:c>
      <x:c r="D1041" s="9" t="str"/>
      <x:c r="E1041" s="9" t="str"/>
      <x:c r="F1041" s="13" t="str">
        <x:v>2021</x:v>
      </x:c>
      <x:c r="G1041" s="9" t="str">
        <x:v>England and Wales Court of Appeal (Civil Division)</x:v>
      </x:c>
      <x:c r="H1041" s="9" t="str">
        <x:v>Appellate</x:v>
      </x:c>
      <x:c r="I1041" s="9" t="str">
        <x:v>England and Wales</x:v>
      </x:c>
      <x:c r="J1041" s="9" t="str">
        <x:v>Competition Law</x:v>
      </x:c>
      <x:c r="K1041" s="9" t="str">
        <x:v>ew-cases-EWCA-Civ-2021-701.xml</x:v>
      </x:c>
      <x:c r="L1041" s="9" t="str">
        <x:v>TBA</x:v>
      </x:c>
    </x:row>
    <x:row r="1042">
      <x:c r="A1042" t="str">
        <x:v>2e48ca79-4a21-4872-96d3-e12b03d529d3</x:v>
      </x:c>
      <x:c r="B1042" t="str">
        <x:v>b12b36d2-85f6-48e6-9db9-c8fe0f5f1873</x:v>
      </x:c>
      <x:c r="C1042" s="9" t="str">
        <x:v>Fagbolagun (t/a Baganton Property Services) v Alade [2015] EWCA Civ 1515</x:v>
      </x:c>
      <x:c r="D1042" s="9" t="str"/>
      <x:c r="E1042" s="9" t="str"/>
      <x:c r="F1042" s="13" t="str">
        <x:v>2015</x:v>
      </x:c>
      <x:c r="G1042" s="9" t="str">
        <x:v>England and Wales Court of Appeal (Civil Division)</x:v>
      </x:c>
      <x:c r="H1042" s="9" t="str">
        <x:v>Appellate</x:v>
      </x:c>
      <x:c r="I1042" s="9" t="str">
        <x:v>England and Wales</x:v>
      </x:c>
      <x:c r="J1042" s="9" t="str">
        <x:v>Civil Appeal</x:v>
      </x:c>
      <x:c r="K1042" s="9" t="str">
        <x:v>-ew-cases-EWCA-Civ-2015-1515.xml</x:v>
      </x:c>
      <x:c r="L1042" s="9" t="str">
        <x:v>TBA</x:v>
      </x:c>
    </x:row>
    <x:row r="1043">
      <x:c r="A1043" t="str">
        <x:v>e66cd414-21e3-4689-b235-a40ed13d99e0</x:v>
      </x:c>
      <x:c r="B1043" t="str">
        <x:v>ce3a6df1-7368-420e-9f51-a190f436b480</x:v>
      </x:c>
      <x:c r="C1043" s="9" t="str">
        <x:v>Fage UK Ltd &amp; Anor v Chobani UK Ltd &amp; Anor</x:v>
      </x:c>
      <x:c r="D1043" s="9" t="str"/>
      <x:c r="E1043" s="9" t="str"/>
      <x:c r="F1043" s="13" t="str">
        <x:v>2014</x:v>
      </x:c>
      <x:c r="G1043" s="9" t="str">
        <x:v>England and Wales Court of Appeal (Civil Division)</x:v>
      </x:c>
      <x:c r="H1043" s="9" t="str">
        <x:v>appellate</x:v>
      </x:c>
      <x:c r="I1043" s="9" t="str">
        <x:v>England and Wales</x:v>
      </x:c>
      <x:c r="J1043" s="9" t="str">
        <x:v>Intellectual Property</x:v>
      </x:c>
      <x:c r="K1043" s="9" t="str">
        <x:v>-ew-cases-EWCA-Civ-2014-5.xml</x:v>
      </x:c>
      <x:c r="L1043" s="9" t="str">
        <x:v>TBA</x:v>
      </x:c>
    </x:row>
    <x:row r="1044">
      <x:c r="A1044" t="str">
        <x:v>6a172fa5-86ff-4210-9429-fda999d30cd6</x:v>
      </x:c>
      <x:c r="B1044" t="str">
        <x:v>3348784c-9c7e-4f87-b5be-9a7f0607f829</x:v>
      </x:c>
      <x:c r="C1044" s="9" t="str">
        <x:v>Fairford Water Ski Club Ltd v Cohoon &amp; Anor</x:v>
      </x:c>
      <x:c r="D1044" s="9" t="str"/>
      <x:c r="E1044" s="9" t="str"/>
      <x:c r="F1044" s="13" t="str">
        <x:v>2021</x:v>
      </x:c>
      <x:c r="G1044" s="9" t="str">
        <x:v>England and Wales Court of Appeal (Civil Division)</x:v>
      </x:c>
      <x:c r="H1044" s="9" t="str">
        <x:v>Appellate</x:v>
      </x:c>
      <x:c r="I1044" s="9" t="str">
        <x:v>England and Wales</x:v>
      </x:c>
      <x:c r="J1044" s="9" t="str">
        <x:v>Company Law</x:v>
      </x:c>
      <x:c r="K1044" s="9" t="str">
        <x:v>ew-cases-EWCA-Civ-2021-143.xml</x:v>
      </x:c>
      <x:c r="L1044" s="9" t="str">
        <x:v>TBA</x:v>
      </x:c>
    </x:row>
    <x:row r="1045">
      <x:c r="A1045" t="str">
        <x:v>db5ce1f0-7e0a-4feb-85f7-ea9f764e0af8</x:v>
      </x:c>
      <x:c r="B1045" t="str">
        <x:v>54ff55da-78a4-4c97-b360-c189b351c9be</x:v>
      </x:c>
      <x:c r="C1045" s="9" t="str">
        <x:v>Faiz &amp; Ors v Burnley Borough Council</x:v>
      </x:c>
      <x:c r="D1045" s="9" t="str"/>
      <x:c r="E1045" s="9" t="str"/>
      <x:c r="F1045" s="13" t="str">
        <x:v>2021</x:v>
      </x:c>
      <x:c r="G1045" s="9" t="str">
        <x:v>England and Wales Court of Appeal (Civil Division)</x:v>
      </x:c>
      <x:c r="H1045" s="9" t="str">
        <x:v>Appellate</x:v>
      </x:c>
      <x:c r="I1045" s="9" t="str">
        <x:v>England</x:v>
      </x:c>
      <x:c r="J1045" s="9" t="str">
        <x:v>Property Law</x:v>
      </x:c>
      <x:c r="K1045" s="9" t="str">
        <x:v>ew-cases-EWCA-Civ-2021-55.xml</x:v>
      </x:c>
      <x:c r="L1045" s="9" t="str">
        <x:v>TBA</x:v>
      </x:c>
    </x:row>
    <x:row r="1046">
      <x:c r="A1046" t="str">
        <x:v>4ed8c188-84f2-40f7-bc70-efef6c644f54</x:v>
      </x:c>
      <x:c r="B1046" t="str">
        <x:v>8803af6e-c670-4cfc-b88c-cd6e0d93f044</x:v>
      </x:c>
      <x:c r="C1046" s="9" t="str">
        <x:v>Falkonera Shipping Company v Arcadia Energy Pte Ltd, Re 'Falkonera' [2014] EWCA Civ 713</x:v>
      </x:c>
      <x:c r="D1046" s="9" t="str"/>
      <x:c r="E1046" s="9" t="str"/>
      <x:c r="F1046" s="13" t="str">
        <x:v>2014</x:v>
      </x:c>
      <x:c r="G1046" s="9" t="str">
        <x:v>England and Wales Court of Appeal (Civil Division)</x:v>
      </x:c>
      <x:c r="H1046" s="9" t="str">
        <x:v>appellate</x:v>
      </x:c>
      <x:c r="I1046" s="9" t="str">
        <x:v>England and Wales</x:v>
      </x:c>
      <x:c r="J1046" s="9" t="str">
        <x:v>Contract Dispute</x:v>
      </x:c>
      <x:c r="K1046" s="9" t="str">
        <x:v>-ew-cases-EWCA-Civ-2014-713.xml</x:v>
      </x:c>
      <x:c r="L1046" s="9" t="str">
        <x:v>TBA</x:v>
      </x:c>
    </x:row>
    <x:row r="1047">
      <x:c r="A1047" t="str">
        <x:v>a3bffb32-794b-46ea-a0d9-3e0cae879335</x:v>
      </x:c>
      <x:c r="B1047" t="str">
        <x:v>7b402821-97a0-4aa6-ba9c-9c1fba717174</x:v>
      </x:c>
      <x:c r="C1047" s="9" t="str">
        <x:v>Fanning v Revenue &amp; Customs [2023] EWCA Civ 263</x:v>
      </x:c>
      <x:c r="D1047" s="9" t="str"/>
      <x:c r="E1047" s="9" t="str"/>
      <x:c r="F1047" s="13" t="str">
        <x:v>2023</x:v>
      </x:c>
      <x:c r="G1047" s="9" t="str">
        <x:v>England and Wales Court of Appeal (Civil Division)</x:v>
      </x:c>
      <x:c r="H1047" s="9" t="str">
        <x:v>Appellate (Court of Appeal)</x:v>
      </x:c>
      <x:c r="I1047" s="9" t="str">
        <x:v>England and Wales</x:v>
      </x:c>
      <x:c r="J1047" s="9" t="str">
        <x:v>Tax / Statutory interpretation</x:v>
      </x:c>
      <x:c r="K1047" s="9" t="str">
        <x:v>ew-cases-EWCA-Civ-2023-263.xml</x:v>
      </x:c>
      <x:c r="L1047" s="9" t="str">
        <x:v>TBA</x:v>
      </x:c>
    </x:row>
    <x:row r="1048">
      <x:c r="A1048" t="str">
        <x:v>36163d06-b811-477c-ac3b-21fdb14d96ba</x:v>
      </x:c>
      <x:c r="B1048" t="str">
        <x:v>401260a3-7c6a-4e86-bb86-ea5c25e7c9f2</x:v>
      </x:c>
      <x:c r="C1048" s="9" t="str">
        <x:v>Farah v London Borough of Hillingdon [2014] EWCA Civ 359</x:v>
      </x:c>
      <x:c r="D1048" s="9" t="str"/>
      <x:c r="E1048" s="9" t="str"/>
      <x:c r="F1048" s="13" t="str">
        <x:v>2014</x:v>
      </x:c>
      <x:c r="G1048" s="9" t="str">
        <x:v>England and Wales Court of Appeal (Civil Division)</x:v>
      </x:c>
      <x:c r="H1048" s="9" t="str">
        <x:v>Appellate</x:v>
      </x:c>
      <x:c r="I1048" s="9" t="str">
        <x:v>England and Wales</x:v>
      </x:c>
      <x:c r="J1048" s="9" t="str">
        <x:v>Housing Law</x:v>
      </x:c>
      <x:c r="K1048" s="9" t="str">
        <x:v>-ew-cases-EWCA-Civ-2014-359.xml</x:v>
      </x:c>
      <x:c r="L1048" s="9" t="str">
        <x:v>TBA</x:v>
      </x:c>
    </x:row>
    <x:row r="1049">
      <x:c r="A1049" t="str">
        <x:v>1a9d5b8f-6557-44d4-8c61-663f4a83dee7</x:v>
      </x:c>
      <x:c r="B1049" t="str">
        <x:v>271926b0-47b9-40e0-9dec-40272ffe5732</x:v>
      </x:c>
      <x:c r="C1049" s="9" t="str">
        <x:v>Fardous v Secretary of State for the Home Department [2015] EWCA Civ 931</x:v>
      </x:c>
      <x:c r="D1049" s="9" t="str"/>
      <x:c r="E1049" s="9" t="str"/>
      <x:c r="F1049" s="13" t="str">
        <x:v>2015</x:v>
      </x:c>
      <x:c r="G1049" s="9" t="str">
        <x:v>England and Wales Court of Appeal (Civil Division)</x:v>
      </x:c>
      <x:c r="H1049" s="9" t="str">
        <x:v>Appellate</x:v>
      </x:c>
      <x:c r="I1049" s="9" t="str">
        <x:v>England and Wales</x:v>
      </x:c>
      <x:c r="J1049" s="9" t="str">
        <x:v>Immigration Law</x:v>
      </x:c>
      <x:c r="K1049" s="9" t="str">
        <x:v>-ew-cases-EWCA-Civ-2015-931.xml</x:v>
      </x:c>
      <x:c r="L1049" s="9" t="str">
        <x:v>TBA</x:v>
      </x:c>
    </x:row>
    <x:row r="1050">
      <x:c r="A1050" t="str">
        <x:v>1d97eb9d-5e52-417a-9dec-728becc01e35</x:v>
      </x:c>
      <x:c r="B1050" t="str">
        <x:v>b507241d-6ab8-4863-bf85-9419b1821abb</x:v>
      </x:c>
      <x:c r="C1050" s="9" t="str">
        <x:v>Farrar v Candey Ltd [2022] EWCA Civ 295 (11 March 2022)</x:v>
      </x:c>
      <x:c r="D1050" s="9" t="str"/>
      <x:c r="E1050" s="9" t="str"/>
      <x:c r="F1050" s="13" t="str">
        <x:v>2022</x:v>
      </x:c>
      <x:c r="G1050" s="9" t="str">
        <x:v>England and Wales Court of Appeal (Civil Division)</x:v>
      </x:c>
      <x:c r="H1050" s="9" t="str">
        <x:v>Court of Appeal (Civil Division)</x:v>
      </x:c>
      <x:c r="I1050" s="9" t="str">
        <x:v>England and Wales</x:v>
      </x:c>
      <x:c r="J1050" s="9" t="str">
        <x:v>Civil Appeal</x:v>
      </x:c>
      <x:c r="K1050" s="9" t="str">
        <x:v>ew-cases-EWCA-Civ-2022-295.xml</x:v>
      </x:c>
      <x:c r="L1050" s="9" t="str">
        <x:v>TBA</x:v>
      </x:c>
    </x:row>
    <x:row r="1051">
      <x:c r="A1051" t="str">
        <x:v>c1e28f93-7f9e-45d7-bbd5-90f0d50ff372</x:v>
      </x:c>
      <x:c r="B1051" t="str">
        <x:v>90a7d34d-8c23-48ee-a4b6-7f993bc4f252</x:v>
      </x:c>
      <x:c r="C1051" s="9" t="str">
        <x:v>Farrar v Leongreen Ltd [2017] EWCA Civ 2211</x:v>
      </x:c>
      <x:c r="D1051" s="9" t="str"/>
      <x:c r="E1051" s="9" t="str"/>
      <x:c r="F1051" s="13" t="str">
        <x:v>2017</x:v>
      </x:c>
      <x:c r="G1051" s="9" t="str">
        <x:v>England and Wales Court of Appeal (Civil Division)</x:v>
      </x:c>
      <x:c r="H1051" s="9" t="str">
        <x:v>Appellate</x:v>
      </x:c>
      <x:c r="I1051" s="9" t="str">
        <x:v>England and Wales</x:v>
      </x:c>
      <x:c r="J1051" s="9" t="str">
        <x:v>Property Law</x:v>
      </x:c>
      <x:c r="K1051" s="9" t="str">
        <x:v>-ew-cases-EWCA-Civ-2017-2211.xml</x:v>
      </x:c>
      <x:c r="L1051" s="9" t="str">
        <x:v>TBA</x:v>
      </x:c>
    </x:row>
    <x:row r="1052">
      <x:c r="A1052" t="str">
        <x:v>ceabd63e-4b20-4bf0-8286-026b001393fb</x:v>
      </x:c>
      <x:c r="B1052" t="str">
        <x:v>29e48c70-85f8-47ff-aa31-bb5f9cb9ee40</x:v>
      </x:c>
      <x:c r="C1052" s="9" t="str">
        <x:v>Farrer &amp; Co LLP v Meyer [2022] EWCA Civ 706</x:v>
      </x:c>
      <x:c r="D1052" s="9" t="str"/>
      <x:c r="E1052" s="9" t="str"/>
      <x:c r="F1052" s="13" t="str">
        <x:v>2022</x:v>
      </x:c>
      <x:c r="G1052" s="9" t="str">
        <x:v>England and Wales Court of Appeal (Civil Division)</x:v>
      </x:c>
      <x:c r="H1052" s="9" t="str">
        <x:v>Court of Appeal (Civil Division)</x:v>
      </x:c>
      <x:c r="I1052" s="9" t="str">
        <x:v>England and Wales</x:v>
      </x:c>
      <x:c r="J1052" s="9" t="str">
        <x:v>Civil Appeal / Contempt of Court</x:v>
      </x:c>
      <x:c r="K1052" s="9" t="str">
        <x:v>ew-cases-EWCA-Civ-2022-706.xml</x:v>
      </x:c>
      <x:c r="L1052" s="9" t="str">
        <x:v>TBA</x:v>
      </x:c>
    </x:row>
    <x:row r="1053">
      <x:c r="A1053" t="str">
        <x:v>0a0ed635-de22-4cd6-9aad-830261a34395</x:v>
      </x:c>
      <x:c r="B1053" t="str">
        <x:v>9c914de1-0366-4840-86b8-527a00fc2a88</x:v>
      </x:c>
      <x:c r="C1053" s="9" t="str">
        <x:v>FAS v Secretary of State for the Home Department &amp; Anor [2015] EWCA Civ 951</x:v>
      </x:c>
      <x:c r="D1053" s="9" t="str"/>
      <x:c r="E1053" s="9" t="str"/>
      <x:c r="F1053" s="13" t="str">
        <x:v>2015</x:v>
      </x:c>
      <x:c r="G1053" s="9" t="str">
        <x:v>England and Wales Court of Appeal (Civil Division)</x:v>
      </x:c>
      <x:c r="H1053" s="9" t="str">
        <x:v>Appellate</x:v>
      </x:c>
      <x:c r="I1053" s="9" t="str">
        <x:v>England and Wales</x:v>
      </x:c>
      <x:c r="J1053" s="9" t="str">
        <x:v>Family Law</x:v>
      </x:c>
      <x:c r="K1053" s="9" t="str">
        <x:v>-ew-cases-EWCA-Civ-2015-951.xml</x:v>
      </x:c>
      <x:c r="L1053" s="9" t="str">
        <x:v>TBA</x:v>
      </x:c>
    </x:row>
    <x:row r="1054">
      <x:c r="A1054" t="str">
        <x:v>e185f29b-3df5-4886-a676-193c37aec8b9</x:v>
      </x:c>
      <x:c r="B1054" t="str">
        <x:v>f122c38e-9f07-459c-8b2e-a04a6f732242</x:v>
      </x:c>
      <x:c r="C1054" s="9" t="str">
        <x:v>Fayad, R (on the application of) v Home Office [2016] EWCA Civ 78</x:v>
      </x:c>
      <x:c r="D1054" s="9" t="str"/>
      <x:c r="E1054" s="9" t="str"/>
      <x:c r="F1054" s="13" t="str">
        <x:v>2016</x:v>
      </x:c>
      <x:c r="G1054" s="9" t="str">
        <x:v>England and Wales Court of Appeal (Civil Division)</x:v>
      </x:c>
      <x:c r="H1054" s="9" t="str">
        <x:v>Court of Appeal (Civil Division)</x:v>
      </x:c>
      <x:c r="I1054" s="9" t="str">
        <x:v>England and Wales</x:v>
      </x:c>
      <x:c r="J1054" s="9" t="str">
        <x:v>Administrative Law / Immigration and Nationality</x:v>
      </x:c>
      <x:c r="K1054" s="9" t="str">
        <x:v>-ew-cases-EWCA-Civ-2016-78.xml</x:v>
      </x:c>
      <x:c r="L1054" s="9" t="str">
        <x:v>TBA</x:v>
      </x:c>
    </x:row>
    <x:row r="1055">
      <x:c r="A1055" t="str">
        <x:v>d70f4fdb-107c-407e-b8e4-e7bc7ff55334</x:v>
      </x:c>
      <x:c r="B1055" t="str">
        <x:v>4640b74d-db64-4156-b970-0a1375455fb5</x:v>
      </x:c>
      <x:c r="C1055" s="9" t="str">
        <x:v>FB (Pakistan) v SSHD [2015] EWCA Civ 1511</x:v>
      </x:c>
      <x:c r="D1055" s="9" t="str"/>
      <x:c r="E1055" s="9" t="str"/>
      <x:c r="F1055" s="13" t="str">
        <x:v>2015</x:v>
      </x:c>
      <x:c r="G1055" s="9" t="str">
        <x:v>England and Wales Court of Appeal (Civil Division)</x:v>
      </x:c>
      <x:c r="H1055" s="9" t="str">
        <x:v>Appellate</x:v>
      </x:c>
      <x:c r="I1055" s="9" t="str">
        <x:v>England and Wales</x:v>
      </x:c>
      <x:c r="J1055" s="9" t="str">
        <x:v>Immigration Law</x:v>
      </x:c>
      <x:c r="K1055" s="9" t="str">
        <x:v>-ew-cases-EWCA-Civ-2015-1511.xml</x:v>
      </x:c>
      <x:c r="L1055" s="9" t="str">
        <x:v>TBA</x:v>
      </x:c>
    </x:row>
    <x:row r="1056">
      <x:c r="A1056" t="str">
        <x:v>c5a587e7-c9ab-4a74-b605-38b4126c7d7c</x:v>
      </x:c>
      <x:c r="B1056" t="str">
        <x:v>e9aa9223-2df3-40e5-bf86-f589b5f25c25</x:v>
      </x:c>
      <x:c r="C1056" s="9" t="str">
        <x:v>FB v Princess Alexandra Hospital NHS Trust</x:v>
      </x:c>
      <x:c r="D1056" s="9" t="str"/>
      <x:c r="E1056" s="9" t="str"/>
      <x:c r="F1056" s="13" t="str">
        <x:v>2017</x:v>
      </x:c>
      <x:c r="G1056" s="9" t="str">
        <x:v>England and Wales Court of Appeal (Civil Division)</x:v>
      </x:c>
      <x:c r="H1056" s="9" t="str">
        <x:v>Appellate</x:v>
      </x:c>
      <x:c r="I1056" s="9" t="str">
        <x:v>England and Wales</x:v>
      </x:c>
      <x:c r="J1056" s="9" t="str">
        <x:v>Medical Negligence</x:v>
      </x:c>
      <x:c r="K1056" s="9" t="str">
        <x:v>-ew-cases-EWCA-Civ-2017-334.xml</x:v>
      </x:c>
      <x:c r="L1056" s="9" t="str">
        <x:v>TBA</x:v>
      </x:c>
    </x:row>
    <x:row r="1057">
      <x:c r="A1057" t="str">
        <x:v>7afc3d4f-759e-4594-9c64-b8d478c21a97</x:v>
      </x:c>
      <x:c r="B1057" t="str">
        <x:v>8d541b69-9333-4177-8a5a-52e2330e4daf</x:v>
      </x:c>
      <x:c r="C1057" s="9" t="str">
        <x:v>FCC Environment (UK) Ltd, R (on the application of) v The Secretary of State for Energy and Climate Change &amp; Anor</x:v>
      </x:c>
      <x:c r="D1057" s="9" t="str"/>
      <x:c r="E1057" s="9" t="str"/>
      <x:c r="F1057" s="13" t="str">
        <x:v>2015</x:v>
      </x:c>
      <x:c r="G1057" s="9" t="str">
        <x:v>England and Wales Court of Appeal (Civil Division)</x:v>
      </x:c>
      <x:c r="H1057" s="9" t="str">
        <x:v>Appellate</x:v>
      </x:c>
      <x:c r="I1057" s="9" t="str">
        <x:v>England and Wales</x:v>
      </x:c>
      <x:c r="J1057" s="9" t="str">
        <x:v>Administrative Law</x:v>
      </x:c>
      <x:c r="K1057" s="9" t="str">
        <x:v>-ew-cases-EWCA-Civ-2015-55.xml</x:v>
      </x:c>
      <x:c r="L1057" s="9" t="str">
        <x:v>TBA</x:v>
      </x:c>
    </x:row>
    <x:row r="1058">
      <x:c r="A1058" t="str">
        <x:v>667f80e3-a0d8-4fda-9a15-08c45f1986d9</x:v>
      </x:c>
      <x:c r="B1058" t="str">
        <x:v>3e12fb2b-a7ed-4ae4-827f-7115439e323a</x:v>
      </x:c>
      <x:c r="C1058" s="9" t="str">
        <x:v>FD v A Local Authority and Others [2021] EWCA Civ 149</x:v>
      </x:c>
      <x:c r="D1058" s="9" t="str"/>
      <x:c r="E1058" s="9" t="str"/>
      <x:c r="F1058" s="13" t="str">
        <x:v>2021</x:v>
      </x:c>
      <x:c r="G1058" s="9" t="str">
        <x:v>England and Wales Court of Appeal (Civil Division)</x:v>
      </x:c>
      <x:c r="H1058" s="9" t="str">
        <x:v>Appellate</x:v>
      </x:c>
      <x:c r="I1058" s="9" t="str">
        <x:v>England and Wales</x:v>
      </x:c>
      <x:c r="J1058" s="9" t="str">
        <x:v>Family Law</x:v>
      </x:c>
      <x:c r="K1058" s="9" t="str">
        <x:v>ew-cases-EWCA-Civ-2021-149.xml</x:v>
      </x:c>
      <x:c r="L1058" s="9" t="str">
        <x:v>TBA</x:v>
      </x:c>
    </x:row>
    <x:row r="1059">
      <x:c r="A1059" t="str">
        <x:v>af57a2b8-9b3f-4068-91a5-c8062466ea6a</x:v>
      </x:c>
      <x:c r="B1059" t="str">
        <x:v>b3048929-89cc-4fef-b779-8048247c735c</x:v>
      </x:c>
      <x:c r="C1059" s="9" t="str">
        <x:v>FDR Ltd v Dutton &amp; Ors [2017] EWCA Civ 200</x:v>
      </x:c>
      <x:c r="D1059" s="9" t="str"/>
      <x:c r="E1059" s="9" t="str"/>
      <x:c r="F1059" s="13" t="str">
        <x:v>2017</x:v>
      </x:c>
      <x:c r="G1059" s="9" t="str">
        <x:v>England and Wales Court of Appeal (Civil Division)</x:v>
      </x:c>
      <x:c r="H1059" s="9" t="str">
        <x:v>Appellate</x:v>
      </x:c>
      <x:c r="I1059" s="9" t="str">
        <x:v>England and Wales</x:v>
      </x:c>
      <x:c r="J1059" s="9" t="str">
        <x:v>Pension Dispute</x:v>
      </x:c>
      <x:c r="K1059" s="9" t="str">
        <x:v>-ew-cases-EWCA-Civ-2017-200.xml</x:v>
      </x:c>
      <x:c r="L1059" s="9" t="str">
        <x:v>TBA</x:v>
      </x:c>
    </x:row>
    <x:row r="1060">
      <x:c r="A1060" t="str">
        <x:v>d672d996-24fb-4a88-8ff9-9ed8e96b8f04</x:v>
      </x:c>
      <x:c r="B1060" t="str">
        <x:v>b8740dd9-4abf-44ef-87f6-a9bdda97947b</x:v>
      </x:c>
      <x:c r="C1060" s="9" t="str">
        <x:v>Federation of Independent Practitioner Organisations v Competition and Markets Authority [2016] EWCA Civ 777</x:v>
      </x:c>
      <x:c r="D1060" s="9" t="str"/>
      <x:c r="E1060" s="9" t="str"/>
      <x:c r="F1060" s="13" t="str">
        <x:v>2016</x:v>
      </x:c>
      <x:c r="G1060" s="9" t="str">
        <x:v>England and Wales Court of Appeal (Civil Division)</x:v>
      </x:c>
      <x:c r="H1060" s="9" t="str">
        <x:v>Court of Appeal</x:v>
      </x:c>
      <x:c r="I1060" s="9" t="str">
        <x:v>England and Wales</x:v>
      </x:c>
      <x:c r="J1060" s="9" t="str">
        <x:v>Competition Law / Administrative Law</x:v>
      </x:c>
      <x:c r="K1060" s="9" t="str">
        <x:v>-ew-cases-EWCA-Civ-2016-777.xml</x:v>
      </x:c>
      <x:c r="L1060" s="9" t="str">
        <x:v>TBA</x:v>
      </x:c>
    </x:row>
    <x:row r="1061">
      <x:c r="A1061" t="str">
        <x:v>7f06dacd-5dca-442b-8e95-70bba94ef920</x:v>
      </x:c>
      <x:c r="B1061" t="str">
        <x:v>3d9bd759-2b7f-49a2-adf5-869ebae94a70</x:v>
      </x:c>
      <x:c r="C1061" s="9" t="str">
        <x:v>Fenty &amp; Ors v Arcadia Group Brands Ltd &amp; Anor</x:v>
      </x:c>
      <x:c r="D1061" s="9" t="str"/>
      <x:c r="E1061" s="9" t="str"/>
      <x:c r="F1061" s="13" t="str">
        <x:v>2015</x:v>
      </x:c>
      <x:c r="G1061" s="9" t="str">
        <x:v>England and Wales Court of Appeal (Civil Division)</x:v>
      </x:c>
      <x:c r="H1061" s="9" t="str">
        <x:v>Appellate</x:v>
      </x:c>
      <x:c r="I1061" s="9" t="str">
        <x:v>England and Wales</x:v>
      </x:c>
      <x:c r="J1061" s="9" t="str">
        <x:v>Intellectual Property</x:v>
      </x:c>
      <x:c r="K1061" s="9" t="str">
        <x:v>-ew-cases-EWCA-Civ-2015-38.xml</x:v>
      </x:c>
      <x:c r="L1061" s="9" t="str">
        <x:v>TBA</x:v>
      </x:c>
    </x:row>
    <x:row r="1062">
      <x:c r="A1062" t="str">
        <x:v>e66c1b38-4f14-4b1c-8988-c2be1df83eaf</x:v>
      </x:c>
      <x:c r="B1062" t="str">
        <x:v>94967008-b030-4b76-ae2c-021bd3e235ea</x:v>
      </x:c>
      <x:c r="C1062" s="9" t="str">
        <x:v>Fenty &amp; Ors v Arcadia Group Brands Ltd &amp; Anor</x:v>
      </x:c>
      <x:c r="D1062" s="9" t="str"/>
      <x:c r="E1062" s="9" t="str"/>
      <x:c r="F1062" s="13" t="str">
        <x:v>2015</x:v>
      </x:c>
      <x:c r="G1062" s="9" t="str">
        <x:v>England and Wales Court of Appeal (Civil Division)</x:v>
      </x:c>
      <x:c r="H1062" s="9" t="str">
        <x:v>Appellate</x:v>
      </x:c>
      <x:c r="I1062" s="9" t="str">
        <x:v>England and Wales</x:v>
      </x:c>
      <x:c r="J1062" s="9" t="str">
        <x:v>Intellectual Property</x:v>
      </x:c>
      <x:c r="K1062" s="9" t="str">
        <x:v>-ew-cases-EWCA-Civ-2015-3.xml</x:v>
      </x:c>
      <x:c r="L1062" s="9" t="str">
        <x:v>TBA</x:v>
      </x:c>
    </x:row>
    <x:row r="1063">
      <x:c r="A1063" t="str">
        <x:v>273ccd51-521b-4a8e-9fea-ea5598582958</x:v>
      </x:c>
      <x:c r="B1063" t="str">
        <x:v>f1236248-695b-49b2-bdcc-af9cbb280572</x:v>
      </x:c>
      <x:c r="C1063" s="9" t="str">
        <x:v>Fernando v Bilton [2015] EWCA Civ 1098</x:v>
      </x:c>
      <x:c r="D1063" s="9" t="str"/>
      <x:c r="E1063" s="9" t="str"/>
      <x:c r="F1063" s="13" t="str">
        <x:v>2015</x:v>
      </x:c>
      <x:c r="G1063" s="9" t="str">
        <x:v>England and Wales Court of Appeal (Civil Division)</x:v>
      </x:c>
      <x:c r="H1063" s="9" t="str">
        <x:v>Appellate</x:v>
      </x:c>
      <x:c r="I1063" s="9" t="str">
        <x:v>England and Wales</x:v>
      </x:c>
      <x:c r="J1063" s="9" t="str">
        <x:v>Tort Claim</x:v>
      </x:c>
      <x:c r="K1063" s="9" t="str">
        <x:v>-ew-cases-EWCA-Civ-2015-1098.xml</x:v>
      </x:c>
      <x:c r="L1063" s="9" t="str">
        <x:v>TBA</x:v>
      </x:c>
    </x:row>
    <x:row r="1064">
      <x:c r="A1064" t="str">
        <x:v>a6b161f1-7040-4636-82c4-38f6616214d1</x:v>
      </x:c>
      <x:c r="B1064" t="str">
        <x:v>a1758ecb-b8c4-4853-951b-cc914d406aa2</x:v>
      </x:c>
      <x:c r="C1064" s="9" t="str">
        <x:v>Ferrera v Hardy [2015] EWCA Civ 1202</x:v>
      </x:c>
      <x:c r="D1064" s="9" t="str"/>
      <x:c r="E1064" s="9" t="str"/>
      <x:c r="F1064" s="13" t="str">
        <x:v>2015</x:v>
      </x:c>
      <x:c r="G1064" s="9" t="str">
        <x:v>England and Wales Court of Appeal (Civil Division)</x:v>
      </x:c>
      <x:c r="H1064" s="9" t="str">
        <x:v>Appellate</x:v>
      </x:c>
      <x:c r="I1064" s="9" t="str">
        <x:v>England and Wales</x:v>
      </x:c>
      <x:c r="J1064" s="9" t="str">
        <x:v>Civil Law</x:v>
      </x:c>
      <x:c r="K1064" s="9" t="str">
        <x:v>-ew-cases-EWCA-Civ-2015-1202.xml</x:v>
      </x:c>
      <x:c r="L1064" s="9" t="str">
        <x:v>TBA</x:v>
      </x:c>
    </x:row>
    <x:row r="1065">
      <x:c r="A1065" t="str">
        <x:v>0373adfe-a3b5-4711-b9f7-f410aedd6b72</x:v>
      </x:c>
      <x:c r="B1065" t="str">
        <x:v>5e52a724-44aa-429a-9303-00e449f4db4a</x:v>
      </x:c>
      <x:c r="C1065" s="9" t="str">
        <x:v>Ferster v Ferster &amp; Ors [2016] EWCA Civ 717</x:v>
      </x:c>
      <x:c r="D1065" s="9" t="str"/>
      <x:c r="E1065" s="9" t="str"/>
      <x:c r="F1065" s="13" t="str">
        <x:v>2016</x:v>
      </x:c>
      <x:c r="G1065" s="9" t="str">
        <x:v>England and Wales Court of Appeal (Civil Division)</x:v>
      </x:c>
      <x:c r="H1065" s="9" t="str">
        <x:v>Court of Appeal (Civil Division)</x:v>
      </x:c>
      <x:c r="I1065" s="9" t="str">
        <x:v>England and Wales</x:v>
      </x:c>
      <x:c r="J1065" s="9" t="str">
        <x:v>Company Law / Privilege / Unfair prejudice / Without prejudice rule</x:v>
      </x:c>
      <x:c r="K1065" s="9" t="str">
        <x:v>-ew-cases-EWCA-Civ-2016-717.xml</x:v>
      </x:c>
      <x:c r="L1065" s="9" t="str">
        <x:v>TBA</x:v>
      </x:c>
    </x:row>
    <x:row r="1066">
      <x:c r="A1066" t="str">
        <x:v>09f581f1-78ba-4604-ae2a-9d4275a10381</x:v>
      </x:c>
      <x:c r="B1066" t="str">
        <x:v>b93b4204-e79d-4d06-afac-0268f8662c14</x:v>
      </x:c>
      <x:c r="C1066" s="9" t="str">
        <x:v>FFI-Global SRL v Outeiro Ltd &amp; Anor [2015] EWCA Civ 1212</x:v>
      </x:c>
      <x:c r="D1066" s="9" t="str"/>
      <x:c r="E1066" s="9" t="str"/>
      <x:c r="F1066" s="13" t="str">
        <x:v>2015</x:v>
      </x:c>
      <x:c r="G1066" s="9" t="str">
        <x:v>England and Wales Court of Appeal (Civil Division)</x:v>
      </x:c>
      <x:c r="H1066" s="9" t="str">
        <x:v>Appellate</x:v>
      </x:c>
      <x:c r="I1066" s="9" t="str">
        <x:v>United Kingdom</x:v>
      </x:c>
      <x:c r="J1066" s="9" t="str">
        <x:v>Contract Dispute</x:v>
      </x:c>
      <x:c r="K1066" s="9" t="str">
        <x:v>-ew-cases-EWCA-Civ-2015-1212.xml</x:v>
      </x:c>
      <x:c r="L1066" s="9" t="str">
        <x:v>TBA</x:v>
      </x:c>
    </x:row>
    <x:row r="1067">
      <x:c r="A1067" t="str">
        <x:v>7d2c857f-f92e-4410-a3fa-279631d522c3</x:v>
      </x:c>
      <x:c r="B1067" t="str">
        <x:v>82d8eeec-0eaa-4067-bb88-786deb42abcb</x:v>
      </x:c>
      <x:c r="C1067" s="9" t="str">
        <x:v>FH (Sri Lanka) v Secretary of State for the Home Department [2016] EWCA Civ 624</x:v>
      </x:c>
      <x:c r="D1067" s="9" t="str"/>
      <x:c r="E1067" s="9" t="str"/>
      <x:c r="F1067" s="13" t="str">
        <x:v>2016</x:v>
      </x:c>
      <x:c r="G1067" s="9" t="str">
        <x:v>England and Wales Court of Appeal (Civil Division)</x:v>
      </x:c>
      <x:c r="H1067" s="9" t="str">
        <x:v>Court of Appeal (Civil Division)</x:v>
      </x:c>
      <x:c r="I1067" s="9" t="str">
        <x:v>England and Wales</x:v>
      </x:c>
      <x:c r="J1067" s="9" t="str">
        <x:v>Immigration/Administrative Law</x:v>
      </x:c>
      <x:c r="K1067" s="9" t="str">
        <x:v>-ew-cases-EWCA-Civ-2016-624.xml</x:v>
      </x:c>
      <x:c r="L1067" s="9" t="str">
        <x:v>TBA</x:v>
      </x:c>
    </x:row>
    <x:row r="1068">
      <x:c r="A1068" t="str">
        <x:v>8e711120-159d-4372-9543-7ba8139d478d</x:v>
      </x:c>
      <x:c r="B1068" t="str">
        <x:v>720cde29-16c8-41e8-9899-7ac2abcb1cc1</x:v>
      </x:c>
      <x:c r="C1068" s="9" t="str">
        <x:v>FI v Secretary of State for the Home Department [2014] EWCA Civ 1272</x:v>
      </x:c>
      <x:c r="D1068" s="9" t="str"/>
      <x:c r="E1068" s="9" t="str"/>
      <x:c r="F1068" s="13" t="str">
        <x:v>2014</x:v>
      </x:c>
      <x:c r="G1068" s="9" t="str">
        <x:v>England and Wales Court of Appeal (Civil Division)</x:v>
      </x:c>
      <x:c r="H1068" s="9" t="str">
        <x:v>Appellate</x:v>
      </x:c>
      <x:c r="I1068" s="9" t="str">
        <x:v>England and Wales</x:v>
      </x:c>
      <x:c r="J1068" s="9" t="str">
        <x:v>Administrative Law</x:v>
      </x:c>
      <x:c r="K1068" s="9" t="str">
        <x:v>-ew-cases-EWCA-Civ-2014-1272.xml</x:v>
      </x:c>
      <x:c r="L1068" s="9" t="str">
        <x:v>TBA</x:v>
      </x:c>
    </x:row>
    <x:row r="1069">
      <x:c r="A1069" t="str">
        <x:v>a3240a1d-562f-4705-bb56-c8583499c700</x:v>
      </x:c>
      <x:c r="B1069" t="str">
        <x:v>715b37d5-694c-4b25-b4a6-244d8ed0cb2b</x:v>
      </x:c>
      <x:c r="C1069" s="9" t="str">
        <x:v>Fiberweb Geosynthetics Ltd v Geofabrics Ltd</x:v>
      </x:c>
      <x:c r="D1069" s="9" t="str"/>
      <x:c r="E1069" s="9" t="str"/>
      <x:c r="F1069" s="13" t="str">
        <x:v>2021</x:v>
      </x:c>
      <x:c r="G1069" s="9" t="str">
        <x:v>England and Wales Court of Appeal (Civil Division)</x:v>
      </x:c>
      <x:c r="H1069" s="9" t="str">
        <x:v>Appellate</x:v>
      </x:c>
      <x:c r="I1069" s="9" t="str">
        <x:v>England and Wales</x:v>
      </x:c>
      <x:c r="J1069" s="9" t="str">
        <x:v>Intellectual Property</x:v>
      </x:c>
      <x:c r="K1069" s="9" t="str">
        <x:v>ew-cases-EWCA-Civ-2021-854.xml</x:v>
      </x:c>
      <x:c r="L1069" s="9" t="str">
        <x:v>TBA</x:v>
      </x:c>
    </x:row>
    <x:row r="1070">
      <x:c r="A1070" t="str">
        <x:v>a82a7ec5-88e4-48e8-a8e7-9450e17a3f88</x:v>
      </x:c>
      <x:c r="B1070" t="str">
        <x:v>729b91cf-fb58-4145-9304-4aa5401e7a3c</x:v>
      </x:c>
      <x:c r="C1070" s="9" t="str">
        <x:v>FibroGen Inc v Akebia Therapeutics Inc [2021] EWCA Civ 1279</x:v>
      </x:c>
      <x:c r="D1070" s="9" t="str"/>
      <x:c r="E1070" s="9" t="str"/>
      <x:c r="F1070" s="13" t="str">
        <x:v>2021</x:v>
      </x:c>
      <x:c r="G1070" s="9" t="str">
        <x:v>England and Wales Court of Appeal (Civil Division)</x:v>
      </x:c>
      <x:c r="H1070" s="9" t="str">
        <x:v>Appellate</x:v>
      </x:c>
      <x:c r="I1070" s="9" t="str">
        <x:v>England and Wales</x:v>
      </x:c>
      <x:c r="J1070" s="9" t="str">
        <x:v>Patent Law</x:v>
      </x:c>
      <x:c r="K1070" s="9" t="str">
        <x:v>ew-cases-EWCA-Civ-2021-1279.xml</x:v>
      </x:c>
      <x:c r="L1070" s="9" t="str">
        <x:v>TBA</x:v>
      </x:c>
    </x:row>
    <x:row r="1071">
      <x:c r="A1071" t="str">
        <x:v>e36fde9c-a039-4e0e-bbd1-edff51325f72</x:v>
      </x:c>
      <x:c r="B1071" t="str">
        <x:v>b80f27b6-0f80-4e66-b15f-5ea13e2baa01</x:v>
      </x:c>
      <x:c r="C1071" s="9" t="str">
        <x:v>Fidex Ltd v HM Revenue &amp; Customs [2016] EWCA Civ 385 (21 April 2016)</x:v>
      </x:c>
      <x:c r="D1071" s="9" t="str"/>
      <x:c r="E1071" s="9" t="str"/>
      <x:c r="F1071" s="13" t="str">
        <x:v>2016</x:v>
      </x:c>
      <x:c r="G1071" s="9" t="str">
        <x:v>England and Wales Court of Appeal (Civil Division)</x:v>
      </x:c>
      <x:c r="H1071" s="9" t="str">
        <x:v>Court of Appeal (Civil Division)</x:v>
      </x:c>
      <x:c r="I1071" s="9" t="str">
        <x:v>England and Wales</x:v>
      </x:c>
      <x:c r="J1071" s="9" t="str">
        <x:v>Tax Law / Tax Avoidance</x:v>
      </x:c>
      <x:c r="K1071" s="9" t="str">
        <x:v>-ew-cases-EWCA-Civ-2016-385.xml</x:v>
      </x:c>
      <x:c r="L1071" s="9" t="str">
        <x:v>TBA</x:v>
      </x:c>
    </x:row>
    <x:row r="1072">
      <x:c r="A1072" t="str">
        <x:v>ae917d7b-8f6f-4afb-b1ee-8508a7b8faee</x:v>
      </x:c>
      <x:c r="B1072" t="str">
        <x:v>c31d4c82-88f9-42c8-968b-efc3ee876ec7</x:v>
      </x:c>
      <x:c r="C1072" s="9" t="str">
        <x:v>Figurasin &amp; Anor v Central Capital Ltd [2014] EWCA Civ 504</x:v>
      </x:c>
      <x:c r="D1072" s="9" t="str"/>
      <x:c r="E1072" s="9" t="str"/>
      <x:c r="F1072" s="13" t="str">
        <x:v>2014</x:v>
      </x:c>
      <x:c r="G1072" s="9" t="str">
        <x:v>England and Wales Court of Appeal (Civil Division)</x:v>
      </x:c>
      <x:c r="H1072" s="9" t="str">
        <x:v>appellate</x:v>
      </x:c>
      <x:c r="I1072" s="9" t="str">
        <x:v>England</x:v>
      </x:c>
      <x:c r="J1072" s="9" t="str">
        <x:v>Consumer Protection</x:v>
      </x:c>
      <x:c r="K1072" s="9" t="str">
        <x:v>-ew-cases-EWCA-Civ-2014-504.xml</x:v>
      </x:c>
      <x:c r="L1072" s="9" t="str">
        <x:v>TBA</x:v>
      </x:c>
    </x:row>
    <x:row r="1073">
      <x:c r="A1073" t="str">
        <x:v>efef3b0f-679e-4dc3-9ae2-d98f9696dd1a</x:v>
      </x:c>
      <x:c r="B1073" t="str">
        <x:v>491265ae-a3e1-4175-83b9-d3261a9f675d</x:v>
      </x:c>
      <x:c r="C1073" s="9" t="str">
        <x:v>FIMBank PLC v KCH Shipping Co Ltd [2023] EWCA Civ 569</x:v>
      </x:c>
      <x:c r="D1073" s="9" t="str"/>
      <x:c r="E1073" s="9" t="str"/>
      <x:c r="F1073" s="13" t="str">
        <x:v>2023</x:v>
      </x:c>
      <x:c r="G1073" s="9" t="str">
        <x:v>England and Wales Court of Appeal (Civil Division)</x:v>
      </x:c>
      <x:c r="H1073" s="9" t="str">
        <x:v>Court of Appeal (Civil Division)</x:v>
      </x:c>
      <x:c r="I1073" s="9" t="str">
        <x:v>England and Wales</x:v>
      </x:c>
      <x:c r="J1073" s="9" t="str">
        <x:v>Contract Dispute; Maritime Law; Shipping</x:v>
      </x:c>
      <x:c r="K1073" s="9" t="str">
        <x:v>ew-cases-EWCA-Civ-2023-569.xml</x:v>
      </x:c>
      <x:c r="L1073" s="9" t="str">
        <x:v>TBA</x:v>
      </x:c>
    </x:row>
    <x:row r="1074">
      <x:c r="A1074" t="str">
        <x:v>8324f74e-0165-436a-b8f6-89759a067d1a</x:v>
      </x:c>
      <x:c r="B1074" t="str">
        <x:v>63e39313-99a4-4e23-b9c2-365d4d126ada</x:v>
      </x:c>
      <x:c r="C1074" s="9" t="str">
        <x:v>Finance and Business Training Ltd v HM Revenue and Customs [2014] EWCA Civ 1412</x:v>
      </x:c>
      <x:c r="D1074" s="9" t="str"/>
      <x:c r="E1074" s="9" t="str"/>
      <x:c r="F1074" s="13" t="str">
        <x:v>2014</x:v>
      </x:c>
      <x:c r="G1074" s="9" t="str">
        <x:v>England and Wales Court of Appeal (Civil Division)</x:v>
      </x:c>
      <x:c r="H1074" s="9" t="str">
        <x:v>Appellate</x:v>
      </x:c>
      <x:c r="I1074" s="9" t="str">
        <x:v>England and Wales</x:v>
      </x:c>
      <x:c r="J1074" s="9" t="str">
        <x:v>Tax Law</x:v>
      </x:c>
      <x:c r="K1074" s="9" t="str">
        <x:v>-ew-cases-EWCA-Civ-2014-1412.xml</x:v>
      </x:c>
      <x:c r="L1074" s="9" t="str">
        <x:v>TBA</x:v>
      </x:c>
    </x:row>
    <x:row r="1075">
      <x:c r="A1075" t="str">
        <x:v>605ea9b2-bda4-46f7-b3ec-6a63358a31ca</x:v>
      </x:c>
      <x:c r="B1075" t="str">
        <x:v>0fffc865-cbed-4e52-af08-144b02be1b3a</x:v>
      </x:c>
      <x:c r="C1075" s="9" t="str">
        <x:v>Finance and Business Training Ltd v Revenue and Customs [2016] EWCA Civ 7</x:v>
      </x:c>
      <x:c r="D1075" s="9" t="str"/>
      <x:c r="E1075" s="9" t="str"/>
      <x:c r="F1075" s="13" t="str">
        <x:v>2016</x:v>
      </x:c>
      <x:c r="G1075" s="9" t="str">
        <x:v>England and Wales Court of Appeal (Civil Division)</x:v>
      </x:c>
      <x:c r="H1075" s="9" t="str">
        <x:v>Court of Appeal (Civil Division)</x:v>
      </x:c>
      <x:c r="I1075" s="9" t="str">
        <x:v>England and Wales</x:v>
      </x:c>
      <x:c r="J1075" s="9" t="str">
        <x:v>Tax / VAT / EU law</x:v>
      </x:c>
      <x:c r="K1075" s="9" t="str">
        <x:v>-ew-cases-EWCA-Civ-2016-7.xml</x:v>
      </x:c>
      <x:c r="L1075" s="9" t="str">
        <x:v>TBA</x:v>
      </x:c>
    </x:row>
    <x:row r="1076">
      <x:c r="A1076" t="str">
        <x:v>9c7b55fe-d953-489e-a713-4a83f18d9736</x:v>
      </x:c>
      <x:c r="B1076" t="str">
        <x:v>968e5c88-1f2c-4da8-9290-4111f416ec6e</x:v>
      </x:c>
      <x:c r="C1076" s="9" t="str">
        <x:v>Finch On Behalf of the Weald Action Group, R (On the Application Of) v Surrey County Council &amp; Ors [2022] EWCA Civ 187</x:v>
      </x:c>
      <x:c r="D1076" s="9" t="str"/>
      <x:c r="E1076" s="9" t="str"/>
      <x:c r="F1076" s="13" t="str">
        <x:v>2022</x:v>
      </x:c>
      <x:c r="G1076" s="9" t="str">
        <x:v>England and Wales Court of Appeal (Civil Division)</x:v>
      </x:c>
      <x:c r="H1076" s="9" t="str">
        <x:v>Court of Appeal (Civil Division)</x:v>
      </x:c>
      <x:c r="I1076" s="9" t="str">
        <x:v>England and Wales</x:v>
      </x:c>
      <x:c r="J1076" s="9" t="str">
        <x:v>Administrative Law; Planning Law</x:v>
      </x:c>
      <x:c r="K1076" s="9" t="str">
        <x:v>ew-cases-EWCA-Civ-2022-187.xml</x:v>
      </x:c>
      <x:c r="L1076" s="9" t="str">
        <x:v>TBA</x:v>
      </x:c>
    </x:row>
    <x:row r="1077">
      <x:c r="A1077" t="str">
        <x:v>7a22da51-334e-4f3d-ae47-369bb8c14760</x:v>
      </x:c>
      <x:c r="B1077" t="str">
        <x:v>1b127560-f0e1-4a85-8dd7-6b46d3ab9b5b</x:v>
      </x:c>
      <x:c r="C1077" s="9" t="str">
        <x:v>Finch v Baker [2021] EWCA Civ 72</x:v>
      </x:c>
      <x:c r="D1077" s="9" t="str"/>
      <x:c r="E1077" s="9" t="str"/>
      <x:c r="F1077" s="13" t="str">
        <x:v>2021</x:v>
      </x:c>
      <x:c r="G1077" s="9" t="str">
        <x:v>England and Wales Court of Appeal (Civil Division)</x:v>
      </x:c>
      <x:c r="H1077" s="9" t="str">
        <x:v>Appellate</x:v>
      </x:c>
      <x:c r="I1077" s="9" t="str">
        <x:v>England and Wales</x:v>
      </x:c>
      <x:c r="J1077" s="9" t="str">
        <x:v>Family Law</x:v>
      </x:c>
      <x:c r="K1077" s="9" t="str">
        <x:v>ew-cases-EWCA-Civ-2021-72.xml</x:v>
      </x:c>
      <x:c r="L1077" s="9" t="str">
        <x:v>TBA</x:v>
      </x:c>
    </x:row>
    <x:row r="1078">
      <x:c r="A1078" t="str">
        <x:v>9640ca64-8676-4160-99e0-ef64edb3866c</x:v>
      </x:c>
      <x:c r="B1078" t="str">
        <x:v>7ed248c9-2459-42e0-8b03-45170516f36c</x:v>
      </x:c>
      <x:c r="C1078" s="9" t="str">
        <x:v>Finmeccanica Global Services Spa v HM Revenue and Customs [2016] EWCA Civ 1105</x:v>
      </x:c>
      <x:c r="D1078" s="9" t="str"/>
      <x:c r="E1078" s="9" t="str"/>
      <x:c r="F1078" s="13" t="str">
        <x:v>2016</x:v>
      </x:c>
      <x:c r="G1078" s="9" t="str">
        <x:v>England and Wales Court of Appeal (Civil Division)</x:v>
      </x:c>
      <x:c r="H1078" s="9" t="str">
        <x:v>Court of Appeal (Civil Division)</x:v>
      </x:c>
      <x:c r="I1078" s="9" t="str">
        <x:v>England and Wales</x:v>
      </x:c>
      <x:c r="J1078" s="9" t="str">
        <x:v>Tax law / VAT</x:v>
      </x:c>
      <x:c r="K1078" s="9" t="str">
        <x:v>-ew-cases-EWCA-Civ-2016-1105.xml</x:v>
      </x:c>
      <x:c r="L1078" s="9" t="str">
        <x:v>TBA</x:v>
      </x:c>
    </x:row>
    <x:row r="1079">
      <x:c r="A1079" t="str">
        <x:v>bea7d4d6-9017-4504-bc26-f2ec04d55d89</x:v>
      </x:c>
      <x:c r="B1079" t="str">
        <x:v>ddaa6308-a69f-476f-b152-1299083956f9</x:v>
      </x:c>
      <x:c r="C1079" s="9" t="str">
        <x:v>Firoozmand v London Borough of Lambeth [2015] EWCA Civ 952</x:v>
      </x:c>
      <x:c r="D1079" s="9" t="str"/>
      <x:c r="E1079" s="9" t="str"/>
      <x:c r="F1079" s="13" t="str">
        <x:v>2015</x:v>
      </x:c>
      <x:c r="G1079" s="9" t="str">
        <x:v>England and Wales Court of Appeal (Civil Division)</x:v>
      </x:c>
      <x:c r="H1079" s="9" t="str">
        <x:v>Appellate</x:v>
      </x:c>
      <x:c r="I1079" s="9" t="str">
        <x:v>England and Wales</x:v>
      </x:c>
      <x:c r="J1079" s="9" t="str">
        <x:v>Housing Law</x:v>
      </x:c>
      <x:c r="K1079" s="9" t="str">
        <x:v>-ew-cases-EWCA-Civ-2015-952.xml</x:v>
      </x:c>
      <x:c r="L1079" s="9" t="str">
        <x:v>TBA</x:v>
      </x:c>
    </x:row>
    <x:row r="1080">
      <x:c r="A1080" t="str">
        <x:v>7b457550-09ad-41e7-9f69-80b78c784ebd</x:v>
      </x:c>
      <x:c r="B1080" t="str">
        <x:v>320702b4-23ba-48d3-ae1b-552fe7f1320b</x:v>
      </x:c>
      <x:c r="C1080" s="9" t="str">
        <x:v>Firrozmand v London Borough of Lambeth</x:v>
      </x:c>
      <x:c r="D1080" s="9" t="str"/>
      <x:c r="E1080" s="9" t="str"/>
      <x:c r="F1080" s="13" t="str">
        <x:v>2015</x:v>
      </x:c>
      <x:c r="G1080" s="9" t="str">
        <x:v>England and Wales Court of Appeal (Civil Division)</x:v>
      </x:c>
      <x:c r="H1080" s="9" t="str">
        <x:v>Appellate</x:v>
      </x:c>
      <x:c r="I1080" s="9" t="str">
        <x:v>England and Wales</x:v>
      </x:c>
      <x:c r="J1080" s="9" t="str">
        <x:v>Administrative Law</x:v>
      </x:c>
      <x:c r="K1080" s="9" t="str">
        <x:v>-ew-cases-EWCA-Civ-2015-890.xml</x:v>
      </x:c>
      <x:c r="L1080" s="9" t="str">
        <x:v>TBA</x:v>
      </x:c>
    </x:row>
    <x:row r="1081">
      <x:c r="A1081" t="str">
        <x:v>ae5d146d-729e-4ab6-8347-747c7fbf1adf</x:v>
      </x:c>
      <x:c r="B1081" t="str">
        <x:v>3bfd3362-fd03-4b35-9e83-e48b5b24b906</x:v>
      </x:c>
      <x:c r="C1081" s="9" t="str">
        <x:v>First Alternative Medical Staffing Ltd &amp; Delta Nursing Agency Ltd v HM Revenue and Customs (Nursing Agencies Concession) [2022] EWCA Civ 249</x:v>
      </x:c>
      <x:c r="D1081" s="9" t="str"/>
      <x:c r="E1081" s="9" t="str"/>
      <x:c r="F1081" s="13" t="str">
        <x:v>2022</x:v>
      </x:c>
      <x:c r="G1081" s="9" t="str">
        <x:v>England and Wales Court of Appeal (Civil Division)</x:v>
      </x:c>
      <x:c r="H1081" s="9" t="str">
        <x:v>Court of Appeal (Civil Division)</x:v>
      </x:c>
      <x:c r="I1081" s="9" t="str">
        <x:v>England and Wales</x:v>
      </x:c>
      <x:c r="J1081" s="9" t="str">
        <x:v>Tax / VAT</x:v>
      </x:c>
      <x:c r="K1081" s="9" t="str">
        <x:v>ew-cases-EWCA-Civ-2022-249.xml</x:v>
      </x:c>
      <x:c r="L1081" s="9" t="str">
        <x:v>TBA</x:v>
      </x:c>
    </x:row>
    <x:row r="1082">
      <x:c r="A1082" t="str">
        <x:v>33f375cf-bc7a-45c0-a24c-303bf8c933c6</x:v>
      </x:c>
      <x:c r="B1082" t="str">
        <x:v>f17e3410-0298-4b68-82c5-6843a312571d</x:v>
      </x:c>
      <x:c r="C1082" s="9" t="str">
        <x:v>First Subsea Ltd v Balltec Ltd &amp; Ors</x:v>
      </x:c>
      <x:c r="D1082" s="9" t="str"/>
      <x:c r="E1082" s="9" t="str"/>
      <x:c r="F1082" s="13" t="str">
        <x:v>2017</x:v>
      </x:c>
      <x:c r="G1082" s="9" t="str">
        <x:v>England and Wales Court of Appeal (Civil Division)</x:v>
      </x:c>
      <x:c r="H1082" s="9" t="str">
        <x:v>Appellate</x:v>
      </x:c>
      <x:c r="I1082" s="9" t="str">
        <x:v>England and Wales</x:v>
      </x:c>
      <x:c r="J1082" s="9" t="str">
        <x:v>Corporate Law &amp; Fiduciary Duties</x:v>
      </x:c>
      <x:c r="K1082" s="9" t="str">
        <x:v>-ew-cases-EWCA-Civ-2017-186.xml</x:v>
      </x:c>
      <x:c r="L1082" s="9" t="str">
        <x:v>TBA</x:v>
      </x:c>
    </x:row>
    <x:row r="1083">
      <x:c r="A1083" t="str">
        <x:v>5df96a2f-36d6-4c26-99bf-a9c707be1d96</x:v>
      </x:c>
      <x:c r="B1083" t="str">
        <x:v>74e48d21-d0ed-428b-8f29-bd94f3d2041d</x:v>
      </x:c>
      <x:c r="C1083" s="9" t="str">
        <x:v>Firstgroup Plc v Paulley [2014] EWCA Civ 1573</x:v>
      </x:c>
      <x:c r="D1083" s="9" t="str"/>
      <x:c r="E1083" s="9" t="str"/>
      <x:c r="F1083" s="13" t="str">
        <x:v>2014</x:v>
      </x:c>
      <x:c r="G1083" s="9" t="str">
        <x:v>England and Wales Court of Appeal (Civil Division)</x:v>
      </x:c>
      <x:c r="H1083" s="9" t="str">
        <x:v>Appellate</x:v>
      </x:c>
      <x:c r="I1083" s="9" t="str">
        <x:v>England and Wales</x:v>
      </x:c>
      <x:c r="J1083" s="9" t="str">
        <x:v>Disability Discrimination</x:v>
      </x:c>
      <x:c r="K1083" s="9" t="str">
        <x:v>-ew-cases-EWCA-Civ-2014-1573.xml</x:v>
      </x:c>
      <x:c r="L1083" s="9" t="str">
        <x:v>TBA</x:v>
      </x:c>
    </x:row>
    <x:row r="1084">
      <x:c r="A1084" t="str">
        <x:v>4a944f36-dc2a-43d9-8633-babd963efe49</x:v>
      </x:c>
      <x:c r="B1084" t="str">
        <x:v>956b7c29-d49d-4e92-8b43-18fb2f4e4f83</x:v>
      </x:c>
      <x:c r="C1084" s="9" t="str">
        <x:v>Fitzgerald &amp; Ors v Henerty &amp; Ors [2016] EWCA Civ 701</x:v>
      </x:c>
      <x:c r="D1084" s="9" t="str"/>
      <x:c r="E1084" s="9" t="str"/>
      <x:c r="F1084" s="13" t="str">
        <x:v>2016</x:v>
      </x:c>
      <x:c r="G1084" s="9" t="str">
        <x:v>England and Wales Court of Appeal (Civil Division)</x:v>
      </x:c>
      <x:c r="H1084" s="9" t="str">
        <x:v>Court of Appeal (Civil Division)</x:v>
      </x:c>
      <x:c r="I1084" s="9" t="str">
        <x:v>England and Wales</x:v>
      </x:c>
      <x:c r="J1084" s="9" t="str">
        <x:v>Will/Probate (testamentary capacity and knowledge/approval)</x:v>
      </x:c>
      <x:c r="K1084" s="9" t="str">
        <x:v>-ew-cases-EWCA-Civ-2016-701.xml</x:v>
      </x:c>
      <x:c r="L1084" s="9" t="str">
        <x:v>TBA</x:v>
      </x:c>
    </x:row>
    <x:row r="1085">
      <x:c r="A1085" t="str">
        <x:v>f797e872-acf6-4bb5-8471-11cf5f6792da</x:v>
      </x:c>
      <x:c r="B1085" t="str">
        <x:v>d0fa48b0-a745-466e-81f3-7e289e98b410</x:v>
      </x:c>
      <x:c r="C1085" s="9" t="str">
        <x:v>Fixsler &amp; Anor v Manchester University NHS Foundation Trust &amp; Anor</x:v>
      </x:c>
      <x:c r="D1085" s="9" t="str"/>
      <x:c r="E1085" s="9" t="str"/>
      <x:c r="F1085" s="13" t="str">
        <x:v>2021</x:v>
      </x:c>
      <x:c r="G1085" s="9" t="str">
        <x:v>England and Wales Court of Appeal (Civil Division)</x:v>
      </x:c>
      <x:c r="H1085" s="9" t="str">
        <x:v>Appellate</x:v>
      </x:c>
      <x:c r="I1085" s="9" t="str">
        <x:v>England and Wales</x:v>
      </x:c>
      <x:c r="J1085" s="9" t="str">
        <x:v>Family Law</x:v>
      </x:c>
      <x:c r="K1085" s="9" t="str">
        <x:v>ew-cases-EWCA-Civ-2021-1018.xml</x:v>
      </x:c>
      <x:c r="L1085" s="9" t="str">
        <x:v>TBA</x:v>
      </x:c>
    </x:row>
    <x:row r="1086">
      <x:c r="A1086" t="str">
        <x:v>7eba2fc8-77d1-4383-9f77-3007009b9d7a</x:v>
      </x:c>
      <x:c r="B1086" t="str">
        <x:v>2ad20fbc-89d3-4d67-8c9e-049198a8017d</x:v>
      </x:c>
      <x:c r="C1086" s="9" t="str">
        <x:v>Fletcher v Chancery Supplies Ltd [2016] EWCA Civ 1112</x:v>
      </x:c>
      <x:c r="D1086" s="9" t="str"/>
      <x:c r="E1086" s="9" t="str"/>
      <x:c r="F1086" s="13" t="str">
        <x:v>2016</x:v>
      </x:c>
      <x:c r="G1086" s="9" t="str">
        <x:v>England and Wales Court of Appeal (Civil Division)</x:v>
      </x:c>
      <x:c r="H1086" s="9" t="str">
        <x:v>Appellate (Court of Appeal)</x:v>
      </x:c>
      <x:c r="I1086" s="9" t="str">
        <x:v>England and Wales</x:v>
      </x:c>
      <x:c r="J1086" s="9" t="str">
        <x:v>Tort - Negligence; Vicarious liability; Employment law</x:v>
      </x:c>
      <x:c r="K1086" s="9" t="str">
        <x:v>-ew-cases-EWCA-Civ-2016-1112.xml</x:v>
      </x:c>
      <x:c r="L1086" s="9" t="str">
        <x:v>TBA</x:v>
      </x:c>
    </x:row>
    <x:row r="1087">
      <x:c r="A1087" t="str">
        <x:v>0eb959aa-6cd2-4030-9e75-a6009c108d32</x:v>
      </x:c>
      <x:c r="B1087" t="str">
        <x:v>d87be189-929e-46b9-a816-f52abf5be9f9</x:v>
      </x:c>
      <x:c r="C1087" s="9" t="str">
        <x:v>Fletcher v Keatley [2017] EWCA Civ 1540</x:v>
      </x:c>
      <x:c r="D1087" s="9" t="str"/>
      <x:c r="E1087" s="9" t="str"/>
      <x:c r="F1087" s="13" t="str">
        <x:v>2017</x:v>
      </x:c>
      <x:c r="G1087" s="9" t="str">
        <x:v>England and Wales Court of Appeal (Civil Division)</x:v>
      </x:c>
      <x:c r="H1087" s="9" t="str">
        <x:v>Appellate</x:v>
      </x:c>
      <x:c r="I1087" s="9" t="str">
        <x:v>England and Wales</x:v>
      </x:c>
      <x:c r="J1087" s="9" t="str">
        <x:v>Personal Injury</x:v>
      </x:c>
      <x:c r="K1087" s="9" t="str">
        <x:v>-ew-cases-EWCA-Civ-2017-1540.xml</x:v>
      </x:c>
      <x:c r="L1087" s="9" t="str">
        <x:v>TBA</x:v>
      </x:c>
    </x:row>
    <x:row r="1088">
      <x:c r="A1088" t="str">
        <x:v>16021f1f-d954-4366-b194-2fcee235315c</x:v>
      </x:c>
      <x:c r="B1088" t="str">
        <x:v>cfb9db03-44c0-4604-926a-a76e01575d88</x:v>
      </x:c>
      <x:c r="C1088" s="9" t="str">
        <x:v>Floreat Investment Management Ltd v Churchill &amp; Ors [2023] EWCA Civ 440</x:v>
      </x:c>
      <x:c r="D1088" s="9" t="str"/>
      <x:c r="E1088" s="9" t="str"/>
      <x:c r="F1088" s="13" t="str">
        <x:v>2023</x:v>
      </x:c>
      <x:c r="G1088" s="9" t="str">
        <x:v>England and Wales Court of Appeal (Civil Division)</x:v>
      </x:c>
      <x:c r="H1088" s="9" t="str">
        <x:v>Court of Appeal (Civil Division)</x:v>
      </x:c>
      <x:c r="I1088" s="9" t="str">
        <x:v>Court of Appeal, England and Wales</x:v>
      </x:c>
      <x:c r="J1088" s="9" t="str">
        <x:v>Civil Dispute – Fiduciary Duty, Constructive Trust, Dishonest Assistance, Knowing Receipt</x:v>
      </x:c>
      <x:c r="K1088" s="9" t="str">
        <x:v>ew-cases-EWCA-Civ-2023-440.xml</x:v>
      </x:c>
      <x:c r="L1088" s="9" t="str">
        <x:v>TBA</x:v>
      </x:c>
    </x:row>
    <x:row r="1089">
      <x:c r="A1089" t="str">
        <x:v>f6213724-7c89-494e-bf60-0b11dfbd81d6</x:v>
      </x:c>
      <x:c r="B1089" t="str">
        <x:v>53df7cfc-6071-41ca-bfc4-c5a2379cb7aa</x:v>
      </x:c>
      <x:c r="C1089" s="9" t="str">
        <x:v>Flynn Pharma Ltd v Drugsrus Ltd &amp; Anor [2017] EWCA Civ 226</x:v>
      </x:c>
      <x:c r="D1089" s="9" t="str"/>
      <x:c r="E1089" s="9" t="str"/>
      <x:c r="F1089" s="13" t="str">
        <x:v>2017</x:v>
      </x:c>
      <x:c r="G1089" s="9" t="str">
        <x:v>England and Wales Court of Appeal (Civil Division)</x:v>
      </x:c>
      <x:c r="H1089" s="9" t="str">
        <x:v>Appellate</x:v>
      </x:c>
      <x:c r="I1089" s="9" t="str">
        <x:v>England and Wales</x:v>
      </x:c>
      <x:c r="J1089" s="9" t="str">
        <x:v>Intellectual Property</x:v>
      </x:c>
      <x:c r="K1089" s="9" t="str">
        <x:v>-ew-cases-EWCA-Civ-2017-226.xml</x:v>
      </x:c>
      <x:c r="L1089" s="9" t="str">
        <x:v>TBA</x:v>
      </x:c>
    </x:row>
    <x:row r="1090">
      <x:c r="A1090" t="str">
        <x:v>70d8cbc1-9ee4-4c07-a612-e42a7e061ce0</x:v>
      </x:c>
      <x:c r="B1090" t="str">
        <x:v>7ee39bd3-9fa5-4e34-b6df-b6fe4791ecd3</x:v>
      </x:c>
      <x:c r="C1090" s="9" t="str">
        <x:v>Flynn v The London Borough of Southwark Council &amp; Anor [2021] EWCA Civ 827</x:v>
      </x:c>
      <x:c r="D1090" s="9" t="str"/>
      <x:c r="E1090" s="9" t="str"/>
      <x:c r="F1090" s="13" t="str">
        <x:v>2021</x:v>
      </x:c>
      <x:c r="G1090" s="9" t="str">
        <x:v>England and Wales Court of Appeal (Civil Division)</x:v>
      </x:c>
      <x:c r="H1090" s="9" t="str">
        <x:v>Appellate</x:v>
      </x:c>
      <x:c r="I1090" s="9" t="str">
        <x:v>England and Wales</x:v>
      </x:c>
      <x:c r="J1090" s="9" t="str">
        <x:v>Administrative Law</x:v>
      </x:c>
      <x:c r="K1090" s="9" t="str">
        <x:v>ew-cases-EWCA-Civ-2021-827.xml</x:v>
      </x:c>
      <x:c r="L1090" s="9" t="str">
        <x:v>TBA</x:v>
      </x:c>
    </x:row>
    <x:row r="1091">
      <x:c r="A1091" t="str">
        <x:v>b5180164-d244-47a3-aceb-e407fa0b6729</x:v>
      </x:c>
      <x:c r="B1091" t="str">
        <x:v>61341158-9abb-4eb2-af33-53e8c654cc52</x:v>
      </x:c>
      <x:c r="C1091" s="9" t="str">
        <x:v>Flynn v Warrior Square Recoveries Ltd [2014] EWCA Civ 68</x:v>
      </x:c>
      <x:c r="D1091" s="9" t="str"/>
      <x:c r="E1091" s="9" t="str"/>
      <x:c r="F1091" s="13" t="str">
        <x:v>2014</x:v>
      </x:c>
      <x:c r="G1091" s="9" t="str">
        <x:v>England and Wales Court of Appeal (Civil Division)</x:v>
      </x:c>
      <x:c r="H1091" s="9" t="str">
        <x:v>appellate</x:v>
      </x:c>
      <x:c r="I1091" s="9" t="str">
        <x:v>England and Wales</x:v>
      </x:c>
      <x:c r="J1091" s="9" t="str">
        <x:v>Employment Law</x:v>
      </x:c>
      <x:c r="K1091" s="9" t="str">
        <x:v>-ew-cases-EWCA-Civ-2014-68.xml</x:v>
      </x:c>
      <x:c r="L1091" s="9" t="str">
        <x:v>TBA</x:v>
      </x:c>
    </x:row>
    <x:row r="1092">
      <x:c r="A1092" t="str">
        <x:v>af773657-e6ec-489f-85eb-c430dd515d4c</x:v>
      </x:c>
      <x:c r="B1092" t="str">
        <x:v>21607095-8fff-48d8-8dba-ece03792028c</x:v>
      </x:c>
      <x:c r="C1092" s="9" t="str">
        <x:v>FM (A Child) JM v Bournemouth Borough Council &amp; Others – Court of Appeal (Civil Division) decision [2016] EWCA Civ 189</x:v>
      </x:c>
      <x:c r="D1092" s="9" t="str"/>
      <x:c r="E1092" s="9" t="str"/>
      <x:c r="F1092" s="13" t="str">
        <x:v>2016</x:v>
      </x:c>
      <x:c r="G1092" s="9" t="str">
        <x:v>England and Wales Court of Appeal (Civil Division)</x:v>
      </x:c>
      <x:c r="H1092" s="9" t="str">
        <x:v>Court of Appeal (Civil Division)</x:v>
      </x:c>
      <x:c r="I1092" s="9" t="str">
        <x:v>England and Wales</x:v>
      </x:c>
      <x:c r="J1092" s="9" t="str">
        <x:v>Family Law</x:v>
      </x:c>
      <x:c r="K1092" s="9" t="str">
        <x:v>-ew-cases-EWCA-Civ-2016-189.xml</x:v>
      </x:c>
      <x:c r="L1092" s="9" t="str">
        <x:v>TBA</x:v>
      </x:c>
    </x:row>
    <x:row r="1093">
      <x:c r="A1093" t="str">
        <x:v>1ea2e518-1e35-4a19-bdc8-c24c5412c7ba</x:v>
      </x:c>
      <x:c r="B1093" t="str">
        <x:v>808323c1-98b5-41c6-895e-c9716c2af332</x:v>
      </x:c>
      <x:c r="C1093" s="9" t="str">
        <x:v>FM (Afghanistan) &amp; Ors v SSHD [2015] EWCA Civ 637</x:v>
      </x:c>
      <x:c r="D1093" s="9" t="str"/>
      <x:c r="E1093" s="9" t="str"/>
      <x:c r="F1093" s="13" t="str">
        <x:v>2015</x:v>
      </x:c>
      <x:c r="G1093" s="9" t="str">
        <x:v>England and Wales Court of Appeal (Civil Division)</x:v>
      </x:c>
      <x:c r="H1093" s="9" t="str">
        <x:v>Court of Appeal</x:v>
      </x:c>
      <x:c r="I1093" s="9" t="str">
        <x:v>England and Wales</x:v>
      </x:c>
      <x:c r="J1093" s="9" t="str">
        <x:v>Administrative Law</x:v>
      </x:c>
      <x:c r="K1093" s="9" t="str">
        <x:v>-ew-cases-EWCA-Civ-2015-637.xml</x:v>
      </x:c>
      <x:c r="L1093" s="9" t="str">
        <x:v>TBA</x:v>
      </x:c>
    </x:row>
    <x:row r="1094">
      <x:c r="A1094" t="str">
        <x:v>f88ede7f-1473-4ab4-9f87-b6ae01331ed6</x:v>
      </x:c>
      <x:c r="B1094" t="str">
        <x:v>4126051a-c7c4-46ba-9c04-d146114124eb</x:v>
      </x:c>
      <x:c r="C1094" s="9" t="str">
        <x:v>FM Conway Limited v Rugby Football Union &amp; Ors [2023] EWCA Civ 418</x:v>
      </x:c>
      <x:c r="D1094" s="9" t="str"/>
      <x:c r="E1094" s="9" t="str"/>
      <x:c r="F1094" s="13" t="str">
        <x:v>2023</x:v>
      </x:c>
      <x:c r="G1094" s="9" t="str">
        <x:v>England and Wales Court of Appeal (Civil Division)</x:v>
      </x:c>
      <x:c r="H1094" s="9" t="str">
        <x:v>Court of Appeal (Civil Division)</x:v>
      </x:c>
      <x:c r="I1094" s="9" t="str">
        <x:v>England and Wales</x:v>
      </x:c>
      <x:c r="J1094" s="9" t="str">
        <x:v>Insurance / Construction / Contract Law</x:v>
      </x:c>
      <x:c r="K1094" s="9" t="str">
        <x:v>ew-cases-EWCA-Civ-2023-418.xml</x:v>
      </x:c>
      <x:c r="L1094" s="9" t="str">
        <x:v>TBA</x:v>
      </x:c>
    </x:row>
    <x:row r="1095">
      <x:c r="A1095" t="str">
        <x:v>6e90c6e7-7ae5-4a97-9f33-473b6e7b3d15</x:v>
      </x:c>
      <x:c r="B1095" t="str">
        <x:v>60ab7a9b-671a-450d-8ceb-e368d8dab45a</x:v>
      </x:c>
      <x:c r="C1095" s="9" t="str">
        <x:v>Fomento De Construcciones Y Contratas S.A. v Black Diamond Offshore Ltd &amp; Ors (Rev 1) [2016] EWCA Civ 1141</x:v>
      </x:c>
      <x:c r="D1095" s="9" t="str"/>
      <x:c r="E1095" s="9" t="str"/>
      <x:c r="F1095" s="13" t="str">
        <x:v>2016</x:v>
      </x:c>
      <x:c r="G1095" s="9" t="str">
        <x:v>England and Wales Court of Appeal (Civil Division)</x:v>
      </x:c>
      <x:c r="H1095" s="9" t="str">
        <x:v>Court of Appeal (Civil Division)</x:v>
      </x:c>
      <x:c r="I1095" s="9" t="str">
        <x:v>England and Wales</x:v>
      </x:c>
      <x:c r="J1095" s="9" t="str">
        <x:v>Contract / Financial Instruments</x:v>
      </x:c>
      <x:c r="K1095" s="9" t="str">
        <x:v>-ew-cases-EWCA-Civ-2016-1141.xml</x:v>
      </x:c>
      <x:c r="L1095" s="9" t="str">
        <x:v>TBA</x:v>
      </x:c>
    </x:row>
    <x:row r="1096">
      <x:c r="A1096" t="str">
        <x:v>a4819063-d0ec-416b-8b26-c805dcc48130</x:v>
      </x:c>
      <x:c r="B1096" t="str">
        <x:v>abd4390d-2312-460d-a761-44301e1f5437</x:v>
      </x:c>
      <x:c r="C1096" s="9" t="str">
        <x:v>Fonecomp Ltd v HM Revenue and Customs [2015] EWCA Civ 39</x:v>
      </x:c>
      <x:c r="D1096" s="9" t="str"/>
      <x:c r="E1096" s="9" t="str"/>
      <x:c r="F1096" s="13" t="str">
        <x:v>2015</x:v>
      </x:c>
      <x:c r="G1096" s="9" t="str">
        <x:v>England and Wales Court of Appeal (Civil Division)</x:v>
      </x:c>
      <x:c r="H1096" s="9" t="str">
        <x:v>Appellate</x:v>
      </x:c>
      <x:c r="I1096" s="9" t="str">
        <x:v>England and Wales</x:v>
      </x:c>
      <x:c r="J1096" s="9" t="str">
        <x:v>Tax Law</x:v>
      </x:c>
      <x:c r="K1096" s="9" t="str">
        <x:v>-ew-cases-EWCA-Civ-2015-39.xml</x:v>
      </x:c>
      <x:c r="L1096" s="9" t="str">
        <x:v>TBA</x:v>
      </x:c>
    </x:row>
    <x:row r="1097">
      <x:c r="A1097" t="str">
        <x:v>6ff58e85-58f4-45b2-8ffb-3815c85d4ee9</x:v>
      </x:c>
      <x:c r="B1097" t="str">
        <x:v>152d512e-e634-40f8-8180-0f911d63144d</x:v>
      </x:c>
      <x:c r="C1097" s="9" t="str">
        <x:v>Fons HF v Corporal Ltd &amp; Anor [2014] EWCA Civ 304</x:v>
      </x:c>
      <x:c r="D1097" s="9" t="str"/>
      <x:c r="E1097" s="9" t="str"/>
      <x:c r="F1097" s="13" t="str">
        <x:v>2014</x:v>
      </x:c>
      <x:c r="G1097" s="9" t="str">
        <x:v>England and Wales Court of Appeal (Civil Division)</x:v>
      </x:c>
      <x:c r="H1097" s="9" t="str">
        <x:v>Appellate</x:v>
      </x:c>
      <x:c r="I1097" s="9" t="str">
        <x:v>England and Wales</x:v>
      </x:c>
      <x:c r="J1097" s="9" t="str">
        <x:v>Commercial Law</x:v>
      </x:c>
      <x:c r="K1097" s="9" t="str">
        <x:v>-ew-cases-EWCA-Civ-2014-304.xml</x:v>
      </x:c>
      <x:c r="L1097" s="9" t="str">
        <x:v>TBA</x:v>
      </x:c>
    </x:row>
    <x:row r="1098">
      <x:c r="A1098" t="str">
        <x:v>aa4764a4-f428-4ad5-af8e-b24b1327dfd7</x:v>
      </x:c>
      <x:c r="B1098" t="str">
        <x:v>be4433a2-98d9-4e9e-b202-f1805325312c</x:v>
      </x:c>
      <x:c r="C1098" s="9" t="str">
        <x:v>Ford v Seymour-Williams [2021] EWCA Civ 1848</x:v>
      </x:c>
      <x:c r="D1098" s="9" t="str"/>
      <x:c r="E1098" s="9" t="str"/>
      <x:c r="F1098" s="13" t="str">
        <x:v>2021</x:v>
      </x:c>
      <x:c r="G1098" s="9" t="str">
        <x:v>England and Wales Court of Appeal (Civil Division)</x:v>
      </x:c>
      <x:c r="H1098" s="9" t="str">
        <x:v>Appellate</x:v>
      </x:c>
      <x:c r="I1098" s="9" t="str">
        <x:v>England and Wales</x:v>
      </x:c>
      <x:c r="J1098" s="9" t="str">
        <x:v>Tort</x:v>
      </x:c>
      <x:c r="K1098" s="9" t="str">
        <x:v>ew-cases-EWCA-Civ-2021-1848.xml</x:v>
      </x:c>
      <x:c r="L1098" s="9" t="str">
        <x:v>TBA</x:v>
      </x:c>
    </x:row>
    <x:row r="1099">
      <x:c r="A1099" t="str">
        <x:v>54be8192-b67a-46fa-9fd8-82e9dc3fa1ab</x:v>
      </x:c>
      <x:c r="B1099" t="str">
        <x:v>5c1afef5-043d-490f-9bc2-df5df145ec69</x:v>
      </x:c>
      <x:c r="C1099" s="9" t="str">
        <x:v>Foreprime Properties Ltd v Cheval Bridging Finance Ltd [2015] EWCA Civ 1525</x:v>
      </x:c>
      <x:c r="D1099" s="9" t="str"/>
      <x:c r="E1099" s="9" t="str"/>
      <x:c r="F1099" s="13" t="str">
        <x:v>2015</x:v>
      </x:c>
      <x:c r="G1099" s="9" t="str">
        <x:v>England and Wales Court of Appeal (Civil Division)</x:v>
      </x:c>
      <x:c r="H1099" s="9" t="str">
        <x:v>Appellate</x:v>
      </x:c>
      <x:c r="I1099" s="9" t="str">
        <x:v>England and Wales</x:v>
      </x:c>
      <x:c r="J1099" s="9" t="str">
        <x:v>Civil Appeal</x:v>
      </x:c>
      <x:c r="K1099" s="9" t="str">
        <x:v>-ew-cases-EWCA-Civ-2015-1525.xml</x:v>
      </x:c>
      <x:c r="L1099" s="9" t="str">
        <x:v>TBA</x:v>
      </x:c>
    </x:row>
    <x:row r="1100">
      <x:c r="A1100" t="str">
        <x:v>875bce4a-8bfd-47a4-9c0f-dc6ef1f875d2</x:v>
      </x:c>
      <x:c r="B1100" t="str">
        <x:v>3399353f-9ee4-438e-8555-a901966e632a</x:v>
      </x:c>
      <x:c r="C1100" s="9" t="str">
        <x:v>Forest of Dean (Friends of the Earth), R (on the application of) v Forest of Dean District Council</x:v>
      </x:c>
      <x:c r="D1100" s="9" t="str"/>
      <x:c r="E1100" s="9" t="str"/>
      <x:c r="F1100" s="13" t="str">
        <x:v>2015</x:v>
      </x:c>
      <x:c r="G1100" s="9" t="str">
        <x:v>England and Wales Court of Appeal (Civil Division)</x:v>
      </x:c>
      <x:c r="H1100" s="9" t="str">
        <x:v>Appellate</x:v>
      </x:c>
      <x:c r="I1100" s="9" t="str">
        <x:v>England and Wales</x:v>
      </x:c>
      <x:c r="J1100" s="9" t="str">
        <x:v>Administrative Law</x:v>
      </x:c>
      <x:c r="K1100" s="9" t="str">
        <x:v>-ew-cases-EWCA-Civ-2015-683.xml</x:v>
      </x:c>
      <x:c r="L1100" s="9" t="str">
        <x:v>TBA</x:v>
      </x:c>
    </x:row>
    <x:row r="1101">
      <x:c r="A1101" t="str">
        <x:v>88739e4c-32ec-4a20-92ed-77e86fa9df24</x:v>
      </x:c>
      <x:c r="B1101" t="str">
        <x:v>c2858262-e87b-4b06-88e9-7f930cd8af94</x:v>
      </x:c>
      <x:c r="C1101" s="9" t="str">
        <x:v>Forge Care Homes Ltd &amp; Ors v Cardiff &amp; Vale University Health Board &amp; Ors [2016] EWCA Civ 26</x:v>
      </x:c>
      <x:c r="D1101" s="9" t="str"/>
      <x:c r="E1101" s="9" t="str"/>
      <x:c r="F1101" s="13" t="str">
        <x:v>2016</x:v>
      </x:c>
      <x:c r="G1101" s="9" t="str">
        <x:v>England and Wales Court of Appeal (Civil Division)</x:v>
      </x:c>
      <x:c r="H1101" s="9" t="str">
        <x:v>Court of Appeal (Civil Division)</x:v>
      </x:c>
      <x:c r="I1101" s="9" t="str">
        <x:v>England and Wales</x:v>
      </x:c>
      <x:c r="J1101" s="9" t="str">
        <x:v>Public Law / Administrative Law (Health &amp; Social Care)</x:v>
      </x:c>
      <x:c r="K1101" s="9" t="str">
        <x:v>-ew-cases-EWCA-Civ-2016-26.xml</x:v>
      </x:c>
      <x:c r="L1101" s="9" t="str">
        <x:v>TBA</x:v>
      </x:c>
    </x:row>
    <x:row r="1102">
      <x:c r="A1102" t="str">
        <x:v>73770edc-059e-441a-acf7-872dee0fd762</x:v>
      </x:c>
      <x:c r="B1102" t="str">
        <x:v>2b96d647-41d4-452f-8b77-918f254b6b36</x:v>
      </x:c>
      <x:c r="C1102" s="9" t="str">
        <x:v>Forster v Secretary of State for Communities and Local Government &amp; Anor [2016] EWCA Civ 422</x:v>
      </x:c>
      <x:c r="D1102" s="9" t="str"/>
      <x:c r="E1102" s="9" t="str"/>
      <x:c r="F1102" s="13" t="str">
        <x:v>2016</x:v>
      </x:c>
      <x:c r="G1102" s="9" t="str">
        <x:v>England and Wales Court of Appeal (Civil Division)</x:v>
      </x:c>
      <x:c r="H1102" s="9" t="str">
        <x:v>Court of Appeal (Civil Division)</x:v>
      </x:c>
      <x:c r="I1102" s="9" t="str">
        <x:v>England and Wales</x:v>
      </x:c>
      <x:c r="J1102" s="9" t="str">
        <x:v>Administrative Law / Planning Law</x:v>
      </x:c>
      <x:c r="K1102" s="9" t="str">
        <x:v>-ew-cases-EWCA-Civ-2016-422.xml</x:v>
      </x:c>
      <x:c r="L1102" s="9" t="str">
        <x:v>TBA</x:v>
      </x:c>
    </x:row>
    <x:row r="1103">
      <x:c r="A1103" t="str">
        <x:v>a416a527-ff13-48de-a28d-e7dcfaf5557d</x:v>
      </x:c>
      <x:c r="B1103" t="str">
        <x:v>6f327b55-fd82-4872-8a28-d9e32496a8f4</x:v>
      </x:c>
      <x:c r="C1103" s="9" t="str">
        <x:v>Forster v The Secretary of State for Communities and Local Government &amp; Ors</x:v>
      </x:c>
      <x:c r="D1103" s="9" t="str"/>
      <x:c r="E1103" s="9" t="str"/>
      <x:c r="F1103" s="13" t="str">
        <x:v>2016</x:v>
      </x:c>
      <x:c r="G1103" s="9" t="str">
        <x:v>England and Wales Court of Appeal (Civil Division)</x:v>
      </x:c>
      <x:c r="H1103" s="9" t="str">
        <x:v>Court of Appeal (Civil Division)</x:v>
      </x:c>
      <x:c r="I1103" s="9" t="str">
        <x:v>England and Wales</x:v>
      </x:c>
      <x:c r="J1103" s="9" t="str">
        <x:v>Planning Law</x:v>
      </x:c>
      <x:c r="K1103" s="9" t="str">
        <x:v>-ew-cases-EWCA-Civ-2016-609.xml</x:v>
      </x:c>
      <x:c r="L1103" s="9" t="str">
        <x:v>TBA</x:v>
      </x:c>
    </x:row>
    <x:row r="1104">
      <x:c r="A1104" t="str">
        <x:v>5207a229-9eca-488c-82be-68d9d441c334</x:v>
      </x:c>
      <x:c r="B1104" t="str">
        <x:v>6d4c4f26-c0c2-405b-80cb-eda0b7f283e1</x:v>
      </x:c>
      <x:c r="C1104" s="9" t="str">
        <x:v>Foster &amp; Anor v Action Aviation Ltd &amp; Ors</x:v>
      </x:c>
      <x:c r="D1104" s="9" t="str"/>
      <x:c r="E1104" s="9" t="str"/>
      <x:c r="F1104" s="13" t="str">
        <x:v>2014</x:v>
      </x:c>
      <x:c r="G1104" s="9" t="str">
        <x:v>England and Wales Court of Appeal (Civil Division)</x:v>
      </x:c>
      <x:c r="H1104" s="9" t="str">
        <x:v>Appellate</x:v>
      </x:c>
      <x:c r="I1104" s="9" t="str">
        <x:v>England and Wales</x:v>
      </x:c>
      <x:c r="J1104" s="9" t="str">
        <x:v>Civil Litigation</x:v>
      </x:c>
      <x:c r="K1104" s="9" t="str">
        <x:v>-ew-cases-EWCA-Civ-2014-1368.xml</x:v>
      </x:c>
      <x:c r="L1104" s="9" t="str">
        <x:v>TBA</x:v>
      </x:c>
    </x:row>
    <x:row r="1105">
      <x:c r="A1105" t="str">
        <x:v>0b40dd15-5a22-41b3-bed7-ae7e88289bee</x:v>
      </x:c>
      <x:c r="B1105" t="str">
        <x:v>1d58611b-b062-4aa4-81ee-fd9ff8ad13e0</x:v>
      </x:c>
      <x:c r="C1105" s="9" t="str">
        <x:v>Foster v The Secretary of State for Justice [2015] EWCA Civ 281</x:v>
      </x:c>
      <x:c r="D1105" s="9" t="str"/>
      <x:c r="E1105" s="9" t="str"/>
      <x:c r="F1105" s="13" t="str">
        <x:v>2015</x:v>
      </x:c>
      <x:c r="G1105" s="9" t="str">
        <x:v>England and Wales Court of Appeal (Civil Division)</x:v>
      </x:c>
      <x:c r="H1105" s="9" t="str">
        <x:v>Appellate</x:v>
      </x:c>
      <x:c r="I1105" s="9" t="str">
        <x:v>England and Wales</x:v>
      </x:c>
      <x:c r="J1105" s="9" t="str">
        <x:v>Administrative Law</x:v>
      </x:c>
      <x:c r="K1105" s="9" t="str">
        <x:v>-ew-cases-EWCA-Civ-2015-281.xml</x:v>
      </x:c>
      <x:c r="L1105" s="9" t="str">
        <x:v>TBA</x:v>
      </x:c>
    </x:row>
    <x:row r="1106">
      <x:c r="A1106" t="str">
        <x:v>8fac9d46-d994-4e48-8871-61c2d07d2d7b</x:v>
      </x:c>
      <x:c r="B1106" t="str">
        <x:v>697d305c-dff9-4e1f-88dc-180a1082593c</x:v>
      </x:c>
      <x:c r="C1106" s="9" t="str">
        <x:v>Fox Land and Property Ltd v Secretary of State for Communities and Local Government</x:v>
      </x:c>
      <x:c r="D1106" s="9" t="str"/>
      <x:c r="E1106" s="9" t="str"/>
      <x:c r="F1106" s="13" t="str">
        <x:v>2015</x:v>
      </x:c>
      <x:c r="G1106" s="9" t="str">
        <x:v>England and Wales Court of Appeal (Civil Division)</x:v>
      </x:c>
      <x:c r="H1106" s="9" t="str">
        <x:v>Appellate</x:v>
      </x:c>
      <x:c r="I1106" s="9" t="str">
        <x:v>England and Wales</x:v>
      </x:c>
      <x:c r="J1106" s="9" t="str">
        <x:v>Administrative Law</x:v>
      </x:c>
      <x:c r="K1106" s="9" t="str">
        <x:v>-ew-cases-EWCA-Civ-2015-298.xml</x:v>
      </x:c>
      <x:c r="L1106" s="9" t="str">
        <x:v>TBA</x:v>
      </x:c>
    </x:row>
    <x:row r="1107">
      <x:c r="A1107" t="str">
        <x:v>928d852b-f794-40ca-9122-e5ab8f879e67</x:v>
      </x:c>
      <x:c r="B1107" t="str">
        <x:v>e0efa499-286a-4696-a869-98cba1c411f7</x:v>
      </x:c>
      <x:c r="C1107" s="9" t="str">
        <x:v>Fox v Hall [2015] EWCA Civ 794</x:v>
      </x:c>
      <x:c r="D1107" s="9" t="str"/>
      <x:c r="E1107" s="9" t="str"/>
      <x:c r="F1107" s="13" t="str">
        <x:v>2015</x:v>
      </x:c>
      <x:c r="G1107" s="9" t="str">
        <x:v>England and Wales Court of Appeal (Civil Division)</x:v>
      </x:c>
      <x:c r="H1107" s="9" t="str">
        <x:v>Appellate</x:v>
      </x:c>
      <x:c r="I1107" s="9" t="str">
        <x:v>England and Wales</x:v>
      </x:c>
      <x:c r="J1107" s="9" t="str">
        <x:v>Civil Appeal</x:v>
      </x:c>
      <x:c r="K1107" s="9" t="str">
        <x:v>-ew-cases-EWCA-Civ-2015-794.xml</x:v>
      </x:c>
      <x:c r="L1107" s="9" t="str">
        <x:v>TBA</x:v>
      </x:c>
    </x:row>
    <x:row r="1108">
      <x:c r="A1108" t="str">
        <x:v>c40d817f-ba72-4bb9-b95c-5087f005f524</x:v>
      </x:c>
      <x:c r="B1108" t="str">
        <x:v>3117e137-d636-468c-b7a2-f27fa75b171a</x:v>
      </x:c>
      <x:c r="C1108" s="9" t="str">
        <x:v>Fox-Davies v Burberry Plc</x:v>
      </x:c>
      <x:c r="D1108" s="9" t="str"/>
      <x:c r="E1108" s="9" t="str"/>
      <x:c r="F1108" s="13" t="str">
        <x:v>2017</x:v>
      </x:c>
      <x:c r="G1108" s="9" t="str">
        <x:v>England and Wales Court of Appeal (Civil Division)</x:v>
      </x:c>
      <x:c r="H1108" s="9" t="str">
        <x:v>Appellate</x:v>
      </x:c>
      <x:c r="I1108" s="9" t="str">
        <x:v>England and Wales</x:v>
      </x:c>
      <x:c r="J1108" s="9" t="str">
        <x:v>Corporate Law</x:v>
      </x:c>
      <x:c r="K1108" s="9" t="str">
        <x:v>-ew-cases-EWCA-Civ-2017-1129.xml</x:v>
      </x:c>
      <x:c r="L1108" s="9" t="str">
        <x:v>TBA</x:v>
      </x:c>
    </x:row>
    <x:row r="1109">
      <x:c r="A1109" t="str">
        <x:v>1b56b8f1-0a61-405a-9219-b0b3016d9381</x:v>
      </x:c>
      <x:c r="B1109" t="str">
        <x:v>e5d72748-bebb-4620-95ca-64d25e1330a0</x:v>
      </x:c>
      <x:c r="C1109" s="9" t="str">
        <x:v>FR (Albania) and KL (Albania) v Secretary of State for the Home Department [2016] EWCA Civ 605</x:v>
      </x:c>
      <x:c r="D1109" s="9" t="str"/>
      <x:c r="E1109" s="9" t="str"/>
      <x:c r="F1109" s="13" t="str">
        <x:v>2016</x:v>
      </x:c>
      <x:c r="G1109" s="9" t="str">
        <x:v>England and Wales Court of Appeal (Civil Division)</x:v>
      </x:c>
      <x:c r="H1109" s="9" t="str">
        <x:v>Court of Appeal (Civil Division)</x:v>
      </x:c>
      <x:c r="I1109" s="9" t="str">
        <x:v>United Kingdom (England and Wales)</x:v>
      </x:c>
      <x:c r="J1109" s="9" t="str">
        <x:v>Immigration / Public Law</x:v>
      </x:c>
      <x:c r="K1109" s="9" t="str">
        <x:v>-ew-cases-EWCA-Civ-2016-605.xml</x:v>
      </x:c>
      <x:c r="L1109" s="9" t="str">
        <x:v>TBA</x:v>
      </x:c>
    </x:row>
    <x:row r="1110">
      <x:c r="A1110" t="str">
        <x:v>68d3a24f-6a3f-4282-9c57-c6230193ecfe</x:v>
      </x:c>
      <x:c r="B1110" t="str">
        <x:v>2d4b6dc8-935d-4650-82a8-8dc51b2677c6</x:v>
      </x:c>
      <x:c r="C1110" s="9" t="str">
        <x:v>Frade &amp; Ors v Radford &amp; Anor [2017] EWCA Civ 1010</x:v>
      </x:c>
      <x:c r="D1110" s="9" t="str"/>
      <x:c r="E1110" s="9" t="str"/>
      <x:c r="F1110" s="13" t="str">
        <x:v>2017</x:v>
      </x:c>
      <x:c r="G1110" s="9" t="str">
        <x:v>England and Wales Court of Appeal (Civil Division)</x:v>
      </x:c>
      <x:c r="H1110" s="9" t="str">
        <x:v>Appellate</x:v>
      </x:c>
      <x:c r="I1110" s="9" t="str">
        <x:v>England and Wales</x:v>
      </x:c>
      <x:c r="J1110" s="9" t="str">
        <x:v>Contract Dispute</x:v>
      </x:c>
      <x:c r="K1110" s="9" t="str">
        <x:v>-ew-cases-EWCA-Civ-2017-1010.xml</x:v>
      </x:c>
      <x:c r="L1110" s="9" t="str">
        <x:v>TBA</x:v>
      </x:c>
    </x:row>
    <x:row r="1111">
      <x:c r="A1111" t="str">
        <x:v>61445539-e576-48af-a04f-476dcc5dcf0e</x:v>
      </x:c>
      <x:c r="B1111" t="str">
        <x:v>c74991af-9f7f-411a-9d0a-baf1df9f2422</x:v>
      </x:c>
      <x:c r="C1111" s="9" t="str">
        <x:v>Francis &amp; Anor v Phillips &amp; Anor &amp; Ors [2014] EWCA Civ 1395</x:v>
      </x:c>
      <x:c r="D1111" s="9" t="str"/>
      <x:c r="E1111" s="9" t="str"/>
      <x:c r="F1111" s="13" t="str">
        <x:v>2014</x:v>
      </x:c>
      <x:c r="G1111" s="9" t="str">
        <x:v>England and Wales Court of Appeal (Civil Division)</x:v>
      </x:c>
      <x:c r="H1111" s="9" t="str">
        <x:v>Appellate</x:v>
      </x:c>
      <x:c r="I1111" s="9" t="str">
        <x:v>England and Wales</x:v>
      </x:c>
      <x:c r="J1111" s="9" t="str">
        <x:v>Property Law</x:v>
      </x:c>
      <x:c r="K1111" s="9" t="str">
        <x:v>-ew-cases-EWCA-Civ-2014-1395.xml</x:v>
      </x:c>
      <x:c r="L1111" s="9" t="str">
        <x:v>TBA</x:v>
      </x:c>
    </x:row>
    <x:row r="1112">
      <x:c r="A1112" t="str">
        <x:v>049aa748-0d94-45ae-adee-8eb49c0907a2</x:v>
      </x:c>
      <x:c r="B1112" t="str">
        <x:v>06e7fdfe-c1c0-47ce-b7df-6a364ff01703</x:v>
      </x:c>
      <x:c r="C1112" s="9" t="str">
        <x:v>Francis v Secretary of State for the Home Department</x:v>
      </x:c>
      <x:c r="D1112" s="9" t="str"/>
      <x:c r="E1112" s="9" t="str"/>
      <x:c r="F1112" s="13" t="str">
        <x:v>2014</x:v>
      </x:c>
      <x:c r="G1112" s="9" t="str">
        <x:v>England and Wales Court of Appeal (Civil Division)</x:v>
      </x:c>
      <x:c r="H1112" s="9" t="str">
        <x:v>Appellate</x:v>
      </x:c>
      <x:c r="I1112" s="9" t="str">
        <x:v>England and Wales</x:v>
      </x:c>
      <x:c r="J1112" s="9" t="str">
        <x:v>Administrative Law</x:v>
      </x:c>
      <x:c r="K1112" s="9" t="str">
        <x:v>-ew-cases-EWCA-Civ-2014-718.xml</x:v>
      </x:c>
      <x:c r="L1112" s="9" t="str">
        <x:v>TBA</x:v>
      </x:c>
    </x:row>
    <x:row r="1113">
      <x:c r="A1113" t="str">
        <x:v>480091ab-3b51-40b8-944c-3da2dd976125</x:v>
      </x:c>
      <x:c r="B1113" t="str">
        <x:v>defe682b-32ab-4181-9413-a94a8798d705</x:v>
      </x:c>
      <x:c r="C1113" s="9" t="str">
        <x:v>Francotyp-Postalia Ltd v The Mailing Room Ltd &amp; Ors [2015] EWCA Civ 1167</x:v>
      </x:c>
      <x:c r="D1113" s="9" t="str"/>
      <x:c r="E1113" s="9" t="str"/>
      <x:c r="F1113" s="13" t="str">
        <x:v>2015</x:v>
      </x:c>
      <x:c r="G1113" s="9" t="str">
        <x:v>England and Wales Court of Appeal (Civil Division)</x:v>
      </x:c>
      <x:c r="H1113" s="9" t="str">
        <x:v>Appellate</x:v>
      </x:c>
      <x:c r="I1113" s="9" t="str">
        <x:v>England and Wales</x:v>
      </x:c>
      <x:c r="J1113" s="9" t="str">
        <x:v>Commercial Law</x:v>
      </x:c>
      <x:c r="K1113" s="9" t="str">
        <x:v>-ew-cases-EWCA-Civ-2015-1167.xml</x:v>
      </x:c>
      <x:c r="L1113" s="9" t="str">
        <x:v>TBA</x:v>
      </x:c>
    </x:row>
    <x:row r="1114">
      <x:c r="A1114" t="str">
        <x:v>b0de77c7-18fe-4cbc-a607-2bd377a9082d</x:v>
      </x:c>
      <x:c r="B1114" t="str">
        <x:v>628b2160-9259-4197-9c94-87c12fbbb014</x:v>
      </x:c>
      <x:c r="C1114" s="9" t="str">
        <x:v>Franked Investment Income Group Litigation, The Test Claimants In v Revenue And Customs [2016] EWCA Civ 1180 (Court of Appeal, Civil Division)</x:v>
      </x:c>
      <x:c r="D1114" s="9" t="str"/>
      <x:c r="E1114" s="9" t="str"/>
      <x:c r="F1114" s="13" t="str">
        <x:v>2016</x:v>
      </x:c>
      <x:c r="G1114" s="9" t="str">
        <x:v>England and Wales Court of Appeal (Civil Division)</x:v>
      </x:c>
      <x:c r="H1114" s="9" t="str">
        <x:v>Court of Appeal</x:v>
      </x:c>
      <x:c r="I1114" s="9" t="str">
        <x:v>England and Wales Court of Appeal (Civil Division)</x:v>
      </x:c>
      <x:c r="J1114" s="9" t="str">
        <x:v>Tax Law; EU Law; Restitution and Remedies</x:v>
      </x:c>
      <x:c r="K1114" s="9" t="str">
        <x:v>-ew-cases-EWCA-Civ-2016-1180.xml</x:v>
      </x:c>
      <x:c r="L1114" s="9" t="str">
        <x:v>TBA</x:v>
      </x:c>
    </x:row>
    <x:row r="1115">
      <x:c r="A1115" t="str">
        <x:v>8292c8b1-1b63-4207-aada-e1f782b37f32</x:v>
      </x:c>
      <x:c r="B1115" t="str">
        <x:v>a891177b-5352-44b0-a35f-3618ef216d57</x:v>
      </x:c>
      <x:c r="C1115" s="9" t="str">
        <x:v>Franklin v Maddison &amp; Anor</x:v>
      </x:c>
      <x:c r="D1115" s="9" t="str"/>
      <x:c r="E1115" s="9" t="str"/>
      <x:c r="F1115" s="13" t="str">
        <x:v>2014</x:v>
      </x:c>
      <x:c r="G1115" s="9" t="str">
        <x:v>England and Wales Court of Appeal (Civil Division)</x:v>
      </x:c>
      <x:c r="H1115" s="9" t="str">
        <x:v>Appellate</x:v>
      </x:c>
      <x:c r="I1115" s="9" t="str">
        <x:v>England and Wales</x:v>
      </x:c>
      <x:c r="J1115" s="9" t="str">
        <x:v>Civil Procedure</x:v>
      </x:c>
      <x:c r="K1115" s="9" t="str">
        <x:v>-ew-cases-EWCA-Civ-2014-628.xml</x:v>
      </x:c>
      <x:c r="L1115" s="9" t="str">
        <x:v>TBA</x:v>
      </x:c>
    </x:row>
    <x:row r="1116">
      <x:c r="A1116" t="str">
        <x:v>d894984d-c8a4-42b1-8b3f-e5f5c58a5b19</x:v>
      </x:c>
      <x:c r="B1116" t="str">
        <x:v>109eb0b0-7a34-4d8c-bd5e-2ddf882231bb</x:v>
      </x:c>
      <x:c r="C1116" s="9" t="str">
        <x:v>Fraser v University of Leicester &amp; Ors [2015] EWCA Civ 212</x:v>
      </x:c>
      <x:c r="D1116" s="9" t="str"/>
      <x:c r="E1116" s="9" t="str"/>
      <x:c r="F1116" s="13" t="str">
        <x:v>2015</x:v>
      </x:c>
      <x:c r="G1116" s="9" t="str">
        <x:v>England and Wales Court of Appeal (Civil Division)</x:v>
      </x:c>
      <x:c r="H1116" s="9" t="str">
        <x:v>Appellate</x:v>
      </x:c>
      <x:c r="I1116" s="9" t="str">
        <x:v>England and Wales</x:v>
      </x:c>
      <x:c r="J1116" s="9" t="str">
        <x:v>Discrimination</x:v>
      </x:c>
      <x:c r="K1116" s="9" t="str">
        <x:v>-ew-cases-EWCA-Civ-2015-212.xml</x:v>
      </x:c>
      <x:c r="L1116" s="9" t="str">
        <x:v>TBA</x:v>
      </x:c>
    </x:row>
    <x:row r="1117">
      <x:c r="A1117" t="str">
        <x:v>5190cd2e-766b-4f46-8790-f3fc0af7afbf</x:v>
      </x:c>
      <x:c r="B1117" t="str">
        <x:v>14e4160c-29e9-4935-b168-0aeaa7823479</x:v>
      </x:c>
      <x:c r="C1117" s="9" t="str">
        <x:v>Free Grammar School of John Lyon v Helman [2014] EWCA Civ 17</x:v>
      </x:c>
      <x:c r="D1117" s="9" t="str"/>
      <x:c r="E1117" s="9" t="str"/>
      <x:c r="F1117" s="13" t="str">
        <x:v>2014</x:v>
      </x:c>
      <x:c r="G1117" s="9" t="str">
        <x:v>England and Wales Court of Appeal (Civil Division)</x:v>
      </x:c>
      <x:c r="H1117" s="9" t="str">
        <x:v>Appellate</x:v>
      </x:c>
      <x:c r="I1117" s="9" t="str">
        <x:v>England and Wales</x:v>
      </x:c>
      <x:c r="J1117" s="9" t="str">
        <x:v>Property Law</x:v>
      </x:c>
      <x:c r="K1117" s="9" t="str">
        <x:v>-ew-cases-EWCA-Civ-2014-17.xml</x:v>
      </x:c>
      <x:c r="L1117" s="9" t="str">
        <x:v>TBA</x:v>
      </x:c>
    </x:row>
    <x:row r="1118">
      <x:c r="A1118" t="str">
        <x:v>02851f71-b018-491e-8070-a9f999e20381</x:v>
      </x:c>
      <x:c r="B1118" t="str">
        <x:v>18a014eb-e365-4420-b07a-dfdd42f053ec</x:v>
      </x:c>
      <x:c r="C1118" s="9" t="str">
        <x:v>Freifeld &amp; Anor v West Kensington Court Ltd [2015] EWCA Civ 806</x:v>
      </x:c>
      <x:c r="D1118" s="9" t="str"/>
      <x:c r="E1118" s="9" t="str"/>
      <x:c r="F1118" s="13" t="str">
        <x:v>2015</x:v>
      </x:c>
      <x:c r="G1118" s="9" t="str">
        <x:v>England and Wales Court of Appeal (Civil Division)</x:v>
      </x:c>
      <x:c r="H1118" s="9" t="str">
        <x:v>Appellate</x:v>
      </x:c>
      <x:c r="I1118" s="9" t="str">
        <x:v>England and Wales</x:v>
      </x:c>
      <x:c r="J1118" s="9" t="str">
        <x:v>Property Law</x:v>
      </x:c>
      <x:c r="K1118" s="9" t="str">
        <x:v>-ew-cases-EWCA-Civ-2015-806.xml</x:v>
      </x:c>
      <x:c r="L1118" s="9" t="str">
        <x:v>TBA</x:v>
      </x:c>
    </x:row>
    <x:row r="1119">
      <x:c r="A1119" t="str">
        <x:v>4d4b512f-3a10-4d45-9892-15d7c3a9fb9f</x:v>
      </x:c>
      <x:c r="B1119" t="str">
        <x:v>414ed6fc-8dde-4c09-b9ea-1599972296b3</x:v>
      </x:c>
      <x:c r="C1119" s="9" t="str">
        <x:v>French v Carter Lemon Camerons LLP</x:v>
      </x:c>
      <x:c r="D1119" s="9" t="str"/>
      <x:c r="E1119" s="9" t="str"/>
      <x:c r="F1119" s="13" t="str">
        <x:v>2015</x:v>
      </x:c>
      <x:c r="G1119" s="9" t="str">
        <x:v>England and Wales Court of Appeal (Civil Division)</x:v>
      </x:c>
      <x:c r="H1119" s="9" t="str">
        <x:v>Appellate</x:v>
      </x:c>
      <x:c r="I1119" s="9" t="str">
        <x:v>England and Wales</x:v>
      </x:c>
      <x:c r="J1119" s="9" t="str">
        <x:v>Civil Procedure</x:v>
      </x:c>
      <x:c r="K1119" s="9" t="str">
        <x:v>-ew-cases-EWCA-Civ-2015-785.xml</x:v>
      </x:c>
      <x:c r="L1119" s="9" t="str">
        <x:v>TBA</x:v>
      </x:c>
    </x:row>
    <x:row r="1120">
      <x:c r="A1120" t="str">
        <x:v>d1eb4cb5-f26a-4424-ad87-2b28b0f72ed8</x:v>
      </x:c>
      <x:c r="B1120" t="str">
        <x:v>c770c530-3756-4338-9e48-8066786ad93a</x:v>
      </x:c>
      <x:c r="C1120" s="9" t="str">
        <x:v>Friends Life Ltd v Siemens Hearing Instruments Ltd [2014] EWCA Civ 382</x:v>
      </x:c>
      <x:c r="D1120" s="9" t="str"/>
      <x:c r="E1120" s="9" t="str"/>
      <x:c r="F1120" s="13" t="str">
        <x:v>2014</x:v>
      </x:c>
      <x:c r="G1120" s="9" t="str">
        <x:v>England and Wales Court of Appeal (Civil Division)</x:v>
      </x:c>
      <x:c r="H1120" s="9" t="str">
        <x:v>Appellate</x:v>
      </x:c>
      <x:c r="I1120" s="9" t="str">
        <x:v>England and Wales</x:v>
      </x:c>
      <x:c r="J1120" s="9" t="str">
        <x:v>Property Law</x:v>
      </x:c>
      <x:c r="K1120" s="9" t="str">
        <x:v>-ew-cases-EWCA-Civ-2014-382.xml</x:v>
      </x:c>
      <x:c r="L1120" s="9" t="str">
        <x:v>TBA</x:v>
      </x:c>
    </x:row>
    <x:row r="1121">
      <x:c r="A1121" t="str">
        <x:v>8a77b65e-5a4a-41fe-aa02-c24a17d3f859</x:v>
      </x:c>
      <x:c r="B1121" t="str">
        <x:v>d5d573a1-ee1c-4a42-99b1-728063f8ced3</x:v>
      </x:c>
      <x:c r="C1121" s="9" t="str">
        <x:v>Friends of the Earth Limited v Secretary of State for International Trade/UK Export Finance (UKEF) &amp; Anor (Rev1) [2023] EWCA Civ 14</x:v>
      </x:c>
      <x:c r="D1121" s="9" t="str"/>
      <x:c r="E1121" s="9" t="str"/>
      <x:c r="F1121" s="13" t="str">
        <x:v>2023</x:v>
      </x:c>
      <x:c r="G1121" s="9" t="str">
        <x:v>England and Wales Court of Appeal (Civil Division)</x:v>
      </x:c>
      <x:c r="H1121" s="9" t="str">
        <x:v>Court of Appeal (Civil Division)</x:v>
      </x:c>
      <x:c r="I1121" s="9" t="str">
        <x:v>England and Wales</x:v>
      </x:c>
      <x:c r="J1121" s="9" t="str">
        <x:v>Public Law / Judicial Review</x:v>
      </x:c>
      <x:c r="K1121" s="9" t="str">
        <x:v>ew-cases-EWCA-Civ-2023-14.xml</x:v>
      </x:c>
      <x:c r="L1121" s="9" t="str">
        <x:v>TBA</x:v>
      </x:c>
    </x:row>
    <x:row r="1122">
      <x:c r="A1122" t="str">
        <x:v>f1a217fb-412b-455d-b6d1-ec46f1534316</x:v>
      </x:c>
      <x:c r="B1122" t="str">
        <x:v>2973b5ff-cfd1-47f0-a607-ce5841cab995</x:v>
      </x:c>
      <x:c r="C1122" s="9" t="str">
        <x:v>Friends of the Earth Ltd &amp; Ors v Heathrow Airport Ltd [2020] UKSC 52</x:v>
      </x:c>
      <x:c r="D1122" s="9" t="str"/>
      <x:c r="E1122" s="9" t="str"/>
      <x:c r="F1122" s="13" t="str">
        <x:v>2020</x:v>
      </x:c>
      <x:c r="G1122" s="9" t="str">
        <x:v>United Kingdom Supreme Court</x:v>
      </x:c>
      <x:c r="H1122" s="9" t="str">
        <x:v>Supreme Court</x:v>
      </x:c>
      <x:c r="I1122" s="9" t="str">
        <x:v>United Kingdom</x:v>
      </x:c>
      <x:c r="J1122" s="9" t="str">
        <x:v>Administrative Law</x:v>
      </x:c>
      <x:c r="K1122" s="9" t="str">
        <x:v>PT_UKSC_2020_52.xml</x:v>
      </x:c>
      <x:c r="L1122" s="9" t="str">
        <x:v>TBA</x:v>
      </x:c>
    </x:row>
    <x:row r="1123">
      <x:c r="A1123" t="str">
        <x:v>eaf2ffba-b54a-4ecf-9e6e-d1a4f698952f</x:v>
      </x:c>
      <x:c r="B1123" t="str">
        <x:v>750feb0b-6423-48f9-91c9-decbb170728a</x:v>
      </x:c>
      <x:c r="C1123" s="9" t="str">
        <x:v>Friends of the Earth Ltd, R (On the Application Of) v Secretary of State for Transport</x:v>
      </x:c>
      <x:c r="D1123" s="9" t="str"/>
      <x:c r="E1123" s="9" t="str"/>
      <x:c r="F1123" s="13" t="str">
        <x:v>2021</x:v>
      </x:c>
      <x:c r="G1123" s="9" t="str">
        <x:v>England and Wales Court of Appeal (Civil Division)</x:v>
      </x:c>
      <x:c r="H1123" s="9" t="str">
        <x:v>Appellate</x:v>
      </x:c>
      <x:c r="I1123" s="9" t="str">
        <x:v>England and Wales</x:v>
      </x:c>
      <x:c r="J1123" s="9" t="str">
        <x:v>Administrative Law</x:v>
      </x:c>
      <x:c r="K1123" s="9" t="str">
        <x:v>ew-cases-EWCA-Civ-2021-13.xml</x:v>
      </x:c>
      <x:c r="L1123" s="9" t="str">
        <x:v>TBA</x:v>
      </x:c>
    </x:row>
    <x:row r="1124">
      <x:c r="A1124" t="str">
        <x:v>0ee7f3e8-1c1e-41bf-bb50-43b87b59b711</x:v>
      </x:c>
      <x:c r="B1124" t="str">
        <x:v>c233973e-4eca-45b2-8c3f-a5d156623c01</x:v>
      </x:c>
      <x:c r="C1124" s="9" t="str">
        <x:v>Frixou v Bhabra &amp; Anor [2016] EWCA Civ 381 (14 January 2016)</x:v>
      </x:c>
      <x:c r="D1124" s="9" t="str"/>
      <x:c r="E1124" s="9" t="str"/>
      <x:c r="F1124" s="13" t="str">
        <x:v>2016</x:v>
      </x:c>
      <x:c r="G1124" s="9" t="str">
        <x:v>England and Wales Court of Appeal (Civil Division)</x:v>
      </x:c>
      <x:c r="H1124" s="9" t="str">
        <x:v>Court of Appeal (Civil Division)</x:v>
      </x:c>
      <x:c r="I1124" s="9" t="str">
        <x:v>England and Wales</x:v>
      </x:c>
      <x:c r="J1124" s="9" t="str">
        <x:v>Civil Procedure / Evidence / Trial Management</x:v>
      </x:c>
      <x:c r="K1124" s="9" t="str">
        <x:v>-ew-cases-EWCA-Civ-2016-381.xml</x:v>
      </x:c>
      <x:c r="L1124" s="9" t="str">
        <x:v>TBA</x:v>
      </x:c>
    </x:row>
    <x:row r="1125">
      <x:c r="A1125" t="str">
        <x:v>32556403-006d-4da7-986b-542fe88f657e</x:v>
      </x:c>
      <x:c r="B1125" t="str">
        <x:v>a120c813-e964-4acb-a482-11dd674f628b</x:v>
      </x:c>
      <x:c r="C1125" s="9" t="str">
        <x:v>Frontier Agriculture Ltd v Bratt Brothers (a firm) [2015] EWCA Civ 611</x:v>
      </x:c>
      <x:c r="D1125" s="9" t="str"/>
      <x:c r="E1125" s="9" t="str"/>
      <x:c r="F1125" s="13" t="str">
        <x:v>2015</x:v>
      </x:c>
      <x:c r="G1125" s="9" t="str">
        <x:v>England and Wales Court of Appeal (Civil Division)</x:v>
      </x:c>
      <x:c r="H1125" s="9" t="str">
        <x:v>Appellate</x:v>
      </x:c>
      <x:c r="I1125" s="9" t="str">
        <x:v>England and Wales</x:v>
      </x:c>
      <x:c r="J1125" s="9" t="str">
        <x:v>Contract Dispute</x:v>
      </x:c>
      <x:c r="K1125" s="9" t="str">
        <x:v>-ew-cases-EWCA-Civ-2015-611.xml</x:v>
      </x:c>
      <x:c r="L1125" s="9" t="str">
        <x:v>TBA</x:v>
      </x:c>
    </x:row>
    <x:row r="1126">
      <x:c r="A1126" t="str">
        <x:v>2e929b64-57b5-4904-b093-ca4dec54a143</x:v>
      </x:c>
      <x:c r="B1126" t="str">
        <x:v>e890ef70-e851-4d87-b682-639818359935</x:v>
      </x:c>
      <x:c r="C1126" s="9" t="str">
        <x:v>Frugal v Nottinghamshire Police Case Analysis</x:v>
      </x:c>
      <x:c r="D1126" s="9" t="str"/>
      <x:c r="E1126" s="9" t="str"/>
      <x:c r="F1126" s="13" t="str">
        <x:v>2017</x:v>
      </x:c>
      <x:c r="G1126" s="9" t="str">
        <x:v>England and Wales Court of Appeal (Civil Division)</x:v>
      </x:c>
      <x:c r="H1126" s="9" t="str">
        <x:v>Appellate</x:v>
      </x:c>
      <x:c r="I1126" s="9" t="str">
        <x:v>England and Wales</x:v>
      </x:c>
      <x:c r="J1126" s="9" t="str">
        <x:v>Tort</x:v>
      </x:c>
      <x:c r="K1126" s="9" t="str">
        <x:v>-ew-cases-EWCA-Civ-2017-86.xml</x:v>
      </x:c>
      <x:c r="L1126" s="9" t="str">
        <x:v>TBA</x:v>
      </x:c>
    </x:row>
    <x:row r="1127">
      <x:c r="A1127" t="str">
        <x:v>fa43d75e-7551-4427-8096-cf851f615e5f</x:v>
      </x:c>
      <x:c r="B1127" t="str">
        <x:v>e71178fb-dc7e-4f20-ae6f-c7416fce6852</x:v>
      </x:c>
      <x:c r="C1127" s="9" t="str">
        <x:v>FT (Ivory Coast) v The Secretary of State for the Home Department</x:v>
      </x:c>
      <x:c r="D1127" s="9" t="str"/>
      <x:c r="E1127" s="9" t="str"/>
      <x:c r="F1127" s="13" t="str">
        <x:v>2015</x:v>
      </x:c>
      <x:c r="G1127" s="9" t="str">
        <x:v>England and Wales Court of Appeal (Civil Division)</x:v>
      </x:c>
      <x:c r="H1127" s="9" t="str">
        <x:v>Appellate</x:v>
      </x:c>
      <x:c r="I1127" s="9" t="str">
        <x:v>England and Wales</x:v>
      </x:c>
      <x:c r="J1127" s="9" t="str">
        <x:v>Immigration Law</x:v>
      </x:c>
      <x:c r="K1127" s="9" t="str">
        <x:v>-ew-cases-EWCA-Civ-2015-900.xml</x:v>
      </x:c>
      <x:c r="L1127" s="9" t="str">
        <x:v>TBA</x:v>
      </x:c>
    </x:row>
    <x:row r="1128">
      <x:c r="A1128" t="str">
        <x:v>feb969f6-6183-4f8e-b6df-ec3dcd8c9d59</x:v>
      </x:c>
      <x:c r="B1128" t="str">
        <x:v>cece1fbb-c3cb-4673-86fe-0905579e26c6</x:v>
      </x:c>
      <x:c r="C1128" s="9" t="str">
        <x:v>Fulton Shipping Inc of Panama v Globalia Business Travel S.A.U.</x:v>
      </x:c>
      <x:c r="D1128" s="9" t="str"/>
      <x:c r="E1128" s="9" t="str"/>
      <x:c r="F1128" s="13" t="str">
        <x:v>2015</x:v>
      </x:c>
      <x:c r="G1128" s="9" t="str">
        <x:v>England and Wales Court of Appeal (Civil Division)</x:v>
      </x:c>
      <x:c r="H1128" s="9" t="str">
        <x:v>Appellate</x:v>
      </x:c>
      <x:c r="I1128" s="9" t="str">
        <x:v>England and Wales</x:v>
      </x:c>
      <x:c r="J1128" s="9" t="str">
        <x:v>Contract Dispute</x:v>
      </x:c>
      <x:c r="K1128" s="9" t="str">
        <x:v>-ew-cases-EWCA-Civ-2015-1299.xml</x:v>
      </x:c>
      <x:c r="L1128" s="9" t="str">
        <x:v>TBA</x:v>
      </x:c>
    </x:row>
    <x:row r="1129">
      <x:c r="A1129" t="str">
        <x:v>e3e69ab6-61cd-4582-8aa3-a2b9cc8f3fe1</x:v>
      </x:c>
      <x:c r="B1129" t="str">
        <x:v>3c77dec7-88e1-45bd-a4f9-e344a25e6e0d</x:v>
      </x:c>
      <x:c r="C1129" s="9" t="str">
        <x:v>FY (Bangladesh) v Secretary of State for the Home Department [2015] EWCA Civ 1228</x:v>
      </x:c>
      <x:c r="D1129" s="9" t="str"/>
      <x:c r="E1129" s="9" t="str"/>
      <x:c r="F1129" s="13" t="str">
        <x:v>2015</x:v>
      </x:c>
      <x:c r="G1129" s="9" t="str">
        <x:v>England and Wales Court of Appeal (Civil Division)</x:v>
      </x:c>
      <x:c r="H1129" s="9" t="str">
        <x:v>appellate</x:v>
      </x:c>
      <x:c r="I1129" s="9" t="str">
        <x:v>England and Wales</x:v>
      </x:c>
      <x:c r="J1129" s="9" t="str">
        <x:v>Immigration</x:v>
      </x:c>
      <x:c r="K1129" s="9" t="str">
        <x:v>-ew-cases-EWCA-Civ-2015-1228.xml</x:v>
      </x:c>
      <x:c r="L1129" s="9" t="str">
        <x:v>TBA</x:v>
      </x:c>
    </x:row>
    <x:row r="1130">
      <x:c r="A1130" t="str">
        <x:v>29fb5484-0526-477c-863d-8858f1a974ab</x:v>
      </x:c>
      <x:c r="B1130" t="str">
        <x:v>84fda74c-8775-4d1b-8cf6-853e7921ced2</x:v>
      </x:c>
      <x:c r="C1130" s="9" t="str">
        <x:v>Fylde Coast Farms Ltd v Fylde Borough Council [2021] UKSC 18</x:v>
      </x:c>
      <x:c r="D1130" s="9" t="str"/>
      <x:c r="E1130" s="9" t="str"/>
      <x:c r="F1130" s="13" t="str">
        <x:v>2021</x:v>
      </x:c>
      <x:c r="G1130" s="9" t="str">
        <x:v>United Kingdom Supreme Court</x:v>
      </x:c>
      <x:c r="H1130" s="9" t="str">
        <x:v>Supreme Court</x:v>
      </x:c>
      <x:c r="I1130" s="9" t="str">
        <x:v>United Kingdom</x:v>
      </x:c>
      <x:c r="J1130" s="9" t="str">
        <x:v>Administrative Law</x:v>
      </x:c>
      <x:c r="K1130" s="9" t="str">
        <x:v>PT_uk-cases-UKSC-2021-18.xml</x:v>
      </x:c>
      <x:c r="L1130" s="9" t="str">
        <x:v>TBA</x:v>
      </x:c>
    </x:row>
    <x:row r="1131">
      <x:c r="A1131" t="str">
        <x:v>58067749-70b5-4bb9-acdd-b43d3301b8aa</x:v>
      </x:c>
      <x:c r="B1131" t="str">
        <x:v>b56c33e0-c0d6-49f4-9c87-c81183a7bda3</x:v>
      </x:c>
      <x:c r="C1131" s="9" t="str">
        <x:v>FZ (China) v Secretary of State for the Home Department [2015] EWCA Civ 550</x:v>
      </x:c>
      <x:c r="D1131" s="9" t="str"/>
      <x:c r="E1131" s="9" t="str"/>
      <x:c r="F1131" s="13" t="str">
        <x:v>2015</x:v>
      </x:c>
      <x:c r="G1131" s="9" t="str">
        <x:v>England and Wales Court of Appeal (Civil Division)</x:v>
      </x:c>
      <x:c r="H1131" s="9" t="str">
        <x:v>Appellate</x:v>
      </x:c>
      <x:c r="I1131" s="9" t="str">
        <x:v>United Kingdom</x:v>
      </x:c>
      <x:c r="J1131" s="9" t="str">
        <x:v>Immigration Law</x:v>
      </x:c>
      <x:c r="K1131" s="9" t="str">
        <x:v>-ew-cases-EWCA-Civ-2015-550.xml</x:v>
      </x:c>
      <x:c r="L1131" s="9" t="str">
        <x:v>TBA</x:v>
      </x:c>
    </x:row>
    <x:row r="1132">
      <x:c r="A1132" t="str">
        <x:v>d8d69c12-8564-44ad-8e5c-f5707f753281</x:v>
      </x:c>
      <x:c r="B1132" t="str">
        <x:v>46c7d199-c46f-4e3d-b02b-3fcfd78d310d</x:v>
      </x:c>
      <x:c r="C1132" s="9" t="str">
        <x:v>G (A Child) [2014] EWCA Civ 1173</x:v>
      </x:c>
      <x:c r="D1132" s="9" t="str"/>
      <x:c r="E1132" s="9" t="str"/>
      <x:c r="F1132" s="13" t="str">
        <x:v>2014</x:v>
      </x:c>
      <x:c r="G1132" s="9" t="str">
        <x:v>England and Wales Court of Appeal (Civil Division)</x:v>
      </x:c>
      <x:c r="H1132" s="9" t="str">
        <x:v>Appellate</x:v>
      </x:c>
      <x:c r="I1132" s="9" t="str">
        <x:v>England and Wales</x:v>
      </x:c>
      <x:c r="J1132" s="9" t="str">
        <x:v>Family Law</x:v>
      </x:c>
      <x:c r="K1132" s="9" t="str">
        <x:v>-ew-cases-EWCA-Civ-2014-1173.xml</x:v>
      </x:c>
      <x:c r="L1132" s="9" t="str">
        <x:v>TBA</x:v>
      </x:c>
    </x:row>
    <x:row r="1133">
      <x:c r="A1133" t="str">
        <x:v>8cbc468b-17cb-400f-a25e-57f43ecc720a</x:v>
      </x:c>
      <x:c r="B1133" t="str">
        <x:v>3898cbcb-7116-4d20-8429-9f1ee53f72de</x:v>
      </x:c>
      <x:c r="C1133" s="9" t="str">
        <x:v>G (A Child) [2014] EWCA Civ 1365</x:v>
      </x:c>
      <x:c r="D1133" s="9" t="str"/>
      <x:c r="E1133" s="9" t="str"/>
      <x:c r="F1133" s="13" t="str">
        <x:v>2014</x:v>
      </x:c>
      <x:c r="G1133" s="9" t="str">
        <x:v>England and Wales Court of Appeal (Civil Division)</x:v>
      </x:c>
      <x:c r="H1133" s="9" t="str">
        <x:v>Appellate</x:v>
      </x:c>
      <x:c r="I1133" s="9" t="str">
        <x:v>England and Wales</x:v>
      </x:c>
      <x:c r="J1133" s="9" t="str">
        <x:v>Child Welfare and Adoption</x:v>
      </x:c>
      <x:c r="K1133" s="9" t="str">
        <x:v>-ew-cases-EWCA-Civ-2014-1365.xml</x:v>
      </x:c>
      <x:c r="L1133" s="9" t="str">
        <x:v>TBA</x:v>
      </x:c>
    </x:row>
    <x:row r="1134">
      <x:c r="A1134" t="str">
        <x:v>33cfb4d5-4eb5-4f7a-a0b5-695c801b1e8c</x:v>
      </x:c>
      <x:c r="B1134" t="str">
        <x:v>5dc54859-cc98-4663-bba4-b611edec2344</x:v>
      </x:c>
      <x:c r="C1134" s="9" t="str">
        <x:v>G (A Child) [2014] EWCA Civ 432 - Adoption Proceedings Appeal</x:v>
      </x:c>
      <x:c r="D1134" s="9" t="str"/>
      <x:c r="E1134" s="9" t="str"/>
      <x:c r="F1134" s="13" t="str">
        <x:v>2014</x:v>
      </x:c>
      <x:c r="G1134" s="9" t="str">
        <x:v>England and Wales Court of Appeal (Civil Division)</x:v>
      </x:c>
      <x:c r="H1134" s="9" t="str">
        <x:v>Appellate</x:v>
      </x:c>
      <x:c r="I1134" s="9" t="str">
        <x:v>England and Wales</x:v>
      </x:c>
      <x:c r="J1134" s="9" t="str">
        <x:v>Family Law</x:v>
      </x:c>
      <x:c r="K1134" s="9" t="str">
        <x:v>-ew-cases-EWCA-Civ-2014-432.xml</x:v>
      </x:c>
      <x:c r="L1134" s="9" t="str">
        <x:v>TBA</x:v>
      </x:c>
    </x:row>
    <x:row r="1135">
      <x:c r="A1135" t="str">
        <x:v>463a4723-19b6-4c08-9108-6e041c809550</x:v>
      </x:c>
      <x:c r="B1135" t="str">
        <x:v>493339c7-0dd7-4076-9668-2eee246dee89</x:v>
      </x:c>
      <x:c r="C1135" s="9" t="str">
        <x:v>G (A Child) [2015] EWCA Civ 119</x:v>
      </x:c>
      <x:c r="D1135" s="9" t="str"/>
      <x:c r="E1135" s="9" t="str"/>
      <x:c r="F1135" s="13" t="str">
        <x:v>2015</x:v>
      </x:c>
      <x:c r="G1135" s="9" t="str">
        <x:v>England and Wales Court of Appeal (Civil Division)</x:v>
      </x:c>
      <x:c r="H1135" s="9" t="str">
        <x:v>Appellate</x:v>
      </x:c>
      <x:c r="I1135" s="9" t="str">
        <x:v>England and Wales</x:v>
      </x:c>
      <x:c r="J1135" s="9" t="str">
        <x:v>Family Law</x:v>
      </x:c>
      <x:c r="K1135" s="9" t="str">
        <x:v>-ew-cases-EWCA-Civ-2015-119.xml</x:v>
      </x:c>
      <x:c r="L1135" s="9" t="str">
        <x:v>TBA</x:v>
      </x:c>
    </x:row>
    <x:row r="1136">
      <x:c r="A1136" t="str">
        <x:v>1dd02023-8a93-43b1-b34d-dac791f9b08e</x:v>
      </x:c>
      <x:c r="B1136" t="str">
        <x:v>61140c4f-2395-407c-9e5e-788ff70bf2cf</x:v>
      </x:c>
      <x:c r="C1136" s="9" t="str">
        <x:v>G (A Child) [2017] EWCA Civ 2638</x:v>
      </x:c>
      <x:c r="D1136" s="9" t="str"/>
      <x:c r="E1136" s="9" t="str"/>
      <x:c r="F1136" s="13" t="str">
        <x:v>2017</x:v>
      </x:c>
      <x:c r="G1136" s="9" t="str">
        <x:v>England and Wales Court of Appeal (Civil Division)</x:v>
      </x:c>
      <x:c r="H1136" s="9" t="str">
        <x:v>Appellate</x:v>
      </x:c>
      <x:c r="I1136" s="9" t="str">
        <x:v>England and Wales</x:v>
      </x:c>
      <x:c r="J1136" s="9" t="str">
        <x:v>Family Law</x:v>
      </x:c>
      <x:c r="K1136" s="9" t="str">
        <x:v>-ew-cases-EWCA-Civ-2017-2638.xml</x:v>
      </x:c>
      <x:c r="L1136" s="9" t="str">
        <x:v>TBA</x:v>
      </x:c>
    </x:row>
    <x:row r="1137">
      <x:c r="A1137" t="str">
        <x:v>fd196d0e-8428-4f47-a511-88a0bd907fd5</x:v>
      </x:c>
      <x:c r="B1137" t="str">
        <x:v>21795f67-88e2-4f07-ba9a-945ae7a539ef</x:v>
      </x:c>
      <x:c r="C1137" s="9" t="str">
        <x:v>G (a Child), Re [2014] EWCA Civ 680</x:v>
      </x:c>
      <x:c r="D1137" s="9" t="str"/>
      <x:c r="E1137" s="9" t="str"/>
      <x:c r="F1137" s="13" t="str">
        <x:v>2014</x:v>
      </x:c>
      <x:c r="G1137" s="9" t="str">
        <x:v>England and Wales Court of Appeal (Civil Division)</x:v>
      </x:c>
      <x:c r="H1137" s="9" t="str">
        <x:v>Appellate</x:v>
      </x:c>
      <x:c r="I1137" s="9" t="str">
        <x:v>England and Wales</x:v>
      </x:c>
      <x:c r="J1137" s="9" t="str">
        <x:v>Family Law</x:v>
      </x:c>
      <x:c r="K1137" s="9" t="str">
        <x:v>-ew-cases-EWCA-Civ-2014-680.xml</x:v>
      </x:c>
      <x:c r="L1137" s="9" t="str">
        <x:v>TBA</x:v>
      </x:c>
    </x:row>
    <x:row r="1138">
      <x:c r="A1138" t="str">
        <x:v>a709ce78-7e4e-4bae-869d-aaed49df84de</x:v>
      </x:c>
      <x:c r="B1138" t="str">
        <x:v>990af436-baa5-4482-8eac-7d89eeb9d206</x:v>
      </x:c>
      <x:c r="C1138" s="9" t="str">
        <x:v>G (An Adult), Re [2015] EWCA Civ 446</x:v>
      </x:c>
      <x:c r="D1138" s="9" t="str"/>
      <x:c r="E1138" s="9" t="str"/>
      <x:c r="F1138" s="13" t="str">
        <x:v>2015</x:v>
      </x:c>
      <x:c r="G1138" s="9" t="str">
        <x:v>England and Wales Court of Appeal (Civil Division)</x:v>
      </x:c>
      <x:c r="H1138" s="9" t="str">
        <x:v>Appellate</x:v>
      </x:c>
      <x:c r="I1138" s="9" t="str">
        <x:v>England and Wales</x:v>
      </x:c>
      <x:c r="J1138" s="9" t="str">
        <x:v>Civil Procedure</x:v>
      </x:c>
      <x:c r="K1138" s="9" t="str">
        <x:v>-ew-cases-EWCA-Civ-2015-446.xml</x:v>
      </x:c>
      <x:c r="L1138" s="9" t="str">
        <x:v>TBA</x:v>
      </x:c>
    </x:row>
    <x:row r="1139">
      <x:c r="A1139" t="str">
        <x:v>164b5f40-603b-4c14-844d-853cdef4ac18</x:v>
      </x:c>
      <x:c r="B1139" t="str">
        <x:v>82f5c106-cf97-452e-9f2a-a70e0a1abe1d</x:v>
      </x:c>
      <x:c r="C1139" s="9" t="str">
        <x:v>G (Child), Re [2015] EWCA Civ 834</x:v>
      </x:c>
      <x:c r="D1139" s="9" t="str"/>
      <x:c r="E1139" s="9" t="str"/>
      <x:c r="F1139" s="13" t="str">
        <x:v>2015</x:v>
      </x:c>
      <x:c r="G1139" s="9" t="str">
        <x:v>England and Wales Court of Appeal (Civil Division)</x:v>
      </x:c>
      <x:c r="H1139" s="9" t="str">
        <x:v>Appellate</x:v>
      </x:c>
      <x:c r="I1139" s="9" t="str">
        <x:v>England and Wales</x:v>
      </x:c>
      <x:c r="J1139" s="9" t="str">
        <x:v>Family Law</x:v>
      </x:c>
      <x:c r="K1139" s="9" t="str">
        <x:v>-ew-cases-EWCA-Civ-2015-834.xml</x:v>
      </x:c>
      <x:c r="L1139" s="9" t="str">
        <x:v>TBA</x:v>
      </x:c>
    </x:row>
    <x:row r="1140">
      <x:c r="A1140" t="str">
        <x:v>89373ec7-a919-4217-a314-637e06af0cb0</x:v>
      </x:c>
      <x:c r="B1140" t="str">
        <x:v>a43b233b-fa0d-49b0-8671-11525cdac684</x:v>
      </x:c>
      <x:c r="C1140" s="9" t="str">
        <x:v>G &amp; J Greenall Group Ltd v G4S Service Solutions (UK) Ltd [2015] EWCA Civ 725</x:v>
      </x:c>
      <x:c r="D1140" s="9" t="str"/>
      <x:c r="E1140" s="9" t="str"/>
      <x:c r="F1140" s="13" t="str">
        <x:v>2015</x:v>
      </x:c>
      <x:c r="G1140" s="9" t="str">
        <x:v>England and Wales Court of Appeal (Civil Division)</x:v>
      </x:c>
      <x:c r="H1140" s="9" t="str">
        <x:v>Appellate</x:v>
      </x:c>
      <x:c r="I1140" s="9" t="str">
        <x:v>England and Wales</x:v>
      </x:c>
      <x:c r="J1140" s="9" t="str">
        <x:v>Appeal</x:v>
      </x:c>
      <x:c r="K1140" s="9" t="str">
        <x:v>-ew-cases-EWCA-Civ-2015-725.xml</x:v>
      </x:c>
      <x:c r="L1140" s="9" t="str">
        <x:v>TBA</x:v>
      </x:c>
    </x:row>
    <x:row r="1141">
      <x:c r="A1141" t="str">
        <x:v>37557872-90be-4a14-9894-a9bf5ab3693e</x:v>
      </x:c>
      <x:c r="B1141" t="str">
        <x:v>7b228f8d-7dcd-4c65-b513-d1548ebf7dce</x:v>
      </x:c>
      <x:c r="C1141" s="9" t="str">
        <x:v>G and H (Leave To Revoke Placement Order) [2023] EWCA Civ 768</x:v>
      </x:c>
      <x:c r="D1141" s="9" t="str"/>
      <x:c r="E1141" s="9" t="str"/>
      <x:c r="F1141" s="13" t="str">
        <x:v>2023</x:v>
      </x:c>
      <x:c r="G1141" s="9" t="str">
        <x:v>England and Wales Court of Appeal (Civil Division)</x:v>
      </x:c>
      <x:c r="H1141" s="9" t="str">
        <x:v>Court of Appeal (Civil Division)</x:v>
      </x:c>
      <x:c r="I1141" s="9" t="str">
        <x:v>England and Wales</x:v>
      </x:c>
      <x:c r="J1141" s="9" t="str">
        <x:v>Family Law</x:v>
      </x:c>
      <x:c r="K1141" s="9" t="str">
        <x:v>ew-cases-EWCA-Civ-2023-768.xml</x:v>
      </x:c>
      <x:c r="L1141" s="9" t="str">
        <x:v>TBA</x:v>
      </x:c>
    </x:row>
    <x:row r="1142">
      <x:c r="A1142" t="str">
        <x:v>5a93b3f8-ce92-4307-b250-fa9c396c4514</x:v>
      </x:c>
      <x:c r="B1142" t="str">
        <x:v>19f24c70-dea4-4e3e-b3bb-ac0995db2268</x:v>
      </x:c>
      <x:c r="C1142" s="9" t="str">
        <x:v>G B Housley Limited v HM Revenue and Customs [2016] EWCA Civ 1299 (Court of Appeal, Civil Division)</x:v>
      </x:c>
      <x:c r="D1142" s="9" t="str"/>
      <x:c r="E1142" s="9" t="str"/>
      <x:c r="F1142" s="13" t="str">
        <x:v>2016</x:v>
      </x:c>
      <x:c r="G1142" s="9" t="str">
        <x:v>England and Wales Court of Appeal (Civil Division)</x:v>
      </x:c>
      <x:c r="H1142" s="9" t="str">
        <x:v>Court of Appeal (Civil Division)</x:v>
      </x:c>
      <x:c r="I1142" s="9" t="str">
        <x:v>England and Wales</x:v>
      </x:c>
      <x:c r="J1142" s="9" t="str">
        <x:v>Tax Law / VAT Dispute</x:v>
      </x:c>
      <x:c r="K1142" s="9" t="str">
        <x:v>-ew-cases-EWCA-Civ-2016-1299.xml</x:v>
      </x:c>
      <x:c r="L1142" s="9" t="str">
        <x:v>TBA</x:v>
      </x:c>
    </x:row>
    <x:row r="1143">
      <x:c r="A1143" t="str">
        <x:v>74df7d14-4e9e-4c26-9989-091127c81c2d</x:v>
      </x:c>
      <x:c r="B1143" t="str">
        <x:v>66fb0842-724a-4ba1-96fc-fa31f33a5101</x:v>
      </x:c>
      <x:c r="C1143" s="9" t="str">
        <x:v>G, Re (Court of Protection: Injunction) [2022] EWCA Civ 1312</x:v>
      </x:c>
      <x:c r="D1143" s="9" t="str"/>
      <x:c r="E1143" s="9" t="str"/>
      <x:c r="F1143" s="13" t="str">
        <x:v>2022</x:v>
      </x:c>
      <x:c r="G1143" s="9" t="str">
        <x:v>England and Wales Court of Appeal (Civil Division)</x:v>
      </x:c>
      <x:c r="H1143" s="9" t="str">
        <x:v>Court of Appeal (Civil Division)</x:v>
      </x:c>
      <x:c r="I1143" s="9" t="str">
        <x:v>England and Wales</x:v>
      </x:c>
      <x:c r="J1143" s="9" t="str">
        <x:v>Administrative Law - Court of Protection / Mental Capacity</x:v>
      </x:c>
      <x:c r="K1143" s="9" t="str">
        <x:v>ew-cases-EWCA-Civ-2022-1312.xml</x:v>
      </x:c>
      <x:c r="L1143" s="9" t="str">
        <x:v>TBA</x:v>
      </x:c>
    </x:row>
    <x:row r="1144">
      <x:c r="A1144" t="str">
        <x:v>51e44e2b-1fa0-41df-a51d-0a1eedc3f7cc</x:v>
      </x:c>
      <x:c r="B1144" t="str">
        <x:v>cae3d012-8857-43bf-8323-4346d350a209</x:v>
      </x:c>
      <x:c r="C1144" s="9" t="str">
        <x:v>GA v Secretary of State for the Home Department [2022] EWCA Civ 304</x:v>
      </x:c>
      <x:c r="D1144" s="9" t="str"/>
      <x:c r="E1144" s="9" t="str"/>
      <x:c r="F1144" s="13" t="str">
        <x:v>2022</x:v>
      </x:c>
      <x:c r="G1144" s="9" t="str">
        <x:v>England and Wales Court of Appeal (Civil Division)</x:v>
      </x:c>
      <x:c r="H1144" s="9" t="str">
        <x:v>Court of Appeal (Civil Division)</x:v>
      </x:c>
      <x:c r="I1144" s="9" t="str">
        <x:v>England and Wales</x:v>
      </x:c>
      <x:c r="J1144" s="9" t="str">
        <x:v>Public Law / Administrative Law</x:v>
      </x:c>
      <x:c r="K1144" s="9" t="str">
        <x:v>ew-cases-EWCA-Civ-2022-304.xml</x:v>
      </x:c>
      <x:c r="L1144" s="9" t="str">
        <x:v>TBA</x:v>
      </x:c>
    </x:row>
    <x:row r="1145">
      <x:c r="A1145" t="str">
        <x:v>7f4b80fd-c049-4c70-bbab-be64cb700b37</x:v>
      </x:c>
      <x:c r="B1145" t="str">
        <x:v>6447f3b0-75f5-477f-8bc5-26613187abbc</x:v>
      </x:c>
      <x:c r="C1145" s="9" t="str">
        <x:v>Gadhavi v Gadhavi [2015] EWCA Civ 520</x:v>
      </x:c>
      <x:c r="D1145" s="9" t="str"/>
      <x:c r="E1145" s="9" t="str"/>
      <x:c r="F1145" s="13" t="str">
        <x:v>2015</x:v>
      </x:c>
      <x:c r="G1145" s="9" t="str">
        <x:v>England and Wales Court of Appeal (Civil Division)</x:v>
      </x:c>
      <x:c r="H1145" s="9" t="str">
        <x:v>Appellate</x:v>
      </x:c>
      <x:c r="I1145" s="9" t="str">
        <x:v>England and Wales</x:v>
      </x:c>
      <x:c r="J1145" s="9" t="str">
        <x:v>Family Law</x:v>
      </x:c>
      <x:c r="K1145" s="9" t="str">
        <x:v>-ew-cases-EWCA-Civ-2015-520.xml</x:v>
      </x:c>
      <x:c r="L1145" s="9" t="str">
        <x:v>TBA</x:v>
      </x:c>
    </x:row>
    <x:row r="1146">
      <x:c r="A1146" t="str">
        <x:v>8182d778-977f-4b38-925b-c339552b6512</x:v>
      </x:c>
      <x:c r="B1146" t="str">
        <x:v>a896cc76-08ed-434b-ad06-299ad84b0e18</x:v>
      </x:c>
      <x:c r="C1146" s="9" t="str">
        <x:v>Gahan v Emirates [2017] EWCA Civ 1530</x:v>
      </x:c>
      <x:c r="D1146" s="9" t="str"/>
      <x:c r="E1146" s="9" t="str"/>
      <x:c r="F1146" s="13" t="str">
        <x:v>2017</x:v>
      </x:c>
      <x:c r="G1146" s="9" t="str">
        <x:v>England and Wales Court of Appeal (Civil Division)</x:v>
      </x:c>
      <x:c r="H1146" s="9" t="str">
        <x:v>Appellate</x:v>
      </x:c>
      <x:c r="I1146" s="9" t="str">
        <x:v>England and Wales</x:v>
      </x:c>
      <x:c r="J1146" s="9" t="str">
        <x:v>Civil Aviation</x:v>
      </x:c>
      <x:c r="K1146" s="9" t="str">
        <x:v>-ew-cases-EWCA-Civ-2017-1530.xml</x:v>
      </x:c>
      <x:c r="L1146" s="9" t="str">
        <x:v>TBA</x:v>
      </x:c>
    </x:row>
    <x:row r="1147">
      <x:c r="A1147" t="str">
        <x:v>84189c61-c741-47bb-bc81-408caaa4e773</x:v>
      </x:c>
      <x:c r="B1147" t="str">
        <x:v>6612f088-e999-4d72-a2c3-d614f7f1b9dc</x:v>
      </x:c>
      <x:c r="C1147" s="9" t="str">
        <x:v>Gainford Care Homes Ltd v Tipple &amp; Anor (Rev 1) [2016] EWCA Civ 382</x:v>
      </x:c>
      <x:c r="D1147" s="9" t="str"/>
      <x:c r="E1147" s="9" t="str"/>
      <x:c r="F1147" s="13" t="str">
        <x:v>2016</x:v>
      </x:c>
      <x:c r="G1147" s="9" t="str">
        <x:v>England and Wales Court of Appeal (Civil Division)</x:v>
      </x:c>
      <x:c r="H1147" s="9" t="str">
        <x:v>Court of Appeal (Civil Division)</x:v>
      </x:c>
      <x:c r="I1147" s="9" t="str">
        <x:v>England and Wales</x:v>
      </x:c>
      <x:c r="J1147" s="9" t="str">
        <x:v>Appeal in Employment Law</x:v>
      </x:c>
      <x:c r="K1147" s="9" t="str">
        <x:v>-ew-cases-EWCA-Civ-2016-382.xml</x:v>
      </x:c>
      <x:c r="L1147" s="9" t="str">
        <x:v>TBA</x:v>
      </x:c>
    </x:row>
    <x:row r="1148">
      <x:c r="A1148" t="str">
        <x:v>43e5c286-364b-44c3-b425-a3a0b8b1000b</x:v>
      </x:c>
      <x:c r="B1148" t="str">
        <x:v>e740795c-9249-45f8-aba9-1ab82a3274ca</x:v>
      </x:c>
      <x:c r="C1148" s="9" t="str">
        <x:v>Gala Tent Ltd v Chambers &amp; Anor [2015] EWCA Civ 1063</x:v>
      </x:c>
      <x:c r="D1148" s="9" t="str"/>
      <x:c r="E1148" s="9" t="str"/>
      <x:c r="F1148" s="13" t="str">
        <x:v>2015</x:v>
      </x:c>
      <x:c r="G1148" s="9" t="str">
        <x:v>England and Wales Court of Appeal (Civil Division)</x:v>
      </x:c>
      <x:c r="H1148" s="9" t="str">
        <x:v>Appellate</x:v>
      </x:c>
      <x:c r="I1148" s="9" t="str">
        <x:v>England and Wales</x:v>
      </x:c>
      <x:c r="J1148" s="9" t="str">
        <x:v>Employment Dispute</x:v>
      </x:c>
      <x:c r="K1148" s="9" t="str">
        <x:v>-ew-cases-EWCA-Civ-2015-1063.xml</x:v>
      </x:c>
      <x:c r="L1148" s="9" t="str">
        <x:v>TBA</x:v>
      </x:c>
    </x:row>
    <x:row r="1149">
      <x:c r="A1149" t="str">
        <x:v>34944b1c-295e-460c-a7a1-070ef2f93739</x:v>
      </x:c>
      <x:c r="B1149" t="str">
        <x:v>df2a2fbf-654a-40ba-88e6-7ba7ac92f5a1</x:v>
      </x:c>
      <x:c r="C1149" s="9" t="str">
        <x:v>Gallaher Group Limited &amp; Anor v Competition and Markets Authority [2016] EWCA Civ 719</x:v>
      </x:c>
      <x:c r="D1149" s="9" t="str"/>
      <x:c r="E1149" s="9" t="str"/>
      <x:c r="F1149" s="13" t="str">
        <x:v>2016</x:v>
      </x:c>
      <x:c r="G1149" s="9" t="str">
        <x:v>England and Wales Court of Appeal (Civil Division)</x:v>
      </x:c>
      <x:c r="H1149" s="9" t="str">
        <x:v>Court of Appeal (Civil Division)</x:v>
      </x:c>
      <x:c r="I1149" s="9" t="str">
        <x:v>England and Wales</x:v>
      </x:c>
      <x:c r="J1149" s="9" t="str">
        <x:v>Administrative Law; Competition Law; Appellate Civil Procedure</x:v>
      </x:c>
      <x:c r="K1149" s="9" t="str">
        <x:v>-ew-cases-EWCA-Civ-2016-719.xml</x:v>
      </x:c>
      <x:c r="L1149" s="9" t="str">
        <x:v>TBA</x:v>
      </x:c>
    </x:row>
    <x:row r="1150">
      <x:c r="A1150" t="str">
        <x:v>4da9637c-b0d6-437a-b519-44e1efe00abe</x:v>
      </x:c>
      <x:c r="B1150" t="str">
        <x:v>cbf9a2bb-7b6f-41be-ba0f-1a84a1e459e6</x:v>
      </x:c>
      <x:c r="C1150" s="9" t="str">
        <x:v>Gangat v Jassat &amp; Anor [2022] EWCA Civ 604</x:v>
      </x:c>
      <x:c r="D1150" s="9" t="str"/>
      <x:c r="E1150" s="9" t="str"/>
      <x:c r="F1150" s="13" t="str">
        <x:v>2022</x:v>
      </x:c>
      <x:c r="G1150" s="9" t="str">
        <x:v>England and Wales Court of Appeal (Civil Division)</x:v>
      </x:c>
      <x:c r="H1150" s="9" t="str">
        <x:v>Court of Appeal (Civil Division)</x:v>
      </x:c>
      <x:c r="I1150" s="9" t="str">
        <x:v>England and Wales</x:v>
      </x:c>
      <x:c r="J1150" s="9" t="str">
        <x:v>Civil – Equity (Fiduciary Duty)</x:v>
      </x:c>
      <x:c r="K1150" s="9" t="str">
        <x:v>ew-cases-EWCA-Civ-2022-604.xml</x:v>
      </x:c>
      <x:c r="L1150" s="9" t="str">
        <x:v>TBA</x:v>
      </x:c>
    </x:row>
    <x:row r="1151">
      <x:c r="A1151" t="str">
        <x:v>9dd3108b-5149-427c-996e-2b998ebbbd4f</x:v>
      </x:c>
      <x:c r="B1151" t="str">
        <x:v>ba863422-eec2-4812-b609-3fd0404bfb72</x:v>
      </x:c>
      <x:c r="C1151" s="9" t="str">
        <x:v>Gard Marine &amp; Energy Ltd v China National Chartering Co Ltd</x:v>
      </x:c>
      <x:c r="D1151" s="9" t="str"/>
      <x:c r="E1151" s="9" t="str"/>
      <x:c r="F1151" s="13" t="str">
        <x:v>2015</x:v>
      </x:c>
      <x:c r="G1151" s="9" t="str">
        <x:v>England and Wales Court of Appeal (Civil Division)</x:v>
      </x:c>
      <x:c r="H1151" s="9" t="str">
        <x:v>Appellate</x:v>
      </x:c>
      <x:c r="I1151" s="9" t="str">
        <x:v>England and Wales</x:v>
      </x:c>
      <x:c r="J1151" s="9" t="str">
        <x:v>Maritime Law</x:v>
      </x:c>
      <x:c r="K1151" s="9" t="str">
        <x:v>-ew-cases-EWCA-Civ-2015-16.xml</x:v>
      </x:c>
      <x:c r="L1151" s="9" t="str">
        <x:v>TBA</x:v>
      </x:c>
    </x:row>
    <x:row r="1152">
      <x:c r="A1152" t="str">
        <x:v>21856dfa-4c78-4b76-a84a-b3877be7c737</x:v>
      </x:c>
      <x:c r="B1152" t="str">
        <x:v>3bdf2d7a-d886-4bb3-ba30-9c4b472a4f7c</x:v>
      </x:c>
      <x:c r="C1152" s="9" t="str">
        <x:v>Gardiner v Hertsmere Borough Council &amp; Anor [2022] EWCA Civ 1162</x:v>
      </x:c>
      <x:c r="D1152" s="9" t="str"/>
      <x:c r="E1152" s="9" t="str"/>
      <x:c r="F1152" s="13" t="str">
        <x:v>2022</x:v>
      </x:c>
      <x:c r="G1152" s="9" t="str">
        <x:v>England and Wales Court of Appeal (Civil Division)</x:v>
      </x:c>
      <x:c r="H1152" s="9" t="str">
        <x:v>Court of Appeal (Civil Division)</x:v>
      </x:c>
      <x:c r="I1152" s="9" t="str">
        <x:v>England and Wales</x:v>
      </x:c>
      <x:c r="J1152" s="9" t="str">
        <x:v>Public law / Planning law</x:v>
      </x:c>
      <x:c r="K1152" s="9" t="str">
        <x:v>ew-cases-EWCA-Civ-2022-1162.xml</x:v>
      </x:c>
      <x:c r="L1152" s="9" t="str">
        <x:v>TBA</x:v>
      </x:c>
    </x:row>
    <x:row r="1153">
      <x:c r="A1153" t="str">
        <x:v>b2063b0e-4781-43e9-a292-c2243e91aa85</x:v>
      </x:c>
      <x:c r="B1153" t="str">
        <x:v>468a496a-6b46-4835-9d6b-86399f0914a9</x:v>
      </x:c>
      <x:c r="C1153" s="9" t="str">
        <x:v>Gardner v Lemma Europe Insurance Company Limited (in Liquidation) [2016] EWCA Civ 484</x:v>
      </x:c>
      <x:c r="D1153" s="9" t="str"/>
      <x:c r="E1153" s="9" t="str"/>
      <x:c r="F1153" s="13" t="str">
        <x:v>2016</x:v>
      </x:c>
      <x:c r="G1153" s="9" t="str">
        <x:v>England and Wales Court of Appeal (Civil Division)</x:v>
      </x:c>
      <x:c r="H1153" s="9" t="str">
        <x:v>Court of Appeal (Civil Division)</x:v>
      </x:c>
      <x:c r="I1153" s="9" t="str">
        <x:v>England and Wales</x:v>
      </x:c>
      <x:c r="J1153" s="9" t="str">
        <x:v>Insurance Law; Cross-Border Insolvency; Civil Procedure/Stay of Proceedings</x:v>
      </x:c>
      <x:c r="K1153" s="9" t="str">
        <x:v>-ew-cases-EWCA-Civ-2016-484.xml</x:v>
      </x:c>
      <x:c r="L1153" s="9" t="str">
        <x:v>TBA</x:v>
      </x:c>
    </x:row>
    <x:row r="1154">
      <x:c r="A1154" t="str">
        <x:v>b52c8203-b194-437c-9db0-8b09c6e27796</x:v>
      </x:c>
      <x:c r="B1154" t="str">
        <x:v>95bb5a6f-99eb-4cc4-974b-95e335262f84</x:v>
      </x:c>
      <x:c r="C1154" s="9" t="str">
        <x:v>Garland &amp; Anor v Secretary of State for Environment, Food And Rural Affairs</x:v>
      </x:c>
      <x:c r="D1154" s="9" t="str"/>
      <x:c r="E1154" s="9" t="str"/>
      <x:c r="F1154" s="13" t="str">
        <x:v>2021</x:v>
      </x:c>
      <x:c r="G1154" s="9" t="str">
        <x:v>England and Wales Court of Appeal (Civil Division)</x:v>
      </x:c>
      <x:c r="H1154" s="9" t="str">
        <x:v>Appellate</x:v>
      </x:c>
      <x:c r="I1154" s="9" t="str">
        <x:v>England and Wales</x:v>
      </x:c>
      <x:c r="J1154" s="9" t="str">
        <x:v>Administrative Law</x:v>
      </x:c>
      <x:c r="K1154" s="9" t="str">
        <x:v>ew-cases-EWCA-Civ-2021-1098.xml</x:v>
      </x:c>
      <x:c r="L1154" s="9" t="str">
        <x:v>TBA</x:v>
      </x:c>
    </x:row>
    <x:row r="1155">
      <x:c r="A1155" t="str">
        <x:v>13df0c0c-60ee-4c8b-8809-1704dfa9541f</x:v>
      </x:c>
      <x:c r="B1155" t="str">
        <x:v>963a8ecb-f41c-4748-ae14-5720b8ae5004</x:v>
      </x:c>
      <x:c r="C1155" s="9" t="str">
        <x:v>Garnham v Millar &amp; Ors [2014] EWCA Civ 1168</x:v>
      </x:c>
      <x:c r="D1155" s="9" t="str"/>
      <x:c r="E1155" s="9" t="str"/>
      <x:c r="F1155" s="13" t="str">
        <x:v>2014</x:v>
      </x:c>
      <x:c r="G1155" s="9" t="str">
        <x:v>England and Wales Court of Appeal (Civil Division)</x:v>
      </x:c>
      <x:c r="H1155" s="9" t="str">
        <x:v>Appellate</x:v>
      </x:c>
      <x:c r="I1155" s="9" t="str">
        <x:v>England and Wales</x:v>
      </x:c>
      <x:c r="J1155" s="9" t="str">
        <x:v>Civil Procedure</x:v>
      </x:c>
      <x:c r="K1155" s="9" t="str">
        <x:v>-ew-cases-EWCA-Civ-2014-1168.xml</x:v>
      </x:c>
      <x:c r="L1155" s="9" t="str">
        <x:v>TBA</x:v>
      </x:c>
    </x:row>
    <x:row r="1156">
      <x:c r="A1156" t="str">
        <x:v>98fd6e5b-de04-4c4b-87a0-008f91774cc3</x:v>
      </x:c>
      <x:c r="B1156" t="str">
        <x:v>d6053500-7d76-47a3-aa52-1b97d6940b83</x:v>
      </x:c>
      <x:c r="C1156" s="9" t="str">
        <x:v>Gartell &amp; Son (a firm) v Yeovil Town Football &amp; Athletic Club Ltd [2016] EWCA Civ 62</x:v>
      </x:c>
      <x:c r="D1156" s="9" t="str"/>
      <x:c r="E1156" s="9" t="str"/>
      <x:c r="F1156" s="13" t="str">
        <x:v>2016</x:v>
      </x:c>
      <x:c r="G1156" s="9" t="str">
        <x:v>England and Wales Court of Appeal (Civil Division)</x:v>
      </x:c>
      <x:c r="H1156" s="9" t="str">
        <x:v>Court of Appeal (Civil Division)</x:v>
      </x:c>
      <x:c r="I1156" s="9" t="str">
        <x:v>England and Wales</x:v>
      </x:c>
      <x:c r="J1156" s="9" t="str">
        <x:v>Contract Dispute</x:v>
      </x:c>
      <x:c r="K1156" s="9" t="str">
        <x:v>-ew-cases-EWCA-Civ-2016-62.xml</x:v>
      </x:c>
      <x:c r="L1156" s="9" t="str">
        <x:v>TBA</x:v>
      </x:c>
    </x:row>
    <x:row r="1157">
      <x:c r="A1157" t="str">
        <x:v>d2a150ec-c094-46bc-a5fc-e47be71aa040</x:v>
      </x:c>
      <x:c r="B1157" t="str">
        <x:v>3c5549e9-90da-41e9-83b7-29d1cccde978</x:v>
      </x:c>
      <x:c r="C1157" s="9" t="str">
        <x:v>Gateway Plaza Ltd v White [2014] EWCA Civ 555</x:v>
      </x:c>
      <x:c r="D1157" s="9" t="str"/>
      <x:c r="E1157" s="9" t="str"/>
      <x:c r="F1157" s="13" t="str">
        <x:v>2014</x:v>
      </x:c>
      <x:c r="G1157" s="9" t="str">
        <x:v>England and Wales Court of Appeal (Civil Division)</x:v>
      </x:c>
      <x:c r="H1157" s="9" t="str">
        <x:v>Appellate</x:v>
      </x:c>
      <x:c r="I1157" s="9" t="str">
        <x:v>England and Wales</x:v>
      </x:c>
      <x:c r="J1157" s="9" t="str">
        <x:v>Contract Dispute</x:v>
      </x:c>
      <x:c r="K1157" s="9" t="str">
        <x:v>-ew-cases-EWCA-Civ-2014-555.xml</x:v>
      </x:c>
      <x:c r="L1157" s="9" t="str">
        <x:v>TBA</x:v>
      </x:c>
    </x:row>
    <x:row r="1158">
      <x:c r="A1158" t="str">
        <x:v>f75ef3f1-642c-4df4-8a8f-635ec3be5303</x:v>
      </x:c>
      <x:c r="B1158" t="str">
        <x:v>060fb5e3-4e14-487d-89e2-170c04ebf40c</x:v>
      </x:c>
      <x:c r="C1158" s="9" t="str">
        <x:v>Gaurilcikiene v Tesco Stores Ltd [2014] EWCA Civ 1213</x:v>
      </x:c>
      <x:c r="D1158" s="9" t="str"/>
      <x:c r="E1158" s="9" t="str"/>
      <x:c r="F1158" s="13" t="str">
        <x:v>2014</x:v>
      </x:c>
      <x:c r="G1158" s="9" t="str">
        <x:v>England and Wales Court of Appeal (Civil Division)</x:v>
      </x:c>
      <x:c r="H1158" s="9" t="str">
        <x:v>Appellate</x:v>
      </x:c>
      <x:c r="I1158" s="9" t="str">
        <x:v>England and Wales</x:v>
      </x:c>
      <x:c r="J1158" s="9" t="str">
        <x:v>Employment Law</x:v>
      </x:c>
      <x:c r="K1158" s="9" t="str">
        <x:v>-ew-cases-EWCA-Civ-2014-1213.xml</x:v>
      </x:c>
      <x:c r="L1158" s="9" t="str">
        <x:v>TBA</x:v>
      </x:c>
    </x:row>
    <x:row r="1159">
      <x:c r="A1159" t="str">
        <x:v>397942a7-971a-47db-8e91-c05336dbbc2a</x:v>
      </x:c>
      <x:c r="B1159" t="str">
        <x:v>5e56bed6-add0-4462-a81e-044587c87f3c</x:v>
      </x:c>
      <x:c r="C1159" s="9" t="str">
        <x:v>Gavin Edmondson Solicitors Ltd v Haven Insurance Company Ltd</x:v>
      </x:c>
      <x:c r="D1159" s="9" t="str"/>
      <x:c r="E1159" s="9" t="str"/>
      <x:c r="F1159" s="13" t="str">
        <x:v>2015</x:v>
      </x:c>
      <x:c r="G1159" s="9" t="str">
        <x:v>England and Wales Court of Appeal (Civil Division)</x:v>
      </x:c>
      <x:c r="H1159" s="9" t="str">
        <x:v>Appellate</x:v>
      </x:c>
      <x:c r="I1159" s="9" t="str">
        <x:v>England and Wales</x:v>
      </x:c>
      <x:c r="J1159" s="9" t="str">
        <x:v>Civil Appeals</x:v>
      </x:c>
      <x:c r="K1159" s="9" t="str">
        <x:v>-ew-cases-EWCA-Civ-2015-1230.xml</x:v>
      </x:c>
      <x:c r="L1159" s="9" t="str">
        <x:v>TBA</x:v>
      </x:c>
    </x:row>
    <x:row r="1160">
      <x:c r="A1160" t="str">
        <x:v>363b549a-70b5-46ad-a8a5-ed2e23e70ea5</x:v>
      </x:c>
      <x:c r="B1160" t="str">
        <x:v>2361b8c6-1fec-49a3-bf74-147beb89cae5</x:v>
      </x:c>
      <x:c r="C1160" s="9" t="str">
        <x:v>GC v AS [2021] EWCA Civ 1223: Jurisdiction and Child Return Order</x:v>
      </x:c>
      <x:c r="D1160" s="9" t="str"/>
      <x:c r="E1160" s="9" t="str"/>
      <x:c r="F1160" s="13" t="str">
        <x:v>2021</x:v>
      </x:c>
      <x:c r="G1160" s="9" t="str">
        <x:v>England and Wales Court of Appeal (Civil Division)</x:v>
      </x:c>
      <x:c r="H1160" s="9" t="str">
        <x:v>Appellate</x:v>
      </x:c>
      <x:c r="I1160" s="9" t="str">
        <x:v>England and Wales</x:v>
      </x:c>
      <x:c r="J1160" s="9" t="str">
        <x:v>Family Law</x:v>
      </x:c>
      <x:c r="K1160" s="9" t="str">
        <x:v>ew-cases-EWCA-Civ-2021-1223.xml</x:v>
      </x:c>
      <x:c r="L1160" s="9" t="str">
        <x:v>TBA</x:v>
      </x:c>
    </x:row>
    <x:row r="1161">
      <x:c r="A1161" t="str">
        <x:v>c8bb9f35-7596-45c6-8232-75b0c30de655</x:v>
      </x:c>
      <x:c r="B1161" t="str">
        <x:v>966f28d8-c0d9-441a-a50b-9cba9b1ec9ff</x:v>
      </x:c>
      <x:c r="C1161" s="9" t="str">
        <x:v>GD and AH v. A Local Authority and Others: DD (Removal under ICO) [2021] EWCA Civ 36</x:v>
      </x:c>
      <x:c r="D1161" s="9" t="str"/>
      <x:c r="E1161" s="9" t="str"/>
      <x:c r="F1161" s="13" t="str">
        <x:v>2021</x:v>
      </x:c>
      <x:c r="G1161" s="9" t="str">
        <x:v>England and Wales Court of Appeal (Civil Division)</x:v>
      </x:c>
      <x:c r="H1161" s="9" t="str">
        <x:v>Appellate</x:v>
      </x:c>
      <x:c r="I1161" s="9" t="str">
        <x:v>England and Wales</x:v>
      </x:c>
      <x:c r="J1161" s="9" t="str">
        <x:v>Family Law</x:v>
      </x:c>
      <x:c r="K1161" s="9" t="str">
        <x:v>ew-cases-EWCA-Civ-2021-36.xml</x:v>
      </x:c>
      <x:c r="L1161" s="9" t="str">
        <x:v>TBA</x:v>
      </x:c>
    </x:row>
    <x:row r="1162">
      <x:c r="A1162" t="str">
        <x:v>72b6566d-30da-4baa-8b9d-15f6052d3b5b</x:v>
      </x:c>
      <x:c r="B1162" t="str">
        <x:v>e8a6abc4-c967-4b41-923d-c82d2031447e</x:v>
      </x:c>
      <x:c r="C1162" s="9" t="str">
        <x:v>GE (Eritrea) v Secretary of State for the Home Department &amp; Bedford Borough Council</x:v>
      </x:c>
      <x:c r="D1162" s="9" t="str"/>
      <x:c r="E1162" s="9" t="str"/>
      <x:c r="F1162" s="13" t="str">
        <x:v>2014</x:v>
      </x:c>
      <x:c r="G1162" s="9" t="str">
        <x:v>England and Wales Court of Appeal (Civil Division)</x:v>
      </x:c>
      <x:c r="H1162" s="9" t="str">
        <x:v>Appellate</x:v>
      </x:c>
      <x:c r="I1162" s="9" t="str">
        <x:v>England and Wales</x:v>
      </x:c>
      <x:c r="J1162" s="9" t="str">
        <x:v>Administrative Law</x:v>
      </x:c>
      <x:c r="K1162" s="9" t="str">
        <x:v>-ew-cases-EWCA-Civ-2014-1490.xml</x:v>
      </x:c>
      <x:c r="L1162" s="9" t="str">
        <x:v>TBA</x:v>
      </x:c>
    </x:row>
    <x:row r="1163">
      <x:c r="A1163" t="str">
        <x:v>e9847a08-bcd3-4df6-9d09-0640ba847da7</x:v>
      </x:c>
      <x:c r="B1163" t="str">
        <x:v>045bc173-5871-4233-90ff-0d9f97d7c588</x:v>
      </x:c>
      <x:c r="C1163" s="9" t="str">
        <x:v>Gedi, R (On the Application Of) v Secretary of State for Home Department [2016] EWCA Civ 409</x:v>
      </x:c>
      <x:c r="D1163" s="9" t="str"/>
      <x:c r="E1163" s="9" t="str"/>
      <x:c r="F1163" s="13" t="str">
        <x:v>2016</x:v>
      </x:c>
      <x:c r="G1163" s="9" t="str">
        <x:v>England and Wales Court of Appeal (Civil Division)</x:v>
      </x:c>
      <x:c r="H1163" s="9" t="str">
        <x:v>Court of Appeal (Civil Division)</x:v>
      </x:c>
      <x:c r="I1163" s="9" t="str">
        <x:v>England and Wales</x:v>
      </x:c>
      <x:c r="J1163" s="9" t="str">
        <x:v>Administrative Law / Immigration Law</x:v>
      </x:c>
      <x:c r="K1163" s="9" t="str">
        <x:v>-ew-cases-EWCA-Civ-2016-409.xml</x:v>
      </x:c>
      <x:c r="L1163" s="9" t="str">
        <x:v>TBA</x:v>
      </x:c>
    </x:row>
    <x:row r="1164">
      <x:c r="A1164" t="str">
        <x:v>0bbb12e6-cf1c-48bc-b73e-0c4836311a08</x:v>
      </x:c>
      <x:c r="B1164" t="str">
        <x:v>4ae81e18-c605-4f6b-9f81-5ba8683cf675</x:v>
      </x:c>
      <x:c r="C1164" s="9" t="str">
        <x:v>Gell v 32 St John's Road (Eastbourne) Management Company Ltd [2021] EWCA Civ 789</x:v>
      </x:c>
      <x:c r="D1164" s="9" t="str"/>
      <x:c r="E1164" s="9" t="str"/>
      <x:c r="F1164" s="13" t="str">
        <x:v>2021</x:v>
      </x:c>
      <x:c r="G1164" s="9" t="str">
        <x:v>England and Wales Court of Appeal (Civil Division)</x:v>
      </x:c>
      <x:c r="H1164" s="9" t="str">
        <x:v>Appellate</x:v>
      </x:c>
      <x:c r="I1164" s="9" t="str">
        <x:v>England and Wales</x:v>
      </x:c>
      <x:c r="J1164" s="9" t="str">
        <x:v>Civil Appeal</x:v>
      </x:c>
      <x:c r="K1164" s="9" t="str">
        <x:v>ew-cases-EWCA-Civ-2021-789.xml</x:v>
      </x:c>
      <x:c r="L1164" s="9" t="str">
        <x:v>TBA</x:v>
      </x:c>
    </x:row>
    <x:row r="1165">
      <x:c r="A1165" t="str">
        <x:v>14b685e3-c110-4856-9c10-ad0d97085838</x:v>
      </x:c>
      <x:c r="B1165" t="str">
        <x:v>8d393a69-718c-446a-8c51-be0f324b1add</x:v>
      </x:c>
      <x:c r="C1165" s="9" t="str">
        <x:v>Geller &amp; Anor v The Secretary of State for the Home Department [2015] EWCA Civ 45</x:v>
      </x:c>
      <x:c r="D1165" s="9" t="str"/>
      <x:c r="E1165" s="9" t="str"/>
      <x:c r="F1165" s="13" t="str">
        <x:v>2015</x:v>
      </x:c>
      <x:c r="G1165" s="9" t="str">
        <x:v>England and Wales Court of Appeal (Civil Division)</x:v>
      </x:c>
      <x:c r="H1165" s="9" t="str">
        <x:v>Appellate</x:v>
      </x:c>
      <x:c r="I1165" s="9" t="str">
        <x:v>England and Wales</x:v>
      </x:c>
      <x:c r="J1165" s="9" t="str">
        <x:v>Immigration Law</x:v>
      </x:c>
      <x:c r="K1165" s="9" t="str">
        <x:v>-ew-cases-EWCA-Civ-2015-45.xml</x:v>
      </x:c>
      <x:c r="L1165" s="9" t="str">
        <x:v>TBA</x:v>
      </x:c>
    </x:row>
    <x:row r="1166">
      <x:c r="A1166" t="str">
        <x:v>357aead7-3b7a-4804-a0c0-0d3f54af66d8</x:v>
      </x:c>
      <x:c r="B1166" t="str">
        <x:v>167786cc-e950-4a09-8195-ecf83b86f69f</x:v>
      </x:c>
      <x:c r="C1166" s="9" t="str">
        <x:v>Gemalto Holding BV v Infineon Technologies AG &amp; Ors [2022] EWCA Civ 782</x:v>
      </x:c>
      <x:c r="D1166" s="9" t="str"/>
      <x:c r="E1166" s="9" t="str"/>
      <x:c r="F1166" s="13" t="str">
        <x:v>2022</x:v>
      </x:c>
      <x:c r="G1166" s="9" t="str">
        <x:v>England and Wales Court of Appeal (Civil Division)</x:v>
      </x:c>
      <x:c r="H1166" s="9" t="str">
        <x:v>Court of Appeal (Civil Division)</x:v>
      </x:c>
      <x:c r="I1166" s="9" t="str">
        <x:v>England and Wales</x:v>
      </x:c>
      <x:c r="J1166" s="9" t="str">
        <x:v>Competition/Antitrust Damages</x:v>
      </x:c>
      <x:c r="K1166" s="9" t="str">
        <x:v>ew-cases-EWCA-Civ-2022-782.xml</x:v>
      </x:c>
      <x:c r="L1166" s="9" t="str">
        <x:v>TBA</x:v>
      </x:c>
    </x:row>
    <x:row r="1167">
      <x:c r="A1167" t="str">
        <x:v>5e3763a2-8d40-4280-a7c0-51640f0106ba</x:v>
      </x:c>
      <x:c r="B1167" t="str">
        <x:v>883ec902-2ebd-462a-a56c-786b1b5dca77</x:v>
      </x:c>
      <x:c r="C1167" s="9" t="str">
        <x:v>General Dental Council v Williams [2023] EWCA Civ 481</x:v>
      </x:c>
      <x:c r="D1167" s="9" t="str"/>
      <x:c r="E1167" s="9" t="str"/>
      <x:c r="F1167" s="13" t="str">
        <x:v>2023</x:v>
      </x:c>
      <x:c r="G1167" s="9" t="str">
        <x:v>England and Wales Court of Appeal (Civil Division)</x:v>
      </x:c>
      <x:c r="H1167" s="9" t="str">
        <x:v>Court of Appeal (Civil Division)</x:v>
      </x:c>
      <x:c r="I1167" s="9" t="str">
        <x:v>England and Wales</x:v>
      </x:c>
      <x:c r="J1167" s="9" t="str">
        <x:v>Professional Regulation / Administrative Law</x:v>
      </x:c>
      <x:c r="K1167" s="9" t="str">
        <x:v>ew-cases-EWCA-Civ-2023-481.xml</x:v>
      </x:c>
      <x:c r="L1167" s="9" t="str">
        <x:v>TBA</x:v>
      </x:c>
    </x:row>
    <x:row r="1168">
      <x:c r="A1168" t="str">
        <x:v>ea35b5eb-b096-4cc9-b7c0-bbbdb7ddc664</x:v>
      </x:c>
      <x:c r="B1168" t="str">
        <x:v>df124f2c-296f-430d-985b-12cd26baa879</x:v>
      </x:c>
      <x:c r="C1168" s="9" t="str">
        <x:v>General Medical Council v Adeogba and related appeal (GMC v Adeogba; GMC v Visvardis) [2016] EWCA Civ 162</x:v>
      </x:c>
      <x:c r="D1168" s="9" t="str"/>
      <x:c r="E1168" s="9" t="str"/>
      <x:c r="F1168" s="13" t="str">
        <x:v>2016</x:v>
      </x:c>
      <x:c r="G1168" s="9" t="str">
        <x:v>England and Wales Court of Appeal (Civil Division)</x:v>
      </x:c>
      <x:c r="H1168" s="9" t="str">
        <x:v>Court of Appeal (Civil Division)</x:v>
      </x:c>
      <x:c r="I1168" s="9" t="str">
        <x:v>England and Wales</x:v>
      </x:c>
      <x:c r="J1168" s="9" t="str">
        <x:v>Professional Regulation / Disciplinary proceedings</x:v>
      </x:c>
      <x:c r="K1168" s="9" t="str">
        <x:v>-ew-cases-EWCA-Civ-2016-162.xml</x:v>
      </x:c>
      <x:c r="L1168" s="9" t="str">
        <x:v>TBA</x:v>
      </x:c>
    </x:row>
    <x:row r="1169">
      <x:c r="A1169" t="str">
        <x:v>a1591002-078c-45fd-800d-b409c0f0795a</x:v>
      </x:c>
      <x:c r="B1169" t="str">
        <x:v>933b6ac0-50e7-4e54-a40c-525ed68bec11</x:v>
      </x:c>
      <x:c r="C1169" s="9" t="str">
        <x:v>General Medical Council v Nakhla [2014] EWCA Civ 1522: Appeal on Registration to Specialist Register</x:v>
      </x:c>
      <x:c r="D1169" s="9" t="str"/>
      <x:c r="E1169" s="9" t="str"/>
      <x:c r="F1169" s="13" t="str">
        <x:v>2014</x:v>
      </x:c>
      <x:c r="G1169" s="9" t="str">
        <x:v>England and Wales Court of Appeal (Civil Division)</x:v>
      </x:c>
      <x:c r="H1169" s="9" t="str">
        <x:v>Appellate</x:v>
      </x:c>
      <x:c r="I1169" s="9" t="str">
        <x:v>England and Wales</x:v>
      </x:c>
      <x:c r="J1169" s="9" t="str">
        <x:v>Regulatory/Administrative Law</x:v>
      </x:c>
      <x:c r="K1169" s="9" t="str">
        <x:v>-ew-cases-EWCA-Civ-2014-1522.xml</x:v>
      </x:c>
      <x:c r="L1169" s="9" t="str">
        <x:v>TBA</x:v>
      </x:c>
    </x:row>
    <x:row r="1170">
      <x:c r="A1170" t="str">
        <x:v>560ebdf1-fe02-4aab-86ae-18c35633ca3f</x:v>
      </x:c>
      <x:c r="B1170" t="str">
        <x:v>0fcc41be-83a7-4f43-ac89-9ec0c45b00c7</x:v>
      </x:c>
      <x:c r="C1170" s="9" t="str">
        <x:v>Gentry v Miller &amp; Anor [2016] EWCA Civ 141</x:v>
      </x:c>
      <x:c r="D1170" s="9" t="str"/>
      <x:c r="E1170" s="9" t="str"/>
      <x:c r="F1170" s="13" t="str">
        <x:v>2016</x:v>
      </x:c>
      <x:c r="G1170" s="9" t="str">
        <x:v>England and Wales Court of Appeal (Civil Division)</x:v>
      </x:c>
      <x:c r="H1170" s="9" t="str">
        <x:v>Court of Appeal (Civil Division)</x:v>
      </x:c>
      <x:c r="I1170" s="9" t="str">
        <x:v>England and Wales</x:v>
      </x:c>
      <x:c r="J1170" s="9" t="str">
        <x:v>Civil Procedure</x:v>
      </x:c>
      <x:c r="K1170" s="9" t="str">
        <x:v>-ew-cases-EWCA-Civ-2016-141.xml</x:v>
      </x:c>
      <x:c r="L1170" s="9" t="str">
        <x:v>TBA</x:v>
      </x:c>
    </x:row>
    <x:row r="1171">
      <x:c r="A1171" t="str">
        <x:v>080ef17b-add3-4797-8b97-ccc8ee78d01c</x:v>
      </x:c>
      <x:c r="B1171" t="str">
        <x:v>3981751a-984f-48d6-8a42-5e9b43155bf1</x:v>
      </x:c>
      <x:c r="C1171" s="9" t="str">
        <x:v>Geo-Minerals GT Limited &amp; Conor Tennyson v Kevin Downing, Colin Downing, Rouse &amp; Co International Limited, and Roger John Baines [2023] EWCA Civ 648</x:v>
      </x:c>
      <x:c r="D1171" s="9" t="str"/>
      <x:c r="E1171" s="9" t="str"/>
      <x:c r="F1171" s="13" t="str">
        <x:v>2023</x:v>
      </x:c>
      <x:c r="G1171" s="9" t="str">
        <x:v>England and Wales Court of Appeal (Civil Division)</x:v>
      </x:c>
      <x:c r="H1171" s="9" t="str">
        <x:v>Court of Appeal (Civil Division)</x:v>
      </x:c>
      <x:c r="I1171" s="9" t="str">
        <x:v>England and Wales</x:v>
      </x:c>
      <x:c r="J1171" s="9" t="str">
        <x:v>Civil Appeal; Intellectual Property; Fraud/Conspiracy; Civil Procedure</x:v>
      </x:c>
      <x:c r="K1171" s="9" t="str">
        <x:v>ew-cases-EWCA-Civ-2023-648.xml</x:v>
      </x:c>
      <x:c r="L1171" s="9" t="str">
        <x:v>TBA</x:v>
      </x:c>
    </x:row>
    <x:row r="1172">
      <x:c r="A1172" t="str">
        <x:v>a0c0f1fd-37f7-4c7b-b88e-0efd574ad194</x:v>
      </x:c>
      <x:c r="B1172" t="str">
        <x:v>bbb76298-4437-4059-a677-512feacb006b</x:v>
      </x:c>
      <x:c r="C1172" s="9" t="str">
        <x:v>Geoquip Marine Operations AG v Tower Resources Cameroon SA &amp; Anor</x:v>
      </x:c>
      <x:c r="D1172" s="9" t="str"/>
      <x:c r="E1172" s="9" t="str"/>
      <x:c r="F1172" s="13" t="str">
        <x:v>2023</x:v>
      </x:c>
      <x:c r="G1172" s="9" t="str">
        <x:v>England and Wales Court of Appeal (Civil Division)</x:v>
      </x:c>
      <x:c r="H1172" s="9" t="str">
        <x:v>Court of Appeal (Civil Division)</x:v>
      </x:c>
      <x:c r="I1172" s="9" t="str">
        <x:v>England and Wales</x:v>
      </x:c>
      <x:c r="J1172" s="9" t="str">
        <x:v>Commercial dispute</x:v>
      </x:c>
      <x:c r="K1172" s="9" t="str">
        <x:v>ew-cases-EWCA-Civ-2023-304.xml</x:v>
      </x:c>
      <x:c r="L1172" s="9" t="str">
        <x:v>TBA</x:v>
      </x:c>
    </x:row>
    <x:row r="1173">
      <x:c r="A1173" t="str">
        <x:v>e17d7f16-7ffd-43a9-815c-fe400ed1023e</x:v>
      </x:c>
      <x:c r="B1173" t="str">
        <x:v>8c2336dd-524c-4e69-a230-405b7406cb9c</x:v>
      </x:c>
      <x:c r="C1173" s="9" t="str">
        <x:v>George v Cannell &amp; Anor [2022] EWCA Civ 1067</x:v>
      </x:c>
      <x:c r="D1173" s="9" t="str"/>
      <x:c r="E1173" s="9" t="str"/>
      <x:c r="F1173" s="13" t="str">
        <x:v>2022</x:v>
      </x:c>
      <x:c r="G1173" s="9" t="str">
        <x:v>England and Wales Court of Appeal (Civil Division)</x:v>
      </x:c>
      <x:c r="H1173" s="9" t="str">
        <x:v>Court of Appeal (Civil Division)</x:v>
      </x:c>
      <x:c r="I1173" s="9" t="str">
        <x:v>England and Wales</x:v>
      </x:c>
      <x:c r="J1173" s="9" t="str">
        <x:v>Tort - Defamation; Malicious Falsehood</x:v>
      </x:c>
      <x:c r="K1173" s="9" t="str">
        <x:v>ew-cases-EWCA-Civ-2022-1067.xml</x:v>
      </x:c>
      <x:c r="L1173" s="9" t="str">
        <x:v>TBA</x:v>
      </x:c>
    </x:row>
    <x:row r="1174">
      <x:c r="A1174" t="str">
        <x:v>16e75641-bb81-41b7-a2c4-b7bdad7b613b</x:v>
      </x:c>
      <x:c r="B1174" t="str">
        <x:v>f36914c7-32ec-4f23-9909-c4ece2be9d33</x:v>
      </x:c>
      <x:c r="C1174" s="9" t="str">
        <x:v>Georgiou v London Borough of Enfield &amp; Ors [2004] EWHC 779 (Admin)</x:v>
      </x:c>
      <x:c r="D1174" s="9" t="str"/>
      <x:c r="E1174" s="9" t="str"/>
      <x:c r="F1174" s="13" t="str">
        <x:v>2004</x:v>
      </x:c>
      <x:c r="G1174" s="9" t="str">
        <x:v>England and Wales High Court (Administrative Court)</x:v>
      </x:c>
      <x:c r="H1174" s="9" t="str">
        <x:v>High Court</x:v>
      </x:c>
      <x:c r="I1174" s="9" t="str">
        <x:v>England and Wales</x:v>
      </x:c>
      <x:c r="J1174" s="9" t="str">
        <x:v>Administrative Law</x:v>
      </x:c>
      <x:c r="K1174" s="9" t="str">
        <x:v>PT_EWHC-Admin_2004_779.xml</x:v>
      </x:c>
      <x:c r="L1174" s="9" t="str">
        <x:v>TBA</x:v>
      </x:c>
    </x:row>
    <x:row r="1175">
      <x:c r="A1175" t="str">
        <x:v>654a9d96-99f1-43fb-8c7a-8562cb38ea08</x:v>
      </x:c>
      <x:c r="B1175" t="str">
        <x:v>d4f9021f-7c91-4913-8f83-4fae5159dd09</x:v>
      </x:c>
      <x:c r="C1175" s="9" t="str">
        <x:v>Gerber, R (on the application of) v Wiltshire Council &amp; Ors [2016] EWCA Civ 84</x:v>
      </x:c>
      <x:c r="D1175" s="9" t="str"/>
      <x:c r="E1175" s="9" t="str"/>
      <x:c r="F1175" s="13" t="str">
        <x:v>2016</x:v>
      </x:c>
      <x:c r="G1175" s="9" t="str">
        <x:v>England and Wales Court of Appeal (Civil Division)</x:v>
      </x:c>
      <x:c r="H1175" s="9" t="str">
        <x:v>Court of Appeal (Civil Division)</x:v>
      </x:c>
      <x:c r="I1175" s="9" t="str">
        <x:v>England and Wales</x:v>
      </x:c>
      <x:c r="J1175" s="9" t="str">
        <x:v>Public Law / Administrative Law – Planning / Judicial Review</x:v>
      </x:c>
      <x:c r="K1175" s="9" t="str">
        <x:v>-ew-cases-EWCA-Civ-2016-84.xml</x:v>
      </x:c>
      <x:c r="L1175" s="9" t="str">
        <x:v>TBA</x:v>
      </x:c>
    </x:row>
    <x:row r="1176">
      <x:c r="A1176" t="str">
        <x:v>d14d6072-7932-4f3c-a89c-bf6da560f924</x:v>
      </x:c>
      <x:c r="B1176" t="str">
        <x:v>9804f537-6871-4c0f-87c4-30140f538ae1</x:v>
      </x:c>
      <x:c r="C1176" s="9" t="str">
        <x:v>Ghadami v Bloomfield &amp; Ors [2015] EWCA Civ 914</x:v>
      </x:c>
      <x:c r="D1176" s="9" t="str"/>
      <x:c r="E1176" s="9" t="str"/>
      <x:c r="F1176" s="13" t="str">
        <x:v>2015</x:v>
      </x:c>
      <x:c r="G1176" s="9" t="str">
        <x:v>England and Wales Court of Appeal (Civil Division)</x:v>
      </x:c>
      <x:c r="H1176" s="9" t="str">
        <x:v>Appellate</x:v>
      </x:c>
      <x:c r="I1176" s="9" t="str">
        <x:v>England and Wales</x:v>
      </x:c>
      <x:c r="J1176" s="9" t="str">
        <x:v>Civil Procedure</x:v>
      </x:c>
      <x:c r="K1176" s="9" t="str">
        <x:v>-ew-cases-EWCA-Civ-2015-914.xml</x:v>
      </x:c>
      <x:c r="L1176" s="9" t="str">
        <x:v>TBA</x:v>
      </x:c>
    </x:row>
    <x:row r="1177">
      <x:c r="A1177" t="str">
        <x:v>034d9301-3b59-434e-be77-76bd6e37f7f4</x:v>
      </x:c>
      <x:c r="B1177" t="str">
        <x:v>c173b679-5d82-44ec-a600-2e361d94732f</x:v>
      </x:c>
      <x:c r="C1177" s="9" t="str">
        <x:v>Ghana Commercial Finance Ltd v Sawyer &amp; Anor [2014] EWCA Civ 489</x:v>
      </x:c>
      <x:c r="D1177" s="9" t="str"/>
      <x:c r="E1177" s="9" t="str"/>
      <x:c r="F1177" s="13" t="str">
        <x:v>2014</x:v>
      </x:c>
      <x:c r="G1177" s="9" t="str">
        <x:v>England and Wales Court of Appeal (Civil Division)</x:v>
      </x:c>
      <x:c r="H1177" s="9" t="str">
        <x:v>Appellate</x:v>
      </x:c>
      <x:c r="I1177" s="9" t="str">
        <x:v>England and Wales</x:v>
      </x:c>
      <x:c r="J1177" s="9" t="str">
        <x:v>Consumer Finance</x:v>
      </x:c>
      <x:c r="K1177" s="9" t="str">
        <x:v>-ew-cases-EWCA-Civ-2014-489.xml</x:v>
      </x:c>
      <x:c r="L1177" s="9" t="str">
        <x:v>TBA</x:v>
      </x:c>
    </x:row>
    <x:row r="1178">
      <x:c r="A1178" t="str">
        <x:v>9a77a7f1-f786-41c9-a78b-cf9ca2dcc8d1</x:v>
      </x:c>
      <x:c r="B1178" t="str">
        <x:v>4c6346e0-28b4-402f-897f-0aac1a86099a</x:v>
      </x:c>
      <x:c r="C1178" s="9" t="str">
        <x:v>Gharavi-Nakhjavani v Pelagias [2014] EWCA Civ 1699</x:v>
      </x:c>
      <x:c r="D1178" s="9" t="str"/>
      <x:c r="E1178" s="9" t="str"/>
      <x:c r="F1178" s="13" t="str">
        <x:v>2014</x:v>
      </x:c>
      <x:c r="G1178" s="9" t="str">
        <x:v>England and Wales Court of Appeal (Civil Division)</x:v>
      </x:c>
      <x:c r="H1178" s="9" t="str">
        <x:v>Appellate</x:v>
      </x:c>
      <x:c r="I1178" s="9" t="str">
        <x:v>England and Wales</x:v>
      </x:c>
      <x:c r="J1178" s="9" t="str">
        <x:v>Civil Appeal</x:v>
      </x:c>
      <x:c r="K1178" s="9" t="str">
        <x:v>-ew-cases-EWCA-Civ-2014-1699.xml</x:v>
      </x:c>
      <x:c r="L1178" s="9" t="str">
        <x:v>TBA</x:v>
      </x:c>
    </x:row>
    <x:row r="1179">
      <x:c r="A1179" t="str">
        <x:v>b0752d3c-ee46-4521-9cd6-81122dfca395</x:v>
      </x:c>
      <x:c r="B1179" t="str">
        <x:v>bda7c2b0-6f08-4c4f-aadf-c5fddeba0389</x:v>
      </x:c>
      <x:c r="C1179" s="9" t="str">
        <x:v>Ghassemi an v Chatsworth Court Freehold Company Ltd &amp; Ors [2016] EWCA Civ 282</x:v>
      </x:c>
      <x:c r="D1179" s="9" t="str"/>
      <x:c r="E1179" s="9" t="str"/>
      <x:c r="F1179" s="13" t="str">
        <x:v>2016</x:v>
      </x:c>
      <x:c r="G1179" s="9" t="str">
        <x:v>England and Wales Court of Appeal (Civil Division)</x:v>
      </x:c>
      <x:c r="H1179" s="9" t="str">
        <x:v>Court of Appeal (Civil Division)</x:v>
      </x:c>
      <x:c r="I1179" s="9" t="str">
        <x:v>England and Wales</x:v>
      </x:c>
      <x:c r="J1179" s="9" t="str">
        <x:v>Civil Procedure / Property Law / Appellate Procedure</x:v>
      </x:c>
      <x:c r="K1179" s="9" t="str">
        <x:v>-ew-cases-EWCA-Civ-2016-282.xml</x:v>
      </x:c>
      <x:c r="L1179" s="9" t="str">
        <x:v>TBA</x:v>
      </x:c>
    </x:row>
    <x:row r="1180">
      <x:c r="A1180" t="str">
        <x:v>25db45e0-32b6-43f4-9c00-d7b8f104c80a</x:v>
      </x:c>
      <x:c r="B1180" t="str">
        <x:v>6299b875-89cb-463a-a56c-1a1c7e190120</x:v>
      </x:c>
      <x:c r="C1180" s="9" t="str">
        <x:v>Gibson v Douglas &amp; Anor [2016] EWCA Civ 1266 (08 December 2016)</x:v>
      </x:c>
      <x:c r="D1180" s="9" t="str"/>
      <x:c r="E1180" s="9" t="str"/>
      <x:c r="F1180" s="13" t="str">
        <x:v>2016</x:v>
      </x:c>
      <x:c r="G1180" s="9" t="str">
        <x:v>England and Wales Court of Appeal (Civil Division)</x:v>
      </x:c>
      <x:c r="H1180" s="9" t="str">
        <x:v>Court of Appeal (Civil Division)</x:v>
      </x:c>
      <x:c r="I1180" s="9" t="str">
        <x:v>England and Wales</x:v>
      </x:c>
      <x:c r="J1180" s="9" t="str">
        <x:v>Civil - Landlord and Tenant / Property</x:v>
      </x:c>
      <x:c r="K1180" s="9" t="str">
        <x:v>-ew-cases-EWCA-Civ-2016-1266.xml</x:v>
      </x:c>
      <x:c r="L1180" s="9" t="str">
        <x:v>TBA</x:v>
      </x:c>
    </x:row>
    <x:row r="1181">
      <x:c r="A1181" t="str">
        <x:v>07b5cad8-4074-4186-9b10-3996a4c4778e</x:v>
      </x:c>
      <x:c r="B1181" t="str">
        <x:v>89899d8c-b1ed-43f3-9d94-a7378dbaaddb</x:v>
      </x:c>
      <x:c r="C1181" s="9" t="str">
        <x:v>Gibson, R (on the application of) v Secretary of State for Justice</x:v>
      </x:c>
      <x:c r="D1181" s="9" t="str"/>
      <x:c r="E1181" s="9" t="str"/>
      <x:c r="F1181" s="13" t="str">
        <x:v>2015</x:v>
      </x:c>
      <x:c r="G1181" s="9" t="str">
        <x:v>England and Wales Court of Appeal (Civil Division)</x:v>
      </x:c>
      <x:c r="H1181" s="9" t="str">
        <x:v>Appellate</x:v>
      </x:c>
      <x:c r="I1181" s="9" t="str">
        <x:v>England and Wales</x:v>
      </x:c>
      <x:c r="J1181" s="9" t="str">
        <x:v>Administrative Law</x:v>
      </x:c>
      <x:c r="K1181" s="9" t="str">
        <x:v>-ew-cases-EWCA-Civ-2015-1148.xml</x:v>
      </x:c>
      <x:c r="L1181" s="9" t="str">
        <x:v>TBA</x:v>
      </x:c>
    </x:row>
    <x:row r="1182">
      <x:c r="A1182" t="str">
        <x:v>4b81e687-18b3-4e95-9fb3-dc88ced5ec62</x:v>
      </x:c>
      <x:c r="B1182" t="str">
        <x:v>9f39f066-7cec-47f8-864b-0c6a821912a2</x:v>
      </x:c>
      <x:c r="C1182" s="9" t="str">
        <x:v>Gilbert v Secretary of State for Communities and Local Government &amp; Ors</x:v>
      </x:c>
      <x:c r="D1182" s="9" t="str"/>
      <x:c r="E1182" s="9" t="str"/>
      <x:c r="F1182" s="13" t="str">
        <x:v>2015</x:v>
      </x:c>
      <x:c r="G1182" s="9" t="str">
        <x:v>England and Wales Court of Appeal (Civil Division)</x:v>
      </x:c>
      <x:c r="H1182" s="9" t="str">
        <x:v>Appellate Court</x:v>
      </x:c>
      <x:c r="I1182" s="9" t="str">
        <x:v>England and Wales</x:v>
      </x:c>
      <x:c r="J1182" s="9" t="str">
        <x:v>Administrative Law</x:v>
      </x:c>
      <x:c r="K1182" s="9" t="str">
        <x:v>-ew-cases-EWCA-Civ-2015-314.xml</x:v>
      </x:c>
      <x:c r="L1182" s="9" t="str">
        <x:v>TBA</x:v>
      </x:c>
    </x:row>
    <x:row r="1183">
      <x:c r="A1183" t="str">
        <x:v>3bdb58ca-a667-42ba-af6a-741c7329f943</x:v>
      </x:c>
      <x:c r="B1183" t="str">
        <x:v>876679bc-ea67-473e-8613-3c0c88c0292f</x:v>
      </x:c>
      <x:c r="C1183" s="9" t="str">
        <x:v>Gilbert v The Secretary of State for Justice [2015] EWCA Civ 802</x:v>
      </x:c>
      <x:c r="D1183" s="9" t="str"/>
      <x:c r="E1183" s="9" t="str"/>
      <x:c r="F1183" s="13" t="str">
        <x:v>2015</x:v>
      </x:c>
      <x:c r="G1183" s="9" t="str">
        <x:v>England and Wales Court of Appeal (Civil Division)</x:v>
      </x:c>
      <x:c r="H1183" s="9" t="str">
        <x:v>Appellate</x:v>
      </x:c>
      <x:c r="I1183" s="9" t="str">
        <x:v>England and Wales</x:v>
      </x:c>
      <x:c r="J1183" s="9" t="str">
        <x:v>Administrative Law</x:v>
      </x:c>
      <x:c r="K1183" s="9" t="str">
        <x:v>-ew-cases-EWCA-Civ-2015-802.xml</x:v>
      </x:c>
      <x:c r="L1183" s="9" t="str">
        <x:v>TBA</x:v>
      </x:c>
    </x:row>
    <x:row r="1184">
      <x:c r="A1184" t="str">
        <x:v>5b628e73-4409-4eff-bcb8-4a51f4374311</x:v>
      </x:c>
      <x:c r="B1184" t="str">
        <x:v>f69a3141-307f-45a6-8d0f-19c09404571a</x:v>
      </x:c>
      <x:c r="C1184" s="9" t="str">
        <x:v>Gilham v Ministry of Justice [2017] EWCA Civ 2220</x:v>
      </x:c>
      <x:c r="D1184" s="9" t="str"/>
      <x:c r="E1184" s="9" t="str"/>
      <x:c r="F1184" s="13" t="str">
        <x:v>2017</x:v>
      </x:c>
      <x:c r="G1184" s="9" t="str">
        <x:v>England and Wales Court of Appeal (Civil Division)</x:v>
      </x:c>
      <x:c r="H1184" s="9" t="str">
        <x:v>Appellate</x:v>
      </x:c>
      <x:c r="I1184" s="9" t="str">
        <x:v>England and Wales</x:v>
      </x:c>
      <x:c r="J1184" s="9" t="str">
        <x:v>Employment Law</x:v>
      </x:c>
      <x:c r="K1184" s="9" t="str">
        <x:v>-ew-cases-EWCA-Civ-2017-2220.xml</x:v>
      </x:c>
      <x:c r="L1184" s="9" t="str">
        <x:v>TBA</x:v>
      </x:c>
    </x:row>
    <x:row r="1185">
      <x:c r="A1185" t="str">
        <x:v>20799901-3b4b-4901-9d0f-e08d668a5ab3</x:v>
      </x:c>
      <x:c r="B1185" t="str">
        <x:v>5005551c-62fa-4d1d-a24a-9428f4179a74</x:v>
      </x:c>
      <x:c r="C1185" s="9" t="str">
        <x:v>Gilks &amp; Anor v Hodgson &amp; Anor [2015] EWCA Civ 5</x:v>
      </x:c>
      <x:c r="D1185" s="9" t="str"/>
      <x:c r="E1185" s="9" t="str"/>
      <x:c r="F1185" s="13" t="str">
        <x:v>2015</x:v>
      </x:c>
      <x:c r="G1185" s="9" t="str">
        <x:v>England and Wales Court of Appeal (Civil Division)</x:v>
      </x:c>
      <x:c r="H1185" s="9" t="str">
        <x:v>Appellate</x:v>
      </x:c>
      <x:c r="I1185" s="9" t="str">
        <x:v>England and Wales</x:v>
      </x:c>
      <x:c r="J1185" s="9" t="str">
        <x:v>Property Law</x:v>
      </x:c>
      <x:c r="K1185" s="9" t="str">
        <x:v>-ew-cases-EWCA-Civ-2015-5.xml</x:v>
      </x:c>
      <x:c r="L1185" s="9" t="str">
        <x:v>TBA</x:v>
      </x:c>
    </x:row>
    <x:row r="1186">
      <x:c r="A1186" t="str">
        <x:v>c114aacf-9dbe-42ef-9213-afee59c6a624</x:v>
      </x:c>
      <x:c r="B1186" t="str">
        <x:v>2dceb649-3fd8-4f4d-bfb4-abcee04dea88</x:v>
      </x:c>
      <x:c r="C1186" s="9" t="str">
        <x:v>Gill v Birmingham City Council [2016] EWCA Civ 608</x:v>
      </x:c>
      <x:c r="D1186" s="9" t="str"/>
      <x:c r="E1186" s="9" t="str"/>
      <x:c r="F1186" s="13" t="str">
        <x:v>2016</x:v>
      </x:c>
      <x:c r="G1186" s="9" t="str">
        <x:v>England and Wales Court of Appeal (Civil Division)</x:v>
      </x:c>
      <x:c r="H1186" s="9" t="str">
        <x:v>Court of Appeal (Civil Division)</x:v>
      </x:c>
      <x:c r="I1186" s="9" t="str">
        <x:v>England and Wales</x:v>
      </x:c>
      <x:c r="J1186" s="9" t="str">
        <x:v>Civil Contempt / Domestic Violence Injunction / Injunction enforcement</x:v>
      </x:c>
      <x:c r="K1186" s="9" t="str">
        <x:v>-ew-cases-EWCA-Civ-2016-608.xml</x:v>
      </x:c>
      <x:c r="L1186" s="9" t="str">
        <x:v>TBA</x:v>
      </x:c>
    </x:row>
    <x:row r="1187">
      <x:c r="A1187" t="str">
        <x:v>bd8c5b47-c45f-47ba-bd37-ba32c4a26346</x:v>
      </x:c>
      <x:c r="B1187" t="str">
        <x:v>7f47ccf5-7e93-4417-b9c1-80309d5ade80</x:v>
      </x:c>
      <x:c r="C1187" s="9" t="str">
        <x:v>Gilruth v Harding [2015] EWCA Civ 1085</x:v>
      </x:c>
      <x:c r="D1187" s="9" t="str"/>
      <x:c r="E1187" s="9" t="str"/>
      <x:c r="F1187" s="13" t="str">
        <x:v>2015</x:v>
      </x:c>
      <x:c r="G1187" s="9" t="str">
        <x:v>England and Wales Court of Appeal (Civil Division)</x:v>
      </x:c>
      <x:c r="H1187" s="9" t="str">
        <x:v>Appellate</x:v>
      </x:c>
      <x:c r="I1187" s="9" t="str">
        <x:v>England and Wales</x:v>
      </x:c>
      <x:c r="J1187" s="9" t="str">
        <x:v>Contract Dispute</x:v>
      </x:c>
      <x:c r="K1187" s="9" t="str">
        <x:v>-ew-cases-EWCA-Civ-2015-1085.xml</x:v>
      </x:c>
      <x:c r="L1187" s="9" t="str">
        <x:v>TBA</x:v>
      </x:c>
    </x:row>
    <x:row r="1188">
      <x:c r="A1188" t="str">
        <x:v>8f4a6d5e-a8ac-4434-b4b2-de55b6e0c9a8</x:v>
      </x:c>
      <x:c r="B1188" t="str">
        <x:v>7db87d40-07e9-4c44-97bb-906d6ab342ca</x:v>
      </x:c>
      <x:c r="C1188" s="9" t="str">
        <x:v>Giri v Secretary of State for the Home Department</x:v>
      </x:c>
      <x:c r="D1188" s="9" t="str"/>
      <x:c r="E1188" s="9" t="str"/>
      <x:c r="F1188" s="13" t="str">
        <x:v>2015</x:v>
      </x:c>
      <x:c r="G1188" s="9" t="str">
        <x:v>England and Wales Court of Appeal (Civil Division)</x:v>
      </x:c>
      <x:c r="H1188" s="9" t="str">
        <x:v>Appellate</x:v>
      </x:c>
      <x:c r="I1188" s="9" t="str">
        <x:v>United Kingdom</x:v>
      </x:c>
      <x:c r="J1188" s="9" t="str">
        <x:v>Immigration Law</x:v>
      </x:c>
      <x:c r="K1188" s="9" t="str">
        <x:v>-ew-cases-EWCA-Civ-2015-784.xml</x:v>
      </x:c>
      <x:c r="L1188" s="9" t="str">
        <x:v>TBA</x:v>
      </x:c>
    </x:row>
    <x:row r="1189">
      <x:c r="A1189" t="str">
        <x:v>3ad4f2e6-7f05-4850-84cf-cea1516cafdb</x:v>
      </x:c>
      <x:c r="B1189" t="str">
        <x:v>9732f747-3289-48a4-b106-76c9dbc37f86</x:v>
      </x:c>
      <x:c r="C1189" s="9" t="str">
        <x:v>Gladman Developments Ltd v Daventry District Council &amp; Anor [2016] EWCA Civ 1146</x:v>
      </x:c>
      <x:c r="D1189" s="9" t="str"/>
      <x:c r="E1189" s="9" t="str"/>
      <x:c r="F1189" s="13" t="str">
        <x:v>2016</x:v>
      </x:c>
      <x:c r="G1189" s="9" t="str">
        <x:v>England and Wales Court of Appeal (Civil Division)</x:v>
      </x:c>
      <x:c r="H1189" s="9" t="str">
        <x:v>Court of Appeal (Civil Division)</x:v>
      </x:c>
      <x:c r="I1189" s="9" t="str">
        <x:v>England and Wales</x:v>
      </x:c>
      <x:c r="J1189" s="9" t="str">
        <x:v>Planning and Administrative Law</x:v>
      </x:c>
      <x:c r="K1189" s="9" t="str">
        <x:v>-ew-cases-EWCA-Civ-2016-1146.xml</x:v>
      </x:c>
      <x:c r="L1189" s="9" t="str">
        <x:v>TBA</x:v>
      </x:c>
    </x:row>
    <x:row r="1190">
      <x:c r="A1190" t="str">
        <x:v>b5f3ba1a-1a6d-46cd-bc90-ce6fd005ffb6</x:v>
      </x:c>
      <x:c r="B1190" t="str">
        <x:v>82f32e38-32c4-402c-94a7-847fb41df19a</x:v>
      </x:c>
      <x:c r="C1190" s="9" t="str">
        <x:v>Gladman Developments Ltd v Secretary of State for Housing, Communities and Local Government</x:v>
      </x:c>
      <x:c r="D1190" s="9" t="str"/>
      <x:c r="E1190" s="9" t="str"/>
      <x:c r="F1190" s="13" t="str">
        <x:v>2021</x:v>
      </x:c>
      <x:c r="G1190" s="9" t="str">
        <x:v>England and Wales Court of Appeal (Civil Division)</x:v>
      </x:c>
      <x:c r="H1190" s="9" t="str">
        <x:v>Appellate</x:v>
      </x:c>
      <x:c r="I1190" s="9" t="str">
        <x:v>England and Wales</x:v>
      </x:c>
      <x:c r="J1190" s="9" t="str">
        <x:v>Administrative Law</x:v>
      </x:c>
      <x:c r="K1190" s="9" t="str">
        <x:v>ew-cases-EWCA-Civ-2021-104.xml</x:v>
      </x:c>
      <x:c r="L1190" s="9" t="str">
        <x:v>TBA</x:v>
      </x:c>
    </x:row>
    <x:row r="1191">
      <x:c r="A1191" t="str">
        <x:v>d0e23322-6836-469c-99bf-45643c7c5334</x:v>
      </x:c>
      <x:c r="B1191" t="str">
        <x:v>44076886-527c-494a-b49b-273d2a7b44ee</x:v>
      </x:c>
      <x:c r="C1191" s="9" t="str">
        <x:v>Glaxo Wellcome UK Ltd (t/a Allen &amp; Hanburys) &amp; Anor v Sandoz Ltd [2017] EWCA Civ 335</x:v>
      </x:c>
      <x:c r="D1191" s="9" t="str"/>
      <x:c r="E1191" s="9" t="str"/>
      <x:c r="F1191" s="13" t="str">
        <x:v>2017</x:v>
      </x:c>
      <x:c r="G1191" s="9" t="str">
        <x:v>England and Wales Court of Appeal (Civil Division)</x:v>
      </x:c>
      <x:c r="H1191" s="9" t="str">
        <x:v>Appellate</x:v>
      </x:c>
      <x:c r="I1191" s="9" t="str">
        <x:v>England and Wales</x:v>
      </x:c>
      <x:c r="J1191" s="9" t="str">
        <x:v>Intellectual Property</x:v>
      </x:c>
      <x:c r="K1191" s="9" t="str">
        <x:v>-ew-cases-EWCA-Civ-2017-335.xml</x:v>
      </x:c>
      <x:c r="L1191" s="9" t="str">
        <x:v>TBA</x:v>
      </x:c>
    </x:row>
    <x:row r="1192">
      <x:c r="A1192" t="str">
        <x:v>98a58670-de2a-4b9f-84c1-38491122fbf2</x:v>
      </x:c>
      <x:c r="B1192" t="str">
        <x:v>3e6f970e-924c-476c-ae21-2f37a1cb1ab1</x:v>
      </x:c>
      <x:c r="C1192" s="9" t="str">
        <x:v>Glaxo Wellcome UK Ltd t/a Allen &amp; Hanburys v Sandoz Ltd &amp; Anor [2017] EWCA Civ 227</x:v>
      </x:c>
      <x:c r="D1192" s="9" t="str"/>
      <x:c r="E1192" s="9" t="str"/>
      <x:c r="F1192" s="13" t="str">
        <x:v>2017</x:v>
      </x:c>
      <x:c r="G1192" s="9" t="str">
        <x:v>England and Wales Court of Appeal (Civil Division)</x:v>
      </x:c>
      <x:c r="H1192" s="9" t="str">
        <x:v>Appellate</x:v>
      </x:c>
      <x:c r="I1192" s="9" t="str">
        <x:v>England and Wales</x:v>
      </x:c>
      <x:c r="J1192" s="9" t="str">
        <x:v>Intellectual Property</x:v>
      </x:c>
      <x:c r="K1192" s="9" t="str">
        <x:v>-ew-cases-EWCA-Civ-2017-227.xml</x:v>
      </x:c>
      <x:c r="L1192" s="9" t="str">
        <x:v>TBA</x:v>
      </x:c>
    </x:row>
    <x:row r="1193">
      <x:c r="A1193" t="str">
        <x:v>2c93694d-0a00-4f92-8824-643fb89a66bb</x:v>
      </x:c>
      <x:c r="B1193" t="str">
        <x:v>696920f2-ee2d-404f-a43f-698a44a1abb4</x:v>
      </x:c>
      <x:c r="C1193" s="9" t="str">
        <x:v>Gleeson Developments Ltd v Secretary of State for Communities and Government &amp; Ors [2014] EWCA Civ 1118</x:v>
      </x:c>
      <x:c r="D1193" s="9" t="str"/>
      <x:c r="E1193" s="9" t="str"/>
      <x:c r="F1193" s="13" t="str">
        <x:v>2014</x:v>
      </x:c>
      <x:c r="G1193" s="9" t="str">
        <x:v>England and Wales Court of Appeal (Civil Division)</x:v>
      </x:c>
      <x:c r="H1193" s="9" t="str">
        <x:v>Appellate</x:v>
      </x:c>
      <x:c r="I1193" s="9" t="str">
        <x:v>England and Wales</x:v>
      </x:c>
      <x:c r="J1193" s="9" t="str">
        <x:v>Administrative Law</x:v>
      </x:c>
      <x:c r="K1193" s="9" t="str">
        <x:v>-ew-cases-EWCA-Civ-2014-1118.xml</x:v>
      </x:c>
      <x:c r="L1193" s="9" t="str">
        <x:v>TBA</x:v>
      </x:c>
    </x:row>
    <x:row r="1194">
      <x:c r="A1194" t="str">
        <x:v>803a68be-afdc-4a79-a380-02f110269f58</x:v>
      </x:c>
      <x:c r="B1194" t="str">
        <x:v>e7adf136-e167-4edf-9a2c-384f4193bc81</x:v>
      </x:c>
      <x:c r="C1194" s="9" t="str">
        <x:v>Glencore Energy UK Ltd v Revenue and Customs</x:v>
      </x:c>
      <x:c r="D1194" s="9" t="str"/>
      <x:c r="E1194" s="9" t="str"/>
      <x:c r="F1194" s="13" t="str">
        <x:v>2017</x:v>
      </x:c>
      <x:c r="G1194" s="9" t="str">
        <x:v>England and Wales Court of Appeal (Civil Division)</x:v>
      </x:c>
      <x:c r="H1194" s="9" t="str">
        <x:v>Appellate</x:v>
      </x:c>
      <x:c r="I1194" s="9" t="str">
        <x:v>England and Wales</x:v>
      </x:c>
      <x:c r="J1194" s="9" t="str">
        <x:v>Tax Law</x:v>
      </x:c>
      <x:c r="K1194" s="9" t="str">
        <x:v>-ew-cases-EWCA-Civ-2017-1716.xml</x:v>
      </x:c>
      <x:c r="L1194" s="9" t="str">
        <x:v>TBA</x:v>
      </x:c>
    </x:row>
    <x:row r="1195">
      <x:c r="A1195" t="str">
        <x:v>7bdb0ade-eef6-411c-8c10-cf2352459430</x:v>
      </x:c>
      <x:c r="B1195" t="str">
        <x:v>6c04491a-b008-4d2f-b931-3dfa2c93e0b3</x:v>
      </x:c>
      <x:c r="C1195" s="9" t="str">
        <x:v>Global 100 Ltd v Laleva [2021] EWCA Civ 1835 Case Analysis</x:v>
      </x:c>
      <x:c r="D1195" s="9" t="str"/>
      <x:c r="E1195" s="9" t="str"/>
      <x:c r="F1195" s="13" t="str">
        <x:v>2021</x:v>
      </x:c>
      <x:c r="G1195" s="9" t="str">
        <x:v>England and Wales Court of Appeal (Civil Division)</x:v>
      </x:c>
      <x:c r="H1195" s="9" t="str">
        <x:v>Appellate</x:v>
      </x:c>
      <x:c r="I1195" s="9" t="str">
        <x:v>England and Wales</x:v>
      </x:c>
      <x:c r="J1195" s="9" t="str">
        <x:v>Property Law</x:v>
      </x:c>
      <x:c r="K1195" s="9" t="str">
        <x:v>ew-cases-EWCA-Civ-2021-1835.xml</x:v>
      </x:c>
      <x:c r="L1195" s="9" t="str">
        <x:v>TBA</x:v>
      </x:c>
    </x:row>
    <x:row r="1196">
      <x:c r="A1196" t="str">
        <x:v>f61d7a1e-bc94-4bfa-9871-e28b93c619a8</x:v>
      </x:c>
      <x:c r="B1196" t="str">
        <x:v>d410b954-2c73-4c80-b7d1-e4365e8910d3</x:v>
      </x:c>
      <x:c r="C1196" s="9" t="str">
        <x:v>Global Display Solutions Ltd &amp; Ors v NCR Financial Solutions Group Ltd &amp; Ors [2021] EWCA Civ 1399</x:v>
      </x:c>
      <x:c r="D1196" s="9" t="str"/>
      <x:c r="E1196" s="9" t="str"/>
      <x:c r="F1196" s="13" t="str">
        <x:v>2021</x:v>
      </x:c>
      <x:c r="G1196" s="9" t="str">
        <x:v>England and Wales Court of Appeal (Civil Division)</x:v>
      </x:c>
      <x:c r="H1196" s="9" t="str">
        <x:v>Appellate</x:v>
      </x:c>
      <x:c r="I1196" s="9" t="str">
        <x:v>England and Wales</x:v>
      </x:c>
      <x:c r="J1196" s="9" t="str">
        <x:v>Commercial Law</x:v>
      </x:c>
      <x:c r="K1196" s="9" t="str">
        <x:v>ew-cases-EWCA-Civ-2021-1399.xml</x:v>
      </x:c>
      <x:c r="L1196" s="9" t="str">
        <x:v>TBA</x:v>
      </x:c>
    </x:row>
    <x:row r="1197">
      <x:c r="A1197" t="str">
        <x:v>93f2e8cb-42df-496c-888a-9714a7129bce</x:v>
      </x:c>
      <x:c r="B1197" t="str">
        <x:v>615d49c6-3d9f-438b-b1b9-1b2bc4529341</x:v>
      </x:c>
      <x:c r="C1197" s="9" t="str">
        <x:v>Global Energy Horizons Corporation v Gray</x:v>
      </x:c>
      <x:c r="D1197" s="9" t="str"/>
      <x:c r="E1197" s="9" t="str"/>
      <x:c r="F1197" s="13" t="str">
        <x:v>2021</x:v>
      </x:c>
      <x:c r="G1197" s="9" t="str">
        <x:v>England and Wales Court of Appeal (Civil Division)</x:v>
      </x:c>
      <x:c r="H1197" s="9" t="str">
        <x:v>Appellate</x:v>
      </x:c>
      <x:c r="I1197" s="9" t="str">
        <x:v>England and Wales</x:v>
      </x:c>
      <x:c r="J1197" s="9" t="str">
        <x:v>Civil Procedure</x:v>
      </x:c>
      <x:c r="K1197" s="9" t="str">
        <x:v>ew-cases-EWCA-Civ-2021-123.xml</x:v>
      </x:c>
      <x:c r="L1197" s="9" t="str">
        <x:v>TBA</x:v>
      </x:c>
    </x:row>
    <x:row r="1198">
      <x:c r="A1198" t="str">
        <x:v>e608db4d-181c-4932-abac-f72c94536926</x:v>
      </x:c>
      <x:c r="B1198" t="str">
        <x:v>ae1194b0-a284-4b42-8aba-891a2e25b56d</x:v>
      </x:c>
      <x:c r="C1198" s="9" t="str">
        <x:v>Global Vision College Ltd v Secretary of State for the Home Department</x:v>
      </x:c>
      <x:c r="D1198" s="9" t="str"/>
      <x:c r="E1198" s="9" t="str"/>
      <x:c r="F1198" s="13" t="str">
        <x:v>2014</x:v>
      </x:c>
      <x:c r="G1198" s="9" t="str">
        <x:v>England and Wales Court of Appeal (Civil Division)</x:v>
      </x:c>
      <x:c r="H1198" s="9" t="str">
        <x:v>Appellate</x:v>
      </x:c>
      <x:c r="I1198" s="9" t="str">
        <x:v>England and Wales</x:v>
      </x:c>
      <x:c r="J1198" s="9" t="str">
        <x:v>Immigration</x:v>
      </x:c>
      <x:c r="K1198" s="9" t="str">
        <x:v>-ew-cases-EWCA-Civ-2014-659.xml</x:v>
      </x:c>
      <x:c r="L1198" s="9" t="str">
        <x:v>TBA</x:v>
      </x:c>
    </x:row>
    <x:row r="1199">
      <x:c r="A1199" t="str">
        <x:v>918c0b41-c1ee-4d18-93d8-98e909412715</x:v>
      </x:c>
      <x:c r="B1199" t="str">
        <x:v>6d2caa8b-5a08-4a63-a4cb-48b72fe1cbd8</x:v>
      </x:c>
      <x:c r="C1199" s="9" t="str">
        <x:v>Globe Motors, Inc. &amp; Ors v TRW Lucas Varity Electric Steering Ltd &amp; Anor [2016] EWCA Civ 396</x:v>
      </x:c>
      <x:c r="D1199" s="9" t="str"/>
      <x:c r="E1199" s="9" t="str"/>
      <x:c r="F1199" s="13" t="str">
        <x:v>2016</x:v>
      </x:c>
      <x:c r="G1199" s="9" t="str">
        <x:v>England and Wales Court of Appeal (Civil Division)</x:v>
      </x:c>
      <x:c r="H1199" s="9" t="str">
        <x:v>Court of Appeal (Civil Division)</x:v>
      </x:c>
      <x:c r="I1199" s="9" t="str">
        <x:v>England and Wales</x:v>
      </x:c>
      <x:c r="J1199" s="9" t="str">
        <x:v>Contract Dispute</x:v>
      </x:c>
      <x:c r="K1199" s="9" t="str">
        <x:v>-ew-cases-EWCA-Civ-2016-396.xml</x:v>
      </x:c>
      <x:c r="L1199" s="9" t="str">
        <x:v>TBA</x:v>
      </x:c>
    </x:row>
    <x:row r="1200">
      <x:c r="A1200" t="str">
        <x:v>1b4f4ee9-6591-43a3-8ea1-70ce7a9cbd4a</x:v>
      </x:c>
      <x:c r="B1200" t="str">
        <x:v>fa5a29d9-af14-420b-a650-f10de11f6153</x:v>
      </x:c>
      <x:c r="C1200" s="9" t="str">
        <x:v>Glossop Cartons and Print Ltd &amp; Ors v Contact (Print &amp; Packaging) Ltd &amp; Ors</x:v>
      </x:c>
      <x:c r="D1200" s="9" t="str"/>
      <x:c r="E1200" s="9" t="str"/>
      <x:c r="F1200" s="13" t="str">
        <x:v>2021</x:v>
      </x:c>
      <x:c r="G1200" s="9" t="str">
        <x:v>England and Wales Court of Appeal (Civil Division)</x:v>
      </x:c>
      <x:c r="H1200" s="9" t="str">
        <x:v>Appellate</x:v>
      </x:c>
      <x:c r="I1200" s="9" t="str">
        <x:v>England and Wales</x:v>
      </x:c>
      <x:c r="J1200" s="9" t="str">
        <x:v>Contract Dispute</x:v>
      </x:c>
      <x:c r="K1200" s="9" t="str">
        <x:v>ew-cases-EWCA-Civ-2021-639.xml</x:v>
      </x:c>
      <x:c r="L1200" s="9" t="str">
        <x:v>TBA</x:v>
      </x:c>
    </x:row>
    <x:row r="1201">
      <x:c r="A1201" t="str">
        <x:v>63730344-fc1d-4155-bf3c-6f7053745c38</x:v>
      </x:c>
      <x:c r="B1201" t="str">
        <x:v>6bee451b-9500-46bf-8472-4341ada4c852</x:v>
      </x:c>
      <x:c r="C1201" s="9" t="str">
        <x:v>GMGRM North Ltd &amp; Ors v Ritchie (Revenue and Customs)</x:v>
      </x:c>
      <x:c r="D1201" s="9" t="str"/>
      <x:c r="E1201" s="9" t="str"/>
      <x:c r="F1201" s="13" t="str">
        <x:v>2014</x:v>
      </x:c>
      <x:c r="G1201" s="9" t="str">
        <x:v>England and Wales Court of Appeal (Civil Division)</x:v>
      </x:c>
      <x:c r="H1201" s="9" t="str">
        <x:v>Appellate</x:v>
      </x:c>
      <x:c r="I1201" s="9" t="str">
        <x:v>England and Wales</x:v>
      </x:c>
      <x:c r="J1201" s="9" t="str">
        <x:v>Tax Law</x:v>
      </x:c>
      <x:c r="K1201" s="9" t="str">
        <x:v>-ew-cases-EWCA-Civ-2014-844.xml</x:v>
      </x:c>
      <x:c r="L1201" s="9" t="str">
        <x:v>TBA</x:v>
      </x:c>
    </x:row>
    <x:row r="1202">
      <x:c r="A1202" t="str">
        <x:v>c1c5d099-8c11-4086-a883-4d07e5dea08a</x:v>
      </x:c>
      <x:c r="B1202" t="str">
        <x:v>dd3d8d0a-51ea-45d9-b83b-a4e7cdb93292</x:v>
      </x:c>
      <x:c r="C1202" s="9" t="str">
        <x:v>Goddard-Watts v Goddard-Watts [2023] EWCA Civ 115</x:v>
      </x:c>
      <x:c r="D1202" s="9" t="str"/>
      <x:c r="E1202" s="9" t="str"/>
      <x:c r="F1202" s="13" t="str">
        <x:v>2023</x:v>
      </x:c>
      <x:c r="G1202" s="9" t="str">
        <x:v>England and Wales Court of Appeal (Civil Division)</x:v>
      </x:c>
      <x:c r="H1202" s="9" t="str">
        <x:v>Court of Appeal (Civil Division)</x:v>
      </x:c>
      <x:c r="I1202" s="9" t="str">
        <x:v>England and Wales</x:v>
      </x:c>
      <x:c r="J1202" s="9" t="str">
        <x:v>Matrimonial Finance / Family Law</x:v>
      </x:c>
      <x:c r="K1202" s="9" t="str">
        <x:v>ew-cases-EWCA-Civ-2023-115.xml</x:v>
      </x:c>
      <x:c r="L1202" s="9" t="str">
        <x:v>TBA</x:v>
      </x:c>
    </x:row>
    <x:row r="1203">
      <x:c r="A1203" t="str">
        <x:v>651e8943-8d3b-4160-a8be-8729589899e4</x:v>
      </x:c>
      <x:c r="B1203" t="str">
        <x:v>3817c234-d719-475a-b6c8-736b2d9a58ed</x:v>
      </x:c>
      <x:c r="C1203" s="9" t="str">
        <x:v>Godfrey Morgan Solicitors (A Firm) v Armes</x:v>
      </x:c>
      <x:c r="D1203" s="9" t="str"/>
      <x:c r="E1203" s="9" t="str"/>
      <x:c r="F1203" s="13" t="str">
        <x:v>2017</x:v>
      </x:c>
      <x:c r="G1203" s="9" t="str">
        <x:v>England and Wales Court of Appeal (Civil Division)</x:v>
      </x:c>
      <x:c r="H1203" s="9" t="str">
        <x:v>Appellate</x:v>
      </x:c>
      <x:c r="I1203" s="9" t="str">
        <x:v>England and Wales</x:v>
      </x:c>
      <x:c r="J1203" s="9" t="str">
        <x:v>Civil Procedure</x:v>
      </x:c>
      <x:c r="K1203" s="9" t="str">
        <x:v>-ew-cases-EWCA-Civ-2017-323.xml</x:v>
      </x:c>
      <x:c r="L1203" s="9" t="str">
        <x:v>TBA</x:v>
      </x:c>
    </x:row>
    <x:row r="1204">
      <x:c r="A1204" t="str">
        <x:v>adb41006-a9f9-4f1f-8492-508450bc6a3a</x:v>
      </x:c>
      <x:c r="B1204" t="str">
        <x:v>82a49422-be99-4571-855e-b272192f81f2</x:v>
      </x:c>
      <x:c r="C1204" s="9" t="str">
        <x:v>Gohil v Gohil [2014] EWCA Civ 274</x:v>
      </x:c>
      <x:c r="D1204" s="9" t="str"/>
      <x:c r="E1204" s="9" t="str"/>
      <x:c r="F1204" s="13" t="str">
        <x:v>2014</x:v>
      </x:c>
      <x:c r="G1204" s="9" t="str">
        <x:v>England and Wales Court of Appeal (Civil Division)</x:v>
      </x:c>
      <x:c r="H1204" s="9" t="str">
        <x:v>Appellate</x:v>
      </x:c>
      <x:c r="I1204" s="9" t="str">
        <x:v>England and Wales</x:v>
      </x:c>
      <x:c r="J1204" s="9" t="str">
        <x:v>Family Law</x:v>
      </x:c>
      <x:c r="K1204" s="9" t="str">
        <x:v>-ew-cases-EWCA-Civ-2014-274.xml</x:v>
      </x:c>
      <x:c r="L1204" s="9" t="str">
        <x:v>TBA</x:v>
      </x:c>
    </x:row>
    <x:row r="1205">
      <x:c r="A1205" t="str">
        <x:v>31824091-8ed3-4711-b0b1-a8c80ba71227</x:v>
      </x:c>
      <x:c r="B1205" t="str">
        <x:v>01d73959-4b54-4b29-8624-940f8e46afdd</x:v>
      </x:c>
      <x:c r="C1205" s="9" t="str">
        <x:v>Goknur Gida Maddeleri Enerji Imalet Ithalat Ihracat Ticaret Ve Sanayi AS v Aytacli</x:v>
      </x:c>
      <x:c r="D1205" s="9" t="str"/>
      <x:c r="E1205" s="9" t="str"/>
      <x:c r="F1205" s="13" t="str">
        <x:v>2021</x:v>
      </x:c>
      <x:c r="G1205" s="9" t="str">
        <x:v>England and Wales Court of Appeal (Civil Division)</x:v>
      </x:c>
      <x:c r="H1205" s="9" t="str">
        <x:v>Appellate</x:v>
      </x:c>
      <x:c r="I1205" s="9" t="str">
        <x:v>England and Wales</x:v>
      </x:c>
      <x:c r="J1205" s="9" t="str">
        <x:v>Civil Liability</x:v>
      </x:c>
      <x:c r="K1205" s="9" t="str">
        <x:v>ew-cases-EWCA-Civ-2021-1037.xml</x:v>
      </x:c>
      <x:c r="L1205" s="9" t="str">
        <x:v>TBA</x:v>
      </x:c>
    </x:row>
    <x:row r="1206">
      <x:c r="A1206" t="str">
        <x:v>dac6400f-aaa9-4719-b5c4-b1f0e83d07e5</x:v>
      </x:c>
      <x:c r="B1206" t="str">
        <x:v>85aa9516-f18a-48ad-88c2-fc96f4bda001</x:v>
      </x:c>
      <x:c r="C1206" s="9" t="str">
        <x:v>Gold Harp Properties Ltd v Macleod &amp; Ors [2014] EWCA Civ 1084</x:v>
      </x:c>
      <x:c r="D1206" s="9" t="str"/>
      <x:c r="E1206" s="9" t="str"/>
      <x:c r="F1206" s="13" t="str">
        <x:v>2014</x:v>
      </x:c>
      <x:c r="G1206" s="9" t="str">
        <x:v>England and Wales Court of Appeal (Civil Division)</x:v>
      </x:c>
      <x:c r="H1206" s="9" t="str">
        <x:v>appellate</x:v>
      </x:c>
      <x:c r="I1206" s="9" t="str">
        <x:v>England and Wales</x:v>
      </x:c>
      <x:c r="J1206" s="9" t="str">
        <x:v>Property Law</x:v>
      </x:c>
      <x:c r="K1206" s="9" t="str">
        <x:v>-ew-cases-EWCA-Civ-2014-1084.xml</x:v>
      </x:c>
      <x:c r="L1206" s="9" t="str">
        <x:v>TBA</x:v>
      </x:c>
    </x:row>
    <x:row r="1207">
      <x:c r="A1207" t="str">
        <x:v>b28f1893-324e-46de-b0c4-8cbd7d4c66f3</x:v>
      </x:c>
      <x:c r="B1207" t="str">
        <x:v>83c90612-fd6d-494e-a7da-3a79ed21a065</x:v>
      </x:c>
      <x:c r="C1207" s="9" t="str">
        <x:v>Gold Harp Properties Ltd v McLeod &amp; Ors [2014] EWCA Civ 532</x:v>
      </x:c>
      <x:c r="D1207" s="9" t="str"/>
      <x:c r="E1207" s="9" t="str"/>
      <x:c r="F1207" s="13" t="str">
        <x:v>2014</x:v>
      </x:c>
      <x:c r="G1207" s="9" t="str">
        <x:v>England and Wales Court of Appeal (Civil Division)</x:v>
      </x:c>
      <x:c r="H1207" s="9" t="str">
        <x:v>Appellate</x:v>
      </x:c>
      <x:c r="I1207" s="9" t="str">
        <x:v>England</x:v>
      </x:c>
      <x:c r="J1207" s="9" t="str">
        <x:v>Property Law</x:v>
      </x:c>
      <x:c r="K1207" s="9" t="str">
        <x:v>-ew-cases-EWCA-Civ-2014-532.xml</x:v>
      </x:c>
      <x:c r="L1207" s="9" t="str">
        <x:v>TBA</x:v>
      </x:c>
    </x:row>
    <x:row r="1208">
      <x:c r="A1208" t="str">
        <x:v>168e0b5e-2433-4ed0-a2b1-fb473421d3ae</x:v>
      </x:c>
      <x:c r="B1208" t="str">
        <x:v>3939ad83-3116-4c2b-9d35-73b063345d71</x:v>
      </x:c>
      <x:c r="C1208" s="9" t="str">
        <x:v>Goldsmith Williams Solicitors v E.Surv Ltd: Duty of Solicitors to Report Discrepancies in Property Valuation</x:v>
      </x:c>
      <x:c r="D1208" s="9" t="str"/>
      <x:c r="E1208" s="9" t="str"/>
      <x:c r="F1208" s="13" t="str">
        <x:v>2015</x:v>
      </x:c>
      <x:c r="G1208" s="9" t="str">
        <x:v>England and Wales Court of Appeal (Civil Division)</x:v>
      </x:c>
      <x:c r="H1208" s="9" t="str">
        <x:v>Appellate</x:v>
      </x:c>
      <x:c r="I1208" s="9" t="str">
        <x:v>England and Wales</x:v>
      </x:c>
      <x:c r="J1208" s="9" t="str">
        <x:v>Negligence</x:v>
      </x:c>
      <x:c r="K1208" s="9" t="str">
        <x:v>-ew-cases-EWCA-Civ-2015-1147.xml</x:v>
      </x:c>
      <x:c r="L1208" s="9" t="str">
        <x:v>TBA</x:v>
      </x:c>
    </x:row>
    <x:row r="1209">
      <x:c r="A1209" t="str">
        <x:v>152a7991-06ff-4a95-afbc-33a261d291b2</x:v>
      </x:c>
      <x:c r="B1209" t="str">
        <x:v>c5cbeaf6-70c7-4b9d-9c98-66aae3b70946</x:v>
      </x:c>
      <x:c r="C1209" s="9" t="str">
        <x:v>Goldtrail Travel Limited (in liquidation) v Aydin &amp; Ors [2016] EWCA Civ 20</x:v>
      </x:c>
      <x:c r="D1209" s="9" t="str"/>
      <x:c r="E1209" s="9" t="str"/>
      <x:c r="F1209" s="13" t="str">
        <x:v>2016</x:v>
      </x:c>
      <x:c r="G1209" s="9" t="str">
        <x:v>England and Wales Court of Appeal (Civil Division)</x:v>
      </x:c>
      <x:c r="H1209" s="9" t="str">
        <x:v>Court of Appeal (Civil Division)</x:v>
      </x:c>
      <x:c r="I1209" s="9" t="str">
        <x:v>England and Wales</x:v>
      </x:c>
      <x:c r="J1209" s="9" t="str">
        <x:v>Civil Appeal / Corporate governance / Fiduciary duties</x:v>
      </x:c>
      <x:c r="K1209" s="9" t="str">
        <x:v>-ew-cases-EWCA-Civ-2016-20.xml</x:v>
      </x:c>
      <x:c r="L1209" s="9" t="str">
        <x:v>TBA</x:v>
      </x:c>
    </x:row>
    <x:row r="1210">
      <x:c r="A1210" t="str">
        <x:v>875eec02-57ec-46b9-b242-f5e65c4396d3</x:v>
      </x:c>
      <x:c r="B1210" t="str">
        <x:v>e43d140d-e169-48b9-aaad-9f1389b73da4</x:v>
      </x:c>
      <x:c r="C1210" s="9" t="str">
        <x:v>Goldtrail Travel Limited (in Liquidation) v Aydin &amp; Ors [2016] EWCA Civ 371</x:v>
      </x:c>
      <x:c r="D1210" s="9" t="str"/>
      <x:c r="E1210" s="9" t="str"/>
      <x:c r="F1210" s="13" t="str">
        <x:v>2016</x:v>
      </x:c>
      <x:c r="G1210" s="9" t="str">
        <x:v>England and Wales Court of Appeal (Civil Division)</x:v>
      </x:c>
      <x:c r="H1210" s="9" t="str">
        <x:v>Court of Appeal (Civil Division)</x:v>
      </x:c>
      <x:c r="I1210" s="9" t="str">
        <x:v>England and Wales</x:v>
      </x:c>
      <x:c r="J1210" s="9" t="str">
        <x:v>Civil – Company Law / Fiduciary Duty / Fraud</x:v>
      </x:c>
      <x:c r="K1210" s="9" t="str">
        <x:v>-ew-cases-EWCA-Civ-2016-371.xml</x:v>
      </x:c>
      <x:c r="L1210" s="9" t="str">
        <x:v>TBA</x:v>
      </x:c>
    </x:row>
    <x:row r="1211">
      <x:c r="A1211" t="str">
        <x:v>f49d4f23-67c3-43e4-81ce-9b1716a7a306</x:v>
      </x:c>
      <x:c r="B1211" t="str">
        <x:v>914ec116-ee88-4a51-b135-f47c917f2a0e</x:v>
      </x:c>
      <x:c r="C1211" s="9" t="str">
        <x:v>Goldtrail Travel Ltd v Aydin &amp; Ors [2015] EWCA Civ 926</x:v>
      </x:c>
      <x:c r="D1211" s="9" t="str"/>
      <x:c r="E1211" s="9" t="str"/>
      <x:c r="F1211" s="13" t="str">
        <x:v>2015</x:v>
      </x:c>
      <x:c r="G1211" s="9" t="str">
        <x:v>England and Wales Court of Appeal (Civil Division)</x:v>
      </x:c>
      <x:c r="H1211" s="9" t="str">
        <x:v>Appellate</x:v>
      </x:c>
      <x:c r="I1211" s="9" t="str">
        <x:v>England and Wales</x:v>
      </x:c>
      <x:c r="J1211" s="9" t="str">
        <x:v>Civil Appeal</x:v>
      </x:c>
      <x:c r="K1211" s="9" t="str">
        <x:v>-ew-cases-EWCA-Civ-2015-926.xml</x:v>
      </x:c>
      <x:c r="L1211" s="9" t="str">
        <x:v>TBA</x:v>
      </x:c>
    </x:row>
    <x:row r="1212">
      <x:c r="A1212" t="str">
        <x:v>4dcdd962-d894-4426-b66c-b1bfead7f85c</x:v>
      </x:c>
      <x:c r="B1212" t="str">
        <x:v>4cdcb11e-4806-4baf-aff7-3574d0b98735</x:v>
      </x:c>
      <x:c r="C1212" s="9" t="str">
        <x:v>Goldtrail Travel Ltd v Aydin &amp; Ors [2016] EWCA Civ 439 (04 May 2016)</x:v>
      </x:c>
      <x:c r="D1212" s="9" t="str"/>
      <x:c r="E1212" s="9" t="str"/>
      <x:c r="F1212" s="13" t="str">
        <x:v>2016</x:v>
      </x:c>
      <x:c r="G1212" s="9" t="str">
        <x:v>England and Wales Court of Appeal (Civil Division)</x:v>
      </x:c>
      <x:c r="H1212" s="9" t="str">
        <x:v>Court of Appeal (Civil Division)</x:v>
      </x:c>
      <x:c r="I1212" s="9" t="str">
        <x:v>England and Wales</x:v>
      </x:c>
      <x:c r="J1212" s="9" t="str">
        <x:v>Civil Procedure / Appeals</x:v>
      </x:c>
      <x:c r="K1212" s="9" t="str">
        <x:v>-ew-cases-EWCA-Civ-2016-439.xml</x:v>
      </x:c>
      <x:c r="L1212" s="9" t="str">
        <x:v>TBA</x:v>
      </x:c>
    </x:row>
    <x:row r="1213">
      <x:c r="A1213" t="str">
        <x:v>4609a868-0099-4a6a-a6ff-56de0d6b7ce8</x:v>
      </x:c>
      <x:c r="B1213" t="str">
        <x:v>754db8d3-7247-4ca6-995d-54023656e35e</x:v>
      </x:c>
      <x:c r="C1213" s="9" t="str">
        <x:v>Gomes (On the Application Of) v Secretary of State for the Home Department [2016] EWCA Civ 373</x:v>
      </x:c>
      <x:c r="D1213" s="9" t="str"/>
      <x:c r="E1213" s="9" t="str"/>
      <x:c r="F1213" s="13" t="str">
        <x:v>2016</x:v>
      </x:c>
      <x:c r="G1213" s="9" t="str">
        <x:v>England and Wales Court of Appeal (Civil Division)</x:v>
      </x:c>
      <x:c r="H1213" s="9" t="str">
        <x:v>Court of Appeal (Civil Division)</x:v>
      </x:c>
      <x:c r="I1213" s="9" t="str">
        <x:v>England and Wales</x:v>
      </x:c>
      <x:c r="J1213" s="9" t="str">
        <x:v>Administrative Law / Immigration Law</x:v>
      </x:c>
      <x:c r="K1213" s="9" t="str">
        <x:v>-ew-cases-EWCA-Civ-2016-373.xml</x:v>
      </x:c>
      <x:c r="L1213" s="9" t="str">
        <x:v>TBA</x:v>
      </x:c>
    </x:row>
    <x:row r="1214">
      <x:c r="A1214" t="str">
        <x:v>b5e6365a-b0b7-4804-8b3f-c3bd01ef2a4b</x:v>
      </x:c>
      <x:c r="B1214" t="str">
        <x:v>df4c5dab-61e8-4ecb-894c-c1824b8daad2</x:v>
      </x:c>
      <x:c r="C1214" s="9" t="str">
        <x:v>Good v Commissioners of HM Revenue and Customs [2023] EWCA Civ 114</x:v>
      </x:c>
      <x:c r="D1214" s="9" t="str"/>
      <x:c r="E1214" s="9" t="str"/>
      <x:c r="F1214" s="13" t="str">
        <x:v>2023</x:v>
      </x:c>
      <x:c r="G1214" s="9" t="str">
        <x:v>England and Wales Court of Appeal (Civil Division)</x:v>
      </x:c>
      <x:c r="H1214" s="9" t="str">
        <x:v>Court of Appeal (Civil Division)</x:v>
      </x:c>
      <x:c r="I1214" s="9" t="str">
        <x:v>England and Wales</x:v>
      </x:c>
      <x:c r="J1214" s="9" t="str">
        <x:v>Tax Law / Income Tax</x:v>
      </x:c>
      <x:c r="K1214" s="9" t="str">
        <x:v>ew-cases-EWCA-Civ-2023-114.xml</x:v>
      </x:c>
      <x:c r="L1214" s="9" t="str">
        <x:v>TBA</x:v>
      </x:c>
    </x:row>
    <x:row r="1215">
      <x:c r="A1215" t="str">
        <x:v>0d981d3b-6a95-40ce-9fba-146a13a8bd96</x:v>
      </x:c>
      <x:c r="B1215" t="str">
        <x:v>edf49102-c41c-4e24-a873-a4c8f9597b62</x:v>
      </x:c>
      <x:c r="C1215" s="9" t="str">
        <x:v>Goodenough &amp; Anor v The Chief Constable of Thames Valley Police [2021] EWCA Civ 1422</x:v>
      </x:c>
      <x:c r="D1215" s="9" t="str"/>
      <x:c r="E1215" s="9" t="str"/>
      <x:c r="F1215" s="13" t="str">
        <x:v>2021</x:v>
      </x:c>
      <x:c r="G1215" s="9" t="str">
        <x:v>England and Wales Court of Appeal (Civil Division)</x:v>
      </x:c>
      <x:c r="H1215" s="9" t="str">
        <x:v>Appellate Court</x:v>
      </x:c>
      <x:c r="I1215" s="9" t="str">
        <x:v>England and Wales</x:v>
      </x:c>
      <x:c r="J1215" s="9" t="str">
        <x:v>Tort Law</x:v>
      </x:c>
      <x:c r="K1215" s="9" t="str">
        <x:v>ew-cases-EWCA-Civ-2021-1422.xml</x:v>
      </x:c>
      <x:c r="L1215" s="9" t="str">
        <x:v>TBA</x:v>
      </x:c>
    </x:row>
    <x:row r="1216">
      <x:c r="A1216" t="str">
        <x:v>be07e283-082e-439e-b9b3-93b167534493</x:v>
      </x:c>
      <x:c r="B1216" t="str">
        <x:v>00b4f537-07df-4292-ad33-1820d2dca417</x:v>
      </x:c>
      <x:c r="C1216" s="9" t="str">
        <x:v>Goodinson v PRA Group (UK) Ltd [2021] EWCA Civ 957</x:v>
      </x:c>
      <x:c r="D1216" s="9" t="str"/>
      <x:c r="E1216" s="9" t="str"/>
      <x:c r="F1216" s="13" t="str">
        <x:v>2021</x:v>
      </x:c>
      <x:c r="G1216" s="9" t="str">
        <x:v>England and Wales Court of Appeal (Civil Division)</x:v>
      </x:c>
      <x:c r="H1216" s="9" t="str">
        <x:v>Appellate</x:v>
      </x:c>
      <x:c r="I1216" s="9" t="str">
        <x:v>England and Wales</x:v>
      </x:c>
      <x:c r="J1216" s="9" t="str">
        <x:v>Contract Dispute</x:v>
      </x:c>
      <x:c r="K1216" s="9" t="str">
        <x:v>ew-cases-EWCA-Civ-2021-957.xml</x:v>
      </x:c>
      <x:c r="L1216" s="9" t="str">
        <x:v>TBA</x:v>
      </x:c>
    </x:row>
    <x:row r="1217">
      <x:c r="A1217" t="str">
        <x:v>f91bb9ee-516c-44e8-9799-fafb7d43fe42</x:v>
      </x:c>
      <x:c r="B1217" t="str">
        <x:v>a206a973-506b-4cfb-a0fa-79b98d0ca831</x:v>
      </x:c>
      <x:c r="C1217" s="9" t="str">
        <x:v>Google Inc v Vidal-Hall &amp; Ors [2015] EWCA Civ 311</x:v>
      </x:c>
      <x:c r="D1217" s="9" t="str"/>
      <x:c r="E1217" s="9" t="str"/>
      <x:c r="F1217" s="13" t="str">
        <x:v>2015</x:v>
      </x:c>
      <x:c r="G1217" s="9" t="str">
        <x:v>England and Wales Court of Appeal (Civil Division)</x:v>
      </x:c>
      <x:c r="H1217" s="9" t="str">
        <x:v>Appellate</x:v>
      </x:c>
      <x:c r="I1217" s="9" t="str">
        <x:v>England and Wales</x:v>
      </x:c>
      <x:c r="J1217" s="9" t="str">
        <x:v>Tort</x:v>
      </x:c>
      <x:c r="K1217" s="9" t="str">
        <x:v>-ew-cases-EWCA-Civ-2015-311.xml</x:v>
      </x:c>
      <x:c r="L1217" s="9" t="str">
        <x:v>TBA</x:v>
      </x:c>
    </x:row>
    <x:row r="1218">
      <x:c r="A1218" t="str">
        <x:v>81a235a8-0d85-4617-a070-cc0d93939c76</x:v>
      </x:c>
      <x:c r="B1218" t="str">
        <x:v>b982ae38-8b1a-4db6-86ce-2242f86bb996</x:v>
      </x:c>
      <x:c r="C1218" s="9" t="str">
        <x:v>Gopee &amp; Ors v London Mercantile Court</x:v>
      </x:c>
      <x:c r="D1218" s="9" t="str"/>
      <x:c r="E1218" s="9" t="str"/>
      <x:c r="F1218" s="13" t="str">
        <x:v>2015</x:v>
      </x:c>
      <x:c r="G1218" s="9" t="str">
        <x:v>England and Wales Court of Appeal (Civil Division)</x:v>
      </x:c>
      <x:c r="H1218" s="9" t="str">
        <x:v>appellate</x:v>
      </x:c>
      <x:c r="I1218" s="9" t="str">
        <x:v>England and Wales</x:v>
      </x:c>
      <x:c r="J1218" s="9" t="str">
        <x:v>Civil Procedure</x:v>
      </x:c>
      <x:c r="K1218" s="9" t="str">
        <x:v>-ew-cases-EWCA-Civ-2015-944.xml</x:v>
      </x:c>
      <x:c r="L1218" s="9" t="str">
        <x:v>TBA</x:v>
      </x:c>
    </x:row>
    <x:row r="1219">
      <x:c r="A1219" t="str">
        <x:v>5e683a1e-d6ed-4901-8e96-80773d89295f</x:v>
      </x:c>
      <x:c r="B1219" t="str">
        <x:v>8935882e-31bb-4a70-93c6-cf0c6284aca5</x:v>
      </x:c>
      <x:c r="C1219" s="9" t="str">
        <x:v>Gorbachev v Guriev [2022] EWCA Civ 1270</x:v>
      </x:c>
      <x:c r="D1219" s="9" t="str"/>
      <x:c r="E1219" s="9" t="str"/>
      <x:c r="F1219" s="13" t="str">
        <x:v>2022</x:v>
      </x:c>
      <x:c r="G1219" s="9" t="str">
        <x:v>Court of Appeal (Civil Division) England and Wales</x:v>
      </x:c>
      <x:c r="H1219" s="9" t="str">
        <x:v>Court of Appeal (Civil Division)</x:v>
      </x:c>
      <x:c r="I1219" s="9" t="str">
        <x:v>England and Wales</x:v>
      </x:c>
      <x:c r="J1219" s="9" t="str">
        <x:v>Civil Procedure / Jurisdiction / International Disclosure</x:v>
      </x:c>
      <x:c r="K1219" s="9" t="str">
        <x:v>ew-cases-EWCA-Civ-2022-1270.xml</x:v>
      </x:c>
      <x:c r="L1219" s="9" t="str">
        <x:v>TBA</x:v>
      </x:c>
    </x:row>
    <x:row r="1220">
      <x:c r="A1220" t="str">
        <x:v>ca26b81a-35aa-47be-9b0c-234f7cf7f8b5</x:v>
      </x:c>
      <x:c r="B1220" t="str">
        <x:v>b9e9c4cb-7d91-435a-b66b-f133bc400cf9</x:v>
      </x:c>
      <x:c r="C1220" s="9" t="str">
        <x:v>Gorbachev v Guriev &amp; Ors [2023] EWCA Civ 327</x:v>
      </x:c>
      <x:c r="D1220" s="9" t="str"/>
      <x:c r="E1220" s="9" t="str"/>
      <x:c r="F1220" s="13" t="str">
        <x:v>2023</x:v>
      </x:c>
      <x:c r="G1220" s="9" t="str">
        <x:v>England and Wales Court of Appeal (Civil Division)</x:v>
      </x:c>
      <x:c r="H1220" s="9" t="str">
        <x:v>Court of Appeal (Civil Division)</x:v>
      </x:c>
      <x:c r="I1220" s="9" t="str">
        <x:v>England and Wales</x:v>
      </x:c>
      <x:c r="J1220" s="9" t="str">
        <x:v>Costs / Civil Procedure</x:v>
      </x:c>
      <x:c r="K1220" s="9" t="str">
        <x:v>ew-cases-EWCA-Civ-2023-327.xml</x:v>
      </x:c>
      <x:c r="L1220" s="9" t="str">
        <x:v>TBA</x:v>
      </x:c>
    </x:row>
    <x:row r="1221">
      <x:c r="A1221" t="str">
        <x:v>ddfad564-0915-46b2-ace2-a944128047d4</x:v>
      </x:c>
      <x:c r="B1221" t="str">
        <x:v>36715790-e5c6-446e-a170-2f3762be5e74</x:v>
      </x:c>
      <x:c r="C1221" s="9" t="str">
        <x:v>Gore v Naheed &amp; Anor [2017] EWCA Civ 369</x:v>
      </x:c>
      <x:c r="D1221" s="9" t="str"/>
      <x:c r="E1221" s="9" t="str"/>
      <x:c r="F1221" s="13" t="str">
        <x:v>2017</x:v>
      </x:c>
      <x:c r="G1221" s="9" t="str">
        <x:v>England and Wales Court of Appeal (Civil Division)</x:v>
      </x:c>
      <x:c r="H1221" s="9" t="str">
        <x:v>Appellate</x:v>
      </x:c>
      <x:c r="I1221" s="9" t="str">
        <x:v>England and Wales</x:v>
      </x:c>
      <x:c r="J1221" s="9" t="str">
        <x:v>Property Law</x:v>
      </x:c>
      <x:c r="K1221" s="9" t="str">
        <x:v>-ew-cases-EWCA-Civ-2017-369.xml</x:v>
      </x:c>
      <x:c r="L1221" s="9" t="str">
        <x:v>TBA</x:v>
      </x:c>
    </x:row>
    <x:row r="1222">
      <x:c r="A1222" t="str">
        <x:v>1ba8248d-b09d-49be-a5bc-4e3c8a41a469</x:v>
      </x:c>
      <x:c r="B1222" t="str">
        <x:v>bc30491e-9ae6-48da-90d0-71d8a8069b22</x:v>
      </x:c>
      <x:c r="C1222" s="9" t="str">
        <x:v>Gorringe v. Calderdale Metropolitan Borough Council</x:v>
      </x:c>
      <x:c r="D1222" s="9" t="str"/>
      <x:c r="E1222" s="9" t="str"/>
      <x:c r="F1222" s="13" t="str">
        <x:v>2004</x:v>
      </x:c>
      <x:c r="G1222" s="9" t="str">
        <x:v>United Kingdom House of Lords</x:v>
      </x:c>
      <x:c r="H1222" s="9" t="str">
        <x:v>Supreme Court</x:v>
      </x:c>
      <x:c r="I1222" s="9" t="str">
        <x:v>United Kingdom</x:v>
      </x:c>
      <x:c r="J1222" s="9" t="str">
        <x:v>Negligence</x:v>
      </x:c>
      <x:c r="K1222" s="9" t="str">
        <x:v>PT_UKHL_2004_15.xml</x:v>
      </x:c>
      <x:c r="L1222" s="9" t="str">
        <x:v>TBA</x:v>
      </x:c>
    </x:row>
    <x:row r="1223">
      <x:c r="A1223" t="str">
        <x:v>9bd63364-6771-4416-be82-024c713521f9</x:v>
      </x:c>
      <x:c r="B1223" t="str">
        <x:v>56c1c8c6-10a1-4a04-89cf-6a0c21e46cb0</x:v>
      </x:c>
      <x:c r="C1223" s="9" t="str">
        <x:v>Goss v BM Samuels Finance Group Plc</x:v>
      </x:c>
      <x:c r="D1223" s="9" t="str"/>
      <x:c r="E1223" s="9" t="str"/>
      <x:c r="F1223" s="13" t="str">
        <x:v>2015</x:v>
      </x:c>
      <x:c r="G1223" s="9" t="str">
        <x:v>England and Wales Court of Appeal (Civil Division)</x:v>
      </x:c>
      <x:c r="H1223" s="9" t="str">
        <x:v>Appellate</x:v>
      </x:c>
      <x:c r="I1223" s="9" t="str">
        <x:v>England and Wales</x:v>
      </x:c>
      <x:c r="J1223" s="9" t="str">
        <x:v>Civil Appeal</x:v>
      </x:c>
      <x:c r="K1223" s="9" t="str">
        <x:v>-ew-cases-EWCA-Civ-2015-809.xml</x:v>
      </x:c>
      <x:c r="L1223" s="9" t="str">
        <x:v>TBA</x:v>
      </x:c>
    </x:row>
    <x:row r="1224">
      <x:c r="A1224" t="str">
        <x:v>16c30910-0419-43b3-8e0b-08c42dd889fa</x:v>
      </x:c>
      <x:c r="B1224" t="str">
        <x:v>fc773c13-cac4-45a7-9985-99f92b4cdfdc</x:v>
      </x:c>
      <x:c r="C1224" s="9" t="str">
        <x:v>Gosturani v Secretary of State for the Home Department [2022] EWCA Civ 779</x:v>
      </x:c>
      <x:c r="D1224" s="9" t="str"/>
      <x:c r="E1224" s="9" t="str"/>
      <x:c r="F1224" s="13" t="str">
        <x:v>2022</x:v>
      </x:c>
      <x:c r="G1224" s="9" t="str">
        <x:v>England and Wales Court of Appeal (Civil Division)</x:v>
      </x:c>
      <x:c r="H1224" s="9" t="str">
        <x:v>Court of Appeal (Civil Division)</x:v>
      </x:c>
      <x:c r="I1224" s="9" t="str">
        <x:v>England and Wales</x:v>
      </x:c>
      <x:c r="J1224" s="9" t="str">
        <x:v>Immigration and asylum</x:v>
      </x:c>
      <x:c r="K1224" s="9" t="str">
        <x:v>ew-cases-EWCA-Civ-2022-779.xml</x:v>
      </x:c>
      <x:c r="L1224" s="9" t="str">
        <x:v>TBA</x:v>
      </x:c>
    </x:row>
    <x:row r="1225">
      <x:c r="A1225" t="str">
        <x:v>3552ea28-f14f-4249-a6c9-d902991d96a6</x:v>
      </x:c>
      <x:c r="B1225" t="str">
        <x:v>d870dd8a-88c2-4c1a-aede-9e92b0b7165a</x:v>
      </x:c>
      <x:c r="C1225" s="9" t="str">
        <x:v>Gourlay, R (on the application of) v The Parole Board [2017] EWCA Civ 1003</x:v>
      </x:c>
      <x:c r="D1225" s="9" t="str"/>
      <x:c r="E1225" s="9" t="str"/>
      <x:c r="F1225" s="13" t="str">
        <x:v>2017</x:v>
      </x:c>
      <x:c r="G1225" s="9" t="str">
        <x:v>England and Wales Court of Appeal (Civil Division)</x:v>
      </x:c>
      <x:c r="H1225" s="9" t="str">
        <x:v>Appellate</x:v>
      </x:c>
      <x:c r="I1225" s="9" t="str">
        <x:v>England and Wales</x:v>
      </x:c>
      <x:c r="J1225" s="9" t="str">
        <x:v>Administrative Law</x:v>
      </x:c>
      <x:c r="K1225" s="9" t="str">
        <x:v>-ew-cases-EWCA-Civ-2017-1003.xml</x:v>
      </x:c>
      <x:c r="L1225" s="9" t="str">
        <x:v>TBA</x:v>
      </x:c>
    </x:row>
    <x:row r="1226">
      <x:c r="A1226" t="str">
        <x:v>86a969aa-c321-4fc5-8025-4ff098501ae6</x:v>
      </x:c>
      <x:c r="B1226" t="str">
        <x:v>147de212-1b8e-47c6-930e-4f3218331e17</x:v>
      </x:c>
      <x:c r="C1226" s="9" t="str">
        <x:v>Govia GTR Railway Limited v The Associated Society of Locomotive Engineers and Firemen [2016] EWCA Civ 1309</x:v>
      </x:c>
      <x:c r="D1226" s="9" t="str"/>
      <x:c r="E1226" s="9" t="str"/>
      <x:c r="F1226" s="13" t="str">
        <x:v>2016</x:v>
      </x:c>
      <x:c r="G1226" s="9" t="str">
        <x:v>England and Wales Court of Appeal (Civil Division)</x:v>
      </x:c>
      <x:c r="H1226" s="9" t="str">
        <x:v>Court of Appeal (Civil Division)</x:v>
      </x:c>
      <x:c r="I1226" s="9" t="str">
        <x:v>United Kingdom (England and Wales)</x:v>
      </x:c>
      <x:c r="J1226" s="9" t="str">
        <x:v>Labor/Employment Law; EU Law; Industrial Action; Injunctions</x:v>
      </x:c>
      <x:c r="K1226" s="9" t="str">
        <x:v>-ew-cases-EWCA-Civ-2016-1309.xml</x:v>
      </x:c>
      <x:c r="L1226" s="9" t="str">
        <x:v>TBA</x:v>
      </x:c>
    </x:row>
    <x:row r="1227">
      <x:c r="A1227" t="str">
        <x:v>7c791b25-894c-4121-ab31-28944e67c885</x:v>
      </x:c>
      <x:c r="B1227" t="str">
        <x:v>85ecdcd8-3fef-47c7-b2a9-dafb1987dc32</x:v>
      </x:c>
      <x:c r="C1227" s="9" t="str">
        <x:v>Goyal v Goyal [2014] EWCA Civ 523</x:v>
      </x:c>
      <x:c r="D1227" s="9" t="str"/>
      <x:c r="E1227" s="9" t="str"/>
      <x:c r="F1227" s="13" t="str">
        <x:v>2014</x:v>
      </x:c>
      <x:c r="G1227" s="9" t="str">
        <x:v>England and Wales Court of Appeal (Civil Division)</x:v>
      </x:c>
      <x:c r="H1227" s="9" t="str">
        <x:v>Appellate</x:v>
      </x:c>
      <x:c r="I1227" s="9" t="str">
        <x:v>England</x:v>
      </x:c>
      <x:c r="J1227" s="9" t="str">
        <x:v>Family Law</x:v>
      </x:c>
      <x:c r="K1227" s="9" t="str">
        <x:v>-ew-cases-EWCA-Civ-2014-523.xml</x:v>
      </x:c>
      <x:c r="L1227" s="9" t="str">
        <x:v>TBA</x:v>
      </x:c>
    </x:row>
    <x:row r="1228">
      <x:c r="A1228" t="str">
        <x:v>11c329b2-fa0d-4eea-b018-cb459e060ea9</x:v>
      </x:c>
      <x:c r="B1228" t="str">
        <x:v>d747e098-4d3d-4de8-80ed-ef115e06ba6f</x:v>
      </x:c>
      <x:c r="C1228" s="9" t="str">
        <x:v>Goyal v Goyal [2016] EWCA Civ 792 (Court of Appeal, Civil Division)</x:v>
      </x:c>
      <x:c r="D1228" s="9" t="str"/>
      <x:c r="E1228" s="9" t="str"/>
      <x:c r="F1228" s="13" t="str">
        <x:v>2016</x:v>
      </x:c>
      <x:c r="G1228" s="9" t="str">
        <x:v>England and Wales Court of Appeal (Civil Division)</x:v>
      </x:c>
      <x:c r="H1228" s="9" t="str">
        <x:v>Court of Appeal (Civil Division)</x:v>
      </x:c>
      <x:c r="I1228" s="9" t="str">
        <x:v>England and Wales</x:v>
      </x:c>
      <x:c r="J1228" s="9" t="str">
        <x:v>Family Law</x:v>
      </x:c>
      <x:c r="K1228" s="9" t="str">
        <x:v>-ew-cases-EWCA-Civ-2016-792.xml</x:v>
      </x:c>
      <x:c r="L1228" s="9" t="str">
        <x:v>TBA</x:v>
      </x:c>
    </x:row>
    <x:row r="1229">
      <x:c r="A1229" t="str">
        <x:v>4107a945-b236-42e2-aa7a-9350c8bcb9ac</x:v>
      </x:c>
      <x:c r="B1229" t="str">
        <x:v>2bf36b57-0b87-413f-9dc2-3c88ab68a47d</x:v>
      </x:c>
      <x:c r="C1229" s="9" t="str">
        <x:v>GP (A Child) [2017] EWCA Civ 1677</x:v>
      </x:c>
      <x:c r="D1229" s="9" t="str"/>
      <x:c r="E1229" s="9" t="str"/>
      <x:c r="F1229" s="13" t="str">
        <x:v>2017</x:v>
      </x:c>
      <x:c r="G1229" s="9" t="str">
        <x:v>England and Wales Court of Appeal (Civil Division)</x:v>
      </x:c>
      <x:c r="H1229" s="9" t="str">
        <x:v>Appellate</x:v>
      </x:c>
      <x:c r="I1229" s="9" t="str">
        <x:v>England and Wales</x:v>
      </x:c>
      <x:c r="J1229" s="9" t="str">
        <x:v>Family Law</x:v>
      </x:c>
      <x:c r="K1229" s="9" t="str">
        <x:v>-ew-cases-EWCA-Civ-2017-1677.xml</x:v>
      </x:c>
      <x:c r="L1229" s="9" t="str">
        <x:v>TBA</x:v>
      </x:c>
    </x:row>
    <x:row r="1230">
      <x:c r="A1230" t="str">
        <x:v>51b62b34-bd74-4013-9326-f097638d43e2</x:v>
      </x:c>
      <x:c r="B1230" t="str">
        <x:v>443f5827-231d-435a-bc4e-66847d85f8cc</x:v>
      </x:c>
      <x:c r="C1230" s="9" t="str">
        <x:v>GP and MP v Secretary of State for the Home Department</x:v>
      </x:c>
      <x:c r="D1230" s="9" t="str"/>
      <x:c r="E1230" s="9" t="str"/>
      <x:c r="F1230" s="13" t="str">
        <x:v>2015</x:v>
      </x:c>
      <x:c r="G1230" s="9" t="str">
        <x:v>England and Wales Court of Appeal (Civil Division)</x:v>
      </x:c>
      <x:c r="H1230" s="9" t="str">
        <x:v>Civil Appeal</x:v>
      </x:c>
      <x:c r="I1230" s="9" t="str">
        <x:v>United Kingdom</x:v>
      </x:c>
      <x:c r="J1230" s="9" t="str">
        <x:v>Immigration and Asylum</x:v>
      </x:c>
      <x:c r="K1230" s="9" t="str">
        <x:v>-ew-cases-EWCA-Civ-2015-1116.xml</x:v>
      </x:c>
      <x:c r="L1230" s="9" t="str">
        <x:v>TBA</x:v>
      </x:c>
    </x:row>
    <x:row r="1231">
      <x:c r="A1231" t="str">
        <x:v>bad38d3f-4ed5-474d-a0aa-b3f919c8152a</x:v>
      </x:c>
      <x:c r="B1231" t="str">
        <x:v>4f2f6efe-28e3-49d9-9b7d-76e813e30eeb</x:v>
      </x:c>
      <x:c r="C1231" s="9" t="str">
        <x:v>GPS Estates Ltd v Secretary of State for Communities and Local Government</x:v>
      </x:c>
      <x:c r="D1231" s="9" t="str"/>
      <x:c r="E1231" s="9" t="str"/>
      <x:c r="F1231" s="13" t="str">
        <x:v>2015</x:v>
      </x:c>
      <x:c r="G1231" s="9" t="str">
        <x:v>England and Wales Court of Appeal (Civil Division)</x:v>
      </x:c>
      <x:c r="H1231" s="9" t="str">
        <x:v>Appellate Division</x:v>
      </x:c>
      <x:c r="I1231" s="9" t="str">
        <x:v>England and Wales</x:v>
      </x:c>
      <x:c r="J1231" s="9" t="str">
        <x:v>Administrative Law</x:v>
      </x:c>
      <x:c r="K1231" s="9" t="str">
        <x:v>-ew-cases-EWCA-Civ-2015-175.xml</x:v>
      </x:c>
      <x:c r="L1231" s="9" t="str">
        <x:v>TBA</x:v>
      </x:c>
    </x:row>
    <x:row r="1232">
      <x:c r="A1232" t="str">
        <x:v>c6addb02-8cca-46a1-87ce-360f5eb04429</x:v>
      </x:c>
      <x:c r="B1232" t="str">
        <x:v>65645a3e-7e49-4a88-ba46-adb686908b02</x:v>
      </x:c>
      <x:c r="C1232" s="9" t="str">
        <x:v>Grace &amp; Anor v Black Horse Ltd [2014] EWCA Civ 1413</x:v>
      </x:c>
      <x:c r="D1232" s="9" t="str"/>
      <x:c r="E1232" s="9" t="str"/>
      <x:c r="F1232" s="13" t="str">
        <x:v>2014</x:v>
      </x:c>
      <x:c r="G1232" s="9" t="str">
        <x:v>England and Wales Court of Appeal (Civil Division)</x:v>
      </x:c>
      <x:c r="H1232" s="9" t="str">
        <x:v>Appellate</x:v>
      </x:c>
      <x:c r="I1232" s="9" t="str">
        <x:v>England and Wales</x:v>
      </x:c>
      <x:c r="J1232" s="9" t="str">
        <x:v>Civil</x:v>
      </x:c>
      <x:c r="K1232" s="9" t="str">
        <x:v>-ew-cases-EWCA-Civ-2014-1413.xml</x:v>
      </x:c>
      <x:c r="L1232" s="9" t="str">
        <x:v>TBA</x:v>
      </x:c>
    </x:row>
    <x:row r="1233">
      <x:c r="A1233" t="str">
        <x:v>212b7e32-7c25-4e86-9aa1-36ea364c431a</x:v>
      </x:c>
      <x:c r="B1233" t="str">
        <x:v>90ace606-9719-4c70-b48f-62a362c62637</x:v>
      </x:c>
      <x:c r="C1233" s="9" t="str">
        <x:v>Grace, R (On the Application Of) v Secretary of State for the Home Department</x:v>
      </x:c>
      <x:c r="D1233" s="9" t="str"/>
      <x:c r="E1233" s="9" t="str"/>
      <x:c r="F1233" s="13" t="str">
        <x:v>2014</x:v>
      </x:c>
      <x:c r="G1233" s="9" t="str">
        <x:v>England and Wales Court of Appeal (Civil Division)</x:v>
      </x:c>
      <x:c r="H1233" s="9" t="str">
        <x:v>Appellate</x:v>
      </x:c>
      <x:c r="I1233" s="9" t="str">
        <x:v>England and Wales</x:v>
      </x:c>
      <x:c r="J1233" s="9" t="str">
        <x:v>Administrative Law</x:v>
      </x:c>
      <x:c r="K1233" s="9" t="str">
        <x:v>-ew-cases-EWCA-Civ-2014-1091.xml</x:v>
      </x:c>
      <x:c r="L1233" s="9" t="str">
        <x:v>TBA</x:v>
      </x:c>
    </x:row>
    <x:row r="1234">
      <x:c r="A1234" t="str">
        <x:v>ebc9d7a8-bec6-4634-b5db-907616d488d8</x:v>
      </x:c>
      <x:c r="B1234" t="str">
        <x:v>8cab87db-b430-4b53-bad0-f37dca1f241b</x:v>
      </x:c>
      <x:c r="C1234" s="9" t="str">
        <x:v>Grafton Group (UK) Plc &amp; Anor v Secretary of State for Transport &amp; Anor [2016] EWCA Civ 561 (Court of Appeal, Civil Division)</x:v>
      </x:c>
      <x:c r="D1234" s="9" t="str"/>
      <x:c r="E1234" s="9" t="str"/>
      <x:c r="F1234" s="13" t="str">
        <x:v>2016</x:v>
      </x:c>
      <x:c r="G1234" s="9" t="str">
        <x:v>England and Wales Court of Appeal (Civil Division)</x:v>
      </x:c>
      <x:c r="H1234" s="9" t="str">
        <x:v>Court of Appeal (Civil Division)</x:v>
      </x:c>
      <x:c r="I1234" s="9" t="str">
        <x:v>England and Wales</x:v>
      </x:c>
      <x:c r="J1234" s="9" t="str">
        <x:v>Public law / Administrative law; Planning law; Property/land acquisition</x:v>
      </x:c>
      <x:c r="K1234" s="9" t="str">
        <x:v>-ew-cases-EWCA-Civ-2016-561.xml</x:v>
      </x:c>
      <x:c r="L1234" s="9" t="str">
        <x:v>TBA</x:v>
      </x:c>
    </x:row>
    <x:row r="1235">
      <x:c r="A1235" t="str">
        <x:v>9a18ab9c-0d20-48c3-8ac1-d666cebf2a77</x:v>
      </x:c>
      <x:c r="B1235" t="str">
        <x:v>ab8e7504-1c97-4e4f-8bfe-802ffa3d4217</x:v>
      </x:c>
      <x:c r="C1235" s="9" t="str">
        <x:v>Graham v Commercial Bodyworks Ltd</x:v>
      </x:c>
      <x:c r="D1235" s="9" t="str"/>
      <x:c r="E1235" s="9" t="str"/>
      <x:c r="F1235" s="13" t="str">
        <x:v>2015</x:v>
      </x:c>
      <x:c r="G1235" s="9" t="str">
        <x:v>England and Wales Court of Appeal (Civil Division)</x:v>
      </x:c>
      <x:c r="H1235" s="9" t="str">
        <x:v>Appellate</x:v>
      </x:c>
      <x:c r="I1235" s="9" t="str">
        <x:v>England and Wales</x:v>
      </x:c>
      <x:c r="J1235" s="9" t="str">
        <x:v>Tort</x:v>
      </x:c>
      <x:c r="K1235" s="9" t="str">
        <x:v>-ew-cases-EWCA-Civ-2015-47.xml</x:v>
      </x:c>
      <x:c r="L1235" s="9" t="str">
        <x:v>TBA</x:v>
      </x:c>
    </x:row>
    <x:row r="1236">
      <x:c r="A1236" t="str">
        <x:v>32bdc66b-a493-40c2-8d4a-4f04d1ac585c</x:v>
      </x:c>
      <x:c r="B1236" t="str">
        <x:v>3eacf81e-ebd8-4a0e-bc7c-67670eef6482</x:v>
      </x:c>
      <x:c r="C1236" s="9" t="str">
        <x:v>Graham v Every &amp; Ors [2014] EWCA Civ 191</x:v>
      </x:c>
      <x:c r="D1236" s="9" t="str"/>
      <x:c r="E1236" s="9" t="str"/>
      <x:c r="F1236" s="13" t="str">
        <x:v>2014</x:v>
      </x:c>
      <x:c r="G1236" s="9" t="str">
        <x:v>England and Wales Court of Appeal (Civil Division)</x:v>
      </x:c>
      <x:c r="H1236" s="9" t="str">
        <x:v>Appellate</x:v>
      </x:c>
      <x:c r="I1236" s="9" t="str">
        <x:v>England and Wales</x:v>
      </x:c>
      <x:c r="J1236" s="9" t="str">
        <x:v>Corporate Law</x:v>
      </x:c>
      <x:c r="K1236" s="9" t="str">
        <x:v>-ew-cases-EWCA-Civ-2014-191.xml</x:v>
      </x:c>
      <x:c r="L1236" s="9" t="str">
        <x:v>TBA</x:v>
      </x:c>
    </x:row>
    <x:row r="1237">
      <x:c r="A1237" t="str">
        <x:v>5b3b7b39-e893-418a-887a-a701a44a6aa3</x:v>
      </x:c>
      <x:c r="B1237" t="str">
        <x:v>2629e4bc-57ee-47ac-adb3-f0fff73a26ce</x:v>
      </x:c>
      <x:c r="C1237" s="9" t="str">
        <x:v>Graham-York v York &amp; Ors [2015] EWCA Civ 72</x:v>
      </x:c>
      <x:c r="D1237" s="9" t="str"/>
      <x:c r="E1237" s="9" t="str"/>
      <x:c r="F1237" s="13" t="str">
        <x:v>2015</x:v>
      </x:c>
      <x:c r="G1237" s="9" t="str">
        <x:v>England and Wales Court of Appeal (Civil Division)</x:v>
      </x:c>
      <x:c r="H1237" s="9" t="str">
        <x:v>Appellate</x:v>
      </x:c>
      <x:c r="I1237" s="9" t="str">
        <x:v>England and Wales</x:v>
      </x:c>
      <x:c r="J1237" s="9" t="str">
        <x:v>Property Law</x:v>
      </x:c>
      <x:c r="K1237" s="9" t="str">
        <x:v>-ew-cases-EWCA-Civ-2015-72.xml</x:v>
      </x:c>
      <x:c r="L1237" s="9" t="str">
        <x:v>TBA</x:v>
      </x:c>
    </x:row>
    <x:row r="1238">
      <x:c r="A1238" t="str">
        <x:v>fa171b82-ea69-4631-a738-1681f47d98df</x:v>
      </x:c>
      <x:c r="B1238" t="str">
        <x:v>c4cd2ffb-b9cd-4d0a-86a8-35ada9fe1044</x:v>
      </x:c>
      <x:c r="C1238" s="9" t="str">
        <x:v>Granada Group Limited v The Law Debenture Pension Trust Corporation Plc [2016] EWCA Civ 1289</x:v>
      </x:c>
      <x:c r="D1238" s="9" t="str"/>
      <x:c r="E1238" s="9" t="str"/>
      <x:c r="F1238" s="13" t="str">
        <x:v>2016</x:v>
      </x:c>
      <x:c r="G1238" s="9" t="str">
        <x:v>England and Wales Court of Appeal (Civil Division)</x:v>
      </x:c>
      <x:c r="H1238" s="9" t="str">
        <x:v>Court of Appeal (Civil Division)</x:v>
      </x:c>
      <x:c r="I1238" s="9" t="str">
        <x:v>England and Wales</x:v>
      </x:c>
      <x:c r="J1238" s="9" t="str">
        <x:v>Company Law; Pensions; Trusts and Fiduciary Duties; Secured Transactions</x:v>
      </x:c>
      <x:c r="K1238" s="9" t="str">
        <x:v>-ew-cases-EWCA-Civ-2016-1289.xml</x:v>
      </x:c>
      <x:c r="L1238" s="9" t="str">
        <x:v>TBA</x:v>
      </x:c>
    </x:row>
    <x:row r="1239">
      <x:c r="A1239" t="str">
        <x:v>b3cbe9c4-52f9-4cad-bb79-e9300d37fc28</x:v>
      </x:c>
      <x:c r="B1239" t="str">
        <x:v>2ae4e909-56d6-46fa-b754-edcfe008b4f1</x:v>
      </x:c>
      <x:c r="C1239" s="9" t="str">
        <x:v>Grand China Logistics Holding (Group) Co. Ltd v Spar Shipping AS (Rev 1) [2016] EWCA Civ 982</x:v>
      </x:c>
      <x:c r="D1239" s="9" t="str"/>
      <x:c r="E1239" s="9" t="str"/>
      <x:c r="F1239" s="13" t="str">
        <x:v>2016</x:v>
      </x:c>
      <x:c r="G1239" s="9" t="str">
        <x:v>England and Wales Court of Appeal (Civil Division)</x:v>
      </x:c>
      <x:c r="H1239" s="9" t="str">
        <x:v>Court of Appeal (Civil Division)</x:v>
      </x:c>
      <x:c r="I1239" s="9" t="str">
        <x:v>England and Wales</x:v>
      </x:c>
      <x:c r="J1239" s="9" t="str">
        <x:v>Contract Law (Shipping/Charterparty); Marine/Vessel charter disputes</x:v>
      </x:c>
      <x:c r="K1239" s="9" t="str">
        <x:v>-ew-cases-EWCA-Civ-2016-982.xml</x:v>
      </x:c>
      <x:c r="L1239" s="9" t="str">
        <x:v>TBA</x:v>
      </x:c>
    </x:row>
    <x:row r="1240">
      <x:c r="A1240" t="str">
        <x:v>7c7d2579-31d7-4b45-bee0-01e33f059789</x:v>
      </x:c>
      <x:c r="B1240" t="str">
        <x:v>72dfe89b-31fc-4c66-81e7-88f110e2081b</x:v>
      </x:c>
      <x:c r="C1240" s="9" t="str">
        <x:v>Graves v Brouwer [2015] EWCA Civ 595</x:v>
      </x:c>
      <x:c r="D1240" s="9" t="str"/>
      <x:c r="E1240" s="9" t="str"/>
      <x:c r="F1240" s="13" t="str">
        <x:v>2015</x:v>
      </x:c>
      <x:c r="G1240" s="9" t="str">
        <x:v>England and Wales Court of Appeal (Civil Division)</x:v>
      </x:c>
      <x:c r="H1240" s="9" t="str">
        <x:v>Appellate</x:v>
      </x:c>
      <x:c r="I1240" s="9" t="str">
        <x:v>England and Wales</x:v>
      </x:c>
      <x:c r="J1240" s="9" t="str">
        <x:v>Tort Law</x:v>
      </x:c>
      <x:c r="K1240" s="9" t="str">
        <x:v>-ew-cases-EWCA-Civ-2015-595.xml</x:v>
      </x:c>
      <x:c r="L1240" s="9" t="str">
        <x:v>TBA</x:v>
      </x:c>
    </x:row>
    <x:row r="1241">
      <x:c r="A1241" t="str">
        <x:v>53ee7265-35dd-4fef-b92a-e9e07b24d1a2</x:v>
      </x:c>
      <x:c r="B1241" t="str">
        <x:v>1a4cbb65-140c-4c4e-8e60-4301acaa80e1</x:v>
      </x:c>
      <x:c r="C1241" s="9" t="str">
        <x:v>Graves v Capital Home Loans Ltd</x:v>
      </x:c>
      <x:c r="D1241" s="9" t="str"/>
      <x:c r="E1241" s="9" t="str"/>
      <x:c r="F1241" s="13" t="str">
        <x:v>2014</x:v>
      </x:c>
      <x:c r="G1241" s="9" t="str">
        <x:v>England and Wales Court of Appeal (Civil Division)</x:v>
      </x:c>
      <x:c r="H1241" s="9" t="str">
        <x:v>Appellate</x:v>
      </x:c>
      <x:c r="I1241" s="9" t="str">
        <x:v>England and Wales</x:v>
      </x:c>
      <x:c r="J1241" s="9" t="str">
        <x:v>Property Law</x:v>
      </x:c>
      <x:c r="K1241" s="9" t="str">
        <x:v>-ew-cases-EWCA-Civ-2014-1297.xml</x:v>
      </x:c>
      <x:c r="L1241" s="9" t="str">
        <x:v>TBA</x:v>
      </x:c>
    </x:row>
    <x:row r="1242">
      <x:c r="A1242" t="str">
        <x:v>59618416-d986-4e05-a4fa-67e954c31f95</x:v>
      </x:c>
      <x:c r="B1242" t="str">
        <x:v>e1179b40-5e21-4e53-a442-c8b3e411fc8b</x:v>
      </x:c>
      <x:c r="C1242" s="9" t="str">
        <x:v>Gray v Boreh [2017] EWCA Civ 56: Appeal by Non-Party Concerning Findings of Dishonesty</x:v>
      </x:c>
      <x:c r="D1242" s="9" t="str"/>
      <x:c r="E1242" s="9" t="str"/>
      <x:c r="F1242" s="13" t="str">
        <x:v>2017</x:v>
      </x:c>
      <x:c r="G1242" s="9" t="str">
        <x:v>England and Wales Court of Appeal (Civil Division)</x:v>
      </x:c>
      <x:c r="H1242" s="9" t="str">
        <x:v>Appellate</x:v>
      </x:c>
      <x:c r="I1242" s="9" t="str">
        <x:v>England and Wales</x:v>
      </x:c>
      <x:c r="J1242" s="9" t="str">
        <x:v>Civil Appeal</x:v>
      </x:c>
      <x:c r="K1242" s="9" t="str">
        <x:v>-ew-cases-EWCA-Civ-2017-56.xml</x:v>
      </x:c>
      <x:c r="L1242" s="9" t="str">
        <x:v>TBA</x:v>
      </x:c>
    </x:row>
    <x:row r="1243">
      <x:c r="A1243" t="str">
        <x:v>02949574-f91c-4cc0-a114-5236f078b531</x:v>
      </x:c>
      <x:c r="B1243" t="str">
        <x:v>79ac9104-d023-4589-82c4-577d1cfc4c14</x:v>
      </x:c>
      <x:c r="C1243" s="9" t="str">
        <x:v>Gray v Botwright [2014] EWCA Civ 1201</x:v>
      </x:c>
      <x:c r="D1243" s="9" t="str"/>
      <x:c r="E1243" s="9" t="str"/>
      <x:c r="F1243" s="13" t="str">
        <x:v>2014</x:v>
      </x:c>
      <x:c r="G1243" s="9" t="str">
        <x:v>England and Wales Court of Appeal (Civil Division)</x:v>
      </x:c>
      <x:c r="H1243" s="9" t="str">
        <x:v>Appellate</x:v>
      </x:c>
      <x:c r="I1243" s="9" t="str">
        <x:v>England and Wales</x:v>
      </x:c>
      <x:c r="J1243" s="9" t="str">
        <x:v>Tort</x:v>
      </x:c>
      <x:c r="K1243" s="9" t="str">
        <x:v>-ew-cases-EWCA-Civ-2014-1201.xml</x:v>
      </x:c>
      <x:c r="L1243" s="9" t="str">
        <x:v>TBA</x:v>
      </x:c>
    </x:row>
    <x:row r="1244">
      <x:c r="A1244" t="str">
        <x:v>d8d3469d-758f-420c-ba41-fff6a1e1bd8e</x:v>
      </x:c>
      <x:c r="B1244" t="str">
        <x:v>bac4f36a-4100-43c5-b108-4eb281e75495</x:v>
      </x:c>
      <x:c r="C1244" s="9" t="str">
        <x:v>Gray v Elite Town Management [2016] EWCA Civ 1216</x:v>
      </x:c>
      <x:c r="D1244" s="9" t="str"/>
      <x:c r="E1244" s="9" t="str"/>
      <x:c r="F1244" s="13" t="str">
        <x:v>2016</x:v>
      </x:c>
      <x:c r="G1244" s="9" t="str">
        <x:v>England and Wales Court of Appeal (Civil Division)</x:v>
      </x:c>
      <x:c r="H1244" s="9" t="str">
        <x:v>Court of Appeal (Civil Division)</x:v>
      </x:c>
      <x:c r="I1244" s="9" t="str">
        <x:v>England and Wales</x:v>
      </x:c>
      <x:c r="J1244" s="9" t="str">
        <x:v>Civil Procedure/Appeals</x:v>
      </x:c>
      <x:c r="K1244" s="9" t="str">
        <x:v>-ew-cases-EWCA-Civ-2016-1216.xml</x:v>
      </x:c>
      <x:c r="L1244" s="9" t="str">
        <x:v>TBA</x:v>
      </x:c>
    </x:row>
    <x:row r="1245">
      <x:c r="A1245" t="str">
        <x:v>72c8c6d6-05fb-4cf0-9890-760e1e90e49d</x:v>
      </x:c>
      <x:c r="B1245" t="str">
        <x:v>697ce03f-c35c-4232-9698-58fbf24d094d</x:v>
      </x:c>
      <x:c r="C1245" s="9" t="str">
        <x:v>Gray v Elite Town Management [2016] EWCA Civ 1318</x:v>
      </x:c>
      <x:c r="D1245" s="9" t="str"/>
      <x:c r="E1245" s="9" t="str"/>
      <x:c r="F1245" s="13" t="str">
        <x:v>2016</x:v>
      </x:c>
      <x:c r="G1245" s="9" t="str">
        <x:v>England and Wales Court of Appeal (Civil Division)</x:v>
      </x:c>
      <x:c r="H1245" s="9" t="str">
        <x:v>Court of Appeal (Civil Division)</x:v>
      </x:c>
      <x:c r="I1245" s="9" t="str">
        <x:v>England and Wales</x:v>
      </x:c>
      <x:c r="J1245" s="9" t="str">
        <x:v>Property Law; Construction Law</x:v>
      </x:c>
      <x:c r="K1245" s="9" t="str">
        <x:v>-ew-cases-EWCA-Civ-2016-1318.xml</x:v>
      </x:c>
      <x:c r="L1245" s="9" t="str">
        <x:v>TBA</x:v>
      </x:c>
    </x:row>
    <x:row r="1246">
      <x:c r="A1246" t="str">
        <x:v>436d6dfe-0f45-40c8-b77a-788d9797ee25</x:v>
      </x:c>
      <x:c r="B1246" t="str">
        <x:v>8f91b311-93e6-407c-99c7-74b668a0c63d</x:v>
      </x:c>
      <x:c r="C1246" s="9" t="str">
        <x:v>Gray v Gibson [2014] EWCA Civ 355</x:v>
      </x:c>
      <x:c r="D1246" s="9" t="str"/>
      <x:c r="E1246" s="9" t="str"/>
      <x:c r="F1246" s="13" t="str">
        <x:v>2014</x:v>
      </x:c>
      <x:c r="G1246" s="9" t="str">
        <x:v>England and Wales Court of Appeal (Civil Division)</x:v>
      </x:c>
      <x:c r="H1246" s="9" t="str">
        <x:v>Appellate</x:v>
      </x:c>
      <x:c r="I1246" s="9" t="str">
        <x:v>England and Wales</x:v>
      </x:c>
      <x:c r="J1246" s="9" t="str">
        <x:v>Tort Law</x:v>
      </x:c>
      <x:c r="K1246" s="9" t="str">
        <x:v>-ew-cases-EWCA-Civ-2014-355.xml</x:v>
      </x:c>
      <x:c r="L1246" s="9" t="str">
        <x:v>TBA</x:v>
      </x:c>
    </x:row>
    <x:row r="1247">
      <x:c r="A1247" t="str">
        <x:v>9ea8ee22-d487-47cb-8112-c3638ab7382d</x:v>
      </x:c>
      <x:c r="B1247" t="str">
        <x:v>0d6aff4f-5d6b-4b24-8baa-b4e31af28442</x:v>
      </x:c>
      <x:c r="C1247" s="9" t="str">
        <x:v>Gray v The Commissioner of Police of the Metropolis [2016] EWCA Civ 1360</x:v>
      </x:c>
      <x:c r="D1247" s="9" t="str"/>
      <x:c r="E1247" s="9" t="str"/>
      <x:c r="F1247" s="13" t="str">
        <x:v>2016</x:v>
      </x:c>
      <x:c r="G1247" s="9" t="str">
        <x:v>England and Wales Court of Appeal (Civil Division)</x:v>
      </x:c>
      <x:c r="H1247" s="9" t="str">
        <x:v>Court of Appeal (Civil Division)</x:v>
      </x:c>
      <x:c r="I1247" s="9" t="str">
        <x:v>England and Wales</x:v>
      </x:c>
      <x:c r="J1247" s="9" t="str">
        <x:v>Public Law (Administrative), Civil Appeal arising from traffic regulation and police seizure of vehicles</x:v>
      </x:c>
      <x:c r="K1247" s="9" t="str">
        <x:v>-ew-cases-EWCA-Civ-2016-1360.xml</x:v>
      </x:c>
      <x:c r="L1247" s="9" t="str">
        <x:v>TBA</x:v>
      </x:c>
    </x:row>
    <x:row r="1248">
      <x:c r="A1248" t="str">
        <x:v>445d319d-171e-41d4-b622-83d75b874659</x:v>
      </x:c>
      <x:c r="B1248" t="str">
        <x:v>e050e594-d197-45f1-ba15-7d110c0d93c4</x:v>
      </x:c>
      <x:c r="C1248" s="9" t="str">
        <x:v>Great Lakes Reinsurance (UK) SE v Western Trading Ltd [2016] EWCA Civ 1003 (11 October 2016)</x:v>
      </x:c>
      <x:c r="D1248" s="9" t="str"/>
      <x:c r="E1248" s="9" t="str"/>
      <x:c r="F1248" s="13" t="str">
        <x:v>2016</x:v>
      </x:c>
      <x:c r="G1248" s="9" t="str">
        <x:v>England and Wales Court of Appeal (Civil Division)</x:v>
      </x:c>
      <x:c r="H1248" s="9" t="str">
        <x:v>Court of Appeal (Civil Division)</x:v>
      </x:c>
      <x:c r="I1248" s="9" t="str">
        <x:v>England and Wales</x:v>
      </x:c>
      <x:c r="J1248" s="9" t="str">
        <x:v>Insurance/Contract Law</x:v>
      </x:c>
      <x:c r="K1248" s="9" t="str">
        <x:v>-ew-cases-EWCA-Civ-2016-1003.xml</x:v>
      </x:c>
      <x:c r="L1248" s="9" t="str">
        <x:v>TBA</x:v>
      </x:c>
    </x:row>
    <x:row r="1249">
      <x:c r="A1249" t="str">
        <x:v>28f7318b-d7c1-4921-85d5-22bbbbefc631</x:v>
      </x:c>
      <x:c r="B1249" t="str">
        <x:v>9eeb09f9-d3f7-4a72-add0-3a631ace61da</x:v>
      </x:c>
      <x:c r="C1249" s="9" t="str">
        <x:v>Greater Manchester Police v Bailey [2017] EWCA Civ 425</x:v>
      </x:c>
      <x:c r="D1249" s="9" t="str"/>
      <x:c r="E1249" s="9" t="str"/>
      <x:c r="F1249" s="13" t="str">
        <x:v>2017</x:v>
      </x:c>
      <x:c r="G1249" s="9" t="str">
        <x:v>England and Wales Court of Appeal (Civil Division)</x:v>
      </x:c>
      <x:c r="H1249" s="9" t="str">
        <x:v>Appellate</x:v>
      </x:c>
      <x:c r="I1249" s="9" t="str">
        <x:v>England and Wales</x:v>
      </x:c>
      <x:c r="J1249" s="9" t="str">
        <x:v>Employment Law</x:v>
      </x:c>
      <x:c r="K1249" s="9" t="str">
        <x:v>-ew-cases-EWCA-Civ-2017-425.xml</x:v>
      </x:c>
      <x:c r="L1249" s="9" t="str">
        <x:v>TBA</x:v>
      </x:c>
    </x:row>
    <x:row r="1250">
      <x:c r="A1250" t="str">
        <x:v>540824d9-b498-4b65-b2ef-acb0839e8ffe</x:v>
      </x:c>
      <x:c r="B1250" t="str">
        <x:v>a542a100-209d-466b-96c1-3b29455d01fd</x:v>
      </x:c>
      <x:c r="C1250" s="9" t="str">
        <x:v>Greater Manchester Police v Carroll</x:v>
      </x:c>
      <x:c r="D1250" s="9" t="str"/>
      <x:c r="E1250" s="9" t="str"/>
      <x:c r="F1250" s="13" t="str">
        <x:v>2017</x:v>
      </x:c>
      <x:c r="G1250" s="9" t="str">
        <x:v>England and Wales Court of Appeal (Civil Division)</x:v>
      </x:c>
      <x:c r="H1250" s="9" t="str">
        <x:v>Appellate</x:v>
      </x:c>
      <x:c r="I1250" s="9" t="str">
        <x:v>England and Wales</x:v>
      </x:c>
      <x:c r="J1250" s="9" t="str">
        <x:v>Personal Injury</x:v>
      </x:c>
      <x:c r="K1250" s="9" t="str">
        <x:v>-ew-cases-EWCA-Civ-2017-1992.xml</x:v>
      </x:c>
      <x:c r="L1250" s="9" t="str">
        <x:v>TBA</x:v>
      </x:c>
    </x:row>
    <x:row r="1251">
      <x:c r="A1251" t="str">
        <x:v>30448b77-748d-4255-b69a-5cedc34a2d77</x:v>
      </x:c>
      <x:c r="B1251" t="str">
        <x:v>37bd4da4-d1ca-415b-8db9-dbb3eeeb5f9c</x:v>
      </x:c>
      <x:c r="C1251" s="9" t="str">
        <x:v>Greaves v Boston Borough Council [2015] EWCA Civ 1095</x:v>
      </x:c>
      <x:c r="D1251" s="9" t="str"/>
      <x:c r="E1251" s="9" t="str"/>
      <x:c r="F1251" s="13" t="str">
        <x:v>2015</x:v>
      </x:c>
      <x:c r="G1251" s="9" t="str">
        <x:v>England and Wales Court of Appeal (Civil Division)</x:v>
      </x:c>
      <x:c r="H1251" s="9" t="str">
        <x:v>Appellate</x:v>
      </x:c>
      <x:c r="I1251" s="9" t="str">
        <x:v>England and Wales</x:v>
      </x:c>
      <x:c r="J1251" s="9" t="str">
        <x:v>Administrative Law</x:v>
      </x:c>
      <x:c r="K1251" s="9" t="str">
        <x:v>-ew-cases-EWCA-Civ-2015-1095.xml</x:v>
      </x:c>
      <x:c r="L1251" s="9" t="str">
        <x:v>TBA</x:v>
      </x:c>
    </x:row>
    <x:row r="1252">
      <x:c r="A1252" t="str">
        <x:v>fb15c1cf-8808-4430-8bf3-d707729a058b</x:v>
      </x:c>
      <x:c r="B1252" t="str">
        <x:v>aa7add80-5876-47ed-b916-1cfea0a8958d</x:v>
      </x:c>
      <x:c r="C1252" s="9" t="str">
        <x:v>Greaves v First Choice Homes Oldham Ltd [2015] EWCA Civ 810</x:v>
      </x:c>
      <x:c r="D1252" s="9" t="str"/>
      <x:c r="E1252" s="9" t="str"/>
      <x:c r="F1252" s="13" t="str">
        <x:v>2015</x:v>
      </x:c>
      <x:c r="G1252" s="9" t="str">
        <x:v>England and Wales Court of Appeal (Civil Division)</x:v>
      </x:c>
      <x:c r="H1252" s="9" t="str">
        <x:v>Appellate</x:v>
      </x:c>
      <x:c r="I1252" s="9" t="str">
        <x:v>England and Wales</x:v>
      </x:c>
      <x:c r="J1252" s="9" t="str">
        <x:v>Employment Law</x:v>
      </x:c>
      <x:c r="K1252" s="9" t="str">
        <x:v>-ew-cases-EWCA-Civ-2015-810.xml</x:v>
      </x:c>
      <x:c r="L1252" s="9" t="str">
        <x:v>TBA</x:v>
      </x:c>
    </x:row>
    <x:row r="1253">
      <x:c r="A1253" t="str">
        <x:v>ad8615cc-9264-490a-af89-3b671354eb39</x:v>
      </x:c>
      <x:c r="B1253" t="str">
        <x:v>f8ef6889-38cb-448c-8666-abcd94062f2a</x:v>
      </x:c>
      <x:c r="C1253" s="9" t="str">
        <x:v>Green (Supervisor of the IVA of Wright) v Wright</x:v>
      </x:c>
      <x:c r="D1253" s="9" t="str"/>
      <x:c r="E1253" s="9" t="str"/>
      <x:c r="F1253" s="13" t="str">
        <x:v>2017</x:v>
      </x:c>
      <x:c r="G1253" s="9" t="str">
        <x:v>England and Wales Court of Appeal (Civil Division)</x:v>
      </x:c>
      <x:c r="H1253" s="9" t="str">
        <x:v>Appellate</x:v>
      </x:c>
      <x:c r="I1253" s="9" t="str">
        <x:v>England and Wales</x:v>
      </x:c>
      <x:c r="J1253" s="9" t="str">
        <x:v>Insolvency</x:v>
      </x:c>
      <x:c r="K1253" s="9" t="str">
        <x:v>-ew-cases-EWCA-Civ-2017-111.xml</x:v>
      </x:c>
      <x:c r="L1253" s="9" t="str">
        <x:v>TBA</x:v>
      </x:c>
    </x:row>
    <x:row r="1254">
      <x:c r="A1254" t="str">
        <x:v>3e45c482-e6ed-4dd8-a452-aea9f55d0c18</x:v>
      </x:c>
      <x:c r="B1254" t="str">
        <x:v>ee81f896-3f6e-4a8c-86e9-7169799031ba</x:v>
      </x:c>
      <x:c r="C1254" s="9" t="str">
        <x:v>Green &amp; Ors v The Commissioner of Police of the Metropolis [2022] EWCA Civ 1686</x:v>
      </x:c>
      <x:c r="D1254" s="9" t="str"/>
      <x:c r="E1254" s="9" t="str"/>
      <x:c r="F1254" s="13" t="str">
        <x:v>2022</x:v>
      </x:c>
      <x:c r="G1254" s="9" t="str">
        <x:v>England and Wales Court of Appeal (Civil Division)</x:v>
      </x:c>
      <x:c r="H1254" s="9" t="str">
        <x:v>Court of Appeal (Civil Division)</x:v>
      </x:c>
      <x:c r="I1254" s="9" t="str">
        <x:v>England and Wales</x:v>
      </x:c>
      <x:c r="J1254" s="9" t="str">
        <x:v>Human Rights; Pension Law; Administrative Law</x:v>
      </x:c>
      <x:c r="K1254" s="9" t="str">
        <x:v>ew-cases-EWCA-Civ-2022-1686.xml</x:v>
      </x:c>
      <x:c r="L1254" s="9" t="str">
        <x:v>TBA</x:v>
      </x:c>
    </x:row>
    <x:row r="1255">
      <x:c r="A1255" t="str">
        <x:v>b1086895-b909-408e-805f-98fa2fe2065b</x:v>
      </x:c>
      <x:c r="B1255" t="str">
        <x:v>ae1fdc33-97f0-4cc0-ba11-14af100d00f3</x:v>
      </x:c>
      <x:c r="C1255" s="9" t="str">
        <x:v>Greene King Brewing and Retailing Ltd &amp; Anor v The Gambling Commission [2017] EWCA Civ 372</x:v>
      </x:c>
      <x:c r="D1255" s="9" t="str"/>
      <x:c r="E1255" s="9" t="str"/>
      <x:c r="F1255" s="13" t="str">
        <x:v>2017</x:v>
      </x:c>
      <x:c r="G1255" s="9" t="str">
        <x:v>England and Wales Court of Appeal (Civil Division)</x:v>
      </x:c>
      <x:c r="H1255" s="9" t="str">
        <x:v>Appellate</x:v>
      </x:c>
      <x:c r="I1255" s="9" t="str">
        <x:v>England and Wales</x:v>
      </x:c>
      <x:c r="J1255" s="9" t="str">
        <x:v>Administrative Law</x:v>
      </x:c>
      <x:c r="K1255" s="9" t="str">
        <x:v>-ew-cases-EWCA-Civ-2017-372.xml</x:v>
      </x:c>
      <x:c r="L1255" s="9" t="str">
        <x:v>TBA</x:v>
      </x:c>
    </x:row>
    <x:row r="1256">
      <x:c r="A1256" t="str">
        <x:v>221f121c-3d12-425b-9eab-8872eae549d6</x:v>
      </x:c>
      <x:c r="B1256" t="str">
        <x:v>24f747de-4a9b-43b6-90ad-0cce710f5bf8</x:v>
      </x:c>
      <x:c r="C1256" s="9" t="str">
        <x:v>Greene King plc &amp; Anor v Revenue and Customs [2016] EWCA Civ 782</x:v>
      </x:c>
      <x:c r="D1256" s="9" t="str"/>
      <x:c r="E1256" s="9" t="str"/>
      <x:c r="F1256" s="13" t="str">
        <x:v>2016</x:v>
      </x:c>
      <x:c r="G1256" s="9" t="str">
        <x:v>England and Wales Court of Appeal (Civil Division)</x:v>
      </x:c>
      <x:c r="H1256" s="9" t="str">
        <x:v>Court of Appeal</x:v>
      </x:c>
      <x:c r="I1256" s="9" t="str">
        <x:v>England and Wales</x:v>
      </x:c>
      <x:c r="J1256" s="9" t="str">
        <x:v>Tax / Corporate Tax</x:v>
      </x:c>
      <x:c r="K1256" s="9" t="str">
        <x:v>-ew-cases-EWCA-Civ-2016-782.xml</x:v>
      </x:c>
      <x:c r="L1256" s="9" t="str">
        <x:v>TBA</x:v>
      </x:c>
    </x:row>
    <x:row r="1257">
      <x:c r="A1257" t="str">
        <x:v>228c75c5-2bd8-414b-aa08-e63c90565426</x:v>
      </x:c>
      <x:c r="B1257" t="str">
        <x:v>cb066673-81ce-457e-883b-407b62ae9bb8</x:v>
      </x:c>
      <x:c r="C1257" s="9" t="str">
        <x:v>Greene v Davies [2022] EWCA Civ 414 (29 March 2022)</x:v>
      </x:c>
      <x:c r="D1257" s="9" t="str"/>
      <x:c r="E1257" s="9" t="str"/>
      <x:c r="F1257" s="13" t="str">
        <x:v>2022</x:v>
      </x:c>
      <x:c r="G1257" s="9" t="str">
        <x:v>England and Wales Court of Appeal (Civil Division)</x:v>
      </x:c>
      <x:c r="H1257" s="9" t="str">
        <x:v>Court of Appeal (Civil Division)</x:v>
      </x:c>
      <x:c r="I1257" s="9" t="str">
        <x:v>England and Wales</x:v>
      </x:c>
      <x:c r="J1257" s="9" t="str">
        <x:v>Disciplinary / Regulatory Law - Court of Appeal (Civil Division)</x:v>
      </x:c>
      <x:c r="K1257" s="9" t="str">
        <x:v>ew-cases-EWCA-Civ-2022-414.xml</x:v>
      </x:c>
      <x:c r="L1257" s="9" t="str">
        <x:v>TBA</x:v>
      </x:c>
    </x:row>
    <x:row r="1258">
      <x:c r="A1258" t="str">
        <x:v>257baac5-9581-4b35-a3d3-af4cbba1b5d0</x:v>
      </x:c>
      <x:c r="B1258" t="str">
        <x:v>690f2978-b410-456d-8745-0fd24cea8bf6</x:v>
      </x:c>
      <x:c r="C1258" s="9" t="str">
        <x:v>Greenspace (UK) Ltd v Commissioners for HM Revenue and Customs [2023] EWCA Civ 106</x:v>
      </x:c>
      <x:c r="D1258" s="9" t="str"/>
      <x:c r="E1258" s="9" t="str"/>
      <x:c r="F1258" s="13" t="str">
        <x:v>2023</x:v>
      </x:c>
      <x:c r="G1258" s="9" t="str">
        <x:v>England and Wales Court of Appeal (Civil Division)</x:v>
      </x:c>
      <x:c r="H1258" s="9" t="str">
        <x:v>Court of Appeal</x:v>
      </x:c>
      <x:c r="I1258" s="9" t="str">
        <x:v>United Kingdom (England and Wales)</x:v>
      </x:c>
      <x:c r="J1258" s="9" t="str">
        <x:v>Taxation / VAT</x:v>
      </x:c>
      <x:c r="K1258" s="9" t="str">
        <x:v>ew-cases-EWCA-Civ-2023-106.xml</x:v>
      </x:c>
      <x:c r="L1258" s="9" t="str">
        <x:v>TBA</x:v>
      </x:c>
    </x:row>
    <x:row r="1259">
      <x:c r="A1259" t="str">
        <x:v>63f45394-0568-4ebb-8be8-222b2bb24088</x:v>
      </x:c>
      <x:c r="B1259" t="str">
        <x:v>70918b88-b0dd-4643-b75e-10d84bdebb17</x:v>
      </x:c>
      <x:c r="C1259" s="9" t="str">
        <x:v>Greenstein v Campaign Against Antisemitism</x:v>
      </x:c>
      <x:c r="D1259" s="9" t="str"/>
      <x:c r="E1259" s="9" t="str"/>
      <x:c r="F1259" s="13" t="str">
        <x:v>2021</x:v>
      </x:c>
      <x:c r="G1259" s="9" t="str">
        <x:v>England and Wales Court of Appeal (Civil Division)</x:v>
      </x:c>
      <x:c r="H1259" s="9" t="str">
        <x:v>Appellate</x:v>
      </x:c>
      <x:c r="I1259" s="9" t="str">
        <x:v>England and Wales</x:v>
      </x:c>
      <x:c r="J1259" s="9" t="str">
        <x:v>Defamation</x:v>
      </x:c>
      <x:c r="K1259" s="9" t="str">
        <x:v>ew-cases-EWCA-Civ-2021-1006.xml</x:v>
      </x:c>
      <x:c r="L1259" s="9" t="str">
        <x:v>TBA</x:v>
      </x:c>
    </x:row>
    <x:row r="1260">
      <x:c r="A1260" t="str">
        <x:v>5b2a72a5-68df-41cf-9aa4-0040cf09bda3</x:v>
      </x:c>
      <x:c r="B1260" t="str">
        <x:v>9b711214-a3c9-4c1f-9216-3993261e3de9</x:v>
      </x:c>
      <x:c r="C1260" s="9" t="str">
        <x:v>Greenway &amp; Ors v Johnson Matthey Plc [2016] EWCA Civ 408</x:v>
      </x:c>
      <x:c r="D1260" s="9" t="str"/>
      <x:c r="E1260" s="9" t="str"/>
      <x:c r="F1260" s="13" t="str">
        <x:v>2016</x:v>
      </x:c>
      <x:c r="G1260" s="9" t="str">
        <x:v>England and Wales Court of Appeal (Civil Division)</x:v>
      </x:c>
      <x:c r="H1260" s="9" t="str">
        <x:v>Court of Appeal (Civil Division)</x:v>
      </x:c>
      <x:c r="I1260" s="9" t="str">
        <x:v>England and Wales</x:v>
      </x:c>
      <x:c r="J1260" s="9" t="str">
        <x:v>Tort; Contract; Employment Law</x:v>
      </x:c>
      <x:c r="K1260" s="9" t="str">
        <x:v>-ew-cases-EWCA-Civ-2016-408.xml</x:v>
      </x:c>
      <x:c r="L1260" s="9" t="str">
        <x:v>TBA</x:v>
      </x:c>
    </x:row>
    <x:row r="1261">
      <x:c r="A1261" t="str">
        <x:v>d7920c29-85f7-40fa-88bb-1bf2900fa283</x:v>
      </x:c>
      <x:c r="B1261" t="str">
        <x:v>17917fe0-6b56-454f-83ba-24b624256485</x:v>
      </x:c>
      <x:c r="C1261" s="9" t="str">
        <x:v>Greenwich Millennium Village Ltd v Essex Services Group Plc &amp; Ors</x:v>
      </x:c>
      <x:c r="D1261" s="9" t="str"/>
      <x:c r="E1261" s="9" t="str"/>
      <x:c r="F1261" s="13" t="str">
        <x:v>2014</x:v>
      </x:c>
      <x:c r="G1261" s="9" t="str">
        <x:v>England and Wales Court of Appeal (Civil Division)</x:v>
      </x:c>
      <x:c r="H1261" s="9" t="str">
        <x:v>Appellate</x:v>
      </x:c>
      <x:c r="I1261" s="9" t="str">
        <x:v>England and Wales</x:v>
      </x:c>
      <x:c r="J1261" s="9" t="str">
        <x:v>Contract Dispute</x:v>
      </x:c>
      <x:c r="K1261" s="9" t="str">
        <x:v>-ew-cases-EWCA-Civ-2014-960.xml</x:v>
      </x:c>
      <x:c r="L1261" s="9" t="str">
        <x:v>TBA</x:v>
      </x:c>
    </x:row>
    <x:row r="1262">
      <x:c r="A1262" t="str">
        <x:v>74bf2a5f-6273-46f3-b9a9-03b24d498cee</x:v>
      </x:c>
      <x:c r="B1262" t="str">
        <x:v>8972b377-cffc-4e9a-ba2c-530bb05024c6</x:v>
      </x:c>
      <x:c r="C1262" s="9" t="str">
        <x:v>Greetham v Greetham [2022] EWCA Civ 49</x:v>
      </x:c>
      <x:c r="D1262" s="9" t="str"/>
      <x:c r="E1262" s="9" t="str"/>
      <x:c r="F1262" s="13" t="str">
        <x:v>2022</x:v>
      </x:c>
      <x:c r="G1262" s="9" t="str">
        <x:v>England and Wales Court of Appeal (Civil Division)</x:v>
      </x:c>
      <x:c r="H1262" s="9" t="str">
        <x:v>Court of Appeal (Civil Division)</x:v>
      </x:c>
      <x:c r="I1262" s="9" t="str">
        <x:v>England and Wales</x:v>
      </x:c>
      <x:c r="J1262" s="9" t="str">
        <x:v>Civil Procedure / Contempt of Court / Appellate Review</x:v>
      </x:c>
      <x:c r="K1262" s="9" t="str">
        <x:v>ew-cases-EWCA-Civ-2022-49.xml</x:v>
      </x:c>
      <x:c r="L1262" s="9" t="str">
        <x:v>TBA</x:v>
      </x:c>
    </x:row>
    <x:row r="1263">
      <x:c r="A1263" t="str">
        <x:v>57dd70c4-1f7e-48b5-abef-8faa8fbe0e11</x:v>
      </x:c>
      <x:c r="B1263" t="str">
        <x:v>7f87dbec-6d7e-4348-ab33-269e35680022</x:v>
      </x:c>
      <x:c r="C1263" s="9" t="str">
        <x:v>Gregor Fisken Ltd v Carl [2021] EWCA Civ 792</x:v>
      </x:c>
      <x:c r="D1263" s="9" t="str"/>
      <x:c r="E1263" s="9" t="str"/>
      <x:c r="F1263" s="13" t="str">
        <x:v>2021</x:v>
      </x:c>
      <x:c r="G1263" s="9" t="str">
        <x:v>England and Wales Court of Appeal (Civil Division)</x:v>
      </x:c>
      <x:c r="H1263" s="9" t="str">
        <x:v>Appellate</x:v>
      </x:c>
      <x:c r="I1263" s="9" t="str">
        <x:v>England and Wales</x:v>
      </x:c>
      <x:c r="J1263" s="9" t="str">
        <x:v>Contract Dispute</x:v>
      </x:c>
      <x:c r="K1263" s="9" t="str">
        <x:v>ew-cases-EWCA-Civ-2021-792.xml</x:v>
      </x:c>
      <x:c r="L1263" s="9" t="str">
        <x:v>TBA</x:v>
      </x:c>
    </x:row>
    <x:row r="1264">
      <x:c r="A1264" t="str">
        <x:v>967023ac-0989-4519-8545-172a9c06a7a2</x:v>
      </x:c>
      <x:c r="B1264" t="str">
        <x:v>12c36c52-a68c-47c2-8499-089a2f67bf5c</x:v>
      </x:c>
      <x:c r="C1264" s="9" t="str">
        <x:v>Griffin v Plymouth Hospital NHS Trust [2014] EWCA Civ 1240 - Employment Appeals</x:v>
      </x:c>
      <x:c r="D1264" s="9" t="str"/>
      <x:c r="E1264" s="9" t="str"/>
      <x:c r="F1264" s="13" t="str">
        <x:v>2014</x:v>
      </x:c>
      <x:c r="G1264" s="9" t="str">
        <x:v>England and Wales Court of Appeal (Civil Division)</x:v>
      </x:c>
      <x:c r="H1264" s="9" t="str">
        <x:v>Appellate</x:v>
      </x:c>
      <x:c r="I1264" s="9" t="str">
        <x:v>England and Wales</x:v>
      </x:c>
      <x:c r="J1264" s="9" t="str">
        <x:v>Employment Law</x:v>
      </x:c>
      <x:c r="K1264" s="9" t="str">
        <x:v>-ew-cases-EWCA-Civ-2014-1240.xml</x:v>
      </x:c>
      <x:c r="L1264" s="9" t="str">
        <x:v>TBA</x:v>
      </x:c>
    </x:row>
    <x:row r="1265">
      <x:c r="A1265" t="str">
        <x:v>8775d0e4-370d-4a07-9755-0b055a4c7fbb</x:v>
      </x:c>
      <x:c r="B1265" t="str">
        <x:v>9d0c5e82-5cdf-4fb0-be46-0527857bcf50</x:v>
      </x:c>
      <x:c r="C1265" s="9" t="str">
        <x:v>Griffith &amp; Anor v Gourgey &amp; Ors [2017] EWCA Civ 926</x:v>
      </x:c>
      <x:c r="D1265" s="9" t="str"/>
      <x:c r="E1265" s="9" t="str"/>
      <x:c r="F1265" s="13" t="str">
        <x:v>2017</x:v>
      </x:c>
      <x:c r="G1265" s="9" t="str">
        <x:v>England and Wales Court of Appeal (Civil Division)</x:v>
      </x:c>
      <x:c r="H1265" s="9" t="str">
        <x:v>Appellate</x:v>
      </x:c>
      <x:c r="I1265" s="9" t="str">
        <x:v>England &amp; Wales</x:v>
      </x:c>
      <x:c r="J1265" s="9" t="str">
        <x:v>Contract Dispute</x:v>
      </x:c>
      <x:c r="K1265" s="9" t="str">
        <x:v>-ew-cases-EWCA-Civ-2017-926.xml</x:v>
      </x:c>
      <x:c r="L1265" s="9" t="str">
        <x:v>TBA</x:v>
      </x:c>
    </x:row>
    <x:row r="1266">
      <x:c r="A1266" t="str">
        <x:v>6d1eab12-12c9-4dd5-98a9-3b676fc96955</x:v>
      </x:c>
      <x:c r="B1266" t="str">
        <x:v>835a97a7-4d2d-48ef-90d6-d7c729440184</x:v>
      </x:c>
      <x:c r="C1266" s="9" t="str">
        <x:v>Griffiths v Gourlay &amp; Ors [2015] EWCA Civ 1562</x:v>
      </x:c>
      <x:c r="D1266" s="9" t="str"/>
      <x:c r="E1266" s="9" t="str"/>
      <x:c r="F1266" s="13" t="str">
        <x:v>2015</x:v>
      </x:c>
      <x:c r="G1266" s="9" t="str">
        <x:v>England and Wales Court of Appeal (Civil Division)</x:v>
      </x:c>
      <x:c r="H1266" s="9" t="str">
        <x:v>Appellate</x:v>
      </x:c>
      <x:c r="I1266" s="9" t="str">
        <x:v>England and Wales</x:v>
      </x:c>
      <x:c r="J1266" s="9" t="str">
        <x:v>Civil Appeal</x:v>
      </x:c>
      <x:c r="K1266" s="9" t="str">
        <x:v>-ew-cases-EWCA-Civ-2015-1562.xml</x:v>
      </x:c>
      <x:c r="L1266" s="9" t="str">
        <x:v>TBA</x:v>
      </x:c>
    </x:row>
    <x:row r="1267">
      <x:c r="A1267" t="str">
        <x:v>dfee1603-6360-4a68-9d2a-47baf3e542ac</x:v>
      </x:c>
      <x:c r="B1267" t="str">
        <x:v>70c75405-8cba-40e2-92ff-8302ea4f6789</x:v>
      </x:c>
      <x:c r="C1267" s="9" t="str">
        <x:v>Griffiths v Gwynedd County Council [2015] EWCA Civ 1440</x:v>
      </x:c>
      <x:c r="D1267" s="9" t="str"/>
      <x:c r="E1267" s="9" t="str"/>
      <x:c r="F1267" s="13" t="str">
        <x:v>2015</x:v>
      </x:c>
      <x:c r="G1267" s="9" t="str">
        <x:v>England and Wales Court of Appeal (Civil Division)</x:v>
      </x:c>
      <x:c r="H1267" s="9" t="str">
        <x:v>Appellate</x:v>
      </x:c>
      <x:c r="I1267" s="9" t="str">
        <x:v>England and Wales</x:v>
      </x:c>
      <x:c r="J1267" s="9" t="str">
        <x:v>Tort</x:v>
      </x:c>
      <x:c r="K1267" s="9" t="str">
        <x:v>-ew-cases-EWCA-Civ-2015-1440.xml</x:v>
      </x:c>
      <x:c r="L1267" s="9" t="str">
        <x:v>TBA</x:v>
      </x:c>
    </x:row>
    <x:row r="1268">
      <x:c r="A1268" t="str">
        <x:v>dc7bd442-b902-49c5-a038-666ca417af37</x:v>
      </x:c>
      <x:c r="B1268" t="str">
        <x:v>74823846-e810-4169-9991-614e7d65c7c0</x:v>
      </x:c>
      <x:c r="C1268" s="9" t="str">
        <x:v>Griffiths v The Secretary of State for Work And Pensions [2015] EWCA Civ 1265</x:v>
      </x:c>
      <x:c r="D1268" s="9" t="str"/>
      <x:c r="E1268" s="9" t="str"/>
      <x:c r="F1268" s="13" t="str">
        <x:v>2015</x:v>
      </x:c>
      <x:c r="G1268" s="9" t="str">
        <x:v>England and Wales Court of Appeal (Civil Division)</x:v>
      </x:c>
      <x:c r="H1268" s="9" t="str">
        <x:v>Appellate</x:v>
      </x:c>
      <x:c r="I1268" s="9" t="str">
        <x:v>England and Wales</x:v>
      </x:c>
      <x:c r="J1268" s="9" t="str">
        <x:v>Employment Law</x:v>
      </x:c>
      <x:c r="K1268" s="9" t="str">
        <x:v>-ew-cases-EWCA-Civ-2015-1265.xml</x:v>
      </x:c>
      <x:c r="L1268" s="9" t="str">
        <x:v>TBA</x:v>
      </x:c>
    </x:row>
    <x:row r="1269">
      <x:c r="A1269" t="str">
        <x:v>b3c6b0c2-bfcb-4b24-97e2-b827e5fd899e</x:v>
      </x:c>
      <x:c r="B1269" t="str">
        <x:v>8a2b39f5-2594-4fd4-a082-0cb438d1dd5a</x:v>
      </x:c>
      <x:c r="C1269" s="9" t="str">
        <x:v>Griffiths v Tickle &amp; Ors</x:v>
      </x:c>
      <x:c r="D1269" s="9" t="str"/>
      <x:c r="E1269" s="9" t="str"/>
      <x:c r="F1269" s="13" t="str">
        <x:v>2021</x:v>
      </x:c>
      <x:c r="G1269" s="9" t="str">
        <x:v>England and Wales Court of Appeal (Civil Division)</x:v>
      </x:c>
      <x:c r="H1269" s="9" t="str">
        <x:v>Appellate</x:v>
      </x:c>
      <x:c r="I1269" s="9" t="str">
        <x:v>England and Wales</x:v>
      </x:c>
      <x:c r="J1269" s="9" t="str">
        <x:v>Family Law</x:v>
      </x:c>
      <x:c r="K1269" s="9" t="str">
        <x:v>ew-cases-EWCA-Civ-2021-1882.xml</x:v>
      </x:c>
      <x:c r="L1269" s="9" t="str">
        <x:v>TBA</x:v>
      </x:c>
    </x:row>
    <x:row r="1270">
      <x:c r="A1270" t="str">
        <x:v>40f10362-9efa-4bf2-b34d-9098e538551b</x:v>
      </x:c>
      <x:c r="B1270" t="str">
        <x:v>30a5d9df-2b6f-40d5-9da9-4f6d4ff1d2c1</x:v>
      </x:c>
      <x:c r="C1270" s="9" t="str">
        <x:v>Griffiths v Tickle &amp; Ors (Re Disclosure by Counsel for Appellant and Application by First Respondent) [2022] EWCA Civ 465</x:v>
      </x:c>
      <x:c r="D1270" s="9" t="str"/>
      <x:c r="E1270" s="9" t="str"/>
      <x:c r="F1270" s="13" t="str">
        <x:v>2022</x:v>
      </x:c>
      <x:c r="G1270" s="9" t="str">
        <x:v>England and Wales Court of Appeal (Civil Division)</x:v>
      </x:c>
      <x:c r="H1270" s="9" t="str">
        <x:v>Court of Appeal (Civil Division)</x:v>
      </x:c>
      <x:c r="I1270" s="9" t="str">
        <x:v>England and Wales</x:v>
      </x:c>
      <x:c r="J1270" s="9" t="str">
        <x:v>Civil Appeal / Contempt in Family Proceedings</x:v>
      </x:c>
      <x:c r="K1270" s="9" t="str">
        <x:v>ew-cases-EWCA-Civ-2022-465.xml</x:v>
      </x:c>
      <x:c r="L1270" s="9" t="str">
        <x:v>TBA</x:v>
      </x:c>
    </x:row>
    <x:row r="1271">
      <x:c r="A1271" t="str">
        <x:v>af02f6c7-b850-4b53-938e-8fbd563745aa</x:v>
      </x:c>
      <x:c r="B1271" t="str">
        <x:v>4d0debc1-d892-4fd2-a1fc-b150da37310e</x:v>
      </x:c>
      <x:c r="C1271" s="9" t="str">
        <x:v>Griffiths v Tui (UK) Ltd (Rev1)</x:v>
      </x:c>
      <x:c r="D1271" s="9" t="str"/>
      <x:c r="E1271" s="9" t="str"/>
      <x:c r="F1271" s="13" t="str">
        <x:v>2021</x:v>
      </x:c>
      <x:c r="G1271" s="9" t="str">
        <x:v>England and Wales Court of Appeal (Civil Division)</x:v>
      </x:c>
      <x:c r="H1271" s="9" t="str">
        <x:v>Appellate</x:v>
      </x:c>
      <x:c r="I1271" s="9" t="str">
        <x:v>England and Wales</x:v>
      </x:c>
      <x:c r="J1271" s="9" t="str">
        <x:v>Tort</x:v>
      </x:c>
      <x:c r="K1271" s="9" t="str">
        <x:v>ew-cases-EWCA-Civ-2021-1442.xml</x:v>
      </x:c>
      <x:c r="L1271" s="9" t="str">
        <x:v>TBA</x:v>
      </x:c>
    </x:row>
    <x:row r="1272">
      <x:c r="A1272" t="str">
        <x:v>ed6630ec-621c-458f-91b2-db7b2278ab64</x:v>
      </x:c>
      <x:c r="B1272" t="str">
        <x:v>63b736cd-55da-4a64-aac7-bb86df5bfc35</x:v>
      </x:c>
      <x:c r="C1272" s="9" t="str">
        <x:v>Grimes v The Trustees of the Essex Farmers And Union Hunt [2017] EWCA Civ 361</x:v>
      </x:c>
      <x:c r="D1272" s="9" t="str"/>
      <x:c r="E1272" s="9" t="str"/>
      <x:c r="F1272" s="13" t="str">
        <x:v>2017</x:v>
      </x:c>
      <x:c r="G1272" s="9" t="str">
        <x:v>England and Wales Court of Appeal (Civil Division)</x:v>
      </x:c>
      <x:c r="H1272" s="9" t="str">
        <x:v>Appellate</x:v>
      </x:c>
      <x:c r="I1272" s="9" t="str">
        <x:v>England and Wales</x:v>
      </x:c>
      <x:c r="J1272" s="9" t="str">
        <x:v>Tenancy Dispute</x:v>
      </x:c>
      <x:c r="K1272" s="9" t="str">
        <x:v>-ew-cases-EWCA-Civ-2017-361.xml</x:v>
      </x:c>
      <x:c r="L1272" s="9" t="str">
        <x:v>TBA</x:v>
      </x:c>
    </x:row>
    <x:row r="1273">
      <x:c r="A1273" t="str">
        <x:v>17c8980a-6b53-46a1-a072-59e9ffab0ac2</x:v>
      </x:c>
      <x:c r="B1273" t="str">
        <x:v>1958a917-bf32-4dfd-b187-53cf3fe210bb</x:v>
      </x:c>
      <x:c r="C1273" s="9" t="str">
        <x:v>Grizzly Business Ltd v Stena Drilling Ltd &amp; Anor [2017] EWCA Civ 94</x:v>
      </x:c>
      <x:c r="D1273" s="9" t="str"/>
      <x:c r="E1273" s="9" t="str"/>
      <x:c r="F1273" s="13" t="str">
        <x:v>2017</x:v>
      </x:c>
      <x:c r="G1273" s="9" t="str">
        <x:v>England and Wales Court of Appeal (Civil Division)</x:v>
      </x:c>
      <x:c r="H1273" s="9" t="str">
        <x:v>Court of Appeal</x:v>
      </x:c>
      <x:c r="I1273" s="9" t="str">
        <x:v>England and Wales</x:v>
      </x:c>
      <x:c r="J1273" s="9" t="str">
        <x:v>Contract Dispute</x:v>
      </x:c>
      <x:c r="K1273" s="9" t="str">
        <x:v>-ew-cases-EWCA-Civ-2017-94.xml</x:v>
      </x:c>
      <x:c r="L1273" s="9" t="str">
        <x:v>TBA</x:v>
      </x:c>
    </x:row>
    <x:row r="1274">
      <x:c r="A1274" t="str">
        <x:v>a2a571e2-0778-4c7d-843d-5294ad98d44d</x:v>
      </x:c>
      <x:c r="B1274" t="str">
        <x:v>7dc17ac1-9784-4bba-acf1-d5dd2feaf557</x:v>
      </x:c>
      <x:c r="C1274" s="9" t="str">
        <x:v>Grizzy Business Ltd v Stena Drilling [2015] EWCA Civ 867</x:v>
      </x:c>
      <x:c r="D1274" s="9" t="str"/>
      <x:c r="E1274" s="9" t="str"/>
      <x:c r="F1274" s="13" t="str">
        <x:v>2015</x:v>
      </x:c>
      <x:c r="G1274" s="9" t="str">
        <x:v>England and Wales Court of Appeal (Civil Division)</x:v>
      </x:c>
      <x:c r="H1274" s="9" t="str">
        <x:v>Appellate</x:v>
      </x:c>
      <x:c r="I1274" s="9" t="str">
        <x:v>England and Wales</x:v>
      </x:c>
      <x:c r="J1274" s="9" t="str">
        <x:v>Contract Dispute</x:v>
      </x:c>
      <x:c r="K1274" s="9" t="str">
        <x:v>-ew-cases-EWCA-Civ-2015-867.xml</x:v>
      </x:c>
      <x:c r="L1274" s="9" t="str">
        <x:v>TBA</x:v>
      </x:c>
    </x:row>
    <x:row r="1275">
      <x:c r="A1275" t="str">
        <x:v>49921def-f259-4eac-8a62-e0a9a3303261</x:v>
      </x:c>
      <x:c r="B1275" t="str">
        <x:v>c4ebc52d-33fb-4882-8b2e-bf8493359d3c</x:v>
      </x:c>
      <x:c r="C1275" s="9" t="str">
        <x:v>Grocholewska-Mullins v Mullins [2014] EWCA Civ 148</x:v>
      </x:c>
      <x:c r="D1275" s="9" t="str"/>
      <x:c r="E1275" s="9" t="str"/>
      <x:c r="F1275" s="13" t="str">
        <x:v>2014</x:v>
      </x:c>
      <x:c r="G1275" s="9" t="str">
        <x:v>England and Wales Court of Appeal (Civil Division)</x:v>
      </x:c>
      <x:c r="H1275" s="9" t="str">
        <x:v>Appellate</x:v>
      </x:c>
      <x:c r="I1275" s="9" t="str">
        <x:v>England and Wales</x:v>
      </x:c>
      <x:c r="J1275" s="9" t="str">
        <x:v>Family Law</x:v>
      </x:c>
      <x:c r="K1275" s="9" t="str">
        <x:v>-ew-cases-EWCA-Civ-2014-148.xml</x:v>
      </x:c>
      <x:c r="L1275" s="9" t="str">
        <x:v>TBA</x:v>
      </x:c>
    </x:row>
    <x:row r="1276">
      <x:c r="A1276" t="str">
        <x:v>bb684fc2-a823-4c39-ac54-a419ef0cae20</x:v>
      </x:c>
      <x:c r="B1276" t="str">
        <x:v>2c0b395f-da3f-4a3e-8b0c-e9d86db73fd9</x:v>
      </x:c>
      <x:c r="C1276" s="9" t="str">
        <x:v>Grosvenor (Mayfair) Estate v Merix International Ventures Ltd &amp; Anor</x:v>
      </x:c>
      <x:c r="D1276" s="9" t="str"/>
      <x:c r="E1276" s="9" t="str"/>
      <x:c r="F1276" s="13" t="str">
        <x:v>2017</x:v>
      </x:c>
      <x:c r="G1276" s="9" t="str">
        <x:v>England and Wales Court of Appeal (Civil Division)</x:v>
      </x:c>
      <x:c r="H1276" s="9" t="str">
        <x:v>Appellate</x:v>
      </x:c>
      <x:c r="I1276" s="9" t="str">
        <x:v>England and Wales</x:v>
      </x:c>
      <x:c r="J1276" s="9" t="str">
        <x:v>Property Law</x:v>
      </x:c>
      <x:c r="K1276" s="9" t="str">
        <x:v>-ew-cases-EWCA-Civ-2017-190.xml</x:v>
      </x:c>
      <x:c r="L1276" s="9" t="str">
        <x:v>TBA</x:v>
      </x:c>
    </x:row>
    <x:row r="1277">
      <x:c r="A1277" t="str">
        <x:v>b4f4ffcb-4084-4e15-a973-9e4d9e360029</x:v>
      </x:c>
      <x:c r="B1277" t="str">
        <x:v>fc3a7d73-0542-421b-9be1-12f07edcfd92</x:v>
      </x:c>
      <x:c r="C1277" s="9" t="str">
        <x:v>Group Seven Ltd &amp; Anor v Allied Investment Corporation Ltd &amp; Ors [2015] EWCA Civ 631</x:v>
      </x:c>
      <x:c r="D1277" s="9" t="str"/>
      <x:c r="E1277" s="9" t="str"/>
      <x:c r="F1277" s="13" t="str">
        <x:v>2015</x:v>
      </x:c>
      <x:c r="G1277" s="9" t="str">
        <x:v>England and Wales Court of Appeal (Civil Division)</x:v>
      </x:c>
      <x:c r="H1277" s="9" t="str">
        <x:v>Appellate</x:v>
      </x:c>
      <x:c r="I1277" s="9" t="str">
        <x:v>England and Wales</x:v>
      </x:c>
      <x:c r="J1277" s="9" t="str">
        <x:v>Civil Fraud</x:v>
      </x:c>
      <x:c r="K1277" s="9" t="str">
        <x:v>-ew-cases-EWCA-Civ-2015-631.xml</x:v>
      </x:c>
      <x:c r="L1277" s="9" t="str">
        <x:v>TBA</x:v>
      </x:c>
    </x:row>
    <x:row r="1278">
      <x:c r="A1278" t="str">
        <x:v>9f20ac44-855e-40a7-b935-f36205b0e18a</x:v>
      </x:c>
      <x:c r="B1278" t="str">
        <x:v>84a6b101-c9e8-4172-97fc-b09182cc505f</x:v>
      </x:c>
      <x:c r="C1278" s="9" t="str">
        <x:v>GS (India), &amp; Ors v The Secretary of State for the Home Department</x:v>
      </x:c>
      <x:c r="D1278" s="9" t="str"/>
      <x:c r="E1278" s="9" t="str"/>
      <x:c r="F1278" s="13" t="str">
        <x:v>2015</x:v>
      </x:c>
      <x:c r="G1278" s="9" t="str">
        <x:v>England and Wales Court of Appeal (Civil Division)</x:v>
      </x:c>
      <x:c r="H1278" s="9" t="str">
        <x:v>Appellate</x:v>
      </x:c>
      <x:c r="I1278" s="9" t="str">
        <x:v>England and Wales</x:v>
      </x:c>
      <x:c r="J1278" s="9" t="str">
        <x:v>Immigration and Human Rights</x:v>
      </x:c>
      <x:c r="K1278" s="9" t="str">
        <x:v>-ew-cases-EWCA-Civ-2015-40.xml</x:v>
      </x:c>
      <x:c r="L1278" s="9" t="str">
        <x:v>TBA</x:v>
      </x:c>
    </x:row>
    <x:row r="1279">
      <x:c r="A1279" t="str">
        <x:v>1d9ffc4a-d1ee-4d27-b997-0157a1bcf1be</x:v>
      </x:c>
      <x:c r="B1279" t="str">
        <x:v>5b33cfd5-3b78-46e1-959e-734df6b8204d</x:v>
      </x:c>
      <x:c r="C1279" s="9" t="str">
        <x:v>GSD Law Ltd v Wardman &amp; Ors [2017] EWCA Civ 2144</x:v>
      </x:c>
      <x:c r="D1279" s="9" t="str"/>
      <x:c r="E1279" s="9" t="str"/>
      <x:c r="F1279" s="13" t="str">
        <x:v>2017</x:v>
      </x:c>
      <x:c r="G1279" s="9" t="str">
        <x:v>England and Wales Court of Appeal (Civil Division)</x:v>
      </x:c>
      <x:c r="H1279" s="9" t="str">
        <x:v>Appellate</x:v>
      </x:c>
      <x:c r="I1279" s="9" t="str">
        <x:v>England and Wales</x:v>
      </x:c>
      <x:c r="J1279" s="9" t="str">
        <x:v>Costs Misconduct</x:v>
      </x:c>
      <x:c r="K1279" s="9" t="str">
        <x:v>-ew-cases-EWCA-Civ-2017-2144.xml</x:v>
      </x:c>
      <x:c r="L1279" s="9" t="str">
        <x:v>TBA</x:v>
      </x:c>
    </x:row>
    <x:row r="1280">
      <x:c r="A1280" t="str">
        <x:v>11105209-3a58-40b7-b127-e7d318c0f70d</x:v>
      </x:c>
      <x:c r="B1280" t="str">
        <x:v>49105ede-4c18-46f3-b78a-9779a0f98d9c</x:v>
      </x:c>
      <x:c r="C1280" s="9" t="str">
        <x:v>Guardians of New Zealand Superannuation Fund v Novo Banco, S.A. [2016] EWCA Civ 1092 (Court of Appeal, Civil Division, England and Wales)</x:v>
      </x:c>
      <x:c r="D1280" s="9" t="str"/>
      <x:c r="E1280" s="9" t="str"/>
      <x:c r="F1280" s="13" t="str">
        <x:v>2016</x:v>
      </x:c>
      <x:c r="G1280" s="9" t="str">
        <x:v>England and Wales Court of Appeal (Civil Division)</x:v>
      </x:c>
      <x:c r="H1280" s="9" t="str">
        <x:v>Court of Appeal (Civil Division)</x:v>
      </x:c>
      <x:c r="I1280" s="9" t="str">
        <x:v>England and Wales</x:v>
      </x:c>
      <x:c r="J1280" s="9" t="str">
        <x:v>EU law / Banking regulation / Cross-border resolution / Jurisdiction</x:v>
      </x:c>
      <x:c r="K1280" s="9" t="str">
        <x:v>-ew-cases-EWCA-Civ-2016-1092.xml</x:v>
      </x:c>
      <x:c r="L1280" s="9" t="str">
        <x:v>TBA</x:v>
      </x:c>
    </x:row>
    <x:row r="1281">
      <x:c r="A1281" t="str">
        <x:v>b1b4d96f-12a5-4056-82c6-88b89038bdb2</x:v>
      </x:c>
      <x:c r="B1281" t="str">
        <x:v>b7f76d8a-1872-4ebe-93e8-f90c3c915f85</x:v>
      </x:c>
      <x:c r="C1281" s="9" t="str">
        <x:v>Gudanaviciene v The Director of Legal Aid Casework</x:v>
      </x:c>
      <x:c r="D1281" s="9" t="str"/>
      <x:c r="E1281" s="9" t="str"/>
      <x:c r="F1281" s="13" t="str">
        <x:v>2014</x:v>
      </x:c>
      <x:c r="G1281" s="9" t="str">
        <x:v>England and Wales Court of Appeal (Civil Division)</x:v>
      </x:c>
      <x:c r="H1281" s="9" t="str">
        <x:v>Appellate</x:v>
      </x:c>
      <x:c r="I1281" s="9" t="str">
        <x:v>England and Wales</x:v>
      </x:c>
      <x:c r="J1281" s="9" t="str">
        <x:v>Administrative Law</x:v>
      </x:c>
      <x:c r="K1281" s="9" t="str">
        <x:v>-ew-cases-EWCA-Civ-2014-1622.xml</x:v>
      </x:c>
      <x:c r="L1281" s="9" t="str">
        <x:v>TBA</x:v>
      </x:c>
    </x:row>
    <x:row r="1282">
      <x:c r="A1282" t="str">
        <x:v>c7f50bf4-2803-4f62-9b3a-4295e9765463</x:v>
      </x:c>
      <x:c r="B1282" t="str">
        <x:v>034351c5-4878-490c-b04c-b3e3e9085c90</x:v>
      </x:c>
      <x:c r="C1282" s="9" t="str">
        <x:v>Gudanaviciene, R (on the application of) v Immigration and Asylum First Tier Tribunal</x:v>
      </x:c>
      <x:c r="D1282" s="9" t="str"/>
      <x:c r="E1282" s="9" t="str"/>
      <x:c r="F1282" s="13" t="str">
        <x:v>2017</x:v>
      </x:c>
      <x:c r="G1282" s="9" t="str">
        <x:v>England and Wales Court of Appeal (Civil Division)</x:v>
      </x:c>
      <x:c r="H1282" s="9" t="str">
        <x:v>Appellate</x:v>
      </x:c>
      <x:c r="I1282" s="9" t="str">
        <x:v>England and Wales</x:v>
      </x:c>
      <x:c r="J1282" s="9" t="str">
        <x:v>Administrative Law</x:v>
      </x:c>
      <x:c r="K1282" s="9" t="str">
        <x:v>-ew-cases-EWCA-Civ-2017-352.xml</x:v>
      </x:c>
      <x:c r="L1282" s="9" t="str">
        <x:v>TBA</x:v>
      </x:c>
    </x:row>
    <x:row r="1283">
      <x:c r="A1283" t="str">
        <x:v>17d6c5d8-e680-4b3f-8c13-45cffa6ea2f4</x:v>
      </x:c>
      <x:c r="B1283" t="str">
        <x:v>befaa905-39a8-4037-a95d-a382cb066675</x:v>
      </x:c>
      <x:c r="C1283" s="9" t="str">
        <x:v>Guerroudj v Rymarczyk [2015] EWCA Civ 743</x:v>
      </x:c>
      <x:c r="D1283" s="9" t="str"/>
      <x:c r="E1283" s="9" t="str"/>
      <x:c r="F1283" s="13" t="str">
        <x:v>2015</x:v>
      </x:c>
      <x:c r="G1283" s="9" t="str">
        <x:v>England and Wales Court of Appeal (Civil Division)</x:v>
      </x:c>
      <x:c r="H1283" s="9" t="str">
        <x:v>Appellate</x:v>
      </x:c>
      <x:c r="I1283" s="9" t="str">
        <x:v>England and Wales</x:v>
      </x:c>
      <x:c r="J1283" s="9" t="str">
        <x:v>Family Law</x:v>
      </x:c>
      <x:c r="K1283" s="9" t="str">
        <x:v>-ew-cases-EWCA-Civ-2015-743.xml</x:v>
      </x:c>
      <x:c r="L1283" s="9" t="str">
        <x:v>TBA</x:v>
      </x:c>
    </x:row>
    <x:row r="1284">
      <x:c r="A1284" t="str">
        <x:v>3dc5febd-c8d5-425b-a865-b46511d7735e</x:v>
      </x:c>
      <x:c r="B1284" t="str">
        <x:v>d7767a1e-ec68-4ab3-baa2-25c21d977d7d</x:v>
      </x:c>
      <x:c r="C1284" s="9" t="str">
        <x:v>Guildhall College Ltd v Secretary of State for Business Innovation and Skills</x:v>
      </x:c>
      <x:c r="D1284" s="9" t="str"/>
      <x:c r="E1284" s="9" t="str"/>
      <x:c r="F1284" s="13" t="str">
        <x:v>2014</x:v>
      </x:c>
      <x:c r="G1284" s="9" t="str">
        <x:v>England and Wales Court of Appeal (Civil Division)</x:v>
      </x:c>
      <x:c r="H1284" s="9" t="str">
        <x:v>Appellate</x:v>
      </x:c>
      <x:c r="I1284" s="9" t="str">
        <x:v>England and Wales</x:v>
      </x:c>
      <x:c r="J1284" s="9" t="str">
        <x:v>Administrative Law</x:v>
      </x:c>
      <x:c r="K1284" s="9" t="str">
        <x:v>-ew-cases-EWCA-Civ-2014-986.xml</x:v>
      </x:c>
      <x:c r="L1284" s="9" t="str">
        <x:v>TBA</x:v>
      </x:c>
    </x:row>
    <x:row r="1285">
      <x:c r="A1285" t="str">
        <x:v>7713e7d2-b830-4f58-9036-00b3a9d4ab53</x:v>
      </x:c>
      <x:c r="B1285" t="str">
        <x:v>25095eea-7915-4607-997c-4e650025c596</x:v>
      </x:c>
      <x:c r="C1285" s="9" t="str">
        <x:v>Gul v McDonagh &amp; Anor [2021] EWCA Civ 1503</x:v>
      </x:c>
      <x:c r="D1285" s="9" t="str"/>
      <x:c r="E1285" s="9" t="str"/>
      <x:c r="F1285" s="13" t="str">
        <x:v>2021</x:v>
      </x:c>
      <x:c r="G1285" s="9" t="str">
        <x:v>England and Wales Court of Appeal (Civil Division)</x:v>
      </x:c>
      <x:c r="H1285" s="9" t="str">
        <x:v>Appellate</x:v>
      </x:c>
      <x:c r="I1285" s="9" t="str">
        <x:v>England and Wales</x:v>
      </x:c>
      <x:c r="J1285" s="9" t="str">
        <x:v>Tort</x:v>
      </x:c>
      <x:c r="K1285" s="9" t="str">
        <x:v>ew-cases-EWCA-Civ-2021-1503.xml</x:v>
      </x:c>
      <x:c r="L1285" s="9" t="str">
        <x:v>TBA</x:v>
      </x:c>
    </x:row>
    <x:row r="1286">
      <x:c r="A1286" t="str">
        <x:v>3607678d-25da-4ee9-89b0-f083401f163e</x:v>
      </x:c>
      <x:c r="B1286" t="str">
        <x:v>ca81cc50-97c4-4103-93e7-53198d725e7c</x:v>
      </x:c>
      <x:c r="C1286" s="9" t="str">
        <x:v>Gulshan v Lord Chancellor [2023] EWCA Civ 306</x:v>
      </x:c>
      <x:c r="D1286" s="9" t="str"/>
      <x:c r="E1286" s="9" t="str"/>
      <x:c r="F1286" s="13" t="str">
        <x:v>2023</x:v>
      </x:c>
      <x:c r="G1286" s="9" t="str">
        <x:v>England and Wales Court of Appeal (Civil Division)</x:v>
      </x:c>
      <x:c r="H1286" s="9" t="str">
        <x:v>Court of Appeal (Civil Division)</x:v>
      </x:c>
      <x:c r="I1286" s="9" t="str">
        <x:v>England and Wales</x:v>
      </x:c>
      <x:c r="J1286" s="9" t="str">
        <x:v>Public Law / Judicial Review</x:v>
      </x:c>
      <x:c r="K1286" s="9" t="str">
        <x:v>ew-cases-EWCA-Civ-2023-306.xml</x:v>
      </x:c>
      <x:c r="L1286" s="9" t="str">
        <x:v>TBA</x:v>
      </x:c>
    </x:row>
    <x:row r="1287">
      <x:c r="A1287" t="str">
        <x:v>f418467d-b814-40cc-a65a-cb11575ced28</x:v>
      </x:c>
      <x:c r="B1287" t="str">
        <x:v>3769179f-79d7-460a-a9df-1453b45b73e5</x:v>
      </x:c>
      <x:c r="C1287" s="9" t="str">
        <x:v>Gunduz v Secretary of State for the Home Department [2015] EWCA Civ 1072</x:v>
      </x:c>
      <x:c r="D1287" s="9" t="str"/>
      <x:c r="E1287" s="9" t="str"/>
      <x:c r="F1287" s="13" t="str">
        <x:v>2015</x:v>
      </x:c>
      <x:c r="G1287" s="9" t="str">
        <x:v>England and Wales Court of Appeal (Civil Division)</x:v>
      </x:c>
      <x:c r="H1287" s="9" t="str">
        <x:v>Appellate</x:v>
      </x:c>
      <x:c r="I1287" s="9" t="str">
        <x:v>England and Wales</x:v>
      </x:c>
      <x:c r="J1287" s="9" t="str">
        <x:v>Immigration Law</x:v>
      </x:c>
      <x:c r="K1287" s="9" t="str">
        <x:v>-ew-cases-EWCA-Civ-2015-1072.xml</x:v>
      </x:c>
      <x:c r="L1287" s="9" t="str">
        <x:v>TBA</x:v>
      </x:c>
    </x:row>
    <x:row r="1288">
      <x:c r="A1288" t="str">
        <x:v>c31e27a8-7304-4c67-aae2-4e9f9cba455f</x:v>
      </x:c>
      <x:c r="B1288" t="str">
        <x:v>b0601ba3-a3f1-4d05-9f11-d4f154b0a676</x:v>
      </x:c>
      <x:c r="C1288" s="9" t="str">
        <x:v>Gurung v Secretary of State for the Home Department</x:v>
      </x:c>
      <x:c r="D1288" s="9" t="str"/>
      <x:c r="E1288" s="9" t="str"/>
      <x:c r="F1288" s="13" t="str">
        <x:v>2017</x:v>
      </x:c>
      <x:c r="G1288" s="9" t="str">
        <x:v>England and Wales Court of Appeal (Civil Division)</x:v>
      </x:c>
      <x:c r="H1288" s="9" t="str">
        <x:v>Appellate</x:v>
      </x:c>
      <x:c r="I1288" s="9" t="str">
        <x:v>England and Wales</x:v>
      </x:c>
      <x:c r="J1288" s="9" t="str">
        <x:v>Immigration Law</x:v>
      </x:c>
      <x:c r="K1288" s="9" t="str">
        <x:v>-ew-cases-EWCA-Civ-2017-2697.xml</x:v>
      </x:c>
      <x:c r="L1288" s="9" t="str">
        <x:v>TBA</x:v>
      </x:c>
    </x:row>
    <x:row r="1289">
      <x:c r="A1289" t="str">
        <x:v>33627c36-040c-459a-b6e5-92cdc41bf59b</x:v>
      </x:c>
      <x:c r="B1289" t="str">
        <x:v>ab35db75-8dfa-411c-aa86-69a9f2c40469</x:v>
      </x:c>
      <x:c r="C1289" s="9" t="str">
        <x:v>Gurung v The Entry Clearance Officer, New Delhi [2016] EWCA Civ 358</x:v>
      </x:c>
      <x:c r="D1289" s="9" t="str"/>
      <x:c r="E1289" s="9" t="str"/>
      <x:c r="F1289" s="13" t="str">
        <x:v>2016</x:v>
      </x:c>
      <x:c r="G1289" s="9" t="str">
        <x:v>England and Wales Court of Appeal (Civil Division)</x:v>
      </x:c>
      <x:c r="H1289" s="9" t="str">
        <x:v>Court of Appeal (Civil Division)</x:v>
      </x:c>
      <x:c r="I1289" s="9" t="str">
        <x:v>England and Wales</x:v>
      </x:c>
      <x:c r="J1289" s="9" t="str">
        <x:v>Immigration Law</x:v>
      </x:c>
      <x:c r="K1289" s="9" t="str">
        <x:v>-ew-cases-EWCA-Civ-2016-358.xml</x:v>
      </x:c>
      <x:c r="L1289" s="9" t="str">
        <x:v>TBA</x:v>
      </x:c>
    </x:row>
    <x:row r="1290">
      <x:c r="A1290" t="str">
        <x:v>b8275c2c-b473-43a9-8fa3-e4f8096a7630</x:v>
      </x:c>
      <x:c r="B1290" t="str">
        <x:v>b57bb842-a7bb-40e2-9987-bfe4cd774169</x:v>
      </x:c>
      <x:c r="C1290" s="9" t="str">
        <x:v>GW Pharma Ltd &amp; Anor v Otsuka Pharmaceutical Co., Ltd [2022] EWCA Civ 1462</x:v>
      </x:c>
      <x:c r="D1290" s="9" t="str"/>
      <x:c r="E1290" s="9" t="str"/>
      <x:c r="F1290" s="13" t="str">
        <x:v>2022</x:v>
      </x:c>
      <x:c r="G1290" s="9" t="str">
        <x:v>England and Wales Court of Appeal (Civil Division)</x:v>
      </x:c>
      <x:c r="H1290" s="9" t="str">
        <x:v>Court of Appeal (Civil Division)</x:v>
      </x:c>
      <x:c r="I1290" s="9" t="str">
        <x:v>England and Wales</x:v>
      </x:c>
      <x:c r="J1290" s="9" t="str">
        <x:v>Intellectual Property; Patent Law; Jurisdiction and Conflict of Laws; Cross-border Arbitration</x:v>
      </x:c>
      <x:c r="K1290" s="9" t="str">
        <x:v>ew-cases-EWCA-Civ-2022-1462.xml</x:v>
      </x:c>
      <x:c r="L1290" s="9" t="str">
        <x:v>TBA</x:v>
      </x:c>
    </x:row>
    <x:row r="1291">
      <x:c r="A1291" t="str">
        <x:v>f20c8ddc-0b23-4e9d-8e4e-a765c6cc0264</x:v>
      </x:c>
      <x:c r="B1291" t="str">
        <x:v>df4aeaae-2553-4bbb-9bba-f29b855bf593</x:v>
      </x:c>
      <x:c r="C1291" s="9" t="str">
        <x:v>Gwynedd Council v Barratt &amp; Anor [2021] EWCA Civ 1322</x:v>
      </x:c>
      <x:c r="D1291" s="9" t="str"/>
      <x:c r="E1291" s="9" t="str"/>
      <x:c r="F1291" s="13" t="str">
        <x:v>2021</x:v>
      </x:c>
      <x:c r="G1291" s="9" t="str">
        <x:v>England and Wales Court of Appeal (Civil Division)</x:v>
      </x:c>
      <x:c r="H1291" s="9" t="str">
        <x:v>Appellate</x:v>
      </x:c>
      <x:c r="I1291" s="9" t="str">
        <x:v>England and Wales</x:v>
      </x:c>
      <x:c r="J1291" s="9" t="str">
        <x:v>Employment Law</x:v>
      </x:c>
      <x:c r="K1291" s="9" t="str">
        <x:v>ew-cases-EWCA-Civ-2021-1322.xml</x:v>
      </x:c>
      <x:c r="L1291" s="9" t="str">
        <x:v>TBA</x:v>
      </x:c>
    </x:row>
    <x:row r="1292">
      <x:c r="A1292" t="str">
        <x:v>63b70cfc-188a-4161-8d82-9286f65c5822</x:v>
      </x:c>
      <x:c r="B1292" t="str">
        <x:v>4b86085f-29d2-46f9-a843-bd7d18f23ee3</x:v>
      </x:c>
      <x:c r="C1292" s="9" t="str">
        <x:v>H (A Child) (Analysis of Realistic Options and SGOs) [2015] EWCA Civ 406</x:v>
      </x:c>
      <x:c r="D1292" s="9" t="str"/>
      <x:c r="E1292" s="9" t="str"/>
      <x:c r="F1292" s="13" t="str">
        <x:v>2015</x:v>
      </x:c>
      <x:c r="G1292" s="9" t="str">
        <x:v>England and Wales Court of Appeal (Civil Division)</x:v>
      </x:c>
      <x:c r="H1292" s="9" t="str">
        <x:v>Appellate</x:v>
      </x:c>
      <x:c r="I1292" s="9" t="str">
        <x:v>England and Wales</x:v>
      </x:c>
      <x:c r="J1292" s="9" t="str">
        <x:v>Family Law</x:v>
      </x:c>
      <x:c r="K1292" s="9" t="str">
        <x:v>-ew-cases-EWCA-Civ-2015-406.xml</x:v>
      </x:c>
      <x:c r="L1292" s="9" t="str">
        <x:v>TBA</x:v>
      </x:c>
    </x:row>
    <x:row r="1293">
      <x:c r="A1293" t="str">
        <x:v>fcabec4c-0856-405c-82be-50c288add9c6</x:v>
      </x:c>
      <x:c r="B1293" t="str">
        <x:v>689a0488-4fae-4ec9-ae25-cd12400f1c2a</x:v>
      </x:c>
      <x:c r="C1293" s="9" t="str">
        <x:v>H (A Child) [2015] EWCA Civ 1284</x:v>
      </x:c>
      <x:c r="D1293" s="9" t="str"/>
      <x:c r="E1293" s="9" t="str"/>
      <x:c r="F1293" s="13" t="str">
        <x:v>2015</x:v>
      </x:c>
      <x:c r="G1293" s="9" t="str">
        <x:v>England and Wales Court of Appeal (Civil Division)</x:v>
      </x:c>
      <x:c r="H1293" s="9" t="str">
        <x:v>Appellate</x:v>
      </x:c>
      <x:c r="I1293" s="9" t="str">
        <x:v>England and Wales</x:v>
      </x:c>
      <x:c r="J1293" s="9" t="str">
        <x:v>Family Law</x:v>
      </x:c>
      <x:c r="K1293" s="9" t="str">
        <x:v>-ew-cases-EWCA-Civ-2015-1284.xml</x:v>
      </x:c>
      <x:c r="L1293" s="9" t="str">
        <x:v>TBA</x:v>
      </x:c>
    </x:row>
    <x:row r="1294">
      <x:c r="A1294" t="str">
        <x:v>2c8185f3-377d-4ef0-9921-02c25ed6b9b5</x:v>
      </x:c>
      <x:c r="B1294" t="str">
        <x:v>a8352f6c-1990-4386-baed-b400b877ddb2</x:v>
      </x:c>
      <x:c r="C1294" s="9" t="str">
        <x:v>H (A Child), Re [2014] EWCA Civ 232</x:v>
      </x:c>
      <x:c r="D1294" s="9" t="str"/>
      <x:c r="E1294" s="9" t="str"/>
      <x:c r="F1294" s="13" t="str">
        <x:v>2014</x:v>
      </x:c>
      <x:c r="G1294" s="9" t="str">
        <x:v>England and Wales Court of Appeal (Civil Division)</x:v>
      </x:c>
      <x:c r="H1294" s="9" t="str">
        <x:v>Appellate</x:v>
      </x:c>
      <x:c r="I1294" s="9" t="str">
        <x:v>England and Wales</x:v>
      </x:c>
      <x:c r="J1294" s="9" t="str">
        <x:v>Family Law</x:v>
      </x:c>
      <x:c r="K1294" s="9" t="str">
        <x:v>-ew-cases-EWCA-Civ-2014-232.xml</x:v>
      </x:c>
      <x:c r="L1294" s="9" t="str">
        <x:v>TBA</x:v>
      </x:c>
    </x:row>
    <x:row r="1295">
      <x:c r="A1295" t="str">
        <x:v>05aac50e-9c98-4101-b510-7eb528d98f5f</x:v>
      </x:c>
      <x:c r="B1295" t="str">
        <x:v>0dcf50af-13cb-4053-ad5b-4398f63c6b50</x:v>
      </x:c>
      <x:c r="C1295" s="9" t="str">
        <x:v>H (A Minor), R (On the Application Of) v Swindon Borough Council</x:v>
      </x:c>
      <x:c r="D1295" s="9" t="str"/>
      <x:c r="E1295" s="9" t="str"/>
      <x:c r="F1295" s="13" t="str">
        <x:v>2021</x:v>
      </x:c>
      <x:c r="G1295" s="9" t="str">
        <x:v>England and Wales Court of Appeal (Civil Division)</x:v>
      </x:c>
      <x:c r="H1295" s="9" t="str">
        <x:v>appellate</x:v>
      </x:c>
      <x:c r="I1295" s="9" t="str">
        <x:v>England and Wales</x:v>
      </x:c>
      <x:c r="J1295" s="9" t="str">
        <x:v>Human Rights Law</x:v>
      </x:c>
      <x:c r="K1295" s="9" t="str">
        <x:v>ew-cases-EWCA-Civ-2021-1836.xml</x:v>
      </x:c>
      <x:c r="L1295" s="9" t="str">
        <x:v>TBA</x:v>
      </x:c>
    </x:row>
    <x:row r="1296">
      <x:c r="A1296" t="str">
        <x:v>a410869e-de4f-4802-9915-f48c092a9510</x:v>
      </x:c>
      <x:c r="B1296" t="str">
        <x:v>f6918392-8dcb-4a33-a0ed-da03739f245b</x:v>
      </x:c>
      <x:c r="C1296" s="9" t="str">
        <x:v>H (Children) [2014] EWCA Civ 733</x:v>
      </x:c>
      <x:c r="D1296" s="9" t="str"/>
      <x:c r="E1296" s="9" t="str"/>
      <x:c r="F1296" s="13" t="str">
        <x:v>2014</x:v>
      </x:c>
      <x:c r="G1296" s="9" t="str">
        <x:v>England and Wales Court of Appeal (Civil Division)</x:v>
      </x:c>
      <x:c r="H1296" s="9" t="str">
        <x:v>Appellate</x:v>
      </x:c>
      <x:c r="I1296" s="9" t="str">
        <x:v>England and Wales</x:v>
      </x:c>
      <x:c r="J1296" s="9" t="str">
        <x:v>Family Law</x:v>
      </x:c>
      <x:c r="K1296" s="9" t="str">
        <x:v>-ew-cases-EWCA-Civ-2014-733.xml</x:v>
      </x:c>
      <x:c r="L1296" s="9" t="str">
        <x:v>TBA</x:v>
      </x:c>
    </x:row>
    <x:row r="1297">
      <x:c r="A1297" t="str">
        <x:v>fa5f1b29-4ca5-44b9-9991-30475f8dbef5</x:v>
      </x:c>
      <x:c r="B1297" t="str">
        <x:v>236faf81-dbba-4ada-a90a-3d26ce8c7b0a</x:v>
      </x:c>
      <x:c r="C1297" s="9" t="str">
        <x:v>H (Children) [2015] EWCA Civ 115 – Appeal on Care Orders</x:v>
      </x:c>
      <x:c r="D1297" s="9" t="str"/>
      <x:c r="E1297" s="9" t="str"/>
      <x:c r="F1297" s="13" t="str">
        <x:v>2015</x:v>
      </x:c>
      <x:c r="G1297" s="9" t="str">
        <x:v>England and Wales Court of Appeal (Civil Division)</x:v>
      </x:c>
      <x:c r="H1297" s="9" t="str">
        <x:v>Appellate</x:v>
      </x:c>
      <x:c r="I1297" s="9" t="str">
        <x:v>England and Wales</x:v>
      </x:c>
      <x:c r="J1297" s="9" t="str">
        <x:v>Family Law</x:v>
      </x:c>
      <x:c r="K1297" s="9" t="str">
        <x:v>-ew-cases-EWCA-Civ-2015-115.xml</x:v>
      </x:c>
      <x:c r="L1297" s="9" t="str">
        <x:v>TBA</x:v>
      </x:c>
    </x:row>
    <x:row r="1298">
      <x:c r="A1298" t="str">
        <x:v>1dea51d3-e90e-4100-8ec3-498c64ffd036</x:v>
      </x:c>
      <x:c r="B1298" t="str">
        <x:v>c371a388-b72b-4ab2-be8f-c1f1e165b846</x:v>
      </x:c>
      <x:c r="C1298" s="9" t="str">
        <x:v>H (Children), Re [2015] EWCA Civ 1216</x:v>
      </x:c>
      <x:c r="D1298" s="9" t="str"/>
      <x:c r="E1298" s="9" t="str"/>
      <x:c r="F1298" s="13" t="str">
        <x:v>2015</x:v>
      </x:c>
      <x:c r="G1298" s="9" t="str">
        <x:v>England and Wales Court of Appeal (Civil Division)</x:v>
      </x:c>
      <x:c r="H1298" s="9" t="str">
        <x:v>Appellate</x:v>
      </x:c>
      <x:c r="I1298" s="9" t="str">
        <x:v>England and Wales</x:v>
      </x:c>
      <x:c r="J1298" s="9" t="str">
        <x:v>Family Law</x:v>
      </x:c>
      <x:c r="K1298" s="9" t="str">
        <x:v>-ew-cases-EWCA-Civ-2015-1216.xml</x:v>
      </x:c>
      <x:c r="L1298" s="9" t="str">
        <x:v>TBA</x:v>
      </x:c>
    </x:row>
    <x:row r="1299">
      <x:c r="A1299" t="str">
        <x:v>962034e8-fdcc-4a33-8cc0-d2c6b4afc192</x:v>
      </x:c>
      <x:c r="B1299" t="str">
        <x:v>7cbf6153-b255-4eff-9620-cbd823642ebe</x:v>
      </x:c>
      <x:c r="C1299" s="9" t="str">
        <x:v>H (Children), Re [2015] EWCA Civ 583</x:v>
      </x:c>
      <x:c r="D1299" s="9" t="str"/>
      <x:c r="E1299" s="9" t="str"/>
      <x:c r="F1299" s="13" t="str">
        <x:v>2015</x:v>
      </x:c>
      <x:c r="G1299" s="9" t="str">
        <x:v>England and Wales Court of Appeal (Civil Division)</x:v>
      </x:c>
      <x:c r="H1299" s="9" t="str">
        <x:v>Appellate</x:v>
      </x:c>
      <x:c r="I1299" s="9" t="str">
        <x:v>England and Wales</x:v>
      </x:c>
      <x:c r="J1299" s="9" t="str">
        <x:v>Family Law</x:v>
      </x:c>
      <x:c r="K1299" s="9" t="str">
        <x:v>-ew-cases-EWCA-Civ-2015-583.xml</x:v>
      </x:c>
      <x:c r="L1299" s="9" t="str">
        <x:v>TBA</x:v>
      </x:c>
    </x:row>
    <x:row r="1300">
      <x:c r="A1300" t="str">
        <x:v>9fa4fd38-68e8-46ed-9dc3-fe2cacc4764f</x:v>
      </x:c>
      <x:c r="B1300" t="str">
        <x:v>2ffbf710-f14f-471b-9b14-ae146faa43aa</x:v>
      </x:c>
      <x:c r="C1300" s="9" t="str">
        <x:v>H (Parents with Learning Difficulties: Risk of Harm) [2023] EWCA Civ 59</x:v>
      </x:c>
      <x:c r="D1300" s="9" t="str"/>
      <x:c r="E1300" s="9" t="str"/>
      <x:c r="F1300" s="13" t="str">
        <x:v>2023</x:v>
      </x:c>
      <x:c r="G1300" s="9" t="str">
        <x:v>England and Wales Court of Appeal (Civil Division)</x:v>
      </x:c>
      <x:c r="H1300" s="9" t="str">
        <x:v>Court of Appeal (Civil Division)</x:v>
      </x:c>
      <x:c r="I1300" s="9" t="str">
        <x:v>England and Wales</x:v>
      </x:c>
      <x:c r="J1300" s="9" t="str">
        <x:v>Family Law - Child Care / Welfare</x:v>
      </x:c>
      <x:c r="K1300" s="9" t="str">
        <x:v>ew-cases-EWCA-Civ-2023-59.xml</x:v>
      </x:c>
      <x:c r="L1300" s="9" t="str">
        <x:v>TBA</x:v>
      </x:c>
    </x:row>
    <x:row r="1301">
      <x:c r="A1301" t="str">
        <x:v>dfa1572d-172d-442c-b3b3-a7e9be2bd6d5</x:v>
      </x:c>
      <x:c r="B1301" t="str">
        <x:v>273cbd4a-3896-4721-9b32-965b9d73c619</x:v>
      </x:c>
      <x:c r="C1301" s="9" t="str">
        <x:v>H v H [2014] EWCA Civ 1523 - Appeal of Financial Remedy Decision</x:v>
      </x:c>
      <x:c r="D1301" s="9" t="str"/>
      <x:c r="E1301" s="9" t="str"/>
      <x:c r="F1301" s="13" t="str">
        <x:v>2014</x:v>
      </x:c>
      <x:c r="G1301" s="9" t="str">
        <x:v>England and Wales Court of Appeal (Civil Division)</x:v>
      </x:c>
      <x:c r="H1301" s="9" t="str">
        <x:v>Appellate</x:v>
      </x:c>
      <x:c r="I1301" s="9" t="str">
        <x:v>England and Wales</x:v>
      </x:c>
      <x:c r="J1301" s="9" t="str">
        <x:v>Family Law</x:v>
      </x:c>
      <x:c r="K1301" s="9" t="str">
        <x:v>-ew-cases-EWCA-Civ-2014-1523.xml</x:v>
      </x:c>
      <x:c r="L1301" s="9" t="str">
        <x:v>TBA</x:v>
      </x:c>
    </x:row>
    <x:row r="1302">
      <x:c r="A1302" t="str">
        <x:v>8494f0fb-b8e5-49fa-aaea-86948259e6c0</x:v>
      </x:c>
      <x:c r="B1302" t="str">
        <x:v>dfe6d5f3-94c0-46d2-beac-fef9d479566e</x:v>
      </x:c>
      <x:c r="C1302" s="9" t="str">
        <x:v>H-C (Children) [2016] EWCA Civ 136</x:v>
      </x:c>
      <x:c r="D1302" s="9" t="str"/>
      <x:c r="E1302" s="9" t="str"/>
      <x:c r="F1302" s="13" t="str">
        <x:v>2016</x:v>
      </x:c>
      <x:c r="G1302" s="9" t="str">
        <x:v>England and Wales Court of Appeal (Civil Division)</x:v>
      </x:c>
      <x:c r="H1302" s="9" t="str">
        <x:v>Court of Appeal (Civil Division)</x:v>
      </x:c>
      <x:c r="I1302" s="9" t="str">
        <x:v>England and Wales</x:v>
      </x:c>
      <x:c r="J1302" s="9" t="str">
        <x:v>Care Proceedings / Family Law</x:v>
      </x:c>
      <x:c r="K1302" s="9" t="str">
        <x:v>-ew-cases-EWCA-Civ-2016-136.xml</x:v>
      </x:c>
      <x:c r="L1302" s="9" t="str">
        <x:v>TBA</x:v>
      </x:c>
    </x:row>
    <x:row r="1303">
      <x:c r="A1303" t="str">
        <x:v>267f6d09-b057-4205-a17c-03bf8307fdef</x:v>
      </x:c>
      <x:c r="B1303" t="str">
        <x:v>fecac559-153d-44ca-b32a-6df353378316</x:v>
      </x:c>
      <x:c r="C1303" s="9" t="str">
        <x:v>H-D-H and C, Re (Children: Fact-Finding) [2021] EWCA Civ 1192</x:v>
      </x:c>
      <x:c r="D1303" s="9" t="str"/>
      <x:c r="E1303" s="9" t="str"/>
      <x:c r="F1303" s="13" t="str">
        <x:v>2021</x:v>
      </x:c>
      <x:c r="G1303" s="9" t="str">
        <x:v>England and Wales Court of Appeal (Civil Division)</x:v>
      </x:c>
      <x:c r="H1303" s="9" t="str">
        <x:v>Appellate</x:v>
      </x:c>
      <x:c r="I1303" s="9" t="str">
        <x:v>England and Wales</x:v>
      </x:c>
      <x:c r="J1303" s="9" t="str">
        <x:v>Family Law</x:v>
      </x:c>
      <x:c r="K1303" s="9" t="str">
        <x:v>ew-cases-EWCA-Civ-2021-1192.xml</x:v>
      </x:c>
      <x:c r="L1303" s="9" t="str">
        <x:v>TBA</x:v>
      </x:c>
    </x:row>
    <x:row r="1304">
      <x:c r="A1304" t="str">
        <x:v>f98ae49e-110d-4b0e-85eb-d651b9cbfb0e</x:v>
      </x:c>
      <x:c r="B1304" t="str">
        <x:v>9a799194-1fd2-4bb1-b5df-bfcf70965182</x:v>
      </x:c>
      <x:c r="C1304" s="9" t="str">
        <x:v>H-M (Children) [2021] EWCA Civ 748</x:v>
      </x:c>
      <x:c r="D1304" s="9" t="str"/>
      <x:c r="E1304" s="9" t="str"/>
      <x:c r="F1304" s="13" t="str">
        <x:v>2021</x:v>
      </x:c>
      <x:c r="G1304" s="9" t="str">
        <x:v>England and Wales Court of Appeal (Civil Division)</x:v>
      </x:c>
      <x:c r="H1304" s="9" t="str">
        <x:v>Appellate</x:v>
      </x:c>
      <x:c r="I1304" s="9" t="str">
        <x:v>England and Wales</x:v>
      </x:c>
      <x:c r="J1304" s="9" t="str">
        <x:v>Family Law</x:v>
      </x:c>
      <x:c r="K1304" s="9" t="str">
        <x:v>ew-cases-EWCA-Civ-2021-748.xml</x:v>
      </x:c>
      <x:c r="L1304" s="9" t="str">
        <x:v>TBA</x:v>
      </x:c>
    </x:row>
    <x:row r="1305">
      <x:c r="A1305" t="str">
        <x:v>c9735ad7-ce25-43fb-9457-3809a7d908ea</x:v>
      </x:c>
      <x:c r="B1305" t="str">
        <x:v>da62fc88-b84f-4c9a-824a-b9319703da35</x:v>
      </x:c>
      <x:c r="C1305" s="9" t="str">
        <x:v>H-N and Others (Children) (Domestic Abuse: Finding of Fact Hearings)</x:v>
      </x:c>
      <x:c r="D1305" s="9" t="str"/>
      <x:c r="E1305" s="9" t="str"/>
      <x:c r="F1305" s="13" t="str">
        <x:v>2021</x:v>
      </x:c>
      <x:c r="G1305" s="9" t="str">
        <x:v>England and Wales Court of Appeal (Civil Division)</x:v>
      </x:c>
      <x:c r="H1305" s="9" t="str">
        <x:v>Appellate</x:v>
      </x:c>
      <x:c r="I1305" s="9" t="str">
        <x:v>England and Wales</x:v>
      </x:c>
      <x:c r="J1305" s="9" t="str">
        <x:v>Family Law</x:v>
      </x:c>
      <x:c r="K1305" s="9" t="str">
        <x:v>ew-cases-EWCA-Civ-2021-448.xml</x:v>
      </x:c>
      <x:c r="L1305" s="9" t="str">
        <x:v>TBA</x:v>
      </x:c>
    </x:row>
    <x:row r="1306">
      <x:c r="A1306" t="str">
        <x:v>0e7f1c53-9548-4094-b907-6b1641359d2c</x:v>
      </x:c>
      <x:c r="B1306" t="str">
        <x:v>b2c3485c-44cd-42e9-9de9-7cc2909d6541</x:v>
      </x:c>
      <x:c r="C1306" s="9" t="str">
        <x:v>H-W (Care Proceedings: Further Fact-Finding Hearing) [2023] EWCA Civ 149</x:v>
      </x:c>
      <x:c r="D1306" s="9" t="str"/>
      <x:c r="E1306" s="9" t="str"/>
      <x:c r="F1306" s="13" t="str">
        <x:v>2023</x:v>
      </x:c>
      <x:c r="G1306" s="9" t="str">
        <x:v>England and Wales Court of Appeal (Civil Division)</x:v>
      </x:c>
      <x:c r="H1306" s="9" t="str">
        <x:v>Court of Appeal (Civil Division)</x:v>
      </x:c>
      <x:c r="I1306" s="9" t="str">
        <x:v>England and Wales</x:v>
      </x:c>
      <x:c r="J1306" s="9" t="str">
        <x:v>Family Law - Care Proceedings</x:v>
      </x:c>
      <x:c r="K1306" s="9" t="str">
        <x:v>ew-cases-EWCA-Civ-2023-149.xml</x:v>
      </x:c>
      <x:c r="L1306" s="9" t="str">
        <x:v>TBA</x:v>
      </x:c>
    </x:row>
    <x:row r="1307">
      <x:c r="A1307" t="str">
        <x:v>52e493bb-b0d0-4a6a-a133-972276f6ad90</x:v>
      </x:c>
      <x:c r="B1307" t="str">
        <x:v>b787f82d-617f-48b0-94eb-94d3b73f9a40</x:v>
      </x:c>
      <x:c r="C1307" s="9" t="str">
        <x:v>H-W (Children: Proportionality) [2021] EWCA Civ 1451</x:v>
      </x:c>
      <x:c r="D1307" s="9" t="str"/>
      <x:c r="E1307" s="9" t="str"/>
      <x:c r="F1307" s="13" t="str">
        <x:v>2021</x:v>
      </x:c>
      <x:c r="G1307" s="9" t="str">
        <x:v>England and Wales Court of Appeal (Civil Division)</x:v>
      </x:c>
      <x:c r="H1307" s="9" t="str">
        <x:v>Appellate</x:v>
      </x:c>
      <x:c r="I1307" s="9" t="str">
        <x:v>England and Wales</x:v>
      </x:c>
      <x:c r="J1307" s="9" t="str">
        <x:v>Family Law</x:v>
      </x:c>
      <x:c r="K1307" s="9" t="str">
        <x:v>ew-cases-EWCA-Civ-2021-1451.xml</x:v>
      </x:c>
      <x:c r="L1307" s="9" t="str">
        <x:v>TBA</x:v>
      </x:c>
    </x:row>
    <x:row r="1308">
      <x:c r="A1308" t="str">
        <x:v>2936d1c9-4980-42a6-bdac-e74d07dec758</x:v>
      </x:c>
      <x:c r="B1308" t="str">
        <x:v>7e4ce12b-bc7e-42aa-bc22-1d9b7df315ee</x:v>
      </x:c>
      <x:c r="C1308" s="9" t="str">
        <x:v>H, Re [2014] EWCA Civ 989 – Appeal Regarding Child's International Travel</x:v>
      </x:c>
      <x:c r="D1308" s="9" t="str"/>
      <x:c r="E1308" s="9" t="str"/>
      <x:c r="F1308" s="13" t="str">
        <x:v>2014</x:v>
      </x:c>
      <x:c r="G1308" s="9" t="str">
        <x:v>England and Wales Court of Appeal (Civil Division)</x:v>
      </x:c>
      <x:c r="H1308" s="9" t="str">
        <x:v>Appellate</x:v>
      </x:c>
      <x:c r="I1308" s="9" t="str">
        <x:v>England and Wales</x:v>
      </x:c>
      <x:c r="J1308" s="9" t="str">
        <x:v>Family Law</x:v>
      </x:c>
      <x:c r="K1308" s="9" t="str">
        <x:v>-ew-cases-EWCA-Civ-2014-989.xml</x:v>
      </x:c>
      <x:c r="L1308" s="9" t="str">
        <x:v>TBA</x:v>
      </x:c>
    </x:row>
    <x:row r="1309">
      <x:c r="A1309" t="str">
        <x:v>7355a52a-a274-4955-bd38-a69299e190c1</x:v>
      </x:c>
      <x:c r="B1309" t="str">
        <x:v>c4a57bb0-d188-4582-9361-c21b15ba311f</x:v>
      </x:c>
      <x:c r="C1309" s="9" t="str">
        <x:v>HA (Iraq) v Secretary of State for the Home Department [2014] EWCA Civ 1304</x:v>
      </x:c>
      <x:c r="D1309" s="9" t="str"/>
      <x:c r="E1309" s="9" t="str"/>
      <x:c r="F1309" s="13" t="str">
        <x:v>2014</x:v>
      </x:c>
      <x:c r="G1309" s="9" t="str">
        <x:v>England and Wales Court of Appeal (Civil Division)</x:v>
      </x:c>
      <x:c r="H1309" s="9" t="str">
        <x:v>Appellate</x:v>
      </x:c>
      <x:c r="I1309" s="9" t="str">
        <x:v>UK</x:v>
      </x:c>
      <x:c r="J1309" s="9" t="str">
        <x:v>Immigration</x:v>
      </x:c>
      <x:c r="K1309" s="9" t="str">
        <x:v>-ew-cases-EWCA-Civ-2014-1304.xml</x:v>
      </x:c>
      <x:c r="L1309" s="9" t="str">
        <x:v>TBA</x:v>
      </x:c>
    </x:row>
    <x:row r="1310">
      <x:c r="A1310" t="str">
        <x:v>cbdea902-c643-4bfd-a244-5eaad5e5660f</x:v>
      </x:c>
      <x:c r="B1310" t="str">
        <x:v>5ba8b8cf-d4da-44ec-8d5c-46d27c9e51dc</x:v>
      </x:c>
      <x:c r="C1310" s="9" t="str">
        <x:v>Haastrup &amp; Anor v Haastrup &amp; Anor [2015] EWCA Civ 1528</x:v>
      </x:c>
      <x:c r="D1310" s="9" t="str"/>
      <x:c r="E1310" s="9" t="str"/>
      <x:c r="F1310" s="13" t="str">
        <x:v>2015</x:v>
      </x:c>
      <x:c r="G1310" s="9" t="str">
        <x:v>England and Wales Court of Appeal (Civil Division)</x:v>
      </x:c>
      <x:c r="H1310" s="9" t="str">
        <x:v>appellate</x:v>
      </x:c>
      <x:c r="I1310" s="9" t="str">
        <x:v>England and Wales</x:v>
      </x:c>
      <x:c r="J1310" s="9" t="str">
        <x:v>Civil Procedure</x:v>
      </x:c>
      <x:c r="K1310" s="9" t="str">
        <x:v>-ew-cases-EWCA-Civ-2015-1528.xml</x:v>
      </x:c>
      <x:c r="L1310" s="9" t="str">
        <x:v>TBA</x:v>
      </x:c>
    </x:row>
    <x:row r="1311">
      <x:c r="A1311" t="str">
        <x:v>f9438d0b-effa-4fff-9a2e-80d184b5a9d3</x:v>
      </x:c>
      <x:c r="B1311" t="str">
        <x:v>a1488ff6-8217-4e83-9528-1b24a52fd7d0</x:v>
      </x:c>
      <x:c r="C1311" s="9" t="str">
        <x:v>Hague (Inspector of Health And Safety) v Rotary Yorkshire Ltd</x:v>
      </x:c>
      <x:c r="D1311" s="9" t="str"/>
      <x:c r="E1311" s="9" t="str"/>
      <x:c r="F1311" s="13" t="str">
        <x:v>2015</x:v>
      </x:c>
      <x:c r="G1311" s="9" t="str">
        <x:v>England and Wales Court of Appeal (Civil Division)</x:v>
      </x:c>
      <x:c r="H1311" s="9" t="str">
        <x:v>Appellate</x:v>
      </x:c>
      <x:c r="I1311" s="9" t="str">
        <x:v>England and Wales</x:v>
      </x:c>
      <x:c r="J1311" s="9" t="str">
        <x:v>Administrative Law</x:v>
      </x:c>
      <x:c r="K1311" s="9" t="str">
        <x:v>-ew-cases-EWCA-Civ-2015-696.xml</x:v>
      </x:c>
      <x:c r="L1311" s="9" t="str">
        <x:v>TBA</x:v>
      </x:c>
    </x:row>
    <x:row r="1312">
      <x:c r="A1312" t="str">
        <x:v>c6cab7bb-09dd-4f83-b51b-1cc7ab83147c</x:v>
      </x:c>
      <x:c r="B1312" t="str">
        <x:v>0dc8f636-6e75-4ff3-ac61-f58f51626753</x:v>
      </x:c>
      <x:c r="C1312" s="9" t="str">
        <x:v>Hague Plant Ltd v Hague &amp; Ors [2014] EWCA Civ 1609</x:v>
      </x:c>
      <x:c r="D1312" s="9" t="str"/>
      <x:c r="E1312" s="9" t="str"/>
      <x:c r="F1312" s="13" t="str">
        <x:v>2014</x:v>
      </x:c>
      <x:c r="G1312" s="9" t="str">
        <x:v>England and Wales Court of Appeal (Civil Division)</x:v>
      </x:c>
      <x:c r="H1312" s="9" t="str">
        <x:v>Appellate</x:v>
      </x:c>
      <x:c r="I1312" s="9" t="str">
        <x:v>England and Wales</x:v>
      </x:c>
      <x:c r="J1312" s="9" t="str">
        <x:v>Civil Appeal</x:v>
      </x:c>
      <x:c r="K1312" s="9" t="str">
        <x:v>-ew-cases-EWCA-Civ-2014-1609.xml</x:v>
      </x:c>
      <x:c r="L1312" s="9" t="str">
        <x:v>TBA</x:v>
      </x:c>
    </x:row>
    <x:row r="1313">
      <x:c r="A1313" t="str">
        <x:v>0ebc2338-fea7-4eaf-849f-3375978766ae</x:v>
      </x:c>
      <x:c r="B1313" t="str">
        <x:v>43854ca2-128c-4e23-9721-554040de6229</x:v>
      </x:c>
      <x:c r="C1313" s="9" t="str">
        <x:v>Haile v London Borough of Waltham Forest [2014] EWCA Civ 792</x:v>
      </x:c>
      <x:c r="D1313" s="9" t="str"/>
      <x:c r="E1313" s="9" t="str"/>
      <x:c r="F1313" s="13" t="str">
        <x:v>2014</x:v>
      </x:c>
      <x:c r="G1313" s="9" t="str">
        <x:v>England and Wales Court of Appeal (Civil Division)</x:v>
      </x:c>
      <x:c r="H1313" s="9" t="str">
        <x:v>Appellate</x:v>
      </x:c>
      <x:c r="I1313" s="9" t="str">
        <x:v>England</x:v>
      </x:c>
      <x:c r="J1313" s="9" t="str">
        <x:v>Housing Law</x:v>
      </x:c>
      <x:c r="K1313" s="9" t="str">
        <x:v>-ew-cases-EWCA-Civ-2014-792.xml</x:v>
      </x:c>
      <x:c r="L1313" s="9" t="str">
        <x:v>TBA</x:v>
      </x:c>
    </x:row>
    <x:row r="1314">
      <x:c r="A1314" t="str">
        <x:v>50920cb8-097d-43e5-96a9-1e3111bdfc8c</x:v>
      </x:c>
      <x:c r="B1314" t="str">
        <x:v>b3ab437d-24ae-451b-a061-90e34e047f2c</x:v>
      </x:c>
      <x:c r="C1314" s="9" t="str">
        <x:v>Haining v Warrington Borough Council [2014] EWCA Civ 398</x:v>
      </x:c>
      <x:c r="D1314" s="9" t="str"/>
      <x:c r="E1314" s="9" t="str"/>
      <x:c r="F1314" s="13" t="str">
        <x:v>2014</x:v>
      </x:c>
      <x:c r="G1314" s="9" t="str">
        <x:v>England and Wales Court of Appeal (Civil Division)</x:v>
      </x:c>
      <x:c r="H1314" s="9" t="str">
        <x:v>Appellate</x:v>
      </x:c>
      <x:c r="I1314" s="9" t="str">
        <x:v>England and Wales</x:v>
      </x:c>
      <x:c r="J1314" s="9" t="str">
        <x:v>Administrative Law</x:v>
      </x:c>
      <x:c r="K1314" s="9" t="str">
        <x:v>-ew-cases-EWCA-Civ-2014-398.xml</x:v>
      </x:c>
      <x:c r="L1314" s="9" t="str">
        <x:v>TBA</x:v>
      </x:c>
    </x:row>
    <x:row r="1315">
      <x:c r="A1315" t="str">
        <x:v>40261bcc-4a0f-4d59-aeac-d64b998c2964</x:v>
      </x:c>
      <x:c r="B1315" t="str">
        <x:v>1212047c-730b-4a1e-8fd6-4d873bbd1b46</x:v>
      </x:c>
      <x:c r="C1315" s="9" t="str">
        <x:v>Hainsworth v Ministry of Defence [2014] EWCA Civ 763</x:v>
      </x:c>
      <x:c r="D1315" s="9" t="str"/>
      <x:c r="E1315" s="9" t="str"/>
      <x:c r="F1315" s="13" t="str">
        <x:v>2014</x:v>
      </x:c>
      <x:c r="G1315" s="9" t="str">
        <x:v>England and Wales Court of Appeal (Civil Division)</x:v>
      </x:c>
      <x:c r="H1315" s="9" t="str">
        <x:v>Appellate</x:v>
      </x:c>
      <x:c r="I1315" s="9" t="str">
        <x:v>England</x:v>
      </x:c>
      <x:c r="J1315" s="9" t="str">
        <x:v>Employment Dispute</x:v>
      </x:c>
      <x:c r="K1315" s="9" t="str">
        <x:v>-ew-cases-EWCA-Civ-2014-763.xml</x:v>
      </x:c>
      <x:c r="L1315" s="9" t="str">
        <x:v>TBA</x:v>
      </x:c>
    </x:row>
    <x:row r="1316">
      <x:c r="A1316" t="str">
        <x:v>fc30e57b-42a8-4fe4-a581-183ebe125e9a</x:v>
      </x:c>
      <x:c r="B1316" t="str">
        <x:v>e9337f83-d555-40a3-9674-456297f45165</x:v>
      </x:c>
      <x:c r="C1316" s="9" t="str">
        <x:v>Hajjaj v City of Westminster and Akhter v London Borough of Waltham Forest</x:v>
      </x:c>
      <x:c r="D1316" s="9" t="str"/>
      <x:c r="E1316" s="9" t="str"/>
      <x:c r="F1316" s="13" t="str">
        <x:v>2021</x:v>
      </x:c>
      <x:c r="G1316" s="9" t="str">
        <x:v>England and Wales Court of Appeal (Civil Division)</x:v>
      </x:c>
      <x:c r="H1316" s="9" t="str">
        <x:v>Appellate</x:v>
      </x:c>
      <x:c r="I1316" s="9" t="str">
        <x:v>England and Wales</x:v>
      </x:c>
      <x:c r="J1316" s="9" t="str">
        <x:v>Housing</x:v>
      </x:c>
      <x:c r="K1316" s="9" t="str">
        <x:v>ew-cases-EWCA-Civ-2021-1688.xml</x:v>
      </x:c>
      <x:c r="L1316" s="9" t="str">
        <x:v>TBA</x:v>
      </x:c>
    </x:row>
    <x:row r="1317">
      <x:c r="A1317" t="str">
        <x:v>3bee45ec-42d5-4048-bc12-f2cdfb6e4d14</x:v>
      </x:c>
      <x:c r="B1317" t="str">
        <x:v>5aa9387d-09b4-4835-a554-d3bd06a821a5</x:v>
      </x:c>
      <x:c r="C1317" s="9" t="str">
        <x:v>Hakki v Secretary of State for Work And Pensions &amp; Anor [2014] EWCA Civ 530</x:v>
      </x:c>
      <x:c r="D1317" s="9" t="str"/>
      <x:c r="E1317" s="9" t="str"/>
      <x:c r="F1317" s="13" t="str">
        <x:v>2014</x:v>
      </x:c>
      <x:c r="G1317" s="9" t="str">
        <x:v>England and Wales Court of Appeal (Civil Division)</x:v>
      </x:c>
      <x:c r="H1317" s="9" t="str">
        <x:v>Appellate</x:v>
      </x:c>
      <x:c r="I1317" s="9" t="str">
        <x:v>England and Wales</x:v>
      </x:c>
      <x:c r="J1317" s="9" t="str">
        <x:v>Administrative Law</x:v>
      </x:c>
      <x:c r="K1317" s="9" t="str">
        <x:v>-ew-cases-EWCA-Civ-2014-530.xml</x:v>
      </x:c>
      <x:c r="L1317" s="9" t="str">
        <x:v>TBA</x:v>
      </x:c>
    </x:row>
    <x:row r="1318">
      <x:c r="A1318" t="str">
        <x:v>dfb8efe4-6f5f-4fac-ba52-aac7cecd7ce0</x:v>
      </x:c>
      <x:c r="B1318" t="str">
        <x:v>24cdd790-fb66-4e79-895a-0d7f73047839</x:v>
      </x:c>
      <x:c r="C1318" s="9" t="str">
        <x:v>Halawi v WDFG UK Ltd (t/a World Duty Free) [2014] EWCA Civ 1387</x:v>
      </x:c>
      <x:c r="D1318" s="9" t="str"/>
      <x:c r="E1318" s="9" t="str"/>
      <x:c r="F1318" s="13" t="str">
        <x:v>2014</x:v>
      </x:c>
      <x:c r="G1318" s="9" t="str">
        <x:v>England and Wales Court of Appeal (Civil Division)</x:v>
      </x:c>
      <x:c r="H1318" s="9" t="str">
        <x:v>Appellate</x:v>
      </x:c>
      <x:c r="I1318" s="9" t="str">
        <x:v>England and Wales</x:v>
      </x:c>
      <x:c r="J1318" s="9" t="str">
        <x:v>Employment</x:v>
      </x:c>
      <x:c r="K1318" s="9" t="str">
        <x:v>-ew-cases-EWCA-Civ-2014-1387.xml</x:v>
      </x:c>
      <x:c r="L1318" s="9" t="str">
        <x:v>TBA</x:v>
      </x:c>
    </x:row>
    <x:row r="1319">
      <x:c r="A1319" t="str">
        <x:v>29a0b52c-0656-4533-951f-a393a2efe39b</x:v>
      </x:c>
      <x:c r="B1319" t="str">
        <x:v>ac57c677-6fb0-4107-90c6-8172d044bd39</x:v>
      </x:c>
      <x:c r="C1319" s="9" t="str">
        <x:v>Halborg v EMW Law LLP [2017] EWCA Civ 793: Determining Litigant Costs for LLP Solicitors</x:v>
      </x:c>
      <x:c r="D1319" s="9" t="str"/>
      <x:c r="E1319" s="9" t="str"/>
      <x:c r="F1319" s="13" t="str">
        <x:v>2017</x:v>
      </x:c>
      <x:c r="G1319" s="9" t="str">
        <x:v>England and Wales Court of Appeal (Civil Division)</x:v>
      </x:c>
      <x:c r="H1319" s="9" t="str">
        <x:v>Appellate</x:v>
      </x:c>
      <x:c r="I1319" s="9" t="str">
        <x:v>England and Wales</x:v>
      </x:c>
      <x:c r="J1319" s="9" t="str">
        <x:v>Civil Procedure</x:v>
      </x:c>
      <x:c r="K1319" s="9" t="str">
        <x:v>-ew-cases-EWCA-Civ-2017-793.xml</x:v>
      </x:c>
      <x:c r="L1319" s="9" t="str">
        <x:v>TBA</x:v>
      </x:c>
    </x:row>
    <x:row r="1320">
      <x:c r="A1320" t="str">
        <x:v>ce17c525-bcee-448d-a6c1-48988a1cf8be</x:v>
      </x:c>
      <x:c r="B1320" t="str">
        <x:v>e46545cb-c5e0-4148-bb90-f3c688ed68d4</x:v>
      </x:c>
      <x:c r="C1320" s="9" t="str">
        <x:v>Haleemudeen v Secretary of State for the Home Department [2014] EWCA Civ 558</x:v>
      </x:c>
      <x:c r="D1320" s="9" t="str"/>
      <x:c r="E1320" s="9" t="str"/>
      <x:c r="F1320" s="13" t="str">
        <x:v>2014</x:v>
      </x:c>
      <x:c r="G1320" s="9" t="str">
        <x:v>England and Wales Court of Appeal (Civil Division)</x:v>
      </x:c>
      <x:c r="H1320" s="9" t="str">
        <x:v>Appellate</x:v>
      </x:c>
      <x:c r="I1320" s="9" t="str">
        <x:v>England and Wales</x:v>
      </x:c>
      <x:c r="J1320" s="9" t="str">
        <x:v>Immigration Law</x:v>
      </x:c>
      <x:c r="K1320" s="9" t="str">
        <x:v>-ew-cases-EWCA-Civ-2014-558.xml</x:v>
      </x:c>
      <x:c r="L1320" s="9" t="str">
        <x:v>TBA</x:v>
      </x:c>
    </x:row>
    <x:row r="1321">
      <x:c r="A1321" t="str">
        <x:v>67b30220-eec5-4861-bda6-6f9ec128a1aa</x:v>
      </x:c>
      <x:c r="B1321" t="str">
        <x:v>51cdf21d-2e8d-4694-805d-5758e7941b6e</x:v>
      </x:c>
      <x:c r="C1321" s="9" t="str">
        <x:v>Hallam &amp; Anor, R (on the applications of) v The Secretary of State for Justice (rev 1) [2016] EWCA Civ 355</x:v>
      </x:c>
      <x:c r="D1321" s="9" t="str"/>
      <x:c r="E1321" s="9" t="str"/>
      <x:c r="F1321" s="13" t="str">
        <x:v>2016</x:v>
      </x:c>
      <x:c r="G1321" s="9" t="str">
        <x:v>England and Wales Court of Appeal (Civil Division)</x:v>
      </x:c>
      <x:c r="H1321" s="9" t="str">
        <x:v>Court of Appeal (Civil Division)</x:v>
      </x:c>
      <x:c r="I1321" s="9" t="str">
        <x:v>England and Wales</x:v>
      </x:c>
      <x:c r="J1321" s="9" t="str">
        <x:v>Public Law / Human Rights</x:v>
      </x:c>
      <x:c r="K1321" s="9" t="str">
        <x:v>-ew-cases-EWCA-Civ-2016-355.xml</x:v>
      </x:c>
      <x:c r="L1321" s="9" t="str">
        <x:v>TBA</x:v>
      </x:c>
    </x:row>
    <x:row r="1322">
      <x:c r="A1322" t="str">
        <x:v>43d83f08-ce37-419f-95a3-c89e847ebfff</x:v>
      </x:c>
      <x:c r="B1322" t="str">
        <x:v>8984e81b-e1c3-48d4-ad95-339c93791980</x:v>
      </x:c>
      <x:c r="C1322" s="9" t="str">
        <x:v>Hallam Estates Ltd &amp; Anor v Baker</x:v>
      </x:c>
      <x:c r="D1322" s="9" t="str"/>
      <x:c r="E1322" s="9" t="str"/>
      <x:c r="F1322" s="13" t="str">
        <x:v>2014</x:v>
      </x:c>
      <x:c r="G1322" s="9" t="str">
        <x:v>England and Wales Court of Appeal (Civil Division)</x:v>
      </x:c>
      <x:c r="H1322" s="9" t="str">
        <x:v>Appellate</x:v>
      </x:c>
      <x:c r="I1322" s="9" t="str">
        <x:v>England and Wales</x:v>
      </x:c>
      <x:c r="J1322" s="9" t="str">
        <x:v>Civil Procedure Appeal</x:v>
      </x:c>
      <x:c r="K1322" s="9" t="str">
        <x:v>-ew-cases-EWCA-Civ-2014-661.xml</x:v>
      </x:c>
      <x:c r="L1322" s="9" t="str">
        <x:v>TBA</x:v>
      </x:c>
    </x:row>
    <x:row r="1323">
      <x:c r="A1323" t="str">
        <x:v>0d1111f1-1618-458f-b531-2c20186cfe27</x:v>
      </x:c>
      <x:c r="B1323" t="str">
        <x:v>bcc5f43b-1811-49c6-82c7-104db70dfb65</x:v>
      </x:c>
      <x:c r="C1323" s="9" t="str">
        <x:v>Halpern &amp; Ors v Greater London Authority [2015] EWCA Civ 909</x:v>
      </x:c>
      <x:c r="D1323" s="9" t="str"/>
      <x:c r="E1323" s="9" t="str"/>
      <x:c r="F1323" s="13" t="str">
        <x:v>2015</x:v>
      </x:c>
      <x:c r="G1323" s="9" t="str">
        <x:v>England and Wales Court of Appeal (Civil Division)</x:v>
      </x:c>
      <x:c r="H1323" s="9" t="str">
        <x:v>Appellate</x:v>
      </x:c>
      <x:c r="I1323" s="9" t="str">
        <x:v>England and Wales</x:v>
      </x:c>
      <x:c r="J1323" s="9" t="str">
        <x:v>Property Law</x:v>
      </x:c>
      <x:c r="K1323" s="9" t="str">
        <x:v>-ew-cases-EWCA-Civ-2015-909.xml</x:v>
      </x:c>
      <x:c r="L1323" s="9" t="str">
        <x:v>TBA</x:v>
      </x:c>
    </x:row>
    <x:row r="1324">
      <x:c r="A1324" t="str">
        <x:v>4bbe199d-41df-45be-a3e2-518a4b5600ea</x:v>
      </x:c>
      <x:c r="B1324" t="str">
        <x:v>2804c1f5-ed18-468b-9e8a-42fe73516224</x:v>
      </x:c>
      <x:c r="C1324" s="9" t="str">
        <x:v>Ham v The Governing Body of Beardwood Humanities College [2017] EWCA Civ 1629</x:v>
      </x:c>
      <x:c r="D1324" s="9" t="str"/>
      <x:c r="E1324" s="9" t="str"/>
      <x:c r="F1324" s="13" t="str">
        <x:v>2017</x:v>
      </x:c>
      <x:c r="G1324" s="9" t="str">
        <x:v>England and Wales Court of Appeal (Civil Division)</x:v>
      </x:c>
      <x:c r="H1324" s="9" t="str">
        <x:v>Appellate</x:v>
      </x:c>
      <x:c r="I1324" s="9" t="str">
        <x:v>England and Wales</x:v>
      </x:c>
      <x:c r="J1324" s="9" t="str">
        <x:v>Employment Law</x:v>
      </x:c>
      <x:c r="K1324" s="9" t="str">
        <x:v>-ew-cases-EWCA-Civ-2017-1629.xml</x:v>
      </x:c>
      <x:c r="L1324" s="9" t="str">
        <x:v>TBA</x:v>
      </x:c>
    </x:row>
    <x:row r="1325">
      <x:c r="A1325" t="str">
        <x:v>e6c6a299-98af-4610-b558-29238a2f12e3</x:v>
      </x:c>
      <x:c r="B1325" t="str">
        <x:v>31364ff4-1938-4de3-a459-03f00557ef20</x:v>
      </x:c>
      <x:c r="C1325" s="9" t="str">
        <x:v>Hamid v Khalid [2017] EWCA Civ 201</x:v>
      </x:c>
      <x:c r="D1325" s="9" t="str"/>
      <x:c r="E1325" s="9" t="str"/>
      <x:c r="F1325" s="13" t="str">
        <x:v>2017</x:v>
      </x:c>
      <x:c r="G1325" s="9" t="str">
        <x:v>England and Wales Court of Appeal (Civil Division)</x:v>
      </x:c>
      <x:c r="H1325" s="9" t="str">
        <x:v>Appellate</x:v>
      </x:c>
      <x:c r="I1325" s="9" t="str">
        <x:v>England and Wales</x:v>
      </x:c>
      <x:c r="J1325" s="9" t="str">
        <x:v>Personal Injury</x:v>
      </x:c>
      <x:c r="K1325" s="9" t="str">
        <x:v>-ew-cases-EWCA-Civ-2017-201.xml</x:v>
      </x:c>
      <x:c r="L1325" s="9" t="str">
        <x:v>TBA</x:v>
      </x:c>
    </x:row>
    <x:row r="1326">
      <x:c r="A1326" t="str">
        <x:v>596bfd7a-80c3-4c41-99df-5c5a6822c47b</x:v>
      </x:c>
      <x:c r="B1326" t="str">
        <x:v>c0ec76f0-fd21-4397-823e-7f92e68267dd</x:v>
      </x:c>
      <x:c r="C1326" s="9" t="str">
        <x:v>Hampshire Constabulary v Southampton City Council</x:v>
      </x:c>
      <x:c r="D1326" s="9" t="str"/>
      <x:c r="E1326" s="9" t="str"/>
      <x:c r="F1326" s="13" t="str">
        <x:v>2014</x:v>
      </x:c>
      <x:c r="G1326" s="9" t="str">
        <x:v>England and Wales Court of Appeal (Civil Division)</x:v>
      </x:c>
      <x:c r="H1326" s="9" t="str">
        <x:v>Appellate</x:v>
      </x:c>
      <x:c r="I1326" s="9" t="str">
        <x:v>England and Wales</x:v>
      </x:c>
      <x:c r="J1326" s="9" t="str">
        <x:v>Civil Liability and Contribution Claims</x:v>
      </x:c>
      <x:c r="K1326" s="9" t="str">
        <x:v>-ew-cases-EWCA-Civ-2014-1541.xml</x:v>
      </x:c>
      <x:c r="L1326" s="9" t="str">
        <x:v>TBA</x:v>
      </x:c>
    </x:row>
    <x:row r="1327">
      <x:c r="A1327" t="str">
        <x:v>4d4fb2e0-6b1a-445f-9332-5e80da76b2ff</x:v>
      </x:c>
      <x:c r="B1327" t="str">
        <x:v>db46af01-a0e5-4fda-9ae6-434ae216374a</x:v>
      </x:c>
      <x:c r="C1327" s="9" t="str">
        <x:v>Hampshire v The Board of the Pension Protection Fund [2016] EWCA Civ 786</x:v>
      </x:c>
      <x:c r="D1327" s="9" t="str"/>
      <x:c r="E1327" s="9" t="str"/>
      <x:c r="F1327" s="13" t="str">
        <x:v>2016</x:v>
      </x:c>
      <x:c r="G1327" s="9" t="str">
        <x:v>England and Wales Court of Appeal (Civil Division)</x:v>
      </x:c>
      <x:c r="H1327" s="9" t="str">
        <x:v>Court of Appeal (Civil Division)</x:v>
      </x:c>
      <x:c r="I1327" s="9" t="str">
        <x:v>England and Wales</x:v>
      </x:c>
      <x:c r="J1327" s="9" t="str">
        <x:v>EU Law / Pensions / Insolvency</x:v>
      </x:c>
      <x:c r="K1327" s="9" t="str">
        <x:v>-ew-cases-EWCA-Civ-2016-786.xml</x:v>
      </x:c>
      <x:c r="L1327" s="9" t="str">
        <x:v>TBA</x:v>
      </x:c>
    </x:row>
    <x:row r="1328">
      <x:c r="A1328" t="str">
        <x:v>0d719a38-3507-4bf1-8282-2670e52ba36c</x:v>
      </x:c>
      <x:c r="B1328" t="str">
        <x:v>21aef08e-1e64-46d6-970a-6a9bfe8e9e6c</x:v>
      </x:c>
      <x:c r="C1328" s="9" t="str">
        <x:v>Hampton Bishop Parish Council, R (On the Application Of) v Herefordshire Council</x:v>
      </x:c>
      <x:c r="D1328" s="9" t="str"/>
      <x:c r="E1328" s="9" t="str"/>
      <x:c r="F1328" s="13" t="str">
        <x:v>2014</x:v>
      </x:c>
      <x:c r="G1328" s="9" t="str">
        <x:v>England and Wales Court of Appeal (Civil Division)</x:v>
      </x:c>
      <x:c r="H1328" s="9" t="str">
        <x:v>Appellate</x:v>
      </x:c>
      <x:c r="I1328" s="9" t="str">
        <x:v>England and Wales</x:v>
      </x:c>
      <x:c r="J1328" s="9" t="str">
        <x:v>Administrative Law</x:v>
      </x:c>
      <x:c r="K1328" s="9" t="str">
        <x:v>-ew-cases-EWCA-Civ-2014-878.xml</x:v>
      </x:c>
      <x:c r="L1328" s="9" t="str">
        <x:v>TBA</x:v>
      </x:c>
    </x:row>
    <x:row r="1329">
      <x:c r="A1329" t="str">
        <x:v>3481fd7c-0da3-4e47-84a2-239f8ade86d3</x:v>
      </x:c>
      <x:c r="B1329" t="str">
        <x:v>db60b808-6511-4768-92cc-96356e30218e</x:v>
      </x:c>
      <x:c r="C1329" s="9" t="str">
        <x:v>Hamzeh &amp; Ors v Secretary of State for the Home Department</x:v>
      </x:c>
      <x:c r="D1329" s="9" t="str"/>
      <x:c r="E1329" s="9" t="str"/>
      <x:c r="F1329" s="13" t="str">
        <x:v>2014</x:v>
      </x:c>
      <x:c r="G1329" s="9" t="str">
        <x:v>England and Wales Court of Appeal (Civil Division)</x:v>
      </x:c>
      <x:c r="H1329" s="9" t="str">
        <x:v>Appellate</x:v>
      </x:c>
      <x:c r="I1329" s="9" t="str">
        <x:v>England and Wales</x:v>
      </x:c>
      <x:c r="J1329" s="9" t="str">
        <x:v>Administrative Law</x:v>
      </x:c>
      <x:c r="K1329" s="9" t="str">
        <x:v>-ew-cases-EWCA-Civ-2014-956.xml</x:v>
      </x:c>
      <x:c r="L1329" s="9" t="str">
        <x:v>TBA</x:v>
      </x:c>
    </x:row>
    <x:row r="1330">
      <x:c r="A1330" t="str">
        <x:v>5ea79fcf-73b3-407d-be74-01a114d79723</x:v>
      </x:c>
      <x:c r="B1330" t="str">
        <x:v>3f2233ab-5dac-4ed3-a846-d42879f6cc7b</x:v>
      </x:c>
      <x:c r="C1330" s="9" t="str">
        <x:v>Hancock &amp; Anor v Revenue &amp; Customs [2017] EWCA Civ 198</x:v>
      </x:c>
      <x:c r="D1330" s="9" t="str"/>
      <x:c r="E1330" s="9" t="str"/>
      <x:c r="F1330" s="13" t="str">
        <x:v>2017</x:v>
      </x:c>
      <x:c r="G1330" s="9" t="str">
        <x:v>England and Wales Court of Appeal (Civil Division)</x:v>
      </x:c>
      <x:c r="H1330" s="9" t="str">
        <x:v>Appellate</x:v>
      </x:c>
      <x:c r="I1330" s="9" t="str">
        <x:v>England and Wales</x:v>
      </x:c>
      <x:c r="J1330" s="9" t="str">
        <x:v>Tax Law</x:v>
      </x:c>
      <x:c r="K1330" s="9" t="str">
        <x:v>-ew-cases-EWCA-Civ-2017-198.xml</x:v>
      </x:c>
      <x:c r="L1330" s="9" t="str">
        <x:v>TBA</x:v>
      </x:c>
    </x:row>
    <x:row r="1331">
      <x:c r="A1331" t="str">
        <x:v>841a3a50-2dd6-4fff-9c01-02dfafd34102</x:v>
      </x:c>
      <x:c r="B1331" t="str">
        <x:v>10c2c085-81f9-4add-ace0-c0cfa746c02a</x:v>
      </x:c>
      <x:c r="C1331" s="9" t="str">
        <x:v>Handley &amp; Anor v Lake Jackson Solicitors (a firm) &amp; Ors [2016] EWCA Civ 465</x:v>
      </x:c>
      <x:c r="D1331" s="9" t="str"/>
      <x:c r="E1331" s="9" t="str"/>
      <x:c r="F1331" s="13" t="str">
        <x:v>2016</x:v>
      </x:c>
      <x:c r="G1331" s="9" t="str">
        <x:v>England and Wales Court of Appeal (Civil Division)</x:v>
      </x:c>
      <x:c r="H1331" s="9" t="str">
        <x:v>Court of Appeal (Civil Division)</x:v>
      </x:c>
      <x:c r="I1331" s="9" t="str">
        <x:v>England and Wales</x:v>
      </x:c>
      <x:c r="J1331" s="9" t="str">
        <x:v>Civil Appeal / Administrative Law</x:v>
      </x:c>
      <x:c r="K1331" s="9" t="str">
        <x:v>-ew-cases-EWCA-Civ-2016-465.xml</x:v>
      </x:c>
      <x:c r="L1331" s="9" t="str">
        <x:v>TBA</x:v>
      </x:c>
    </x:row>
    <x:row r="1332">
      <x:c r="A1332" t="str">
        <x:v>f429cd7c-d905-4358-9e53-67169c5287fa</x:v>
      </x:c>
      <x:c r="B1332" t="str">
        <x:v>c9e39719-6e57-4f4f-9445-87e52e31b362</x:v>
      </x:c>
      <x:c r="C1332" s="9" t="str">
        <x:v>Hanlon &amp; Anr v Rayson &amp; Anr [2016] EWCA Civ 1168</x:v>
      </x:c>
      <x:c r="D1332" s="9" t="str"/>
      <x:c r="E1332" s="9" t="str"/>
      <x:c r="F1332" s="13" t="str">
        <x:v>2016</x:v>
      </x:c>
      <x:c r="G1332" s="9" t="str">
        <x:v>England and Wales Court of Appeal (Civil Division)</x:v>
      </x:c>
      <x:c r="H1332" s="9" t="str">
        <x:v>Court of Appeal (Civil Division)</x:v>
      </x:c>
      <x:c r="I1332" s="9" t="str">
        <x:v>England and Wales</x:v>
      </x:c>
      <x:c r="J1332" s="9" t="str">
        <x:v>Civil Appeal / Privilege and Settlement</x:v>
      </x:c>
      <x:c r="K1332" s="9" t="str">
        <x:v>-ew-cases-EWCA-Civ-2016-1168.xml</x:v>
      </x:c>
      <x:c r="L1332" s="9" t="str">
        <x:v>TBA</x:v>
      </x:c>
    </x:row>
    <x:row r="1333">
      <x:c r="A1333" t="str">
        <x:v>b26a63a8-84c8-4745-a8bf-4377181a230a</x:v>
      </x:c>
      <x:c r="B1333" t="str">
        <x:v>e866b262-7a8e-4283-bbdc-13a410c7503e</x:v>
      </x:c>
      <x:c r="C1333" s="9" t="str">
        <x:v>Hanna, R. v [2023] EWCA Crim 33 (Court of Appeal, Criminal Division)</x:v>
      </x:c>
      <x:c r="D1333" s="9" t="str"/>
      <x:c r="E1333" s="9" t="str"/>
      <x:c r="F1333" s="13" t="str">
        <x:v>2023</x:v>
      </x:c>
      <x:c r="G1333" s="9" t="str">
        <x:v>England and Wales Court of Appeal (Criminal Division)</x:v>
      </x:c>
      <x:c r="H1333" s="9" t="str">
        <x:v>Court of Appeal (Criminal Division)</x:v>
      </x:c>
      <x:c r="I1333" s="9" t="str">
        <x:v>England and Wales</x:v>
      </x:c>
      <x:c r="J1333" s="9" t="str">
        <x:v>Criminal Appeal</x:v>
      </x:c>
      <x:c r="K1333" s="9" t="str">
        <x:v>ew-cases-EWCA-Civ-2023-33.xml</x:v>
      </x:c>
      <x:c r="L1333" s="9" t="str">
        <x:v>TBA</x:v>
      </x:c>
    </x:row>
    <x:row r="1334">
      <x:c r="A1334" t="str">
        <x:v>98ee8540-340e-4f1d-929d-ebd5e4062081</x:v>
      </x:c>
      <x:c r="B1334" t="str">
        <x:v>73c38ea1-a538-4490-82cc-645dabdd2a4c</x:v>
      </x:c>
      <x:c r="C1334" s="9" t="str">
        <x:v>Harb v HRH Prince Abdul Aziz Bin Fahd Bin Abdul Aziz [2016] EWCA Civ 556</x:v>
      </x:c>
      <x:c r="D1334" s="9" t="str"/>
      <x:c r="E1334" s="9" t="str"/>
      <x:c r="F1334" s="13" t="str">
        <x:v>2016</x:v>
      </x:c>
      <x:c r="G1334" s="9" t="str">
        <x:v>England and Wales Court of Appeal (Civil Division)</x:v>
      </x:c>
      <x:c r="H1334" s="9" t="str">
        <x:v>Court of Appeal (Civil Division)</x:v>
      </x:c>
      <x:c r="I1334" s="9" t="str">
        <x:v>England and Wales</x:v>
      </x:c>
      <x:c r="J1334" s="9" t="str">
        <x:v>Contract and Agency; Civil Procedure</x:v>
      </x:c>
      <x:c r="K1334" s="9" t="str">
        <x:v>-ew-cases-EWCA-Civ-2016-556.xml</x:v>
      </x:c>
      <x:c r="L1334" s="9" t="str">
        <x:v>TBA</x:v>
      </x:c>
    </x:row>
    <x:row r="1335">
      <x:c r="A1335" t="str">
        <x:v>f19371bc-0a26-4ba9-9fd2-ebc2f29b2ea8</x:v>
      </x:c>
      <x:c r="B1335" t="str">
        <x:v>bbd6340e-9499-4d14-833a-1e84c9e41bf1</x:v>
      </x:c>
      <x:c r="C1335" s="9" t="str">
        <x:v>Harding (t/a M J Harding Contractors) v Paice &amp; Anor</x:v>
      </x:c>
      <x:c r="D1335" s="9" t="str"/>
      <x:c r="E1335" s="9" t="str"/>
      <x:c r="F1335" s="13" t="str">
        <x:v>2015</x:v>
      </x:c>
      <x:c r="G1335" s="9" t="str">
        <x:v>England and Wales Court of Appeal (Civil Division)</x:v>
      </x:c>
      <x:c r="H1335" s="9" t="str">
        <x:v>Appellate</x:v>
      </x:c>
      <x:c r="I1335" s="9" t="str">
        <x:v>England and Wales</x:v>
      </x:c>
      <x:c r="J1335" s="9" t="str">
        <x:v>Construction Law</x:v>
      </x:c>
      <x:c r="K1335" s="9" t="str">
        <x:v>-ew-cases-EWCA-Civ-2015-1231.xml</x:v>
      </x:c>
      <x:c r="L1335" s="9" t="str">
        <x:v>TBA</x:v>
      </x:c>
    </x:row>
    <x:row r="1336">
      <x:c r="A1336" t="str">
        <x:v>d9a88108-4617-4803-8d0c-8fb307bfa1cf</x:v>
      </x:c>
      <x:c r="B1336" t="str">
        <x:v>3877de32-c402-46c9-897f-1d155aab8461</x:v>
      </x:c>
      <x:c r="C1336" s="9" t="str">
        <x:v>Hargreaves v HM Revenue and Customs [2016] EWCA Civ 174 (22 March 2016)</x:v>
      </x:c>
      <x:c r="D1336" s="9" t="str"/>
      <x:c r="E1336" s="9" t="str"/>
      <x:c r="F1336" s="13" t="str">
        <x:v>2016</x:v>
      </x:c>
      <x:c r="G1336" s="9" t="str">
        <x:v>England and Wales Court of Appeal (Civil Division)</x:v>
      </x:c>
      <x:c r="H1336" s="9" t="str">
        <x:v>Court of Appeal (Civil Division)</x:v>
      </x:c>
      <x:c r="I1336" s="9" t="str">
        <x:v>England and Wales</x:v>
      </x:c>
      <x:c r="J1336" s="9" t="str">
        <x:v>Tax Law / Administrative Law</x:v>
      </x:c>
      <x:c r="K1336" s="9" t="str">
        <x:v>-ew-cases-EWCA-Civ-2016-174.xml</x:v>
      </x:c>
      <x:c r="L1336" s="9" t="str">
        <x:v>TBA</x:v>
      </x:c>
    </x:row>
    <x:row r="1337">
      <x:c r="A1337" t="str">
        <x:v>8819d2ae-d252-4aa0-aa02-ef320c484ae8</x:v>
      </x:c>
      <x:c r="B1337" t="str">
        <x:v>d720eac9-44cd-4d92-9889-e7595a36932e</x:v>
      </x:c>
      <x:c r="C1337" s="9" t="str">
        <x:v>Haris v General Medical Council</x:v>
      </x:c>
      <x:c r="D1337" s="9" t="str"/>
      <x:c r="E1337" s="9" t="str"/>
      <x:c r="F1337" s="13" t="str">
        <x:v>2021</x:v>
      </x:c>
      <x:c r="G1337" s="9" t="str">
        <x:v>England and Wales Court of Appeal (Civil Division)</x:v>
      </x:c>
      <x:c r="H1337" s="9" t="str">
        <x:v>Appellate</x:v>
      </x:c>
      <x:c r="I1337" s="9" t="str">
        <x:v>England and Wales</x:v>
      </x:c>
      <x:c r="J1337" s="9" t="str">
        <x:v>Disciplinary Action</x:v>
      </x:c>
      <x:c r="K1337" s="9" t="str">
        <x:v>ew-cases-EWCA-Civ-2021-763.xml</x:v>
      </x:c>
      <x:c r="L1337" s="9" t="str">
        <x:v>TBA</x:v>
      </x:c>
    </x:row>
    <x:row r="1338">
      <x:c r="A1338" t="str">
        <x:v>2504f75d-68ca-4704-9fe3-13f9595ca5c8</x:v>
      </x:c>
      <x:c r="B1338" t="str">
        <x:v>e019f802-2437-4049-a285-aedb3cb92b40</x:v>
      </x:c>
      <x:c r="C1338" s="9" t="str">
        <x:v>Harrington v Secretary of State for Work and Pensions [2023] EWCA Civ 433 (21 April 2023) (with [2023] WLR(D) 185 as the Law Report; neutral citation [2023] EWCA Civ 433)</x:v>
      </x:c>
      <x:c r="D1338" s="9" t="str"/>
      <x:c r="E1338" s="9" t="str"/>
      <x:c r="F1338" s="13" t="str">
        <x:v>2023</x:v>
      </x:c>
      <x:c r="G1338" s="9" t="str">
        <x:v>England and Wales Court of Appeal (Civil Division)</x:v>
      </x:c>
      <x:c r="H1338" s="9" t="str">
        <x:v>Court of Appeal (Civil Division)</x:v>
      </x:c>
      <x:c r="I1338" s="9" t="str">
        <x:v>England and Wales</x:v>
      </x:c>
      <x:c r="J1338" s="9" t="str">
        <x:v>EU/UK Social Security Law; Administrative Law; Public Law; Disability Benefit Entitlement</x:v>
      </x:c>
      <x:c r="K1338" s="9" t="str">
        <x:v>ew-cases-EWCA-Civ-2023-433.xml</x:v>
      </x:c>
      <x:c r="L1338" s="9" t="str">
        <x:v>TBA</x:v>
      </x:c>
    </x:row>
    <x:row r="1339">
      <x:c r="A1339" t="str">
        <x:v>3f1305bb-2278-472c-9f5e-a98d2982f4a3</x:v>
      </x:c>
      <x:c r="B1339" t="str">
        <x:v>0802fa28-d100-4481-a89a-42e8335f65f4</x:v>
      </x:c>
      <x:c r="C1339" s="9" t="str">
        <x:v>Harris v London Borough of Hounslow</x:v>
      </x:c>
      <x:c r="D1339" s="9" t="str"/>
      <x:c r="E1339" s="9" t="str"/>
      <x:c r="F1339" s="13" t="str">
        <x:v>2017</x:v>
      </x:c>
      <x:c r="G1339" s="9" t="str">
        <x:v>England and Wales Court of Appeal (Civil Division)</x:v>
      </x:c>
      <x:c r="H1339" s="9" t="str">
        <x:v>Appellate</x:v>
      </x:c>
      <x:c r="I1339" s="9" t="str">
        <x:v>England and Wales</x:v>
      </x:c>
      <x:c r="J1339" s="9" t="str">
        <x:v>Housing Law</x:v>
      </x:c>
      <x:c r="K1339" s="9" t="str">
        <x:v>-ew-cases-EWCA-Civ-2017-1476.xml</x:v>
      </x:c>
      <x:c r="L1339" s="9" t="str">
        <x:v>TBA</x:v>
      </x:c>
    </x:row>
    <x:row r="1340">
      <x:c r="A1340" t="str">
        <x:v>9fcc997f-e134-48cd-89e2-db42c3676b19</x:v>
      </x:c>
      <x:c r="B1340" t="str">
        <x:v>11603972-f491-4aab-82ce-f545ef7a02c8</x:v>
      </x:c>
      <x:c r="C1340" s="9" t="str">
        <x:v>Harris v Microfusion 2003-2 LLP &amp; Ors [2016] EWCA Civ 1212 (Court of Appeal, Civil Division)</x:v>
      </x:c>
      <x:c r="D1340" s="9" t="str"/>
      <x:c r="E1340" s="9" t="str"/>
      <x:c r="F1340" s="13" t="str">
        <x:v>2016</x:v>
      </x:c>
      <x:c r="G1340" s="9" t="str">
        <x:v>England and Wales Court of Appeal (Civil Division)</x:v>
      </x:c>
      <x:c r="H1340" s="9" t="str">
        <x:v>Court of Appeal (Civil Division)</x:v>
      </x:c>
      <x:c r="I1340" s="9" t="str">
        <x:v>England and Wales</x:v>
      </x:c>
      <x:c r="J1340" s="9" t="str">
        <x:v>Company/Partnership Law; Derivative Actions; Fiduciary Duties</x:v>
      </x:c>
      <x:c r="K1340" s="9" t="str">
        <x:v>-ew-cases-EWCA-Civ-2016-1212.xml</x:v>
      </x:c>
      <x:c r="L1340" s="9" t="str">
        <x:v>TBA</x:v>
      </x:c>
    </x:row>
    <x:row r="1341">
      <x:c r="A1341" t="str">
        <x:v>a27a4eb6-fbc8-4261-93c3-2838edab0430</x:v>
      </x:c>
      <x:c r="B1341" t="str">
        <x:v>0399dd9b-966d-4fd8-9b3d-068e54f17b81</x:v>
      </x:c>
      <x:c r="C1341" s="9" t="str">
        <x:v>Harrison v Madejski &amp; Anor [2014] EWCA Civ 361</x:v>
      </x:c>
      <x:c r="D1341" s="9" t="str"/>
      <x:c r="E1341" s="9" t="str"/>
      <x:c r="F1341" s="13" t="str">
        <x:v>2014</x:v>
      </x:c>
      <x:c r="G1341" s="9" t="str">
        <x:v>England and Wales Court of Appeal (Civil Division)</x:v>
      </x:c>
      <x:c r="H1341" s="9" t="str">
        <x:v>Appellate</x:v>
      </x:c>
      <x:c r="I1341" s="9" t="str">
        <x:v>England and Wales</x:v>
      </x:c>
      <x:c r="J1341" s="9" t="str">
        <x:v>Civil Appeal</x:v>
      </x:c>
      <x:c r="K1341" s="9" t="str">
        <x:v>-ew-cases-EWCA-Civ-2014-361.xml</x:v>
      </x:c>
      <x:c r="L1341" s="9" t="str">
        <x:v>TBA</x:v>
      </x:c>
    </x:row>
    <x:row r="1342">
      <x:c r="A1342" t="str">
        <x:v>b635c3fe-3bf0-4a59-9cf5-d552fd832f87</x:v>
      </x:c>
      <x:c r="B1342" t="str">
        <x:v>31363c52-8c0b-465c-a295-709d47c8b8ad</x:v>
      </x:c>
      <x:c r="C1342" s="9" t="str">
        <x:v>Harrison v University Hospitals Coventry &amp; Warwickshire NHS Trust</x:v>
      </x:c>
      <x:c r="D1342" s="9" t="str"/>
      <x:c r="E1342" s="9" t="str"/>
      <x:c r="F1342" s="13" t="str">
        <x:v>2017</x:v>
      </x:c>
      <x:c r="G1342" s="9" t="str">
        <x:v>England and Wales Court of Appeal (Civil Division)</x:v>
      </x:c>
      <x:c r="H1342" s="9" t="str">
        <x:v>Appellate</x:v>
      </x:c>
      <x:c r="I1342" s="9" t="str">
        <x:v>England and Wales</x:v>
      </x:c>
      <x:c r="J1342" s="9" t="str">
        <x:v>Civil Procedure</x:v>
      </x:c>
      <x:c r="K1342" s="9" t="str">
        <x:v>-ew-cases-EWCA-Civ-2017-792.xml</x:v>
      </x:c>
      <x:c r="L1342" s="9" t="str">
        <x:v>TBA</x:v>
      </x:c>
    </x:row>
    <x:row r="1343">
      <x:c r="A1343" t="str">
        <x:v>23623a5c-7ece-4a7b-a7c9-f85874c9ae18</x:v>
      </x:c>
      <x:c r="B1343" t="str">
        <x:v>6b274597-5adb-4cf9-bd2a-68d489efbd0c</x:v>
      </x:c>
      <x:c r="C1343" s="9" t="str">
        <x:v>Harrod &amp; Ors v Chief Constable of West Midlands Police &amp; Ors</x:v>
      </x:c>
      <x:c r="D1343" s="9" t="str"/>
      <x:c r="E1343" s="9" t="str"/>
      <x:c r="F1343" s="13" t="str">
        <x:v>2017</x:v>
      </x:c>
      <x:c r="G1343" s="9" t="str">
        <x:v>England and Wales Court of Appeal (Civil Division)</x:v>
      </x:c>
      <x:c r="H1343" s="9" t="str">
        <x:v>Appellate Court</x:v>
      </x:c>
      <x:c r="I1343" s="9" t="str">
        <x:v>England and Wales</x:v>
      </x:c>
      <x:c r="J1343" s="9" t="str">
        <x:v>Employment Discrimination</x:v>
      </x:c>
      <x:c r="K1343" s="9" t="str">
        <x:v>-ew-cases-EWCA-Civ-2017-191.xml</x:v>
      </x:c>
      <x:c r="L1343" s="9" t="str">
        <x:v>TBA</x:v>
      </x:c>
    </x:row>
    <x:row r="1344">
      <x:c r="A1344" t="str">
        <x:v>4b070341-5d82-445f-8538-b8c2de3f710b</x:v>
      </x:c>
      <x:c r="B1344" t="str">
        <x:v>0d2bb792-d3d9-4aed-9156-c3a5f6f3cac7</x:v>
      </x:c>
      <x:c r="C1344" s="9" t="str">
        <x:v>Hart &amp; Anor v Burbidge &amp; Anor [2014] EWCA Civ 992</x:v>
      </x:c>
      <x:c r="D1344" s="9" t="str"/>
      <x:c r="E1344" s="9" t="str"/>
      <x:c r="F1344" s="13" t="str">
        <x:v>2014</x:v>
      </x:c>
      <x:c r="G1344" s="9" t="str">
        <x:v>England and Wales Court of Appeal (Civil Division)</x:v>
      </x:c>
      <x:c r="H1344" s="9" t="str">
        <x:v>Appellate</x:v>
      </x:c>
      <x:c r="I1344" s="9" t="str">
        <x:v>England and Wales</x:v>
      </x:c>
      <x:c r="J1344" s="9" t="str">
        <x:v>Estate Litigation</x:v>
      </x:c>
      <x:c r="K1344" s="9" t="str">
        <x:v>-ew-cases-EWCA-Civ-2014-992.xml</x:v>
      </x:c>
      <x:c r="L1344" s="9" t="str">
        <x:v>TBA</x:v>
      </x:c>
    </x:row>
    <x:row r="1345">
      <x:c r="A1345" t="str">
        <x:v>024d3b64-b404-470e-bbdc-318cd75e5f0e</x:v>
      </x:c>
      <x:c r="B1345" t="str">
        <x:v>c31245b1-1179-42ce-b957-1c875e9f53ef</x:v>
      </x:c>
      <x:c r="C1345" s="9" t="str">
        <x:v>Hart v Hart [2016] EWCA Civ 497</x:v>
      </x:c>
      <x:c r="D1345" s="9" t="str"/>
      <x:c r="E1345" s="9" t="str"/>
      <x:c r="F1345" s="13" t="str">
        <x:v>2016</x:v>
      </x:c>
      <x:c r="G1345" s="9" t="str">
        <x:v>England and Wales Court of Appeal (Civil Division)</x:v>
      </x:c>
      <x:c r="H1345" s="9" t="str">
        <x:v>Court of Appeal (Civil Division)</x:v>
      </x:c>
      <x:c r="I1345" s="9" t="str">
        <x:v>England and Wales</x:v>
      </x:c>
      <x:c r="J1345" s="9" t="str">
        <x:v>Family Law / Ancillary Relief / Appeals</x:v>
      </x:c>
      <x:c r="K1345" s="9" t="str">
        <x:v>-ew-cases-EWCA-Civ-2016-497.xml</x:v>
      </x:c>
      <x:c r="L1345" s="9" t="str">
        <x:v>TBA</x:v>
      </x:c>
    </x:row>
    <x:row r="1346">
      <x:c r="A1346" t="str">
        <x:v>a3167336-4871-4a6c-aa98-48b530a1f05f</x:v>
      </x:c>
      <x:c r="B1346" t="str">
        <x:v>5a6cb8d0-5885-40cf-a666-6e16583cbdca</x:v>
      </x:c>
      <x:c r="C1346" s="9" t="str">
        <x:v>Hart v Hart [2017] EWCA Civ 1306</x:v>
      </x:c>
      <x:c r="D1346" s="9" t="str"/>
      <x:c r="E1346" s="9" t="str"/>
      <x:c r="F1346" s="13" t="str">
        <x:v>2017</x:v>
      </x:c>
      <x:c r="G1346" s="9" t="str">
        <x:v>England and Wales Court of Appeal (Civil Division)</x:v>
      </x:c>
      <x:c r="H1346" s="9" t="str">
        <x:v>Appellate</x:v>
      </x:c>
      <x:c r="I1346" s="9" t="str">
        <x:v>England and Wales</x:v>
      </x:c>
      <x:c r="J1346" s="9" t="str">
        <x:v>Family Law</x:v>
      </x:c>
      <x:c r="K1346" s="9" t="str">
        <x:v>-ew-cases-EWCA-Civ-2017-1306.xml</x:v>
      </x:c>
      <x:c r="L1346" s="9" t="str">
        <x:v>TBA</x:v>
      </x:c>
    </x:row>
    <x:row r="1347">
      <x:c r="A1347" t="str">
        <x:v>39300561-f6a2-45e7-8ff6-81cd5c4417b1</x:v>
      </x:c>
      <x:c r="B1347" t="str">
        <x:v>e39e4442-80ce-4060-84fd-444693310fc1</x:v>
      </x:c>
      <x:c r="C1347" s="9" t="str">
        <x:v>Hartley &amp; Ors v King Edward VI College [2015] EWCA Civ 455</x:v>
      </x:c>
      <x:c r="D1347" s="9" t="str"/>
      <x:c r="E1347" s="9" t="str"/>
      <x:c r="F1347" s="13" t="str">
        <x:v>2015</x:v>
      </x:c>
      <x:c r="G1347" s="9" t="str">
        <x:v>England and Wales Court of Appeal (Civil Division)</x:v>
      </x:c>
      <x:c r="H1347" s="9" t="str">
        <x:v>Appellate</x:v>
      </x:c>
      <x:c r="I1347" s="9" t="str">
        <x:v>England and Wales</x:v>
      </x:c>
      <x:c r="J1347" s="9" t="str">
        <x:v>Employment Law</x:v>
      </x:c>
      <x:c r="K1347" s="9" t="str">
        <x:v>-ew-cases-EWCA-Civ-2015-455.xml</x:v>
      </x:c>
      <x:c r="L1347" s="9" t="str">
        <x:v>TBA</x:v>
      </x:c>
    </x:row>
    <x:row r="1348">
      <x:c r="A1348" t="str">
        <x:v>e2e20ada-52f5-4872-8ddb-c52bc2b9d017</x:v>
      </x:c>
      <x:c r="B1348" t="str">
        <x:v>1e48e3ca-3a95-4acd-897b-ae5fef48f3f7</x:v>
      </x:c>
      <x:c r="C1348" s="9" t="str">
        <x:v>Harvey v Dunbar Assets Plc</x:v>
      </x:c>
      <x:c r="D1348" s="9" t="str"/>
      <x:c r="E1348" s="9" t="str"/>
      <x:c r="F1348" s="13" t="str">
        <x:v>2017</x:v>
      </x:c>
      <x:c r="G1348" s="9" t="str">
        <x:v>England and Wales Court of Appeal (Civil Division)</x:v>
      </x:c>
      <x:c r="H1348" s="9" t="str">
        <x:v>Appellate</x:v>
      </x:c>
      <x:c r="I1348" s="9" t="str">
        <x:v>England and Wales</x:v>
      </x:c>
      <x:c r="J1348" s="9" t="str">
        <x:v>Bankruptcy Law</x:v>
      </x:c>
      <x:c r="K1348" s="9" t="str">
        <x:v>-ew-cases-EWCA-Civ-2017-60.xml</x:v>
      </x:c>
      <x:c r="L1348" s="9" t="str">
        <x:v>TBA</x:v>
      </x:c>
    </x:row>
    <x:row r="1349">
      <x:c r="A1349" t="str">
        <x:v>3c05b99f-e5f2-4a95-b1ca-d9b68c0fa6c8</x:v>
      </x:c>
      <x:c r="B1349" t="str">
        <x:v>487ec586-7525-47ad-9ebc-566289a2624f</x:v>
      </x:c>
      <x:c r="C1349" s="9" t="str">
        <x:v>Hashi v The Secretary of State for the Home Department [2016] EWCA Civ 1136</x:v>
      </x:c>
      <x:c r="D1349" s="9" t="str"/>
      <x:c r="E1349" s="9" t="str"/>
      <x:c r="F1349" s="13" t="str">
        <x:v>2016</x:v>
      </x:c>
      <x:c r="G1349" s="9" t="str">
        <x:v>England and Wales Court of Appeal (Civil Division)</x:v>
      </x:c>
      <x:c r="H1349" s="9" t="str">
        <x:v>Court of Appeal (Civil Division)</x:v>
      </x:c>
      <x:c r="I1349" s="9" t="str">
        <x:v>England and Wales</x:v>
      </x:c>
      <x:c r="J1349" s="9" t="str">
        <x:v>Immigration and Nationality Law</x:v>
      </x:c>
      <x:c r="K1349" s="9" t="str">
        <x:v>-ew-cases-EWCA-Civ-2016-1136.xml</x:v>
      </x:c>
      <x:c r="L1349" s="9" t="str">
        <x:v>TBA</x:v>
      </x:c>
    </x:row>
    <x:row r="1350">
      <x:c r="A1350" t="str">
        <x:v>82cb6681-9567-4c4c-84c1-53b70edb0814</x:v>
      </x:c>
      <x:c r="B1350" t="str">
        <x:v>3c90d8b6-add4-4f75-89f5-19bcbd406e9c</x:v>
      </x:c>
      <x:c r="C1350" s="9" t="str">
        <x:v>Hashwani &amp; Ors v OMV Maurice Energy Ltd</x:v>
      </x:c>
      <x:c r="D1350" s="9" t="str"/>
      <x:c r="E1350" s="9" t="str"/>
      <x:c r="F1350" s="13" t="str">
        <x:v>2015</x:v>
      </x:c>
      <x:c r="G1350" s="9" t="str">
        <x:v>England and Wales Court of Appeal (Civil Division)</x:v>
      </x:c>
      <x:c r="H1350" s="9" t="str">
        <x:v>Appellate</x:v>
      </x:c>
      <x:c r="I1350" s="9" t="str">
        <x:v>England and Wales</x:v>
      </x:c>
      <x:c r="J1350" s="9" t="str">
        <x:v>Arbitration Dispute</x:v>
      </x:c>
      <x:c r="K1350" s="9" t="str">
        <x:v>-ew-cases-EWCA-Civ-2015-1171.xml</x:v>
      </x:c>
      <x:c r="L1350" s="9" t="str">
        <x:v>TBA</x:v>
      </x:c>
    </x:row>
    <x:row r="1351">
      <x:c r="A1351" t="str">
        <x:v>891253d1-9d2d-4b76-bcb0-6bb064b8d94f</x:v>
      </x:c>
      <x:c r="B1351" t="str">
        <x:v>6b8a72dc-cb02-402e-96e5-956e59ded9fe</x:v>
      </x:c>
      <x:c r="C1351" s="9" t="str">
        <x:v>Haskell v Haskell [2021] EWCA Civ 1295</x:v>
      </x:c>
      <x:c r="D1351" s="9" t="str"/>
      <x:c r="E1351" s="9" t="str"/>
      <x:c r="F1351" s="13" t="str">
        <x:v>2021</x:v>
      </x:c>
      <x:c r="G1351" s="9" t="str">
        <x:v>England and Wales Court of Appeal (Civil Division)</x:v>
      </x:c>
      <x:c r="H1351" s="9" t="str">
        <x:v>Appellate</x:v>
      </x:c>
      <x:c r="I1351" s="9" t="str">
        <x:v>England and Wales</x:v>
      </x:c>
      <x:c r="J1351" s="9" t="str">
        <x:v>Family Law</x:v>
      </x:c>
      <x:c r="K1351" s="9" t="str">
        <x:v>ew-cases-EWCA-Civ-2021-1295.xml</x:v>
      </x:c>
      <x:c r="L1351" s="9" t="str">
        <x:v>TBA</x:v>
      </x:c>
    </x:row>
    <x:row r="1352">
      <x:c r="A1352" t="str">
        <x:v>8bbb88da-5dff-49a4-b7aa-4817af5aaeca</x:v>
      </x:c>
      <x:c r="B1352" t="str">
        <x:v>a62a842c-af59-45c4-be74-800b0be5e691</x:v>
      </x:c>
      <x:c r="C1352" s="9" t="str">
        <x:v>Hassam &amp; Anor v Rabot &amp; Anor; Briggs v Laditan [2023] EWCA Civ 19</x:v>
      </x:c>
      <x:c r="D1352" s="9" t="str"/>
      <x:c r="E1352" s="9" t="str"/>
      <x:c r="F1352" s="13" t="str">
        <x:v>2023</x:v>
      </x:c>
      <x:c r="G1352" s="9" t="str">
        <x:v>England and Wales Court of Appeal (Civil Division)</x:v>
      </x:c>
      <x:c r="H1352" s="9" t="str">
        <x:v>Court of Appeal (Civil Division)</x:v>
      </x:c>
      <x:c r="I1352" s="9" t="str">
        <x:v>England and Wales</x:v>
      </x:c>
      <x:c r="J1352" s="9" t="str">
        <x:v>Personal Injury - Tort</x:v>
      </x:c>
      <x:c r="K1352" s="9" t="str">
        <x:v>ew-cases-EWCA-Civ-2023-19.xml</x:v>
      </x:c>
      <x:c r="L1352" s="9" t="str">
        <x:v>TBA</x:v>
      </x:c>
    </x:row>
    <x:row r="1353">
      <x:c r="A1353" t="str">
        <x:v>729ce3f4-b3a0-43a8-8f88-09c76d604fcc</x:v>
      </x:c>
      <x:c r="B1353" t="str">
        <x:v>4dae4595-6970-4b27-8967-a0a5b1b8ed22</x:v>
      </x:c>
      <x:c r="C1353" s="9" t="str">
        <x:v>Hassett &amp; Anor v The Secretary of State for Justice [2017] EWCA Civ 331</x:v>
      </x:c>
      <x:c r="D1353" s="9" t="str"/>
      <x:c r="E1353" s="9" t="str"/>
      <x:c r="F1353" s="13" t="str">
        <x:v>2017</x:v>
      </x:c>
      <x:c r="G1353" s="9" t="str">
        <x:v>England and Wales Court of Appeal (Civil Division)</x:v>
      </x:c>
      <x:c r="H1353" s="9" t="str">
        <x:v>Appellate</x:v>
      </x:c>
      <x:c r="I1353" s="9" t="str">
        <x:v>England and Wales</x:v>
      </x:c>
      <x:c r="J1353" s="9" t="str">
        <x:v>Administrative Law</x:v>
      </x:c>
      <x:c r="K1353" s="9" t="str">
        <x:v>-ew-cases-EWCA-Civ-2017-331.xml</x:v>
      </x:c>
      <x:c r="L1353" s="9" t="str">
        <x:v>TBA</x:v>
      </x:c>
    </x:row>
    <x:row r="1354">
      <x:c r="A1354" t="str">
        <x:v>9ba35336-e2b4-4508-962e-5e82d0c6040a</x:v>
      </x:c>
      <x:c r="B1354" t="str">
        <x:v>019bcb65-2591-4aaa-ba01-920acd8fdabe</x:v>
      </x:c>
      <x:c r="C1354" s="9" t="str">
        <x:v>Haxton v Philips Electronics UK Ltd [2014] EWCA Civ 4</x:v>
      </x:c>
      <x:c r="D1354" s="9" t="str"/>
      <x:c r="E1354" s="9" t="str"/>
      <x:c r="F1354" s="13" t="str">
        <x:v>2014</x:v>
      </x:c>
      <x:c r="G1354" s="9" t="str">
        <x:v>England and Wales Court of Appeal (Civil Division)</x:v>
      </x:c>
      <x:c r="H1354" s="9" t="str">
        <x:v>Appellate</x:v>
      </x:c>
      <x:c r="I1354" s="9" t="str">
        <x:v>England and Wales</x:v>
      </x:c>
      <x:c r="J1354" s="9" t="str">
        <x:v>Personal Injury</x:v>
      </x:c>
      <x:c r="K1354" s="9" t="str">
        <x:v>-ew-cases-EWCA-Civ-2014-4.xml</x:v>
      </x:c>
      <x:c r="L1354" s="9" t="str">
        <x:v>TBA</x:v>
      </x:c>
    </x:row>
    <x:row r="1355">
      <x:c r="A1355" t="str">
        <x:v>fe38a09a-bc4c-4e38-a1ba-2e11b70ba7fb</x:v>
      </x:c>
      <x:c r="B1355" t="str">
        <x:v>c2913ba6-a4c0-43fb-8416-dc707770e2ac</x:v>
      </x:c>
      <x:c r="C1355" s="9" t="str">
        <x:v>Hayatleh v Modfy [2017] EWCA Civ 70</x:v>
      </x:c>
      <x:c r="D1355" s="9" t="str"/>
      <x:c r="E1355" s="9" t="str"/>
      <x:c r="F1355" s="13" t="str">
        <x:v>2017</x:v>
      </x:c>
      <x:c r="G1355" s="9" t="str">
        <x:v>England and Wales Court of Appeal (Civil Division)</x:v>
      </x:c>
      <x:c r="H1355" s="9" t="str">
        <x:v>Appellate</x:v>
      </x:c>
      <x:c r="I1355" s="9" t="str">
        <x:v>England and Wales</x:v>
      </x:c>
      <x:c r="J1355" s="9" t="str">
        <x:v>Family Law</x:v>
      </x:c>
      <x:c r="K1355" s="9" t="str">
        <x:v>-ew-cases-EWCA-Civ-2017-70.xml</x:v>
      </x:c>
      <x:c r="L1355" s="9" t="str">
        <x:v>TBA</x:v>
      </x:c>
    </x:row>
    <x:row r="1356">
      <x:c r="A1356" t="str">
        <x:v>cbb83767-b7ec-4f05-8af7-dc8841452145</x:v>
      </x:c>
      <x:c r="B1356" t="str">
        <x:v>491450f4-6345-4345-b1bb-5472ec0b9f3a</x:v>
      </x:c>
      <x:c r="C1356" s="9" t="str">
        <x:v>Hayward v Zurich Insurance Company Plc [2015] EWCA Civ 327</x:v>
      </x:c>
      <x:c r="D1356" s="9" t="str"/>
      <x:c r="E1356" s="9" t="str"/>
      <x:c r="F1356" s="13" t="str">
        <x:v>2015</x:v>
      </x:c>
      <x:c r="G1356" s="9" t="str">
        <x:v>England and Wales Court of Appeal (Civil Division)</x:v>
      </x:c>
      <x:c r="H1356" s="9" t="str">
        <x:v>Appellate</x:v>
      </x:c>
      <x:c r="I1356" s="9" t="str">
        <x:v>England and Wales</x:v>
      </x:c>
      <x:c r="J1356" s="9" t="str">
        <x:v>Civil Appeal</x:v>
      </x:c>
      <x:c r="K1356" s="9" t="str">
        <x:v>-ew-cases-EWCA-Civ-2015-327.xml</x:v>
      </x:c>
      <x:c r="L1356" s="9" t="str">
        <x:v>TBA</x:v>
      </x:c>
    </x:row>
    <x:row r="1357">
      <x:c r="A1357" t="str">
        <x:v>fe7c6094-798e-41a3-a9c7-0f6d5350cee9</x:v>
      </x:c>
      <x:c r="B1357" t="str">
        <x:v>1eb7139f-fc30-4c97-9b13-961ffa043d6d</x:v>
      </x:c>
      <x:c r="C1357" s="9" t="str">
        <x:v>Hazel &amp; Anor v The Manchester College [2014] EWCA Civ 72</x:v>
      </x:c>
      <x:c r="D1357" s="9" t="str"/>
      <x:c r="E1357" s="9" t="str"/>
      <x:c r="F1357" s="13" t="str">
        <x:v>2014</x:v>
      </x:c>
      <x:c r="G1357" s="9" t="str">
        <x:v>England and Wales Court of Appeal (Civil Division)</x:v>
      </x:c>
      <x:c r="H1357" s="9" t="str">
        <x:v>Appellate</x:v>
      </x:c>
      <x:c r="I1357" s="9" t="str">
        <x:v>England and Wales</x:v>
      </x:c>
      <x:c r="J1357" s="9" t="str">
        <x:v>Employment Law</x:v>
      </x:c>
      <x:c r="K1357" s="9" t="str">
        <x:v>-ew-cases-EWCA-Civ-2014-72.xml</x:v>
      </x:c>
      <x:c r="L1357" s="9" t="str">
        <x:v>TBA</x:v>
      </x:c>
    </x:row>
    <x:row r="1358">
      <x:c r="A1358" t="str">
        <x:v>df4bbf53-f630-4254-a33f-39c565978e04</x:v>
      </x:c>
      <x:c r="B1358" t="str">
        <x:v>d97e315a-5f7e-4079-b086-d9d366c5bdaf</x:v>
      </x:c>
      <x:c r="C1358" s="9" t="str">
        <x:v>Hc12f01351 v Blueco Limited [2014] EWCA Civ 154</x:v>
      </x:c>
      <x:c r="D1358" s="9" t="str"/>
      <x:c r="E1358" s="9" t="str"/>
      <x:c r="F1358" s="13" t="str">
        <x:v>2014</x:v>
      </x:c>
      <x:c r="G1358" s="9" t="str">
        <x:v>England and Wales Court of Appeal (Civil Division)</x:v>
      </x:c>
      <x:c r="H1358" s="9" t="str">
        <x:v>Appellate (Civil Division)</x:v>
      </x:c>
      <x:c r="I1358" s="9" t="str">
        <x:v>England and Wales</x:v>
      </x:c>
      <x:c r="J1358" s="9" t="str">
        <x:v>Contract Interpretation</x:v>
      </x:c>
      <x:c r="K1358" s="9" t="str">
        <x:v>-ew-cases-EWCA-Civ-2014-154.xml</x:v>
      </x:c>
      <x:c r="L1358" s="9" t="str">
        <x:v>TBA</x:v>
      </x:c>
    </x:row>
    <x:row r="1359">
      <x:c r="A1359" t="str">
        <x:v>a5902484-7981-46ed-8620-002f7328cc76</x:v>
      </x:c>
      <x:c r="B1359" t="str">
        <x:v>9312fb4b-88a2-4816-9854-0b08bf3bf234</x:v>
      </x:c>
      <x:c r="C1359" s="9" t="str">
        <x:v>HCA International Ltd v The Competition And Markets Authority [2015] EWCA Civ 492</x:v>
      </x:c>
      <x:c r="D1359" s="9" t="str"/>
      <x:c r="E1359" s="9" t="str"/>
      <x:c r="F1359" s="13" t="str">
        <x:v>2015</x:v>
      </x:c>
      <x:c r="G1359" s="9" t="str">
        <x:v>England and Wales Court of Appeal (Civil Division)</x:v>
      </x:c>
      <x:c r="H1359" s="9" t="str">
        <x:v>Appellate</x:v>
      </x:c>
      <x:c r="I1359" s="9" t="str">
        <x:v>England and Wales</x:v>
      </x:c>
      <x:c r="J1359" s="9" t="str">
        <x:v>Administrative Law</x:v>
      </x:c>
      <x:c r="K1359" s="9" t="str">
        <x:v>-ew-cases-EWCA-Civ-2015-492.xml</x:v>
      </x:c>
      <x:c r="L1359" s="9" t="str">
        <x:v>TBA</x:v>
      </x:c>
    </x:row>
    <x:row r="1360">
      <x:c r="A1360" t="str">
        <x:v>a3fc32d8-1392-4e44-86ab-04a09c981494</x:v>
      </x:c>
      <x:c r="B1360" t="str">
        <x:v>146c2cbc-700d-44cf-a845-0bdf46059c2d</x:v>
      </x:c>
      <x:c r="C1360" s="9" t="str">
        <x:v>Head v The Culver Heating Co Ltd [2021] EWCA Civ 34</x:v>
      </x:c>
      <x:c r="D1360" s="9" t="str"/>
      <x:c r="E1360" s="9" t="str"/>
      <x:c r="F1360" s="13" t="str">
        <x:v>2021</x:v>
      </x:c>
      <x:c r="G1360" s="9" t="str">
        <x:v>England and Wales Court of Appeal (Civil Division)</x:v>
      </x:c>
      <x:c r="H1360" s="9" t="str">
        <x:v>Appellate</x:v>
      </x:c>
      <x:c r="I1360" s="9" t="str">
        <x:v>England and Wales</x:v>
      </x:c>
      <x:c r="J1360" s="9" t="str">
        <x:v>Personal Injury</x:v>
      </x:c>
      <x:c r="K1360" s="9" t="str">
        <x:v>ew-cases-EWCA-Civ-2021-34.xml</x:v>
      </x:c>
      <x:c r="L1360" s="9" t="str">
        <x:v>TBA</x:v>
      </x:c>
    </x:row>
    <x:row r="1361">
      <x:c r="A1361" t="str">
        <x:v>50c19ef6-b20b-4d04-8ce2-d7cc0c3b2375</x:v>
      </x:c>
      <x:c r="B1361" t="str">
        <x:v>f4d639ad-f27c-47ba-a62c-bfc0c4c9430e</x:v>
      </x:c>
      <x:c r="C1361" s="9" t="str">
        <x:v>Healey v Fraine &amp; Ors [2023] EWCA Civ 549</x:v>
      </x:c>
      <x:c r="D1361" s="9" t="str"/>
      <x:c r="E1361" s="9" t="str"/>
      <x:c r="F1361" s="13" t="str">
        <x:v>2023</x:v>
      </x:c>
      <x:c r="G1361" s="9" t="str">
        <x:v>England and Wales Court of Appeal (Civil Division)</x:v>
      </x:c>
      <x:c r="H1361" s="9" t="str">
        <x:v>Court of Appeal (Civil Division)</x:v>
      </x:c>
      <x:c r="I1361" s="9" t="str">
        <x:v>England and Wales</x:v>
      </x:c>
      <x:c r="J1361" s="9" t="str">
        <x:v>Property Law / Land Law</x:v>
      </x:c>
      <x:c r="K1361" s="9" t="str">
        <x:v>ew-cases-EWCA-Civ-2023-549.xml</x:v>
      </x:c>
      <x:c r="L1361" s="9" t="str">
        <x:v>TBA</x:v>
      </x:c>
    </x:row>
    <x:row r="1362">
      <x:c r="A1362" t="str">
        <x:v>110f7217-f22e-4c52-9a95-4b49efd16052</x:v>
      </x:c>
      <x:c r="B1362" t="str">
        <x:v>4fb69c0f-f93b-4540-a62b-7db9f10a32aa</x:v>
      </x:c>
      <x:c r="C1362" s="9" t="str">
        <x:v>Heaney v Kirkby [2016] EWCA Civ 689</x:v>
      </x:c>
      <x:c r="D1362" s="9" t="str"/>
      <x:c r="E1362" s="9" t="str"/>
      <x:c r="F1362" s="13" t="str">
        <x:v>2016</x:v>
      </x:c>
      <x:c r="G1362" s="9" t="str">
        <x:v>England and Wales Court of Appeal (Civil Division)</x:v>
      </x:c>
      <x:c r="H1362" s="9" t="str">
        <x:v>Court of Appeal (Civil Division)</x:v>
      </x:c>
      <x:c r="I1362" s="9" t="str">
        <x:v>England and Wales</x:v>
      </x:c>
      <x:c r="J1362" s="9" t="str">
        <x:v>Appeal (Civil) / Property/Land Law</x:v>
      </x:c>
      <x:c r="K1362" s="9" t="str">
        <x:v>-ew-cases-EWCA-Civ-2016-689.xml</x:v>
      </x:c>
      <x:c r="L1362" s="9" t="str">
        <x:v>TBA</x:v>
      </x:c>
    </x:row>
    <x:row r="1363">
      <x:c r="A1363" t="str">
        <x:v>af141d34-af6d-44c9-b7bf-bbb9da53f929</x:v>
      </x:c>
      <x:c r="B1363" t="str">
        <x:v>00b6e9f9-877b-484a-bac5-0f77f0c40d13</x:v>
      </x:c>
      <x:c r="C1363" s="9" t="str">
        <x:v>Hearst Holdings Inc &amp; Anor v AVELA Inc &amp; Ors</x:v>
      </x:c>
      <x:c r="D1363" s="9" t="str"/>
      <x:c r="E1363" s="9" t="str"/>
      <x:c r="F1363" s="13" t="str">
        <x:v>2014</x:v>
      </x:c>
      <x:c r="G1363" s="9" t="str">
        <x:v>England and Wales Court of Appeal (Civil Division)</x:v>
      </x:c>
      <x:c r="H1363" s="9" t="str">
        <x:v>Appellate</x:v>
      </x:c>
      <x:c r="I1363" s="9" t="str">
        <x:v>England and Wales</x:v>
      </x:c>
      <x:c r="J1363" s="9" t="str">
        <x:v>Intellectual Property Law</x:v>
      </x:c>
      <x:c r="K1363" s="9" t="str">
        <x:v>-ew-cases-EWCA-Civ-2014-1316.xml</x:v>
      </x:c>
      <x:c r="L1363" s="9" t="str">
        <x:v>TBA</x:v>
      </x:c>
    </x:row>
    <x:row r="1364">
      <x:c r="A1364" t="str">
        <x:v>903d867a-694e-46a5-bc85-9c3b6cc9b16d</x:v>
      </x:c>
      <x:c r="B1364" t="str">
        <x:v>beacbb3d-df19-4746-af08-bdebe0614b89</x:v>
      </x:c>
      <x:c r="C1364" s="9" t="str">
        <x:v>Heathfield International LLC v Axiom Stone (London) Ltd &amp; Anor</x:v>
      </x:c>
      <x:c r="D1364" s="9" t="str"/>
      <x:c r="E1364" s="9" t="str"/>
      <x:c r="F1364" s="13" t="str">
        <x:v>2021</x:v>
      </x:c>
      <x:c r="G1364" s="9" t="str">
        <x:v>England and Wales Court of Appeal (Civil Division)</x:v>
      </x:c>
      <x:c r="H1364" s="9" t="str">
        <x:v>Appellate</x:v>
      </x:c>
      <x:c r="I1364" s="9" t="str">
        <x:v>England and Wales</x:v>
      </x:c>
      <x:c r="J1364" s="9" t="str">
        <x:v>Civil Procedure</x:v>
      </x:c>
      <x:c r="K1364" s="9" t="str">
        <x:v>ew-cases-EWCA-Civ-2021-1242.xml</x:v>
      </x:c>
      <x:c r="L1364" s="9" t="str">
        <x:v>TBA</x:v>
      </x:c>
    </x:row>
    <x:row r="1365">
      <x:c r="A1365" t="str">
        <x:v>7fa1502f-33f9-451d-a212-0cbd8a4cd8c5</x:v>
      </x:c>
      <x:c r="B1365" t="str">
        <x:v>3b4b619b-346a-4214-97e7-d3b59de6b39b</x:v>
      </x:c>
      <x:c r="C1365" s="9" t="str">
        <x:v>Heathrow Airport Ltd &amp; Ors v Her Majesty's Treasury (Rev 1) [2021] EWCA Civ 783</x:v>
      </x:c>
      <x:c r="D1365" s="9" t="str"/>
      <x:c r="E1365" s="9" t="str"/>
      <x:c r="F1365" s="13" t="str">
        <x:v>2021</x:v>
      </x:c>
      <x:c r="G1365" s="9" t="str">
        <x:v>England and Wales Court of Appeal (Civil Division)</x:v>
      </x:c>
      <x:c r="H1365" s="9" t="str">
        <x:v>Appellate</x:v>
      </x:c>
      <x:c r="I1365" s="9" t="str">
        <x:v>England and Wales</x:v>
      </x:c>
      <x:c r="J1365" s="9" t="str">
        <x:v>Administrative Law</x:v>
      </x:c>
      <x:c r="K1365" s="9" t="str">
        <x:v>ew-cases-EWCA-Civ-2021-783.xml</x:v>
      </x:c>
      <x:c r="L1365" s="9" t="str">
        <x:v>TBA</x:v>
      </x:c>
    </x:row>
    <x:row r="1366">
      <x:c r="A1366" t="str">
        <x:v>b4aabdd6-8ccc-420e-902f-c0103737f989</x:v>
      </x:c>
      <x:c r="B1366" t="str">
        <x:v>13166f6e-e8ce-4950-a02e-dcbff9116290</x:v>
      </x:c>
      <x:c r="C1366" s="9" t="str">
        <x:v>Heis &amp; Ors v MF Global UK Services Ltd [2016] EWCA Civ 569 (Court of Appeal, Civil Division)</x:v>
      </x:c>
      <x:c r="D1366" s="9" t="str"/>
      <x:c r="E1366" s="9" t="str"/>
      <x:c r="F1366" s="13" t="str">
        <x:v>2016</x:v>
      </x:c>
      <x:c r="G1366" s="9" t="str">
        <x:v>England and Wales Court of Appeal (Civil Division)</x:v>
      </x:c>
      <x:c r="H1366" s="9" t="str">
        <x:v>Court of Appeal (Civil Division)</x:v>
      </x:c>
      <x:c r="I1366" s="9" t="str">
        <x:v>England and Wales</x:v>
      </x:c>
      <x:c r="J1366" s="9" t="str">
        <x:v>Contract and Pension Dispute</x:v>
      </x:c>
      <x:c r="K1366" s="9" t="str">
        <x:v>-ew-cases-EWCA-Civ-2016-569.xml</x:v>
      </x:c>
      <x:c r="L1366" s="9" t="str">
        <x:v>TBA</x:v>
      </x:c>
    </x:row>
    <x:row r="1367">
      <x:c r="A1367" t="str">
        <x:v>056fb77b-5bd4-4560-8c60-64e35753b973</x:v>
      </x:c>
      <x:c r="B1367" t="str">
        <x:v>60d8b79f-103e-4b00-a09b-fb0a7e549697</x:v>
      </x:c>
      <x:c r="C1367" s="9" t="str">
        <x:v>Helios Oryx Limited v Trustco Group Holdings Limited [2022] EWCA Civ 236</x:v>
      </x:c>
      <x:c r="D1367" s="9" t="str"/>
      <x:c r="E1367" s="9" t="str"/>
      <x:c r="F1367" s="13" t="str">
        <x:v>2022</x:v>
      </x:c>
      <x:c r="G1367" s="9" t="str">
        <x:v>England and Wales Court of Appeal (Civil Division)</x:v>
      </x:c>
      <x:c r="H1367" s="9" t="str">
        <x:v>Court of Appeal (Civil Division)</x:v>
      </x:c>
      <x:c r="I1367" s="9" t="str">
        <x:v>England and Wales</x:v>
      </x:c>
      <x:c r="J1367" s="9" t="str">
        <x:v>Civil Procedure</x:v>
      </x:c>
      <x:c r="K1367" s="9" t="str">
        <x:v>ew-cases-EWCA-Civ-2022-236.xml</x:v>
      </x:c>
      <x:c r="L1367" s="9" t="str">
        <x:v>TBA</x:v>
      </x:c>
    </x:row>
    <x:row r="1368">
      <x:c r="A1368" t="str">
        <x:v>6cd0cf0b-ca49-476b-a546-23b12d2768eb</x:v>
      </x:c>
      <x:c r="B1368" t="str">
        <x:v>3ed2654b-4b1b-44a8-95da-6a72c8cb9fd0</x:v>
      </x:c>
      <x:c r="C1368" s="9" t="str">
        <x:v>Helios Oryx Ltd v Trustco Group Holdings Ltd</x:v>
      </x:c>
      <x:c r="D1368" s="9" t="str"/>
      <x:c r="E1368" s="9" t="str"/>
      <x:c r="F1368" s="13" t="str">
        <x:v>2021</x:v>
      </x:c>
      <x:c r="G1368" s="9" t="str">
        <x:v>England and Wales Court of Appeal (Civil Division)</x:v>
      </x:c>
      <x:c r="H1368" s="9" t="str">
        <x:v>Appellate Court</x:v>
      </x:c>
      <x:c r="I1368" s="9" t="str">
        <x:v>England and Wales</x:v>
      </x:c>
      <x:c r="J1368" s="9" t="str">
        <x:v>Civil Appeal</x:v>
      </x:c>
      <x:c r="K1368" s="9" t="str">
        <x:v>ew-cases-EWCA-Civ-2021-1845.xml</x:v>
      </x:c>
      <x:c r="L1368" s="9" t="str">
        <x:v>TBA</x:v>
      </x:c>
    </x:row>
    <x:row r="1369">
      <x:c r="A1369" t="str">
        <x:v>47a08938-e853-46a1-9aa9-310ee550f48b</x:v>
      </x:c>
      <x:c r="B1369" t="str">
        <x:v>82b10ead-0929-4bea-a21f-f4113891edea</x:v>
      </x:c>
      <x:c r="C1369" s="9" t="str">
        <x:v>Hellas Telecommunications (Luxembourg) II SCA, Joint Liquidators of v Slaughter and May (a firm) [2016] EWCA Civ 474 (24 May 2016)</x:v>
      </x:c>
      <x:c r="D1369" s="9" t="str"/>
      <x:c r="E1369" s="9" t="str"/>
      <x:c r="F1369" s="13" t="str">
        <x:v>2016</x:v>
      </x:c>
      <x:c r="G1369" s="9" t="str">
        <x:v>England and Wales Court of Appeal (Civil Division)</x:v>
      </x:c>
      <x:c r="H1369" s="9" t="str">
        <x:v>Court of Appeal</x:v>
      </x:c>
      <x:c r="I1369" s="9" t="str">
        <x:v>England and Wales</x:v>
      </x:c>
      <x:c r="J1369" s="9" t="str">
        <x:v>Insolvency / Company Law</x:v>
      </x:c>
      <x:c r="K1369" s="9" t="str">
        <x:v>-ew-cases-EWCA-Civ-2016-474.xml</x:v>
      </x:c>
      <x:c r="L1369" s="9" t="str">
        <x:v>TBA</x:v>
      </x:c>
    </x:row>
    <x:row r="1370">
      <x:c r="A1370" t="str">
        <x:v>bea97585-d35b-4929-9ad8-aba2f66d9b23</x:v>
      </x:c>
      <x:c r="B1370" t="str">
        <x:v>4510caeb-eaaf-4c0e-a5ac-f2b2792a150c</x:v>
      </x:c>
      <x:c r="C1370" s="9" t="str">
        <x:v>Hemley v Croydon Council [2015] EWCA Civ 1519</x:v>
      </x:c>
      <x:c r="D1370" s="9" t="str"/>
      <x:c r="E1370" s="9" t="str"/>
      <x:c r="F1370" s="13" t="str">
        <x:v>2015</x:v>
      </x:c>
      <x:c r="G1370" s="9" t="str">
        <x:v>England and Wales Court of Appeal (Civil Division)</x:v>
      </x:c>
      <x:c r="H1370" s="9" t="str">
        <x:v>appellate</x:v>
      </x:c>
      <x:c r="I1370" s="9" t="str">
        <x:v>England and Wales</x:v>
      </x:c>
      <x:c r="J1370" s="9" t="str">
        <x:v>Housing Law</x:v>
      </x:c>
      <x:c r="K1370" s="9" t="str">
        <x:v>-ew-cases-EWCA-Civ-2015-1519.xml</x:v>
      </x:c>
      <x:c r="L1370" s="9" t="str">
        <x:v>TBA</x:v>
      </x:c>
    </x:row>
    <x:row r="1371">
      <x:c r="A1371" t="str">
        <x:v>9f24e481-40bc-4968-befc-3f5245ff3bf8</x:v>
      </x:c>
      <x:c r="B1371" t="str">
        <x:v>d9b3db02-e2b5-4c94-83d8-352e39521564</x:v>
      </x:c>
      <x:c r="C1371" s="9" t="str">
        <x:v>Hemming v Birmingham City Council [2016] EWCA Civ 940</x:v>
      </x:c>
      <x:c r="D1371" s="9" t="str"/>
      <x:c r="E1371" s="9" t="str"/>
      <x:c r="F1371" s="13" t="str">
        <x:v>2016</x:v>
      </x:c>
      <x:c r="G1371" s="9" t="str">
        <x:v>England and Wales Court of Appeal (Civil Division)</x:v>
      </x:c>
      <x:c r="H1371" s="9" t="str">
        <x:v>Court of Appeal (Civil Division)</x:v>
      </x:c>
      <x:c r="I1371" s="9" t="str">
        <x:v>England and Wales</x:v>
      </x:c>
      <x:c r="J1371" s="9" t="str">
        <x:v>Administrative Law / Environmental Law</x:v>
      </x:c>
      <x:c r="K1371" s="9" t="str">
        <x:v>-ew-cases-EWCA-Civ-2016-940.xml</x:v>
      </x:c>
      <x:c r="L1371" s="9" t="str">
        <x:v>TBA</x:v>
      </x:c>
    </x:row>
    <x:row r="1372">
      <x:c r="A1372" t="str">
        <x:v>c8c024ea-a802-4ef4-9aa8-c8d68740df83</x:v>
      </x:c>
      <x:c r="B1372" t="str">
        <x:v>bde0b170-8f1c-4718-abc3-b9d312504481</x:v>
      </x:c>
      <x:c r="C1372" s="9" t="str">
        <x:v>Hepburn v Notts Gymnastics Academy [2016] EWCA Civ 185</x:v>
      </x:c>
      <x:c r="D1372" s="9" t="str"/>
      <x:c r="E1372" s="9" t="str"/>
      <x:c r="F1372" s="13" t="str">
        <x:v>2016</x:v>
      </x:c>
      <x:c r="G1372" s="9" t="str">
        <x:v>England and Wales Court of Appeal (Civil Division)</x:v>
      </x:c>
      <x:c r="H1372" s="9" t="str">
        <x:v>Appellate (Court of Appeal, Civil Division)</x:v>
      </x:c>
      <x:c r="I1372" s="9" t="str">
        <x:v>England and Wales</x:v>
      </x:c>
      <x:c r="J1372" s="9" t="str">
        <x:v>Employment Law / Discrimination</x:v>
      </x:c>
      <x:c r="K1372" s="9" t="str">
        <x:v>-ew-cases-EWCA-Civ-2016-185.xml</x:v>
      </x:c>
      <x:c r="L1372" s="9" t="str">
        <x:v>TBA</x:v>
      </x:c>
    </x:row>
    <x:row r="1373">
      <x:c r="A1373" t="str">
        <x:v>c194fffb-5a03-432a-a0ce-18ec890fd059</x:v>
      </x:c>
      <x:c r="B1373" t="str">
        <x:v>3c1625fb-8252-4ffe-831d-05c106a0a0e8</x:v>
      </x:c>
      <x:c r="C1373" s="9" t="str">
        <x:v>Her Majesty's Customs And Excise v Devon Waste Management Ltd &amp; Ors</x:v>
      </x:c>
      <x:c r="D1373" s="9" t="str"/>
      <x:c r="E1373" s="9" t="str"/>
      <x:c r="F1373" s="13" t="str">
        <x:v>2021</x:v>
      </x:c>
      <x:c r="G1373" s="9" t="str">
        <x:v>England and Wales Court of Appeal (Civil Division)</x:v>
      </x:c>
      <x:c r="H1373" s="9" t="str">
        <x:v>Appellate</x:v>
      </x:c>
      <x:c r="I1373" s="9" t="str">
        <x:v>England and Wales</x:v>
      </x:c>
      <x:c r="J1373" s="9" t="str">
        <x:v>Tax Law</x:v>
      </x:c>
      <x:c r="K1373" s="9" t="str">
        <x:v>ew-cases-EWCA-Civ-2021-584.xml</x:v>
      </x:c>
      <x:c r="L1373" s="9" t="str">
        <x:v>TBA</x:v>
      </x:c>
    </x:row>
    <x:row r="1374">
      <x:c r="A1374" t="str">
        <x:v>58a93de5-b176-4c4b-b63f-2bcf3d824078</x:v>
      </x:c>
      <x:c r="B1374" t="str">
        <x:v>8d46cc3a-929d-490c-9bea-4c3dcff03b15</x:v>
      </x:c>
      <x:c r="C1374" s="9" t="str">
        <x:v>Her Majesty's Revenue and Customs v Carrington</x:v>
      </x:c>
      <x:c r="D1374" s="9" t="str"/>
      <x:c r="E1374" s="9" t="str"/>
      <x:c r="F1374" s="13" t="str">
        <x:v>2021</x:v>
      </x:c>
      <x:c r="G1374" s="9" t="str">
        <x:v>England and Wales Court of Appeal (Civil Division)</x:v>
      </x:c>
      <x:c r="H1374" s="9" t="str">
        <x:v>Appellate</x:v>
      </x:c>
      <x:c r="I1374" s="9" t="str">
        <x:v>England and Wales</x:v>
      </x:c>
      <x:c r="J1374" s="9" t="str">
        <x:v>Administrative Law</x:v>
      </x:c>
      <x:c r="K1374" s="9" t="str">
        <x:v>ew-cases-EWCA-Civ-2021-174.xml</x:v>
      </x:c>
      <x:c r="L1374" s="9" t="str">
        <x:v>TBA</x:v>
      </x:c>
    </x:row>
    <x:row r="1375">
      <x:c r="A1375" t="str">
        <x:v>1fb1a429-652d-4afe-89b9-f1ac33a66c0d</x:v>
      </x:c>
      <x:c r="B1375" t="str">
        <x:v>34e69d5b-5fa0-4ad9-b020-9cf0e277faae</x:v>
      </x:c>
      <x:c r="C1375" s="9" t="str">
        <x:v>Herculito Maritime Ltd &amp; Ors v Gunvor International BV &amp; Ors "POLAR" [2021] EWCA Civ 1828</x:v>
      </x:c>
      <x:c r="D1375" s="9" t="str"/>
      <x:c r="E1375" s="9" t="str"/>
      <x:c r="F1375" s="13" t="str">
        <x:v>2021</x:v>
      </x:c>
      <x:c r="G1375" s="9" t="str">
        <x:v>England and Wales Court of Appeal (Civil Division)</x:v>
      </x:c>
      <x:c r="H1375" s="9" t="str">
        <x:v>Appellate</x:v>
      </x:c>
      <x:c r="I1375" s="9" t="str">
        <x:v>England and Wales</x:v>
      </x:c>
      <x:c r="J1375" s="9" t="str">
        <x:v>Maritime Law</x:v>
      </x:c>
      <x:c r="K1375" s="9" t="str">
        <x:v>ew-cases-EWCA-Civ-2021-1828.xml</x:v>
      </x:c>
      <x:c r="L1375" s="9" t="str">
        <x:v>TBA</x:v>
      </x:c>
    </x:row>
    <x:row r="1376">
      <x:c r="A1376" t="str">
        <x:v>c778c3f3-a459-4dfd-9455-509b370c3c54</x:v>
      </x:c>
      <x:c r="B1376" t="str">
        <x:v>45064d12-1e68-4ef8-81c8-a9d9dea90eb3</x:v>
      </x:c>
      <x:c r="C1376" s="9" t="str">
        <x:v>Heritage Oil And Gas Ltd &amp; Anor v Tullow Uganda Ltd</x:v>
      </x:c>
      <x:c r="D1376" s="9" t="str"/>
      <x:c r="E1376" s="9" t="str"/>
      <x:c r="F1376" s="13" t="str">
        <x:v>2014</x:v>
      </x:c>
      <x:c r="G1376" s="9" t="str">
        <x:v>England and Wales Court of Appeal (Civil Division)</x:v>
      </x:c>
      <x:c r="H1376" s="9" t="str">
        <x:v>Appellate</x:v>
      </x:c>
      <x:c r="I1376" s="9" t="str">
        <x:v>England and Wales</x:v>
      </x:c>
      <x:c r="J1376" s="9" t="str">
        <x:v>Contract Dispute</x:v>
      </x:c>
      <x:c r="K1376" s="9" t="str">
        <x:v>-ew-cases-EWCA-Civ-2014-1048.xml</x:v>
      </x:c>
      <x:c r="L1376" s="9" t="str">
        <x:v>TBA</x:v>
      </x:c>
    </x:row>
    <x:row r="1377">
      <x:c r="A1377" t="str">
        <x:v>9714ba98-1dd6-408a-8140-42ffcfe18659</x:v>
      </x:c>
      <x:c r="B1377" t="str">
        <x:v>7a6e07ec-4125-4442-be84-87af862851eb</x:v>
      </x:c>
      <x:c r="C1377" s="9" t="str">
        <x:v>Hexpress Healthcare Limited v Care Quality Commission [2023] EWCA Civ 238</x:v>
      </x:c>
      <x:c r="D1377" s="9" t="str"/>
      <x:c r="E1377" s="9" t="str"/>
      <x:c r="F1377" s="13" t="str">
        <x:v>2023</x:v>
      </x:c>
      <x:c r="G1377" s="9" t="str">
        <x:v>England and Wales Court of Appeal (Civil Division)</x:v>
      </x:c>
      <x:c r="H1377" s="9" t="str">
        <x:v>Court of Appeal (Civil Division)</x:v>
      </x:c>
      <x:c r="I1377" s="9" t="str">
        <x:v>England and Wales</x:v>
      </x:c>
      <x:c r="J1377" s="9" t="str">
        <x:v>Administrative Law; Judicial Review</x:v>
      </x:c>
      <x:c r="K1377" s="9" t="str">
        <x:v>ew-cases-EWCA-Civ-2023-238.xml</x:v>
      </x:c>
      <x:c r="L1377" s="9" t="str">
        <x:v>TBA</x:v>
      </x:c>
    </x:row>
    <x:row r="1378">
      <x:c r="A1378" t="str">
        <x:v>a0510aa1-0c93-4aff-bf3a-a116a9cc38a2</x:v>
      </x:c>
      <x:c r="B1378" t="str">
        <x:v>fc1a6ca2-cd21-4c6b-b0f5-eda8a1aff006</x:v>
      </x:c>
      <x:c r="C1378" s="9" t="str">
        <x:v>HH (Afghanistan) v Secretary of State for the Home Department</x:v>
      </x:c>
      <x:c r="D1378" s="9" t="str"/>
      <x:c r="E1378" s="9" t="str"/>
      <x:c r="F1378" s="13" t="str">
        <x:v>2014</x:v>
      </x:c>
      <x:c r="G1378" s="9" t="str">
        <x:v>England and Wales Court of Appeal (Civil Division)</x:v>
      </x:c>
      <x:c r="H1378" s="9" t="str">
        <x:v>Appellate</x:v>
      </x:c>
      <x:c r="I1378" s="9" t="str">
        <x:v>England and Wales</x:v>
      </x:c>
      <x:c r="J1378" s="9" t="str">
        <x:v>Immigration Law</x:v>
      </x:c>
      <x:c r="K1378" s="9" t="str">
        <x:v>-ew-cases-EWCA-Civ-2014-569.xml</x:v>
      </x:c>
      <x:c r="L1378" s="9" t="str">
        <x:v>TBA</x:v>
      </x:c>
    </x:row>
    <x:row r="1379">
      <x:c r="A1379" t="str">
        <x:v>25924f62-15ef-42cf-8cff-9e3c8dff488d</x:v>
      </x:c>
      <x:c r="B1379" t="str">
        <x:v>66916f1f-18bd-4a5b-b6d6-640bdb943776</x:v>
      </x:c>
      <x:c r="C1379" s="9" t="str">
        <x:v>Hicks &amp; Ors v Commissioner of Police of the Metropolis</x:v>
      </x:c>
      <x:c r="D1379" s="9" t="str"/>
      <x:c r="E1379" s="9" t="str"/>
      <x:c r="F1379" s="13" t="str">
        <x:v>2014</x:v>
      </x:c>
      <x:c r="G1379" s="9" t="str">
        <x:v>England and Wales Court of Appeal (Civil Division)</x:v>
      </x:c>
      <x:c r="H1379" s="9" t="str">
        <x:v>Appellate</x:v>
      </x:c>
      <x:c r="I1379" s="9" t="str">
        <x:v>England and Wales</x:v>
      </x:c>
      <x:c r="J1379" s="9" t="str">
        <x:v>Civil Rights</x:v>
      </x:c>
      <x:c r="K1379" s="9" t="str">
        <x:v>-ew-cases-EWCA-Civ-2014-3.xml</x:v>
      </x:c>
      <x:c r="L1379" s="9" t="str">
        <x:v>TBA</x:v>
      </x:c>
    </x:row>
    <x:row r="1380">
      <x:c r="A1380" t="str">
        <x:v>f51933ba-406e-4423-8650-11f6ba5a43e3</x:v>
      </x:c>
      <x:c r="B1380" t="str">
        <x:v>94440970-42ba-4b1b-b4c2-7cb455608b40</x:v>
      </x:c>
      <x:c r="C1380" s="9" t="str">
        <x:v>Higson &amp; Anor v Guenault &amp; Anor [2014] EWCA Civ 1034</x:v>
      </x:c>
      <x:c r="D1380" s="9" t="str"/>
      <x:c r="E1380" s="9" t="str"/>
      <x:c r="F1380" s="13" t="str">
        <x:v>2014</x:v>
      </x:c>
      <x:c r="G1380" s="9" t="str">
        <x:v>England and Wales Court of Appeal (Civil Division)</x:v>
      </x:c>
      <x:c r="H1380" s="9" t="str">
        <x:v>Appellate</x:v>
      </x:c>
      <x:c r="I1380" s="9" t="str">
        <x:v>England and Wales</x:v>
      </x:c>
      <x:c r="J1380" s="9" t="str">
        <x:v>Property Law</x:v>
      </x:c>
      <x:c r="K1380" s="9" t="str">
        <x:v>-ew-cases-EWCA-Civ-2014-1034.xml</x:v>
      </x:c>
      <x:c r="L1380" s="9" t="str">
        <x:v>TBA</x:v>
      </x:c>
    </x:row>
    <x:row r="1381">
      <x:c r="A1381" t="str">
        <x:v>4d24cc5b-d83f-4699-a6c1-d5f626a28263</x:v>
      </x:c>
      <x:c r="B1381" t="str">
        <x:v>46b339a3-e44c-4b7f-995e-4c99c823e6a7</x:v>
      </x:c>
      <x:c r="C1381" s="9" t="str">
        <x:v>Higson &amp; Anor v Guenault &amp; Anor [2014] EWCA Civ 703</x:v>
      </x:c>
      <x:c r="D1381" s="9" t="str"/>
      <x:c r="E1381" s="9" t="str"/>
      <x:c r="F1381" s="13" t="str">
        <x:v>2014</x:v>
      </x:c>
      <x:c r="G1381" s="9" t="str">
        <x:v>England and Wales Court of Appeal (Civil Division)</x:v>
      </x:c>
      <x:c r="H1381" s="9" t="str">
        <x:v>Appellate</x:v>
      </x:c>
      <x:c r="I1381" s="9" t="str">
        <x:v>England and Wales</x:v>
      </x:c>
      <x:c r="J1381" s="9" t="str">
        <x:v>Property Law</x:v>
      </x:c>
      <x:c r="K1381" s="9" t="str">
        <x:v>-ew-cases-EWCA-Civ-2014-703.xml</x:v>
      </x:c>
      <x:c r="L1381" s="9" t="str">
        <x:v>TBA</x:v>
      </x:c>
    </x:row>
    <x:row r="1382">
      <x:c r="A1382" t="str">
        <x:v>4fd852e6-f9e2-4d32-b38a-54834b1b582c</x:v>
      </x:c>
      <x:c r="B1382" t="str">
        <x:v>7f7aae98-bf2a-4edf-a11a-d118a31bccbd</x:v>
      </x:c>
      <x:c r="C1382" s="9" t="str">
        <x:v>Hills v Snoussi [2016] EWCA Civ 268</x:v>
      </x:c>
      <x:c r="D1382" s="9" t="str"/>
      <x:c r="E1382" s="9" t="str"/>
      <x:c r="F1382" s="13" t="str">
        <x:v>2016</x:v>
      </x:c>
      <x:c r="G1382" s="9" t="str">
        <x:v>England and Wales Court of Appeal (Civil Division)</x:v>
      </x:c>
      <x:c r="H1382" s="9" t="str">
        <x:v>Court of Appeal (Civil Division)</x:v>
      </x:c>
      <x:c r="I1382" s="9" t="str">
        <x:v>England and Wales</x:v>
      </x:c>
      <x:c r="J1382" s="9" t="str">
        <x:v>Personal Injury; Damages; Appellate Review</x:v>
      </x:c>
      <x:c r="K1382" s="9" t="str">
        <x:v>-ew-cases-EWCA-Civ-2016-268.xml</x:v>
      </x:c>
      <x:c r="L1382" s="9" t="str">
        <x:v>TBA</x:v>
      </x:c>
    </x:row>
    <x:row r="1383">
      <x:c r="A1383" t="str">
        <x:v>a28a4391-a008-49e3-92ed-170db68542ea</x:v>
      </x:c>
      <x:c r="B1383" t="str">
        <x:v>092f282e-d251-4c95-bc26-9bbe1b4ed3e8</x:v>
      </x:c>
      <x:c r="C1383" s="9" t="str">
        <x:v>Hin-Pro International Logistics Ltd v Compania Sud Americana De Vapores SA</x:v>
      </x:c>
      <x:c r="D1383" s="9" t="str"/>
      <x:c r="E1383" s="9" t="str"/>
      <x:c r="F1383" s="13" t="str">
        <x:v>2015</x:v>
      </x:c>
      <x:c r="G1383" s="9" t="str">
        <x:v>England and Wales Court of Appeal (Civil Division)</x:v>
      </x:c>
      <x:c r="H1383" s="9" t="str">
        <x:v>Appellate</x:v>
      </x:c>
      <x:c r="I1383" s="9" t="str">
        <x:v>England and Wales</x:v>
      </x:c>
      <x:c r="J1383" s="9" t="str">
        <x:v>Contract Dispute</x:v>
      </x:c>
      <x:c r="K1383" s="9" t="str">
        <x:v>-ew-cases-EWCA-Civ-2015-401.xml</x:v>
      </x:c>
      <x:c r="L1383" s="9" t="str">
        <x:v>TBA</x:v>
      </x:c>
    </x:row>
    <x:row r="1384">
      <x:c r="A1384" t="str">
        <x:v>76831b6f-491d-4d79-8d3a-e36455a09214</x:v>
      </x:c>
      <x:c r="B1384" t="str">
        <x:v>f1413e7e-e89a-4207-94f8-7d8b083d0394</x:v>
      </x:c>
      <x:c r="C1384" s="9" t="str">
        <x:v>Hinduja v Hinduja &amp; Ors [2022] EWCA Civ 1492</x:v>
      </x:c>
      <x:c r="D1384" s="9" t="str"/>
      <x:c r="E1384" s="9" t="str"/>
      <x:c r="F1384" s="13" t="str">
        <x:v>2022</x:v>
      </x:c>
      <x:c r="G1384" s="9" t="str">
        <x:v>England and Wales Court of Appeal (Civil Division)</x:v>
      </x:c>
      <x:c r="H1384" s="9" t="str">
        <x:v>Court of Appeal (Civil Division)</x:v>
      </x:c>
      <x:c r="I1384" s="9" t="str">
        <x:v>England and Wales</x:v>
      </x:c>
      <x:c r="J1384" s="9" t="str">
        <x:v>Public Law / Court of Protection / Reporting Restrictions</x:v>
      </x:c>
      <x:c r="K1384" s="9" t="str">
        <x:v>ew-cases-EWCA-Civ-2022-1492.xml</x:v>
      </x:c>
      <x:c r="L1384" s="9" t="str">
        <x:v>TBA</x:v>
      </x:c>
    </x:row>
    <x:row r="1385">
      <x:c r="A1385" t="str">
        <x:v>434440d6-1b4a-4303-8670-e10cc3542f54</x:v>
      </x:c>
      <x:c r="B1385" t="str">
        <x:v>fc52ec1b-efd2-4880-99b8-94b9816fbd39</x:v>
      </x:c>
      <x:c r="C1385" s="9" t="str">
        <x:v>Hines v London Borough of Lambeth [2014] EWCA Civ 660</x:v>
      </x:c>
      <x:c r="D1385" s="9" t="str"/>
      <x:c r="E1385" s="9" t="str"/>
      <x:c r="F1385" s="13" t="str">
        <x:v>2014</x:v>
      </x:c>
      <x:c r="G1385" s="9" t="str">
        <x:v>England and Wales Court of Appeal (Civil Division)</x:v>
      </x:c>
      <x:c r="H1385" s="9" t="str">
        <x:v>appellate</x:v>
      </x:c>
      <x:c r="I1385" s="9" t="str">
        <x:v>England and Wales</x:v>
      </x:c>
      <x:c r="J1385" s="9" t="str">
        <x:v>Administrative Law</x:v>
      </x:c>
      <x:c r="K1385" s="9" t="str">
        <x:v>-ew-cases-EWCA-Civ-2014-660.xml</x:v>
      </x:c>
      <x:c r="L1385" s="9" t="str">
        <x:v>TBA</x:v>
      </x:c>
    </x:row>
    <x:row r="1386">
      <x:c r="A1386" t="str">
        <x:v>c0d35f68-e952-4319-bb57-31e787dc0837</x:v>
      </x:c>
      <x:c r="B1386" t="str">
        <x:v>5f4e57dd-87b4-4a13-ac31-805a4a2d62a5</x:v>
      </x:c>
      <x:c r="C1386" s="9" t="str">
        <x:v>Hirachand v Hirachand &amp; Anor [2021] EWCA Civ 1498</x:v>
      </x:c>
      <x:c r="D1386" s="9" t="str"/>
      <x:c r="E1386" s="9" t="str"/>
      <x:c r="F1386" s="13" t="str">
        <x:v>2021</x:v>
      </x:c>
      <x:c r="G1386" s="9" t="str">
        <x:v>England and Wales Court of Appeal (Civil Division)</x:v>
      </x:c>
      <x:c r="H1386" s="9" t="str">
        <x:v>Appellate</x:v>
      </x:c>
      <x:c r="I1386" s="9" t="str">
        <x:v>England and Wales</x:v>
      </x:c>
      <x:c r="J1386" s="9" t="str">
        <x:v>Inheritance</x:v>
      </x:c>
      <x:c r="K1386" s="9" t="str">
        <x:v>ew-cases-EWCA-Civ-2021-1498.xml</x:v>
      </x:c>
      <x:c r="L1386" s="9" t="str">
        <x:v>TBA</x:v>
      </x:c>
    </x:row>
    <x:row r="1387">
      <x:c r="A1387" t="str">
        <x:v>d2cfeda4-c686-4f20-8570-14e4292277b9</x:v>
      </x:c>
      <x:c r="B1387" t="str">
        <x:v>201767e3-4019-46b8-bc7d-1641cf762288</x:v>
      </x:c>
      <x:c r="C1387" s="9" t="str">
        <x:v>His Highness Sheikh Mohammed Bin Rashid Al Maktoum v Her Royal Highness Princess Haya Bint Al Hussein &amp; Ors</x:v>
      </x:c>
      <x:c r="D1387" s="9" t="str"/>
      <x:c r="E1387" s="9" t="str"/>
      <x:c r="F1387" s="13" t="str">
        <x:v>2021</x:v>
      </x:c>
      <x:c r="G1387" s="9" t="str">
        <x:v>England and Wales Court of Appeal (Civil Division)</x:v>
      </x:c>
      <x:c r="H1387" s="9" t="str">
        <x:v>Appellate</x:v>
      </x:c>
      <x:c r="I1387" s="9" t="str">
        <x:v>England and Wales</x:v>
      </x:c>
      <x:c r="J1387" s="9" t="str">
        <x:v>Family Law</x:v>
      </x:c>
      <x:c r="K1387" s="9" t="str">
        <x:v>ew-cases-EWCA-Civ-2021-1216.xml</x:v>
      </x:c>
      <x:c r="L1387" s="9" t="str">
        <x:v>TBA</x:v>
      </x:c>
    </x:row>
    <x:row r="1388">
      <x:c r="A1388" t="str">
        <x:v>e145b581-f7ab-4fcb-ab3b-e59613d06aa8</x:v>
      </x:c>
      <x:c r="B1388" t="str">
        <x:v>61270f78-0c9e-4ed8-b8fd-7a24e07d62ba</x:v>
      </x:c>
      <x:c r="C1388" s="9" t="str">
        <x:v>His Majesty's Attorney General v Dowie [2022] EWCA Civ 1574</x:v>
      </x:c>
      <x:c r="D1388" s="9" t="str"/>
      <x:c r="E1388" s="9" t="str"/>
      <x:c r="F1388" s="13" t="str">
        <x:v>2022</x:v>
      </x:c>
      <x:c r="G1388" s="9" t="str">
        <x:v>England and Wales Court of Appeal (Civil Division)</x:v>
      </x:c>
      <x:c r="H1388" s="9" t="str">
        <x:v>Court of Appeal (Civil Division)</x:v>
      </x:c>
      <x:c r="I1388" s="9" t="str">
        <x:v>England and Wales</x:v>
      </x:c>
      <x:c r="J1388" s="9" t="str">
        <x:v>Contempt of Court / Civil Contempt</x:v>
      </x:c>
      <x:c r="K1388" s="9" t="str">
        <x:v>ew-cases-EWCA-Civ-2022-1574.xml</x:v>
      </x:c>
      <x:c r="L1388" s="9" t="str">
        <x:v>TBA</x:v>
      </x:c>
    </x:row>
    <x:row r="1389">
      <x:c r="A1389" t="str">
        <x:v>517d6ac0-977b-43de-85e9-5bba994c17d8</x:v>
      </x:c>
      <x:c r="B1389" t="str">
        <x:v>ea213c94-5273-4df9-bdb1-c7e7c66dfed5</x:v>
      </x:c>
      <x:c r="C1389" s="9" t="str">
        <x:v>HK (Bangladesh) v Secretary of State for the Home Department</x:v>
      </x:c>
      <x:c r="D1389" s="9" t="str"/>
      <x:c r="E1389" s="9" t="str"/>
      <x:c r="F1389" s="13" t="str">
        <x:v>2015</x:v>
      </x:c>
      <x:c r="G1389" s="9" t="str">
        <x:v>England and Wales Court of Appeal (Civil Division)</x:v>
      </x:c>
      <x:c r="H1389" s="9" t="str">
        <x:v>Appellate</x:v>
      </x:c>
      <x:c r="I1389" s="9" t="str">
        <x:v>England and Wales</x:v>
      </x:c>
      <x:c r="J1389" s="9" t="str">
        <x:v>Immigration Law</x:v>
      </x:c>
      <x:c r="K1389" s="9" t="str">
        <x:v>-ew-cases-EWCA-Civ-2015-963.xml</x:v>
      </x:c>
      <x:c r="L1389" s="9" t="str">
        <x:v>TBA</x:v>
      </x:c>
    </x:row>
    <x:row r="1390">
      <x:c r="A1390" t="str">
        <x:v>527022c8-fcde-498f-8c1a-f86b2e554674</x:v>
      </x:c>
      <x:c r="B1390" t="str">
        <x:v>e32d0460-8a68-4913-91c2-d0380aef6035</x:v>
      </x:c>
      <x:c r="C1390" s="9" t="str">
        <x:v>HK (Iraq) &amp; Ors v The Secretary of State for the Home Department</x:v>
      </x:c>
      <x:c r="D1390" s="9" t="str"/>
      <x:c r="E1390" s="9" t="str"/>
      <x:c r="F1390" s="13" t="str">
        <x:v>2017</x:v>
      </x:c>
      <x:c r="G1390" s="9" t="str">
        <x:v>England and Wales Court of Appeal (Civil Division)</x:v>
      </x:c>
      <x:c r="H1390" s="9" t="str">
        <x:v>Appellate</x:v>
      </x:c>
      <x:c r="I1390" s="9" t="str">
        <x:v>England and Wales</x:v>
      </x:c>
      <x:c r="J1390" s="9" t="str">
        <x:v>Administrative Law</x:v>
      </x:c>
      <x:c r="K1390" s="9" t="str">
        <x:v>-ew-cases-EWCA-Civ-2017-1871.xml</x:v>
      </x:c>
      <x:c r="L1390" s="9" t="str">
        <x:v>TBA</x:v>
      </x:c>
    </x:row>
    <x:row r="1391">
      <x:c r="A1391" t="str">
        <x:v>c447a276-df34-4a26-a5e5-9ba7b2fba025</x:v>
      </x:c>
      <x:c r="B1391" t="str">
        <x:v>f13484bc-85d6-4815-8aaf-269f7b86bc6f</x:v>
      </x:c>
      <x:c r="C1391" s="9" t="str">
        <x:v>HK (Iraq) v Secretary of State for the Home Department</x:v>
      </x:c>
      <x:c r="D1391" s="9" t="str"/>
      <x:c r="E1391" s="9" t="str"/>
      <x:c r="F1391" s="13" t="str">
        <x:v>2015</x:v>
      </x:c>
      <x:c r="G1391" s="9" t="str">
        <x:v>England and Wales Court of Appeal (Civil Division)</x:v>
      </x:c>
      <x:c r="H1391" s="9" t="str">
        <x:v>Appellate</x:v>
      </x:c>
      <x:c r="I1391" s="9" t="str">
        <x:v>England and Wales</x:v>
      </x:c>
      <x:c r="J1391" s="9" t="str">
        <x:v>Immigration</x:v>
      </x:c>
      <x:c r="K1391" s="9" t="str">
        <x:v>-ew-cases-EWCA-Civ-2015-851.xml</x:v>
      </x:c>
      <x:c r="L1391" s="9" t="str">
        <x:v>TBA</x:v>
      </x:c>
    </x:row>
    <x:row r="1392">
      <x:c r="A1392" t="str">
        <x:v>c8a6d38b-6a11-4f44-8edc-b60356530499</x:v>
      </x:c>
      <x:c r="B1392" t="str">
        <x:v>373dabe4-1a31-4fe7-9e76-a26891cdcb50</x:v>
      </x:c>
      <x:c r="C1392" s="9" t="str">
        <x:v>HK (Sudan) v Secretary of State for the Home Department</x:v>
      </x:c>
      <x:c r="D1392" s="9" t="str"/>
      <x:c r="E1392" s="9" t="str"/>
      <x:c r="F1392" s="13" t="str">
        <x:v>2014</x:v>
      </x:c>
      <x:c r="G1392" s="9" t="str">
        <x:v>England and Wales Court of Appeal (Civil Division)</x:v>
      </x:c>
      <x:c r="H1392" s="9" t="str">
        <x:v>Appellate</x:v>
      </x:c>
      <x:c r="I1392" s="9" t="str">
        <x:v>England and Wales</x:v>
      </x:c>
      <x:c r="J1392" s="9" t="str">
        <x:v>Administrative Law</x:v>
      </x:c>
      <x:c r="K1392" s="9" t="str">
        <x:v>-ew-cases-EWCA-Civ-2014-1481.xml</x:v>
      </x:c>
      <x:c r="L1392" s="9" t="str">
        <x:v>TBA</x:v>
      </x:c>
    </x:row>
    <x:row r="1393">
      <x:c r="A1393" t="str">
        <x:v>e10c9cd7-bcea-45b6-b6d4-53974706f992</x:v>
      </x:c>
      <x:c r="B1393" t="str">
        <x:v>01abfaa7-5808-4710-9dbd-fb31bdefafce</x:v>
      </x:c>
      <x:c r="C1393" s="9" t="str">
        <x:v>HM Revenue &amp; Customs v Apollo Fuels Ltd &amp; Ors &amp; Anor [2016] EWCA Civ 157</x:v>
      </x:c>
      <x:c r="D1393" s="9" t="str"/>
      <x:c r="E1393" s="9" t="str"/>
      <x:c r="F1393" s="13" t="str">
        <x:v>2016</x:v>
      </x:c>
      <x:c r="G1393" s="9" t="str">
        <x:v>England and Wales Court of Appeal (Civil Division)</x:v>
      </x:c>
      <x:c r="H1393" s="9" t="str">
        <x:v>Court of Appeal (Civil Division)</x:v>
      </x:c>
      <x:c r="I1393" s="9" t="str">
        <x:v>England and Wales</x:v>
      </x:c>
      <x:c r="J1393" s="9" t="str">
        <x:v>Tax Law / Employment Income</x:v>
      </x:c>
      <x:c r="K1393" s="9" t="str">
        <x:v>-ew-cases-EWCA-Civ-2016-157.xml</x:v>
      </x:c>
      <x:c r="L1393" s="9" t="str">
        <x:v>TBA</x:v>
      </x:c>
    </x:row>
    <x:row r="1394">
      <x:c r="A1394" t="str">
        <x:v>45905f19-70cf-4d1d-9fe5-95567cf5087a</x:v>
      </x:c>
      <x:c r="B1394" t="str">
        <x:v>4b4bb9d8-d7dd-49ec-b356-ff9b8cc2ca73</x:v>
      </x:c>
      <x:c r="C1394" s="9" t="str">
        <x:v>HM Revenue &amp; Customs v Infinity Distribution Limited (In Administration) [2016] EWCA Civ 1014</x:v>
      </x:c>
      <x:c r="D1394" s="9" t="str"/>
      <x:c r="E1394" s="9" t="str"/>
      <x:c r="F1394" s="13" t="str">
        <x:v>2016</x:v>
      </x:c>
      <x:c r="G1394" s="9" t="str">
        <x:v>England and Wales Court of Appeal (Civil Division)</x:v>
      </x:c>
      <x:c r="H1394" s="9" t="str">
        <x:v>Court of Appeal (Civil Division)</x:v>
      </x:c>
      <x:c r="I1394" s="9" t="str">
        <x:v>England and Wales</x:v>
      </x:c>
      <x:c r="J1394" s="9" t="str">
        <x:v>Tax Law</x:v>
      </x:c>
      <x:c r="K1394" s="9" t="str">
        <x:v>-ew-cases-EWCA-Civ-2016-1014.xml</x:v>
      </x:c>
      <x:c r="L1394" s="9" t="str">
        <x:v>TBA</x:v>
      </x:c>
    </x:row>
    <x:row r="1395">
      <x:c r="A1395" t="str">
        <x:v>cb453232-4040-480a-ac33-1d6beed9cc2a</x:v>
      </x:c>
      <x:c r="B1395" t="str">
        <x:v>9aac6270-7000-4f4f-abc0-1c59a545cea5</x:v>
      </x:c>
      <x:c r="C1395" s="9" t="str">
        <x:v>HM Revenue and Customs v Bristol and West plc [2016] EWCA Civ 397</x:v>
      </x:c>
      <x:c r="D1395" s="9" t="str"/>
      <x:c r="E1395" s="9" t="str"/>
      <x:c r="F1395" s="13" t="str">
        <x:v>2016</x:v>
      </x:c>
      <x:c r="G1395" s="9" t="str">
        <x:v>England and Wales Court of Appeal (Civil Division)</x:v>
      </x:c>
      <x:c r="H1395" s="9" t="str">
        <x:v>Court of Appeal (Civil Division)</x:v>
      </x:c>
      <x:c r="I1395" s="9" t="str">
        <x:v>England and Wales</x:v>
      </x:c>
      <x:c r="J1395" s="9" t="str">
        <x:v>Tax Law</x:v>
      </x:c>
      <x:c r="K1395" s="9" t="str">
        <x:v>-ew-cases-EWCA-Civ-2016-397.xml</x:v>
      </x:c>
      <x:c r="L1395" s="9" t="str">
        <x:v>TBA</x:v>
      </x:c>
    </x:row>
    <x:row r="1396">
      <x:c r="A1396" t="str">
        <x:v>d04662f6-908f-4346-bb61-ed4ca9175d2a</x:v>
      </x:c>
      <x:c r="B1396" t="str">
        <x:v>fb90f1ad-6132-491d-be89-35324c43b367</x:v>
      </x:c>
      <x:c r="C1396" s="9" t="str">
        <x:v>HM Revenue and Customs v Brockenhurst College [2015] EWCA Civ 1196</x:v>
      </x:c>
      <x:c r="D1396" s="9" t="str"/>
      <x:c r="E1396" s="9" t="str"/>
      <x:c r="F1396" s="13" t="str">
        <x:v>2015</x:v>
      </x:c>
      <x:c r="G1396" s="9" t="str">
        <x:v>England and Wales Court of Appeal (Civil Division)</x:v>
      </x:c>
      <x:c r="H1396" s="9" t="str">
        <x:v>Appellate</x:v>
      </x:c>
      <x:c r="I1396" s="9" t="str">
        <x:v>England and Wales</x:v>
      </x:c>
      <x:c r="J1396" s="9" t="str">
        <x:v>Taxation</x:v>
      </x:c>
      <x:c r="K1396" s="9" t="str">
        <x:v>-ew-cases-EWCA-Civ-2015-1196.xml</x:v>
      </x:c>
      <x:c r="L1396" s="9" t="str">
        <x:v>TBA</x:v>
      </x:c>
    </x:row>
    <x:row r="1397">
      <x:c r="A1397" t="str">
        <x:v>1af4f014-acfc-4d61-ad8e-001a7f81868d</x:v>
      </x:c>
      <x:c r="B1397" t="str">
        <x:v>c4b826b3-070e-444c-8aa3-9cdf077c424e</x:v>
      </x:c>
      <x:c r="C1397" s="9" t="str">
        <x:v>HM Revenue and Customs v Changtel Solutions UK Ltd (2015) EWCA Civ 29</x:v>
      </x:c>
      <x:c r="D1397" s="9" t="str"/>
      <x:c r="E1397" s="9" t="str"/>
      <x:c r="F1397" s="13" t="str">
        <x:v>2015</x:v>
      </x:c>
      <x:c r="G1397" s="9" t="str">
        <x:v>England and Wales Court of Appeal (Civil Division)</x:v>
      </x:c>
      <x:c r="H1397" s="9" t="str">
        <x:v>Appellate</x:v>
      </x:c>
      <x:c r="I1397" s="9" t="str">
        <x:v>England and Wales</x:v>
      </x:c>
      <x:c r="J1397" s="9" t="str">
        <x:v>Insolvency Law</x:v>
      </x:c>
      <x:c r="K1397" s="9" t="str">
        <x:v>-ew-cases-EWCA-Civ-2015-29.xml</x:v>
      </x:c>
      <x:c r="L1397" s="9" t="str">
        <x:v>TBA</x:v>
      </x:c>
    </x:row>
    <x:row r="1398">
      <x:c r="A1398" t="str">
        <x:v>65ead4b4-df65-40ca-b125-1df3f45760c3</x:v>
      </x:c>
      <x:c r="B1398" t="str">
        <x:v>74b7803e-5c85-4959-a69a-e13bd22a1636</x:v>
      </x:c>
      <x:c r="C1398" s="9" t="str">
        <x:v>HM Revenue and Customs v Citibank NA &amp; Anor</x:v>
      </x:c>
      <x:c r="D1398" s="9" t="str"/>
      <x:c r="E1398" s="9" t="str"/>
      <x:c r="F1398" s="13" t="str">
        <x:v>2017</x:v>
      </x:c>
      <x:c r="G1398" s="9" t="str">
        <x:v>England and Wales Court of Appeal (Civil Division)</x:v>
      </x:c>
      <x:c r="H1398" s="9" t="str">
        <x:v>Appellate</x:v>
      </x:c>
      <x:c r="I1398" s="9" t="str">
        <x:v>England and Wales</x:v>
      </x:c>
      <x:c r="J1398" s="9" t="str">
        <x:v>Tax Law</x:v>
      </x:c>
      <x:c r="K1398" s="9" t="str">
        <x:v>-ew-cases-EWCA-Civ-2017-1416.xml</x:v>
      </x:c>
      <x:c r="L1398" s="9" t="str">
        <x:v>TBA</x:v>
      </x:c>
    </x:row>
    <x:row r="1399">
      <x:c r="A1399" t="str">
        <x:v>b5888c10-56e6-47c1-980b-5b8eef352558</x:v>
      </x:c>
      <x:c r="B1399" t="str">
        <x:v>592e8f66-905d-451c-be16-1bc4aee05abc</x:v>
      </x:c>
      <x:c r="C1399" s="9" t="str">
        <x:v>HM Revenue and Customs v Répertoire Culinaire Ltd</x:v>
      </x:c>
      <x:c r="D1399" s="9" t="str"/>
      <x:c r="E1399" s="9" t="str"/>
      <x:c r="F1399" s="13" t="str">
        <x:v>2017</x:v>
      </x:c>
      <x:c r="G1399" s="9" t="str">
        <x:v>England and Wales Court of Appeal (Civil Division)</x:v>
      </x:c>
      <x:c r="H1399" s="9" t="str">
        <x:v>Appellate</x:v>
      </x:c>
      <x:c r="I1399" s="9" t="str">
        <x:v>England and Wales</x:v>
      </x:c>
      <x:c r="J1399" s="9" t="str">
        <x:v>Tax Law</x:v>
      </x:c>
      <x:c r="K1399" s="9" t="str">
        <x:v>-ew-cases-EWCA-Civ-2017-1845.xml</x:v>
      </x:c>
      <x:c r="L1399" s="9" t="str">
        <x:v>TBA</x:v>
      </x:c>
    </x:row>
    <x:row r="1400">
      <x:c r="A1400" t="str">
        <x:v>7a16d4e4-0587-4973-8a5f-1964c7e06a44</x:v>
      </x:c>
      <x:c r="B1400" t="str">
        <x:v>ac6a2b6f-1a54-42c0-8530-88934ac340c6</x:v>
      </x:c>
      <x:c r="C1400" s="9" t="str">
        <x:v>HM Revenue and Customs v The Executors of Lord Howard of Henderskelfe</x:v>
      </x:c>
      <x:c r="D1400" s="9" t="str"/>
      <x:c r="E1400" s="9" t="str"/>
      <x:c r="F1400" s="13" t="str">
        <x:v>2014</x:v>
      </x:c>
      <x:c r="G1400" s="9" t="str">
        <x:v>England and Wales Court of Appeal (Civil Division)</x:v>
      </x:c>
      <x:c r="H1400" s="9" t="str">
        <x:v>Appellate</x:v>
      </x:c>
      <x:c r="I1400" s="9" t="str">
        <x:v>England and Wales</x:v>
      </x:c>
      <x:c r="J1400" s="9" t="str">
        <x:v>Tax Law</x:v>
      </x:c>
      <x:c r="K1400" s="9" t="str">
        <x:v>-ew-cases-EWCA-Civ-2014-278.xml</x:v>
      </x:c>
      <x:c r="L1400" s="9" t="str">
        <x:v>TBA</x:v>
      </x:c>
    </x:row>
    <x:row r="1401">
      <x:c r="A1401" t="str">
        <x:v>3daefda4-8d6d-401a-875e-5f46da2dc095</x:v>
      </x:c>
      <x:c r="B1401" t="str">
        <x:v>79e5e9b5-26d7-4086-99cb-d4bfeb32cb1b</x:v>
      </x:c>
      <x:c r="C1401" s="9" t="str">
        <x:v>HM Revenue and Customs v Wilkes [2022] EWCA Civ 1612 (Court of Appeal, Civil Division)</x:v>
      </x:c>
      <x:c r="D1401" s="9" t="str"/>
      <x:c r="E1401" s="9" t="str"/>
      <x:c r="F1401" s="13" t="str">
        <x:v>2022</x:v>
      </x:c>
      <x:c r="G1401" s="9" t="str">
        <x:v>England and Wales Court of Appeal (Civil Division)</x:v>
      </x:c>
      <x:c r="H1401" s="9" t="str">
        <x:v>Court of Appeal (Civil Division)</x:v>
      </x:c>
      <x:c r="I1401" s="9" t="str">
        <x:v>England and Wales</x:v>
      </x:c>
      <x:c r="J1401" s="9" t="str">
        <x:v>Tax Law; Statutory Interpretation; Administrative Law</x:v>
      </x:c>
      <x:c r="K1401" s="9" t="str">
        <x:v>ew-cases-EWCA-Civ-2022-1612.xml</x:v>
      </x:c>
      <x:c r="L1401" s="9" t="str">
        <x:v>TBA</x:v>
      </x:c>
    </x:row>
    <x:row r="1402">
      <x:c r="A1402" t="str">
        <x:v>89335421-a199-4b7b-b7b4-4c1450b61023</x:v>
      </x:c>
      <x:c r="B1402" t="str">
        <x:v>7253e952-4693-4c28-8c6d-f176b4e6f194</x:v>
      </x:c>
      <x:c r="C1402" s="9" t="str">
        <x:v>HMRC v GMAC (UK) Plc [2016] EWCA Civ 1015 (Court of Appeal, Civil Division)</x:v>
      </x:c>
      <x:c r="D1402" s="9" t="str"/>
      <x:c r="E1402" s="9" t="str"/>
      <x:c r="F1402" s="13" t="str">
        <x:v>2016</x:v>
      </x:c>
      <x:c r="G1402" s="9" t="str">
        <x:v>England and Wales Court of Appeal (Civil Division)</x:v>
      </x:c>
      <x:c r="H1402" s="9" t="str">
        <x:v>Court of Appeal (Civil Division)</x:v>
      </x:c>
      <x:c r="I1402" s="9" t="str">
        <x:v>United Kingdom (EU law context)</x:v>
      </x:c>
      <x:c r="J1402" s="9" t="str">
        <x:v>Tax Law / VAT / EU Law</x:v>
      </x:c>
      <x:c r="K1402" s="9" t="str">
        <x:v>-ew-cases-EWCA-Civ-2016-1015.xml</x:v>
      </x:c>
      <x:c r="L1402" s="9" t="str">
        <x:v>TBA</x:v>
      </x:c>
    </x:row>
    <x:row r="1403">
      <x:c r="A1403" t="str">
        <x:v>0cccf164-a442-480d-950a-bbd81a38f2e0</x:v>
      </x:c>
      <x:c r="B1403" t="str">
        <x:v>cfca5ba2-f97e-414f-ad0b-b695440d712e</x:v>
      </x:c>
      <x:c r="C1403" s="9" t="str">
        <x:v>HMRC v SSE Generation Ltd [2021] EWCA Civ 105</x:v>
      </x:c>
      <x:c r="D1403" s="9" t="str"/>
      <x:c r="E1403" s="9" t="str"/>
      <x:c r="F1403" s="13" t="str">
        <x:v>2021</x:v>
      </x:c>
      <x:c r="G1403" s="9" t="str">
        <x:v>England and Wales Court of Appeal (Civil Division)</x:v>
      </x:c>
      <x:c r="H1403" s="9" t="str">
        <x:v>Appellate</x:v>
      </x:c>
      <x:c r="I1403" s="9" t="str">
        <x:v>England and Wales</x:v>
      </x:c>
      <x:c r="J1403" s="9" t="str">
        <x:v>Tax Law</x:v>
      </x:c>
      <x:c r="K1403" s="9" t="str">
        <x:v>ew-cases-EWCA-Civ-2021-105.xml</x:v>
      </x:c>
      <x:c r="L1403" s="9" t="str">
        <x:v>TBA</x:v>
      </x:c>
    </x:row>
    <x:row r="1404">
      <x:c r="A1404" t="str">
        <x:v>59654acc-8804-494d-a5d1-17e9b498bddb</x:v>
      </x:c>
      <x:c r="B1404" t="str">
        <x:v>d67d58e8-81bb-4445-bc6c-aacb10b89a5a</x:v>
      </x:c>
      <x:c r="C1404" s="9" t="str">
        <x:v>Hodges v Aegis Defence Services (BVI) Ltd</x:v>
      </x:c>
      <x:c r="D1404" s="9" t="str"/>
      <x:c r="E1404" s="9" t="str"/>
      <x:c r="F1404" s="13" t="str">
        <x:v>2014</x:v>
      </x:c>
      <x:c r="G1404" s="9" t="str">
        <x:v>England and Wales Court of Appeal (Civil Division)</x:v>
      </x:c>
      <x:c r="H1404" s="9" t="str">
        <x:v>Appellate</x:v>
      </x:c>
      <x:c r="I1404" s="9" t="str">
        <x:v>England and Wales</x:v>
      </x:c>
      <x:c r="J1404" s="9" t="str">
        <x:v>Contract Dispute</x:v>
      </x:c>
      <x:c r="K1404" s="9" t="str">
        <x:v>-ew-cases-EWCA-Civ-2014-1449.xml</x:v>
      </x:c>
      <x:c r="L1404" s="9" t="str">
        <x:v>TBA</x:v>
      </x:c>
    </x:row>
    <x:row r="1405">
      <x:c r="A1405" t="str">
        <x:v>7ac93504-ab9c-4412-9aed-18cee4a97f3e</x:v>
      </x:c>
      <x:c r="B1405" t="str">
        <x:v>879dbd56-6248-4648-9369-f72b9995fe89</x:v>
      </x:c>
      <x:c r="C1405" s="9" t="str">
        <x:v>Hoey &amp; Ors v Revenue &amp; Customs [2022] EWCA Civ 656</x:v>
      </x:c>
      <x:c r="D1405" s="9" t="str"/>
      <x:c r="E1405" s="9" t="str"/>
      <x:c r="F1405" s="13" t="str">
        <x:v>2022</x:v>
      </x:c>
      <x:c r="G1405" s="9" t="str">
        <x:v>England and Wales Court of Appeal (Civil Division)</x:v>
      </x:c>
      <x:c r="H1405" s="9" t="str">
        <x:v>Court of Appeal</x:v>
      </x:c>
      <x:c r="I1405" s="9" t="str">
        <x:v>England and Wales</x:v>
      </x:c>
      <x:c r="J1405" s="9" t="str">
        <x:v>Judicial Review / Taxation</x:v>
      </x:c>
      <x:c r="K1405" s="9" t="str">
        <x:v>ew-cases-EWCA-Civ-2022-656.xml</x:v>
      </x:c>
      <x:c r="L1405" s="9" t="str">
        <x:v>TBA</x:v>
      </x:c>
    </x:row>
    <x:row r="1406">
      <x:c r="A1406" t="str">
        <x:v>de21aea4-7628-4601-bb59-3779baa49b95</x:v>
      </x:c>
      <x:c r="B1406" t="str">
        <x:v>a459497c-093a-4d72-b603-17566d05df21</x:v>
      </x:c>
      <x:c r="C1406" s="9" t="str">
        <x:v>Holder v Gedling Borough Council &amp; Ors [2014] EWCA Civ 599</x:v>
      </x:c>
      <x:c r="D1406" s="9" t="str"/>
      <x:c r="E1406" s="9" t="str"/>
      <x:c r="F1406" s="13" t="str">
        <x:v>2014</x:v>
      </x:c>
      <x:c r="G1406" s="9" t="str">
        <x:v>England and Wales Court of Appeal (Civil Division)</x:v>
      </x:c>
      <x:c r="H1406" s="9" t="str">
        <x:v>Appellate</x:v>
      </x:c>
      <x:c r="I1406" s="9" t="str">
        <x:v>England and Wales</x:v>
      </x:c>
      <x:c r="J1406" s="9" t="str">
        <x:v>Administrative Law</x:v>
      </x:c>
      <x:c r="K1406" s="9" t="str">
        <x:v>-ew-cases-EWCA-Civ-2014-599.xml</x:v>
      </x:c>
      <x:c r="L1406" s="9" t="str">
        <x:v>TBA</x:v>
      </x:c>
    </x:row>
    <x:row r="1407">
      <x:c r="A1407" t="str">
        <x:v>1d08f193-4c9e-4b5b-8e41-aeee574b80fc</x:v>
      </x:c>
      <x:c r="B1407" t="str">
        <x:v>89f923f9-f857-41ad-a06e-796b5c366b06</x:v>
      </x:c>
      <x:c r="C1407" s="9" t="str">
        <x:v>Holley &amp; Anor v London Borough of Hillingdon [2016] EWCA Civ 1052</x:v>
      </x:c>
      <x:c r="D1407" s="9" t="str"/>
      <x:c r="E1407" s="9" t="str"/>
      <x:c r="F1407" s="13" t="str">
        <x:v>2016</x:v>
      </x:c>
      <x:c r="G1407" s="9" t="str">
        <x:v>England and Wales Court of Appeal (Civil Division)</x:v>
      </x:c>
      <x:c r="H1407" s="9" t="str">
        <x:v>Court of Appeal (Civil Division)</x:v>
      </x:c>
      <x:c r="I1407" s="9" t="str">
        <x:v>England and Wales</x:v>
      </x:c>
      <x:c r="J1407" s="9" t="str">
        <x:v>Housing / Public Law / Human Rights</x:v>
      </x:c>
      <x:c r="K1407" s="9" t="str">
        <x:v>-ew-cases-EWCA-Civ-2016-1052.xml</x:v>
      </x:c>
      <x:c r="L1407" s="9" t="str">
        <x:v>TBA</x:v>
      </x:c>
    </x:row>
    <x:row r="1408">
      <x:c r="A1408" t="str">
        <x:v>7815971e-0588-415d-b1c2-ad381b3f3732</x:v>
      </x:c>
      <x:c r="B1408" t="str">
        <x:v>44b51f4b-41be-44cf-bd2b-71a71752cf49</x:v>
      </x:c>
      <x:c r="C1408" s="9" t="str">
        <x:v>Holton v Bupa Care Homes (CFH Care) Ltd [2015] EWCA Civ 825</x:v>
      </x:c>
      <x:c r="D1408" s="9" t="str"/>
      <x:c r="E1408" s="9" t="str"/>
      <x:c r="F1408" s="13" t="str">
        <x:v>2015</x:v>
      </x:c>
      <x:c r="G1408" s="9" t="str">
        <x:v>England and Wales Court of Appeal (Civil Division)</x:v>
      </x:c>
      <x:c r="H1408" s="9" t="str">
        <x:v>Appellate</x:v>
      </x:c>
      <x:c r="I1408" s="9" t="str">
        <x:v>England and Wales</x:v>
      </x:c>
      <x:c r="J1408" s="9" t="str">
        <x:v>Employment Law</x:v>
      </x:c>
      <x:c r="K1408" s="9" t="str">
        <x:v>-ew-cases-EWCA-Civ-2015-825.xml</x:v>
      </x:c>
      <x:c r="L1408" s="9" t="str">
        <x:v>TBA</x:v>
      </x:c>
    </x:row>
    <x:row r="1409">
      <x:c r="A1409" t="str">
        <x:v>5483bd52-9ddf-47dd-acd7-8208d2ca2f3e</x:v>
      </x:c>
      <x:c r="B1409" t="str">
        <x:v>79117c42-79a8-4e25-9d9f-34461f3348c2</x:v>
      </x:c>
      <x:c r="C1409" s="9" t="str">
        <x:v>Holyhead Marina Ltd v Farrer (Storm Emma)</x:v>
      </x:c>
      <x:c r="D1409" s="9" t="str"/>
      <x:c r="E1409" s="9" t="str"/>
      <x:c r="F1409" s="13" t="str">
        <x:v>2021</x:v>
      </x:c>
      <x:c r="G1409" s="9" t="str">
        <x:v>England and Wales Court of Appeal (Civil Division)</x:v>
      </x:c>
      <x:c r="H1409" s="9" t="str">
        <x:v>Appellate</x:v>
      </x:c>
      <x:c r="I1409" s="9" t="str">
        <x:v>England and Wales</x:v>
      </x:c>
      <x:c r="J1409" s="9" t="str">
        <x:v>Maritime Law</x:v>
      </x:c>
      <x:c r="K1409" s="9" t="str">
        <x:v>ew-cases-EWCA-Civ-2021-1585.xml</x:v>
      </x:c>
      <x:c r="L1409" s="9" t="str">
        <x:v>TBA</x:v>
      </x:c>
    </x:row>
    <x:row r="1410">
      <x:c r="A1410" t="str">
        <x:v>10897afb-3192-4458-8391-35d84d3d5cb2</x:v>
      </x:c>
      <x:c r="B1410" t="str">
        <x:v>9ae4bb2e-75ef-4733-a35d-66d61620f6e5</x:v>
      </x:c>
      <x:c r="C1410" s="9" t="str">
        <x:v>Home Office (UK Border Agency) v Essop &amp; Ors</x:v>
      </x:c>
      <x:c r="D1410" s="9" t="str"/>
      <x:c r="E1410" s="9" t="str"/>
      <x:c r="F1410" s="13" t="str">
        <x:v>2015</x:v>
      </x:c>
      <x:c r="G1410" s="9" t="str">
        <x:v>England and Wales Court of Appeal (Civil Division)</x:v>
      </x:c>
      <x:c r="H1410" s="9" t="str">
        <x:v>Appellate</x:v>
      </x:c>
      <x:c r="I1410" s="9" t="str">
        <x:v>England</x:v>
      </x:c>
      <x:c r="J1410" s="9" t="str">
        <x:v>Employment Law</x:v>
      </x:c>
      <x:c r="K1410" s="9" t="str">
        <x:v>-ew-cases-EWCA-Civ-2015-609.xml</x:v>
      </x:c>
      <x:c r="L1410" s="9" t="str">
        <x:v>TBA</x:v>
      </x:c>
    </x:row>
    <x:row r="1411">
      <x:c r="A1411" t="str">
        <x:v>820b4aa4-9126-4fa7-a6de-7f3785f98e5d</x:v>
      </x:c>
      <x:c r="B1411" t="str">
        <x:v>08a80ef7-a51d-4348-a7f9-adae37cb7efd</x:v>
      </x:c>
      <x:c r="C1411" s="9" t="str">
        <x:v>Home Office v VS [2015] EWCA Civ 1142 – Unlawful Detention of a Minor</x:v>
      </x:c>
      <x:c r="D1411" s="9" t="str"/>
      <x:c r="E1411" s="9" t="str"/>
      <x:c r="F1411" s="13" t="str">
        <x:v>2015</x:v>
      </x:c>
      <x:c r="G1411" s="9" t="str">
        <x:v>England and Wales Court of Appeal (Civil Division)</x:v>
      </x:c>
      <x:c r="H1411" s="9" t="str">
        <x:v>Appellate</x:v>
      </x:c>
      <x:c r="I1411" s="9" t="str">
        <x:v>England and Wales</x:v>
      </x:c>
      <x:c r="J1411" s="9" t="str">
        <x:v>Administrative Law</x:v>
      </x:c>
      <x:c r="K1411" s="9" t="str">
        <x:v>-ew-cases-EWCA-Civ-2015-1142.xml</x:v>
      </x:c>
      <x:c r="L1411" s="9" t="str">
        <x:v>TBA</x:v>
      </x:c>
    </x:row>
    <x:row r="1412">
      <x:c r="A1412" t="str">
        <x:v>6e559466-461c-4324-8c8c-75eb231ebee9</x:v>
      </x:c>
      <x:c r="B1412" t="str">
        <x:v>bd2a776a-ffc2-4f04-8e04-5a2a0534a950</x:v>
      </x:c>
      <x:c r="C1412" s="9" t="str">
        <x:v>Honda Motor Europe Ltd &amp; Anor v Powell &amp; Anor [2014] EWCA Civ 437</x:v>
      </x:c>
      <x:c r="D1412" s="9" t="str"/>
      <x:c r="E1412" s="9" t="str"/>
      <x:c r="F1412" s="13" t="str">
        <x:v>2014</x:v>
      </x:c>
      <x:c r="G1412" s="9" t="str">
        <x:v>England and Wales Court of Appeal (Civil Division)</x:v>
      </x:c>
      <x:c r="H1412" s="9" t="str">
        <x:v>Appellate</x:v>
      </x:c>
      <x:c r="I1412" s="9" t="str">
        <x:v>England and Wales</x:v>
      </x:c>
      <x:c r="J1412" s="9" t="str">
        <x:v>Contract Dispute</x:v>
      </x:c>
      <x:c r="K1412" s="9" t="str">
        <x:v>-ew-cases-EWCA-Civ-2014-437.xml</x:v>
      </x:c>
      <x:c r="L1412" s="9" t="str">
        <x:v>TBA</x:v>
      </x:c>
    </x:row>
    <x:row r="1413">
      <x:c r="A1413" t="str">
        <x:v>4e92add1-bc40-4af4-bc62-5dd864f7049d</x:v>
      </x:c>
      <x:c r="B1413" t="str">
        <x:v>cf19a05a-3e41-40dd-a53b-6b52fb96ccf3</x:v>
      </x:c>
      <x:c r="C1413" s="9" t="str">
        <x:v>Hone &amp; Ors v Abbey Forwarding &amp; Anor [2014] EWCA Civ 899</x:v>
      </x:c>
      <x:c r="D1413" s="9" t="str"/>
      <x:c r="E1413" s="9" t="str"/>
      <x:c r="F1413" s="13" t="str">
        <x:v>2014</x:v>
      </x:c>
      <x:c r="G1413" s="9" t="str">
        <x:v>England and Wales Court of Appeal (Civil Division)</x:v>
      </x:c>
      <x:c r="H1413" s="9" t="str">
        <x:v>Appellate</x:v>
      </x:c>
      <x:c r="I1413" s="9" t="str">
        <x:v>England and Wales</x:v>
      </x:c>
      <x:c r="J1413" s="9" t="str">
        <x:v>Tort</x:v>
      </x:c>
      <x:c r="K1413" s="9" t="str">
        <x:v>-ew-cases-EWCA-Civ-2014-899.xml</x:v>
      </x:c>
      <x:c r="L1413" s="9" t="str">
        <x:v>TBA</x:v>
      </x:c>
    </x:row>
    <x:row r="1414">
      <x:c r="A1414" t="str">
        <x:v>0f5bbd69-111e-4776-baa9-476ee79b67da</x:v>
      </x:c>
      <x:c r="B1414" t="str">
        <x:v>a41c9b1e-faaf-4dce-b6ae-00fb8022062e</x:v>
      </x:c>
      <x:c r="C1414" s="9" t="str">
        <x:v>Hone &amp; Ors v Abbey Forwarding Ltd &amp; Anor</x:v>
      </x:c>
      <x:c r="D1414" s="9" t="str"/>
      <x:c r="E1414" s="9" t="str"/>
      <x:c r="F1414" s="13" t="str">
        <x:v>2014</x:v>
      </x:c>
      <x:c r="G1414" s="9" t="str">
        <x:v>England and Wales Court of Appeal (Civil Division)</x:v>
      </x:c>
      <x:c r="H1414" s="9" t="str">
        <x:v>Appellate</x:v>
      </x:c>
      <x:c r="I1414" s="9" t="str">
        <x:v>England and Wales</x:v>
      </x:c>
      <x:c r="J1414" s="9" t="str">
        <x:v>Civil Tort</x:v>
      </x:c>
      <x:c r="K1414" s="9" t="str">
        <x:v>-ew-cases-EWCA-Civ-2014-711.xml</x:v>
      </x:c>
      <x:c r="L1414" s="9" t="str">
        <x:v>TBA</x:v>
      </x:c>
    </x:row>
    <x:row r="1415">
      <x:c r="A1415" t="str">
        <x:v>dfb72622-330a-4415-8fd1-20a49b5fb5aa</x:v>
      </x:c>
      <x:c r="B1415" t="str">
        <x:v>0a950bca-fe1e-4a09-9646-9a3a1a7a0504</x:v>
      </x:c>
      <x:c r="C1415" s="9" t="str">
        <x:v>Honeyghan v Campbell [2015] EWCA Civ 633</x:v>
      </x:c>
      <x:c r="D1415" s="9" t="str"/>
      <x:c r="E1415" s="9" t="str"/>
      <x:c r="F1415" s="13" t="str">
        <x:v>2015</x:v>
      </x:c>
      <x:c r="G1415" s="9" t="str">
        <x:v>England and Wales Court of Appeal (Civil Division)</x:v>
      </x:c>
      <x:c r="H1415" s="9" t="str">
        <x:v>appellate</x:v>
      </x:c>
      <x:c r="I1415" s="9" t="str">
        <x:v>England and Wales</x:v>
      </x:c>
      <x:c r="J1415" s="9" t="str">
        <x:v>Tort</x:v>
      </x:c>
      <x:c r="K1415" s="9" t="str">
        <x:v>-ew-cases-EWCA-Civ-2015-633.xml</x:v>
      </x:c>
      <x:c r="L1415" s="9" t="str">
        <x:v>TBA</x:v>
      </x:c>
    </x:row>
    <x:row r="1416">
      <x:c r="A1416" t="str">
        <x:v>a3b626bc-c865-4f53-b398-d8fde860f6b6</x:v>
      </x:c>
      <x:c r="B1416" t="str">
        <x:v>220f5941-b918-42be-ba08-5254bcf34586</x:v>
      </x:c>
      <x:c r="C1416" s="9" t="str">
        <x:v>Hospira (UK) Ltd v Genentech, Inc.</x:v>
      </x:c>
      <x:c r="D1416" s="9" t="str"/>
      <x:c r="E1416" s="9" t="str"/>
      <x:c r="F1416" s="13" t="str">
        <x:v>2015</x:v>
      </x:c>
      <x:c r="G1416" s="9" t="str">
        <x:v>England and Wales Court of Appeal (Civil Division)</x:v>
      </x:c>
      <x:c r="H1416" s="9" t="str">
        <x:v>Appellate</x:v>
      </x:c>
      <x:c r="I1416" s="9" t="str">
        <x:v>England and Wales</x:v>
      </x:c>
      <x:c r="J1416" s="9" t="str">
        <x:v>Patent Law</x:v>
      </x:c>
      <x:c r="K1416" s="9" t="str">
        <x:v>-ew-cases-EWCA-Civ-2015-57.xml</x:v>
      </x:c>
      <x:c r="L1416" s="9" t="str">
        <x:v>TBA</x:v>
      </x:c>
    </x:row>
    <x:row r="1417">
      <x:c r="A1417" t="str">
        <x:v>334c0425-41be-42bd-bf9f-d0f20b2ec60b</x:v>
      </x:c>
      <x:c r="B1417" t="str">
        <x:v>8c17ac07-1ddb-402c-94fd-d03a04341c4b</x:v>
      </x:c>
      <x:c r="C1417" s="9" t="str">
        <x:v>Hospira UK Limited v Genentech Inc [2016] EWCA Civ 780</x:v>
      </x:c>
      <x:c r="D1417" s="9" t="str"/>
      <x:c r="E1417" s="9" t="str"/>
      <x:c r="F1417" s="13" t="str">
        <x:v>2016</x:v>
      </x:c>
      <x:c r="G1417" s="9" t="str">
        <x:v>Court of Appeal (Civil Division), England and Wales</x:v>
      </x:c>
      <x:c r="H1417" s="9" t="str">
        <x:v>Court of Appeal (Civil Division)</x:v>
      </x:c>
      <x:c r="I1417" s="9" t="str">
        <x:v>England and Wales</x:v>
      </x:c>
      <x:c r="J1417" s="9" t="str">
        <x:v>Patent Dispute</x:v>
      </x:c>
      <x:c r="K1417" s="9" t="str">
        <x:v>-ew-cases-EWCA-Civ-2016-780.xml</x:v>
      </x:c>
      <x:c r="L1417" s="9" t="str">
        <x:v>TBA</x:v>
      </x:c>
    </x:row>
    <x:row r="1418">
      <x:c r="A1418" t="str">
        <x:v>02712825-b632-4813-bac2-dbd6a86e618e</x:v>
      </x:c>
      <x:c r="B1418" t="str">
        <x:v>71033cf6-55d5-450b-8f5c-b4e0192b644a</x:v>
      </x:c>
      <x:c r="C1418" s="9" t="str">
        <x:v>Hospira UK Limited v Genentech, Inc. [2016] EWCA Civ 1185</x:v>
      </x:c>
      <x:c r="D1418" s="9" t="str"/>
      <x:c r="E1418" s="9" t="str"/>
      <x:c r="F1418" s="13" t="str">
        <x:v>2016</x:v>
      </x:c>
      <x:c r="G1418" s="9" t="str">
        <x:v>England and Wales Court of Appeal (Civil Division)</x:v>
      </x:c>
      <x:c r="H1418" s="9" t="str">
        <x:v>Court of Appeal (Civil Division)</x:v>
      </x:c>
      <x:c r="I1418" s="9" t="str">
        <x:v>England and Wales</x:v>
      </x:c>
      <x:c r="J1418" s="9" t="str">
        <x:v>Patent Law / Intellectual Property</x:v>
      </x:c>
      <x:c r="K1418" s="9" t="str">
        <x:v>-ew-cases-EWCA-Civ-2016-1185.xml</x:v>
      </x:c>
      <x:c r="L1418" s="9" t="str">
        <x:v>TBA</x:v>
      </x:c>
    </x:row>
    <x:row r="1419">
      <x:c r="A1419" t="str">
        <x:v>c892f083-4a4d-4976-b9ca-36ffe147dc06</x:v>
      </x:c>
      <x:c r="B1419" t="str">
        <x:v>eda1427a-ac28-4c17-8ff9-e04199f4e39a</x:v>
      </x:c>
      <x:c r="C1419" s="9" t="str">
        <x:v>Hossain &amp; Ors v Secretary of State for the Home Department [2015] EWCA Civ 207</x:v>
      </x:c>
      <x:c r="D1419" s="9" t="str"/>
      <x:c r="E1419" s="9" t="str"/>
      <x:c r="F1419" s="13" t="str">
        <x:v>2015</x:v>
      </x:c>
      <x:c r="G1419" s="9" t="str">
        <x:v>England and Wales Court of Appeal (Civil Division)</x:v>
      </x:c>
      <x:c r="H1419" s="9" t="str">
        <x:v>Appellate</x:v>
      </x:c>
      <x:c r="I1419" s="9" t="str">
        <x:v>England and Wales</x:v>
      </x:c>
      <x:c r="J1419" s="9" t="str">
        <x:v>Immigration Law</x:v>
      </x:c>
      <x:c r="K1419" s="9" t="str">
        <x:v>-ew-cases-EWCA-Civ-2015-207.xml</x:v>
      </x:c>
      <x:c r="L1419" s="9" t="str">
        <x:v>TBA</x:v>
      </x:c>
    </x:row>
    <x:row r="1420">
      <x:c r="A1420" t="str">
        <x:v>1e044fcd-6559-474f-b981-4ad9a4d2a147</x:v>
      </x:c>
      <x:c r="B1420" t="str">
        <x:v>096b6b56-b6b3-44cd-91a9-b8a5e6837e49</x:v>
      </x:c>
      <x:c r="C1420" s="9" t="str">
        <x:v>Hossain v Secretary of State for the Home Department [2015] EWCA Civ 579</x:v>
      </x:c>
      <x:c r="D1420" s="9" t="str"/>
      <x:c r="E1420" s="9" t="str"/>
      <x:c r="F1420" s="13" t="str">
        <x:v>2015</x:v>
      </x:c>
      <x:c r="G1420" s="9" t="str">
        <x:v>England and Wales Court of Appeal (Civil Division)</x:v>
      </x:c>
      <x:c r="H1420" s="9" t="str">
        <x:v>Appellate</x:v>
      </x:c>
      <x:c r="I1420" s="9" t="str">
        <x:v>England and Wales</x:v>
      </x:c>
      <x:c r="J1420" s="9" t="str">
        <x:v>Immigration</x:v>
      </x:c>
      <x:c r="K1420" s="9" t="str">
        <x:v>-ew-cases-EWCA-Civ-2015-579.xml</x:v>
      </x:c>
      <x:c r="L1420" s="9" t="str">
        <x:v>TBA</x:v>
      </x:c>
    </x:row>
    <x:row r="1421">
      <x:c r="A1421" t="str">
        <x:v>1b345001-b581-4294-a253-02b7df161db5</x:v>
      </x:c>
      <x:c r="B1421" t="str">
        <x:v>82db284e-faee-4799-9ffc-79a4767f263d</x:v>
      </x:c>
      <x:c r="C1421" s="9" t="str">
        <x:v>Hottak &amp; Anor, R (On the Application Of) v The Secretary of State for Foreign and Commonwealth Affairs &amp; Anor [2016] EWCA Civ 438</x:v>
      </x:c>
      <x:c r="D1421" s="9" t="str"/>
      <x:c r="E1421" s="9" t="str"/>
      <x:c r="F1421" s="13" t="str">
        <x:v>2016</x:v>
      </x:c>
      <x:c r="G1421" s="9" t="str">
        <x:v>England and Wales Court of Appeal (Civil Division)</x:v>
      </x:c>
      <x:c r="H1421" s="9" t="str">
        <x:v>Court of Appeal (Civil Division)</x:v>
      </x:c>
      <x:c r="I1421" s="9" t="str">
        <x:v>England and Wales</x:v>
      </x:c>
      <x:c r="J1421" s="9" t="str">
        <x:v>Judicial Review / Discrimination / Administrative Law</x:v>
      </x:c>
      <x:c r="K1421" s="9" t="str">
        <x:v>-ew-cases-EWCA-Civ-2016-438.xml</x:v>
      </x:c>
      <x:c r="L1421" s="9" t="str">
        <x:v>TBA</x:v>
      </x:c>
    </x:row>
    <x:row r="1422">
      <x:c r="A1422" t="str">
        <x:v>f5554a08-181a-4dd4-aa1a-884b77c316ca</x:v>
      </x:c>
      <x:c r="B1422" t="str">
        <x:v>801963bc-cc30-439b-88b7-27f90325110d</x:v>
      </x:c>
      <x:c r="C1422" s="9" t="str">
        <x:v>Houchin v Lincolnshire Probation Trust [2014] EWCA Civ 823</x:v>
      </x:c>
      <x:c r="D1422" s="9" t="str"/>
      <x:c r="E1422" s="9" t="str"/>
      <x:c r="F1422" s="13" t="str">
        <x:v>2014</x:v>
      </x:c>
      <x:c r="G1422" s="9" t="str">
        <x:v>England and Wales Court of Appeal (Civil Division)</x:v>
      </x:c>
      <x:c r="H1422" s="9" t="str">
        <x:v>Appellate</x:v>
      </x:c>
      <x:c r="I1422" s="9" t="str">
        <x:v>England and Wales</x:v>
      </x:c>
      <x:c r="J1422" s="9" t="str">
        <x:v>Civil Appeal</x:v>
      </x:c>
      <x:c r="K1422" s="9" t="str">
        <x:v>-ew-cases-EWCA-Civ-2014-823.xml</x:v>
      </x:c>
      <x:c r="L1422" s="9" t="str">
        <x:v>TBA</x:v>
      </x:c>
    </x:row>
    <x:row r="1423">
      <x:c r="A1423" t="str">
        <x:v>ef86cceb-f304-419a-b71f-7eb289323ba1</x:v>
      </x:c>
      <x:c r="B1423" t="str">
        <x:v>093c1223-0ae8-4284-9849-0aa54158efc1</x:v>
      </x:c>
      <x:c r="C1423" s="9" t="str">
        <x:v>Hough v Greathall Ltd [2015] EWCA Civ 23</x:v>
      </x:c>
      <x:c r="D1423" s="9" t="str"/>
      <x:c r="E1423" s="9" t="str"/>
      <x:c r="F1423" s="13" t="str">
        <x:v>2015</x:v>
      </x:c>
      <x:c r="G1423" s="9" t="str">
        <x:v>England and Wales Court of Appeal (Civil Division)</x:v>
      </x:c>
      <x:c r="H1423" s="9" t="str">
        <x:v>Appellate</x:v>
      </x:c>
      <x:c r="I1423" s="9" t="str">
        <x:v>England and Wales</x:v>
      </x:c>
      <x:c r="J1423" s="9" t="str">
        <x:v>Landlord-Tenant Dispute</x:v>
      </x:c>
      <x:c r="K1423" s="9" t="str">
        <x:v>-ew-cases-EWCA-Civ-2015-23.xml</x:v>
      </x:c>
      <x:c r="L1423" s="9" t="str">
        <x:v>TBA</x:v>
      </x:c>
    </x:row>
    <x:row r="1424">
      <x:c r="A1424" t="str">
        <x:v>a8ad35bb-54e1-4432-9967-4feca653e238</x:v>
      </x:c>
      <x:c r="B1424" t="str">
        <x:v>72ae3a8b-04b1-4146-b2fc-cc57e1da7a25</x:v>
      </x:c>
      <x:c r="C1424" s="9" t="str">
        <x:v>Howard &amp; Anor v Wigan Council &amp; Anor [2015] EWCA Civ 854</x:v>
      </x:c>
      <x:c r="D1424" s="9" t="str"/>
      <x:c r="E1424" s="9" t="str"/>
      <x:c r="F1424" s="13" t="str">
        <x:v>2015</x:v>
      </x:c>
      <x:c r="G1424" s="9" t="str">
        <x:v>England and Wales Court of Appeal (Civil Division)</x:v>
      </x:c>
      <x:c r="H1424" s="9" t="str">
        <x:v>Appellate</x:v>
      </x:c>
      <x:c r="I1424" s="9" t="str">
        <x:v>England and Wales</x:v>
      </x:c>
      <x:c r="J1424" s="9" t="str">
        <x:v>Administrative Law</x:v>
      </x:c>
      <x:c r="K1424" s="9" t="str">
        <x:v>-ew-cases-EWCA-Civ-2015-854.xml</x:v>
      </x:c>
      <x:c r="L1424" s="9" t="str">
        <x:v>TBA</x:v>
      </x:c>
    </x:row>
    <x:row r="1425">
      <x:c r="A1425" t="str">
        <x:v>13c30461-1252-47cb-a901-4d434f8dec2e</x:v>
      </x:c>
      <x:c r="B1425" t="str">
        <x:v>4ef74c45-ce48-4ccf-aa7a-95afb4c316b3</x:v>
      </x:c>
      <x:c r="C1425" s="9" t="str">
        <x:v>Howe v Motor Insurers' Bureau [2017] EWCA Civ 932</x:v>
      </x:c>
      <x:c r="D1425" s="9" t="str"/>
      <x:c r="E1425" s="9" t="str"/>
      <x:c r="F1425" s="13" t="str">
        <x:v>2017</x:v>
      </x:c>
      <x:c r="G1425" s="9" t="str">
        <x:v>England and Wales Court of Appeal (Civil Division)</x:v>
      </x:c>
      <x:c r="H1425" s="9" t="str">
        <x:v>Appellate</x:v>
      </x:c>
      <x:c r="I1425" s="9" t="str">
        <x:v>England and Wales</x:v>
      </x:c>
      <x:c r="J1425" s="9" t="str">
        <x:v>Civil Liability</x:v>
      </x:c>
      <x:c r="K1425" s="9" t="str">
        <x:v>-ew-cases-EWCA-Civ-2017-932.xml</x:v>
      </x:c>
      <x:c r="L1425" s="9" t="str">
        <x:v>TBA</x:v>
      </x:c>
    </x:row>
    <x:row r="1426">
      <x:c r="A1426" t="str">
        <x:v>cbcf83c3-a6d8-41cf-bc3f-978eefe681a3</x:v>
      </x:c>
      <x:c r="B1426" t="str">
        <x:v>d5f5a965-40b6-4741-a63d-2ac856e24302</x:v>
      </x:c>
      <x:c r="C1426" s="9" t="str">
        <x:v>Howell v Secretary of State for Communities And Local Government &amp; Ors [2015] EWCA Civ 1189</x:v>
      </x:c>
      <x:c r="D1426" s="9" t="str"/>
      <x:c r="E1426" s="9" t="str"/>
      <x:c r="F1426" s="13" t="str">
        <x:v>2015</x:v>
      </x:c>
      <x:c r="G1426" s="9" t="str">
        <x:v>England and Wales Court of Appeal (Civil Division)</x:v>
      </x:c>
      <x:c r="H1426" s="9" t="str">
        <x:v>appellate</x:v>
      </x:c>
      <x:c r="I1426" s="9" t="str">
        <x:v>England and Wales</x:v>
      </x:c>
      <x:c r="J1426" s="9" t="str">
        <x:v>Administrative Law</x:v>
      </x:c>
      <x:c r="K1426" s="9" t="str">
        <x:v>-ew-cases-EWCA-Civ-2015-1189.xml</x:v>
      </x:c>
      <x:c r="L1426" s="9" t="str">
        <x:v>TBA</x:v>
      </x:c>
    </x:row>
    <x:row r="1427">
      <x:c r="A1427" t="str">
        <x:v>255e81a0-dca2-42ba-b01a-62619096d772</x:v>
      </x:c>
      <x:c r="B1427" t="str">
        <x:v>fb29ccaf-555b-4f7f-b65c-61ddf64a1476</x:v>
      </x:c>
      <x:c r="C1427" s="9" t="str">
        <x:v>Howlett v &amp; Anor [2017] EWCA Civ 1696: Costs Order and Qualified One-Way Costs Shifting</x:v>
      </x:c>
      <x:c r="D1427" s="9" t="str"/>
      <x:c r="E1427" s="9" t="str"/>
      <x:c r="F1427" s="13" t="str">
        <x:v>2017</x:v>
      </x:c>
      <x:c r="G1427" s="9" t="str">
        <x:v>England and Wales Court of Appeal (Civil Division)</x:v>
      </x:c>
      <x:c r="H1427" s="9" t="str">
        <x:v>Appellate</x:v>
      </x:c>
      <x:c r="I1427" s="9" t="str">
        <x:v>England and Wales</x:v>
      </x:c>
      <x:c r="J1427" s="9" t="str">
        <x:v>Civil Appeal</x:v>
      </x:c>
      <x:c r="K1427" s="9" t="str">
        <x:v>-ew-cases-EWCA-Civ-2017-1696.xml</x:v>
      </x:c>
      <x:c r="L1427" s="9" t="str">
        <x:v>TBA</x:v>
      </x:c>
    </x:row>
    <x:row r="1428">
      <x:c r="A1428" t="str">
        <x:v>837f57b2-b618-49f3-a904-ae3fabc1c601</x:v>
      </x:c>
      <x:c r="B1428" t="str">
        <x:v>7351e867-1c92-49d6-a602-686678f60a5f</x:v>
      </x:c>
      <x:c r="C1428" s="9" t="str">
        <x:v>Howmet Limited v Economy Devices Limited &amp; Ors [2016] EWCA Civ 847</x:v>
      </x:c>
      <x:c r="D1428" s="9" t="str"/>
      <x:c r="E1428" s="9" t="str"/>
      <x:c r="F1428" s="13" t="str">
        <x:v>2016</x:v>
      </x:c>
      <x:c r="G1428" s="9" t="str">
        <x:v>England and Wales Court of Appeal (Civil Division)</x:v>
      </x:c>
      <x:c r="H1428" s="9" t="str">
        <x:v>Court of Appeal (Civil Division)</x:v>
      </x:c>
      <x:c r="I1428" s="9" t="str">
        <x:v>England and Wales</x:v>
      </x:c>
      <x:c r="J1428" s="9" t="str">
        <x:v>Tort - Negligence and Statutory Duty (Product Safety Regulation)</x:v>
      </x:c>
      <x:c r="K1428" s="9" t="str">
        <x:v>-ew-cases-EWCA-Civ-2016-847.xml</x:v>
      </x:c>
      <x:c r="L1428" s="9" t="str">
        <x:v>TBA</x:v>
      </x:c>
    </x:row>
    <x:row r="1429">
      <x:c r="A1429" t="str">
        <x:v>9365f3b9-bde0-42ed-b2ea-9e6eab10e1fe</x:v>
      </x:c>
      <x:c r="B1429" t="str">
        <x:v>1196ec32-9e92-419f-aab5-739b209eedfd</x:v>
      </x:c>
      <x:c r="C1429" s="9" t="str">
        <x:v>Hoyl Group Ltd v Cromer Town Council [2015] EWCA Civ 782</x:v>
      </x:c>
      <x:c r="D1429" s="9" t="str"/>
      <x:c r="E1429" s="9" t="str"/>
      <x:c r="F1429" s="13" t="str">
        <x:v>2015</x:v>
      </x:c>
      <x:c r="G1429" s="9" t="str">
        <x:v>England and Wales Court of Appeal (Civil Division)</x:v>
      </x:c>
      <x:c r="H1429" s="9" t="str">
        <x:v>Appellate</x:v>
      </x:c>
      <x:c r="I1429" s="9" t="str">
        <x:v>England and Wales</x:v>
      </x:c>
      <x:c r="J1429" s="9" t="str">
        <x:v>Property Law</x:v>
      </x:c>
      <x:c r="K1429" s="9" t="str">
        <x:v>-ew-cases-EWCA-Civ-2015-782.xml</x:v>
      </x:c>
      <x:c r="L1429" s="9" t="str">
        <x:v>TBA</x:v>
      </x:c>
    </x:row>
    <x:row r="1430">
      <x:c r="A1430" t="str">
        <x:v>74d89180-f05b-44de-8af2-7440c04c036b</x:v>
      </x:c>
      <x:c r="B1430" t="str">
        <x:v>66a136e2-b8b2-46db-92ce-2801c652acaf</x:v>
      </x:c>
      <x:c r="C1430" s="9" t="str">
        <x:v>Hoyle v Rogers &amp; Anor [2014] EWCA Civ 257</x:v>
      </x:c>
      <x:c r="D1430" s="9" t="str"/>
      <x:c r="E1430" s="9" t="str"/>
      <x:c r="F1430" s="13" t="str">
        <x:v>2014</x:v>
      </x:c>
      <x:c r="G1430" s="9" t="str">
        <x:v>England and Wales Court of Appeal (Civil Division)</x:v>
      </x:c>
      <x:c r="H1430" s="9" t="str">
        <x:v>Appellate</x:v>
      </x:c>
      <x:c r="I1430" s="9" t="str">
        <x:v>United Kingdom</x:v>
      </x:c>
      <x:c r="J1430" s="9" t="str">
        <x:v>Tort</x:v>
      </x:c>
      <x:c r="K1430" s="9" t="str">
        <x:v>-ew-cases-EWCA-Civ-2014-257.xml</x:v>
      </x:c>
      <x:c r="L1430" s="9" t="str">
        <x:v>TBA</x:v>
      </x:c>
    </x:row>
    <x:row r="1431">
      <x:c r="A1431" t="str">
        <x:v>f63ab411-32de-43d1-86eb-ff4f561877a3</x:v>
      </x:c>
      <x:c r="B1431" t="str">
        <x:v>2c71b8c3-6112-47aa-842d-9dbb872406f6</x:v>
      </x:c>
      <x:c r="C1431" s="9" t="str">
        <x:v>Hrabkova v The Secretary of State for Work and Pensions</x:v>
      </x:c>
      <x:c r="D1431" s="9" t="str"/>
      <x:c r="E1431" s="9" t="str"/>
      <x:c r="F1431" s="13" t="str">
        <x:v>2017</x:v>
      </x:c>
      <x:c r="G1431" s="9" t="str">
        <x:v>England and Wales Court of Appeal (Civil Division)</x:v>
      </x:c>
      <x:c r="H1431" s="9" t="str">
        <x:v>Appellate</x:v>
      </x:c>
      <x:c r="I1431" s="9" t="str">
        <x:v>United Kingdom</x:v>
      </x:c>
      <x:c r="J1431" s="9" t="str">
        <x:v>Administrative Law</x:v>
      </x:c>
      <x:c r="K1431" s="9" t="str">
        <x:v>-ew-cases-EWCA-Civ-2017-794.xml</x:v>
      </x:c>
      <x:c r="L1431" s="9" t="str">
        <x:v>TBA</x:v>
      </x:c>
    </x:row>
    <x:row r="1432">
      <x:c r="A1432" t="str">
        <x:v>2305103a-43de-43d0-8678-0987a27faa08</x:v>
      </x:c>
      <x:c r="B1432" t="str">
        <x:v>d2d218fb-5cb2-4d42-9835-3e293c334cd3</x:v>
      </x:c>
      <x:c r="C1432" s="9" t="str">
        <x:v>HRH Prince Abdul Aziz Bin Fahd Bin Abdul Aziz v Harb</x:v>
      </x:c>
      <x:c r="D1432" s="9" t="str"/>
      <x:c r="E1432" s="9" t="str"/>
      <x:c r="F1432" s="13" t="str">
        <x:v>2015</x:v>
      </x:c>
      <x:c r="G1432" s="9" t="str">
        <x:v>England and Wales Court of Appeal (Civil Division)</x:v>
      </x:c>
      <x:c r="H1432" s="9" t="str">
        <x:v>Appellate</x:v>
      </x:c>
      <x:c r="I1432" s="9" t="str">
        <x:v>England and Wales</x:v>
      </x:c>
      <x:c r="J1432" s="9" t="str">
        <x:v>Contract Dispute</x:v>
      </x:c>
      <x:c r="K1432" s="9" t="str">
        <x:v>-ew-cases-EWCA-Civ-2015-481.xml</x:v>
      </x:c>
      <x:c r="L1432" s="9" t="str">
        <x:v>TBA</x:v>
      </x:c>
    </x:row>
    <x:row r="1433">
      <x:c r="A1433" t="str">
        <x:v>7574f54a-c3e3-4c2d-9fa1-675440cc238c</x:v>
      </x:c>
      <x:c r="B1433" t="str">
        <x:v>c3390841-5a54-4f5d-acac-2c964270e8be</x:v>
      </x:c>
      <x:c r="C1433" s="9" t="str">
        <x:v>HRH the Duchess of Sussex v Associated Newspapers Ltd</x:v>
      </x:c>
      <x:c r="D1433" s="9" t="str"/>
      <x:c r="E1433" s="9" t="str"/>
      <x:c r="F1433" s="13" t="str">
        <x:v>2021</x:v>
      </x:c>
      <x:c r="G1433" s="9" t="str">
        <x:v>England and Wales Court of Appeal (Civil Division)</x:v>
      </x:c>
      <x:c r="H1433" s="9" t="str">
        <x:v>Appellate</x:v>
      </x:c>
      <x:c r="I1433" s="9" t="str">
        <x:v>England and Wales</x:v>
      </x:c>
      <x:c r="J1433" s="9" t="str">
        <x:v>Privacy Law</x:v>
      </x:c>
      <x:c r="K1433" s="9" t="str">
        <x:v>ew-cases-EWCA-Civ-2021-1810.xml</x:v>
      </x:c>
      <x:c r="L1433" s="9" t="str">
        <x:v>TBA</x:v>
      </x:c>
    </x:row>
    <x:row r="1434">
      <x:c r="A1434" t="str">
        <x:v>3f61cc97-2d4d-4cf1-903b-abaa78253c9e</x:v>
      </x:c>
      <x:c r="B1434" t="str">
        <x:v>e094dd97-690a-4f1f-8101-60a1b91ff49a</x:v>
      </x:c>
      <x:c r="C1434" s="9" t="str">
        <x:v>HS (India) v Secretary for the Home Department</x:v>
      </x:c>
      <x:c r="D1434" s="9" t="str"/>
      <x:c r="E1434" s="9" t="str"/>
      <x:c r="F1434" s="13" t="str">
        <x:v>2015</x:v>
      </x:c>
      <x:c r="G1434" s="9" t="str">
        <x:v>England and Wales Court of Appeal (Civil Division)</x:v>
      </x:c>
      <x:c r="H1434" s="9" t="str">
        <x:v>Appellate</x:v>
      </x:c>
      <x:c r="I1434" s="9" t="str">
        <x:v>England and Wales</x:v>
      </x:c>
      <x:c r="J1434" s="9" t="str">
        <x:v>Immigration Law</x:v>
      </x:c>
      <x:c r="K1434" s="9" t="str">
        <x:v>-ew-cases-EWCA-Civ-2015-970.xml</x:v>
      </x:c>
      <x:c r="L1434" s="9" t="str">
        <x:v>TBA</x:v>
      </x:c>
    </x:row>
    <x:row r="1435">
      <x:c r="A1435" t="str">
        <x:v>a2901654-9bab-4aef-b237-6fe56c31f5f7</x:v>
      </x:c>
      <x:c r="B1435" t="str">
        <x:v>807d8cb4-c2be-4ae9-a440-fa901c828008</x:v>
      </x:c>
      <x:c r="C1435" s="9" t="str">
        <x:v>HS2 Action Alliance &amp; Anor v The Secretary of State for Transport</x:v>
      </x:c>
      <x:c r="D1435" s="9" t="str"/>
      <x:c r="E1435" s="9" t="str"/>
      <x:c r="F1435" s="13" t="str">
        <x:v>2014</x:v>
      </x:c>
      <x:c r="G1435" s="9" t="str">
        <x:v>England and Wales Court of Appeal (Civil Division)</x:v>
      </x:c>
      <x:c r="H1435" s="9" t="str">
        <x:v>Appellate</x:v>
      </x:c>
      <x:c r="I1435" s="9" t="str">
        <x:v>England and Wales</x:v>
      </x:c>
      <x:c r="J1435" s="9" t="str">
        <x:v>Administrative Law</x:v>
      </x:c>
      <x:c r="K1435" s="9" t="str">
        <x:v>-ew-cases-EWCA-Civ-2014-1578.xml</x:v>
      </x:c>
      <x:c r="L1435" s="9" t="str">
        <x:v>TBA</x:v>
      </x:c>
    </x:row>
    <x:row r="1436">
      <x:c r="A1436" t="str">
        <x:v>d35186e6-2e37-42d6-989b-618a993b40f7</x:v>
      </x:c>
      <x:c r="B1436" t="str">
        <x:v>4ec2e26c-1b99-4692-adfe-db9a32aa4015</x:v>
      </x:c>
      <x:c r="C1436" s="9" t="str">
        <x:v>HS2 Action Alliance, R (on the application of) v London Borough of Hillingdon &amp; Anor [2015] EWCA Civ 203</x:v>
      </x:c>
      <x:c r="D1436" s="9" t="str"/>
      <x:c r="E1436" s="9" t="str"/>
      <x:c r="F1436" s="13" t="str">
        <x:v>2015</x:v>
      </x:c>
      <x:c r="G1436" s="9" t="str">
        <x:v>England and Wales Court of Appeal (Civil Division)</x:v>
      </x:c>
      <x:c r="H1436" s="9" t="str">
        <x:v>Appellate</x:v>
      </x:c>
      <x:c r="I1436" s="9" t="str">
        <x:v>England</x:v>
      </x:c>
      <x:c r="J1436" s="9" t="str">
        <x:v>Administrative Law</x:v>
      </x:c>
      <x:c r="K1436" s="9" t="str">
        <x:v>-ew-cases-EWCA-Civ-2015-203.xml</x:v>
      </x:c>
      <x:c r="L1436" s="9" t="str">
        <x:v>TBA</x:v>
      </x:c>
    </x:row>
    <x:row r="1437">
      <x:c r="A1437" t="str">
        <x:v>81444bd9-94b7-4e85-bfc1-f6c32a40f049</x:v>
      </x:c>
      <x:c r="B1437" t="str">
        <x:v>aee99c15-97d1-489f-b706-5d93a9f5687e</x:v>
      </x:c>
      <x:c r="C1437" s="9" t="str">
        <x:v>HTC Corporation v Gemalto SA [2014] EWCA Civ 1335</x:v>
      </x:c>
      <x:c r="D1437" s="9" t="str"/>
      <x:c r="E1437" s="9" t="str"/>
      <x:c r="F1437" s="13" t="str">
        <x:v>2014</x:v>
      </x:c>
      <x:c r="G1437" s="9" t="str">
        <x:v>England and Wales Court of Appeal (Civil Division)</x:v>
      </x:c>
      <x:c r="H1437" s="9" t="str">
        <x:v>Appellate</x:v>
      </x:c>
      <x:c r="I1437" s="9" t="str">
        <x:v>England and Wales</x:v>
      </x:c>
      <x:c r="J1437" s="9" t="str">
        <x:v>Patent Litigation</x:v>
      </x:c>
      <x:c r="K1437" s="9" t="str">
        <x:v>-ew-cases-EWCA-Civ-2014-1335.xml</x:v>
      </x:c>
      <x:c r="L1437" s="9" t="str">
        <x:v>TBA</x:v>
      </x:c>
    </x:row>
    <x:row r="1438">
      <x:c r="A1438" t="str">
        <x:v>6edbb268-43a5-4a95-973d-483fe3cc98d6</x:v>
      </x:c>
      <x:c r="B1438" t="str">
        <x:v>77beedae-1cd7-4503-8349-0ec2e3d21098</x:v>
      </x:c>
      <x:c r="C1438" s="9" t="str">
        <x:v>Hubbard v Bank of Scotland Plc (t/a Birmingham Midshires) &amp; Anor [2014] EWCA Civ 648</x:v>
      </x:c>
      <x:c r="D1438" s="9" t="str"/>
      <x:c r="E1438" s="9" t="str"/>
      <x:c r="F1438" s="13" t="str">
        <x:v>2014</x:v>
      </x:c>
      <x:c r="G1438" s="9" t="str">
        <x:v>England and Wales Court of Appeal (Civil Division)</x:v>
      </x:c>
      <x:c r="H1438" s="9" t="str">
        <x:v>Appellate</x:v>
      </x:c>
      <x:c r="I1438" s="9" t="str">
        <x:v>England and Wales</x:v>
      </x:c>
      <x:c r="J1438" s="9" t="str">
        <x:v>Negligence</x:v>
      </x:c>
      <x:c r="K1438" s="9" t="str">
        <x:v>-ew-cases-EWCA-Civ-2014-648.xml</x:v>
      </x:c>
      <x:c r="L1438" s="9" t="str">
        <x:v>TBA</x:v>
      </x:c>
    </x:row>
    <x:row r="1439">
      <x:c r="A1439" t="str">
        <x:v>ae594bae-df37-44e4-9637-ad885b55f11a</x:v>
      </x:c>
      <x:c r="B1439" t="str">
        <x:v>8679e0b6-05b4-41c0-8f32-f0a0350c8479</x:v>
      </x:c>
      <x:c r="C1439" s="9" t="str">
        <x:v>Hubert Howard (deceased) (substituted by Maresha Howard Rose) v Secretary of State for the Home Department [2022] EWCA Civ 1068</x:v>
      </x:c>
      <x:c r="D1439" s="9" t="str"/>
      <x:c r="E1439" s="9" t="str"/>
      <x:c r="F1439" s="13" t="str">
        <x:v>2022</x:v>
      </x:c>
      <x:c r="G1439" s="9" t="str">
        <x:v>England and Wales Court of Appeal (Civil Division)</x:v>
      </x:c>
      <x:c r="H1439" s="9" t="str">
        <x:v>Court of Appeal (Civil Division)</x:v>
      </x:c>
      <x:c r="I1439" s="9" t="str">
        <x:v>England and Wales</x:v>
      </x:c>
      <x:c r="J1439" s="9" t="str">
        <x:v>Administrative Law / Immigration and Nationality Law</x:v>
      </x:c>
      <x:c r="K1439" s="9" t="str">
        <x:v>ew-cases-EWCA-Civ-2022-1068.xml</x:v>
      </x:c>
      <x:c r="L1439" s="9" t="str">
        <x:v>TBA</x:v>
      </x:c>
    </x:row>
    <x:row r="1440">
      <x:c r="A1440" t="str">
        <x:v>e4df1840-d78e-47ad-8429-c0918553a09b</x:v>
      </x:c>
      <x:c r="B1440" t="str">
        <x:v>4d345483-4991-4f91-aba7-827757c881de</x:v>
      </x:c>
      <x:c r="C1440" s="9" t="str">
        <x:v>Huda v The London Borough of Redbridge [2016] EWCA Civ 709</x:v>
      </x:c>
      <x:c r="D1440" s="9" t="str"/>
      <x:c r="E1440" s="9" t="str"/>
      <x:c r="F1440" s="13" t="str">
        <x:v>2016</x:v>
      </x:c>
      <x:c r="G1440" s="9" t="str">
        <x:v>England and Wales Court of Appeal (Civil Division)</x:v>
      </x:c>
      <x:c r="H1440" s="9" t="str">
        <x:v>Court of Appeal (Civil Division)</x:v>
      </x:c>
      <x:c r="I1440" s="9" t="str">
        <x:v>England and Wales</x:v>
      </x:c>
      <x:c r="J1440" s="9" t="str">
        <x:v>Housing Law</x:v>
      </x:c>
      <x:c r="K1440" s="9" t="str">
        <x:v>-ew-cases-EWCA-Civ-2016-709.xml</x:v>
      </x:c>
      <x:c r="L1440" s="9" t="str">
        <x:v>TBA</x:v>
      </x:c>
    </x:row>
    <x:row r="1441">
      <x:c r="A1441" t="str">
        <x:v>c8bb8b8b-ebdb-44b5-a29a-b83526026126</x:v>
      </x:c>
      <x:c r="B1441" t="str">
        <x:v>2d7e09a0-fbcb-472f-8edf-7fdae38fb6a2</x:v>
      </x:c>
      <x:c r="C1441" s="9" t="str">
        <x:v>Hudson v Hathway [2022] EWCA Civ 1648</x:v>
      </x:c>
      <x:c r="D1441" s="9" t="str"/>
      <x:c r="E1441" s="9" t="str"/>
      <x:c r="F1441" s="13" t="str">
        <x:v>2022</x:v>
      </x:c>
      <x:c r="G1441" s="9" t="str">
        <x:v>England and Wales Court of Appeal (Civil Division)</x:v>
      </x:c>
      <x:c r="H1441" s="9" t="str">
        <x:v>Court of Appeal (Civil Division)</x:v>
      </x:c>
      <x:c r="I1441" s="9" t="str">
        <x:v>England and Wales</x:v>
      </x:c>
      <x:c r="J1441" s="9" t="str">
        <x:v>Property Law / Trusts – Construction of Trusts; Equitable ownership in family home; Post-acquisition variation of shares</x:v>
      </x:c>
      <x:c r="K1441" s="9" t="str">
        <x:v>ew-cases-EWCA-Civ-2022-1648.xml</x:v>
      </x:c>
      <x:c r="L1441" s="9" t="str">
        <x:v>TBA</x:v>
      </x:c>
    </x:row>
    <x:row r="1442">
      <x:c r="A1442" t="str">
        <x:v>0c1744fd-19a2-47d9-81d3-adda9ada8b41</x:v>
      </x:c>
      <x:c r="B1442" t="str">
        <x:v>195cc77e-3bda-4e25-afb4-d10c3d73f674</x:v>
      </x:c>
      <x:c r="C1442" s="9" t="str">
        <x:v>Hudson v Royal Borough of Windsor and Maidenhead &amp; Ors</x:v>
      </x:c>
      <x:c r="D1442" s="9" t="str"/>
      <x:c r="E1442" s="9" t="str"/>
      <x:c r="F1442" s="13" t="str">
        <x:v>2021</x:v>
      </x:c>
      <x:c r="G1442" s="9" t="str">
        <x:v>England and Wales Court of Appeal (Civil Division)</x:v>
      </x:c>
      <x:c r="H1442" s="9" t="str">
        <x:v>Appellate</x:v>
      </x:c>
      <x:c r="I1442" s="9" t="str">
        <x:v>England and Wales</x:v>
      </x:c>
      <x:c r="J1442" s="9" t="str">
        <x:v>Administrative Law</x:v>
      </x:c>
      <x:c r="K1442" s="9" t="str">
        <x:v>ew-cases-EWCA-Civ-2021-592.xml</x:v>
      </x:c>
      <x:c r="L1442" s="9" t="str">
        <x:v>TBA</x:v>
      </x:c>
    </x:row>
    <x:row r="1443">
      <x:c r="A1443" t="str">
        <x:v>f771ee3b-378c-4c60-a09b-06b846e9785f</x:v>
      </x:c>
      <x:c r="B1443" t="str">
        <x:v>f691a5fb-3356-4b3d-8d02-23ef0631e1f6</x:v>
      </x:c>
      <x:c r="C1443" s="9" t="str">
        <x:v>Hughes v Pendragon Sabre Ltd t/a Porsche Centre Bolton [2016] EWCA Civ 18</x:v>
      </x:c>
      <x:c r="D1443" s="9" t="str"/>
      <x:c r="E1443" s="9" t="str"/>
      <x:c r="F1443" s="13" t="str">
        <x:v>2016</x:v>
      </x:c>
      <x:c r="G1443" s="9" t="str">
        <x:v>England and Wales Court of Appeal (Civil Division)</x:v>
      </x:c>
      <x:c r="H1443" s="9" t="str">
        <x:v>Appellate (Court of Appeal)</x:v>
      </x:c>
      <x:c r="I1443" s="9" t="str">
        <x:v>England and Wales</x:v>
      </x:c>
      <x:c r="J1443" s="9" t="str">
        <x:v>Contract Dispute; Sale of Goods</x:v>
      </x:c>
      <x:c r="K1443" s="9" t="str">
        <x:v>-ew-cases-EWCA-Civ-2016-18.xml</x:v>
      </x:c>
      <x:c r="L1443" s="9" t="str">
        <x:v>TBA</x:v>
      </x:c>
    </x:row>
    <x:row r="1444">
      <x:c r="A1444" t="str">
        <x:v>0c37d07d-7ced-4d51-8f0d-fc4a393f308f</x:v>
      </x:c>
      <x:c r="B1444" t="str">
        <x:v>4fcea377-841c-44a4-a89e-f188b05f7273</x:v>
      </x:c>
      <x:c r="C1444" s="9" t="str">
        <x:v>Hughes v Pritchard &amp; Ors [2022] EWCA Civ 386</x:v>
      </x:c>
      <x:c r="D1444" s="9" t="str"/>
      <x:c r="E1444" s="9" t="str"/>
      <x:c r="F1444" s="13" t="str">
        <x:v>2022</x:v>
      </x:c>
      <x:c r="G1444" s="9" t="str">
        <x:v>England and Wales Court of Appeal (Civil Division)</x:v>
      </x:c>
      <x:c r="H1444" s="9" t="str">
        <x:v>Court of Appeal (Civil Division)</x:v>
      </x:c>
      <x:c r="I1444" s="9" t="str">
        <x:v>England and Wales</x:v>
      </x:c>
      <x:c r="J1444" s="9" t="str">
        <x:v>Probate; Testamentary Capacity; Will Validity; Estate Disputes</x:v>
      </x:c>
      <x:c r="K1444" s="9" t="str">
        <x:v>ew-cases-EWCA-Civ-2022-386.xml</x:v>
      </x:c>
      <x:c r="L1444" s="9" t="str">
        <x:v>TBA</x:v>
      </x:c>
    </x:row>
    <x:row r="1445">
      <x:c r="A1445" t="str">
        <x:v>26bd56bd-02d8-4531-9253-7615d6d3ba7b</x:v>
      </x:c>
      <x:c r="B1445" t="str">
        <x:v>0af9689e-f55a-4b42-8c7d-e7ef4d3d1bdc</x:v>
      </x:c>
      <x:c r="C1445" s="9" t="str">
        <x:v>Hughes v Rattan (Rev1) [2022] EWCA Civ 107</x:v>
      </x:c>
      <x:c r="D1445" s="9" t="str"/>
      <x:c r="E1445" s="9" t="str"/>
      <x:c r="F1445" s="13" t="str">
        <x:v>2022</x:v>
      </x:c>
      <x:c r="G1445" s="9" t="str">
        <x:v>England and Wales Court of Appeal (Civil Division)</x:v>
      </x:c>
      <x:c r="H1445" s="9" t="str">
        <x:v>Court of Appeal (Civil Division)</x:v>
      </x:c>
      <x:c r="I1445" s="9" t="str">
        <x:v>England and Wales</x:v>
      </x:c>
      <x:c r="J1445" s="9" t="str">
        <x:v>Tort / Negligence</x:v>
      </x:c>
      <x:c r="K1445" s="9" t="str">
        <x:v>ew-cases-EWCA-Civ-2022-107.xml</x:v>
      </x:c>
      <x:c r="L1445" s="9" t="str">
        <x:v>TBA</x:v>
      </x:c>
    </x:row>
    <x:row r="1446">
      <x:c r="A1446" t="str">
        <x:v>a689c5ea-cbe6-4ee0-9cf4-297f470c2f45</x:v>
      </x:c>
      <x:c r="B1446" t="str">
        <x:v>28d8ec74-fee2-499a-b0c5-a348db1ba836</x:v>
      </x:c>
      <x:c r="C1446" s="9" t="str">
        <x:v>Hughmans (a firm) v Dunhill [2015] EWCA Civ 1307</x:v>
      </x:c>
      <x:c r="D1446" s="9" t="str"/>
      <x:c r="E1446" s="9" t="str"/>
      <x:c r="F1446" s="13" t="str">
        <x:v>2015</x:v>
      </x:c>
      <x:c r="G1446" s="9" t="str">
        <x:v>England and Wales Court of Appeal (Civil Division)</x:v>
      </x:c>
      <x:c r="H1446" s="9" t="str">
        <x:v>Appellate</x:v>
      </x:c>
      <x:c r="I1446" s="9" t="str">
        <x:v>England and Wales</x:v>
      </x:c>
      <x:c r="J1446" s="9" t="str">
        <x:v>Professional Negligence</x:v>
      </x:c>
      <x:c r="K1446" s="9" t="str">
        <x:v>-ew-cases-EWCA-Civ-2015-1307.xml</x:v>
      </x:c>
      <x:c r="L1446" s="9" t="str">
        <x:v>TBA</x:v>
      </x:c>
    </x:row>
    <x:row r="1447">
      <x:c r="A1447" t="str">
        <x:v>6411d047-44a8-4b77-b648-93c1258e4c5e</x:v>
      </x:c>
      <x:c r="B1447" t="str">
        <x:v>39bb19cd-95d0-4d76-91f3-8049281f9ab4</x:v>
      </x:c>
      <x:c r="C1447" s="9" t="str">
        <x:v>Hughmans (A Firm) v Dunhill [2017] EWCA Civ 97</x:v>
      </x:c>
      <x:c r="D1447" s="9" t="str"/>
      <x:c r="E1447" s="9" t="str"/>
      <x:c r="F1447" s="13" t="str">
        <x:v>2017</x:v>
      </x:c>
      <x:c r="G1447" s="9" t="str">
        <x:v>England and Wales Court of Appeal (Civil Division)</x:v>
      </x:c>
      <x:c r="H1447" s="9" t="str">
        <x:v>Appellate</x:v>
      </x:c>
      <x:c r="I1447" s="9" t="str">
        <x:v>England and Wales</x:v>
      </x:c>
      <x:c r="J1447" s="9" t="str">
        <x:v>Contract Dispute</x:v>
      </x:c>
      <x:c r="K1447" s="9" t="str">
        <x:v>-ew-cases-EWCA-Civ-2017-97.xml</x:v>
      </x:c>
      <x:c r="L1447" s="9" t="str">
        <x:v>TBA</x:v>
      </x:c>
    </x:row>
    <x:row r="1448">
      <x:c r="A1448" t="str">
        <x:v>74487f52-6583-42b8-b746-f07733db56f2</x:v>
      </x:c>
      <x:c r="B1448" t="str">
        <x:v>3b14442e-37b0-455c-a24f-a53a55c9f700</x:v>
      </x:c>
      <x:c r="C1448" s="9" t="str">
        <x:v>Humphrey v Aegis Defence Services Ltd &amp; Anor [2016] EWCA Civ 11</x:v>
      </x:c>
      <x:c r="D1448" s="9" t="str"/>
      <x:c r="E1448" s="9" t="str"/>
      <x:c r="F1448" s="13" t="str">
        <x:v>2016</x:v>
      </x:c>
      <x:c r="G1448" s="9" t="str">
        <x:v>England and Wales Court of Appeal (Civil Division)</x:v>
      </x:c>
      <x:c r="H1448" s="9" t="str">
        <x:v>Court of Appeal (Civil Division)</x:v>
      </x:c>
      <x:c r="I1448" s="9" t="str">
        <x:v>England and Wales</x:v>
      </x:c>
      <x:c r="J1448" s="9" t="str">
        <x:v>Tort – Negligence (Personal Injury)</x:v>
      </x:c>
      <x:c r="K1448" s="9" t="str">
        <x:v>-ew-cases-EWCA-Civ-2016-11.xml</x:v>
      </x:c>
      <x:c r="L1448" s="9" t="str">
        <x:v>TBA</x:v>
      </x:c>
    </x:row>
    <x:row r="1449">
      <x:c r="A1449" t="str">
        <x:v>57bcc850-cc70-4f34-ae9b-a889cbcf6321</x:v>
      </x:c>
      <x:c r="B1449" t="str">
        <x:v>49ee7284-9791-4454-b9af-9c3ca07f0761</x:v>
      </x:c>
      <x:c r="C1449" s="9" t="str">
        <x:v>Hunt v Annolight Ltd &amp; Ors [2021] EWCA Civ 1663</x:v>
      </x:c>
      <x:c r="D1449" s="9" t="str"/>
      <x:c r="E1449" s="9" t="str"/>
      <x:c r="F1449" s="13" t="str">
        <x:v>2021</x:v>
      </x:c>
      <x:c r="G1449" s="9" t="str">
        <x:v>England and Wales Court of Appeal (Civil Division)</x:v>
      </x:c>
      <x:c r="H1449" s="9" t="str">
        <x:v>Appellate</x:v>
      </x:c>
      <x:c r="I1449" s="9" t="str">
        <x:v>England and Wales</x:v>
      </x:c>
      <x:c r="J1449" s="9" t="str">
        <x:v>Civil Procedure</x:v>
      </x:c>
      <x:c r="K1449" s="9" t="str">
        <x:v>ew-cases-EWCA-Civ-2021-1663.xml</x:v>
      </x:c>
      <x:c r="L1449" s="9" t="str">
        <x:v>TBA</x:v>
      </x:c>
    </x:row>
    <x:row r="1450">
      <x:c r="A1450" t="str">
        <x:v>88681b00-fd8f-4944-ac5b-b72cc3e1239f</x:v>
      </x:c>
      <x:c r="B1450" t="str">
        <x:v>44b4f6f0-287d-48af-aaba-cad12b05431e</x:v>
      </x:c>
      <x:c r="C1450" s="9" t="str">
        <x:v>Hunt v Optima (Cambridge) Ltd &amp; Ors</x:v>
      </x:c>
      <x:c r="D1450" s="9" t="str"/>
      <x:c r="E1450" s="9" t="str"/>
      <x:c r="F1450" s="13" t="str">
        <x:v>2014</x:v>
      </x:c>
      <x:c r="G1450" s="9" t="str">
        <x:v>England and Wales Court of Appeal (Civil Division)</x:v>
      </x:c>
      <x:c r="H1450" s="9" t="str">
        <x:v>Appellate</x:v>
      </x:c>
      <x:c r="I1450" s="9" t="str">
        <x:v>England and Wales</x:v>
      </x:c>
      <x:c r="J1450" s="9" t="str">
        <x:v>Tort</x:v>
      </x:c>
      <x:c r="K1450" s="9" t="str">
        <x:v>-ew-cases-EWCA-Civ-2014-714.xml</x:v>
      </x:c>
      <x:c r="L1450" s="9" t="str">
        <x:v>TBA</x:v>
      </x:c>
    </x:row>
    <x:row r="1451">
      <x:c r="A1451" t="str">
        <x:v>4c0529af-0ab9-4a61-9d3c-62ba729af573</x:v>
      </x:c>
      <x:c r="B1451" t="str">
        <x:v>4d548ca4-6096-4fe9-8c96-8a1a431b7f1c</x:v>
      </x:c>
      <x:c r="C1451" s="9" t="str">
        <x:v>Hunt v Ubhi [2023] EWCA Civ 417</x:v>
      </x:c>
      <x:c r="D1451" s="9" t="str"/>
      <x:c r="E1451" s="9" t="str"/>
      <x:c r="F1451" s="13" t="str">
        <x:v>2023</x:v>
      </x:c>
      <x:c r="G1451" s="9" t="str">
        <x:v>England and Wales Court of Appeal (Civil Division)</x:v>
      </x:c>
      <x:c r="H1451" s="9" t="str">
        <x:v>Court of Appeal (Civil Division)</x:v>
      </x:c>
      <x:c r="I1451" s="9" t="str">
        <x:v>England and Wales</x:v>
      </x:c>
      <x:c r="J1451" s="9" t="str">
        <x:v>Civil Procedure / Insolvency</x:v>
      </x:c>
      <x:c r="K1451" s="9" t="str">
        <x:v>ew-cases-EWCA-Civ-2023-417.xml</x:v>
      </x:c>
      <x:c r="L1451" s="9" t="str">
        <x:v>TBA</x:v>
      </x:c>
    </x:row>
    <x:row r="1452">
      <x:c r="A1452" t="str">
        <x:v>acdd3238-0373-4dbb-99aa-72d53bc2e33c</x:v>
      </x:c>
      <x:c r="B1452" t="str">
        <x:v>273fa467-00ba-4976-93f2-72a8b26c141f</x:v>
      </x:c>
      <x:c r="C1452" s="9" t="str">
        <x:v>Hussain &amp; Anor v Secretary of State for the Home Department [2021] EWCA Civ 2781</x:v>
      </x:c>
      <x:c r="D1452" s="9" t="str"/>
      <x:c r="E1452" s="9" t="str"/>
      <x:c r="F1452" s="13" t="str">
        <x:v>2021</x:v>
      </x:c>
      <x:c r="G1452" s="9" t="str">
        <x:v>England and Wales Court of Appeal (Civil Division)</x:v>
      </x:c>
      <x:c r="H1452" s="9" t="str">
        <x:v>Appellate</x:v>
      </x:c>
      <x:c r="I1452" s="9" t="str">
        <x:v>England and Wales</x:v>
      </x:c>
      <x:c r="J1452" s="9" t="str">
        <x:v>Immigration Law</x:v>
      </x:c>
      <x:c r="K1452" s="9" t="str">
        <x:v>ew-cases-EWCA-Civ-2021-2781.xml</x:v>
      </x:c>
      <x:c r="L1452" s="9" t="str">
        <x:v>TBA</x:v>
      </x:c>
    </x:row>
    <x:row r="1453">
      <x:c r="A1453" t="str">
        <x:v>c8f8ec6b-386d-46e7-bc65-a86011600320</x:v>
      </x:c>
      <x:c r="B1453" t="str">
        <x:v>7b1e2294-5729-4725-9fe5-0c70355f7a2d</x:v>
      </x:c>
      <x:c r="C1453" s="9" t="str">
        <x:v>Hussain &amp; Anor v Secretary of State for the Home Department [2022] EWCA Civ 145</x:v>
      </x:c>
      <x:c r="D1453" s="9" t="str"/>
      <x:c r="E1453" s="9" t="str"/>
      <x:c r="F1453" s="13" t="str">
        <x:v>2022</x:v>
      </x:c>
      <x:c r="G1453" s="9" t="str">
        <x:v>England and Wales Court of Appeal (Civil Division)</x:v>
      </x:c>
      <x:c r="H1453" s="9" t="str">
        <x:v>Court of Appeal (Civil Division)</x:v>
      </x:c>
      <x:c r="I1453" s="9" t="str">
        <x:v>England and Wales</x:v>
      </x:c>
      <x:c r="J1453" s="9" t="str">
        <x:v>Administrative Law; Immigration</x:v>
      </x:c>
      <x:c r="K1453" s="9" t="str">
        <x:v>ew-cases-EWCA-Civ-2022-145.xml</x:v>
      </x:c>
      <x:c r="L1453" s="9" t="str">
        <x:v>TBA</x:v>
      </x:c>
    </x:row>
    <x:row r="1454">
      <x:c r="A1454" t="str">
        <x:v>c7c50c5d-0cf4-4ac6-b6d7-bba393d7f3f7</x:v>
      </x:c>
      <x:c r="B1454" t="str">
        <x:v>f6fc9269-1ed5-4ee9-b08a-795ab4befee2</x:v>
      </x:c>
      <x:c r="C1454" s="9" t="str">
        <x:v>Hussain v General Medical Council [2014] EWCA Civ 2246</x:v>
      </x:c>
      <x:c r="D1454" s="9" t="str"/>
      <x:c r="E1454" s="9" t="str"/>
      <x:c r="F1454" s="13" t="str">
        <x:v>2014</x:v>
      </x:c>
      <x:c r="G1454" s="9" t="str">
        <x:v>England and Wales Court of Appeal (Civil Division)</x:v>
      </x:c>
      <x:c r="H1454" s="9" t="str">
        <x:v>Appellate</x:v>
      </x:c>
      <x:c r="I1454" s="9" t="str">
        <x:v>England and Wales</x:v>
      </x:c>
      <x:c r="J1454" s="9" t="str">
        <x:v>Professional Misconduct</x:v>
      </x:c>
      <x:c r="K1454" s="9" t="str">
        <x:v>-ew-cases-EWCA-Civ-2014-2246.xml</x:v>
      </x:c>
      <x:c r="L1454" s="9" t="str">
        <x:v>TBA</x:v>
      </x:c>
    </x:row>
    <x:row r="1455">
      <x:c r="A1455" t="str">
        <x:v>b4c348a4-34be-4531-8969-f8c234145eb4</x:v>
      </x:c>
      <x:c r="B1455" t="str">
        <x:v>975515d3-53a1-4853-9692-6448bd37f43b</x:v>
      </x:c>
      <x:c r="C1455" s="9" t="str">
        <x:v>Hussain v The London Borough of Waltham Forest [2015] EWCA Civ 14</x:v>
      </x:c>
      <x:c r="D1455" s="9" t="str"/>
      <x:c r="E1455" s="9" t="str"/>
      <x:c r="F1455" s="13" t="str">
        <x:v>2015</x:v>
      </x:c>
      <x:c r="G1455" s="9" t="str">
        <x:v>England and Wales Court of Appeal (Civil Division)</x:v>
      </x:c>
      <x:c r="H1455" s="9" t="str">
        <x:v>Appellate</x:v>
      </x:c>
      <x:c r="I1455" s="9" t="str">
        <x:v>England and Wales</x:v>
      </x:c>
      <x:c r="J1455" s="9" t="str">
        <x:v>Housing Law</x:v>
      </x:c>
      <x:c r="K1455" s="9" t="str">
        <x:v>-ew-cases-EWCA-Civ-2015-14.xml</x:v>
      </x:c>
      <x:c r="L1455" s="9" t="str">
        <x:v>TBA</x:v>
      </x:c>
    </x:row>
    <x:row r="1456">
      <x:c r="A1456" t="str">
        <x:v>d68a69d8-370e-4c1c-9afd-7c9dfc8c6719</x:v>
      </x:c>
      <x:c r="B1456" t="str">
        <x:v>40886710-e84d-4000-a4c2-f52e3b1acd31</x:v>
      </x:c>
      <x:c r="C1456" s="9" t="str">
        <x:v>Hussain v The Parole Board for England and Wales</x:v>
      </x:c>
      <x:c r="D1456" s="9" t="str"/>
      <x:c r="E1456" s="9" t="str"/>
      <x:c r="F1456" s="13" t="str">
        <x:v>2017</x:v>
      </x:c>
      <x:c r="G1456" s="9" t="str">
        <x:v>England and Wales Court of Appeal (Civil Division)</x:v>
      </x:c>
      <x:c r="H1456" s="9" t="str">
        <x:v>Appellate</x:v>
      </x:c>
      <x:c r="I1456" s="9" t="str">
        <x:v>England and Wales</x:v>
      </x:c>
      <x:c r="J1456" s="9" t="str">
        <x:v>Administrative Law</x:v>
      </x:c>
      <x:c r="K1456" s="9" t="str">
        <x:v>-ew-cases-EWCA-Civ-2017-1074.xml</x:v>
      </x:c>
      <x:c r="L1456" s="9" t="str">
        <x:v>TBA</x:v>
      </x:c>
    </x:row>
    <x:row r="1457">
      <x:c r="A1457" t="str">
        <x:v>af28aed4-32de-4e2a-992e-0a313a301be7</x:v>
      </x:c>
      <x:c r="B1457" t="str">
        <x:v>edb65d59-279f-45c3-9ff4-c8e3146298c0</x:v>
      </x:c>
      <x:c r="C1457" s="9" t="str">
        <x:v>Hussain v Vaswani &amp; Ors [2021] EWCA Civ 146</x:v>
      </x:c>
      <x:c r="D1457" s="9" t="str"/>
      <x:c r="E1457" s="9" t="str"/>
      <x:c r="F1457" s="13" t="str">
        <x:v>2021</x:v>
      </x:c>
      <x:c r="G1457" s="9" t="str">
        <x:v>England and Wales Court of Appeal (Civil Division)</x:v>
      </x:c>
      <x:c r="H1457" s="9" t="str">
        <x:v>Appellate</x:v>
      </x:c>
      <x:c r="I1457" s="9" t="str">
        <x:v>England and Wales</x:v>
      </x:c>
      <x:c r="J1457" s="9" t="str">
        <x:v>Civil Procedure</x:v>
      </x:c>
      <x:c r="K1457" s="9" t="str">
        <x:v>ew-cases-EWCA-Civ-2021-146.xml</x:v>
      </x:c>
      <x:c r="L1457" s="9" t="str">
        <x:v>TBA</x:v>
      </x:c>
    </x:row>
    <x:row r="1458">
      <x:c r="A1458" t="str">
        <x:v>6e978a0c-0cf5-4321-895c-d7878a9a6acd</x:v>
      </x:c>
      <x:c r="B1458" t="str">
        <x:v>aa42e61d-1861-4bc8-910e-4d98bc0228db</x:v>
      </x:c>
      <x:c r="C1458" s="9" t="str">
        <x:v>Hussain, R (on the application of) v The Secretary of State for Justice [2016] EWCA Civ 1111</x:v>
      </x:c>
      <x:c r="D1458" s="9" t="str"/>
      <x:c r="E1458" s="9" t="str"/>
      <x:c r="F1458" s="13" t="str">
        <x:v>2016</x:v>
      </x:c>
      <x:c r="G1458" s="9" t="str">
        <x:v>England and Wales Court of Appeal (Civil Division)</x:v>
      </x:c>
      <x:c r="H1458" s="9" t="str">
        <x:v>Court of Appeal (Civil Division)</x:v>
      </x:c>
      <x:c r="I1458" s="9" t="str">
        <x:v>England and Wales</x:v>
      </x:c>
      <x:c r="J1458" s="9" t="str">
        <x:v>Public Law / Administrative Law</x:v>
      </x:c>
      <x:c r="K1458" s="9" t="str">
        <x:v>-ew-cases-EWCA-Civ-2016-1111.xml</x:v>
      </x:c>
      <x:c r="L1458" s="9" t="str">
        <x:v>TBA</x:v>
      </x:c>
    </x:row>
    <x:row r="1459">
      <x:c r="A1459" t="str">
        <x:v>86bc9815-70e9-4ace-95d4-2a4f34931b2e</x:v>
      </x:c>
      <x:c r="B1459" t="str">
        <x:v>ffffa4a7-b9ef-416d-87a7-a61500fbc72f</x:v>
      </x:c>
      <x:c r="C1459" s="9" t="str">
        <x:v>Hussein v Secretary of State for Defence [2014] EWCA Civ 1087</x:v>
      </x:c>
      <x:c r="D1459" s="9" t="str"/>
      <x:c r="E1459" s="9" t="str"/>
      <x:c r="F1459" s="13" t="str">
        <x:v>2014</x:v>
      </x:c>
      <x:c r="G1459" s="9" t="str">
        <x:v>England and Wales Court of Appeal (Civil Division)</x:v>
      </x:c>
      <x:c r="H1459" s="9" t="str">
        <x:v>Appellate</x:v>
      </x:c>
      <x:c r="I1459" s="9" t="str">
        <x:v>England and Wales</x:v>
      </x:c>
      <x:c r="J1459" s="9" t="str">
        <x:v>Administrative Law</x:v>
      </x:c>
      <x:c r="K1459" s="9" t="str">
        <x:v>-ew-cases-EWCA-Civ-2014-1087.xml</x:v>
      </x:c>
      <x:c r="L1459" s="9" t="str">
        <x:v>TBA</x:v>
      </x:c>
    </x:row>
    <x:row r="1460">
      <x:c r="A1460" t="str">
        <x:v>fdaa117a-b975-4ce2-8fe6-638916001a8b</x:v>
      </x:c>
      <x:c r="B1460" t="str">
        <x:v>1208a139-8035-4bf2-84c7-cc4224f92fbb</x:v>
      </x:c>
      <x:c r="C1460" s="9" t="str">
        <x:v>Hutchinson v Grant [2016] EWCA Civ 218</x:v>
      </x:c>
      <x:c r="D1460" s="9" t="str"/>
      <x:c r="E1460" s="9" t="str"/>
      <x:c r="F1460" s="13" t="str">
        <x:v>2016</x:v>
      </x:c>
      <x:c r="G1460" s="9" t="str">
        <x:v>England and Wales Court of Appeal (Civil Division)</x:v>
      </x:c>
      <x:c r="H1460" s="9" t="str">
        <x:v>Court of Appeal (Civil Division)</x:v>
      </x:c>
      <x:c r="I1460" s="9" t="str">
        <x:v>England and Wales</x:v>
      </x:c>
      <x:c r="J1460" s="9" t="str">
        <x:v>Probate and Estates - Administration of Estates; Civil Procedure (Costs and Settlement) - Court of Appeal (Civil Division)</x:v>
      </x:c>
      <x:c r="K1460" s="9" t="str">
        <x:v>-ew-cases-EWCA-Civ-2016-218.xml</x:v>
      </x:c>
      <x:c r="L1460" s="9" t="str">
        <x:v>TBA</x:v>
      </x:c>
    </x:row>
    <x:row r="1461">
      <x:c r="A1461" t="str">
        <x:v>20dc0fd2-5630-4f26-b1c0-335a56257b76</x:v>
      </x:c>
      <x:c r="B1461" t="str">
        <x:v>1ae781af-c482-402d-b18c-8d4c33432b24</x:v>
      </x:c>
      <x:c r="C1461" s="9" t="str">
        <x:v>HXA v Surrey County Council; YXA v Wolverhampton City Council (England and Wales Court of Appeal (Civil Division))</x:v>
      </x:c>
      <x:c r="D1461" s="9" t="str"/>
      <x:c r="E1461" s="9" t="str"/>
      <x:c r="F1461" s="13" t="str">
        <x:v>2022</x:v>
      </x:c>
      <x:c r="G1461" s="9" t="str">
        <x:v>England and Wales Court of Appeal (Civil Division)</x:v>
      </x:c>
      <x:c r="H1461" s="9" t="str">
        <x:v>Court of Appeal (Civil Division)</x:v>
      </x:c>
      <x:c r="I1461" s="9" t="str">
        <x:v>England and Wales</x:v>
      </x:c>
      <x:c r="J1461" s="9" t="str">
        <x:v>Tort / Negligence; Public Authority Liability; Child Protection</x:v>
      </x:c>
      <x:c r="K1461" s="9" t="str">
        <x:v>ew-cases-EWCA-Civ-2022-1196.xml</x:v>
      </x:c>
      <x:c r="L1461" s="9" t="str">
        <x:v>TBA</x:v>
      </x:c>
    </x:row>
    <x:row r="1462">
      <x:c r="A1462" t="str">
        <x:v>bab32adc-1332-4bc3-bc0c-0449ebd1ce54</x:v>
      </x:c>
      <x:c r="B1462" t="str">
        <x:v>b8e85543-ffaf-48af-8186-e6cb7573e433</x:v>
      </x:c>
      <x:c r="C1462" s="9" t="str">
        <x:v>Hyde &amp; Ors v North East Lincolnshire Council [2015] EWCA Civ 1566</x:v>
      </x:c>
      <x:c r="D1462" s="9" t="str"/>
      <x:c r="E1462" s="9" t="str"/>
      <x:c r="F1462" s="13" t="str">
        <x:v>2015</x:v>
      </x:c>
      <x:c r="G1462" s="9" t="str">
        <x:v>England and Wales Court of Appeal (Civil Division)</x:v>
      </x:c>
      <x:c r="H1462" s="9" t="str">
        <x:v>Appellate</x:v>
      </x:c>
      <x:c r="I1462" s="9" t="str">
        <x:v>England and Wales</x:v>
      </x:c>
      <x:c r="J1462" s="9" t="str">
        <x:v>Tort</x:v>
      </x:c>
      <x:c r="K1462" s="9" t="str">
        <x:v>-ew-cases-EWCA-Civ-2015-1566.xml</x:v>
      </x:c>
      <x:c r="L1462" s="9" t="str">
        <x:v>TBA</x:v>
      </x:c>
    </x:row>
    <x:row r="1463">
      <x:c r="A1463" t="str">
        <x:v>23484f2d-fff7-48b8-9abc-23270532f573</x:v>
      </x:c>
      <x:c r="B1463" t="str">
        <x:v>88cb3c85-845e-4aec-8f6c-0fc594fdb826</x:v>
      </x:c>
      <x:c r="C1463" s="9" t="str">
        <x:v>Hyde v Milton Keynes NHS Foundation Trust</x:v>
      </x:c>
      <x:c r="D1463" s="9" t="str"/>
      <x:c r="E1463" s="9" t="str"/>
      <x:c r="F1463" s="13" t="str">
        <x:v>2017</x:v>
      </x:c>
      <x:c r="G1463" s="9" t="str">
        <x:v>England and Wales Court of Appeal (Civil Division)</x:v>
      </x:c>
      <x:c r="H1463" s="9" t="str">
        <x:v>Appellate</x:v>
      </x:c>
      <x:c r="I1463" s="9" t="str">
        <x:v>England and Wales</x:v>
      </x:c>
      <x:c r="J1463" s="9" t="str">
        <x:v>Personal Injury</x:v>
      </x:c>
      <x:c r="K1463" s="9" t="str">
        <x:v>-ew-cases-EWCA-Civ-2017-399.xml</x:v>
      </x:c>
      <x:c r="L1463" s="9" t="str">
        <x:v>TBA</x:v>
      </x:c>
    </x:row>
    <x:row r="1464">
      <x:c r="A1464" t="str">
        <x:v>db3b59c9-d4b1-4a67-a2d7-d2e48aa51751</x:v>
      </x:c>
      <x:c r="B1464" t="str">
        <x:v>f0e1b790-1e36-4dd1-ab45-aff65487a3b2</x:v>
      </x:c>
      <x:c r="C1464" s="9" t="str">
        <x:v>Hyman &amp; Ors v Revenue And Customs [2022] EWCA Civ 185</x:v>
      </x:c>
      <x:c r="D1464" s="9" t="str"/>
      <x:c r="E1464" s="9" t="str"/>
      <x:c r="F1464" s="13" t="str">
        <x:v>2022</x:v>
      </x:c>
      <x:c r="G1464" s="9" t="str">
        <x:v>England and Wales Court of Appeal (Civil Division)</x:v>
      </x:c>
      <x:c r="H1464" s="9" t="str">
        <x:v>Court of Appeal (Civil Division)</x:v>
      </x:c>
      <x:c r="I1464" s="9" t="str">
        <x:v>England and Wales</x:v>
      </x:c>
      <x:c r="J1464" s="9" t="str">
        <x:v>Tax Law / SDLT (Stamp Duty Land Tax)</x:v>
      </x:c>
      <x:c r="K1464" s="9" t="str">
        <x:v>ew-cases-EWCA-Civ-2022-185.xml</x:v>
      </x:c>
      <x:c r="L1464" s="9" t="str">
        <x:v>TBA</x:v>
      </x:c>
    </x:row>
    <x:row r="1465">
      <x:c r="A1465" t="str">
        <x:v>463a9ac6-1f3a-4a62-b3a8-d5bbeeae7d94</x:v>
      </x:c>
      <x:c r="B1465" t="str">
        <x:v>f27d6ef2-c22a-4d6f-8b56-aac71ec22556</x:v>
      </x:c>
      <x:c r="C1465" s="9" t="str">
        <x:v>Hysaj &amp; Ors, R. v Secretary of State for the Home Department</x:v>
      </x:c>
      <x:c r="D1465" s="9" t="str"/>
      <x:c r="E1465" s="9" t="str"/>
      <x:c r="F1465" s="13" t="str">
        <x:v>2015</x:v>
      </x:c>
      <x:c r="G1465" s="9" t="str">
        <x:v>England and Wales Court of Appeal (Civil Division)</x:v>
      </x:c>
      <x:c r="H1465" s="9" t="str">
        <x:v>appellate</x:v>
      </x:c>
      <x:c r="I1465" s="9" t="str">
        <x:v>England and Wales</x:v>
      </x:c>
      <x:c r="J1465" s="9" t="str">
        <x:v>Administrative Law</x:v>
      </x:c>
      <x:c r="K1465" s="9" t="str">
        <x:v>-ew-cases-EWCA-Civ-2015-1195.xml</x:v>
      </x:c>
      <x:c r="L1465" s="9" t="str">
        <x:v>TBA</x:v>
      </x:c>
    </x:row>
    <x:row r="1466">
      <x:c r="A1466" t="str">
        <x:v>d0f2a80f-c7fa-407a-98a1-7883cf64ec77</x:v>
      </x:c>
      <x:c r="B1466" t="str">
        <x:v>1ff38120-1037-43c2-8864-dfb088a710c5</x:v>
      </x:c>
      <x:c r="C1466" s="9" t="str">
        <x:v>Hysaj, R (On the Application Of) v Secretary of State for the Home Department</x:v>
      </x:c>
      <x:c r="D1466" s="9" t="str"/>
      <x:c r="E1466" s="9" t="str"/>
      <x:c r="F1466" s="13" t="str">
        <x:v>2014</x:v>
      </x:c>
      <x:c r="G1466" s="9" t="str">
        <x:v>England and Wales Court of Appeal (Civil Division)</x:v>
      </x:c>
      <x:c r="H1466" s="9" t="str">
        <x:v>Appellate</x:v>
      </x:c>
      <x:c r="I1466" s="9" t="str">
        <x:v>England and Wales</x:v>
      </x:c>
      <x:c r="J1466" s="9" t="str">
        <x:v>Administrative Law</x:v>
      </x:c>
      <x:c r="K1466" s="9" t="str">
        <x:v>-ew-cases-EWCA-Civ-2014-1633.xml</x:v>
      </x:c>
      <x:c r="L1466" s="9" t="str">
        <x:v>TBA</x:v>
      </x:c>
    </x:row>
    <x:row r="1467">
      <x:c r="A1467" t="str">
        <x:v>e3b4ce81-0f5b-45c2-8953-1faeadcbc8f4</x:v>
      </x:c>
      <x:c r="B1467" t="str">
        <x:v>7293b75b-3468-48f2-aed2-bd7f9618eb87</x:v>
      </x:c>
      <x:c r="C1467" s="9" t="str">
        <x:v>I (A Child) [2015] EWCA Civ 1159</x:v>
      </x:c>
      <x:c r="D1467" s="9" t="str"/>
      <x:c r="E1467" s="9" t="str"/>
      <x:c r="F1467" s="13" t="str">
        <x:v>2015</x:v>
      </x:c>
      <x:c r="G1467" s="9" t="str">
        <x:v>England and Wales Court of Appeal (Civil Division)</x:v>
      </x:c>
      <x:c r="H1467" s="9" t="str">
        <x:v>Appellate</x:v>
      </x:c>
      <x:c r="I1467" s="9" t="str">
        <x:v>England and Wales</x:v>
      </x:c>
      <x:c r="J1467" s="9" t="str">
        <x:v>Medical Ethics</x:v>
      </x:c>
      <x:c r="K1467" s="9" t="str">
        <x:v>-ew-cases-EWCA-Civ-2015-1159.xml</x:v>
      </x:c>
      <x:c r="L1467" s="9" t="str">
        <x:v>TBA</x:v>
      </x:c>
    </x:row>
    <x:row r="1468">
      <x:c r="A1468" t="str">
        <x:v>1edbe4ae-89c9-4a97-8255-65026a4c0752</x:v>
      </x:c>
      <x:c r="B1468" t="str">
        <x:v>20860e3a-c767-4c53-9c26-4ce59955bf5e</x:v>
      </x:c>
      <x:c r="C1468" s="9" t="str">
        <x:v>I-A (Revocation of Adoption Order) [2021] EWCA Civ 1222</x:v>
      </x:c>
      <x:c r="D1468" s="9" t="str"/>
      <x:c r="E1468" s="9" t="str"/>
      <x:c r="F1468" s="13" t="str">
        <x:v>2021</x:v>
      </x:c>
      <x:c r="G1468" s="9" t="str">
        <x:v>England and Wales Court of Appeal (Civil Division)</x:v>
      </x:c>
      <x:c r="H1468" s="9" t="str">
        <x:v>Appellate</x:v>
      </x:c>
      <x:c r="I1468" s="9" t="str">
        <x:v>England and Wales</x:v>
      </x:c>
      <x:c r="J1468" s="9" t="str">
        <x:v>Family Law</x:v>
      </x:c>
      <x:c r="K1468" s="9" t="str">
        <x:v>ew-cases-EWCA-Civ-2021-1222.xml</x:v>
      </x:c>
      <x:c r="L1468" s="9" t="str">
        <x:v>TBA</x:v>
      </x:c>
    </x:row>
    <x:row r="1469">
      <x:c r="A1469" t="str">
        <x:v>2be818c3-af50-4ac8-b38c-f8cf03405ebf</x:v>
      </x:c>
      <x:c r="B1469" t="str">
        <x:v>ccd92036-7df8-472d-bcd5-53615e8a0476</x:v>
      </x:c>
      <x:c r="C1469" s="9" t="str">
        <x:v>IBM United Kingdom Holdings Ltd &amp; Anor v Dalgleish &amp; Ors [2017] EWCA Civ 1212</x:v>
      </x:c>
      <x:c r="D1469" s="9" t="str"/>
      <x:c r="E1469" s="9" t="str"/>
      <x:c r="F1469" s="13" t="str">
        <x:v>2017</x:v>
      </x:c>
      <x:c r="G1469" s="9" t="str">
        <x:v>England and Wales Court of Appeal (Civil Division)</x:v>
      </x:c>
      <x:c r="H1469" s="9" t="str">
        <x:v>Appellate</x:v>
      </x:c>
      <x:c r="I1469" s="9" t="str">
        <x:v>England and Wales</x:v>
      </x:c>
      <x:c r="J1469" s="9" t="str">
        <x:v>Employment Law</x:v>
      </x:c>
      <x:c r="K1469" s="9" t="str">
        <x:v>-ew-cases-EWCA-Civ-2017-1212.xml</x:v>
      </x:c>
      <x:c r="L1469" s="9" t="str">
        <x:v>TBA</x:v>
      </x:c>
    </x:row>
    <x:row r="1470">
      <x:c r="A1470" t="str">
        <x:v>8b46ad87-1063-474c-902c-ace46dc4f2c2</x:v>
      </x:c>
      <x:c r="B1470" t="str">
        <x:v>d17e7874-bd50-4de3-9f11-ee4a3baed277</x:v>
      </x:c>
      <x:c r="C1470" s="9" t="str">
        <x:v>Iceland Foods Ltd v Berry (Valuation Officer) [2016] EWCA Civ 1150</x:v>
      </x:c>
      <x:c r="D1470" s="9" t="str"/>
      <x:c r="E1470" s="9" t="str"/>
      <x:c r="F1470" s="13" t="str">
        <x:v>2016</x:v>
      </x:c>
      <x:c r="G1470" s="9" t="str">
        <x:v>England and Wales Court of Appeal (Civil Division)</x:v>
      </x:c>
      <x:c r="H1470" s="9" t="str">
        <x:v>Court of Appeal (Civil Division)</x:v>
      </x:c>
      <x:c r="I1470" s="9" t="str">
        <x:v>England and Wales</x:v>
      </x:c>
      <x:c r="J1470" s="9" t="str">
        <x:v>Rating/Valuation</x:v>
      </x:c>
      <x:c r="K1470" s="9" t="str">
        <x:v>-ew-cases-EWCA-Civ-2016-1150.xml</x:v>
      </x:c>
      <x:c r="L1470" s="9" t="str">
        <x:v>TBA</x:v>
      </x:c>
    </x:row>
    <x:row r="1471">
      <x:c r="A1471" t="str">
        <x:v>f28db9a2-1545-4220-9d52-f2d022308287</x:v>
      </x:c>
      <x:c r="B1471" t="str">
        <x:v>f3cc40ca-5ca3-4118-88f3-9892b7e3fa7f</x:v>
      </x:c>
      <x:c r="C1471" s="9" t="str">
        <x:v>ICS Car Srl v Secretary of State for the Home Department [2016] EWCA Civ 394</x:v>
      </x:c>
      <x:c r="D1471" s="9" t="str"/>
      <x:c r="E1471" s="9" t="str"/>
      <x:c r="F1471" s="13" t="str">
        <x:v>2016</x:v>
      </x:c>
      <x:c r="G1471" s="9" t="str">
        <x:v>England and Wales Court of Appeal (Civil Division)</x:v>
      </x:c>
      <x:c r="H1471" s="9" t="str">
        <x:v>Court of Appeal (Civil Division)</x:v>
      </x:c>
      <x:c r="I1471" s="9" t="str">
        <x:v>England and Wales</x:v>
      </x:c>
      <x:c r="J1471" s="9" t="str">
        <x:v>Administrative Law / Immigration Law</x:v>
      </x:c>
      <x:c r="K1471" s="9" t="str">
        <x:v>-ew-cases-EWCA-Civ-2016-394.xml</x:v>
      </x:c>
      <x:c r="L1471" s="9" t="str">
        <x:v>TBA</x:v>
      </x:c>
    </x:row>
    <x:row r="1472">
      <x:c r="A1472" t="str">
        <x:v>2be45995-29c1-45ec-89e2-1747257659f3</x:v>
      </x:c>
      <x:c r="B1472" t="str">
        <x:v>8636d979-e6a8-42f0-9306-008c2fd2ac50</x:v>
      </x:c>
      <x:c r="C1472" s="9" t="str">
        <x:v>Ideal Shopping Direct Limited &amp; Ors v Mastercard Incorporated &amp; Ors [2022] EWCA Civ 14 (13 January 2022)</x:v>
      </x:c>
      <x:c r="D1472" s="9" t="str"/>
      <x:c r="E1472" s="9" t="str"/>
      <x:c r="F1472" s="13" t="str">
        <x:v>2022</x:v>
      </x:c>
      <x:c r="G1472" s="9" t="str">
        <x:v>England and Wales Court of Appeal (Civil Division)</x:v>
      </x:c>
      <x:c r="H1472" s="9" t="str">
        <x:v>Court of Appeal (Civil Division)</x:v>
      </x:c>
      <x:c r="I1472" s="9" t="str">
        <x:v>England and Wales</x:v>
      </x:c>
      <x:c r="J1472" s="9" t="str">
        <x:v>Civil Procedure; Competition Law (Article 101 TFEU)</x:v>
      </x:c>
      <x:c r="K1472" s="9" t="str">
        <x:v>ew-cases-EWCA-Civ-2022-14.xml</x:v>
      </x:c>
      <x:c r="L1472" s="9" t="str">
        <x:v>TBA</x:v>
      </x:c>
    </x:row>
    <x:row r="1473">
      <x:c r="A1473" t="str">
        <x:v>5ae69c98-71fc-48a4-8cf8-48ef126f8921</x:v>
      </x:c>
      <x:c r="B1473" t="str">
        <x:v>1c816bf0-70b4-46bd-9a31-9d036faff956</x:v>
      </x:c>
      <x:c r="C1473" s="9" t="str">
        <x:v>Idenix Pharmaceuticals Inc v Gilead Sciences Inc &amp; Ors [2016] EWCA Civ 1089</x:v>
      </x:c>
      <x:c r="D1473" s="9" t="str"/>
      <x:c r="E1473" s="9" t="str"/>
      <x:c r="F1473" s="13" t="str">
        <x:v>2016</x:v>
      </x:c>
      <x:c r="G1473" s="9" t="str">
        <x:v>England and Wales Court of Appeal (Civil Division)</x:v>
      </x:c>
      <x:c r="H1473" s="9" t="str">
        <x:v>Court of Appeal (Civil Division)</x:v>
      </x:c>
      <x:c r="I1473" s="9" t="str">
        <x:v>England and Wales</x:v>
      </x:c>
      <x:c r="J1473" s="9" t="str">
        <x:v>Patent Law</x:v>
      </x:c>
      <x:c r="K1473" s="9" t="str">
        <x:v>-ew-cases-EWCA-Civ-2016-1089.xml</x:v>
      </x:c>
      <x:c r="L1473" s="9" t="str">
        <x:v>TBA</x:v>
      </x:c>
    </x:row>
    <x:row r="1474">
      <x:c r="A1474" t="str">
        <x:v>0568ca3f-18b8-46bd-a26e-bbcfe7f4dc7f</x:v>
      </x:c>
      <x:c r="B1474" t="str">
        <x:v>80701211-fe03-4dc0-972a-b2e5467876b9</x:v>
      </x:c>
      <x:c r="C1474" s="9" t="str">
        <x:v>Idira, R (On the Application Of) v The Secretary of State for the Home Department (Rev 1) [2015] EWCA Civ 1187</x:v>
      </x:c>
      <x:c r="D1474" s="9" t="str"/>
      <x:c r="E1474" s="9" t="str"/>
      <x:c r="F1474" s="13" t="str">
        <x:v>2015</x:v>
      </x:c>
      <x:c r="G1474" s="9" t="str">
        <x:v>England and Wales Court of Appeal (Civil Division)</x:v>
      </x:c>
      <x:c r="H1474" s="9" t="str">
        <x:v>Appellate</x:v>
      </x:c>
      <x:c r="I1474" s="9" t="str">
        <x:v>England and Wales</x:v>
      </x:c>
      <x:c r="J1474" s="9" t="str">
        <x:v>Human Rights</x:v>
      </x:c>
      <x:c r="K1474" s="9" t="str">
        <x:v>-ew-cases-EWCA-Civ-2015-1187.xml</x:v>
      </x:c>
      <x:c r="L1474" s="9" t="str">
        <x:v>TBA</x:v>
      </x:c>
    </x:row>
    <x:row r="1475">
      <x:c r="A1475" t="str">
        <x:v>9b35805b-f5a1-4d94-8142-a4c004a8e6c5</x:v>
      </x:c>
      <x:c r="B1475" t="str">
        <x:v>ea182694-544d-4368-91f2-42d18c1a4ddd</x:v>
      </x:c>
      <x:c r="C1475" s="9" t="str">
        <x:v>Ifejika v Ifejika [2015] EWCA Civ 873</x:v>
      </x:c>
      <x:c r="D1475" s="9" t="str"/>
      <x:c r="E1475" s="9" t="str"/>
      <x:c r="F1475" s="13" t="str">
        <x:v>2015</x:v>
      </x:c>
      <x:c r="G1475" s="9" t="str">
        <x:v>England and Wales Court of Appeal (Civil Division)</x:v>
      </x:c>
      <x:c r="H1475" s="9" t="str">
        <x:v>Appellate</x:v>
      </x:c>
      <x:c r="I1475" s="9" t="str">
        <x:v>England and Wales</x:v>
      </x:c>
      <x:c r="J1475" s="9" t="str">
        <x:v>Intellectual Property</x:v>
      </x:c>
      <x:c r="K1475" s="9" t="str">
        <x:v>-ew-cases-EWCA-Civ-2015-873.xml</x:v>
      </x:c>
      <x:c r="L1475" s="9" t="str">
        <x:v>TBA</x:v>
      </x:c>
    </x:row>
    <x:row r="1476">
      <x:c r="A1476" t="str">
        <x:v>0b0d00af-224b-41a0-ac26-29431255077b</x:v>
      </x:c>
      <x:c r="B1476" t="str">
        <x:v>f2e312b7-9979-4341-a687-c55ade7d7fac</x:v>
      </x:c>
      <x:c r="C1476" s="9" t="str">
        <x:v>IFX Investment Company Ltd and Ors v Revenue and Customs [2016] EWCA Civ 436</x:v>
      </x:c>
      <x:c r="D1476" s="9" t="str"/>
      <x:c r="E1476" s="9" t="str"/>
      <x:c r="F1476" s="13" t="str">
        <x:v>2016</x:v>
      </x:c>
      <x:c r="G1476" s="9" t="str">
        <x:v>England and Wales Court of Appeal (Civil Division)</x:v>
      </x:c>
      <x:c r="H1476" s="9" t="str">
        <x:v>Court of Appeal (Civil Division)</x:v>
      </x:c>
      <x:c r="I1476" s="9" t="str">
        <x:v>England and Wales</x:v>
      </x:c>
      <x:c r="J1476" s="9" t="str">
        <x:v>Tax Law; Gaming Law; Administrative Law</x:v>
      </x:c>
      <x:c r="K1476" s="9" t="str">
        <x:v>-ew-cases-EWCA-Civ-2016-436.xml</x:v>
      </x:c>
      <x:c r="L1476" s="9" t="str">
        <x:v>TBA</x:v>
      </x:c>
    </x:row>
    <x:row r="1477">
      <x:c r="A1477" t="str">
        <x:v>913cc237-ad8f-4db0-bf21-b1f28abe2ac3</x:v>
      </x:c>
      <x:c r="B1477" t="str">
        <x:v>f48af02a-b8d2-4c72-81d4-5e495883d9cb</x:v>
      </x:c>
      <x:c r="C1477" s="9" t="str">
        <x:v>IG (Child Abduction Habitual Residence Article 13b) [2021] EWCA Civ 1123</x:v>
      </x:c>
      <x:c r="D1477" s="9" t="str"/>
      <x:c r="E1477" s="9" t="str"/>
      <x:c r="F1477" s="13" t="str">
        <x:v>2021</x:v>
      </x:c>
      <x:c r="G1477" s="9" t="str">
        <x:v>England and Wales Court of Appeal (Civil Division)</x:v>
      </x:c>
      <x:c r="H1477" s="9" t="str">
        <x:v>Appellate</x:v>
      </x:c>
      <x:c r="I1477" s="9" t="str">
        <x:v>England and Wales</x:v>
      </x:c>
      <x:c r="J1477" s="9" t="str">
        <x:v>Family Law</x:v>
      </x:c>
      <x:c r="K1477" s="9" t="str">
        <x:v>ew-cases-EWCA-Civ-2021-1123.xml</x:v>
      </x:c>
      <x:c r="L1477" s="9" t="str">
        <x:v>TBA</x:v>
      </x:c>
    </x:row>
    <x:row r="1478">
      <x:c r="A1478" t="str">
        <x:v>c650d85e-1a43-40b6-85bd-edcd9c4f6d7e</x:v>
      </x:c>
      <x:c r="B1478" t="str">
        <x:v>305348c5-820a-4f29-8024-55b80471b515</x:v>
      </x:c>
      <x:c r="C1478" s="9" t="str">
        <x:v>IG Index Ltd v Cloete [2014] EWCA Civ 1128</x:v>
      </x:c>
      <x:c r="D1478" s="9" t="str"/>
      <x:c r="E1478" s="9" t="str"/>
      <x:c r="F1478" s="13" t="str">
        <x:v>2014</x:v>
      </x:c>
      <x:c r="G1478" s="9" t="str">
        <x:v>England and Wales Court of Appeal (Civil Division)</x:v>
      </x:c>
      <x:c r="H1478" s="9" t="str">
        <x:v>Appellate</x:v>
      </x:c>
      <x:c r="I1478" s="9" t="str">
        <x:v>England and Wales</x:v>
      </x:c>
      <x:c r="J1478" s="9" t="str">
        <x:v>Employment Law</x:v>
      </x:c>
      <x:c r="K1478" s="9" t="str">
        <x:v>-ew-cases-EWCA-Civ-2014-1128.xml</x:v>
      </x:c>
      <x:c r="L1478" s="9" t="str">
        <x:v>TBA</x:v>
      </x:c>
    </x:row>
    <x:row r="1479">
      <x:c r="A1479" t="str">
        <x:v>22ea1496-d341-4d09-ab82-26ee8e5fe1ec</x:v>
      </x:c>
      <x:c r="B1479" t="str">
        <x:v>544deed6-b377-4f15-af1a-d13ec3026c3f</x:v>
      </x:c>
      <x:c r="C1479" s="9" t="str">
        <x:v>IGE USA Investments Ltd &amp; Ors v Revenue And Customs</x:v>
      </x:c>
      <x:c r="D1479" s="9" t="str"/>
      <x:c r="E1479" s="9" t="str"/>
      <x:c r="F1479" s="13" t="str">
        <x:v>2021</x:v>
      </x:c>
      <x:c r="G1479" s="9" t="str">
        <x:v>England and Wales Court of Appeal (Civil Division)</x:v>
      </x:c>
      <x:c r="H1479" s="9" t="str">
        <x:v>Appellate Court</x:v>
      </x:c>
      <x:c r="I1479" s="9" t="str">
        <x:v>England and Wales</x:v>
      </x:c>
      <x:c r="J1479" s="9" t="str">
        <x:v>Civil Appeal</x:v>
      </x:c>
      <x:c r="K1479" s="9" t="str">
        <x:v>ew-cases-EWCA-Civ-2021-534.xml</x:v>
      </x:c>
      <x:c r="L1479" s="9" t="str">
        <x:v>TBA</x:v>
      </x:c>
    </x:row>
    <x:row r="1480">
      <x:c r="A1480" t="str">
        <x:v>e28603ee-2406-46e6-a12a-2bc0ca76998b</x:v>
      </x:c>
      <x:c r="B1480" t="str">
        <x:v>40a2a5db-26ba-41ea-b03a-5cc162e0d336</x:v>
      </x:c>
      <x:c r="C1480" s="9" t="str">
        <x:v>Ijomanta v Solicitors Regulation Authority [2015] EWCA Civ 793</x:v>
      </x:c>
      <x:c r="D1480" s="9" t="str"/>
      <x:c r="E1480" s="9" t="str"/>
      <x:c r="F1480" s="13" t="str">
        <x:v>2015</x:v>
      </x:c>
      <x:c r="G1480" s="9" t="str">
        <x:v>England and Wales Court of Appeal (Civil Division)</x:v>
      </x:c>
      <x:c r="H1480" s="9" t="str">
        <x:v>Appellate</x:v>
      </x:c>
      <x:c r="I1480" s="9" t="str">
        <x:v>England and Wales</x:v>
      </x:c>
      <x:c r="J1480" s="9" t="str">
        <x:v>Disciplinary Action in Legal Profession</x:v>
      </x:c>
      <x:c r="K1480" s="9" t="str">
        <x:v>-ew-cases-EWCA-Civ-2015-793.xml</x:v>
      </x:c>
      <x:c r="L1480" s="9" t="str">
        <x:v>TBA</x:v>
      </x:c>
    </x:row>
    <x:row r="1481">
      <x:c r="A1481" t="str">
        <x:v>5665efb4-5b59-4d2b-add5-9e2646447901</x:v>
      </x:c>
      <x:c r="B1481" t="str">
        <x:v>9af85024-86fc-435c-8b66-5467017abe29</x:v>
      </x:c>
      <x:c r="C1481" s="9" t="str">
        <x:v>Ikram v Secretary of State for Housing, Communities And Local Government &amp; Ors [2021] EWCA Civ 2</x:v>
      </x:c>
      <x:c r="D1481" s="9" t="str"/>
      <x:c r="E1481" s="9" t="str"/>
      <x:c r="F1481" s="13" t="str">
        <x:v>2021</x:v>
      </x:c>
      <x:c r="G1481" s="9" t="str">
        <x:v>England and Wales Court of Appeal (Civil Division)</x:v>
      </x:c>
      <x:c r="H1481" s="9" t="str">
        <x:v>Appellate</x:v>
      </x:c>
      <x:c r="I1481" s="9" t="str">
        <x:v>England and Wales</x:v>
      </x:c>
      <x:c r="J1481" s="9" t="str">
        <x:v>Administrative Law</x:v>
      </x:c>
      <x:c r="K1481" s="9" t="str">
        <x:v>ew-cases-EWCA-Civ-2021-2.xml</x:v>
      </x:c>
      <x:c r="L1481" s="9" t="str">
        <x:v>TBA</x:v>
      </x:c>
    </x:row>
    <x:row r="1482">
      <x:c r="A1482" t="str">
        <x:v>337631c9-9769-4ecf-9551-405bd28fde65</x:v>
      </x:c>
      <x:c r="B1482" t="str">
        <x:v>0a33bca8-4f5d-497f-b492-4be838d483c2</x:v>
      </x:c>
      <x:c r="C1482" s="9" t="str">
        <x:v>Ikuga, R (on the application of) v Secretary of State for the Home Department</x:v>
      </x:c>
      <x:c r="D1482" s="9" t="str"/>
      <x:c r="E1482" s="9" t="str"/>
      <x:c r="F1482" s="13" t="str">
        <x:v>2015</x:v>
      </x:c>
      <x:c r="G1482" s="9" t="str">
        <x:v>England and Wales Court of Appeal (Civil Division)</x:v>
      </x:c>
      <x:c r="H1482" s="9" t="str">
        <x:v>Appellate</x:v>
      </x:c>
      <x:c r="I1482" s="9" t="str">
        <x:v>England and Wales</x:v>
      </x:c>
      <x:c r="J1482" s="9" t="str">
        <x:v>Immigration Law</x:v>
      </x:c>
      <x:c r="K1482" s="9" t="str">
        <x:v>-ew-cases-EWCA-Civ-2015-527.xml</x:v>
      </x:c>
      <x:c r="L1482" s="9" t="str">
        <x:v>TBA</x:v>
      </x:c>
    </x:row>
    <x:row r="1483">
      <x:c r="A1483" t="str">
        <x:v>4317ddeb-82c2-463c-a760-a392d858c4d5</x:v>
      </x:c>
      <x:c r="B1483" t="str">
        <x:v>dcdaa77b-e6ee-4af5-b39c-1dc5161c0750</x:v>
      </x:c>
      <x:c r="C1483" s="9" t="str">
        <x:v>Iliffe &amp; Anor v Feltham Construction Ltd &amp; Ors [2015] EWCA Civ 715</x:v>
      </x:c>
      <x:c r="D1483" s="9" t="str"/>
      <x:c r="E1483" s="9" t="str"/>
      <x:c r="F1483" s="13" t="str">
        <x:v>2015</x:v>
      </x:c>
      <x:c r="G1483" s="9" t="str">
        <x:v>England and Wales Court of Appeal (Civil Division)</x:v>
      </x:c>
      <x:c r="H1483" s="9" t="str">
        <x:v>Appellate</x:v>
      </x:c>
      <x:c r="I1483" s="9" t="str">
        <x:v>England and Wales</x:v>
      </x:c>
      <x:c r="J1483" s="9" t="str">
        <x:v>Contract Dispute</x:v>
      </x:c>
      <x:c r="K1483" s="9" t="str">
        <x:v>-ew-cases-EWCA-Civ-2015-715.xml</x:v>
      </x:c>
      <x:c r="L1483" s="9" t="str">
        <x:v>TBA</x:v>
      </x:c>
    </x:row>
    <x:row r="1484">
      <x:c r="A1484" t="str">
        <x:v>2a9dfa17-313f-42e8-980f-0e3e24efee38</x:v>
      </x:c>
      <x:c r="B1484" t="str">
        <x:v>0859e742-cad5-4257-abee-e85f2a520086</x:v>
      </x:c>
      <x:c r="C1484" s="9" t="str">
        <x:v>Ilkerler Otomotiv &amp; Anor v Perkins Engines Company Ltd</x:v>
      </x:c>
      <x:c r="D1484" s="9" t="str"/>
      <x:c r="E1484" s="9" t="str"/>
      <x:c r="F1484" s="13" t="str">
        <x:v>2017</x:v>
      </x:c>
      <x:c r="G1484" s="9" t="str">
        <x:v>England and Wales Court of Appeal (Civil Division)</x:v>
      </x:c>
      <x:c r="H1484" s="9" t="str">
        <x:v>Appellate</x:v>
      </x:c>
      <x:c r="I1484" s="9" t="str">
        <x:v>England and Wales</x:v>
      </x:c>
      <x:c r="J1484" s="9" t="str">
        <x:v>Contract Dispute</x:v>
      </x:c>
      <x:c r="K1484" s="9" t="str">
        <x:v>-ew-cases-EWCA-Civ-2017-183.xml</x:v>
      </x:c>
      <x:c r="L1484" s="9" t="str">
        <x:v>TBA</x:v>
      </x:c>
    </x:row>
    <x:row r="1485">
      <x:c r="A1485" t="str">
        <x:v>7cf718c7-5c9b-4635-9d81-7fe12a239ad5</x:v>
      </x:c>
      <x:c r="B1485" t="str">
        <x:v>627782a5-874e-4138-8c16-21b0a1b8d68e</x:v>
      </x:c>
      <x:c r="C1485" s="9" t="str">
        <x:v>Illumina Cambridge Ltd v Latvia MGI Tech SIA &amp; Ors [2021] EWCA Civ 1924</x:v>
      </x:c>
      <x:c r="D1485" s="9" t="str"/>
      <x:c r="E1485" s="9" t="str"/>
      <x:c r="F1485" s="13" t="str">
        <x:v>2021</x:v>
      </x:c>
      <x:c r="G1485" s="9" t="str">
        <x:v>England and Wales Court of Appeal (Civil Division)</x:v>
      </x:c>
      <x:c r="H1485" s="9" t="str">
        <x:v>Appellate</x:v>
      </x:c>
      <x:c r="I1485" s="9" t="str">
        <x:v>England and Wales</x:v>
      </x:c>
      <x:c r="J1485" s="9" t="str">
        <x:v>Intellectual Property</x:v>
      </x:c>
      <x:c r="K1485" s="9" t="str">
        <x:v>ew-cases-EWCA-Civ-2021-1924.xml</x:v>
      </x:c>
      <x:c r="L1485" s="9" t="str">
        <x:v>TBA</x:v>
      </x:c>
    </x:row>
    <x:row r="1486">
      <x:c r="A1486" t="str">
        <x:v>9920bd44-792f-460f-ae08-6f3be838070b</x:v>
      </x:c>
      <x:c r="B1486" t="str">
        <x:v>699810e4-2b71-409c-9b7a-99c1d7cee191</x:v>
      </x:c>
      <x:c r="C1486" s="9" t="str">
        <x:v>Ilott v Mitson: Maintenance under the Inheritance Act</x:v>
      </x:c>
      <x:c r="D1486" s="9" t="str"/>
      <x:c r="E1486" s="9" t="str"/>
      <x:c r="F1486" s="13" t="str">
        <x:v>2015</x:v>
      </x:c>
      <x:c r="G1486" s="9" t="str">
        <x:v>England and Wales Court of Appeal (Civil Division)</x:v>
      </x:c>
      <x:c r="H1486" s="9" t="str">
        <x:v>appellate</x:v>
      </x:c>
      <x:c r="I1486" s="9" t="str">
        <x:v>England and Wales</x:v>
      </x:c>
      <x:c r="J1486" s="9" t="str">
        <x:v>Inheritance</x:v>
      </x:c>
      <x:c r="K1486" s="9" t="str">
        <x:v>-ew-cases-EWCA-Civ-2015-797.xml</x:v>
      </x:c>
      <x:c r="L1486" s="9" t="str">
        <x:v>TBA</x:v>
      </x:c>
    </x:row>
    <x:row r="1487">
      <x:c r="A1487" t="str">
        <x:v>60badb4d-fc22-45af-b2d8-6a22ba1c1282</x:v>
      </x:c>
      <x:c r="B1487" t="str">
        <x:v>a5cf78ed-5d7e-44f8-8f78-9adbfb26c0b7</x:v>
      </x:c>
      <x:c r="C1487" s="9" t="str">
        <x:v>IM Properties Development Ltd v Lichfield District Council [2016] EWCA Civ 257</x:v>
      </x:c>
      <x:c r="D1487" s="9" t="str"/>
      <x:c r="E1487" s="9" t="str"/>
      <x:c r="F1487" s="13" t="str">
        <x:v>2016</x:v>
      </x:c>
      <x:c r="G1487" s="9" t="str">
        <x:v>England and Wales Court of Appeal (Civil Division)</x:v>
      </x:c>
      <x:c r="H1487" s="9" t="str">
        <x:v>Court of Appeal (Civil Division)</x:v>
      </x:c>
      <x:c r="I1487" s="9" t="str">
        <x:v>England and Wales</x:v>
      </x:c>
      <x:c r="J1487" s="9" t="str">
        <x:v>Planning and Development; Administrative Law (Judicial Review)</x:v>
      </x:c>
      <x:c r="K1487" s="9" t="str">
        <x:v>-ew-cases-EWCA-Civ-2016-257.xml</x:v>
      </x:c>
      <x:c r="L1487" s="9" t="str">
        <x:v>TBA</x:v>
      </x:c>
    </x:row>
    <x:row r="1488">
      <x:c r="A1488" t="str">
        <x:v>c9eacaad-a8b1-4ae5-862c-390196c7673b</x:v>
      </x:c>
      <x:c r="B1488" t="str">
        <x:v>617372ba-d3e3-4dce-930b-cb3d2e6b7765</x:v>
      </x:c>
      <x:c r="C1488" s="9" t="str">
        <x:v>IM v LM &amp; Ors [2014] EWCA Civ 37</x:v>
      </x:c>
      <x:c r="D1488" s="9" t="str"/>
      <x:c r="E1488" s="9" t="str"/>
      <x:c r="F1488" s="13" t="str">
        <x:v>2014</x:v>
      </x:c>
      <x:c r="G1488" s="9" t="str">
        <x:v>England and Wales Court of Appeal (Civil Division)</x:v>
      </x:c>
      <x:c r="H1488" s="9" t="str">
        <x:v>Appellate</x:v>
      </x:c>
      <x:c r="I1488" s="9" t="str">
        <x:v>England and Wales</x:v>
      </x:c>
      <x:c r="J1488" s="9" t="str">
        <x:v>Mental Capacity Law</x:v>
      </x:c>
      <x:c r="K1488" s="9" t="str">
        <x:v>-ew-cases-EWCA-Civ-2014-37.xml</x:v>
      </x:c>
      <x:c r="L1488" s="9" t="str">
        <x:v>TBA</x:v>
      </x:c>
    </x:row>
    <x:row r="1489">
      <x:c r="A1489" t="str">
        <x:v>d5bd3edc-0585-4991-ae2b-a4dd8bb55192</x:v>
      </x:c>
      <x:c r="B1489" t="str">
        <x:v>cf92c26b-4638-4b9d-a282-19d139ef78f3</x:v>
      </x:c>
      <x:c r="C1489" s="9" t="str">
        <x:v>Impact Funding Solutions Ltd v Barrington Support Services Ltd &amp; Anor [2015] EWCA Civ 31</x:v>
      </x:c>
      <x:c r="D1489" s="9" t="str"/>
      <x:c r="E1489" s="9" t="str"/>
      <x:c r="F1489" s="13" t="str">
        <x:v>2015</x:v>
      </x:c>
      <x:c r="G1489" s="9" t="str">
        <x:v>England and Wales Court of Appeal (Civil Division)</x:v>
      </x:c>
      <x:c r="H1489" s="9" t="str">
        <x:v>Appellate</x:v>
      </x:c>
      <x:c r="I1489" s="9" t="str">
        <x:v>England and Wales</x:v>
      </x:c>
      <x:c r="J1489" s="9" t="str">
        <x:v>Insurance Liability</x:v>
      </x:c>
      <x:c r="K1489" s="9" t="str">
        <x:v>-ew-cases-EWCA-Civ-2015-31.xml</x:v>
      </x:c>
      <x:c r="L1489" s="9" t="str">
        <x:v>TBA</x:v>
      </x:c>
    </x:row>
    <x:row r="1490">
      <x:c r="A1490" t="str">
        <x:v>61af7dc3-7f0b-4b77-bbcb-c03e1cae9f7e</x:v>
      </x:c>
      <x:c r="B1490" t="str">
        <x:v>c59ce0a6-7f14-4e8e-a27c-7b481898abd1</x:v>
      </x:c>
      <x:c r="C1490" s="9" t="str">
        <x:v>In the Matter of JA (A Minor) and the NHS Trust &amp; Local Authority Applications</x:v>
      </x:c>
      <x:c r="D1490" s="9" t="str"/>
      <x:c r="E1490" s="9" t="str"/>
      <x:c r="F1490" s="13" t="str">
        <x:v>2014</x:v>
      </x:c>
      <x:c r="G1490" s="9" t="str">
        <x:v>England and Wales Court of Appeal (Civil Division)</x:v>
      </x:c>
      <x:c r="H1490" s="9" t="str">
        <x:v>Appellate</x:v>
      </x:c>
      <x:c r="I1490" s="9" t="str">
        <x:v>England and Wales</x:v>
      </x:c>
      <x:c r="J1490" s="9" t="str">
        <x:v>Family Law</x:v>
      </x:c>
      <x:c r="K1490" s="9" t="str">
        <x:v>-ew-cases-EWCA-Civ-2014-1135.xml</x:v>
      </x:c>
      <x:c r="L1490" s="9" t="str">
        <x:v>TBA</x:v>
      </x:c>
    </x:row>
    <x:row r="1491">
      <x:c r="A1491" t="str">
        <x:v>ebd9288f-d5a5-43d8-bfd2-82efc690328b</x:v>
      </x:c>
      <x:c r="B1491" t="str">
        <x:v>a9df4e50-061b-452e-833f-94a56f00856d</x:v>
      </x:c>
      <x:c r="C1491" s="9" t="str">
        <x:v>In the Matter of S (A Child) [2017] EWCA Civ 2695</x:v>
      </x:c>
      <x:c r="D1491" s="9" t="str"/>
      <x:c r="E1491" s="9" t="str"/>
      <x:c r="F1491" s="13" t="str">
        <x:v>2017</x:v>
      </x:c>
      <x:c r="G1491" s="9" t="str">
        <x:v>England and Wales Court of Appeal (Civil Division)</x:v>
      </x:c>
      <x:c r="H1491" s="9" t="str">
        <x:v>Appellate</x:v>
      </x:c>
      <x:c r="I1491" s="9" t="str">
        <x:v>England and Wales</x:v>
      </x:c>
      <x:c r="J1491" s="9" t="str">
        <x:v>Family Law</x:v>
      </x:c>
      <x:c r="K1491" s="9" t="str">
        <x:v>-ew-cases-EWCA-Civ-2017-2695.xml</x:v>
      </x:c>
      <x:c r="L1491" s="9" t="str">
        <x:v>TBA</x:v>
      </x:c>
    </x:row>
    <x:row r="1492">
      <x:c r="A1492" t="str">
        <x:v>075eb568-77fa-439d-ae56-10c155be507c</x:v>
      </x:c>
      <x:c r="B1492" t="str">
        <x:v>29213179-c6d4-4710-8a7c-ec3fb0ba2ec4</x:v>
      </x:c>
      <x:c r="C1492" s="9" t="str">
        <x:v>Independent Workers Union of Great Britain v Secretary of State for Business, Energy and Industrial Strategy</x:v>
      </x:c>
      <x:c r="D1492" s="9" t="str"/>
      <x:c r="E1492" s="9" t="str"/>
      <x:c r="F1492" s="13" t="str">
        <x:v>2021</x:v>
      </x:c>
      <x:c r="G1492" s="9" t="str">
        <x:v>England and Wales Court of Appeal (Civil Division)</x:v>
      </x:c>
      <x:c r="H1492" s="9" t="str">
        <x:v>Appellate</x:v>
      </x:c>
      <x:c r="I1492" s="9" t="str">
        <x:v>England and Wales</x:v>
      </x:c>
      <x:c r="J1492" s="9" t="str">
        <x:v>Administrative Law</x:v>
      </x:c>
      <x:c r="K1492" s="9" t="str">
        <x:v>ew-cases-EWCA-Civ-2021-260.xml</x:v>
      </x:c>
      <x:c r="L1492" s="9" t="str">
        <x:v>TBA</x:v>
      </x:c>
    </x:row>
    <x:row r="1493">
      <x:c r="A1493" t="str">
        <x:v>a1ab05e4-66d0-4b99-9b52-aa953002a635</x:v>
      </x:c>
      <x:c r="B1493" t="str">
        <x:v>6c68b5f0-2c65-42df-ad0e-49130f1fb887</x:v>
      </x:c>
      <x:c r="C1493" s="9" t="str">
        <x:v>Infinis Energy Holdings Ltd v HM Treasury &amp; Anor</x:v>
      </x:c>
      <x:c r="D1493" s="9" t="str"/>
      <x:c r="E1493" s="9" t="str"/>
      <x:c r="F1493" s="13" t="str">
        <x:v>2016</x:v>
      </x:c>
      <x:c r="G1493" s="9" t="str">
        <x:v>England and Wales Court of Appeal (Civil Division)</x:v>
      </x:c>
      <x:c r="H1493" s="9" t="str">
        <x:v>Court of Appeal (Civil Division)</x:v>
      </x:c>
      <x:c r="I1493" s="9" t="str">
        <x:v>England and Wales</x:v>
      </x:c>
      <x:c r="J1493" s="9" t="str">
        <x:v>Judicial Review</x:v>
      </x:c>
      <x:c r="K1493" s="9" t="str">
        <x:v>-ew-cases-EWCA-Civ-2016-1030.xml</x:v>
      </x:c>
      <x:c r="L1493" s="9" t="str">
        <x:v>TBA</x:v>
      </x:c>
    </x:row>
    <x:row r="1494">
      <x:c r="A1494" t="str">
        <x:v>a767e788-d95a-42fb-8da6-f587aebec9c0</x:v>
      </x:c>
      <x:c r="B1494" t="str">
        <x:v>5c36f85a-9b94-48b9-a52c-d40e022edffa</x:v>
      </x:c>
      <x:c r="C1494" s="9" t="str">
        <x:v>Infinity Distribution Ltd v The Khan Partnership LLP</x:v>
      </x:c>
      <x:c r="D1494" s="9" t="str"/>
      <x:c r="E1494" s="9" t="str"/>
      <x:c r="F1494" s="13" t="str">
        <x:v>2021</x:v>
      </x:c>
      <x:c r="G1494" s="9" t="str">
        <x:v>England and Wales Court of Appeal (Civil Division)</x:v>
      </x:c>
      <x:c r="H1494" s="9" t="str">
        <x:v>Appellate</x:v>
      </x:c>
      <x:c r="I1494" s="9" t="str">
        <x:v>England and Wales</x:v>
      </x:c>
      <x:c r="J1494" s="9" t="str">
        <x:v>Civil Procedure</x:v>
      </x:c>
      <x:c r="K1494" s="9" t="str">
        <x:v>ew-cases-EWCA-Civ-2021-565.xml</x:v>
      </x:c>
      <x:c r="L1494" s="9" t="str">
        <x:v>TBA</x:v>
      </x:c>
    </x:row>
    <x:row r="1495">
      <x:c r="A1495" t="str">
        <x:v>01a2fe31-6171-404d-bd50-f1b1c75fbec0</x:v>
      </x:c>
      <x:c r="B1495" t="str">
        <x:v>38eac6a9-6018-40fe-9d73-ab111162e65d</x:v>
      </x:c>
      <x:c r="C1495" s="9" t="str">
        <x:v>ING Intermediate Holdings Ltd v HM Revenue and Customs [2017] EWCA Civ 2111</x:v>
      </x:c>
      <x:c r="D1495" s="9" t="str"/>
      <x:c r="E1495" s="9" t="str"/>
      <x:c r="F1495" s="13" t="str">
        <x:v>2017</x:v>
      </x:c>
      <x:c r="G1495" s="9" t="str">
        <x:v>England and Wales Court of Appeal (Civil Division)</x:v>
      </x:c>
      <x:c r="H1495" s="9" t="str">
        <x:v>Appellate</x:v>
      </x:c>
      <x:c r="I1495" s="9" t="str">
        <x:v>England and Wales</x:v>
      </x:c>
      <x:c r="J1495" s="9" t="str">
        <x:v>Tax Law</x:v>
      </x:c>
      <x:c r="K1495" s="9" t="str">
        <x:v>-ew-cases-EWCA-Civ-2017-2111.xml</x:v>
      </x:c>
      <x:c r="L1495" s="9" t="str">
        <x:v>TBA</x:v>
      </x:c>
    </x:row>
    <x:row r="1496">
      <x:c r="A1496" t="str">
        <x:v>34820f66-e937-475c-85ce-db953a27512d</x:v>
      </x:c>
      <x:c r="B1496" t="str">
        <x:v>8f497769-644c-4d37-8d5b-3533bd7edb8b</x:v>
      </x:c>
      <x:c r="C1496" s="9" t="str">
        <x:v>Ingenious Games LLP &amp; Ors v Commissioners for HMRC [2022] EWCA Civ 1015</x:v>
      </x:c>
      <x:c r="D1496" s="9" t="str"/>
      <x:c r="E1496" s="9" t="str"/>
      <x:c r="F1496" s="13" t="str">
        <x:v>2022</x:v>
      </x:c>
      <x:c r="G1496" s="9" t="str">
        <x:v>England and Wales Court of Appeal (Civil Division)</x:v>
      </x:c>
      <x:c r="H1496" s="9" t="str">
        <x:v>Court of Appeal (Civil Division)</x:v>
      </x:c>
      <x:c r="I1496" s="9" t="str">
        <x:v>England and Wales</x:v>
      </x:c>
      <x:c r="J1496" s="9" t="str">
        <x:v>Civil Procedure / Appellate Practice</x:v>
      </x:c>
      <x:c r="K1496" s="9" t="str">
        <x:v>ew-cases-EWCA-Civ-2022-1015.xml</x:v>
      </x:c>
      <x:c r="L1496" s="9" t="str">
        <x:v>TBA</x:v>
      </x:c>
    </x:row>
    <x:row r="1497">
      <x:c r="A1497" t="str">
        <x:v>805a5198-ba51-462e-9a0d-55f0b0079b8c</x:v>
      </x:c>
      <x:c r="B1497" t="str">
        <x:v>2b10b904-683e-435c-a43a-eb782c7ab665</x:v>
      </x:c>
      <x:c r="C1497" s="9" t="str">
        <x:v>Ingenious Games LLP &amp; Ors v Revenue And Customs [2021] EWCA Civ 1180</x:v>
      </x:c>
      <x:c r="D1497" s="9" t="str"/>
      <x:c r="E1497" s="9" t="str"/>
      <x:c r="F1497" s="13" t="str">
        <x:v>2021</x:v>
      </x:c>
      <x:c r="G1497" s="9" t="str">
        <x:v>England and Wales Court of Appeal (Civil Division)</x:v>
      </x:c>
      <x:c r="H1497" s="9" t="str">
        <x:v>Appellate</x:v>
      </x:c>
      <x:c r="I1497" s="9" t="str">
        <x:v>England and Wales</x:v>
      </x:c>
      <x:c r="J1497" s="9" t="str">
        <x:v>Tax Law</x:v>
      </x:c>
      <x:c r="K1497" s="9" t="str">
        <x:v>ew-cases-EWCA-Civ-2021-1180.xml</x:v>
      </x:c>
      <x:c r="L1497" s="9" t="str">
        <x:v>TBA</x:v>
      </x:c>
    </x:row>
    <x:row r="1498">
      <x:c r="A1498" t="str">
        <x:v>19ad166f-05ae-4740-89a7-239a928bc39e</x:v>
      </x:c>
      <x:c r="B1498" t="str">
        <x:v>a9e89064-bb95-4b28-96a3-dff95c40e57b</x:v>
      </x:c>
      <x:c r="C1498" s="9" t="str">
        <x:v>Ingenious Media Holdings Plc &amp; Anor v HM Revenue &amp; Customs</x:v>
      </x:c>
      <x:c r="D1498" s="9" t="str"/>
      <x:c r="E1498" s="9" t="str"/>
      <x:c r="F1498" s="13" t="str">
        <x:v>2015</x:v>
      </x:c>
      <x:c r="G1498" s="9" t="str">
        <x:v>England and Wales Court of Appeal (Civil Division)</x:v>
      </x:c>
      <x:c r="H1498" s="9" t="str">
        <x:v>Appellate</x:v>
      </x:c>
      <x:c r="I1498" s="9" t="str">
        <x:v>England and Wales</x:v>
      </x:c>
      <x:c r="J1498" s="9" t="str">
        <x:v>Judicial Review</x:v>
      </x:c>
      <x:c r="K1498" s="9" t="str">
        <x:v>-ew-cases-EWCA-Civ-2015-173.xml</x:v>
      </x:c>
      <x:c r="L1498" s="9" t="str">
        <x:v>TBA</x:v>
      </x:c>
    </x:row>
    <x:row r="1499">
      <x:c r="A1499" t="str">
        <x:v>ab4f4217-2e0c-4554-835b-2bcf9449dbf0</x:v>
      </x:c>
      <x:c r="B1499" t="str">
        <x:v>abb3abd3-a4b2-4d42-adc3-110706af9c6d</x:v>
      </x:c>
      <x:c r="C1499" s="9" t="str">
        <x:v>Inland Revenue &amp; Anor v Test Claimants In the Franked Investment Income Group Litigation [2014] EWCA Civ 1214</x:v>
      </x:c>
      <x:c r="D1499" s="9" t="str"/>
      <x:c r="E1499" s="9" t="str"/>
      <x:c r="F1499" s="13" t="str">
        <x:v>2014</x:v>
      </x:c>
      <x:c r="G1499" s="9" t="str">
        <x:v>England and Wales Court of Appeal (Civil Division)</x:v>
      </x:c>
      <x:c r="H1499" s="9" t="str">
        <x:v>Appellate</x:v>
      </x:c>
      <x:c r="I1499" s="9" t="str">
        <x:v>England and Wales</x:v>
      </x:c>
      <x:c r="J1499" s="9" t="str">
        <x:v>Tax Law</x:v>
      </x:c>
      <x:c r="K1499" s="9" t="str">
        <x:v>-ew-cases-EWCA-Civ-2014-1214.xml</x:v>
      </x:c>
      <x:c r="L1499" s="9" t="str">
        <x:v>TBA</x:v>
      </x:c>
    </x:row>
    <x:row r="1500">
      <x:c r="A1500" t="str">
        <x:v>406307ee-b1e4-4480-8f6b-9cc894a0f824</x:v>
      </x:c>
      <x:c r="B1500" t="str">
        <x:v>df2f12d2-2784-4981-b98a-fcd919be08c3</x:v>
      </x:c>
      <x:c r="C1500" s="9" t="str">
        <x:v>Inmarsat Global Limited v Commissioners for Her Majesty's Revenue and Customs [2022] EWCA Civ 1076</x:v>
      </x:c>
      <x:c r="D1500" s="9" t="str"/>
      <x:c r="E1500" s="9" t="str"/>
      <x:c r="F1500" s="13" t="str">
        <x:v>2022</x:v>
      </x:c>
      <x:c r="G1500" s="9" t="str">
        <x:v>England and Wales Court of Appeal (Civil Division)</x:v>
      </x:c>
      <x:c r="H1500" s="9" t="str">
        <x:v>Court of Appeal (Civil Division)</x:v>
      </x:c>
      <x:c r="I1500" s="9" t="str">
        <x:v>United Kingdom (England and Wales)</x:v>
      </x:c>
      <x:c r="J1500" s="9" t="str">
        <x:v>Tax Law</x:v>
      </x:c>
      <x:c r="K1500" s="9" t="str">
        <x:v>ew-cases-EWCA-Civ-2022-1076.xml</x:v>
      </x:c>
      <x:c r="L1500" s="9" t="str">
        <x:v>TBA</x:v>
      </x:c>
    </x:row>
    <x:row r="1501">
      <x:c r="A1501" t="str">
        <x:v>cfd230b8-4513-4c52-9b7e-b14c89b9eb99</x:v>
      </x:c>
      <x:c r="B1501" t="str">
        <x:v>f12362ca-9214-46d6-8a2a-5ddadac29884</x:v>
      </x:c>
      <x:c r="C1501" s="9" t="str">
        <x:v>Innerspaces Self Storage Ltd v Harding &amp; Ors [2014] EWCA Civ 46</x:v>
      </x:c>
      <x:c r="D1501" s="9" t="str"/>
      <x:c r="E1501" s="9" t="str"/>
      <x:c r="F1501" s="13" t="str">
        <x:v>2014</x:v>
      </x:c>
      <x:c r="G1501" s="9" t="str">
        <x:v>England and Wales Court of Appeal (Civil Division)</x:v>
      </x:c>
      <x:c r="H1501" s="9" t="str">
        <x:v>Appellate</x:v>
      </x:c>
      <x:c r="I1501" s="9" t="str">
        <x:v>England and Wales</x:v>
      </x:c>
      <x:c r="J1501" s="9" t="str">
        <x:v>Contract Dispute</x:v>
      </x:c>
      <x:c r="K1501" s="9" t="str">
        <x:v>-ew-cases-EWCA-Civ-2014-46.xml</x:v>
      </x:c>
      <x:c r="L1501" s="9" t="str">
        <x:v>TBA</x:v>
      </x:c>
    </x:row>
    <x:row r="1502">
      <x:c r="A1502" t="str">
        <x:v>d19d5a98-698b-455d-a2d6-fa0bc488d2f5</x:v>
      </x:c>
      <x:c r="B1502" t="str">
        <x:v>d634cff6-eb27-4138-9add-d9464d475712</x:v>
      </x:c>
      <x:c r="C1502" s="9" t="str">
        <x:v>Innes v Information Commissioner &amp; Anor</x:v>
      </x:c>
      <x:c r="D1502" s="9" t="str"/>
      <x:c r="E1502" s="9" t="str"/>
      <x:c r="F1502" s="13" t="str">
        <x:v>2014</x:v>
      </x:c>
      <x:c r="G1502" s="9" t="str">
        <x:v>England and Wales Court of Appeal (Civil Division)</x:v>
      </x:c>
      <x:c r="H1502" s="9" t="str">
        <x:v>Appellate</x:v>
      </x:c>
      <x:c r="I1502" s="9" t="str">
        <x:v>England and Wales</x:v>
      </x:c>
      <x:c r="J1502" s="9" t="str">
        <x:v>Administrative Law</x:v>
      </x:c>
      <x:c r="K1502" s="9" t="str">
        <x:v>-ew-cases-EWCA-Civ-2014-1086.xml</x:v>
      </x:c>
      <x:c r="L1502" s="9" t="str">
        <x:v>TBA</x:v>
      </x:c>
    </x:row>
    <x:row r="1503">
      <x:c r="A1503" t="str">
        <x:v>c6f02bef-93ff-44b6-ae9d-4dabc2b72144</x:v>
      </x:c>
      <x:c r="B1503" t="str">
        <x:v>05abd6a8-750b-4613-9e1c-f41b184b9924</x:v>
      </x:c>
      <x:c r="C1503" s="9" t="str">
        <x:v>Inplayer Ltd &amp; Anor v Thorogood [2014] EWCA Civ 1511</x:v>
      </x:c>
      <x:c r="D1503" s="9" t="str"/>
      <x:c r="E1503" s="9" t="str"/>
      <x:c r="F1503" s="13" t="str">
        <x:v>2014</x:v>
      </x:c>
      <x:c r="G1503" s="9" t="str">
        <x:v>England and Wales Court of Appeal (Civil Division)</x:v>
      </x:c>
      <x:c r="H1503" s="9" t="str">
        <x:v>Appellate</x:v>
      </x:c>
      <x:c r="I1503" s="9" t="str">
        <x:v>England and Wales</x:v>
      </x:c>
      <x:c r="J1503" s="9" t="str">
        <x:v>Contempt of Court</x:v>
      </x:c>
      <x:c r="K1503" s="9" t="str">
        <x:v>-ew-cases-EWCA-Civ-2014-1511.xml</x:v>
      </x:c>
      <x:c r="L1503" s="9" t="str">
        <x:v>TBA</x:v>
      </x:c>
    </x:row>
    <x:row r="1504">
      <x:c r="A1504" t="str">
        <x:v>bc0005dd-1b54-4ad2-8831-b82e29ab2325</x:v>
      </x:c>
      <x:c r="B1504" t="str">
        <x:v>b4a13133-7ed9-45f9-8791-f1302f4f90d5</x:v>
      </x:c>
      <x:c r="C1504" s="9" t="str">
        <x:v>Integral Petroleum SA v Melars Group Limited [2016] EWCA Civ 108</x:v>
      </x:c>
      <x:c r="D1504" s="9" t="str"/>
      <x:c r="E1504" s="9" t="str"/>
      <x:c r="F1504" s="13" t="str">
        <x:v>2016</x:v>
      </x:c>
      <x:c r="G1504" s="9" t="str">
        <x:v>England and Wales Court of Appeal (Civil Division)</x:v>
      </x:c>
      <x:c r="H1504" s="9" t="str">
        <x:v>Court of Appeal (Civil Division)</x:v>
      </x:c>
      <x:c r="I1504" s="9" t="str">
        <x:v>England and Wales</x:v>
      </x:c>
      <x:c r="J1504" s="9" t="str">
        <x:v>Arbitration; Contract; International commercial law</x:v>
      </x:c>
      <x:c r="K1504" s="9" t="str">
        <x:v>-ew-cases-EWCA-Civ-2016-108.xml</x:v>
      </x:c>
      <x:c r="L1504" s="9" t="str">
        <x:v>TBA</x:v>
      </x:c>
    </x:row>
    <x:row r="1505">
      <x:c r="A1505" t="str">
        <x:v>9fd399e7-c508-42d0-b90a-1ab2ea9fc804</x:v>
      </x:c>
      <x:c r="B1505" t="str">
        <x:v>7b2b3326-1bbf-4619-95c1-0303fe2a20e0</x:v>
      </x:c>
      <x:c r="C1505" s="9" t="str">
        <x:v>Integral Petroleum SA v Scu-Finanz AG [2015] EWCA Civ 144</x:v>
      </x:c>
      <x:c r="D1505" s="9" t="str"/>
      <x:c r="E1505" s="9" t="str"/>
      <x:c r="F1505" s="13" t="str">
        <x:v>2015</x:v>
      </x:c>
      <x:c r="G1505" s="9" t="str">
        <x:v>England and Wales Court of Appeal (Civil Division)</x:v>
      </x:c>
      <x:c r="H1505" s="9" t="str">
        <x:v>Appellate</x:v>
      </x:c>
      <x:c r="I1505" s="9" t="str">
        <x:v>England and Wales</x:v>
      </x:c>
      <x:c r="J1505" s="9" t="str">
        <x:v>Contract Dispute</x:v>
      </x:c>
      <x:c r="K1505" s="9" t="str">
        <x:v>-ew-cases-EWCA-Civ-2015-144.xml</x:v>
      </x:c>
      <x:c r="L1505" s="9" t="str">
        <x:v>TBA</x:v>
      </x:c>
    </x:row>
    <x:row r="1506">
      <x:c r="A1506" t="str">
        <x:v>706ec28a-ce08-4213-bb44-565f0a55e5dd</x:v>
      </x:c>
      <x:c r="B1506" t="str">
        <x:v>79bacb72-6c97-488e-92d5-fcf9ef54fdbd</x:v>
      </x:c>
      <x:c r="C1506" s="9" t="str">
        <x:v>Interactive Technology Corporation Ltd v Ferster &amp; Ors [2016] EWCA Civ 614</x:v>
      </x:c>
      <x:c r="D1506" s="9" t="str"/>
      <x:c r="E1506" s="9" t="str"/>
      <x:c r="F1506" s="13" t="str">
        <x:v>2016</x:v>
      </x:c>
      <x:c r="G1506" s="9" t="str">
        <x:v>England and Wales Court of Appeal (Civil Division)</x:v>
      </x:c>
      <x:c r="H1506" s="9" t="str">
        <x:v>Court of Appeal (Civil Division)</x:v>
      </x:c>
      <x:c r="I1506" s="9" t="str">
        <x:v>England and Wales</x:v>
      </x:c>
      <x:c r="J1506" s="9" t="str">
        <x:v>Civil Procedure / Interim Remedies</x:v>
      </x:c>
      <x:c r="K1506" s="9" t="str">
        <x:v>-ew-cases-EWCA-Civ-2016-614.xml</x:v>
      </x:c>
      <x:c r="L1506" s="9" t="str">
        <x:v>TBA</x:v>
      </x:c>
    </x:row>
    <x:row r="1507">
      <x:c r="A1507" t="str">
        <x:v>78ab4b40-d7f5-4d26-a4e4-459818547882</x:v>
      </x:c>
      <x:c r="B1507" t="str">
        <x:v>7311cc70-1cfb-4513-97ab-71a6251af9db</x:v>
      </x:c>
      <x:c r="C1507" s="9" t="str">
        <x:v>Interdigital Technology Corporation &amp; Ors v Lenovo Group Ltd &amp; Ors [2023] EWCA Civ 105</x:v>
      </x:c>
      <x:c r="D1507" s="9" t="str"/>
      <x:c r="E1507" s="9" t="str"/>
      <x:c r="F1507" s="13" t="str">
        <x:v>2023</x:v>
      </x:c>
      <x:c r="G1507" s="9" t="str">
        <x:v>England and Wales Court of Appeal (Civil Division)</x:v>
      </x:c>
      <x:c r="H1507" s="9" t="str">
        <x:v>Court of Appeal (Civil Division)</x:v>
      </x:c>
      <x:c r="I1507" s="9" t="str">
        <x:v>England and Wales</x:v>
      </x:c>
      <x:c r="J1507" s="9" t="str">
        <x:v>Patent Dispute</x:v>
      </x:c>
      <x:c r="K1507" s="9" t="str">
        <x:v>ew-cases-EWCA-Civ-2023-105.xml</x:v>
      </x:c>
      <x:c r="L1507" s="9" t="str">
        <x:v>TBA</x:v>
      </x:c>
    </x:row>
    <x:row r="1508">
      <x:c r="A1508" t="str">
        <x:v>c3f32374-1d4d-476c-85f6-d0fb9ffcb241</x:v>
      </x:c>
      <x:c r="B1508" t="str">
        <x:v>7d5980b8-cfee-4e80-aae1-457460afcae5</x:v>
      </x:c>
      <x:c r="C1508" s="9" t="str">
        <x:v>InterDigital Technology Corporation &amp; Ors v Lenovo Group Ltd &amp; Ors [2023] EWCA Civ 34</x:v>
      </x:c>
      <x:c r="D1508" s="9" t="str"/>
      <x:c r="E1508" s="9" t="str"/>
      <x:c r="F1508" s="13" t="str">
        <x:v>2023</x:v>
      </x:c>
      <x:c r="G1508" s="9" t="str">
        <x:v>England and Wales Court of Appeal (Civil Division)</x:v>
      </x:c>
      <x:c r="H1508" s="9" t="str">
        <x:v>Court of Appeal (Civil Division)</x:v>
      </x:c>
      <x:c r="I1508" s="9" t="str">
        <x:v>England and Wales</x:v>
      </x:c>
      <x:c r="J1508" s="9" t="str">
        <x:v>Intellectual Property - Patent Law</x:v>
      </x:c>
      <x:c r="K1508" s="9" t="str">
        <x:v>ew-cases-EWCA-Civ-2023-34.xml</x:v>
      </x:c>
      <x:c r="L1508" s="9" t="str">
        <x:v>TBA</x:v>
      </x:c>
    </x:row>
    <x:row r="1509">
      <x:c r="A1509" t="str">
        <x:v>d15e8a2b-96d1-4572-9b3a-a4433a1c3126</x:v>
      </x:c>
      <x:c r="B1509" t="str">
        <x:v>08ccb4b2-db3c-4132-87d7-ba219d5957a0</x:v>
      </x:c>
      <x:c r="C1509" s="9" t="str">
        <x:v>Interdigital Technology Corporation &amp; Ors v Lenovo Group Ltd &amp; Ors [2023] EWCA Civ 57</x:v>
      </x:c>
      <x:c r="D1509" s="9" t="str"/>
      <x:c r="E1509" s="9" t="str"/>
      <x:c r="F1509" s="13" t="str">
        <x:v>2023</x:v>
      </x:c>
      <x:c r="G1509" s="9" t="str">
        <x:v>England and Wales Court of Appeal (Civil Division)</x:v>
      </x:c>
      <x:c r="H1509" s="9" t="str">
        <x:v>Court of Appeal (Civil Division)</x:v>
      </x:c>
      <x:c r="I1509" s="9" t="str">
        <x:v>England and Wales</x:v>
      </x:c>
      <x:c r="J1509" s="9" t="str">
        <x:v>Civil Appeal, Intellectual Property</x:v>
      </x:c>
      <x:c r="K1509" s="9" t="str">
        <x:v>ew-cases-EWCA-Civ-2023-57.xml</x:v>
      </x:c>
      <x:c r="L1509" s="9" t="str">
        <x:v>TBA</x:v>
      </x:c>
    </x:row>
    <x:row r="1510">
      <x:c r="A1510" t="str">
        <x:v>6897d79d-7601-4af6-85a3-1de03f639bd1</x:v>
      </x:c>
      <x:c r="B1510" t="str">
        <x:v>4117e1cc-f100-4034-8bbf-d22a9bfcab82</x:v>
      </x:c>
      <x:c r="C1510" s="9" t="str">
        <x:v>InterDigital Technology Corporation &amp; Ors v OnePlus Technology (Shenzen) Co &amp; Ors [2023] EWCA Civ 166 (17 February 2023)</x:v>
      </x:c>
      <x:c r="D1510" s="9" t="str"/>
      <x:c r="E1510" s="9" t="str"/>
      <x:c r="F1510" s="13" t="str">
        <x:v>2023</x:v>
      </x:c>
      <x:c r="G1510" s="9" t="str">
        <x:v>England and Wales Court of Appeal (Civil Division)</x:v>
      </x:c>
      <x:c r="H1510" s="9" t="str">
        <x:v>Court of Appeal (Civil Division)</x:v>
      </x:c>
      <x:c r="I1510" s="9" t="str">
        <x:v>England and Wales</x:v>
      </x:c>
      <x:c r="J1510" s="9" t="str">
        <x:v>Intellectual Property - Confidentiality regime in patent/FRAND licensing disputes</x:v>
      </x:c>
      <x:c r="K1510" s="9" t="str">
        <x:v>ew-cases-EWCA-Civ-2023-166.xml</x:v>
      </x:c>
      <x:c r="L1510" s="9" t="str">
        <x:v>TBA</x:v>
      </x:c>
    </x:row>
    <x:row r="1511">
      <x:c r="A1511" t="str">
        <x:v>82975bbb-8a65-481a-a4b1-d4ca8238dea6</x:v>
      </x:c>
      <x:c r="B1511" t="str">
        <x:v>9e7d81be-0c7d-41fa-9a60-71d0f7f20c60</x:v>
      </x:c>
      <x:c r="C1511" s="9" t="str">
        <x:v>Interfish Ltd v Revenue And Customs</x:v>
      </x:c>
      <x:c r="D1511" s="9" t="str"/>
      <x:c r="E1511" s="9" t="str"/>
      <x:c r="F1511" s="13" t="str">
        <x:v>2014</x:v>
      </x:c>
      <x:c r="G1511" s="9" t="str">
        <x:v>England and Wales Court of Appeal (Civil Division)</x:v>
      </x:c>
      <x:c r="H1511" s="9" t="str">
        <x:v>Appellate</x:v>
      </x:c>
      <x:c r="I1511" s="9" t="str">
        <x:v>England and Wales</x:v>
      </x:c>
      <x:c r="J1511" s="9" t="str">
        <x:v>Tax Law</x:v>
      </x:c>
      <x:c r="K1511" s="9" t="str">
        <x:v>-ew-cases-EWCA-Civ-2014-876.xml</x:v>
      </x:c>
      <x:c r="L1511" s="9" t="str">
        <x:v>TBA</x:v>
      </x:c>
    </x:row>
    <x:row r="1512">
      <x:c r="A1512" t="str">
        <x:v>748824e5-b5f7-4ff6-bc41-dc4c9434285a</x:v>
      </x:c>
      <x:c r="B1512" t="str">
        <x:v>20b83bef-68e6-4d80-815a-521a3f07c737</x:v>
      </x:c>
      <x:c r="C1512" s="9" t="str">
        <x:v>Interflora Inc &amp; Anor v Marks and Spencer Plc [2014] EWCA Civ 1403</x:v>
      </x:c>
      <x:c r="D1512" s="9" t="str"/>
      <x:c r="E1512" s="9" t="str"/>
      <x:c r="F1512" s="13" t="str">
        <x:v>2014</x:v>
      </x:c>
      <x:c r="G1512" s="9" t="str">
        <x:v>England and Wales Court of Appeal (Civil Division)</x:v>
      </x:c>
      <x:c r="H1512" s="9" t="str">
        <x:v>Appellate</x:v>
      </x:c>
      <x:c r="I1512" s="9" t="str">
        <x:v>England and Wales</x:v>
      </x:c>
      <x:c r="J1512" s="9" t="str">
        <x:v>Intellectual Property</x:v>
      </x:c>
      <x:c r="K1512" s="9" t="str">
        <x:v>-ew-cases-EWCA-Civ-2014-1403.xml</x:v>
      </x:c>
      <x:c r="L1512" s="9" t="str">
        <x:v>TBA</x:v>
      </x:c>
    </x:row>
    <x:row r="1513">
      <x:c r="A1513" t="str">
        <x:v>efbd384e-ee4b-422c-ac20-01a95deda92f</x:v>
      </x:c>
      <x:c r="B1513" t="str">
        <x:v>ef442652-6171-48b8-9010-80ef6fa592d2</x:v>
      </x:c>
      <x:c r="C1513" s="9" t="str">
        <x:v>Interflora Inc &amp; Ors v Marks and Spencer Plc [2014] EWCA Civ 1448</x:v>
      </x:c>
      <x:c r="D1513" s="9" t="str"/>
      <x:c r="E1513" s="9" t="str"/>
      <x:c r="F1513" s="13" t="str">
        <x:v>2014</x:v>
      </x:c>
      <x:c r="G1513" s="9" t="str">
        <x:v>England and Wales Court of Appeal (Civil Division)</x:v>
      </x:c>
      <x:c r="H1513" s="9" t="str">
        <x:v>Appellate</x:v>
      </x:c>
      <x:c r="I1513" s="9" t="str">
        <x:v>England and Wales</x:v>
      </x:c>
      <x:c r="J1513" s="9" t="str">
        <x:v>Intellectual Property</x:v>
      </x:c>
      <x:c r="K1513" s="9" t="str">
        <x:v>-ew-cases-EWCA-Civ-2014-1448.xml</x:v>
      </x:c>
      <x:c r="L1513" s="9" t="str">
        <x:v>TBA</x:v>
      </x:c>
    </x:row>
    <x:row r="1514">
      <x:c r="A1514" t="str">
        <x:v>b30ac489-f7c9-4e74-a76e-1ef375445895</x:v>
      </x:c>
      <x:c r="B1514" t="str">
        <x:v>ee92398e-d5f5-421a-833f-c87f044d9787</x:v>
      </x:c>
      <x:c r="C1514" s="9" t="str">
        <x:v>Invest Bank PSC v El-Husseini &amp; Ors [2023] EWCA Civ 555 (19 May 2023)</x:v>
      </x:c>
      <x:c r="D1514" s="9" t="str"/>
      <x:c r="E1514" s="9" t="str"/>
      <x:c r="F1514" s="13" t="str">
        <x:v>2023</x:v>
      </x:c>
      <x:c r="G1514" s="9" t="str">
        <x:v>England and Wales Court of Appeal (Civil Division)</x:v>
      </x:c>
      <x:c r="H1514" s="9" t="str">
        <x:v>Court of Appeal (Civil Division)</x:v>
      </x:c>
      <x:c r="I1514" s="9" t="str">
        <x:v>England and Wales</x:v>
      </x:c>
      <x:c r="J1514" s="9" t="str">
        <x:v>Insolvency/Asset transfer under Insolvency Act 1986</x:v>
      </x:c>
      <x:c r="K1514" s="9" t="str">
        <x:v>ew-cases-EWCA-Civ-2023-555.xml</x:v>
      </x:c>
      <x:c r="L1514" s="9" t="str">
        <x:v>TBA</x:v>
      </x:c>
    </x:row>
    <x:row r="1515">
      <x:c r="A1515" t="str">
        <x:v>b0f2eccf-1744-4926-bf42-a0ad175151d2</x:v>
      </x:c>
      <x:c r="B1515" t="str">
        <x:v>78ed1462-c02f-419a-89d5-cd82bf7ab619</x:v>
      </x:c>
      <x:c r="C1515" s="9" t="str">
        <x:v>Investment Trust Companies v Revenue And Customs</x:v>
      </x:c>
      <x:c r="D1515" s="9" t="str"/>
      <x:c r="E1515" s="9" t="str"/>
      <x:c r="F1515" s="13" t="str">
        <x:v>2015</x:v>
      </x:c>
      <x:c r="G1515" s="9" t="str">
        <x:v>England and Wales Court of Appeal (Civil Division)</x:v>
      </x:c>
      <x:c r="H1515" s="9" t="str">
        <x:v>Appellate</x:v>
      </x:c>
      <x:c r="I1515" s="9" t="str">
        <x:v>United Kingdom</x:v>
      </x:c>
      <x:c r="J1515" s="9" t="str">
        <x:v>Tax Law</x:v>
      </x:c>
      <x:c r="K1515" s="9" t="str">
        <x:v>-ew-cases-EWCA-Civ-2015-82.xml</x:v>
      </x:c>
      <x:c r="L1515" s="9" t="str">
        <x:v>TBA</x:v>
      </x:c>
    </x:row>
    <x:row r="1516">
      <x:c r="A1516" t="str">
        <x:v>28faf42f-92f7-49a8-bba2-5eaecf986363</x:v>
      </x:c>
      <x:c r="B1516" t="str">
        <x:v>12364e6f-16c6-459b-944e-04d6162c2e23</x:v>
      </x:c>
      <x:c r="C1516" s="9" t="str">
        <x:v>IOT Engineering Projects Ltd v Dangote Fertilizer Ltd &amp; Anor</x:v>
      </x:c>
      <x:c r="D1516" s="9" t="str"/>
      <x:c r="E1516" s="9" t="str"/>
      <x:c r="F1516" s="13" t="str">
        <x:v>2014</x:v>
      </x:c>
      <x:c r="G1516" s="9" t="str">
        <x:v>England and Wales Court of Appeal (Civil Division)</x:v>
      </x:c>
      <x:c r="H1516" s="9" t="str">
        <x:v>Appellate</x:v>
      </x:c>
      <x:c r="I1516" s="9" t="str">
        <x:v>England and Wales</x:v>
      </x:c>
      <x:c r="J1516" s="9" t="str">
        <x:v>Commercial Law</x:v>
      </x:c>
      <x:c r="K1516" s="9" t="str">
        <x:v>-ew-cases-EWCA-Civ-2014-1348.xml</x:v>
      </x:c>
      <x:c r="L1516" s="9" t="str">
        <x:v>TBA</x:v>
      </x:c>
    </x:row>
    <x:row r="1517">
      <x:c r="A1517" t="str">
        <x:v>db1fa89c-204e-49cc-b4d7-1bee1a83be9c</x:v>
      </x:c>
      <x:c r="B1517" t="str">
        <x:v>53ca6ceb-c06a-4774-86f1-8cbf9fe4917e</x:v>
      </x:c>
      <x:c r="C1517" s="9" t="str">
        <x:v>IPC Media Ltd v Media 10 Ltd [2014] EWCA Civ 1439</x:v>
      </x:c>
      <x:c r="D1517" s="9" t="str"/>
      <x:c r="E1517" s="9" t="str"/>
      <x:c r="F1517" s="13" t="str">
        <x:v>2014</x:v>
      </x:c>
      <x:c r="G1517" s="9" t="str">
        <x:v>England and Wales Court of Appeal (Civil Division)</x:v>
      </x:c>
      <x:c r="H1517" s="9" t="str">
        <x:v>Appellate</x:v>
      </x:c>
      <x:c r="I1517" s="9" t="str">
        <x:v>England and Wales</x:v>
      </x:c>
      <x:c r="J1517" s="9" t="str">
        <x:v>Intellectual Property</x:v>
      </x:c>
      <x:c r="K1517" s="9" t="str">
        <x:v>-ew-cases-EWCA-Civ-2014-1439.xml</x:v>
      </x:c>
      <x:c r="L1517" s="9" t="str">
        <x:v>TBA</x:v>
      </x:c>
    </x:row>
    <x:row r="1518">
      <x:c r="A1518" t="str">
        <x:v>048564b5-e98d-4058-ab6b-5169c0a28a92</x:v>
      </x:c>
      <x:c r="B1518" t="str">
        <x:v>56ebcb77-2936-4ffe-9d4e-4334c394df46</x:v>
      </x:c>
      <x:c r="C1518" s="9" t="str">
        <x:v>IPCO (Nigeria) Ltd v Nigerian National Petroleum Corporation [2015] EWCA Civ 1144</x:v>
      </x:c>
      <x:c r="D1518" s="9" t="str"/>
      <x:c r="E1518" s="9" t="str"/>
      <x:c r="F1518" s="13" t="str">
        <x:v>2015</x:v>
      </x:c>
      <x:c r="G1518" s="9" t="str">
        <x:v>England and Wales Court of Appeal (Civil Division)</x:v>
      </x:c>
      <x:c r="H1518" s="9" t="str">
        <x:v>Appellate</x:v>
      </x:c>
      <x:c r="I1518" s="9" t="str">
        <x:v>England and Wales</x:v>
      </x:c>
      <x:c r="J1518" s="9" t="str">
        <x:v>International Arbitration</x:v>
      </x:c>
      <x:c r="K1518" s="9" t="str">
        <x:v>-ew-cases-EWCA-Civ-2015-1144.xml</x:v>
      </x:c>
      <x:c r="L1518" s="9" t="str">
        <x:v>TBA</x:v>
      </x:c>
    </x:row>
    <x:row r="1519">
      <x:c r="A1519" t="str">
        <x:v>8dc9809e-6b5f-47a4-9a13-d7a76e846fea</x:v>
      </x:c>
      <x:c r="B1519" t="str">
        <x:v>4cbfc5a7-c685-4174-b926-27ca769e13ac</x:v>
      </x:c>
      <x:c r="C1519" s="9" t="str">
        <x:v>IPCO (Nigeria) Ltd v Nigerian National Petroleum Corporation [2015] EWCA Civ 1145</x:v>
      </x:c>
      <x:c r="D1519" s="9" t="str"/>
      <x:c r="E1519" s="9" t="str"/>
      <x:c r="F1519" s="13" t="str">
        <x:v>2015</x:v>
      </x:c>
      <x:c r="G1519" s="9" t="str">
        <x:v>England and Wales Court of Appeal (Civil Division)</x:v>
      </x:c>
      <x:c r="H1519" s="9" t="str">
        <x:v>Appellate</x:v>
      </x:c>
      <x:c r="I1519" s="9" t="str">
        <x:v>England and Wales</x:v>
      </x:c>
      <x:c r="J1519" s="9" t="str">
        <x:v>Arbitration Enforcement Dispute</x:v>
      </x:c>
      <x:c r="K1519" s="9" t="str">
        <x:v>-ew-cases-EWCA-Civ-2015-1145.xml</x:v>
      </x:c>
      <x:c r="L1519" s="9" t="str">
        <x:v>TBA</x:v>
      </x:c>
    </x:row>
    <x:row r="1520">
      <x:c r="A1520" t="str">
        <x:v>d0c5a527-a812-4b7e-901a-80e9203f6303</x:v>
      </x:c>
      <x:c r="B1520" t="str">
        <x:v>7e668e5a-536c-4194-afe3-a603a89cc6a9</x:v>
      </x:c>
      <x:c r="C1520" s="9" t="str">
        <x:v>Ipcom GmbH &amp; Co KG v HTC Europe Co Ltd &amp; Ors [2017] EWCA Civ 90</x:v>
      </x:c>
      <x:c r="D1520" s="9" t="str"/>
      <x:c r="E1520" s="9" t="str"/>
      <x:c r="F1520" s="13" t="str">
        <x:v>2017</x:v>
      </x:c>
      <x:c r="G1520" s="9" t="str">
        <x:v>England and Wales Court of Appeal (Civil Division)</x:v>
      </x:c>
      <x:c r="H1520" s="9" t="str">
        <x:v>Appellate</x:v>
      </x:c>
      <x:c r="I1520" s="9" t="str">
        <x:v>England and Wales</x:v>
      </x:c>
      <x:c r="J1520" s="9" t="str">
        <x:v>Intellectual Property</x:v>
      </x:c>
      <x:c r="K1520" s="9" t="str">
        <x:v>-ew-cases-EWCA-Civ-2017-90.xml</x:v>
      </x:c>
      <x:c r="L1520" s="9" t="str">
        <x:v>TBA</x:v>
      </x:c>
    </x:row>
    <x:row r="1521">
      <x:c r="A1521" t="str">
        <x:v>fb08c4bb-29b0-458b-a788-e55aaa268773</x:v>
      </x:c>
      <x:c r="B1521" t="str">
        <x:v>cf7bf881-b6a3-4c91-ae35-e505b1e5a8c1</x:v>
      </x:c>
      <x:c r="C1521" s="9" t="str">
        <x:v>IPCOM GmbH &amp; Co Kg v Vodafone Group Plc &amp; ors [2021] EWCA Civ 205</x:v>
      </x:c>
      <x:c r="D1521" s="9" t="str"/>
      <x:c r="E1521" s="9" t="str"/>
      <x:c r="F1521" s="13" t="str">
        <x:v>2021</x:v>
      </x:c>
      <x:c r="G1521" s="9" t="str">
        <x:v>England and Wales Court of Appeal (Civil Division)</x:v>
      </x:c>
      <x:c r="H1521" s="9" t="str">
        <x:v>Appellate</x:v>
      </x:c>
      <x:c r="I1521" s="9" t="str">
        <x:v>England and Wales</x:v>
      </x:c>
      <x:c r="J1521" s="9" t="str">
        <x:v>Intellectual Property</x:v>
      </x:c>
      <x:c r="K1521" s="9" t="str">
        <x:v>ew-cases-EWCA-Civ-2021-205.xml</x:v>
      </x:c>
      <x:c r="L1521" s="9" t="str">
        <x:v>TBA</x:v>
      </x:c>
    </x:row>
    <x:row r="1522">
      <x:c r="A1522" t="str">
        <x:v>2b832563-bb23-4056-adaf-e878936c438e</x:v>
      </x:c>
      <x:c r="B1522" t="str">
        <x:v>90c8e6f6-a09a-4e52-9253-887e2756f6dc</x:v>
      </x:c>
      <x:c r="C1522" s="9" t="str">
        <x:v>Ipswich Town Football Club Company Ltd v The Chief Constable of Suffolk Constabulary</x:v>
      </x:c>
      <x:c r="D1522" s="9" t="str"/>
      <x:c r="E1522" s="9" t="str"/>
      <x:c r="F1522" s="13" t="str">
        <x:v>2017</x:v>
      </x:c>
      <x:c r="G1522" s="9" t="str">
        <x:v>England and Wales Court of Appeal (Civil Division)</x:v>
      </x:c>
      <x:c r="H1522" s="9" t="str">
        <x:v>Court of Appeal</x:v>
      </x:c>
      <x:c r="I1522" s="9" t="str">
        <x:v>England and Wales</x:v>
      </x:c>
      <x:c r="J1522" s="9" t="str">
        <x:v>Administrative Law</x:v>
      </x:c>
      <x:c r="K1522" s="9" t="str">
        <x:v>-ew-cases-EWCA-Civ-2017-1484.xml</x:v>
      </x:c>
      <x:c r="L1522" s="9" t="str">
        <x:v>TBA</x:v>
      </x:c>
    </x:row>
    <x:row r="1523">
      <x:c r="A1523" t="str">
        <x:v>87c42c5b-b665-4b4b-a32a-97599912c4eb</x:v>
      </x:c>
      <x:c r="B1523" t="str">
        <x:v>430310e6-703e-4f46-9fc1-ca15811aa686</x:v>
      </x:c>
      <x:c r="C1523" s="9" t="str">
        <x:v>Iqbal &amp; Dependants v Secretary of State for the Home Department</x:v>
      </x:c>
      <x:c r="D1523" s="9" t="str"/>
      <x:c r="E1523" s="9" t="str"/>
      <x:c r="F1523" s="13" t="str">
        <x:v>2015</x:v>
      </x:c>
      <x:c r="G1523" s="9" t="str">
        <x:v>England and Wales Court of Appeal (Civil Division)</x:v>
      </x:c>
      <x:c r="H1523" s="9" t="str">
        <x:v>Appellate</x:v>
      </x:c>
      <x:c r="I1523" s="9" t="str">
        <x:v>England and Wales</x:v>
      </x:c>
      <x:c r="J1523" s="9" t="str">
        <x:v>Immigration Law</x:v>
      </x:c>
      <x:c r="K1523" s="9" t="str">
        <x:v>-ew-cases-EWCA-Civ-2015-169.xml</x:v>
      </x:c>
      <x:c r="L1523" s="9" t="str">
        <x:v>TBA</x:v>
      </x:c>
    </x:row>
    <x:row r="1524">
      <x:c r="A1524" t="str">
        <x:v>845c2632-bdbd-43a1-b961-0942a8bf274f</x:v>
      </x:c>
      <x:c r="B1524" t="str">
        <x:v>2f914f2a-4e9e-4235-83ee-b6fbc5671820</x:v>
      </x:c>
      <x:c r="C1524" s="9" t="str">
        <x:v>Iqbal &amp; Ors, R (on the application of) v The Secretary of State for the Home Department</x:v>
      </x:c>
      <x:c r="D1524" s="9" t="str"/>
      <x:c r="E1524" s="9" t="str"/>
      <x:c r="F1524" s="13" t="str">
        <x:v>2015</x:v>
      </x:c>
      <x:c r="G1524" s="9" t="str">
        <x:v>England and Wales Court of Appeal (Civil Division)</x:v>
      </x:c>
      <x:c r="H1524" s="9" t="str">
        <x:v>Appellate</x:v>
      </x:c>
      <x:c r="I1524" s="9" t="str">
        <x:v>England and Wales</x:v>
      </x:c>
      <x:c r="J1524" s="9" t="str">
        <x:v>Immigration Law</x:v>
      </x:c>
      <x:c r="K1524" s="9" t="str">
        <x:v>-ew-cases-EWCA-Civ-2015-838.xml</x:v>
      </x:c>
      <x:c r="L1524" s="9" t="str">
        <x:v>TBA</x:v>
      </x:c>
    </x:row>
    <x:row r="1525">
      <x:c r="A1525" t="str">
        <x:v>300c4d1f-2af5-4983-b5ea-0932cd56f3eb</x:v>
      </x:c>
      <x:c r="B1525" t="str">
        <x:v>0f81fdc2-ba11-42ac-8fe5-e1aee80f8af1</x:v>
      </x:c>
      <x:c r="C1525" s="9" t="str">
        <x:v>IR v Secretary of State for the Home Department</x:v>
      </x:c>
      <x:c r="D1525" s="9" t="str"/>
      <x:c r="E1525" s="9" t="str"/>
      <x:c r="F1525" s="13" t="str">
        <x:v>2014</x:v>
      </x:c>
      <x:c r="G1525" s="9" t="str">
        <x:v>England and Wales Court of Appeal (Civil Division)</x:v>
      </x:c>
      <x:c r="H1525" s="9" t="str">
        <x:v>Appellate</x:v>
      </x:c>
      <x:c r="I1525" s="9" t="str">
        <x:v>England and Wales</x:v>
      </x:c>
      <x:c r="J1525" s="9" t="str">
        <x:v>Immigration Law</x:v>
      </x:c>
      <x:c r="K1525" s="9" t="str">
        <x:v>-ew-cases-EWCA-Civ-2014-966.xml</x:v>
      </x:c>
      <x:c r="L1525" s="9" t="str">
        <x:v>TBA</x:v>
      </x:c>
    </x:row>
    <x:row r="1526">
      <x:c r="A1526" t="str">
        <x:v>e7bcd935-91c4-46ab-87bb-32104e892258</x:v>
      </x:c>
      <x:c r="B1526" t="str">
        <x:v>2a0c69d5-d725-4ae4-988b-5086e522d161</x:v>
      </x:c>
      <x:c r="C1526" s="9" t="str">
        <x:v>Irvine v The General Medical Council [2017] EWCA Civ 1296</x:v>
      </x:c>
      <x:c r="D1526" s="9" t="str"/>
      <x:c r="E1526" s="9" t="str"/>
      <x:c r="F1526" s="13" t="str">
        <x:v>2017</x:v>
      </x:c>
      <x:c r="G1526" s="9" t="str">
        <x:v>England and Wales Court of Appeal (Civil Division)</x:v>
      </x:c>
      <x:c r="H1526" s="9" t="str">
        <x:v>Appellate</x:v>
      </x:c>
      <x:c r="I1526" s="9" t="str">
        <x:v>England and Wales</x:v>
      </x:c>
      <x:c r="J1526" s="9" t="str">
        <x:v>Professional Regulation</x:v>
      </x:c>
      <x:c r="K1526" s="9" t="str">
        <x:v>-ew-cases-EWCA-Civ-2017-1296.xml</x:v>
      </x:c>
      <x:c r="L1526" s="9" t="str">
        <x:v>TBA</x:v>
      </x:c>
    </x:row>
    <x:row r="1527">
      <x:c r="A1527" t="str">
        <x:v>f6824257-b525-47bf-89bd-aab0cf5a30a8</x:v>
      </x:c>
      <x:c r="B1527" t="str">
        <x:v>ec2236fc-ca68-4fb7-855a-77349c91a141</x:v>
      </x:c>
      <x:c r="C1527" s="9" t="str">
        <x:v>Irwell Insurance Company Ltd v Watson &amp; Ors [2021] EWCA Civ 67</x:v>
      </x:c>
      <x:c r="D1527" s="9" t="str"/>
      <x:c r="E1527" s="9" t="str"/>
      <x:c r="F1527" s="13" t="str">
        <x:v>2021</x:v>
      </x:c>
      <x:c r="G1527" s="9" t="str">
        <x:v>England and Wales Court of Appeal (Civil Division)</x:v>
      </x:c>
      <x:c r="H1527" s="9" t="str">
        <x:v>Appellate</x:v>
      </x:c>
      <x:c r="I1527" s="9" t="str">
        <x:v>England and Wales</x:v>
      </x:c>
      <x:c r="J1527" s="9" t="str">
        <x:v>Employment Law</x:v>
      </x:c>
      <x:c r="K1527" s="9" t="str">
        <x:v>ew-cases-EWCA-Civ-2021-67.xml</x:v>
      </x:c>
      <x:c r="L1527" s="9" t="str">
        <x:v>TBA</x:v>
      </x:c>
    </x:row>
    <x:row r="1528">
      <x:c r="A1528" t="str">
        <x:v>5687ed72-565f-4d85-bc3d-cf1cf09050e5</x:v>
      </x:c>
      <x:c r="B1528" t="str">
        <x:v>6a4cdd9b-a8f9-4e5b-b66b-0e892f3ab25d</x:v>
      </x:c>
      <x:c r="C1528" s="9" t="str">
        <x:v>IS v Director of Legal Aid Casework [2014] EWCA Civ 886</x:v>
      </x:c>
      <x:c r="D1528" s="9" t="str"/>
      <x:c r="E1528" s="9" t="str"/>
      <x:c r="F1528" s="13" t="str">
        <x:v>2014</x:v>
      </x:c>
      <x:c r="G1528" s="9" t="str">
        <x:v>England and Wales Court of Appeal (Civil Division)</x:v>
      </x:c>
      <x:c r="H1528" s="9" t="str">
        <x:v>Appellate</x:v>
      </x:c>
      <x:c r="I1528" s="9" t="str">
        <x:v>England and Wales</x:v>
      </x:c>
      <x:c r="J1528" s="9" t="str">
        <x:v>Administrative Law</x:v>
      </x:c>
      <x:c r="K1528" s="9" t="str">
        <x:v>-ew-cases-EWCA-Civ-2014-886.xml</x:v>
      </x:c>
      <x:c r="L1528" s="9" t="str">
        <x:v>TBA</x:v>
      </x:c>
    </x:row>
    <x:row r="1529">
      <x:c r="A1529" t="str">
        <x:v>af2d834e-d5b9-47b3-8ea8-219502a5955a</x:v>
      </x:c>
      <x:c r="B1529" t="str">
        <x:v>9e69557f-dfa0-46d4-a21e-4e69725b1acc</x:v>
      </x:c>
      <x:c r="C1529" s="9" t="str">
        <x:v>Isah, R (On the Application Of) v Secretary of State for the Home Department [2023] EWCA Civ 268 (14 March 2023)</x:v>
      </x:c>
      <x:c r="D1529" s="9" t="str"/>
      <x:c r="E1529" s="9" t="str"/>
      <x:c r="F1529" s="13" t="str">
        <x:v>2023</x:v>
      </x:c>
      <x:c r="G1529" s="9" t="str">
        <x:v>England and Wales Court of Appeal (Civil Division)</x:v>
      </x:c>
      <x:c r="H1529" s="9" t="str">
        <x:v>Court of Appeal (Civil Division)</x:v>
      </x:c>
      <x:c r="I1529" s="9" t="str">
        <x:v>England and Wales</x:v>
      </x:c>
      <x:c r="J1529" s="9" t="str">
        <x:v>Procedural Law / Costs</x:v>
      </x:c>
      <x:c r="K1529" s="9" t="str">
        <x:v>ew-cases-EWCA-Civ-2023-268.xml</x:v>
      </x:c>
      <x:c r="L1529" s="9" t="str">
        <x:v>TBA</x:v>
      </x:c>
    </x:row>
    <x:row r="1530">
      <x:c r="A1530" t="str">
        <x:v>53e59d34-bddf-46bc-a8e1-1261085e9b3f</x:v>
      </x:c>
      <x:c r="B1530" t="str">
        <x:v>a98c3c27-7fd1-486e-aa2d-aeb499762e15</x:v>
      </x:c>
      <x:c r="C1530" s="9" t="str">
        <x:v>Islam &amp; Ors v the Secretary of State for the Home Department [2015] EWCA Civ 659</x:v>
      </x:c>
      <x:c r="D1530" s="9" t="str"/>
      <x:c r="E1530" s="9" t="str"/>
      <x:c r="F1530" s="13" t="str">
        <x:v>2015</x:v>
      </x:c>
      <x:c r="G1530" s="9" t="str">
        <x:v>England and Wales Court of Appeal (Civil Division)</x:v>
      </x:c>
      <x:c r="H1530" s="9" t="str">
        <x:v>Appellate</x:v>
      </x:c>
      <x:c r="I1530" s="9" t="str">
        <x:v>England and Wales</x:v>
      </x:c>
      <x:c r="J1530" s="9" t="str">
        <x:v>Immigration Law</x:v>
      </x:c>
      <x:c r="K1530" s="9" t="str">
        <x:v>-ew-cases-EWCA-Civ-2015-659.xml</x:v>
      </x:c>
      <x:c r="L1530" s="9" t="str">
        <x:v>TBA</x:v>
      </x:c>
    </x:row>
    <x:row r="1531">
      <x:c r="A1531" t="str">
        <x:v>ed5ef48c-d9d5-4c76-ae34-dbb90a012702</x:v>
      </x:c>
      <x:c r="B1531" t="str">
        <x:v>44b99976-71ae-435b-aa10-247bcc8ef28b</x:v>
      </x:c>
      <x:c r="C1531" s="9" t="str">
        <x:v>Islam v The Secretary of State for the Home Department [2015] EWCA Civ 312</x:v>
      </x:c>
      <x:c r="D1531" s="9" t="str"/>
      <x:c r="E1531" s="9" t="str"/>
      <x:c r="F1531" s="13" t="str">
        <x:v>2015</x:v>
      </x:c>
      <x:c r="G1531" s="9" t="str">
        <x:v>England and Wales Court of Appeal (Civil Division)</x:v>
      </x:c>
      <x:c r="H1531" s="9" t="str">
        <x:v>Appellate</x:v>
      </x:c>
      <x:c r="I1531" s="9" t="str">
        <x:v>England and Wales</x:v>
      </x:c>
      <x:c r="J1531" s="9" t="str">
        <x:v>Immigration</x:v>
      </x:c>
      <x:c r="K1531" s="9" t="str">
        <x:v>-ew-cases-EWCA-Civ-2015-312.xml</x:v>
      </x:c>
      <x:c r="L1531" s="9" t="str">
        <x:v>TBA</x:v>
      </x:c>
    </x:row>
    <x:row r="1532">
      <x:c r="A1532" t="str">
        <x:v>87e54d33-f996-4ca4-8a41-233140788c78</x:v>
      </x:c>
      <x:c r="B1532" t="str">
        <x:v>0597cddb-4323-40ee-a0a0-c7ef4803da85</x:v>
      </x:c>
      <x:c r="C1532" s="9" t="str">
        <x:v>Islamic Investment Company of the Gulf (Bahamas) Ltd v Symphony Gems NV [2016] EWCA Civ 636</x:v>
      </x:c>
      <x:c r="D1532" s="9" t="str"/>
      <x:c r="E1532" s="9" t="str"/>
      <x:c r="F1532" s="13" t="str">
        <x:v>2016</x:v>
      </x:c>
      <x:c r="G1532" s="9" t="str">
        <x:v>England and Wales Court of Appeal (Civil Division)</x:v>
      </x:c>
      <x:c r="H1532" s="9" t="str">
        <x:v>Court of Appeal (Civil Division)</x:v>
      </x:c>
      <x:c r="I1532" s="9" t="str">
        <x:v>England and Wales</x:v>
      </x:c>
      <x:c r="J1532" s="9" t="str">
        <x:v>Civil Procedure / Appeals / Enforcement</x:v>
      </x:c>
      <x:c r="K1532" s="9" t="str">
        <x:v>-ew-cases-EWCA-Civ-2016-636.xml</x:v>
      </x:c>
      <x:c r="L1532" s="9" t="str">
        <x:v>TBA</x:v>
      </x:c>
    </x:row>
    <x:row r="1533">
      <x:c r="A1533" t="str">
        <x:v>8261d774-ca8c-4991-a1f3-e93cb79f8451</x:v>
      </x:c>
      <x:c r="B1533" t="str">
        <x:v>b865b1b8-0fe0-4473-bbfa-790b57e318c4</x:v>
      </x:c>
      <x:c r="C1533" s="9" t="str">
        <x:v>Isle of Wight Council &amp; Ors v HM Revenue and Customs</x:v>
      </x:c>
      <x:c r="D1533" s="9" t="str"/>
      <x:c r="E1533" s="9" t="str"/>
      <x:c r="F1533" s="13" t="str">
        <x:v>2015</x:v>
      </x:c>
      <x:c r="G1533" s="9" t="str">
        <x:v>England and Wales Court of Appeal (Civil Division)</x:v>
      </x:c>
      <x:c r="H1533" s="9" t="str">
        <x:v>Appellate</x:v>
      </x:c>
      <x:c r="I1533" s="9" t="str">
        <x:v>England and Wales</x:v>
      </x:c>
      <x:c r="J1533" s="9" t="str">
        <x:v>Taxation</x:v>
      </x:c>
      <x:c r="K1533" s="9" t="str">
        <x:v>-ew-cases-EWCA-Civ-2015-1303.xml</x:v>
      </x:c>
      <x:c r="L1533" s="9" t="str">
        <x:v>TBA</x:v>
      </x:c>
    </x:row>
    <x:row r="1534">
      <x:c r="A1534" t="str">
        <x:v>29904143-a14c-47c0-9440-c85e909c0f88</x:v>
      </x:c>
      <x:c r="B1534" t="str">
        <x:v>73f29da0-e97b-457d-8d64-2a9ee2c1e008</x:v>
      </x:c>
      <x:c r="C1534" s="9" t="str">
        <x:v>Ismail v Choudhry [2016] EWCA Civ 17</x:v>
      </x:c>
      <x:c r="D1534" s="9" t="str"/>
      <x:c r="E1534" s="9" t="str"/>
      <x:c r="F1534" s="13" t="str">
        <x:v>2016</x:v>
      </x:c>
      <x:c r="G1534" s="9" t="str">
        <x:v>England and Wales Court of Appeal (Civil Division)</x:v>
      </x:c>
      <x:c r="H1534" s="9" t="str">
        <x:v>Court of Appeal (Civil Division)</x:v>
      </x:c>
      <x:c r="I1534" s="9" t="str">
        <x:v>England and Wales</x:v>
      </x:c>
      <x:c r="J1534" s="9" t="str">
        <x:v>Family Law / Matrimonial</x:v>
      </x:c>
      <x:c r="K1534" s="9" t="str">
        <x:v>-ew-cases-EWCA-Civ-2016-17.xml</x:v>
      </x:c>
      <x:c r="L1534" s="9" t="str">
        <x:v>TBA</x:v>
      </x:c>
    </x:row>
    <x:row r="1535">
      <x:c r="A1535" t="str">
        <x:v>f54515a7-22a2-43d4-b80d-b060e2600c7a</x:v>
      </x:c>
      <x:c r="B1535" t="str">
        <x:v>88ed54f7-6f7d-468a-a321-da82b8cf8a69</x:v>
      </x:c>
      <x:c r="C1535" s="9" t="str">
        <x:v>IT (Jamaica) v Secretary of State for the Home Department [2016] EWCA Civ 301</x:v>
      </x:c>
      <x:c r="D1535" s="9" t="str"/>
      <x:c r="E1535" s="9" t="str"/>
      <x:c r="F1535" s="13" t="str">
        <x:v>2016</x:v>
      </x:c>
      <x:c r="G1535" s="9" t="str">
        <x:v>England and Wales Court of Appeal (Civil Division)</x:v>
      </x:c>
      <x:c r="H1535" s="9" t="str">
        <x:v>Court of Appeal (Civil Division)</x:v>
      </x:c>
      <x:c r="I1535" s="9" t="str">
        <x:v>England and Wales</x:v>
      </x:c>
      <x:c r="J1535" s="9" t="str">
        <x:v>Civil appellate decision / Immigration Law</x:v>
      </x:c>
      <x:c r="K1535" s="9" t="str">
        <x:v>-ew-cases-EWCA-Civ-2016-301.xml</x:v>
      </x:c>
      <x:c r="L1535" s="9" t="str">
        <x:v>TBA</x:v>
      </x:c>
    </x:row>
    <x:row r="1536">
      <x:c r="A1536" t="str">
        <x:v>f74cea52-2d68-44c6-aa19-5dc178ca5b35</x:v>
      </x:c>
      <x:c r="B1536" t="str">
        <x:v>2613744a-6977-4ebf-b648-c5d7bc56bf50</x:v>
      </x:c>
      <x:c r="C1536" s="9" t="str">
        <x:v>IT (Jamaica) v The Secretary of State for the Home Department</x:v>
      </x:c>
      <x:c r="D1536" s="9" t="str"/>
      <x:c r="E1536" s="9" t="str"/>
      <x:c r="F1536" s="13" t="str">
        <x:v>2016</x:v>
      </x:c>
      <x:c r="G1536" s="9" t="str">
        <x:v>England and Wales Court of Appeal (Civil Division)</x:v>
      </x:c>
      <x:c r="H1536" s="9" t="str">
        <x:v>Court of Appeal (Civil Division)</x:v>
      </x:c>
      <x:c r="I1536" s="9" t="str">
        <x:v>England and Wales</x:v>
      </x:c>
      <x:c r="J1536" s="9" t="str">
        <x:v>Immigration Law / Public Law / Deportation / Article 8 ECHR</x:v>
      </x:c>
      <x:c r="K1536" s="9" t="str">
        <x:v>-ew-cases-EWCA-Civ-2016-932.xml</x:v>
      </x:c>
      <x:c r="L1536" s="9" t="str">
        <x:v>TBA</x:v>
      </x:c>
    </x:row>
    <x:row r="1537">
      <x:c r="A1537" t="str">
        <x:v>c7c08889-d93d-45c0-b41c-ed729c4b564e</x:v>
      </x:c>
      <x:c r="B1537" t="str">
        <x:v>45c67ef4-ed1d-405a-aea7-9863023f3850</x:v>
      </x:c>
      <x:c r="C1537" s="9" t="str">
        <x:v>Ittihadieh v 5-11 Cheyne Gardens RTM Company Ltd &amp; Ors; Deer v University of Oxford</x:v>
      </x:c>
      <x:c r="D1537" s="9" t="str"/>
      <x:c r="E1537" s="9" t="str"/>
      <x:c r="F1537" s="13" t="str">
        <x:v>2017</x:v>
      </x:c>
      <x:c r="G1537" s="9" t="str">
        <x:v>England and Wales Court of Appeal (Civil Division)</x:v>
      </x:c>
      <x:c r="H1537" s="9" t="str">
        <x:v>Appellate</x:v>
      </x:c>
      <x:c r="I1537" s="9" t="str">
        <x:v>England and Wales</x:v>
      </x:c>
      <x:c r="J1537" s="9" t="str">
        <x:v>Data Protection</x:v>
      </x:c>
      <x:c r="K1537" s="9" t="str">
        <x:v>-ew-cases-EWCA-Civ-2017-121.xml</x:v>
      </x:c>
      <x:c r="L1537" s="9" t="str">
        <x:v>TBA</x:v>
      </x:c>
    </x:row>
    <x:row r="1538">
      <x:c r="A1538" t="str">
        <x:v>13c1824d-7c86-4281-8726-dd9164f72112</x:v>
      </x:c>
      <x:c r="B1538" t="str">
        <x:v>672d3bce-7b1b-4e62-9287-4ef647ce8a4b</x:v>
      </x:c>
      <x:c r="C1538" s="9" t="str">
        <x:v>ITV Broadcasting Ltd &amp; Ors v TVCatchup Ltd &amp; Ors [2015] EWCA Civ 204</x:v>
      </x:c>
      <x:c r="D1538" s="9" t="str"/>
      <x:c r="E1538" s="9" t="str"/>
      <x:c r="F1538" s="13" t="str">
        <x:v>2014</x:v>
      </x:c>
      <x:c r="G1538" s="9" t="str">
        <x:v>England and Wales Court of Appeal (Civil Division)</x:v>
      </x:c>
      <x:c r="H1538" s="9" t="str">
        <x:v>Appellate</x:v>
      </x:c>
      <x:c r="I1538" s="9" t="str">
        <x:v>England and Wales</x:v>
      </x:c>
      <x:c r="J1538" s="9" t="str">
        <x:v>Intellectual Property</x:v>
      </x:c>
      <x:c r="K1538" s="9" t="str">
        <x:v>-ew-cases-EWCA-Civ-2014-204.xml</x:v>
      </x:c>
      <x:c r="L1538" s="9" t="str">
        <x:v>TBA</x:v>
      </x:c>
    </x:row>
    <x:row r="1539">
      <x:c r="A1539" t="str">
        <x:v>8f88f44a-3717-4b55-8f42-cb843e299e13</x:v>
      </x:c>
      <x:c r="B1539" t="str">
        <x:v>05b0c3bb-9a8c-4883-a530-d7a1b852b1e6</x:v>
      </x:c>
      <x:c r="C1539" s="9" t="str">
        <x:v>ITV Broadcasting Ltd &amp; Ors v TVCatchup Ltd &amp; Ors [2015] EWCA Civ 204</x:v>
      </x:c>
      <x:c r="D1539" s="9" t="str"/>
      <x:c r="E1539" s="9" t="str"/>
      <x:c r="F1539" s="13" t="str">
        <x:v>2015</x:v>
      </x:c>
      <x:c r="G1539" s="9" t="str">
        <x:v>England and Wales Court of Appeal (Civil Division)</x:v>
      </x:c>
      <x:c r="H1539" s="9" t="str">
        <x:v>Appellate</x:v>
      </x:c>
      <x:c r="I1539" s="9" t="str">
        <x:v>England and Wales</x:v>
      </x:c>
      <x:c r="J1539" s="9" t="str">
        <x:v>Intellectual Property</x:v>
      </x:c>
      <x:c r="K1539" s="9" t="str">
        <x:v>-ew-cases-EWCA-Civ-2015-204.xml</x:v>
      </x:c>
      <x:c r="L1539" s="9" t="str">
        <x:v>TBA</x:v>
      </x:c>
    </x:row>
    <x:row r="1540">
      <x:c r="A1540" t="str">
        <x:v>e0baa2b1-6e10-4e7f-99bf-e2a46fdde3f8</x:v>
      </x:c>
      <x:c r="B1540" t="str">
        <x:v>4c259862-658f-49ff-b5f6-a487ed943f47</x:v>
      </x:c>
      <x:c r="C1540" s="9" t="str">
        <x:v>ITV Plc &amp; Ors v The Pensions Regulator &amp; Anor [2015] EWCA Civ 228</x:v>
      </x:c>
      <x:c r="D1540" s="9" t="str"/>
      <x:c r="E1540" s="9" t="str"/>
      <x:c r="F1540" s="13" t="str">
        <x:v>2015</x:v>
      </x:c>
      <x:c r="G1540" s="9" t="str">
        <x:v>England and Wales Court of Appeal (Civil Division)</x:v>
      </x:c>
      <x:c r="H1540" s="9" t="str">
        <x:v>Appellate</x:v>
      </x:c>
      <x:c r="I1540" s="9" t="str">
        <x:v>England and Wales</x:v>
      </x:c>
      <x:c r="J1540" s="9" t="str">
        <x:v>Pension Regulation</x:v>
      </x:c>
      <x:c r="K1540" s="9" t="str">
        <x:v>-ew-cases-EWCA-Civ-2015-228.xml</x:v>
      </x:c>
      <x:c r="L1540" s="9" t="str">
        <x:v>TBA</x:v>
      </x:c>
    </x:row>
    <x:row r="1541">
      <x:c r="A1541" t="str">
        <x:v>74c66a3a-e6de-4652-8cd7-b22c0397e928</x:v>
      </x:c>
      <x:c r="B1541" t="str">
        <x:v>34f65455-ab57-4843-8247-69713c6d5d1d</x:v>
      </x:c>
      <x:c r="C1541" s="9" t="str">
        <x:v>Iveco Ltd v Revenue And Customs</x:v>
      </x:c>
      <x:c r="D1541" s="9" t="str"/>
      <x:c r="E1541" s="9" t="str"/>
      <x:c r="F1541" s="13" t="str">
        <x:v>2017</x:v>
      </x:c>
      <x:c r="G1541" s="9" t="str">
        <x:v>England and Wales Court of Appeal (Civil Division)</x:v>
      </x:c>
      <x:c r="H1541" s="9" t="str">
        <x:v>Appellate</x:v>
      </x:c>
      <x:c r="I1541" s="9" t="str">
        <x:v>England and Wales</x:v>
      </x:c>
      <x:c r="J1541" s="9" t="str">
        <x:v>Tax Law</x:v>
      </x:c>
      <x:c r="K1541" s="9" t="str">
        <x:v>-ew-cases-EWCA-Civ-2017-1982.xml</x:v>
      </x:c>
      <x:c r="L1541" s="9" t="str">
        <x:v>TBA</x:v>
      </x:c>
    </x:row>
    <x:row r="1542">
      <x:c r="A1542" t="str">
        <x:v>333bab0a-b541-4546-9b21-e6b1826d19fa</x:v>
      </x:c>
      <x:c r="B1542" t="str">
        <x:v>67dfbdcf-f600-4cb2-9d06-c6fd00a0da60</x:v>
      </x:c>
      <x:c r="C1542" s="9" t="str">
        <x:v>Ivey v Genting Casinos UK Ltd (t/a Crockfords Club) [2016] EWCA Civ 1093</x:v>
      </x:c>
      <x:c r="D1542" s="9" t="str"/>
      <x:c r="E1542" s="9" t="str"/>
      <x:c r="F1542" s="13" t="str">
        <x:v>2016</x:v>
      </x:c>
      <x:c r="G1542" s="9" t="str">
        <x:v>England and Wales Court of Appeal (Civil Division)</x:v>
      </x:c>
      <x:c r="H1542" s="9" t="str">
        <x:v>Court of Appeal (Civil Division)</x:v>
      </x:c>
      <x:c r="I1542" s="9" t="str">
        <x:v>England and Wales</x:v>
      </x:c>
      <x:c r="J1542" s="9" t="str">
        <x:v>Civil dispute involving gambling contract and the meaning of cheating</x:v>
      </x:c>
      <x:c r="K1542" s="9" t="str">
        <x:v>-ew-cases-EWCA-Civ-2016-1093.xml</x:v>
      </x:c>
      <x:c r="L1542" s="9" t="str">
        <x:v>TBA</x:v>
      </x:c>
    </x:row>
    <x:row r="1543">
      <x:c r="A1543" t="str">
        <x:v>319d9a61-9994-4cab-9f4f-4a244594e8b2</x:v>
      </x:c>
      <x:c r="B1543" t="str">
        <x:v>c4c44b5b-43f4-4ab8-b91f-19cd049e48e0</x:v>
      </x:c>
      <x:c r="C1543" s="9" t="str">
        <x:v>Iyieke, R (On the Application Of) v Secretary of State for the Home Department [2022] EWCA Civ 1147</x:v>
      </x:c>
      <x:c r="D1543" s="9" t="str"/>
      <x:c r="E1543" s="9" t="str"/>
      <x:c r="F1543" s="13" t="str">
        <x:v>2022</x:v>
      </x:c>
      <x:c r="G1543" s="9" t="str">
        <x:v>England and Wales Court of Appeal (Civil Division)</x:v>
      </x:c>
      <x:c r="H1543" s="9" t="str">
        <x:v>Court of Appeal (Civil Division)</x:v>
      </x:c>
      <x:c r="I1543" s="9" t="str">
        <x:v>England and Wales</x:v>
      </x:c>
      <x:c r="J1543" s="9" t="str">
        <x:v>Immigration Law</x:v>
      </x:c>
      <x:c r="K1543" s="9" t="str">
        <x:v>ew-cases-EWCA-Civ-2022-1147.xml</x:v>
      </x:c>
      <x:c r="L1543" s="9" t="str">
        <x:v>TBA</x:v>
      </x:c>
    </x:row>
    <x:row r="1544">
      <x:c r="A1544" t="str">
        <x:v>4ede76d7-4ab2-4554-9934-50e22017b2dc</x:v>
      </x:c>
      <x:c r="B1544" t="str">
        <x:v>cacb5d9a-9e0d-482f-b905-78dbba64c288</x:v>
      </x:c>
      <x:c r="C1544" s="9" t="str">
        <x:v>J (A Child) [2015] EWCA Civ 222 – Appeal Against Care Order</x:v>
      </x:c>
      <x:c r="D1544" s="9" t="str"/>
      <x:c r="E1544" s="9" t="str"/>
      <x:c r="F1544" s="13" t="str">
        <x:v>2015</x:v>
      </x:c>
      <x:c r="G1544" s="9" t="str">
        <x:v>England and Wales Court of Appeal (Civil Division)</x:v>
      </x:c>
      <x:c r="H1544" s="9" t="str">
        <x:v>Appellate</x:v>
      </x:c>
      <x:c r="I1544" s="9" t="str">
        <x:v>England and Wales</x:v>
      </x:c>
      <x:c r="J1544" s="9" t="str">
        <x:v>Family Law - Child Care</x:v>
      </x:c>
      <x:c r="K1544" s="9" t="str">
        <x:v>-ew-cases-EWCA-Civ-2015-222.xml</x:v>
      </x:c>
      <x:c r="L1544" s="9" t="str">
        <x:v>TBA</x:v>
      </x:c>
    </x:row>
    <x:row r="1545">
      <x:c r="A1545" t="str">
        <x:v>0f812a88-5ade-431a-b4d9-0c2acf875d36</x:v>
      </x:c>
      <x:c r="B1545" t="str">
        <x:v>0c699b3e-7db1-40bc-aad7-55891e5bc870</x:v>
      </x:c>
      <x:c r="C1545" s="9" t="str">
        <x:v>J (Children: Reopening Findings of Fact) [2023] EWCA Civ 465</x:v>
      </x:c>
      <x:c r="D1545" s="9" t="str"/>
      <x:c r="E1545" s="9" t="str"/>
      <x:c r="F1545" s="13" t="str">
        <x:v>2023</x:v>
      </x:c>
      <x:c r="G1545" s="9" t="str">
        <x:v>England and Wales Court of Appeal (Civil Division)</x:v>
      </x:c>
      <x:c r="H1545" s="9" t="str">
        <x:v>Court of Appeal (Civil Division)</x:v>
      </x:c>
      <x:c r="I1545" s="9" t="str">
        <x:v>England and Wales</x:v>
      </x:c>
      <x:c r="J1545" s="9" t="str">
        <x:v>Care proceedings; Family Law; Reopening of findings of fact</x:v>
      </x:c>
      <x:c r="K1545" s="9" t="str">
        <x:v>ew-cases-EWCA-Civ-2023-465.xml</x:v>
      </x:c>
      <x:c r="L1545" s="9" t="str">
        <x:v>TBA</x:v>
      </x:c>
    </x:row>
    <x:row r="1546">
      <x:c r="A1546" t="str">
        <x:v>bfec19e3-6829-4560-893b-efedd6adc5e9</x:v>
      </x:c>
      <x:c r="B1546" t="str">
        <x:v>ae21065b-36ca-4a93-ae8e-410810a523d9</x:v>
      </x:c>
      <x:c r="C1546" s="9" t="str">
        <x:v>J (Children), Re [2017] EWCA Civ 398</x:v>
      </x:c>
      <x:c r="D1546" s="9" t="str"/>
      <x:c r="E1546" s="9" t="str"/>
      <x:c r="F1546" s="13" t="str">
        <x:v>2017</x:v>
      </x:c>
      <x:c r="G1546" s="9" t="str">
        <x:v>England and Wales Court of Appeal (Civil Division)</x:v>
      </x:c>
      <x:c r="H1546" s="9" t="str">
        <x:v>Appellate</x:v>
      </x:c>
      <x:c r="I1546" s="9" t="str">
        <x:v>England and Wales</x:v>
      </x:c>
      <x:c r="J1546" s="9" t="str">
        <x:v>Family Law</x:v>
      </x:c>
      <x:c r="K1546" s="9" t="str">
        <x:v>-ew-cases-EWCA-Civ-2017-398.xml</x:v>
      </x:c>
      <x:c r="L1546" s="9" t="str">
        <x:v>TBA</x:v>
      </x:c>
    </x:row>
    <x:row r="1547">
      <x:c r="A1547" t="str">
        <x:v>e3236ebc-72d1-432a-b294-384360681125</x:v>
      </x:c>
      <x:c r="B1547" t="str">
        <x:v>eb6cd095-eac1-4c34-a0f9-df0166aea299</x:v>
      </x:c>
      <x:c r="C1547" s="9" t="str">
        <x:v>J C and A Solicitors Ltd v Andeen Iqbal &amp; Anor [2017] EWCA Civ 355</x:v>
      </x:c>
      <x:c r="D1547" s="9" t="str"/>
      <x:c r="E1547" s="9" t="str"/>
      <x:c r="F1547" s="13" t="str">
        <x:v>2017</x:v>
      </x:c>
      <x:c r="G1547" s="9" t="str">
        <x:v>England and Wales Court of Appeal (Civil Division)</x:v>
      </x:c>
      <x:c r="H1547" s="9" t="str">
        <x:v>Appellate Court</x:v>
      </x:c>
      <x:c r="I1547" s="9" t="str">
        <x:v>England and Wales</x:v>
      </x:c>
      <x:c r="J1547" s="9" t="str">
        <x:v>Civil Appeal</x:v>
      </x:c>
      <x:c r="K1547" s="9" t="str">
        <x:v>-ew-cases-EWCA-Civ-2017-355.xml</x:v>
      </x:c>
      <x:c r="L1547" s="9" t="str">
        <x:v>TBA</x:v>
      </x:c>
    </x:row>
    <x:row r="1548">
      <x:c r="A1548" t="str">
        <x:v>9ac3bd32-6a43-4659-a094-e6d188328496</x:v>
      </x:c>
      <x:c r="B1548" t="str">
        <x:v>254a3dfc-d1e1-4e69-bf37-1783bdf03ddf</x:v>
      </x:c>
      <x:c r="C1548" s="9" t="str">
        <x:v>J N Hipwell &amp; Son v Szurek [2018] EWCA Civ 674</x:v>
      </x:c>
      <x:c r="D1548" s="9" t="str"/>
      <x:c r="E1548" s="9" t="str"/>
      <x:c r="F1548" s="13" t="str">
        <x:v>2018</x:v>
      </x:c>
      <x:c r="G1548" s="9" t="str">
        <x:v>England and Wales Court of Appeal (Civil Division)</x:v>
      </x:c>
      <x:c r="H1548" s="9" t="str">
        <x:v>Appellate</x:v>
      </x:c>
      <x:c r="I1548" s="9" t="str">
        <x:v>England and Wales</x:v>
      </x:c>
      <x:c r="J1548" s="9" t="str">
        <x:v>Contract Dispute</x:v>
      </x:c>
      <x:c r="K1548" s="9" t="str">
        <x:v>PT_EWCA-Civ_2018_674.xml</x:v>
      </x:c>
      <x:c r="L1548" s="9" t="str">
        <x:v>TBA</x:v>
      </x:c>
    </x:row>
    <x:row r="1549">
      <x:c r="A1549" t="str">
        <x:v>1c3d66b7-8d8d-496e-a954-fa8c2dad34aa</x:v>
      </x:c>
      <x:c r="B1549" t="str">
        <x:v>25f7efa7-6604-4721-9f45-68e53e39467d</x:v>
      </x:c>
      <x:c r="C1549" s="9" t="str">
        <x:v>J P Whitter (Waterwell Engineers) Ltd v HM Revenue and Customs [2016] EWCA Civ 1160</x:v>
      </x:c>
      <x:c r="D1549" s="9" t="str"/>
      <x:c r="E1549" s="9" t="str"/>
      <x:c r="F1549" s="13" t="str">
        <x:v>2016</x:v>
      </x:c>
      <x:c r="G1549" s="9" t="str">
        <x:v>England and Wales Court of Appeal (Civil Division)</x:v>
      </x:c>
      <x:c r="H1549" s="9" t="str">
        <x:v>Court of Appeal (Civil Division)</x:v>
      </x:c>
      <x:c r="I1549" s="9" t="str">
        <x:v>England and Wales</x:v>
      </x:c>
      <x:c r="J1549" s="9" t="str">
        <x:v>Tax Law / Administrative Law</x:v>
      </x:c>
      <x:c r="K1549" s="9" t="str">
        <x:v>-ew-cases-EWCA-Civ-2016-1160.xml</x:v>
      </x:c>
      <x:c r="L1549" s="9" t="str">
        <x:v>TBA</x:v>
      </x:c>
    </x:row>
    <x:row r="1550">
      <x:c r="A1550" t="str">
        <x:v>44376784-3b2d-4ce3-b1cd-c81e5c16ba68</x:v>
      </x:c>
      <x:c r="B1550" t="str">
        <x:v>016fd886-d85b-4e1c-a5f7-204c312dda9e</x:v>
      </x:c>
      <x:c r="C1550" s="9" t="str">
        <x:v>J S Bloor (Wilmslow) Ltd v Homes and Communities Agency</x:v>
      </x:c>
      <x:c r="D1550" s="9" t="str"/>
      <x:c r="E1550" s="9" t="str"/>
      <x:c r="F1550" s="13" t="str">
        <x:v>2015</x:v>
      </x:c>
      <x:c r="G1550" s="9" t="str">
        <x:v>England and Wales Court of Appeal (Civil Division)</x:v>
      </x:c>
      <x:c r="H1550" s="9" t="str">
        <x:v>Appellate</x:v>
      </x:c>
      <x:c r="I1550" s="9" t="str">
        <x:v>England and Wales</x:v>
      </x:c>
      <x:c r="J1550" s="9" t="str">
        <x:v>Property Law</x:v>
      </x:c>
      <x:c r="K1550" s="9" t="str">
        <x:v>-ew-cases-EWCA-Civ-2015-540.xml</x:v>
      </x:c>
      <x:c r="L1550" s="9" t="str">
        <x:v>TBA</x:v>
      </x:c>
    </x:row>
    <x:row r="1551">
      <x:c r="A1551" t="str">
        <x:v>87d34a8d-c69e-4f8f-a052-3285fd15c978</x:v>
      </x:c>
      <x:c r="B1551" t="str">
        <x:v>93f96b6c-e159-4d0f-9a4a-426b59236c55</x:v>
      </x:c>
      <x:c r="C1551" s="9" t="str">
        <x:v>J v A South Wales Local Authority [2021] EWCA Civ 1102</x:v>
      </x:c>
      <x:c r="D1551" s="9" t="str"/>
      <x:c r="E1551" s="9" t="str"/>
      <x:c r="F1551" s="13" t="str">
        <x:v>2021</x:v>
      </x:c>
      <x:c r="G1551" s="9" t="str">
        <x:v>England and Wales Court of Appeal (Civil Division)</x:v>
      </x:c>
      <x:c r="H1551" s="9" t="str">
        <x:v>Appellate</x:v>
      </x:c>
      <x:c r="I1551" s="9" t="str">
        <x:v>England and Wales</x:v>
      </x:c>
      <x:c r="J1551" s="9" t="str">
        <x:v>Tort Law</x:v>
      </x:c>
      <x:c r="K1551" s="9" t="str">
        <x:v>ew-cases-EWCA-Civ-2021-1102.xml</x:v>
      </x:c>
      <x:c r="L1551" s="9" t="str">
        <x:v>TBA</x:v>
      </x:c>
    </x:row>
    <x:row r="1552">
      <x:c r="A1552" t="str">
        <x:v>8cef91a3-622e-4f33-a1f7-cbef6db663da</x:v>
      </x:c>
      <x:c r="B1552" t="str">
        <x:v>76527f6d-f4e3-4008-97d4-6932994987a1</x:v>
      </x:c>
      <x:c r="C1552" s="9" t="str">
        <x:v>J v. C [2015] EWCA Civ 1019 - Appeal on Committal for Breach of Parental Return Orders Under Hague Convention</x:v>
      </x:c>
      <x:c r="D1552" s="9" t="str"/>
      <x:c r="E1552" s="9" t="str"/>
      <x:c r="F1552" s="13" t="str">
        <x:v>2015</x:v>
      </x:c>
      <x:c r="G1552" s="9" t="str">
        <x:v>England and Wales Court of Appeal (Civil Division)</x:v>
      </x:c>
      <x:c r="H1552" s="9" t="str">
        <x:v>Appellate</x:v>
      </x:c>
      <x:c r="I1552" s="9" t="str">
        <x:v>England and Wales</x:v>
      </x:c>
      <x:c r="J1552" s="9" t="str">
        <x:v>Family Law</x:v>
      </x:c>
      <x:c r="K1552" s="9" t="str">
        <x:v>-ew-cases-EWCA-Civ-2015-1019.xml</x:v>
      </x:c>
      <x:c r="L1552" s="9" t="str">
        <x:v>TBA</x:v>
      </x:c>
    </x:row>
    <x:row r="1553">
      <x:c r="A1553" t="str">
        <x:v>77818b80-8374-4521-8bc3-db26e523a468</x:v>
      </x:c>
      <x:c r="B1553" t="str">
        <x:v>0d8ccf95-3fbc-4ab1-b7e9-1159dc324e04</x:v>
      </x:c>
      <x:c r="C1553" s="9" t="str">
        <x:v>J-A (Children) [2014] EWCA Civ 936</x:v>
      </x:c>
      <x:c r="D1553" s="9" t="str"/>
      <x:c r="E1553" s="9" t="str"/>
      <x:c r="F1553" s="13" t="str">
        <x:v>2014</x:v>
      </x:c>
      <x:c r="G1553" s="9" t="str">
        <x:v>England and Wales Court of Appeal (Civil Division)</x:v>
      </x:c>
      <x:c r="H1553" s="9" t="str">
        <x:v>appellate</x:v>
      </x:c>
      <x:c r="I1553" s="9" t="str">
        <x:v>England and Wales</x:v>
      </x:c>
      <x:c r="J1553" s="9" t="str">
        <x:v>Family Law</x:v>
      </x:c>
      <x:c r="K1553" s="9" t="str">
        <x:v>-ew-cases-EWCA-Civ-2014-936.xml</x:v>
      </x:c>
      <x:c r="L1553" s="9" t="str">
        <x:v>TBA</x:v>
      </x:c>
    </x:row>
    <x:row r="1554">
      <x:c r="A1554" t="str">
        <x:v>265a489e-3bf1-4f8b-9d15-b9d9cd477d53</x:v>
      </x:c>
      <x:c r="B1554" t="str">
        <x:v>7d28e616-3f42-447e-8d31-e8160a70e6c8</x:v>
      </x:c>
      <x:c r="C1554" s="9" t="str">
        <x:v>J-M (Child) [2014] EWCA Civ 434</x:v>
      </x:c>
      <x:c r="D1554" s="9" t="str"/>
      <x:c r="E1554" s="9" t="str"/>
      <x:c r="F1554" s="13" t="str">
        <x:v>2014</x:v>
      </x:c>
      <x:c r="G1554" s="9" t="str">
        <x:v>England and Wales Court of Appeal (Civil Division)</x:v>
      </x:c>
      <x:c r="H1554" s="9" t="str">
        <x:v>Appellate</x:v>
      </x:c>
      <x:c r="I1554" s="9" t="str">
        <x:v>England and Wales</x:v>
      </x:c>
      <x:c r="J1554" s="9" t="str">
        <x:v>Family Law</x:v>
      </x:c>
      <x:c r="K1554" s="9" t="str">
        <x:v>-ew-cases-EWCA-Civ-2014-434.xml</x:v>
      </x:c>
      <x:c r="L1554" s="9" t="str">
        <x:v>TBA</x:v>
      </x:c>
    </x:row>
    <x:row r="1555">
      <x:c r="A1555" t="str">
        <x:v>e7d948f4-5f42-4e53-bb5e-059591e8872f</x:v>
      </x:c>
      <x:c r="B1555" t="str">
        <x:v>7fe9b592-0ffd-4a91-8544-2c2f722caa42</x:v>
      </x:c>
      <x:c r="C1555" s="9" t="str">
        <x:v>J, R (on Application of) v Worcestershire County Council</x:v>
      </x:c>
      <x:c r="D1555" s="9" t="str"/>
      <x:c r="E1555" s="9" t="str"/>
      <x:c r="F1555" s="13" t="str">
        <x:v>2014</x:v>
      </x:c>
      <x:c r="G1555" s="9" t="str">
        <x:v>England and Wales Court of Appeal (Civil Division)</x:v>
      </x:c>
      <x:c r="H1555" s="9" t="str">
        <x:v>Appellate</x:v>
      </x:c>
      <x:c r="I1555" s="9" t="str">
        <x:v>England and Wales</x:v>
      </x:c>
      <x:c r="J1555" s="9" t="str">
        <x:v>Administrative Law</x:v>
      </x:c>
      <x:c r="K1555" s="9" t="str">
        <x:v>-ew-cases-EWCA-Civ-2014-1518.xml</x:v>
      </x:c>
      <x:c r="L1555" s="9" t="str">
        <x:v>TBA</x:v>
      </x:c>
    </x:row>
    <x:row r="1556">
      <x:c r="A1556" t="str">
        <x:v>1a24d5c4-d3ea-4d6b-92f0-256f7e365d4a</x:v>
      </x:c>
      <x:c r="B1556" t="str">
        <x:v>810fd38a-a0d0-4f64-9aac-29f8651384cf</x:v>
      </x:c>
      <x:c r="C1556" s="9" t="str">
        <x:v>J, R (On the Application Of) v Leicestershire County Council</x:v>
      </x:c>
      <x:c r="D1556" s="9" t="str"/>
      <x:c r="E1556" s="9" t="str"/>
      <x:c r="F1556" s="13" t="str">
        <x:v>2014</x:v>
      </x:c>
      <x:c r="G1556" s="9" t="str">
        <x:v>England and Wales Court of Appeal (Civil Division)</x:v>
      </x:c>
      <x:c r="H1556" s="9" t="str">
        <x:v>Appellate</x:v>
      </x:c>
      <x:c r="I1556" s="9" t="str">
        <x:v>England and Wales</x:v>
      </x:c>
      <x:c r="J1556" s="9" t="str">
        <x:v>Judicial Review</x:v>
      </x:c>
      <x:c r="K1556" s="9" t="str">
        <x:v>-ew-cases-EWCA-Civ-2014-1059.xml</x:v>
      </x:c>
      <x:c r="L1556" s="9" t="str">
        <x:v>TBA</x:v>
      </x:c>
    </x:row>
    <x:row r="1557">
      <x:c r="A1557" t="str">
        <x:v>b4694bec-a17c-4b98-adc6-bbf362d1ea2e</x:v>
      </x:c>
      <x:c r="B1557" t="str">
        <x:v>411de80c-149c-4282-ac65-0d1081e7eed4</x:v>
      </x:c>
      <x:c r="C1557" s="9" t="str">
        <x:v>JA (Afghanistan) v Secretary of State for the Home Department</x:v>
      </x:c>
      <x:c r="D1557" s="9" t="str"/>
      <x:c r="E1557" s="9" t="str"/>
      <x:c r="F1557" s="13" t="str">
        <x:v>2014</x:v>
      </x:c>
      <x:c r="G1557" s="9" t="str">
        <x:v>England and Wales Court of Appeal (Civil Division)</x:v>
      </x:c>
      <x:c r="H1557" s="9" t="str">
        <x:v>Appellate</x:v>
      </x:c>
      <x:c r="I1557" s="9" t="str">
        <x:v>England and Wales</x:v>
      </x:c>
      <x:c r="J1557" s="9" t="str">
        <x:v>Immigration Law</x:v>
      </x:c>
      <x:c r="K1557" s="9" t="str">
        <x:v>-ew-cases-EWCA-Civ-2014-450.xml</x:v>
      </x:c>
      <x:c r="L1557" s="9" t="str">
        <x:v>TBA</x:v>
      </x:c>
    </x:row>
    <x:row r="1558">
      <x:c r="A1558" t="str">
        <x:v>c1a43c3c-021f-4b85-af50-2ae1828bd77d</x:v>
      </x:c>
      <x:c r="B1558" t="str">
        <x:v>91ebe769-0493-491c-a23d-c09e24ea6103</x:v>
      </x:c>
      <x:c r="C1558" s="9" t="str">
        <x:v>JA (Ghana) v The Secretary of State for the Home Department [2015] EWCA Civ 1031</x:v>
      </x:c>
      <x:c r="D1558" s="9" t="str"/>
      <x:c r="E1558" s="9" t="str"/>
      <x:c r="F1558" s="13" t="str">
        <x:v>2015</x:v>
      </x:c>
      <x:c r="G1558" s="9" t="str">
        <x:v>England and Wales Court of Appeal (Civil Division)</x:v>
      </x:c>
      <x:c r="H1558" s="9" t="str">
        <x:v>Appellate</x:v>
      </x:c>
      <x:c r="I1558" s="9" t="str">
        <x:v>England and Wales</x:v>
      </x:c>
      <x:c r="J1558" s="9" t="str">
        <x:v>Immigration Law</x:v>
      </x:c>
      <x:c r="K1558" s="9" t="str">
        <x:v>-ew-cases-EWCA-Civ-2015-1031.xml</x:v>
      </x:c>
      <x:c r="L1558" s="9" t="str">
        <x:v>TBA</x:v>
      </x:c>
    </x:row>
    <x:row r="1559">
      <x:c r="A1559" t="str">
        <x:v>061c8d3b-fd41-44a1-909b-019973699494</x:v>
      </x:c>
      <x:c r="B1559" t="str">
        <x:v>2bc89040-44d9-4ccb-a24b-fa7b1bd5690d</x:v>
      </x:c>
      <x:c r="C1559" s="9" t="str">
        <x:v>JA (Sri Lanka) v Secretary of State for the Home Department [2015] EWCA Civ 964</x:v>
      </x:c>
      <x:c r="D1559" s="9" t="str"/>
      <x:c r="E1559" s="9" t="str"/>
      <x:c r="F1559" s="13" t="str">
        <x:v>2015</x:v>
      </x:c>
      <x:c r="G1559" s="9" t="str">
        <x:v>England and Wales Court of Appeal (Civil Division)</x:v>
      </x:c>
      <x:c r="H1559" s="9" t="str">
        <x:v>Appellate</x:v>
      </x:c>
      <x:c r="I1559" s="9" t="str">
        <x:v>England and Wales</x:v>
      </x:c>
      <x:c r="J1559" s="9" t="str">
        <x:v>Immigration Law</x:v>
      </x:c>
      <x:c r="K1559" s="9" t="str">
        <x:v>-ew-cases-EWCA-Civ-2015-964.xml</x:v>
      </x:c>
      <x:c r="L1559" s="9" t="str">
        <x:v>TBA</x:v>
      </x:c>
    </x:row>
    <x:row r="1560">
      <x:c r="A1560" t="str">
        <x:v>cda5b588-97e3-4b6b-ae9c-f9cd67a10728</x:v>
      </x:c>
      <x:c r="B1560" t="str">
        <x:v>0041913b-163e-4731-a443-e5a39849646a</x:v>
      </x:c>
      <x:c r="C1560" s="9" t="str">
        <x:v>Jackson v Murray &amp; Anor [2015] UKSC 5</x:v>
      </x:c>
      <x:c r="D1560" s="9" t="str"/>
      <x:c r="E1560" s="9" t="str"/>
      <x:c r="F1560" s="13" t="str">
        <x:v>2015</x:v>
      </x:c>
      <x:c r="G1560" s="9" t="str">
        <x:v>United Kingdom Supreme Court</x:v>
      </x:c>
      <x:c r="H1560" s="9" t="str">
        <x:v>Supreme Court</x:v>
      </x:c>
      <x:c r="I1560" s="9" t="str">
        <x:v>United Kingdom</x:v>
      </x:c>
      <x:c r="J1560" s="9" t="str">
        <x:v>Tort</x:v>
      </x:c>
      <x:c r="K1560" s="9" t="str">
        <x:v>PT_UKSC_2015_5.xml</x:v>
      </x:c>
      <x:c r="L1560" s="9" t="str">
        <x:v>TBA</x:v>
      </x:c>
    </x:row>
    <x:row r="1561">
      <x:c r="A1561" t="str">
        <x:v>1a02e1bb-689c-4aff-b7fc-cc8073c0d3bc</x:v>
      </x:c>
      <x:c r="B1561" t="str">
        <x:v>b3f72123-a749-414d-9f1d-85b8d1b7e1d2</x:v>
      </x:c>
      <x:c r="C1561" s="9" t="str">
        <x:v>Jackson v Thompsons Solicitors (A Firm) &amp; Ors [2016] EWCA Civ 138</x:v>
      </x:c>
      <x:c r="D1561" s="9" t="str"/>
      <x:c r="E1561" s="9" t="str"/>
      <x:c r="F1561" s="13" t="str">
        <x:v>2016</x:v>
      </x:c>
      <x:c r="G1561" s="9" t="str">
        <x:v>England and Wales Court of Appeal (Civil Division)</x:v>
      </x:c>
      <x:c r="H1561" s="9" t="str">
        <x:v>Court of Appeal (Civil Division)</x:v>
      </x:c>
      <x:c r="I1561" s="9" t="str">
        <x:v>England and Wales</x:v>
      </x:c>
      <x:c r="J1561" s="9" t="str">
        <x:v>Civil</x:v>
      </x:c>
      <x:c r="K1561" s="9" t="str">
        <x:v>-ew-cases-EWCA-Civ-2016-138.xml</x:v>
      </x:c>
      <x:c r="L1561" s="9" t="str">
        <x:v>TBA</x:v>
      </x:c>
    </x:row>
    <x:row r="1562">
      <x:c r="A1562" t="str">
        <x:v>0aec6414-f1c8-45cb-ba76-4d5ccd202f7e</x:v>
      </x:c>
      <x:c r="B1562" t="str">
        <x:v>9a27264c-bfec-4468-9e44-c8016d416f24</x:v>
      </x:c>
      <x:c r="C1562" s="9" t="str">
        <x:v>Jacobs v Sesame Ltd [2014] EWCA Civ 1410: Limitation Act and Negligence Claim</x:v>
      </x:c>
      <x:c r="D1562" s="9" t="str"/>
      <x:c r="E1562" s="9" t="str"/>
      <x:c r="F1562" s="13" t="str">
        <x:v>2014</x:v>
      </x:c>
      <x:c r="G1562" s="9" t="str">
        <x:v>England and Wales Court of Appeal (Civil Division)</x:v>
      </x:c>
      <x:c r="H1562" s="9" t="str">
        <x:v>Appellate</x:v>
      </x:c>
      <x:c r="I1562" s="9" t="str">
        <x:v>England and Wales</x:v>
      </x:c>
      <x:c r="J1562" s="9" t="str">
        <x:v>Negligence</x:v>
      </x:c>
      <x:c r="K1562" s="9" t="str">
        <x:v>-ew-cases-EWCA-Civ-2014-1410.xml</x:v>
      </x:c>
      <x:c r="L1562" s="9" t="str">
        <x:v>TBA</x:v>
      </x:c>
    </x:row>
    <x:row r="1563">
      <x:c r="A1563" t="str">
        <x:v>e60d6ac9-b20f-445a-9347-0fb7b0348670</x:v>
      </x:c>
      <x:c r="B1563" t="str">
        <x:v>29190db1-6f4f-49a2-84d9-84e5a2091581</x:v>
      </x:c>
      <x:c r="C1563" s="9" t="str">
        <x:v>Jafri v Lincoln College [2014] EWCA Civ 449</x:v>
      </x:c>
      <x:c r="D1563" s="9" t="str"/>
      <x:c r="E1563" s="9" t="str"/>
      <x:c r="F1563" s="13" t="str">
        <x:v>2014</x:v>
      </x:c>
      <x:c r="G1563" s="9" t="str">
        <x:v>England and Wales Court of Appeal (Civil Division)</x:v>
      </x:c>
      <x:c r="H1563" s="9" t="str">
        <x:v>Appellate</x:v>
      </x:c>
      <x:c r="I1563" s="9" t="str">
        <x:v>England and Wales</x:v>
      </x:c>
      <x:c r="J1563" s="9" t="str">
        <x:v>Employment Law</x:v>
      </x:c>
      <x:c r="K1563" s="9" t="str">
        <x:v>-ew-cases-EWCA-Civ-2014-449.xml</x:v>
      </x:c>
      <x:c r="L1563" s="9" t="str">
        <x:v>TBA</x:v>
      </x:c>
    </x:row>
    <x:row r="1564">
      <x:c r="A1564" t="str">
        <x:v>fca9a0cf-6e1f-4906-b69c-ea0e9f742527</x:v>
      </x:c>
      <x:c r="B1564" t="str">
        <x:v>2f5e0e81-62cb-4143-9a75-62a35186ee2f</x:v>
      </x:c>
      <x:c r="C1564" s="9" t="str">
        <x:v>Jakimaviciute, R (on the Application of) v Hammersmith and Fulham London Borough Council</x:v>
      </x:c>
      <x:c r="D1564" s="9" t="str"/>
      <x:c r="E1564" s="9" t="str"/>
      <x:c r="F1564" s="13" t="str">
        <x:v>2014</x:v>
      </x:c>
      <x:c r="G1564" s="9" t="str">
        <x:v>England and Wales Court of Appeal (Civil Division)</x:v>
      </x:c>
      <x:c r="H1564" s="9" t="str">
        <x:v>Appellate</x:v>
      </x:c>
      <x:c r="I1564" s="9" t="str">
        <x:v>England and Wales</x:v>
      </x:c>
      <x:c r="J1564" s="9" t="str">
        <x:v>Judicial Review</x:v>
      </x:c>
      <x:c r="K1564" s="9" t="str">
        <x:v>-ew-cases-EWCA-Civ-2014-1438.xml</x:v>
      </x:c>
      <x:c r="L1564" s="9" t="str">
        <x:v>TBA</x:v>
      </x:c>
    </x:row>
    <x:row r="1565">
      <x:c r="A1565" t="str">
        <x:v>43c33c72-f773-4b59-a44f-bdc04a70c265</x:v>
      </x:c>
      <x:c r="B1565" t="str">
        <x:v>ed93b9d5-e1f3-4dd6-921b-548b30e24f80</x:v>
      </x:c>
      <x:c r="C1565" s="9" t="str">
        <x:v>Jalla &amp; Anor v Shell International Trading And Shipping Co Ltd &amp; Anor (Appeal (2): Representative Action)</x:v>
      </x:c>
      <x:c r="D1565" s="9" t="str"/>
      <x:c r="E1565" s="9" t="str"/>
      <x:c r="F1565" s="13" t="str">
        <x:v>2021</x:v>
      </x:c>
      <x:c r="G1565" s="9" t="str">
        <x:v>England and Wales Court of Appeal (Civil Division)</x:v>
      </x:c>
      <x:c r="H1565" s="9" t="str">
        <x:v>Appellate</x:v>
      </x:c>
      <x:c r="I1565" s="9" t="str">
        <x:v>England and Wales</x:v>
      </x:c>
      <x:c r="J1565" s="9" t="str">
        <x:v>Tort Law</x:v>
      </x:c>
      <x:c r="K1565" s="9" t="str">
        <x:v>ew-cases-EWCA-Civ-2021-1389.xml</x:v>
      </x:c>
      <x:c r="L1565" s="9" t="str">
        <x:v>TBA</x:v>
      </x:c>
    </x:row>
    <x:row r="1566">
      <x:c r="A1566" t="str">
        <x:v>c4746421-8aa0-4f43-9d23-f6f318a89b7e</x:v>
      </x:c>
      <x:c r="B1566" t="str">
        <x:v>bc0f0dc5-e432-49a1-9bba-bf88d18190c1</x:v>
      </x:c>
      <x:c r="C1566" s="9" t="str">
        <x:v>Jalla &amp; Anor v Shell International Trading And Shipping Co. Ltd &amp; Anor (Appeal 3: Refusal to Extend Time) [2021] EWCA Civ 1559</x:v>
      </x:c>
      <x:c r="D1566" s="9" t="str"/>
      <x:c r="E1566" s="9" t="str"/>
      <x:c r="F1566" s="13" t="str">
        <x:v>2021</x:v>
      </x:c>
      <x:c r="G1566" s="9" t="str">
        <x:v>England and Wales Court of Appeal (Civil Division)</x:v>
      </x:c>
      <x:c r="H1566" s="9" t="str">
        <x:v>Appellate</x:v>
      </x:c>
      <x:c r="I1566" s="9" t="str">
        <x:v>England and Wales</x:v>
      </x:c>
      <x:c r="J1566" s="9" t="str">
        <x:v>Procedural Law</x:v>
      </x:c>
      <x:c r="K1566" s="9" t="str">
        <x:v>ew-cases-EWCA-Civ-2021-1559.xml</x:v>
      </x:c>
      <x:c r="L1566" s="9" t="str">
        <x:v>TBA</x:v>
      </x:c>
    </x:row>
    <x:row r="1567">
      <x:c r="A1567" t="str">
        <x:v>8febdc26-985d-421a-990d-36cf1b27308b</x:v>
      </x:c>
      <x:c r="B1567" t="str">
        <x:v>550c6d99-4e9a-4b03-b179-b797c9fcb171</x:v>
      </x:c>
      <x:c r="C1567" s="9" t="str">
        <x:v>Jalla &amp; Ors v Shell International Trading and Shipping Company &amp; Anor</x:v>
      </x:c>
      <x:c r="D1567" s="9" t="str"/>
      <x:c r="E1567" s="9" t="str"/>
      <x:c r="F1567" s="13" t="str">
        <x:v>2021</x:v>
      </x:c>
      <x:c r="G1567" s="9" t="str">
        <x:v>England and Wales Court of Appeal (Civil Division)</x:v>
      </x:c>
      <x:c r="H1567" s="9" t="str">
        <x:v>Appellate</x:v>
      </x:c>
      <x:c r="I1567" s="9" t="str">
        <x:v>United Kingdom</x:v>
      </x:c>
      <x:c r="J1567" s="9" t="str">
        <x:v>Civil Law</x:v>
      </x:c>
      <x:c r="K1567" s="9" t="str">
        <x:v>ew-cases-EWCA-Civ-2021-63.xml</x:v>
      </x:c>
      <x:c r="L1567" s="9" t="str">
        <x:v>TBA</x:v>
      </x:c>
    </x:row>
    <x:row r="1568">
      <x:c r="A1568" t="str">
        <x:v>5fe561a3-e550-426d-9746-ab4861ac79f6</x:v>
      </x:c>
      <x:c r="B1568" t="str">
        <x:v>76457be2-a55e-4b5f-8fa4-2614fe50a2a2</x:v>
      </x:c>
      <x:c r="C1568" s="9" t="str">
        <x:v>Jallow v Secretary of State for the Home Department</x:v>
      </x:c>
      <x:c r="D1568" s="9" t="str"/>
      <x:c r="E1568" s="9" t="str"/>
      <x:c r="F1568" s="13" t="str">
        <x:v>2021</x:v>
      </x:c>
      <x:c r="G1568" s="9" t="str">
        <x:v>England and Wales Court of Appeal (Civil Division)</x:v>
      </x:c>
      <x:c r="H1568" s="9" t="str">
        <x:v>appellate</x:v>
      </x:c>
      <x:c r="I1568" s="9" t="str">
        <x:v>England and Wales</x:v>
      </x:c>
      <x:c r="J1568" s="9" t="str">
        <x:v>Immigration</x:v>
      </x:c>
      <x:c r="K1568" s="9" t="str">
        <x:v>ew-cases-EWCA-Civ-2021-788.xml</x:v>
      </x:c>
      <x:c r="L1568" s="9" t="str">
        <x:v>TBA</x:v>
      </x:c>
    </x:row>
    <x:row r="1569">
      <x:c r="A1569" t="str">
        <x:v>b58e0b4c-59af-452d-b127-2c325aa02cc2</x:v>
      </x:c>
      <x:c r="B1569" t="str">
        <x:v>0e5bbfc9-3497-4079-b3c4-3570851600e6</x:v>
      </x:c>
      <x:c r="C1569" s="9" t="str">
        <x:v>Jamai v Otkkritie International Investment Management [2015] EWCA Civ 916</x:v>
      </x:c>
      <x:c r="D1569" s="9" t="str"/>
      <x:c r="E1569" s="9" t="str"/>
      <x:c r="F1569" s="13" t="str">
        <x:v>2015</x:v>
      </x:c>
      <x:c r="G1569" s="9" t="str">
        <x:v>England and Wales Court of Appeal (Civil Division)</x:v>
      </x:c>
      <x:c r="H1569" s="9" t="str">
        <x:v>Appellate</x:v>
      </x:c>
      <x:c r="I1569" s="9" t="str">
        <x:v>England and Wales</x:v>
      </x:c>
      <x:c r="J1569" s="9" t="str">
        <x:v>Civil Appeal</x:v>
      </x:c>
      <x:c r="K1569" s="9" t="str">
        <x:v>-ew-cases-EWCA-Civ-2015-916.xml</x:v>
      </x:c>
      <x:c r="L1569" s="9" t="str">
        <x:v>TBA</x:v>
      </x:c>
    </x:row>
    <x:row r="1570">
      <x:c r="A1570" t="str">
        <x:v>42b1d30d-e609-4cd8-9a19-4960b57121c3</x:v>
      </x:c>
      <x:c r="B1570" t="str">
        <x:v>47c9c661-fe50-444e-8eb2-faf3fa2b12ba</x:v>
      </x:c>
      <x:c r="C1570" s="9" t="str">
        <x:v>James v HM Prison Birmingham: Judicial Review on Committal for Civil Contempt</x:v>
      </x:c>
      <x:c r="D1570" s="9" t="str"/>
      <x:c r="E1570" s="9" t="str"/>
      <x:c r="F1570" s="13" t="str">
        <x:v>2015</x:v>
      </x:c>
      <x:c r="G1570" s="9" t="str">
        <x:v>England and Wales Court of Appeal (Civil Division)</x:v>
      </x:c>
      <x:c r="H1570" s="9" t="str">
        <x:v>Appellate</x:v>
      </x:c>
      <x:c r="I1570" s="9" t="str">
        <x:v>England and Wales</x:v>
      </x:c>
      <x:c r="J1570" s="9" t="str">
        <x:v>Administrative Law</x:v>
      </x:c>
      <x:c r="K1570" s="9" t="str">
        <x:v>-ew-cases-EWCA-Civ-2015-58.xml</x:v>
      </x:c>
      <x:c r="L1570" s="9" t="str">
        <x:v>TBA</x:v>
      </x:c>
    </x:row>
    <x:row r="1571">
      <x:c r="A1571" t="str">
        <x:v>e1e16655-e6dc-401d-9e6e-30ee888a87eb</x:v>
      </x:c>
      <x:c r="B1571" t="str">
        <x:v>1c5d6c51-24d9-45e7-8137-ef2a40d586fb</x:v>
      </x:c>
      <x:c r="C1571" s="9" t="str">
        <x:v>James-Bowen &amp; Ors v Commissioner of Police for the Metropolis (Rev 1) [2016] EWCA Civ 1217</x:v>
      </x:c>
      <x:c r="D1571" s="9" t="str"/>
      <x:c r="E1571" s="9" t="str"/>
      <x:c r="F1571" s="13" t="str">
        <x:v>2016</x:v>
      </x:c>
      <x:c r="G1571" s="9" t="str">
        <x:v>England and Wales Court of Appeal (Civil Division)</x:v>
      </x:c>
      <x:c r="H1571" s="9" t="str">
        <x:v>Court of Appeal (Civil Division)</x:v>
      </x:c>
      <x:c r="I1571" s="9" t="str">
        <x:v>England and Wales</x:v>
      </x:c>
      <x:c r="J1571" s="9" t="str">
        <x:v>Tort / Civil procedure / Negligence</x:v>
      </x:c>
      <x:c r="K1571" s="9" t="str">
        <x:v>-ew-cases-EWCA-Civ-2016-1217.xml</x:v>
      </x:c>
      <x:c r="L1571" s="9" t="str">
        <x:v>TBA</x:v>
      </x:c>
    </x:row>
    <x:row r="1572">
      <x:c r="A1572" t="str">
        <x:v>3e5a3c7f-7914-480c-8162-7e44bf20bdf7</x:v>
      </x:c>
      <x:c r="B1572" t="str">
        <x:v>e1a1d0af-3b92-4584-aff4-d5eec97cbc1d</x:v>
      </x:c>
      <x:c r="C1572" s="9" t="str">
        <x:v>Jarden Consumer Solutions (Europe) Ltd v SEB SA &amp; Anor [2014] EWCA Civ 1629</x:v>
      </x:c>
      <x:c r="D1572" s="9" t="str"/>
      <x:c r="E1572" s="9" t="str"/>
      <x:c r="F1572" s="13" t="str">
        <x:v>2014</x:v>
      </x:c>
      <x:c r="G1572" s="9" t="str">
        <x:v>England and Wales Court of Appeal (Civil Division)</x:v>
      </x:c>
      <x:c r="H1572" s="9" t="str">
        <x:v>Appellate</x:v>
      </x:c>
      <x:c r="I1572" s="9" t="str">
        <x:v>England and Wales</x:v>
      </x:c>
      <x:c r="J1572" s="9" t="str">
        <x:v>Patent Law</x:v>
      </x:c>
      <x:c r="K1572" s="9" t="str">
        <x:v>-ew-cases-EWCA-Civ-2014-1629.xml</x:v>
      </x:c>
      <x:c r="L1572" s="9" t="str">
        <x:v>TBA</x:v>
      </x:c>
    </x:row>
    <x:row r="1573">
      <x:c r="A1573" t="str">
        <x:v>b78befd7-87af-4162-95a1-f3ba2ba043a8</x:v>
      </x:c>
      <x:c r="B1573" t="str">
        <x:v>48e5c438-1346-4238-9174-e0f3e38c025d</x:v>
      </x:c>
      <x:c r="C1573" s="9" t="str">
        <x:v>Jazztel plc v Revenue and Customs [2022] EWCA Civ 232</x:v>
      </x:c>
      <x:c r="D1573" s="9" t="str"/>
      <x:c r="E1573" s="9" t="str"/>
      <x:c r="F1573" s="13" t="str">
        <x:v>2022</x:v>
      </x:c>
      <x:c r="G1573" s="9" t="str">
        <x:v>England and Wales Court of Appeal (Civil Division)</x:v>
      </x:c>
      <x:c r="H1573" s="9" t="str">
        <x:v>Court of Appeal (Civil Division)</x:v>
      </x:c>
      <x:c r="I1573" s="9" t="str">
        <x:v>England and Wales</x:v>
      </x:c>
      <x:c r="J1573" s="9" t="str">
        <x:v>Civil – Tax Law; EU Law; Limitation and Restitution; San Giorgio claims</x:v>
      </x:c>
      <x:c r="K1573" s="9" t="str">
        <x:v>ew-cases-EWCA-Civ-2022-232.xml</x:v>
      </x:c>
      <x:c r="L1573" s="9" t="str">
        <x:v>TBA</x:v>
      </x:c>
    </x:row>
    <x:row r="1574">
      <x:c r="A1574" t="str">
        <x:v>d3c377e1-eb5c-47bc-90c8-3d55a5fd456f</x:v>
      </x:c>
      <x:c r="B1574" t="str">
        <x:v>9f8eb78d-6879-452d-a94c-5401657ba1b8</x:v>
      </x:c>
      <x:c r="C1574" s="9" t="str">
        <x:v>JB (A Child), Re (Sexual Abuse Allegations) [2021] EWCA Civ 46</x:v>
      </x:c>
      <x:c r="D1574" s="9" t="str"/>
      <x:c r="E1574" s="9" t="str"/>
      <x:c r="F1574" s="13" t="str">
        <x:v>2021</x:v>
      </x:c>
      <x:c r="G1574" s="9" t="str">
        <x:v>England and Wales Court of Appeal (Civil Division)</x:v>
      </x:c>
      <x:c r="H1574" s="9" t="str">
        <x:v>Appellate</x:v>
      </x:c>
      <x:c r="I1574" s="9" t="str">
        <x:v>England and Wales</x:v>
      </x:c>
      <x:c r="J1574" s="9" t="str">
        <x:v>Family Law</x:v>
      </x:c>
      <x:c r="K1574" s="9" t="str">
        <x:v>ew-cases-EWCA-Civ-2021-46.xml</x:v>
      </x:c>
      <x:c r="L1574" s="9" t="str">
        <x:v>TBA</x:v>
      </x:c>
    </x:row>
    <x:row r="1575">
      <x:c r="A1575" t="str">
        <x:v>c804ba68-9b64-47c9-8bb2-b27b1bfcff9c</x:v>
      </x:c>
      <x:c r="B1575" t="str">
        <x:v>d9782416-a78b-4aec-8fb0-7202c09dd6dc</x:v>
      </x:c>
      <x:c r="C1575" s="9" t="str">
        <x:v>JB (Ghana) v Secretary of State for the Home Department [2022] EWCA Civ 1392</x:v>
      </x:c>
      <x:c r="D1575" s="9" t="str"/>
      <x:c r="E1575" s="9" t="str"/>
      <x:c r="F1575" s="13" t="str">
        <x:v>2022</x:v>
      </x:c>
      <x:c r="G1575" s="9" t="str">
        <x:v>England and Wales Court of Appeal (Civil Division)</x:v>
      </x:c>
      <x:c r="H1575" s="9" t="str">
        <x:v>Court of Appeal (Civil Division)</x:v>
      </x:c>
      <x:c r="I1575" s="9" t="str">
        <x:v>England and Wales</x:v>
      </x:c>
      <x:c r="J1575" s="9" t="str">
        <x:v>Administrative Law / Immigration &amp; Asylum / Public Law</x:v>
      </x:c>
      <x:c r="K1575" s="9" t="str">
        <x:v>ew-cases-EWCA-Civ-2022-1392.xml</x:v>
      </x:c>
      <x:c r="L1575" s="9" t="str">
        <x:v>TBA</x:v>
      </x:c>
    </x:row>
    <x:row r="1576">
      <x:c r="A1576" t="str">
        <x:v>fb8ac214-a386-43bb-b782-f415bb601a85</x:v>
      </x:c>
      <x:c r="B1576" t="str">
        <x:v>2932acac-8e73-4c8e-887d-b3d5ba21ccad</x:v>
      </x:c>
      <x:c r="C1576" s="9" t="str">
        <x:v>JC &amp; RT v The Central Criminal Court &amp; Ors (2014) - Section 39 of the Children and Young Persons Act 1933</x:v>
      </x:c>
      <x:c r="D1576" s="9" t="str"/>
      <x:c r="E1576" s="9" t="str"/>
      <x:c r="F1576" s="13" t="str">
        <x:v>2014</x:v>
      </x:c>
      <x:c r="G1576" s="9" t="str">
        <x:v>England and Wales Court of Appeal (Civil Division)</x:v>
      </x:c>
      <x:c r="H1576" s="9" t="str">
        <x:v>Appellate</x:v>
      </x:c>
      <x:c r="I1576" s="9" t="str">
        <x:v>England and Wales</x:v>
      </x:c>
      <x:c r="J1576" s="9" t="str">
        <x:v>Civil Rights</x:v>
      </x:c>
      <x:c r="K1576" s="9" t="str">
        <x:v>-ew-cases-EWCA-Civ-2014-1777.xml</x:v>
      </x:c>
      <x:c r="L1576" s="9" t="str">
        <x:v>TBA</x:v>
      </x:c>
    </x:row>
    <x:row r="1577">
      <x:c r="A1577" t="str">
        <x:v>3238b322-319d-4f70-a7eb-eb94170cb5f6</x:v>
      </x:c>
      <x:c r="B1577" t="str">
        <x:v>0bcadb05-b9fb-4472-8426-cbe0038a54ce</x:v>
      </x:c>
      <x:c r="C1577" s="9" t="str">
        <x:v>JCAM Commercial Real Estate Property XV Ltd v Davis Haulage Ltd [2017] EWCA Civ 267</x:v>
      </x:c>
      <x:c r="D1577" s="9" t="str"/>
      <x:c r="E1577" s="9" t="str"/>
      <x:c r="F1577" s="13" t="str">
        <x:v>2017</x:v>
      </x:c>
      <x:c r="G1577" s="9" t="str">
        <x:v>England and Wales Court of Appeal (Civil Division)</x:v>
      </x:c>
      <x:c r="H1577" s="9" t="str">
        <x:v>Appellate</x:v>
      </x:c>
      <x:c r="I1577" s="9" t="str">
        <x:v>England and Wales</x:v>
      </x:c>
      <x:c r="J1577" s="9" t="str">
        <x:v>Insolvency</x:v>
      </x:c>
      <x:c r="K1577" s="9" t="str">
        <x:v>-ew-cases-EWCA-Civ-2017-267.xml</x:v>
      </x:c>
      <x:c r="L1577" s="9" t="str">
        <x:v>TBA</x:v>
      </x:c>
    </x:row>
    <x:row r="1578">
      <x:c r="A1578" t="str">
        <x:v>474ce758-b7d8-4d95-88b4-5d04c5b61a1a</x:v>
      </x:c>
      <x:c r="B1578" t="str">
        <x:v>1f61c546-ee6b-4400-85ff-48a3d4c6f090</x:v>
      </x:c>
      <x:c r="C1578" s="9" t="str">
        <x:v>JE v Secretary of State for the Home Department [2014] EWCA Civ 192</x:v>
      </x:c>
      <x:c r="D1578" s="9" t="str"/>
      <x:c r="E1578" s="9" t="str"/>
      <x:c r="F1578" s="13" t="str">
        <x:v>2014</x:v>
      </x:c>
      <x:c r="G1578" s="9" t="str">
        <x:v>England and Wales Court of Appeal (Civil Division)</x:v>
      </x:c>
      <x:c r="H1578" s="9" t="str">
        <x:v>Court of Appeal</x:v>
      </x:c>
      <x:c r="I1578" s="9" t="str">
        <x:v>England and Wales</x:v>
      </x:c>
      <x:c r="J1578" s="9" t="str">
        <x:v>Civil Procedure</x:v>
      </x:c>
      <x:c r="K1578" s="9" t="str">
        <x:v>-ew-cases-EWCA-Civ-2014-192.xml</x:v>
      </x:c>
      <x:c r="L1578" s="9" t="str">
        <x:v>TBA</x:v>
      </x:c>
    </x:row>
    <x:row r="1579">
      <x:c r="A1579" t="str">
        <x:v>13e2b1ea-f2d8-4f6c-9cec-24facfb43e84</x:v>
      </x:c>
      <x:c r="B1579" t="str">
        <x:v>74b4abad-ae2e-4349-9dd7-6592bea9a56b</x:v>
      </x:c>
      <x:c r="C1579" s="9" t="str">
        <x:v>JEB Recoveries LLP v Binstock [2016] EWCA Civ 1008</x:v>
      </x:c>
      <x:c r="D1579" s="9" t="str"/>
      <x:c r="E1579" s="9" t="str"/>
      <x:c r="F1579" s="13" t="str">
        <x:v>2016</x:v>
      </x:c>
      <x:c r="G1579" s="9" t="str">
        <x:v>England and Wales Court of Appeal (Civil Division)</x:v>
      </x:c>
      <x:c r="H1579" s="9" t="str">
        <x:v>Court of Appeal (Civil Division)</x:v>
      </x:c>
      <x:c r="I1579" s="9" t="str">
        <x:v>England and Wales</x:v>
      </x:c>
      <x:c r="J1579" s="9" t="str">
        <x:v>Civil Procedure / Jurisdiction / Contract</x:v>
      </x:c>
      <x:c r="K1579" s="9" t="str">
        <x:v>-ew-cases-EWCA-Civ-2016-1008.xml</x:v>
      </x:c>
      <x:c r="L1579" s="9" t="str">
        <x:v>TBA</x:v>
      </x:c>
    </x:row>
    <x:row r="1580">
      <x:c r="A1580" t="str">
        <x:v>8e0b73ee-b551-4c1f-9851-77ba87acf5f8</x:v>
      </x:c>
      <x:c r="B1580" t="str">
        <x:v>54e02654-560d-46a4-9e70-4e086b7431fc</x:v>
      </x:c>
      <x:c r="C1580" s="9" t="str">
        <x:v>Jedwell v Denbighshire County Council</x:v>
      </x:c>
      <x:c r="D1580" s="9" t="str"/>
      <x:c r="E1580" s="9" t="str"/>
      <x:c r="F1580" s="13" t="str">
        <x:v>2015</x:v>
      </x:c>
      <x:c r="G1580" s="9" t="str">
        <x:v>England and Wales Court of Appeal (Civil Division)</x:v>
      </x:c>
      <x:c r="H1580" s="9" t="str">
        <x:v>Appellate</x:v>
      </x:c>
      <x:c r="I1580" s="9" t="str">
        <x:v>England and Wales</x:v>
      </x:c>
      <x:c r="J1580" s="9" t="str">
        <x:v>Administrative Law</x:v>
      </x:c>
      <x:c r="K1580" s="9" t="str">
        <x:v>-ew-cases-EWCA-Civ-2015-1232.xml</x:v>
      </x:c>
      <x:c r="L1580" s="9" t="str">
        <x:v>TBA</x:v>
      </x:c>
    </x:row>
    <x:row r="1581">
      <x:c r="A1581" t="str">
        <x:v>280a38da-1294-425b-9f57-4ef1eb0054e2</x:v>
      </x:c>
      <x:c r="B1581" t="str">
        <x:v>51c2cdee-8ceb-4a9a-b122-0dcbf86a746e</x:v>
      </x:c>
      <x:c r="C1581" s="9" t="str">
        <x:v>Jefferson v O'Connor [2014] EWCA Civ 38</x:v>
      </x:c>
      <x:c r="D1581" s="9" t="str"/>
      <x:c r="E1581" s="9" t="str"/>
      <x:c r="F1581" s="13" t="str">
        <x:v>2014</x:v>
      </x:c>
      <x:c r="G1581" s="9" t="str">
        <x:v>England and Wales Court of Appeal (Civil Division)</x:v>
      </x:c>
      <x:c r="H1581" s="9" t="str">
        <x:v>Appellate</x:v>
      </x:c>
      <x:c r="I1581" s="9" t="str">
        <x:v>England and Wales</x:v>
      </x:c>
      <x:c r="J1581" s="9" t="str">
        <x:v>Matrimonial Law</x:v>
      </x:c>
      <x:c r="K1581" s="9" t="str">
        <x:v>-ew-cases-EWCA-Civ-2014-38.xml</x:v>
      </x:c>
      <x:c r="L1581" s="9" t="str">
        <x:v>TBA</x:v>
      </x:c>
    </x:row>
    <x:row r="1582">
      <x:c r="A1582" t="str">
        <x:v>79a244b2-1c0b-45bd-acd6-8dde96e0163e</x:v>
      </x:c>
      <x:c r="B1582" t="str">
        <x:v>5a71f527-5f21-4f96-a760-ac5c0c7a342a</x:v>
      </x:c>
      <x:c r="C1582" s="9" t="str">
        <x:v>Jeffery v The Financial Conduct Authority [2016] EWCA Civ 187</x:v>
      </x:c>
      <x:c r="D1582" s="9" t="str"/>
      <x:c r="E1582" s="9" t="str"/>
      <x:c r="F1582" s="13" t="str">
        <x:v>2016</x:v>
      </x:c>
      <x:c r="G1582" s="9" t="str">
        <x:v>England and Wales Court of Appeal (Civil Division)</x:v>
      </x:c>
      <x:c r="H1582" s="9" t="str">
        <x:v>Court of Appeal (Civil Division)</x:v>
      </x:c>
      <x:c r="I1582" s="9" t="str">
        <x:v>England and Wales</x:v>
      </x:c>
      <x:c r="J1582" s="9" t="str">
        <x:v>Regulatory / Administrative Law</x:v>
      </x:c>
      <x:c r="K1582" s="9" t="str">
        <x:v>-ew-cases-EWCA-Civ-2016-187.xml</x:v>
      </x:c>
      <x:c r="L1582" s="9" t="str">
        <x:v>TBA</x:v>
      </x:c>
    </x:row>
    <x:row r="1583">
      <x:c r="A1583" t="str">
        <x:v>772f99e4-1e8f-426f-983f-8b972a14c5b1</x:v>
      </x:c>
      <x:c r="B1583" t="str">
        <x:v>549c27e9-1bbc-4d7e-bd3c-5d3d6d371d92</x:v>
      </x:c>
      <x:c r="C1583" s="9" t="str">
        <x:v>Jemai v Otkritie International Investment Management Ltd &amp; Ors</x:v>
      </x:c>
      <x:c r="D1583" s="9" t="str"/>
      <x:c r="E1583" s="9" t="str"/>
      <x:c r="F1583" s="13" t="str">
        <x:v>2015</x:v>
      </x:c>
      <x:c r="G1583" s="9" t="str">
        <x:v>England and Wales Court of Appeal (Civil Division)</x:v>
      </x:c>
      <x:c r="H1583" s="9" t="str">
        <x:v>Appellate</x:v>
      </x:c>
      <x:c r="I1583" s="9" t="str">
        <x:v>England and Wales</x:v>
      </x:c>
      <x:c r="J1583" s="9" t="str">
        <x:v>Commercial</x:v>
      </x:c>
      <x:c r="K1583" s="9" t="str">
        <x:v>-ew-cases-EWCA-Civ-2015-766.xml</x:v>
      </x:c>
      <x:c r="L1583" s="9" t="str">
        <x:v>TBA</x:v>
      </x:c>
    </x:row>
    <x:row r="1584">
      <x:c r="A1584" t="str">
        <x:v>827c9878-3e71-479a-a790-40aebb641761</x:v>
      </x:c>
      <x:c r="B1584" t="str">
        <x:v>0bf90eb1-213a-49df-a42a-b1fa557682ae</x:v>
      </x:c>
      <x:c r="C1584" s="9" t="str">
        <x:v>Jennison v Jennison &amp; Anor [2022] EWCA Civ 1682</x:v>
      </x:c>
      <x:c r="D1584" s="9" t="str"/>
      <x:c r="E1584" s="9" t="str"/>
      <x:c r="F1584" s="13" t="str">
        <x:v>2022</x:v>
      </x:c>
      <x:c r="G1584" s="9" t="str">
        <x:v>England and Wales Court of Appeal (Civil Division)</x:v>
      </x:c>
      <x:c r="H1584" s="9" t="str">
        <x:v>Court of Appeal (Civil Division)</x:v>
      </x:c>
      <x:c r="I1584" s="9" t="str">
        <x:v>England and Wales</x:v>
      </x:c>
      <x:c r="J1584" s="9" t="str">
        <x:v>Probate and Estates; Civil Procedure</x:v>
      </x:c>
      <x:c r="K1584" s="9" t="str">
        <x:v>ew-cases-EWCA-Civ-2022-1682.xml</x:v>
      </x:c>
      <x:c r="L1584" s="9" t="str">
        <x:v>TBA</x:v>
      </x:c>
    </x:row>
    <x:row r="1585">
      <x:c r="A1585" t="str">
        <x:v>3fe5bfb5-c9ba-44e3-a110-7f2952e0c483</x:v>
      </x:c>
      <x:c r="B1585" t="str">
        <x:v>b32e5756-162d-419f-8aff-8b8f476d97fc</x:v>
      </x:c>
      <x:c r="C1585" s="9" t="str">
        <x:v>Jersey Choice Ltd v HM Treasury [2021] EWCA Civ 1941</x:v>
      </x:c>
      <x:c r="D1585" s="9" t="str"/>
      <x:c r="E1585" s="9" t="str"/>
      <x:c r="F1585" s="13" t="str">
        <x:v>2021</x:v>
      </x:c>
      <x:c r="G1585" s="9" t="str">
        <x:v>England and Wales Court of Appeal (Civil Division)</x:v>
      </x:c>
      <x:c r="H1585" s="9" t="str">
        <x:v>Appellate</x:v>
      </x:c>
      <x:c r="I1585" s="9" t="str">
        <x:v>England and Wales</x:v>
      </x:c>
      <x:c r="J1585" s="9" t="str">
        <x:v>Administrative Law</x:v>
      </x:c>
      <x:c r="K1585" s="9" t="str">
        <x:v>ew-cases-EWCA-Civ-2021-1941.xml</x:v>
      </x:c>
      <x:c r="L1585" s="9" t="str">
        <x:v>TBA</x:v>
      </x:c>
    </x:row>
    <x:row r="1586">
      <x:c r="A1586" t="str">
        <x:v>dc06e4ad-d237-496e-8c44-15b5272d9d86</x:v>
      </x:c>
      <x:c r="B1586" t="str">
        <x:v>103e460f-484c-414a-a7f8-1d75e26eca29</x:v>
      </x:c>
      <x:c r="C1586" s="9" t="str">
        <x:v>Jessemey v Rowstock Ltd &amp; Anor [2014] EWCA Civ 185</x:v>
      </x:c>
      <x:c r="D1586" s="9" t="str"/>
      <x:c r="E1586" s="9" t="str"/>
      <x:c r="F1586" s="13" t="str">
        <x:v>2014</x:v>
      </x:c>
      <x:c r="G1586" s="9" t="str">
        <x:v>England and Wales Court of Appeal (Civil Division)</x:v>
      </x:c>
      <x:c r="H1586" s="9" t="str">
        <x:v>Appellate</x:v>
      </x:c>
      <x:c r="I1586" s="9" t="str">
        <x:v>England and Wales</x:v>
      </x:c>
      <x:c r="J1586" s="9" t="str">
        <x:v>Employment Law</x:v>
      </x:c>
      <x:c r="K1586" s="9" t="str">
        <x:v>-ew-cases-EWCA-Civ-2014-185.xml</x:v>
      </x:c>
      <x:c r="L1586" s="9" t="str">
        <x:v>TBA</x:v>
      </x:c>
    </x:row>
    <x:row r="1587">
      <x:c r="A1587" t="str">
        <x:v>67843012-5546-4ebc-84b1-254ba30a1944</x:v>
      </x:c>
      <x:c r="B1587" t="str">
        <x:v>3ddcfc0b-2e86-4809-a5d5-8356e209d496</x:v>
      </x:c>
      <x:c r="C1587" s="9" t="str">
        <x:v>Jesus Everlasting Foundation Ministry International v McKinde [2016] EWCA Civ 249</x:v>
      </x:c>
      <x:c r="D1587" s="9" t="str"/>
      <x:c r="E1587" s="9" t="str"/>
      <x:c r="F1587" s="13" t="str">
        <x:v>2016</x:v>
      </x:c>
      <x:c r="G1587" s="9" t="str">
        <x:v>England and Wales Court of Appeal (Civil Division)</x:v>
      </x:c>
      <x:c r="H1587" s="9" t="str">
        <x:v>Court of Appeal (Civil Division)</x:v>
      </x:c>
      <x:c r="I1587" s="9" t="str">
        <x:v>England and Wales</x:v>
      </x:c>
      <x:c r="J1587" s="9" t="str">
        <x:v>Civil Procedure / Appeals</x:v>
      </x:c>
      <x:c r="K1587" s="9" t="str">
        <x:v>-ew-cases-EWCA-Civ-2016-249.xml</x:v>
      </x:c>
      <x:c r="L1587" s="9" t="str">
        <x:v>TBA</x:v>
      </x:c>
    </x:row>
    <x:row r="1588">
      <x:c r="A1588" t="str">
        <x:v>a429528d-6f6b-4df5-b52c-78d3f7db8e5f</x:v>
      </x:c>
      <x:c r="B1588" t="str">
        <x:v>110b02e2-29be-40c5-a6b4-92c62c083de7</x:v>
      </x:c>
      <x:c r="C1588" s="9" t="str">
        <x:v>Jet Airways (India) Ltd &amp; Ors v Barloworld Handling Ltd [2014] EWCA Civ 1311</x:v>
      </x:c>
      <x:c r="D1588" s="9" t="str"/>
      <x:c r="E1588" s="9" t="str"/>
      <x:c r="F1588" s="13" t="str">
        <x:v>2014</x:v>
      </x:c>
      <x:c r="G1588" s="9" t="str">
        <x:v>England and Wales Court of Appeal (Civil Division)</x:v>
      </x:c>
      <x:c r="H1588" s="9" t="str">
        <x:v>Appellate</x:v>
      </x:c>
      <x:c r="I1588" s="9" t="str">
        <x:v>England and Wales</x:v>
      </x:c>
      <x:c r="J1588" s="9" t="str">
        <x:v>Civil Procedure</x:v>
      </x:c>
      <x:c r="K1588" s="9" t="str">
        <x:v>-ew-cases-EWCA-Civ-2014-1311.xml</x:v>
      </x:c>
      <x:c r="L1588" s="9" t="str">
        <x:v>TBA</x:v>
      </x:c>
    </x:row>
    <x:row r="1589">
      <x:c r="A1589" t="str">
        <x:v>afca0ee3-8d52-4295-93ce-d80f6f739d81</x:v>
      </x:c>
      <x:c r="B1589" t="str">
        <x:v>de3135ee-4025-41e6-90a2-7298ca3a4f4a</x:v>
      </x:c>
      <x:c r="C1589" s="9" t="str">
        <x:v>Jet2.com Ltd v Huzar [2014] EWCA Civ 791</x:v>
      </x:c>
      <x:c r="D1589" s="9" t="str"/>
      <x:c r="E1589" s="9" t="str"/>
      <x:c r="F1589" s="13" t="str">
        <x:v>2014</x:v>
      </x:c>
      <x:c r="G1589" s="9" t="str">
        <x:v>England and Wales Court of Appeal (Civil Division)</x:v>
      </x:c>
      <x:c r="H1589" s="9" t="str">
        <x:v>Appellate</x:v>
      </x:c>
      <x:c r="I1589" s="9" t="str">
        <x:v>England and Wales</x:v>
      </x:c>
      <x:c r="J1589" s="9" t="str">
        <x:v>Administrative Law</x:v>
      </x:c>
      <x:c r="K1589" s="9" t="str">
        <x:v>-ew-cases-EWCA-Civ-2014-791.xml</x:v>
      </x:c>
      <x:c r="L1589" s="9" t="str">
        <x:v>TBA</x:v>
      </x:c>
    </x:row>
    <x:row r="1590">
      <x:c r="A1590" t="str">
        <x:v>4417dfdf-bbf8-43d2-b066-2217844a9ef2</x:v>
      </x:c>
      <x:c r="B1590" t="str">
        <x:v>d926a593-7d6a-45ec-8e80-77c9e4ca6041</x:v>
      </x:c>
      <x:c r="C1590" s="9" t="str">
        <x:v>Jewelcraft Ltd v Pressland &amp; Anor [2015] EWCA Civ 1111</x:v>
      </x:c>
      <x:c r="D1590" s="9" t="str"/>
      <x:c r="E1590" s="9" t="str"/>
      <x:c r="F1590" s="13" t="str">
        <x:v>2015</x:v>
      </x:c>
      <x:c r="G1590" s="9" t="str">
        <x:v>England and Wales Court of Appeal (Civil Division)</x:v>
      </x:c>
      <x:c r="H1590" s="9" t="str">
        <x:v>Appellate</x:v>
      </x:c>
      <x:c r="I1590" s="9" t="str">
        <x:v>England and Wales</x:v>
      </x:c>
      <x:c r="J1590" s="9" t="str">
        <x:v>Property Law</x:v>
      </x:c>
      <x:c r="K1590" s="9" t="str">
        <x:v>-ew-cases-EWCA-Civ-2015-1111.xml</x:v>
      </x:c>
      <x:c r="L1590" s="9" t="str">
        <x:v>TBA</x:v>
      </x:c>
    </x:row>
    <x:row r="1591">
      <x:c r="A1591" t="str">
        <x:v>c466d274-228e-43f9-919d-dbcfae7d1e0e</x:v>
      </x:c>
      <x:c r="B1591" t="str">
        <x:v>d7101388-dfdf-4864-aa10-f18f2a5c515c</x:v>
      </x:c>
      <x:c r="C1591" s="9" t="str">
        <x:v>JG (Jamaica) v Secretary of State for the Home Department</x:v>
      </x:c>
      <x:c r="D1591" s="9" t="str"/>
      <x:c r="E1591" s="9" t="str"/>
      <x:c r="F1591" s="13" t="str">
        <x:v>2015</x:v>
      </x:c>
      <x:c r="G1591" s="9" t="str">
        <x:v>England and Wales Court of Appeal (Civil Division)</x:v>
      </x:c>
      <x:c r="H1591" s="9" t="str">
        <x:v>Appellate</x:v>
      </x:c>
      <x:c r="I1591" s="9" t="str">
        <x:v>England and Wales</x:v>
      </x:c>
      <x:c r="J1591" s="9" t="str">
        <x:v>Immigration Law</x:v>
      </x:c>
      <x:c r="K1591" s="9" t="str">
        <x:v>-ew-cases-EWCA-Civ-2015-410.xml</x:v>
      </x:c>
      <x:c r="L1591" s="9" t="str">
        <x:v>TBA</x:v>
      </x:c>
    </x:row>
    <x:row r="1592">
      <x:c r="A1592" t="str">
        <x:v>1b5a89a0-a1c4-4d22-a33b-c2d5ae2844bc</x:v>
      </x:c>
      <x:c r="B1592" t="str">
        <x:v>ce06e537-113e-4b62-b4c3-1f970c5b18a8</x:v>
      </x:c>
      <x:c r="C1592" s="9" t="str">
        <x:v>JG (Jamaica) v Secretary of State for the Home Department [2015] EWCA Civ 215</x:v>
      </x:c>
      <x:c r="D1592" s="9" t="str"/>
      <x:c r="E1592" s="9" t="str"/>
      <x:c r="F1592" s="13" t="str">
        <x:v>2015</x:v>
      </x:c>
      <x:c r="G1592" s="9" t="str">
        <x:v>England and Wales Court of Appeal (Civil Division)</x:v>
      </x:c>
      <x:c r="H1592" s="9" t="str">
        <x:v>appellate</x:v>
      </x:c>
      <x:c r="I1592" s="9" t="str">
        <x:v>England and Wales</x:v>
      </x:c>
      <x:c r="J1592" s="9" t="str">
        <x:v>Immigration</x:v>
      </x:c>
      <x:c r="K1592" s="9" t="str">
        <x:v>-ew-cases-EWCA-Civ-2015-215.xml</x:v>
      </x:c>
      <x:c r="L1592" s="9" t="str">
        <x:v>TBA</x:v>
      </x:c>
    </x:row>
    <x:row r="1593">
      <x:c r="A1593" t="str">
        <x:v>accb25c5-393f-4e7b-8a4f-f613ba4e60a5</x:v>
      </x:c>
      <x:c r="B1593" t="str">
        <x:v>7a1957ec-d808-4c29-ba31-3de87fa6c2be</x:v>
      </x:c>
      <x:c r="C1593" s="9" t="str">
        <x:v>JG v The Lord Chancellor &amp; Ors [2014] EWCA Civ 656</x:v>
      </x:c>
      <x:c r="D1593" s="9" t="str"/>
      <x:c r="E1593" s="9" t="str"/>
      <x:c r="F1593" s="13" t="str">
        <x:v>2014</x:v>
      </x:c>
      <x:c r="G1593" s="9" t="str">
        <x:v>England and Wales Court of Appeal (Civil Division)</x:v>
      </x:c>
      <x:c r="H1593" s="9" t="str">
        <x:v>Appellate</x:v>
      </x:c>
      <x:c r="I1593" s="9" t="str">
        <x:v>England and Wales</x:v>
      </x:c>
      <x:c r="J1593" s="9" t="str">
        <x:v>Family Law</x:v>
      </x:c>
      <x:c r="K1593" s="9" t="str">
        <x:v>-ew-cases-EWCA-Civ-2014-656.xml</x:v>
      </x:c>
      <x:c r="L1593" s="9" t="str">
        <x:v>TBA</x:v>
      </x:c>
    </x:row>
    <x:row r="1594">
      <x:c r="A1594" t="str">
        <x:v>a237d68f-9f2d-4d25-bd91-dd547904afc1</x:v>
      </x:c>
      <x:c r="B1594" t="str">
        <x:v>dff64558-007c-418c-9964-d93041fbf9d8</x:v>
      </x:c>
      <x:c r="C1594" s="9" t="str">
        <x:v>JK (India) v Secretary of State for the Home Department [2016] EWCA Civ 630</x:v>
      </x:c>
      <x:c r="D1594" s="9" t="str"/>
      <x:c r="E1594" s="9" t="str"/>
      <x:c r="F1594" s="13" t="str">
        <x:v>2016</x:v>
      </x:c>
      <x:c r="G1594" s="9" t="str">
        <x:v>England and Wales Court of Appeal (Civil Division)</x:v>
      </x:c>
      <x:c r="H1594" s="9" t="str">
        <x:v>Court of Appeal (Civil Division)</x:v>
      </x:c>
      <x:c r="I1594" s="9" t="str">
        <x:v>England and Wales</x:v>
      </x:c>
      <x:c r="J1594" s="9" t="str">
        <x:v>Administrative Law / Immigration Law / Appellate Procedure</x:v>
      </x:c>
      <x:c r="K1594" s="9" t="str">
        <x:v>-ew-cases-EWCA-Civ-2016-630.xml</x:v>
      </x:c>
      <x:c r="L1594" s="9" t="str">
        <x:v>TBA</x:v>
      </x:c>
    </x:row>
    <x:row r="1595">
      <x:c r="A1595" t="str">
        <x:v>114cded7-81d7-4979-a430-ff12bda97baf</x:v>
      </x:c>
      <x:c r="B1595" t="str">
        <x:v>ef3aea83-3741-47d8-95ff-a2d728dfba19</x:v>
      </x:c>
      <x:c r="C1595" s="9" t="str">
        <x:v>JK (Sri Lanka) v Secretary of State for the Home Department</x:v>
      </x:c>
      <x:c r="D1595" s="9" t="str"/>
      <x:c r="E1595" s="9" t="str"/>
      <x:c r="F1595" s="13" t="str">
        <x:v>2015</x:v>
      </x:c>
      <x:c r="G1595" s="9" t="str">
        <x:v>England and Wales Court of Appeal (Civil Division)</x:v>
      </x:c>
      <x:c r="H1595" s="9" t="str">
        <x:v>Appellate</x:v>
      </x:c>
      <x:c r="I1595" s="9" t="str">
        <x:v>England and Wales</x:v>
      </x:c>
      <x:c r="J1595" s="9" t="str">
        <x:v>Immigration Law</x:v>
      </x:c>
      <x:c r="K1595" s="9" t="str">
        <x:v>-ew-cases-EWCA-Civ-2015-1238.xml</x:v>
      </x:c>
      <x:c r="L1595" s="9" t="str">
        <x:v>TBA</x:v>
      </x:c>
    </x:row>
    <x:row r="1596">
      <x:c r="A1596" t="str">
        <x:v>aefdd7bf-1af3-486e-b8ec-ec50cb4d14d5</x:v>
      </x:c>
      <x:c r="B1596" t="str">
        <x:v>4d164ee1-578e-4c39-afb5-635465593dae</x:v>
      </x:c>
      <x:c r="C1596" s="9" t="str">
        <x:v>JK, R (On the Application Of) v Secretary of State for the Home Department</x:v>
      </x:c>
      <x:c r="D1596" s="9" t="str"/>
      <x:c r="E1596" s="9" t="str"/>
      <x:c r="F1596" s="13" t="str">
        <x:v>2017</x:v>
      </x:c>
      <x:c r="G1596" s="9" t="str">
        <x:v>England and Wales Court of Appeal (Civil Division)</x:v>
      </x:c>
      <x:c r="H1596" s="9" t="str">
        <x:v>Appellate</x:v>
      </x:c>
      <x:c r="I1596" s="9" t="str">
        <x:v>England and Wales</x:v>
      </x:c>
      <x:c r="J1596" s="9" t="str">
        <x:v>Administrative Law</x:v>
      </x:c>
      <x:c r="K1596" s="9" t="str">
        <x:v>-ew-cases-EWCA-Civ-2017-433.xml</x:v>
      </x:c>
      <x:c r="L1596" s="9" t="str">
        <x:v>TBA</x:v>
      </x:c>
    </x:row>
    <x:row r="1597">
      <x:c r="A1597" t="str">
        <x:v>a5f2de02-eb4f-4d9e-b7d3-e35b6090dada</x:v>
      </x:c>
      <x:c r="B1597" t="str">
        <x:v>dda2b040-e66f-455b-9db4-9271ec318aa0</x:v>
      </x:c>
      <x:c r="C1597" s="9" t="str">
        <x:v>JKX Oil &amp; Gas Plc &amp; Ors v Eclairs Group Ltd [2014] EWCA Civ 640</x:v>
      </x:c>
      <x:c r="D1597" s="9" t="str"/>
      <x:c r="E1597" s="9" t="str"/>
      <x:c r="F1597" s="13" t="str">
        <x:v>2014</x:v>
      </x:c>
      <x:c r="G1597" s="9" t="str">
        <x:v>England and Wales Court of Appeal (Civil Division)</x:v>
      </x:c>
      <x:c r="H1597" s="9" t="str">
        <x:v>Appellate</x:v>
      </x:c>
      <x:c r="I1597" s="9" t="str">
        <x:v>England and Wales</x:v>
      </x:c>
      <x:c r="J1597" s="9" t="str">
        <x:v>Corporate Governance</x:v>
      </x:c>
      <x:c r="K1597" s="9" t="str">
        <x:v>-ew-cases-EWCA-Civ-2014-640.xml</x:v>
      </x:c>
      <x:c r="L1597" s="9" t="str">
        <x:v>TBA</x:v>
      </x:c>
    </x:row>
    <x:row r="1598">
      <x:c r="A1598" t="str">
        <x:v>f0bd654b-5003-4e3e-a240-f8976a429f52</x:v>
      </x:c>
      <x:c r="B1598" t="str">
        <x:v>3e4af692-3196-44b1-804b-f4799942e264</x:v>
      </x:c>
      <x:c r="C1598" s="9" t="str">
        <x:v>John (A Minor) v. Secretary of State for Work and Pensions</x:v>
      </x:c>
      <x:c r="D1598" s="9" t="str"/>
      <x:c r="E1598" s="9" t="str"/>
      <x:c r="F1598" s="13" t="str">
        <x:v>2017</x:v>
      </x:c>
      <x:c r="G1598" s="9" t="str">
        <x:v>England and Wales Court of Appeal (Civil Division)</x:v>
      </x:c>
      <x:c r="H1598" s="9" t="str">
        <x:v>Appellate</x:v>
      </x:c>
      <x:c r="I1598" s="9" t="str">
        <x:v>United Kingdom</x:v>
      </x:c>
      <x:c r="J1598" s="9" t="str">
        <x:v>Administrative Law</x:v>
      </x:c>
      <x:c r="K1598" s="9" t="str">
        <x:v>-ew-cases-EWCA-Civ-2017-61.xml</x:v>
      </x:c>
      <x:c r="L1598" s="9" t="str">
        <x:v>TBA</x:v>
      </x:c>
    </x:row>
    <x:row r="1599">
      <x:c r="A1599" t="str">
        <x:v>3fbfc064-cda9-4af5-96bc-b18eef71e585</x:v>
      </x:c>
      <x:c r="B1599" t="str">
        <x:v>86ea4b04-d0fb-4bf2-8436-56f4cc0e4a9c</x:v>
      </x:c>
      <x:c r="C1599" s="9" t="str">
        <x:v>John Doyle Construction Ltd v Erith Contractors Ltd</x:v>
      </x:c>
      <x:c r="D1599" s="9" t="str"/>
      <x:c r="E1599" s="9" t="str"/>
      <x:c r="F1599" s="13" t="str">
        <x:v>2021</x:v>
      </x:c>
      <x:c r="G1599" s="9" t="str">
        <x:v>England and Wales Court of Appeal (Civil Division)</x:v>
      </x:c>
      <x:c r="H1599" s="9" t="str">
        <x:v>Appellate</x:v>
      </x:c>
      <x:c r="I1599" s="9" t="str">
        <x:v>England and Wales</x:v>
      </x:c>
      <x:c r="J1599" s="9" t="str">
        <x:v>Contract Dispute</x:v>
      </x:c>
      <x:c r="K1599" s="9" t="str">
        <x:v>ew-cases-EWCA-Civ-2021-1452.xml</x:v>
      </x:c>
      <x:c r="L1599" s="9" t="str">
        <x:v>TBA</x:v>
      </x:c>
    </x:row>
    <x:row r="1600">
      <x:c r="A1600" t="str">
        <x:v>fd86c3c9-9787-49ef-8b37-1ae438d9ff31</x:v>
      </x:c>
      <x:c r="B1600" t="str">
        <x:v>f23ef4c0-2c42-4b2c-b0ac-412c6d9f69b1</x:v>
      </x:c>
      <x:c r="C1600" s="9" t="str">
        <x:v>John Lyon's Charity v London Sephardi Trust</x:v>
      </x:c>
      <x:c r="D1600" s="9" t="str"/>
      <x:c r="E1600" s="9" t="str"/>
      <x:c r="F1600" s="13" t="str">
        <x:v>2017</x:v>
      </x:c>
      <x:c r="G1600" s="9" t="str">
        <x:v>England and Wales Court of Appeal (Civil Division)</x:v>
      </x:c>
      <x:c r="H1600" s="9" t="str">
        <x:v>Appellate</x:v>
      </x:c>
      <x:c r="I1600" s="9" t="str">
        <x:v>England and Wales</x:v>
      </x:c>
      <x:c r="J1600" s="9" t="str">
        <x:v>Property Law</x:v>
      </x:c>
      <x:c r="K1600" s="9" t="str">
        <x:v>-ew-cases-EWCA-Civ-2017-846.xml</x:v>
      </x:c>
      <x:c r="L1600" s="9" t="str">
        <x:v>TBA</x:v>
      </x:c>
    </x:row>
    <x:row r="1601">
      <x:c r="A1601" t="str">
        <x:v>6bf0b39b-2f3b-4ef6-9da9-1648a95c613e</x:v>
      </x:c>
      <x:c r="B1601" t="str">
        <x:v>91efd7ea-cc54-4439-8c9c-92fe510d4066</x:v>
      </x:c>
      <x:c r="C1601" s="9" t="str">
        <x:v>Johnson v Manpower Direct (UK) Ltd [2015] EWCA Civ 1424</x:v>
      </x:c>
      <x:c r="D1601" s="9" t="str"/>
      <x:c r="E1601" s="9" t="str"/>
      <x:c r="F1601" s="13" t="str">
        <x:v>2015</x:v>
      </x:c>
      <x:c r="G1601" s="9" t="str">
        <x:v>England and Wales Court of Appeal (Civil Division)</x:v>
      </x:c>
      <x:c r="H1601" s="9" t="str">
        <x:v>Appellate</x:v>
      </x:c>
      <x:c r="I1601" s="9" t="str">
        <x:v>England and Wales</x:v>
      </x:c>
      <x:c r="J1601" s="9" t="str">
        <x:v>Employment Dispute</x:v>
      </x:c>
      <x:c r="K1601" s="9" t="str">
        <x:v>-ew-cases-EWCA-Civ-2015-1424.xml</x:v>
      </x:c>
      <x:c r="L1601" s="9" t="str">
        <x:v>TBA</x:v>
      </x:c>
    </x:row>
    <x:row r="1602">
      <x:c r="A1602" t="str">
        <x:v>2f4dafd2-7dbb-415e-95dc-3ecaece3e23e</x:v>
      </x:c>
      <x:c r="B1602" t="str">
        <x:v>41c885e2-0daa-4c4a-bcf9-e8d82aca462e</x:v>
      </x:c>
      <x:c r="C1602" s="9" t="str">
        <x:v>Johnson v Secretary of State for the Home Department [2016] EWCA Civ 22</x:v>
      </x:c>
      <x:c r="D1602" s="9" t="str"/>
      <x:c r="E1602" s="9" t="str"/>
      <x:c r="F1602" s="13" t="str">
        <x:v>2016</x:v>
      </x:c>
      <x:c r="G1602" s="9" t="str">
        <x:v>England and Wales Court of Appeal (Civil Division)</x:v>
      </x:c>
      <x:c r="H1602" s="9" t="str">
        <x:v>Court of Appeal (Civil Division)</x:v>
      </x:c>
      <x:c r="I1602" s="9" t="str">
        <x:v>England and Wales</x:v>
      </x:c>
      <x:c r="J1602" s="9" t="str">
        <x:v>Human rights / Administrative law / Immigration &amp; nationality</x:v>
      </x:c>
      <x:c r="K1602" s="9" t="str">
        <x:v>-ew-cases-EWCA-Civ-2016-22.xml</x:v>
      </x:c>
      <x:c r="L1602" s="9" t="str">
        <x:v>TBA</x:v>
      </x:c>
    </x:row>
    <x:row r="1603">
      <x:c r="A1603" t="str">
        <x:v>7fede9e0-972c-4893-87d0-5240ceb027da</x:v>
      </x:c>
      <x:c r="B1603" t="str">
        <x:v>3379d002-8535-4376-8e48-ce2c194ec9c4</x:v>
      </x:c>
      <x:c r="C1603" s="9" t="str">
        <x:v>Johnson v Warburtons Ltd [2014] EWCA Civ 258</x:v>
      </x:c>
      <x:c r="D1603" s="9" t="str"/>
      <x:c r="E1603" s="9" t="str"/>
      <x:c r="F1603" s="13" t="str">
        <x:v>2014</x:v>
      </x:c>
      <x:c r="G1603" s="9" t="str">
        <x:v>England and Wales Court of Appeal (Civil Division)</x:v>
      </x:c>
      <x:c r="H1603" s="9" t="str">
        <x:v>Appellate</x:v>
      </x:c>
      <x:c r="I1603" s="9" t="str">
        <x:v>England and Wales</x:v>
      </x:c>
      <x:c r="J1603" s="9" t="str">
        <x:v>Personal Injury</x:v>
      </x:c>
      <x:c r="K1603" s="9" t="str">
        <x:v>-ew-cases-EWCA-Civ-2014-258.xml</x:v>
      </x:c>
      <x:c r="L1603" s="9" t="str">
        <x:v>TBA</x:v>
      </x:c>
    </x:row>
    <x:row r="1604">
      <x:c r="A1604" t="str">
        <x:v>dbf4f40f-1641-4310-8ca9-bd326dbd347d</x:v>
      </x:c>
      <x:c r="B1604" t="str">
        <x:v>12f4ec57-129a-43ac-b92e-f8b23d496057</x:v>
      </x:c>
      <x:c r="C1604" s="9" t="str">
        <x:v>Johnston v City of Westminster [2015] EWCA Civ 554</x:v>
      </x:c>
      <x:c r="D1604" s="9" t="str"/>
      <x:c r="E1604" s="9" t="str"/>
      <x:c r="F1604" s="13" t="str">
        <x:v>2015</x:v>
      </x:c>
      <x:c r="G1604" s="9" t="str">
        <x:v>England and Wales Court of Appeal (Civil Division)</x:v>
      </x:c>
      <x:c r="H1604" s="9" t="str">
        <x:v>Appellate</x:v>
      </x:c>
      <x:c r="I1604" s="9" t="str">
        <x:v>England and Wales</x:v>
      </x:c>
      <x:c r="J1604" s="9" t="str">
        <x:v>Housing Law</x:v>
      </x:c>
      <x:c r="K1604" s="9" t="str">
        <x:v>-ew-cases-EWCA-Civ-2015-554.xml</x:v>
      </x:c>
      <x:c r="L1604" s="9" t="str">
        <x:v>TBA</x:v>
      </x:c>
    </x:row>
    <x:row r="1605">
      <x:c r="A1605" t="str">
        <x:v>5d864d3a-5f17-477c-99ff-0467e64f454b</x:v>
      </x:c>
      <x:c r="B1605" t="str">
        <x:v>c60b8551-930b-4203-8ed1-61f0f9264663</x:v>
      </x:c>
      <x:c r="C1605" s="9" t="str">
        <x:v>Joint Stock Company 'Aeroflot-Russian Airlines' &amp; Ors v Gudavadze &amp; Ors</x:v>
      </x:c>
      <x:c r="D1605" s="9" t="str"/>
      <x:c r="E1605" s="9" t="str"/>
      <x:c r="F1605" s="13" t="str">
        <x:v>2014</x:v>
      </x:c>
      <x:c r="G1605" s="9" t="str">
        <x:v>England and Wales Court of Appeal (Civil Division)</x:v>
      </x:c>
      <x:c r="H1605" s="9" t="str">
        <x:v>Appellate</x:v>
      </x:c>
      <x:c r="I1605" s="9" t="str">
        <x:v>England and Wales</x:v>
      </x:c>
      <x:c r="J1605" s="9" t="str">
        <x:v>Civil Appeal</x:v>
      </x:c>
      <x:c r="K1605" s="9" t="str">
        <x:v>-ew-cases-EWCA-Civ-2014-431.xml</x:v>
      </x:c>
      <x:c r="L1605" s="9" t="str">
        <x:v>TBA</x:v>
      </x:c>
    </x:row>
    <x:row r="1606">
      <x:c r="A1606" t="str">
        <x:v>cb2c2982-1028-472b-91fd-bfbf22b29832</x:v>
      </x:c>
      <x:c r="B1606" t="str">
        <x:v>ba75f176-358e-4362-94a3-d98631c41e29</x:v>
      </x:c>
      <x:c r="C1606" s="9" t="str">
        <x:v>Joint Stock Company (Aeroflot - Russian Airlines) v Berezovsky &amp; Anor [2014] EWCA Civ 20</x:v>
      </x:c>
      <x:c r="D1606" s="9" t="str"/>
      <x:c r="E1606" s="9" t="str"/>
      <x:c r="F1606" s="13" t="str">
        <x:v>2014</x:v>
      </x:c>
      <x:c r="G1606" s="9" t="str">
        <x:v>England and Wales Court of Appeal (Civil Division)</x:v>
      </x:c>
      <x:c r="H1606" s="9" t="str">
        <x:v>Appellate</x:v>
      </x:c>
      <x:c r="I1606" s="9" t="str">
        <x:v>England and Wales</x:v>
      </x:c>
      <x:c r="J1606" s="9" t="str">
        <x:v>Civil Appeal</x:v>
      </x:c>
      <x:c r="K1606" s="9" t="str">
        <x:v>-ew-cases-EWCA-Civ-2014-20.xml</x:v>
      </x:c>
      <x:c r="L1606" s="9" t="str">
        <x:v>TBA</x:v>
      </x:c>
    </x:row>
    <x:row r="1607">
      <x:c r="A1607" t="str">
        <x:v>592a09bd-599e-41d9-9e8d-619a84a8ac12</x:v>
      </x:c>
      <x:c r="B1607" t="str">
        <x:v>13c0ab5d-fbcf-4c4e-b662-0a30391e0390</x:v>
      </x:c>
      <x:c r="C1607" s="9" t="str">
        <x:v>Jones &amp; Anor v First Greater Western Ltd [2014] EWCA Civ 301</x:v>
      </x:c>
      <x:c r="D1607" s="9" t="str"/>
      <x:c r="E1607" s="9" t="str"/>
      <x:c r="F1607" s="13" t="str">
        <x:v>2014</x:v>
      </x:c>
      <x:c r="G1607" s="9" t="str">
        <x:v>England and Wales Court of Appeal (Civil Division)</x:v>
      </x:c>
      <x:c r="H1607" s="9" t="str">
        <x:v>Appellate</x:v>
      </x:c>
      <x:c r="I1607" s="9" t="str">
        <x:v>England and Wales</x:v>
      </x:c>
      <x:c r="J1607" s="9" t="str">
        <x:v>Administrative Law</x:v>
      </x:c>
      <x:c r="K1607" s="9" t="str">
        <x:v>-ew-cases-EWCA-Civ-2014-301.xml</x:v>
      </x:c>
      <x:c r="L1607" s="9" t="str">
        <x:v>TBA</x:v>
      </x:c>
    </x:row>
    <x:row r="1608">
      <x:c r="A1608" t="str">
        <x:v>3605bfe3-d592-4811-921f-b12a6b106611</x:v>
      </x:c>
      <x:c r="B1608" t="str">
        <x:v>22c29f9e-fea8-4381-9290-734093ac8ce3</x:v>
      </x:c>
      <x:c r="C1608" s="9" t="str">
        <x:v>Jones &amp; Ors v Mahmut &amp; Anr [2017] EWCA Civ 2362</x:v>
      </x:c>
      <x:c r="D1608" s="9" t="str"/>
      <x:c r="E1608" s="9" t="str"/>
      <x:c r="F1608" s="13" t="str">
        <x:v>2017</x:v>
      </x:c>
      <x:c r="G1608" s="9" t="str">
        <x:v>England and Wales Court of Appeal (Civil Division)</x:v>
      </x:c>
      <x:c r="H1608" s="9" t="str">
        <x:v>Appellate</x:v>
      </x:c>
      <x:c r="I1608" s="9" t="str">
        <x:v>England and Wales</x:v>
      </x:c>
      <x:c r="J1608" s="9" t="str">
        <x:v>Property Law</x:v>
      </x:c>
      <x:c r="K1608" s="9" t="str">
        <x:v>-ew-cases-EWCA-Civ-2017-2362.xml</x:v>
      </x:c>
      <x:c r="L1608" s="9" t="str">
        <x:v>TBA</x:v>
      </x:c>
    </x:row>
    <x:row r="1609">
      <x:c r="A1609" t="str">
        <x:v>717c2359-db0b-405d-be74-cd4ef9f73bc9</x:v>
      </x:c>
      <x:c r="B1609" t="str">
        <x:v>a982903b-d85c-43b9-abec-40b2cf3bd6b6</x:v>
      </x:c>
      <x:c r="C1609" s="9" t="str">
        <x:v>Jones v Canal &amp; River Trust [2017] EWCA Civ 135</x:v>
      </x:c>
      <x:c r="D1609" s="9" t="str"/>
      <x:c r="E1609" s="9" t="str"/>
      <x:c r="F1609" s="13" t="str">
        <x:v>2017</x:v>
      </x:c>
      <x:c r="G1609" s="9" t="str">
        <x:v>England and Wales Court of Appeal (Civil Division)</x:v>
      </x:c>
      <x:c r="H1609" s="9" t="str">
        <x:v>Appellate</x:v>
      </x:c>
      <x:c r="I1609" s="9" t="str">
        <x:v>England and Wales</x:v>
      </x:c>
      <x:c r="J1609" s="9" t="str">
        <x:v>Administrative Law</x:v>
      </x:c>
      <x:c r="K1609" s="9" t="str">
        <x:v>-ew-cases-EWCA-Civ-2017-135.xml</x:v>
      </x:c>
      <x:c r="L1609" s="9" t="str">
        <x:v>TBA</x:v>
      </x:c>
    </x:row>
    <x:row r="1610">
      <x:c r="A1610" t="str">
        <x:v>03426663-0c3d-4978-9f31-f28be5d42234</x:v>
      </x:c>
      <x:c r="B1610" t="str">
        <x:v>3153942d-b71e-4eb9-9ff4-fe9ce722cab5</x:v>
      </x:c>
      <x:c r="C1610" s="9" t="str">
        <x:v>Jones v Mordue &amp; Anor [2015] EWCA Civ 1243</x:v>
      </x:c>
      <x:c r="D1610" s="9" t="str"/>
      <x:c r="E1610" s="9" t="str"/>
      <x:c r="F1610" s="13" t="str">
        <x:v>2015</x:v>
      </x:c>
      <x:c r="G1610" s="9" t="str">
        <x:v>England and Wales Court of Appeal (Civil Division)</x:v>
      </x:c>
      <x:c r="H1610" s="9" t="str">
        <x:v>Appellate</x:v>
      </x:c>
      <x:c r="I1610" s="9" t="str">
        <x:v>England and Wales</x:v>
      </x:c>
      <x:c r="J1610" s="9" t="str">
        <x:v>Administrative Law</x:v>
      </x:c>
      <x:c r="K1610" s="9" t="str">
        <x:v>-ew-cases-EWCA-Civ-2015-1243.xml</x:v>
      </x:c>
      <x:c r="L1610" s="9" t="str">
        <x:v>TBA</x:v>
      </x:c>
    </x:row>
    <x:row r="1611">
      <x:c r="A1611" t="str">
        <x:v>2b0eff39-12fb-44e6-8894-917984f8775d</x:v>
      </x:c>
      <x:c r="B1611" t="str">
        <x:v>dc3bfee9-7d79-4eb8-98c6-991f4418b291</x:v>
      </x:c>
      <x:c r="C1611" s="9" t="str">
        <x:v>Jong v HSBC Private Bank (Monaco) SA [2015] EWCA Civ 1057</x:v>
      </x:c>
      <x:c r="D1611" s="9" t="str"/>
      <x:c r="E1611" s="9" t="str"/>
      <x:c r="F1611" s="13" t="str">
        <x:v>2015</x:v>
      </x:c>
      <x:c r="G1611" s="9" t="str">
        <x:v>England and Wales Court of Appeal (Civil Division)</x:v>
      </x:c>
      <x:c r="H1611" s="9" t="str">
        <x:v>Appellate</x:v>
      </x:c>
      <x:c r="I1611" s="9" t="str">
        <x:v>England and Wales</x:v>
      </x:c>
      <x:c r="J1611" s="9" t="str">
        <x:v>International Law</x:v>
      </x:c>
      <x:c r="K1611" s="9" t="str">
        <x:v>-ew-cases-EWCA-Civ-2015-1057.xml</x:v>
      </x:c>
      <x:c r="L1611" s="9" t="str">
        <x:v>TBA</x:v>
      </x:c>
    </x:row>
    <x:row r="1612">
      <x:c r="A1612" t="str">
        <x:v>42e7163a-f839-4d91-9008-f51bf4c18fe9</x:v>
      </x:c>
      <x:c r="B1612" t="str">
        <x:v>2d0f9b23-8d26-42f2-b12f-8f35c80847f5</x:v>
      </x:c>
      <x:c r="C1612" s="9" t="str">
        <x:v>Joy v Joy [2014] EWCA Civ 520</x:v>
      </x:c>
      <x:c r="D1612" s="9" t="str"/>
      <x:c r="E1612" s="9" t="str"/>
      <x:c r="F1612" s="13" t="str">
        <x:v>2014</x:v>
      </x:c>
      <x:c r="G1612" s="9" t="str">
        <x:v>England and Wales Court of Appeal (Civil Division)</x:v>
      </x:c>
      <x:c r="H1612" s="9" t="str">
        <x:v>Appellate</x:v>
      </x:c>
      <x:c r="I1612" s="9" t="str">
        <x:v>England</x:v>
      </x:c>
      <x:c r="J1612" s="9" t="str">
        <x:v>Family Law</x:v>
      </x:c>
      <x:c r="K1612" s="9" t="str">
        <x:v>-ew-cases-EWCA-Civ-2014-520.xml</x:v>
      </x:c>
      <x:c r="L1612" s="9" t="str">
        <x:v>TBA</x:v>
      </x:c>
    </x:row>
    <x:row r="1613">
      <x:c r="A1613" t="str">
        <x:v>6fda959a-897e-4ac6-9db7-b6735ec6ee70</x:v>
      </x:c>
      <x:c r="B1613" t="str">
        <x:v>7abfcb11-ebb8-4da2-97b1-2f440f771a49</x:v>
      </x:c>
      <x:c r="C1613" s="9" t="str">
        <x:v>JSC BTA Bank v Ablyazov &amp; Anor [2015] EWCA Civ 70</x:v>
      </x:c>
      <x:c r="D1613" s="9" t="str"/>
      <x:c r="E1613" s="9" t="str"/>
      <x:c r="F1613" s="13" t="str">
        <x:v>2015</x:v>
      </x:c>
      <x:c r="G1613" s="9" t="str">
        <x:v>England and Wales Court of Appeal (Civil Division)</x:v>
      </x:c>
      <x:c r="H1613" s="9" t="str">
        <x:v>Appellate</x:v>
      </x:c>
      <x:c r="I1613" s="9" t="str">
        <x:v>England and Wales</x:v>
      </x:c>
      <x:c r="J1613" s="9" t="str">
        <x:v>Civil Procedure</x:v>
      </x:c>
      <x:c r="K1613" s="9" t="str">
        <x:v>-ew-cases-EWCA-Civ-2015-70.xml</x:v>
      </x:c>
      <x:c r="L1613" s="9" t="str">
        <x:v>TBA</x:v>
      </x:c>
    </x:row>
    <x:row r="1614">
      <x:c r="A1614" t="str">
        <x:v>535fd923-810d-4706-acc7-839e021c3f33</x:v>
      </x:c>
      <x:c r="B1614" t="str">
        <x:v>cc22a33e-e6c3-49a5-af89-a1a0a750ebd9</x:v>
      </x:c>
      <x:c r="C1614" s="9" t="str">
        <x:v>JSC BTA Bank v Ablyazov &amp; Ors</x:v>
      </x:c>
      <x:c r="D1614" s="9" t="str"/>
      <x:c r="E1614" s="9" t="str"/>
      <x:c r="F1614" s="13" t="str">
        <x:v>2014</x:v>
      </x:c>
      <x:c r="G1614" s="9" t="str">
        <x:v>England and Wales Court of Appeal (Civil Division)</x:v>
      </x:c>
      <x:c r="H1614" s="9" t="str">
        <x:v>appellate</x:v>
      </x:c>
      <x:c r="I1614" s="9" t="str">
        <x:v>England and Wales</x:v>
      </x:c>
      <x:c r="J1614" s="9" t="str">
        <x:v>Commercial Law</x:v>
      </x:c>
      <x:c r="K1614" s="9" t="str">
        <x:v>-ew-cases-EWCA-Civ-2014-602.xml</x:v>
      </x:c>
      <x:c r="L1614" s="9" t="str">
        <x:v>TBA</x:v>
      </x:c>
    </x:row>
    <x:row r="1615">
      <x:c r="A1615" t="str">
        <x:v>9f3e6386-feb9-4605-aa2a-81d8b282351b</x:v>
      </x:c>
      <x:c r="B1615" t="str">
        <x:v>db4c7abf-5821-4cd6-ad70-3e6bb738140c</x:v>
      </x:c>
      <x:c r="C1615" s="9" t="str">
        <x:v>JSC Mezhdunarodniy Promyshlenniy Bank &amp; Anor v Pugachev</x:v>
      </x:c>
      <x:c r="D1615" s="9" t="str"/>
      <x:c r="E1615" s="9" t="str"/>
      <x:c r="F1615" s="13" t="str">
        <x:v>2015</x:v>
      </x:c>
      <x:c r="G1615" s="9" t="str">
        <x:v>England and Wales Court of Appeal (Civil Division)</x:v>
      </x:c>
      <x:c r="H1615" s="9" t="str">
        <x:v>Appellate</x:v>
      </x:c>
      <x:c r="I1615" s="9" t="str">
        <x:v>England and Wales</x:v>
      </x:c>
      <x:c r="J1615" s="9" t="str">
        <x:v>Civil</x:v>
      </x:c>
      <x:c r="K1615" s="9" t="str">
        <x:v>-ew-cases-EWCA-Civ-2015-139.xml</x:v>
      </x:c>
      <x:c r="L1615" s="9" t="str">
        <x:v>TBA</x:v>
      </x:c>
    </x:row>
    <x:row r="1616">
      <x:c r="A1616" t="str">
        <x:v>74cdaeae-0326-471a-9f28-2b1ebafed7df</x:v>
      </x:c>
      <x:c r="B1616" t="str">
        <x:v>65bf49ff-8617-4d7d-b15a-dae3d77116b7</x:v>
      </x:c>
      <x:c r="C1616" s="9" t="str">
        <x:v>JSC Mezhdunarodniy Promyshlenniy Bank &amp; Anor v Pugachev &amp; Ors [2015] EWCA Civ 906</x:v>
      </x:c>
      <x:c r="D1616" s="9" t="str"/>
      <x:c r="E1616" s="9" t="str"/>
      <x:c r="F1616" s="13" t="str">
        <x:v>2015</x:v>
      </x:c>
      <x:c r="G1616" s="9" t="str">
        <x:v>England and Wales Court of Appeal (Civil Division)</x:v>
      </x:c>
      <x:c r="H1616" s="9" t="str">
        <x:v>Appellate</x:v>
      </x:c>
      <x:c r="I1616" s="9" t="str">
        <x:v>England and Wales</x:v>
      </x:c>
      <x:c r="J1616" s="9" t="str">
        <x:v>Civil Procedure</x:v>
      </x:c>
      <x:c r="K1616" s="9" t="str">
        <x:v>-ew-cases-EWCA-Civ-2015-906.xml</x:v>
      </x:c>
      <x:c r="L1616" s="9" t="str">
        <x:v>TBA</x:v>
      </x:c>
    </x:row>
    <x:row r="1617">
      <x:c r="A1617" t="str">
        <x:v>276e792f-8c1d-41d4-8285-faa9bc812fc3</x:v>
      </x:c>
      <x:c r="B1617" t="str">
        <x:v>3c9d363c-8b7d-44aa-adb3-3e042b748afd</x:v>
      </x:c>
      <x:c r="C1617" s="9" t="str">
        <x:v>JSC Mezhdunarodny Promyshlenniy Bank &amp; Anor v Pugachev [2015] EWCA Civ 1108</x:v>
      </x:c>
      <x:c r="D1617" s="9" t="str"/>
      <x:c r="E1617" s="9" t="str"/>
      <x:c r="F1617" s="13" t="str">
        <x:v>2015</x:v>
      </x:c>
      <x:c r="G1617" s="9" t="str">
        <x:v>England and Wales Court of Appeal (Civil Division)</x:v>
      </x:c>
      <x:c r="H1617" s="9" t="str">
        <x:v>Appellate</x:v>
      </x:c>
      <x:c r="I1617" s="9" t="str">
        <x:v>England and Wales</x:v>
      </x:c>
      <x:c r="J1617" s="9" t="str">
        <x:v>Civil Appeal</x:v>
      </x:c>
      <x:c r="K1617" s="9" t="str">
        <x:v>-ew-cases-EWCA-Civ-2015-1108.xml</x:v>
      </x:c>
      <x:c r="L1617" s="9" t="str">
        <x:v>TBA</x:v>
      </x:c>
    </x:row>
    <x:row r="1618">
      <x:c r="A1618" t="str">
        <x:v>e95c6f18-aea8-4b37-ad66-1b6cdd700041</x:v>
      </x:c>
      <x:c r="B1618" t="str">
        <x:v>847199a8-59c3-4a4b-8101-49bce8515f5a</x:v>
      </x:c>
      <x:c r="C1618" s="9" t="str">
        <x:v>JT (Sri Lanka) v Secretary of State for the Home Department [2016] EWCA Civ 641</x:v>
      </x:c>
      <x:c r="D1618" s="9" t="str"/>
      <x:c r="E1618" s="9" t="str"/>
      <x:c r="F1618" s="13" t="str">
        <x:v>2016</x:v>
      </x:c>
      <x:c r="G1618" s="9" t="str">
        <x:v>England and Wales Court of Appeal (Civil Division)</x:v>
      </x:c>
      <x:c r="H1618" s="9" t="str">
        <x:v>Court of Appeal (Civil Division)</x:v>
      </x:c>
      <x:c r="I1618" s="9" t="str">
        <x:v>England and Wales</x:v>
      </x:c>
      <x:c r="J1618" s="9" t="str">
        <x:v>Immigration and asylum law; Deportation; Human rights (Article 8)</x:v>
      </x:c>
      <x:c r="K1618" s="9" t="str">
        <x:v>-ew-cases-EWCA-Civ-2016-641.xml</x:v>
      </x:c>
      <x:c r="L1618" s="9" t="str">
        <x:v>TBA</x:v>
      </x:c>
    </x:row>
    <x:row r="1619">
      <x:c r="A1619" t="str">
        <x:v>79a73811-e80c-478a-8c2d-aa73644ecdc3</x:v>
      </x:c>
      <x:c r="B1619" t="str">
        <x:v>262859d8-ddb0-4312-8c70-63e4f4a49d56</x:v>
      </x:c>
      <x:c r="C1619" s="9" t="str">
        <x:v>Judicial Review of Coroner's Investigation into Stillbirth and Anonymity</x:v>
      </x:c>
      <x:c r="D1619" s="9" t="str"/>
      <x:c r="E1619" s="9" t="str"/>
      <x:c r="F1619" s="13" t="str">
        <x:v>2017</x:v>
      </x:c>
      <x:c r="G1619" s="9" t="str">
        <x:v>England and Wales Court of Appeal (Civil Division)</x:v>
      </x:c>
      <x:c r="H1619" s="9" t="str">
        <x:v>Appellate Court</x:v>
      </x:c>
      <x:c r="I1619" s="9" t="str">
        <x:v>England and Wales</x:v>
      </x:c>
      <x:c r="J1619" s="9" t="str">
        <x:v>Administrative Law</x:v>
      </x:c>
      <x:c r="K1619" s="9" t="str">
        <x:v>-ew-cases-EWCA-Civ-2017-318.xml</x:v>
      </x:c>
      <x:c r="L1619" s="9" t="str">
        <x:v>TBA</x:v>
      </x:c>
    </x:row>
    <x:row r="1620">
      <x:c r="A1620" t="str">
        <x:v>c3ce7574-d77b-4dd3-aafb-73a9f9ee2996</x:v>
      </x:c>
      <x:c r="B1620" t="str">
        <x:v>fe89b97d-f84f-401b-8d47-269b4acde21c</x:v>
      </x:c>
      <x:c r="C1620" s="9" t="str">
        <x:v>Judicial Review of Planning Permission: Harvey v Mendip District Council</x:v>
      </x:c>
      <x:c r="D1620" s="9" t="str"/>
      <x:c r="E1620" s="9" t="str"/>
      <x:c r="F1620" s="13" t="str">
        <x:v>2017</x:v>
      </x:c>
      <x:c r="G1620" s="9" t="str">
        <x:v>England and Wales Court of Appeal (Civil Division)</x:v>
      </x:c>
      <x:c r="H1620" s="9" t="str">
        <x:v>Appellate</x:v>
      </x:c>
      <x:c r="I1620" s="9" t="str">
        <x:v>England and Wales</x:v>
      </x:c>
      <x:c r="J1620" s="9" t="str">
        <x:v>Administrative Law</x:v>
      </x:c>
      <x:c r="K1620" s="9" t="str">
        <x:v>-ew-cases-EWCA-Civ-2017-1784.xml</x:v>
      </x:c>
      <x:c r="L1620" s="9" t="str">
        <x:v>TBA</x:v>
      </x:c>
    </x:row>
    <x:row r="1621">
      <x:c r="A1621" t="str">
        <x:v>1000a377-ecc4-4107-8494-f2cfa6bea81f</x:v>
      </x:c>
      <x:c r="B1621" t="str">
        <x:v>7834b5ac-9543-4bd7-ac7f-e752393225ad</x:v>
      </x:c>
      <x:c r="C1621" s="9" t="str">
        <x:v>Judicial Review: Hoareau and Bancolet v Secretary of State for Foreign and Commonwealth Affairs</x:v>
      </x:c>
      <x:c r="D1621" s="9" t="str"/>
      <x:c r="E1621" s="9" t="str"/>
      <x:c r="F1621" s="13" t="str">
        <x:v>2018</x:v>
      </x:c>
      <x:c r="G1621" s="9" t="str">
        <x:v>England and Wales High Court (Commercial Court)</x:v>
      </x:c>
      <x:c r="H1621" s="9" t="str">
        <x:v>High Court</x:v>
      </x:c>
      <x:c r="I1621" s="9" t="str">
        <x:v>England and Wales</x:v>
      </x:c>
      <x:c r="J1621" s="9" t="str">
        <x:v>Administrative Law</x:v>
      </x:c>
      <x:c r="K1621" s="9" t="str">
        <x:v>PT_EWHC-Comm_2018_1508.xml</x:v>
      </x:c>
      <x:c r="L1621" s="9" t="str">
        <x:v>TBA</x:v>
      </x:c>
    </x:row>
    <x:row r="1622">
      <x:c r="A1622" t="str">
        <x:v>66cacef7-1d9c-455d-be28-00f55a9aec9d</x:v>
      </x:c>
      <x:c r="B1622" t="str">
        <x:v>626fe024-3c9b-447b-9111-f18aece6922e</x:v>
      </x:c>
      <x:c r="C1622" s="9" t="str">
        <x:v>Justice for Families Ltd v Secretary of State for Justice [2014] EWCA Civ 1477</x:v>
      </x:c>
      <x:c r="D1622" s="9" t="str"/>
      <x:c r="E1622" s="9" t="str"/>
      <x:c r="F1622" s="13" t="str">
        <x:v>2014</x:v>
      </x:c>
      <x:c r="G1622" s="9" t="str">
        <x:v>England and Wales Court of Appeal (Civil Division)</x:v>
      </x:c>
      <x:c r="H1622" s="9" t="str">
        <x:v>Appellate</x:v>
      </x:c>
      <x:c r="I1622" s="9" t="str">
        <x:v>England and Wales</x:v>
      </x:c>
      <x:c r="J1622" s="9" t="str">
        <x:v>Administrative Law</x:v>
      </x:c>
      <x:c r="K1622" s="9" t="str">
        <x:v>-ew-cases-EWCA-Civ-2014-1477.xml</x:v>
      </x:c>
      <x:c r="L1622" s="9" t="str">
        <x:v>TBA</x:v>
      </x:c>
    </x:row>
    <x:row r="1623">
      <x:c r="A1623" t="str">
        <x:v>96c76ad1-dce3-4350-a375-f3c298feb246</x:v>
      </x:c>
      <x:c r="B1623" t="str">
        <x:v>fd28fb5f-80c9-4f99-8c68-5e1927d67673</x:v>
      </x:c>
      <x:c r="C1623" s="9" t="str">
        <x:v>JX MX v Dartford &amp; Gravesham NHS Trust &amp; Ors [2015] EWCA Civ 96</x:v>
      </x:c>
      <x:c r="D1623" s="9" t="str"/>
      <x:c r="E1623" s="9" t="str"/>
      <x:c r="F1623" s="13" t="str">
        <x:v>2015</x:v>
      </x:c>
      <x:c r="G1623" s="9" t="str">
        <x:v>England and Wales Court of Appeal (Civil Division)</x:v>
      </x:c>
      <x:c r="H1623" s="9" t="str">
        <x:v>Appellate</x:v>
      </x:c>
      <x:c r="I1623" s="9" t="str">
        <x:v>England and Wales</x:v>
      </x:c>
      <x:c r="J1623" s="9" t="str">
        <x:v>Personal Injury</x:v>
      </x:c>
      <x:c r="K1623" s="9" t="str">
        <x:v>-ew-cases-EWCA-Civ-2015-96.xml</x:v>
      </x:c>
      <x:c r="L1623" s="9" t="str">
        <x:v>TBA</x:v>
      </x:c>
    </x:row>
    <x:row r="1624">
      <x:c r="A1624" t="str">
        <x:v>8db0d5a7-468f-461e-a163-139cbb3d525c</x:v>
      </x:c>
      <x:c r="B1624" t="str">
        <x:v>1fa1d79c-da17-4ba8-837f-04da48af3a19</x:v>
      </x:c>
      <x:c r="C1624" s="9" t="str">
        <x:v>JZ v Secretary of State for the Home Department &amp; Ors [2023] EWCA Civ 178</x:v>
      </x:c>
      <x:c r="D1624" s="9" t="str"/>
      <x:c r="E1624" s="9" t="str"/>
      <x:c r="F1624" s="13" t="str">
        <x:v>2023</x:v>
      </x:c>
      <x:c r="G1624" s="9" t="str">
        <x:v>England and Wales Court of Appeal (Civil Division)</x:v>
      </x:c>
      <x:c r="H1624" s="9" t="str">
        <x:v>Court of Appeal (Civil Division)</x:v>
      </x:c>
      <x:c r="I1624" s="9" t="str">
        <x:v>England and Wales</x:v>
      </x:c>
      <x:c r="J1624" s="9" t="str">
        <x:v>Judicial Review / Immigration</x:v>
      </x:c>
      <x:c r="K1624" s="9" t="str">
        <x:v>ew-cases-EWCA-Civ-2023-178.xml</x:v>
      </x:c>
      <x:c r="L1624" s="9" t="str">
        <x:v>TBA</x:v>
      </x:c>
    </x:row>
    <x:row r="1625">
      <x:c r="A1625" t="str">
        <x:v>fbee13f1-6e17-419c-8bfa-b9d9af1e34d8</x:v>
      </x:c>
      <x:c r="B1625" t="str">
        <x:v>b44d9077-8fd9-47d0-8978-7ca5b108a9eb</x:v>
      </x:c>
      <x:c r="C1625" s="9" t="str">
        <x:v>K (A Child) (Hague Convention: Child's Objections) [2014] EWCA Civ 1364</x:v>
      </x:c>
      <x:c r="D1625" s="9" t="str"/>
      <x:c r="E1625" s="9" t="str"/>
      <x:c r="F1625" s="13" t="str">
        <x:v>2014</x:v>
      </x:c>
      <x:c r="G1625" s="9" t="str">
        <x:v>England and Wales Court of Appeal (Civil Division)</x:v>
      </x:c>
      <x:c r="H1625" s="9" t="str">
        <x:v>Appellate</x:v>
      </x:c>
      <x:c r="I1625" s="9" t="str">
        <x:v>England and Wales</x:v>
      </x:c>
      <x:c r="J1625" s="9" t="str">
        <x:v>Family Law</x:v>
      </x:c>
      <x:c r="K1625" s="9" t="str">
        <x:v>-ew-cases-EWCA-Civ-2014-1364.xml</x:v>
      </x:c>
      <x:c r="L1625" s="9" t="str">
        <x:v>TBA</x:v>
      </x:c>
    </x:row>
    <x:row r="1626">
      <x:c r="A1626" t="str">
        <x:v>c8fbcf62-9f37-4de5-b602-d97e48788494</x:v>
      </x:c>
      <x:c r="B1626" t="str">
        <x:v>ec984d71-bdf1-4074-92f8-0ba6fc523ee7</x:v>
      </x:c>
      <x:c r="C1626" s="9" t="str">
        <x:v>K (A Child), Re [2015] EWCA Civ 352 - Custody Dispute and Jurisdiction Challenge</x:v>
      </x:c>
      <x:c r="D1626" s="9" t="str"/>
      <x:c r="E1626" s="9" t="str"/>
      <x:c r="F1626" s="13" t="str">
        <x:v>2015</x:v>
      </x:c>
      <x:c r="G1626" s="9" t="str">
        <x:v>England and Wales Court of Appeal (Civil Division)</x:v>
      </x:c>
      <x:c r="H1626" s="9" t="str">
        <x:v>Appellate</x:v>
      </x:c>
      <x:c r="I1626" s="9" t="str">
        <x:v>England and Wales</x:v>
      </x:c>
      <x:c r="J1626" s="9" t="str">
        <x:v>Family Law</x:v>
      </x:c>
      <x:c r="K1626" s="9" t="str">
        <x:v>-ew-cases-EWCA-Civ-2015-352.xml</x:v>
      </x:c>
      <x:c r="L1626" s="9" t="str">
        <x:v>TBA</x:v>
      </x:c>
    </x:row>
    <x:row r="1627">
      <x:c r="A1627" t="str">
        <x:v>002a6949-ff91-44cb-b0a5-918155f6a0d7</x:v>
      </x:c>
      <x:c r="B1627" t="str">
        <x:v>4b780248-5007-4571-8bab-1a53bb79cd8c</x:v>
      </x:c>
      <x:c r="C1627" s="9" t="str">
        <x:v>K (Child) [2016] EWCA Civ 931</x:v>
      </x:c>
      <x:c r="D1627" s="9" t="str"/>
      <x:c r="E1627" s="9" t="str"/>
      <x:c r="F1627" s="13" t="str">
        <x:v>2016</x:v>
      </x:c>
      <x:c r="G1627" s="9" t="str">
        <x:v>England and Wales Court of Appeal (Civil Division)</x:v>
      </x:c>
      <x:c r="H1627" s="9" t="str">
        <x:v>Court of Appeal (Civil Division)</x:v>
      </x:c>
      <x:c r="I1627" s="9" t="str">
        <x:v>England and Wales</x:v>
      </x:c>
      <x:c r="J1627" s="9" t="str">
        <x:v>Family Law - Relocation</x:v>
      </x:c>
      <x:c r="K1627" s="9" t="str">
        <x:v>-ew-cases-EWCA-Civ-2016-931.xml</x:v>
      </x:c>
      <x:c r="L1627" s="9" t="str">
        <x:v>TBA</x:v>
      </x:c>
    </x:row>
    <x:row r="1628">
      <x:c r="A1628" t="str">
        <x:v>c06049dd-2c8e-4075-9306-998844483b34</x:v>
      </x:c>
      <x:c r="B1628" t="str">
        <x:v>19c12170-04d0-4af5-a7c9-ceabecfb7610</x:v>
      </x:c>
      <x:c r="C1628" s="9" t="str">
        <x:v>K (Children) [2014] EWCA Civ 1195: Appeal Against Interim Care Orders</x:v>
      </x:c>
      <x:c r="D1628" s="9" t="str"/>
      <x:c r="E1628" s="9" t="str"/>
      <x:c r="F1628" s="13" t="str">
        <x:v>2014</x:v>
      </x:c>
      <x:c r="G1628" s="9" t="str">
        <x:v>England and Wales Court of Appeal (Civil Division)</x:v>
      </x:c>
      <x:c r="H1628" s="9" t="str">
        <x:v>Appellate</x:v>
      </x:c>
      <x:c r="I1628" s="9" t="str">
        <x:v>England and Wales</x:v>
      </x:c>
      <x:c r="J1628" s="9" t="str">
        <x:v>Family Law</x:v>
      </x:c>
      <x:c r="K1628" s="9" t="str">
        <x:v>-ew-cases-EWCA-Civ-2014-1195.xml</x:v>
      </x:c>
      <x:c r="L1628" s="9" t="str">
        <x:v>TBA</x:v>
      </x:c>
    </x:row>
    <x:row r="1629">
      <x:c r="A1629" t="str">
        <x:v>183c2243-e7d8-4c77-ba8c-e3a505d9684d</x:v>
      </x:c>
      <x:c r="B1629" t="str">
        <x:v>b738460d-d1cd-42b8-baaa-fdf9232faa05</x:v>
      </x:c>
      <x:c r="C1629" s="9" t="str">
        <x:v>K (Children), Re [2016] EWCA Civ 99</x:v>
      </x:c>
      <x:c r="D1629" s="9" t="str"/>
      <x:c r="E1629" s="9" t="str"/>
      <x:c r="F1629" s="13" t="str">
        <x:v>2016</x:v>
      </x:c>
      <x:c r="G1629" s="9" t="str">
        <x:v>England and Wales Court of Appeal (Civil Division)</x:v>
      </x:c>
      <x:c r="H1629" s="9" t="str">
        <x:v>Court of Appeal (Civil Division)</x:v>
      </x:c>
      <x:c r="I1629" s="9" t="str">
        <x:v>England and Wales</x:v>
      </x:c>
      <x:c r="J1629" s="9" t="str">
        <x:v>Family Law - Children</x:v>
      </x:c>
      <x:c r="K1629" s="9" t="str">
        <x:v>-ew-cases-EWCA-Civ-2016-99.xml</x:v>
      </x:c>
      <x:c r="L1629" s="9" t="str">
        <x:v>TBA</x:v>
      </x:c>
    </x:row>
    <x:row r="1630">
      <x:c r="A1630" t="str">
        <x:v>2980d8f4-a322-4706-bfcc-5aa9cd24e351</x:v>
      </x:c>
      <x:c r="B1630" t="str">
        <x:v>0100e8ab-7ece-4317-a9d8-7d844a806bf7</x:v>
      </x:c>
      <x:c r="C1630" s="9" t="str">
        <x:v>K &amp; KT (Children) [2014] EWCA Civ 1211</x:v>
      </x:c>
      <x:c r="D1630" s="9" t="str"/>
      <x:c r="E1630" s="9" t="str"/>
      <x:c r="F1630" s="13" t="str">
        <x:v>2014</x:v>
      </x:c>
      <x:c r="G1630" s="9" t="str">
        <x:v>England and Wales Court of Appeal (Civil Division)</x:v>
      </x:c>
      <x:c r="H1630" s="9" t="str">
        <x:v>Appellate</x:v>
      </x:c>
      <x:c r="I1630" s="9" t="str">
        <x:v>England and Wales</x:v>
      </x:c>
      <x:c r="J1630" s="9" t="str">
        <x:v>Family Law</x:v>
      </x:c>
      <x:c r="K1630" s="9" t="str">
        <x:v>-ew-cases-EWCA-Civ-2014-1211.xml</x:v>
      </x:c>
      <x:c r="L1630" s="9" t="str">
        <x:v>TBA</x:v>
      </x:c>
    </x:row>
    <x:row r="1631">
      <x:c r="A1631" t="str">
        <x:v>09c09177-a3bd-4fd9-8daa-057866647962</x:v>
      </x:c>
      <x:c r="B1631" t="str">
        <x:v>f75b4175-914b-42c9-a557-c742fcaced0f</x:v>
      </x:c>
      <x:c r="C1631" s="9" t="str">
        <x:v>K &amp; L (Children: Fairness of Hearing) [2023] EWCA Civ 686</x:v>
      </x:c>
      <x:c r="D1631" s="9" t="str"/>
      <x:c r="E1631" s="9" t="str"/>
      <x:c r="F1631" s="13" t="str">
        <x:v>2023</x:v>
      </x:c>
      <x:c r="G1631" s="9" t="str">
        <x:v>England and Wales Court of Appeal (Civil Division)</x:v>
      </x:c>
      <x:c r="H1631" s="9" t="str">
        <x:v>Court of Appeal (Civil Division)</x:v>
      </x:c>
      <x:c r="I1631" s="9" t="str">
        <x:v>England and Wales</x:v>
      </x:c>
      <x:c r="J1631" s="9" t="str">
        <x:v>Family Law; Care Proceedings; Child Welfare</x:v>
      </x:c>
      <x:c r="K1631" s="9" t="str">
        <x:v>ew-cases-EWCA-Civ-2023-686.xml</x:v>
      </x:c>
      <x:c r="L1631" s="9" t="str">
        <x:v>TBA</x:v>
      </x:c>
    </x:row>
    <x:row r="1632">
      <x:c r="A1632" t="str">
        <x:v>853b0c30-421c-48b1-8d6f-847d8a5b131e</x:v>
      </x:c>
      <x:c r="B1632" t="str">
        <x:v>f31a451b-b5dd-4836-bc62-e840b0c2a859</x:v>
      </x:c>
      <x:c r="C1632" s="9" t="str">
        <x:v>K &amp; Ors v Secretary of State for Defence &amp; Anr [2016] EWCA Civ 1149 (Court of Appeal, Civil Division)</x:v>
      </x:c>
      <x:c r="D1632" s="9" t="str"/>
      <x:c r="E1632" s="9" t="str"/>
      <x:c r="F1632" s="13" t="str">
        <x:v>2016</x:v>
      </x:c>
      <x:c r="G1632" s="9" t="str">
        <x:v>England and Wales Court of Appeal (Civil Division)</x:v>
      </x:c>
      <x:c r="H1632" s="9" t="str">
        <x:v>Court of Appeal (Civil Division)</x:v>
      </x:c>
      <x:c r="I1632" s="9" t="str">
        <x:v>United Kingdom</x:v>
      </x:c>
      <x:c r="J1632" s="9" t="str">
        <x:v>Public Law / Administrative Law</x:v>
      </x:c>
      <x:c r="K1632" s="9" t="str">
        <x:v>-ew-cases-EWCA-Civ-2016-1149.xml</x:v>
      </x:c>
      <x:c r="L1632" s="9" t="str">
        <x:v>TBA</x:v>
      </x:c>
    </x:row>
    <x:row r="1633">
      <x:c r="A1633" t="str">
        <x:v>a0055629-740e-4aec-ae8c-39c0f70a79cd</x:v>
      </x:c>
      <x:c r="B1633" t="str">
        <x:v>45b029e8-4160-4fe3-8bd1-96e9537c04e4</x:v>
      </x:c>
      <x:c r="C1633" s="9" t="str">
        <x:v>K Line PTE Ltd v Priminds Shipping (HK) Co Ltd - Case Analysis</x:v>
      </x:c>
      <x:c r="D1633" s="9" t="str"/>
      <x:c r="E1633" s="9" t="str"/>
      <x:c r="F1633" s="13" t="str">
        <x:v>2021</x:v>
      </x:c>
      <x:c r="G1633" s="9" t="str">
        <x:v>England and Wales Court of Appeal (Civil Division)</x:v>
      </x:c>
      <x:c r="H1633" s="9" t="str">
        <x:v>Appellate</x:v>
      </x:c>
      <x:c r="I1633" s="9" t="str">
        <x:v>England and Wales</x:v>
      </x:c>
      <x:c r="J1633" s="9" t="str">
        <x:v>Contract Dispute</x:v>
      </x:c>
      <x:c r="K1633" s="9" t="str">
        <x:v>ew-cases-EWCA-Civ-2021-1712.xml</x:v>
      </x:c>
      <x:c r="L1633" s="9" t="str">
        <x:v>TBA</x:v>
      </x:c>
    </x:row>
    <x:row r="1634">
      <x:c r="A1634" t="str">
        <x:v>7f8a98a7-7464-42f5-bb74-4a7a5328bef7</x:v>
      </x:c>
      <x:c r="B1634" t="str">
        <x:v>265b590e-2ce4-4809-b1e1-20587726852b</x:v>
      </x:c>
      <x:c r="C1634" s="9" t="str">
        <x:v>K v The Hospital Managers of the Kingswood Centre &amp; Anor</x:v>
      </x:c>
      <x:c r="D1634" s="9" t="str"/>
      <x:c r="E1634" s="9" t="str"/>
      <x:c r="F1634" s="13" t="str">
        <x:v>2014</x:v>
      </x:c>
      <x:c r="G1634" s="9" t="str">
        <x:v>England and Wales Court of Appeal (Civil Division)</x:v>
      </x:c>
      <x:c r="H1634" s="9" t="str">
        <x:v>Appellate</x:v>
      </x:c>
      <x:c r="I1634" s="9" t="str">
        <x:v>England and Wales</x:v>
      </x:c>
      <x:c r="J1634" s="9" t="str">
        <x:v>Administrative Law</x:v>
      </x:c>
      <x:c r="K1634" s="9" t="str">
        <x:v>-ew-cases-EWCA-Civ-2014-1332.xml</x:v>
      </x:c>
      <x:c r="L1634" s="9" t="str">
        <x:v>TBA</x:v>
      </x:c>
    </x:row>
    <x:row r="1635">
      <x:c r="A1635" t="str">
        <x:v>ee4eb285-0661-44d0-8a36-c2a4bee4d217</x:v>
      </x:c>
      <x:c r="B1635" t="str">
        <x:v>33b908fd-8c25-4fa6-8c26-adf4c58e38e4</x:v>
      </x:c>
      <x:c r="C1635" s="9" t="str">
        <x:v>K v. K (A Child): Custodial Dispute and Judicial Powers</x:v>
      </x:c>
      <x:c r="D1635" s="9" t="str"/>
      <x:c r="E1635" s="9" t="str"/>
      <x:c r="F1635" s="13" t="str">
        <x:v>2014</x:v>
      </x:c>
      <x:c r="G1635" s="9" t="str">
        <x:v>England and Wales Court of Appeal (Civil Division)</x:v>
      </x:c>
      <x:c r="H1635" s="9" t="str">
        <x:v>Court of Appeal</x:v>
      </x:c>
      <x:c r="I1635" s="9" t="str">
        <x:v>England and Wales</x:v>
      </x:c>
      <x:c r="J1635" s="9" t="str">
        <x:v>Family Law</x:v>
      </x:c>
      <x:c r="K1635" s="9" t="str">
        <x:v>-ew-cases-EWCA-Civ-2014-905.xml</x:v>
      </x:c>
      <x:c r="L1635" s="9" t="str">
        <x:v>TBA</x:v>
      </x:c>
    </x:row>
    <x:row r="1636">
      <x:c r="A1636" t="str">
        <x:v>f16bd33a-e0cd-482f-9368-a5d1114f5da8</x:v>
      </x:c>
      <x:c r="B1636" t="str">
        <x:v>9014042d-bfa2-4c47-af7d-06f30723b4db</x:v>
      </x:c>
      <x:c r="C1636" s="9" t="str">
        <x:v>K-L (Children), Re [2015] EWCA Civ 992</x:v>
      </x:c>
      <x:c r="D1636" s="9" t="str"/>
      <x:c r="E1636" s="9" t="str"/>
      <x:c r="F1636" s="13" t="str">
        <x:v>2015</x:v>
      </x:c>
      <x:c r="G1636" s="9" t="str">
        <x:v>England and Wales Court of Appeal (Civil Division)</x:v>
      </x:c>
      <x:c r="H1636" s="9" t="str">
        <x:v>Appellate</x:v>
      </x:c>
      <x:c r="I1636" s="9" t="str">
        <x:v>England and Wales</x:v>
      </x:c>
      <x:c r="J1636" s="9" t="str">
        <x:v>Family Law</x:v>
      </x:c>
      <x:c r="K1636" s="9" t="str">
        <x:v>-ew-cases-EWCA-Civ-2015-992.xml</x:v>
      </x:c>
      <x:c r="L1636" s="9" t="str">
        <x:v>TBA</x:v>
      </x:c>
    </x:row>
    <x:row r="1637">
      <x:c r="A1637" t="str">
        <x:v>c0448075-fadf-4256-8d9a-8ee4d57b5d72</x:v>
      </x:c>
      <x:c r="B1637" t="str">
        <x:v>0e3b1e3d-e929-4ace-8f37-01994624c24f</x:v>
      </x:c>
      <x:c r="C1637" s="9" t="str">
        <x:v>K, Re [2022] EWCA Civ 468 (Court of Appeal, Civil Division)</x:v>
      </x:c>
      <x:c r="D1637" s="9" t="str"/>
      <x:c r="E1637" s="9" t="str"/>
      <x:c r="F1637" s="13" t="str">
        <x:v>2022</x:v>
      </x:c>
      <x:c r="G1637" s="9" t="str">
        <x:v>England and Wales Court of Appeal (Civil Division)</x:v>
      </x:c>
      <x:c r="H1637" s="9" t="str">
        <x:v>Court of Appeal (Civil Division)</x:v>
      </x:c>
      <x:c r="I1637" s="9" t="str">
        <x:v>England and Wales</x:v>
      </x:c>
      <x:c r="J1637" s="9" t="str">
        <x:v>Private Family Law; Children; Fact-finding hearings</x:v>
      </x:c>
      <x:c r="K1637" s="9" t="str">
        <x:v>ew-cases-EWCA-Civ-2022-468.xml</x:v>
      </x:c>
      <x:c r="L1637" s="9" t="str">
        <x:v>TBA</x:v>
      </x:c>
    </x:row>
    <x:row r="1638">
      <x:c r="A1638" t="str">
        <x:v>ec64bcbb-2deb-47ed-9ee3-c75ca66505cb</x:v>
      </x:c>
      <x:c r="B1638" t="str">
        <x:v>ce7571ce-cfc4-48dc-9e39-5516d4823e00</x:v>
      </x:c>
      <x:c r="C1638" s="9" t="str">
        <x:v>KA &amp; Anor v East Midlands Ambulance Service NHS Trust [2016] EWCA Civ 647</x:v>
      </x:c>
      <x:c r="D1638" s="9" t="str"/>
      <x:c r="E1638" s="9" t="str"/>
      <x:c r="F1638" s="13" t="str">
        <x:v>2016</x:v>
      </x:c>
      <x:c r="G1638" s="9" t="str">
        <x:v>England and Wales Court of Appeal (Civil Division)</x:v>
      </x:c>
      <x:c r="H1638" s="9" t="str">
        <x:v>Court of Appeal (Civil Division)</x:v>
      </x:c>
      <x:c r="I1638" s="9" t="str">
        <x:v>England and Wales</x:v>
      </x:c>
      <x:c r="J1638" s="9" t="str">
        <x:v>Tort / Medical Negligence</x:v>
      </x:c>
      <x:c r="K1638" s="9" t="str">
        <x:v>-ew-cases-EWCA-Civ-2016-647.xml</x:v>
      </x:c>
      <x:c r="L1638" s="9" t="str">
        <x:v>TBA</x:v>
      </x:c>
    </x:row>
    <x:row r="1639">
      <x:c r="A1639" t="str">
        <x:v>76c5f82f-0479-45c7-aeba-85825e8cb9a2</x:v>
      </x:c>
      <x:c r="B1639" t="str">
        <x:v>fe66700b-7dec-4067-b0eb-a0fca84066d7</x:v>
      </x:c>
      <x:c r="C1639" s="9" t="str">
        <x:v>KA, R (on the application of) v The Secretary of State for the Home Department &amp; Anor</x:v>
      </x:c>
      <x:c r="D1639" s="9" t="str"/>
      <x:c r="E1639" s="9" t="str"/>
      <x:c r="F1639" s="13" t="str">
        <x:v>2021</x:v>
      </x:c>
      <x:c r="G1639" s="9" t="str">
        <x:v>England and Wales Court of Appeal (Civil Division)</x:v>
      </x:c>
      <x:c r="H1639" s="9" t="str">
        <x:v>Appellate</x:v>
      </x:c>
      <x:c r="I1639" s="9" t="str">
        <x:v>England and Wales</x:v>
      </x:c>
      <x:c r="J1639" s="9" t="str">
        <x:v>Administrative Law</x:v>
      </x:c>
      <x:c r="K1639" s="9" t="str">
        <x:v>ew-cases-EWCA-Civ-2021-1040.xml</x:v>
      </x:c>
      <x:c r="L1639" s="9" t="str">
        <x:v>TBA</x:v>
      </x:c>
    </x:row>
    <x:row r="1640">
      <x:c r="A1640" t="str">
        <x:v>830dc272-c9c9-4728-b121-fa88e816f7f6</x:v>
      </x:c>
      <x:c r="B1640" t="str">
        <x:v>ea179fd6-9cc0-4327-b94e-9bdff9e46c0c</x:v>
      </x:c>
      <x:c r="C1640" s="9" t="str">
        <x:v>Kadir v Mistry &amp; Ors [2014] EWCA Civ 1177</x:v>
      </x:c>
      <x:c r="D1640" s="9" t="str"/>
      <x:c r="E1640" s="9" t="str"/>
      <x:c r="F1640" s="13" t="str">
        <x:v>2014</x:v>
      </x:c>
      <x:c r="G1640" s="9" t="str">
        <x:v>England and Wales Court of Appeal (Civil Division)</x:v>
      </x:c>
      <x:c r="H1640" s="9" t="str">
        <x:v>Appellate</x:v>
      </x:c>
      <x:c r="I1640" s="9" t="str">
        <x:v>England and Wales</x:v>
      </x:c>
      <x:c r="J1640" s="9" t="str">
        <x:v>Medical Negligence</x:v>
      </x:c>
      <x:c r="K1640" s="9" t="str">
        <x:v>-ew-cases-EWCA-Civ-2014-1177.xml</x:v>
      </x:c>
      <x:c r="L1640" s="9" t="str">
        <x:v>TBA</x:v>
      </x:c>
    </x:row>
    <x:row r="1641">
      <x:c r="A1641" t="str">
        <x:v>6637799b-f25d-499e-93eb-b6416f249344</x:v>
      </x:c>
      <x:c r="B1641" t="str">
        <x:v>a14b5499-40f8-4f7a-ba64-48af979c96de</x:v>
      </x:c>
      <x:c r="C1641" s="9" t="str">
        <x:v>Kahiga v London Borough of Barnet [2015] EWCA Civ 857</x:v>
      </x:c>
      <x:c r="D1641" s="9" t="str"/>
      <x:c r="E1641" s="9" t="str"/>
      <x:c r="F1641" s="13" t="str">
        <x:v>2015</x:v>
      </x:c>
      <x:c r="G1641" s="9" t="str">
        <x:v>England and Wales Court of Appeal (Civil Division)</x:v>
      </x:c>
      <x:c r="H1641" s="9" t="str">
        <x:v>Appellate</x:v>
      </x:c>
      <x:c r="I1641" s="9" t="str">
        <x:v>England and Wales</x:v>
      </x:c>
      <x:c r="J1641" s="9" t="str">
        <x:v>Employment Law</x:v>
      </x:c>
      <x:c r="K1641" s="9" t="str">
        <x:v>-ew-cases-EWCA-Civ-2015-857.xml</x:v>
      </x:c>
      <x:c r="L1641" s="9" t="str">
        <x:v>TBA</x:v>
      </x:c>
    </x:row>
    <x:row r="1642">
      <x:c r="A1642" t="str">
        <x:v>1418ffbc-c03e-44a5-b1f9-3e54e1e1006f</x:v>
      </x:c>
      <x:c r="B1642" t="str">
        <x:v>cf64879b-7dfd-4ce3-9785-4cc372b76bc0</x:v>
      </x:c>
      <x:c r="C1642" s="9" t="str">
        <x:v>Kairos Shipping Ltd &amp; Anor v Enka &amp; Co LLC &amp; Ors [2014] EWCA Civ 217</x:v>
      </x:c>
      <x:c r="D1642" s="9" t="str"/>
      <x:c r="E1642" s="9" t="str"/>
      <x:c r="F1642" s="13" t="str">
        <x:v>2014</x:v>
      </x:c>
      <x:c r="G1642" s="9" t="str">
        <x:v>England and Wales Court of Appeal (Civil Division)</x:v>
      </x:c>
      <x:c r="H1642" s="9" t="str">
        <x:v>Appellate</x:v>
      </x:c>
      <x:c r="I1642" s="9" t="str">
        <x:v>England and Wales</x:v>
      </x:c>
      <x:c r="J1642" s="9" t="str">
        <x:v>Admiralty Law</x:v>
      </x:c>
      <x:c r="K1642" s="9" t="str">
        <x:v>-ew-cases-EWCA-Civ-2014-217.xml</x:v>
      </x:c>
      <x:c r="L1642" s="9" t="str">
        <x:v>TBA</x:v>
      </x:c>
    </x:row>
    <x:row r="1643">
      <x:c r="A1643" t="str">
        <x:v>5c74f4c4-627d-4f2a-9866-a8acaea6d997</x:v>
      </x:c>
      <x:c r="B1643" t="str">
        <x:v>8f71d8f3-5f1a-475b-b439-889342adf765</x:v>
      </x:c>
      <x:c r="C1643" s="9" t="str">
        <x:v>Kaitey v Secretary of State for the Home Department</x:v>
      </x:c>
      <x:c r="D1643" s="9" t="str"/>
      <x:c r="E1643" s="9" t="str"/>
      <x:c r="F1643" s="13" t="str">
        <x:v>2021</x:v>
      </x:c>
      <x:c r="G1643" s="9" t="str">
        <x:v>England and Wales Court of Appeal (Civil Division)</x:v>
      </x:c>
      <x:c r="H1643" s="9" t="str">
        <x:v>Appellate</x:v>
      </x:c>
      <x:c r="I1643" s="9" t="str">
        <x:v>England and Wales</x:v>
      </x:c>
      <x:c r="J1643" s="9" t="str">
        <x:v>Administrative Law</x:v>
      </x:c>
      <x:c r="K1643" s="9" t="str">
        <x:v>ew-cases-EWCA-Civ-2021-1875.xml</x:v>
      </x:c>
      <x:c r="L1643" s="9" t="str">
        <x:v>TBA</x:v>
      </x:c>
    </x:row>
    <x:row r="1644">
      <x:c r="A1644" t="str">
        <x:v>8679e6ac-a740-4d3e-a104-85dcba306b2b</x:v>
      </x:c>
      <x:c r="B1644" t="str">
        <x:v>696737bc-813c-43b5-ba43-77823c69e525</x:v>
      </x:c>
      <x:c r="C1644" s="9" t="str">
        <x:v>Kajima Construction Europe (UK) Ltd &amp; Anor v Children's Ark Partnership Ltd [2023] EWCA Civ 292</x:v>
      </x:c>
      <x:c r="D1644" s="9" t="str"/>
      <x:c r="E1644" s="9" t="str"/>
      <x:c r="F1644" s="13" t="str">
        <x:v>2023</x:v>
      </x:c>
      <x:c r="G1644" s="9" t="str">
        <x:v>England and Wales Court of Appeal (Civil Division)</x:v>
      </x:c>
      <x:c r="H1644" s="9" t="str">
        <x:v>Court of Appeal (Civil Division)</x:v>
      </x:c>
      <x:c r="I1644" s="9" t="str">
        <x:v>England and Wales</x:v>
      </x:c>
      <x:c r="J1644" s="9" t="str">
        <x:v>Contract Dispute; ADR/DRP; Construction</x:v>
      </x:c>
      <x:c r="K1644" s="9" t="str">
        <x:v>ew-cases-EWCA-Civ-2023-292.xml</x:v>
      </x:c>
      <x:c r="L1644" s="9" t="str">
        <x:v>TBA</x:v>
      </x:c>
    </x:row>
    <x:row r="1645">
      <x:c r="A1645" t="str">
        <x:v>9710b64d-a86b-4542-bbf3-d2ff43912127</x:v>
      </x:c>
      <x:c r="B1645" t="str">
        <x:v>dc39ffed-e23c-4f56-887e-bf0d26c8eba9</x:v>
      </x:c>
      <x:c r="C1645" s="9" t="str">
        <x:v>Kajuga v Secretary of State for the Home Department</x:v>
      </x:c>
      <x:c r="D1645" s="9" t="str"/>
      <x:c r="E1645" s="9" t="str"/>
      <x:c r="F1645" s="13" t="str">
        <x:v>2017</x:v>
      </x:c>
      <x:c r="G1645" s="9" t="str">
        <x:v>England and Wales Court of Appeal (Civil Division)</x:v>
      </x:c>
      <x:c r="H1645" s="9" t="str">
        <x:v>Appellate</x:v>
      </x:c>
      <x:c r="I1645" s="9" t="str">
        <x:v>England and Wales</x:v>
      </x:c>
      <x:c r="J1645" s="9" t="str">
        <x:v>Immigration Law</x:v>
      </x:c>
      <x:c r="K1645" s="9" t="str">
        <x:v>-ew-cases-EWCA-Civ-2017-240.xml</x:v>
      </x:c>
      <x:c r="L1645" s="9" t="str">
        <x:v>TBA</x:v>
      </x:c>
    </x:row>
    <x:row r="1646">
      <x:c r="A1646" t="str">
        <x:v>7ed1b133-f045-4bab-99c0-d01ba5a7cbda</x:v>
      </x:c>
      <x:c r="B1646" t="str">
        <x:v>c0e26628-6983-4f76-b51f-4d721d7a3eaa</x:v>
      </x:c>
      <x:c r="C1646" s="9" t="str">
        <x:v>Kaki v National Private Air Transport Company</x:v>
      </x:c>
      <x:c r="D1646" s="9" t="str"/>
      <x:c r="E1646" s="9" t="str"/>
      <x:c r="F1646" s="13" t="str">
        <x:v>2015</x:v>
      </x:c>
      <x:c r="G1646" s="9" t="str">
        <x:v>England and Wales Court of Appeal (Civil Division)</x:v>
      </x:c>
      <x:c r="H1646" s="9" t="str">
        <x:v>Appellate</x:v>
      </x:c>
      <x:c r="I1646" s="9" t="str">
        <x:v>England and Wales</x:v>
      </x:c>
      <x:c r="J1646" s="9" t="str">
        <x:v>Commercial Law</x:v>
      </x:c>
      <x:c r="K1646" s="9" t="str">
        <x:v>-ew-cases-EWCA-Civ-2015-731.xml</x:v>
      </x:c>
      <x:c r="L1646" s="9" t="str">
        <x:v>TBA</x:v>
      </x:c>
    </x:row>
    <x:row r="1647">
      <x:c r="A1647" t="str">
        <x:v>6335dce7-90d7-44c8-8329-1c7b9bf5d1a2</x:v>
      </x:c>
      <x:c r="B1647" t="str">
        <x:v>facdee26-7310-4355-9ef5-1fd21f107f72</x:v>
      </x:c>
      <x:c r="C1647" s="9" t="str">
        <x:v>Kalda v. Estonia - Access to Information Rights for Prisoners</x:v>
      </x:c>
      <x:c r="D1647" s="9" t="str"/>
      <x:c r="E1647" s="9" t="str"/>
      <x:c r="F1647" s="13" t="str">
        <x:v>2016</x:v>
      </x:c>
      <x:c r="G1647" s="9" t="str">
        <x:v>European Court of Human Rights (Second Section)</x:v>
      </x:c>
      <x:c r="H1647" s="9" t="str">
        <x:v>International</x:v>
      </x:c>
      <x:c r="I1647" s="9" t="str">
        <x:v>European Union</x:v>
      </x:c>
      <x:c r="J1647" s="9" t="str">
        <x:v>Human Rights</x:v>
      </x:c>
      <x:c r="K1647" s="9" t="str">
        <x:v>Kalda_v_Estonia_17429_10(1).xml</x:v>
      </x:c>
      <x:c r="L1647" s="9" t="str">
        <x:v>TBA</x:v>
      </x:c>
    </x:row>
    <x:row r="1648">
      <x:c r="A1648" t="str">
        <x:v>e068eb7a-347a-4f2a-8203-aca658d26dc0</x:v>
      </x:c>
      <x:c r="B1648" t="str">
        <x:v>fa7286a8-f052-44b8-9af5-5ba60acc7105</x:v>
      </x:c>
      <x:c r="C1648" s="9" t="str">
        <x:v>Kallon v First Tier Tribunal (SEC) (Criminal Injuries) [2015] EWCA Civ 1099</x:v>
      </x:c>
      <x:c r="D1648" s="9" t="str"/>
      <x:c r="E1648" s="9" t="str"/>
      <x:c r="F1648" s="13" t="str">
        <x:v>2015</x:v>
      </x:c>
      <x:c r="G1648" s="9" t="str">
        <x:v>England and Wales Court of Appeal (Civil Division)</x:v>
      </x:c>
      <x:c r="H1648" s="9" t="str">
        <x:v>Appellate</x:v>
      </x:c>
      <x:c r="I1648" s="9" t="str">
        <x:v>England and Wales</x:v>
      </x:c>
      <x:c r="J1648" s="9" t="str">
        <x:v>Administrative Law</x:v>
      </x:c>
      <x:c r="K1648" s="9" t="str">
        <x:v>-ew-cases-EWCA-Civ-2015-1099.xml</x:v>
      </x:c>
      <x:c r="L1648" s="9" t="str">
        <x:v>TBA</x:v>
      </x:c>
    </x:row>
    <x:row r="1649">
      <x:c r="A1649" t="str">
        <x:v>be344d5c-d426-444b-8fd3-f343e303a061</x:v>
      </x:c>
      <x:c r="B1649" t="str">
        <x:v>c3974612-b574-43f1-8653-9fd07d4d2fc5</x:v>
      </x:c>
      <x:c r="C1649" s="9" t="str">
        <x:v>Kalonga, R (On the Application Of) v London Borough of Croydon [2022] EWCA Civ 670</x:v>
      </x:c>
      <x:c r="D1649" s="9" t="str"/>
      <x:c r="E1649" s="9" t="str"/>
      <x:c r="F1649" s="13" t="str">
        <x:v>2022</x:v>
      </x:c>
      <x:c r="G1649" s="9" t="str">
        <x:v>England and Wales Court of Appeal (Civil Division)</x:v>
      </x:c>
      <x:c r="H1649" s="9" t="str">
        <x:v>Court of Appeal (Civil Division)</x:v>
      </x:c>
      <x:c r="I1649" s="9" t="str">
        <x:v>England and Wales</x:v>
      </x:c>
      <x:c r="J1649" s="9" t="str">
        <x:v>Judicial Review / Administrative Law</x:v>
      </x:c>
      <x:c r="K1649" s="9" t="str">
        <x:v>ew-cases-EWCA-Civ-2022-670.xml</x:v>
      </x:c>
      <x:c r="L1649" s="9" t="str">
        <x:v>TBA</x:v>
      </x:c>
    </x:row>
    <x:row r="1650">
      <x:c r="A1650" t="str">
        <x:v>507995f4-e614-4aa2-95bc-455d11d98734</x:v>
      </x:c>
      <x:c r="B1650" t="str">
        <x:v>e8d2c7a5-f9aa-477f-a2d4-e7b1cd9c67ba</x:v>
      </x:c>
      <x:c r="C1650" s="9" t="str">
        <x:v>Kalsi &amp; Ors, R (On the Application Of) v The Secretary of State for the Home Department</x:v>
      </x:c>
      <x:c r="D1650" s="9" t="str"/>
      <x:c r="E1650" s="9" t="str"/>
      <x:c r="F1650" s="13" t="str">
        <x:v>2021</x:v>
      </x:c>
      <x:c r="G1650" s="9" t="str">
        <x:v>England and Wales Court of Appeal (Civil Division)</x:v>
      </x:c>
      <x:c r="H1650" s="9" t="str">
        <x:v>appellate</x:v>
      </x:c>
      <x:c r="I1650" s="9" t="str">
        <x:v>England and Wales</x:v>
      </x:c>
      <x:c r="J1650" s="9" t="str">
        <x:v>Administrative Law</x:v>
      </x:c>
      <x:c r="K1650" s="9" t="str">
        <x:v>ew-cases-EWCA-Civ-2021-184.xml</x:v>
      </x:c>
      <x:c r="L1650" s="9" t="str">
        <x:v>TBA</x:v>
      </x:c>
    </x:row>
    <x:row r="1651">
      <x:c r="A1651" t="str">
        <x:v>eb6516fd-432e-402e-a7d6-a4f8badb9ad8</x:v>
      </x:c>
      <x:c r="B1651" t="str">
        <x:v>b5913f39-0611-4550-b7a3-d97e1fc4f9c9</x:v>
      </x:c>
      <x:c r="C1651" s="9" t="str">
        <x:v>Kalu v Brighton and Sussex University Hospitals NHS Trust &amp; Ors [2015] EWCA Civ 897</x:v>
      </x:c>
      <x:c r="D1651" s="9" t="str"/>
      <x:c r="E1651" s="9" t="str"/>
      <x:c r="F1651" s="13" t="str">
        <x:v>2015</x:v>
      </x:c>
      <x:c r="G1651" s="9" t="str">
        <x:v>England and Wales Court of Appeal (Civil Division)</x:v>
      </x:c>
      <x:c r="H1651" s="9" t="str">
        <x:v>Appellate</x:v>
      </x:c>
      <x:c r="I1651" s="9" t="str">
        <x:v>England and Wales</x:v>
      </x:c>
      <x:c r="J1651" s="9" t="str">
        <x:v>Civil Rights</x:v>
      </x:c>
      <x:c r="K1651" s="9" t="str">
        <x:v>-ew-cases-EWCA-Civ-2015-897.xml</x:v>
      </x:c>
      <x:c r="L1651" s="9" t="str">
        <x:v>TBA</x:v>
      </x:c>
    </x:row>
    <x:row r="1652">
      <x:c r="A1652" t="str">
        <x:v>9e2e8e6e-a090-4031-b405-00ffbbed1e1d</x:v>
      </x:c>
      <x:c r="B1652" t="str">
        <x:v>6c7d3d1b-05db-4a17-b56b-60be0246faf3</x:v>
      </x:c>
      <x:c r="C1652" s="9" t="str">
        <x:v>Kamki v The Secretary of State for the Home Department [2017] EWCA Civ 1715</x:v>
      </x:c>
      <x:c r="D1652" s="9" t="str"/>
      <x:c r="E1652" s="9" t="str"/>
      <x:c r="F1652" s="13" t="str">
        <x:v>2017</x:v>
      </x:c>
      <x:c r="G1652" s="9" t="str">
        <x:v>England and Wales Court of Appeal (Civil Division)</x:v>
      </x:c>
      <x:c r="H1652" s="9" t="str">
        <x:v>Appellate Court</x:v>
      </x:c>
      <x:c r="I1652" s="9" t="str">
        <x:v>England and Wales</x:v>
      </x:c>
      <x:c r="J1652" s="9" t="str">
        <x:v>Immigration</x:v>
      </x:c>
      <x:c r="K1652" s="9" t="str">
        <x:v>-ew-cases-EWCA-Civ-2017-1715.xml</x:v>
      </x:c>
      <x:c r="L1652" s="9" t="str">
        <x:v>TBA</x:v>
      </x:c>
    </x:row>
    <x:row r="1653">
      <x:c r="A1653" t="str">
        <x:v>3d4e46ec-be56-4bd5-9f97-04805dd3c798</x:v>
      </x:c>
      <x:c r="B1653" t="str">
        <x:v>a200f2db-0430-4dda-8489-69f921694a45</x:v>
      </x:c>
      <x:c r="C1653" s="9" t="str">
        <x:v>Kamoka &amp; Ors v Security Service &amp; Ors [2017] EWCA Civ 1665</x:v>
      </x:c>
      <x:c r="D1653" s="9" t="str"/>
      <x:c r="E1653" s="9" t="str"/>
      <x:c r="F1653" s="13" t="str">
        <x:v>2017</x:v>
      </x:c>
      <x:c r="G1653" s="9" t="str">
        <x:v>England and Wales Court of Appeal (Civil Division)</x:v>
      </x:c>
      <x:c r="H1653" s="9" t="str">
        <x:v>Appellate</x:v>
      </x:c>
      <x:c r="I1653" s="9" t="str">
        <x:v>England and Wales</x:v>
      </x:c>
      <x:c r="J1653" s="9" t="str">
        <x:v>Tort</x:v>
      </x:c>
      <x:c r="K1653" s="9" t="str">
        <x:v>-ew-cases-EWCA-Civ-2017-1665.xml</x:v>
      </x:c>
      <x:c r="L1653" s="9" t="str">
        <x:v>TBA</x:v>
      </x:c>
    </x:row>
    <x:row r="1654">
      <x:c r="A1654" t="str">
        <x:v>c626e466-5b47-4cca-a500-0b20b364823e</x:v>
      </x:c>
      <x:c r="B1654" t="str">
        <x:v>baa7e9a6-1fd2-439f-a01a-96c044c32f12</x:v>
      </x:c>
      <x:c r="C1654" s="9" t="str">
        <x:v>Kandamwala v Cambridgeshire Constabulary HQS [2016] EWCA Civ 171</x:v>
      </x:c>
      <x:c r="D1654" s="9" t="str"/>
      <x:c r="E1654" s="9" t="str"/>
      <x:c r="F1654" s="13" t="str">
        <x:v>2016</x:v>
      </x:c>
      <x:c r="G1654" s="9" t="str">
        <x:v>England and Wales Court of Appeal (Civil Division)</x:v>
      </x:c>
      <x:c r="H1654" s="9" t="str">
        <x:v>Court of Appeal (Civil Division)</x:v>
      </x:c>
      <x:c r="I1654" s="9" t="str">
        <x:v>England and Wales</x:v>
      </x:c>
      <x:c r="J1654" s="9" t="str">
        <x:v>Civil Appeal</x:v>
      </x:c>
      <x:c r="K1654" s="9" t="str">
        <x:v>-ew-cases-EWCA-Civ-2016-171.xml</x:v>
      </x:c>
      <x:c r="L1654" s="9" t="str">
        <x:v>TBA</x:v>
      </x:c>
    </x:row>
    <x:row r="1655">
      <x:c r="A1655" t="str">
        <x:v>40227491-480b-4f8a-9f3e-076f89f20f67</x:v>
      </x:c>
      <x:c r="B1655" t="str">
        <x:v>e0bcc389-6559-4cea-a9e3-fbea5884f8ab</x:v>
      </x:c>
      <x:c r="C1655" s="9" t="str">
        <x:v>Kandore Ltd &amp; Ors v Commissioners for Her Majesty's Revenue and Customs</x:v>
      </x:c>
      <x:c r="D1655" s="9" t="str"/>
      <x:c r="E1655" s="9" t="str"/>
      <x:c r="F1655" s="13" t="str">
        <x:v>2021</x:v>
      </x:c>
      <x:c r="G1655" s="9" t="str">
        <x:v>England and Wales Court of Appeal (Civil Division)</x:v>
      </x:c>
      <x:c r="H1655" s="9" t="str">
        <x:v>Appellate</x:v>
      </x:c>
      <x:c r="I1655" s="9" t="str">
        <x:v>England and Wales</x:v>
      </x:c>
      <x:c r="J1655" s="9" t="str">
        <x:v>Administrative Law</x:v>
      </x:c>
      <x:c r="K1655" s="9" t="str">
        <x:v>ew-cases-EWCA-Civ-2021-1082.xml</x:v>
      </x:c>
      <x:c r="L1655" s="9" t="str">
        <x:v>TBA</x:v>
      </x:c>
    </x:row>
    <x:row r="1656">
      <x:c r="A1656" t="str">
        <x:v>031b8e0c-58af-413c-8472-5fa330fc7121</x:v>
      </x:c>
      <x:c r="B1656" t="str">
        <x:v>b55f1dc5-1dc9-4163-883c-9c7174aa3672</x:v>
      </x:c>
      <x:c r="C1656" s="9" t="str">
        <x:v>Kanu v London Borough of Southwark [2014] EWCA Civ 1085</x:v>
      </x:c>
      <x:c r="D1656" s="9" t="str"/>
      <x:c r="E1656" s="9" t="str"/>
      <x:c r="F1656" s="13" t="str">
        <x:v>2014</x:v>
      </x:c>
      <x:c r="G1656" s="9" t="str">
        <x:v>England and Wales Court of Appeal (Civil Division)</x:v>
      </x:c>
      <x:c r="H1656" s="9" t="str">
        <x:v>Appellate</x:v>
      </x:c>
      <x:c r="I1656" s="9" t="str">
        <x:v>England and Wales</x:v>
      </x:c>
      <x:c r="J1656" s="9" t="str">
        <x:v>Housing</x:v>
      </x:c>
      <x:c r="K1656" s="9" t="str">
        <x:v>-ew-cases-EWCA-Civ-2014-1085.xml</x:v>
      </x:c>
      <x:c r="L1656" s="9" t="str">
        <x:v>TBA</x:v>
      </x:c>
    </x:row>
    <x:row r="1657">
      <x:c r="A1657" t="str">
        <x:v>7b74b280-0fcb-4b33-83c9-e26b18cf0593</x:v>
      </x:c>
      <x:c r="B1657" t="str">
        <x:v>148abf64-4d41-4cef-af10-c9c9986896a1</x:v>
      </x:c>
      <x:c r="C1657" s="9" t="str">
        <x:v>Kanu, R (On the Application Of) v Secretary of State for Foreign, Commonwealth and Development Affairs [2023] EWCA Civ 796</x:v>
      </x:c>
      <x:c r="D1657" s="9" t="str"/>
      <x:c r="E1657" s="9" t="str"/>
      <x:c r="F1657" s="13" t="str">
        <x:v>2023</x:v>
      </x:c>
      <x:c r="G1657" s="9" t="str">
        <x:v>England and Wales Court of Appeal (Civil Division)</x:v>
      </x:c>
      <x:c r="H1657" s="9" t="str">
        <x:v>Court of Appeal (Civil Division)</x:v>
      </x:c>
      <x:c r="I1657" s="9" t="str">
        <x:v>England and Wales</x:v>
      </x:c>
      <x:c r="J1657" s="9" t="str">
        <x:v>Administrative Law / Judicial Review</x:v>
      </x:c>
      <x:c r="K1657" s="9" t="str">
        <x:v>ew-cases-EWCA-Civ-2023-796.xml</x:v>
      </x:c>
      <x:c r="L1657" s="9" t="str">
        <x:v>TBA</x:v>
      </x:c>
    </x:row>
    <x:row r="1658">
      <x:c r="A1658" t="str">
        <x:v>a5122b73-2bb6-45d0-9ce2-c0634270b0ea</x:v>
      </x:c>
      <x:c r="B1658" t="str">
        <x:v>960a8444-c56a-48b6-86cd-70d8558a326e</x:v>
      </x:c>
      <x:c r="C1658" s="9" t="str">
        <x:v>Karatysz v SGI Legal LLP [2022] EWCA Civ 1388</x:v>
      </x:c>
      <x:c r="D1658" s="9" t="str"/>
      <x:c r="E1658" s="9" t="str"/>
      <x:c r="F1658" s="13" t="str">
        <x:v>2022</x:v>
      </x:c>
      <x:c r="G1658" s="9" t="str">
        <x:v>England and Wales Court of Appeal (Civil Division)</x:v>
      </x:c>
      <x:c r="H1658" s="9" t="str">
        <x:v>Court of Appeal (Civil Division)</x:v>
      </x:c>
      <x:c r="I1658" s="9" t="str">
        <x:v>England and Wales</x:v>
      </x:c>
      <x:c r="J1658" s="9" t="str">
        <x:v>Civil Procedure; Costs; Appeals</x:v>
      </x:c>
      <x:c r="K1658" s="9" t="str">
        <x:v>ew-cases-EWCA-Civ-2022-1388.xml</x:v>
      </x:c>
      <x:c r="L1658" s="9" t="str">
        <x:v>TBA</x:v>
      </x:c>
    </x:row>
    <x:row r="1659">
      <x:c r="A1659" t="str">
        <x:v>ea96b6ee-8d39-4b60-ab11-bbddac0d5cb2</x:v>
      </x:c>
      <x:c r="B1659" t="str">
        <x:v>d6760c91-cf18-4be5-bdc0-5bf1789ce1a6</x:v>
      </x:c>
      <x:c r="C1659" s="9" t="str">
        <x:v>Kardi v Secretary of State for the Home Department [2014] EWCA Civ 934</x:v>
      </x:c>
      <x:c r="D1659" s="9" t="str"/>
      <x:c r="E1659" s="9" t="str"/>
      <x:c r="F1659" s="13" t="str">
        <x:v>2014</x:v>
      </x:c>
      <x:c r="G1659" s="9" t="str">
        <x:v>England and Wales Court of Appeal (Civil Division)</x:v>
      </x:c>
      <x:c r="H1659" s="9" t="str">
        <x:v>Appellate</x:v>
      </x:c>
      <x:c r="I1659" s="9" t="str">
        <x:v>England and Wales</x:v>
      </x:c>
      <x:c r="J1659" s="9" t="str">
        <x:v>Immigration Law</x:v>
      </x:c>
      <x:c r="K1659" s="9" t="str">
        <x:v>-ew-cases-EWCA-Civ-2014-934.xml</x:v>
      </x:c>
      <x:c r="L1659" s="9" t="str">
        <x:v>TBA</x:v>
      </x:c>
    </x:row>
    <x:row r="1660">
      <x:c r="A1660" t="str">
        <x:v>946421fb-3a44-41f3-813a-e515a0b1dc4f</x:v>
      </x:c>
      <x:c r="B1660" t="str">
        <x:v>d21e0825-d138-4cfa-bced-b774bd2913c0</x:v>
      </x:c>
      <x:c r="C1660" s="9" t="str">
        <x:v>Karia v Karia &amp; Ors [2015] EWCA Civ 634</x:v>
      </x:c>
      <x:c r="D1660" s="9" t="str"/>
      <x:c r="E1660" s="9" t="str"/>
      <x:c r="F1660" s="13" t="str">
        <x:v>2015</x:v>
      </x:c>
      <x:c r="G1660" s="9" t="str">
        <x:v>England and Wales Court of Appeal (Civil Division)</x:v>
      </x:c>
      <x:c r="H1660" s="9" t="str">
        <x:v>Appellate</x:v>
      </x:c>
      <x:c r="I1660" s="9" t="str">
        <x:v>England</x:v>
      </x:c>
      <x:c r="J1660" s="9" t="str">
        <x:v>Family Law</x:v>
      </x:c>
      <x:c r="K1660" s="9" t="str">
        <x:v>-ew-cases-EWCA-Civ-2015-634.xml</x:v>
      </x:c>
      <x:c r="L1660" s="9" t="str">
        <x:v>TBA</x:v>
      </x:c>
    </x:row>
    <x:row r="1661">
      <x:c r="A1661" t="str">
        <x:v>de98cda2-5534-4ab6-8be4-e9c6b665830e</x:v>
      </x:c>
      <x:c r="B1661" t="str">
        <x:v>89432af7-e453-496d-bae1-41cdb02cdabf</x:v>
      </x:c>
      <x:c r="C1661" s="9" t="str">
        <x:v>Karim &amp; Anor v Wemyss [2016] EWCA Civ 27</x:v>
      </x:c>
      <x:c r="D1661" s="9" t="str"/>
      <x:c r="E1661" s="9" t="str"/>
      <x:c r="F1661" s="13" t="str">
        <x:v>2016</x:v>
      </x:c>
      <x:c r="G1661" s="9" t="str">
        <x:v>England and Wales Court of Appeal (Civil Division)</x:v>
      </x:c>
      <x:c r="H1661" s="9" t="str">
        <x:v>Court of Appeal (Civil Division)</x:v>
      </x:c>
      <x:c r="I1661" s="9" t="str">
        <x:v>England and Wales</x:v>
      </x:c>
      <x:c r="J1661" s="9" t="str">
        <x:v>Contract and Tort Damages in Sale of Business</x:v>
      </x:c>
      <x:c r="K1661" s="9" t="str">
        <x:v>-ew-cases-EWCA-Civ-2016-27.xml</x:v>
      </x:c>
      <x:c r="L1661" s="9" t="str">
        <x:v>TBA</x:v>
      </x:c>
    </x:row>
    <x:row r="1662">
      <x:c r="A1662" t="str">
        <x:v>172e0f15-7d4c-4fe1-9b53-8736e7f3b6f6</x:v>
      </x:c>
      <x:c r="B1662" t="str">
        <x:v>5aaf3307-a875-481c-b3a7-4f8657b7ab03</x:v>
      </x:c>
      <x:c r="C1662" s="9" t="str">
        <x:v>Kason Kek-Gardner Ltd v Process Components Ltd [2017] EWCA Civ 2132</x:v>
      </x:c>
      <x:c r="D1662" s="9" t="str"/>
      <x:c r="E1662" s="9" t="str"/>
      <x:c r="F1662" s="13" t="str">
        <x:v>2017</x:v>
      </x:c>
      <x:c r="G1662" s="9" t="str">
        <x:v>England and Wales Court of Appeal (Civil Division)</x:v>
      </x:c>
      <x:c r="H1662" s="9" t="str">
        <x:v>Appellate</x:v>
      </x:c>
      <x:c r="I1662" s="9" t="str">
        <x:v>England and Wales</x:v>
      </x:c>
      <x:c r="J1662" s="9" t="str">
        <x:v>Contract Dispute</x:v>
      </x:c>
      <x:c r="K1662" s="9" t="str">
        <x:v>-ew-cases-EWCA-Civ-2017-2132.xml</x:v>
      </x:c>
      <x:c r="L1662" s="9" t="str">
        <x:v>TBA</x:v>
      </x:c>
    </x:row>
    <x:row r="1663">
      <x:c r="A1663" t="str">
        <x:v>b0f8bb0b-465c-4582-b407-a8d5983df4d4</x:v>
      </x:c>
      <x:c r="B1663" t="str">
        <x:v>ac72a407-e44a-4bea-9524-6bea05bf4a8b</x:v>
      </x:c>
      <x:c r="C1663" s="9" t="str">
        <x:v>Kateb v Howard De Walden Estates Limited &amp; Anor [2016] EWCA Civ 1176</x:v>
      </x:c>
      <x:c r="D1663" s="9" t="str"/>
      <x:c r="E1663" s="9" t="str"/>
      <x:c r="F1663" s="13" t="str">
        <x:v>2016</x:v>
      </x:c>
      <x:c r="G1663" s="9" t="str">
        <x:v>England and Wales Court of Appeal (Civil Division)</x:v>
      </x:c>
      <x:c r="H1663" s="9" t="str">
        <x:v>Court of Appeal (Civil Division)</x:v>
      </x:c>
      <x:c r="I1663" s="9" t="str">
        <x:v>England and Wales</x:v>
      </x:c>
      <x:c r="J1663" s="9" t="str">
        <x:v>Leasehold enfranchisement / Landlord and Tenant</x:v>
      </x:c>
      <x:c r="K1663" s="9" t="str">
        <x:v>-ew-cases-EWCA-Civ-2016-1176.xml</x:v>
      </x:c>
      <x:c r="L1663" s="9" t="str">
        <x:v>TBA</x:v>
      </x:c>
    </x:row>
    <x:row r="1664">
      <x:c r="A1664" t="str">
        <x:v>22aac323-6102-4c5f-a0cc-a7cb8180b3ec</x:v>
      </x:c>
      <x:c r="B1664" t="str">
        <x:v>b92edacf-a405-405d-8e00-9b2e9d09a150</x:v>
      </x:c>
      <x:c r="C1664" s="9" t="str">
        <x:v>Kaur &amp; Anor v The Secretary of State for the Home Department</x:v>
      </x:c>
      <x:c r="D1664" s="9" t="str"/>
      <x:c r="E1664" s="9" t="str"/>
      <x:c r="F1664" s="13" t="str">
        <x:v>2017</x:v>
      </x:c>
      <x:c r="G1664" s="9" t="str">
        <x:v>England and Wales Court of Appeal (Civil Division)</x:v>
      </x:c>
      <x:c r="H1664" s="9" t="str">
        <x:v>Appellate</x:v>
      </x:c>
      <x:c r="I1664" s="9" t="str">
        <x:v>England and Wales</x:v>
      </x:c>
      <x:c r="J1664" s="9" t="str">
        <x:v>Administrative Law</x:v>
      </x:c>
      <x:c r="K1664" s="9" t="str">
        <x:v>-ew-cases-EWCA-Civ-2017-821.xml</x:v>
      </x:c>
      <x:c r="L1664" s="9" t="str">
        <x:v>TBA</x:v>
      </x:c>
    </x:row>
    <x:row r="1665">
      <x:c r="A1665" t="str">
        <x:v>8ad91893-ad62-4f32-b183-e47c2864a779</x:v>
      </x:c>
      <x:c r="B1665" t="str">
        <x:v>c7164bbb-33e6-4e11-8c80-97ec4bd67474</x:v>
      </x:c>
      <x:c r="C1665" s="9" t="str">
        <x:v>Kaur v. The Secretary of State for the Home Department [2015] EWCA Civ 13</x:v>
      </x:c>
      <x:c r="D1665" s="9" t="str"/>
      <x:c r="E1665" s="9" t="str"/>
      <x:c r="F1665" s="13" t="str">
        <x:v>2015</x:v>
      </x:c>
      <x:c r="G1665" s="9" t="str">
        <x:v>England and Wales Court of Appeal (Civil Division)</x:v>
      </x:c>
      <x:c r="H1665" s="9" t="str">
        <x:v>Appellate</x:v>
      </x:c>
      <x:c r="I1665" s="9" t="str">
        <x:v>United Kingdom</x:v>
      </x:c>
      <x:c r="J1665" s="9" t="str">
        <x:v>Administrative Law</x:v>
      </x:c>
      <x:c r="K1665" s="9" t="str">
        <x:v>-ew-cases-EWCA-Civ-2015-13.xml</x:v>
      </x:c>
      <x:c r="L1665" s="9" t="str">
        <x:v>TBA</x:v>
      </x:c>
    </x:row>
    <x:row r="1666">
      <x:c r="A1666" t="str">
        <x:v>2d9921ef-5b2d-4e6f-a6b1-0f4f9dd76066</x:v>
      </x:c>
      <x:c r="B1666" t="str">
        <x:v>b1a27e0b-c608-4396-b360-ad72f0f521a6</x:v>
      </x:c>
      <x:c r="C1666" s="9" t="str">
        <x:v>Kaur, R (on the application of) v Secretary of State for the Home Department</x:v>
      </x:c>
      <x:c r="D1666" s="9" t="str"/>
      <x:c r="E1666" s="9" t="str"/>
      <x:c r="F1666" s="13" t="str">
        <x:v>2015</x:v>
      </x:c>
      <x:c r="G1666" s="9" t="str">
        <x:v>England and Wales Court of Appeal (Civil Division)</x:v>
      </x:c>
      <x:c r="H1666" s="9" t="str">
        <x:v>appellate</x:v>
      </x:c>
      <x:c r="I1666" s="9" t="str">
        <x:v>England and Wales</x:v>
      </x:c>
      <x:c r="J1666" s="9" t="str">
        <x:v>Administrative Law</x:v>
      </x:c>
      <x:c r="K1666" s="9" t="str">
        <x:v>-ew-cases-EWCA-Civ-2015-1080.xml</x:v>
      </x:c>
      <x:c r="L1666" s="9" t="str">
        <x:v>TBA</x:v>
      </x:c>
    </x:row>
    <x:row r="1667">
      <x:c r="A1667" t="str">
        <x:v>2d573f08-4b83-4364-a286-8a4470e53906</x:v>
      </x:c>
      <x:c r="B1667" t="str">
        <x:v>31abc0b3-66ec-4411-83e2-0cf88beaaac8</x:v>
      </x:c>
      <x:c r="C1667" s="9" t="str">
        <x:v>Kawasaki Kisen Kaisha Ltd v James Kemball Ltd [2021] EWCA Civ 33</x:v>
      </x:c>
      <x:c r="D1667" s="9" t="str"/>
      <x:c r="E1667" s="9" t="str"/>
      <x:c r="F1667" s="13" t="str">
        <x:v>2021</x:v>
      </x:c>
      <x:c r="G1667" s="9" t="str">
        <x:v>England and Wales Court of Appeal (Civil Division)</x:v>
      </x:c>
      <x:c r="H1667" s="9" t="str">
        <x:v>appellate</x:v>
      </x:c>
      <x:c r="I1667" s="9" t="str">
        <x:v>England and Wales</x:v>
      </x:c>
      <x:c r="J1667" s="9" t="str">
        <x:v>Civil Appeal</x:v>
      </x:c>
      <x:c r="K1667" s="9" t="str">
        <x:v>ew-cases-EWCA-Civ-2021-33.xml</x:v>
      </x:c>
      <x:c r="L1667" s="9" t="str">
        <x:v>TBA</x:v>
      </x:c>
    </x:row>
    <x:row r="1668">
      <x:c r="A1668" t="str">
        <x:v>95fb3117-2db2-4628-bebb-fc35145e9ae6</x:v>
      </x:c>
      <x:c r="B1668" t="str">
        <x:v>3c8645d3-5539-4e9a-bbbf-65502b53ce45</x:v>
      </x:c>
      <x:c r="C1668" s="9" t="str">
        <x:v>Kays, R (On the Application Of) v Secretary of State for Work and Pensions [2022] EWCA Civ 1593</x:v>
      </x:c>
      <x:c r="D1668" s="9" t="str"/>
      <x:c r="E1668" s="9" t="str"/>
      <x:c r="F1668" s="13" t="str">
        <x:v>2022</x:v>
      </x:c>
      <x:c r="G1668" s="9" t="str">
        <x:v>England and Wales Court of Appeal (Civil Division)</x:v>
      </x:c>
      <x:c r="H1668" s="9" t="str">
        <x:v>Court of Appeal (Civil Division)</x:v>
      </x:c>
      <x:c r="I1668" s="9" t="str">
        <x:v>England and Wales</x:v>
      </x:c>
      <x:c r="J1668" s="9" t="str">
        <x:v>Administrative Law / Judicial Review / Welfare Benefits</x:v>
      </x:c>
      <x:c r="K1668" s="9" t="str">
        <x:v>ew-cases-EWCA-Civ-2022-1593.xml</x:v>
      </x:c>
      <x:c r="L1668" s="9" t="str">
        <x:v>TBA</x:v>
      </x:c>
    </x:row>
    <x:row r="1669">
      <x:c r="A1669" t="str">
        <x:v>e31b12f2-00e8-4756-8970-1113b56f27fd</x:v>
      </x:c>
      <x:c r="B1669" t="str">
        <x:v>ca3cd51e-b713-4a6d-a52f-92b7e1e2bdcb</x:v>
      </x:c>
      <x:c r="C1669" s="9" t="str">
        <x:v>Kazakhstan Kagazy Plc &amp; Ors v Arip [2014] EWCA Civ 381</x:v>
      </x:c>
      <x:c r="D1669" s="9" t="str"/>
      <x:c r="E1669" s="9" t="str"/>
      <x:c r="F1669" s="13" t="str">
        <x:v>2014</x:v>
      </x:c>
      <x:c r="G1669" s="9" t="str">
        <x:v>England and Wales Court of Appeal (Civil Division)</x:v>
      </x:c>
      <x:c r="H1669" s="9" t="str">
        <x:v>Appellate</x:v>
      </x:c>
      <x:c r="I1669" s="9" t="str">
        <x:v>England and Wales</x:v>
      </x:c>
      <x:c r="J1669" s="9" t="str">
        <x:v>Fraud &amp; Injunction</x:v>
      </x:c>
      <x:c r="K1669" s="9" t="str">
        <x:v>-ew-cases-EWCA-Civ-2014-381.xml</x:v>
      </x:c>
      <x:c r="L1669" s="9" t="str">
        <x:v>TBA</x:v>
      </x:c>
    </x:row>
    <x:row r="1670">
      <x:c r="A1670" t="str">
        <x:v>9dd37a22-b905-4f9e-aa1e-dd26f5c3b25c</x:v>
      </x:c>
      <x:c r="B1670" t="str">
        <x:v>0c2c008a-2424-45c5-8abc-5b14ae29adeb</x:v>
      </x:c>
      <x:c r="C1670" s="9" t="str">
        <x:v>Kazakhstan Kagazy plc &amp; Ors v Zhunus &amp; Anor [2016] EWCA Civ 1036 (26 October 2016)</x:v>
      </x:c>
      <x:c r="D1670" s="9" t="str"/>
      <x:c r="E1670" s="9" t="str"/>
      <x:c r="F1670" s="13" t="str">
        <x:v>2016</x:v>
      </x:c>
      <x:c r="G1670" s="9" t="str">
        <x:v>England and Wales Court of Appeal (Civil Division)</x:v>
      </x:c>
      <x:c r="H1670" s="9" t="str">
        <x:v>Court of Appeal (Civil Division)</x:v>
      </x:c>
      <x:c r="I1670" s="9" t="str">
        <x:v>England and Wales</x:v>
      </x:c>
      <x:c r="J1670" s="9" t="str">
        <x:v>Civil Fraud / Contribution proceedings / Injunctions</x:v>
      </x:c>
      <x:c r="K1670" s="9" t="str">
        <x:v>-ew-cases-EWCA-Civ-2016-1036.xml</x:v>
      </x:c>
      <x:c r="L1670" s="9" t="str">
        <x:v>TBA</x:v>
      </x:c>
    </x:row>
    <x:row r="1671">
      <x:c r="A1671" t="str">
        <x:v>db50aff7-d352-4546-946b-4e773f0dc3f7</x:v>
      </x:c>
      <x:c r="B1671" t="str">
        <x:v>bfdf5cdc-9fb4-43de-b260-fb63d190c82b</x:v>
      </x:c>
      <x:c r="C1671" s="9" t="str">
        <x:v>KD (Jamaica) v Secretary of State for the Home Department [2016] EWCA Civ 418 (07 April 2016)</x:v>
      </x:c>
      <x:c r="D1671" s="9" t="str"/>
      <x:c r="E1671" s="9" t="str"/>
      <x:c r="F1671" s="13" t="str">
        <x:v>2016</x:v>
      </x:c>
      <x:c r="G1671" s="9" t="str">
        <x:v>England and Wales Court of Appeal (Civil Division)</x:v>
      </x:c>
      <x:c r="H1671" s="9" t="str">
        <x:v>Court of Appeal (Civil Division)</x:v>
      </x:c>
      <x:c r="I1671" s="9" t="str">
        <x:v>England and Wales</x:v>
      </x:c>
      <x:c r="J1671" s="9" t="str">
        <x:v>Immigration Law / Public Law</x:v>
      </x:c>
      <x:c r="K1671" s="9" t="str">
        <x:v>-ew-cases-EWCA-Civ-2016-418.xml</x:v>
      </x:c>
      <x:c r="L1671" s="9" t="str">
        <x:v>TBA</x:v>
      </x:c>
    </x:row>
    <x:row r="1672">
      <x:c r="A1672" t="str">
        <x:v>887fc524-fab7-45f8-a8b4-c7f1e8cd6528</x:v>
      </x:c>
      <x:c r="B1672" t="str">
        <x:v>f089afe2-45fa-4976-9c02-d2ca6dc15b73</x:v>
      </x:c>
      <x:c r="C1672" s="9" t="str">
        <x:v>Keane v Sargen &amp; Ors [2023] EWCA Civ 141 (15 February 2023)</x:v>
      </x:c>
      <x:c r="D1672" s="9" t="str"/>
      <x:c r="E1672" s="9" t="str"/>
      <x:c r="F1672" s="13" t="str">
        <x:v>2023</x:v>
      </x:c>
      <x:c r="G1672" s="9" t="str">
        <x:v>England and Wales Court of Appeal (Civil Division)</x:v>
      </x:c>
      <x:c r="H1672" s="9" t="str">
        <x:v>Court of Appeal (Civil Division)</x:v>
      </x:c>
      <x:c r="I1672" s="9" t="str">
        <x:v>England and Wales</x:v>
      </x:c>
      <x:c r="J1672" s="9" t="str">
        <x:v>Partnership/Company Law; Civil Appeal; Tax/VAT context</x:v>
      </x:c>
      <x:c r="K1672" s="9" t="str">
        <x:v>ew-cases-EWCA-Civ-2023-141.xml</x:v>
      </x:c>
      <x:c r="L1672" s="9" t="str">
        <x:v>TBA</x:v>
      </x:c>
    </x:row>
    <x:row r="1673">
      <x:c r="A1673" t="str">
        <x:v>bd1202d2-b383-446a-825a-0333924a9108</x:v>
      </x:c>
      <x:c r="B1673" t="str">
        <x:v>36454cc5-7bd7-41fd-b552-d34305528899</x:v>
      </x:c>
      <x:c r="C1673" s="9" t="str">
        <x:v>Keenan v Woking Borough Council &amp; Anor</x:v>
      </x:c>
      <x:c r="D1673" s="9" t="str"/>
      <x:c r="E1673" s="9" t="str"/>
      <x:c r="F1673" s="13" t="str">
        <x:v>2017</x:v>
      </x:c>
      <x:c r="G1673" s="9" t="str">
        <x:v>England and Wales Court of Appeal (Civil Division)</x:v>
      </x:c>
      <x:c r="H1673" s="9" t="str">
        <x:v>Appellate Level</x:v>
      </x:c>
      <x:c r="I1673" s="9" t="str">
        <x:v>England and Wales</x:v>
      </x:c>
      <x:c r="J1673" s="9" t="str">
        <x:v>Administrative Law</x:v>
      </x:c>
      <x:c r="K1673" s="9" t="str">
        <x:v>-ew-cases-EWCA-Civ-2017-438.xml</x:v>
      </x:c>
      <x:c r="L1673" s="9" t="str">
        <x:v>TBA</x:v>
      </x:c>
    </x:row>
    <x:row r="1674">
      <x:c r="A1674" t="str">
        <x:v>cc941502-d17c-42d4-bf35-96b0bc9dd1c0</x:v>
      </x:c>
      <x:c r="B1674" t="str">
        <x:v>23bde5bb-fddf-4733-8e62-67c67cb687e1</x:v>
      </x:c>
      <x:c r="C1674" s="9" t="str">
        <x:v>Kelly v Miller &amp; Ors [2014] EWCA Civ 1151</x:v>
      </x:c>
      <x:c r="D1674" s="9" t="str"/>
      <x:c r="E1674" s="9" t="str"/>
      <x:c r="F1674" s="13" t="str">
        <x:v>2014</x:v>
      </x:c>
      <x:c r="G1674" s="9" t="str">
        <x:v>England and Wales Court of Appeal (Civil Division)</x:v>
      </x:c>
      <x:c r="H1674" s="9" t="str">
        <x:v>Appellate</x:v>
      </x:c>
      <x:c r="I1674" s="9" t="str">
        <x:v>England and Wales</x:v>
      </x:c>
      <x:c r="J1674" s="9" t="str">
        <x:v>Civil Appeal</x:v>
      </x:c>
      <x:c r="K1674" s="9" t="str">
        <x:v>-ew-cases-EWCA-Civ-2014-1151.xml</x:v>
      </x:c>
      <x:c r="L1674" s="9" t="str">
        <x:v>TBA</x:v>
      </x:c>
    </x:row>
    <x:row r="1675">
      <x:c r="A1675" t="str">
        <x:v>29349bc3-64b7-48f1-90a0-3a6dd9195316</x:v>
      </x:c>
      <x:c r="B1675" t="str">
        <x:v>66ad5573-d9f7-4bd3-9835-5bd9498ecb1b</x:v>
      </x:c>
      <x:c r="C1675" s="9" t="str">
        <x:v>Kelly v PGA European Tour [2021] EWCA Civ 559</x:v>
      </x:c>
      <x:c r="D1675" s="9" t="str"/>
      <x:c r="E1675" s="9" t="str"/>
      <x:c r="F1675" s="13" t="str">
        <x:v>2021</x:v>
      </x:c>
      <x:c r="G1675" s="9" t="str">
        <x:v>England and Wales Court of Appeal (Civil Division)</x:v>
      </x:c>
      <x:c r="H1675" s="9" t="str">
        <x:v>Appellate</x:v>
      </x:c>
      <x:c r="I1675" s="9" t="str">
        <x:v>England and Wales</x:v>
      </x:c>
      <x:c r="J1675" s="9" t="str">
        <x:v>Employment Law</x:v>
      </x:c>
      <x:c r="K1675" s="9" t="str">
        <x:v>ew-cases-EWCA-Civ-2021-559.xml</x:v>
      </x:c>
      <x:c r="L1675" s="9" t="str">
        <x:v>TBA</x:v>
      </x:c>
    </x:row>
    <x:row r="1676">
      <x:c r="A1676" t="str">
        <x:v>2a92950b-e3b0-4d8a-8d52-c0006a3cd371</x:v>
      </x:c>
      <x:c r="B1676" t="str">
        <x:v>9d9e64cf-ca21-4d32-aeea-230c799fd0d2</x:v>
      </x:c>
      <x:c r="C1676" s="9" t="str">
        <x:v>Kemeh v Ministry of Defence [2014] EWCA Civ 91</x:v>
      </x:c>
      <x:c r="D1676" s="9" t="str"/>
      <x:c r="E1676" s="9" t="str"/>
      <x:c r="F1676" s="13" t="str">
        <x:v>2014</x:v>
      </x:c>
      <x:c r="G1676" s="9" t="str">
        <x:v>England and Wales Court of Appeal (Civil Division)</x:v>
      </x:c>
      <x:c r="H1676" s="9" t="str">
        <x:v>Appellate</x:v>
      </x:c>
      <x:c r="I1676" s="9" t="str">
        <x:v>England and Wales</x:v>
      </x:c>
      <x:c r="J1676" s="9" t="str">
        <x:v>Employment and Discrimination</x:v>
      </x:c>
      <x:c r="K1676" s="9" t="str">
        <x:v>-ew-cases-EWCA-Civ-2014-91.xml</x:v>
      </x:c>
      <x:c r="L1676" s="9" t="str">
        <x:v>TBA</x:v>
      </x:c>
    </x:row>
    <x:row r="1677">
      <x:c r="A1677" t="str">
        <x:v>ec1db62e-6c28-4cd0-8937-35534dbcceb2</x:v>
      </x:c>
      <x:c r="B1677" t="str">
        <x:v>c2b61a28-e6dc-4787-b815-40e5d460ec41</x:v>
      </x:c>
      <x:c r="C1677" s="9" t="str">
        <x:v>Kenbata v Unison [2015] EWCA Civ 604</x:v>
      </x:c>
      <x:c r="D1677" s="9" t="str"/>
      <x:c r="E1677" s="9" t="str"/>
      <x:c r="F1677" s="13" t="str">
        <x:v>2015</x:v>
      </x:c>
      <x:c r="G1677" s="9" t="str">
        <x:v>England and Wales Court of Appeal (Civil Division)</x:v>
      </x:c>
      <x:c r="H1677" s="9" t="str">
        <x:v>Appellate</x:v>
      </x:c>
      <x:c r="I1677" s="9" t="str">
        <x:v>England and Wales</x:v>
      </x:c>
      <x:c r="J1677" s="9" t="str">
        <x:v>Employment Law</x:v>
      </x:c>
      <x:c r="K1677" s="9" t="str">
        <x:v>-ew-cases-EWCA-Civ-2015-604.xml</x:v>
      </x:c>
      <x:c r="L1677" s="9" t="str">
        <x:v>TBA</x:v>
      </x:c>
    </x:row>
    <x:row r="1678">
      <x:c r="A1678" t="str">
        <x:v>bfad130b-bd25-440a-91b4-eb5af31d45b4</x:v>
      </x:c>
      <x:c r="B1678" t="str">
        <x:v>ab49ceef-2a96-4f62-8ed9-6737d87bb20d</x:v>
      </x:c>
      <x:c r="C1678" s="9" t="str">
        <x:v>Kennedy v Cordia (Services) LLP (Scotland) [2016] UKSC 6</x:v>
      </x:c>
      <x:c r="D1678" s="9" t="str"/>
      <x:c r="E1678" s="9" t="str"/>
      <x:c r="F1678" s="13" t="str">
        <x:v>2016</x:v>
      </x:c>
      <x:c r="G1678" s="9" t="str">
        <x:v>United Kingdom Supreme Court</x:v>
      </x:c>
      <x:c r="H1678" s="9" t="str">
        <x:v>Supreme Court</x:v>
      </x:c>
      <x:c r="I1678" s="9" t="str">
        <x:v>Scotland</x:v>
      </x:c>
      <x:c r="J1678" s="9" t="str">
        <x:v>Tort</x:v>
      </x:c>
      <x:c r="K1678" s="9" t="str">
        <x:v>PT_UKSC_2016_6.xml</x:v>
      </x:c>
      <x:c r="L1678" s="9" t="str">
        <x:v>TBA</x:v>
      </x:c>
    </x:row>
    <x:row r="1679">
      <x:c r="A1679" t="str">
        <x:v>fc57dc9a-fa67-420a-87ba-3095fd25bdce</x:v>
      </x:c>
      <x:c r="B1679" t="str">
        <x:v>8b5d1e09-b9d0-41dc-8e57-ef9662dc2224</x:v>
      </x:c>
      <x:c r="C1679" s="9" t="str">
        <x:v>Kensquare Ltd v Boakye [2021] EWCA Civ 1725</x:v>
      </x:c>
      <x:c r="D1679" s="9" t="str"/>
      <x:c r="E1679" s="9" t="str"/>
      <x:c r="F1679" s="13" t="str">
        <x:v>2021</x:v>
      </x:c>
      <x:c r="G1679" s="9" t="str">
        <x:v>England and Wales Court of Appeal (Civil Division)</x:v>
      </x:c>
      <x:c r="H1679" s="9" t="str">
        <x:v>Appellate</x:v>
      </x:c>
      <x:c r="I1679" s="9" t="str">
        <x:v>England and Wales</x:v>
      </x:c>
      <x:c r="J1679" s="9" t="str">
        <x:v>Civil</x:v>
      </x:c>
      <x:c r="K1679" s="9" t="str">
        <x:v>ew-cases-EWCA-Civ-2021-1725.xml</x:v>
      </x:c>
      <x:c r="L1679" s="9" t="str">
        <x:v>TBA</x:v>
      </x:c>
    </x:row>
    <x:row r="1680">
      <x:c r="A1680" t="str">
        <x:v>0a269c32-b19c-45b1-879d-6f1953de168a</x:v>
      </x:c>
      <x:c r="B1680" t="str">
        <x:v>9a3c763e-b455-414d-b2b1-1140496a3cc4</x:v>
      </x:c>
      <x:c r="C1680" s="9" t="str">
        <x:v>Kent County Council v The Secretary of State for Health</x:v>
      </x:c>
      <x:c r="D1680" s="9" t="str"/>
      <x:c r="E1680" s="9" t="str"/>
      <x:c r="F1680" s="13" t="str">
        <x:v>2015</x:v>
      </x:c>
      <x:c r="G1680" s="9" t="str">
        <x:v>England and Wales Court of Appeal (Civil Division)</x:v>
      </x:c>
      <x:c r="H1680" s="9" t="str">
        <x:v>Appellate</x:v>
      </x:c>
      <x:c r="I1680" s="9" t="str">
        <x:v>England and Wales</x:v>
      </x:c>
      <x:c r="J1680" s="9" t="str">
        <x:v>Administrative Law</x:v>
      </x:c>
      <x:c r="K1680" s="9" t="str">
        <x:v>-ew-cases-EWCA-Civ-2015-81.xml</x:v>
      </x:c>
      <x:c r="L1680" s="9" t="str">
        <x:v>TBA</x:v>
      </x:c>
    </x:row>
    <x:row r="1681">
      <x:c r="A1681" t="str">
        <x:v>ba988f55-da17-427a-a865-e26a6bf9d299</x:v>
      </x:c>
      <x:c r="B1681" t="str">
        <x:v>41ddc1a5-bc41-4bef-8212-a5c148029a55</x:v>
      </x:c>
      <x:c r="C1681" s="9" t="str">
        <x:v>Kerr, R (on the application of) v Secretary of State for the Home Department</x:v>
      </x:c>
      <x:c r="D1681" s="9" t="str"/>
      <x:c r="E1681" s="9" t="str"/>
      <x:c r="F1681" s="13" t="str">
        <x:v>2015</x:v>
      </x:c>
      <x:c r="G1681" s="9" t="str">
        <x:v>England and Wales Court of Appeal (Civil Division)</x:v>
      </x:c>
      <x:c r="H1681" s="9" t="str">
        <x:v>Appellate</x:v>
      </x:c>
      <x:c r="I1681" s="9" t="str">
        <x:v>England and Wales</x:v>
      </x:c>
      <x:c r="J1681" s="9" t="str">
        <x:v>Immigration Law</x:v>
      </x:c>
      <x:c r="K1681" s="9" t="str">
        <x:v>-ew-cases-EWCA-Civ-2015-965.xml</x:v>
      </x:c>
      <x:c r="L1681" s="9" t="str">
        <x:v>TBA</x:v>
      </x:c>
    </x:row>
    <x:row r="1682">
      <x:c r="A1682" t="str">
        <x:v>425fd45b-4654-45e1-9bda-64d6092363df</x:v>
      </x:c>
      <x:c r="B1682" t="str">
        <x:v>e5082efc-9efd-41dc-a114-62caceb174ba</x:v>
      </x:c>
      <x:c r="C1682" s="9" t="str">
        <x:v>Keshwala &amp; Anor v Bhalsod &amp; Anor [2021] EWCA Civ 492</x:v>
      </x:c>
      <x:c r="D1682" s="9" t="str"/>
      <x:c r="E1682" s="9" t="str"/>
      <x:c r="F1682" s="13" t="str">
        <x:v>2021</x:v>
      </x:c>
      <x:c r="G1682" s="9" t="str">
        <x:v>England and Wales Court of Appeal (Civil Division)</x:v>
      </x:c>
      <x:c r="H1682" s="9" t="str">
        <x:v>Appellate</x:v>
      </x:c>
      <x:c r="I1682" s="9" t="str">
        <x:v>England and Wales</x:v>
      </x:c>
      <x:c r="J1682" s="9" t="str">
        <x:v>Landlord-Tenant Law</x:v>
      </x:c>
      <x:c r="K1682" s="9" t="str">
        <x:v>ew-cases-EWCA-Civ-2021-492.xml</x:v>
      </x:c>
      <x:c r="L1682" s="9" t="str">
        <x:v>TBA</x:v>
      </x:c>
    </x:row>
    <x:row r="1683">
      <x:c r="A1683" t="str">
        <x:v>4af5a6ab-ad7f-4da6-a57c-0f96589e53f2</x:v>
      </x:c>
      <x:c r="B1683" t="str">
        <x:v>8cdfb42d-6df2-4e5c-9071-a5dc029b8453</x:v>
      </x:c>
      <x:c r="C1683" s="9" t="str">
        <x:v>Kessie-Adjei v Secretary of State for Justice [2023] EWCA Civ 720</x:v>
      </x:c>
      <x:c r="D1683" s="9" t="str"/>
      <x:c r="E1683" s="9" t="str"/>
      <x:c r="F1683" s="13" t="str">
        <x:v>2023</x:v>
      </x:c>
      <x:c r="G1683" s="9" t="str">
        <x:v>England and Wales Court of Appeal (Civil Division)</x:v>
      </x:c>
      <x:c r="H1683" s="9" t="str">
        <x:v>Court of Appeal (Civil Division)</x:v>
      </x:c>
      <x:c r="I1683" s="9" t="str">
        <x:v>England and Wales</x:v>
      </x:c>
      <x:c r="J1683" s="9" t="str">
        <x:v>Administrative Law / Human Rights</x:v>
      </x:c>
      <x:c r="K1683" s="9" t="str">
        <x:v>ew-cases-EWCA-Civ-2023-720.xml</x:v>
      </x:c>
      <x:c r="L1683" s="9" t="str">
        <x:v>TBA</x:v>
      </x:c>
    </x:row>
    <x:row r="1684">
      <x:c r="A1684" t="str">
        <x:v>80a339a8-7498-4f4b-ba49-0d6654dbdaac</x:v>
      </x:c>
      <x:c r="B1684" t="str">
        <x:v>5b01e56e-8a07-43e6-8cf7-c90719e90f72</x:v>
      </x:c>
      <x:c r="C1684" s="9" t="str">
        <x:v>Kestrel Hydro v Secretary of State for Communities and Local Government &amp; Spelthorne Borough Council [2016] EWCA Civ 784</x:v>
      </x:c>
      <x:c r="D1684" s="9" t="str"/>
      <x:c r="E1684" s="9" t="str"/>
      <x:c r="F1684" s="13" t="str">
        <x:v>2016</x:v>
      </x:c>
      <x:c r="G1684" s="9" t="str">
        <x:v>England and Wales Court of Appeal (Civil Division)</x:v>
      </x:c>
      <x:c r="H1684" s="9" t="str">
        <x:v>Court of Appeal (Civil Division)</x:v>
      </x:c>
      <x:c r="I1684" s="9" t="str">
        <x:v>England and Wales</x:v>
      </x:c>
      <x:c r="J1684" s="9" t="str">
        <x:v>Planning Law / Enforcement</x:v>
      </x:c>
      <x:c r="K1684" s="9" t="str">
        <x:v>-ew-cases-EWCA-Civ-2016-784.xml</x:v>
      </x:c>
      <x:c r="L1684" s="9" t="str">
        <x:v>TBA</x:v>
      </x:c>
    </x:row>
    <x:row r="1685">
      <x:c r="A1685" t="str">
        <x:v>61687154-7a5a-40ff-89fd-57950150d0d5</x:v>
      </x:c>
      <x:c r="B1685" t="str">
        <x:v>26c4008c-2df3-4944-8a80-2a7e8e4368a4</x:v>
      </x:c>
      <x:c r="C1685" s="9" t="str">
        <x:v>Kevin Lillington v Ministry of Defence</x:v>
      </x:c>
      <x:c r="D1685" s="9" t="str"/>
      <x:c r="E1685" s="9" t="str"/>
      <x:c r="F1685" s="13" t="str">
        <x:v>2015</x:v>
      </x:c>
      <x:c r="G1685" s="9" t="str">
        <x:v>England and Wales Court of Appeal (Civil Division)</x:v>
      </x:c>
      <x:c r="H1685" s="9" t="str">
        <x:v>Appellate</x:v>
      </x:c>
      <x:c r="I1685" s="9" t="str">
        <x:v>England and Wales</x:v>
      </x:c>
      <x:c r="J1685" s="9" t="str">
        <x:v>Tort - Negligence</x:v>
      </x:c>
      <x:c r="K1685" s="9" t="str">
        <x:v>-ew-cases-EWCA-Civ-2015-775.xml</x:v>
      </x:c>
      <x:c r="L1685" s="9" t="str">
        <x:v>TBA</x:v>
      </x:c>
    </x:row>
    <x:row r="1686">
      <x:c r="A1686" t="str">
        <x:v>88d8a272-435c-4f44-8d0d-66f4c98dfd77</x:v>
      </x:c>
      <x:c r="B1686" t="str">
        <x:v>8f9ce51e-b08a-4283-9ed3-2c509d75ba60</x:v>
      </x:c>
      <x:c r="C1686" s="9" t="str">
        <x:v>Keyu &amp; Ors v Secretary of State for Foreign &amp; Commonwealth Affairs &amp; Anor</x:v>
      </x:c>
      <x:c r="D1686" s="9" t="str"/>
      <x:c r="E1686" s="9" t="str"/>
      <x:c r="F1686" s="13" t="str">
        <x:v>2014</x:v>
      </x:c>
      <x:c r="G1686" s="9" t="str">
        <x:v>England and Wales Court of Appeal (Civil Division)</x:v>
      </x:c>
      <x:c r="H1686" s="9" t="str">
        <x:v>Appellate</x:v>
      </x:c>
      <x:c r="I1686" s="9" t="str">
        <x:v>England and Wales</x:v>
      </x:c>
      <x:c r="J1686" s="9" t="str">
        <x:v>Human Rights</x:v>
      </x:c>
      <x:c r="K1686" s="9" t="str">
        <x:v>-ew-cases-EWCA-Civ-2014-312.xml</x:v>
      </x:c>
      <x:c r="L1686" s="9" t="str">
        <x:v>TBA</x:v>
      </x:c>
    </x:row>
    <x:row r="1687">
      <x:c r="A1687" t="str">
        <x:v>133814d2-c8db-45ac-8490-fb75d4b48be7</x:v>
      </x:c>
      <x:c r="B1687" t="str">
        <x:v>f493b3cb-c475-41c2-aa99-4c49c95f33ed</x:v>
      </x:c>
      <x:c r="C1687" s="9" t="str">
        <x:v>KG (Turkey) v Secretary of State for the Home Department [2022] EWCA Civ 1578</x:v>
      </x:c>
      <x:c r="D1687" s="9" t="str"/>
      <x:c r="E1687" s="9" t="str"/>
      <x:c r="F1687" s="13" t="str">
        <x:v>2022</x:v>
      </x:c>
      <x:c r="G1687" s="9" t="str">
        <x:v>England and Wales Court of Appeal (Civil Division)</x:v>
      </x:c>
      <x:c r="H1687" s="9" t="str">
        <x:v>Court of Appeal (Civil Division)</x:v>
      </x:c>
      <x:c r="I1687" s="9" t="str">
        <x:v>England and Wales</x:v>
      </x:c>
      <x:c r="J1687" s="9" t="str">
        <x:v>Immigration and asylum</x:v>
      </x:c>
      <x:c r="K1687" s="9" t="str">
        <x:v>ew-cases-EWCA-Civ-2022-1578.xml</x:v>
      </x:c>
      <x:c r="L1687" s="9" t="str">
        <x:v>TBA</x:v>
      </x:c>
    </x:row>
    <x:row r="1688">
      <x:c r="A1688" t="str">
        <x:v>7a8a552b-7590-4657-ac62-050c6ed92bba</x:v>
      </x:c>
      <x:c r="B1688" t="str">
        <x:v>484cd280-9793-4a82-b262-1159007d6d1d</x:v>
      </x:c>
      <x:c r="C1688" s="9" t="str">
        <x:v>Khaira &amp; Ors v Shergill &amp; Ors [2017] EWCA Civ 1687</x:v>
      </x:c>
      <x:c r="D1688" s="9" t="str"/>
      <x:c r="E1688" s="9" t="str"/>
      <x:c r="F1688" s="13" t="str">
        <x:v>2017</x:v>
      </x:c>
      <x:c r="G1688" s="9" t="str">
        <x:v>England and Wales Court of Appeal (Civil Division)</x:v>
      </x:c>
      <x:c r="H1688" s="9" t="str">
        <x:v>Appellate</x:v>
      </x:c>
      <x:c r="I1688" s="9" t="str">
        <x:v>England</x:v>
      </x:c>
      <x:c r="J1688" s="9" t="str">
        <x:v>Civil Procedure</x:v>
      </x:c>
      <x:c r="K1688" s="9" t="str">
        <x:v>-ew-cases-EWCA-Civ-2017-1687.xml</x:v>
      </x:c>
      <x:c r="L1688" s="9" t="str">
        <x:v>TBA</x:v>
      </x:c>
    </x:row>
    <x:row r="1689">
      <x:c r="A1689" t="str">
        <x:v>664fcc99-b468-4309-b5c4-d80b2442ad1b</x:v>
      </x:c>
      <x:c r="B1689" t="str">
        <x:v>99ef458d-cbd0-49df-a243-e6765fb169c9</x:v>
      </x:c>
      <x:c r="C1689" s="9" t="str">
        <x:v>Khalik v London Antwerp Diamonds Limited [2016] EWCA Civ 272</x:v>
      </x:c>
      <x:c r="D1689" s="9" t="str"/>
      <x:c r="E1689" s="9" t="str"/>
      <x:c r="F1689" s="13" t="str">
        <x:v>2016</x:v>
      </x:c>
      <x:c r="G1689" s="9" t="str">
        <x:v>England and Wales Court of Appeal (Civil Division)</x:v>
      </x:c>
      <x:c r="H1689" s="9" t="str">
        <x:v>Court of Appeal (Civil Division)</x:v>
      </x:c>
      <x:c r="I1689" s="9" t="str">
        <x:v>England and Wales</x:v>
      </x:c>
      <x:c r="J1689" s="9" t="str">
        <x:v>Civil Dispute - Property/Ownership of Goods</x:v>
      </x:c>
      <x:c r="K1689" s="9" t="str">
        <x:v>-ew-cases-EWCA-Civ-2016-272.xml</x:v>
      </x:c>
      <x:c r="L1689" s="9" t="str">
        <x:v>TBA</x:v>
      </x:c>
    </x:row>
    <x:row r="1690">
      <x:c r="A1690" t="str">
        <x:v>531259d7-bb07-4401-9a68-b647ee49690c</x:v>
      </x:c>
      <x:c r="B1690" t="str">
        <x:v>bc7b1816-fbe1-4fd6-bbdd-04b2088b640f</x:v>
      </x:c>
      <x:c r="C1690" s="9" t="str">
        <x:v>Khan v Mehmood (No. 2 Costs) [2022] EWCA Civ 1075</x:v>
      </x:c>
      <x:c r="D1690" s="9" t="str"/>
      <x:c r="E1690" s="9" t="str"/>
      <x:c r="F1690" s="13" t="str">
        <x:v>2022</x:v>
      </x:c>
      <x:c r="G1690" s="9" t="str">
        <x:v>England and Wales Court of Appeal (Civil Division)</x:v>
      </x:c>
      <x:c r="H1690" s="9" t="str">
        <x:v>Court of Appeal (Civil Division)</x:v>
      </x:c>
      <x:c r="I1690" s="9" t="str">
        <x:v>England and Wales</x:v>
      </x:c>
      <x:c r="J1690" s="9" t="str">
        <x:v>Costs and Civil Procedure</x:v>
      </x:c>
      <x:c r="K1690" s="9" t="str">
        <x:v>ew-cases-EWCA-Civ-2022-1075.xml</x:v>
      </x:c>
      <x:c r="L1690" s="9" t="str">
        <x:v>TBA</x:v>
      </x:c>
    </x:row>
    <x:row r="1691">
      <x:c r="A1691" t="str">
        <x:v>31f58358-d217-4b1e-97d3-35496434e186</x:v>
      </x:c>
      <x:c r="B1691" t="str">
        <x:v>95f86721-1434-4287-a33d-3710e402bbf7</x:v>
      </x:c>
      <x:c r="C1691" s="9" t="str">
        <x:v>Khan v Mehmood [2022] EWCA Civ 791</x:v>
      </x:c>
      <x:c r="D1691" s="9" t="str"/>
      <x:c r="E1691" s="9" t="str"/>
      <x:c r="F1691" s="13" t="str">
        <x:v>2022</x:v>
      </x:c>
      <x:c r="G1691" s="9" t="str">
        <x:v>England and Wales Court of Appeal (Civil Division)</x:v>
      </x:c>
      <x:c r="H1691" s="9" t="str">
        <x:v>Court of Appeal (Civil Division)</x:v>
      </x:c>
      <x:c r="I1691" s="9" t="str">
        <x:v>England and Wales</x:v>
      </x:c>
      <x:c r="J1691" s="9" t="str">
        <x:v>Contract/Property/Residential Tenancy</x:v>
      </x:c>
      <x:c r="K1691" s="9" t="str">
        <x:v>ew-cases-EWCA-Civ-2022-791.xml</x:v>
      </x:c>
      <x:c r="L1691" s="9" t="str">
        <x:v>TBA</x:v>
      </x:c>
    </x:row>
    <x:row r="1692">
      <x:c r="A1692" t="str">
        <x:v>a5384c37-9fdf-4a1a-a3d8-de0a59b3002c</x:v>
      </x:c>
      <x:c r="B1692" t="str">
        <x:v>ff08b98e-50bd-4079-920f-541c52d04229</x:v>
      </x:c>
      <x:c r="C1692" s="9" t="str">
        <x:v>Khan v Revenue &amp; Customs</x:v>
      </x:c>
      <x:c r="D1692" s="9" t="str"/>
      <x:c r="E1692" s="9" t="str"/>
      <x:c r="F1692" s="13" t="str">
        <x:v>2021</x:v>
      </x:c>
      <x:c r="G1692" s="9" t="str">
        <x:v>England and Wales Court of Appeal (Civil Division)</x:v>
      </x:c>
      <x:c r="H1692" s="9" t="str">
        <x:v>Appellate</x:v>
      </x:c>
      <x:c r="I1692" s="9" t="str">
        <x:v>England and Wales</x:v>
      </x:c>
      <x:c r="J1692" s="9" t="str">
        <x:v>Tax Law</x:v>
      </x:c>
      <x:c r="K1692" s="9" t="str">
        <x:v>ew-cases-EWCA-Civ-2021-624.xml</x:v>
      </x:c>
      <x:c r="L1692" s="9" t="str">
        <x:v>TBA</x:v>
      </x:c>
    </x:row>
    <x:row r="1693">
      <x:c r="A1693" t="str">
        <x:v>b3af67e1-8ed8-48c3-8c78-c73de985433b</x:v>
      </x:c>
      <x:c r="B1693" t="str">
        <x:v>3b44a16a-76b8-49d4-8f00-6e1767c46005</x:v>
      </x:c>
      <x:c r="C1693" s="9" t="str">
        <x:v>Khan v Royal Mail Group Ltd &amp; Ors [2014] EWCA Civ 1082</x:v>
      </x:c>
      <x:c r="D1693" s="9" t="str"/>
      <x:c r="E1693" s="9" t="str"/>
      <x:c r="F1693" s="13" t="str">
        <x:v>2014</x:v>
      </x:c>
      <x:c r="G1693" s="9" t="str">
        <x:v>England and Wales Court of Appeal (Civil Division)</x:v>
      </x:c>
      <x:c r="H1693" s="9" t="str">
        <x:v>Appellate</x:v>
      </x:c>
      <x:c r="I1693" s="9" t="str">
        <x:v>England and Wales</x:v>
      </x:c>
      <x:c r="J1693" s="9" t="str">
        <x:v>Employment Law</x:v>
      </x:c>
      <x:c r="K1693" s="9" t="str">
        <x:v>-ew-cases-EWCA-Civ-2014-1082.xml</x:v>
      </x:c>
      <x:c r="L1693" s="9" t="str">
        <x:v>TBA</x:v>
      </x:c>
    </x:row>
    <x:row r="1694">
      <x:c r="A1694" t="str">
        <x:v>1d9f9e93-2f47-487a-af4c-4612cd18f5aa</x:v>
      </x:c>
      <x:c r="B1694" t="str">
        <x:v>ce0bfe26-d63f-4cce-be30-bbaa6672aa11</x:v>
      </x:c>
      <x:c r="C1694" s="9" t="str">
        <x:v>Khan v Secretary of State for the Home Department</x:v>
      </x:c>
      <x:c r="D1694" s="9" t="str"/>
      <x:c r="E1694" s="9" t="str"/>
      <x:c r="F1694" s="13" t="str">
        <x:v>2017</x:v>
      </x:c>
      <x:c r="G1694" s="9" t="str">
        <x:v>England and Wales Court of Appeal (Civil Division)</x:v>
      </x:c>
      <x:c r="H1694" s="9" t="str">
        <x:v>Appellate</x:v>
      </x:c>
      <x:c r="I1694" s="9" t="str">
        <x:v>England and Wales</x:v>
      </x:c>
      <x:c r="J1694" s="9" t="str">
        <x:v>Immigration Law</x:v>
      </x:c>
      <x:c r="K1694" s="9" t="str">
        <x:v>-ew-cases-EWCA-Civ-2017-424.xml</x:v>
      </x:c>
      <x:c r="L1694" s="9" t="str">
        <x:v>TBA</x:v>
      </x:c>
    </x:row>
    <x:row r="1695">
      <x:c r="A1695" t="str">
        <x:v>66e7c401-62ee-43a8-acea-a3b10e78395f</x:v>
      </x:c>
      <x:c r="B1695" t="str">
        <x:v>5d7799f2-d31c-48ad-a399-fbb6860bf7fe</x:v>
      </x:c>
      <x:c r="C1695" s="9" t="str">
        <x:v>Khan v Secretary of State for the Home Department</x:v>
      </x:c>
      <x:c r="D1695" s="9" t="str"/>
      <x:c r="E1695" s="9" t="str"/>
      <x:c r="F1695" s="13" t="str">
        <x:v>2014</x:v>
      </x:c>
      <x:c r="G1695" s="9" t="str">
        <x:v>England and Wales Court of Appeal (Civil Division)</x:v>
      </x:c>
      <x:c r="H1695" s="9" t="str">
        <x:v>Appellate</x:v>
      </x:c>
      <x:c r="I1695" s="9" t="str">
        <x:v>England and Wales</x:v>
      </x:c>
      <x:c r="J1695" s="9" t="str">
        <x:v>Immigration Law</x:v>
      </x:c>
      <x:c r="K1695" s="9" t="str">
        <x:v>-ew-cases-EWCA-Civ-2014-88.xml</x:v>
      </x:c>
      <x:c r="L1695" s="9" t="str">
        <x:v>TBA</x:v>
      </x:c>
    </x:row>
    <x:row r="1696">
      <x:c r="A1696" t="str">
        <x:v>dcffab3f-f2fd-4e8c-944a-47c2cc4378a2</x:v>
      </x:c>
      <x:c r="B1696" t="str">
        <x:v>1ffc626c-55e5-4137-be1b-bea6ab452e62</x:v>
      </x:c>
      <x:c r="C1696" s="9" t="str">
        <x:v>Khan v Secretary of State for the Home Department [2015] EWCA Civ 603</x:v>
      </x:c>
      <x:c r="D1696" s="9" t="str"/>
      <x:c r="E1696" s="9" t="str"/>
      <x:c r="F1696" s="13" t="str">
        <x:v>2015</x:v>
      </x:c>
      <x:c r="G1696" s="9" t="str">
        <x:v>England and Wales Court of Appeal (Civil Division)</x:v>
      </x:c>
      <x:c r="H1696" s="9" t="str">
        <x:v>Appellate</x:v>
      </x:c>
      <x:c r="I1696" s="9" t="str">
        <x:v>England and Wales</x:v>
      </x:c>
      <x:c r="J1696" s="9" t="str">
        <x:v>Immigration Law</x:v>
      </x:c>
      <x:c r="K1696" s="9" t="str">
        <x:v>-ew-cases-EWCA-Civ-2015-603.xml</x:v>
      </x:c>
      <x:c r="L1696" s="9" t="str">
        <x:v>TBA</x:v>
      </x:c>
    </x:row>
    <x:row r="1697">
      <x:c r="A1697" t="str">
        <x:v>e1fafae0-976e-4e8e-9a72-cfce706646c2</x:v>
      </x:c>
      <x:c r="B1697" t="str">
        <x:v>8a32fe46-5748-47ec-9e6d-61aa999a1de7</x:v>
      </x:c>
      <x:c r="C1697" s="9" t="str">
        <x:v>Khan v Secretary of State for the Home Department [2016] EWCA Civ 416 (Court of Appeal, Civil Division)</x:v>
      </x:c>
      <x:c r="D1697" s="9" t="str"/>
      <x:c r="E1697" s="9" t="str"/>
      <x:c r="F1697" s="13" t="str">
        <x:v>2016</x:v>
      </x:c>
      <x:c r="G1697" s="9" t="str">
        <x:v>England and Wales Court of Appeal (Civil Division)</x:v>
      </x:c>
      <x:c r="H1697" s="9" t="str">
        <x:v>Court of Appeal (Civil Division)</x:v>
      </x:c>
      <x:c r="I1697" s="9" t="str">
        <x:v>England and Wales</x:v>
      </x:c>
      <x:c r="J1697" s="9" t="str">
        <x:v>Immigration Law; Administrative Law; Human Rights</x:v>
      </x:c>
      <x:c r="K1697" s="9" t="str">
        <x:v>-ew-cases-EWCA-Civ-2016-416.xml</x:v>
      </x:c>
      <x:c r="L1697" s="9" t="str">
        <x:v>TBA</x:v>
      </x:c>
    </x:row>
    <x:row r="1698">
      <x:c r="A1698" t="str">
        <x:v>c12a41cc-f1c4-471f-afda-65180cba6bf6</x:v>
      </x:c>
      <x:c r="B1698" t="str">
        <x:v>541e1530-d22a-4629-ae5c-54c9fbd6efec</x:v>
      </x:c>
      <x:c r="C1698" s="9" t="str">
        <x:v>Khan v Secretary of State for the Home Department [2022] EWCA Civ 1654 (Court of Appeal, Civil Division)</x:v>
      </x:c>
      <x:c r="D1698" s="9" t="str"/>
      <x:c r="E1698" s="9" t="str"/>
      <x:c r="F1698" s="13" t="str">
        <x:v>2022</x:v>
      </x:c>
      <x:c r="G1698" s="9" t="str">
        <x:v>England and Wales Court of Appeal (Civil Division)</x:v>
      </x:c>
      <x:c r="H1698" s="9" t="str">
        <x:v>Court of Appeal (Civil Division)</x:v>
      </x:c>
      <x:c r="I1698" s="9" t="str">
        <x:v>England and Wales</x:v>
      </x:c>
      <x:c r="J1698" s="9" t="str">
        <x:v>Administrative Law / Immigration</x:v>
      </x:c>
      <x:c r="K1698" s="9" t="str">
        <x:v>ew-cases-EWCA-Civ-2022-1654.xml</x:v>
      </x:c>
      <x:c r="L1698" s="9" t="str">
        <x:v>TBA</x:v>
      </x:c>
    </x:row>
    <x:row r="1699">
      <x:c r="A1699" t="str">
        <x:v>1e205945-707f-4d7a-9870-a4cf073a4489</x:v>
      </x:c>
      <x:c r="B1699" t="str">
        <x:v>fb731126-b82d-44be-89a6-4d591e8a6f62</x:v>
      </x:c>
      <x:c r="C1699" s="9" t="str">
        <x:v>Khan v Secretary of State for the Home Department &amp; Anor [2017] EWCA Civ 1755</x:v>
      </x:c>
      <x:c r="D1699" s="9" t="str"/>
      <x:c r="E1699" s="9" t="str"/>
      <x:c r="F1699" s="13" t="str">
        <x:v>2017</x:v>
      </x:c>
      <x:c r="G1699" s="9" t="str">
        <x:v>England and Wales Court of Appeal (Civil Division)</x:v>
      </x:c>
      <x:c r="H1699" s="9" t="str">
        <x:v>Appellate</x:v>
      </x:c>
      <x:c r="I1699" s="9" t="str">
        <x:v>England and Wales</x:v>
      </x:c>
      <x:c r="J1699" s="9" t="str">
        <x:v>Immigration Law</x:v>
      </x:c>
      <x:c r="K1699" s="9" t="str">
        <x:v>-ew-cases-EWCA-Civ-2017-1755.xml</x:v>
      </x:c>
      <x:c r="L1699" s="9" t="str">
        <x:v>TBA</x:v>
      </x:c>
    </x:row>
    <x:row r="1700">
      <x:c r="A1700" t="str">
        <x:v>eeb79040-304e-4320-93e9-502a3ba374b5</x:v>
      </x:c>
      <x:c r="B1700" t="str">
        <x:v>9dd2e95b-5c78-41c8-bd0e-357ba34fb489</x:v>
      </x:c>
      <x:c r="C1700" s="9" t="str">
        <x:v>Khan v. Secretary of State for the Home Department</x:v>
      </x:c>
      <x:c r="D1700" s="9" t="str"/>
      <x:c r="E1700" s="9" t="str"/>
      <x:c r="F1700" s="13" t="str">
        <x:v>2021</x:v>
      </x:c>
      <x:c r="G1700" s="9" t="str">
        <x:v>England and Wales Court of Appeal (Civil Division)</x:v>
      </x:c>
      <x:c r="H1700" s="9" t="str">
        <x:v>Appellate</x:v>
      </x:c>
      <x:c r="I1700" s="9" t="str">
        <x:v>England and Wales</x:v>
      </x:c>
      <x:c r="J1700" s="9" t="str">
        <x:v>Administrative Law</x:v>
      </x:c>
      <x:c r="K1700" s="9" t="str">
        <x:v>ew-cases-EWCA-Civ-2021-1655.xml</x:v>
      </x:c>
      <x:c r="L1700" s="9" t="str">
        <x:v>TBA</x:v>
      </x:c>
    </x:row>
    <x:row r="1701">
      <x:c r="A1701" t="str">
        <x:v>00a7be03-eb76-48b4-9658-607a472a03d8</x:v>
      </x:c>
      <x:c r="B1701" t="str">
        <x:v>6a4f60eb-fe33-4ebf-96cd-40752bcb2b70</x:v>
      </x:c>
      <x:c r="C1701" s="9" t="str">
        <x:v>Khan, R (On the Application Of) v The Secretary of State for Foreign And Commonwealth Affairs</x:v>
      </x:c>
      <x:c r="D1701" s="9" t="str"/>
      <x:c r="E1701" s="9" t="str"/>
      <x:c r="F1701" s="13" t="str">
        <x:v>2014</x:v>
      </x:c>
      <x:c r="G1701" s="9" t="str">
        <x:v>England and Wales Court of Appeal (Civil Division)</x:v>
      </x:c>
      <x:c r="H1701" s="9" t="str">
        <x:v>Appellate</x:v>
      </x:c>
      <x:c r="I1701" s="9" t="str">
        <x:v>England and Wales</x:v>
      </x:c>
      <x:c r="J1701" s="9" t="str">
        <x:v>Administrative Law</x:v>
      </x:c>
      <x:c r="K1701" s="9" t="str">
        <x:v>-ew-cases-EWCA-Civ-2014-24.xml</x:v>
      </x:c>
      <x:c r="L1701" s="9" t="str">
        <x:v>TBA</x:v>
      </x:c>
    </x:row>
    <x:row r="1702">
      <x:c r="A1702" t="str">
        <x:v>2d41ca43-6601-4516-8df8-aeda951c8330</x:v>
      </x:c>
      <x:c r="B1702" t="str">
        <x:v>5eb004c6-b45f-4460-ba6c-0c7be90b7f15</x:v>
      </x:c>
      <x:c r="C1702" s="9" t="str">
        <x:v>Khatoon v The Entry Clearance Officer, Islamabad &amp; Anor</x:v>
      </x:c>
      <x:c r="D1702" s="9" t="str"/>
      <x:c r="E1702" s="9" t="str"/>
      <x:c r="F1702" s="13" t="str">
        <x:v>2014</x:v>
      </x:c>
      <x:c r="G1702" s="9" t="str">
        <x:v>England and Wales Court of Appeal (Civil Division)</x:v>
      </x:c>
      <x:c r="H1702" s="9" t="str">
        <x:v>Appellate</x:v>
      </x:c>
      <x:c r="I1702" s="9" t="str">
        <x:v>England</x:v>
      </x:c>
      <x:c r="J1702" s="9" t="str">
        <x:v>Immigration Law</x:v>
      </x:c>
      <x:c r="K1702" s="9" t="str">
        <x:v>-ew-cases-EWCA-Civ-2014-1327.xml</x:v>
      </x:c>
      <x:c r="L1702" s="9" t="str">
        <x:v>TBA</x:v>
      </x:c>
    </x:row>
    <x:row r="1703">
      <x:c r="A1703" t="str">
        <x:v>91cfd56e-b4f4-47cb-84b1-8d2e741bcb79</x:v>
      </x:c>
      <x:c r="B1703" t="str">
        <x:v>33eb5002-4eb6-4398-9919-85c0ef65a7ab</x:v>
      </x:c>
      <x:c r="C1703" s="9" t="str">
        <x:v>Khawaja v Popat &amp; Anor [2016] EWCA Civ 362</x:v>
      </x:c>
      <x:c r="D1703" s="9" t="str"/>
      <x:c r="E1703" s="9" t="str"/>
      <x:c r="F1703" s="13" t="str">
        <x:v>2016</x:v>
      </x:c>
      <x:c r="G1703" s="9" t="str">
        <x:v>England and Wales Court of Appeal (Civil Division)</x:v>
      </x:c>
      <x:c r="H1703" s="9" t="str">
        <x:v>Court of Appeal (Civil Division)</x:v>
      </x:c>
      <x:c r="I1703" s="9" t="str">
        <x:v>England and Wales</x:v>
      </x:c>
      <x:c r="J1703" s="9" t="str">
        <x:v>Civil contempt; Injunctions; Freezing orders; Court procedure</x:v>
      </x:c>
      <x:c r="K1703" s="9" t="str">
        <x:v>-ew-cases-EWCA-Civ-2016-362.xml</x:v>
      </x:c>
      <x:c r="L1703" s="9" t="str">
        <x:v>TBA</x:v>
      </x:c>
    </x:row>
    <x:row r="1704">
      <x:c r="A1704" t="str">
        <x:v>5931c2bb-f569-4568-95c0-45233bb7483f</x:v>
      </x:c>
      <x:c r="B1704" t="str">
        <x:v>4732e374-8403-4230-9d24-c9a6582fa918</x:v>
      </x:c>
      <x:c r="C1704" s="9" t="str">
        <x:v>Khodari v Cedarpark Holdings Inc</x:v>
      </x:c>
      <x:c r="D1704" s="9" t="str"/>
      <x:c r="E1704" s="9" t="str"/>
      <x:c r="F1704" s="13" t="str">
        <x:v>2017</x:v>
      </x:c>
      <x:c r="G1704" s="9" t="str">
        <x:v>England and Wales Court of Appeal (Civil Division)</x:v>
      </x:c>
      <x:c r="H1704" s="9" t="str">
        <x:v>Appellate</x:v>
      </x:c>
      <x:c r="I1704" s="9" t="str">
        <x:v>England and Wales</x:v>
      </x:c>
      <x:c r="J1704" s="9" t="str">
        <x:v>Administrative Law / Planning Law</x:v>
      </x:c>
      <x:c r="K1704" s="9" t="str">
        <x:v>-ew-cases-EWCA-Civ-2017-333.xml</x:v>
      </x:c>
      <x:c r="L1704" s="9" t="str">
        <x:v>TBA</x:v>
      </x:c>
    </x:row>
    <x:row r="1705">
      <x:c r="A1705" t="str">
        <x:v>550cdd5f-bb4d-44cd-81f9-ba3258023b5e</x:v>
      </x:c>
      <x:c r="B1705" t="str">
        <x:v>241ec0c6-5950-4d66-91ba-81a36821bc4d</x:v>
      </x:c>
      <x:c r="C1705" s="9" t="str">
        <x:v>Khurma v Secretary of State for the Home Department</x:v>
      </x:c>
      <x:c r="D1705" s="9" t="str"/>
      <x:c r="E1705" s="9" t="str"/>
      <x:c r="F1705" s="13" t="str">
        <x:v>2015</x:v>
      </x:c>
      <x:c r="G1705" s="9" t="str">
        <x:v>England and Wales Court of Appeal (Civil Division)</x:v>
      </x:c>
      <x:c r="H1705" s="9" t="str">
        <x:v>Appellate</x:v>
      </x:c>
      <x:c r="I1705" s="9" t="str">
        <x:v>England and Wales</x:v>
      </x:c>
      <x:c r="J1705" s="9" t="str">
        <x:v>Administrative Law</x:v>
      </x:c>
      <x:c r="K1705" s="9" t="str">
        <x:v>-ew-cases-EWCA-Civ-2015-1042.xml</x:v>
      </x:c>
      <x:c r="L1705" s="9" t="str">
        <x:v>TBA</x:v>
      </x:c>
    </x:row>
    <x:row r="1706">
      <x:c r="A1706" t="str">
        <x:v>b3a2dc93-1593-4ac4-90f9-e154bd2fad53</x:v>
      </x:c>
      <x:c r="B1706" t="str">
        <x:v>70aa164c-30e7-43d2-91a9-92b99855c8f5</x:v>
      </x:c>
      <x:c r="C1706" s="9" t="str">
        <x:v>Khurshid v Secretary of State for the Home Department</x:v>
      </x:c>
      <x:c r="D1706" s="9" t="str"/>
      <x:c r="E1706" s="9" t="str"/>
      <x:c r="F1706" s="13" t="str">
        <x:v>2021</x:v>
      </x:c>
      <x:c r="G1706" s="9" t="str">
        <x:v>England and Wales Court of Appeal (Civil Division)</x:v>
      </x:c>
      <x:c r="H1706" s="9" t="str">
        <x:v>Appellate</x:v>
      </x:c>
      <x:c r="I1706" s="9" t="str">
        <x:v>England and Wales</x:v>
      </x:c>
      <x:c r="J1706" s="9" t="str">
        <x:v>Immigration</x:v>
      </x:c>
      <x:c r="K1706" s="9" t="str">
        <x:v>ew-cases-EWCA-Civ-2021-1515.xml</x:v>
      </x:c>
      <x:c r="L1706" s="9" t="str">
        <x:v>TBA</x:v>
      </x:c>
    </x:row>
    <x:row r="1707">
      <x:c r="A1707" t="str">
        <x:v>c4cf2b9a-f3e2-4e11-a7f7-693d6acd4a3a</x:v>
      </x:c>
      <x:c r="B1707" t="str">
        <x:v>41a74ddd-772a-48fc-a9a6-bd9e8f880e3d</x:v>
      </x:c>
      <x:c r="C1707" s="9" t="str">
        <x:v>KI (Nigeria) v Secretary of State for the Home Department [2015] EWCA Civ 255</x:v>
      </x:c>
      <x:c r="D1707" s="9" t="str"/>
      <x:c r="E1707" s="9" t="str"/>
      <x:c r="F1707" s="13" t="str">
        <x:v>2015</x:v>
      </x:c>
      <x:c r="G1707" s="9" t="str">
        <x:v>England and Wales Court of Appeal (Civil Division)</x:v>
      </x:c>
      <x:c r="H1707" s="9" t="str">
        <x:v>Appellate</x:v>
      </x:c>
      <x:c r="I1707" s="9" t="str">
        <x:v>England and Wales</x:v>
      </x:c>
      <x:c r="J1707" s="9" t="str">
        <x:v>Administrative Law</x:v>
      </x:c>
      <x:c r="K1707" s="9" t="str">
        <x:v>-ew-cases-EWCA-Civ-2015-255.xml</x:v>
      </x:c>
      <x:c r="L1707" s="9" t="str">
        <x:v>TBA</x:v>
      </x:c>
    </x:row>
    <x:row r="1708">
      <x:c r="A1708" t="str">
        <x:v>742f1df9-be80-4355-8bc1-9dbbcac5ed43</x:v>
      </x:c>
      <x:c r="B1708" t="str">
        <x:v>b78eb05e-67d0-4cda-b13f-3f97a12f82af</x:v>
      </x:c>
      <x:c r="C1708" s="9" t="str">
        <x:v>Kiani v The Secretary of State for the Home Department</x:v>
      </x:c>
      <x:c r="D1708" s="9" t="str"/>
      <x:c r="E1708" s="9" t="str"/>
      <x:c r="F1708" s="13" t="str">
        <x:v>2015</x:v>
      </x:c>
      <x:c r="G1708" s="9" t="str">
        <x:v>England and Wales Court of Appeal (Civil Division)</x:v>
      </x:c>
      <x:c r="H1708" s="9" t="str">
        <x:v>Appellate</x:v>
      </x:c>
      <x:c r="I1708" s="9" t="str">
        <x:v>United Kingdom</x:v>
      </x:c>
      <x:c r="J1708" s="9" t="str">
        <x:v>Employment Law</x:v>
      </x:c>
      <x:c r="K1708" s="9" t="str">
        <x:v>-ew-cases-EWCA-Civ-2015-776.xml</x:v>
      </x:c>
      <x:c r="L1708" s="9" t="str">
        <x:v>TBA</x:v>
      </x:c>
    </x:row>
    <x:row r="1709">
      <x:c r="A1709" t="str">
        <x:v>179d839e-c5c1-4f6c-a7c9-626db121defd</x:v>
      </x:c>
      <x:c r="B1709" t="str">
        <x:v>9ee00635-86fc-48d1-9834-37ca1ae9aff5</x:v>
      </x:c>
      <x:c r="C1709" s="9" t="str">
        <x:v>Kiarie, R (On the Application Of) v The Secretary of State for the Home Department [2015] EWCA Civ 1020</x:v>
      </x:c>
      <x:c r="D1709" s="9" t="str"/>
      <x:c r="E1709" s="9" t="str"/>
      <x:c r="F1709" s="13" t="str">
        <x:v>2015</x:v>
      </x:c>
      <x:c r="G1709" s="9" t="str">
        <x:v>England and Wales Court of Appeal (Civil Division)</x:v>
      </x:c>
      <x:c r="H1709" s="9" t="str">
        <x:v>Appellate</x:v>
      </x:c>
      <x:c r="I1709" s="9" t="str">
        <x:v>England and Wales</x:v>
      </x:c>
      <x:c r="J1709" s="9" t="str">
        <x:v>Administrative Law</x:v>
      </x:c>
      <x:c r="K1709" s="9" t="str">
        <x:v>-ew-cases-EWCA-Civ-2015-1020.xml</x:v>
      </x:c>
      <x:c r="L1709" s="9" t="str">
        <x:v>TBA</x:v>
      </x:c>
    </x:row>
    <x:row r="1710">
      <x:c r="A1710" t="str">
        <x:v>4e32fc42-0204-4e62-99a7-eec7ff878945</x:v>
      </x:c>
      <x:c r="B1710" t="str">
        <x:v>ea47b762-2af0-4a47-835d-59cf873cc9fe</x:v>
      </x:c>
      <x:c r="C1710" s="9" t="str">
        <x:v>Kickabout Productions Limited v Commissioners for HM Revenue and Customs [2022] EWCA Civ 502</x:v>
      </x:c>
      <x:c r="D1710" s="9" t="str"/>
      <x:c r="E1710" s="9" t="str"/>
      <x:c r="F1710" s="13" t="str">
        <x:v>2022</x:v>
      </x:c>
      <x:c r="G1710" s="9" t="str">
        <x:v>England and Wales Court of Appeal (Civil Division)</x:v>
      </x:c>
      <x:c r="H1710" s="9" t="str">
        <x:v>Court of Appeal (Civil Division)</x:v>
      </x:c>
      <x:c r="I1710" s="9" t="str">
        <x:v>England and Wales</x:v>
      </x:c>
      <x:c r="J1710" s="9" t="str">
        <x:v>Tax Law / Employment Status / IR35</x:v>
      </x:c>
      <x:c r="K1710" s="9" t="str">
        <x:v>ew-cases-EWCA-Civ-2022-502.xml</x:v>
      </x:c>
      <x:c r="L1710" s="9" t="str">
        <x:v>TBA</x:v>
      </x:c>
    </x:row>
    <x:row r="1711">
      <x:c r="A1711" t="str">
        <x:v>4c012ad6-83de-47f1-bfd7-075c5ab8b34f</x:v>
      </x:c>
      <x:c r="B1711" t="str">
        <x:v>058ef028-d332-467e-a993-168f2f42f595</x:v>
      </x:c>
      <x:c r="C1711" s="9" t="str">
        <x:v>Kigen &amp; Anor v Secretary of State for the Home Department</x:v>
      </x:c>
      <x:c r="D1711" s="9" t="str"/>
      <x:c r="E1711" s="9" t="str"/>
      <x:c r="F1711" s="13" t="str">
        <x:v>2015</x:v>
      </x:c>
      <x:c r="G1711" s="9" t="str">
        <x:v>England and Wales Court of Appeal (Civil Division)</x:v>
      </x:c>
      <x:c r="H1711" s="9" t="str">
        <x:v>Appellate</x:v>
      </x:c>
      <x:c r="I1711" s="9" t="str">
        <x:v>England and Wales</x:v>
      </x:c>
      <x:c r="J1711" s="9" t="str">
        <x:v>Administrative Law</x:v>
      </x:c>
      <x:c r="K1711" s="9" t="str">
        <x:v>-ew-cases-EWCA-Civ-2015-1286.xml</x:v>
      </x:c>
      <x:c r="L1711" s="9" t="str">
        <x:v>TBA</x:v>
      </x:c>
    </x:row>
    <x:row r="1712">
      <x:c r="A1712" t="str">
        <x:v>e16705e9-4e0c-4936-b0d1-86acae42e916</x:v>
      </x:c>
      <x:c r="B1712" t="str">
        <x:v>52d20bb9-6964-44a6-9c32-d191ef76297c</x:v>
      </x:c>
      <x:c r="C1712" s="9" t="str">
        <x:v>King Lifting Ltd v Oxfordshire County Council [2016] EWHC 1767 (QB)</x:v>
      </x:c>
      <x:c r="D1712" s="9" t="str"/>
      <x:c r="E1712" s="9" t="str"/>
      <x:c r="F1712" s="13" t="str">
        <x:v>2016</x:v>
      </x:c>
      <x:c r="G1712" s="9" t="str">
        <x:v>England and Wales High Court (Queen's Bench Division)</x:v>
      </x:c>
      <x:c r="H1712" s="9" t="str">
        <x:v>High Court</x:v>
      </x:c>
      <x:c r="I1712" s="9" t="str">
        <x:v>England and Wales</x:v>
      </x:c>
      <x:c r="J1712" s="9" t="str">
        <x:v>Tort</x:v>
      </x:c>
      <x:c r="K1712" s="9" t="str">
        <x:v>PT_EWHC-QB_2016_1767.xml</x:v>
      </x:c>
      <x:c r="L1712" s="9" t="str">
        <x:v>TBA</x:v>
      </x:c>
    </x:row>
    <x:row r="1713">
      <x:c r="A1713" t="str">
        <x:v>e5235c9f-bc6d-42f9-8a0f-9913d9e40440</x:v>
      </x:c>
      <x:c r="B1713" t="str">
        <x:v>2197d580-2e6e-4828-850c-594af5ff3bec</x:v>
      </x:c>
      <x:c r="C1713" s="9" t="str">
        <x:v>King v Hee-Tak Kim &amp; Anor [2015] EWCA Civ 1226</x:v>
      </x:c>
      <x:c r="D1713" s="9" t="str"/>
      <x:c r="E1713" s="9" t="str"/>
      <x:c r="F1713" s="13" t="str">
        <x:v>2015</x:v>
      </x:c>
      <x:c r="G1713" s="9" t="str">
        <x:v>England and Wales Court of Appeal (Civil Division)</x:v>
      </x:c>
      <x:c r="H1713" s="9" t="str">
        <x:v>appellate</x:v>
      </x:c>
      <x:c r="I1713" s="9" t="str">
        <x:v>England and Wales</x:v>
      </x:c>
      <x:c r="J1713" s="9" t="str">
        <x:v>Tort</x:v>
      </x:c>
      <x:c r="K1713" s="9" t="str">
        <x:v>-ew-cases-EWCA-Civ-2015-1226.xml</x:v>
      </x:c>
      <x:c r="L1713" s="9" t="str">
        <x:v>TBA</x:v>
      </x:c>
    </x:row>
    <x:row r="1714">
      <x:c r="A1714" t="str">
        <x:v>25089541-a633-4c36-bc6c-7be56f0a54de</x:v>
      </x:c>
      <x:c r="B1714" t="str">
        <x:v>4233e7fd-a23f-4f46-aeaf-81c15078e3f1</x:v>
      </x:c>
      <x:c r="C1714" s="9" t="str">
        <x:v>King v The Chiltern Dog Rescue &amp; Anor [2015] EWCA Civ 581</x:v>
      </x:c>
      <x:c r="D1714" s="9" t="str"/>
      <x:c r="E1714" s="9" t="str"/>
      <x:c r="F1714" s="13" t="str">
        <x:v>2015</x:v>
      </x:c>
      <x:c r="G1714" s="9" t="str">
        <x:v>England and Wales Court of Appeal (Civil Division)</x:v>
      </x:c>
      <x:c r="H1714" s="9" t="str">
        <x:v>Appellate</x:v>
      </x:c>
      <x:c r="I1714" s="9" t="str">
        <x:v>England and Wales</x:v>
      </x:c>
      <x:c r="J1714" s="9" t="str">
        <x:v>Inheritance</x:v>
      </x:c>
      <x:c r="K1714" s="9" t="str">
        <x:v>-ew-cases-EWCA-Civ-2015-581.xml</x:v>
      </x:c>
      <x:c r="L1714" s="9" t="str">
        <x:v>TBA</x:v>
      </x:c>
    </x:row>
    <x:row r="1715">
      <x:c r="A1715" t="str">
        <x:v>945b4b51-17b4-4016-a301-3f07cd22aa85</x:v>
      </x:c>
      <x:c r="B1715" t="str">
        <x:v>e521d9e0-0168-4876-aaf4-10d48e26f461</x:v>
      </x:c>
      <x:c r="C1715" s="9" t="str">
        <x:v>King's Lynn and West Norfolk Council v Bunning [2016] EWCA Civ 1037 (Court of Appeal, Civil Division)</x:v>
      </x:c>
      <x:c r="D1715" s="9" t="str"/>
      <x:c r="E1715" s="9" t="str"/>
      <x:c r="F1715" s="13" t="str">
        <x:v>2016</x:v>
      </x:c>
      <x:c r="G1715" s="9" t="str">
        <x:v>England and Wales Court of Appeal (Civil Division)</x:v>
      </x:c>
      <x:c r="H1715" s="9" t="str">
        <x:v>Court of Appeal (Civil Division)</x:v>
      </x:c>
      <x:c r="I1715" s="9" t="str">
        <x:v>England and Wales Court of Appeal (Civil Division)</x:v>
      </x:c>
      <x:c r="J1715" s="9" t="str">
        <x:v>Civil Procedure / Contempt of Court / Public Law</x:v>
      </x:c>
      <x:c r="K1715" s="9" t="str">
        <x:v>-ew-cases-EWCA-Civ-2016-1037.xml</x:v>
      </x:c>
      <x:c r="L1715" s="9" t="str">
        <x:v>TBA</x:v>
      </x:c>
    </x:row>
    <x:row r="1716">
      <x:c r="A1716" t="str">
        <x:v>f3a56325-0ba0-4665-a2c1-d6cbd02c94e4</x:v>
      </x:c>
      <x:c r="B1716" t="str">
        <x:v>ba6f9a84-6d6f-42d8-9e6f-9c6f63e4ba51</x:v>
      </x:c>
      <x:c r="C1716" s="9" t="str">
        <x:v>Kingley Developments Ltd v L Brundenell &amp; E L Elcock [2015] EWCA Civ 823</x:v>
      </x:c>
      <x:c r="D1716" s="9" t="str"/>
      <x:c r="E1716" s="9" t="str"/>
      <x:c r="F1716" s="13" t="str">
        <x:v>2015</x:v>
      </x:c>
      <x:c r="G1716" s="9" t="str">
        <x:v>England and Wales Court of Appeal (Civil Division)</x:v>
      </x:c>
      <x:c r="H1716" s="9" t="str">
        <x:v>Appellate</x:v>
      </x:c>
      <x:c r="I1716" s="9" t="str">
        <x:v>England and Wales</x:v>
      </x:c>
      <x:c r="J1716" s="9" t="str">
        <x:v>Property Law</x:v>
      </x:c>
      <x:c r="K1716" s="9" t="str">
        <x:v>-ew-cases-EWCA-Civ-2015-823.xml</x:v>
      </x:c>
      <x:c r="L1716" s="9" t="str">
        <x:v>TBA</x:v>
      </x:c>
    </x:row>
    <x:row r="1717">
      <x:c r="A1717" t="str">
        <x:v>a9433216-9815-4672-9c84-99b17837a260</x:v>
      </x:c>
      <x:c r="B1717" t="str">
        <x:v>99f63403-1cb2-44fb-abe8-b0f4257b698a</x:v>
      </x:c>
      <x:c r="C1717" s="9" t="str">
        <x:v>Kingsley v Office of the Immigration Services Commissioner</x:v>
      </x:c>
      <x:c r="D1717" s="9" t="str"/>
      <x:c r="E1717" s="9" t="str"/>
      <x:c r="F1717" s="13" t="str">
        <x:v>2015</x:v>
      </x:c>
      <x:c r="G1717" s="9" t="str">
        <x:v>England and Wales Court of Appeal (Civil Division)</x:v>
      </x:c>
      <x:c r="H1717" s="9" t="str">
        <x:v>Appellate</x:v>
      </x:c>
      <x:c r="I1717" s="9" t="str">
        <x:v>England and Wales</x:v>
      </x:c>
      <x:c r="J1717" s="9" t="str">
        <x:v>Defamation</x:v>
      </x:c>
      <x:c r="K1717" s="9" t="str">
        <x:v>-ew-cases-EWCA-Civ-2015-602.xml</x:v>
      </x:c>
      <x:c r="L1717" s="9" t="str">
        <x:v>TBA</x:v>
      </x:c>
    </x:row>
    <x:row r="1718">
      <x:c r="A1718" t="str">
        <x:v>54da4caa-c5f8-42f9-aa80-c97bf32afea4</x:v>
      </x:c>
      <x:c r="B1718" t="str">
        <x:v>671c3057-8376-4da1-82b8-7a83b79c33d1</x:v>
      </x:c>
      <x:c r="C1718" s="9" t="str">
        <x:v>Kinnersley, R (On the Application Of) v Maidstone Borough Council [2023] EWCA Civ 172</x:v>
      </x:c>
      <x:c r="D1718" s="9" t="str"/>
      <x:c r="E1718" s="9" t="str"/>
      <x:c r="F1718" s="13" t="str">
        <x:v>2023</x:v>
      </x:c>
      <x:c r="G1718" s="9" t="str">
        <x:v>England and Wales Court of Appeal (Civil Division)</x:v>
      </x:c>
      <x:c r="H1718" s="9" t="str">
        <x:v>Court of Appeal (Civil Division)</x:v>
      </x:c>
      <x:c r="I1718" s="9" t="str">
        <x:v>England and Wales</x:v>
      </x:c>
      <x:c r="J1718" s="9" t="str">
        <x:v>Planning Law / Administrative Law</x:v>
      </x:c>
      <x:c r="K1718" s="9" t="str">
        <x:v>ew-cases-EWCA-Civ-2023-172.xml</x:v>
      </x:c>
      <x:c r="L1718" s="9" t="str">
        <x:v>TBA</x:v>
      </x:c>
    </x:row>
    <x:row r="1719">
      <x:c r="A1719" t="str">
        <x:v>2f91fd29-492c-44a9-811e-a72806307c13</x:v>
      </x:c>
      <x:c r="B1719" t="str">
        <x:v>a6cb8ae0-8c7c-47b7-aad3-750c6364be3e</x:v>
      </x:c>
      <x:c r="C1719" s="9" t="str">
        <x:v>Kireeva v Bedzhamov [2022] EWCA Civ 35</x:v>
      </x:c>
      <x:c r="D1719" s="9" t="str"/>
      <x:c r="E1719" s="9" t="str"/>
      <x:c r="F1719" s="13" t="str">
        <x:v>2022</x:v>
      </x:c>
      <x:c r="G1719" s="9" t="str">
        <x:v>England and Wales Court of Appeal (Civil Division)</x:v>
      </x:c>
      <x:c r="H1719" s="9" t="str">
        <x:v>Court of Appeal (Civil Division)</x:v>
      </x:c>
      <x:c r="I1719" s="9" t="str">
        <x:v>England and Wales</x:v>
      </x:c>
      <x:c r="J1719" s="9" t="str">
        <x:v>Cross-border insolvency / recognition of foreign bankruptcy / private international law</x:v>
      </x:c>
      <x:c r="K1719" s="9" t="str">
        <x:v>ew-cases-EWCA-Civ-2022-35.xml</x:v>
      </x:c>
      <x:c r="L1719" s="9" t="str">
        <x:v>TBA</x:v>
      </x:c>
    </x:row>
    <x:row r="1720">
      <x:c r="A1720" t="str">
        <x:v>63ba063c-1a03-41ed-9e18-4d5783616cc8</x:v>
      </x:c>
      <x:c r="B1720" t="str">
        <x:v>b679acab-9ae5-415c-ab32-172c0766d15e</x:v>
      </x:c>
      <x:c r="C1720" s="9" t="str">
        <x:v>Kirk v Devon County Council &amp; Anor [2017] EWCA Civ 260</x:v>
      </x:c>
      <x:c r="D1720" s="9" t="str"/>
      <x:c r="E1720" s="9" t="str"/>
      <x:c r="F1720" s="13" t="str">
        <x:v>2017</x:v>
      </x:c>
      <x:c r="G1720" s="9" t="str">
        <x:v>England and Wales Court of Appeal (Civil Division)</x:v>
      </x:c>
      <x:c r="H1720" s="9" t="str">
        <x:v>Appellate</x:v>
      </x:c>
      <x:c r="I1720" s="9" t="str">
        <x:v>England and Wales</x:v>
      </x:c>
      <x:c r="J1720" s="9" t="str">
        <x:v>Civil Appeal</x:v>
      </x:c>
      <x:c r="K1720" s="9" t="str">
        <x:v>-ew-cases-EWCA-Civ-2017-260.xml</x:v>
      </x:c>
      <x:c r="L1720" s="9" t="str">
        <x:v>TBA</x:v>
      </x:c>
    </x:row>
    <x:row r="1721">
      <x:c r="A1721" t="str">
        <x:v>69aa445a-a0eb-4f3a-8ad7-fc529de283ea</x:v>
      </x:c>
      <x:c r="B1721" t="str">
        <x:v>03895de8-a98f-4134-99c5-f7dbe7499ea4</x:v>
      </x:c>
      <x:c r="C1721" s="9" t="str">
        <x:v>KK (Sri Lanka) v Secretary of State for the Home Department</x:v>
      </x:c>
      <x:c r="D1721" s="9" t="str"/>
      <x:c r="E1721" s="9" t="str"/>
      <x:c r="F1721" s="13" t="str">
        <x:v>2017</x:v>
      </x:c>
      <x:c r="G1721" s="9" t="str">
        <x:v>England and Wales Court of Appeal (Civil Division)</x:v>
      </x:c>
      <x:c r="H1721" s="9" t="str">
        <x:v>Appellate</x:v>
      </x:c>
      <x:c r="I1721" s="9" t="str">
        <x:v>England and Wales</x:v>
      </x:c>
      <x:c r="J1721" s="9" t="str">
        <x:v>Immigration Law</x:v>
      </x:c>
      <x:c r="K1721" s="9" t="str">
        <x:v>-ew-cases-EWCA-Civ-2017-2412.xml</x:v>
      </x:c>
      <x:c r="L1721" s="9" t="str">
        <x:v>TBA</x:v>
      </x:c>
    </x:row>
    <x:row r="1722">
      <x:c r="A1722" t="str">
        <x:v>2398aafb-1eff-4596-a5a1-4688800f8de7</x:v>
      </x:c>
      <x:c r="B1722" t="str">
        <x:v>90236dc5-acb2-4799-9120-b62d5ce78a07</x:v>
      </x:c>
      <x:c r="C1722" s="9" t="str">
        <x:v>KK &amp; Ors v Secretary of State for the Home Department</x:v>
      </x:c>
      <x:c r="D1722" s="9" t="str"/>
      <x:c r="E1722" s="9" t="str"/>
      <x:c r="F1722" s="13" t="str">
        <x:v>2014</x:v>
      </x:c>
      <x:c r="G1722" s="9" t="str">
        <x:v>England and Wales Court of Appeal (Civil Division)</x:v>
      </x:c>
      <x:c r="H1722" s="9" t="str">
        <x:v>Appellate</x:v>
      </x:c>
      <x:c r="I1722" s="9" t="str">
        <x:v>England and Wales</x:v>
      </x:c>
      <x:c r="J1722" s="9" t="str">
        <x:v>Immigration Law</x:v>
      </x:c>
      <x:c r="K1722" s="9" t="str">
        <x:v>-ew-cases-EWCA-Civ-2014-415.xml</x:v>
      </x:c>
      <x:c r="L1722" s="9" t="str">
        <x:v>TBA</x:v>
      </x:c>
    </x:row>
    <x:row r="1723">
      <x:c r="A1723" t="str">
        <x:v>8e72d45a-84a5-4a17-9184-5759eaf43cec</x:v>
      </x:c>
      <x:c r="B1723" t="str">
        <x:v>e87980ca-2fc2-40cd-9556-acee45ed0a55</x:v>
      </x:c>
      <x:c r="C1723" s="9" t="str">
        <x:v>KK and RS (Sri Lanka) v The Secretary of State for the Home Department [2022] EWCA Civ 119</x:v>
      </x:c>
      <x:c r="D1723" s="9" t="str"/>
      <x:c r="E1723" s="9" t="str"/>
      <x:c r="F1723" s="13" t="str">
        <x:v>2022</x:v>
      </x:c>
      <x:c r="G1723" s="9" t="str">
        <x:v>England and Wales Court of Appeal (Civil Division)</x:v>
      </x:c>
      <x:c r="H1723" s="9" t="str">
        <x:v>Court of Appeal (Civil Division)</x:v>
      </x:c>
      <x:c r="I1723" s="9" t="str">
        <x:v>England and Wales</x:v>
      </x:c>
      <x:c r="J1723" s="9" t="str">
        <x:v>Immigration Law; Administrative Law; Human Rights</x:v>
      </x:c>
      <x:c r="K1723" s="9" t="str">
        <x:v>ew-cases-EWCA-Civ-2022-119.xml</x:v>
      </x:c>
      <x:c r="L1723" s="9" t="str">
        <x:v>TBA</x:v>
      </x:c>
    </x:row>
    <x:row r="1724">
      <x:c r="A1724" t="str">
        <x:v>53b11a88-3ad2-47e6-971b-d73248feed89</x:v>
      </x:c>
      <x:c r="B1724" t="str">
        <x:v>dcfe95dd-f4bd-42e9-8e3e-f51e619d0fce</x:v>
      </x:c>
      <x:c r="C1724" s="9" t="str">
        <x:v>KM (Algeria) v The Secretary of State for the Home Department</x:v>
      </x:c>
      <x:c r="D1724" s="9" t="str"/>
      <x:c r="E1724" s="9" t="str"/>
      <x:c r="F1724" s="13" t="str">
        <x:v>2017</x:v>
      </x:c>
      <x:c r="G1724" s="9" t="str">
        <x:v>England and Wales Court of Appeal (Civil Division)</x:v>
      </x:c>
      <x:c r="H1724" s="9" t="str">
        <x:v>Appellate</x:v>
      </x:c>
      <x:c r="I1724" s="9" t="str">
        <x:v>England and Wales</x:v>
      </x:c>
      <x:c r="J1724" s="9" t="str">
        <x:v>Immigration Law</x:v>
      </x:c>
      <x:c r="K1724" s="9" t="str">
        <x:v>-ew-cases-EWCA-Civ-2017-2662.xml</x:v>
      </x:c>
      <x:c r="L1724" s="9" t="str">
        <x:v>TBA</x:v>
      </x:c>
    </x:row>
    <x:row r="1725">
      <x:c r="A1725" t="str">
        <x:v>054eab20-3872-44a1-b139-6060526d1ec9</x:v>
      </x:c>
      <x:c r="B1725" t="str">
        <x:v>f48fc5bd-e1bf-4698-8432-4d6a97dddef4</x:v>
      </x:c>
      <x:c r="C1725" s="9" t="str">
        <x:v>KM v Secretary of State for the Home Department</x:v>
      </x:c>
      <x:c r="D1725" s="9" t="str"/>
      <x:c r="E1725" s="9" t="str"/>
      <x:c r="F1725" s="13" t="str">
        <x:v>2021</x:v>
      </x:c>
      <x:c r="G1725" s="9" t="str">
        <x:v>England and Wales Court of Appeal (Civil Division)</x:v>
      </x:c>
      <x:c r="H1725" s="9" t="str">
        <x:v>Appellate</x:v>
      </x:c>
      <x:c r="I1725" s="9" t="str">
        <x:v>England and Wales</x:v>
      </x:c>
      <x:c r="J1725" s="9" t="str">
        <x:v>Immigration Law</x:v>
      </x:c>
      <x:c r="K1725" s="9" t="str">
        <x:v>ew-cases-EWCA-Civ-2021-693.xml</x:v>
      </x:c>
      <x:c r="L1725" s="9" t="str">
        <x:v>TBA</x:v>
      </x:c>
    </x:row>
    <x:row r="1726">
      <x:c r="A1726" t="str">
        <x:v>af691d48-31ef-4f6d-9b20-7ce3b6a91052</x:v>
      </x:c>
      <x:c r="B1726" t="str">
        <x:v>3ade0032-d575-425c-850a-86f1701fb8bd</x:v>
      </x:c>
      <x:c r="C1726" s="9" t="str">
        <x:v>Knights v Secretary of State for Justice [2017] EWCA Civ 1053</x:v>
      </x:c>
      <x:c r="D1726" s="9" t="str"/>
      <x:c r="E1726" s="9" t="str"/>
      <x:c r="F1726" s="13" t="str">
        <x:v>2017</x:v>
      </x:c>
      <x:c r="G1726" s="9" t="str">
        <x:v>England and Wales Court of Appeal (Civil Division)</x:v>
      </x:c>
      <x:c r="H1726" s="9" t="str">
        <x:v>Appellate</x:v>
      </x:c>
      <x:c r="I1726" s="9" t="str">
        <x:v>England and Wales</x:v>
      </x:c>
      <x:c r="J1726" s="9" t="str">
        <x:v>Administrative Law</x:v>
      </x:c>
      <x:c r="K1726" s="9" t="str">
        <x:v>-ew-cases-EWCA-Civ-2017-1053.xml</x:v>
      </x:c>
      <x:c r="L1726" s="9" t="str">
        <x:v>TBA</x:v>
      </x:c>
    </x:row>
    <x:row r="1727">
      <x:c r="A1727" t="str">
        <x:v>e6dbf9e1-9e13-46bb-b8f1-a6ea7272c1a9</x:v>
      </x:c>
      <x:c r="B1727" t="str">
        <x:v>f8755763-8d90-4b51-8a0a-d11efa528908</x:v>
      </x:c>
      <x:c r="C1727" s="9" t="str">
        <x:v>Kocur v Angard Staffing Solutions Limited &amp; Anor [2022] EWCA Civ 189</x:v>
      </x:c>
      <x:c r="D1727" s="9" t="str"/>
      <x:c r="E1727" s="9" t="str"/>
      <x:c r="F1727" s="13" t="str">
        <x:v>2022</x:v>
      </x:c>
      <x:c r="G1727" s="9" t="str">
        <x:v>England and Wales Court of Appeal (Civil Division)</x:v>
      </x:c>
      <x:c r="H1727" s="9" t="str">
        <x:v>Court of Appeal (Civil Division)</x:v>
      </x:c>
      <x:c r="I1727" s="9" t="str">
        <x:v>England and Wales</x:v>
      </x:c>
      <x:c r="J1727" s="9" t="str">
        <x:v>Employment Law</x:v>
      </x:c>
      <x:c r="K1727" s="9" t="str">
        <x:v>ew-cases-EWCA-Civ-2022-189.xml</x:v>
      </x:c>
      <x:c r="L1727" s="9" t="str">
        <x:v>TBA</x:v>
      </x:c>
    </x:row>
    <x:row r="1728">
      <x:c r="A1728" t="str">
        <x:v>d80992d4-a52b-43d5-83a2-e8f6c4756752</x:v>
      </x:c>
      <x:c r="B1728" t="str">
        <x:v>0845a137-08c0-4495-8d95-5cb333f9d947</x:v>
      </x:c>
      <x:c r="C1728" s="9" t="str">
        <x:v>Kong v Gulf International Bank (UK) Limited [2022] EWCA Civ 941</x:v>
      </x:c>
      <x:c r="D1728" s="9" t="str"/>
      <x:c r="E1728" s="9" t="str"/>
      <x:c r="F1728" s="13" t="str">
        <x:v>2022</x:v>
      </x:c>
      <x:c r="G1728" s="9" t="str">
        <x:v>England and Wales Court of Appeal (Civil Division)</x:v>
      </x:c>
      <x:c r="H1728" s="9" t="str">
        <x:v>Court of Appeal (Civil Division)</x:v>
      </x:c>
      <x:c r="I1728" s="9" t="str">
        <x:v>England and Wales</x:v>
      </x:c>
      <x:c r="J1728" s="9" t="str">
        <x:v>Employment Law</x:v>
      </x:c>
      <x:c r="K1728" s="9" t="str">
        <x:v>ew-cases-EWCA-Civ-2022-941.xml</x:v>
      </x:c>
      <x:c r="L1728" s="9" t="str">
        <x:v>TBA</x:v>
      </x:c>
    </x:row>
    <x:row r="1729">
      <x:c r="A1729" t="str">
        <x:v>6977b850-fe58-4d1e-8782-c15a7aada907</x:v>
      </x:c>
      <x:c r="B1729" t="str">
        <x:v>21a7ea99-7f76-412d-aa64-1f02a45d9e00</x:v>
      </x:c>
      <x:c r="C1729" s="9" t="str">
        <x:v>Koninklijke Philips N.V. v Asustek Computer Incorporation &amp; Ors [2017] EWCA Civ 1526</x:v>
      </x:c>
      <x:c r="D1729" s="9" t="str"/>
      <x:c r="E1729" s="9" t="str"/>
      <x:c r="F1729" s="13" t="str">
        <x:v>2017</x:v>
      </x:c>
      <x:c r="G1729" s="9" t="str">
        <x:v>England and Wales Court of Appeal (Civil Division)</x:v>
      </x:c>
      <x:c r="H1729" s="9" t="str">
        <x:v>appellate</x:v>
      </x:c>
      <x:c r="I1729" s="9" t="str">
        <x:v>England and Wales</x:v>
      </x:c>
      <x:c r="J1729" s="9" t="str">
        <x:v>Intellectual Property</x:v>
      </x:c>
      <x:c r="K1729" s="9" t="str">
        <x:v>-ew-cases-EWCA-Civ-2017-1526.xml</x:v>
      </x:c>
      <x:c r="L1729" s="9" t="str">
        <x:v>TBA</x:v>
      </x:c>
    </x:row>
    <x:row r="1730">
      <x:c r="A1730" t="str">
        <x:v>661505d3-0702-4eb8-a150-dd4c8a77a529</x:v>
      </x:c>
      <x:c r="B1730" t="str">
        <x:v>495d20f6-eb61-4ca5-ad65-a322abff27f0</x:v>
      </x:c>
      <x:c r="C1730" s="9" t="str">
        <x:v>Koori &amp; Ors v The Secretary of State for the Home Department [2016] EWCA Civ 552</x:v>
      </x:c>
      <x:c r="D1730" s="9" t="str"/>
      <x:c r="E1730" s="9" t="str"/>
      <x:c r="F1730" s="13" t="str">
        <x:v>2016</x:v>
      </x:c>
      <x:c r="G1730" s="9" t="str">
        <x:v>England and Wales Court of Appeal (Civil Division)</x:v>
      </x:c>
      <x:c r="H1730" s="9" t="str">
        <x:v>Court of Appeal</x:v>
      </x:c>
      <x:c r="I1730" s="9" t="str">
        <x:v>England and Wales</x:v>
      </x:c>
      <x:c r="J1730" s="9" t="str">
        <x:v>Immigration Law / Administrative Law</x:v>
      </x:c>
      <x:c r="K1730" s="9" t="str">
        <x:v>-ew-cases-EWCA-Civ-2016-552.xml</x:v>
      </x:c>
      <x:c r="L1730" s="9" t="str">
        <x:v>TBA</x:v>
      </x:c>
    </x:row>
    <x:row r="1731">
      <x:c r="A1731" t="str">
        <x:v>45d2aa17-0d8c-498d-991a-896178fa6f15</x:v>
      </x:c>
      <x:c r="B1731" t="str">
        <x:v>2706c73a-24c4-4e33-a491-743484d22822</x:v>
      </x:c>
      <x:c r="C1731" s="9" t="str">
        <x:v>Kotonou v National Westminster Bank Plc [2015] EWA Civ 1106</x:v>
      </x:c>
      <x:c r="D1731" s="9" t="str"/>
      <x:c r="E1731" s="9" t="str"/>
      <x:c r="F1731" s="13" t="str">
        <x:v>2015</x:v>
      </x:c>
      <x:c r="G1731" s="9" t="str">
        <x:v>England and Wales Court of Appeal (Civil Division)</x:v>
      </x:c>
      <x:c r="H1731" s="9" t="str">
        <x:v>Appellate</x:v>
      </x:c>
      <x:c r="I1731" s="9" t="str">
        <x:v>England and Wales</x:v>
      </x:c>
      <x:c r="J1731" s="9" t="str">
        <x:v>Civil Appeal</x:v>
      </x:c>
      <x:c r="K1731" s="9" t="str">
        <x:v>-ew-cases-EWCA-Civ-2015-1106.xml</x:v>
      </x:c>
      <x:c r="L1731" s="9" t="str">
        <x:v>TBA</x:v>
      </x:c>
    </x:row>
    <x:row r="1732">
      <x:c r="A1732" t="str">
        <x:v>df1457c4-4c8e-4617-90f9-b0d797dd9fdc</x:v>
      </x:c>
      <x:c r="B1732" t="str">
        <x:v>2a1ab755-cb45-4ff2-978b-12a41375e8ae</x:v>
      </x:c>
      <x:c r="C1732" s="9" t="str">
        <x:v>Koumis v Secretary of State for Communities and Local Government [2014] EWCA Civ 1723</x:v>
      </x:c>
      <x:c r="D1732" s="9" t="str"/>
      <x:c r="E1732" s="9" t="str"/>
      <x:c r="F1732" s="13" t="str">
        <x:v>2014</x:v>
      </x:c>
      <x:c r="G1732" s="9" t="str">
        <x:v>England and Wales Court of Appeal (Civil Division)</x:v>
      </x:c>
      <x:c r="H1732" s="9" t="str">
        <x:v>appellate</x:v>
      </x:c>
      <x:c r="I1732" s="9" t="str">
        <x:v>England and Wales</x:v>
      </x:c>
      <x:c r="J1732" s="9" t="str">
        <x:v>Administrative Law</x:v>
      </x:c>
      <x:c r="K1732" s="9" t="str">
        <x:v>-ew-cases-EWCA-Civ-2014-1723.xml</x:v>
      </x:c>
      <x:c r="L1732" s="9" t="str">
        <x:v>TBA</x:v>
      </x:c>
    </x:row>
    <x:row r="1733">
      <x:c r="A1733" t="str">
        <x:v>e5413f13-5e0b-4a65-bb8a-9be0f247b60e</x:v>
      </x:c>
      <x:c r="B1733" t="str">
        <x:v>ffe19f43-7ddb-4e23-9e1b-e61233d034ae</x:v>
      </x:c>
      <x:c r="C1733" s="9" t="str">
        <x:v>Koussa v Secretary of State for the Home Department</x:v>
      </x:c>
      <x:c r="D1733" s="9" t="str"/>
      <x:c r="E1733" s="9" t="str"/>
      <x:c r="F1733" s="13" t="str">
        <x:v>2015</x:v>
      </x:c>
      <x:c r="G1733" s="9" t="str">
        <x:v>England and Wales Court of Appeal (Civil Division)</x:v>
      </x:c>
      <x:c r="H1733" s="9" t="str">
        <x:v>Appellate</x:v>
      </x:c>
      <x:c r="I1733" s="9" t="str">
        <x:v>England and Wales</x:v>
      </x:c>
      <x:c r="J1733" s="9" t="str">
        <x:v>Immigration</x:v>
      </x:c>
      <x:c r="K1733" s="9" t="str">
        <x:v>-ew-cases-EWCA-Civ-2015-618.xml</x:v>
      </x:c>
      <x:c r="L1733" s="9" t="str">
        <x:v>TBA</x:v>
      </x:c>
    </x:row>
    <x:row r="1734">
      <x:c r="A1734" t="str">
        <x:v>a8395306-7410-4722-b837-2ebee4f81ce9</x:v>
      </x:c>
      <x:c r="B1734" t="str">
        <x:v>d2dc29e9-49de-4e8b-a0a2-bccee8d2877d</x:v>
      </x:c>
      <x:c r="C1734" s="9" t="str">
        <x:v>Kovarska v Otkritie International Investment Management Ltd &amp; Ors [2017] EWCA Civ 1485</x:v>
      </x:c>
      <x:c r="D1734" s="9" t="str"/>
      <x:c r="E1734" s="9" t="str"/>
      <x:c r="F1734" s="13" t="str">
        <x:v>2017</x:v>
      </x:c>
      <x:c r="G1734" s="9" t="str">
        <x:v>England and Wales Court of Appeal (Civil Division)</x:v>
      </x:c>
      <x:c r="H1734" s="9" t="str">
        <x:v>Appellate</x:v>
      </x:c>
      <x:c r="I1734" s="9" t="str">
        <x:v>England and Wales</x:v>
      </x:c>
      <x:c r="J1734" s="9" t="str">
        <x:v>Civil Appeal</x:v>
      </x:c>
      <x:c r="K1734" s="9" t="str">
        <x:v>-ew-cases-EWCA-Civ-2017-1485.xml</x:v>
      </x:c>
      <x:c r="L1734" s="9" t="str">
        <x:v>TBA</x:v>
      </x:c>
    </x:row>
    <x:row r="1735">
      <x:c r="A1735" t="str">
        <x:v>12270194-f3e6-4fdd-b7cc-865d0634eea1</x:v>
      </x:c>
      <x:c r="B1735" t="str">
        <x:v>7f00e4e9-754d-4bf4-a514-46f7785b0232</x:v>
      </x:c>
      <x:c r="C1735" s="9" t="str">
        <x:v>Kowalek &amp; Anor v Hassanein Limited [2022] EWCA Civ 1041</x:v>
      </x:c>
      <x:c r="D1735" s="9" t="str"/>
      <x:c r="E1735" s="9" t="str"/>
      <x:c r="F1735" s="13" t="str">
        <x:v>2022</x:v>
      </x:c>
      <x:c r="G1735" s="9" t="str">
        <x:v>England and Wales Court of Appeal (Civil Division)</x:v>
      </x:c>
      <x:c r="H1735" s="9" t="str">
        <x:v>Court of Appeal (Civil Division)</x:v>
      </x:c>
      <x:c r="I1735" s="9" t="str">
        <x:v>England and Wales</x:v>
      </x:c>
      <x:c r="J1735" s="9" t="str">
        <x:v>Housing Law</x:v>
      </x:c>
      <x:c r="K1735" s="9" t="str">
        <x:v>ew-cases-EWCA-Civ-2022-1041.xml</x:v>
      </x:c>
      <x:c r="L1735" s="9" t="str">
        <x:v>TBA</x:v>
      </x:c>
    </x:row>
    <x:row r="1736">
      <x:c r="A1736" t="str">
        <x:v>1ea31df4-76bc-4fbe-821f-16e48f1a5794</x:v>
      </x:c>
      <x:c r="B1736" t="str">
        <x:v>a14d890c-d227-465b-b824-e45c23e841d3</x:v>
      </x:c>
      <x:c r="C1736" s="9" t="str">
        <x:v>Koza Ltd &amp; Anor v Akcil &amp; Ors</x:v>
      </x:c>
      <x:c r="D1736" s="9" t="str"/>
      <x:c r="E1736" s="9" t="str"/>
      <x:c r="F1736" s="13" t="str">
        <x:v>2017</x:v>
      </x:c>
      <x:c r="G1736" s="9" t="str">
        <x:v>England and Wales Court of Appeal (Civil Division)</x:v>
      </x:c>
      <x:c r="H1736" s="9" t="str">
        <x:v>Appellate</x:v>
      </x:c>
      <x:c r="I1736" s="9" t="str">
        <x:v>England and Wales</x:v>
      </x:c>
      <x:c r="J1736" s="9" t="str">
        <x:v>Corporate Law</x:v>
      </x:c>
      <x:c r="K1736" s="9" t="str">
        <x:v>-ew-cases-EWCA-Civ-2017-1609.xml</x:v>
      </x:c>
      <x:c r="L1736" s="9" t="str">
        <x:v>TBA</x:v>
      </x:c>
    </x:row>
    <x:row r="1737">
      <x:c r="A1737" t="str">
        <x:v>c7de9e1e-9edb-4215-a57a-bd72927106d9</x:v>
      </x:c>
      <x:c r="B1737" t="str">
        <x:v>f748639b-8b8f-45ae-a37a-99f8c1d8f6a9</x:v>
      </x:c>
      <x:c r="C1737" s="9" t="str">
        <x:v>Koza Ltd &amp; Anor v Koza Altin Isletmeleri AS [2022] EWCA Civ 1284 (07 October 2022)</x:v>
      </x:c>
      <x:c r="D1737" s="9" t="str"/>
      <x:c r="E1737" s="9" t="str"/>
      <x:c r="F1737" s="13" t="str">
        <x:v>2022</x:v>
      </x:c>
      <x:c r="G1737" s="9" t="str">
        <x:v>England and Wales Court of Appeal (Civil Division)</x:v>
      </x:c>
      <x:c r="H1737" s="9" t="str">
        <x:v>Court of Appeal (Civil Division)</x:v>
      </x:c>
      <x:c r="I1737" s="9" t="str">
        <x:v>England and Wales</x:v>
      </x:c>
      <x:c r="J1737" s="9" t="str">
        <x:v>Civil Appeal; Company Law; International Law; Jurisdiction and Recognition of Foreign Judgments</x:v>
      </x:c>
      <x:c r="K1737" s="9" t="str">
        <x:v>ew-cases-EWCA-Civ-2022-1284.xml</x:v>
      </x:c>
      <x:c r="L1737" s="9" t="str">
        <x:v>TBA</x:v>
      </x:c>
    </x:row>
    <x:row r="1738">
      <x:c r="A1738" t="str">
        <x:v>3d43f952-991a-494f-a7ef-1c2bc64a7f89</x:v>
      </x:c>
      <x:c r="B1738" t="str">
        <x:v>e0c1f67c-c50c-435a-ab98-1d73c65335d4</x:v>
      </x:c>
      <x:c r="C1738" s="9" t="str">
        <x:v>KP (Sri Lanka) v Secretary of State for the Home Department [2015] EWCA Civ 291</x:v>
      </x:c>
      <x:c r="D1738" s="9" t="str"/>
      <x:c r="E1738" s="9" t="str"/>
      <x:c r="F1738" s="13" t="str">
        <x:v>2016</x:v>
      </x:c>
      <x:c r="G1738" s="9" t="str">
        <x:v>England and Wales Court of Appeal (Civil Division)</x:v>
      </x:c>
      <x:c r="H1738" s="9" t="str">
        <x:v>Court of Appeal</x:v>
      </x:c>
      <x:c r="I1738" s="9" t="str">
        <x:v>England and Wales</x:v>
      </x:c>
      <x:c r="J1738" s="9" t="str">
        <x:v>Public Law / Immigration / Judicial Review</x:v>
      </x:c>
      <x:c r="K1738" s="9" t="str">
        <x:v>-ew-cases-EWCA-Civ-2016-291.xml</x:v>
      </x:c>
      <x:c r="L1738" s="9" t="str">
        <x:v>TBA</x:v>
      </x:c>
    </x:row>
    <x:row r="1739">
      <x:c r="A1739" t="str">
        <x:v>f77c49be-bc1d-4376-9ebf-761a84ca8dcf</x:v>
      </x:c>
      <x:c r="B1739" t="str">
        <x:v>c647a047-4275-4993-8783-45abb26d3d78</x:v>
      </x:c>
      <x:c r="C1739" s="9" t="str">
        <x:v>KP Turkey, R (On the Application Of) v Secretary of State for the Home Department</x:v>
      </x:c>
      <x:c r="D1739" s="9" t="str"/>
      <x:c r="E1739" s="9" t="str"/>
      <x:c r="F1739" s="13" t="str">
        <x:v>2014</x:v>
      </x:c>
      <x:c r="G1739" s="9" t="str">
        <x:v>England and Wales Court of Appeal (Civil Division)</x:v>
      </x:c>
      <x:c r="H1739" s="9" t="str">
        <x:v>Appellate</x:v>
      </x:c>
      <x:c r="I1739" s="9" t="str">
        <x:v>England and Wales</x:v>
      </x:c>
      <x:c r="J1739" s="9" t="str">
        <x:v>Administrative Law</x:v>
      </x:c>
      <x:c r="K1739" s="9" t="str">
        <x:v>-ew-cases-EWCA-Civ-2014-1109.xml</x:v>
      </x:c>
      <x:c r="L1739" s="9" t="str">
        <x:v>TBA</x:v>
      </x:c>
    </x:row>
    <x:row r="1740">
      <x:c r="A1740" t="str">
        <x:v>9495f309-6464-4679-b8c7-b8bec6716441</x:v>
      </x:c>
      <x:c r="B1740" t="str">
        <x:v>d11fa106-ef9c-4d02-bf1b-0e84debcd193</x:v>
      </x:c>
      <x:c r="C1740" s="9" t="str">
        <x:v>Krebs v NHS Commissioning Board [2014] EWCA Civ 1540</x:v>
      </x:c>
      <x:c r="D1740" s="9" t="str"/>
      <x:c r="E1740" s="9" t="str"/>
      <x:c r="F1740" s="13" t="str">
        <x:v>2014</x:v>
      </x:c>
      <x:c r="G1740" s="9" t="str">
        <x:v>England and Wales Court of Appeal (Civil Division)</x:v>
      </x:c>
      <x:c r="H1740" s="9" t="str">
        <x:v>Appellate</x:v>
      </x:c>
      <x:c r="I1740" s="9" t="str">
        <x:v>England and Wales</x:v>
      </x:c>
      <x:c r="J1740" s="9" t="str">
        <x:v>Administrative Law</x:v>
      </x:c>
      <x:c r="K1740" s="9" t="str">
        <x:v>-ew-cases-EWCA-Civ-2014-1540.xml</x:v>
      </x:c>
      <x:c r="L1740" s="9" t="str">
        <x:v>TBA</x:v>
      </x:c>
    </x:row>
    <x:row r="1741">
      <x:c r="A1741" t="str">
        <x:v>5e6ad603-2521-4a04-ab38-35e6538cf829</x:v>
      </x:c>
      <x:c r="B1741" t="str">
        <x:v>fd1ff39e-59ea-40b9-a833-2aaeeb625883</x:v>
      </x:c>
      <x:c r="C1741" s="9" t="str">
        <x:v>KS v Neath Port Talbot County Borough Council &amp; Ors</x:v>
      </x:c>
      <x:c r="D1741" s="9" t="str"/>
      <x:c r="E1741" s="9" t="str"/>
      <x:c r="F1741" s="13" t="str">
        <x:v>2014</x:v>
      </x:c>
      <x:c r="G1741" s="9" t="str">
        <x:v>England and Wales Court of Appeal (Civil Division)</x:v>
      </x:c>
      <x:c r="H1741" s="9" t="str">
        <x:v>Appellate</x:v>
      </x:c>
      <x:c r="I1741" s="9" t="str">
        <x:v>United Kingdom</x:v>
      </x:c>
      <x:c r="J1741" s="9" t="str">
        <x:v>Family Law</x:v>
      </x:c>
      <x:c r="K1741" s="9" t="str">
        <x:v>-ew-cases-EWCA-Civ-2014-941.xml</x:v>
      </x:c>
      <x:c r="L1741" s="9" t="str">
        <x:v>TBA</x:v>
      </x:c>
    </x:row>
    <x:row r="1742">
      <x:c r="A1742" t="str">
        <x:v>e7773f68-6d6a-4916-933e-1db65cf520e6</x:v>
      </x:c>
      <x:c r="B1742" t="str">
        <x:v>b5be3ede-d295-49cb-a1de-2abfe5735c7f</x:v>
      </x:c>
      <x:c r="C1742" s="9" t="str">
        <x:v>Kucherov, R (on the application of) v The Secretary of State for the Home Department [2016] EWCA Civ 791</x:v>
      </x:c>
      <x:c r="D1742" s="9" t="str"/>
      <x:c r="E1742" s="9" t="str"/>
      <x:c r="F1742" s="13" t="str">
        <x:v>2016</x:v>
      </x:c>
      <x:c r="G1742" s="9" t="str">
        <x:v>England and Wales Court of Appeal (Civil Division)</x:v>
      </x:c>
      <x:c r="H1742" s="9" t="str">
        <x:v>Court of Appeal (Civil Division)</x:v>
      </x:c>
      <x:c r="I1742" s="9" t="str">
        <x:v>England and Wales</x:v>
      </x:c>
      <x:c r="J1742" s="9" t="str">
        <x:v>Administrative Law; Immigration Law</x:v>
      </x:c>
      <x:c r="K1742" s="9" t="str">
        <x:v>-ew-cases-EWCA-Civ-2016-791.xml</x:v>
      </x:c>
      <x:c r="L1742" s="9" t="str">
        <x:v>TBA</x:v>
      </x:c>
    </x:row>
    <x:row r="1743">
      <x:c r="A1743" t="str">
        <x:v>d6a28c83-6681-47cd-a629-020194a81854</x:v>
      </x:c>
      <x:c r="B1743" t="str">
        <x:v>4d33f167-56be-4e08-9ffb-5286e2d1942e</x:v>
      </x:c>
      <x:c r="C1743" s="9" t="str">
        <x:v>Kupeli &amp; Ors v Atlasjet Havacilik Anonim Sirketi</x:v>
      </x:c>
      <x:c r="D1743" s="9" t="str"/>
      <x:c r="E1743" s="9" t="str"/>
      <x:c r="F1743" s="13" t="str">
        <x:v>2017</x:v>
      </x:c>
      <x:c r="G1743" s="9" t="str">
        <x:v>England and Wales Court of Appeal (Civil Division)</x:v>
      </x:c>
      <x:c r="H1743" s="9" t="str">
        <x:v>Appellate</x:v>
      </x:c>
      <x:c r="I1743" s="9" t="str">
        <x:v>England and Wales</x:v>
      </x:c>
      <x:c r="J1743" s="9" t="str">
        <x:v>Contract Dispute</x:v>
      </x:c>
      <x:c r="K1743" s="9" t="str">
        <x:v>-ew-cases-EWCA-Civ-2017-1037.xml</x:v>
      </x:c>
      <x:c r="L1743" s="9" t="str">
        <x:v>TBA</x:v>
      </x:c>
    </x:row>
    <x:row r="1744">
      <x:c r="A1744" t="str">
        <x:v>54a19b4d-1b90-4a85-a03e-83935d27af96</x:v>
      </x:c>
      <x:c r="B1744" t="str">
        <x:v>c7748c6c-dbbe-4947-869c-92dbc41941d2</x:v>
      </x:c>
      <x:c r="C1744" s="9" t="str">
        <x:v>Kuteh v Secretary of State for Education [2014] EWCA Civ 1586</x:v>
      </x:c>
      <x:c r="D1744" s="9" t="str"/>
      <x:c r="E1744" s="9" t="str"/>
      <x:c r="F1744" s="13" t="str">
        <x:v>2014</x:v>
      </x:c>
      <x:c r="G1744" s="9" t="str">
        <x:v>England and Wales Court of Appeal (Civil Division)</x:v>
      </x:c>
      <x:c r="H1744" s="9" t="str">
        <x:v>Appellate</x:v>
      </x:c>
      <x:c r="I1744" s="9" t="str">
        <x:v>England and Wales</x:v>
      </x:c>
      <x:c r="J1744" s="9" t="str">
        <x:v>Administrative Law</x:v>
      </x:c>
      <x:c r="K1744" s="9" t="str">
        <x:v>-ew-cases-EWCA-Civ-2014-1586.xml</x:v>
      </x:c>
      <x:c r="L1744" s="9" t="str">
        <x:v>TBA</x:v>
      </x:c>
    </x:row>
    <x:row r="1745">
      <x:c r="A1745" t="str">
        <x:v>8ba86062-a349-40c6-93a3-d3be30e469d1</x:v>
      </x:c>
      <x:c r="B1745" t="str">
        <x:v>58d08b20-69c9-47be-8f81-5be69b31e088</x:v>
      </x:c>
      <x:c r="C1745" s="9" t="str">
        <x:v>Kuznetsov v The Royal Bank of Scotland Plc</x:v>
      </x:c>
      <x:c r="D1745" s="9" t="str"/>
      <x:c r="E1745" s="9" t="str"/>
      <x:c r="F1745" s="13" t="str">
        <x:v>2017</x:v>
      </x:c>
      <x:c r="G1745" s="9" t="str">
        <x:v>England and Wales Court of Appeal (Civil Division)</x:v>
      </x:c>
      <x:c r="H1745" s="9" t="str">
        <x:v>Appellate</x:v>
      </x:c>
      <x:c r="I1745" s="9" t="str">
        <x:v>England and Wales</x:v>
      </x:c>
      <x:c r="J1745" s="9" t="str">
        <x:v>Employment Law</x:v>
      </x:c>
      <x:c r="K1745" s="9" t="str">
        <x:v>-ew-cases-EWCA-Civ-2017-43.xml</x:v>
      </x:c>
      <x:c r="L1745" s="9" t="str">
        <x:v>TBA</x:v>
      </x:c>
    </x:row>
    <x:row r="1746">
      <x:c r="A1746" t="str">
        <x:v>5ba120aa-5388-41a4-9dfa-bec4e74a5318</x:v>
      </x:c>
      <x:c r="B1746" t="str">
        <x:v>ce05fa57-bda9-4c60-b0ba-6df692f95032</x:v>
      </x:c>
      <x:c r="C1746" s="9" t="str">
        <x:v>KV (Sri Lanka) v Secretary of State for the Home Department</x:v>
      </x:c>
      <x:c r="D1746" s="9" t="str"/>
      <x:c r="E1746" s="9" t="str"/>
      <x:c r="F1746" s="13" t="str">
        <x:v>2017</x:v>
      </x:c>
      <x:c r="G1746" s="9" t="str">
        <x:v>England and Wales Court of Appeal (Civil Division)</x:v>
      </x:c>
      <x:c r="H1746" s="9" t="str">
        <x:v>Appellate</x:v>
      </x:c>
      <x:c r="I1746" s="9" t="str">
        <x:v>England and Wales</x:v>
      </x:c>
      <x:c r="J1746" s="9" t="str">
        <x:v>Immigration</x:v>
      </x:c>
      <x:c r="K1746" s="9" t="str">
        <x:v>-ew-cases-EWCA-Civ-2017-119.xml</x:v>
      </x:c>
      <x:c r="L1746" s="9" t="str">
        <x:v>TBA</x:v>
      </x:c>
    </x:row>
    <x:row r="1747">
      <x:c r="A1747" t="str">
        <x:v>4b9e3054-8531-4524-8a49-31f97e9f694c</x:v>
      </x:c>
      <x:c r="B1747" t="str">
        <x:v>d581dfa8-b119-49d8-bee9-90f379eae095</x:v>
      </x:c>
      <x:c r="C1747" s="9" t="str">
        <x:v>KW &amp; Ors v Rochdale Metropolitan Borough Council [2015] EWCA Civ 1054</x:v>
      </x:c>
      <x:c r="D1747" s="9" t="str"/>
      <x:c r="E1747" s="9" t="str"/>
      <x:c r="F1747" s="13" t="str">
        <x:v>2015</x:v>
      </x:c>
      <x:c r="G1747" s="9" t="str">
        <x:v>England and Wales Court of Appeal (Civil Division)</x:v>
      </x:c>
      <x:c r="H1747" s="9" t="str">
        <x:v>Appellate</x:v>
      </x:c>
      <x:c r="I1747" s="9" t="str">
        <x:v>England and Wales</x:v>
      </x:c>
      <x:c r="J1747" s="9" t="str">
        <x:v>Civil Rights</x:v>
      </x:c>
      <x:c r="K1747" s="9" t="str">
        <x:v>-ew-cases-EWCA-Civ-2015-1054.xml</x:v>
      </x:c>
      <x:c r="L1747" s="9" t="str">
        <x:v>TBA</x:v>
      </x:c>
    </x:row>
    <x:row r="1748">
      <x:c r="A1748" t="str">
        <x:v>36384ea4-7a6f-4ae8-9b96-f49bc6d883f8</x:v>
      </x:c>
      <x:c r="B1748" t="str">
        <x:v>de247437-7456-485f-b9d0-336b0a07d269</x:v>
      </x:c>
      <x:c r="C1748" s="9" t="str">
        <x:v>Kwok Ho Wan, Ace Decade Holdings Limited, and Dawn State Limited v UBS AG (London Branch) [2023] EWCA Civ 222</x:v>
      </x:c>
      <x:c r="D1748" s="9" t="str"/>
      <x:c r="E1748" s="9" t="str"/>
      <x:c r="F1748" s="13" t="str">
        <x:v>2023</x:v>
      </x:c>
      <x:c r="G1748" s="9" t="str">
        <x:v>England and Wales Court of Appeal (Civil Division)</x:v>
      </x:c>
      <x:c r="H1748" s="9" t="str">
        <x:v>Court of Appeal (Civil Division)</x:v>
      </x:c>
      <x:c r="I1748" s="9" t="str">
        <x:v>England and Wales</x:v>
      </x:c>
      <x:c r="J1748" s="9" t="str">
        <x:v>Private International Law / Jurisdiction</x:v>
      </x:c>
      <x:c r="K1748" s="9" t="str">
        <x:v>ew-cases-EWCA-Civ-2023-222.xml</x:v>
      </x:c>
      <x:c r="L1748" s="9" t="str">
        <x:v>TBA</x:v>
      </x:c>
    </x:row>
    <x:row r="1749">
      <x:c r="A1749" t="str">
        <x:v>890b4f00-cb93-4fe5-bc44-4e0571fd421c</x:v>
      </x:c>
      <x:c r="B1749" t="str">
        <x:v>c35d2955-5fce-4b63-9caf-1715dd35e347</x:v>
      </x:c>
      <x:c r="C1749" s="9" t="str">
        <x:v>Kynaston-Mainwaring v GVE London Limited [2022] EWCA Civ 1339</x:v>
      </x:c>
      <x:c r="D1749" s="9" t="str"/>
      <x:c r="E1749" s="9" t="str"/>
      <x:c r="F1749" s="13" t="str">
        <x:v>2022</x:v>
      </x:c>
      <x:c r="G1749" s="9" t="str">
        <x:v>England and Wales Court of Appeal (Civil Division)</x:v>
      </x:c>
      <x:c r="H1749" s="9" t="str">
        <x:v>Court of Appeal (Civil Division)</x:v>
      </x:c>
      <x:c r="I1749" s="9" t="str">
        <x:v>England and Wales</x:v>
      </x:c>
      <x:c r="J1749" s="9" t="str">
        <x:v>Contract Dispute</x:v>
      </x:c>
      <x:c r="K1749" s="9" t="str">
        <x:v>ew-cases-EWCA-Civ-2022-1339.xml</x:v>
      </x:c>
      <x:c r="L1749" s="9" t="str">
        <x:v>TBA</x:v>
      </x:c>
    </x:row>
    <x:row r="1750">
      <x:c r="A1750" t="str">
        <x:v>7c9666a6-c55a-4940-8a28-b0b8427de148</x:v>
      </x:c>
      <x:c r="B1750" t="str">
        <x:v>fcb3621c-6d5d-426f-9018-81148364a0f5</x:v>
      </x:c>
      <x:c r="C1750" s="9" t="str">
        <x:v>L (A Child) [2016] EWCA Civ 1297</x:v>
      </x:c>
      <x:c r="D1750" s="9" t="str"/>
      <x:c r="E1750" s="9" t="str"/>
      <x:c r="F1750" s="13" t="str">
        <x:v>2016</x:v>
      </x:c>
      <x:c r="G1750" s="9" t="str">
        <x:v>England and Wales Court of Appeal (Civil Division)</x:v>
      </x:c>
      <x:c r="H1750" s="9" t="str">
        <x:v>Court of Appeal (Civil Division)</x:v>
      </x:c>
      <x:c r="I1750" s="9" t="str">
        <x:v>England and Wales</x:v>
      </x:c>
      <x:c r="J1750" s="9" t="str">
        <x:v>Family Law</x:v>
      </x:c>
      <x:c r="K1750" s="9" t="str">
        <x:v>-ew-cases-EWCA-Civ-2016-1297.xml</x:v>
      </x:c>
      <x:c r="L1750" s="9" t="str">
        <x:v>TBA</x:v>
      </x:c>
    </x:row>
    <x:row r="1751">
      <x:c r="A1751" t="str">
        <x:v>37951fe2-1f11-4aa8-bf5c-a84d9d64a7be</x:v>
      </x:c>
      <x:c r="B1751" t="str">
        <x:v>bb1d6f5e-fcdc-42e5-a307-fd512834ad4f</x:v>
      </x:c>
      <x:c r="C1751" s="9" t="str">
        <x:v>L (A Child) v Oddin [2016] EWCA Civ 173</x:v>
      </x:c>
      <x:c r="D1751" s="9" t="str"/>
      <x:c r="E1751" s="9" t="str"/>
      <x:c r="F1751" s="13" t="str">
        <x:v>2016</x:v>
      </x:c>
      <x:c r="G1751" s="9" t="str">
        <x:v>England and Wales Court of Appeal (Civil Division)</x:v>
      </x:c>
      <x:c r="H1751" s="9" t="str">
        <x:v>Court of Appeal (Civil Division)</x:v>
      </x:c>
      <x:c r="I1751" s="9" t="str">
        <x:v>England and Wales</x:v>
      </x:c>
      <x:c r="J1751" s="9" t="str">
        <x:v>Family Law / Contempt of Court / Inherent Jurisdiction</x:v>
      </x:c>
      <x:c r="K1751" s="9" t="str">
        <x:v>-ew-cases-EWCA-Civ-2016-173.xml</x:v>
      </x:c>
      <x:c r="L1751" s="9" t="str">
        <x:v>TBA</x:v>
      </x:c>
    </x:row>
    <x:row r="1752">
      <x:c r="A1752" t="str">
        <x:v>75778716-5863-439d-9049-7b1847770613</x:v>
      </x:c>
      <x:c r="B1752" t="str">
        <x:v>696da091-7a9a-44ed-abd5-1ef93f7d1dc6</x:v>
      </x:c>
      <x:c r="C1752" s="9" t="str">
        <x:v>L (A Child), Re [2015] EWCA Civ 901</x:v>
      </x:c>
      <x:c r="D1752" s="9" t="str"/>
      <x:c r="E1752" s="9" t="str"/>
      <x:c r="F1752" s="13" t="str">
        <x:v>2015</x:v>
      </x:c>
      <x:c r="G1752" s="9" t="str">
        <x:v>England and Wales Court of Appeal (Civil Division)</x:v>
      </x:c>
      <x:c r="H1752" s="9" t="str">
        <x:v>Appellate</x:v>
      </x:c>
      <x:c r="I1752" s="9" t="str">
        <x:v>England and Wales</x:v>
      </x:c>
      <x:c r="J1752" s="9" t="str">
        <x:v>Family Law</x:v>
      </x:c>
      <x:c r="K1752" s="9" t="str">
        <x:v>-ew-cases-EWCA-Civ-2015-901.xml</x:v>
      </x:c>
      <x:c r="L1752" s="9" t="str">
        <x:v>TBA</x:v>
      </x:c>
    </x:row>
    <x:row r="1753">
      <x:c r="A1753" t="str">
        <x:v>13e597d2-7250-4436-987f-8610426d7567</x:v>
      </x:c>
      <x:c r="B1753" t="str">
        <x:v>35498cf4-69da-4ae4-a930-571b6be9ebb5</x:v>
      </x:c>
      <x:c r="C1753" s="9" t="str">
        <x:v>L (Child), Re [2016] EWCA Civ 821</x:v>
      </x:c>
      <x:c r="D1753" s="9" t="str"/>
      <x:c r="E1753" s="9" t="str"/>
      <x:c r="F1753" s="13" t="str">
        <x:v>2016</x:v>
      </x:c>
      <x:c r="G1753" s="9" t="str">
        <x:v>England and Wales Court of Appeal (Civil Division)</x:v>
      </x:c>
      <x:c r="H1753" s="9" t="str">
        <x:v>Court of Appeal (Civil Division)</x:v>
      </x:c>
      <x:c r="I1753" s="9" t="str">
        <x:v>England and Wales</x:v>
      </x:c>
      <x:c r="J1753" s="9" t="str">
        <x:v>Public Law / Family Law</x:v>
      </x:c>
      <x:c r="K1753" s="9" t="str">
        <x:v>-ew-cases-EWCA-Civ-2016-821.xml</x:v>
      </x:c>
      <x:c r="L1753" s="9" t="str">
        <x:v>TBA</x:v>
      </x:c>
    </x:row>
    <x:row r="1754">
      <x:c r="A1754" t="str">
        <x:v>659d63d6-8ee1-4ee3-9881-dc72833faf29</x:v>
      </x:c>
      <x:c r="B1754" t="str">
        <x:v>806ca9f4-7db5-43e0-8122-8daea068e2e3</x:v>
      </x:c>
      <x:c r="C1754" s="9" t="str">
        <x:v>L (Children), Re [2016] EWCA Civ 1110 (Court of Appeal, Civil Division) – Interim Care Order and Discharge in favour of Interim Supervision Order</x:v>
      </x:c>
      <x:c r="D1754" s="9" t="str"/>
      <x:c r="E1754" s="9" t="str"/>
      <x:c r="F1754" s="13" t="str">
        <x:v>2016</x:v>
      </x:c>
      <x:c r="G1754" s="9" t="str">
        <x:v>England and Wales Court of Appeal (Civil Division)</x:v>
      </x:c>
      <x:c r="H1754" s="9" t="str">
        <x:v>Court of Appeal (Civil Division)</x:v>
      </x:c>
      <x:c r="I1754" s="9" t="str">
        <x:v>England and Wales</x:v>
      </x:c>
      <x:c r="J1754" s="9" t="str">
        <x:v>Family Law</x:v>
      </x:c>
      <x:c r="K1754" s="9" t="str">
        <x:v>-ew-cases-EWCA-Civ-2016-1110.xml</x:v>
      </x:c>
      <x:c r="L1754" s="9" t="str">
        <x:v>TBA</x:v>
      </x:c>
    </x:row>
    <x:row r="1755">
      <x:c r="A1755" t="str">
        <x:v>57610064-c81c-4f7b-a6fd-90e3547dac86</x:v>
      </x:c>
      <x:c r="B1755" t="str">
        <x:v>d3c2d326-eb5c-4547-8ec8-0e0dad4dcc71</x:v>
      </x:c>
      <x:c r="C1755" s="9" t="str">
        <x:v>L (Children), Re [2016] EWCA Civ 871</x:v>
      </x:c>
      <x:c r="D1755" s="9" t="str"/>
      <x:c r="E1755" s="9" t="str"/>
      <x:c r="F1755" s="13" t="str">
        <x:v>2016</x:v>
      </x:c>
      <x:c r="G1755" s="9" t="str">
        <x:v>England and Wales Court of Appeal (Civil Division)</x:v>
      </x:c>
      <x:c r="H1755" s="9" t="str">
        <x:v>Court of Appeal (Civil Division)</x:v>
      </x:c>
      <x:c r="I1755" s="9" t="str">
        <x:v>England and Wales</x:v>
      </x:c>
      <x:c r="J1755" s="9" t="str">
        <x:v>Family Law / Care Proceedings / Special Guardianship</x:v>
      </x:c>
      <x:c r="K1755" s="9" t="str">
        <x:v>-ew-cases-EWCA-Civ-2016-871.xml</x:v>
      </x:c>
      <x:c r="L1755" s="9" t="str">
        <x:v>TBA</x:v>
      </x:c>
    </x:row>
    <x:row r="1756">
      <x:c r="A1756" t="str">
        <x:v>8a68d9a9-6861-469b-a868-34a68765e1ba</x:v>
      </x:c>
      <x:c r="B1756" t="str">
        <x:v>9d951685-a846-4961-ad37-c8fe827c1c34</x:v>
      </x:c>
      <x:c r="C1756" s="9" t="str">
        <x:v>L (Children), Re [2017] EWCA Civ 2173 - Appeal Against Adoption Orders</x:v>
      </x:c>
      <x:c r="D1756" s="9" t="str"/>
      <x:c r="E1756" s="9" t="str"/>
      <x:c r="F1756" s="13" t="str">
        <x:v>2017</x:v>
      </x:c>
      <x:c r="G1756" s="9" t="str">
        <x:v>England and Wales Court of Appeal (Civil Division)</x:v>
      </x:c>
      <x:c r="H1756" s="9" t="str">
        <x:v>Appellate</x:v>
      </x:c>
      <x:c r="I1756" s="9" t="str">
        <x:v>England and Wales</x:v>
      </x:c>
      <x:c r="J1756" s="9" t="str">
        <x:v>Adoption Law</x:v>
      </x:c>
      <x:c r="K1756" s="9" t="str">
        <x:v>-ew-cases-EWCA-Civ-2017-2173.xml</x:v>
      </x:c>
      <x:c r="L1756" s="9" t="str">
        <x:v>TBA</x:v>
      </x:c>
    </x:row>
    <x:row r="1757">
      <x:c r="A1757" t="str">
        <x:v>15af2409-de1f-420b-8198-914e02261294</x:v>
      </x:c>
      <x:c r="B1757" t="str">
        <x:v>6e12a695-fdee-4a4f-8f91-9709ac7254a9</x:v>
      </x:c>
      <x:c r="C1757" s="9" t="str">
        <x:v>L (Fact-Finding Hearing: Fairness) [2022] EWCA Civ 169</x:v>
      </x:c>
      <x:c r="D1757" s="9" t="str"/>
      <x:c r="E1757" s="9" t="str"/>
      <x:c r="F1757" s="13" t="str">
        <x:v>2022</x:v>
      </x:c>
      <x:c r="G1757" s="9" t="str">
        <x:v>England and Wales Court of Appeal (Civil Division)</x:v>
      </x:c>
      <x:c r="H1757" s="9" t="str">
        <x:v>Court of Appeal (Civil Division)</x:v>
      </x:c>
      <x:c r="I1757" s="9" t="str">
        <x:v>England and Wales</x:v>
      </x:c>
      <x:c r="J1757" s="9" t="str">
        <x:v>Family Law - Public Law / Care Proceedings</x:v>
      </x:c>
      <x:c r="K1757" s="9" t="str">
        <x:v>ew-cases-EWCA-Civ-2022-169.xml</x:v>
      </x:c>
      <x:c r="L1757" s="9" t="str">
        <x:v>TBA</x:v>
      </x:c>
    </x:row>
    <x:row r="1758">
      <x:c r="A1758" t="str">
        <x:v>aa07b86b-d29f-4c50-a15c-d439897dba96</x:v>
      </x:c>
      <x:c r="B1758" t="str">
        <x:v>890f7358-25f2-4b8a-810a-1740aa0be7bb</x:v>
      </x:c>
      <x:c r="C1758" s="9" t="str">
        <x:v>L v F [2017] EWCA Civ 2121 - Second Appeal on Child Relocation</x:v>
      </x:c>
      <x:c r="D1758" s="9" t="str"/>
      <x:c r="E1758" s="9" t="str"/>
      <x:c r="F1758" s="13" t="str">
        <x:v>2017</x:v>
      </x:c>
      <x:c r="G1758" s="9" t="str">
        <x:v>England and Wales Court of Appeal (Civil Division)</x:v>
      </x:c>
      <x:c r="H1758" s="9" t="str">
        <x:v>Appellate</x:v>
      </x:c>
      <x:c r="I1758" s="9" t="str">
        <x:v>England and Wales</x:v>
      </x:c>
      <x:c r="J1758" s="9" t="str">
        <x:v>Family Law</x:v>
      </x:c>
      <x:c r="K1758" s="9" t="str">
        <x:v>-ew-cases-EWCA-Civ-2017-2121.xml</x:v>
      </x:c>
      <x:c r="L1758" s="9" t="str">
        <x:v>TBA</x:v>
      </x:c>
    </x:row>
    <x:row r="1759">
      <x:c r="A1759" t="str">
        <x:v>1d2c6259-2810-4a65-81cc-7d67637883b3</x:v>
      </x:c>
      <x:c r="B1759" t="str">
        <x:v>42f687db-87bf-470c-a958-775b88a74982</x:v>
      </x:c>
      <x:c r="C1759" s="9" t="str">
        <x:v>L-S (A Child) [2017] EWCA Civ 2177 - Hague Convention Case on Child Abduction</x:v>
      </x:c>
      <x:c r="D1759" s="9" t="str"/>
      <x:c r="E1759" s="9" t="str"/>
      <x:c r="F1759" s="13" t="str">
        <x:v>2017</x:v>
      </x:c>
      <x:c r="G1759" s="9" t="str">
        <x:v>England and Wales Court of Appeal (Civil Division)</x:v>
      </x:c>
      <x:c r="H1759" s="9" t="str">
        <x:v>Appellate</x:v>
      </x:c>
      <x:c r="I1759" s="9" t="str">
        <x:v>England and Wales</x:v>
      </x:c>
      <x:c r="J1759" s="9" t="str">
        <x:v>International Child Abduction</x:v>
      </x:c>
      <x:c r="K1759" s="9" t="str">
        <x:v>-ew-cases-EWCA-Civ-2017-2177.xml</x:v>
      </x:c>
      <x:c r="L1759" s="9" t="str">
        <x:v>TBA</x:v>
      </x:c>
    </x:row>
    <x:row r="1760">
      <x:c r="A1760" t="str">
        <x:v>8c8de6e1-6101-44fa-85b5-82faf58d202a</x:v>
      </x:c>
      <x:c r="B1760" t="str">
        <x:v>e89ccd9c-7d84-49ce-8b1d-ba822ec73e0a</x:v>
      </x:c>
      <x:c r="C1760" s="9" t="str">
        <x:v>L-S (Child) [2017] EWCA Civ 1551</x:v>
      </x:c>
      <x:c r="D1760" s="9" t="str"/>
      <x:c r="E1760" s="9" t="str"/>
      <x:c r="F1760" s="13" t="str">
        <x:v>2017</x:v>
      </x:c>
      <x:c r="G1760" s="9" t="str">
        <x:v>England and Wales Court of Appeal (Civil Division)</x:v>
      </x:c>
      <x:c r="H1760" s="9" t="str">
        <x:v>Appellate</x:v>
      </x:c>
      <x:c r="I1760" s="9" t="str">
        <x:v>England and Wales</x:v>
      </x:c>
      <x:c r="J1760" s="9" t="str">
        <x:v>Family Law</x:v>
      </x:c>
      <x:c r="K1760" s="9" t="str">
        <x:v>-ew-cases-EWCA-Civ-2017-1551.xml</x:v>
      </x:c>
      <x:c r="L1760" s="9" t="str">
        <x:v>TBA</x:v>
      </x:c>
    </x:row>
    <x:row r="1761">
      <x:c r="A1761" t="str">
        <x:v>cc211859-9a6d-43d9-81b9-8641daafdc93</x:v>
      </x:c>
      <x:c r="B1761" t="str">
        <x:v>5ea3b79d-c9aa-4e92-9b91-f2bdd2a392cc</x:v>
      </x:c>
      <x:c r="C1761" s="9" t="str">
        <x:v>L, M and P v Devon County Council [2021] EWCA Civ 358</x:v>
      </x:c>
      <x:c r="D1761" s="9" t="str"/>
      <x:c r="E1761" s="9" t="str"/>
      <x:c r="F1761" s="13" t="str">
        <x:v>2021</x:v>
      </x:c>
      <x:c r="G1761" s="9" t="str">
        <x:v>England and Wales Court of Appeal (Civil Division)</x:v>
      </x:c>
      <x:c r="H1761" s="9" t="str">
        <x:v>Appellate</x:v>
      </x:c>
      <x:c r="I1761" s="9" t="str">
        <x:v>England and Wales</x:v>
      </x:c>
      <x:c r="J1761" s="9" t="str">
        <x:v>Judicial Review</x:v>
      </x:c>
      <x:c r="K1761" s="9" t="str">
        <x:v>ew-cases-EWCA-Civ-2021-358.xml</x:v>
      </x:c>
      <x:c r="L1761" s="9" t="str">
        <x:v>TBA</x:v>
      </x:c>
    </x:row>
    <x:row r="1762">
      <x:c r="A1762" t="str">
        <x:v>03b8669a-176d-4eaa-a8ed-b3fff014f7f6</x:v>
      </x:c>
      <x:c r="B1762" t="str">
        <x:v>9e4944df-5305-4cc2-bb57-6b32aa880969</x:v>
      </x:c>
      <x:c r="C1762" s="9" t="str">
        <x:v>L, R (On the Application Of) v West London Mental Health NHS Trust &amp; Anor [2014] EWCA Civ 47</x:v>
      </x:c>
      <x:c r="D1762" s="9" t="str"/>
      <x:c r="E1762" s="9" t="str"/>
      <x:c r="F1762" s="13" t="str">
        <x:v>2014</x:v>
      </x:c>
      <x:c r="G1762" s="9" t="str">
        <x:v>England and Wales Court of Appeal (Civil Division)</x:v>
      </x:c>
      <x:c r="H1762" s="9" t="str">
        <x:v>Appellate</x:v>
      </x:c>
      <x:c r="I1762" s="9" t="str">
        <x:v>England and Wales</x:v>
      </x:c>
      <x:c r="J1762" s="9" t="str">
        <x:v>Administrative Law</x:v>
      </x:c>
      <x:c r="K1762" s="9" t="str">
        <x:v>-ew-cases-EWCA-Civ-2014-47.xml</x:v>
      </x:c>
      <x:c r="L1762" s="9" t="str">
        <x:v>TBA</x:v>
      </x:c>
    </x:row>
    <x:row r="1763">
      <x:c r="A1763" t="str">
        <x:v>84607da8-b136-4f95-b725-2983f17c6b34</x:v>
      </x:c>
      <x:c r="B1763" t="str">
        <x:v>3ab863a1-9c79-4b43-836e-4497f7b24151</x:v>
      </x:c>
      <x:c r="C1763" s="9" t="str">
        <x:v>L3 v Secretary of State for the Home Department [2022] EWCA Civ 1357</x:v>
      </x:c>
      <x:c r="D1763" s="9" t="str"/>
      <x:c r="E1763" s="9" t="str"/>
      <x:c r="F1763" s="13" t="str">
        <x:v>2022</x:v>
      </x:c>
      <x:c r="G1763" s="9" t="str">
        <x:v>England and Wales Court of Appeal (Civil Division)</x:v>
      </x:c>
      <x:c r="H1763" s="9" t="str">
        <x:v>Court of Appeal (Civil Division)</x:v>
      </x:c>
      <x:c r="I1763" s="9" t="str">
        <x:v>England and Wales</x:v>
      </x:c>
      <x:c r="J1763" s="9" t="str">
        <x:v>Administrative Law / Immigration</x:v>
      </x:c>
      <x:c r="K1763" s="9" t="str">
        <x:v>ew-cases-EWCA-Civ-2022-1357.xml</x:v>
      </x:c>
      <x:c r="L1763" s="9" t="str">
        <x:v>TBA</x:v>
      </x:c>
    </x:row>
    <x:row r="1764">
      <x:c r="A1764" t="str">
        <x:v>f4a6cf75-2a8f-4d06-aea2-dfba7468dea7</x:v>
      </x:c>
      <x:c r="B1764" t="str">
        <x:v>f8bc1798-6bf6-41d8-89a8-5968886034d8</x:v>
      </x:c>
      <x:c r="C1764" s="9" t="str">
        <x:v>La Micro Group (UK) Ltd &amp; Anor v La Micro Group, Inc &amp; Ors</x:v>
      </x:c>
      <x:c r="D1764" s="9" t="str"/>
      <x:c r="E1764" s="9" t="str"/>
      <x:c r="F1764" s="13" t="str">
        <x:v>2021</x:v>
      </x:c>
      <x:c r="G1764" s="9" t="str">
        <x:v>England and Wales Court of Appeal (Civil Division)</x:v>
      </x:c>
      <x:c r="H1764" s="9" t="str">
        <x:v>Appellate</x:v>
      </x:c>
      <x:c r="I1764" s="9" t="str">
        <x:v>England and Wales</x:v>
      </x:c>
      <x:c r="J1764" s="9" t="str">
        <x:v>Business and Property Dispute</x:v>
      </x:c>
      <x:c r="K1764" s="9" t="str">
        <x:v>ew-cases-EWCA-Civ-2021-1429.xml</x:v>
      </x:c>
      <x:c r="L1764" s="9" t="str">
        <x:v>TBA</x:v>
      </x:c>
    </x:row>
    <x:row r="1765">
      <x:c r="A1765" t="str">
        <x:v>7602ce23-97f1-4faf-aecf-940da058561b</x:v>
      </x:c>
      <x:c r="B1765" t="str">
        <x:v>ed5e814e-0ed9-4e63-9834-59d2f14c0726</x:v>
      </x:c>
      <x:c r="C1765" s="9" t="str">
        <x:v>LA Micro Group (UK) Ltd &amp; Anor v LA Micro Group, Inc &amp; Ors [2023] EWCA Civ 214 (28 February 2023)</x:v>
      </x:c>
      <x:c r="D1765" s="9" t="str"/>
      <x:c r="E1765" s="9" t="str"/>
      <x:c r="F1765" s="13" t="str">
        <x:v>2023</x:v>
      </x:c>
      <x:c r="G1765" s="9" t="str">
        <x:v>England and Wales Court of Appeal (Civil Division)</x:v>
      </x:c>
      <x:c r="H1765" s="9" t="str">
        <x:v>Court of Appeal (Civil Division)</x:v>
      </x:c>
      <x:c r="I1765" s="9" t="str">
        <x:v>England and Wales</x:v>
      </x:c>
      <x:c r="J1765" s="9" t="str">
        <x:v>Property/Trusts; Corporate/share ownership dispute; Equity and contract</x:v>
      </x:c>
      <x:c r="K1765" s="9" t="str">
        <x:v>ew-cases-EWCA-Civ-2023-214.xml</x:v>
      </x:c>
      <x:c r="L1765" s="9" t="str">
        <x:v>TBA</x:v>
      </x:c>
    </x:row>
    <x:row r="1766">
      <x:c r="A1766" t="str">
        <x:v>797bc68d-d60b-46f7-9750-8649b4ead12c</x:v>
      </x:c>
      <x:c r="B1766" t="str">
        <x:v>560e2cff-cd1c-42fb-b6d9-a4f27a9d31a4</x:v>
      </x:c>
      <x:c r="C1766" s="9" t="str">
        <x:v>Lachaux v Independent Print Limited: Defamation Test for Serious Harm</x:v>
      </x:c>
      <x:c r="D1766" s="9" t="str"/>
      <x:c r="E1766" s="9" t="str"/>
      <x:c r="F1766" s="13" t="str">
        <x:v>2017</x:v>
      </x:c>
      <x:c r="G1766" s="9" t="str">
        <x:v>England and Wales Court of Appeal (Civil Division)</x:v>
      </x:c>
      <x:c r="H1766" s="9" t="str">
        <x:v>appellate</x:v>
      </x:c>
      <x:c r="I1766" s="9" t="str">
        <x:v>England and Wales</x:v>
      </x:c>
      <x:c r="J1766" s="9" t="str">
        <x:v>Defamation</x:v>
      </x:c>
      <x:c r="K1766" s="9" t="str">
        <x:v>-ew-cases-EWCA-Civ-2017-1334.xml</x:v>
      </x:c>
      <x:c r="L1766" s="9" t="str">
        <x:v>TBA</x:v>
      </x:c>
    </x:row>
    <x:row r="1767">
      <x:c r="A1767" t="str">
        <x:v>6a90a464-2357-4f1a-8db8-a7466c7ff4d5</x:v>
      </x:c>
      <x:c r="B1767" t="str">
        <x:v>f58278cd-9171-4c14-bee7-3b26c30b08ec</x:v>
      </x:c>
      <x:c r="C1767" s="9" t="str">
        <x:v>Lachaux v Independent Print Ltd [2017] EWCA Civ 1327</x:v>
      </x:c>
      <x:c r="D1767" s="9" t="str"/>
      <x:c r="E1767" s="9" t="str"/>
      <x:c r="F1767" s="13" t="str">
        <x:v>2017</x:v>
      </x:c>
      <x:c r="G1767" s="9" t="str">
        <x:v>England and Wales Court of Appeal (Civil Division)</x:v>
      </x:c>
      <x:c r="H1767" s="9" t="str">
        <x:v>appellate</x:v>
      </x:c>
      <x:c r="I1767" s="9" t="str">
        <x:v>England and Wales</x:v>
      </x:c>
      <x:c r="J1767" s="9" t="str">
        <x:v>Tort</x:v>
      </x:c>
      <x:c r="K1767" s="9" t="str">
        <x:v>-ew-cases-EWCA-Civ-2017-1327.xml</x:v>
      </x:c>
      <x:c r="L1767" s="9" t="str">
        <x:v>TBA</x:v>
      </x:c>
    </x:row>
    <x:row r="1768">
      <x:c r="A1768" t="str">
        <x:v>f98bb3e5-e538-4bf6-b20a-ac0199d05584</x:v>
      </x:c>
      <x:c r="B1768" t="str">
        <x:v>43c32b26-6e77-4e2f-9e72-afe9f24f64d0</x:v>
      </x:c>
      <x:c r="C1768" s="9" t="str">
        <x:v>Laci v Secretary of State for the Home Department</x:v>
      </x:c>
      <x:c r="D1768" s="9" t="str"/>
      <x:c r="E1768" s="9" t="str"/>
      <x:c r="F1768" s="13" t="str">
        <x:v>2021</x:v>
      </x:c>
      <x:c r="G1768" s="9" t="str">
        <x:v>England and Wales Court of Appeal (Civil Division)</x:v>
      </x:c>
      <x:c r="H1768" s="9" t="str">
        <x:v>Appellate</x:v>
      </x:c>
      <x:c r="I1768" s="9" t="str">
        <x:v>England and Wales</x:v>
      </x:c>
      <x:c r="J1768" s="9" t="str">
        <x:v>Immigration Law</x:v>
      </x:c>
      <x:c r="K1768" s="9" t="str">
        <x:v>ew-cases-EWCA-Civ-2021-769.xml</x:v>
      </x:c>
      <x:c r="L1768" s="9" t="str">
        <x:v>TBA</x:v>
      </x:c>
    </x:row>
    <x:row r="1769">
      <x:c r="A1769" t="str">
        <x:v>6b01e25c-e7b1-4ab4-be0a-8a77ec29fa3a</x:v>
      </x:c>
      <x:c r="B1769" t="str">
        <x:v>8facda75-653c-4200-b172-498d6a3d7ae6</x:v>
      </x:c>
      <x:c r="C1769" s="9" t="str">
        <x:v>Lakatamia Shipping Company Ltd &amp; Ors v Su &amp; Ors [2021] EWCA Civ 1187</x:v>
      </x:c>
      <x:c r="D1769" s="9" t="str"/>
      <x:c r="E1769" s="9" t="str"/>
      <x:c r="F1769" s="13" t="str">
        <x:v>2021</x:v>
      </x:c>
      <x:c r="G1769" s="9" t="str">
        <x:v>England and Wales Court of Appeal (Civil Division)</x:v>
      </x:c>
      <x:c r="H1769" s="9" t="str">
        <x:v>appellate</x:v>
      </x:c>
      <x:c r="I1769" s="9" t="str">
        <x:v>England and Wales</x:v>
      </x:c>
      <x:c r="J1769" s="9" t="str">
        <x:v>Contempt of Court</x:v>
      </x:c>
      <x:c r="K1769" s="9" t="str">
        <x:v>ew-cases-EWCA-Civ-2021-1187.xml</x:v>
      </x:c>
      <x:c r="L1769" s="9" t="str">
        <x:v>TBA</x:v>
      </x:c>
    </x:row>
    <x:row r="1770">
      <x:c r="A1770" t="str">
        <x:v>c8275a48-63b0-4f5b-8a51-6e4ab5549b53</x:v>
      </x:c>
      <x:c r="B1770" t="str">
        <x:v>9ed31496-a01c-47b5-b716-821d5b55d97f</x:v>
      </x:c>
      <x:c r="C1770" s="9" t="str">
        <x:v>Lakatamia Shipping Company Ltd v Su &amp; Ors: Appeal Against Modification of Freezing Order</x:v>
      </x:c>
      <x:c r="D1770" s="9" t="str"/>
      <x:c r="E1770" s="9" t="str"/>
      <x:c r="F1770" s="13" t="str">
        <x:v>2014</x:v>
      </x:c>
      <x:c r="G1770" s="9" t="str">
        <x:v>England and Wales Court of Appeal (Civil Division)</x:v>
      </x:c>
      <x:c r="H1770" s="9" t="str">
        <x:v>Appellate</x:v>
      </x:c>
      <x:c r="I1770" s="9" t="str">
        <x:v>England and Wales</x:v>
      </x:c>
      <x:c r="J1770" s="9" t="str">
        <x:v>Civil Procedure</x:v>
      </x:c>
      <x:c r="K1770" s="9" t="str">
        <x:v>-ew-cases-EWCA-Civ-2014-636.xml</x:v>
      </x:c>
      <x:c r="L1770" s="9" t="str">
        <x:v>TBA</x:v>
      </x:c>
    </x:row>
    <x:row r="1771">
      <x:c r="A1771" t="str">
        <x:v>53f6108d-da7e-4ee4-9358-ecf2e10aaba4</x:v>
      </x:c>
      <x:c r="B1771" t="str">
        <x:v>c77a4abc-6f17-4643-b6c6-67d4dee0a1d4</x:v>
      </x:c>
      <x:c r="C1771" s="9" t="str">
        <x:v>Lakin v Lawrence &amp; Anor [2015] EWCA Civ 272</x:v>
      </x:c>
      <x:c r="D1771" s="9" t="str"/>
      <x:c r="E1771" s="9" t="str"/>
      <x:c r="F1771" s="13" t="str">
        <x:v>2015</x:v>
      </x:c>
      <x:c r="G1771" s="9" t="str">
        <x:v>England and Wales Court of Appeal (Civil Division)</x:v>
      </x:c>
      <x:c r="H1771" s="9" t="str">
        <x:v>Appellate</x:v>
      </x:c>
      <x:c r="I1771" s="9" t="str">
        <x:v>England and Wales</x:v>
      </x:c>
      <x:c r="J1771" s="9" t="str">
        <x:v>Tort</x:v>
      </x:c>
      <x:c r="K1771" s="9" t="str">
        <x:v>-ew-cases-EWCA-Civ-2015-272.xml</x:v>
      </x:c>
      <x:c r="L1771" s="9" t="str">
        <x:v>TBA</x:v>
      </x:c>
    </x:row>
    <x:row r="1772">
      <x:c r="A1772" t="str">
        <x:v>d11cc007-4ca6-41a9-990f-07d7f2782e21</x:v>
      </x:c>
      <x:c r="B1772" t="str">
        <x:v>c1a375d6-d040-4234-84e3-513b690b1f02</x:v>
      </x:c>
      <x:c r="C1772" s="9" t="str">
        <x:v>Lancashire Constabulary v Wilson &amp; Anor [2015] EWCA Civ 907</x:v>
      </x:c>
      <x:c r="D1772" s="9" t="str"/>
      <x:c r="E1772" s="9" t="str"/>
      <x:c r="F1772" s="13" t="str">
        <x:v>2015</x:v>
      </x:c>
      <x:c r="G1772" s="9" t="str">
        <x:v>England and Wales Court of Appeal (Civil Division)</x:v>
      </x:c>
      <x:c r="H1772" s="9" t="str">
        <x:v>Appellate</x:v>
      </x:c>
      <x:c r="I1772" s="9" t="str">
        <x:v>England and Wales</x:v>
      </x:c>
      <x:c r="J1772" s="9" t="str">
        <x:v>Administrative Law</x:v>
      </x:c>
      <x:c r="K1772" s="9" t="str">
        <x:v>-ew-cases-EWCA-Civ-2015-907.xml</x:v>
      </x:c>
      <x:c r="L1772" s="9" t="str">
        <x:v>TBA</x:v>
      </x:c>
    </x:row>
    <x:row r="1773">
      <x:c r="A1773" t="str">
        <x:v>557897fd-4958-41c3-a9d9-e83b41ea789d</x:v>
      </x:c>
      <x:c r="B1773" t="str">
        <x:v>46a37196-4d76-45b8-bbe2-7c9ca8f38f3b</x:v>
      </x:c>
      <x:c r="C1773" s="9" t="str">
        <x:v>Landau v The Big Bus Company Ltd &amp; Anor [2014] EWCA Civ 1102</x:v>
      </x:c>
      <x:c r="D1773" s="9" t="str"/>
      <x:c r="E1773" s="9" t="str"/>
      <x:c r="F1773" s="13" t="str">
        <x:v>2014</x:v>
      </x:c>
      <x:c r="G1773" s="9" t="str">
        <x:v>England and Wales Court of Appeal (Civil Division)</x:v>
      </x:c>
      <x:c r="H1773" s="9" t="str">
        <x:v>Appellate</x:v>
      </x:c>
      <x:c r="I1773" s="9" t="str">
        <x:v>England and Wales</x:v>
      </x:c>
      <x:c r="J1773" s="9" t="str">
        <x:v>Tort</x:v>
      </x:c>
      <x:c r="K1773" s="9" t="str">
        <x:v>-ew-cases-EWCA-Civ-2014-1102.xml</x:v>
      </x:c>
      <x:c r="L1773" s="9" t="str">
        <x:v>TBA</x:v>
      </x:c>
    </x:row>
    <x:row r="1774">
      <x:c r="A1774" t="str">
        <x:v>ad6f4953-f93e-46a1-8f9c-e420187881d5</x:v>
      </x:c>
      <x:c r="B1774" t="str">
        <x:v>18d1bbac-8bcd-4fbc-86a6-c88f150b10c4</x:v>
      </x:c>
      <x:c r="C1774" s="9" t="str">
        <x:v>Lankester &amp; Son Ltd v Rennie [2014] EWCA Civ 1515</x:v>
      </x:c>
      <x:c r="D1774" s="9" t="str"/>
      <x:c r="E1774" s="9" t="str"/>
      <x:c r="F1774" s="13" t="str">
        <x:v>2014</x:v>
      </x:c>
      <x:c r="G1774" s="9" t="str">
        <x:v>England and Wales Court of Appeal (Civil Division)</x:v>
      </x:c>
      <x:c r="H1774" s="9" t="str">
        <x:v>appellate</x:v>
      </x:c>
      <x:c r="I1774" s="9" t="str">
        <x:v>England and Wales</x:v>
      </x:c>
      <x:c r="J1774" s="9" t="str">
        <x:v>Contract Dispute</x:v>
      </x:c>
      <x:c r="K1774" s="9" t="str">
        <x:v>-ew-cases-EWCA-Civ-2014-1515.xml</x:v>
      </x:c>
      <x:c r="L1774" s="9" t="str">
        <x:v>TBA</x:v>
      </x:c>
    </x:row>
    <x:row r="1775">
      <x:c r="A1775" t="str">
        <x:v>d089e623-9dad-4b3d-8ad7-9758bde51c42</x:v>
      </x:c>
      <x:c r="B1775" t="str">
        <x:v>58d309a1-b692-4f6d-a5a0-a9bbe8238c79</x:v>
      </x:c>
      <x:c r="C1775" s="9" t="str">
        <x:v>Lanner Parish Council, R (on the application of) v The Cornwall Council &amp; Anor [2013] EWCA Civ 1290</x:v>
      </x:c>
      <x:c r="D1775" s="9" t="str"/>
      <x:c r="E1775" s="9" t="str"/>
      <x:c r="F1775" s="13" t="str">
        <x:v>2013</x:v>
      </x:c>
      <x:c r="G1775" s="9" t="str">
        <x:v>England and Wales Court of Appeal (Civil Division)</x:v>
      </x:c>
      <x:c r="H1775" s="9" t="str">
        <x:v>Appellate</x:v>
      </x:c>
      <x:c r="I1775" s="9" t="str">
        <x:v>England and Wales</x:v>
      </x:c>
      <x:c r="J1775" s="9" t="str">
        <x:v>Planning Law</x:v>
      </x:c>
      <x:c r="K1775" s="9" t="str">
        <x:v>PT_EWCA-Civ_2013_1290.xml</x:v>
      </x:c>
      <x:c r="L1775" s="9" t="str">
        <x:v>TBA</x:v>
      </x:c>
    </x:row>
    <x:row r="1776">
      <x:c r="A1776" t="str">
        <x:v>b9d14a77-9f97-4c73-9eb7-f4373fbd045c</x:v>
      </x:c>
      <x:c r="B1776" t="str">
        <x:v>40aa1e06-971b-4b86-b547-1b2f56589c97</x:v>
      </x:c>
      <x:c r="C1776" s="9" t="str">
        <x:v>Lantana Ltd v The Comptroller General of Patents, Design and Trade Marks</x:v>
      </x:c>
      <x:c r="D1776" s="9" t="str"/>
      <x:c r="E1776" s="9" t="str"/>
      <x:c r="F1776" s="13" t="str">
        <x:v>2014</x:v>
      </x:c>
      <x:c r="G1776" s="9" t="str">
        <x:v>England and Wales Court of Appeal (Civil Division)</x:v>
      </x:c>
      <x:c r="H1776" s="9" t="str">
        <x:v>Appellate</x:v>
      </x:c>
      <x:c r="I1776" s="9" t="str">
        <x:v>England and Wales</x:v>
      </x:c>
      <x:c r="J1776" s="9" t="str">
        <x:v>Intellectual Property</x:v>
      </x:c>
      <x:c r="K1776" s="9" t="str">
        <x:v>-ew-cases-EWCA-Civ-2014-1463.xml</x:v>
      </x:c>
      <x:c r="L1776" s="9" t="str">
        <x:v>TBA</x:v>
      </x:c>
    </x:row>
    <x:row r="1777">
      <x:c r="A1777" t="str">
        <x:v>9a194aee-2026-4a14-921a-d83c327b630e</x:v>
      </x:c>
      <x:c r="B1777" t="str">
        <x:v>7174bd3b-4d42-4c75-9c5b-811522e2240f</x:v>
      </x:c>
      <x:c r="C1777" s="9" t="str">
        <x:v>Large v Hart &amp; Anor [2021] EWCA Civ 24</x:v>
      </x:c>
      <x:c r="D1777" s="9" t="str"/>
      <x:c r="E1777" s="9" t="str"/>
      <x:c r="F1777" s="13" t="str">
        <x:v>2021</x:v>
      </x:c>
      <x:c r="G1777" s="9" t="str">
        <x:v>England and Wales Court of Appeal (Civil Division)</x:v>
      </x:c>
      <x:c r="H1777" s="9" t="str">
        <x:v>Appellate</x:v>
      </x:c>
      <x:c r="I1777" s="9" t="str">
        <x:v>England and Wales</x:v>
      </x:c>
      <x:c r="J1777" s="9" t="str">
        <x:v>Tort</x:v>
      </x:c>
      <x:c r="K1777" s="9" t="str">
        <x:v>ew-cases-EWCA-Civ-2021-24.xml</x:v>
      </x:c>
      <x:c r="L1777" s="9" t="str">
        <x:v>TBA</x:v>
      </x:c>
    </x:row>
    <x:row r="1778">
      <x:c r="A1778" t="str">
        <x:v>95f4ff4d-5b04-46dd-b03a-546e3fe865db</x:v>
      </x:c>
      <x:c r="B1778" t="str">
        <x:v>fc5c5a5a-9c2c-448e-a9fe-8d3b81c09a1b</x:v>
      </x:c>
      <x:c r="C1778" s="9" t="str">
        <x:v>Larkfleet Homes Ltd (R) v Rutland County Council &amp; Ors</x:v>
      </x:c>
      <x:c r="D1778" s="9" t="str"/>
      <x:c r="E1778" s="9" t="str"/>
      <x:c r="F1778" s="13" t="str">
        <x:v>2015</x:v>
      </x:c>
      <x:c r="G1778" s="9" t="str">
        <x:v>England and Wales Court of Appeal (Civil Division)</x:v>
      </x:c>
      <x:c r="H1778" s="9" t="str">
        <x:v>Appellate</x:v>
      </x:c>
      <x:c r="I1778" s="9" t="str">
        <x:v>England and Wales</x:v>
      </x:c>
      <x:c r="J1778" s="9" t="str">
        <x:v>Administrative Law / Planning Law</x:v>
      </x:c>
      <x:c r="K1778" s="9" t="str">
        <x:v>-ew-cases-EWCA-Civ-2015-597.xml</x:v>
      </x:c>
      <x:c r="L1778" s="9" t="str">
        <x:v>TBA</x:v>
      </x:c>
    </x:row>
    <x:row r="1779">
      <x:c r="A1779" t="str">
        <x:v>b3b0ad30-2b66-4a9b-8f04-e43995030c39</x:v>
      </x:c>
      <x:c r="B1779" t="str">
        <x:v>fdf14071-836d-467e-9a6e-8a1694188bfd</x:v>
      </x:c>
      <x:c r="C1779" s="9" t="str">
        <x:v>Larkfleet Ltd, R (on the application of) v South Kesteven District Council &amp; Anor</x:v>
      </x:c>
      <x:c r="D1779" s="9" t="str"/>
      <x:c r="E1779" s="9" t="str"/>
      <x:c r="F1779" s="13" t="str">
        <x:v>2015</x:v>
      </x:c>
      <x:c r="G1779" s="9" t="str">
        <x:v>England and Wales Court of Appeal (Civil Division)</x:v>
      </x:c>
      <x:c r="H1779" s="9" t="str">
        <x:v>Appellate</x:v>
      </x:c>
      <x:c r="I1779" s="9" t="str">
        <x:v>England and Wales</x:v>
      </x:c>
      <x:c r="J1779" s="9" t="str">
        <x:v>Administrative Law</x:v>
      </x:c>
      <x:c r="K1779" s="9" t="str">
        <x:v>-ew-cases-EWCA-Civ-2015-887.xml</x:v>
      </x:c>
      <x:c r="L1779" s="9" t="str">
        <x:v>TBA</x:v>
      </x:c>
    </x:row>
    <x:row r="1780">
      <x:c r="A1780" t="str">
        <x:v>bfe9ada2-805f-44e2-8a70-ce278811cbdd</x:v>
      </x:c>
      <x:c r="B1780" t="str">
        <x:v>437f2a16-8ece-4e2c-bc2c-ce214a4e6a40</x:v>
      </x:c>
      <x:c r="C1780" s="9" t="str">
        <x:v>Laughton v Shalaby [2014] EWCA Civ 1450</x:v>
      </x:c>
      <x:c r="D1780" s="9" t="str"/>
      <x:c r="E1780" s="9" t="str"/>
      <x:c r="F1780" s="13" t="str">
        <x:v>2014</x:v>
      </x:c>
      <x:c r="G1780" s="9" t="str">
        <x:v>England and Wales Court of Appeal (Civil Division)</x:v>
      </x:c>
      <x:c r="H1780" s="9" t="str">
        <x:v>Appellate</x:v>
      </x:c>
      <x:c r="I1780" s="9" t="str">
        <x:v>England and Wales</x:v>
      </x:c>
      <x:c r="J1780" s="9" t="str">
        <x:v>Tort</x:v>
      </x:c>
      <x:c r="K1780" s="9" t="str">
        <x:v>-ew-cases-EWCA-Civ-2014-1450.xml</x:v>
      </x:c>
      <x:c r="L1780" s="9" t="str">
        <x:v>TBA</x:v>
      </x:c>
    </x:row>
    <x:row r="1781">
      <x:c r="A1781" t="str">
        <x:v>0d252de2-7c47-4ff2-80c2-1fe79c42440f</x:v>
      </x:c>
      <x:c r="B1781" t="str">
        <x:v>7e7029be-e718-45b3-bce9-7436b37c89b5</x:v>
      </x:c>
      <x:c r="C1781" s="9" t="str">
        <x:v>Laville v CWM TAF Local Health Board [2015] EWCA Civ 812</x:v>
      </x:c>
      <x:c r="D1781" s="9" t="str"/>
      <x:c r="E1781" s="9" t="str"/>
      <x:c r="F1781" s="13" t="str">
        <x:v>2015</x:v>
      </x:c>
      <x:c r="G1781" s="9" t="str">
        <x:v>England and Wales Court of Appeal (Civil Division)</x:v>
      </x:c>
      <x:c r="H1781" s="9" t="str">
        <x:v>Appellate</x:v>
      </x:c>
      <x:c r="I1781" s="9" t="str">
        <x:v>England and Wales</x:v>
      </x:c>
      <x:c r="J1781" s="9" t="str">
        <x:v>Employment Law</x:v>
      </x:c>
      <x:c r="K1781" s="9" t="str">
        <x:v>-ew-cases-EWCA-Civ-2015-812.xml</x:v>
      </x:c>
      <x:c r="L1781" s="9" t="str">
        <x:v>TBA</x:v>
      </x:c>
    </x:row>
    <x:row r="1782">
      <x:c r="A1782" t="str">
        <x:v>3a0408a6-88eb-4ef6-9bb2-2ab8d7c2da69</x:v>
      </x:c>
      <x:c r="B1782" t="str">
        <x:v>f0db5c22-82ff-4b2a-929f-1b8836a6f405</x:v>
      </x:c>
      <x:c r="C1782" s="9" t="str">
        <x:v>Law v Raleys Solicitors [2016] EWCA Civ 642</x:v>
      </x:c>
      <x:c r="D1782" s="9" t="str"/>
      <x:c r="E1782" s="9" t="str"/>
      <x:c r="F1782" s="13" t="str">
        <x:v>2016</x:v>
      </x:c>
      <x:c r="G1782" s="9" t="str">
        <x:v>England and Wales Court of Appeal (Civil Division)</x:v>
      </x:c>
      <x:c r="H1782" s="9" t="str">
        <x:v>Court of Appeal (Civil Division)</x:v>
      </x:c>
      <x:c r="I1782" s="9" t="str">
        <x:v>England and Wales</x:v>
      </x:c>
      <x:c r="J1782" s="9" t="str">
        <x:v>Civil Appeal</x:v>
      </x:c>
      <x:c r="K1782" s="9" t="str">
        <x:v>-ew-cases-EWCA-Civ-2016-642.xml</x:v>
      </x:c>
      <x:c r="L1782" s="9" t="str">
        <x:v>TBA</x:v>
      </x:c>
    </x:row>
    <x:row r="1783">
      <x:c r="A1783" t="str">
        <x:v>5525e335-09a0-42e0-8590-6037e68b0210</x:v>
      </x:c>
      <x:c r="B1783" t="str">
        <x:v>d751b32b-ae63-4025-a3e9-1b7de608af0f</x:v>
      </x:c>
      <x:c r="C1783" s="9" t="str">
        <x:v>Lawal &amp; Anor v Circle 33 Housing Trust</x:v>
      </x:c>
      <x:c r="D1783" s="9" t="str"/>
      <x:c r="E1783" s="9" t="str"/>
      <x:c r="F1783" s="13" t="str">
        <x:v>2014</x:v>
      </x:c>
      <x:c r="G1783" s="9" t="str">
        <x:v>England and Wales Court of Appeal (Civil Division)</x:v>
      </x:c>
      <x:c r="H1783" s="9" t="str">
        <x:v>Appellate</x:v>
      </x:c>
      <x:c r="I1783" s="9" t="str">
        <x:v>England and Wales</x:v>
      </x:c>
      <x:c r="J1783" s="9" t="str">
        <x:v>Housing</x:v>
      </x:c>
      <x:c r="K1783" s="9" t="str">
        <x:v>-ew-cases-EWCA-Civ-2014-1514.xml</x:v>
      </x:c>
      <x:c r="L1783" s="9" t="str">
        <x:v>TBA</x:v>
      </x:c>
    </x:row>
    <x:row r="1784">
      <x:c r="A1784" t="str">
        <x:v>34585dc4-ade2-46e0-ab67-f0897cc19993</x:v>
      </x:c>
      <x:c r="B1784" t="str">
        <x:v>bb42073d-fb63-408b-840c-af29eec2bb62</x:v>
      </x:c>
      <x:c r="C1784" s="9" t="str">
        <x:v>Lawal v. Northern Spirit Ltd [2003] UKHL 35: Impartiality of Employment Tribunals</x:v>
      </x:c>
      <x:c r="D1784" s="9" t="str"/>
      <x:c r="E1784" s="9" t="str"/>
      <x:c r="F1784" s="13" t="str">
        <x:v>2003</x:v>
      </x:c>
      <x:c r="G1784" s="9" t="str">
        <x:v>United Kingdom House of Lords</x:v>
      </x:c>
      <x:c r="H1784" s="9" t="str">
        <x:v>House of Lords</x:v>
      </x:c>
      <x:c r="I1784" s="9" t="str">
        <x:v>England and Wales</x:v>
      </x:c>
      <x:c r="J1784" s="9" t="str">
        <x:v>Administrative Law</x:v>
      </x:c>
      <x:c r="K1784" s="9" t="str">
        <x:v>PT_UKHL_2003_35.xml</x:v>
      </x:c>
      <x:c r="L1784" s="9" t="str">
        <x:v>TBA</x:v>
      </x:c>
    </x:row>
    <x:row r="1785">
      <x:c r="A1785" t="str">
        <x:v>0c015004-ee58-4ec5-ab68-4fba1c54d98e</x:v>
      </x:c>
      <x:c r="B1785" t="str">
        <x:v>d994cb50-0c4e-4cc4-a4d0-d2a5a48af77e</x:v>
      </x:c>
      <x:c r="C1785" s="9" t="str">
        <x:v>Lawrence v NCL (Bahamas) Ltd [2017] EWCA Civ 2222</x:v>
      </x:c>
      <x:c r="D1785" s="9" t="str"/>
      <x:c r="E1785" s="9" t="str"/>
      <x:c r="F1785" s="13" t="str">
        <x:v>2017</x:v>
      </x:c>
      <x:c r="G1785" s="9" t="str">
        <x:v>England and Wales Court of Appeal (Civil Division)</x:v>
      </x:c>
      <x:c r="H1785" s="9" t="str">
        <x:v>Appellate</x:v>
      </x:c>
      <x:c r="I1785" s="9" t="str">
        <x:v>England and Wales</x:v>
      </x:c>
      <x:c r="J1785" s="9" t="str">
        <x:v>Tort</x:v>
      </x:c>
      <x:c r="K1785" s="9" t="str">
        <x:v>-ew-cases-EWCA-Civ-2017-2222.xml</x:v>
      </x:c>
      <x:c r="L1785" s="9" t="str">
        <x:v>TBA</x:v>
      </x:c>
    </x:row>
    <x:row r="1786">
      <x:c r="A1786" t="str">
        <x:v>f5608a6c-3f69-46b5-8dc7-6767f95f7960</x:v>
      </x:c>
      <x:c r="B1786" t="str">
        <x:v>3775199d-4037-4d79-b3be-f020cbea16df</x:v>
      </x:c>
      <x:c r="C1786" s="9" t="str">
        <x:v>Lawson Builders Ltd &amp; Ors v Secretary of State for Communities and Local Government &amp; Anor</x:v>
      </x:c>
      <x:c r="D1786" s="9" t="str"/>
      <x:c r="E1786" s="9" t="str"/>
      <x:c r="F1786" s="13" t="str">
        <x:v>2015</x:v>
      </x:c>
      <x:c r="G1786" s="9" t="str">
        <x:v>England and Wales Court of Appeal (Civil Division)</x:v>
      </x:c>
      <x:c r="H1786" s="9" t="str">
        <x:v>appellate</x:v>
      </x:c>
      <x:c r="I1786" s="9" t="str">
        <x:v>England and Wales</x:v>
      </x:c>
      <x:c r="J1786" s="9" t="str">
        <x:v>Administrative Law</x:v>
      </x:c>
      <x:c r="K1786" s="9" t="str">
        <x:v>-ew-cases-EWCA-Civ-2015-122.xml</x:v>
      </x:c>
      <x:c r="L1786" s="9" t="str">
        <x:v>TBA</x:v>
      </x:c>
    </x:row>
    <x:row r="1787">
      <x:c r="A1787" t="str">
        <x:v>bab897c2-cbac-49d4-8872-1d0bda1cb5a9</x:v>
      </x:c>
      <x:c r="B1787" t="str">
        <x:v>979b8f09-db67-4037-bb54-2a5a9cc60534</x:v>
      </x:c>
      <x:c r="C1787" s="9" t="str">
        <x:v>Lawson v the Governing Body of Aylesford School &amp; Anr [2014] EWCA Civ 491</x:v>
      </x:c>
      <x:c r="D1787" s="9" t="str"/>
      <x:c r="E1787" s="9" t="str"/>
      <x:c r="F1787" s="13" t="str">
        <x:v>2014</x:v>
      </x:c>
      <x:c r="G1787" s="9" t="str">
        <x:v>England and Wales Court of Appeal (Civil Division)</x:v>
      </x:c>
      <x:c r="H1787" s="9" t="str">
        <x:v>Appellate</x:v>
      </x:c>
      <x:c r="I1787" s="9" t="str">
        <x:v>England and Wales</x:v>
      </x:c>
      <x:c r="J1787" s="9" t="str">
        <x:v>Employment Law</x:v>
      </x:c>
      <x:c r="K1787" s="9" t="str">
        <x:v>-ew-cases-EWCA-Civ-2014-491.xml</x:v>
      </x:c>
      <x:c r="L1787" s="9" t="str">
        <x:v>TBA</x:v>
      </x:c>
    </x:row>
    <x:row r="1788">
      <x:c r="A1788" t="str">
        <x:v>eda6c108-f5f2-4374-995a-c1a9496a1648</x:v>
      </x:c>
      <x:c r="B1788" t="str">
        <x:v>6ed547d9-1a6c-490c-868d-be6d7b0e1e4e</x:v>
      </x:c>
      <x:c r="C1788" s="9" t="str">
        <x:v>LB (Democratic Republic of Congo) v Secretary of State for the Home Department [2015] EWCA Civ 1613</x:v>
      </x:c>
      <x:c r="D1788" s="9" t="str"/>
      <x:c r="E1788" s="9" t="str"/>
      <x:c r="F1788" s="13" t="str">
        <x:v>2015</x:v>
      </x:c>
      <x:c r="G1788" s="9" t="str">
        <x:v>England and Wales Court of Appeal (Civil Division)</x:v>
      </x:c>
      <x:c r="H1788" s="9" t="str">
        <x:v>Appellate</x:v>
      </x:c>
      <x:c r="I1788" s="9" t="str">
        <x:v>England and Wales</x:v>
      </x:c>
      <x:c r="J1788" s="9" t="str">
        <x:v>Immigration Law</x:v>
      </x:c>
      <x:c r="K1788" s="9" t="str">
        <x:v>-ew-cases-EWCA-Civ-2015-1613.xml</x:v>
      </x:c>
      <x:c r="L1788" s="9" t="str">
        <x:v>TBA</x:v>
      </x:c>
    </x:row>
    <x:row r="1789">
      <x:c r="A1789" t="str">
        <x:v>eabd800f-782d-4319-8aa1-c54e74cda44d</x:v>
      </x:c>
      <x:c r="B1789" t="str">
        <x:v>7129a072-3e42-469c-9ae9-648e5075f1bf</x:v>
      </x:c>
      <x:c r="C1789" s="9" t="str">
        <x:v>LB, CB and JB (Children) v Secretary of State for the Home Department [2014] EWCA Civ 1693</x:v>
      </x:c>
      <x:c r="D1789" s="9" t="str"/>
      <x:c r="E1789" s="9" t="str"/>
      <x:c r="F1789" s="13" t="str">
        <x:v>2014</x:v>
      </x:c>
      <x:c r="G1789" s="9" t="str">
        <x:v>England and Wales Court of Appeal (Civil Division)</x:v>
      </x:c>
      <x:c r="H1789" s="9" t="str">
        <x:v>Appellate</x:v>
      </x:c>
      <x:c r="I1789" s="9" t="str">
        <x:v>England and Wales</x:v>
      </x:c>
      <x:c r="J1789" s="9" t="str">
        <x:v>Immigration Law</x:v>
      </x:c>
      <x:c r="K1789" s="9" t="str">
        <x:v>-ew-cases-EWCA-Civ-2014-1693.xml</x:v>
      </x:c>
      <x:c r="L1789" s="9" t="str">
        <x:v>TBA</x:v>
      </x:c>
    </x:row>
    <x:row r="1790">
      <x:c r="A1790" t="str">
        <x:v>6309ea17-685d-4605-acd0-92ae696e0fa9</x:v>
      </x:c>
      <x:c r="B1790" t="str">
        <x:v>4ba5e3ad-0e63-4151-aaf4-25f7e4ee7fdc</x:v>
      </x:c>
      <x:c r="C1790" s="9" t="str">
        <x:v>LBG Capital No. 1 Plc &amp; Anor v BNY Mellon Corporate Trustee Services Ltd [2015] EWCA Civ 1257</x:v>
      </x:c>
      <x:c r="D1790" s="9" t="str"/>
      <x:c r="E1790" s="9" t="str"/>
      <x:c r="F1790" s="13" t="str">
        <x:v>2015</x:v>
      </x:c>
      <x:c r="G1790" s="9" t="str">
        <x:v>England and Wales Court of Appeal (Civil Division)</x:v>
      </x:c>
      <x:c r="H1790" s="9" t="str">
        <x:v>Appellate</x:v>
      </x:c>
      <x:c r="I1790" s="9" t="str">
        <x:v>England and Wales</x:v>
      </x:c>
      <x:c r="J1790" s="9" t="str">
        <x:v>Contract Interpretation</x:v>
      </x:c>
      <x:c r="K1790" s="9" t="str">
        <x:v>-ew-cases-EWCA-Civ-2015-1257.xml</x:v>
      </x:c>
      <x:c r="L1790" s="9" t="str">
        <x:v>TBA</x:v>
      </x:c>
    </x:row>
    <x:row r="1791">
      <x:c r="A1791" t="str">
        <x:v>a8324c3f-f553-4dcf-80f1-5e3caf3bc956</x:v>
      </x:c>
      <x:c r="B1791" t="str">
        <x:v>ba8f6382-0d74-4cdb-932a-4af654463693</x:v>
      </x:c>
      <x:c r="C1791" s="9" t="str">
        <x:v>LBI HF (In winding up Proceedings) v Stanford &amp; Anor [2016] EWCA Civ 147</x:v>
      </x:c>
      <x:c r="D1791" s="9" t="str"/>
      <x:c r="E1791" s="9" t="str"/>
      <x:c r="F1791" s="13" t="str">
        <x:v>2016</x:v>
      </x:c>
      <x:c r="G1791" s="9" t="str">
        <x:v>England and Wales Court of Appeal (Civil Division)</x:v>
      </x:c>
      <x:c r="H1791" s="9" t="str">
        <x:v>Court of Appeal (Civil Division)</x:v>
      </x:c>
      <x:c r="I1791" s="9" t="str">
        <x:v>England and Wales</x:v>
      </x:c>
      <x:c r="J1791" s="9" t="str">
        <x:v>Commercial litigation; Winding up; Cross-border finance</x:v>
      </x:c>
      <x:c r="K1791" s="9" t="str">
        <x:v>-ew-cases-EWCA-Civ-2016-147.xml</x:v>
      </x:c>
      <x:c r="L1791" s="9" t="str">
        <x:v>TBA</x:v>
      </x:c>
    </x:row>
    <x:row r="1792">
      <x:c r="A1792" t="str">
        <x:v>eead84f8-da26-477f-9ace-be8e88dd5cd9</x:v>
      </x:c>
      <x:c r="B1792" t="str">
        <x:v>8285e67f-ba1a-4327-8ac7-6867a7bf6210</x:v>
      </x:c>
      <x:c r="C1792" s="9" t="str">
        <x:v>LC (Albania) v The Secretary of State for the Home Department</x:v>
      </x:c>
      <x:c r="D1792" s="9" t="str"/>
      <x:c r="E1792" s="9" t="str"/>
      <x:c r="F1792" s="13" t="str">
        <x:v>2017</x:v>
      </x:c>
      <x:c r="G1792" s="9" t="str">
        <x:v>England and Wales Court of Appeal (Civil Division)</x:v>
      </x:c>
      <x:c r="H1792" s="9" t="str">
        <x:v>Appellate</x:v>
      </x:c>
      <x:c r="I1792" s="9" t="str">
        <x:v>England and Wales</x:v>
      </x:c>
      <x:c r="J1792" s="9" t="str">
        <x:v>Immigration Law</x:v>
      </x:c>
      <x:c r="K1792" s="9" t="str">
        <x:v>-ew-cases-EWCA-Civ-2017-351.xml</x:v>
      </x:c>
      <x:c r="L1792" s="9" t="str">
        <x:v>TBA</x:v>
      </x:c>
    </x:row>
    <x:row r="1793">
      <x:c r="A1793" t="str">
        <x:v>433d166d-8f33-4857-8b12-9f243dd08f14</x:v>
      </x:c>
      <x:c r="B1793" t="str">
        <x:v>077e531b-e76d-417d-8599-7590174aefef</x:v>
      </x:c>
      <x:c r="C1793" s="9" t="str">
        <x:v>LC (China) v Secretary of State for the Home Department</x:v>
      </x:c>
      <x:c r="D1793" s="9" t="str"/>
      <x:c r="E1793" s="9" t="str"/>
      <x:c r="F1793" s="13" t="str">
        <x:v>2014</x:v>
      </x:c>
      <x:c r="G1793" s="9" t="str">
        <x:v>England and Wales Court of Appeal (Civil Division)</x:v>
      </x:c>
      <x:c r="H1793" s="9" t="str">
        <x:v>Appellate</x:v>
      </x:c>
      <x:c r="I1793" s="9" t="str">
        <x:v>England and Wales</x:v>
      </x:c>
      <x:c r="J1793" s="9" t="str">
        <x:v>Immigration Law</x:v>
      </x:c>
      <x:c r="K1793" s="9" t="str">
        <x:v>-ew-cases-EWCA-Civ-2014-1310.xml</x:v>
      </x:c>
      <x:c r="L1793" s="9" t="str">
        <x:v>TBA</x:v>
      </x:c>
    </x:row>
    <x:row r="1794">
      <x:c r="A1794" t="str">
        <x:v>17041ff5-80de-44d6-8060-6b40c772dcab</x:v>
      </x:c>
      <x:c r="B1794" t="str">
        <x:v>1814b567-8d64-4308-a6e0-67802f01a929</x:v>
      </x:c>
      <x:c r="C1794" s="9" t="str">
        <x:v>Leave.EU Group Limited &amp; Anor v The Information Commissioner [2022] EWCA Civ 109</x:v>
      </x:c>
      <x:c r="D1794" s="9" t="str"/>
      <x:c r="E1794" s="9" t="str"/>
      <x:c r="F1794" s="13" t="str">
        <x:v>2022</x:v>
      </x:c>
      <x:c r="G1794" s="9" t="str">
        <x:v>England and Wales Court of Appeal (Civil Division)</x:v>
      </x:c>
      <x:c r="H1794" s="9" t="str">
        <x:v>Court of Appeal (Civil Division)</x:v>
      </x:c>
      <x:c r="I1794" s="9" t="str">
        <x:v>England and Wales</x:v>
      </x:c>
      <x:c r="J1794" s="9" t="str">
        <x:v>Civil Procedure; Appellate Procedure; Information Law</x:v>
      </x:c>
      <x:c r="K1794" s="9" t="str">
        <x:v>ew-cases-EWCA-Civ-2022-109.xml</x:v>
      </x:c>
      <x:c r="L1794" s="9" t="str">
        <x:v>TBA</x:v>
      </x:c>
    </x:row>
    <x:row r="1795">
      <x:c r="A1795" t="str">
        <x:v>b020972a-b3c0-470c-ace3-85c470fd3b9c</x:v>
      </x:c>
      <x:c r="B1795" t="str">
        <x:v>4b16f3f8-997f-468f-97a5-4c7f266e4477</x:v>
      </x:c>
      <x:c r="C1795" s="9" t="str">
        <x:v>Lee v Secretary of State for Communities and Local Government &amp; Anor [2016] EWCA Civ 558</x:v>
      </x:c>
      <x:c r="D1795" s="9" t="str"/>
      <x:c r="E1795" s="9" t="str"/>
      <x:c r="F1795" s="13" t="str">
        <x:v>2016</x:v>
      </x:c>
      <x:c r="G1795" s="9" t="str">
        <x:v>Court of Appeal (England and Wales) (Civil Division)</x:v>
      </x:c>
      <x:c r="H1795" s="9" t="str">
        <x:v>Court of Appeal (Civil Division)</x:v>
      </x:c>
      <x:c r="I1795" s="9" t="str">
        <x:v>England and Wales</x:v>
      </x:c>
      <x:c r="J1795" s="9" t="str">
        <x:v>Administrative Law - Planning</x:v>
      </x:c>
      <x:c r="K1795" s="9" t="str">
        <x:v>-ew-cases-EWCA-Civ-2016-558.xml</x:v>
      </x:c>
      <x:c r="L1795" s="9" t="str">
        <x:v>TBA</x:v>
      </x:c>
    </x:row>
    <x:row r="1796">
      <x:c r="A1796" t="str">
        <x:v>da753546-e629-42db-b19c-3b8ecd205c88</x:v>
      </x:c>
      <x:c r="B1796" t="str">
        <x:v>8df129bb-d53b-4198-9a0f-553bc197e5d0</x:v>
      </x:c>
      <x:c r="C1796" s="9" t="str">
        <x:v>Lee Valley Regional Park Authority, R (on the application of) v Epping Forest District Council &amp; Anor (Rev 1) [2016] EWCA Civ 404</x:v>
      </x:c>
      <x:c r="D1796" s="9" t="str"/>
      <x:c r="E1796" s="9" t="str"/>
      <x:c r="F1796" s="13" t="str">
        <x:v>2016</x:v>
      </x:c>
      <x:c r="G1796" s="9" t="str">
        <x:v>England and Wales Court of Appeal (Civil Division)</x:v>
      </x:c>
      <x:c r="H1796" s="9" t="str">
        <x:v>Court of Appeal (Civil Division)</x:v>
      </x:c>
      <x:c r="I1796" s="9" t="str">
        <x:v>England and Wales</x:v>
      </x:c>
      <x:c r="J1796" s="9" t="str">
        <x:v>Judicial Review / Planning Law</x:v>
      </x:c>
      <x:c r="K1796" s="9" t="str">
        <x:v>-ew-cases-EWCA-Civ-2016-404.xml</x:v>
      </x:c>
      <x:c r="L1796" s="9" t="str">
        <x:v>TBA</x:v>
      </x:c>
    </x:row>
    <x:row r="1797">
      <x:c r="A1797" t="str">
        <x:v>8bad2a29-1ba7-4ea1-bec8-f6261dcf84b1</x:v>
      </x:c>
      <x:c r="B1797" t="str">
        <x:v>35ade0aa-9d40-4031-87f2-aa25dc4544be</x:v>
      </x:c>
      <x:c r="C1797" s="9" t="str">
        <x:v>Lee-Hirons v The Secretary of State for Justice [2014] EWCA Civ 553</x:v>
      </x:c>
      <x:c r="D1797" s="9" t="str"/>
      <x:c r="E1797" s="9" t="str"/>
      <x:c r="F1797" s="13" t="str">
        <x:v>2014</x:v>
      </x:c>
      <x:c r="G1797" s="9" t="str">
        <x:v>England and Wales Court of Appeal (Civil Division)</x:v>
      </x:c>
      <x:c r="H1797" s="9" t="str">
        <x:v>Appellate</x:v>
      </x:c>
      <x:c r="I1797" s="9" t="str">
        <x:v>England and Wales</x:v>
      </x:c>
      <x:c r="J1797" s="9" t="str">
        <x:v>Administrative Law</x:v>
      </x:c>
      <x:c r="K1797" s="9" t="str">
        <x:v>-ew-cases-EWCA-Civ-2014-553.xml</x:v>
      </x:c>
      <x:c r="L1797" s="9" t="str">
        <x:v>TBA</x:v>
      </x:c>
    </x:row>
    <x:row r="1798">
      <x:c r="A1798" t="str">
        <x:v>7f68a345-ec4a-4214-a075-981ca514db50</x:v>
      </x:c>
      <x:c r="B1798" t="str">
        <x:v>f38cadeb-d94e-4995-b476-03ed47e6d696</x:v>
      </x:c>
      <x:c r="C1798" s="9" t="str">
        <x:v>Lee-Hirons, R v The Secretary of State for Justice &amp; Anor [2014] EWCA Civ 514</x:v>
      </x:c>
      <x:c r="D1798" s="9" t="str"/>
      <x:c r="E1798" s="9" t="str"/>
      <x:c r="F1798" s="13" t="str">
        <x:v>2014</x:v>
      </x:c>
      <x:c r="G1798" s="9" t="str">
        <x:v>England and Wales Court of Appeal (Civil Division)</x:v>
      </x:c>
      <x:c r="H1798" s="9" t="str">
        <x:v>Appellate Court</x:v>
      </x:c>
      <x:c r="I1798" s="9" t="str">
        <x:v>England and Wales</x:v>
      </x:c>
      <x:c r="J1798" s="9" t="str">
        <x:v>Administrative Law</x:v>
      </x:c>
      <x:c r="K1798" s="9" t="str">
        <x:v>-ew-cases-EWCA-Civ-2014-514.xml</x:v>
      </x:c>
      <x:c r="L1798" s="9" t="str">
        <x:v>TBA</x:v>
      </x:c>
    </x:row>
    <x:row r="1799">
      <x:c r="A1799" t="str">
        <x:v>bb3e98d8-f1c8-4a1d-865e-44f094785eb6</x:v>
      </x:c>
      <x:c r="B1799" t="str">
        <x:v>87724cc5-bbc5-419b-9997-154521b6e8dc</x:v>
      </x:c>
      <x:c r="C1799" s="9" t="str">
        <x:v>Leech Homes Ltd v Northumberland County Council [2021] EWCA Civ 198</x:v>
      </x:c>
      <x:c r="D1799" s="9" t="str"/>
      <x:c r="E1799" s="9" t="str"/>
      <x:c r="F1799" s="13" t="str">
        <x:v>2021</x:v>
      </x:c>
      <x:c r="G1799" s="9" t="str">
        <x:v>England and Wales Court of Appeal (Civil Division)</x:v>
      </x:c>
      <x:c r="H1799" s="9" t="str">
        <x:v>Appellate</x:v>
      </x:c>
      <x:c r="I1799" s="9" t="str">
        <x:v>England and Wales</x:v>
      </x:c>
      <x:c r="J1799" s="9" t="str">
        <x:v>Administrative Law</x:v>
      </x:c>
      <x:c r="K1799" s="9" t="str">
        <x:v>ew-cases-EWCA-Civ-2021-198.xml</x:v>
      </x:c>
      <x:c r="L1799" s="9" t="str">
        <x:v>TBA</x:v>
      </x:c>
    </x:row>
    <x:row r="1800">
      <x:c r="A1800" t="str">
        <x:v>5d434c8c-0ebe-4db7-9afc-5eefbdc80764</x:v>
      </x:c>
      <x:c r="B1800" t="str">
        <x:v>25dc7ede-84f2-401f-b8bd-fb3e1f3ea569</x:v>
      </x:c>
      <x:c r="C1800" s="9" t="str">
        <x:v>Leeds City Council v Broadley (Rev 1) [2016] EWCA Civ 1213</x:v>
      </x:c>
      <x:c r="D1800" s="9" t="str"/>
      <x:c r="E1800" s="9" t="str"/>
      <x:c r="F1800" s="13" t="str">
        <x:v>2016</x:v>
      </x:c>
      <x:c r="G1800" s="9" t="str">
        <x:v>England and Wales Court of Appeal (Civil Division)</x:v>
      </x:c>
      <x:c r="H1800" s="9" t="str">
        <x:v>Court of Appeal (Civil Division)</x:v>
      </x:c>
      <x:c r="I1800" s="9" t="str">
        <x:v>England and Wales</x:v>
      </x:c>
      <x:c r="J1800" s="9" t="str">
        <x:v>Tax/Property/Landlord-Tenant</x:v>
      </x:c>
      <x:c r="K1800" s="9" t="str">
        <x:v>-ew-cases-EWCA-Civ-2016-1213.xml</x:v>
      </x:c>
      <x:c r="L1800" s="9" t="str">
        <x:v>TBA</x:v>
      </x:c>
    </x:row>
    <x:row r="1801">
      <x:c r="A1801" t="str">
        <x:v>278c366c-236a-4407-a5c1-c5c91a1a9048</x:v>
      </x:c>
      <x:c r="B1801" t="str">
        <x:v>5be7238d-b78e-4194-90ec-c036be53b377</x:v>
      </x:c>
      <x:c r="C1801" s="9" t="str">
        <x:v>Leeds City Council v HM Revenue and Customs [2015] EWCA Civ 1293</x:v>
      </x:c>
      <x:c r="D1801" s="9" t="str"/>
      <x:c r="E1801" s="9" t="str"/>
      <x:c r="F1801" s="13" t="str">
        <x:v>2015</x:v>
      </x:c>
      <x:c r="G1801" s="9" t="str">
        <x:v>England and Wales Court of Appeal (Civil Division)</x:v>
      </x:c>
      <x:c r="H1801" s="9" t="str">
        <x:v>Appellate</x:v>
      </x:c>
      <x:c r="I1801" s="9" t="str">
        <x:v>England and Wales</x:v>
      </x:c>
      <x:c r="J1801" s="9" t="str">
        <x:v>Tax Law</x:v>
      </x:c>
      <x:c r="K1801" s="9" t="str">
        <x:v>-ew-cases-EWCA-Civ-2015-1293.xml</x:v>
      </x:c>
      <x:c r="L1801" s="9" t="str">
        <x:v>TBA</x:v>
      </x:c>
    </x:row>
    <x:row r="1802">
      <x:c r="A1802" t="str">
        <x:v>04fcba5a-f32a-4639-8bdf-e66d806cee62</x:v>
      </x:c>
      <x:c r="B1802" t="str">
        <x:v>565a0f61-2fe0-4121-9eba-9b84af5f460f</x:v>
      </x:c>
      <x:c r="C1802" s="9" t="str">
        <x:v>Legal Costs in Children Proceedings: Appeal Case L (Costs of Children Proceedings) [2014] EWCA Civ 1437</x:v>
      </x:c>
      <x:c r="D1802" s="9" t="str"/>
      <x:c r="E1802" s="9" t="str"/>
      <x:c r="F1802" s="13" t="str">
        <x:v>2014</x:v>
      </x:c>
      <x:c r="G1802" s="9" t="str">
        <x:v>England and Wales Court of Appeal (Civil Division)</x:v>
      </x:c>
      <x:c r="H1802" s="9" t="str">
        <x:v>Appellate</x:v>
      </x:c>
      <x:c r="I1802" s="9" t="str">
        <x:v>England and Wales</x:v>
      </x:c>
      <x:c r="J1802" s="9" t="str">
        <x:v>Family Law</x:v>
      </x:c>
      <x:c r="K1802" s="9" t="str">
        <x:v>-ew-cases-EWCA-Civ-2014-1437.xml</x:v>
      </x:c>
      <x:c r="L1802" s="9" t="str">
        <x:v>TBA</x:v>
      </x:c>
    </x:row>
    <x:row r="1803">
      <x:c r="A1803" t="str">
        <x:v>feb5a251-e81f-47d3-9258-570f95cc9fa4</x:v>
      </x:c>
      <x:c r="B1803" t="str">
        <x:v>1b018b19-1691-49f2-9fbe-54a10d758eaa</x:v>
      </x:c>
      <x:c r="C1803" s="9" t="str">
        <x:v>Legg &amp; Ors v Sterte Garage Ltd &amp; Anor [2016] EWCA Civ 97</x:v>
      </x:c>
      <x:c r="D1803" s="9" t="str"/>
      <x:c r="E1803" s="9" t="str"/>
      <x:c r="F1803" s="13" t="str">
        <x:v>2016</x:v>
      </x:c>
      <x:c r="G1803" s="9" t="str">
        <x:v>England and Wales Court of Appeal (Civil Division)</x:v>
      </x:c>
      <x:c r="H1803" s="9" t="str">
        <x:v>Court of Appeal (Civil Division)</x:v>
      </x:c>
      <x:c r="I1803" s="9" t="str">
        <x:v>England and Wales</x:v>
      </x:c>
      <x:c r="J1803" s="9" t="str">
        <x:v>Tort and Insurance Law</x:v>
      </x:c>
      <x:c r="K1803" s="9" t="str">
        <x:v>-ew-cases-EWCA-Civ-2016-97.xml</x:v>
      </x:c>
      <x:c r="L1803" s="9" t="str">
        <x:v>TBA</x:v>
      </x:c>
    </x:row>
    <x:row r="1804">
      <x:c r="A1804" t="str">
        <x:v>89b3e1c6-42b9-4305-9fa9-87477b9b025a</x:v>
      </x:c>
      <x:c r="B1804" t="str">
        <x:v>968631ee-b6ce-4ce8-806a-86a52b50b1a1</x:v>
      </x:c>
      <x:c r="C1804" s="9" t="str">
        <x:v>Lehman Brothers Holdings Scottish LP 3 v Lehman Brothers Holdings Plc &amp; Ors [2021] EWCA Civ 1523</x:v>
      </x:c>
      <x:c r="D1804" s="9" t="str"/>
      <x:c r="E1804" s="9" t="str"/>
      <x:c r="F1804" s="13" t="str">
        <x:v>2021</x:v>
      </x:c>
      <x:c r="G1804" s="9" t="str">
        <x:v>England and Wales Court of Appeal (Civil Division)</x:v>
      </x:c>
      <x:c r="H1804" s="9" t="str">
        <x:v>Appellate</x:v>
      </x:c>
      <x:c r="I1804" s="9" t="str">
        <x:v>England and Wales</x:v>
      </x:c>
      <x:c r="J1804" s="9" t="str">
        <x:v>Insolvency Law</x:v>
      </x:c>
      <x:c r="K1804" s="9" t="str">
        <x:v>ew-cases-EWCA-Civ-2021-1523.xml</x:v>
      </x:c>
      <x:c r="L1804" s="9" t="str">
        <x:v>TBA</x:v>
      </x:c>
    </x:row>
    <x:row r="1805">
      <x:c r="A1805" t="str">
        <x:v>929260e1-cf8a-4435-9981-7ca20f271993</x:v>
      </x:c>
      <x:c r="B1805" t="str">
        <x:v>9319b0b6-6588-44c5-bf0a-837a7f81aaa9</x:v>
      </x:c>
      <x:c r="C1805" s="9" t="str">
        <x:v>Lejonvarn v Burgess &amp; Anor [2017] EWCA Civ 254</x:v>
      </x:c>
      <x:c r="D1805" s="9" t="str"/>
      <x:c r="E1805" s="9" t="str"/>
      <x:c r="F1805" s="13" t="str">
        <x:v>2017</x:v>
      </x:c>
      <x:c r="G1805" s="9" t="str">
        <x:v>England and Wales Court of Appeal (Civil Division)</x:v>
      </x:c>
      <x:c r="H1805" s="9" t="str">
        <x:v>appellate</x:v>
      </x:c>
      <x:c r="I1805" s="9" t="str">
        <x:v>England and Wales</x:v>
      </x:c>
      <x:c r="J1805" s="9" t="str">
        <x:v>Tort Law</x:v>
      </x:c>
      <x:c r="K1805" s="9" t="str">
        <x:v>-ew-cases-EWCA-Civ-2017-254.xml</x:v>
      </x:c>
      <x:c r="L1805" s="9" t="str">
        <x:v>TBA</x:v>
      </x:c>
    </x:row>
    <x:row r="1806">
      <x:c r="A1806" t="str">
        <x:v>87128305-0193-4d3c-a121-ce3594a16c3d</x:v>
      </x:c>
      <x:c r="B1806" t="str">
        <x:v>e7341a85-b96f-4f80-94e1-81537e6d4e97</x:v>
      </x:c>
      <x:c r="C1806" s="9" t="str">
        <x:v>Lemos v Lemos &amp; Anor [2016] EWCA Civ 1181</x:v>
      </x:c>
      <x:c r="D1806" s="9" t="str"/>
      <x:c r="E1806" s="9" t="str"/>
      <x:c r="F1806" s="13" t="str">
        <x:v>2016</x:v>
      </x:c>
      <x:c r="G1806" s="9" t="str">
        <x:v>England and Wales Court of Appeal (Civil Division)</x:v>
      </x:c>
      <x:c r="H1806" s="9" t="str">
        <x:v>Court of Appeal (Civil Division)</x:v>
      </x:c>
      <x:c r="I1806" s="9" t="str">
        <x:v>England and Wales</x:v>
      </x:c>
      <x:c r="J1806" s="9" t="str">
        <x:v>Civil – Property/Trusts/Insolvency/Chabra Freezing Injunction</x:v>
      </x:c>
      <x:c r="K1806" s="9" t="str">
        <x:v>-ew-cases-EWCA-Civ-2016-1181.xml</x:v>
      </x:c>
      <x:c r="L1806" s="9" t="str">
        <x:v>TBA</x:v>
      </x:c>
    </x:row>
    <x:row r="1807">
      <x:c r="A1807" t="str">
        <x:v>137b588f-8f25-471f-8290-6c335b4066de</x:v>
      </x:c>
      <x:c r="B1807" t="str">
        <x:v>c597a048-f028-4964-86ec-b69087e8687f</x:v>
      </x:c>
      <x:c r="C1807" s="9" t="str">
        <x:v>Lemtelsi, R (On the Application Of) v Secretary of State for the Home Department</x:v>
      </x:c>
      <x:c r="D1807" s="9" t="str"/>
      <x:c r="E1807" s="9" t="str"/>
      <x:c r="F1807" s="13" t="str">
        <x:v>2015</x:v>
      </x:c>
      <x:c r="G1807" s="9" t="str">
        <x:v>England and Wales Court of Appeal (Civil Division)</x:v>
      </x:c>
      <x:c r="H1807" s="9" t="str">
        <x:v>Appellate</x:v>
      </x:c>
      <x:c r="I1807" s="9" t="str">
        <x:v>England and Wales</x:v>
      </x:c>
      <x:c r="J1807" s="9" t="str">
        <x:v>Administrative Law</x:v>
      </x:c>
      <x:c r="K1807" s="9" t="str">
        <x:v>-ew-cases-EWCA-Civ-2015-967.xml</x:v>
      </x:c>
      <x:c r="L1807" s="9" t="str">
        <x:v>TBA</x:v>
      </x:c>
    </x:row>
    <x:row r="1808">
      <x:c r="A1808" t="str">
        <x:v>9d05b38f-8320-47e0-a0e9-b0989d12d3e1</x:v>
      </x:c>
      <x:c r="B1808" t="str">
        <x:v>2ada2b1b-392d-4151-825e-52208d49a710</x:v>
      </x:c>
      <x:c r="C1808" s="9" t="str">
        <x:v>Lenkor Energy Trading DMCC v Puri: Appeal on Illegality and Enforcement of Judgments</x:v>
      </x:c>
      <x:c r="D1808" s="9" t="str"/>
      <x:c r="E1808" s="9" t="str"/>
      <x:c r="F1808" s="13" t="str">
        <x:v>2021</x:v>
      </x:c>
      <x:c r="G1808" s="9" t="str">
        <x:v>England and Wales Court of Appeal (Civil Division)</x:v>
      </x:c>
      <x:c r="H1808" s="9" t="str">
        <x:v>Appellate</x:v>
      </x:c>
      <x:c r="I1808" s="9" t="str">
        <x:v>England and Wales</x:v>
      </x:c>
      <x:c r="J1808" s="9" t="str">
        <x:v>Commercial Law</x:v>
      </x:c>
      <x:c r="K1808" s="9" t="str">
        <x:v>ew-cases-EWCA-Civ-2021-770.xml</x:v>
      </x:c>
      <x:c r="L1808" s="9" t="str">
        <x:v>TBA</x:v>
      </x:c>
    </x:row>
    <x:row r="1809">
      <x:c r="A1809" t="str">
        <x:v>6e8262ef-b582-40e9-ae50-12893de16bd2</x:v>
      </x:c>
      <x:c r="B1809" t="str">
        <x:v>ac849928-8ca1-4654-8942-54c9f74f3ea0</x:v>
      </x:c>
      <x:c r="C1809" s="9" t="str">
        <x:v>Lensbury Limited v Richmond-Upon-Thames London Borough Council [2016] EWCA Civ 814</x:v>
      </x:c>
      <x:c r="D1809" s="9" t="str"/>
      <x:c r="E1809" s="9" t="str"/>
      <x:c r="F1809" s="13" t="str">
        <x:v>2016</x:v>
      </x:c>
      <x:c r="G1809" s="9" t="str">
        <x:v>England and Wales Court of Appeal (Civil Division)</x:v>
      </x:c>
      <x:c r="H1809" s="9" t="str">
        <x:v>Court of Appeal (Civil Division)</x:v>
      </x:c>
      <x:c r="I1809" s="9" t="str">
        <x:v>England and Wales</x:v>
      </x:c>
      <x:c r="J1809" s="9" t="str">
        <x:v>Administrative Law / Planning Law</x:v>
      </x:c>
      <x:c r="K1809" s="9" t="str">
        <x:v>-ew-cases-EWCA-Civ-2016-814.xml</x:v>
      </x:c>
      <x:c r="L1809" s="9" t="str">
        <x:v>TBA</x:v>
      </x:c>
    </x:row>
    <x:row r="1810">
      <x:c r="A1810" t="str">
        <x:v>75f52cb0-1b65-4db3-9a09-cddef25c8ef5</x:v>
      </x:c>
      <x:c r="B1810" t="str">
        <x:v>92333e52-3f9e-4446-b4af-76c01ebc8264</x:v>
      </x:c>
      <x:c r="C1810" s="9" t="str">
        <x:v>Les Ambassadeurs Club Ltd v Yu [2021] EWCA Civ 1310 - Appeal on Freezing Injunction</x:v>
      </x:c>
      <x:c r="D1810" s="9" t="str"/>
      <x:c r="E1810" s="9" t="str"/>
      <x:c r="F1810" s="13" t="str">
        <x:v>2021</x:v>
      </x:c>
      <x:c r="G1810" s="9" t="str">
        <x:v>England and Wales Court of Appeal (Civil Division)</x:v>
      </x:c>
      <x:c r="H1810" s="9" t="str">
        <x:v>Appellate</x:v>
      </x:c>
      <x:c r="I1810" s="9" t="str">
        <x:v>England and Wales</x:v>
      </x:c>
      <x:c r="J1810" s="9" t="str">
        <x:v>Civil Procedure</x:v>
      </x:c>
      <x:c r="K1810" s="9" t="str">
        <x:v>ew-cases-EWCA-Civ-2021-1310.xml</x:v>
      </x:c>
      <x:c r="L1810" s="9" t="str">
        <x:v>TBA</x:v>
      </x:c>
    </x:row>
    <x:row r="1811">
      <x:c r="A1811" t="str">
        <x:v>436487df-c286-4cad-83a9-fcb169f17b9d</x:v>
      </x:c>
      <x:c r="B1811" t="str">
        <x:v>7f88b3c7-9506-41c2-8531-35d6b2dfd5f1</x:v>
      </x:c>
      <x:c r="C1811" s="9" t="str">
        <x:v>Leslie v Farrar Construction Limited [2016] EWCA Civ 1041</x:v>
      </x:c>
      <x:c r="D1811" s="9" t="str"/>
      <x:c r="E1811" s="9" t="str"/>
      <x:c r="F1811" s="13" t="str">
        <x:v>2016</x:v>
      </x:c>
      <x:c r="G1811" s="9" t="str">
        <x:v>England and Wales Court of Appeal (Civil Division)</x:v>
      </x:c>
      <x:c r="H1811" s="9" t="str">
        <x:v>Court of Appeal</x:v>
      </x:c>
      <x:c r="I1811" s="9" t="str">
        <x:v>England and Wales</x:v>
      </x:c>
      <x:c r="J1811" s="9" t="str">
        <x:v>Contract Dispute</x:v>
      </x:c>
      <x:c r="K1811" s="9" t="str">
        <x:v>-ew-cases-EWCA-Civ-2016-1041.xml</x:v>
      </x:c>
      <x:c r="L1811" s="9" t="str">
        <x:v>TBA</x:v>
      </x:c>
    </x:row>
    <x:row r="1812">
      <x:c r="A1812" t="str">
        <x:v>227dce20-39af-47fa-85c9-159805ccb2b5</x:v>
      </x:c>
      <x:c r="B1812" t="str">
        <x:v>2967a218-1e3a-4240-b4ab-a77e22b89053</x:v>
      </x:c>
      <x:c r="C1812" s="9" t="str">
        <x:v>Leslie v News Group Newspapers Limited [2016] EWCA Civ 79</x:v>
      </x:c>
      <x:c r="D1812" s="9" t="str"/>
      <x:c r="E1812" s="9" t="str"/>
      <x:c r="F1812" s="13" t="str">
        <x:v>2016</x:v>
      </x:c>
      <x:c r="G1812" s="9" t="str">
        <x:v>England and Wales Court of Appeal (Civil Division)</x:v>
      </x:c>
      <x:c r="H1812" s="9" t="str">
        <x:v>Court of Appeal (Civil Division)</x:v>
      </x:c>
      <x:c r="I1812" s="9" t="str">
        <x:v>England and Wales</x:v>
      </x:c>
      <x:c r="J1812" s="9" t="str">
        <x:v>Civil appellate decision; Contract interpretation; Privacy/Info-law</x:v>
      </x:c>
      <x:c r="K1812" s="9" t="str">
        <x:v>-ew-cases-EWCA-Civ-2016-79.xml</x:v>
      </x:c>
      <x:c r="L1812" s="9" t="str">
        <x:v>TBA</x:v>
      </x:c>
    </x:row>
    <x:row r="1813">
      <x:c r="A1813" t="str">
        <x:v>aa274012-0063-44b4-b845-8d531880efa3</x:v>
      </x:c>
      <x:c r="B1813" t="str">
        <x:v>28c54caf-70dd-4276-ac42-e98900e18240</x:v>
      </x:c>
      <x:c r="C1813" s="9" t="str">
        <x:v>Levett v Health And Care Professions Council</x:v>
      </x:c>
      <x:c r="D1813" s="9" t="str"/>
      <x:c r="E1813" s="9" t="str"/>
      <x:c r="F1813" s="13" t="str">
        <x:v>2015</x:v>
      </x:c>
      <x:c r="G1813" s="9" t="str">
        <x:v>England and Wales Court of Appeal (Civil Division)</x:v>
      </x:c>
      <x:c r="H1813" s="9" t="str">
        <x:v>Appellate</x:v>
      </x:c>
      <x:c r="I1813" s="9" t="str">
        <x:v>England and Wales</x:v>
      </x:c>
      <x:c r="J1813" s="9" t="str">
        <x:v>Professional Discipline</x:v>
      </x:c>
      <x:c r="K1813" s="9" t="str">
        <x:v>-ew-cases-EWCA-Civ-2015-580.xml</x:v>
      </x:c>
      <x:c r="L1813" s="9" t="str">
        <x:v>TBA</x:v>
      </x:c>
    </x:row>
    <x:row r="1814">
      <x:c r="A1814" t="str">
        <x:v>fd40c295-77d7-4617-a0e5-d788fe41469c</x:v>
      </x:c>
      <x:c r="B1814" t="str">
        <x:v>56d8134a-2d5b-4486-9939-e5639c676c98</x:v>
      </x:c>
      <x:c r="C1814" s="9" t="str">
        <x:v>Levi &amp; Anor v Bates &amp; Ors</x:v>
      </x:c>
      <x:c r="D1814" s="9" t="str"/>
      <x:c r="E1814" s="9" t="str"/>
      <x:c r="F1814" s="13" t="str">
        <x:v>2015</x:v>
      </x:c>
      <x:c r="G1814" s="9" t="str">
        <x:v>England and Wales Court of Appeal (Civil Division)</x:v>
      </x:c>
      <x:c r="H1814" s="9" t="str">
        <x:v>Appellate</x:v>
      </x:c>
      <x:c r="I1814" s="9" t="str">
        <x:v>England and Wales</x:v>
      </x:c>
      <x:c r="J1814" s="9" t="str">
        <x:v>Civil</x:v>
      </x:c>
      <x:c r="K1814" s="9" t="str">
        <x:v>-ew-cases-EWCA-Civ-2015-206.xml</x:v>
      </x:c>
      <x:c r="L1814" s="9" t="str">
        <x:v>TBA</x:v>
      </x:c>
    </x:row>
    <x:row r="1815">
      <x:c r="A1815" t="str">
        <x:v>dc2050c7-e3dd-4a89-b3d1-7b84f821ed4f</x:v>
      </x:c>
      <x:c r="B1815" t="str">
        <x:v>3262777c-d0e1-475a-8d47-aea4e9ac729b</x:v>
      </x:c>
      <x:c r="C1815" s="9" t="str">
        <x:v>Lewis v Lewis [2014] EWCA Civ 412</x:v>
      </x:c>
      <x:c r="D1815" s="9" t="str"/>
      <x:c r="E1815" s="9" t="str"/>
      <x:c r="F1815" s="13" t="str">
        <x:v>2014</x:v>
      </x:c>
      <x:c r="G1815" s="9" t="str">
        <x:v>England and Wales Court of Appeal (Civil Division)</x:v>
      </x:c>
      <x:c r="H1815" s="9" t="str">
        <x:v>Appellate</x:v>
      </x:c>
      <x:c r="I1815" s="9" t="str">
        <x:v>England and Wales</x:v>
      </x:c>
      <x:c r="J1815" s="9" t="str">
        <x:v>Wills and Estates</x:v>
      </x:c>
      <x:c r="K1815" s="9" t="str">
        <x:v>-ew-cases-EWCA-Civ-2014-412.xml</x:v>
      </x:c>
      <x:c r="L1815" s="9" t="str">
        <x:v>TBA</x:v>
      </x:c>
    </x:row>
    <x:row r="1816">
      <x:c r="A1816" t="str">
        <x:v>88e9ad25-002c-4a45-a4fa-db233b3e5834</x:v>
      </x:c>
      <x:c r="B1816" t="str">
        <x:v>c6a09815-c7b3-4cfc-8057-35bbef5c2014</x:v>
      </x:c>
      <x:c r="C1816" s="9" t="str">
        <x:v>Lewis v Narayanasamy &amp; Anor [2017] EWCA Civ 229</x:v>
      </x:c>
      <x:c r="D1816" s="9" t="str"/>
      <x:c r="E1816" s="9" t="str"/>
      <x:c r="F1816" s="13" t="str">
        <x:v>2017</x:v>
      </x:c>
      <x:c r="G1816" s="9" t="str">
        <x:v>England and Wales Court of Appeal (Civil Division)</x:v>
      </x:c>
      <x:c r="H1816" s="9" t="str">
        <x:v>Appellate</x:v>
      </x:c>
      <x:c r="I1816" s="9" t="str">
        <x:v>England and Wales</x:v>
      </x:c>
      <x:c r="J1816" s="9" t="str">
        <x:v>Employment Law</x:v>
      </x:c>
      <x:c r="K1816" s="9" t="str">
        <x:v>-ew-cases-EWCA-Civ-2017-229.xml</x:v>
      </x:c>
      <x:c r="L1816" s="9" t="str">
        <x:v>TBA</x:v>
      </x:c>
    </x:row>
    <x:row r="1817">
      <x:c r="A1817" t="str">
        <x:v>4d2ac551-0782-44a6-aac1-4711704a190e</x:v>
      </x:c>
      <x:c r="B1817" t="str">
        <x:v>3270a586-0daa-4101-aa8d-2269c825343d</x:v>
      </x:c>
      <x:c r="C1817" s="9" t="str">
        <x:v>Lewis v Warner [2017] EWCA Civ 2182</x:v>
      </x:c>
      <x:c r="D1817" s="9" t="str"/>
      <x:c r="E1817" s="9" t="str"/>
      <x:c r="F1817" s="13" t="str">
        <x:v>2017</x:v>
      </x:c>
      <x:c r="G1817" s="9" t="str">
        <x:v>England and Wales Court of Appeal (Civil Division)</x:v>
      </x:c>
      <x:c r="H1817" s="9" t="str">
        <x:v>Appellate</x:v>
      </x:c>
      <x:c r="I1817" s="9" t="str">
        <x:v>England and Wales</x:v>
      </x:c>
      <x:c r="J1817" s="9" t="str">
        <x:v>Inheritance Law</x:v>
      </x:c>
      <x:c r="K1817" s="9" t="str">
        <x:v>-ew-cases-EWCA-Civ-2017-2182.xml</x:v>
      </x:c>
      <x:c r="L1817" s="9" t="str">
        <x:v>TBA</x:v>
      </x:c>
    </x:row>
    <x:row r="1818">
      <x:c r="A1818" t="str">
        <x:v>30699aec-2dfd-4786-b667-a5184b4e7851</x:v>
      </x:c>
      <x:c r="B1818" t="str">
        <x:v>fc44d6e6-6cbd-49d7-b2fd-492890e5556d</x:v>
      </x:c>
      <x:c r="C1818" s="9" t="str">
        <x:v>LH v Shropshire Council [2014] EWCA Civ 404</x:v>
      </x:c>
      <x:c r="D1818" s="9" t="str"/>
      <x:c r="E1818" s="9" t="str"/>
      <x:c r="F1818" s="13" t="str">
        <x:v>2014</x:v>
      </x:c>
      <x:c r="G1818" s="9" t="str">
        <x:v>England and Wales Court of Appeal (Civil Division)</x:v>
      </x:c>
      <x:c r="H1818" s="9" t="str">
        <x:v>Appellate</x:v>
      </x:c>
      <x:c r="I1818" s="9" t="str">
        <x:v>England &amp; Wales</x:v>
      </x:c>
      <x:c r="J1818" s="9" t="str">
        <x:v>Administrative Law</x:v>
      </x:c>
      <x:c r="K1818" s="9" t="str">
        <x:v>-ew-cases-EWCA-Civ-2014-404.xml</x:v>
      </x:c>
      <x:c r="L1818" s="9" t="str">
        <x:v>TBA</x:v>
      </x:c>
    </x:row>
    <x:row r="1819">
      <x:c r="A1819" t="str">
        <x:v>e9211925-f475-4fb2-ba0b-ab09a26d1442</x:v>
      </x:c>
      <x:c r="B1819" t="str">
        <x:v>8df7b447-d546-4a69-a153-fa58196b0f7b</x:v>
      </x:c>
      <x:c r="C1819" s="9" t="str">
        <x:v>LHS, R (on the application of) v The First-Tier Tribunal (Criminal Injuries Compensation Chamber) &amp; Anor [2017] EWCA Civ 2138</x:v>
      </x:c>
      <x:c r="D1819" s="9" t="str"/>
      <x:c r="E1819" s="9" t="str"/>
      <x:c r="F1819" s="13" t="str">
        <x:v>2017</x:v>
      </x:c>
      <x:c r="G1819" s="9" t="str">
        <x:v>England and Wales Court of Appeal (Civil Division)</x:v>
      </x:c>
      <x:c r="H1819" s="9" t="str">
        <x:v>Appellate</x:v>
      </x:c>
      <x:c r="I1819" s="9" t="str">
        <x:v>England and Wales</x:v>
      </x:c>
      <x:c r="J1819" s="9" t="str">
        <x:v>Judicial Review</x:v>
      </x:c>
      <x:c r="K1819" s="9" t="str">
        <x:v>-ew-cases-EWCA-Civ-2017-2138.xml</x:v>
      </x:c>
      <x:c r="L1819" s="9" t="str">
        <x:v>TBA</x:v>
      </x:c>
    </x:row>
    <x:row r="1820">
      <x:c r="A1820" t="str">
        <x:v>6c936f39-977a-485e-9aa4-fcad6a8f66b2</x:v>
      </x:c>
      <x:c r="B1820" t="str">
        <x:v>42be40fd-3839-4242-b8f9-069bdb97247c</x:v>
      </x:c>
      <x:c r="C1820" s="9" t="str">
        <x:v>Liden v Burton [2016] EWCA Civ 275</x:v>
      </x:c>
      <x:c r="D1820" s="9" t="str"/>
      <x:c r="E1820" s="9" t="str"/>
      <x:c r="F1820" s="13" t="str">
        <x:v>2016</x:v>
      </x:c>
      <x:c r="G1820" s="9" t="str">
        <x:v>England and Wales Court of Appeal (Civil Division)</x:v>
      </x:c>
      <x:c r="H1820" s="9" t="str">
        <x:v>Court of Appeal (Civil Division)</x:v>
      </x:c>
      <x:c r="I1820" s="9" t="str">
        <x:v>England and Wales</x:v>
      </x:c>
      <x:c r="J1820" s="9" t="str">
        <x:v>Property/Equity</x:v>
      </x:c>
      <x:c r="K1820" s="9" t="str">
        <x:v>-ew-cases-EWCA-Civ-2016-275.xml</x:v>
      </x:c>
      <x:c r="L1820" s="9" t="str">
        <x:v>TBA</x:v>
      </x:c>
    </x:row>
    <x:row r="1821">
      <x:c r="A1821" t="str">
        <x:v>830b18d6-d4f9-4449-b007-f9499e464c74</x:v>
      </x:c>
      <x:c r="B1821" t="str">
        <x:v>b9f08a72-1e62-405b-9fe9-eaba231f1c88</x:v>
      </x:c>
      <x:c r="C1821" s="9" t="str">
        <x:v>Lidl Great Britain Ltd &amp; Lidl Stiftung &amp; Co KG v Tesco Stores Ltd &amp; Tesco PLC [2022] EWCA Civ 1433</x:v>
      </x:c>
      <x:c r="D1821" s="9" t="str"/>
      <x:c r="E1821" s="9" t="str"/>
      <x:c r="F1821" s="13" t="str">
        <x:v>2022</x:v>
      </x:c>
      <x:c r="G1821" s="9" t="str">
        <x:v>England and Wales Court of Appeal (Civil Division)</x:v>
      </x:c>
      <x:c r="H1821" s="9" t="str">
        <x:v>Court of Appeal (Civil Division)</x:v>
      </x:c>
      <x:c r="I1821" s="9" t="str">
        <x:v>England and Wales</x:v>
      </x:c>
      <x:c r="J1821" s="9" t="str">
        <x:v>Civil Appeal / Intellectual Property (Trade Marks)</x:v>
      </x:c>
      <x:c r="K1821" s="9" t="str">
        <x:v>ew-cases-EWCA-Civ-2022-1433.xml</x:v>
      </x:c>
      <x:c r="L1821" s="9" t="str">
        <x:v>TBA</x:v>
      </x:c>
    </x:row>
    <x:row r="1822">
      <x:c r="A1822" t="str">
        <x:v>856f1ba0-fce3-4a88-98ae-e6565916ed90</x:v>
      </x:c>
      <x:c r="B1822" t="str">
        <x:v>a3989ea3-63fe-49d8-8875-958e6010916d</x:v>
      </x:c>
      <x:c r="C1822" s="9" t="str">
        <x:v>Lidl Ltd v Central Arbitration Committee &amp; Anor</x:v>
      </x:c>
      <x:c r="D1822" s="9" t="str"/>
      <x:c r="E1822" s="9" t="str"/>
      <x:c r="F1822" s="13" t="str">
        <x:v>2017</x:v>
      </x:c>
      <x:c r="G1822" s="9" t="str">
        <x:v>England and Wales Court of Appeal (Civil Division)</x:v>
      </x:c>
      <x:c r="H1822" s="9" t="str">
        <x:v>Appellate</x:v>
      </x:c>
      <x:c r="I1822" s="9" t="str">
        <x:v>England and Wales</x:v>
      </x:c>
      <x:c r="J1822" s="9" t="str">
        <x:v>Administrative Law</x:v>
      </x:c>
      <x:c r="K1822" s="9" t="str">
        <x:v>-ew-cases-EWCA-Civ-2017-328.xml</x:v>
      </x:c>
      <x:c r="L1822" s="9" t="str">
        <x:v>TBA</x:v>
      </x:c>
    </x:row>
    <x:row r="1823">
      <x:c r="A1823" t="str">
        <x:v>c11223eb-facf-4d74-8b50-9b98d969e500</x:v>
      </x:c>
      <x:c r="B1823" t="str">
        <x:v>5cc5338f-6b4a-4f8d-8125-01fab76e56b5</x:v>
      </x:c>
      <x:c r="C1823" s="9" t="str">
        <x:v>Lie v Mohile [2014] EWCA Civ 728</x:v>
      </x:c>
      <x:c r="D1823" s="9" t="str"/>
      <x:c r="E1823" s="9" t="str"/>
      <x:c r="F1823" s="13" t="str">
        <x:v>2014</x:v>
      </x:c>
      <x:c r="G1823" s="9" t="str">
        <x:v>England and Wales Court of Appeal (Civil Division)</x:v>
      </x:c>
      <x:c r="H1823" s="9" t="str">
        <x:v>Appellate</x:v>
      </x:c>
      <x:c r="I1823" s="9" t="str">
        <x:v>England and Wales</x:v>
      </x:c>
      <x:c r="J1823" s="9" t="str">
        <x:v>Landlord and Tenant</x:v>
      </x:c>
      <x:c r="K1823" s="9" t="str">
        <x:v>-ew-cases-EWCA-Civ-2014-728.xml</x:v>
      </x:c>
      <x:c r="L1823" s="9" t="str">
        <x:v>TBA</x:v>
      </x:c>
    </x:row>
    <x:row r="1824">
      <x:c r="A1824" t="str">
        <x:v>a50e676f-a25c-4394-b891-4356fc2d772a</x:v>
      </x:c>
      <x:c r="B1824" t="str">
        <x:v>4bbd1eaf-1c32-437c-86bb-b3f2b97f0ab8</x:v>
      </x:c>
      <x:c r="C1824" s="9" t="str">
        <x:v>Lifestyle Equities C.V. &amp; Anor v Ahmed &amp; Anor [2021] EWCA Civ 675</x:v>
      </x:c>
      <x:c r="D1824" s="9" t="str"/>
      <x:c r="E1824" s="9" t="str"/>
      <x:c r="F1824" s="13" t="str">
        <x:v>2021</x:v>
      </x:c>
      <x:c r="G1824" s="9" t="str">
        <x:v>England and Wales Court of Appeal (Civil Division)</x:v>
      </x:c>
      <x:c r="H1824" s="9" t="str">
        <x:v>Appellate</x:v>
      </x:c>
      <x:c r="I1824" s="9" t="str">
        <x:v>England and Wales</x:v>
      </x:c>
      <x:c r="J1824" s="9" t="str">
        <x:v>Intellectual Property</x:v>
      </x:c>
      <x:c r="K1824" s="9" t="str">
        <x:v>ew-cases-EWCA-Civ-2021-675.xml</x:v>
      </x:c>
      <x:c r="L1824" s="9" t="str">
        <x:v>TBA</x:v>
      </x:c>
    </x:row>
    <x:row r="1825">
      <x:c r="A1825" t="str">
        <x:v>5aca2905-5e0d-4c79-a4a8-487070adfff5</x:v>
      </x:c>
      <x:c r="B1825" t="str">
        <x:v>17444891-cc20-479e-9b00-d543c68baa31</x:v>
      </x:c>
      <x:c r="C1825" s="9" t="str">
        <x:v>Lifestyle Equities CV &amp; Anor v Amazon UK Services Ltd &amp; Ors (Consequential Issues) [2022] EWCA Civ 634 (12 May 2022)</x:v>
      </x:c>
      <x:c r="D1825" s="9" t="str"/>
      <x:c r="E1825" s="9" t="str"/>
      <x:c r="F1825" s="13" t="str">
        <x:v>2022</x:v>
      </x:c>
      <x:c r="G1825" s="9" t="str">
        <x:v>England and Wales Court of Appeal (Civil Division)</x:v>
      </x:c>
      <x:c r="H1825" s="9" t="str">
        <x:v>Court of Appeal (Civil Division)</x:v>
      </x:c>
      <x:c r="I1825" s="9" t="str">
        <x:v>England and Wales</x:v>
      </x:c>
      <x:c r="J1825" s="9" t="str">
        <x:v>Intellectual Property / Trademark</x:v>
      </x:c>
      <x:c r="K1825" s="9" t="str">
        <x:v>ew-cases-EWCA-Civ-2022-634.xml</x:v>
      </x:c>
      <x:c r="L1825" s="9" t="str">
        <x:v>TBA</x:v>
      </x:c>
    </x:row>
    <x:row r="1826">
      <x:c r="A1826" t="str">
        <x:v>7904853a-0689-45d8-aa82-e96a210e9b41</x:v>
      </x:c>
      <x:c r="B1826" t="str">
        <x:v>5a5730f5-7269-488b-886a-cdc8a0d6ec8a</x:v>
      </x:c>
      <x:c r="C1826" s="9" t="str">
        <x:v>Lifestyle Equities CV &amp; Anor v Amazon UK Services Ltd &amp; Ors [2022] EWCA Civ 552 (Court of Appeal, Civil Division)</x:v>
      </x:c>
      <x:c r="D1826" s="9" t="str"/>
      <x:c r="E1826" s="9" t="str"/>
      <x:c r="F1826" s="13" t="str">
        <x:v>2022</x:v>
      </x:c>
      <x:c r="G1826" s="9" t="str">
        <x:v>England and Wales Court of Appeal (Civil Division)</x:v>
      </x:c>
      <x:c r="H1826" s="9" t="str">
        <x:v>Court of Appeal (Civil Division)</x:v>
      </x:c>
      <x:c r="I1826" s="9" t="str">
        <x:v>England and Wales</x:v>
      </x:c>
      <x:c r="J1826" s="9" t="str">
        <x:v>Intellectual Property/Trade Marks - Infringement; EU Law; Cross-Border E-Commerce</x:v>
      </x:c>
      <x:c r="K1826" s="9" t="str">
        <x:v>ew-cases-EWCA-Civ-2022-552.xml</x:v>
      </x:c>
      <x:c r="L1826" s="9" t="str">
        <x:v>TBA</x:v>
      </x:c>
    </x:row>
    <x:row r="1827">
      <x:c r="A1827" t="str">
        <x:v>4593091e-f2a5-4744-8bdb-9ab17e03ddf3</x:v>
      </x:c>
      <x:c r="B1827" t="str">
        <x:v>d08ad219-0f05-47df-9e24-93b1f7f11355</x:v>
      </x:c>
      <x:c r="C1827" s="9" t="str">
        <x:v>Lifestyle Equities CV &amp; Anor v Hornby Street (MCR) Ltd &amp; Ors [2022] EWCA Civ 51</x:v>
      </x:c>
      <x:c r="D1827" s="9" t="str"/>
      <x:c r="E1827" s="9" t="str"/>
      <x:c r="F1827" s="13" t="str">
        <x:v>2022</x:v>
      </x:c>
      <x:c r="G1827" s="9" t="str">
        <x:v>England and Wales Court of Appeal (Civil Division)</x:v>
      </x:c>
      <x:c r="H1827" s="9" t="str">
        <x:v>Court of Appeal (Civil Division)</x:v>
      </x:c>
      <x:c r="I1827" s="9" t="str">
        <x:v>England and Wales</x:v>
      </x:c>
      <x:c r="J1827" s="9" t="str">
        <x:v>Intellectual Property / Arbitration</x:v>
      </x:c>
      <x:c r="K1827" s="9" t="str">
        <x:v>ew-cases-EWCA-Civ-2022-51.xml</x:v>
      </x:c>
      <x:c r="L1827" s="9" t="str">
        <x:v>TBA</x:v>
      </x:c>
    </x:row>
    <x:row r="1828">
      <x:c r="A1828" t="str">
        <x:v>2838077d-0af1-4958-82d4-ef315fc2ecdf</x:v>
      </x:c>
      <x:c r="B1828" t="str">
        <x:v>17e547ad-19c4-4311-869f-7bd33e6b9955</x:v>
      </x:c>
      <x:c r="C1828" s="9" t="str">
        <x:v>Lim v Entry Clearance Officer Manila [2015] EWCA Civ 1383 – Dependency Status of Family Members under EU Law</x:v>
      </x:c>
      <x:c r="D1828" s="9" t="str"/>
      <x:c r="E1828" s="9" t="str"/>
      <x:c r="F1828" s="13" t="str">
        <x:v>2015</x:v>
      </x:c>
      <x:c r="G1828" s="9" t="str">
        <x:v>England and Wales Court of Appeal (Civil Division)</x:v>
      </x:c>
      <x:c r="H1828" s="9" t="str">
        <x:v>Appellate</x:v>
      </x:c>
      <x:c r="I1828" s="9" t="str">
        <x:v>England and Wales</x:v>
      </x:c>
      <x:c r="J1828" s="9" t="str">
        <x:v>Immigration Law</x:v>
      </x:c>
      <x:c r="K1828" s="9" t="str">
        <x:v>-ew-cases-EWCA-Civ-2015-1383.xml</x:v>
      </x:c>
      <x:c r="L1828" s="9" t="str">
        <x:v>TBA</x:v>
      </x:c>
    </x:row>
    <x:row r="1829">
      <x:c r="A1829" t="str">
        <x:v>adbb011d-f386-46a4-9c05-4b41e2ceeb35</x:v>
      </x:c>
      <x:c r="B1829" t="str">
        <x:v>6260a635-4281-4a76-8dff-e344d54d5b74</x:v>
      </x:c>
      <x:c r="C1829" s="9" t="str">
        <x:v>Lim v Walia [2014] EWCA Civ 1076</x:v>
      </x:c>
      <x:c r="D1829" s="9" t="str"/>
      <x:c r="E1829" s="9" t="str"/>
      <x:c r="F1829" s="13" t="str">
        <x:v>2014</x:v>
      </x:c>
      <x:c r="G1829" s="9" t="str">
        <x:v>England and Wales Court of Appeal (Civil Division)</x:v>
      </x:c>
      <x:c r="H1829" s="9" t="str">
        <x:v>Appellate</x:v>
      </x:c>
      <x:c r="I1829" s="9" t="str">
        <x:v>England and Wales</x:v>
      </x:c>
      <x:c r="J1829" s="9" t="str">
        <x:v>Inheritance Law</x:v>
      </x:c>
      <x:c r="K1829" s="9" t="str">
        <x:v>-ew-cases-EWCA-Civ-2014-1076.xml</x:v>
      </x:c>
      <x:c r="L1829" s="9" t="str">
        <x:v>TBA</x:v>
      </x:c>
    </x:row>
    <x:row r="1830">
      <x:c r="A1830" t="str">
        <x:v>30e1b5e0-e2ee-44f2-a6ab-36d36c36949f</x:v>
      </x:c>
      <x:c r="B1830" t="str">
        <x:v>bf6b8a2a-1d03-4e31-aa46-ac1a682f0664</x:v>
      </x:c>
      <x:c r="C1830" s="9" t="str">
        <x:v>Lindner v Rawlins [2015] EWCA Civ 61</x:v>
      </x:c>
      <x:c r="D1830" s="9" t="str"/>
      <x:c r="E1830" s="9" t="str"/>
      <x:c r="F1830" s="13" t="str">
        <x:v>2015</x:v>
      </x:c>
      <x:c r="G1830" s="9" t="str">
        <x:v>England and Wales Court of Appeal (Civil Division)</x:v>
      </x:c>
      <x:c r="H1830" s="9" t="str">
        <x:v>Appellate</x:v>
      </x:c>
      <x:c r="I1830" s="9" t="str">
        <x:v>England and Wales</x:v>
      </x:c>
      <x:c r="J1830" s="9" t="str">
        <x:v>Family Law</x:v>
      </x:c>
      <x:c r="K1830" s="9" t="str">
        <x:v>-ew-cases-EWCA-Civ-2015-61.xml</x:v>
      </x:c>
      <x:c r="L1830" s="9" t="str">
        <x:v>TBA</x:v>
      </x:c>
    </x:row>
    <x:row r="1831">
      <x:c r="A1831" t="str">
        <x:v>edbb006d-50f1-4d13-bb0a-045303ae3656</x:v>
      </x:c>
      <x:c r="B1831" t="str">
        <x:v>897f8770-e715-4887-a379-4617e426f532</x:v>
      </x:c>
      <x:c r="C1831" s="9" t="str">
        <x:v>Link Spolka Z O.O. &amp; Ors v Secretary of State for the Home Department [2021] EWCA Civ 1830</x:v>
      </x:c>
      <x:c r="D1831" s="9" t="str"/>
      <x:c r="E1831" s="9" t="str"/>
      <x:c r="F1831" s="13" t="str">
        <x:v>2021</x:v>
      </x:c>
      <x:c r="G1831" s="9" t="str">
        <x:v>England and Wales Court of Appeal (Civil Division)</x:v>
      </x:c>
      <x:c r="H1831" s="9" t="str">
        <x:v>Appellate</x:v>
      </x:c>
      <x:c r="I1831" s="9" t="str">
        <x:v>England and Wales</x:v>
      </x:c>
      <x:c r="J1831" s="9" t="str">
        <x:v>Immigration Law</x:v>
      </x:c>
      <x:c r="K1831" s="9" t="str">
        <x:v>ew-cases-EWCA-Civ-2021-1830.xml</x:v>
      </x:c>
      <x:c r="L1831" s="9" t="str">
        <x:v>TBA</x:v>
      </x:c>
    </x:row>
    <x:row r="1832">
      <x:c r="A1832" t="str">
        <x:v>b3a4afcc-6928-4ecf-abd3-03f2cb3cfac7</x:v>
      </x:c>
      <x:c r="B1832" t="str">
        <x:v>48680311-d5d0-4e52-b92e-12bd67390860</x:v>
      </x:c>
      <x:c r="C1832" s="9" t="str">
        <x:v>Liontrust Investment Partners LLP &amp; Ors v Flanagan [2017] EWCA Civ 985</x:v>
      </x:c>
      <x:c r="D1832" s="9" t="str"/>
      <x:c r="E1832" s="9" t="str"/>
      <x:c r="F1832" s="13" t="str">
        <x:v>2017</x:v>
      </x:c>
      <x:c r="G1832" s="9" t="str">
        <x:v>England and Wales Court of Appeal (Civil Division)</x:v>
      </x:c>
      <x:c r="H1832" s="9" t="str">
        <x:v>Appellate</x:v>
      </x:c>
      <x:c r="I1832" s="9" t="str">
        <x:v>England and Wales</x:v>
      </x:c>
      <x:c r="J1832" s="9" t="str">
        <x:v>Contract Dispute</x:v>
      </x:c>
      <x:c r="K1832" s="9" t="str">
        <x:v>-ew-cases-EWCA-Civ-2017-985.xml</x:v>
      </x:c>
      <x:c r="L1832" s="9" t="str">
        <x:v>TBA</x:v>
      </x:c>
    </x:row>
    <x:row r="1833">
      <x:c r="A1833" t="str">
        <x:v>90e70b99-82d6-4cea-b935-f2f696142a0b</x:v>
      </x:c>
      <x:c r="B1833" t="str">
        <x:v>bd5e3034-a6ac-4ea8-b441-52b90e6b228e</x:v>
      </x:c>
      <x:c r="C1833" s="9" t="str">
        <x:v>Lipton &amp; Anor v BA City Flyer Ltd</x:v>
      </x:c>
      <x:c r="D1833" s="9" t="str"/>
      <x:c r="E1833" s="9" t="str"/>
      <x:c r="F1833" s="13" t="str">
        <x:v>2021</x:v>
      </x:c>
      <x:c r="G1833" s="9" t="str">
        <x:v>England and Wales Court of Appeal (Civil Division)</x:v>
      </x:c>
      <x:c r="H1833" s="9" t="str">
        <x:v>Appellate</x:v>
      </x:c>
      <x:c r="I1833" s="9" t="str">
        <x:v>England and Wales</x:v>
      </x:c>
      <x:c r="J1833" s="9" t="str">
        <x:v>Consumer Protection</x:v>
      </x:c>
      <x:c r="K1833" s="9" t="str">
        <x:v>ew-cases-EWCA-Civ-2021-454.xml</x:v>
      </x:c>
      <x:c r="L1833" s="9" t="str">
        <x:v>TBA</x:v>
      </x:c>
    </x:row>
    <x:row r="1834">
      <x:c r="A1834" t="str">
        <x:v>46381512-d529-42fe-b14f-110788c601f0</x:v>
      </x:c>
      <x:c r="B1834" t="str">
        <x:v>3954740d-e176-4b77-831a-0e90f922ea25</x:v>
      </x:c>
      <x:c r="C1834" s="9" t="str">
        <x:v>Lisle-Mainwaring v Carroll [2017] EWCA Civ 1315</x:v>
      </x:c>
      <x:c r="D1834" s="9" t="str"/>
      <x:c r="E1834" s="9" t="str"/>
      <x:c r="F1834" s="13" t="str">
        <x:v>2017</x:v>
      </x:c>
      <x:c r="G1834" s="9" t="str">
        <x:v>England and Wales Court of Appeal (Civil Division)</x:v>
      </x:c>
      <x:c r="H1834" s="9" t="str">
        <x:v>Appellate</x:v>
      </x:c>
      <x:c r="I1834" s="9" t="str">
        <x:v>England and Wales</x:v>
      </x:c>
      <x:c r="J1834" s="9" t="str">
        <x:v>Administrative Law</x:v>
      </x:c>
      <x:c r="K1834" s="9" t="str">
        <x:v>-ew-cases-EWCA-Civ-2017-1315.xml</x:v>
      </x:c>
      <x:c r="L1834" s="9" t="str">
        <x:v>TBA</x:v>
      </x:c>
    </x:row>
    <x:row r="1835">
      <x:c r="A1835" t="str">
        <x:v>d607cbca-afda-49e3-b06e-1697b31a3509</x:v>
      </x:c>
      <x:c r="B1835" t="str">
        <x:v>ef69364f-1f4a-4944-86e4-73329cef96a0</x:v>
      </x:c>
      <x:c r="C1835" s="9" t="str">
        <x:v>Littlejohns &amp; Anor v Devon County Council &amp; Anor [2016] EWCA Civ 446</x:v>
      </x:c>
      <x:c r="D1835" s="9" t="str"/>
      <x:c r="E1835" s="9" t="str"/>
      <x:c r="F1835" s="13" t="str">
        <x:v>2016</x:v>
      </x:c>
      <x:c r="G1835" s="9" t="str">
        <x:v>England and Wales Court of Appeal (Civil Division)</x:v>
      </x:c>
      <x:c r="H1835" s="9" t="str">
        <x:v>Court of Appeal (Civil Division)</x:v>
      </x:c>
      <x:c r="I1835" s="9" t="str">
        <x:v>England and Wales</x:v>
      </x:c>
      <x:c r="J1835" s="9" t="str">
        <x:v>Public Law; Property Law; Administrative Law</x:v>
      </x:c>
      <x:c r="K1835" s="9" t="str">
        <x:v>-ew-cases-EWCA-Civ-2016-446.xml</x:v>
      </x:c>
      <x:c r="L1835" s="9" t="str">
        <x:v>TBA</x:v>
      </x:c>
    </x:row>
    <x:row r="1836">
      <x:c r="A1836" t="str">
        <x:v>1848b84e-895e-4be2-9da4-5b44a524f683</x:v>
      </x:c>
      <x:c r="B1836" t="str">
        <x:v>2536ff19-bddd-4403-bfa8-115bde3508d7</x:v>
      </x:c>
      <x:c r="C1836" s="9" t="str">
        <x:v>Littlestone &amp; Ors v Macleish [2016] EWCA Civ 127</x:v>
      </x:c>
      <x:c r="D1836" s="9" t="str"/>
      <x:c r="E1836" s="9" t="str"/>
      <x:c r="F1836" s="13" t="str">
        <x:v>2016</x:v>
      </x:c>
      <x:c r="G1836" s="9" t="str">
        <x:v>England and Wales Court of Appeal (Civil Division)</x:v>
      </x:c>
      <x:c r="H1836" s="9" t="str">
        <x:v>Court of Appeal (Civil Division)</x:v>
      </x:c>
      <x:c r="I1836" s="9" t="str">
        <x:v>England and Wales</x:v>
      </x:c>
      <x:c r="J1836" s="9" t="str">
        <x:v>Contract/Property - Costs Dispute</x:v>
      </x:c>
      <x:c r="K1836" s="9" t="str">
        <x:v>-ew-cases-EWCA-Civ-2016-127.xml</x:v>
      </x:c>
      <x:c r="L1836" s="9" t="str">
        <x:v>TBA</x:v>
      </x:c>
    </x:row>
    <x:row r="1837">
      <x:c r="A1837" t="str">
        <x:v>ac89f3c5-2325-4989-9ce4-6929a0de75e5</x:v>
      </x:c>
      <x:c r="B1837" t="str">
        <x:v>88bb4a5f-a731-48de-9e0d-c8537ea915a0</x:v>
      </x:c>
      <x:c r="C1837" s="9" t="str">
        <x:v>Littlewoods Ltd &amp; Ors v HM Revenue and Customs [2015] EWCA Civ 515</x:v>
      </x:c>
      <x:c r="D1837" s="9" t="str"/>
      <x:c r="E1837" s="9" t="str"/>
      <x:c r="F1837" s="13" t="str">
        <x:v>2015</x:v>
      </x:c>
      <x:c r="G1837" s="9" t="str">
        <x:v>England and Wales Court of Appeal (Civil Division)</x:v>
      </x:c>
      <x:c r="H1837" s="9" t="str">
        <x:v>Appellate</x:v>
      </x:c>
      <x:c r="I1837" s="9" t="str">
        <x:v>England and Wales</x:v>
      </x:c>
      <x:c r="J1837" s="9" t="str">
        <x:v>Tax Law</x:v>
      </x:c>
      <x:c r="K1837" s="9" t="str">
        <x:v>-ew-cases-EWCA-Civ-2015-515.xml</x:v>
      </x:c>
      <x:c r="L1837" s="9" t="str">
        <x:v>TBA</x:v>
      </x:c>
    </x:row>
    <x:row r="1838">
      <x:c r="A1838" t="str">
        <x:v>f5882777-61e5-419f-ada0-a425784a0435</x:v>
      </x:c>
      <x:c r="B1838" t="str">
        <x:v>2b6a775a-e97f-4f72-b385-b3f0eab17e11</x:v>
      </x:c>
      <x:c r="C1838" s="9" t="str">
        <x:v>Liverpool Gin Distillery Ltd &amp; Ors v Sazerac Brands, LLC &amp; Ors</x:v>
      </x:c>
      <x:c r="D1838" s="9" t="str"/>
      <x:c r="E1838" s="9" t="str"/>
      <x:c r="F1838" s="13" t="str">
        <x:v>2021</x:v>
      </x:c>
      <x:c r="G1838" s="9" t="str">
        <x:v>England and Wales Court of Appeal (Civil Division)</x:v>
      </x:c>
      <x:c r="H1838" s="9" t="str">
        <x:v>Appellate</x:v>
      </x:c>
      <x:c r="I1838" s="9" t="str">
        <x:v>England and Wales</x:v>
      </x:c>
      <x:c r="J1838" s="9" t="str">
        <x:v>Intellectual Property</x:v>
      </x:c>
      <x:c r="K1838" s="9" t="str">
        <x:v>ew-cases-EWCA-Civ-2021-1207.xml</x:v>
      </x:c>
      <x:c r="L1838" s="9" t="str">
        <x:v>TBA</x:v>
      </x:c>
    </x:row>
    <x:row r="1839">
      <x:c r="A1839" t="str">
        <x:v>5b699460-3cf2-4a99-baca-3b86de1cadd4</x:v>
      </x:c>
      <x:c r="B1839" t="str">
        <x:v>653f5240-7160-47e4-9009-db4466a660e2</x:v>
      </x:c>
      <x:c r="C1839" s="9" t="str">
        <x:v>Liverpool Women's Hospital NHS Foundation Trust v Ronayne [2015] EWCA Civ 588</x:v>
      </x:c>
      <x:c r="D1839" s="9" t="str"/>
      <x:c r="E1839" s="9" t="str"/>
      <x:c r="F1839" s="13" t="str">
        <x:v>2015</x:v>
      </x:c>
      <x:c r="G1839" s="9" t="str">
        <x:v>England and Wales Court of Appeal (Civil Division)</x:v>
      </x:c>
      <x:c r="H1839" s="9" t="str">
        <x:v>Appellate</x:v>
      </x:c>
      <x:c r="I1839" s="9" t="str">
        <x:v>England and Wales</x:v>
      </x:c>
      <x:c r="J1839" s="9" t="str">
        <x:v>Tort</x:v>
      </x:c>
      <x:c r="K1839" s="9" t="str">
        <x:v>-ew-cases-EWCA-Civ-2015-588.xml</x:v>
      </x:c>
      <x:c r="L1839" s="9" t="str">
        <x:v>TBA</x:v>
      </x:c>
    </x:row>
    <x:row r="1840">
      <x:c r="A1840" t="str">
        <x:v>c92be8e9-bf2e-4aa0-a3f6-d1e8cd1ad05d</x:v>
      </x:c>
      <x:c r="B1840" t="str">
        <x:v>ab3e143a-1615-4df1-aba1-180837ade9ef</x:v>
      </x:c>
      <x:c r="C1840" s="9" t="str">
        <x:v>LL v The Lord Chancellor [2017] EWCA Civ 237</x:v>
      </x:c>
      <x:c r="D1840" s="9" t="str"/>
      <x:c r="E1840" s="9" t="str"/>
      <x:c r="F1840" s="13" t="str">
        <x:v>2017</x:v>
      </x:c>
      <x:c r="G1840" s="9" t="str">
        <x:v>England and Wales Court of Appeal (Civil Division)</x:v>
      </x:c>
      <x:c r="H1840" s="9" t="str">
        <x:v>Appellate</x:v>
      </x:c>
      <x:c r="I1840" s="9" t="str">
        <x:v>England and Wales</x:v>
      </x:c>
      <x:c r="J1840" s="9" t="str">
        <x:v>Civil Appeal</x:v>
      </x:c>
      <x:c r="K1840" s="9" t="str">
        <x:v>-ew-cases-EWCA-Civ-2017-237.xml</x:v>
      </x:c>
      <x:c r="L1840" s="9" t="str">
        <x:v>TBA</x:v>
      </x:c>
    </x:row>
    <x:row r="1841">
      <x:c r="A1841" t="str">
        <x:v>11e46558-deac-42b9-b9d1-732398ade3d6</x:v>
      </x:c>
      <x:c r="B1841" t="str">
        <x:v>f6cf3f3b-7d80-4e66-9308-15b2a98faac5</x:v>
      </x:c>
      <x:c r="C1841" s="9" t="str">
        <x:v>LLC EuroChem North-West-2 v Tecnimont S.P.A &amp; Anor [2023] EWCA Civ 688</x:v>
      </x:c>
      <x:c r="D1841" s="9" t="str"/>
      <x:c r="E1841" s="9" t="str"/>
      <x:c r="F1841" s="13" t="str">
        <x:v>2023</x:v>
      </x:c>
      <x:c r="G1841" s="9" t="str">
        <x:v>England and Wales Court of Appeal (Civil Division)</x:v>
      </x:c>
      <x:c r="H1841" s="9" t="str">
        <x:v>Court of Appeal (Civil Division)</x:v>
      </x:c>
      <x:c r="I1841" s="9" t="str">
        <x:v>England and Wales</x:v>
      </x:c>
      <x:c r="J1841" s="9" t="str">
        <x:v>Civil Procedure; Arbitration; Contract; International Law</x:v>
      </x:c>
      <x:c r="K1841" s="9" t="str">
        <x:v>ew-cases-EWCA-Civ-2023-688.xml</x:v>
      </x:c>
      <x:c r="L1841" s="9" t="str">
        <x:v>TBA</x:v>
      </x:c>
    </x:row>
    <x:row r="1842">
      <x:c r="A1842" t="str">
        <x:v>011ea227-0c0f-4dd1-9026-ff88095c2dd5</x:v>
      </x:c>
      <x:c r="B1842" t="str">
        <x:v>9fe7ef49-0a26-468e-b75b-2ff7ec57b3d6</x:v>
      </x:c>
      <x:c r="C1842" s="9" t="str">
        <x:v>Lloyd &amp; Anor v Secretary of State for Communities And Local Government &amp; Anor [2014] EWCA Civ 839</x:v>
      </x:c>
      <x:c r="D1842" s="9" t="str"/>
      <x:c r="E1842" s="9" t="str"/>
      <x:c r="F1842" s="13" t="str">
        <x:v>2014</x:v>
      </x:c>
      <x:c r="G1842" s="9" t="str">
        <x:v>England and Wales Court of Appeal (Civil Division)</x:v>
      </x:c>
      <x:c r="H1842" s="9" t="str">
        <x:v>Appellate</x:v>
      </x:c>
      <x:c r="I1842" s="9" t="str">
        <x:v>England and Wales</x:v>
      </x:c>
      <x:c r="J1842" s="9" t="str">
        <x:v>Administrative Law</x:v>
      </x:c>
      <x:c r="K1842" s="9" t="str">
        <x:v>-ew-cases-EWCA-Civ-2014-839.xml</x:v>
      </x:c>
      <x:c r="L1842" s="9" t="str">
        <x:v>TBA</x:v>
      </x:c>
    </x:row>
    <x:row r="1843">
      <x:c r="A1843" t="str">
        <x:v>a2d38aac-48cf-4b46-a929-0149feffa47f</x:v>
      </x:c>
      <x:c r="B1843" t="str">
        <x:v>10597495-a9e3-4751-be40-2cc11f4da355</x:v>
      </x:c>
      <x:c r="C1843" s="9" t="str">
        <x:v>Lloyds TSB Insurance Services Ltd &amp; Anor v Shanley [2014] EWCA Civ 407</x:v>
      </x:c>
      <x:c r="D1843" s="9" t="str"/>
      <x:c r="E1843" s="9" t="str"/>
      <x:c r="F1843" s="13" t="str">
        <x:v>2014</x:v>
      </x:c>
      <x:c r="G1843" s="9" t="str">
        <x:v>England and Wales Court of Appeal (Civil Division)</x:v>
      </x:c>
      <x:c r="H1843" s="9" t="str">
        <x:v>Appellate</x:v>
      </x:c>
      <x:c r="I1843" s="9" t="str">
        <x:v>England and Wales</x:v>
      </x:c>
      <x:c r="J1843" s="9" t="str">
        <x:v>Intellectual Property</x:v>
      </x:c>
      <x:c r="K1843" s="9" t="str">
        <x:v>-ew-cases-EWCA-Civ-2014-407.xml</x:v>
      </x:c>
      <x:c r="L1843" s="9" t="str">
        <x:v>TBA</x:v>
      </x:c>
    </x:row>
    <x:row r="1844">
      <x:c r="A1844" t="str">
        <x:v>dcac33a8-b303-4075-9ef9-74baa8a84e65</x:v>
      </x:c>
      <x:c r="B1844" t="str">
        <x:v>366589a0-e768-4590-acbf-f673b5aa2897</x:v>
      </x:c>
      <x:c r="C1844" s="9" t="str">
        <x:v>LM (Albania) v Secretary of State for the Home Department, [2022] EWCA Civ 977</x:v>
      </x:c>
      <x:c r="D1844" s="9" t="str"/>
      <x:c r="E1844" s="9" t="str"/>
      <x:c r="F1844" s="13" t="str">
        <x:v>2022</x:v>
      </x:c>
      <x:c r="G1844" s="9" t="str">
        <x:v>England and Wales Court of Appeal (Civil Division)</x:v>
      </x:c>
      <x:c r="H1844" s="9" t="str">
        <x:v>Court of Appeal (Civil Division)</x:v>
      </x:c>
      <x:c r="I1844" s="9" t="str">
        <x:v>England and Wales</x:v>
      </x:c>
      <x:c r="J1844" s="9" t="str">
        <x:v>Judicial Review / Administrative Law / Immigration</x:v>
      </x:c>
      <x:c r="K1844" s="9" t="str">
        <x:v>ew-cases-EWCA-Civ-2022-977.xml</x:v>
      </x:c>
      <x:c r="L1844" s="9" t="str">
        <x:v>TBA</x:v>
      </x:c>
    </x:row>
    <x:row r="1845">
      <x:c r="A1845" t="str">
        <x:v>1b1f3f6f-3798-42bf-90c8-bf55e5454559</x:v>
      </x:c>
      <x:c r="B1845" t="str">
        <x:v>d86c7ffa-f1c4-474b-8105-6ef4ecb46763</x:v>
      </x:c>
      <x:c r="C1845" s="9" t="str">
        <x:v>Loader, R (On the Application Of) v Rother District Council &amp; Anor [2016] EWCA Civ 795</x:v>
      </x:c>
      <x:c r="D1845" s="9" t="str"/>
      <x:c r="E1845" s="9" t="str"/>
      <x:c r="F1845" s="13" t="str">
        <x:v>2016</x:v>
      </x:c>
      <x:c r="G1845" s="9" t="str">
        <x:v>England and Wales Court of Appeal (Civil Division)</x:v>
      </x:c>
      <x:c r="H1845" s="9" t="str">
        <x:v>Court of Appeal (Civil Division)</x:v>
      </x:c>
      <x:c r="I1845" s="9" t="str">
        <x:v>England and Wales</x:v>
      </x:c>
      <x:c r="J1845" s="9" t="str">
        <x:v>Planning and Administrative Law / Judicial Review</x:v>
      </x:c>
      <x:c r="K1845" s="9" t="str">
        <x:v>-ew-cases-EWCA-Civ-2016-795.xml</x:v>
      </x:c>
      <x:c r="L1845" s="9" t="str">
        <x:v>TBA</x:v>
      </x:c>
    </x:row>
    <x:row r="1846">
      <x:c r="A1846" t="str">
        <x:v>061eb992-b1f9-4f13-9c56-066f1a4ca270</x:v>
      </x:c>
      <x:c r="B1846" t="str">
        <x:v>45f965c6-65c2-44c7-8382-a67c6dbd009f</x:v>
      </x:c>
      <x:c r="C1846" s="9" t="str">
        <x:v>Lockett v Minstrell Recruitment Ltd [2021] EWCA Civ 102</x:v>
      </x:c>
      <x:c r="D1846" s="9" t="str"/>
      <x:c r="E1846" s="9" t="str"/>
      <x:c r="F1846" s="13" t="str">
        <x:v>2021</x:v>
      </x:c>
      <x:c r="G1846" s="9" t="str">
        <x:v>England and Wales Court of Appeal (Civil Division)</x:v>
      </x:c>
      <x:c r="H1846" s="9" t="str">
        <x:v>Appellate</x:v>
      </x:c>
      <x:c r="I1846" s="9" t="str">
        <x:v>England and Wales</x:v>
      </x:c>
      <x:c r="J1846" s="9" t="str">
        <x:v>Contempt of Court</x:v>
      </x:c>
      <x:c r="K1846" s="9" t="str">
        <x:v>ew-cases-EWCA-Civ-2021-102.xml</x:v>
      </x:c>
      <x:c r="L1846" s="9" t="str">
        <x:v>TBA</x:v>
      </x:c>
    </x:row>
    <x:row r="1847">
      <x:c r="A1847" t="str">
        <x:v>de65bfdd-fb87-4cdc-8664-f6c2cdf7ac3e</x:v>
      </x:c>
      <x:c r="B1847" t="str">
        <x:v>7cb12a61-33b2-4ee6-bc75-64e7413e7386</x:v>
      </x:c>
      <x:c r="C1847" s="9" t="str">
        <x:v>Lombard-Knight &amp; Anor v Rainstorm Pictures Inc [2014] EWCA Civ 356</x:v>
      </x:c>
      <x:c r="D1847" s="9" t="str"/>
      <x:c r="E1847" s="9" t="str"/>
      <x:c r="F1847" s="13" t="str">
        <x:v>2014</x:v>
      </x:c>
      <x:c r="G1847" s="9" t="str">
        <x:v>England and Wales Court of Appeal (Civil Division)</x:v>
      </x:c>
      <x:c r="H1847" s="9" t="str">
        <x:v>Appellate</x:v>
      </x:c>
      <x:c r="I1847" s="9" t="str">
        <x:v>England and Wales</x:v>
      </x:c>
      <x:c r="J1847" s="9" t="str">
        <x:v>Commercial Law</x:v>
      </x:c>
      <x:c r="K1847" s="9" t="str">
        <x:v>-ew-cases-EWCA-Civ-2014-356.xml</x:v>
      </x:c>
      <x:c r="L1847" s="9" t="str">
        <x:v>TBA</x:v>
      </x:c>
    </x:row>
    <x:row r="1848">
      <x:c r="A1848" t="str">
        <x:v>dac6228b-d55e-4500-839f-0f2884214169</x:v>
      </x:c>
      <x:c r="B1848" t="str">
        <x:v>e6ad22e7-467d-4ae1-9b2b-5ca918e1e753</x:v>
      </x:c>
      <x:c r="C1848" s="9" t="str">
        <x:v>London &amp; South Eastern Railway Limited; First MTR South Western Trains Limited; Stagecoach South Western Trains Limited v Justin Gutmann [2022] EWCA Civ 1077</x:v>
      </x:c>
      <x:c r="D1848" s="9" t="str"/>
      <x:c r="E1848" s="9" t="str"/>
      <x:c r="F1848" s="13" t="str">
        <x:v>2022</x:v>
      </x:c>
      <x:c r="G1848" s="9" t="str">
        <x:v>England and Wales Court of Appeal (Civil Division)</x:v>
      </x:c>
      <x:c r="H1848" s="9" t="str">
        <x:v>Court of Appeal (Civil Division)</x:v>
      </x:c>
      <x:c r="I1848" s="9" t="str">
        <x:v>United Kingdom (England and Wales)</x:v>
      </x:c>
      <x:c r="J1848" s="9" t="str">
        <x:v>Competition Law / Civil Appeal</x:v>
      </x:c>
      <x:c r="K1848" s="9" t="str">
        <x:v>ew-cases-EWCA-Civ-2022-1077.xml</x:v>
      </x:c>
      <x:c r="L1848" s="9" t="str">
        <x:v>TBA</x:v>
      </x:c>
    </x:row>
    <x:row r="1849">
      <x:c r="A1849" t="str">
        <x:v>6f4b6fce-0500-4cb4-a048-dc71d3e1df98</x:v>
      </x:c>
      <x:c r="B1849" t="str">
        <x:v>9bf861ff-1c50-4c67-83a5-5825060a5ca4</x:v>
      </x:c>
      <x:c r="C1849" s="9" t="str">
        <x:v>London Borough of Barking and Dagenham &amp; Anor v Persons Unknown &amp; Ors [2022] EWCA Civ 13 (Court of Appeal, Civil Division)</x:v>
      </x:c>
      <x:c r="D1849" s="9" t="str"/>
      <x:c r="E1849" s="9" t="str"/>
      <x:c r="F1849" s="13" t="str">
        <x:v>2022</x:v>
      </x:c>
      <x:c r="G1849" s="9" t="str">
        <x:v>England and Wales Court of Appeal (Civil Division)</x:v>
      </x:c>
      <x:c r="H1849" s="9" t="str">
        <x:v>Court of Appeal (Civil Division)</x:v>
      </x:c>
      <x:c r="I1849" s="9" t="str">
        <x:v>England and Wales</x:v>
      </x:c>
      <x:c r="J1849" s="9" t="str">
        <x:v>Civil Procedure / Injunctions / Planning Law</x:v>
      </x:c>
      <x:c r="K1849" s="9" t="str">
        <x:v>ew-cases-EWCA-Civ-2022-13.xml</x:v>
      </x:c>
      <x:c r="L1849" s="9" t="str">
        <x:v>TBA</x:v>
      </x:c>
    </x:row>
    <x:row r="1850">
      <x:c r="A1850" t="str">
        <x:v>f1d47273-9439-4c55-9b4b-f9beaa4d6e83</x:v>
      </x:c>
      <x:c r="B1850" t="str">
        <x:v>d6d8cdf8-b282-44f0-bdde-44ba34e2566c</x:v>
      </x:c>
      <x:c r="C1850" s="9" t="str">
        <x:v>London Borough of Brent v Johnson [2022] EWCA Civ 28</x:v>
      </x:c>
      <x:c r="D1850" s="9" t="str"/>
      <x:c r="E1850" s="9" t="str"/>
      <x:c r="F1850" s="13" t="str">
        <x:v>2022</x:v>
      </x:c>
      <x:c r="G1850" s="9" t="str">
        <x:v>England and Wales Court of Appeal (Civil Division)</x:v>
      </x:c>
      <x:c r="H1850" s="9" t="str">
        <x:v>Court of Appeal (Civil Division)</x:v>
      </x:c>
      <x:c r="I1850" s="9" t="str">
        <x:v>England and Wales</x:v>
      </x:c>
      <x:c r="J1850" s="9" t="str">
        <x:v>Property Law; Trusts and Charities</x:v>
      </x:c>
      <x:c r="K1850" s="9" t="str">
        <x:v>ew-cases-EWCA-Civ-2022-28.xml</x:v>
      </x:c>
      <x:c r="L1850" s="9" t="str">
        <x:v>TBA</x:v>
      </x:c>
    </x:row>
    <x:row r="1851">
      <x:c r="A1851" t="str">
        <x:v>c18029ae-9b44-4323-90c5-7b8b75747cc0</x:v>
      </x:c>
      <x:c r="B1851" t="str">
        <x:v>ce109720-ac8c-4042-bd77-82733a79fb6c</x:v>
      </x:c>
      <x:c r="C1851" s="9" t="str">
        <x:v>London Borough of Croydon v Y [2016] EWCA Civ 398</x:v>
      </x:c>
      <x:c r="D1851" s="9" t="str"/>
      <x:c r="E1851" s="9" t="str"/>
      <x:c r="F1851" s="13" t="str">
        <x:v>2016</x:v>
      </x:c>
      <x:c r="G1851" s="9" t="str">
        <x:v>England and Wales Court of Appeal (Civil Division)</x:v>
      </x:c>
      <x:c r="H1851" s="9" t="str">
        <x:v>Court of Appeal (Civil Division)</x:v>
      </x:c>
      <x:c r="I1851" s="9" t="str">
        <x:v>England and Wales</x:v>
      </x:c>
      <x:c r="J1851" s="9" t="str">
        <x:v>Public Law / Judicial Review (Immigration &amp; Asylum) – Age assessment</x:v>
      </x:c>
      <x:c r="K1851" s="9" t="str">
        <x:v>-ew-cases-EWCA-Civ-2016-398.xml</x:v>
      </x:c>
      <x:c r="L1851" s="9" t="str">
        <x:v>TBA</x:v>
      </x:c>
    </x:row>
    <x:row r="1852">
      <x:c r="A1852" t="str">
        <x:v>9de78bdb-59a0-4b88-90b5-cacb0d7832d2</x:v>
      </x:c>
      <x:c r="B1852" t="str">
        <x:v>9722747e-d192-4e67-a3c3-1320b3a1f8c7</x:v>
      </x:c>
      <x:c r="C1852" s="9" t="str">
        <x:v>London Borough of Ealing v C (Children) [2017] EWCA Civ 2696</x:v>
      </x:c>
      <x:c r="D1852" s="9" t="str"/>
      <x:c r="E1852" s="9" t="str"/>
      <x:c r="F1852" s="13" t="str">
        <x:v>2017</x:v>
      </x:c>
      <x:c r="G1852" s="9" t="str">
        <x:v>England and Wales Court of Appeal (Civil Division)</x:v>
      </x:c>
      <x:c r="H1852" s="9" t="str">
        <x:v>Appellate</x:v>
      </x:c>
      <x:c r="I1852" s="9" t="str">
        <x:v>England and Wales</x:v>
      </x:c>
      <x:c r="J1852" s="9" t="str">
        <x:v>Family Law</x:v>
      </x:c>
      <x:c r="K1852" s="9" t="str">
        <x:v>-ew-cases-EWCA-Civ-2017-2696.xml</x:v>
      </x:c>
      <x:c r="L1852" s="9" t="str">
        <x:v>TBA</x:v>
      </x:c>
    </x:row>
    <x:row r="1853">
      <x:c r="A1853" t="str">
        <x:v>ba16fd04-cf25-489f-b957-9015bd1326a4</x:v>
      </x:c>
      <x:c r="B1853" t="str">
        <x:v>f5a5b44e-fcf0-40c0-9bf9-69f026b1b438</x:v>
      </x:c>
      <x:c r="C1853" s="9" t="str">
        <x:v>London Borough of Enfield, R (on the application of) v Secretary of State for Transport &amp; Ors [2016] EWCA Civ 480</x:v>
      </x:c>
      <x:c r="D1853" s="9" t="str"/>
      <x:c r="E1853" s="9" t="str"/>
      <x:c r="F1853" s="13" t="str">
        <x:v>2016</x:v>
      </x:c>
      <x:c r="G1853" s="9" t="str">
        <x:v>England and Wales Court of Appeal (Civil Division)</x:v>
      </x:c>
      <x:c r="H1853" s="9" t="str">
        <x:v>Court of Appeal (Civil Division)</x:v>
      </x:c>
      <x:c r="I1853" s="9" t="str">
        <x:v>England and Wales</x:v>
      </x:c>
      <x:c r="J1853" s="9" t="str">
        <x:v>Public Law / Administrative Law (Judicial Review)</x:v>
      </x:c>
      <x:c r="K1853" s="9" t="str">
        <x:v>-ew-cases-EWCA-Civ-2016-480.xml</x:v>
      </x:c>
      <x:c r="L1853" s="9" t="str">
        <x:v>TBA</x:v>
      </x:c>
    </x:row>
    <x:row r="1854">
      <x:c r="A1854" t="str">
        <x:v>4c94b53a-b68c-45cc-b512-de333c758d2e</x:v>
      </x:c>
      <x:c r="B1854" t="str">
        <x:v>7ee01a7f-6966-42f3-a7c9-459a57a4b3af</x:v>
      </x:c>
      <x:c r="C1854" s="9" t="str">
        <x:v>London Borough of Haringey v Ahmed &amp; Anor [2017] EWCA Civ 1861</x:v>
      </x:c>
      <x:c r="D1854" s="9" t="str"/>
      <x:c r="E1854" s="9" t="str"/>
      <x:c r="F1854" s="13" t="str">
        <x:v>2017</x:v>
      </x:c>
      <x:c r="G1854" s="9" t="str">
        <x:v>England and Wales Court of Appeal (Civil Division)</x:v>
      </x:c>
      <x:c r="H1854" s="9" t="str">
        <x:v>Appellate</x:v>
      </x:c>
      <x:c r="I1854" s="9" t="str">
        <x:v>England and Wales</x:v>
      </x:c>
      <x:c r="J1854" s="9" t="str">
        <x:v>Property Law</x:v>
      </x:c>
      <x:c r="K1854" s="9" t="str">
        <x:v>PT_EWCA-Civ_2017_1861.xml</x:v>
      </x:c>
      <x:c r="L1854" s="9" t="str">
        <x:v>TBA</x:v>
      </x:c>
    </x:row>
    <x:row r="1855">
      <x:c r="A1855" t="str">
        <x:v>e013aea8-5779-4f45-be10-6667440f1476</x:v>
      </x:c>
      <x:c r="B1855" t="str">
        <x:v>ccbfc379-c5d3-405e-b622-2ec60ec2700a</x:v>
      </x:c>
      <x:c r="C1855" s="9" t="str">
        <x:v>London Borough of Haringey v Ahmed &amp; Anor [2017] EWCA Civ 1861</x:v>
      </x:c>
      <x:c r="D1855" s="9" t="str"/>
      <x:c r="E1855" s="9" t="str"/>
      <x:c r="F1855" s="13" t="str">
        <x:v>2017</x:v>
      </x:c>
      <x:c r="G1855" s="9" t="str">
        <x:v>England and Wales Court of Appeal (Civil Division)</x:v>
      </x:c>
      <x:c r="H1855" s="9" t="str">
        <x:v>Appellate</x:v>
      </x:c>
      <x:c r="I1855" s="9" t="str">
        <x:v>England and Wales</x:v>
      </x:c>
      <x:c r="J1855" s="9" t="str">
        <x:v>Landlord-Tenant Dispute</x:v>
      </x:c>
      <x:c r="K1855" s="9" t="str">
        <x:v>-ew-cases-EWCA-Civ-2017-1861.xml</x:v>
      </x:c>
      <x:c r="L1855" s="9" t="str">
        <x:v>TBA</x:v>
      </x:c>
    </x:row>
    <x:row r="1856">
      <x:c r="A1856" t="str">
        <x:v>aa97868a-11a0-4154-8ba9-948f89daf137</x:v>
      </x:c>
      <x:c r="B1856" t="str">
        <x:v>1c013ca7-b37e-41a9-97ee-fd2d56c75ac1</x:v>
      </x:c>
      <x:c r="C1856" s="9" t="str">
        <x:v>London Borough of Havering v Dove &amp; Anor [2016] EWCA Civ 680</x:v>
      </x:c>
      <x:c r="D1856" s="9" t="str"/>
      <x:c r="E1856" s="9" t="str"/>
      <x:c r="F1856" s="13" t="str">
        <x:v>2016</x:v>
      </x:c>
      <x:c r="G1856" s="9" t="str">
        <x:v>England and Wales Court of Appeal (Civil Division)</x:v>
      </x:c>
      <x:c r="H1856" s="9" t="str">
        <x:v>Court of Appeal (Civil Division)</x:v>
      </x:c>
      <x:c r="I1856" s="9" t="str">
        <x:v>England and Wales</x:v>
      </x:c>
      <x:c r="J1856" s="9" t="str">
        <x:v>Civil Dispute – Housing Law / Administrative Law</x:v>
      </x:c>
      <x:c r="K1856" s="9" t="str">
        <x:v>-ew-cases-EWCA-Civ-2016-680.xml</x:v>
      </x:c>
      <x:c r="L1856" s="9" t="str">
        <x:v>TBA</x:v>
      </x:c>
    </x:row>
    <x:row r="1857">
      <x:c r="A1857" t="str">
        <x:v>9a7920f4-a475-438c-bfd6-32a046440c9a</x:v>
      </x:c>
      <x:c r="B1857" t="str">
        <x:v>d1ce8fdc-fa93-47ef-8fe4-56e3cbcb205b</x:v>
      </x:c>
      <x:c r="C1857" s="9" t="str">
        <x:v>London Borough of Islington v Bourous; Davis v Yousaf, [2022] EWCA Civ 1242</x:v>
      </x:c>
      <x:c r="D1857" s="9" t="str"/>
      <x:c r="E1857" s="9" t="str"/>
      <x:c r="F1857" s="13" t="str">
        <x:v>2022</x:v>
      </x:c>
      <x:c r="G1857" s="9" t="str">
        <x:v>England and Wales Court of Appeal (Civil Division)</x:v>
      </x:c>
      <x:c r="H1857" s="9" t="str">
        <x:v>Court of Appeal (Civil Division)</x:v>
      </x:c>
      <x:c r="I1857" s="9" t="str">
        <x:v>England and Wales</x:v>
      </x:c>
      <x:c r="J1857" s="9" t="str">
        <x:v>Civil Procedure; Personal Injury; Insurance/ Credit Hire under RTA Protocol</x:v>
      </x:c>
      <x:c r="K1857" s="9" t="str">
        <x:v>ew-cases-EWCA-Civ-2022-1242.xml</x:v>
      </x:c>
      <x:c r="L1857" s="9" t="str">
        <x:v>TBA</x:v>
      </x:c>
    </x:row>
    <x:row r="1858">
      <x:c r="A1858" t="str">
        <x:v>91194927-c1df-4ce7-9521-6ca65c783c0b</x:v>
      </x:c>
      <x:c r="B1858" t="str">
        <x:v>bb1ec744-2ae7-4711-8750-fe5bd41e4672</x:v>
      </x:c>
      <x:c r="C1858" s="9" t="str">
        <x:v>London Borough of Islington v Dyer [2017] EWCA Civ 150</x:v>
      </x:c>
      <x:c r="D1858" s="9" t="str"/>
      <x:c r="E1858" s="9" t="str"/>
      <x:c r="F1858" s="13" t="str">
        <x:v>2017</x:v>
      </x:c>
      <x:c r="G1858" s="9" t="str">
        <x:v>England and Wales Court of Appeal (Civil Division)</x:v>
      </x:c>
      <x:c r="H1858" s="9" t="str">
        <x:v>Appellate</x:v>
      </x:c>
      <x:c r="I1858" s="9" t="str">
        <x:v>England and Wales</x:v>
      </x:c>
      <x:c r="J1858" s="9" t="str">
        <x:v>Housing Law</x:v>
      </x:c>
      <x:c r="K1858" s="9" t="str">
        <x:v>-ew-cases-EWCA-Civ-2017-150.xml</x:v>
      </x:c>
      <x:c r="L1858" s="9" t="str">
        <x:v>TBA</x:v>
      </x:c>
    </x:row>
    <x:row r="1859">
      <x:c r="A1859" t="str">
        <x:v>548b5f6d-a294-4a3c-a9c4-353bdf44dc37</x:v>
      </x:c>
      <x:c r="B1859" t="str">
        <x:v>746aee76-256e-4372-b694-c726eb3af5e6</x:v>
      </x:c>
      <x:c r="C1859" s="9" t="str">
        <x:v>London Borough of Newham v Ali &amp; Ors [2014] EWCA Civ 676</x:v>
      </x:c>
      <x:c r="D1859" s="9" t="str"/>
      <x:c r="E1859" s="9" t="str"/>
      <x:c r="F1859" s="13" t="str">
        <x:v>2014</x:v>
      </x:c>
      <x:c r="G1859" s="9" t="str">
        <x:v>England and Wales Court of Appeal (Civil Division)</x:v>
      </x:c>
      <x:c r="H1859" s="9" t="str">
        <x:v>Appellate</x:v>
      </x:c>
      <x:c r="I1859" s="9" t="str">
        <x:v>England and Wales</x:v>
      </x:c>
      <x:c r="J1859" s="9" t="str">
        <x:v>Planning Enforcement</x:v>
      </x:c>
      <x:c r="K1859" s="9" t="str">
        <x:v>-ew-cases-EWCA-Civ-2014-676.xml</x:v>
      </x:c>
      <x:c r="L1859" s="9" t="str">
        <x:v>TBA</x:v>
      </x:c>
    </x:row>
    <x:row r="1860">
      <x:c r="A1860" t="str">
        <x:v>1440a777-8e71-4b46-bd29-4432bf62437a</x:v>
      </x:c>
      <x:c r="B1860" t="str">
        <x:v>31ec4914-0384-4442-a7c4-2067fe7c1aec</x:v>
      </x:c>
      <x:c r="C1860" s="9" t="str">
        <x:v>London Borough of Southwark &amp; Anor v Transport for London</x:v>
      </x:c>
      <x:c r="D1860" s="9" t="str"/>
      <x:c r="E1860" s="9" t="str"/>
      <x:c r="F1860" s="13" t="str">
        <x:v>2017</x:v>
      </x:c>
      <x:c r="G1860" s="9" t="str">
        <x:v>England and Wales Court of Appeal (Civil Division)</x:v>
      </x:c>
      <x:c r="H1860" s="9" t="str">
        <x:v>Appellate</x:v>
      </x:c>
      <x:c r="I1860" s="9" t="str">
        <x:v>England and Wales</x:v>
      </x:c>
      <x:c r="J1860" s="9" t="str">
        <x:v>Property Law</x:v>
      </x:c>
      <x:c r="K1860" s="9" t="str">
        <x:v>-ew-cases-EWCA-Civ-2017-1220.xml</x:v>
      </x:c>
      <x:c r="L1860" s="9" t="str">
        <x:v>TBA</x:v>
      </x:c>
    </x:row>
    <x:row r="1861">
      <x:c r="A1861" t="str">
        <x:v>5d7b805c-0894-4e9f-980d-0b80298057ef</x:v>
      </x:c>
      <x:c r="B1861" t="str">
        <x:v>99eb6ab5-388d-4777-9982-2b2ccee3a388</x:v>
      </x:c>
      <x:c r="C1861" s="9" t="str">
        <x:v>London Borough of Tower Hamlets v London Borough of Bromley [2016] EWCA Civ 616 (19 May 2016)</x:v>
      </x:c>
      <x:c r="D1861" s="9" t="str"/>
      <x:c r="E1861" s="9" t="str"/>
      <x:c r="F1861" s="13" t="str">
        <x:v>2016</x:v>
      </x:c>
      <x:c r="G1861" s="9" t="str">
        <x:v>England and Wales Court of Appeal (Civil Division)</x:v>
      </x:c>
      <x:c r="H1861" s="9" t="str">
        <x:v>Court of Appeal (Civil Division)</x:v>
      </x:c>
      <x:c r="I1861" s="9" t="str">
        <x:v>England and Wales</x:v>
      </x:c>
      <x:c r="J1861" s="9" t="str">
        <x:v>Property/Chattel Ownership; Tort (Conversion); Local Government/Statutory Asset Transfers</x:v>
      </x:c>
      <x:c r="K1861" s="9" t="str">
        <x:v>-ew-cases-EWCA-Civ-2016-616.xml</x:v>
      </x:c>
      <x:c r="L1861" s="9" t="str">
        <x:v>TBA</x:v>
      </x:c>
    </x:row>
    <x:row r="1862">
      <x:c r="A1862" t="str">
        <x:v>fa894a21-aec1-4da3-82e0-bee3d7af7abf</x:v>
      </x:c>
      <x:c r="B1862" t="str">
        <x:v>89c56cc6-742d-4425-a12d-f2c3e23eb43e</x:v>
      </x:c>
      <x:c r="C1862" s="9" t="str">
        <x:v>London Borough of Wandsworth v Tompkins &amp; Anor [2015] EWCA Civ 846</x:v>
      </x:c>
      <x:c r="D1862" s="9" t="str"/>
      <x:c r="E1862" s="9" t="str"/>
      <x:c r="F1862" s="13" t="str">
        <x:v>2015</x:v>
      </x:c>
      <x:c r="G1862" s="9" t="str">
        <x:v>England and Wales Court of Appeal (Civil Division)</x:v>
      </x:c>
      <x:c r="H1862" s="9" t="str">
        <x:v>Appellate</x:v>
      </x:c>
      <x:c r="I1862" s="9" t="str">
        <x:v>England and Wales</x:v>
      </x:c>
      <x:c r="J1862" s="9" t="str">
        <x:v>Housing Law</x:v>
      </x:c>
      <x:c r="K1862" s="9" t="str">
        <x:v>-ew-cases-EWCA-Civ-2015-846.xml</x:v>
      </x:c>
      <x:c r="L1862" s="9" t="str">
        <x:v>TBA</x:v>
      </x:c>
    </x:row>
    <x:row r="1863">
      <x:c r="A1863" t="str">
        <x:v>9e29582f-89a5-4886-883e-28d739a6af91</x:v>
      </x:c>
      <x:c r="B1863" t="str">
        <x:v>b7790241-d32f-492a-b5b9-7a267c50dc61</x:v>
      </x:c>
      <x:c r="C1863" s="9" t="str">
        <x:v>London Luton Hotel BPRA Property Fund LLP v HMRC [2023] EWCA Civ 362</x:v>
      </x:c>
      <x:c r="D1863" s="9" t="str"/>
      <x:c r="E1863" s="9" t="str"/>
      <x:c r="F1863" s="13" t="str">
        <x:v>2023</x:v>
      </x:c>
      <x:c r="G1863" s="9" t="str">
        <x:v>England and Wales Court of Appeal (Civil Division)</x:v>
      </x:c>
      <x:c r="H1863" s="9" t="str">
        <x:v>Court of Appeal</x:v>
      </x:c>
      <x:c r="I1863" s="9" t="str">
        <x:v>England and Wales</x:v>
      </x:c>
      <x:c r="J1863" s="9" t="str">
        <x:v>Tax Law; BPRA / Capital Allowances</x:v>
      </x:c>
      <x:c r="K1863" s="9" t="str">
        <x:v>ew-cases-EWCA-Civ-2023-362.xml</x:v>
      </x:c>
      <x:c r="L1863" s="9" t="str">
        <x:v>TBA</x:v>
      </x:c>
    </x:row>
    <x:row r="1864">
      <x:c r="A1864" t="str">
        <x:v>c8c16a58-d10d-46c8-8582-392b6a0d9536</x:v>
      </x:c>
      <x:c r="B1864" t="str">
        <x:v>a1d8ead9-ed46-454c-8cd7-54abbad8d162</x:v>
      </x:c>
      <x:c r="C1864" s="9" t="str">
        <x:v>London Steam-Ship Owners' Mutual Insurance Association Limited v. Kingdom of Spain &amp; Anor (M/T 'Prestige' Nos. 3 and 4)</x:v>
      </x:c>
      <x:c r="D1864" s="9" t="str"/>
      <x:c r="E1864" s="9" t="str"/>
      <x:c r="F1864" s="13" t="str">
        <x:v>2021</x:v>
      </x:c>
      <x:c r="G1864" s="9" t="str">
        <x:v>England and Wales Court of Appeal (Civil Division)</x:v>
      </x:c>
      <x:c r="H1864" s="9" t="str">
        <x:v>Appellate</x:v>
      </x:c>
      <x:c r="I1864" s="9" t="str">
        <x:v>England and Wales</x:v>
      </x:c>
      <x:c r="J1864" s="9" t="str">
        <x:v>Insurance and Arbitration</x:v>
      </x:c>
      <x:c r="K1864" s="9" t="str">
        <x:v>ew-cases-EWCA-Civ-2021-1589.xml</x:v>
      </x:c>
      <x:c r="L1864" s="9" t="str">
        <x:v>TBA</x:v>
      </x:c>
    </x:row>
    <x:row r="1865">
      <x:c r="A1865" t="str">
        <x:v>6d47fdf0-d137-488f-95ef-5376238cb67e</x:v>
      </x:c>
      <x:c r="B1865" t="str">
        <x:v>bb7658f2-fe9e-4eab-ac9c-123af30ad0d7</x:v>
      </x:c>
      <x:c r="C1865" s="9" t="str">
        <x:v>Long, R (On the Application Of) v Secretary of State for Defence</x:v>
      </x:c>
      <x:c r="D1865" s="9" t="str"/>
      <x:c r="E1865" s="9" t="str"/>
      <x:c r="F1865" s="13" t="str">
        <x:v>2015</x:v>
      </x:c>
      <x:c r="G1865" s="9" t="str">
        <x:v>England and Wales Court of Appeal (Civil Division)</x:v>
      </x:c>
      <x:c r="H1865" s="9" t="str">
        <x:v>Appellate</x:v>
      </x:c>
      <x:c r="I1865" s="9" t="str">
        <x:v>England and Wales</x:v>
      </x:c>
      <x:c r="J1865" s="9" t="str">
        <x:v>Administrative Law</x:v>
      </x:c>
      <x:c r="K1865" s="9" t="str">
        <x:v>-ew-cases-EWCA-Civ-2015-770.xml</x:v>
      </x:c>
      <x:c r="L1865" s="9" t="str">
        <x:v>TBA</x:v>
      </x:c>
    </x:row>
    <x:row r="1866">
      <x:c r="A1866" t="str">
        <x:v>79248125-e101-4800-96f9-ad3ebcda7360</x:v>
      </x:c>
      <x:c r="B1866" t="str">
        <x:v>4d43fe7a-6fc2-4d97-9667-d6972395850d</x:v>
      </x:c>
      <x:c r="C1866" s="9" t="str">
        <x:v>Longridge On the Thames v Revenue And Customs [2016] EWCA Civ 930 (Court of Appeal, Civil Division) - Economic activity for VAT purposes and direct link test</x:v>
      </x:c>
      <x:c r="D1866" s="9" t="str"/>
      <x:c r="E1866" s="9" t="str"/>
      <x:c r="F1866" s="13" t="str">
        <x:v>2016</x:v>
      </x:c>
      <x:c r="G1866" s="9" t="str">
        <x:v>England and Wales Court of Appeal (Civil Division)</x:v>
      </x:c>
      <x:c r="H1866" s="9" t="str">
        <x:v>Court of Appeal (Civil Division)</x:v>
      </x:c>
      <x:c r="I1866" s="9" t="str">
        <x:v>United Kingdom (England and Wales)</x:v>
      </x:c>
      <x:c r="J1866" s="9" t="str">
        <x:v>Tax/Revenue - VAT</x:v>
      </x:c>
      <x:c r="K1866" s="9" t="str">
        <x:v>-ew-cases-EWCA-Civ-2016-930.xml</x:v>
      </x:c>
      <x:c r="L1866" s="9" t="str">
        <x:v>TBA</x:v>
      </x:c>
    </x:row>
    <x:row r="1867">
      <x:c r="A1867" t="str">
        <x:v>c4ec0b4c-c862-4e3b-bb27-5ea0345b04a8</x:v>
      </x:c>
      <x:c r="B1867" t="str">
        <x:v>e1fb6ac3-cfdf-4f76-88b1-ad4c7832ddb3</x:v>
      </x:c>
      <x:c r="C1867" s="9" t="str">
        <x:v>Loose v Lynn Shellfish Ltd &amp; Ors [2014] EWCA Civ 846</x:v>
      </x:c>
      <x:c r="D1867" s="9" t="str"/>
      <x:c r="E1867" s="9" t="str"/>
      <x:c r="F1867" s="13" t="str">
        <x:v>2014</x:v>
      </x:c>
      <x:c r="G1867" s="9" t="str">
        <x:v>England and Wales Court of Appeal (Civil Division)</x:v>
      </x:c>
      <x:c r="H1867" s="9" t="str">
        <x:v>Appellate</x:v>
      </x:c>
      <x:c r="I1867" s="9" t="str">
        <x:v>England and Wales</x:v>
      </x:c>
      <x:c r="J1867" s="9" t="str">
        <x:v>Property Law</x:v>
      </x:c>
      <x:c r="K1867" s="9" t="str">
        <x:v>-ew-cases-EWCA-Civ-2014-846.xml</x:v>
      </x:c>
      <x:c r="L1867" s="9" t="str">
        <x:v>TBA</x:v>
      </x:c>
    </x:row>
    <x:row r="1868">
      <x:c r="A1868" t="str">
        <x:v>2490ea2d-a688-4f39-91d5-b8de0257c7d6</x:v>
      </x:c>
      <x:c r="B1868" t="str">
        <x:v>b1b90149-2680-4542-b1b2-f9ac340b7e3e</x:v>
      </x:c>
      <x:c r="C1868" s="9" t="str">
        <x:v>Lopes, R (On the Application Of) v Secretary of State for the Home Department</x:v>
      </x:c>
      <x:c r="D1868" s="9" t="str"/>
      <x:c r="E1868" s="9" t="str"/>
      <x:c r="F1868" s="13" t="str">
        <x:v>2021</x:v>
      </x:c>
      <x:c r="G1868" s="9" t="str">
        <x:v>England and Wales Court of Appeal (Civil Division)</x:v>
      </x:c>
      <x:c r="H1868" s="9" t="str">
        <x:v>Appellate</x:v>
      </x:c>
      <x:c r="I1868" s="9" t="str">
        <x:v>England and Wales</x:v>
      </x:c>
      <x:c r="J1868" s="9" t="str">
        <x:v>Administrative Law</x:v>
      </x:c>
      <x:c r="K1868" s="9" t="str">
        <x:v>ew-cases-EWCA-Civ-2021-805.xml</x:v>
      </x:c>
      <x:c r="L1868" s="9" t="str">
        <x:v>TBA</x:v>
      </x:c>
    </x:row>
    <x:row r="1869">
      <x:c r="A1869" t="str">
        <x:v>1f1f1493-ba76-4bc3-a2b7-a363349240ec</x:v>
      </x:c>
      <x:c r="B1869" t="str">
        <x:v>c4707f50-0779-4627-a730-50bc76d4dc56</x:v>
      </x:c>
      <x:c r="C1869" s="9" t="str">
        <x:v>Loreley Financing (Jersey) No 30 Ltd v Credit Suisse Securities (Europe) Ltd &amp; Ors [2022] EWCA Civ 1484 (10 November 2022)</x:v>
      </x:c>
      <x:c r="D1869" s="9" t="str"/>
      <x:c r="E1869" s="9" t="str"/>
      <x:c r="F1869" s="13" t="str">
        <x:v>2022</x:v>
      </x:c>
      <x:c r="G1869" s="9" t="str">
        <x:v>England and Wales Court of Appeal (Civil Division)</x:v>
      </x:c>
      <x:c r="H1869" s="9" t="str">
        <x:v>Court of Appeal (Civil Division)</x:v>
      </x:c>
      <x:c r="I1869" s="9" t="str">
        <x:v>England and Wales</x:v>
      </x:c>
      <x:c r="J1869" s="9" t="str">
        <x:v>Civil Appeal</x:v>
      </x:c>
      <x:c r="K1869" s="9" t="str">
        <x:v>ew-cases-EWCA-Civ-2022-1484.xml</x:v>
      </x:c>
      <x:c r="L1869" s="9" t="str">
        <x:v>TBA</x:v>
      </x:c>
    </x:row>
    <x:row r="1870">
      <x:c r="A1870" t="str">
        <x:v>d1bda174-a6e7-49ab-ab11-91e6a340cc14</x:v>
      </x:c>
      <x:c r="B1870" t="str">
        <x:v>5f7d7c7d-4d37-40d8-a493-a081dde3bbab</x:v>
      </x:c>
      <x:c r="C1870" s="9" t="str">
        <x:v>Loson &amp; Anr v Brett Stack &amp; Anor [2016] EWCA Civ 610</x:v>
      </x:c>
      <x:c r="D1870" s="9" t="str"/>
      <x:c r="E1870" s="9" t="str"/>
      <x:c r="F1870" s="13" t="str">
        <x:v>2016</x:v>
      </x:c>
      <x:c r="G1870" s="9" t="str">
        <x:v>England and Wales Court of Appeal (Civil Division)</x:v>
      </x:c>
      <x:c r="H1870" s="9" t="str">
        <x:v>Court of Appeal (Civil Division)</x:v>
      </x:c>
      <x:c r="I1870" s="9" t="str">
        <x:v>England and Wales</x:v>
      </x:c>
      <x:c r="J1870" s="9" t="str">
        <x:v>Civil Procedure / Costs</x:v>
      </x:c>
      <x:c r="K1870" s="9" t="str">
        <x:v>-ew-cases-EWCA-Civ-2016-610.xml</x:v>
      </x:c>
      <x:c r="L1870" s="9" t="str">
        <x:v>TBA</x:v>
      </x:c>
    </x:row>
    <x:row r="1871">
      <x:c r="A1871" t="str">
        <x:v>2a408f26-c5e3-47f4-9fff-5cf78dad3154</x:v>
      </x:c>
      <x:c r="B1871" t="str">
        <x:v>cbc88b9e-6792-49fd-b160-a1e9817624b0</x:v>
      </x:c>
      <x:c r="C1871" s="9" t="str">
        <x:v>Lougheed v On The Beach Ltd [2014] EWCA Civ 1538</x:v>
      </x:c>
      <x:c r="D1871" s="9" t="str"/>
      <x:c r="E1871" s="9" t="str"/>
      <x:c r="F1871" s="13" t="str">
        <x:v>2014</x:v>
      </x:c>
      <x:c r="G1871" s="9" t="str">
        <x:v>England and Wales Court of Appeal (Civil Division)</x:v>
      </x:c>
      <x:c r="H1871" s="9" t="str">
        <x:v>Appellate</x:v>
      </x:c>
      <x:c r="I1871" s="9" t="str">
        <x:v>England and Wales</x:v>
      </x:c>
      <x:c r="J1871" s="9" t="str">
        <x:v>Tort</x:v>
      </x:c>
      <x:c r="K1871" s="9" t="str">
        <x:v>-ew-cases-EWCA-Civ-2014-1538.xml</x:v>
      </x:c>
      <x:c r="L1871" s="9" t="str">
        <x:v>TBA</x:v>
      </x:c>
    </x:row>
    <x:row r="1872">
      <x:c r="A1872" t="str">
        <x:v>d9c85217-c248-4f79-a8fc-35a14abbb5cf</x:v>
      </x:c>
      <x:c r="B1872" t="str">
        <x:v>774262ef-c520-4d84-a5a9-784ebbf219c4</x:v>
      </x:c>
      <x:c r="C1872" s="9" t="str">
        <x:v>Loveridge &amp; Anor v Loveridge [2021] EWCA Civ 1697</x:v>
      </x:c>
      <x:c r="D1872" s="9" t="str"/>
      <x:c r="E1872" s="9" t="str"/>
      <x:c r="F1872" s="13" t="str">
        <x:v>2021</x:v>
      </x:c>
      <x:c r="G1872" s="9" t="str">
        <x:v>England and Wales Court of Appeal (Civil Division)</x:v>
      </x:c>
      <x:c r="H1872" s="9" t="str">
        <x:v>Appellate</x:v>
      </x:c>
      <x:c r="I1872" s="9" t="str">
        <x:v>England and Wales</x:v>
      </x:c>
      <x:c r="J1872" s="9" t="str">
        <x:v>Corporate Governance</x:v>
      </x:c>
      <x:c r="K1872" s="9" t="str">
        <x:v>ew-cases-EWCA-Civ-2021-1697.xml</x:v>
      </x:c>
      <x:c r="L1872" s="9" t="str">
        <x:v>TBA</x:v>
      </x:c>
    </x:row>
    <x:row r="1873">
      <x:c r="A1873" t="str">
        <x:v>7f9e6fb6-3225-4f7d-9d37-df602462e0a6</x:v>
      </x:c>
      <x:c r="B1873" t="str">
        <x:v>cde2e3b5-a220-49f8-a280-7a5c74862c38</x:v>
      </x:c>
      <x:c r="C1873" s="9" t="str">
        <x:v>Lovett v Wigan Borough Council (Re Breaches of ASBIs) [2022] EWCA Civ 1631</x:v>
      </x:c>
      <x:c r="D1873" s="9" t="str"/>
      <x:c r="E1873" s="9" t="str"/>
      <x:c r="F1873" s="13" t="str">
        <x:v>2022</x:v>
      </x:c>
      <x:c r="G1873" s="9" t="str">
        <x:v>England and Wales Court of Appeal (Civil Division)</x:v>
      </x:c>
      <x:c r="H1873" s="9" t="str">
        <x:v>Court of Appeal (Civil Division)</x:v>
      </x:c>
      <x:c r="I1873" s="9" t="str">
        <x:v>England and Wales</x:v>
      </x:c>
      <x:c r="J1873" s="9" t="str">
        <x:v>Civil Procedure; Contempt of Court; ASBI</x:v>
      </x:c>
      <x:c r="K1873" s="9" t="str">
        <x:v>ew-cases-EWCA-Civ-2022-1631.xml</x:v>
      </x:c>
      <x:c r="L1873" s="9" t="str">
        <x:v>TBA</x:v>
      </x:c>
    </x:row>
    <x:row r="1874">
      <x:c r="A1874" t="str">
        <x:v>ace0da0f-8334-479c-86e8-4ef934cce7bb</x:v>
      </x:c>
      <x:c r="B1874" t="str">
        <x:v>ba9f67c7-1fc1-41c7-899b-4c40b3516f46</x:v>
      </x:c>
      <x:c r="C1874" s="9" t="str">
        <x:v>Lowdon v Jumpzone Leisure UK Ltd [2015] EWCA Civ 586</x:v>
      </x:c>
      <x:c r="D1874" s="9" t="str"/>
      <x:c r="E1874" s="9" t="str"/>
      <x:c r="F1874" s="13" t="str">
        <x:v>2015</x:v>
      </x:c>
      <x:c r="G1874" s="9" t="str">
        <x:v>England and Wales Court of Appeal (Civil Division)</x:v>
      </x:c>
      <x:c r="H1874" s="9" t="str">
        <x:v>Appellate</x:v>
      </x:c>
      <x:c r="I1874" s="9" t="str">
        <x:v>England and Wales</x:v>
      </x:c>
      <x:c r="J1874" s="9" t="str">
        <x:v>Tort</x:v>
      </x:c>
      <x:c r="K1874" s="9" t="str">
        <x:v>-ew-cases-EWCA-Civ-2015-586.xml</x:v>
      </x:c>
      <x:c r="L1874" s="9" t="str">
        <x:v>TBA</x:v>
      </x:c>
    </x:row>
    <x:row r="1875">
      <x:c r="A1875" t="str">
        <x:v>6ab1bedf-1e60-4f9f-a684-03594c6c8314</x:v>
      </x:c>
      <x:c r="B1875" t="str">
        <x:v>36fef077-011c-43cb-af4e-6619dd8b8977</x:v>
      </x:c>
      <x:c r="C1875" s="9" t="str">
        <x:v>Lowe v The Secretary of State for the Home Department [2021] EWCA Civ 62</x:v>
      </x:c>
      <x:c r="D1875" s="9" t="str"/>
      <x:c r="E1875" s="9" t="str"/>
      <x:c r="F1875" s="13" t="str">
        <x:v>2021</x:v>
      </x:c>
      <x:c r="G1875" s="9" t="str">
        <x:v>England and Wales Court of Appeal (Civil Division)</x:v>
      </x:c>
      <x:c r="H1875" s="9" t="str">
        <x:v>Appellate</x:v>
      </x:c>
      <x:c r="I1875" s="9" t="str">
        <x:v>England and Wales</x:v>
      </x:c>
      <x:c r="J1875" s="9" t="str">
        <x:v>Immigration Law</x:v>
      </x:c>
      <x:c r="K1875" s="9" t="str">
        <x:v>ew-cases-EWCA-Civ-2021-62.xml</x:v>
      </x:c>
      <x:c r="L1875" s="9" t="str">
        <x:v>TBA</x:v>
      </x:c>
    </x:row>
    <x:row r="1876">
      <x:c r="A1876" t="str">
        <x:v>20d5a75e-d781-4967-b8c7-f953caba6ab6</x:v>
      </x:c>
      <x:c r="B1876" t="str">
        <x:v>64658308-0744-4109-895f-97e4f37f9563</x:v>
      </x:c>
      <x:c r="C1876" s="9" t="str">
        <x:v>LR (A Child) [2014] EWCA Civ 1624</x:v>
      </x:c>
      <x:c r="D1876" s="9" t="str"/>
      <x:c r="E1876" s="9" t="str"/>
      <x:c r="F1876" s="13" t="str">
        <x:v>2014</x:v>
      </x:c>
      <x:c r="G1876" s="9" t="str">
        <x:v>England and Wales Court of Appeal (Civil Division)</x:v>
      </x:c>
      <x:c r="H1876" s="9" t="str">
        <x:v>Appellate</x:v>
      </x:c>
      <x:c r="I1876" s="9" t="str">
        <x:v>England and Wales</x:v>
      </x:c>
      <x:c r="J1876" s="9" t="str">
        <x:v>Family Law</x:v>
      </x:c>
      <x:c r="K1876" s="9" t="str">
        <x:v>-ew-cases-EWCA-Civ-2014-1624.xml</x:v>
      </x:c>
      <x:c r="L1876" s="9" t="str">
        <x:v>TBA</x:v>
      </x:c>
    </x:row>
    <x:row r="1877">
      <x:c r="A1877" t="str">
        <x:v>a9e18016-874a-4a5a-8ce5-a26e1e47a8a7</x:v>
      </x:c>
      <x:c r="B1877" t="str">
        <x:v>2e5f2d7f-67a2-4241-a76b-ece0762f6a7f</x:v>
      </x:c>
      <x:c r="C1877" s="9" t="str">
        <x:v>LSC Finance Limited v Abensons Law Limited (t/a Abensons Solicitors) [2016] EWCA Civ 274 (02 February 2016)</x:v>
      </x:c>
      <x:c r="D1877" s="9" t="str"/>
      <x:c r="E1877" s="9" t="str"/>
      <x:c r="F1877" s="13" t="str">
        <x:v>2016</x:v>
      </x:c>
      <x:c r="G1877" s="9" t="str">
        <x:v>England and Wales Court of Appeal (Civil Division)</x:v>
      </x:c>
      <x:c r="H1877" s="9" t="str">
        <x:v>Court of Appeal (Civil Division)</x:v>
      </x:c>
      <x:c r="I1877" s="9" t="str">
        <x:v>England and Wales</x:v>
      </x:c>
      <x:c r="J1877" s="9" t="str">
        <x:v>Contract/Trust/Undertaking interpretation - Professional responsibility</x:v>
      </x:c>
      <x:c r="K1877" s="9" t="str">
        <x:v>-ew-cases-EWCA-Civ-2016-274.xml</x:v>
      </x:c>
      <x:c r="L1877" s="9" t="str">
        <x:v>TBA</x:v>
      </x:c>
    </x:row>
    <x:row r="1878">
      <x:c r="A1878" t="str">
        <x:v>8a0b37f5-9b13-4f2b-9700-3e5eede835f5</x:v>
      </x:c>
      <x:c r="B1878" t="str">
        <x:v>ad06b47b-ac10-4f50-8e48-18b437731a2a</x:v>
      </x:c>
      <x:c r="C1878" s="9" t="str">
        <x:v>LSREF III Wight Limited v Gateley LLP [2016] EWCA Civ 359</x:v>
      </x:c>
      <x:c r="D1878" s="9" t="str"/>
      <x:c r="E1878" s="9" t="str"/>
      <x:c r="F1878" s="13" t="str">
        <x:v>2016</x:v>
      </x:c>
      <x:c r="G1878" s="9" t="str">
        <x:v>England and Wales Court of Appeal (Civil Division)</x:v>
      </x:c>
      <x:c r="H1878" s="9" t="str">
        <x:v>Court of Appeal (Civil Division)</x:v>
      </x:c>
      <x:c r="I1878" s="9" t="str">
        <x:v>England and Wales</x:v>
      </x:c>
      <x:c r="J1878" s="9" t="str">
        <x:v>Professional Negligence (Solicitors) / Civil Damages</x:v>
      </x:c>
      <x:c r="K1878" s="9" t="str">
        <x:v>-ew-cases-EWCA-Civ-2016-359.xml</x:v>
      </x:c>
      <x:c r="L1878" s="9" t="str">
        <x:v>TBA</x:v>
      </x:c>
    </x:row>
    <x:row r="1879">
      <x:c r="A1879" t="str">
        <x:v>828116e1-a8e6-47c8-9a01-d1e259fc895f</x:v>
      </x:c>
      <x:c r="B1879" t="str">
        <x:v>c58024ab-9717-47c4-bbfe-a2331e38dfe8</x:v>
      </x:c>
      <x:c r="C1879" s="9" t="str">
        <x:v>LT (Kosovo) &amp; Anor v The Secretary of State for the Home Department [2016] EWCA Civ 1246</x:v>
      </x:c>
      <x:c r="D1879" s="9" t="str"/>
      <x:c r="E1879" s="9" t="str"/>
      <x:c r="F1879" s="13" t="str">
        <x:v>2016</x:v>
      </x:c>
      <x:c r="G1879" s="9" t="str">
        <x:v>England and Wales Court of Appeal (Civil Division)</x:v>
      </x:c>
      <x:c r="H1879" s="9" t="str">
        <x:v>Court of Appeal (Civil Division)</x:v>
      </x:c>
      <x:c r="I1879" s="9" t="str">
        <x:v>England and Wales</x:v>
      </x:c>
      <x:c r="J1879" s="9" t="str">
        <x:v>Immigration Law / Administrative Law</x:v>
      </x:c>
      <x:c r="K1879" s="9" t="str">
        <x:v>-ew-cases-EWCA-Civ-2016-1246.xml</x:v>
      </x:c>
      <x:c r="L1879" s="9" t="str">
        <x:v>TBA</x:v>
      </x:c>
    </x:row>
    <x:row r="1880">
      <x:c r="A1880" t="str">
        <x:v>7c052149-8fa8-4227-893e-931f8d865b0c</x:v>
      </x:c>
      <x:c r="B1880" t="str">
        <x:v>7df33e97-698d-4a21-adda-79f22cbde414</x:v>
      </x:c>
      <x:c r="C1880" s="9" t="str">
        <x:v>LT (Kosovo) v Secretary of State for the Home Department (Rev 1) [2015] EWCA Civ 662</x:v>
      </x:c>
      <x:c r="D1880" s="9" t="str"/>
      <x:c r="E1880" s="9" t="str"/>
      <x:c r="F1880" s="13" t="str">
        <x:v>2015</x:v>
      </x:c>
      <x:c r="G1880" s="9" t="str">
        <x:v>England and Wales Court of Appeal (Civil Division)</x:v>
      </x:c>
      <x:c r="H1880" s="9" t="str">
        <x:v>Appellate</x:v>
      </x:c>
      <x:c r="I1880" s="9" t="str">
        <x:v>England and Wales</x:v>
      </x:c>
      <x:c r="J1880" s="9" t="str">
        <x:v>Immigration Law</x:v>
      </x:c>
      <x:c r="K1880" s="9" t="str">
        <x:v>-ew-cases-EWCA-Civ-2015-662.xml</x:v>
      </x:c>
      <x:c r="L1880" s="9" t="str">
        <x:v>TBA</x:v>
      </x:c>
    </x:row>
    <x:row r="1881">
      <x:c r="A1881" t="str">
        <x:v>b66acbbb-ee72-471a-bf6a-832472102c71</x:v>
      </x:c>
      <x:c r="B1881" t="str">
        <x:v>f5410dbc-2274-43e4-9bf1-890cd93a53aa</x:v>
      </x:c>
      <x:c r="C1881" s="9" t="str">
        <x:v>Lufthansa Technik AG v Astronics Advanced Electronics Systems &amp; Ors [2022] EWCA Civ 20</x:v>
      </x:c>
      <x:c r="D1881" s="9" t="str"/>
      <x:c r="E1881" s="9" t="str"/>
      <x:c r="F1881" s="13" t="str">
        <x:v>2022</x:v>
      </x:c>
      <x:c r="G1881" s="9" t="str">
        <x:v>England and Wales Court of Appeal (Civil Division)</x:v>
      </x:c>
      <x:c r="H1881" s="9" t="str">
        <x:v>Court of Appeal (Civil Division)</x:v>
      </x:c>
      <x:c r="I1881" s="9" t="str">
        <x:v>England and Wales</x:v>
      </x:c>
      <x:c r="J1881" s="9" t="str">
        <x:v>Intellectual Property; Patent Law</x:v>
      </x:c>
      <x:c r="K1881" s="9" t="str">
        <x:v>ew-cases-EWCA-Civ-2022-20.xml</x:v>
      </x:c>
      <x:c r="L1881" s="9" t="str">
        <x:v>TBA</x:v>
      </x:c>
    </x:row>
    <x:row r="1882">
      <x:c r="A1882" t="str">
        <x:v>eacab859-69b4-4af8-bf83-2c5c79c4eebd</x:v>
      </x:c>
      <x:c r="B1882" t="str">
        <x:v>4a87a8ef-a252-4807-a3ed-d1578db594a1</x:v>
      </x:c>
      <x:c r="C1882" s="9" t="str">
        <x:v>Lumsdon &amp; Ors, R (on the application of) v Legal Services Board &amp; Ors</x:v>
      </x:c>
      <x:c r="D1882" s="9" t="str"/>
      <x:c r="E1882" s="9" t="str"/>
      <x:c r="F1882" s="13" t="str">
        <x:v>2014</x:v>
      </x:c>
      <x:c r="G1882" s="9" t="str">
        <x:v>England and Wales Court of Appeal (Civil Division)</x:v>
      </x:c>
      <x:c r="H1882" s="9" t="str">
        <x:v>Appellate Court</x:v>
      </x:c>
      <x:c r="I1882" s="9" t="str">
        <x:v>England and Wales</x:v>
      </x:c>
      <x:c r="J1882" s="9" t="str">
        <x:v>Administrative Law</x:v>
      </x:c>
      <x:c r="K1882" s="9" t="str">
        <x:v>-ew-cases-EWCA-Civ-2014-1276.xml</x:v>
      </x:c>
      <x:c r="L1882" s="9" t="str">
        <x:v>TBA</x:v>
      </x:c>
    </x:row>
    <x:row r="1883">
      <x:c r="A1883" t="str">
        <x:v>79550c12-0728-4dc3-ae4e-5da69d78c272</x:v>
      </x:c>
      <x:c r="B1883" t="str">
        <x:v>782362e7-7a88-4818-abbb-551f182f8659</x:v>
      </x:c>
      <x:c r="C1883" s="9" t="str">
        <x:v>Lungowe &amp; Ors v Vedanta Resources Plc &amp; Anor [2017] EWCA Civ 1528</x:v>
      </x:c>
      <x:c r="D1883" s="9" t="str"/>
      <x:c r="E1883" s="9" t="str"/>
      <x:c r="F1883" s="13" t="str">
        <x:v>2017</x:v>
      </x:c>
      <x:c r="G1883" s="9" t="str">
        <x:v>England and Wales Court of Appeal (Civil Division)</x:v>
      </x:c>
      <x:c r="H1883" s="9" t="str">
        <x:v>Appellate</x:v>
      </x:c>
      <x:c r="I1883" s="9" t="str">
        <x:v>England and Wales</x:v>
      </x:c>
      <x:c r="J1883" s="9" t="str">
        <x:v>Tort</x:v>
      </x:c>
      <x:c r="K1883" s="9" t="str">
        <x:v>-ew-cases-EWCA-Civ-2017-1528.xml</x:v>
      </x:c>
      <x:c r="L1883" s="9" t="str">
        <x:v>TBA</x:v>
      </x:c>
    </x:row>
    <x:row r="1884">
      <x:c r="A1884" t="str">
        <x:v>4b34939c-5a51-4f0c-953c-a72c246151c0</x:v>
      </x:c>
      <x:c r="B1884" t="str">
        <x:v>9f23ddf2-fa12-45c8-99f7-74539a06ee46</x:v>
      </x:c>
      <x:c r="C1884" s="9" t="str">
        <x:v>Luton Borough Council, R (on the application of) v Central Bedfordshire Council &amp; Ors [2015] EWCA Civ 537</x:v>
      </x:c>
      <x:c r="D1884" s="9" t="str"/>
      <x:c r="E1884" s="9" t="str"/>
      <x:c r="F1884" s="13" t="str">
        <x:v>2015</x:v>
      </x:c>
      <x:c r="G1884" s="9" t="str">
        <x:v>England and Wales Court of Appeal (Civil Division)</x:v>
      </x:c>
      <x:c r="H1884" s="9" t="str">
        <x:v>Appellate</x:v>
      </x:c>
      <x:c r="I1884" s="9" t="str">
        <x:v>England and Wales</x:v>
      </x:c>
      <x:c r="J1884" s="9" t="str">
        <x:v>Administrative Law</x:v>
      </x:c>
      <x:c r="K1884" s="9" t="str">
        <x:v>-ew-cases-EWCA-Civ-2015-537.xml</x:v>
      </x:c>
      <x:c r="L1884" s="9" t="str">
        <x:v>TBA</x:v>
      </x:c>
    </x:row>
    <x:row r="1885">
      <x:c r="A1885" t="str">
        <x:v>e61fbd98-c7fa-4d54-8191-dc6fe5b48c6e</x:v>
      </x:c>
      <x:c r="B1885" t="str">
        <x:v>1d2ca3fd-49a3-4e5f-93db-6b8abc9b7e8c</x:v>
      </x:c>
      <x:c r="C1885" s="9" t="str">
        <x:v>M (A Child: Leave To Oppose Adoption) [2023] EWCA Civ 404</x:v>
      </x:c>
      <x:c r="D1885" s="9" t="str"/>
      <x:c r="E1885" s="9" t="str"/>
      <x:c r="F1885" s="13" t="str">
        <x:v>2023</x:v>
      </x:c>
      <x:c r="G1885" s="9" t="str">
        <x:v>England and Wales Court of Appeal (Civil Division)</x:v>
      </x:c>
      <x:c r="H1885" s="9" t="str">
        <x:v>Court of Appeal (Civil Division)</x:v>
      </x:c>
      <x:c r="I1885" s="9" t="str">
        <x:v>England and Wales</x:v>
      </x:c>
      <x:c r="J1885" s="9" t="str">
        <x:v>Family Law - Adoption</x:v>
      </x:c>
      <x:c r="K1885" s="9" t="str">
        <x:v>ew-cases-EWCA-Civ-2023-404.xml</x:v>
      </x:c>
      <x:c r="L1885" s="9" t="str">
        <x:v>TBA</x:v>
      </x:c>
    </x:row>
    <x:row r="1886">
      <x:c r="A1886" t="str">
        <x:v>a4eccbff-ede6-4a6e-affd-fff6fbd66fde</x:v>
      </x:c>
      <x:c r="B1886" t="str">
        <x:v>b8dac49f-597b-4a51-adb1-3ad8e5385d2e</x:v>
      </x:c>
      <x:c r="C1886" s="9" t="str">
        <x:v>M (A Child: Long-Term Foster Care) [2014] EWCA Civ 1406</x:v>
      </x:c>
      <x:c r="D1886" s="9" t="str"/>
      <x:c r="E1886" s="9" t="str"/>
      <x:c r="F1886" s="13" t="str">
        <x:v>2014</x:v>
      </x:c>
      <x:c r="G1886" s="9" t="str">
        <x:v>England and Wales Court of Appeal (Civil Division)</x:v>
      </x:c>
      <x:c r="H1886" s="9" t="str">
        <x:v>Appellate</x:v>
      </x:c>
      <x:c r="I1886" s="9" t="str">
        <x:v>England and Wales</x:v>
      </x:c>
      <x:c r="J1886" s="9" t="str">
        <x:v>Child Welfare</x:v>
      </x:c>
      <x:c r="K1886" s="9" t="str">
        <x:v>-ew-cases-EWCA-Civ-2014-1406.xml</x:v>
      </x:c>
      <x:c r="L1886" s="9" t="str">
        <x:v>TBA</x:v>
      </x:c>
    </x:row>
    <x:row r="1887">
      <x:c r="A1887" t="str">
        <x:v>c46c9df5-d600-4e98-ab87-8bf76c340ba9</x:v>
      </x:c>
      <x:c r="B1887" t="str">
        <x:v>655de8e8-dfb0-46ba-ae12-d0d959d5383b</x:v>
      </x:c>
      <x:c r="C1887" s="9" t="str">
        <x:v>M (A Child) [2014] EWCA Civ 1519</x:v>
      </x:c>
      <x:c r="D1887" s="9" t="str"/>
      <x:c r="E1887" s="9" t="str"/>
      <x:c r="F1887" s="13" t="str">
        <x:v>2014</x:v>
      </x:c>
      <x:c r="G1887" s="9" t="str">
        <x:v>England and Wales Court of Appeal (Civil Division)</x:v>
      </x:c>
      <x:c r="H1887" s="9" t="str">
        <x:v>Appellate</x:v>
      </x:c>
      <x:c r="I1887" s="9" t="str">
        <x:v>England and Wales</x:v>
      </x:c>
      <x:c r="J1887" s="9" t="str">
        <x:v>International Child Abduction</x:v>
      </x:c>
      <x:c r="K1887" s="9" t="str">
        <x:v>-ew-cases-EWCA-Civ-2014-1519.xml</x:v>
      </x:c>
      <x:c r="L1887" s="9" t="str">
        <x:v>TBA</x:v>
      </x:c>
    </x:row>
    <x:row r="1888">
      <x:c r="A1888" t="str">
        <x:v>76fa040c-3625-4274-9ee9-4b8dd0ced143</x:v>
      </x:c>
      <x:c r="B1888" t="str">
        <x:v>1d513dd3-9986-44d7-b29e-25d2bfb8c82b</x:v>
      </x:c>
      <x:c r="C1888" s="9" t="str">
        <x:v>M (A Child) [2017] EWCA Civ 2445: Appeal of Finding of Non-Penetrative Sexual Abuse</x:v>
      </x:c>
      <x:c r="D1888" s="9" t="str"/>
      <x:c r="E1888" s="9" t="str"/>
      <x:c r="F1888" s="13" t="str">
        <x:v>2017</x:v>
      </x:c>
      <x:c r="G1888" s="9" t="str">
        <x:v>England and Wales Court of Appeal (Civil Division)</x:v>
      </x:c>
      <x:c r="H1888" s="9" t="str">
        <x:v>appellate</x:v>
      </x:c>
      <x:c r="I1888" s="9" t="str">
        <x:v>England and Wales</x:v>
      </x:c>
      <x:c r="J1888" s="9" t="str">
        <x:v>Family Law</x:v>
      </x:c>
      <x:c r="K1888" s="9" t="str">
        <x:v>-ew-cases-EWCA-Civ-2017-2445.xml</x:v>
      </x:c>
      <x:c r="L1888" s="9" t="str">
        <x:v>TBA</x:v>
      </x:c>
    </x:row>
    <x:row r="1889">
      <x:c r="A1889" t="str">
        <x:v>d02240a9-ffae-45e4-8cb4-d54805a7c792</x:v>
      </x:c>
      <x:c r="B1889" t="str">
        <x:v>68255552-abb5-4e0a-a14c-83d983f58fcc</x:v>
      </x:c>
      <x:c r="C1889" s="9" t="str">
        <x:v>M (A Child) [2017] EWCA Civ 245</x:v>
      </x:c>
      <x:c r="D1889" s="9" t="str"/>
      <x:c r="E1889" s="9" t="str"/>
      <x:c r="F1889" s="13" t="str">
        <x:v>2017</x:v>
      </x:c>
      <x:c r="G1889" s="9" t="str">
        <x:v>England and Wales Court of Appeal (Civil Division)</x:v>
      </x:c>
      <x:c r="H1889" s="9" t="str">
        <x:v>appellate</x:v>
      </x:c>
      <x:c r="I1889" s="9" t="str">
        <x:v>England and Wales</x:v>
      </x:c>
      <x:c r="J1889" s="9" t="str">
        <x:v>Family Law</x:v>
      </x:c>
      <x:c r="K1889" s="9" t="str">
        <x:v>-ew-cases-EWCA-Civ-2017-245.xml</x:v>
      </x:c>
      <x:c r="L1889" s="9" t="str">
        <x:v>TBA</x:v>
      </x:c>
    </x:row>
    <x:row r="1890">
      <x:c r="A1890" t="str">
        <x:v>1e200064-4c16-4ca3-88f2-41f9a3f4db96</x:v>
      </x:c>
      <x:c r="B1890" t="str">
        <x:v>a4f7d2b0-3273-4662-a12a-735607147050</x:v>
      </x:c>
      <x:c r="C1890" s="9" t="str">
        <x:v>M (A Child), Re [2014] EWCA Civ 152</x:v>
      </x:c>
      <x:c r="D1890" s="9" t="str"/>
      <x:c r="E1890" s="9" t="str"/>
      <x:c r="F1890" s="13" t="str">
        <x:v>2014</x:v>
      </x:c>
      <x:c r="G1890" s="9" t="str">
        <x:v>England and Wales Court of Appeal (Civil Division)</x:v>
      </x:c>
      <x:c r="H1890" s="9" t="str">
        <x:v>Appellate</x:v>
      </x:c>
      <x:c r="I1890" s="9" t="str">
        <x:v>England and Wales</x:v>
      </x:c>
      <x:c r="J1890" s="9" t="str">
        <x:v>Family Law</x:v>
      </x:c>
      <x:c r="K1890" s="9" t="str">
        <x:v>-ew-cases-EWCA-Civ-2014-152.xml</x:v>
      </x:c>
      <x:c r="L1890" s="9" t="str">
        <x:v>TBA</x:v>
      </x:c>
    </x:row>
    <x:row r="1891">
      <x:c r="A1891" t="str">
        <x:v>5161b43b-1c54-40d5-ad8b-3a643a0c105c</x:v>
      </x:c>
      <x:c r="B1891" t="str">
        <x:v>31e2ce62-2c7a-4742-abd2-e194ac9b5c2f</x:v>
      </x:c>
      <x:c r="C1891" s="9" t="str">
        <x:v>M (Children: Applications By Email) [2021] EWCA Civ 806</x:v>
      </x:c>
      <x:c r="D1891" s="9" t="str"/>
      <x:c r="E1891" s="9" t="str"/>
      <x:c r="F1891" s="13" t="str">
        <x:v>2021</x:v>
      </x:c>
      <x:c r="G1891" s="9" t="str">
        <x:v>England and Wales Court of Appeal (Civil Division)</x:v>
      </x:c>
      <x:c r="H1891" s="9" t="str">
        <x:v>Civil Division</x:v>
      </x:c>
      <x:c r="I1891" s="9" t="str">
        <x:v>England and Wales</x:v>
      </x:c>
      <x:c r="J1891" s="9" t="str">
        <x:v>Family Law</x:v>
      </x:c>
      <x:c r="K1891" s="9" t="str">
        <x:v>ew-cases-EWCA-Civ-2021-806.xml</x:v>
      </x:c>
      <x:c r="L1891" s="9" t="str">
        <x:v>TBA</x:v>
      </x:c>
    </x:row>
    <x:row r="1892">
      <x:c r="A1892" t="str">
        <x:v>80a73a8a-28fc-4dfb-9176-1d7d23b47884</x:v>
      </x:c>
      <x:c r="B1892" t="str">
        <x:v>33ec0213-1267-4681-bcd5-2c4cc9cd467a</x:v>
      </x:c>
      <x:c r="C1892" s="9" t="str">
        <x:v>M (Children: Care Proceedings: Passport Order)</x:v>
      </x:c>
      <x:c r="D1892" s="9" t="str"/>
      <x:c r="E1892" s="9" t="str"/>
      <x:c r="F1892" s="13" t="str">
        <x:v>2017</x:v>
      </x:c>
      <x:c r="G1892" s="9" t="str">
        <x:v>England and Wales Court of Appeal (Civil Division)</x:v>
      </x:c>
      <x:c r="H1892" s="9" t="str">
        <x:v>Appellate</x:v>
      </x:c>
      <x:c r="I1892" s="9" t="str">
        <x:v>England and Wales</x:v>
      </x:c>
      <x:c r="J1892" s="9" t="str">
        <x:v>Family Law</x:v>
      </x:c>
      <x:c r="K1892" s="9" t="str">
        <x:v>-ew-cases-EWCA-Civ-2017-69.xml</x:v>
      </x:c>
      <x:c r="L1892" s="9" t="str">
        <x:v>TBA</x:v>
      </x:c>
    </x:row>
    <x:row r="1893">
      <x:c r="A1893" t="str">
        <x:v>629af380-48ce-437b-9b15-015d704f1585</x:v>
      </x:c>
      <x:c r="B1893" t="str">
        <x:v>30988e35-9ab4-44e1-a187-ce4299e67966</x:v>
      </x:c>
      <x:c r="C1893" s="9" t="str">
        <x:v>M (Children) (Rev 1) [2017] EWCA Civ 891</x:v>
      </x:c>
      <x:c r="D1893" s="9" t="str"/>
      <x:c r="E1893" s="9" t="str"/>
      <x:c r="F1893" s="13" t="str">
        <x:v>2017</x:v>
      </x:c>
      <x:c r="G1893" s="9" t="str">
        <x:v>England and Wales Court of Appeal (Civil Division)</x:v>
      </x:c>
      <x:c r="H1893" s="9" t="str">
        <x:v>Appellate</x:v>
      </x:c>
      <x:c r="I1893" s="9" t="str">
        <x:v>England and Wales</x:v>
      </x:c>
      <x:c r="J1893" s="9" t="str">
        <x:v>Family Law</x:v>
      </x:c>
      <x:c r="K1893" s="9" t="str">
        <x:v>-ew-cases-EWCA-Civ-2017-891.xml</x:v>
      </x:c>
      <x:c r="L1893" s="9" t="str">
        <x:v>TBA</x:v>
      </x:c>
    </x:row>
    <x:row r="1894">
      <x:c r="A1894" t="str">
        <x:v>a0aa724b-7018-4fa7-ae2b-8077a918973d</x:v>
      </x:c>
      <x:c r="B1894" t="str">
        <x:v>87e2b93b-a3d9-4837-b3b3-34e9f3fb983a</x:v>
      </x:c>
      <x:c r="C1894" s="9" t="str">
        <x:v>M (Children) [2016] EWCA Civ 61 (Court of Appeal, Civil Division): Remittal for Retrial in care proceedings involving JA and JK</x:v>
      </x:c>
      <x:c r="D1894" s="9" t="str"/>
      <x:c r="E1894" s="9" t="str"/>
      <x:c r="F1894" s="13" t="str">
        <x:v>2016</x:v>
      </x:c>
      <x:c r="G1894" s="9" t="str">
        <x:v>England and Wales Court of Appeal (Civil Division)</x:v>
      </x:c>
      <x:c r="H1894" s="9" t="str">
        <x:v>Court of Appeal (Civil Division)</x:v>
      </x:c>
      <x:c r="I1894" s="9" t="str">
        <x:v>England and Wales</x:v>
      </x:c>
      <x:c r="J1894" s="9" t="str">
        <x:v>Family Law; Care Proceedings; Adoption Law</x:v>
      </x:c>
      <x:c r="K1894" s="9" t="str">
        <x:v>-ew-cases-EWCA-Civ-2016-61.xml</x:v>
      </x:c>
      <x:c r="L1894" s="9" t="str">
        <x:v>TBA</x:v>
      </x:c>
    </x:row>
    <x:row r="1895">
      <x:c r="A1895" t="str">
        <x:v>f0c6f57f-a190-4791-a8e1-435a163c3ebc</x:v>
      </x:c>
      <x:c r="B1895" t="str">
        <x:v>6be95ade-4137-4103-b22a-1a4630e68cb7</x:v>
      </x:c>
      <x:c r="C1895" s="9" t="str">
        <x:v>M (Children) [2016] EWCA Civ 942 (Court of Appeal, Civil Division) – International child abduction</x:v>
      </x:c>
      <x:c r="D1895" s="9" t="str"/>
      <x:c r="E1895" s="9" t="str"/>
      <x:c r="F1895" s="13" t="str">
        <x:v>2016</x:v>
      </x:c>
      <x:c r="G1895" s="9" t="str">
        <x:v>England and Wales Court of Appeal (Civil Division)</x:v>
      </x:c>
      <x:c r="H1895" s="9" t="str">
        <x:v>Court of Appeal (Civil Division)</x:v>
      </x:c>
      <x:c r="I1895" s="9" t="str">
        <x:v>England and Wales</x:v>
      </x:c>
      <x:c r="J1895" s="9" t="str">
        <x:v>International Child Abduction / Family Law</x:v>
      </x:c>
      <x:c r="K1895" s="9" t="str">
        <x:v>-ew-cases-EWCA-Civ-2016-942.xml</x:v>
      </x:c>
      <x:c r="L1895" s="9" t="str">
        <x:v>TBA</x:v>
      </x:c>
    </x:row>
    <x:row r="1896">
      <x:c r="A1896" t="str">
        <x:v>4bcc73b2-292e-4d7b-a45c-a04835df5ba8</x:v>
      </x:c>
      <x:c r="B1896" t="str">
        <x:v>a932dbeb-8863-4766-b7fc-439bce6ddf60</x:v>
      </x:c>
      <x:c r="C1896" s="9" t="str">
        <x:v>M (Children), Re [2014] EWCA Civ 1753</x:v>
      </x:c>
      <x:c r="D1896" s="9" t="str"/>
      <x:c r="E1896" s="9" t="str"/>
      <x:c r="F1896" s="13" t="str">
        <x:v>2014</x:v>
      </x:c>
      <x:c r="G1896" s="9" t="str">
        <x:v>England and Wales Court of Appeal (Civil Division)</x:v>
      </x:c>
      <x:c r="H1896" s="9" t="str">
        <x:v>Appellate</x:v>
      </x:c>
      <x:c r="I1896" s="9" t="str">
        <x:v>England and Wales</x:v>
      </x:c>
      <x:c r="J1896" s="9" t="str">
        <x:v>Family Law</x:v>
      </x:c>
      <x:c r="K1896" s="9" t="str">
        <x:v>-ew-cases-EWCA-Civ-2014-1753.xml</x:v>
      </x:c>
      <x:c r="L1896" s="9" t="str">
        <x:v>TBA</x:v>
      </x:c>
    </x:row>
    <x:row r="1897">
      <x:c r="A1897" t="str">
        <x:v>10b70522-23d8-441e-91fa-9021c22bf0df</x:v>
      </x:c>
      <x:c r="B1897" t="str">
        <x:v>d608a78a-c7a8-4c63-be11-04b351b39f62</x:v>
      </x:c>
      <x:c r="C1897" s="9" t="str">
        <x:v>M (Children), Re [2015] EWCA Civ 994</x:v>
      </x:c>
      <x:c r="D1897" s="9" t="str"/>
      <x:c r="E1897" s="9" t="str"/>
      <x:c r="F1897" s="13" t="str">
        <x:v>2015</x:v>
      </x:c>
      <x:c r="G1897" s="9" t="str">
        <x:v>England and Wales Court of Appeal (Civil Division)</x:v>
      </x:c>
      <x:c r="H1897" s="9" t="str">
        <x:v>Appellate</x:v>
      </x:c>
      <x:c r="I1897" s="9" t="str">
        <x:v>England and Wales</x:v>
      </x:c>
      <x:c r="J1897" s="9" t="str">
        <x:v>Family Law</x:v>
      </x:c>
      <x:c r="K1897" s="9" t="str">
        <x:v>-ew-cases-EWCA-Civ-2015-994.xml</x:v>
      </x:c>
      <x:c r="L1897" s="9" t="str">
        <x:v>TBA</x:v>
      </x:c>
    </x:row>
    <x:row r="1898">
      <x:c r="A1898" t="str">
        <x:v>851b31ed-c850-453f-b35e-92c425cac5a4</x:v>
      </x:c>
      <x:c r="B1898" t="str">
        <x:v>c091925b-8e26-4b32-aec0-4a3faa448343</x:v>
      </x:c>
      <x:c r="C1898" s="9" t="str">
        <x:v>M (Children), Re [2016] EWCA Civ 1059</x:v>
      </x:c>
      <x:c r="D1898" s="9" t="str"/>
      <x:c r="E1898" s="9" t="str"/>
      <x:c r="F1898" s="13" t="str">
        <x:v>2016</x:v>
      </x:c>
      <x:c r="G1898" s="9" t="str">
        <x:v>England and Wales Court of Appeal (Civil Division)</x:v>
      </x:c>
      <x:c r="H1898" s="9" t="str">
        <x:v>Court of Appeal (Civil Division) - Appellate</x:v>
      </x:c>
      <x:c r="I1898" s="9" t="str">
        <x:v>England and Wales</x:v>
      </x:c>
      <x:c r="J1898" s="9" t="str">
        <x:v>Family Law - Children's Relocation</x:v>
      </x:c>
      <x:c r="K1898" s="9" t="str">
        <x:v>-ew-cases-EWCA-Civ-2016-1059.xml</x:v>
      </x:c>
      <x:c r="L1898" s="9" t="str">
        <x:v>TBA</x:v>
      </x:c>
    </x:row>
    <x:row r="1899">
      <x:c r="A1899" t="str">
        <x:v>d48efdf2-8112-4bcb-9c4f-8772687cbd28</x:v>
      </x:c>
      <x:c r="B1899" t="str">
        <x:v>717f5a81-c992-46e4-855b-ec34e600baf7</x:v>
      </x:c>
      <x:c r="C1899" s="9" t="str">
        <x:v>M (Children), Re [2016] EWCA Civ 937 (Court of Appeal, Civil Division)</x:v>
      </x:c>
      <x:c r="D1899" s="9" t="str"/>
      <x:c r="E1899" s="9" t="str"/>
      <x:c r="F1899" s="13" t="str">
        <x:v>2016</x:v>
      </x:c>
      <x:c r="G1899" s="9" t="str">
        <x:v>England and Wales Court of Appeal (Civil Division)</x:v>
      </x:c>
      <x:c r="H1899" s="9" t="str">
        <x:v>Court of Appeal (Civil Division)</x:v>
      </x:c>
      <x:c r="I1899" s="9" t="str">
        <x:v>England and Wales</x:v>
      </x:c>
      <x:c r="J1899" s="9" t="str">
        <x:v>Family Law</x:v>
      </x:c>
      <x:c r="K1899" s="9" t="str">
        <x:v>-ew-cases-EWCA-Civ-2016-937.xml</x:v>
      </x:c>
      <x:c r="L1899" s="9" t="str">
        <x:v>TBA</x:v>
      </x:c>
    </x:row>
    <x:row r="1900">
      <x:c r="A1900" t="str">
        <x:v>9b80ecf0-4ebc-4d19-84f0-77332c31831c</x:v>
      </x:c>
      <x:c r="B1900" t="str">
        <x:v>5c5e44cb-2a70-4ceb-85ca-2bb91738d68c</x:v>
      </x:c>
      <x:c r="C1900" s="9" t="str">
        <x:v>M (Children), Re [2017] EWCA Civ 2164: Family Court Appeal on Transgender Parent-Child Contact</x:v>
      </x:c>
      <x:c r="D1900" s="9" t="str"/>
      <x:c r="E1900" s="9" t="str"/>
      <x:c r="F1900" s="13" t="str">
        <x:v>2017</x:v>
      </x:c>
      <x:c r="G1900" s="9" t="str">
        <x:v>England and Wales Court of Appeal (Civil Division)</x:v>
      </x:c>
      <x:c r="H1900" s="9" t="str">
        <x:v>Appellate</x:v>
      </x:c>
      <x:c r="I1900" s="9" t="str">
        <x:v>England and Wales</x:v>
      </x:c>
      <x:c r="J1900" s="9" t="str">
        <x:v>Family Law</x:v>
      </x:c>
      <x:c r="K1900" s="9" t="str">
        <x:v>-ew-cases-EWCA-Civ-2017-2164.xml</x:v>
      </x:c>
      <x:c r="L1900" s="9" t="str">
        <x:v>TBA</x:v>
      </x:c>
    </x:row>
    <x:row r="1901">
      <x:c r="A1901" t="str">
        <x:v>6c8e49d3-d93d-4b44-89d9-c43cae6e4ac7</x:v>
      </x:c>
      <x:c r="B1901" t="str">
        <x:v>325dbc3e-8fe4-4ee9-aa44-ca8f9fdf8ffa</x:v>
      </x:c>
      <x:c r="C1901" s="9" t="str">
        <x:v>M (Republic of Ireland) (Child's Objections) (Joinder of Children As Parties To Appeal)</x:v>
      </x:c>
      <x:c r="D1901" s="9" t="str"/>
      <x:c r="E1901" s="9" t="str"/>
      <x:c r="F1901" s="13" t="str">
        <x:v>2015</x:v>
      </x:c>
      <x:c r="G1901" s="9" t="str">
        <x:v>England and Wales Court of Appeal (Civil Division)</x:v>
      </x:c>
      <x:c r="H1901" s="9" t="str">
        <x:v>Appellate</x:v>
      </x:c>
      <x:c r="I1901" s="9" t="str">
        <x:v>England and Wales</x:v>
      </x:c>
      <x:c r="J1901" s="9" t="str">
        <x:v>Family Law</x:v>
      </x:c>
      <x:c r="K1901" s="9" t="str">
        <x:v>-ew-cases-EWCA-Civ-2015-26.xml</x:v>
      </x:c>
      <x:c r="L1901" s="9" t="str">
        <x:v>TBA</x:v>
      </x:c>
    </x:row>
    <x:row r="1902">
      <x:c r="A1902" t="str">
        <x:v>068134f8-9c83-418f-8107-e5e1b68aa5c1</x:v>
      </x:c>
      <x:c r="B1902" t="str">
        <x:v>823b4677-292b-44a3-b63d-e4f587fe36a0</x:v>
      </x:c>
      <x:c r="C1902" s="9" t="str">
        <x:v>M (Special Guardianship Order: Leave To Apply To Discharge) [2021] EWCA Civ 442</x:v>
      </x:c>
      <x:c r="D1902" s="9" t="str"/>
      <x:c r="E1902" s="9" t="str"/>
      <x:c r="F1902" s="13" t="str">
        <x:v>2021</x:v>
      </x:c>
      <x:c r="G1902" s="9" t="str">
        <x:v>England and Wales Court of Appeal (Civil Division)</x:v>
      </x:c>
      <x:c r="H1902" s="9" t="str">
        <x:v>Appellate</x:v>
      </x:c>
      <x:c r="I1902" s="9" t="str">
        <x:v>England and Wales</x:v>
      </x:c>
      <x:c r="J1902" s="9" t="str">
        <x:v>Family Law</x:v>
      </x:c>
      <x:c r="K1902" s="9" t="str">
        <x:v>ew-cases-EWCA-Civ-2021-442.xml</x:v>
      </x:c>
      <x:c r="L1902" s="9" t="str">
        <x:v>TBA</x:v>
      </x:c>
    </x:row>
    <x:row r="1903">
      <x:c r="A1903" t="str">
        <x:v>6179fb2d-3ed5-4100-abf3-196712c5be57</x:v>
      </x:c>
      <x:c r="B1903" t="str">
        <x:v>128fcec4-a66f-419a-86dc-d5d0d1ee9d2c</x:v>
      </x:c>
      <x:c r="C1903" s="9" t="str">
        <x:v>M &amp; Ors v Suffolk County Council [2014] EWCA Civ 942</x:v>
      </x:c>
      <x:c r="D1903" s="9" t="str"/>
      <x:c r="E1903" s="9" t="str"/>
      <x:c r="F1903" s="13" t="str">
        <x:v>2014</x:v>
      </x:c>
      <x:c r="G1903" s="9" t="str">
        <x:v>England and Wales Court of Appeal (Civil Division)</x:v>
      </x:c>
      <x:c r="H1903" s="9" t="str">
        <x:v>Appellate</x:v>
      </x:c>
      <x:c r="I1903" s="9" t="str">
        <x:v>England and Wales</x:v>
      </x:c>
      <x:c r="J1903" s="9" t="str">
        <x:v>Family Law</x:v>
      </x:c>
      <x:c r="K1903" s="9" t="str">
        <x:v>-ew-cases-EWCA-Civ-2014-942.xml</x:v>
      </x:c>
      <x:c r="L1903" s="9" t="str">
        <x:v>TBA</x:v>
      </x:c>
    </x:row>
    <x:row r="1904">
      <x:c r="A1904" t="str">
        <x:v>857da1a5-330a-4da3-841d-d6d778eac843</x:v>
      </x:c>
      <x:c r="B1904" t="str">
        <x:v>8677b256-7025-402a-b1da-7d69ca314e47</x:v>
      </x:c>
      <x:c r="C1904" s="9" t="str">
        <x:v>M Sport Ltd, R (On the Application Of) v Her Majesty's Revenue And Customs</x:v>
      </x:c>
      <x:c r="D1904" s="9" t="str"/>
      <x:c r="E1904" s="9" t="str"/>
      <x:c r="F1904" s="13" t="str">
        <x:v>2021</x:v>
      </x:c>
      <x:c r="G1904" s="9" t="str">
        <x:v>England and Wales Court of Appeal (Civil Division)</x:v>
      </x:c>
      <x:c r="H1904" s="9" t="str">
        <x:v>Appellate</x:v>
      </x:c>
      <x:c r="I1904" s="9" t="str">
        <x:v>England and Wales</x:v>
      </x:c>
      <x:c r="J1904" s="9" t="str">
        <x:v>Administrative Law</x:v>
      </x:c>
      <x:c r="K1904" s="9" t="str">
        <x:v>ew-cases-EWCA-Civ-2021-561.xml</x:v>
      </x:c>
      <x:c r="L1904" s="9" t="str">
        <x:v>TBA</x:v>
      </x:c>
    </x:row>
    <x:row r="1905">
      <x:c r="A1905" t="str">
        <x:v>aef107d4-6007-44f3-88bb-dac9552b0b51</x:v>
      </x:c>
      <x:c r="B1905" t="str">
        <x:v>d4eda4e7-3c4c-413e-8c41-aab98d3d76fd</x:v>
      </x:c>
      <x:c r="C1905" s="9" t="str">
        <x:v>M T Højgaard A/S v E.On Climate And Renewables UK Robin Rigg East Ltd &amp; Anor [2014] EWCA Civ 710</x:v>
      </x:c>
      <x:c r="D1905" s="9" t="str"/>
      <x:c r="E1905" s="9" t="str"/>
      <x:c r="F1905" s="13" t="str">
        <x:v>2014</x:v>
      </x:c>
      <x:c r="G1905" s="9" t="str">
        <x:v>England and Wales Court of Appeal (Civil Division)</x:v>
      </x:c>
      <x:c r="H1905" s="9" t="str">
        <x:v>Appellate</x:v>
      </x:c>
      <x:c r="I1905" s="9" t="str">
        <x:v>England and Wales</x:v>
      </x:c>
      <x:c r="J1905" s="9" t="str">
        <x:v>Contract Dispute</x:v>
      </x:c>
      <x:c r="K1905" s="9" t="str">
        <x:v>-ew-cases-EWCA-Civ-2014-710.xml</x:v>
      </x:c>
      <x:c r="L1905" s="9" t="str">
        <x:v>TBA</x:v>
      </x:c>
    </x:row>
    <x:row r="1906">
      <x:c r="A1906" t="str">
        <x:v>8b4424cd-fc1a-4364-879e-836f7e0c498b</x:v>
      </x:c>
      <x:c r="B1906" t="str">
        <x:v>5d0d3b24-a62a-43fe-96bd-c3df7f0d78ad</x:v>
      </x:c>
      <x:c r="C1906" s="9" t="str">
        <x:v>M v M [2017] EWCA Civ 129: Appeal on Periodical Payments Order</x:v>
      </x:c>
      <x:c r="D1906" s="9" t="str"/>
      <x:c r="E1906" s="9" t="str"/>
      <x:c r="F1906" s="13" t="str">
        <x:v>2017</x:v>
      </x:c>
      <x:c r="G1906" s="9" t="str">
        <x:v>England and Wales Court of Appeal (Civil Division)</x:v>
      </x:c>
      <x:c r="H1906" s="9" t="str">
        <x:v>Appellate</x:v>
      </x:c>
      <x:c r="I1906" s="9" t="str">
        <x:v>England and Wales</x:v>
      </x:c>
      <x:c r="J1906" s="9" t="str">
        <x:v>Family Law</x:v>
      </x:c>
      <x:c r="K1906" s="9" t="str">
        <x:v>-ew-cases-EWCA-Civ-2017-129.xml</x:v>
      </x:c>
      <x:c r="L1906" s="9" t="str">
        <x:v>TBA</x:v>
      </x:c>
    </x:row>
    <x:row r="1907">
      <x:c r="A1907" t="str">
        <x:v>843018f4-0365-4b0f-9d2f-4fa15a658166</x:v>
      </x:c>
      <x:c r="B1907" t="str">
        <x:v>e9e9eced-e2d9-4a88-98f9-7d708cff8e3e</x:v>
      </x:c>
      <x:c r="C1907" s="9" t="str">
        <x:v>M-B (Children) [2015] EWCA Civ 1027: Appeal concerning findings of child injury</x:v>
      </x:c>
      <x:c r="D1907" s="9" t="str"/>
      <x:c r="E1907" s="9" t="str"/>
      <x:c r="F1907" s="13" t="str">
        <x:v>2015</x:v>
      </x:c>
      <x:c r="G1907" s="9" t="str">
        <x:v>England and Wales Court of Appeal (Civil Division)</x:v>
      </x:c>
      <x:c r="H1907" s="9" t="str">
        <x:v>Appellate</x:v>
      </x:c>
      <x:c r="I1907" s="9" t="str">
        <x:v>England and Wales</x:v>
      </x:c>
      <x:c r="J1907" s="9" t="str">
        <x:v>Family Law</x:v>
      </x:c>
      <x:c r="K1907" s="9" t="str">
        <x:v>-ew-cases-EWCA-Civ-2015-1027.xml</x:v>
      </x:c>
      <x:c r="L1907" s="9" t="str">
        <x:v>TBA</x:v>
      </x:c>
    </x:row>
    <x:row r="1908">
      <x:c r="A1908" t="str">
        <x:v>ed544582-21c5-4aa2-8c5b-7f32936cf1f8</x:v>
      </x:c>
      <x:c r="B1908" t="str">
        <x:v>e519c9af-3b69-476c-afc9-bd1d8c1c3a6a</x:v>
      </x:c>
      <x:c r="C1908" s="9" t="str">
        <x:v>M-F (Children) [2014] EWCA Civ 991</x:v>
      </x:c>
      <x:c r="D1908" s="9" t="str"/>
      <x:c r="E1908" s="9" t="str"/>
      <x:c r="F1908" s="13" t="str">
        <x:v>2014</x:v>
      </x:c>
      <x:c r="G1908" s="9" t="str">
        <x:v>England and Wales Court of Appeal (Civil Division)</x:v>
      </x:c>
      <x:c r="H1908" s="9" t="str">
        <x:v>Appellate</x:v>
      </x:c>
      <x:c r="I1908" s="9" t="str">
        <x:v>England and Wales</x:v>
      </x:c>
      <x:c r="J1908" s="9" t="str">
        <x:v>Family Law</x:v>
      </x:c>
      <x:c r="K1908" s="9" t="str">
        <x:v>-ew-cases-EWCA-Civ-2014-991.xml</x:v>
      </x:c>
      <x:c r="L1908" s="9" t="str">
        <x:v>TBA</x:v>
      </x:c>
    </x:row>
    <x:row r="1909">
      <x:c r="A1909" t="str">
        <x:v>2a4cb40c-b197-444d-a048-67763e1b9554</x:v>
      </x:c>
      <x:c r="B1909" t="str">
        <x:v>169d01c1-4481-4da0-82bd-3a875a324b23</x:v>
      </x:c>
      <x:c r="C1909" s="9" t="str">
        <x:v>M-H (A Child) [2014] EWCA Civ 1396</x:v>
      </x:c>
      <x:c r="D1909" s="9" t="str"/>
      <x:c r="E1909" s="9" t="str"/>
      <x:c r="F1909" s="13" t="str">
        <x:v>2014</x:v>
      </x:c>
      <x:c r="G1909" s="9" t="str">
        <x:v>England and Wales Court of Appeal (Civil Division)</x:v>
      </x:c>
      <x:c r="H1909" s="9" t="str">
        <x:v>Appellate</x:v>
      </x:c>
      <x:c r="I1909" s="9" t="str">
        <x:v>England and Wales</x:v>
      </x:c>
      <x:c r="J1909" s="9" t="str">
        <x:v>Family Law</x:v>
      </x:c>
      <x:c r="K1909" s="9" t="str">
        <x:v>-ew-cases-EWCA-Civ-2014-1396.xml</x:v>
      </x:c>
      <x:c r="L1909" s="9" t="str">
        <x:v>TBA</x:v>
      </x:c>
    </x:row>
    <x:row r="1910">
      <x:c r="A1910" t="str">
        <x:v>46dcbc91-4a09-4d07-834b-850ea8310a07</x:v>
      </x:c>
      <x:c r="B1910" t="str">
        <x:v>9a1a77a2-b17e-47c7-a98d-7190c3992471</x:v>
      </x:c>
      <x:c r="C1910" s="9" t="str">
        <x:v>M-M (A Child), Re [2014] EWCA Civ 276</x:v>
      </x:c>
      <x:c r="D1910" s="9" t="str"/>
      <x:c r="E1910" s="9" t="str"/>
      <x:c r="F1910" s="13" t="str">
        <x:v>2014</x:v>
      </x:c>
      <x:c r="G1910" s="9" t="str">
        <x:v>England and Wales Court of Appeal (Civil Division)</x:v>
      </x:c>
      <x:c r="H1910" s="9" t="str">
        <x:v>Appellate</x:v>
      </x:c>
      <x:c r="I1910" s="9" t="str">
        <x:v>England and Wales</x:v>
      </x:c>
      <x:c r="J1910" s="9" t="str">
        <x:v>Family Law</x:v>
      </x:c>
      <x:c r="K1910" s="9" t="str">
        <x:v>-ew-cases-EWCA-Civ-2014-276.xml</x:v>
      </x:c>
      <x:c r="L1910" s="9" t="str">
        <x:v>TBA</x:v>
      </x:c>
    </x:row>
    <x:row r="1911">
      <x:c r="A1911" t="str">
        <x:v>f487ada6-f781-4e83-962c-aab023502799</x:v>
      </x:c>
      <x:c r="B1911" t="str">
        <x:v>ad659055-b62e-4910-ad7b-9e3f754090c7</x:v>
      </x:c>
      <x:c r="C1911" s="9" t="str">
        <x:v>M, R (on the application of) v Human Fertilisation and Embryology Authority [2016] EWCA Civ 102</x:v>
      </x:c>
      <x:c r="D1911" s="9" t="str"/>
      <x:c r="E1911" s="9" t="str"/>
      <x:c r="F1911" s="13" t="str">
        <x:v>2016</x:v>
      </x:c>
      <x:c r="G1911" s="9" t="str">
        <x:v>England and Wales Court of Appeal (Civil Division)</x:v>
      </x:c>
      <x:c r="H1911" s="9" t="str">
        <x:v>Court of Appeal (Civil Division)</x:v>
      </x:c>
      <x:c r="I1911" s="9" t="str">
        <x:v>England and Wales</x:v>
      </x:c>
      <x:c r="J1911" s="9" t="str">
        <x:v>Administrative Law / Judicial Review</x:v>
      </x:c>
      <x:c r="K1911" s="9" t="str">
        <x:v>-ew-cases-EWCA-Civ-2016-102.xml</x:v>
      </x:c>
      <x:c r="L1911" s="9" t="str">
        <x:v>TBA</x:v>
      </x:c>
    </x:row>
    <x:row r="1912">
      <x:c r="A1912" t="str">
        <x:v>e3c1404f-45a3-457e-a41b-c6cd3850db39</x:v>
      </x:c>
      <x:c r="B1912" t="str">
        <x:v>8e364246-66d8-430d-9a28-b686a2dd89a5</x:v>
      </x:c>
      <x:c r="C1912" s="9" t="str">
        <x:v>M, R (on the application of) v Human Fertilisation and Embryology Authority [2016] EWCA Civ 611</x:v>
      </x:c>
      <x:c r="D1912" s="9" t="str"/>
      <x:c r="E1912" s="9" t="str"/>
      <x:c r="F1912" s="13" t="str">
        <x:v>2016</x:v>
      </x:c>
      <x:c r="G1912" s="9" t="str">
        <x:v>England and Wales Court of Appeal (Civil Division)</x:v>
      </x:c>
      <x:c r="H1912" s="9" t="str">
        <x:v>Court of Appeal (Civil Division)</x:v>
      </x:c>
      <x:c r="I1912" s="9" t="str">
        <x:v>England and Wales</x:v>
      </x:c>
      <x:c r="J1912" s="9" t="str">
        <x:v>Administrative/Public Law with family law/reproductive technology elements</x:v>
      </x:c>
      <x:c r="K1912" s="9" t="str">
        <x:v>-ew-cases-EWCA-Civ-2016-611.xml</x:v>
      </x:c>
      <x:c r="L1912" s="9" t="str">
        <x:v>TBA</x:v>
      </x:c>
    </x:row>
    <x:row r="1913">
      <x:c r="A1913" t="str">
        <x:v>af7db03a-f47d-4af0-b197-666177d83c2b</x:v>
      </x:c>
      <x:c r="B1913" t="str">
        <x:v>d939207b-0dd5-492c-9192-0bfd113fce50</x:v>
      </x:c>
      <x:c r="C1913" s="9" t="str">
        <x:v>M, R (On the Application Of) v Secretary of State for the Home Department [2014] EWCA Civ 1651</x:v>
      </x:c>
      <x:c r="D1913" s="9" t="str"/>
      <x:c r="E1913" s="9" t="str"/>
      <x:c r="F1913" s="13" t="str">
        <x:v>2014</x:v>
      </x:c>
      <x:c r="G1913" s="9" t="str">
        <x:v>England and Wales Court of Appeal (Civil Division)</x:v>
      </x:c>
      <x:c r="H1913" s="9" t="str">
        <x:v>Appellate</x:v>
      </x:c>
      <x:c r="I1913" s="9" t="str">
        <x:v>England and Wales</x:v>
      </x:c>
      <x:c r="J1913" s="9" t="str">
        <x:v>Administrative Law</x:v>
      </x:c>
      <x:c r="K1913" s="9" t="str">
        <x:v>-ew-cases-EWCA-Civ-2014-1651.xml</x:v>
      </x:c>
      <x:c r="L1913" s="9" t="str">
        <x:v>TBA</x:v>
      </x:c>
    </x:row>
    <x:row r="1914">
      <x:c r="A1914" t="str">
        <x:v>b3b1edbb-2e49-40d7-89b8-c5dffa079706</x:v>
      </x:c>
      <x:c r="B1914" t="str">
        <x:v>431517e1-06a2-4b55-9c73-e01d869faf57</x:v>
      </x:c>
      <x:c r="C1914" s="9" t="str">
        <x:v>M, R (On the Application Of) v The Chief Constable of Sussex Police</x:v>
      </x:c>
      <x:c r="D1914" s="9" t="str"/>
      <x:c r="E1914" s="9" t="str"/>
      <x:c r="F1914" s="13" t="str">
        <x:v>2021</x:v>
      </x:c>
      <x:c r="G1914" s="9" t="str">
        <x:v>England and Wales Court of Appeal (Civil Division)</x:v>
      </x:c>
      <x:c r="H1914" s="9" t="str">
        <x:v>Appellate</x:v>
      </x:c>
      <x:c r="I1914" s="9" t="str">
        <x:v>England and Wales</x:v>
      </x:c>
      <x:c r="J1914" s="9" t="str">
        <x:v>Administrative Law</x:v>
      </x:c>
      <x:c r="K1914" s="9" t="str">
        <x:v>ew-cases-EWCA-Civ-2021-42.xml</x:v>
      </x:c>
      <x:c r="L1914" s="9" t="str">
        <x:v>TBA</x:v>
      </x:c>
    </x:row>
    <x:row r="1915">
      <x:c r="A1915" t="str">
        <x:v>e7f00ba7-f3b7-4352-9cf0-a6fc7f9cc986</x:v>
      </x:c>
      <x:c r="B1915" t="str">
        <x:v>cca4a98f-d299-4808-bd3a-dfb1a7b0905c</x:v>
      </x:c>
      <x:c r="C1915" s="9" t="str">
        <x:v>M'P-P (Children), Re [2015] EWCA Civ 584</x:v>
      </x:c>
      <x:c r="D1915" s="9" t="str"/>
      <x:c r="E1915" s="9" t="str"/>
      <x:c r="F1915" s="13" t="str">
        <x:v>2015</x:v>
      </x:c>
      <x:c r="G1915" s="9" t="str">
        <x:v>England and Wales Court of Appeal (Civil Division)</x:v>
      </x:c>
      <x:c r="H1915" s="9" t="str">
        <x:v>Appellate</x:v>
      </x:c>
      <x:c r="I1915" s="9" t="str">
        <x:v>England and Wales</x:v>
      </x:c>
      <x:c r="J1915" s="9" t="str">
        <x:v>Family Law</x:v>
      </x:c>
      <x:c r="K1915" s="9" t="str">
        <x:v>-ew-cases-EWCA-Civ-2015-584.xml</x:v>
      </x:c>
      <x:c r="L1915" s="9" t="str">
        <x:v>TBA</x:v>
      </x:c>
    </x:row>
    <x:row r="1916">
      <x:c r="A1916" t="str">
        <x:v>5b59da02-ccf6-40b9-bd8b-3f3db502549f</x:v>
      </x:c>
      <x:c r="B1916" t="str">
        <x:v>c93778cb-1d83-49cc-a086-621c4b3a3084</x:v>
      </x:c>
      <x:c r="C1916" s="9" t="str">
        <x:v>M/V Pacific Pearl Co Limited v Osios David Shipping Inc [2022] EWCA Civ 798</x:v>
      </x:c>
      <x:c r="D1916" s="9" t="str"/>
      <x:c r="E1916" s="9" t="str"/>
      <x:c r="F1916" s="13" t="str">
        <x:v>2022</x:v>
      </x:c>
      <x:c r="G1916" s="9" t="str">
        <x:v>England and Wales Court of Appeal (Civil Division)</x:v>
      </x:c>
      <x:c r="H1916" s="9" t="str">
        <x:v>Court of Appeal (Civil Division)</x:v>
      </x:c>
      <x:c r="I1916" s="9" t="str">
        <x:v>England and Wales</x:v>
      </x:c>
      <x:c r="J1916" s="9" t="str">
        <x:v>Contract/Admiralty - Collision and Arrest</x:v>
      </x:c>
      <x:c r="K1916" s="9" t="str">
        <x:v>ew-cases-EWCA-Civ-2022-798.xml</x:v>
      </x:c>
      <x:c r="L1916" s="9" t="str">
        <x:v>TBA</x:v>
      </x:c>
    </x:row>
    <x:row r="1917">
      <x:c r="A1917" t="str">
        <x:v>c52cc71d-58aa-4fb3-bfcc-93b75a83ca70</x:v>
      </x:c>
      <x:c r="B1917" t="str">
        <x:v>11d3d9df-6667-4686-9a5c-55520a697dab</x:v>
      </x:c>
      <x:c r="C1917" s="9" t="str">
        <x:v>MA (Bangladesh) v Secretary of State for the Home Department; AM (Bangladesh) v Secretary of State for the Home Department</x:v>
      </x:c>
      <x:c r="D1917" s="9" t="str"/>
      <x:c r="E1917" s="9" t="str"/>
      <x:c r="F1917" s="13" t="str">
        <x:v>2016</x:v>
      </x:c>
      <x:c r="G1917" s="9" t="str">
        <x:v>England and Wales Court of Appeal (Civil Division)</x:v>
      </x:c>
      <x:c r="H1917" s="9" t="str">
        <x:v>Court of Appeal (Civil Division)</x:v>
      </x:c>
      <x:c r="I1917" s="9" t="str">
        <x:v>England and Wales</x:v>
      </x:c>
      <x:c r="J1917" s="9" t="str">
        <x:v>Immigration and Administrative Law</x:v>
      </x:c>
      <x:c r="K1917" s="9" t="str">
        <x:v>-ew-cases-EWCA-Civ-2016-175.xml</x:v>
      </x:c>
      <x:c r="L1917" s="9" t="str">
        <x:v>TBA</x:v>
      </x:c>
    </x:row>
    <x:row r="1918">
      <x:c r="A1918" t="str">
        <x:v>dc8c932b-d5aa-4860-b885-9c3ff0568bcb</x:v>
      </x:c>
      <x:c r="B1918" t="str">
        <x:v>fc865bf0-ebc1-46c0-920a-539988278a41</x:v>
      </x:c>
      <x:c r="C1918" s="9" t="str">
        <x:v>MA (Eritrea) v Secretary of State for the Home Department</x:v>
      </x:c>
      <x:c r="D1918" s="9" t="str"/>
      <x:c r="E1918" s="9" t="str"/>
      <x:c r="F1918" s="13" t="str">
        <x:v>2014</x:v>
      </x:c>
      <x:c r="G1918" s="9" t="str">
        <x:v>England and Wales Court of Appeal (Civil Division)</x:v>
      </x:c>
      <x:c r="H1918" s="9" t="str">
        <x:v>Appellate</x:v>
      </x:c>
      <x:c r="I1918" s="9" t="str">
        <x:v>England and Wales</x:v>
      </x:c>
      <x:c r="J1918" s="9" t="str">
        <x:v>Immigration Law</x:v>
      </x:c>
      <x:c r="K1918" s="9" t="str">
        <x:v>-ew-cases-EWCA-Civ-2014-1608.xml</x:v>
      </x:c>
      <x:c r="L1918" s="9" t="str">
        <x:v>TBA</x:v>
      </x:c>
    </x:row>
    <x:row r="1919">
      <x:c r="A1919" t="str">
        <x:v>57e70adb-bd29-4261-ad1e-cc98892aa6b1</x:v>
      </x:c>
      <x:c r="B1919" t="str">
        <x:v>28944767-9e63-420f-a8d1-d6db2adb3b16</x:v>
      </x:c>
      <x:c r="C1919" s="9" t="str">
        <x:v>MA (Iran) v The Secretary of State for the Home Department [2014] EWCA Civ 417</x:v>
      </x:c>
      <x:c r="D1919" s="9" t="str"/>
      <x:c r="E1919" s="9" t="str"/>
      <x:c r="F1919" s="13" t="str">
        <x:v>2014</x:v>
      </x:c>
      <x:c r="G1919" s="9" t="str">
        <x:v>England and Wales Court of Appeal (Civil Division)</x:v>
      </x:c>
      <x:c r="H1919" s="9" t="str">
        <x:v>Appellate</x:v>
      </x:c>
      <x:c r="I1919" s="9" t="str">
        <x:v>England and Wales</x:v>
      </x:c>
      <x:c r="J1919" s="9" t="str">
        <x:v>Immigration and Asylum</x:v>
      </x:c>
      <x:c r="K1919" s="9" t="str">
        <x:v>-ew-cases-EWCA-Civ-2014-417.xml</x:v>
      </x:c>
      <x:c r="L1919" s="9" t="str">
        <x:v>TBA</x:v>
      </x:c>
    </x:row>
    <x:row r="1920">
      <x:c r="A1920" t="str">
        <x:v>8e40b4ec-3401-4054-8eae-0400a86e2738</x:v>
      </x:c>
      <x:c r="B1920" t="str">
        <x:v>6a3223c6-7f9f-4f20-9c0f-1749abf5723d</x:v>
      </x:c>
      <x:c r="C1920" s="9" t="str">
        <x:v>MA (Iraq) &amp; Anor v Secretary of State for the Home Department</x:v>
      </x:c>
      <x:c r="D1920" s="9" t="str"/>
      <x:c r="E1920" s="9" t="str"/>
      <x:c r="F1920" s="13" t="str">
        <x:v>2021</x:v>
      </x:c>
      <x:c r="G1920" s="9" t="str">
        <x:v>England and Wales Court of Appeal (Civil Division)</x:v>
      </x:c>
      <x:c r="H1920" s="9" t="str">
        <x:v>Appellate</x:v>
      </x:c>
      <x:c r="I1920" s="9" t="str">
        <x:v>England and Wales</x:v>
      </x:c>
      <x:c r="J1920" s="9" t="str">
        <x:v>Immigration Law</x:v>
      </x:c>
      <x:c r="K1920" s="9" t="str">
        <x:v>ew-cases-EWCA-Civ-2021-1467.xml</x:v>
      </x:c>
      <x:c r="L1920" s="9" t="str">
        <x:v>TBA</x:v>
      </x:c>
    </x:row>
    <x:row r="1921">
      <x:c r="A1921" t="str">
        <x:v>291fd69b-0743-43a1-92eb-a3ccb666b036</x:v>
      </x:c>
      <x:c r="B1921" t="str">
        <x:v>52c52a89-1a20-4404-aa25-19151c8aa890</x:v>
      </x:c>
      <x:c r="C1921" s="9" t="str">
        <x:v>MA (Pakistan) &amp; Ors v Upper Tribunal (Immigration and Asylum Chamber) &amp; Anor; Pereira; NS (Sri Lanka) &amp; Ors; AR (Sri Lanka) &amp; Ors; CW (Sri Lanka) &amp; Ors; AZ (Pakistan) &amp; Ors; AP (Sri Lanka) [2016] EWCA Civ 705 (07 July 2016)</x:v>
      </x:c>
      <x:c r="D1921" s="9" t="str"/>
      <x:c r="E1921" s="9" t="str"/>
      <x:c r="F1921" s="13" t="str">
        <x:v>2016</x:v>
      </x:c>
      <x:c r="G1921" s="9" t="str">
        <x:v>England and Wales Court of Appeal (Civil Division)</x:v>
      </x:c>
      <x:c r="H1921" s="9" t="str">
        <x:v>Court of Appeal (Civil Division)</x:v>
      </x:c>
      <x:c r="I1921" s="9" t="str">
        <x:v>England and Wales</x:v>
      </x:c>
      <x:c r="J1921" s="9" t="str">
        <x:v>Immigration Law</x:v>
      </x:c>
      <x:c r="K1921" s="9" t="str">
        <x:v>-ew-cases-EWCA-Civ-2016-705.xml</x:v>
      </x:c>
      <x:c r="L1921" s="9" t="str">
        <x:v>TBA</x:v>
      </x:c>
    </x:row>
    <x:row r="1922">
      <x:c r="A1922" t="str">
        <x:v>638e66e4-a47b-48ff-98ea-f887f4939313</x:v>
      </x:c>
      <x:c r="B1922" t="str">
        <x:v>da8e0704-7c0d-45d7-b3d8-579f33f3cc2a</x:v>
      </x:c>
      <x:c r="C1922" s="9" t="str">
        <x:v>MA (Pakistan) v Secretary of State for the Home Department [2014] EWCA Civ 163</x:v>
      </x:c>
      <x:c r="D1922" s="9" t="str"/>
      <x:c r="E1922" s="9" t="str"/>
      <x:c r="F1922" s="13" t="str">
        <x:v>2014</x:v>
      </x:c>
      <x:c r="G1922" s="9" t="str">
        <x:v>England and Wales Court of Appeal (Civil Division)</x:v>
      </x:c>
      <x:c r="H1922" s="9" t="str">
        <x:v>Appellate</x:v>
      </x:c>
      <x:c r="I1922" s="9" t="str">
        <x:v>United Kingdom</x:v>
      </x:c>
      <x:c r="J1922" s="9" t="str">
        <x:v>Immigration Law</x:v>
      </x:c>
      <x:c r="K1922" s="9" t="str">
        <x:v>-ew-cases-EWCA-Civ-2014-163.xml</x:v>
      </x:c>
      <x:c r="L1922" s="9" t="str">
        <x:v>TBA</x:v>
      </x:c>
    </x:row>
    <x:row r="1923">
      <x:c r="A1923" t="str">
        <x:v>529a65de-d6e3-4764-b7e0-054488921416</x:v>
      </x:c>
      <x:c r="B1923" t="str">
        <x:v>a34b6dfa-0a01-4964-810b-6526f3bff84a</x:v>
      </x:c>
      <x:c r="C1923" s="9" t="str">
        <x:v>MA &amp; Anor, R (On the Application Of) v Secretary of State for the Home Department [2022] EWCA Civ 1663</x:v>
      </x:c>
      <x:c r="D1923" s="9" t="str"/>
      <x:c r="E1923" s="9" t="str"/>
      <x:c r="F1923" s="13" t="str">
        <x:v>2022</x:v>
      </x:c>
      <x:c r="G1923" s="9" t="str">
        <x:v>England and Wales Court of Appeal (Civil Division)</x:v>
      </x:c>
      <x:c r="H1923" s="9" t="str">
        <x:v>Court of Appeal (Civil Division)</x:v>
      </x:c>
      <x:c r="I1923" s="9" t="str">
        <x:v>England and Wales</x:v>
      </x:c>
      <x:c r="J1923" s="9" t="str">
        <x:v>Administrative Law / Immigration</x:v>
      </x:c>
      <x:c r="K1923" s="9" t="str">
        <x:v>ew-cases-EWCA-Civ-2022-1663.xml</x:v>
      </x:c>
      <x:c r="L1923" s="9" t="str">
        <x:v>TBA</x:v>
      </x:c>
    </x:row>
    <x:row r="1924">
      <x:c r="A1924" t="str">
        <x:v>a58f32f2-103e-4fb8-bac7-39bbae511f4d</x:v>
      </x:c>
      <x:c r="B1924" t="str">
        <x:v>95ae5acc-980d-409a-a423-7858ae4543ee</x:v>
      </x:c>
      <x:c r="C1924" s="9" t="str">
        <x:v>MA &amp; Ors, R (on the application of) v The Secretary of State for Work and Pensions</x:v>
      </x:c>
      <x:c r="D1924" s="9" t="str"/>
      <x:c r="E1924" s="9" t="str"/>
      <x:c r="F1924" s="13" t="str">
        <x:v>2014</x:v>
      </x:c>
      <x:c r="G1924" s="9" t="str">
        <x:v>England and Wales Court of Appeal (Civil Division)</x:v>
      </x:c>
      <x:c r="H1924" s="9" t="str">
        <x:v>Appellate</x:v>
      </x:c>
      <x:c r="I1924" s="9" t="str">
        <x:v>England and Wales</x:v>
      </x:c>
      <x:c r="J1924" s="9" t="str">
        <x:v>Administrative Law</x:v>
      </x:c>
      <x:c r="K1924" s="9" t="str">
        <x:v>-ew-cases-EWCA-Civ-2014-13.xml</x:v>
      </x:c>
      <x:c r="L1924" s="9" t="str">
        <x:v>TBA</x:v>
      </x:c>
    </x:row>
    <x:row r="1925">
      <x:c r="A1925" t="str">
        <x:v>0c357743-ef76-4acf-b099-b0bc8694f5cc</x:v>
      </x:c>
      <x:c r="B1925" t="str">
        <x:v>67ee0f78-cd02-4825-8346-3f38a5d59d8d</x:v>
      </x:c>
      <x:c r="C1925" s="9" t="str">
        <x:v>Ma'har v O'Keefe &amp; Anor [2014] EWCA Civ 1684</x:v>
      </x:c>
      <x:c r="D1925" s="9" t="str"/>
      <x:c r="E1925" s="9" t="str"/>
      <x:c r="F1925" s="13" t="str">
        <x:v>2014</x:v>
      </x:c>
      <x:c r="G1925" s="9" t="str">
        <x:v>England and Wales Court of Appeal (Civil Division)</x:v>
      </x:c>
      <x:c r="H1925" s="9" t="str">
        <x:v>Appellate</x:v>
      </x:c>
      <x:c r="I1925" s="9" t="str">
        <x:v>England and Wales</x:v>
      </x:c>
      <x:c r="J1925" s="9" t="str">
        <x:v>Civil Procedure</x:v>
      </x:c>
      <x:c r="K1925" s="9" t="str">
        <x:v>-ew-cases-EWCA-Civ-2014-1684.xml</x:v>
      </x:c>
      <x:c r="L1925" s="9" t="str">
        <x:v>TBA</x:v>
      </x:c>
    </x:row>
    <x:row r="1926">
      <x:c r="A1926" t="str">
        <x:v>62300607-7815-45ea-b9e7-2c056bbc0c58</x:v>
      </x:c>
      <x:c r="B1926" t="str">
        <x:v>13dace0d-8d99-452b-b777-9d236ed72016</x:v>
      </x:c>
      <x:c r="C1926" s="9" t="str">
        <x:v>Mabrouk v Murray [2022] EWCA Civ 960 (12 July 2022)</x:v>
      </x:c>
      <x:c r="D1926" s="9" t="str"/>
      <x:c r="E1926" s="9" t="str"/>
      <x:c r="F1926" s="13" t="str">
        <x:v>2022</x:v>
      </x:c>
      <x:c r="G1926" s="9" t="str">
        <x:v>England and Wales Court of Appeal (Civil Division)</x:v>
      </x:c>
      <x:c r="H1926" s="9" t="str">
        <x:v>Court of Appeal (Civil Division)</x:v>
      </x:c>
      <x:c r="I1926" s="9" t="str">
        <x:v>England and Wales</x:v>
      </x:c>
      <x:c r="J1926" s="9" t="str">
        <x:v>Civil Procedure / Appeals</x:v>
      </x:c>
      <x:c r="K1926" s="9" t="str">
        <x:v>ew-cases-EWCA-Civ-2022-960.xml</x:v>
      </x:c>
      <x:c r="L1926" s="9" t="str">
        <x:v>TBA</x:v>
      </x:c>
    </x:row>
    <x:row r="1927">
      <x:c r="A1927" t="str">
        <x:v>be35bb17-f3e9-4f71-b870-943e8c84a51c</x:v>
      </x:c>
      <x:c r="B1927" t="str">
        <x:v>cb8123f0-46c2-40c1-b7ee-cc9d5f5b4148</x:v>
      </x:c>
      <x:c r="C1927" s="9" t="str">
        <x:v>Mackenzie v AA Ltd &amp; Anor [2022] EWCA Civ 901 (01 July 2022)</x:v>
      </x:c>
      <x:c r="D1927" s="9" t="str"/>
      <x:c r="E1927" s="9" t="str"/>
      <x:c r="F1927" s="13" t="str">
        <x:v>2022</x:v>
      </x:c>
      <x:c r="G1927" s="9" t="str">
        <x:v>England and Wales Court of Appeal (Civil Division)</x:v>
      </x:c>
      <x:c r="H1927" s="9" t="str">
        <x:v>Court of Appeal (Civil Division)</x:v>
      </x:c>
      <x:c r="I1927" s="9" t="str">
        <x:v>England and Wales</x:v>
      </x:c>
      <x:c r="J1927" s="9" t="str">
        <x:v>Employment Law - Wrongful Dismissal</x:v>
      </x:c>
      <x:c r="K1927" s="9" t="str">
        <x:v>ew-cases-EWCA-Civ-2022-901.xml</x:v>
      </x:c>
      <x:c r="L1927" s="9" t="str">
        <x:v>TBA</x:v>
      </x:c>
    </x:row>
    <x:row r="1928">
      <x:c r="A1928" t="str">
        <x:v>f75f6e7b-ceb1-4970-a63e-f570d408795e</x:v>
      </x:c>
      <x:c r="B1928" t="str">
        <x:v>24760229-db72-4476-9748-fe452ca20a3f</x:v>
      </x:c>
      <x:c r="C1928" s="9" t="str">
        <x:v>Mackie Motors (Brechin) Limited v RCI Financial Services Limited [2023] EWCA Civ 476</x:v>
      </x:c>
      <x:c r="D1928" s="9" t="str"/>
      <x:c r="E1928" s="9" t="str"/>
      <x:c r="F1928" s="13" t="str">
        <x:v>2023</x:v>
      </x:c>
      <x:c r="G1928" s="9" t="str">
        <x:v>England and Wales Court of Appeal (Civil Division)</x:v>
      </x:c>
      <x:c r="H1928" s="9" t="str">
        <x:v>Court of Appeal (Civil Division)</x:v>
      </x:c>
      <x:c r="I1928" s="9" t="str">
        <x:v>England and Wales</x:v>
      </x:c>
      <x:c r="J1928" s="9" t="str">
        <x:v>Contract Dispute</x:v>
      </x:c>
      <x:c r="K1928" s="9" t="str">
        <x:v>ew-cases-EWCA-Civ-2023-476.xml</x:v>
      </x:c>
      <x:c r="L1928" s="9" t="str">
        <x:v>TBA</x:v>
      </x:c>
    </x:row>
    <x:row r="1929">
      <x:c r="A1929" t="str">
        <x:v>5e024e6e-ccc4-4d2a-84c3-7ec85f591597</x:v>
      </x:c>
      <x:c r="B1929" t="str">
        <x:v>c5bd062e-1e43-4aef-9dd3-8a64a92ef69b</x:v>
      </x:c>
      <x:c r="C1929" s="9" t="str">
        <x:v>Mackman v The Secretary of State for Communities And Local Government, Uttlesford District Council, Redrow Homes (Eastern) Ltd</x:v>
      </x:c>
      <x:c r="D1929" s="9" t="str"/>
      <x:c r="E1929" s="9" t="str"/>
      <x:c r="F1929" s="13" t="str">
        <x:v>2015</x:v>
      </x:c>
      <x:c r="G1929" s="9" t="str">
        <x:v>England and Wales Court of Appeal (Civil Division)</x:v>
      </x:c>
      <x:c r="H1929" s="9" t="str">
        <x:v>Appellate</x:v>
      </x:c>
      <x:c r="I1929" s="9" t="str">
        <x:v>United Kingdom</x:v>
      </x:c>
      <x:c r="J1929" s="9" t="str">
        <x:v>Administrative Law</x:v>
      </x:c>
      <x:c r="K1929" s="9" t="str">
        <x:v>-ew-cases-EWCA-Civ-2015-716.xml</x:v>
      </x:c>
      <x:c r="L1929" s="9" t="str">
        <x:v>TBA</x:v>
      </x:c>
    </x:row>
    <x:row r="1930">
      <x:c r="A1930" t="str">
        <x:v>3ff5cbac-d5fb-4813-ad23-4df66b442539</x:v>
      </x:c>
      <x:c r="B1930" t="str">
        <x:v>b4ce419f-9876-46c4-9f6a-9e62cc4d6d86</x:v>
      </x:c>
      <x:c r="C1930" s="9" t="str">
        <x:v>MacLeod v The Commissioner of Police for the Metropolis</x:v>
      </x:c>
      <x:c r="D1930" s="9" t="str"/>
      <x:c r="E1930" s="9" t="str"/>
      <x:c r="F1930" s="13" t="str">
        <x:v>2015</x:v>
      </x:c>
      <x:c r="G1930" s="9" t="str">
        <x:v>England and Wales Court of Appeal (Civil Division)</x:v>
      </x:c>
      <x:c r="H1930" s="9" t="str">
        <x:v>Appellate</x:v>
      </x:c>
      <x:c r="I1930" s="9" t="str">
        <x:v>England and Wales</x:v>
      </x:c>
      <x:c r="J1930" s="9" t="str">
        <x:v>Tort</x:v>
      </x:c>
      <x:c r="K1930" s="9" t="str">
        <x:v>-ew-cases-EWCA-Civ-2015-688.xml</x:v>
      </x:c>
      <x:c r="L1930" s="9" t="str">
        <x:v>TBA</x:v>
      </x:c>
    </x:row>
    <x:row r="1931">
      <x:c r="A1931" t="str">
        <x:v>8518c08b-3e49-4700-a245-dc4f49f52a18</x:v>
      </x:c>
      <x:c r="B1931" t="str">
        <x:v>510c6150-40a1-49ab-b837-6aaacd4a2688</x:v>
      </x:c>
      <x:c r="C1931" s="9" t="str">
        <x:v>MacPherson v Sunderland City Council [2023] EWCA Civ 574</x:v>
      </x:c>
      <x:c r="D1931" s="9" t="str"/>
      <x:c r="E1931" s="9" t="str"/>
      <x:c r="F1931" s="13" t="str">
        <x:v>2023</x:v>
      </x:c>
      <x:c r="G1931" s="9" t="str">
        <x:v>England and Wales Court of Appeal (Civil Division)</x:v>
      </x:c>
      <x:c r="H1931" s="9" t="str">
        <x:v>Court of Appeal (Civil Division)</x:v>
      </x:c>
      <x:c r="I1931" s="9" t="str">
        <x:v>England and Wales</x:v>
      </x:c>
      <x:c r="J1931" s="9" t="str">
        <x:v>Civil Contempt; Court of Protection; Mental Capacity; Privacy/Reporting Restrictions</x:v>
      </x:c>
      <x:c r="K1931" s="9" t="str">
        <x:v>ew-cases-EWCA-Civ-2023-574.xml</x:v>
      </x:c>
      <x:c r="L1931" s="9" t="str">
        <x:v>TBA</x:v>
      </x:c>
    </x:row>
    <x:row r="1932">
      <x:c r="A1932" t="str">
        <x:v>e1a5e24d-c78b-4db5-bd77-240d1acd1c14</x:v>
      </x:c>
      <x:c r="B1932" t="str">
        <x:v>065eb073-8723-4412-b7ec-02dd5b699ccb</x:v>
      </x:c>
      <x:c r="C1932" s="9" t="str">
        <x:v>Magiera v Magiera [2016] EWCA Civ 1292 (Court of Appeal, Civil Division)</x:v>
      </x:c>
      <x:c r="D1932" s="9" t="str"/>
      <x:c r="E1932" s="9" t="str"/>
      <x:c r="F1932" s="13" t="str">
        <x:v>2016</x:v>
      </x:c>
      <x:c r="G1932" s="9" t="str">
        <x:v>England and Wales Court of Appeal (Civil Division)</x:v>
      </x:c>
      <x:c r="H1932" s="9" t="str">
        <x:v>Court of Appeal (Civil Division)</x:v>
      </x:c>
      <x:c r="I1932" s="9" t="str">
        <x:v>England and Wales</x:v>
      </x:c>
      <x:c r="J1932" s="9" t="str">
        <x:v>Civil Procedure; Private International Law; Real Property; Trusts</x:v>
      </x:c>
      <x:c r="K1932" s="9" t="str">
        <x:v>-ew-cases-EWCA-Civ-2016-1292.xml</x:v>
      </x:c>
      <x:c r="L1932" s="9" t="str">
        <x:v>TBA</x:v>
      </x:c>
    </x:row>
    <x:row r="1933">
      <x:c r="A1933" t="str">
        <x:v>082ad470-d298-4e88-be02-1d7eaf167433</x:v>
      </x:c>
      <x:c r="B1933" t="str">
        <x:v>dbe90c63-a5f7-4c3c-8887-cceb3eb7d24e</x:v>
      </x:c>
      <x:c r="C1933" s="9" t="str">
        <x:v>Magill v. Porter [2001] UKHL 67</x:v>
      </x:c>
      <x:c r="D1933" s="9" t="str"/>
      <x:c r="E1933" s="9" t="str"/>
      <x:c r="F1933" s="13" t="str">
        <x:v>1997</x:v>
      </x:c>
      <x:c r="G1933" s="9" t="str">
        <x:v>United Kingdom House of Lords</x:v>
      </x:c>
      <x:c r="H1933" s="9" t="str">
        <x:v>House of Lords</x:v>
      </x:c>
      <x:c r="I1933" s="9" t="str">
        <x:v>United Kingdom</x:v>
      </x:c>
      <x:c r="J1933" s="9" t="str">
        <x:v>Public Law</x:v>
      </x:c>
      <x:c r="K1933" s="9" t="str">
        <x:v>PT_UKHL_2001_67.xml</x:v>
      </x:c>
      <x:c r="L1933" s="9" t="str">
        <x:v>TBA</x:v>
      </x:c>
    </x:row>
    <x:row r="1934">
      <x:c r="A1934" t="str">
        <x:v>3d9f7667-5f7b-4603-813f-cedda67e42a1</x:v>
      </x:c>
      <x:c r="B1934" t="str">
        <x:v>7b075865-0628-40ec-92d5-7672631b5b58</x:v>
      </x:c>
      <x:c r="C1934" s="9" t="str">
        <x:v>Magmatic Ltd v PMS International Group Plc</x:v>
      </x:c>
      <x:c r="D1934" s="9" t="str"/>
      <x:c r="E1934" s="9" t="str"/>
      <x:c r="F1934" s="13" t="str">
        <x:v>2014</x:v>
      </x:c>
      <x:c r="G1934" s="9" t="str">
        <x:v>England and Wales Court of Appeal (Civil Division)</x:v>
      </x:c>
      <x:c r="H1934" s="9" t="str">
        <x:v>Appellate</x:v>
      </x:c>
      <x:c r="I1934" s="9" t="str">
        <x:v>England and Wales</x:v>
      </x:c>
      <x:c r="J1934" s="9" t="str">
        <x:v>Costs Apportionment</x:v>
      </x:c>
      <x:c r="K1934" s="9" t="str">
        <x:v>-ew-cases-EWCA-Civ-2014-408.xml</x:v>
      </x:c>
      <x:c r="L1934" s="9" t="str">
        <x:v>TBA</x:v>
      </x:c>
    </x:row>
    <x:row r="1935">
      <x:c r="A1935" t="str">
        <x:v>d8633708-8fbd-4e45-8c76-2fc04a18fdbe</x:v>
      </x:c>
      <x:c r="B1935" t="str">
        <x:v>ac344148-e9a2-4cf5-b19b-c5e802508ad3</x:v>
      </x:c>
      <x:c r="C1935" s="9" t="str">
        <x:v>Magmatic Ltd v PMS International Group Plc</x:v>
      </x:c>
      <x:c r="D1935" s="9" t="str"/>
      <x:c r="E1935" s="9" t="str"/>
      <x:c r="F1935" s="13" t="str">
        <x:v>2014</x:v>
      </x:c>
      <x:c r="G1935" s="9" t="str">
        <x:v>England and Wales Court of Appeal (Civil Division)</x:v>
      </x:c>
      <x:c r="H1935" s="9" t="str">
        <x:v>Appellate</x:v>
      </x:c>
      <x:c r="I1935" s="9" t="str">
        <x:v>England and Wales</x:v>
      </x:c>
      <x:c r="J1935" s="9" t="str">
        <x:v>Intellectual Property</x:v>
      </x:c>
      <x:c r="K1935" s="9" t="str">
        <x:v>-ew-cases-EWCA-Civ-2014-181.xml</x:v>
      </x:c>
      <x:c r="L1935" s="9" t="str">
        <x:v>TBA</x:v>
      </x:c>
    </x:row>
    <x:row r="1936">
      <x:c r="A1936" t="str">
        <x:v>a44b843e-0209-4eb1-a3db-24d9c4855fbf</x:v>
      </x:c>
      <x:c r="B1936" t="str">
        <x:v>1b3f1357-0731-4894-9c17-a958eecd366a</x:v>
      </x:c>
      <x:c r="C1936" s="9" t="str">
        <x:v>Magnic Ltd v Ul-Hassan &amp; Anor [2015] EWCA Civ 224</x:v>
      </x:c>
      <x:c r="D1936" s="9" t="str"/>
      <x:c r="E1936" s="9" t="str"/>
      <x:c r="F1936" s="13" t="str">
        <x:v>2015</x:v>
      </x:c>
      <x:c r="G1936" s="9" t="str">
        <x:v>England and Wales Court of Appeal (Civil Division)</x:v>
      </x:c>
      <x:c r="H1936" s="9" t="str">
        <x:v>Appellate</x:v>
      </x:c>
      <x:c r="I1936" s="9" t="str">
        <x:v>England and Wales</x:v>
      </x:c>
      <x:c r="J1936" s="9" t="str">
        <x:v>Property Law</x:v>
      </x:c>
      <x:c r="K1936" s="9" t="str">
        <x:v>-ew-cases-EWCA-Civ-2015-224.xml</x:v>
      </x:c>
      <x:c r="L1936" s="9" t="str">
        <x:v>TBA</x:v>
      </x:c>
    </x:row>
    <x:row r="1937">
      <x:c r="A1937" t="str">
        <x:v>daa93ffe-1fb3-47be-b0c4-dd65c982c3c4</x:v>
      </x:c>
      <x:c r="B1937" t="str">
        <x:v>6db9cf92-a1fb-42e4-973b-55da2f43c390</x:v>
      </x:c>
      <x:c r="C1937" s="9" t="str">
        <x:v>MAH (Egypt) v Secretary of State for the Home Department [2023] EWCA Civ 216</x:v>
      </x:c>
      <x:c r="D1937" s="9" t="str"/>
      <x:c r="E1937" s="9" t="str"/>
      <x:c r="F1937" s="13" t="str">
        <x:v>2023</x:v>
      </x:c>
      <x:c r="G1937" s="9" t="str">
        <x:v>England and Wales Court of Appeal (Civil Division)</x:v>
      </x:c>
      <x:c r="H1937" s="9" t="str">
        <x:v>Court of Appeal (Civil Division)</x:v>
      </x:c>
      <x:c r="I1937" s="9" t="str">
        <x:v>England and Wales</x:v>
      </x:c>
      <x:c r="J1937" s="9" t="str">
        <x:v>Immigration and Refugee Law</x:v>
      </x:c>
      <x:c r="K1937" s="9" t="str">
        <x:v>ew-cases-EWCA-Civ-2023-216.xml</x:v>
      </x:c>
      <x:c r="L1937" s="9" t="str">
        <x:v>TBA</x:v>
      </x:c>
    </x:row>
    <x:row r="1938">
      <x:c r="A1938" t="str">
        <x:v>829ae9c0-b324-4a5a-9f0c-4c80a722e874</x:v>
      </x:c>
      <x:c r="B1938" t="str">
        <x:v>4288d755-6b29-4b60-b9b5-f0087eeaf3aa</x:v>
      </x:c>
      <x:c r="C1938" s="9" t="str">
        <x:v>Mahmood v Secretary of State for the Home Department</x:v>
      </x:c>
      <x:c r="D1938" s="9" t="str"/>
      <x:c r="E1938" s="9" t="str"/>
      <x:c r="F1938" s="13" t="str">
        <x:v>2015</x:v>
      </x:c>
      <x:c r="G1938" s="9" t="str">
        <x:v>England and Wales Court of Appeal (Civil Division)</x:v>
      </x:c>
      <x:c r="H1938" s="9" t="str">
        <x:v>Appellate</x:v>
      </x:c>
      <x:c r="I1938" s="9" t="str">
        <x:v>England and Wales</x:v>
      </x:c>
      <x:c r="J1938" s="9" t="str">
        <x:v>Immigration</x:v>
      </x:c>
      <x:c r="K1938" s="9" t="str">
        <x:v>-ew-cases-EWCA-Civ-2015-660.xml</x:v>
      </x:c>
      <x:c r="L1938" s="9" t="str">
        <x:v>TBA</x:v>
      </x:c>
    </x:row>
    <x:row r="1939">
      <x:c r="A1939" t="str">
        <x:v>678cc36f-0b4d-4950-84ed-2fb475a97c9f</x:v>
      </x:c>
      <x:c r="B1939" t="str">
        <x:v>53f07e58-9d5f-44b8-9733-58d74b0079ff</x:v>
      </x:c>
      <x:c r="C1939" s="9" t="str">
        <x:v>Mahmoudi, R (On the Application Of) v London Borough of Lewisham &amp; Anor</x:v>
      </x:c>
      <x:c r="D1939" s="9" t="str"/>
      <x:c r="E1939" s="9" t="str"/>
      <x:c r="F1939" s="13" t="str">
        <x:v>2014</x:v>
      </x:c>
      <x:c r="G1939" s="9" t="str">
        <x:v>England and Wales Court of Appeal (Civil Division)</x:v>
      </x:c>
      <x:c r="H1939" s="9" t="str">
        <x:v>Appellate</x:v>
      </x:c>
      <x:c r="I1939" s="9" t="str">
        <x:v>England and Wales</x:v>
      </x:c>
      <x:c r="J1939" s="9" t="str">
        <x:v>Administrative Law</x:v>
      </x:c>
      <x:c r="K1939" s="9" t="str">
        <x:v>-ew-cases-EWCA-Civ-2014-284.xml</x:v>
      </x:c>
      <x:c r="L1939" s="9" t="str">
        <x:v>TBA</x:v>
      </x:c>
    </x:row>
    <x:row r="1940">
      <x:c r="A1940" t="str">
        <x:v>5fa63d90-07c8-4239-bb6c-fbc5628dcbec</x:v>
      </x:c>
      <x:c r="B1940" t="str">
        <x:v>afccc4f6-c497-4e42-b5c4-227c8d431dda</x:v>
      </x:c>
      <x:c r="C1940" s="9" t="str">
        <x:v>Mahmud, R (On the Application Of) v Upper Tribunal (Immigration and Asylum Chamber)</x:v>
      </x:c>
      <x:c r="D1940" s="9" t="str"/>
      <x:c r="E1940" s="9" t="str"/>
      <x:c r="F1940" s="13" t="str">
        <x:v>2021</x:v>
      </x:c>
      <x:c r="G1940" s="9" t="str">
        <x:v>England and Wales Court of Appeal (Civil Division)</x:v>
      </x:c>
      <x:c r="H1940" s="9" t="str">
        <x:v>Appellate</x:v>
      </x:c>
      <x:c r="I1940" s="9" t="str">
        <x:v>England</x:v>
      </x:c>
      <x:c r="J1940" s="9" t="str">
        <x:v>Administrative Law</x:v>
      </x:c>
      <x:c r="K1940" s="9" t="str">
        <x:v>ew-cases-EWCA-Civ-2021-1004.xml</x:v>
      </x:c>
      <x:c r="L1940" s="9" t="str">
        <x:v>TBA</x:v>
      </x:c>
    </x:row>
    <x:row r="1941">
      <x:c r="A1941" t="str">
        <x:v>a626d511-c86e-4569-b6dc-8aa7ebb8aa14</x:v>
      </x:c>
      <x:c r="B1941" t="str">
        <x:v>2861fb0d-fcc7-440d-86e2-45b40fd61ddc</x:v>
      </x:c>
      <x:c r="C1941" s="9" t="str">
        <x:v>Maier &amp; Anor v Asos Plc &amp; Anor [2015] EWCA Civ 220</x:v>
      </x:c>
      <x:c r="D1941" s="9" t="str"/>
      <x:c r="E1941" s="9" t="str"/>
      <x:c r="F1941" s="13" t="str">
        <x:v>2015</x:v>
      </x:c>
      <x:c r="G1941" s="9" t="str">
        <x:v>England and Wales Court of Appeal (Civil Division)</x:v>
      </x:c>
      <x:c r="H1941" s="9" t="str">
        <x:v>Appellate</x:v>
      </x:c>
      <x:c r="I1941" s="9" t="str">
        <x:v>United Kingdom</x:v>
      </x:c>
      <x:c r="J1941" s="9" t="str">
        <x:v>Intellectual Property law</x:v>
      </x:c>
      <x:c r="K1941" s="9" t="str">
        <x:v>-ew-cases-EWCA-Civ-2015-220.xml</x:v>
      </x:c>
      <x:c r="L1941" s="9" t="str">
        <x:v>TBA</x:v>
      </x:c>
    </x:row>
    <x:row r="1942">
      <x:c r="A1942" t="str">
        <x:v>c2929025-3d49-4572-9a48-159f3f2be9d4</x:v>
      </x:c>
      <x:c r="B1942" t="str">
        <x:v>fd1ee879-efef-4fc1-b6e0-617683d3c841</x:v>
      </x:c>
      <x:c r="C1942" s="9" t="str">
        <x:v>Maier &amp; Anor v Asos Plc &amp; Anor [2015] EWCA Civ 377</x:v>
      </x:c>
      <x:c r="D1942" s="9" t="str"/>
      <x:c r="E1942" s="9" t="str"/>
      <x:c r="F1942" s="13" t="str">
        <x:v>2015</x:v>
      </x:c>
      <x:c r="G1942" s="9" t="str">
        <x:v>England and Wales Court of Appeal (Civil Division)</x:v>
      </x:c>
      <x:c r="H1942" s="9" t="str">
        <x:v>Appellate</x:v>
      </x:c>
      <x:c r="I1942" s="9" t="str">
        <x:v>England and Wales</x:v>
      </x:c>
      <x:c r="J1942" s="9" t="str">
        <x:v>Intellectual Property</x:v>
      </x:c>
      <x:c r="K1942" s="9" t="str">
        <x:v>-ew-cases-EWCA-Civ-2015-377.xml</x:v>
      </x:c>
      <x:c r="L1942" s="9" t="str">
        <x:v>TBA</x:v>
      </x:c>
    </x:row>
    <x:row r="1943">
      <x:c r="A1943" t="str">
        <x:v>8af54a9b-bb50-4300-8011-a044249e42a2</x:v>
      </x:c>
      <x:c r="B1943" t="str">
        <x:v>5b3c080f-c58b-40db-acc4-59aca37b2a05</x:v>
      </x:c>
      <x:c r="C1943" s="9" t="str">
        <x:v>Main &amp; Orsv v Giambrone &amp; Law (2017) - Liability for Breach of Trust</x:v>
      </x:c>
      <x:c r="D1943" s="9" t="str"/>
      <x:c r="E1943" s="9" t="str"/>
      <x:c r="F1943" s="13" t="str">
        <x:v>2017</x:v>
      </x:c>
      <x:c r="G1943" s="9" t="str">
        <x:v>England and Wales Court of Appeal (Civil Division)</x:v>
      </x:c>
      <x:c r="H1943" s="9" t="str">
        <x:v>Appellate</x:v>
      </x:c>
      <x:c r="I1943" s="9" t="str">
        <x:v>England and Wales</x:v>
      </x:c>
      <x:c r="J1943" s="9" t="str">
        <x:v>Breach of Trust</x:v>
      </x:c>
      <x:c r="K1943" s="9" t="str">
        <x:v>-ew-cases-EWCA-Civ-2017-1193.xml</x:v>
      </x:c>
      <x:c r="L1943" s="9" t="str">
        <x:v>TBA</x:v>
      </x:c>
    </x:row>
    <x:row r="1944">
      <x:c r="A1944" t="str">
        <x:v>a344f22b-5b4a-4b71-9802-78b7b798b221</x:v>
      </x:c>
      <x:c r="B1944" t="str">
        <x:v>00a54bce-bd8d-42f4-a60d-8db7db84cd2f</x:v>
      </x:c>
      <x:c r="C1944" s="9" t="str">
        <x:v>Mainpay Limited v Commissioners for HM Revenue and Customs (EWCA Civ 1620)</x:v>
      </x:c>
      <x:c r="D1944" s="9" t="str"/>
      <x:c r="E1944" s="9" t="str"/>
      <x:c r="F1944" s="13" t="str">
        <x:v>2022</x:v>
      </x:c>
      <x:c r="G1944" s="9" t="str">
        <x:v>England and Wales Court of Appeal (Civil Division)</x:v>
      </x:c>
      <x:c r="H1944" s="9" t="str">
        <x:v>Court of Appeal (Civil Division)</x:v>
      </x:c>
      <x:c r="I1944" s="9" t="str">
        <x:v>England and Wales</x:v>
      </x:c>
      <x:c r="J1944" s="9" t="str">
        <x:v>Taxation / VAT</x:v>
      </x:c>
      <x:c r="K1944" s="9" t="str">
        <x:v>ew-cases-EWCA-Civ-2022-1620.xml</x:v>
      </x:c>
      <x:c r="L1944" s="9" t="str">
        <x:v>TBA</x:v>
      </x:c>
    </x:row>
    <x:row r="1945">
      <x:c r="A1945" t="str">
        <x:v>27cb1bf8-21f5-4ce7-a1ec-5de2f71716ae</x:v>
      </x:c>
      <x:c r="B1945" t="str">
        <x:v>aa9aa1fa-4446-4760-b31e-e6adbf1d60f1</x:v>
      </x:c>
      <x:c r="C1945" s="9" t="str">
        <x:v>Maistry v British Broadcasting Corporation [2014] EWCA Civ 1116</x:v>
      </x:c>
      <x:c r="D1945" s="9" t="str"/>
      <x:c r="E1945" s="9" t="str"/>
      <x:c r="F1945" s="13" t="str">
        <x:v>2014</x:v>
      </x:c>
      <x:c r="G1945" s="9" t="str">
        <x:v>England and Wales Court of Appeal (Civil Division)</x:v>
      </x:c>
      <x:c r="H1945" s="9" t="str">
        <x:v>Appellate</x:v>
      </x:c>
      <x:c r="I1945" s="9" t="str">
        <x:v>England and Wales</x:v>
      </x:c>
      <x:c r="J1945" s="9" t="str">
        <x:v>Employment Law</x:v>
      </x:c>
      <x:c r="K1945" s="9" t="str">
        <x:v>-ew-cases-EWCA-Civ-2014-1116.xml</x:v>
      </x:c>
      <x:c r="L1945" s="9" t="str">
        <x:v>TBA</x:v>
      </x:c>
    </x:row>
    <x:row r="1946">
      <x:c r="A1946" t="str">
        <x:v>12feec2a-c599-47f9-aeac-0c8a51d8e695</x:v>
      </x:c>
      <x:c r="B1946" t="str">
        <x:v>f24044ee-1e7a-442c-b429-7683a2692c47</x:v>
      </x:c>
      <x:c r="C1946" s="9" t="str">
        <x:v>Majumder v Secretary of State for the Home Department (Rev 1) [2016] EWCA Civ 1167</x:v>
      </x:c>
      <x:c r="D1946" s="9" t="str"/>
      <x:c r="E1946" s="9" t="str"/>
      <x:c r="F1946" s="13" t="str">
        <x:v>2016</x:v>
      </x:c>
      <x:c r="G1946" s="9" t="str">
        <x:v>England and Wales Court of Appeal (Civil Division)</x:v>
      </x:c>
      <x:c r="H1946" s="9" t="str">
        <x:v>Court of Appeal (Civil Division)</x:v>
      </x:c>
      <x:c r="I1946" s="9" t="str">
        <x:v>England and Wales</x:v>
      </x:c>
      <x:c r="J1946" s="9" t="str">
        <x:v>Immigration and Administrative Law</x:v>
      </x:c>
      <x:c r="K1946" s="9" t="str">
        <x:v>-ew-cases-EWCA-Civ-2016-1167.xml</x:v>
      </x:c>
      <x:c r="L1946" s="9" t="str">
        <x:v>TBA</x:v>
      </x:c>
    </x:row>
    <x:row r="1947">
      <x:c r="A1947" t="str">
        <x:v>ff5a34ee-ca9a-4f76-b51f-a103e2b908c9</x:v>
      </x:c>
      <x:c r="B1947" t="str">
        <x:v>9d695fd0-d4ff-4d2f-9280-908cfd531399</x:v>
      </x:c>
      <x:c r="C1947" s="9" t="str">
        <x:v>Makuchova v Guoman Hotel Management (UK) Ltd [2016] EWCA Civ 633</x:v>
      </x:c>
      <x:c r="D1947" s="9" t="str"/>
      <x:c r="E1947" s="9" t="str"/>
      <x:c r="F1947" s="13" t="str">
        <x:v>2016</x:v>
      </x:c>
      <x:c r="G1947" s="9" t="str">
        <x:v>England and Wales Court of Appeal (Civil Division)</x:v>
      </x:c>
      <x:c r="H1947" s="9" t="str">
        <x:v>Court of Appeal (Civil Division)</x:v>
      </x:c>
      <x:c r="I1947" s="9" t="str">
        <x:v>England and Wales</x:v>
      </x:c>
      <x:c r="J1947" s="9" t="str">
        <x:v>Employment Law</x:v>
      </x:c>
      <x:c r="K1947" s="9" t="str">
        <x:v>-ew-cases-EWCA-Civ-2016-633.xml</x:v>
      </x:c>
      <x:c r="L1947" s="9" t="str">
        <x:v>TBA</x:v>
      </x:c>
    </x:row>
    <x:row r="1948">
      <x:c r="A1948" t="str">
        <x:v>f9bfd06b-a214-4eaa-a965-c439a6259939</x:v>
      </x:c>
      <x:c r="B1948" t="str">
        <x:v>7ccad752-5dc1-45a5-bf99-6778e2a0824c</x:v>
      </x:c>
      <x:c r="C1948" s="9" t="str">
        <x:v>Makudi v Baron Triesman of Tottenham [2014] EWCA Civ 179</x:v>
      </x:c>
      <x:c r="D1948" s="9" t="str"/>
      <x:c r="E1948" s="9" t="str"/>
      <x:c r="F1948" s="13" t="str">
        <x:v>2014</x:v>
      </x:c>
      <x:c r="G1948" s="9" t="str">
        <x:v>England and Wales Court of Appeal (Civil Division)</x:v>
      </x:c>
      <x:c r="H1948" s="9" t="str">
        <x:v>Appellate</x:v>
      </x:c>
      <x:c r="I1948" s="9" t="str">
        <x:v>England and Wales</x:v>
      </x:c>
      <x:c r="J1948" s="9" t="str">
        <x:v>Defamation</x:v>
      </x:c>
      <x:c r="K1948" s="9" t="str">
        <x:v>-ew-cases-EWCA-Civ-2014-179.xml</x:v>
      </x:c>
      <x:c r="L1948" s="9" t="str">
        <x:v>TBA</x:v>
      </x:c>
    </x:row>
    <x:row r="1949">
      <x:c r="A1949" t="str">
        <x:v>b5b17b5f-efa1-4ea1-8b25-f8b2b0d5d233</x:v>
      </x:c>
      <x:c r="B1949" t="str">
        <x:v>54bbd778-02b8-472d-8914-8d6b4032100e</x:v>
      </x:c>
      <x:c r="C1949" s="9" t="str">
        <x:v>Malik v Henley Homes Plc [2023] EWCA Civ 726</x:v>
      </x:c>
      <x:c r="D1949" s="9" t="str"/>
      <x:c r="E1949" s="9" t="str"/>
      <x:c r="F1949" s="13" t="str">
        <x:v>2023</x:v>
      </x:c>
      <x:c r="G1949" s="9" t="str">
        <x:v>England and Wales Court of Appeal (Civil Division)</x:v>
      </x:c>
      <x:c r="H1949" s="9" t="str">
        <x:v>Court of Appeal (Civil Division)</x:v>
      </x:c>
      <x:c r="I1949" s="9" t="str">
        <x:v>England and Wales</x:v>
      </x:c>
      <x:c r="J1949" s="9" t="str">
        <x:v>Contract/Commercial dispute</x:v>
      </x:c>
      <x:c r="K1949" s="9" t="str">
        <x:v>ew-cases-EWCA-Civ-2023-726.xml</x:v>
      </x:c>
      <x:c r="L1949" s="9" t="str">
        <x:v>TBA</x:v>
      </x:c>
    </x:row>
    <x:row r="1950">
      <x:c r="A1950" t="str">
        <x:v>79c44edd-9e80-40df-9b9a-06881abeb048</x:v>
      </x:c>
      <x:c r="B1950" t="str">
        <x:v>7e2aa6d2-817e-4eed-8894-c7434a92c72e</x:v>
      </x:c>
      <x:c r="C1950" s="9" t="str">
        <x:v>Malik v Hussain &amp; Ors [2023] EWCA Civ 2: Interpretation and enforcement of a court-ordered sale mechanism for partnership assets</x:v>
      </x:c>
      <x:c r="D1950" s="9" t="str"/>
      <x:c r="E1950" s="9" t="str"/>
      <x:c r="F1950" s="13" t="str">
        <x:v>2023</x:v>
      </x:c>
      <x:c r="G1950" s="9" t="str">
        <x:v>England and Wales Court of Appeal (Civil Division)</x:v>
      </x:c>
      <x:c r="H1950" s="9" t="str">
        <x:v>Court of Appeal (Civil Division)</x:v>
      </x:c>
      <x:c r="I1950" s="9" t="str">
        <x:v>England and Wales</x:v>
      </x:c>
      <x:c r="J1950" s="9" t="str">
        <x:v>Contract/Property/Economic Remedies - Court-ordered sale; Civil Procedure</x:v>
      </x:c>
      <x:c r="K1950" s="9" t="str">
        <x:v>ew-cases-EWCA-Civ-2023-2.xml</x:v>
      </x:c>
      <x:c r="L1950" s="9" t="str">
        <x:v>TBA</x:v>
      </x:c>
    </x:row>
    <x:row r="1951">
      <x:c r="A1951" t="str">
        <x:v>0ff21d45-fbc7-459f-829e-fa6522d8963c</x:v>
      </x:c>
      <x:c r="B1951" t="str">
        <x:v>2052b702-1380-4ce6-a8ac-fcf800dfbdbb</x:v>
      </x:c>
      <x:c r="C1951" s="9" t="str">
        <x:v>Malone v Relyon Heating Engineering Ltd [2014] EWCA Civ 904</x:v>
      </x:c>
      <x:c r="D1951" s="9" t="str"/>
      <x:c r="E1951" s="9" t="str"/>
      <x:c r="F1951" s="13" t="str">
        <x:v>2014</x:v>
      </x:c>
      <x:c r="G1951" s="9" t="str">
        <x:v>England and Wales Court of Appeal (Civil Division)</x:v>
      </x:c>
      <x:c r="H1951" s="9" t="str">
        <x:v>Appellate</x:v>
      </x:c>
      <x:c r="I1951" s="9" t="str">
        <x:v>England</x:v>
      </x:c>
      <x:c r="J1951" s="9" t="str">
        <x:v>Tort</x:v>
      </x:c>
      <x:c r="K1951" s="9" t="str">
        <x:v>-ew-cases-EWCA-Civ-2014-904.xml</x:v>
      </x:c>
      <x:c r="L1951" s="9" t="str">
        <x:v>TBA</x:v>
      </x:c>
    </x:row>
    <x:row r="1952">
      <x:c r="A1952" t="str">
        <x:v>636c9351-2602-44c9-a6d2-d3aaa05fd814</x:v>
      </x:c>
      <x:c r="B1952" t="str">
        <x:v>a2eedacc-f0ef-4ddc-aa00-0ab040d81ba5</x:v>
      </x:c>
      <x:c r="C1952" s="9" t="str">
        <x:v>Mamidoil-Jetoil Greek Petroleum Company SA v Okta Crude Oil Refinery AD</x:v>
      </x:c>
      <x:c r="D1952" s="9" t="str"/>
      <x:c r="E1952" s="9" t="str"/>
      <x:c r="F1952" s="13" t="str">
        <x:v>2001</x:v>
      </x:c>
      <x:c r="G1952" s="9" t="str">
        <x:v>England and Wales Court of Appeal (Civil Division)</x:v>
      </x:c>
      <x:c r="H1952" s="9" t="str">
        <x:v>Appeal</x:v>
      </x:c>
      <x:c r="I1952" s="9" t="str">
        <x:v>England and Wales</x:v>
      </x:c>
      <x:c r="J1952" s="9" t="str">
        <x:v>Contract Dispute</x:v>
      </x:c>
      <x:c r="K1952" s="9" t="str">
        <x:v>PT_EWCA-Civ_2001_406.xml</x:v>
      </x:c>
      <x:c r="L1952" s="9" t="str">
        <x:v>TBA</x:v>
      </x:c>
    </x:row>
    <x:row r="1953">
      <x:c r="A1953" t="str">
        <x:v>629298e6-aba2-416a-9d4a-78601852a322</x:v>
      </x:c>
      <x:c r="B1953" t="str">
        <x:v>2609afbe-aeb9-4911-87cb-d82d5b2d7826</x:v>
      </x:c>
      <x:c r="C1953" s="9" t="str">
        <x:v>Mamo v London Borough of Hammersmith &amp; Fulham [2015] EWCA Civ 695</x:v>
      </x:c>
      <x:c r="D1953" s="9" t="str"/>
      <x:c r="E1953" s="9" t="str"/>
      <x:c r="F1953" s="13" t="str">
        <x:v>2015</x:v>
      </x:c>
      <x:c r="G1953" s="9" t="str">
        <x:v>England and Wales Court of Appeal (Civil Division)</x:v>
      </x:c>
      <x:c r="H1953" s="9" t="str">
        <x:v>Appellate</x:v>
      </x:c>
      <x:c r="I1953" s="9" t="str">
        <x:v>England and Wales</x:v>
      </x:c>
      <x:c r="J1953" s="9" t="str">
        <x:v>Administrative Law</x:v>
      </x:c>
      <x:c r="K1953" s="9" t="str">
        <x:v>-ew-cases-EWCA-Civ-2015-695.xml</x:v>
      </x:c>
      <x:c r="L1953" s="9" t="str">
        <x:v>TBA</x:v>
      </x:c>
    </x:row>
    <x:row r="1954">
      <x:c r="A1954" t="str">
        <x:v>9d3eb625-d7e7-4727-ace5-2e7ebc6e382a</x:v>
      </x:c>
      <x:c r="B1954" t="str">
        <x:v>cd67c449-5b09-48a9-8688-c59a962e008c</x:v>
      </x:c>
      <x:c r="C1954" s="9" t="str">
        <x:v>Manchester City Council v Secretary of State for Housing, Communities and Local Government [2021] EWCA Civ 1920</x:v>
      </x:c>
      <x:c r="D1954" s="9" t="str"/>
      <x:c r="E1954" s="9" t="str"/>
      <x:c r="F1954" s="13" t="str">
        <x:v>2021</x:v>
      </x:c>
      <x:c r="G1954" s="9" t="str">
        <x:v>England and Wales Court of Appeal (Civil Division)</x:v>
      </x:c>
      <x:c r="H1954" s="9" t="str">
        <x:v>appellate</x:v>
      </x:c>
      <x:c r="I1954" s="9" t="str">
        <x:v>England</x:v>
      </x:c>
      <x:c r="J1954" s="9" t="str">
        <x:v>Administrative Law</x:v>
      </x:c>
      <x:c r="K1954" s="9" t="str">
        <x:v>ew-cases-EWCA-Civ-2021-1920.xml</x:v>
      </x:c>
      <x:c r="L1954" s="9" t="str">
        <x:v>TBA</x:v>
      </x:c>
    </x:row>
    <x:row r="1955">
      <x:c r="A1955" t="str">
        <x:v>d3680ab5-c876-4a43-acda-397a1ef5bc1d</x:v>
      </x:c>
      <x:c r="B1955" t="str">
        <x:v>32d99e86-0b98-4404-9be5-f27b2bb8a938</x:v>
      </x:c>
      <x:c r="C1955" s="9" t="str">
        <x:v>Manchester City Football Club Ltd v The Football Association Premier League Ltd &amp; Ors</x:v>
      </x:c>
      <x:c r="D1955" s="9" t="str"/>
      <x:c r="E1955" s="9" t="str"/>
      <x:c r="F1955" s="13" t="str">
        <x:v>2021</x:v>
      </x:c>
      <x:c r="G1955" s="9" t="str">
        <x:v>England and Wales Court of Appeal (Civil Division)</x:v>
      </x:c>
      <x:c r="H1955" s="9" t="str">
        <x:v>Appellate</x:v>
      </x:c>
      <x:c r="I1955" s="9" t="str">
        <x:v>England and Wales</x:v>
      </x:c>
      <x:c r="J1955" s="9" t="str">
        <x:v>Arbitration Dispute</x:v>
      </x:c>
      <x:c r="K1955" s="9" t="str">
        <x:v>ew-cases-EWCA-Civ-2021-1110.xml</x:v>
      </x:c>
      <x:c r="L1955" s="9" t="str">
        <x:v>TBA</x:v>
      </x:c>
    </x:row>
    <x:row r="1956">
      <x:c r="A1956" t="str">
        <x:v>47662083-4d93-4127-8345-6bc3430212ba</x:v>
      </x:c>
      <x:c r="B1956" t="str">
        <x:v>683dbd28-daaf-4064-8aa1-815c556ed4ca</x:v>
      </x:c>
      <x:c r="C1956" s="9" t="str">
        <x:v>Manderson v Secretary of State for the Home Department [2017] EWCA Civ 2715</x:v>
      </x:c>
      <x:c r="D1956" s="9" t="str"/>
      <x:c r="E1956" s="9" t="str"/>
      <x:c r="F1956" s="13" t="str">
        <x:v>2017</x:v>
      </x:c>
      <x:c r="G1956" s="9" t="str">
        <x:v>England and Wales Court of Appeal (Civil Division)</x:v>
      </x:c>
      <x:c r="H1956" s="9" t="str">
        <x:v>Appellate</x:v>
      </x:c>
      <x:c r="I1956" s="9" t="str">
        <x:v>England and Wales</x:v>
      </x:c>
      <x:c r="J1956" s="9" t="str">
        <x:v>Immigration</x:v>
      </x:c>
      <x:c r="K1956" s="9" t="str">
        <x:v>-ew-cases-EWCA-Civ-2017-2715.xml</x:v>
      </x:c>
      <x:c r="L1956" s="9" t="str">
        <x:v>TBA</x:v>
      </x:c>
    </x:row>
    <x:row r="1957">
      <x:c r="A1957" t="str">
        <x:v>4650d758-a283-4e67-b255-f1e2d28ec2cf</x:v>
      </x:c>
      <x:c r="B1957" t="str">
        <x:v>242cfe0f-4fb2-484a-9b1d-9937a0a39b66</x:v>
      </x:c>
      <x:c r="C1957" s="9" t="str">
        <x:v>Manek &amp; Ors v IIFL Wealth (UK) Ltd &amp; Ors</x:v>
      </x:c>
      <x:c r="D1957" s="9" t="str"/>
      <x:c r="E1957" s="9" t="str"/>
      <x:c r="F1957" s="13" t="str">
        <x:v>2021</x:v>
      </x:c>
      <x:c r="G1957" s="9" t="str">
        <x:v>England and Wales Court of Appeal (Civil Division)</x:v>
      </x:c>
      <x:c r="H1957" s="9" t="str">
        <x:v>Appellate</x:v>
      </x:c>
      <x:c r="I1957" s="9" t="str">
        <x:v>England and Wales</x:v>
      </x:c>
      <x:c r="J1957" s="9" t="str">
        <x:v>Civil Appeal</x:v>
      </x:c>
      <x:c r="K1957" s="9" t="str">
        <x:v>ew-cases-EWCA-Civ-2021-625.xml</x:v>
      </x:c>
      <x:c r="L1957" s="9" t="str">
        <x:v>TBA</x:v>
      </x:c>
    </x:row>
    <x:row r="1958">
      <x:c r="A1958" t="str">
        <x:v>ccd25cad-9e4f-4a81-b6cc-f05d9ab65d9e</x:v>
      </x:c>
      <x:c r="B1958" t="str">
        <x:v>cb43b5ef-a8db-4afe-a9b8-fc186cb5ca07</x:v>
      </x:c>
      <x:c r="C1958" s="9" t="str">
        <x:v>Manek &amp; Ors v IIFL Wealth (UK) Ltd &amp; Ors [2021] EWCA Civ 264</x:v>
      </x:c>
      <x:c r="D1958" s="9" t="str"/>
      <x:c r="E1958" s="9" t="str"/>
      <x:c r="F1958" s="13" t="str">
        <x:v>2021</x:v>
      </x:c>
      <x:c r="G1958" s="9" t="str">
        <x:v>England and Wales Court of Appeal (Civil Division)</x:v>
      </x:c>
      <x:c r="H1958" s="9" t="str">
        <x:v>Appellate</x:v>
      </x:c>
      <x:c r="I1958" s="9" t="str">
        <x:v>England and Wales</x:v>
      </x:c>
      <x:c r="J1958" s="9" t="str">
        <x:v>Commercial Litigation</x:v>
      </x:c>
      <x:c r="K1958" s="9" t="str">
        <x:v>ew-cases-EWCA-Civ-2021-264.xml</x:v>
      </x:c>
      <x:c r="L1958" s="9" t="str">
        <x:v>TBA</x:v>
      </x:c>
    </x:row>
    <x:row r="1959">
      <x:c r="A1959" t="str">
        <x:v>18888154-9486-4e01-9fa1-8c01d536cd6e</x:v>
      </x:c>
      <x:c r="B1959" t="str">
        <x:v>d906fae5-4fc2-40ba-b5ec-ea3e3910c36d</x:v>
      </x:c>
      <x:c r="C1959" s="9" t="str">
        <x:v>Manetta v De Filippo [2022] EWCA Civ 409</x:v>
      </x:c>
      <x:c r="D1959" s="9" t="str"/>
      <x:c r="E1959" s="9" t="str"/>
      <x:c r="F1959" s="13" t="str">
        <x:v>2022</x:v>
      </x:c>
      <x:c r="G1959" s="9" t="str">
        <x:v>England and Wales Court of Appeal (Civil Division)</x:v>
      </x:c>
      <x:c r="H1959" s="9" t="str">
        <x:v>Court of Appeal (Civil Division)</x:v>
      </x:c>
      <x:c r="I1959" s="9" t="str">
        <x:v>England and Wales</x:v>
      </x:c>
      <x:c r="J1959" s="9" t="str">
        <x:v>Family Law / International Jurisdiction</x:v>
      </x:c>
      <x:c r="K1959" s="9" t="str">
        <x:v>ew-cases-EWCA-Civ-2022-409.xml</x:v>
      </x:c>
      <x:c r="L1959" s="9" t="str">
        <x:v>TBA</x:v>
      </x:c>
    </x:row>
    <x:row r="1960">
      <x:c r="A1960" t="str">
        <x:v>c8f7a52c-0965-414f-8b97-8f1eb1c648c8</x:v>
      </x:c>
      <x:c r="B1960" t="str">
        <x:v>03eca3d2-417d-4d43-89d4-eaab50602538</x:v>
      </x:c>
      <x:c r="C1960" s="9" t="str">
        <x:v>Mann v Mann [2014] EWCA Civ 1674: Jurisdictional and Procedural Issues in Family Law Orders</x:v>
      </x:c>
      <x:c r="D1960" s="9" t="str"/>
      <x:c r="E1960" s="9" t="str"/>
      <x:c r="F1960" s="13" t="str">
        <x:v>2014</x:v>
      </x:c>
      <x:c r="G1960" s="9" t="str">
        <x:v>England and Wales Court of Appeal (Civil Division)</x:v>
      </x:c>
      <x:c r="H1960" s="9" t="str">
        <x:v>Appellate</x:v>
      </x:c>
      <x:c r="I1960" s="9" t="str">
        <x:v>England and Wales</x:v>
      </x:c>
      <x:c r="J1960" s="9" t="str">
        <x:v>Family Law</x:v>
      </x:c>
      <x:c r="K1960" s="9" t="str">
        <x:v>-ew-cases-EWCA-Civ-2014-1674.xml</x:v>
      </x:c>
      <x:c r="L1960" s="9" t="str">
        <x:v>TBA</x:v>
      </x:c>
    </x:row>
    <x:row r="1961">
      <x:c r="A1961" t="str">
        <x:v>30542f25-b196-4574-98de-42b6ca5517b5</x:v>
      </x:c>
      <x:c r="B1961" t="str">
        <x:v>8c3f8fb5-c00c-4a0c-aa0b-a920215d5e22</x:v>
      </x:c>
      <x:c r="C1961" s="9" t="str">
        <x:v>Manna v Manchester University Hospitals NHS Foundation Trust [2016] EWCA Civ 666</x:v>
      </x:c>
      <x:c r="D1961" s="9" t="str"/>
      <x:c r="E1961" s="9" t="str"/>
      <x:c r="F1961" s="13" t="str">
        <x:v>2016</x:v>
      </x:c>
      <x:c r="G1961" s="9" t="str">
        <x:v>England and Wales Court of Appeal (Civil Division)</x:v>
      </x:c>
      <x:c r="H1961" s="9" t="str">
        <x:v>Court of Appeal (Civil Division)</x:v>
      </x:c>
      <x:c r="I1961" s="9" t="str">
        <x:v>England and Wales</x:v>
      </x:c>
      <x:c r="J1961" s="9" t="str">
        <x:v>Civil Appeal – Damages &amp; Costs</x:v>
      </x:c>
      <x:c r="K1961" s="9" t="str">
        <x:v>-ew-cases-EWCA-Civ-2016-666.xml</x:v>
      </x:c>
      <x:c r="L1961" s="9" t="str">
        <x:v>TBA</x:v>
      </x:c>
    </x:row>
    <x:row r="1962">
      <x:c r="A1962" t="str">
        <x:v>0908bce7-9519-4885-9ab5-7b2e83e6d665</x:v>
      </x:c>
      <x:c r="B1962" t="str">
        <x:v>5e0cc389-affc-4c8f-b038-edd87d82226a</x:v>
      </x:c>
      <x:c r="C1962" s="9" t="str">
        <x:v>Manolete Partners Plc v Dalal [2023] EWCA Civ 269</x:v>
      </x:c>
      <x:c r="D1962" s="9" t="str"/>
      <x:c r="E1962" s="9" t="str"/>
      <x:c r="F1962" s="13" t="str">
        <x:v>2023</x:v>
      </x:c>
      <x:c r="G1962" s="9" t="str">
        <x:v>England and Wales Court of Appeal (Civil Division)</x:v>
      </x:c>
      <x:c r="H1962" s="9" t="str">
        <x:v>Court of Appeal (Civil Division)</x:v>
      </x:c>
      <x:c r="I1962" s="9" t="str">
        <x:v>England and Wales</x:v>
      </x:c>
      <x:c r="J1962" s="9" t="str">
        <x:v>Civil</x:v>
      </x:c>
      <x:c r="K1962" s="9" t="str">
        <x:v>ew-cases-EWCA-Civ-2023-269.xml</x:v>
      </x:c>
      <x:c r="L1962" s="9" t="str">
        <x:v>TBA</x:v>
      </x:c>
    </x:row>
    <x:row r="1963">
      <x:c r="A1963" t="str">
        <x:v>38387a12-da72-4c9d-afc3-d45dafe11244</x:v>
      </x:c>
      <x:c r="B1963" t="str">
        <x:v>2f6e33a1-8b12-43c8-8f96-e12ae90a4d33</x:v>
      </x:c>
      <x:c r="C1963" s="9" t="str">
        <x:v>Manolete Partners Plc v Hastings Borough Council</x:v>
      </x:c>
      <x:c r="D1963" s="9" t="str"/>
      <x:c r="E1963" s="9" t="str"/>
      <x:c r="F1963" s="13" t="str">
        <x:v>2014</x:v>
      </x:c>
      <x:c r="G1963" s="9" t="str">
        <x:v>England and Wales Court of Appeal (Civil Division)</x:v>
      </x:c>
      <x:c r="H1963" s="9" t="str">
        <x:v>Appellate</x:v>
      </x:c>
      <x:c r="I1963" s="9" t="str">
        <x:v>England and Wales</x:v>
      </x:c>
      <x:c r="J1963" s="9" t="str">
        <x:v>Public Law / Administrative Law</x:v>
      </x:c>
      <x:c r="K1963" s="9" t="str">
        <x:v>-ew-cases-EWCA-Civ-2014-562.xml</x:v>
      </x:c>
      <x:c r="L1963" s="9" t="str">
        <x:v>TBA</x:v>
      </x:c>
    </x:row>
    <x:row r="1964">
      <x:c r="A1964" t="str">
        <x:v>7661ca5f-66a1-47c7-bf68-4825fe402dc8</x:v>
      </x:c>
      <x:c r="B1964" t="str">
        <x:v>31cfa701-5a3f-478d-bd6d-9990826f73d5</x:v>
      </x:c>
      <x:c r="C1964" s="9" t="str">
        <x:v>Mansell v Tonbridge and Malling Borough Council</x:v>
      </x:c>
      <x:c r="D1964" s="9" t="str"/>
      <x:c r="E1964" s="9" t="str"/>
      <x:c r="F1964" s="13" t="str">
        <x:v>2017</x:v>
      </x:c>
      <x:c r="G1964" s="9" t="str">
        <x:v>England and Wales Court of Appeal (Civil Division)</x:v>
      </x:c>
      <x:c r="H1964" s="9" t="str">
        <x:v>appellate</x:v>
      </x:c>
      <x:c r="I1964" s="9" t="str">
        <x:v>England and Wales</x:v>
      </x:c>
      <x:c r="J1964" s="9" t="str">
        <x:v>Administrative Law</x:v>
      </x:c>
      <x:c r="K1964" s="9" t="str">
        <x:v>-ew-cases-EWCA-Civ-2017-1314.xml</x:v>
      </x:c>
      <x:c r="L1964" s="9" t="str">
        <x:v>TBA</x:v>
      </x:c>
    </x:row>
    <x:row r="1965">
      <x:c r="A1965" t="str">
        <x:v>60d9f898-7a57-429f-a4ba-cd1eaa5ad84f</x:v>
      </x:c>
      <x:c r="B1965" t="str">
        <x:v>faa12868-8822-41b7-8fa2-d0ab2868aaa9</x:v>
      </x:c>
      <x:c r="C1965" s="9" t="str">
        <x:v>Mapfre Mutualidad Compania De Seguros Y Reaseguros SA &amp; Anor v Keefe (2015) EWCA Civ 598</x:v>
      </x:c>
      <x:c r="D1965" s="9" t="str"/>
      <x:c r="E1965" s="9" t="str"/>
      <x:c r="F1965" s="13" t="str">
        <x:v>2015</x:v>
      </x:c>
      <x:c r="G1965" s="9" t="str">
        <x:v>England and Wales Court of Appeal (Civil Division)</x:v>
      </x:c>
      <x:c r="H1965" s="9" t="str">
        <x:v>Appellate</x:v>
      </x:c>
      <x:c r="I1965" s="9" t="str">
        <x:v>England and Wales</x:v>
      </x:c>
      <x:c r="J1965" s="9" t="str">
        <x:v>Insurance Law</x:v>
      </x:c>
      <x:c r="K1965" s="9" t="str">
        <x:v>-ew-cases-EWCA-Civ-2015-598.xml</x:v>
      </x:c>
      <x:c r="L1965" s="9" t="str">
        <x:v>TBA</x:v>
      </x:c>
    </x:row>
    <x:row r="1966">
      <x:c r="A1966" t="str">
        <x:v>7ac2a97d-37a5-4ae1-a907-44af296b20f1</x:v>
      </x:c>
      <x:c r="B1966" t="str">
        <x:v>2b3a6a30-a98c-4d05-8eab-416d45656894</x:v>
      </x:c>
      <x:c r="C1966" s="9" t="str">
        <x:v>Maranello Rosso Ltd v Lohomij BV &amp; Ors [2022] EWCA Civ 1667</x:v>
      </x:c>
      <x:c r="D1966" s="9" t="str"/>
      <x:c r="E1966" s="9" t="str"/>
      <x:c r="F1966" s="13" t="str">
        <x:v>2022</x:v>
      </x:c>
      <x:c r="G1966" s="9" t="str">
        <x:v>England and Wales Court of Appeal (Civil Division)</x:v>
      </x:c>
      <x:c r="H1966" s="9" t="str">
        <x:v>Court of Appeal (Civil Division)</x:v>
      </x:c>
      <x:c r="I1966" s="9" t="str">
        <x:v>England and Wales</x:v>
      </x:c>
      <x:c r="J1966" s="9" t="str">
        <x:v>Contract/Commercial dispute</x:v>
      </x:c>
      <x:c r="K1966" s="9" t="str">
        <x:v>ew-cases-EWCA-Civ-2022-1667.xml</x:v>
      </x:c>
      <x:c r="L1966" s="9" t="str">
        <x:v>TBA</x:v>
      </x:c>
    </x:row>
    <x:row r="1967">
      <x:c r="A1967" t="str">
        <x:v>6a4882d3-9403-404b-a9fa-217d733782d6</x:v>
      </x:c>
      <x:c r="B1967" t="str">
        <x:v>9762312e-f9dd-4fe3-8b06-e2a80532fbb1</x:v>
      </x:c>
      <x:c r="C1967" s="9" t="str">
        <x:v>Marepally v Secretary of State for the Home Department [2022] EWCA Civ 855</x:v>
      </x:c>
      <x:c r="D1967" s="9" t="str"/>
      <x:c r="E1967" s="9" t="str"/>
      <x:c r="F1967" s="13" t="str">
        <x:v>2022</x:v>
      </x:c>
      <x:c r="G1967" s="9" t="str">
        <x:v>England and Wales Court of Appeal (Civil Division)</x:v>
      </x:c>
      <x:c r="H1967" s="9" t="str">
        <x:v>Court of Appeal (Civil Division)</x:v>
      </x:c>
      <x:c r="I1967" s="9" t="str">
        <x:v>England and Wales</x:v>
      </x:c>
      <x:c r="J1967" s="9" t="str">
        <x:v>Immigration Law</x:v>
      </x:c>
      <x:c r="K1967" s="9" t="str">
        <x:v>ew-cases-EWCA-Civ-2022-855.xml</x:v>
      </x:c>
      <x:c r="L1967" s="9" t="str">
        <x:v>TBA</x:v>
      </x:c>
    </x:row>
    <x:row r="1968">
      <x:c r="A1968" t="str">
        <x:v>d611cffa-698c-4d04-bc9b-f07be5b0ebfc</x:v>
      </x:c>
      <x:c r="B1968" t="str">
        <x:v>ccb176da-f583-47e8-b2a6-cc3aadd7833c</x:v>
      </x:c>
      <x:c r="C1968" s="9" t="str">
        <x:v>Marks And Spencer Plc v BNP Paribas Securities Services Trust Company (Jersey) Ltd &amp; Anor [2014] EWCA Civ 603</x:v>
      </x:c>
      <x:c r="D1968" s="9" t="str"/>
      <x:c r="E1968" s="9" t="str"/>
      <x:c r="F1968" s="13" t="str">
        <x:v>2014</x:v>
      </x:c>
      <x:c r="G1968" s="9" t="str">
        <x:v>England and Wales Court of Appeal (Civil Division)</x:v>
      </x:c>
      <x:c r="H1968" s="9" t="str">
        <x:v>Appellate</x:v>
      </x:c>
      <x:c r="I1968" s="9" t="str">
        <x:v>England and Wales</x:v>
      </x:c>
      <x:c r="J1968" s="9" t="str">
        <x:v>Contract Dispute</x:v>
      </x:c>
      <x:c r="K1968" s="9" t="str">
        <x:v>-ew-cases-EWCA-Civ-2014-603.xml</x:v>
      </x:c>
      <x:c r="L1968" s="9" t="str">
        <x:v>TBA</x:v>
      </x:c>
    </x:row>
    <x:row r="1969">
      <x:c r="A1969" t="str">
        <x:v>2a8111f1-acbc-4dc3-8f71-14478bfe8078</x:v>
      </x:c>
      <x:c r="B1969" t="str">
        <x:v>5b10acb1-5e49-4e3a-8c7d-7cde16d86341</x:v>
      </x:c>
      <x:c r="C1969" s="9" t="str">
        <x:v>Marks and Spencer plc v BNP Paribas Securities Services Trust Company (Jersey) Ltd &amp; Anor [2015] UKSC 72</x:v>
      </x:c>
      <x:c r="D1969" s="9" t="str"/>
      <x:c r="E1969" s="9" t="str"/>
      <x:c r="F1969" s="13" t="str">
        <x:v>2015</x:v>
      </x:c>
      <x:c r="G1969" s="9" t="str">
        <x:v>United Kingdom Supreme Court</x:v>
      </x:c>
      <x:c r="H1969" s="9" t="str">
        <x:v>Supreme Court</x:v>
      </x:c>
      <x:c r="I1969" s="9" t="str">
        <x:v>England and Wales</x:v>
      </x:c>
      <x:c r="J1969" s="9" t="str">
        <x:v>Contract Dispute</x:v>
      </x:c>
      <x:c r="K1969" s="9" t="str">
        <x:v>PT_UKSC_2015_72.xml</x:v>
      </x:c>
      <x:c r="L1969" s="9" t="str">
        <x:v>TBA</x:v>
      </x:c>
    </x:row>
    <x:row r="1970">
      <x:c r="A1970" t="str">
        <x:v>ecdc0552-0bb5-4132-8e81-0474c04eb895</x:v>
      </x:c>
      <x:c r="B1970" t="str">
        <x:v>dfc8581a-6316-4dc9-8418-60ef793ca190</x:v>
      </x:c>
      <x:c r="C1970" s="9" t="str">
        <x:v>Marlborough Knightsbridge Management Ltd v Fivaz [2021] EWCA Civ 989</x:v>
      </x:c>
      <x:c r="D1970" s="9" t="str"/>
      <x:c r="E1970" s="9" t="str"/>
      <x:c r="F1970" s="13" t="str">
        <x:v>2021</x:v>
      </x:c>
      <x:c r="G1970" s="9" t="str">
        <x:v>England and Wales Court of Appeal (Civil Division)</x:v>
      </x:c>
      <x:c r="H1970" s="9" t="str">
        <x:v>Appellate</x:v>
      </x:c>
      <x:c r="I1970" s="9" t="str">
        <x:v>England and Wales</x:v>
      </x:c>
      <x:c r="J1970" s="9" t="str">
        <x:v>Landlord-Tenant Dispute</x:v>
      </x:c>
      <x:c r="K1970" s="9" t="str">
        <x:v>ew-cases-EWCA-Civ-2021-989.xml</x:v>
      </x:c>
      <x:c r="L1970" s="9" t="str">
        <x:v>TBA</x:v>
      </x:c>
    </x:row>
    <x:row r="1971">
      <x:c r="A1971" t="str">
        <x:v>169dc196-84ee-426c-8cb0-2369aeb01fe5</x:v>
      </x:c>
      <x:c r="B1971" t="str">
        <x:v>1be81cd2-85ae-45ae-bfed-6370f3e0fec3</x:v>
      </x:c>
      <x:c r="C1971" s="9" t="str">
        <x:v>Marlbray Limited v Laditi &amp; Anor [2016] EWCA Civ 476 (24 May 2016)</x:v>
      </x:c>
      <x:c r="D1971" s="9" t="str"/>
      <x:c r="E1971" s="9" t="str"/>
      <x:c r="F1971" s="13" t="str">
        <x:v>2016</x:v>
      </x:c>
      <x:c r="G1971" s="9" t="str">
        <x:v>England and Wales Court of Appeal (Civil Division)</x:v>
      </x:c>
      <x:c r="H1971" s="9" t="str">
        <x:v>Court of Appeal (Civil Division)</x:v>
      </x:c>
      <x:c r="I1971" s="9" t="str">
        <x:v>England and Wales</x:v>
      </x:c>
      <x:c r="J1971" s="9" t="str">
        <x:v>Contract Dispute / Land Law</x:v>
      </x:c>
      <x:c r="K1971" s="9" t="str">
        <x:v>-ew-cases-EWCA-Civ-2016-476.xml</x:v>
      </x:c>
      <x:c r="L1971" s="9" t="str">
        <x:v>TBA</x:v>
      </x:c>
    </x:row>
    <x:row r="1972">
      <x:c r="A1972" t="str">
        <x:v>7319a94d-e100-4f99-bab6-928db34b8c85</x:v>
      </x:c>
      <x:c r="B1972" t="str">
        <x:v>c9e481a5-6250-4a54-9126-fcf85a05259f</x:v>
      </x:c>
      <x:c r="C1972" s="9" t="str">
        <x:v>Martin v Fujitsu Services (Engineering Services) Ltd [2016] EWCA Civ 380</x:v>
      </x:c>
      <x:c r="D1972" s="9" t="str"/>
      <x:c r="E1972" s="9" t="str"/>
      <x:c r="F1972" s="13" t="str">
        <x:v>2016</x:v>
      </x:c>
      <x:c r="G1972" s="9" t="str">
        <x:v>England and Wales Court of Appeal (Civil Division)</x:v>
      </x:c>
      <x:c r="H1972" s="9" t="str">
        <x:v>Court of Appeal (Civil Division)</x:v>
      </x:c>
      <x:c r="I1972" s="9" t="str">
        <x:v>England and Wales</x:v>
      </x:c>
      <x:c r="J1972" s="9" t="str">
        <x:v>Civil Procedure / Appeals</x:v>
      </x:c>
      <x:c r="K1972" s="9" t="str">
        <x:v>-ew-cases-EWCA-Civ-2016-380.xml</x:v>
      </x:c>
      <x:c r="L1972" s="9" t="str">
        <x:v>TBA</x:v>
      </x:c>
    </x:row>
    <x:row r="1973">
      <x:c r="A1973" t="str">
        <x:v>472865ce-c02a-498f-a63b-c5aadb18f99a</x:v>
      </x:c>
      <x:c r="B1973" t="str">
        <x:v>18593cc3-8538-4d20-8553-859b00799525</x:v>
      </x:c>
      <x:c r="C1973" s="9" t="str">
        <x:v>Marzillier, Dr Meier &amp; Dr Guntner Rechtsanwaltsgesellschaft mbH v AMT Futures Ltd</x:v>
      </x:c>
      <x:c r="D1973" s="9" t="str"/>
      <x:c r="E1973" s="9" t="str"/>
      <x:c r="F1973" s="13" t="str">
        <x:v>2015</x:v>
      </x:c>
      <x:c r="G1973" s="9" t="str">
        <x:v>England and Wales Court of Appeal (Civil Division)</x:v>
      </x:c>
      <x:c r="H1973" s="9" t="str">
        <x:v>Appellate</x:v>
      </x:c>
      <x:c r="I1973" s="9" t="str">
        <x:v>England and Wales</x:v>
      </x:c>
      <x:c r="J1973" s="9" t="str">
        <x:v>Civil Procedure</x:v>
      </x:c>
      <x:c r="K1973" s="9" t="str">
        <x:v>-ew-cases-EWCA-Civ-2015-143.xml</x:v>
      </x:c>
      <x:c r="L1973" s="9" t="str">
        <x:v>TBA</x:v>
      </x:c>
    </x:row>
    <x:row r="1974">
      <x:c r="A1974" t="str">
        <x:v>8920face-6c58-4d8a-a427-8e9e2e08d2e2</x:v>
      </x:c>
      <x:c r="B1974" t="str">
        <x:v>0316bd26-10bd-4b07-ab7d-e55d1540f719</x:v>
      </x:c>
      <x:c r="C1974" s="9" t="str">
        <x:v>Mashate v Kaguta [2015] EWCA Civ 342</x:v>
      </x:c>
      <x:c r="D1974" s="9" t="str"/>
      <x:c r="E1974" s="9" t="str"/>
      <x:c r="F1974" s="13" t="str">
        <x:v>2015</x:v>
      </x:c>
      <x:c r="G1974" s="9" t="str">
        <x:v>England and Wales Court of Appeal (Civil Division)</x:v>
      </x:c>
      <x:c r="H1974" s="9" t="str">
        <x:v>Appellate</x:v>
      </x:c>
      <x:c r="I1974" s="9" t="str">
        <x:v>England and Wales</x:v>
      </x:c>
      <x:c r="J1974" s="9" t="str">
        <x:v>Civil Appeal</x:v>
      </x:c>
      <x:c r="K1974" s="9" t="str">
        <x:v>-ew-cases-EWCA-Civ-2015-342.xml</x:v>
      </x:c>
      <x:c r="L1974" s="9" t="str">
        <x:v>TBA</x:v>
      </x:c>
    </x:row>
    <x:row r="1975">
      <x:c r="A1975" t="str">
        <x:v>eca49ccf-03f1-4086-9e01-21497d35e0eb</x:v>
      </x:c>
      <x:c r="B1975" t="str">
        <x:v>4b50b26c-c21a-4d62-9fc3-0b3858f0df2c</x:v>
      </x:c>
      <x:c r="C1975" s="9" t="str">
        <x:v>Masih, R (on the application of) v Yousaf</x:v>
      </x:c>
      <x:c r="D1975" s="9" t="str"/>
      <x:c r="E1975" s="9" t="str"/>
      <x:c r="F1975" s="13" t="str">
        <x:v>2014</x:v>
      </x:c>
      <x:c r="G1975" s="9" t="str">
        <x:v>England and Wales Court of Appeal (Civil Division)</x:v>
      </x:c>
      <x:c r="H1975" s="9" t="str">
        <x:v>Appellate</x:v>
      </x:c>
      <x:c r="I1975" s="9" t="str">
        <x:v>England and Wales</x:v>
      </x:c>
      <x:c r="J1975" s="9" t="str">
        <x:v>Property Law</x:v>
      </x:c>
      <x:c r="K1975" s="9" t="str">
        <x:v>-ew-cases-EWCA-Civ-2014-234.xml</x:v>
      </x:c>
      <x:c r="L1975" s="9" t="str">
        <x:v>TBA</x:v>
      </x:c>
    </x:row>
    <x:row r="1976">
      <x:c r="A1976" t="str">
        <x:v>e7b1985f-5a0c-401a-b39c-fca741a03bbb</x:v>
      </x:c>
      <x:c r="B1976" t="str">
        <x:v>90c978dd-f9af-474f-ba22-84e06df13443</x:v>
      </x:c>
      <x:c r="C1976" s="9" t="str">
        <x:v>Mastercard Inc &amp; Ors v Deutsche Bahn AG &amp; Ors [2017] EWCA Civ 272</x:v>
      </x:c>
      <x:c r="D1976" s="9" t="str"/>
      <x:c r="E1976" s="9" t="str"/>
      <x:c r="F1976" s="13" t="str">
        <x:v>2017</x:v>
      </x:c>
      <x:c r="G1976" s="9" t="str">
        <x:v>England and Wales Court of Appeal (Civil Division)</x:v>
      </x:c>
      <x:c r="H1976" s="9" t="str">
        <x:v>appellate</x:v>
      </x:c>
      <x:c r="I1976" s="9" t="str">
        <x:v>England and Wales</x:v>
      </x:c>
      <x:c r="J1976" s="9" t="str">
        <x:v>Competition Law</x:v>
      </x:c>
      <x:c r="K1976" s="9" t="str">
        <x:v>-ew-cases-EWCA-Civ-2017-272.xml</x:v>
      </x:c>
      <x:c r="L1976" s="9" t="str">
        <x:v>TBA</x:v>
      </x:c>
    </x:row>
    <x:row r="1977">
      <x:c r="A1977" t="str">
        <x:v>e411d1f5-fd37-449e-be67-3840187e31be</x:v>
      </x:c>
      <x:c r="B1977" t="str">
        <x:v>b3d0ddd2-2b0a-4ad3-8205-7843f248b5d4</x:v>
      </x:c>
      <x:c r="C1977" s="9" t="str">
        <x:v>Mastercard Incorporated &amp; Ors v Merricks [2022] EWCA Civ 1568</x:v>
      </x:c>
      <x:c r="D1977" s="9" t="str"/>
      <x:c r="E1977" s="9" t="str"/>
      <x:c r="F1977" s="13" t="str">
        <x:v>2022</x:v>
      </x:c>
      <x:c r="G1977" s="9" t="str">
        <x:v>England and Wales Court of Appeal (Civil Division)</x:v>
      </x:c>
      <x:c r="H1977" s="9" t="str">
        <x:v>Court of Appeal (Civil Division)</x:v>
      </x:c>
      <x:c r="I1977" s="9" t="str">
        <x:v>England and Wales</x:v>
      </x:c>
      <x:c r="J1977" s="9" t="str">
        <x:v>Civil Procedure / Competition Law</x:v>
      </x:c>
      <x:c r="K1977" s="9" t="str">
        <x:v>ew-cases-EWCA-Civ-2022-1568.xml</x:v>
      </x:c>
      <x:c r="L1977" s="9" t="str">
        <x:v>TBA</x:v>
      </x:c>
    </x:row>
    <x:row r="1978">
      <x:c r="A1978" t="str">
        <x:v>6362553e-8b41-4548-89c5-800466ba04cf</x:v>
      </x:c>
      <x:c r="B1978" t="str">
        <x:v>8680e144-1960-4914-a117-83a72ec22d64</x:v>
      </x:c>
      <x:c r="C1978" s="9" t="str">
        <x:v>Matalia v Warwickshire County Council [2017] EWCA Civ 991</x:v>
      </x:c>
      <x:c r="D1978" s="9" t="str"/>
      <x:c r="E1978" s="9" t="str"/>
      <x:c r="F1978" s="13" t="str">
        <x:v>2017</x:v>
      </x:c>
      <x:c r="G1978" s="9" t="str">
        <x:v>England and Wales Court of Appeal (Civil Division)</x:v>
      </x:c>
      <x:c r="H1978" s="9" t="str">
        <x:v>Appellate</x:v>
      </x:c>
      <x:c r="I1978" s="9" t="str">
        <x:v>England and Wales</x:v>
      </x:c>
      <x:c r="J1978" s="9" t="str">
        <x:v>Breach of Confidence</x:v>
      </x:c>
      <x:c r="K1978" s="9" t="str">
        <x:v>-ew-cases-EWCA-Civ-2017-991.xml</x:v>
      </x:c>
      <x:c r="L1978" s="9" t="str">
        <x:v>TBA</x:v>
      </x:c>
    </x:row>
    <x:row r="1979">
      <x:c r="A1979" t="str">
        <x:v>8f17b6da-bd1b-40c6-86ec-c6ca35d4f2d0</x:v>
      </x:c>
      <x:c r="B1979" t="str">
        <x:v>af3d8c05-af20-4f3a-af95-fc67f6813dbc</x:v>
      </x:c>
      <x:c r="C1979" s="9" t="str">
        <x:v>Match Group, LLC &amp; Ors v Muzmatch Limited &amp; Anor [2023] EWCA Civ 454</x:v>
      </x:c>
      <x:c r="D1979" s="9" t="str"/>
      <x:c r="E1979" s="9" t="str"/>
      <x:c r="F1979" s="13" t="str">
        <x:v>2023</x:v>
      </x:c>
      <x:c r="G1979" s="9" t="str">
        <x:v>England and Wales Court of Appeal (Civil Division)</x:v>
      </x:c>
      <x:c r="H1979" s="9" t="str">
        <x:v>Court of Appeal (Civil Division)</x:v>
      </x:c>
      <x:c r="I1979" s="9" t="str">
        <x:v>England and Wales</x:v>
      </x:c>
      <x:c r="J1979" s="9" t="str">
        <x:v>Intellectual Property; Trade Marks; Passing Off; Appellate</x:v>
      </x:c>
      <x:c r="K1979" s="9" t="str">
        <x:v>ew-cases-EWCA-Civ-2023-454.xml</x:v>
      </x:c>
      <x:c r="L1979" s="9" t="str">
        <x:v>TBA</x:v>
      </x:c>
    </x:row>
    <x:row r="1980">
      <x:c r="A1980" t="str">
        <x:v>11c9a978-d9c4-4070-83db-8dfa7f1c2c00</x:v>
      </x:c>
      <x:c r="B1980" t="str">
        <x:v>8bddaa0d-71f8-45fc-8c80-9012b05f3a32</x:v>
      </x:c>
      <x:c r="C1980" s="9" t="str">
        <x:v>Matchmove Ltd v Dowding &amp; Anor [2016] EWCA Civ 1233 (07 December 2016)</x:v>
      </x:c>
      <x:c r="D1980" s="9" t="str"/>
      <x:c r="E1980" s="9" t="str"/>
      <x:c r="F1980" s="13" t="str">
        <x:v>2016</x:v>
      </x:c>
      <x:c r="G1980" s="9" t="str">
        <x:v>England and Wales Court of Appeal (Civil Division)</x:v>
      </x:c>
      <x:c r="H1980" s="9" t="str">
        <x:v>Court of Appeal (Civil Division)</x:v>
      </x:c>
      <x:c r="I1980" s="9" t="str">
        <x:v>England and Wales</x:v>
      </x:c>
      <x:c r="J1980" s="9" t="str">
        <x:v>Property Law - Equity (Proprietary Estoppel and Constructive Trust)</x:v>
      </x:c>
      <x:c r="K1980" s="9" t="str">
        <x:v>-ew-cases-EWCA-Civ-2016-1233.xml</x:v>
      </x:c>
      <x:c r="L1980" s="9" t="str">
        <x:v>TBA</x:v>
      </x:c>
    </x:row>
    <x:row r="1981">
      <x:c r="A1981" t="str">
        <x:v>73a6f2b6-4d80-4adb-b43b-c4e8ec866cc2</x:v>
      </x:c>
      <x:c r="B1981" t="str">
        <x:v>efecb22b-96fe-48bc-a2ff-e85851ddb751</x:v>
      </x:c>
      <x:c r="C1981" s="9" t="str">
        <x:v>May (On the Application Of) v Rother District Council &amp; Ors</x:v>
      </x:c>
      <x:c r="D1981" s="9" t="str"/>
      <x:c r="E1981" s="9" t="str"/>
      <x:c r="F1981" s="13" t="str">
        <x:v>2015</x:v>
      </x:c>
      <x:c r="G1981" s="9" t="str">
        <x:v>England and Wales Court of Appeal (Civil Division)</x:v>
      </x:c>
      <x:c r="H1981" s="9" t="str">
        <x:v>Appellate</x:v>
      </x:c>
      <x:c r="I1981" s="9" t="str">
        <x:v>England and Wales</x:v>
      </x:c>
      <x:c r="J1981" s="9" t="str">
        <x:v>Administrative Law</x:v>
      </x:c>
      <x:c r="K1981" s="9" t="str">
        <x:v>-ew-cases-EWCA-Civ-2015-610.xml</x:v>
      </x:c>
      <x:c r="L1981" s="9" t="str">
        <x:v>TBA</x:v>
      </x:c>
    </x:row>
    <x:row r="1982">
      <x:c r="A1982" t="str">
        <x:v>50de1f74-614d-4030-bb84-ba206b0310e3</x:v>
      </x:c>
      <x:c r="B1982" t="str">
        <x:v>22da9f6f-f5c5-4070-baf2-a03383f22019</x:v>
      </x:c>
      <x:c r="C1982" s="9" t="str">
        <x:v>Mayor and Burgesses of the London Borough of Tower Hamlets v Khan [2022] EWCA Civ 831</x:v>
      </x:c>
      <x:c r="D1982" s="9" t="str"/>
      <x:c r="E1982" s="9" t="str"/>
      <x:c r="F1982" s="13" t="str">
        <x:v>2022</x:v>
      </x:c>
      <x:c r="G1982" s="9" t="str">
        <x:v>England and Wales Court of Appeal (Civil Division)</x:v>
      </x:c>
      <x:c r="H1982" s="9" t="str">
        <x:v>Court of Appeal (Civil Division)</x:v>
      </x:c>
      <x:c r="I1982" s="9" t="str">
        <x:v>England and Wales</x:v>
      </x:c>
      <x:c r="J1982" s="9" t="str">
        <x:v>Property Law; Costs in Leasehold Disputes; Forfeiture</x:v>
      </x:c>
      <x:c r="K1982" s="9" t="str">
        <x:v>ew-cases-EWCA-Civ-2022-831.xml</x:v>
      </x:c>
      <x:c r="L1982" s="9" t="str">
        <x:v>TBA</x:v>
      </x:c>
    </x:row>
    <x:row r="1983">
      <x:c r="A1983" t="str">
        <x:v>6ef1cd31-c20c-45ac-b62e-a7063303c72f</x:v>
      </x:c>
      <x:c r="B1983" t="str">
        <x:v>e9892edd-b039-4d13-8d9c-53afede59ed7</x:v>
      </x:c>
      <x:c r="C1983" s="9" t="str">
        <x:v>Mazo v Boyle (t/a the Westbourne &amp; Anor) [2016] EWCA Civ 423 (16 February 2016)</x:v>
      </x:c>
      <x:c r="D1983" s="9" t="str"/>
      <x:c r="E1983" s="9" t="str"/>
      <x:c r="F1983" s="13" t="str">
        <x:v>2016</x:v>
      </x:c>
      <x:c r="G1983" s="9" t="str">
        <x:v>England and Wales Court of Appeal (Civil Division)</x:v>
      </x:c>
      <x:c r="H1983" s="9" t="str">
        <x:v>Court of Appeal (Civil Division)</x:v>
      </x:c>
      <x:c r="I1983" s="9" t="str">
        <x:v>England and Wales</x:v>
      </x:c>
      <x:c r="J1983" s="9" t="str">
        <x:v>Tort – Personal Injury</x:v>
      </x:c>
      <x:c r="K1983" s="9" t="str">
        <x:v>-ew-cases-EWCA-Civ-2016-423.xml</x:v>
      </x:c>
      <x:c r="L1983" s="9" t="str">
        <x:v>TBA</x:v>
      </x:c>
    </x:row>
    <x:row r="1984">
      <x:c r="A1984" t="str">
        <x:v>c95f8628-1ac8-4580-9269-34c2190af4f8</x:v>
      </x:c>
      <x:c r="B1984" t="str">
        <x:v>730d4ee2-9512-46cc-bbcb-e7a322dffb55</x:v>
      </x:c>
      <x:c r="C1984" s="9" t="str">
        <x:v>MB v Secretary of State for Work And Pensions [2014] EWCA Civ 1112</x:v>
      </x:c>
      <x:c r="D1984" s="9" t="str"/>
      <x:c r="E1984" s="9" t="str"/>
      <x:c r="F1984" s="13" t="str">
        <x:v>2014</x:v>
      </x:c>
      <x:c r="G1984" s="9" t="str">
        <x:v>England and Wales Court of Appeal (Civil Division)</x:v>
      </x:c>
      <x:c r="H1984" s="9" t="str">
        <x:v>Appellate</x:v>
      </x:c>
      <x:c r="I1984" s="9" t="str">
        <x:v>England and Wales</x:v>
      </x:c>
      <x:c r="J1984" s="9" t="str">
        <x:v>Administrative Law</x:v>
      </x:c>
      <x:c r="K1984" s="9" t="str">
        <x:v>-ew-cases-EWCA-Civ-2014-1112.xml</x:v>
      </x:c>
      <x:c r="L1984" s="9" t="str">
        <x:v>TBA</x:v>
      </x:c>
    </x:row>
    <x:row r="1985">
      <x:c r="A1985" t="str">
        <x:v>06ecb267-c70f-4e11-972e-608283d81a0c</x:v>
      </x:c>
      <x:c r="B1985" t="str">
        <x:v>7f28e7e7-fd67-4041-94e3-acdd3f3f964a</x:v>
      </x:c>
      <x:c r="C1985" s="9" t="str">
        <x:v>McBride v UK Insurance Ltd (Rev 1) [2017] EWCA Civ 144</x:v>
      </x:c>
      <x:c r="D1985" s="9" t="str"/>
      <x:c r="E1985" s="9" t="str"/>
      <x:c r="F1985" s="13" t="str">
        <x:v>2017</x:v>
      </x:c>
      <x:c r="G1985" s="9" t="str">
        <x:v>England and Wales Court of Appeal (Civil Division)</x:v>
      </x:c>
      <x:c r="H1985" s="9" t="str">
        <x:v>Appellate</x:v>
      </x:c>
      <x:c r="I1985" s="9" t="str">
        <x:v>England and Wales</x:v>
      </x:c>
      <x:c r="J1985" s="9" t="str">
        <x:v>Civil Contract</x:v>
      </x:c>
      <x:c r="K1985" s="9" t="str">
        <x:v>-ew-cases-EWCA-Civ-2017-144.xml</x:v>
      </x:c>
      <x:c r="L1985" s="9" t="str">
        <x:v>TBA</x:v>
      </x:c>
    </x:row>
    <x:row r="1986">
      <x:c r="A1986" t="str">
        <x:v>6aad2151-c527-4be0-91a2-e0e90dd38961</x:v>
      </x:c>
      <x:c r="B1986" t="str">
        <x:v>f598b2f9-f8c7-44a4-9d30-fb1e23f91091</x:v>
      </x:c>
      <x:c r="C1986" s="9" t="str">
        <x:v>McCarthy v Jones &amp; Anor [2023] EWCA Civ 589</x:v>
      </x:c>
      <x:c r="D1986" s="9" t="str"/>
      <x:c r="E1986" s="9" t="str"/>
      <x:c r="F1986" s="13" t="str">
        <x:v>2023</x:v>
      </x:c>
      <x:c r="G1986" s="9" t="str">
        <x:v>England and Wales Court of Appeal (Civil Division)</x:v>
      </x:c>
      <x:c r="H1986" s="9" t="str">
        <x:v>Court of Appeal (Civil Division)</x:v>
      </x:c>
      <x:c r="I1986" s="9" t="str">
        <x:v>England and Wales</x:v>
      </x:c>
      <x:c r="J1986" s="9" t="str">
        <x:v>Contract and Property Law; Estoppel; Damages; Appellate Review</x:v>
      </x:c>
      <x:c r="K1986" s="9" t="str">
        <x:v>ew-cases-EWCA-Civ-2023-589.xml</x:v>
      </x:c>
      <x:c r="L1986" s="9" t="str">
        <x:v>TBA</x:v>
      </x:c>
    </x:row>
    <x:row r="1987">
      <x:c r="A1987" t="str">
        <x:v>6d6fbb99-9bf8-4f0e-b153-025237184ff2</x:v>
      </x:c>
      <x:c r="B1987" t="str">
        <x:v>726d8e35-7cb0-4e35-9fdb-15b717ceff47</x:v>
      </x:c>
      <x:c r="C1987" s="9" t="str">
        <x:v>McCarthy v The Visitors to the Inns of Court &amp; Anor [2015] EWCA Civ 12</x:v>
      </x:c>
      <x:c r="D1987" s="9" t="str"/>
      <x:c r="E1987" s="9" t="str"/>
      <x:c r="F1987" s="13" t="str">
        <x:v>2015</x:v>
      </x:c>
      <x:c r="G1987" s="9" t="str">
        <x:v>England and Wales Court of Appeal (Civil Division)</x:v>
      </x:c>
      <x:c r="H1987" s="9" t="str">
        <x:v>Appellate</x:v>
      </x:c>
      <x:c r="I1987" s="9" t="str">
        <x:v>England and Wales</x:v>
      </x:c>
      <x:c r="J1987" s="9" t="str">
        <x:v>Disciplinary Proceedings</x:v>
      </x:c>
      <x:c r="K1987" s="9" t="str">
        <x:v>-ew-cases-EWCA-Civ-2015-12.xml</x:v>
      </x:c>
      <x:c r="L1987" s="9" t="str">
        <x:v>TBA</x:v>
      </x:c>
    </x:row>
    <x:row r="1988">
      <x:c r="A1988" t="str">
        <x:v>0f0aabb4-bc4b-4a0e-a8ba-fb3f18dabbe3</x:v>
      </x:c>
      <x:c r="B1988" t="str">
        <x:v>33275ff0-ad30-4410-8a43-5d936e7a0b06</x:v>
      </x:c>
      <x:c r="C1988" s="9" t="str">
        <x:v>McClean &amp; Ors v Thornhill [2023] EWCA Civ 466</x:v>
      </x:c>
      <x:c r="D1988" s="9" t="str"/>
      <x:c r="E1988" s="9" t="str"/>
      <x:c r="F1988" s="13" t="str">
        <x:v>2023</x:v>
      </x:c>
      <x:c r="G1988" s="9" t="str">
        <x:v>England and Wales Court of Appeal (Civil Division)</x:v>
      </x:c>
      <x:c r="H1988" s="9" t="str">
        <x:v>Court of Appeal (Civil Division)</x:v>
      </x:c>
      <x:c r="I1988" s="9" t="str">
        <x:v>England and Wales</x:v>
      </x:c>
      <x:c r="J1988" s="9" t="str">
        <x:v>Tort/Contract - Professional Negligence; Tax Law</x:v>
      </x:c>
      <x:c r="K1988" s="9" t="str">
        <x:v>ew-cases-EWCA-Civ-2023-466.xml</x:v>
      </x:c>
      <x:c r="L1988" s="9" t="str">
        <x:v>TBA</x:v>
      </x:c>
    </x:row>
    <x:row r="1989">
      <x:c r="A1989" t="str">
        <x:v>c679c3a9-8736-4c2b-a258-7edf33f778a0</x:v>
      </x:c>
      <x:c r="B1989" t="str">
        <x:v>edc2fc6e-68a1-4ebc-88a2-3ccdc59d63ed</x:v>
      </x:c>
      <x:c r="C1989" s="9" t="str">
        <x:v>McCracken v Smith &amp; Ors [2015] EWCA Civ 380</x:v>
      </x:c>
      <x:c r="D1989" s="9" t="str"/>
      <x:c r="E1989" s="9" t="str"/>
      <x:c r="F1989" s="13" t="str">
        <x:v>2015</x:v>
      </x:c>
      <x:c r="G1989" s="9" t="str">
        <x:v>England and Wales Court of Appeal (Civil Division)</x:v>
      </x:c>
      <x:c r="H1989" s="9" t="str">
        <x:v>Appellate</x:v>
      </x:c>
      <x:c r="I1989" s="9" t="str">
        <x:v>England and Wales</x:v>
      </x:c>
      <x:c r="J1989" s="9" t="str">
        <x:v>Personal Injury</x:v>
      </x:c>
      <x:c r="K1989" s="9" t="str">
        <x:v>-ew-cases-EWCA-Civ-2015-380.xml</x:v>
      </x:c>
      <x:c r="L1989" s="9" t="str">
        <x:v>TBA</x:v>
      </x:c>
    </x:row>
    <x:row r="1990">
      <x:c r="A1990" t="str">
        <x:v>b89bd8db-1cfd-47bf-bfe8-7d495c85d315</x:v>
      </x:c>
      <x:c r="B1990" t="str">
        <x:v>f3653358-ef54-42ba-a23a-c3e90b25c54a</x:v>
      </x:c>
      <x:c r="C1990" s="9" t="str">
        <x:v>McDonald v McDonald &amp; Anor [2014] EWCA Civ 1049</x:v>
      </x:c>
      <x:c r="D1990" s="9" t="str"/>
      <x:c r="E1990" s="9" t="str"/>
      <x:c r="F1990" s="13" t="str">
        <x:v>2014</x:v>
      </x:c>
      <x:c r="G1990" s="9" t="str">
        <x:v>England and Wales Court of Appeal (Civil Division)</x:v>
      </x:c>
      <x:c r="H1990" s="9" t="str">
        <x:v>Appellate</x:v>
      </x:c>
      <x:c r="I1990" s="9" t="str">
        <x:v>England and Wales</x:v>
      </x:c>
      <x:c r="J1990" s="9" t="str">
        <x:v>Property Law</x:v>
      </x:c>
      <x:c r="K1990" s="9" t="str">
        <x:v>-ew-cases-EWCA-Civ-2014-1049.xml</x:v>
      </x:c>
      <x:c r="L1990" s="9" t="str">
        <x:v>TBA</x:v>
      </x:c>
    </x:row>
    <x:row r="1991">
      <x:c r="A1991" t="str">
        <x:v>1a8bc1df-ed6f-4f67-858e-6beb91db82c9</x:v>
      </x:c>
      <x:c r="B1991" t="str">
        <x:v>8ff2bec9-9f36-4dba-ab10-117bd71957a3</x:v>
      </x:c>
      <x:c r="C1991" s="9" t="str">
        <x:v>McDonnell v The Commissioner of Police for the Metropolis &amp; Anor</x:v>
      </x:c>
      <x:c r="D1991" s="9" t="str"/>
      <x:c r="E1991" s="9" t="str"/>
      <x:c r="F1991" s="13" t="str">
        <x:v>2015</x:v>
      </x:c>
      <x:c r="G1991" s="9" t="str">
        <x:v>England and Wales Court of Appeal (Civil Division)</x:v>
      </x:c>
      <x:c r="H1991" s="9" t="str">
        <x:v>Appellate</x:v>
      </x:c>
      <x:c r="I1991" s="9" t="str">
        <x:v>England and Wales</x:v>
      </x:c>
      <x:c r="J1991" s="9" t="str">
        <x:v>Tort</x:v>
      </x:c>
      <x:c r="K1991" s="9" t="str">
        <x:v>-ew-cases-EWCA-Civ-2015-573.xml</x:v>
      </x:c>
      <x:c r="L1991" s="9" t="str">
        <x:v>TBA</x:v>
      </x:c>
    </x:row>
    <x:row r="1992">
      <x:c r="A1992" t="str">
        <x:v>4c223e46-4af4-4fc5-be3a-103b8c156968</x:v>
      </x:c>
      <x:c r="B1992" t="str">
        <x:v>347c70f0-fdb2-4d98-b0bb-be80ffc7461f</x:v>
      </x:c>
      <x:c r="C1992" s="9" t="str">
        <x:v>McDonnell v The Commissioner of Police for the Metropolis &amp; Anor [2015] EWCA Civ 565</x:v>
      </x:c>
      <x:c r="D1992" s="9" t="str"/>
      <x:c r="E1992" s="9" t="str"/>
      <x:c r="F1992" s="13" t="str">
        <x:v>2015</x:v>
      </x:c>
      <x:c r="G1992" s="9" t="str">
        <x:v>England and Wales Court of Appeal (Civil Division)</x:v>
      </x:c>
      <x:c r="H1992" s="9" t="str">
        <x:v>Appellate</x:v>
      </x:c>
      <x:c r="I1992" s="9" t="str">
        <x:v>England and Wales</x:v>
      </x:c>
      <x:c r="J1992" s="9" t="str">
        <x:v>Tort</x:v>
      </x:c>
      <x:c r="K1992" s="9" t="str">
        <x:v>-ew-cases-EWCA-Civ-2015-565.xml</x:v>
      </x:c>
      <x:c r="L1992" s="9" t="str">
        <x:v>TBA</x:v>
      </x:c>
    </x:row>
    <x:row r="1993">
      <x:c r="A1993" t="str">
        <x:v>0a4f8bd5-ea60-4f4f-8f5a-fab1bc237534</x:v>
      </x:c>
      <x:c r="B1993" t="str">
        <x:v>a910374d-8354-452e-83e9-6b540e1ffa4f</x:v>
      </x:c>
      <x:c r="C1993" s="9" t="str">
        <x:v>McGartland &amp; Anor v Secretary of State for the Home Department [2015] EWCA Civ 686</x:v>
      </x:c>
      <x:c r="D1993" s="9" t="str"/>
      <x:c r="E1993" s="9" t="str"/>
      <x:c r="F1993" s="13" t="str">
        <x:v>2015</x:v>
      </x:c>
      <x:c r="G1993" s="9" t="str">
        <x:v>England and Wales Court of Appeal (Civil Division)</x:v>
      </x:c>
      <x:c r="H1993" s="9" t="str">
        <x:v>Appellate</x:v>
      </x:c>
      <x:c r="I1993" s="9" t="str">
        <x:v>England and Wales</x:v>
      </x:c>
      <x:c r="J1993" s="9" t="str">
        <x:v>Administrative Law</x:v>
      </x:c>
      <x:c r="K1993" s="9" t="str">
        <x:v>-ew-cases-EWCA-Civ-2015-686.xml</x:v>
      </x:c>
      <x:c r="L1993" s="9" t="str">
        <x:v>TBA</x:v>
      </x:c>
    </x:row>
    <x:row r="1994">
      <x:c r="A1994" t="str">
        <x:v>c57fee8f-a9d9-4f69-88e7-88ce472893b0</x:v>
      </x:c>
      <x:c r="B1994" t="str">
        <x:v>d953a7a2-8569-4b90-a2f2-2478c6b87c96</x:v>
      </x:c>
      <x:c r="C1994" s="9" t="str">
        <x:v>McGaw v The Welsh Ministers [2021] EWCA Civ 976</x:v>
      </x:c>
      <x:c r="D1994" s="9" t="str"/>
      <x:c r="E1994" s="9" t="str"/>
      <x:c r="F1994" s="13" t="str">
        <x:v>2021</x:v>
      </x:c>
      <x:c r="G1994" s="9" t="str">
        <x:v>England and Wales Court of Appeal (Civil Division)</x:v>
      </x:c>
      <x:c r="H1994" s="9" t="str">
        <x:v>Appellate</x:v>
      </x:c>
      <x:c r="I1994" s="9" t="str">
        <x:v>England and Wales</x:v>
      </x:c>
      <x:c r="J1994" s="9" t="str">
        <x:v>Administrative Law</x:v>
      </x:c>
      <x:c r="K1994" s="9" t="str">
        <x:v>ew-cases-EWCA-Civ-2021-976.xml</x:v>
      </x:c>
      <x:c r="L1994" s="9" t="str">
        <x:v>TBA</x:v>
      </x:c>
    </x:row>
    <x:row r="1995">
      <x:c r="A1995" t="str">
        <x:v>f167f8d9-939d-48a3-946f-310d7eba4a59</x:v>
      </x:c>
      <x:c r="B1995" t="str">
        <x:v>fd2b8470-21d5-4110-8733-8d925e298b9d</x:v>
      </x:c>
      <x:c r="C1995" s="9" t="str">
        <x:v>McGeer v McIntosh [2017] EWCA Civ 79</x:v>
      </x:c>
      <x:c r="D1995" s="9" t="str"/>
      <x:c r="E1995" s="9" t="str"/>
      <x:c r="F1995" s="13" t="str">
        <x:v>2017</x:v>
      </x:c>
      <x:c r="G1995" s="9" t="str">
        <x:v>England and Wales Court of Appeal (Civil Division)</x:v>
      </x:c>
      <x:c r="H1995" s="9" t="str">
        <x:v>Appellate</x:v>
      </x:c>
      <x:c r="I1995" s="9" t="str">
        <x:v>England and Wales</x:v>
      </x:c>
      <x:c r="J1995" s="9" t="str">
        <x:v>Tort</x:v>
      </x:c>
      <x:c r="K1995" s="9" t="str">
        <x:v>-ew-cases-EWCA-Civ-2017-79.xml</x:v>
      </x:c>
      <x:c r="L1995" s="9" t="str">
        <x:v>TBA</x:v>
      </x:c>
    </x:row>
    <x:row r="1996">
      <x:c r="A1996" t="str">
        <x:v>6564c70d-fea8-49fd-8b66-1dd39335c4dc</x:v>
      </x:c>
      <x:c r="B1996" t="str">
        <x:v>c9cd9966-3216-4ce4-b46e-6a4a4f5399b1</x:v>
      </x:c>
      <x:c r="C1996" s="9" t="str">
        <x:v>McGill v The Sports and Entertainment Media Group &amp; Ors [2016] EWCA Civ 1063</x:v>
      </x:c>
      <x:c r="D1996" s="9" t="str"/>
      <x:c r="E1996" s="9" t="str"/>
      <x:c r="F1996" s="13" t="str">
        <x:v>2016</x:v>
      </x:c>
      <x:c r="G1996" s="9" t="str">
        <x:v>England and Wales Court of Appeal (Civil Division)</x:v>
      </x:c>
      <x:c r="H1996" s="9" t="str">
        <x:v>Court of Appeal (Civil Division)</x:v>
      </x:c>
      <x:c r="I1996" s="9" t="str">
        <x:v>England and Wales</x:v>
      </x:c>
      <x:c r="J1996" s="9" t="str">
        <x:v>Contract and Tort (Loss of Chance) / Regulatory context (Football FA Regulations)</x:v>
      </x:c>
      <x:c r="K1996" s="9" t="str">
        <x:v>-ew-cases-EWCA-Civ-2016-1063.xml</x:v>
      </x:c>
      <x:c r="L1996" s="9" t="str">
        <x:v>TBA</x:v>
      </x:c>
    </x:row>
    <x:row r="1997">
      <x:c r="A1997" t="str">
        <x:v>c4c8eca4-fc8a-4866-94e2-8338dfa48654</x:v>
      </x:c>
      <x:c r="B1997" t="str">
        <x:v>80821093-f355-43bf-8741-07b2a913397d</x:v>
      </x:c>
      <x:c r="C1997" s="9" t="str">
        <x:v>McGrath v Ministry of Justice [2016] EWCA Civ 379</x:v>
      </x:c>
      <x:c r="D1997" s="9" t="str"/>
      <x:c r="E1997" s="9" t="str"/>
      <x:c r="F1997" s="13" t="str">
        <x:v>2016</x:v>
      </x:c>
      <x:c r="G1997" s="9" t="str">
        <x:v>England and Wales Court of Appeal (Civil Division)</x:v>
      </x:c>
      <x:c r="H1997" s="9" t="str">
        <x:v>Court of Appeal (Civil Division)</x:v>
      </x:c>
      <x:c r="I1997" s="9" t="str">
        <x:v>England and Wales</x:v>
      </x:c>
      <x:c r="J1997" s="9" t="str">
        <x:v>Employment Law / Tribunal Procedure</x:v>
      </x:c>
      <x:c r="K1997" s="9" t="str">
        <x:v>-ew-cases-EWCA-Civ-2016-379.xml</x:v>
      </x:c>
      <x:c r="L1997" s="9" t="str">
        <x:v>TBA</x:v>
      </x:c>
    </x:row>
    <x:row r="1998">
      <x:c r="A1998" t="str">
        <x:v>2c9a3168-a206-4137-9017-9a86a92d6ed1</x:v>
      </x:c>
      <x:c r="B1998" t="str">
        <x:v>93c1a66f-98c9-414e-9d81-53b9df214e24</x:v>
      </x:c>
      <x:c r="C1998" s="9" t="str">
        <x:v>McHugh v McHugh [2014] EWCA Civ 1671</x:v>
      </x:c>
      <x:c r="D1998" s="9" t="str"/>
      <x:c r="E1998" s="9" t="str"/>
      <x:c r="F1998" s="13" t="str">
        <x:v>2014</x:v>
      </x:c>
      <x:c r="G1998" s="9" t="str">
        <x:v>England and Wales Court of Appeal (Civil Division)</x:v>
      </x:c>
      <x:c r="H1998" s="9" t="str">
        <x:v>Appellate</x:v>
      </x:c>
      <x:c r="I1998" s="9" t="str">
        <x:v>England and Wales</x:v>
      </x:c>
      <x:c r="J1998" s="9" t="str">
        <x:v>Family Law</x:v>
      </x:c>
      <x:c r="K1998" s="9" t="str">
        <x:v>-ew-cases-EWCA-Civ-2014-1671.xml</x:v>
      </x:c>
      <x:c r="L1998" s="9" t="str">
        <x:v>TBA</x:v>
      </x:c>
    </x:row>
    <x:row r="1999">
      <x:c r="A1999" t="str">
        <x:v>ccedfa4a-27f6-4c4d-a1da-2f112e4417a1</x:v>
      </x:c>
      <x:c r="B1999" t="str">
        <x:v>4021e392-0f48-415e-9eeb-91cc389ae386</x:v>
      </x:c>
      <x:c r="C1999" s="9" t="str">
        <x:v>McKeown v Langer [2021] EWCA Civ 1792 - Costs Discretion in Litigation</x:v>
      </x:c>
      <x:c r="D1999" s="9" t="str"/>
      <x:c r="E1999" s="9" t="str"/>
      <x:c r="F1999" s="13" t="str">
        <x:v>2021</x:v>
      </x:c>
      <x:c r="G1999" s="9" t="str">
        <x:v>England and Wales Court of Appeal (Civil Division)</x:v>
      </x:c>
      <x:c r="H1999" s="9" t="str">
        <x:v>Appellate</x:v>
      </x:c>
      <x:c r="I1999" s="9" t="str">
        <x:v>England and Wales</x:v>
      </x:c>
      <x:c r="J1999" s="9" t="str">
        <x:v>Civil Procedure</x:v>
      </x:c>
      <x:c r="K1999" s="9" t="str">
        <x:v>ew-cases-EWCA-Civ-2021-1792.xml</x:v>
      </x:c>
      <x:c r="L1999" s="9" t="str">
        <x:v>TBA</x:v>
      </x:c>
    </x:row>
    <x:row r="2000">
      <x:c r="A2000" t="str">
        <x:v>5ed8d0b4-c7ef-412b-a294-23de51a1c849</x:v>
      </x:c>
      <x:c r="B2000" t="str">
        <x:v>07247fb7-4c2a-44a2-a829-307f14021882</x:v>
      </x:c>
      <x:c r="C2000" s="9" t="str">
        <x:v>McKinnon v The London Borough of Redbridge</x:v>
      </x:c>
      <x:c r="D2000" s="9" t="str"/>
      <x:c r="E2000" s="9" t="str"/>
      <x:c r="F2000" s="13" t="str">
        <x:v>2014</x:v>
      </x:c>
      <x:c r="G2000" s="9" t="str">
        <x:v>England and Wales Court of Appeal (Civil Division)</x:v>
      </x:c>
      <x:c r="H2000" s="9" t="str">
        <x:v>Appellate</x:v>
      </x:c>
      <x:c r="I2000" s="9" t="str">
        <x:v>England and Wales</x:v>
      </x:c>
      <x:c r="J2000" s="9" t="str">
        <x:v>Employment Law</x:v>
      </x:c>
      <x:c r="K2000" s="9" t="str">
        <x:v>-ew-cases-EWCA-Civ-2014-178.xml</x:v>
      </x:c>
      <x:c r="L2000" s="9" t="str">
        <x:v>TBA</x:v>
      </x:c>
    </x:row>
    <x:row r="2001">
      <x:c r="A2001" t="str">
        <x:v>ff98a638-639b-4b8e-b8e7-b82e4c38dbf0</x:v>
      </x:c>
      <x:c r="B2001" t="str">
        <x:v>4d2af64c-c279-4b86-a60a-8fc8f89b9d24</x:v>
      </x:c>
      <x:c r="C2001" s="9" t="str">
        <x:v>McMillan v Airedale NHS Foundation Trust</x:v>
      </x:c>
      <x:c r="D2001" s="9" t="str"/>
      <x:c r="E2001" s="9" t="str"/>
      <x:c r="F2001" s="13" t="str">
        <x:v>2014</x:v>
      </x:c>
      <x:c r="G2001" s="9" t="str">
        <x:v>England and Wales Court of Appeal (Civil Division)</x:v>
      </x:c>
      <x:c r="H2001" s="9" t="str">
        <x:v>Appellate</x:v>
      </x:c>
      <x:c r="I2001" s="9" t="str">
        <x:v>England and Wales</x:v>
      </x:c>
      <x:c r="J2001" s="9" t="str">
        <x:v>Employment Law</x:v>
      </x:c>
      <x:c r="K2001" s="9" t="str">
        <x:v>-ew-cases-EWCA-Civ-2014-1031.xml</x:v>
      </x:c>
      <x:c r="L2001" s="9" t="str">
        <x:v>TBA</x:v>
      </x:c>
    </x:row>
    <x:row r="2002">
      <x:c r="A2002" t="str">
        <x:v>9533d3c0-960d-4b34-8483-161f1b853f8b</x:v>
      </x:c>
      <x:c r="B2002" t="str">
        <x:v>f2e6ea92-6d6a-445a-9c8c-ce90c21b0dd6</x:v>
      </x:c>
      <x:c r="C2002" s="9" t="str">
        <x:v>McMullon v Secure the Bridge Ltd [2015] EWCA Civ 884</x:v>
      </x:c>
      <x:c r="D2002" s="9" t="str"/>
      <x:c r="E2002" s="9" t="str"/>
      <x:c r="F2002" s="13" t="str">
        <x:v>2015</x:v>
      </x:c>
      <x:c r="G2002" s="9" t="str">
        <x:v>England and Wales Court of Appeal (Civil Division)</x:v>
      </x:c>
      <x:c r="H2002" s="9" t="str">
        <x:v>Appellate</x:v>
      </x:c>
      <x:c r="I2002" s="9" t="str">
        <x:v>England and Wales</x:v>
      </x:c>
      <x:c r="J2002" s="9" t="str">
        <x:v>Consumer Credit</x:v>
      </x:c>
      <x:c r="K2002" s="9" t="str">
        <x:v>-ew-cases-EWCA-Civ-2015-884.xml</x:v>
      </x:c>
      <x:c r="L2002" s="9" t="str">
        <x:v>TBA</x:v>
      </x:c>
    </x:row>
    <x:row r="2003">
      <x:c r="A2003" t="str">
        <x:v>0080f204-9328-45d8-95bb-bfdd564b3567</x:v>
      </x:c>
      <x:c r="B2003" t="str">
        <x:v>2cf696df-a08a-48d1-bed9-5c925e3a012f</x:v>
      </x:c>
      <x:c r="C2003" s="9" t="str">
        <x:v>McTear &amp; Anor v Engelhard &amp; Ors (Rev 1) [2016] EWCA Civ 487</x:v>
      </x:c>
      <x:c r="D2003" s="9" t="str"/>
      <x:c r="E2003" s="9" t="str"/>
      <x:c r="F2003" s="13" t="str">
        <x:v>2016</x:v>
      </x:c>
      <x:c r="G2003" s="9" t="str">
        <x:v>England and Wales Court of Appeal (Civil Division)</x:v>
      </x:c>
      <x:c r="H2003" s="9" t="str">
        <x:v>Court of Appeal (Civil Division)</x:v>
      </x:c>
      <x:c r="I2003" s="9" t="str">
        <x:v>England and Wales</x:v>
      </x:c>
      <x:c r="J2003" s="9" t="str">
        <x:v>Civil Procedure / Appellate Review</x:v>
      </x:c>
      <x:c r="K2003" s="9" t="str">
        <x:v>-ew-cases-EWCA-Civ-2016-487.xml</x:v>
      </x:c>
      <x:c r="L2003" s="9" t="str">
        <x:v>TBA</x:v>
      </x:c>
    </x:row>
    <x:row r="2004">
      <x:c r="A2004" t="str">
        <x:v>fade7a2f-b13f-4d1a-a843-c18d84c0e4e8</x:v>
      </x:c>
      <x:c r="B2004" t="str">
        <x:v>3360d81e-93fe-44ee-8820-f3e5519ad7fd</x:v>
      </x:c>
      <x:c r="C2004" s="9" t="str">
        <x:v>McWilliam &amp; Anor v Norton Finance (UK) Ltd</x:v>
      </x:c>
      <x:c r="D2004" s="9" t="str"/>
      <x:c r="E2004" s="9" t="str"/>
      <x:c r="F2004" s="13" t="str">
        <x:v>2015</x:v>
      </x:c>
      <x:c r="G2004" s="9" t="str">
        <x:v>England and Wales Court of Appeal (Civil Division)</x:v>
      </x:c>
      <x:c r="H2004" s="9" t="str">
        <x:v>Appellate</x:v>
      </x:c>
      <x:c r="I2004" s="9" t="str">
        <x:v>England and Wales</x:v>
      </x:c>
      <x:c r="J2004" s="9" t="str">
        <x:v>Tort</x:v>
      </x:c>
      <x:c r="K2004" s="9" t="str">
        <x:v>-ew-cases-EWCA-Civ-2015-186.xml</x:v>
      </x:c>
      <x:c r="L2004" s="9" t="str">
        <x:v>TBA</x:v>
      </x:c>
    </x:row>
    <x:row r="2005">
      <x:c r="A2005" t="str">
        <x:v>c18a2293-8be7-4be4-8363-481674e9974e</x:v>
      </x:c>
      <x:c r="B2005" t="str">
        <x:v>5bc05b2e-6b7d-4270-b799-9d29ed174d14</x:v>
      </x:c>
      <x:c r="C2005" s="9" t="str">
        <x:v>MD &amp; Anor v Secretary of State for the Home Department [2022] EWCA Civ 336</x:v>
      </x:c>
      <x:c r="D2005" s="9" t="str"/>
      <x:c r="E2005" s="9" t="str"/>
      <x:c r="F2005" s="13" t="str">
        <x:v>2022</x:v>
      </x:c>
      <x:c r="G2005" s="9" t="str">
        <x:v>England and Wales Court of Appeal (Civil Division)</x:v>
      </x:c>
      <x:c r="H2005" s="9" t="str">
        <x:v>Court of Appeal (Civil Division)</x:v>
      </x:c>
      <x:c r="I2005" s="9" t="str">
        <x:v>England and Wales</x:v>
      </x:c>
      <x:c r="J2005" s="9" t="str">
        <x:v>Human Rights / Administrative Law</x:v>
      </x:c>
      <x:c r="K2005" s="9" t="str">
        <x:v>ew-cases-EWCA-Civ-2022-336.xml</x:v>
      </x:c>
      <x:c r="L2005" s="9" t="str">
        <x:v>TBA</x:v>
      </x:c>
    </x:row>
    <x:row r="2006">
      <x:c r="A2006" t="str">
        <x:v>e934f92d-1e59-4c16-b84b-35aeb7665ea1</x:v>
      </x:c>
      <x:c r="B2006" t="str">
        <x:v>6e6ec81e-b459-4d39-a1bd-ff92776233fa</x:v>
      </x:c>
      <x:c r="C2006" s="9" t="str">
        <x:v>MDW Holdings Limited v Norvill &amp; Ors [2022] EWCA Civ 883 (Court of Appeal, Civil Division)</x:v>
      </x:c>
      <x:c r="D2006" s="9" t="str"/>
      <x:c r="E2006" s="9" t="str"/>
      <x:c r="F2006" s="13" t="str">
        <x:v>2022</x:v>
      </x:c>
      <x:c r="G2006" s="9" t="str">
        <x:v>England and Wales Court of Appeal (Civil Division)</x:v>
      </x:c>
      <x:c r="H2006" s="9" t="str">
        <x:v>Court of Appeal (Civil Division)</x:v>
      </x:c>
      <x:c r="I2006" s="9" t="str">
        <x:v>England and Wales</x:v>
      </x:c>
      <x:c r="J2006" s="9" t="str">
        <x:v>Contract/Commercial - Share Purchase Damages</x:v>
      </x:c>
      <x:c r="K2006" s="9" t="str">
        <x:v>ew-cases-EWCA-Civ-2022-883.xml</x:v>
      </x:c>
      <x:c r="L2006" s="9" t="str">
        <x:v>TBA</x:v>
      </x:c>
    </x:row>
    <x:row r="2007">
      <x:c r="A2007" t="str">
        <x:v>633ebd2d-727c-40b7-bfba-d401903500be</x:v>
      </x:c>
      <x:c r="B2007" t="str">
        <x:v>3d27b5b5-07b3-4e39-9003-7970b7869822</x:v>
      </x:c>
      <x:c r="C2007" s="9" t="str">
        <x:v>Mehey &amp; Ors, R (on the application of) v Visitors to the Inns of Court &amp; Ors [2014] EWCA Civ 1630</x:v>
      </x:c>
      <x:c r="D2007" s="9" t="str"/>
      <x:c r="E2007" s="9" t="str"/>
      <x:c r="F2007" s="13" t="str">
        <x:v>2014</x:v>
      </x:c>
      <x:c r="G2007" s="9" t="str">
        <x:v>England and Wales Court of Appeal (Civil Division)</x:v>
      </x:c>
      <x:c r="H2007" s="9" t="str">
        <x:v>Appellate</x:v>
      </x:c>
      <x:c r="I2007" s="9" t="str">
        <x:v>England and Wales</x:v>
      </x:c>
      <x:c r="J2007" s="9" t="str">
        <x:v>Administrative Law</x:v>
      </x:c>
      <x:c r="K2007" s="9" t="str">
        <x:v>-ew-cases-EWCA-Civ-2014-1630.xml</x:v>
      </x:c>
      <x:c r="L2007" s="9" t="str">
        <x:v>TBA</x:v>
      </x:c>
    </x:row>
    <x:row r="2008">
      <x:c r="A2008" t="str">
        <x:v>bae06815-e942-46d2-b48a-eedc6c8e9604</x:v>
      </x:c>
      <x:c r="B2008" t="str">
        <x:v>e8ecd0c1-8c1d-4310-95e7-5b211f9efd5d</x:v>
      </x:c>
      <x:c r="C2008" s="9" t="str">
        <x:v>Mehjoo v Harben Barker (a firm) &amp; Anor [2014] EWCA Civ 358</x:v>
      </x:c>
      <x:c r="D2008" s="9" t="str"/>
      <x:c r="E2008" s="9" t="str"/>
      <x:c r="F2008" s="13" t="str">
        <x:v>2014</x:v>
      </x:c>
      <x:c r="G2008" s="9" t="str">
        <x:v>England and Wales Court of Appeal (Civil Division)</x:v>
      </x:c>
      <x:c r="H2008" s="9" t="str">
        <x:v>Appellate Court</x:v>
      </x:c>
      <x:c r="I2008" s="9" t="str">
        <x:v>England and Wales</x:v>
      </x:c>
      <x:c r="J2008" s="9" t="str">
        <x:v>Negligence</x:v>
      </x:c>
      <x:c r="K2008" s="9" t="str">
        <x:v>-ew-cases-EWCA-Civ-2014-358.xml</x:v>
      </x:c>
      <x:c r="L2008" s="9" t="str">
        <x:v>TBA</x:v>
      </x:c>
    </x:row>
    <x:row r="2009">
      <x:c r="A2009" t="str">
        <x:v>e167d6a9-da1d-42c5-9a7d-aca40b191ef7</x:v>
      </x:c>
      <x:c r="B2009" t="str">
        <x:v>00c84e1a-7101-4c44-84a7-99f844ad8787</x:v>
      </x:c>
      <x:c r="C2009" s="9" t="str">
        <x:v>Mehmeti v Secretary of State for the Home Department [2016] EWCA Civ 264</x:v>
      </x:c>
      <x:c r="D2009" s="9" t="str"/>
      <x:c r="E2009" s="9" t="str"/>
      <x:c r="F2009" s="13" t="str">
        <x:v>2016</x:v>
      </x:c>
      <x:c r="G2009" s="9" t="str">
        <x:v>England and Wales Court of Appeal (Civil Division)</x:v>
      </x:c>
      <x:c r="H2009" s="9" t="str">
        <x:v>Court of Appeal (Civil Division)</x:v>
      </x:c>
      <x:c r="I2009" s="9" t="str">
        <x:v>England and Wales</x:v>
      </x:c>
      <x:c r="J2009" s="9" t="str">
        <x:v>Administrative Law / Immigration</x:v>
      </x:c>
      <x:c r="K2009" s="9" t="str">
        <x:v>-ew-cases-EWCA-Civ-2016-264.xml</x:v>
      </x:c>
      <x:c r="L2009" s="9" t="str">
        <x:v>TBA</x:v>
      </x:c>
    </x:row>
    <x:row r="2010">
      <x:c r="A2010" t="str">
        <x:v>57b82a54-0edc-4fc9-bb7a-5fa261333b73</x:v>
      </x:c>
      <x:c r="B2010" t="str">
        <x:v>dd8b2291-a10f-466b-b797-da364dee1638</x:v>
      </x:c>
      <x:c r="C2010" s="9" t="str">
        <x:v>Mehmood &amp; Anor, R (on the application of) v Secretary of State for the Home Department [2015] EWCA Civ 744</x:v>
      </x:c>
      <x:c r="D2010" s="9" t="str"/>
      <x:c r="E2010" s="9" t="str"/>
      <x:c r="F2010" s="13" t="str">
        <x:v>2015</x:v>
      </x:c>
      <x:c r="G2010" s="9" t="str">
        <x:v>England and Wales Court of Appeal (Civil Division)</x:v>
      </x:c>
      <x:c r="H2010" s="9" t="str">
        <x:v>Appellate</x:v>
      </x:c>
      <x:c r="I2010" s="9" t="str">
        <x:v>England and Wales</x:v>
      </x:c>
      <x:c r="J2010" s="9" t="str">
        <x:v>Immigration Law</x:v>
      </x:c>
      <x:c r="K2010" s="9" t="str">
        <x:v>-ew-cases-EWCA-Civ-2015-744.xml</x:v>
      </x:c>
      <x:c r="L2010" s="9" t="str">
        <x:v>TBA</x:v>
      </x:c>
    </x:row>
    <x:row r="2011">
      <x:c r="A2011" t="str">
        <x:v>8dc1d993-a989-496c-851f-412cec7b7823</x:v>
      </x:c>
      <x:c r="B2011" t="str">
        <x:v>90d7a223-ab0a-4dc6-b2e6-2c8123bf1c7b</x:v>
      </x:c>
      <x:c r="C2011" s="9" t="str">
        <x:v>Meiklejohn v St George's Healthcare NHS Trust &amp; Anor [2014] EWCA Civ 120</x:v>
      </x:c>
      <x:c r="D2011" s="9" t="str"/>
      <x:c r="E2011" s="9" t="str"/>
      <x:c r="F2011" s="13" t="str">
        <x:v>2014</x:v>
      </x:c>
      <x:c r="G2011" s="9" t="str">
        <x:v>England and Wales Court of Appeal (Civil Division)</x:v>
      </x:c>
      <x:c r="H2011" s="9" t="str">
        <x:v>appellate</x:v>
      </x:c>
      <x:c r="I2011" s="9" t="str">
        <x:v>England and Wales</x:v>
      </x:c>
      <x:c r="J2011" s="9" t="str">
        <x:v>Medical Malpractice</x:v>
      </x:c>
      <x:c r="K2011" s="9" t="str">
        <x:v>-ew-cases-EWCA-Civ-2014-120.xml</x:v>
      </x:c>
      <x:c r="L2011" s="9" t="str">
        <x:v>TBA</x:v>
      </x:c>
    </x:row>
    <x:row r="2012">
      <x:c r="A2012" t="str">
        <x:v>bb6078aa-f6b6-4b7c-ae12-006fbef2ac16</x:v>
      </x:c>
      <x:c r="B2012" t="str">
        <x:v>f7df3988-a351-44bb-84a7-3b07dd2efdda</x:v>
      </x:c>
      <x:c r="C2012" s="9" t="str">
        <x:v>Mekobia Limited v Brandmovers Europe Limited [2016] EWCA Civ 246</x:v>
      </x:c>
      <x:c r="D2012" s="9" t="str"/>
      <x:c r="E2012" s="9" t="str"/>
      <x:c r="F2012" s="13" t="str">
        <x:v>2016</x:v>
      </x:c>
      <x:c r="G2012" s="9" t="str">
        <x:v>England and Wales Court of Appeal (Civil Division)</x:v>
      </x:c>
      <x:c r="H2012" s="9" t="str">
        <x:v>Court of Appeal (Civil Division)</x:v>
      </x:c>
      <x:c r="I2012" s="9" t="str">
        <x:v>England and Wales</x:v>
      </x:c>
      <x:c r="J2012" s="9" t="str">
        <x:v>Civil Procedure / Appellate Procedure</x:v>
      </x:c>
      <x:c r="K2012" s="9" t="str">
        <x:v>-ew-cases-EWCA-Civ-2016-246.xml</x:v>
      </x:c>
      <x:c r="L2012" s="9" t="str">
        <x:v>TBA</x:v>
      </x:c>
    </x:row>
    <x:row r="2013">
      <x:c r="A2013" t="str">
        <x:v>fe1bea19-521b-4399-96a9-f783d2094352</x:v>
      </x:c>
      <x:c r="B2013" t="str">
        <x:v>7eb344cd-de84-4c41-a76e-212f9ba9791b</x:v>
      </x:c>
      <x:c r="C2013" s="9" t="str">
        <x:v>Mengiste &amp; Anor v Endowment Fund for the Rehabilitation of Tigray &amp; Ors</x:v>
      </x:c>
      <x:c r="D2013" s="9" t="str"/>
      <x:c r="E2013" s="9" t="str"/>
      <x:c r="F2013" s="13" t="str">
        <x:v>2015</x:v>
      </x:c>
      <x:c r="G2013" s="9" t="str">
        <x:v>England and Wales Court of Appeal (Civil Division)</x:v>
      </x:c>
      <x:c r="H2013" s="9" t="str">
        <x:v>Appellate</x:v>
      </x:c>
      <x:c r="I2013" s="9" t="str">
        <x:v>England and Wales</x:v>
      </x:c>
      <x:c r="J2013" s="9" t="str">
        <x:v>Civil Appeal</x:v>
      </x:c>
      <x:c r="K2013" s="9" t="str">
        <x:v>-ew-cases-EWCA-Civ-2015-1437.xml</x:v>
      </x:c>
      <x:c r="L2013" s="9" t="str">
        <x:v>TBA</x:v>
      </x:c>
    </x:row>
    <x:row r="2014">
      <x:c r="A2014" t="str">
        <x:v>c422688e-f0f4-49e0-8f42-c8edc1c645a0</x:v>
      </x:c>
      <x:c r="B2014" t="str">
        <x:v>372b18a0-68fe-4f14-a627-eb812efbc810</x:v>
      </x:c>
      <x:c r="C2014" s="9" t="str">
        <x:v>Menston Action Group (Acting by Professor John David Rhodes) v City of Bradford Metropolitan District Council [2016] EWCA Civ 796</x:v>
      </x:c>
      <x:c r="D2014" s="9" t="str"/>
      <x:c r="E2014" s="9" t="str"/>
      <x:c r="F2014" s="13" t="str">
        <x:v>2016</x:v>
      </x:c>
      <x:c r="G2014" s="9" t="str">
        <x:v>England and Wales Court of Appeal (Civil Division)</x:v>
      </x:c>
      <x:c r="H2014" s="9" t="str">
        <x:v>Court of Appeal (Civil Division)</x:v>
      </x:c>
      <x:c r="I2014" s="9" t="str">
        <x:v>England and Wales</x:v>
      </x:c>
      <x:c r="J2014" s="9" t="str">
        <x:v>Administrative Law / Planning Law (Judicial Review)</x:v>
      </x:c>
      <x:c r="K2014" s="9" t="str">
        <x:v>-ew-cases-EWCA-Civ-2016-796.xml</x:v>
      </x:c>
      <x:c r="L2014" s="9" t="str">
        <x:v>TBA</x:v>
      </x:c>
    </x:row>
    <x:row r="2015">
      <x:c r="A2015" t="str">
        <x:v>8df4da5d-9add-48f7-8a8c-6c1a2044bb21</x:v>
      </x:c>
      <x:c r="B2015" t="str">
        <x:v>efef769b-8417-465f-803b-c35bfa9cb77e</x:v>
      </x:c>
      <x:c r="C2015" s="9" t="str">
        <x:v>Mercer Limited &amp; Anor v Ballinger &amp; Anor [2014] EWCA Civ 996: Claimants' Right to Amend Claims Post-Limitation Period</x:v>
      </x:c>
      <x:c r="D2015" s="9" t="str"/>
      <x:c r="E2015" s="9" t="str"/>
      <x:c r="F2015" s="13" t="str">
        <x:v>2014</x:v>
      </x:c>
      <x:c r="G2015" s="9" t="str">
        <x:v>England and Wales Court of Appeal (Civil Division)</x:v>
      </x:c>
      <x:c r="H2015" s="9" t="str">
        <x:v>Appellate</x:v>
      </x:c>
      <x:c r="I2015" s="9" t="str">
        <x:v>England and Wales</x:v>
      </x:c>
      <x:c r="J2015" s="9" t="str">
        <x:v>Civil Appeal</x:v>
      </x:c>
      <x:c r="K2015" s="9" t="str">
        <x:v>-ew-cases-EWCA-Civ-2014-996.xml</x:v>
      </x:c>
      <x:c r="L2015" s="9" t="str">
        <x:v>TBA</x:v>
      </x:c>
    </x:row>
    <x:row r="2016">
      <x:c r="A2016" t="str">
        <x:v>e1d09196-d6da-4256-b5d6-20b637a5e7af</x:v>
      </x:c>
      <x:c r="B2016" t="str">
        <x:v>040494d9-0682-4ffa-be9f-0cbf0dddba53</x:v>
      </x:c>
      <x:c r="C2016" s="9" t="str">
        <x:v>Mercer v Alternative Future Group Ltd &amp; Anor [2022] EWCA Civ 379</x:v>
      </x:c>
      <x:c r="D2016" s="9" t="str"/>
      <x:c r="E2016" s="9" t="str"/>
      <x:c r="F2016" s="13" t="str">
        <x:v>2022</x:v>
      </x:c>
      <x:c r="G2016" s="9" t="str">
        <x:v>England and Wales Court of Appeal (Civil Division)</x:v>
      </x:c>
      <x:c r="H2016" s="9" t="str">
        <x:v>Court of Appeal (Civil Division)</x:v>
      </x:c>
      <x:c r="I2016" s="9" t="str">
        <x:v>England and Wales</x:v>
      </x:c>
      <x:c r="J2016" s="9" t="str">
        <x:v>Civil Law - Employment/Trade Union Law</x:v>
      </x:c>
      <x:c r="K2016" s="9" t="str">
        <x:v>ew-cases-EWCA-Civ-2022-379.xml</x:v>
      </x:c>
      <x:c r="L2016" s="9" t="str">
        <x:v>TBA</x:v>
      </x:c>
    </x:row>
    <x:row r="2017">
      <x:c r="A2017" t="str">
        <x:v>68c11ba3-9330-4de2-9657-ee650867199f</x:v>
      </x:c>
      <x:c r="B2017" t="str">
        <x:v>cd1686c7-2502-4835-8f6b-61f3ceab72ae</x:v>
      </x:c>
      <x:c r="C2017" s="9" t="str">
        <x:v>Merchant International Company Limited v Natsionalna Aktsionerna Kompaniy Naftogaz Ukrainy (Rev 1) [2016] EWCA Civ 710 (07 July 2016)</x:v>
      </x:c>
      <x:c r="D2017" s="9" t="str"/>
      <x:c r="E2017" s="9" t="str"/>
      <x:c r="F2017" s="13" t="str">
        <x:v>2016</x:v>
      </x:c>
      <x:c r="G2017" s="9" t="str">
        <x:v>England and Wales Court of Appeal (Civil Division)</x:v>
      </x:c>
      <x:c r="H2017" s="9" t="str">
        <x:v>Court of Appeal (Civil Division)</x:v>
      </x:c>
      <x:c r="I2017" s="9" t="str">
        <x:v>England and Wales</x:v>
      </x:c>
      <x:c r="J2017" s="9" t="str">
        <x:v>Civil Procedure / Commercial Litigation</x:v>
      </x:c>
      <x:c r="K2017" s="9" t="str">
        <x:v>-ew-cases-EWCA-Civ-2016-710.xml</x:v>
      </x:c>
      <x:c r="L2017" s="9" t="str">
        <x:v>TBA</x:v>
      </x:c>
    </x:row>
    <x:row r="2018">
      <x:c r="A2018" t="str">
        <x:v>30924942-0055-48e4-9a94-50f5844eb178</x:v>
      </x:c>
      <x:c r="B2018" t="str">
        <x:v>18e78a9c-0003-4d9e-9fe8-3d56e4a9a9f3</x:v>
      </x:c>
      <x:c r="C2018" s="9" t="str">
        <x:v>Merchant International Company Ltd v Natsionalna Aktsionerna Kompaniia Naftogaz Ukrainy &amp; Anor [2014] EWCA Civ 1603</x:v>
      </x:c>
      <x:c r="D2018" s="9" t="str"/>
      <x:c r="E2018" s="9" t="str"/>
      <x:c r="F2018" s="13" t="str">
        <x:v>2014</x:v>
      </x:c>
      <x:c r="G2018" s="9" t="str">
        <x:v>England and Wales Court of Appeal (Civil Division)</x:v>
      </x:c>
      <x:c r="H2018" s="9" t="str">
        <x:v>Appeal</x:v>
      </x:c>
      <x:c r="I2018" s="9" t="str">
        <x:v>England and Wales</x:v>
      </x:c>
      <x:c r="J2018" s="9" t="str">
        <x:v>Contract Dispute</x:v>
      </x:c>
      <x:c r="K2018" s="9" t="str">
        <x:v>-ew-cases-EWCA-Civ-2014-1603.xml</x:v>
      </x:c>
      <x:c r="L2018" s="9" t="str">
        <x:v>TBA</x:v>
      </x:c>
    </x:row>
    <x:row r="2019">
      <x:c r="A2019" t="str">
        <x:v>85ba38eb-8cef-4e92-8783-2723c1b86e7a</x:v>
      </x:c>
      <x:c r="B2019" t="str">
        <x:v>0b12642c-08c7-4aad-a122-705d9a620c76</x:v>
      </x:c>
      <x:c r="C2019" s="9" t="str">
        <x:v>Merck KGaA v Merck Sharp &amp; Dohme Corp &amp; Ors [2017] EWCA Civ 1834</x:v>
      </x:c>
      <x:c r="D2019" s="9" t="str"/>
      <x:c r="E2019" s="9" t="str"/>
      <x:c r="F2019" s="13" t="str">
        <x:v>2017</x:v>
      </x:c>
      <x:c r="G2019" s="9" t="str">
        <x:v>England and Wales Court of Appeal (Civil Division)</x:v>
      </x:c>
      <x:c r="H2019" s="9" t="str">
        <x:v>Appellate</x:v>
      </x:c>
      <x:c r="I2019" s="9" t="str">
        <x:v>England and Wales</x:v>
      </x:c>
      <x:c r="J2019" s="9" t="str">
        <x:v>Intellectual Property</x:v>
      </x:c>
      <x:c r="K2019" s="9" t="str">
        <x:v>-ew-cases-EWCA-Civ-2017-1834.xml</x:v>
      </x:c>
      <x:c r="L2019" s="9" t="str">
        <x:v>TBA</x:v>
      </x:c>
    </x:row>
    <x:row r="2020">
      <x:c r="A2020" t="str">
        <x:v>9807896c-e645-4446-9fdd-b7813c566dd6</x:v>
      </x:c>
      <x:c r="B2020" t="str">
        <x:v>45cb5614-6df6-40ae-8fa9-ffaac46b716d</x:v>
      </x:c>
      <x:c r="C2020" s="9" t="str">
        <x:v>MetLife Seguros de Retiro S.A. v JPMorgan Chase Bank, National Association [2016] EWCA Civ 1248</x:v>
      </x:c>
      <x:c r="D2020" s="9" t="str"/>
      <x:c r="E2020" s="9" t="str"/>
      <x:c r="F2020" s="13" t="str">
        <x:v>2016</x:v>
      </x:c>
      <x:c r="G2020" s="9" t="str">
        <x:v>England and Wales Court of Appeal (Civil Division)</x:v>
      </x:c>
      <x:c r="H2020" s="9" t="str">
        <x:v>Court of Appeal (Civil Division)</x:v>
      </x:c>
      <x:c r="I2020" s="9" t="str">
        <x:v>England and Wales</x:v>
      </x:c>
      <x:c r="J2020" s="9" t="str">
        <x:v>Contract/Commercial - Financial Instruments</x:v>
      </x:c>
      <x:c r="K2020" s="9" t="str">
        <x:v>-ew-cases-EWCA-Civ-2016-1248.xml</x:v>
      </x:c>
      <x:c r="L2020" s="9" t="str">
        <x:v>TBA</x:v>
      </x:c>
    </x:row>
    <x:row r="2021">
      <x:c r="A2021" t="str">
        <x:v>a0762a82-c484-43e4-9e69-8bdc9078bac5</x:v>
      </x:c>
      <x:c r="B2021" t="str">
        <x:v>cdd401a0-98f8-4ae0-b678-ba5b325bd58c</x:v>
      </x:c>
      <x:c r="C2021" s="9" t="str">
        <x:v>Metropolitan Housing Trust Ltd v Taylor &amp; Ors [2015] EWCA Civ 1595</x:v>
      </x:c>
      <x:c r="D2021" s="9" t="str"/>
      <x:c r="E2021" s="9" t="str"/>
      <x:c r="F2021" s="13" t="str">
        <x:v>2015</x:v>
      </x:c>
      <x:c r="G2021" s="9" t="str">
        <x:v>England and Wales Court of Appeal (Civil Division)</x:v>
      </x:c>
      <x:c r="H2021" s="9" t="str">
        <x:v>Appellate</x:v>
      </x:c>
      <x:c r="I2021" s="9" t="str">
        <x:v>England and Wales</x:v>
      </x:c>
      <x:c r="J2021" s="9" t="str">
        <x:v>Civil Procedure</x:v>
      </x:c>
      <x:c r="K2021" s="9" t="str">
        <x:v>-ew-cases-EWCA-Civ-2015-1595.xml</x:v>
      </x:c>
      <x:c r="L2021" s="9" t="str">
        <x:v>TBA</x:v>
      </x:c>
    </x:row>
    <x:row r="2022">
      <x:c r="A2022" t="str">
        <x:v>f5ec1e39-1d5f-4207-900b-5f69725622f8</x:v>
      </x:c>
      <x:c r="B2022" t="str">
        <x:v>c246e54e-f660-4ebb-ba7e-9dd1f577240c</x:v>
      </x:c>
      <x:c r="C2022" s="9" t="str">
        <x:v>Metropolitan Housing Trust Ltd v TM</x:v>
      </x:c>
      <x:c r="D2022" s="9" t="str"/>
      <x:c r="E2022" s="9" t="str"/>
      <x:c r="F2022" s="13" t="str">
        <x:v>2021</x:v>
      </x:c>
      <x:c r="G2022" s="9" t="str">
        <x:v>England and Wales Court of Appeal (Civil Division)</x:v>
      </x:c>
      <x:c r="H2022" s="9" t="str">
        <x:v>Appellate</x:v>
      </x:c>
      <x:c r="I2022" s="9" t="str">
        <x:v>England and Wales</x:v>
      </x:c>
      <x:c r="J2022" s="9" t="str">
        <x:v>Housing Law</x:v>
      </x:c>
      <x:c r="K2022" s="9" t="str">
        <x:v>ew-cases-EWCA-Civ-2021-1890.xml</x:v>
      </x:c>
      <x:c r="L2022" s="9" t="str">
        <x:v>TBA</x:v>
      </x:c>
    </x:row>
    <x:row r="2023">
      <x:c r="A2023" t="str">
        <x:v>d62e48cf-8eef-4299-92d7-ec890c72d0ee</x:v>
      </x:c>
      <x:c r="B2023" t="str">
        <x:v>916fae0a-c151-4b9c-be5e-be273ab7ed52</x:v>
      </x:c>
      <x:c r="C2023" s="9" t="str">
        <x:v>MF v Secretary of State for the Home Department [2014] EWCA Civ 902</x:v>
      </x:c>
      <x:c r="D2023" s="9" t="str"/>
      <x:c r="E2023" s="9" t="str"/>
      <x:c r="F2023" s="13" t="str">
        <x:v>2014</x:v>
      </x:c>
      <x:c r="G2023" s="9" t="str">
        <x:v>England and Wales Court of Appeal (Civil Division)</x:v>
      </x:c>
      <x:c r="H2023" s="9" t="str">
        <x:v>Appellate</x:v>
      </x:c>
      <x:c r="I2023" s="9" t="str">
        <x:v>England and Wales</x:v>
      </x:c>
      <x:c r="J2023" s="9" t="str">
        <x:v>Immigration Law</x:v>
      </x:c>
      <x:c r="K2023" s="9" t="str">
        <x:v>-ew-cases-EWCA-Civ-2014-902.xml</x:v>
      </x:c>
      <x:c r="L2023" s="9" t="str">
        <x:v>TBA</x:v>
      </x:c>
    </x:row>
    <x:row r="2024">
      <x:c r="A2024" t="str">
        <x:v>6e93873f-70af-4e10-aba6-5c80f2da1244</x:v>
      </x:c>
      <x:c r="B2024" t="str">
        <x:v>75ad43ed-2225-44c3-9d79-b646de448af4</x:v>
      </x:c>
      <x:c r="C2024" s="9" t="str">
        <x:v>MG (Pakistan) v Secretary of State for the Home Department</x:v>
      </x:c>
      <x:c r="D2024" s="9" t="str"/>
      <x:c r="E2024" s="9" t="str"/>
      <x:c r="F2024" s="13" t="str">
        <x:v>2015</x:v>
      </x:c>
      <x:c r="G2024" s="9" t="str">
        <x:v>England and Wales Court of Appeal (Civil Division)</x:v>
      </x:c>
      <x:c r="H2024" s="9" t="str">
        <x:v>Appellate</x:v>
      </x:c>
      <x:c r="I2024" s="9" t="str">
        <x:v>England and Wales</x:v>
      </x:c>
      <x:c r="J2024" s="9" t="str">
        <x:v>Immigration Law</x:v>
      </x:c>
      <x:c r="K2024" s="9" t="str">
        <x:v>-ew-cases-EWCA-Civ-2015-641.xml</x:v>
      </x:c>
      <x:c r="L2024" s="9" t="str">
        <x:v>TBA</x:v>
      </x:c>
    </x:row>
    <x:row r="2025">
      <x:c r="A2025" t="str">
        <x:v>f9681e32-0b5a-44c4-81de-006402ead7d2</x:v>
      </x:c>
      <x:c r="B2025" t="str">
        <x:v>be3ee85e-73ac-4eb1-b8d1-a1128b11b037</x:v>
      </x:c>
      <x:c r="C2025" s="9" t="str">
        <x:v>MH (Bangladesh) &amp; Anor v Secretary of State for the Home Department</x:v>
      </x:c>
      <x:c r="D2025" s="9" t="str"/>
      <x:c r="E2025" s="9" t="str"/>
      <x:c r="F2025" s="13" t="str">
        <x:v>2015</x:v>
      </x:c>
      <x:c r="G2025" s="9" t="str">
        <x:v>England and Wales Court of Appeal (Civil Division)</x:v>
      </x:c>
      <x:c r="H2025" s="9" t="str">
        <x:v>appellate</x:v>
      </x:c>
      <x:c r="I2025" s="9" t="str">
        <x:v>England and Wales</x:v>
      </x:c>
      <x:c r="J2025" s="9" t="str">
        <x:v>Immigration Law</x:v>
      </x:c>
      <x:c r="K2025" s="9" t="str">
        <x:v>-ew-cases-EWCA-Civ-2015-1442.xml</x:v>
      </x:c>
      <x:c r="L2025" s="9" t="str">
        <x:v>TBA</x:v>
      </x:c>
    </x:row>
    <x:row r="2026">
      <x:c r="A2026" t="str">
        <x:v>859e1727-4e2c-4e03-9b99-2c660458cfda</x:v>
      </x:c>
      <x:c r="B2026" t="str">
        <x:v>711538b3-e667-4fc9-a007-8392a22f0389</x:v>
      </x:c>
      <x:c r="C2026" s="9" t="str">
        <x:v>MH (Bangladesh) v The Secretary of State for the Home Department [2016] EWCA Civ 244</x:v>
      </x:c>
      <x:c r="D2026" s="9" t="str"/>
      <x:c r="E2026" s="9" t="str"/>
      <x:c r="F2026" s="13" t="str">
        <x:v>2016</x:v>
      </x:c>
      <x:c r="G2026" s="9" t="str">
        <x:v>England and Wales Court of Appeal (Civil Division)</x:v>
      </x:c>
      <x:c r="H2026" s="9" t="str">
        <x:v>Court of Appeal (Civil Division)</x:v>
      </x:c>
      <x:c r="I2026" s="9" t="str">
        <x:v>England and Wales</x:v>
      </x:c>
      <x:c r="J2026" s="9" t="str">
        <x:v>Administrative Law / Immigration / Human Rights</x:v>
      </x:c>
      <x:c r="K2026" s="9" t="str">
        <x:v>-ew-cases-EWCA-Civ-2016-244.xml</x:v>
      </x:c>
      <x:c r="L2026" s="9" t="str">
        <x:v>TBA</x:v>
      </x:c>
    </x:row>
    <x:row r="2027">
      <x:c r="A2027" t="str">
        <x:v>ec536c29-c08d-4b14-ba5d-088a9adae70d</x:v>
      </x:c>
      <x:c r="B2027" t="str">
        <x:v>d8078437-185a-46df-8b83-bd5240184911</x:v>
      </x:c>
      <x:c r="C2027" s="9" t="str">
        <x:v>MH (Eritrea) v Secretary of State for the Home Department (Rev1), [2022] EWCA Civ 1296</x:v>
      </x:c>
      <x:c r="D2027" s="9" t="str"/>
      <x:c r="E2027" s="9" t="str"/>
      <x:c r="F2027" s="13" t="str">
        <x:v>2022</x:v>
      </x:c>
      <x:c r="G2027" s="9" t="str">
        <x:v>England and Wales Court of Appeal (Civil Division)</x:v>
      </x:c>
      <x:c r="H2027" s="9" t="str">
        <x:v>Court of Appeal (Civil Division)</x:v>
      </x:c>
      <x:c r="I2027" s="9" t="str">
        <x:v>England and Wales</x:v>
      </x:c>
      <x:c r="J2027" s="9" t="str">
        <x:v>Administrative Law</x:v>
      </x:c>
      <x:c r="K2027" s="9" t="str">
        <x:v>ew-cases-EWCA-Civ-2022-1296.xml</x:v>
      </x:c>
      <x:c r="L2027" s="9" t="str">
        <x:v>TBA</x:v>
      </x:c>
    </x:row>
    <x:row r="2028">
      <x:c r="A2028" t="str">
        <x:v>bbf6c991-0abf-4740-962d-38a53e7fcf0a</x:v>
      </x:c>
      <x:c r="B2028" t="str">
        <x:v>428052c8-f10a-4e18-bbeb-6fc947e7295f</x:v>
      </x:c>
      <x:c r="C2028" s="9" t="str">
        <x:v>MI (Nepal) v Secretary of State for the Home Department</x:v>
      </x:c>
      <x:c r="D2028" s="9" t="str"/>
      <x:c r="E2028" s="9" t="str"/>
      <x:c r="F2028" s="13" t="str">
        <x:v>2015</x:v>
      </x:c>
      <x:c r="G2028" s="9" t="str">
        <x:v>England and Wales Court of Appeal (Civil Division)</x:v>
      </x:c>
      <x:c r="H2028" s="9" t="str">
        <x:v>Appellate</x:v>
      </x:c>
      <x:c r="I2028" s="9" t="str">
        <x:v>England and Wales</x:v>
      </x:c>
      <x:c r="J2028" s="9" t="str">
        <x:v>Immigration Law</x:v>
      </x:c>
      <x:c r="K2028" s="9" t="str">
        <x:v>-ew-cases-EWCA-Civ-2015-1115.xml</x:v>
      </x:c>
      <x:c r="L2028" s="9" t="str">
        <x:v>TBA</x:v>
      </x:c>
    </x:row>
    <x:row r="2029">
      <x:c r="A2029" t="str">
        <x:v>6349c74b-fd0b-4bf6-b576-5c411d3b8bf8</x:v>
      </x:c>
      <x:c r="B2029" t="str">
        <x:v>a136a6c9-3964-496c-b4f5-2acf752c3de3</x:v>
      </x:c>
      <x:c r="C2029" s="9" t="str">
        <x:v>MI (Pakistan) v Secretary of State for the Home Department</x:v>
      </x:c>
      <x:c r="D2029" s="9" t="str"/>
      <x:c r="E2029" s="9" t="str"/>
      <x:c r="F2029" s="13" t="str">
        <x:v>2021</x:v>
      </x:c>
      <x:c r="G2029" s="9" t="str">
        <x:v>England and Wales Court of Appeal (Civil Division)</x:v>
      </x:c>
      <x:c r="H2029" s="9" t="str">
        <x:v>appellate</x:v>
      </x:c>
      <x:c r="I2029" s="9" t="str">
        <x:v>England and Wales</x:v>
      </x:c>
      <x:c r="J2029" s="9" t="str">
        <x:v>Immigration Law</x:v>
      </x:c>
      <x:c r="K2029" s="9" t="str">
        <x:v>ew-cases-EWCA-Civ-2021-1711.xml</x:v>
      </x:c>
      <x:c r="L2029" s="9" t="str">
        <x:v>TBA</x:v>
      </x:c>
    </x:row>
    <x:row r="2030">
      <x:c r="A2030" t="str">
        <x:v>f8fabbff-0045-4d69-b354-deece50e9fd1</x:v>
      </x:c>
      <x:c r="B2030" t="str">
        <x:v>1a2842d4-7738-4af0-bb6b-76665bb63dea</x:v>
      </x:c>
      <x:c r="C2030" s="9" t="str">
        <x:v>MI &amp; Anor v Secretary of State for the Home Department [2014] EWCA Civ 826</x:v>
      </x:c>
      <x:c r="D2030" s="9" t="str"/>
      <x:c r="E2030" s="9" t="str"/>
      <x:c r="F2030" s="13" t="str">
        <x:v>2014</x:v>
      </x:c>
      <x:c r="G2030" s="9" t="str">
        <x:v>England and Wales Court of Appeal (Civil Division)</x:v>
      </x:c>
      <x:c r="H2030" s="9" t="str">
        <x:v>Appellate</x:v>
      </x:c>
      <x:c r="I2030" s="9" t="str">
        <x:v>England and Wales</x:v>
      </x:c>
      <x:c r="J2030" s="9" t="str">
        <x:v>Immigration Law</x:v>
      </x:c>
      <x:c r="K2030" s="9" t="str">
        <x:v>-ew-cases-EWCA-Civ-2014-826.xml</x:v>
      </x:c>
      <x:c r="L2030" s="9" t="str">
        <x:v>TBA</x:v>
      </x:c>
    </x:row>
    <x:row r="2031">
      <x:c r="A2031" t="str">
        <x:v>d1bec5eb-964e-4555-95ed-2bd040461b1d</x:v>
      </x:c>
      <x:c r="B2031" t="str">
        <x:v>5d51050c-ce2c-433e-a3a8-45863335e767</x:v>
      </x:c>
      <x:c r="C2031" s="9" t="str">
        <x:v>Miah v Jalil &amp; Anor [2014] EWCA Civ 341</x:v>
      </x:c>
      <x:c r="D2031" s="9" t="str"/>
      <x:c r="E2031" s="9" t="str"/>
      <x:c r="F2031" s="13" t="str">
        <x:v>2014</x:v>
      </x:c>
      <x:c r="G2031" s="9" t="str">
        <x:v>England and Wales Court of Appeal (Civil Division)</x:v>
      </x:c>
      <x:c r="H2031" s="9" t="str">
        <x:v>Appellate</x:v>
      </x:c>
      <x:c r="I2031" s="9" t="str">
        <x:v>England and Wales</x:v>
      </x:c>
      <x:c r="J2031" s="9" t="str">
        <x:v>Contract Dispute</x:v>
      </x:c>
      <x:c r="K2031" s="9" t="str">
        <x:v>-ew-cases-EWCA-Civ-2014-341.xml</x:v>
      </x:c>
      <x:c r="L2031" s="9" t="str">
        <x:v>TBA</x:v>
      </x:c>
    </x:row>
    <x:row r="2032">
      <x:c r="A2032" t="str">
        <x:v>3c295ac0-425f-4877-b038-9d38d4682a86</x:v>
      </x:c>
      <x:c r="B2032" t="str">
        <x:v>a1f805a8-a05f-4642-a42e-5f073974259f</x:v>
      </x:c>
      <x:c r="C2032" s="9" t="str">
        <x:v>Miah v The Independent Police Complaints Commission &amp; Anor</x:v>
      </x:c>
      <x:c r="D2032" s="9" t="str"/>
      <x:c r="E2032" s="9" t="str"/>
      <x:c r="F2032" s="13" t="str">
        <x:v>2017</x:v>
      </x:c>
      <x:c r="G2032" s="9" t="str">
        <x:v>England and Wales Court of Appeal (Civil Division)</x:v>
      </x:c>
      <x:c r="H2032" s="9" t="str">
        <x:v>Appellate</x:v>
      </x:c>
      <x:c r="I2032" s="9" t="str">
        <x:v>England and Wales</x:v>
      </x:c>
      <x:c r="J2032" s="9" t="str">
        <x:v>Administrative Law</x:v>
      </x:c>
      <x:c r="K2032" s="9" t="str">
        <x:v>-ew-cases-EWCA-Civ-2017-2108.xml</x:v>
      </x:c>
      <x:c r="L2032" s="9" t="str">
        <x:v>TBA</x:v>
      </x:c>
    </x:row>
    <x:row r="2033">
      <x:c r="A2033" t="str">
        <x:v>625b46ba-7bb8-4b04-b727-b5a5b915d6b1</x:v>
      </x:c>
      <x:c r="B2033" t="str">
        <x:v>fc66bdd9-203d-49d1-902f-4a1cea360700</x:v>
      </x:c>
      <x:c r="C2033" s="9" t="str">
        <x:v>Miaris v Secretary of State for Communities and Local Government &amp; Anor [2016] EWCA Civ 75</x:v>
      </x:c>
      <x:c r="D2033" s="9" t="str"/>
      <x:c r="E2033" s="9" t="str"/>
      <x:c r="F2033" s="13" t="str">
        <x:v>2016</x:v>
      </x:c>
      <x:c r="G2033" s="9" t="str">
        <x:v>England and Wales Court of Appeal (Civil Division)</x:v>
      </x:c>
      <x:c r="H2033" s="9" t="str">
        <x:v>Court of Appeal (Civil Division)</x:v>
      </x:c>
      <x:c r="I2033" s="9" t="str">
        <x:v>England and Wales</x:v>
      </x:c>
      <x:c r="J2033" s="9" t="str">
        <x:v>Planning Law</x:v>
      </x:c>
      <x:c r="K2033" s="9" t="str">
        <x:v>-ew-cases-EWCA-Civ-2016-75.xml</x:v>
      </x:c>
      <x:c r="L2033" s="9" t="str">
        <x:v>TBA</x:v>
      </x:c>
    </x:row>
    <x:row r="2034">
      <x:c r="A2034" t="str">
        <x:v>5347dcce-3075-4b7e-9cd6-7d566040ac71</x:v>
      </x:c>
      <x:c r="B2034" t="str">
        <x:v>67626a2f-87a4-4152-9dc4-dca47d64f9fb</x:v>
      </x:c>
      <x:c r="C2034" s="9" t="str">
        <x:v>Michael v The Official Receiver [2014] EWCA Civ 534</x:v>
      </x:c>
      <x:c r="D2034" s="9" t="str"/>
      <x:c r="E2034" s="9" t="str"/>
      <x:c r="F2034" s="13" t="str">
        <x:v>2014</x:v>
      </x:c>
      <x:c r="G2034" s="9" t="str">
        <x:v>England and Wales Court of Appeal (Civil Division)</x:v>
      </x:c>
      <x:c r="H2034" s="9" t="str">
        <x:v>Appellate</x:v>
      </x:c>
      <x:c r="I2034" s="9" t="str">
        <x:v>England and Wales</x:v>
      </x:c>
      <x:c r="J2034" s="9" t="str">
        <x:v>Civil Appeal</x:v>
      </x:c>
      <x:c r="K2034" s="9" t="str">
        <x:v>-ew-cases-EWCA-Civ-2014-534.xml</x:v>
      </x:c>
      <x:c r="L2034" s="9" t="str">
        <x:v>TBA</x:v>
      </x:c>
    </x:row>
    <x:row r="2035">
      <x:c r="A2035" t="str">
        <x:v>1df7109e-e216-4ab8-893b-7d0dfff8d390</x:v>
      </x:c>
      <x:c r="B2035" t="str">
        <x:v>b4dc6136-9ca8-4c2b-9b82-1641b181d973</x:v>
      </x:c>
      <x:c r="C2035" s="9" t="str">
        <x:v>Michael Wilson &amp; Partners Ltd v John Forster Emmott</x:v>
      </x:c>
      <x:c r="D2035" s="9" t="str"/>
      <x:c r="E2035" s="9" t="str"/>
      <x:c r="F2035" s="13" t="str">
        <x:v>2015</x:v>
      </x:c>
      <x:c r="G2035" s="9" t="str">
        <x:v>England and Wales Court of Appeal (Civil Division)</x:v>
      </x:c>
      <x:c r="H2035" s="9" t="str">
        <x:v>Appellate</x:v>
      </x:c>
      <x:c r="I2035" s="9" t="str">
        <x:v>England and Wales</x:v>
      </x:c>
      <x:c r="J2035" s="9" t="str">
        <x:v>Civil Appeal</x:v>
      </x:c>
      <x:c r="K2035" s="9" t="str">
        <x:v>-ew-cases-EWCA-Civ-2015-1285.xml</x:v>
      </x:c>
      <x:c r="L2035" s="9" t="str">
        <x:v>TBA</x:v>
      </x:c>
    </x:row>
    <x:row r="2036">
      <x:c r="A2036" t="str">
        <x:v>2765f009-35cc-42f0-9178-5eaf866ed278</x:v>
      </x:c>
      <x:c r="B2036" t="str">
        <x:v>fedb656c-21e2-497f-9056-87a71681ed36</x:v>
      </x:c>
      <x:c r="C2036" s="9" t="str">
        <x:v>Michael Wilson &amp; Partners Ltd v Sinclair [2017] EWCA Civ 55</x:v>
      </x:c>
      <x:c r="D2036" s="9" t="str"/>
      <x:c r="E2036" s="9" t="str"/>
      <x:c r="F2036" s="13" t="str">
        <x:v>2017</x:v>
      </x:c>
      <x:c r="G2036" s="9" t="str">
        <x:v>England and Wales Court of Appeal (Civil Division)</x:v>
      </x:c>
      <x:c r="H2036" s="9" t="str">
        <x:v>Appellate</x:v>
      </x:c>
      <x:c r="I2036" s="9" t="str">
        <x:v>England and Wales</x:v>
      </x:c>
      <x:c r="J2036" s="9" t="str">
        <x:v>Civil Appeal</x:v>
      </x:c>
      <x:c r="K2036" s="9" t="str">
        <x:v>-ew-cases-EWCA-Civ-2017-55.xml</x:v>
      </x:c>
      <x:c r="L2036" s="9" t="str">
        <x:v>TBA</x:v>
      </x:c>
    </x:row>
    <x:row r="2037">
      <x:c r="A2037" t="str">
        <x:v>3da4ea77-4bf8-48c1-9223-585ecacd38d9</x:v>
      </x:c>
      <x:c r="B2037" t="str">
        <x:v>070ca15a-1e4b-45dd-8472-c705fdaddcb8</x:v>
      </x:c>
      <x:c r="C2037" s="9" t="str">
        <x:v>Michael Wilson &amp; Partners Ltd v Sinclair &amp; Ors</x:v>
      </x:c>
      <x:c r="D2037" s="9" t="str"/>
      <x:c r="E2037" s="9" t="str"/>
      <x:c r="F2037" s="13" t="str">
        <x:v>2021</x:v>
      </x:c>
      <x:c r="G2037" s="9" t="str">
        <x:v>England and Wales Court of Appeal (Civil Division)</x:v>
      </x:c>
      <x:c r="H2037" s="9" t="str">
        <x:v>Appellate</x:v>
      </x:c>
      <x:c r="I2037" s="9" t="str">
        <x:v>England and Wales</x:v>
      </x:c>
      <x:c r="J2037" s="9" t="str">
        <x:v>Insolvency</x:v>
      </x:c>
      <x:c r="K2037" s="9" t="str">
        <x:v>ew-cases-EWCA-Civ-2021-505.xml</x:v>
      </x:c>
      <x:c r="L2037" s="9" t="str">
        <x:v>TBA</x:v>
      </x:c>
    </x:row>
    <x:row r="2038">
      <x:c r="A2038" t="str">
        <x:v>c87d3ae0-79a2-4c26-9c69-80e0a319eacb</x:v>
      </x:c>
      <x:c r="B2038" t="str">
        <x:v>d7f627af-144a-43f8-8b3f-9af6c7c8f2ba</x:v>
      </x:c>
      <x:c r="C2038" s="9" t="str">
        <x:v>Michael Wilson &amp; Partners Ltd v Sinclair &amp; Ors</x:v>
      </x:c>
      <x:c r="D2038" s="9" t="str"/>
      <x:c r="E2038" s="9" t="str"/>
      <x:c r="F2038" s="13" t="str">
        <x:v>2015</x:v>
      </x:c>
      <x:c r="G2038" s="9" t="str">
        <x:v>England and Wales Court of Appeal (Civil Division)</x:v>
      </x:c>
      <x:c r="H2038" s="9" t="str">
        <x:v>Appellate</x:v>
      </x:c>
      <x:c r="I2038" s="9" t="str">
        <x:v>England and Wales</x:v>
      </x:c>
      <x:c r="J2038" s="9" t="str">
        <x:v>Civil Procedure</x:v>
      </x:c>
      <x:c r="K2038" s="9" t="str">
        <x:v>-ew-cases-EWCA-Civ-2015-774.xml</x:v>
      </x:c>
      <x:c r="L2038" s="9" t="str">
        <x:v>TBA</x:v>
      </x:c>
    </x:row>
    <x:row r="2039">
      <x:c r="A2039" t="str">
        <x:v>50274884-2910-45a5-a299-13998a1e85b1</x:v>
      </x:c>
      <x:c r="B2039" t="str">
        <x:v>3e752bef-c2d8-4493-9693-376487c51dfe</x:v>
      </x:c>
      <x:c r="C2039" s="9" t="str">
        <x:v>Michael Wilson &amp; Partners, Ltd v Emmott [2015] EWCA Civ 1028</x:v>
      </x:c>
      <x:c r="D2039" s="9" t="str"/>
      <x:c r="E2039" s="9" t="str"/>
      <x:c r="F2039" s="13" t="str">
        <x:v>2015</x:v>
      </x:c>
      <x:c r="G2039" s="9" t="str">
        <x:v>England and Wales Court of Appeal (Civil Division)</x:v>
      </x:c>
      <x:c r="H2039" s="9" t="str">
        <x:v>Appellate</x:v>
      </x:c>
      <x:c r="I2039" s="9" t="str">
        <x:v>England and Wales</x:v>
      </x:c>
      <x:c r="J2039" s="9" t="str">
        <x:v>Civil Procedure</x:v>
      </x:c>
      <x:c r="K2039" s="9" t="str">
        <x:v>-ew-cases-EWCA-Civ-2015-1028.xml</x:v>
      </x:c>
      <x:c r="L2039" s="9" t="str">
        <x:v>TBA</x:v>
      </x:c>
    </x:row>
    <x:row r="2040">
      <x:c r="A2040" t="str">
        <x:v>042cf1a8-fe6c-4c31-8dd7-c4dac554baa1</x:v>
      </x:c>
      <x:c r="B2040" t="str">
        <x:v>1da2246d-25a6-433f-accc-154999194b73</x:v>
      </x:c>
      <x:c r="C2040" s="9" t="str">
        <x:v>Michalak v The General Medical Council &amp; Ors [2016] EWCA Civ 172</x:v>
      </x:c>
      <x:c r="D2040" s="9" t="str"/>
      <x:c r="E2040" s="9" t="str"/>
      <x:c r="F2040" s="13" t="str">
        <x:v>2016</x:v>
      </x:c>
      <x:c r="G2040" s="9" t="str">
        <x:v>England and Wales Court of Appeal (Civil Division)</x:v>
      </x:c>
      <x:c r="H2040" s="9" t="str">
        <x:v>Court of Appeal (Civil Division)</x:v>
      </x:c>
      <x:c r="I2040" s="9" t="str">
        <x:v>England and Wales</x:v>
      </x:c>
      <x:c r="J2040" s="9" t="str">
        <x:v>Employment discrimination and administrative law</x:v>
      </x:c>
      <x:c r="K2040" s="9" t="str">
        <x:v>-ew-cases-EWCA-Civ-2016-172.xml</x:v>
      </x:c>
      <x:c r="L2040" s="9" t="str">
        <x:v>TBA</x:v>
      </x:c>
    </x:row>
    <x:row r="2041">
      <x:c r="A2041" t="str">
        <x:v>0e33dcf1-d5dc-4cfc-b875-82136106374c</x:v>
      </x:c>
      <x:c r="B2041" t="str">
        <x:v>04341221-5df5-45f3-861f-1105ec71a25d</x:v>
      </x:c>
      <x:c r="C2041" s="9" t="str">
        <x:v>Michalczyk v London Borough of Southwark [2015] EWCA Civ 1501</x:v>
      </x:c>
      <x:c r="D2041" s="9" t="str"/>
      <x:c r="E2041" s="9" t="str"/>
      <x:c r="F2041" s="13" t="str">
        <x:v>2015</x:v>
      </x:c>
      <x:c r="G2041" s="9" t="str">
        <x:v>England and Wales Court of Appeal (Civil Division)</x:v>
      </x:c>
      <x:c r="H2041" s="9" t="str">
        <x:v>Appellate</x:v>
      </x:c>
      <x:c r="I2041" s="9" t="str">
        <x:v>England and Wales</x:v>
      </x:c>
      <x:c r="J2041" s="9" t="str">
        <x:v>Housing Law</x:v>
      </x:c>
      <x:c r="K2041" s="9" t="str">
        <x:v>-ew-cases-EWCA-Civ-2015-1501.xml</x:v>
      </x:c>
      <x:c r="L2041" s="9" t="str">
        <x:v>TBA</x:v>
      </x:c>
    </x:row>
    <x:row r="2042">
      <x:c r="A2042" t="str">
        <x:v>f22ae500-c05c-491f-acd7-ad75685edce3</x:v>
      </x:c>
      <x:c r="B2042" t="str">
        <x:v>dadd9a43-c5e6-4195-aea0-2ab3cff9d93f</x:v>
      </x:c>
      <x:c r="C2042" s="9" t="str">
        <x:v>Mickovski v Liddell [2017] EWCA Civ 251</x:v>
      </x:c>
      <x:c r="D2042" s="9" t="str"/>
      <x:c r="E2042" s="9" t="str"/>
      <x:c r="F2042" s="13" t="str">
        <x:v>2017</x:v>
      </x:c>
      <x:c r="G2042" s="9" t="str">
        <x:v>England and Wales Court of Appeal (Civil Division)</x:v>
      </x:c>
      <x:c r="H2042" s="9" t="str">
        <x:v>Appellate</x:v>
      </x:c>
      <x:c r="I2042" s="9" t="str">
        <x:v>England and Wales</x:v>
      </x:c>
      <x:c r="J2042" s="9" t="str">
        <x:v>Family Law</x:v>
      </x:c>
      <x:c r="K2042" s="9" t="str">
        <x:v>-ew-cases-EWCA-Civ-2017-251.xml</x:v>
      </x:c>
      <x:c r="L2042" s="9" t="str">
        <x:v>TBA</x:v>
      </x:c>
    </x:row>
    <x:row r="2043">
      <x:c r="A2043" t="str">
        <x:v>a25f1fc3-a51a-48de-93bf-067368dab29f</x:v>
      </x:c>
      <x:c r="B2043" t="str">
        <x:v>139add59-341b-4088-9234-46adbefe903f</x:v>
      </x:c>
      <x:c r="C2043" s="9" t="str">
        <x:v>Microsoft Ireland Operations Ltd &amp; Ors v JJH Enterprises Ltd (Re Electronic Filing of Appellant's Notice) [2022] EWCA Civ 1509</x:v>
      </x:c>
      <x:c r="D2043" s="9" t="str"/>
      <x:c r="E2043" s="9" t="str"/>
      <x:c r="F2043" s="13" t="str">
        <x:v>2022</x:v>
      </x:c>
      <x:c r="G2043" s="9" t="str">
        <x:v>England and Wales Court of Appeal (Civil Division)</x:v>
      </x:c>
      <x:c r="H2043" s="9" t="str">
        <x:v>Court of Appeal (Civil Division)</x:v>
      </x:c>
      <x:c r="I2043" s="9" t="str">
        <x:v>England and Wales</x:v>
      </x:c>
      <x:c r="J2043" s="9" t="str">
        <x:v>Procedural Law; Appellate Procedure; Electronic Filing</x:v>
      </x:c>
      <x:c r="K2043" s="9" t="str">
        <x:v>ew-cases-EWCA-Civ-2022-1509.xml</x:v>
      </x:c>
      <x:c r="L2043" s="9" t="str">
        <x:v>TBA</x:v>
      </x:c>
    </x:row>
    <x:row r="2044">
      <x:c r="A2044" t="str">
        <x:v>2eef0b60-cc23-44fd-b5db-457571725c8b</x:v>
      </x:c>
      <x:c r="B2044" t="str">
        <x:v>e2aab4b7-e33b-4bf0-be69-4770f2835faf</x:v>
      </x:c>
      <x:c r="C2044" s="9" t="str">
        <x:v>Midcounties Co-Operative Ltd v Wyre Forest District Council [2009] EWHC 964 (Admin)</x:v>
      </x:c>
      <x:c r="D2044" s="9" t="str"/>
      <x:c r="E2044" s="9" t="str"/>
      <x:c r="F2044" s="13" t="str">
        <x:v>2009</x:v>
      </x:c>
      <x:c r="G2044" s="9" t="str">
        <x:v>England and Wales High Court (Administrative Court)</x:v>
      </x:c>
      <x:c r="H2044" s="9" t="str">
        <x:v>High Court</x:v>
      </x:c>
      <x:c r="I2044" s="9" t="str">
        <x:v>England and Wales</x:v>
      </x:c>
      <x:c r="J2044" s="9" t="str">
        <x:v>Administrative Law</x:v>
      </x:c>
      <x:c r="K2044" s="9" t="str">
        <x:v>PT_EWHC-Admin_2009_964.xml</x:v>
      </x:c>
      <x:c r="L2044" s="9" t="str">
        <x:v>TBA</x:v>
      </x:c>
    </x:row>
    <x:row r="2045">
      <x:c r="A2045" t="str">
        <x:v>521011dc-032e-4a18-be5d-2dbcb688dba2</x:v>
      </x:c>
      <x:c r="B2045" t="str">
        <x:v>89eede33-24fd-4e75-8d68-978cb0c8a5ba</x:v>
      </x:c>
      <x:c r="C2045" s="9" t="str">
        <x:v>Mikki v Duncan [2017] EWCA Civ 57 - Appeal on Bankruptcy Matters</x:v>
      </x:c>
      <x:c r="D2045" s="9" t="str"/>
      <x:c r="E2045" s="9" t="str"/>
      <x:c r="F2045" s="13" t="str">
        <x:v>2017</x:v>
      </x:c>
      <x:c r="G2045" s="9" t="str">
        <x:v>England and Wales Court of Appeal (Civil Division)</x:v>
      </x:c>
      <x:c r="H2045" s="9" t="str">
        <x:v>Appellate</x:v>
      </x:c>
      <x:c r="I2045" s="9" t="str">
        <x:v>England and Wales</x:v>
      </x:c>
      <x:c r="J2045" s="9" t="str">
        <x:v>Bankruptcy Appeal</x:v>
      </x:c>
      <x:c r="K2045" s="9" t="str">
        <x:v>-ew-cases-EWCA-Civ-2017-57.xml</x:v>
      </x:c>
      <x:c r="L2045" s="9" t="str">
        <x:v>TBA</x:v>
      </x:c>
    </x:row>
    <x:row r="2046">
      <x:c r="A2046" t="str">
        <x:v>e53411dc-014d-4d9e-b4c3-a9c2303168c5</x:v>
      </x:c>
      <x:c r="B2046" t="str">
        <x:v>8e189a4f-dd48-4f90-87fb-fcbe67d39b28</x:v>
      </x:c>
      <x:c r="C2046" s="9" t="str">
        <x:v>Milburn, R (On the Application Of) v Local Government and Social Care Ombudsman [2023] EWCA Civ 207 (28 February 2023)</x:v>
      </x:c>
      <x:c r="D2046" s="9" t="str"/>
      <x:c r="E2046" s="9" t="str"/>
      <x:c r="F2046" s="13" t="str">
        <x:v>2023</x:v>
      </x:c>
      <x:c r="G2046" s="9" t="str">
        <x:v>England and Wales Court of Appeal (Civil Division)</x:v>
      </x:c>
      <x:c r="H2046" s="9" t="str">
        <x:v>Court of Appeal (Civil Division)</x:v>
      </x:c>
      <x:c r="I2046" s="9" t="str">
        <x:v>England and Wales</x:v>
      </x:c>
      <x:c r="J2046" s="9" t="str">
        <x:v>Administrative Law; Education Law; Appellate decision</x:v>
      </x:c>
      <x:c r="K2046" s="9" t="str">
        <x:v>ew-cases-EWCA-Civ-2023-207.xml</x:v>
      </x:c>
      <x:c r="L2046" s="9" t="str">
        <x:v>TBA</x:v>
      </x:c>
    </x:row>
    <x:row r="2047">
      <x:c r="A2047" t="str">
        <x:v>318aa5dd-bb8e-4fbb-ad3f-f87a97d8ecbf</x:v>
      </x:c>
      <x:c r="B2047" t="str">
        <x:v>7ee03461-a14c-41d0-8bd4-4b5726a9f64c</x:v>
      </x:c>
      <x:c r="C2047" s="9" t="str">
        <x:v>Miller v Associated Newspapers Ltd [2014] EWCA Civ 39</x:v>
      </x:c>
      <x:c r="D2047" s="9" t="str"/>
      <x:c r="E2047" s="9" t="str"/>
      <x:c r="F2047" s="13" t="str">
        <x:v>2014</x:v>
      </x:c>
      <x:c r="G2047" s="9" t="str">
        <x:v>England and Wales Court of Appeal (Civil Division)</x:v>
      </x:c>
      <x:c r="H2047" s="9" t="str">
        <x:v>Appellate</x:v>
      </x:c>
      <x:c r="I2047" s="9" t="str">
        <x:v>England and Wales</x:v>
      </x:c>
      <x:c r="J2047" s="9" t="str">
        <x:v>Libel and Defamation</x:v>
      </x:c>
      <x:c r="K2047" s="9" t="str">
        <x:v>-ew-cases-EWCA-Civ-2014-39.xml</x:v>
      </x:c>
      <x:c r="L2047" s="9" t="str">
        <x:v>TBA</x:v>
      </x:c>
    </x:row>
    <x:row r="2048">
      <x:c r="A2048" t="str">
        <x:v>706d72c8-b6c6-4f0b-8c31-8ccc955b4b00</x:v>
      </x:c>
      <x:c r="B2048" t="str">
        <x:v>c208643d-73b6-4dcc-ab02-055e2e5f64db</x:v>
      </x:c>
      <x:c r="C2048" s="9" t="str">
        <x:v>Miller, R (On the Application Of) v The College of Policing</x:v>
      </x:c>
      <x:c r="D2048" s="9" t="str"/>
      <x:c r="E2048" s="9" t="str"/>
      <x:c r="F2048" s="13" t="str">
        <x:v>2021</x:v>
      </x:c>
      <x:c r="G2048" s="9" t="str">
        <x:v>England and Wales Court of Appeal (Civil Division)</x:v>
      </x:c>
      <x:c r="H2048" s="9" t="str">
        <x:v>Appellate</x:v>
      </x:c>
      <x:c r="I2048" s="9" t="str">
        <x:v>England and Wales</x:v>
      </x:c>
      <x:c r="J2048" s="9" t="str">
        <x:v>Civil Rights</x:v>
      </x:c>
      <x:c r="K2048" s="9" t="str">
        <x:v>ew-cases-EWCA-Civ-2021-1926.xml</x:v>
      </x:c>
      <x:c r="L2048" s="9" t="str">
        <x:v>TBA</x:v>
      </x:c>
    </x:row>
    <x:row r="2049">
      <x:c r="A2049" t="str">
        <x:v>b600615c-b20d-4fdf-a291-f791ee1c8599</x:v>
      </x:c>
      <x:c r="B2049" t="str">
        <x:v>0f7a1fa3-c7d5-4b23-b9fd-705aa9574d1e</x:v>
      </x:c>
      <x:c r="C2049" s="9" t="str">
        <x:v>Milton Furniture Ltd v Brit Insurance Ltd [2015] EWCA Civ 671</x:v>
      </x:c>
      <x:c r="D2049" s="9" t="str"/>
      <x:c r="E2049" s="9" t="str"/>
      <x:c r="F2049" s="13" t="str">
        <x:v>2015</x:v>
      </x:c>
      <x:c r="G2049" s="9" t="str">
        <x:v>England and Wales Court of Appeal (Civil Division)</x:v>
      </x:c>
      <x:c r="H2049" s="9" t="str">
        <x:v>Appellate</x:v>
      </x:c>
      <x:c r="I2049" s="9" t="str">
        <x:v>England and Wales</x:v>
      </x:c>
      <x:c r="J2049" s="9" t="str">
        <x:v>Contract Dispute</x:v>
      </x:c>
      <x:c r="K2049" s="9" t="str">
        <x:v>-ew-cases-EWCA-Civ-2015-671.xml</x:v>
      </x:c>
      <x:c r="L2049" s="9" t="str">
        <x:v>TBA</x:v>
      </x:c>
    </x:row>
    <x:row r="2050">
      <x:c r="A2050" t="str">
        <x:v>ad75dca2-ad4a-4580-8e36-7275ac72d0f2</x:v>
      </x:c>
      <x:c r="B2050" t="str">
        <x:v>72f1b1f6-1d8c-45e1-a78a-f8249ab87004</x:v>
      </x:c>
      <x:c r="C2050" s="9" t="str">
        <x:v>Milton Keynes Hospitals NHS Foundation Trust v HM Revenue &amp; Customs</x:v>
      </x:c>
      <x:c r="D2050" s="9" t="str"/>
      <x:c r="E2050" s="9" t="str"/>
      <x:c r="F2050" s="13" t="str">
        <x:v>2021</x:v>
      </x:c>
      <x:c r="G2050" s="9" t="str">
        <x:v>England and Wales Court of Appeal (Civil Division)</x:v>
      </x:c>
      <x:c r="H2050" s="9" t="str">
        <x:v>Appellate</x:v>
      </x:c>
      <x:c r="I2050" s="9" t="str">
        <x:v>England and Wales</x:v>
      </x:c>
      <x:c r="J2050" s="9" t="str">
        <x:v>Tax Law</x:v>
      </x:c>
      <x:c r="K2050" s="9" t="str">
        <x:v>ew-cases-EWCA-Civ-2021-942.xml</x:v>
      </x:c>
      <x:c r="L2050" s="9" t="str">
        <x:v>TBA</x:v>
      </x:c>
    </x:row>
    <x:row r="2051">
      <x:c r="A2051" t="str">
        <x:v>57a349f3-34e9-4b76-b808-afd15a6a9de7</x:v>
      </x:c>
      <x:c r="B2051" t="str">
        <x:v>bb89634a-f5fe-4367-8a7c-ff2f4f5803bb</x:v>
      </x:c>
      <x:c r="C2051" s="9" t="str">
        <x:v>Mincione v Gedi Gruppo Editoriale S.p.A [2022] EWCA Civ 557</x:v>
      </x:c>
      <x:c r="D2051" s="9" t="str"/>
      <x:c r="E2051" s="9" t="str"/>
      <x:c r="F2051" s="13" t="str">
        <x:v>2022</x:v>
      </x:c>
      <x:c r="G2051" s="9" t="str">
        <x:v>England and Wales Court of Appeal (Civil Division)</x:v>
      </x:c>
      <x:c r="H2051" s="9" t="str">
        <x:v>Court of Appeal (Civil Division)</x:v>
      </x:c>
      <x:c r="I2051" s="9" t="str">
        <x:v>England and Wales</x:v>
      </x:c>
      <x:c r="J2051" s="9" t="str">
        <x:v>Civil - Defamation / Interjurisdictional Jurisdiction</x:v>
      </x:c>
      <x:c r="K2051" s="9" t="str">
        <x:v>ew-cases-EWCA-Civ-2022-557.xml</x:v>
      </x:c>
      <x:c r="L2051" s="9" t="str">
        <x:v>TBA</x:v>
      </x:c>
    </x:row>
    <x:row r="2052">
      <x:c r="A2052" t="str">
        <x:v>5ddbb20d-1e02-49a4-92b7-dbc0f3454b0d</x:v>
      </x:c>
      <x:c r="B2052" t="str">
        <x:v>f8e2312f-d7ca-4cc6-8b54-bdc3d0828506</x:v>
      </x:c>
      <x:c r="C2052" s="9" t="str">
        <x:v>Minister v Hathaway &amp; Anor [2021] EWCA Civ 936</x:v>
      </x:c>
      <x:c r="D2052" s="9" t="str"/>
      <x:c r="E2052" s="9" t="str"/>
      <x:c r="F2052" s="13" t="str">
        <x:v>2021</x:v>
      </x:c>
      <x:c r="G2052" s="9" t="str">
        <x:v>England and Wales Court of Appeal (Civil Division)</x:v>
      </x:c>
      <x:c r="H2052" s="9" t="str">
        <x:v>appellate</x:v>
      </x:c>
      <x:c r="I2052" s="9" t="str">
        <x:v>England and Wales</x:v>
      </x:c>
      <x:c r="J2052" s="9" t="str">
        <x:v>Property Law</x:v>
      </x:c>
      <x:c r="K2052" s="9" t="str">
        <x:v>ew-cases-EWCA-Civ-2021-936.xml</x:v>
      </x:c>
      <x:c r="L2052" s="9" t="str">
        <x:v>TBA</x:v>
      </x:c>
    </x:row>
    <x:row r="2053">
      <x:c r="A2053" t="str">
        <x:v>db04d165-f4e7-4646-b889-d03bfbd5786a</x:v>
      </x:c>
      <x:c r="B2053" t="str">
        <x:v>c4ce82c2-b19b-439a-b68b-44a523e64f77</x:v>
      </x:c>
      <x:c r="C2053" s="9" t="str">
        <x:v>Ministry of Defence v Iraqi Civilians [2015] EWCA Civ 1241</x:v>
      </x:c>
      <x:c r="D2053" s="9" t="str"/>
      <x:c r="E2053" s="9" t="str"/>
      <x:c r="F2053" s="13" t="str">
        <x:v>2015</x:v>
      </x:c>
      <x:c r="G2053" s="9" t="str">
        <x:v>England and Wales Court of Appeal (Civil Division)</x:v>
      </x:c>
      <x:c r="H2053" s="9" t="str">
        <x:v>Appellate</x:v>
      </x:c>
      <x:c r="I2053" s="9" t="str">
        <x:v>England and Wales</x:v>
      </x:c>
      <x:c r="J2053" s="9" t="str">
        <x:v>Tort</x:v>
      </x:c>
      <x:c r="K2053" s="9" t="str">
        <x:v>-ew-cases-EWCA-Civ-2015-1241.xml</x:v>
      </x:c>
      <x:c r="L2053" s="9" t="str">
        <x:v>TBA</x:v>
      </x:c>
    </x:row>
    <x:row r="2054">
      <x:c r="A2054" t="str">
        <x:v>995032da-67c7-4052-8ec2-6eeaca0608d4</x:v>
      </x:c>
      <x:c r="B2054" t="str">
        <x:v>d6176a52-243b-4db6-866e-edc81648dbfa</x:v>
      </x:c>
      <x:c r="C2054" s="9" t="str">
        <x:v>Ministry of Defence v Sivaji</x:v>
      </x:c>
      <x:c r="D2054" s="9" t="str"/>
      <x:c r="E2054" s="9" t="str"/>
      <x:c r="F2054" s="13" t="str">
        <x:v>2021</x:v>
      </x:c>
      <x:c r="G2054" s="9" t="str">
        <x:v>England and Wales Court of Appeal (Civil Division)</x:v>
      </x:c>
      <x:c r="H2054" s="9" t="str">
        <x:v>Appellate</x:v>
      </x:c>
      <x:c r="I2054" s="9" t="str">
        <x:v>England and Wales</x:v>
      </x:c>
      <x:c r="J2054" s="9" t="str">
        <x:v>Civil Appeal</x:v>
      </x:c>
      <x:c r="K2054" s="9" t="str">
        <x:v>ew-cases-EWCA-Civ-2021-1163.xml</x:v>
      </x:c>
      <x:c r="L2054" s="9" t="str">
        <x:v>TBA</x:v>
      </x:c>
    </x:row>
    <x:row r="2055">
      <x:c r="A2055" t="str">
        <x:v>2bfcd18e-507e-4466-82da-10979b45215f</x:v>
      </x:c>
      <x:c r="B2055" t="str">
        <x:v>9b3d5538-1097-43ed-9175-6bf67b5350fa</x:v>
      </x:c>
      <x:c r="C2055" s="9" t="str">
        <x:v>Ministry of Justice v Burton &amp; Anor [2016] EWCA Civ 714</x:v>
      </x:c>
      <x:c r="D2055" s="9" t="str"/>
      <x:c r="E2055" s="9" t="str"/>
      <x:c r="F2055" s="13" t="str">
        <x:v>2016</x:v>
      </x:c>
      <x:c r="G2055" s="9" t="str">
        <x:v>England and Wales Court of Appeal (Civil Division)</x:v>
      </x:c>
      <x:c r="H2055" s="9" t="str">
        <x:v>Court of Appeal</x:v>
      </x:c>
      <x:c r="I2055" s="9" t="str">
        <x:v>England and Wales</x:v>
      </x:c>
      <x:c r="J2055" s="9" t="str">
        <x:v>Contract/Employment Law - Tribunal Remuneration</x:v>
      </x:c>
      <x:c r="K2055" s="9" t="str">
        <x:v>-ew-cases-EWCA-Civ-2016-714.xml</x:v>
      </x:c>
      <x:c r="L2055" s="9" t="str">
        <x:v>TBA</x:v>
      </x:c>
    </x:row>
    <x:row r="2056">
      <x:c r="A2056" t="str">
        <x:v>851bc64f-5b02-49b4-8f15-3b0341baddef</x:v>
      </x:c>
      <x:c r="B2056" t="str">
        <x:v>c5a742f2-1452-4cc2-8ad5-c4e54d98f656</x:v>
      </x:c>
      <x:c r="C2056" s="9" t="str">
        <x:v>Ministry Of Justice v O'Brien &amp; Ors [2015] EWCA Civ 1368</x:v>
      </x:c>
      <x:c r="D2056" s="9" t="str"/>
      <x:c r="E2056" s="9" t="str"/>
      <x:c r="F2056" s="13" t="str">
        <x:v>2015</x:v>
      </x:c>
      <x:c r="G2056" s="9" t="str">
        <x:v>England and Wales Court of Appeal (Civil Division)</x:v>
      </x:c>
      <x:c r="H2056" s="9" t="str">
        <x:v>Appellate</x:v>
      </x:c>
      <x:c r="I2056" s="9" t="str">
        <x:v>England and Wales</x:v>
      </x:c>
      <x:c r="J2056" s="9" t="str">
        <x:v>Employment Law</x:v>
      </x:c>
      <x:c r="K2056" s="9" t="str">
        <x:v>-ew-cases-EWCA-Civ-2015-1368.xml</x:v>
      </x:c>
      <x:c r="L2056" s="9" t="str">
        <x:v>TBA</x:v>
      </x:c>
    </x:row>
    <x:row r="2057">
      <x:c r="A2057" t="str">
        <x:v>ff7eea02-041c-4664-aad3-b006c9c7c472</x:v>
      </x:c>
      <x:c r="B2057" t="str">
        <x:v>e6e0e725-7038-447c-a905-f4f0ffb8294c</x:v>
      </x:c>
      <x:c r="C2057" s="9" t="str">
        <x:v>Minkin v Lesley Landsberg (Practising As Barnet Family Law)</x:v>
      </x:c>
      <x:c r="D2057" s="9" t="str"/>
      <x:c r="E2057" s="9" t="str"/>
      <x:c r="F2057" s="13" t="str">
        <x:v>2015</x:v>
      </x:c>
      <x:c r="G2057" s="9" t="str">
        <x:v>England and Wales Court of Appeal (Civil Division)</x:v>
      </x:c>
      <x:c r="H2057" s="9" t="str">
        <x:v>Appellate</x:v>
      </x:c>
      <x:c r="I2057" s="9" t="str">
        <x:v>England and Wales</x:v>
      </x:c>
      <x:c r="J2057" s="9" t="str">
        <x:v>Professional Negligence</x:v>
      </x:c>
      <x:c r="K2057" s="9" t="str">
        <x:v>-ew-cases-EWCA-Civ-2015-1152.xml</x:v>
      </x:c>
      <x:c r="L2057" s="9" t="str">
        <x:v>TBA</x:v>
      </x:c>
    </x:row>
    <x:row r="2058">
      <x:c r="A2058" t="str">
        <x:v>77aa53f0-a819-4caf-98e9-58b2f75995ad</x:v>
      </x:c>
      <x:c r="B2058" t="str">
        <x:v>ffbba66a-8276-48c7-b907-066f541da803</x:v>
      </x:c>
      <x:c r="C2058" s="9" t="str">
        <x:v>Minott v Cambridge City Council [2022] EWCA Civ 159 (18 February 2022)</x:v>
      </x:c>
      <x:c r="D2058" s="9" t="str"/>
      <x:c r="E2058" s="9" t="str"/>
      <x:c r="F2058" s="13" t="str">
        <x:v>2022</x:v>
      </x:c>
      <x:c r="G2058" s="9" t="str">
        <x:v>England and Wales Court of Appeal (Civil Division)</x:v>
      </x:c>
      <x:c r="H2058" s="9" t="str">
        <x:v>Court of Appeal (Civil Division)</x:v>
      </x:c>
      <x:c r="I2058" s="9" t="str">
        <x:v>England and Wales</x:v>
      </x:c>
      <x:c r="J2058" s="9" t="str">
        <x:v>Judicial Review / Administrative Law</x:v>
      </x:c>
      <x:c r="K2058" s="9" t="str">
        <x:v>ew-cases-EWCA-Civ-2022-159.xml</x:v>
      </x:c>
      <x:c r="L2058" s="9" t="str">
        <x:v>TBA</x:v>
      </x:c>
    </x:row>
    <x:row r="2059">
      <x:c r="A2059" t="str">
        <x:v>c018f41e-a324-4859-bcb2-b0268c66019c</x:v>
      </x:c>
      <x:c r="B2059" t="str">
        <x:v>b1de0903-6737-4f59-aebe-206da2307120</x:v>
      </x:c>
      <x:c r="C2059" s="9" t="str">
        <x:v>Minshall v HM Revenue and Customs &amp; Ors [2015] EWCA Civ 741</x:v>
      </x:c>
      <x:c r="D2059" s="9" t="str"/>
      <x:c r="E2059" s="9" t="str"/>
      <x:c r="F2059" s="13" t="str">
        <x:v>2015</x:v>
      </x:c>
      <x:c r="G2059" s="9" t="str">
        <x:v>England and Wales Court of Appeal (Civil Division)</x:v>
      </x:c>
      <x:c r="H2059" s="9" t="str">
        <x:v>Appellate</x:v>
      </x:c>
      <x:c r="I2059" s="9" t="str">
        <x:v>England and Wales</x:v>
      </x:c>
      <x:c r="J2059" s="9" t="str">
        <x:v>Civil Case</x:v>
      </x:c>
      <x:c r="K2059" s="9" t="str">
        <x:v>-ew-cases-EWCA-Civ-2015-741.xml</x:v>
      </x:c>
      <x:c r="L2059" s="9" t="str">
        <x:v>TBA</x:v>
      </x:c>
    </x:row>
    <x:row r="2060">
      <x:c r="A2060" t="str">
        <x:v>a7ec16ea-e043-4085-be41-1bb645aeed44</x:v>
      </x:c>
      <x:c r="B2060" t="str">
        <x:v>a351b0e5-243f-45a6-8bf9-f28ccb2dfc4e</x:v>
      </x:c>
      <x:c r="C2060" s="9" t="str">
        <x:v>Minto, R (On the Application Of) v Secretary of State for the Home Department [2016] EWCA Civ 285</x:v>
      </x:c>
      <x:c r="D2060" s="9" t="str"/>
      <x:c r="E2060" s="9" t="str"/>
      <x:c r="F2060" s="13" t="str">
        <x:v>2016</x:v>
      </x:c>
      <x:c r="G2060" s="9" t="str">
        <x:v>England and Wales Court of Appeal (Civil Division)</x:v>
      </x:c>
      <x:c r="H2060" s="9" t="str">
        <x:v>Court of Appeal (Civil Division)</x:v>
      </x:c>
      <x:c r="I2060" s="9" t="str">
        <x:v>England and Wales</x:v>
      </x:c>
      <x:c r="J2060" s="9" t="str">
        <x:v>Public Law / Immigration</x:v>
      </x:c>
      <x:c r="K2060" s="9" t="str">
        <x:v>-ew-cases-EWCA-Civ-2016-285.xml</x:v>
      </x:c>
      <x:c r="L2060" s="9" t="str">
        <x:v>TBA</x:v>
      </x:c>
    </x:row>
    <x:row r="2061">
      <x:c r="A2061" t="str">
        <x:v>6cb89446-54d6-478e-9fd2-7e7b05e9c7c9</x:v>
      </x:c>
      <x:c r="B2061" t="str">
        <x:v>857075c7-928d-457d-ae1d-6be54e731b8f</x:v>
      </x:c>
      <x:c r="C2061" s="9" t="str">
        <x:v>Mionis v Democratic Press SA &amp; Ors [2017] EWCA Civ 1194</x:v>
      </x:c>
      <x:c r="D2061" s="9" t="str"/>
      <x:c r="E2061" s="9" t="str"/>
      <x:c r="F2061" s="13" t="str">
        <x:v>2017</x:v>
      </x:c>
      <x:c r="G2061" s="9" t="str">
        <x:v>England and Wales Court of Appeal (Civil Division)</x:v>
      </x:c>
      <x:c r="H2061" s="9" t="str">
        <x:v>Appellate</x:v>
      </x:c>
      <x:c r="I2061" s="9" t="str">
        <x:v>England and Wales</x:v>
      </x:c>
      <x:c r="J2061" s="9" t="str">
        <x:v>Civil Law</x:v>
      </x:c>
      <x:c r="K2061" s="9" t="str">
        <x:v>-ew-cases-EWCA-Civ-2017-1194.xml</x:v>
      </x:c>
      <x:c r="L2061" s="9" t="str">
        <x:v>TBA</x:v>
      </x:c>
    </x:row>
    <x:row r="2062">
      <x:c r="A2062" t="str">
        <x:v>86983c22-6a72-4505-9d79-f63250703349</x:v>
      </x:c>
      <x:c r="B2062" t="str">
        <x:v>157f4b2e-a9fb-4ae0-9755-edcaf49d4192</x:v>
      </x:c>
      <x:c r="C2062" s="9" t="str">
        <x:v>Miranda, R (on the application of) v Secretary of State for the Home Department &amp; Ors [2016] EWCA Civ 6</x:v>
      </x:c>
      <x:c r="D2062" s="9" t="str"/>
      <x:c r="E2062" s="9" t="str"/>
      <x:c r="F2062" s="13" t="str">
        <x:v>2016</x:v>
      </x:c>
      <x:c r="G2062" s="9" t="str">
        <x:v>England and Wales Court of Appeal (Civil Division)</x:v>
      </x:c>
      <x:c r="H2062" s="9" t="str">
        <x:v>Court of Appeal (Civil Division)</x:v>
      </x:c>
      <x:c r="I2062" s="9" t="str">
        <x:v>England and Wales</x:v>
      </x:c>
      <x:c r="J2062" s="9" t="str">
        <x:v>Judicial Review / Public Law / National Security</x:v>
      </x:c>
      <x:c r="K2062" s="9" t="str">
        <x:v>-ew-cases-EWCA-Civ-2016-6.xml</x:v>
      </x:c>
      <x:c r="L2062" s="9" t="str">
        <x:v>TBA</x:v>
      </x:c>
    </x:row>
    <x:row r="2063">
      <x:c r="A2063" t="str">
        <x:v>7fe6a958-74dd-4113-bdd1-21d1d09790e8</x:v>
      </x:c>
      <x:c r="B2063" t="str">
        <x:v>6a1a6ce8-9565-4070-b095-d7711db17cb0</x:v>
      </x:c>
      <x:c r="C2063" s="9" t="str">
        <x:v>Mirza (t/a Hamza Travel) v Dayman [2016] EWCA Civ 699</x:v>
      </x:c>
      <x:c r="D2063" s="9" t="str"/>
      <x:c r="E2063" s="9" t="str"/>
      <x:c r="F2063" s="13" t="str">
        <x:v>2016</x:v>
      </x:c>
      <x:c r="G2063" s="9" t="str">
        <x:v>England and Wales Court of Appeal (Civil Division)</x:v>
      </x:c>
      <x:c r="H2063" s="9" t="str">
        <x:v>Court of Appeal (Civil Division)</x:v>
      </x:c>
      <x:c r="I2063" s="9" t="str">
        <x:v>England and Wales</x:v>
      </x:c>
      <x:c r="J2063" s="9" t="str">
        <x:v>Civil appeal / Trusts / Money transfer</x:v>
      </x:c>
      <x:c r="K2063" s="9" t="str">
        <x:v>-ew-cases-EWCA-Civ-2016-699.xml</x:v>
      </x:c>
      <x:c r="L2063" s="9" t="str">
        <x:v>TBA</x:v>
      </x:c>
    </x:row>
    <x:row r="2064">
      <x:c r="A2064" t="str">
        <x:v>f9fed270-23a3-4f5b-8a08-c488bc4d57d1</x:v>
      </x:c>
      <x:c r="B2064" t="str">
        <x:v>76c9de50-47cd-46ab-8ca1-246a653ef805</x:v>
      </x:c>
      <x:c r="C2064" s="9" t="str">
        <x:v>Mishcon De Reya (a firm) &amp; Anor v Caliendo &amp; Anor [2015] EWCA Civ 1029</x:v>
      </x:c>
      <x:c r="D2064" s="9" t="str"/>
      <x:c r="E2064" s="9" t="str"/>
      <x:c r="F2064" s="13" t="str">
        <x:v>2015</x:v>
      </x:c>
      <x:c r="G2064" s="9" t="str">
        <x:v>England and Wales Court of Appeal (Civil Division)</x:v>
      </x:c>
      <x:c r="H2064" s="9" t="str">
        <x:v>Appellate</x:v>
      </x:c>
      <x:c r="I2064" s="9" t="str">
        <x:v>England and Wales</x:v>
      </x:c>
      <x:c r="J2064" s="9" t="str">
        <x:v>Civil Procedure</x:v>
      </x:c>
      <x:c r="K2064" s="9" t="str">
        <x:v>-ew-cases-EWCA-Civ-2015-1029.xml</x:v>
      </x:c>
      <x:c r="L2064" s="9" t="str">
        <x:v>TBA</x:v>
      </x:c>
    </x:row>
    <x:row r="2065">
      <x:c r="A2065" t="str">
        <x:v>58adaca4-b133-4493-b147-e051a34bd861</x:v>
      </x:c>
      <x:c r="B2065" t="str">
        <x:v>df7a854b-2223-4087-825d-a13da17f0d2b</x:v>
      </x:c>
      <x:c r="C2065" s="9" t="str">
        <x:v>Mitchell &amp; Anor v Revenue and Customs [2023] EWCA Civ 261 (Court of Appeal, Civil Division)</x:v>
      </x:c>
      <x:c r="D2065" s="9" t="str"/>
      <x:c r="E2065" s="9" t="str"/>
      <x:c r="F2065" s="13" t="str">
        <x:v>2023</x:v>
      </x:c>
      <x:c r="G2065" s="9" t="str">
        <x:v>England and Wales Court of Appeal (Civil Division)</x:v>
      </x:c>
      <x:c r="H2065" s="9" t="str">
        <x:v>Court of Appeal (Civil Division)</x:v>
      </x:c>
      <x:c r="I2065" s="9" t="str">
        <x:v>England and Wales</x:v>
      </x:c>
      <x:c r="J2065" s="9" t="str">
        <x:v>Administrative Law / Tax Law</x:v>
      </x:c>
      <x:c r="K2065" s="9" t="str">
        <x:v>ew-cases-EWCA-Civ-2023-261.xml</x:v>
      </x:c>
      <x:c r="L2065" s="9" t="str">
        <x:v>TBA</x:v>
      </x:c>
    </x:row>
    <x:row r="2066">
      <x:c r="A2066" t="str">
        <x:v>85e85663-7090-40b9-b132-c1ea298ee993</x:v>
      </x:c>
      <x:c r="B2066" t="str">
        <x:v>817ead78-1387-4f52-9770-8cfbab819078</x:v>
      </x:c>
      <x:c r="C2066" s="9" t="str">
        <x:v>Mitchell v Watkinson &amp; Anor [2014] EWCA Civ 1472</x:v>
      </x:c>
      <x:c r="D2066" s="9" t="str"/>
      <x:c r="E2066" s="9" t="str"/>
      <x:c r="F2066" s="13" t="str">
        <x:v>2014</x:v>
      </x:c>
      <x:c r="G2066" s="9" t="str">
        <x:v>England and Wales Court of Appeal (Civil Division)</x:v>
      </x:c>
      <x:c r="H2066" s="9" t="str">
        <x:v>Appellate</x:v>
      </x:c>
      <x:c r="I2066" s="9" t="str">
        <x:v>England and Wales</x:v>
      </x:c>
      <x:c r="J2066" s="9" t="str">
        <x:v>Property Law</x:v>
      </x:c>
      <x:c r="K2066" s="9" t="str">
        <x:v>-ew-cases-EWCA-Civ-2014-1472.xml</x:v>
      </x:c>
      <x:c r="L2066" s="9" t="str">
        <x:v>TBA</x:v>
      </x:c>
    </x:row>
    <x:row r="2067">
      <x:c r="A2067" t="str">
        <x:v>5bcbe38a-f01d-49d3-bdc4-0b0bfbb51625</x:v>
      </x:c>
      <x:c r="B2067" t="str">
        <x:v>a7937799-d353-45e9-a895-a046f451b817</x:v>
      </x:c>
      <x:c r="C2067" s="9" t="str">
        <x:v>Mitsui &amp; Co Ltd &amp; Ors v Beteiligungsgesellschaft LPG &amp; Ors [2016] EWCA Civ 708</x:v>
      </x:c>
      <x:c r="D2067" s="9" t="str"/>
      <x:c r="E2067" s="9" t="str"/>
      <x:c r="F2067" s="13" t="str">
        <x:v>2016</x:v>
      </x:c>
      <x:c r="G2067" s="9" t="str">
        <x:v>England and Wales Court of Appeal (Civil Division)</x:v>
      </x:c>
      <x:c r="H2067" s="9" t="str">
        <x:v>Court of Appeal (Civil Division)</x:v>
      </x:c>
      <x:c r="I2067" s="9" t="str">
        <x:v>England and Wales</x:v>
      </x:c>
      <x:c r="J2067" s="9" t="str">
        <x:v>Maritime Law — General Average</x:v>
      </x:c>
      <x:c r="K2067" s="9" t="str">
        <x:v>-ew-cases-EWCA-Civ-2016-708.xml</x:v>
      </x:c>
      <x:c r="L2067" s="9" t="str">
        <x:v>TBA</x:v>
      </x:c>
    </x:row>
    <x:row r="2068">
      <x:c r="A2068" t="str">
        <x:v>cf0e4c9b-607c-4911-b4e9-f00d7d678685</x:v>
      </x:c>
      <x:c r="B2068" t="str">
        <x:v>82a5a0ba-3bdc-444d-b97e-5bb9ac9df172</x:v>
      </x:c>
      <x:c r="C2068" s="9" t="str">
        <x:v>Mitsui Sumitomo Insurance Co (Europe) Ltd &amp; Ors v Mayor's Office for Policing and Crime</x:v>
      </x:c>
      <x:c r="D2068" s="9" t="str"/>
      <x:c r="E2068" s="9" t="str"/>
      <x:c r="F2068" s="13" t="str">
        <x:v>2014</x:v>
      </x:c>
      <x:c r="G2068" s="9" t="str">
        <x:v>England and Wales Court of Appeal (Civil Division)</x:v>
      </x:c>
      <x:c r="H2068" s="9" t="str">
        <x:v>Appellate</x:v>
      </x:c>
      <x:c r="I2068" s="9" t="str">
        <x:v>England and Wales</x:v>
      </x:c>
      <x:c r="J2068" s="9" t="str">
        <x:v>Civil Liability</x:v>
      </x:c>
      <x:c r="K2068" s="9" t="str">
        <x:v>-ew-cases-EWCA-Civ-2014-682.xml</x:v>
      </x:c>
      <x:c r="L2068" s="9" t="str">
        <x:v>TBA</x:v>
      </x:c>
    </x:row>
    <x:row r="2069">
      <x:c r="A2069" t="str">
        <x:v>7bd065c4-27a4-4cf3-8a3c-5739928de75e</x:v>
      </x:c>
      <x:c r="B2069" t="str">
        <x:v>cb6e384a-fccb-472a-b6b1-ef58f7fb8f09</x:v>
      </x:c>
      <x:c r="C2069" s="9" t="str">
        <x:v>MJ (Nigeria) v Secretary of State for the Home Department</x:v>
      </x:c>
      <x:c r="D2069" s="9" t="str"/>
      <x:c r="E2069" s="9" t="str"/>
      <x:c r="F2069" s="13" t="str">
        <x:v>2015</x:v>
      </x:c>
      <x:c r="G2069" s="9" t="str">
        <x:v>England and Wales Court of Appeal (Civil Division)</x:v>
      </x:c>
      <x:c r="H2069" s="9" t="str">
        <x:v>Appellate</x:v>
      </x:c>
      <x:c r="I2069" s="9" t="str">
        <x:v>England and Wales</x:v>
      </x:c>
      <x:c r="J2069" s="9" t="str">
        <x:v>Immigration Law</x:v>
      </x:c>
      <x:c r="K2069" s="9" t="str">
        <x:v>-ew-cases-EWCA-Civ-2015-728.xml</x:v>
      </x:c>
      <x:c r="L2069" s="9" t="str">
        <x:v>TBA</x:v>
      </x:c>
    </x:row>
    <x:row r="2070">
      <x:c r="A2070" t="str">
        <x:v>8941d899-7f37-4519-ae76-e2fae73303a5</x:v>
      </x:c>
      <x:c r="B2070" t="str">
        <x:v>aac27f32-3476-4a21-bbfc-084c5a3f95ce</x:v>
      </x:c>
      <x:c r="C2070" s="9" t="str">
        <x:v>MK (Afghanistan) v Secretary of State for the Home Department</x:v>
      </x:c>
      <x:c r="D2070" s="9" t="str"/>
      <x:c r="E2070" s="9" t="str"/>
      <x:c r="F2070" s="13" t="str">
        <x:v>2015</x:v>
      </x:c>
      <x:c r="G2070" s="9" t="str">
        <x:v>England and Wales Court of Appeal (Civil Division)</x:v>
      </x:c>
      <x:c r="H2070" s="9" t="str">
        <x:v>Appellate</x:v>
      </x:c>
      <x:c r="I2070" s="9" t="str">
        <x:v>England and Wales</x:v>
      </x:c>
      <x:c r="J2070" s="9" t="str">
        <x:v>Administrative Law</x:v>
      </x:c>
      <x:c r="K2070" s="9" t="str">
        <x:v>-ew-cases-EWCA-Civ-2015-643.xml</x:v>
      </x:c>
      <x:c r="L2070" s="9" t="str">
        <x:v>TBA</x:v>
      </x:c>
    </x:row>
    <x:row r="2071">
      <x:c r="A2071" t="str">
        <x:v>20b99674-5027-4b7d-ac0b-41ebc2429f87</x:v>
      </x:c>
      <x:c r="B2071" t="str">
        <x:v>42bc4939-72c4-4aee-bc82-4a364245b133</x:v>
      </x:c>
      <x:c r="C2071" s="9" t="str">
        <x:v>MK (Afghanistan) v The Secretary of State for the Home Department [2017] EWCA Civ 72</x:v>
      </x:c>
      <x:c r="D2071" s="9" t="str"/>
      <x:c r="E2071" s="9" t="str"/>
      <x:c r="F2071" s="13" t="str">
        <x:v>2017</x:v>
      </x:c>
      <x:c r="G2071" s="9" t="str">
        <x:v>England and Wales Court of Appeal (Civil Division)</x:v>
      </x:c>
      <x:c r="H2071" s="9" t="str">
        <x:v>Appellate</x:v>
      </x:c>
      <x:c r="I2071" s="9" t="str">
        <x:v>England and Wales</x:v>
      </x:c>
      <x:c r="J2071" s="9" t="str">
        <x:v>Immigration Law</x:v>
      </x:c>
      <x:c r="K2071" s="9" t="str">
        <x:v>-ew-cases-EWCA-Civ-2017-72.xml</x:v>
      </x:c>
      <x:c r="L2071" s="9" t="str">
        <x:v>TBA</x:v>
      </x:c>
    </x:row>
    <x:row r="2072">
      <x:c r="A2072" t="str">
        <x:v>b30dac4a-561b-41a8-bda8-bb6f8f33cfbf</x:v>
      </x:c>
      <x:c r="B2072" t="str">
        <x:v>ae90489e-d260-49e0-bdc6-74812d5b8792</x:v>
      </x:c>
      <x:c r="C2072" s="9" t="str">
        <x:v>ML (Morocco) v Secretary of State for the Home Department [2016] EWCA Civ 629 (Court of Appeal, Civil Division)</x:v>
      </x:c>
      <x:c r="D2072" s="9" t="str"/>
      <x:c r="E2072" s="9" t="str"/>
      <x:c r="F2072" s="13" t="str">
        <x:v>2016</x:v>
      </x:c>
      <x:c r="G2072" s="9" t="str">
        <x:v>England and Wales Court of Appeal (Civil Division)</x:v>
      </x:c>
      <x:c r="H2072" s="9" t="str">
        <x:v>Court of Appeal (Civil Division)</x:v>
      </x:c>
      <x:c r="I2072" s="9" t="str">
        <x:v>England and Wales</x:v>
      </x:c>
      <x:c r="J2072" s="9" t="str">
        <x:v>Judicial Review / Immigration Detention</x:v>
      </x:c>
      <x:c r="K2072" s="9" t="str">
        <x:v>-ew-cases-EWCA-Civ-2016-629.xml</x:v>
      </x:c>
      <x:c r="L2072" s="9" t="str">
        <x:v>TBA</x:v>
      </x:c>
    </x:row>
    <x:row r="2073">
      <x:c r="A2073" t="str">
        <x:v>469aee93-53ec-412c-b23b-1a7c7cc10ff9</x:v>
      </x:c>
      <x:c r="B2073" t="str">
        <x:v>a24388e9-c7fc-4a9a-ba73-3b3f7a1ce3da</x:v>
      </x:c>
      <x:c r="C2073" s="9" t="str">
        <x:v>MM (Jamaica) v Secretary of State for the Home Department [2015] EWCA Civ 1239</x:v>
      </x:c>
      <x:c r="D2073" s="9" t="str"/>
      <x:c r="E2073" s="9" t="str"/>
      <x:c r="F2073" s="13" t="str">
        <x:v>2015</x:v>
      </x:c>
      <x:c r="G2073" s="9" t="str">
        <x:v>England and Wales Court of Appeal (Civil Division)</x:v>
      </x:c>
      <x:c r="H2073" s="9" t="str">
        <x:v>Appellate</x:v>
      </x:c>
      <x:c r="I2073" s="9" t="str">
        <x:v>England and Wales</x:v>
      </x:c>
      <x:c r="J2073" s="9" t="str">
        <x:v>Immigration Law</x:v>
      </x:c>
      <x:c r="K2073" s="9" t="str">
        <x:v>-ew-cases-EWCA-Civ-2015-1239.xml</x:v>
      </x:c>
      <x:c r="L2073" s="9" t="str">
        <x:v>TBA</x:v>
      </x:c>
    </x:row>
    <x:row r="2074">
      <x:c r="A2074" t="str">
        <x:v>5d1268b9-9b21-40ee-b6a7-7cb02051dd40</x:v>
      </x:c>
      <x:c r="B2074" t="str">
        <x:v>26940491-70b6-4130-9d4f-e5f432ef99d2</x:v>
      </x:c>
      <x:c r="C2074" s="9" t="str">
        <x:v>MM (Mauritius) v Secretary of State for the Home Department [2015] EWCA Civ 1591</x:v>
      </x:c>
      <x:c r="D2074" s="9" t="str"/>
      <x:c r="E2074" s="9" t="str"/>
      <x:c r="F2074" s="13" t="str">
        <x:v>2015</x:v>
      </x:c>
      <x:c r="G2074" s="9" t="str">
        <x:v>England and Wales Court of Appeal (Civil Division)</x:v>
      </x:c>
      <x:c r="H2074" s="9" t="str">
        <x:v>Appellate</x:v>
      </x:c>
      <x:c r="I2074" s="9" t="str">
        <x:v>England and Wales</x:v>
      </x:c>
      <x:c r="J2074" s="9" t="str">
        <x:v>Immigration Law</x:v>
      </x:c>
      <x:c r="K2074" s="9" t="str">
        <x:v>-ew-cases-EWCA-Civ-2015-1591.xml</x:v>
      </x:c>
      <x:c r="L2074" s="9" t="str">
        <x:v>TBA</x:v>
      </x:c>
    </x:row>
    <x:row r="2075">
      <x:c r="A2075" t="str">
        <x:v>0c42a355-5bbc-432d-87b4-3f17ff01582e</x:v>
      </x:c>
      <x:c r="B2075" t="str">
        <x:v>397cb0aa-bf1a-478e-b8f0-cea5867c2a3b</x:v>
      </x:c>
      <x:c r="C2075" s="9" t="str">
        <x:v>MM (Sri Lanka) v Secretary of State for the Home Department</x:v>
      </x:c>
      <x:c r="D2075" s="9" t="str"/>
      <x:c r="E2075" s="9" t="str"/>
      <x:c r="F2075" s="13" t="str">
        <x:v>2014</x:v>
      </x:c>
      <x:c r="G2075" s="9" t="str">
        <x:v>England and Wales Court of Appeal (Civil Division)</x:v>
      </x:c>
      <x:c r="H2075" s="9" t="str">
        <x:v>appellate</x:v>
      </x:c>
      <x:c r="I2075" s="9" t="str">
        <x:v>England and Wales</x:v>
      </x:c>
      <x:c r="J2075" s="9" t="str">
        <x:v>Immigration Law</x:v>
      </x:c>
      <x:c r="K2075" s="9" t="str">
        <x:v>-ew-cases-EWCA-Civ-2014-36.xml</x:v>
      </x:c>
      <x:c r="L2075" s="9" t="str">
        <x:v>TBA</x:v>
      </x:c>
    </x:row>
    <x:row r="2076">
      <x:c r="A2076" t="str">
        <x:v>9552c271-2265-46f8-9f99-cc909b3751d0</x:v>
      </x:c>
      <x:c r="B2076" t="str">
        <x:v>05965f05-a17e-4bd6-9ed4-2dbe9bedb4e8</x:v>
      </x:c>
      <x:c r="C2076" s="9" t="str">
        <x:v>MM (Uganda) &amp; Anor v Secretary of State for the Home Department [2016] EWCA Civ 617</x:v>
      </x:c>
      <x:c r="D2076" s="9" t="str"/>
      <x:c r="E2076" s="9" t="str"/>
      <x:c r="F2076" s="13" t="str">
        <x:v>2016</x:v>
      </x:c>
      <x:c r="G2076" s="9" t="str">
        <x:v>England and Wales Court of Appeal (Civil Division)</x:v>
      </x:c>
      <x:c r="H2076" s="9" t="str">
        <x:v>Court of Appeal (Civil Division)</x:v>
      </x:c>
      <x:c r="I2076" s="9" t="str">
        <x:v>United Kingdom (England and Wales)</x:v>
      </x:c>
      <x:c r="J2076" s="9" t="str">
        <x:v>Immigration Law</x:v>
      </x:c>
      <x:c r="K2076" s="9" t="str">
        <x:v>-ew-cases-EWCA-Civ-2016-617.xml</x:v>
      </x:c>
      <x:c r="L2076" s="9" t="str">
        <x:v>TBA</x:v>
      </x:c>
    </x:row>
    <x:row r="2077">
      <x:c r="A2077" t="str">
        <x:v>f67da15a-7f4a-4705-96e1-cf5786fa8969</x:v>
      </x:c>
      <x:c r="B2077" t="str">
        <x:v>1af2bf7d-1c9d-4822-8dea-e7af6a63ce39</x:v>
      </x:c>
      <x:c r="C2077" s="9" t="str">
        <x:v>MM &amp; Ors, R (On the Application Of) v Secretary of State for the Home Department (Rev 1)</x:v>
      </x:c>
      <x:c r="D2077" s="9" t="str"/>
      <x:c r="E2077" s="9" t="str"/>
      <x:c r="F2077" s="13" t="str">
        <x:v>2014</x:v>
      </x:c>
      <x:c r="G2077" s="9" t="str">
        <x:v>England and Wales Court of Appeal (Civil Division)</x:v>
      </x:c>
      <x:c r="H2077" s="9" t="str">
        <x:v>Appellate</x:v>
      </x:c>
      <x:c r="I2077" s="9" t="str">
        <x:v>England and Wales</x:v>
      </x:c>
      <x:c r="J2077" s="9" t="str">
        <x:v>Immigration Law</x:v>
      </x:c>
      <x:c r="K2077" s="9" t="str">
        <x:v>-ew-cases-EWCA-Civ-2014-985.xml</x:v>
      </x:c>
      <x:c r="L2077" s="9" t="str">
        <x:v>TBA</x:v>
      </x:c>
    </x:row>
    <x:row r="2078">
      <x:c r="A2078" t="str">
        <x:v>766b6547-b235-4d9f-85c2-0e6710caa731</x:v>
      </x:c>
      <x:c r="B2078" t="str">
        <x:v>14ebc789-a5aa-49d8-8b20-df507f5de6e9</x:v>
      </x:c>
      <x:c r="C2078" s="9" t="str">
        <x:v>MM Packaging (UK) Ltd v Philip Potter &amp; Ors [2017] EWCA Civ 1471</x:v>
      </x:c>
      <x:c r="D2078" s="9" t="str"/>
      <x:c r="E2078" s="9" t="str"/>
      <x:c r="F2078" s="13" t="str">
        <x:v>2017</x:v>
      </x:c>
      <x:c r="G2078" s="9" t="str">
        <x:v>England and Wales Court of Appeal (Civil Division)</x:v>
      </x:c>
      <x:c r="H2078" s="9" t="str">
        <x:v>Appellate</x:v>
      </x:c>
      <x:c r="I2078" s="9" t="str">
        <x:v>England and Wales</x:v>
      </x:c>
      <x:c r="J2078" s="9" t="str">
        <x:v>Employment Law</x:v>
      </x:c>
      <x:c r="K2078" s="9" t="str">
        <x:v>-ew-cases-EWCA-Civ-2017-1471.xml</x:v>
      </x:c>
      <x:c r="L2078" s="9" t="str">
        <x:v>TBA</x:v>
      </x:c>
    </x:row>
    <x:row r="2079">
      <x:c r="A2079" t="str">
        <x:v>43f4dc1f-5590-4102-8e13-fc859df06d51</x:v>
      </x:c>
      <x:c r="B2079" t="str">
        <x:v>2b043349-1b46-4663-87ee-560f2b6eb866</x:v>
      </x:c>
      <x:c r="C2079" s="9" t="str">
        <x:v>MN (Adult) [2015] EWCA Civ 411</x:v>
      </x:c>
      <x:c r="D2079" s="9" t="str"/>
      <x:c r="E2079" s="9" t="str"/>
      <x:c r="F2079" s="13" t="str">
        <x:v>2015</x:v>
      </x:c>
      <x:c r="G2079" s="9" t="str">
        <x:v>England and Wales Court of Appeal (Civil Division)</x:v>
      </x:c>
      <x:c r="H2079" s="9" t="str">
        <x:v>Appellate</x:v>
      </x:c>
      <x:c r="I2079" s="9" t="str">
        <x:v>England and Wales</x:v>
      </x:c>
      <x:c r="J2079" s="9" t="str">
        <x:v>Welfare and Capacity Law</x:v>
      </x:c>
      <x:c r="K2079" s="9" t="str">
        <x:v>-ew-cases-EWCA-Civ-2015-411.xml</x:v>
      </x:c>
      <x:c r="L2079" s="9" t="str">
        <x:v>TBA</x:v>
      </x:c>
    </x:row>
    <x:row r="2080">
      <x:c r="A2080" t="str">
        <x:v>05dd2519-1c0a-4159-9c6f-4ca6bc1d97b7</x:v>
      </x:c>
      <x:c r="B2080" t="str">
        <x:v>77d08263-ca73-4cb3-98b3-0469ec9e042c</x:v>
      </x:c>
      <x:c r="C2080" s="9" t="str">
        <x:v>MN (Sri Lanka) v Secretary of State for the Home Department [2014] EWCA Civ 1601</x:v>
      </x:c>
      <x:c r="D2080" s="9" t="str"/>
      <x:c r="E2080" s="9" t="str"/>
      <x:c r="F2080" s="13" t="str">
        <x:v>2014</x:v>
      </x:c>
      <x:c r="G2080" s="9" t="str">
        <x:v>England and Wales Court of Appeal (Civil Division)</x:v>
      </x:c>
      <x:c r="H2080" s="9" t="str">
        <x:v>Appellate</x:v>
      </x:c>
      <x:c r="I2080" s="9" t="str">
        <x:v>England and Wales</x:v>
      </x:c>
      <x:c r="J2080" s="9" t="str">
        <x:v>Immigration Law</x:v>
      </x:c>
      <x:c r="K2080" s="9" t="str">
        <x:v>-ew-cases-EWCA-Civ-2014-1601.xml</x:v>
      </x:c>
      <x:c r="L2080" s="9" t="str">
        <x:v>TBA</x:v>
      </x:c>
    </x:row>
    <x:row r="2081">
      <x:c r="A2081" t="str">
        <x:v>f73f3730-eae7-4794-a8c9-0df687e42771</x:v>
      </x:c>
      <x:c r="B2081" t="str">
        <x:v>32144f46-c024-4aa1-84b0-752991587e01</x:v>
      </x:c>
      <x:c r="C2081" s="9" t="str">
        <x:v>Mobeen v Secretary of State for the Home Department [2021] EWCA Civ 886</x:v>
      </x:c>
      <x:c r="D2081" s="9" t="str"/>
      <x:c r="E2081" s="9" t="str"/>
      <x:c r="F2081" s="13" t="str">
        <x:v>2021</x:v>
      </x:c>
      <x:c r="G2081" s="9" t="str">
        <x:v>England and Wales Court of Appeal (Civil Division)</x:v>
      </x:c>
      <x:c r="H2081" s="9" t="str">
        <x:v>Appellate</x:v>
      </x:c>
      <x:c r="I2081" s="9" t="str">
        <x:v>England and Wales</x:v>
      </x:c>
      <x:c r="J2081" s="9" t="str">
        <x:v>Immigration Law</x:v>
      </x:c>
      <x:c r="K2081" s="9" t="str">
        <x:v>ew-cases-EWCA-Civ-2021-886.xml</x:v>
      </x:c>
      <x:c r="L2081" s="9" t="str">
        <x:v>TBA</x:v>
      </x:c>
    </x:row>
    <x:row r="2082">
      <x:c r="A2082" t="str">
        <x:v>3aa02f58-63a6-4e17-8a25-64cc86d5d482</x:v>
      </x:c>
      <x:c r="B2082" t="str">
        <x:v>91c97970-7635-411e-bf53-7b89eea1c612</x:v>
      </x:c>
      <x:c r="C2082" s="9" t="str">
        <x:v>MOC v Secretary of State for Work and Pensions [2022] EWCA Civ 1</x:v>
      </x:c>
      <x:c r="D2082" s="9" t="str"/>
      <x:c r="E2082" s="9" t="str"/>
      <x:c r="F2082" s="13" t="str">
        <x:v>2022</x:v>
      </x:c>
      <x:c r="G2082" s="9" t="str">
        <x:v>England and Wales Court of Appeal (Civil Division)</x:v>
      </x:c>
      <x:c r="H2082" s="9" t="str">
        <x:v>Court of Appeal (Civil Division)</x:v>
      </x:c>
      <x:c r="I2082" s="9" t="str">
        <x:v>England and Wales</x:v>
      </x:c>
      <x:c r="J2082" s="9" t="str">
        <x:v>Public Law / Administrative Law</x:v>
      </x:c>
      <x:c r="K2082" s="9" t="str">
        <x:v>ew-cases-EWCA-Civ-2022-1.xml</x:v>
      </x:c>
      <x:c r="L2082" s="9" t="str">
        <x:v>TBA</x:v>
      </x:c>
    </x:row>
    <x:row r="2083">
      <x:c r="A2083" t="str">
        <x:v>14ec52db-6470-4f7e-96be-2b92e9e02d83</x:v>
      </x:c>
      <x:c r="B2083" t="str">
        <x:v>2367c914-824f-473c-acfb-247f204c96b9</x:v>
      </x:c>
      <x:c r="C2083" s="9" t="str">
        <x:v>Moge v London Borough of Ealing [2023] EWCA Civ 464</x:v>
      </x:c>
      <x:c r="D2083" s="9" t="str"/>
      <x:c r="E2083" s="9" t="str"/>
      <x:c r="F2083" s="13" t="str">
        <x:v>2023</x:v>
      </x:c>
      <x:c r="G2083" s="9" t="str">
        <x:v>England and Wales Court of Appeal (Civil Division)</x:v>
      </x:c>
      <x:c r="H2083" s="9" t="str">
        <x:v>Court of Appeal (Civil Division)</x:v>
      </x:c>
      <x:c r="I2083" s="9" t="str">
        <x:v>England and Wales</x:v>
      </x:c>
      <x:c r="J2083" s="9" t="str">
        <x:v>Housing/Homelessness Law</x:v>
      </x:c>
      <x:c r="K2083" s="9" t="str">
        <x:v>ew-cases-EWCA-Civ-2023-464.xml</x:v>
      </x:c>
      <x:c r="L2083" s="9" t="str">
        <x:v>TBA</x:v>
      </x:c>
    </x:row>
    <x:row r="2084">
      <x:c r="A2084" t="str">
        <x:v>10fd39c4-5ea9-4cde-90de-a7f3fba586ea</x:v>
      </x:c>
      <x:c r="B2084" t="str">
        <x:v>be73a3ce-4abe-4034-9823-011fbddbb50e</x:v>
      </x:c>
      <x:c r="C2084" s="9" t="str">
        <x:v>Mohamed &amp; Anor v Secretary of State for the Home Department [2014] EWCA Civ 559</x:v>
      </x:c>
      <x:c r="D2084" s="9" t="str"/>
      <x:c r="E2084" s="9" t="str"/>
      <x:c r="F2084" s="13" t="str">
        <x:v>2014</x:v>
      </x:c>
      <x:c r="G2084" s="9" t="str">
        <x:v>England and Wales Court of Appeal (Civil Division)</x:v>
      </x:c>
      <x:c r="H2084" s="9" t="str">
        <x:v>Appellate</x:v>
      </x:c>
      <x:c r="I2084" s="9" t="str">
        <x:v>England and Wales</x:v>
      </x:c>
      <x:c r="J2084" s="9" t="str">
        <x:v>Administrative Law</x:v>
      </x:c>
      <x:c r="K2084" s="9" t="str">
        <x:v>-ew-cases-EWCA-Civ-2014-559.xml</x:v>
      </x:c>
      <x:c r="L2084" s="9" t="str">
        <x:v>TBA</x:v>
      </x:c>
    </x:row>
    <x:row r="2085">
      <x:c r="A2085" t="str">
        <x:v>7c730fbf-2c11-4cd1-ae2f-a12148d91cff</x:v>
      </x:c>
      <x:c r="B2085" t="str">
        <x:v>1719fc7b-dbc2-40f6-b2ae-115cf212c85b</x:v>
      </x:c>
      <x:c r="C2085" s="9" t="str">
        <x:v>Mohamed v The Local Safeguarding Children's Board for Islington</x:v>
      </x:c>
      <x:c r="D2085" s="9" t="str"/>
      <x:c r="E2085" s="9" t="str"/>
      <x:c r="F2085" s="13" t="str">
        <x:v>2015</x:v>
      </x:c>
      <x:c r="G2085" s="9" t="str">
        <x:v>England and Wales Court of Appeal (Civil Division)</x:v>
      </x:c>
      <x:c r="H2085" s="9" t="str">
        <x:v>Appellate</x:v>
      </x:c>
      <x:c r="I2085" s="9" t="str">
        <x:v>England and Wales</x:v>
      </x:c>
      <x:c r="J2085" s="9" t="str">
        <x:v>Public Law</x:v>
      </x:c>
      <x:c r="K2085" s="9" t="str">
        <x:v>-ew-cases-EWCA-Civ-2015-1162.xml</x:v>
      </x:c>
      <x:c r="L2085" s="9" t="str">
        <x:v>TBA</x:v>
      </x:c>
    </x:row>
    <x:row r="2086">
      <x:c r="A2086" t="str">
        <x:v>cd986688-902e-491c-8b9e-68edaf14623e</x:v>
      </x:c>
      <x:c r="B2086" t="str">
        <x:v>35ea4140-8675-4709-97cb-1cb2373c4ea4</x:v>
      </x:c>
      <x:c r="C2086" s="9" t="str">
        <x:v>Mohammed &amp; Ors v Secretary of State for Defence [2015] EWCA Civ 843</x:v>
      </x:c>
      <x:c r="D2086" s="9" t="str"/>
      <x:c r="E2086" s="9" t="str"/>
      <x:c r="F2086" s="13" t="str">
        <x:v>2015</x:v>
      </x:c>
      <x:c r="G2086" s="9" t="str">
        <x:v>England and Wales Court of Appeal (Civil Division)</x:v>
      </x:c>
      <x:c r="H2086" s="9" t="str">
        <x:v>Appellate</x:v>
      </x:c>
      <x:c r="I2086" s="9" t="str">
        <x:v>England and Wales</x:v>
      </x:c>
      <x:c r="J2086" s="9" t="str">
        <x:v>Public Law</x:v>
      </x:c>
      <x:c r="K2086" s="9" t="str">
        <x:v>-ew-cases-EWCA-Civ-2015-843.xml</x:v>
      </x:c>
      <x:c r="L2086" s="9" t="str">
        <x:v>TBA</x:v>
      </x:c>
    </x:row>
    <x:row r="2087">
      <x:c r="A2087" t="str">
        <x:v>41893c43-46f3-4b30-9c25-5ffd147e830f</x:v>
      </x:c>
      <x:c r="B2087" t="str">
        <x:v>fcb9accb-30a6-40d0-ab79-5b7c4b9242ea</x:v>
      </x:c>
      <x:c r="C2087" s="9" t="str">
        <x:v>Mohamoud v Birmingham City Council</x:v>
      </x:c>
      <x:c r="D2087" s="9" t="str"/>
      <x:c r="E2087" s="9" t="str"/>
      <x:c r="F2087" s="13" t="str">
        <x:v>2014</x:v>
      </x:c>
      <x:c r="G2087" s="9" t="str">
        <x:v>England and Wales Court of Appeal (Civil Division)</x:v>
      </x:c>
      <x:c r="H2087" s="9" t="str">
        <x:v>Appellate</x:v>
      </x:c>
      <x:c r="I2087" s="9" t="str">
        <x:v>England and Wales</x:v>
      </x:c>
      <x:c r="J2087" s="9" t="str">
        <x:v>Administrative Law</x:v>
      </x:c>
      <x:c r="K2087" s="9" t="str">
        <x:v>-ew-cases-EWCA-Civ-2014-227.xml</x:v>
      </x:c>
      <x:c r="L2087" s="9" t="str">
        <x:v>TBA</x:v>
      </x:c>
    </x:row>
    <x:row r="2088">
      <x:c r="A2088" t="str">
        <x:v>e80c6858-5111-47ec-aa47-1671fd26ac1a</x:v>
      </x:c>
      <x:c r="B2088" t="str">
        <x:v>16b39d10-e94f-4e4d-8a1f-31df39e2ed4c</x:v>
      </x:c>
      <x:c r="C2088" s="9" t="str">
        <x:v>Mohamoud v Royal Borough of Kensington and Chelsea</x:v>
      </x:c>
      <x:c r="D2088" s="9" t="str"/>
      <x:c r="E2088" s="9" t="str"/>
      <x:c r="F2088" s="13" t="str">
        <x:v>2015</x:v>
      </x:c>
      <x:c r="G2088" s="9" t="str">
        <x:v>England and Wales Court of Appeal (Civil Division)</x:v>
      </x:c>
      <x:c r="H2088" s="9" t="str">
        <x:v>Appellate</x:v>
      </x:c>
      <x:c r="I2088" s="9" t="str">
        <x:v>England and Wales</x:v>
      </x:c>
      <x:c r="J2088" s="9" t="str">
        <x:v>Housing</x:v>
      </x:c>
      <x:c r="K2088" s="9" t="str">
        <x:v>-ew-cases-EWCA-Civ-2015-780.xml</x:v>
      </x:c>
      <x:c r="L2088" s="9" t="str">
        <x:v>TBA</x:v>
      </x:c>
    </x:row>
    <x:row r="2089">
      <x:c r="A2089" t="str">
        <x:v>adffa6a1-1422-4346-9445-1407ca37339b</x:v>
      </x:c>
      <x:c r="B2089" t="str">
        <x:v>9135bc1d-1215-486a-be5a-c65bc4c6ce09</x:v>
      </x:c>
      <x:c r="C2089" s="9" t="str">
        <x:v>Mohamud v WM Morrison Supermarkets Plc [2014] EWCA Civ 116</x:v>
      </x:c>
      <x:c r="D2089" s="9" t="str"/>
      <x:c r="E2089" s="9" t="str"/>
      <x:c r="F2089" s="13" t="str">
        <x:v>2014</x:v>
      </x:c>
      <x:c r="G2089" s="9" t="str">
        <x:v>England and Wales Court of Appeal (Civil Division)</x:v>
      </x:c>
      <x:c r="H2089" s="9" t="str">
        <x:v>Appellate</x:v>
      </x:c>
      <x:c r="I2089" s="9" t="str">
        <x:v>England and Wales</x:v>
      </x:c>
      <x:c r="J2089" s="9" t="str">
        <x:v>Tort</x:v>
      </x:c>
      <x:c r="K2089" s="9" t="str">
        <x:v>-ew-cases-EWCA-Civ-2014-116.xml</x:v>
      </x:c>
      <x:c r="L2089" s="9" t="str">
        <x:v>TBA</x:v>
      </x:c>
    </x:row>
    <x:row r="2090">
      <x:c r="A2090" t="str">
        <x:v>4fcda37b-d871-446f-bd91-5cc5c948fc88</x:v>
      </x:c>
      <x:c r="B2090" t="str">
        <x:v>fb4b05e3-09f8-4da0-8eb8-74ca3161715c</x:v>
      </x:c>
      <x:c r="C2090" s="9" t="str">
        <x:v>MOL (Europe Africa) Ltd &amp; Ors v Mark McLaren Class Representative Ltd [2022] EWCA Civ 1701</x:v>
      </x:c>
      <x:c r="D2090" s="9" t="str"/>
      <x:c r="E2090" s="9" t="str"/>
      <x:c r="F2090" s="13" t="str">
        <x:v>2022</x:v>
      </x:c>
      <x:c r="G2090" s="9" t="str">
        <x:v>England and Wales Court of Appeal (Civil Division)</x:v>
      </x:c>
      <x:c r="H2090" s="9" t="str">
        <x:v>Court of Appeal (Civil Division)</x:v>
      </x:c>
      <x:c r="I2090" s="9" t="str">
        <x:v>England and Wales</x:v>
      </x:c>
      <x:c r="J2090" s="9" t="str">
        <x:v>Competition / Antitrust; Collective Proceedings</x:v>
      </x:c>
      <x:c r="K2090" s="9" t="str">
        <x:v>ew-cases-EWCA-Civ-2022-1701.xml</x:v>
      </x:c>
      <x:c r="L2090" s="9" t="str">
        <x:v>TBA</x:v>
      </x:c>
    </x:row>
    <x:row r="2091">
      <x:c r="A2091" t="str">
        <x:v>5090d7b5-dd30-4c8d-a762-5cd7342cae39</x:v>
      </x:c>
      <x:c r="B2091" t="str">
        <x:v>47ec8a96-29ed-4f75-af86-9c894d3c9200</x:v>
      </x:c>
      <x:c r="C2091" s="9" t="str">
        <x:v>Molloy v BPHA Limited</x:v>
      </x:c>
      <x:c r="D2091" s="9" t="str"/>
      <x:c r="E2091" s="9" t="str"/>
      <x:c r="F2091" s="13" t="str">
        <x:v>2021</x:v>
      </x:c>
      <x:c r="G2091" s="9" t="str">
        <x:v>England and Wales Court of Appeal (Civil Division)</x:v>
      </x:c>
      <x:c r="H2091" s="9" t="str">
        <x:v>Appellate</x:v>
      </x:c>
      <x:c r="I2091" s="9" t="str">
        <x:v>England and Wales</x:v>
      </x:c>
      <x:c r="J2091" s="9" t="str">
        <x:v>Injunction Enforcement</x:v>
      </x:c>
      <x:c r="K2091" s="9" t="str">
        <x:v>ew-cases-EWCA-Civ-2021-1035.xml</x:v>
      </x:c>
      <x:c r="L2091" s="9" t="str">
        <x:v>TBA</x:v>
      </x:c>
    </x:row>
    <x:row r="2092">
      <x:c r="A2092" t="str">
        <x:v>2e00decd-1369-4040-9195-11bb2d46ed5a</x:v>
      </x:c>
      <x:c r="B2092" t="str">
        <x:v>ed8ee5eb-8555-4478-bb47-4194dc0d435d</x:v>
      </x:c>
      <x:c r="C2092" s="9" t="str">
        <x:v>Monarch Airlines Ltd v Airport Coordination Ltd</x:v>
      </x:c>
      <x:c r="D2092" s="9" t="str"/>
      <x:c r="E2092" s="9" t="str"/>
      <x:c r="F2092" s="13" t="str">
        <x:v>2017</x:v>
      </x:c>
      <x:c r="G2092" s="9" t="str">
        <x:v>England and Wales Court of Appeal (Civil Division)</x:v>
      </x:c>
      <x:c r="H2092" s="9" t="str">
        <x:v>Appellate</x:v>
      </x:c>
      <x:c r="I2092" s="9" t="str">
        <x:v>England and Wales</x:v>
      </x:c>
      <x:c r="J2092" s="9" t="str">
        <x:v>Administrative Law</x:v>
      </x:c>
      <x:c r="K2092" s="9" t="str">
        <x:v>-ew-cases-EWCA-Civ-2017-1892.xml</x:v>
      </x:c>
      <x:c r="L2092" s="9" t="str">
        <x:v>TBA</x:v>
      </x:c>
    </x:row>
    <x:row r="2093">
      <x:c r="A2093" t="str">
        <x:v>ec980507-fab6-45c1-aef1-9af9c22c1103</x:v>
      </x:c>
      <x:c r="B2093" t="str">
        <x:v>d52606b4-a48a-46a8-ac6e-9b741b938ecc</x:v>
      </x:c>
      <x:c r="C2093" s="9" t="str">
        <x:v>Monfared v Chartered Society of Physiotherapy</x:v>
      </x:c>
      <x:c r="D2093" s="9" t="str"/>
      <x:c r="E2093" s="9" t="str"/>
      <x:c r="F2093" s="13" t="str">
        <x:v>2014</x:v>
      </x:c>
      <x:c r="G2093" s="9" t="str">
        <x:v>England and Wales Court of Appeal (Civil Division)</x:v>
      </x:c>
      <x:c r="H2093" s="9" t="str">
        <x:v>Appellate</x:v>
      </x:c>
      <x:c r="I2093" s="9" t="str">
        <x:v>England and Wales</x:v>
      </x:c>
      <x:c r="J2093" s="9" t="str">
        <x:v>Employment Law</x:v>
      </x:c>
      <x:c r="K2093" s="9" t="str">
        <x:v>-ew-cases-EWCA-Civ-2014-828.xml</x:v>
      </x:c>
      <x:c r="L2093" s="9" t="str">
        <x:v>TBA</x:v>
      </x:c>
    </x:row>
    <x:row r="2094">
      <x:c r="A2094" t="str">
        <x:v>7ff4a35d-42d0-415d-a016-9f818b29d309</x:v>
      </x:c>
      <x:c r="B2094" t="str">
        <x:v>5722cb4b-113f-486b-a929-246c76643654</x:v>
      </x:c>
      <x:c r="C2094" s="9" t="str">
        <x:v>Monkhill Ltd v Secretary of State for Housing, Communities and Local Government &amp; Anor</x:v>
      </x:c>
      <x:c r="D2094" s="9" t="str"/>
      <x:c r="E2094" s="9" t="str"/>
      <x:c r="F2094" s="13" t="str">
        <x:v>2021</x:v>
      </x:c>
      <x:c r="G2094" s="9" t="str">
        <x:v>England and Wales Court of Appeal (Civil Division)</x:v>
      </x:c>
      <x:c r="H2094" s="9" t="str">
        <x:v>Appellate</x:v>
      </x:c>
      <x:c r="I2094" s="9" t="str">
        <x:v>England and Wales</x:v>
      </x:c>
      <x:c r="J2094" s="9" t="str">
        <x:v>Administrative Law</x:v>
      </x:c>
      <x:c r="K2094" s="9" t="str">
        <x:v>ew-cases-EWCA-Civ-2021-74.xml</x:v>
      </x:c>
      <x:c r="L2094" s="9" t="str">
        <x:v>TBA</x:v>
      </x:c>
    </x:row>
    <x:row r="2095">
      <x:c r="A2095" t="str">
        <x:v>8f16d5f6-fd1c-450e-861c-7546af25e3c9</x:v>
      </x:c>
      <x:c r="B2095" t="str">
        <x:v>edcb5a1d-e65a-4f04-a3aa-74554a13ac56</x:v>
      </x:c>
      <x:c r="C2095" s="9" t="str">
        <x:v>Monsolar IQ Ltd v Woden Park Ltd [2021] EWCA Civ 961</x:v>
      </x:c>
      <x:c r="D2095" s="9" t="str"/>
      <x:c r="E2095" s="9" t="str"/>
      <x:c r="F2095" s="13" t="str">
        <x:v>2021</x:v>
      </x:c>
      <x:c r="G2095" s="9" t="str">
        <x:v>England and Wales Court of Appeal (Civil Division)</x:v>
      </x:c>
      <x:c r="H2095" s="9" t="str">
        <x:v>Appellate</x:v>
      </x:c>
      <x:c r="I2095" s="9" t="str">
        <x:v>England and Wales</x:v>
      </x:c>
      <x:c r="J2095" s="9" t="str">
        <x:v>Contract Dispute</x:v>
      </x:c>
      <x:c r="K2095" s="9" t="str">
        <x:v>ew-cases-EWCA-Civ-2021-961.xml</x:v>
      </x:c>
      <x:c r="L2095" s="9" t="str">
        <x:v>TBA</x:v>
      </x:c>
    </x:row>
    <x:row r="2096">
      <x:c r="A2096" t="str">
        <x:v>6a0930b4-bf90-46f7-b2b3-0e63d77d5fc0</x:v>
      </x:c>
      <x:c r="B2096" t="str">
        <x:v>847f3527-1b53-4f19-8e56-979415b00c90</x:v>
      </x:c>
      <x:c r="C2096" s="9" t="str">
        <x:v>Mooney v Whiteland [2023] EWCA Civ 67</x:v>
      </x:c>
      <x:c r="D2096" s="9" t="str"/>
      <x:c r="E2096" s="9" t="str"/>
      <x:c r="F2096" s="13" t="str">
        <x:v>2023</x:v>
      </x:c>
      <x:c r="G2096" s="9" t="str">
        <x:v>England and Wales Court of Appeal (Civil Division)</x:v>
      </x:c>
      <x:c r="H2096" s="9" t="str">
        <x:v>Court of Appeal (Civil Division)</x:v>
      </x:c>
      <x:c r="I2096" s="9" t="str">
        <x:v>England and Wales</x:v>
      </x:c>
      <x:c r="J2096" s="9" t="str">
        <x:v>Housing/Landlord and Tenant - Rent Increases</x:v>
      </x:c>
      <x:c r="K2096" s="9" t="str">
        <x:v>ew-cases-EWCA-Civ-2023-67.xml</x:v>
      </x:c>
      <x:c r="L2096" s="9" t="str">
        <x:v>TBA</x:v>
      </x:c>
    </x:row>
    <x:row r="2097">
      <x:c r="A2097" t="str">
        <x:v>56e915f0-40b7-4385-93f2-c076050cb6ed</x:v>
      </x:c>
      <x:c r="B2097" t="str">
        <x:v>95ba120e-4335-483a-9fe4-db59c4c97a3c</x:v>
      </x:c>
      <x:c r="C2097" s="9" t="str">
        <x:v>Moore &amp; Anor v Secretary of State for Work and Pensions [2021] EWCA Civ 970</x:v>
      </x:c>
      <x:c r="D2097" s="9" t="str"/>
      <x:c r="E2097" s="9" t="str"/>
      <x:c r="F2097" s="13" t="str">
        <x:v>2021</x:v>
      </x:c>
      <x:c r="G2097" s="9" t="str">
        <x:v>England and Wales Court of Appeal (Civil Division)</x:v>
      </x:c>
      <x:c r="H2097" s="9" t="str">
        <x:v>Appellate</x:v>
      </x:c>
      <x:c r="I2097" s="9" t="str">
        <x:v>England and Wales</x:v>
      </x:c>
      <x:c r="J2097" s="9" t="str">
        <x:v>Administrative Law</x:v>
      </x:c>
      <x:c r="K2097" s="9" t="str">
        <x:v>ew-cases-EWCA-Civ-2021-970.xml</x:v>
      </x:c>
      <x:c r="L2097" s="9" t="str">
        <x:v>TBA</x:v>
      </x:c>
    </x:row>
    <x:row r="2098">
      <x:c r="A2098" t="str">
        <x:v>72ffa333-34c9-4e6c-a462-ad395007f4a4</x:v>
      </x:c>
      <x:c r="B2098" t="str">
        <x:v>6732192e-f29d-4925-994e-a4967b90448f</x:v>
      </x:c>
      <x:c r="C2098" s="9" t="str">
        <x:v>Moorjani v Durban Estates Ltd [2015] EWCA Civ 1252</x:v>
      </x:c>
      <x:c r="D2098" s="9" t="str"/>
      <x:c r="E2098" s="9" t="str"/>
      <x:c r="F2098" s="13" t="str">
        <x:v>2015</x:v>
      </x:c>
      <x:c r="G2098" s="9" t="str">
        <x:v>England and Wales Court of Appeal (Civil Division)</x:v>
      </x:c>
      <x:c r="H2098" s="9" t="str">
        <x:v>Appellate</x:v>
      </x:c>
      <x:c r="I2098" s="9" t="str">
        <x:v>England and Wales</x:v>
      </x:c>
      <x:c r="J2098" s="9" t="str">
        <x:v>Property Law</x:v>
      </x:c>
      <x:c r="K2098" s="9" t="str">
        <x:v>-ew-cases-EWCA-Civ-2015-1252.xml</x:v>
      </x:c>
      <x:c r="L2098" s="9" t="str">
        <x:v>TBA</x:v>
      </x:c>
    </x:row>
    <x:row r="2099">
      <x:c r="A2099" t="str">
        <x:v>da5f704d-a7cd-4f25-8172-7cb0c939e1e7</x:v>
      </x:c>
      <x:c r="B2099" t="str">
        <x:v>e9c6e50f-2522-48ed-b496-f3b8acfbc282</x:v>
      </x:c>
      <x:c r="C2099" s="9" t="str">
        <x:v>Morahan v His Majesty's Assistant Coroner for West London (Court of Appeal, Civil Division) [2022] EWCA Civ 1410</x:v>
      </x:c>
      <x:c r="D2099" s="9" t="str"/>
      <x:c r="E2099" s="9" t="str"/>
      <x:c r="F2099" s="13" t="str">
        <x:v>2022</x:v>
      </x:c>
      <x:c r="G2099" s="9" t="str">
        <x:v>England and Wales Court of Appeal (Civil Division)</x:v>
      </x:c>
      <x:c r="H2099" s="9" t="str">
        <x:v>Court of Appeal (Civil Division)</x:v>
      </x:c>
      <x:c r="I2099" s="9" t="str">
        <x:v>England and Wales</x:v>
      </x:c>
      <x:c r="J2099" s="9" t="str">
        <x:v>Administrative Law / Human Rights / Inquest</x:v>
      </x:c>
      <x:c r="K2099" s="9" t="str">
        <x:v>ew-cases-EWCA-Civ-2022-1410.xml</x:v>
      </x:c>
      <x:c r="L2099" s="9" t="str">
        <x:v>TBA</x:v>
      </x:c>
    </x:row>
    <x:row r="2100">
      <x:c r="A2100" t="str">
        <x:v>f9a12a34-de5d-4880-9eff-9f9b57fe0933</x:v>
      </x:c>
      <x:c r="B2100" t="str">
        <x:v>64dd21cf-668d-49f5-9237-158c95748620</x:v>
      </x:c>
      <x:c r="C2100" s="9" t="str">
        <x:v>Moran Yacht &amp; Ship Inc v Pisarev &amp; Anor [2016] EWCA Civ 317</x:v>
      </x:c>
      <x:c r="D2100" s="9" t="str"/>
      <x:c r="E2100" s="9" t="str"/>
      <x:c r="F2100" s="13" t="str">
        <x:v>2016</x:v>
      </x:c>
      <x:c r="G2100" s="9" t="str">
        <x:v>England and Wales Court of Appeal (Civil Division)</x:v>
      </x:c>
      <x:c r="H2100" s="9" t="str">
        <x:v>Court of Appeal (Civil Division)</x:v>
      </x:c>
      <x:c r="I2100" s="9" t="str">
        <x:v>England and Wales</x:v>
      </x:c>
      <x:c r="J2100" s="9" t="str">
        <x:v>Contract Dispute; Agency/Brokerage</x:v>
      </x:c>
      <x:c r="K2100" s="9" t="str">
        <x:v>-ew-cases-EWCA-Civ-2016-317.xml</x:v>
      </x:c>
      <x:c r="L2100" s="9" t="str">
        <x:v>TBA</x:v>
      </x:c>
    </x:row>
    <x:row r="2101">
      <x:c r="A2101" t="str">
        <x:v>ece913ec-0842-4d94-89fd-b6ca6fbbe94d</x:v>
      </x:c>
      <x:c r="B2101" t="str">
        <x:v>a7f7f496-b15f-4043-930a-7ae9450fa5a2</x:v>
      </x:c>
      <x:c r="C2101" s="9" t="str">
        <x:v>Morley (t/a Morley Estates) v The Royal Bank of Scotland Plc</x:v>
      </x:c>
      <x:c r="D2101" s="9" t="str"/>
      <x:c r="E2101" s="9" t="str"/>
      <x:c r="F2101" s="13" t="str">
        <x:v>2021</x:v>
      </x:c>
      <x:c r="G2101" s="9" t="str">
        <x:v>England and Wales Court of Appeal (Civil Division)</x:v>
      </x:c>
      <x:c r="H2101" s="9" t="str">
        <x:v>Appellate</x:v>
      </x:c>
      <x:c r="I2101" s="9" t="str">
        <x:v>England and Wales</x:v>
      </x:c>
      <x:c r="J2101" s="9" t="str">
        <x:v>Contract Dispute</x:v>
      </x:c>
      <x:c r="K2101" s="9" t="str">
        <x:v>ew-cases-EWCA-Civ-2021-338.xml</x:v>
      </x:c>
      <x:c r="L2101" s="9" t="str">
        <x:v>TBA</x:v>
      </x:c>
    </x:row>
    <x:row r="2102">
      <x:c r="A2102" t="str">
        <x:v>e025e795-d493-4304-8ef1-ab20d2e4af3f</x:v>
      </x:c>
      <x:c r="B2102" t="str">
        <x:v>2daa7568-20c5-4657-a26a-70ad93f17730</x:v>
      </x:c>
      <x:c r="C2102" s="9" t="str">
        <x:v>Mormoroc, R (On the Application Of) v The Secretary of State for Justice</x:v>
      </x:c>
      <x:c r="D2102" s="9" t="str"/>
      <x:c r="E2102" s="9" t="str"/>
      <x:c r="F2102" s="13" t="str">
        <x:v>2017</x:v>
      </x:c>
      <x:c r="G2102" s="9" t="str">
        <x:v>England and Wales Court of Appeal (Civil Division)</x:v>
      </x:c>
      <x:c r="H2102" s="9" t="str">
        <x:v>Appellate</x:v>
      </x:c>
      <x:c r="I2102" s="9" t="str">
        <x:v>England and Wales</x:v>
      </x:c>
      <x:c r="J2102" s="9" t="str">
        <x:v>Administrative Law</x:v>
      </x:c>
      <x:c r="K2102" s="9" t="str">
        <x:v>-ew-cases-EWCA-Civ-2017-989.xml</x:v>
      </x:c>
      <x:c r="L2102" s="9" t="str">
        <x:v>TBA</x:v>
      </x:c>
    </x:row>
    <x:row r="2103">
      <x:c r="A2103" t="str">
        <x:v>60b650a1-c6cf-4342-a03a-4f015f5e0ba3</x:v>
      </x:c>
      <x:c r="B2103" t="str">
        <x:v>096a665d-f74c-435d-8065-2861e20bdf92</x:v>
      </x:c>
      <x:c r="C2103" s="9" t="str">
        <x:v>Morris &amp; Anor, R (on the application of) v Rhondda Cynon TAF County Borough Council</x:v>
      </x:c>
      <x:c r="D2103" s="9" t="str"/>
      <x:c r="E2103" s="9" t="str"/>
      <x:c r="F2103" s="13" t="str">
        <x:v>2015</x:v>
      </x:c>
      <x:c r="G2103" s="9" t="str">
        <x:v>England and Wales Court of Appeal (Civil Division)</x:v>
      </x:c>
      <x:c r="H2103" s="9" t="str">
        <x:v>Appellate</x:v>
      </x:c>
      <x:c r="I2103" s="9" t="str">
        <x:v>England and Wales</x:v>
      </x:c>
      <x:c r="J2103" s="9" t="str">
        <x:v>Administrative Law</x:v>
      </x:c>
      <x:c r="K2103" s="9" t="str">
        <x:v>-ew-cases-EWCA-Civ-2015-905.xml</x:v>
      </x:c>
      <x:c r="L2103" s="9" t="str">
        <x:v>TBA</x:v>
      </x:c>
    </x:row>
    <x:row r="2104">
      <x:c r="A2104" t="str">
        <x:v>4db9b986-2acb-43ad-8cc4-fd5f86618b68</x:v>
      </x:c>
      <x:c r="B2104" t="str">
        <x:v>b66a6c56-2a53-4a18-ab03-7537a587b2be</x:v>
      </x:c>
      <x:c r="C2104" s="9" t="str">
        <x:v>Morris v Blackpool Borough Council &amp; Anor</x:v>
      </x:c>
      <x:c r="D2104" s="9" t="str"/>
      <x:c r="E2104" s="9" t="str"/>
      <x:c r="F2104" s="13" t="str">
        <x:v>2014</x:v>
      </x:c>
      <x:c r="G2104" s="9" t="str">
        <x:v>England and Wales Court of Appeal (Civil Division)</x:v>
      </x:c>
      <x:c r="H2104" s="9" t="str">
        <x:v>Appellate</x:v>
      </x:c>
      <x:c r="I2104" s="9" t="str">
        <x:v>England and Wales</x:v>
      </x:c>
      <x:c r="J2104" s="9" t="str">
        <x:v>Property Law</x:v>
      </x:c>
      <x:c r="K2104" s="9" t="str">
        <x:v>-ew-cases-EWCA-Civ-2014-1384.xml</x:v>
      </x:c>
      <x:c r="L2104" s="9" t="str">
        <x:v>TBA</x:v>
      </x:c>
    </x:row>
    <x:row r="2105">
      <x:c r="A2105" t="str">
        <x:v>419b560c-487f-4710-acdf-23e878ea6123</x:v>
      </x:c>
      <x:c r="B2105" t="str">
        <x:v>e48a1fed-062c-4a27-a877-df848819dcf8</x:v>
      </x:c>
      <x:c r="C2105" s="9" t="str">
        <x:v>Morris v Morris [2016] EWCA Civ 812</x:v>
      </x:c>
      <x:c r="D2105" s="9" t="str"/>
      <x:c r="E2105" s="9" t="str"/>
      <x:c r="F2105" s="13" t="str">
        <x:v>2016</x:v>
      </x:c>
      <x:c r="G2105" s="9" t="str">
        <x:v>England and Wales Court of Appeal (Civil Division)</x:v>
      </x:c>
      <x:c r="H2105" s="9" t="str">
        <x:v>Court of Appeal (Civil Division)</x:v>
      </x:c>
      <x:c r="I2105" s="9" t="str">
        <x:v>England and Wales</x:v>
      </x:c>
      <x:c r="J2105" s="9" t="str">
        <x:v>Civil / Family Law</x:v>
      </x:c>
      <x:c r="K2105" s="9" t="str">
        <x:v>-ew-cases-EWCA-Civ-2016-812.xml</x:v>
      </x:c>
      <x:c r="L2105" s="9" t="str">
        <x:v>TBA</x:v>
      </x:c>
    </x:row>
    <x:row r="2106">
      <x:c r="A2106" t="str">
        <x:v>f16a8082-fc8d-4d04-a11d-7c7e3254d234</x:v>
      </x:c>
      <x:c r="B2106" t="str">
        <x:v>1d932093-b356-4ff4-8b53-7b51b0a37b1c</x:v>
      </x:c>
      <x:c r="C2106" s="9" t="str">
        <x:v>Morris v Swanton Care &amp; Community Ltd [2018] EWCA Civ 2763</x:v>
      </x:c>
      <x:c r="D2106" s="9" t="str"/>
      <x:c r="E2106" s="9" t="str"/>
      <x:c r="F2106" s="13" t="str">
        <x:v>2018</x:v>
      </x:c>
      <x:c r="G2106" s="9" t="str">
        <x:v>England and Wales Court of Appeal (Civil Division)</x:v>
      </x:c>
      <x:c r="H2106" s="9" t="str">
        <x:v>Appellate</x:v>
      </x:c>
      <x:c r="I2106" s="9" t="str">
        <x:v>England and Wales</x:v>
      </x:c>
      <x:c r="J2106" s="9" t="str">
        <x:v>Contract Dispute</x:v>
      </x:c>
      <x:c r="K2106" s="9" t="str">
        <x:v>PT_EWCA-Civ_2018_2763.xml</x:v>
      </x:c>
      <x:c r="L2106" s="9" t="str">
        <x:v>TBA</x:v>
      </x:c>
    </x:row>
    <x:row r="2107">
      <x:c r="A2107" t="str">
        <x:v>78836239-1f7e-42b8-87cc-e55c676bcce5</x:v>
      </x:c>
      <x:c r="B2107" t="str">
        <x:v>c3537991-3e67-4784-b002-443984ec75b5</x:v>
      </x:c>
      <x:c r="C2107" s="9" t="str">
        <x:v>Morris-Garner &amp; Anor v One Step (Support) Limited [2016] EWCA Civ 180 (Court of Appeal, Civil Division)</x:v>
      </x:c>
      <x:c r="D2107" s="9" t="str"/>
      <x:c r="E2107" s="9" t="str"/>
      <x:c r="F2107" s="13" t="str">
        <x:v>2016</x:v>
      </x:c>
      <x:c r="G2107" s="9" t="str">
        <x:v>England and Wales Court of Appeal (Civil Division)</x:v>
      </x:c>
      <x:c r="H2107" s="9" t="str">
        <x:v>Court of Appeal (Civil Division)</x:v>
      </x:c>
      <x:c r="I2107" s="9" t="str">
        <x:v>England and Wales</x:v>
      </x:c>
      <x:c r="J2107" s="9" t="str">
        <x:v>Contract/Commercial Law; Restraints of Trade; Sale of Business; Civil Procedure</x:v>
      </x:c>
      <x:c r="K2107" s="9" t="str">
        <x:v>-ew-cases-EWCA-Civ-2016-180.xml</x:v>
      </x:c>
      <x:c r="L2107" s="9" t="str">
        <x:v>TBA</x:v>
      </x:c>
    </x:row>
    <x:row r="2108">
      <x:c r="A2108" t="str">
        <x:v>71e34432-4dc8-47e3-bab6-4c165f0f517f</x:v>
      </x:c>
      <x:c r="B2108" t="str">
        <x:v>20883fdd-3d62-402d-b87e-d07099a0aace</x:v>
      </x:c>
      <x:c r="C2108" s="9" t="str">
        <x:v>Morshead Mansions Ltd v Di Marco</x:v>
      </x:c>
      <x:c r="D2108" s="9" t="str"/>
      <x:c r="E2108" s="9" t="str"/>
      <x:c r="F2108" s="13" t="str">
        <x:v>2014</x:v>
      </x:c>
      <x:c r="G2108" s="9" t="str">
        <x:v>England and Wales Court of Appeal (Civil Division)</x:v>
      </x:c>
      <x:c r="H2108" s="9" t="str">
        <x:v>Appellate</x:v>
      </x:c>
      <x:c r="I2108" s="9" t="str">
        <x:v>England and Wales</x:v>
      </x:c>
      <x:c r="J2108" s="9" t="str">
        <x:v>Civil Law</x:v>
      </x:c>
      <x:c r="K2108" s="9" t="str">
        <x:v>-ew-cases-EWCA-Civ-2014-96.xml</x:v>
      </x:c>
      <x:c r="L2108" s="9" t="str">
        <x:v>TBA</x:v>
      </x:c>
    </x:row>
    <x:row r="2109">
      <x:c r="A2109" t="str">
        <x:v>97a7aae8-4a71-43c2-84c1-59eb62a89b9c</x:v>
      </x:c>
      <x:c r="B2109" t="str">
        <x:v>8ba69dcd-dd7b-435a-8a5c-2f2ffa597214</x:v>
      </x:c>
      <x:c r="C2109" s="9" t="str">
        <x:v>Mortgage Express v Countrywide Surveyors Ltd [2015] EWCA Civ 1110</x:v>
      </x:c>
      <x:c r="D2109" s="9" t="str"/>
      <x:c r="E2109" s="9" t="str"/>
      <x:c r="F2109" s="13" t="str">
        <x:v>2015</x:v>
      </x:c>
      <x:c r="G2109" s="9" t="str">
        <x:v>England and Wales Court of Appeal (Civil Division)</x:v>
      </x:c>
      <x:c r="H2109" s="9" t="str">
        <x:v>appellate</x:v>
      </x:c>
      <x:c r="I2109" s="9" t="str">
        <x:v>England and Wales</x:v>
      </x:c>
      <x:c r="J2109" s="9" t="str">
        <x:v>Contract Dispute</x:v>
      </x:c>
      <x:c r="K2109" s="9" t="str">
        <x:v>-ew-cases-EWCA-Civ-2015-1110.xml</x:v>
      </x:c>
      <x:c r="L2109" s="9" t="str">
        <x:v>TBA</x:v>
      </x:c>
    </x:row>
    <x:row r="2110">
      <x:c r="A2110" t="str">
        <x:v>7edd6035-36d8-4557-80a5-ce93a9b087eb</x:v>
      </x:c>
      <x:c r="B2110" t="str">
        <x:v>75bf864c-4335-4c13-860c-6f48cefa9128</x:v>
      </x:c>
      <x:c r="C2110" s="9" t="str">
        <x:v>Mortgage Express v Lambert [2016] EWCA Civ 555</x:v>
      </x:c>
      <x:c r="D2110" s="9" t="str"/>
      <x:c r="E2110" s="9" t="str"/>
      <x:c r="F2110" s="13" t="str">
        <x:v>2016</x:v>
      </x:c>
      <x:c r="G2110" s="9" t="str">
        <x:v>England and Wales Court of Appeal (Civil Division)</x:v>
      </x:c>
      <x:c r="H2110" s="9" t="str">
        <x:v>Court of Appeal (Civil Division)</x:v>
      </x:c>
      <x:c r="I2110" s="9" t="str">
        <x:v>England and Wales</x:v>
      </x:c>
      <x:c r="J2110" s="9" t="str">
        <x:v>Civil – Property Law (Land Registration)</x:v>
      </x:c>
      <x:c r="K2110" s="9" t="str">
        <x:v>-ew-cases-EWCA-Civ-2016-555.xml</x:v>
      </x:c>
      <x:c r="L2110" s="9" t="str">
        <x:v>TBA</x:v>
      </x:c>
    </x:row>
    <x:row r="2111">
      <x:c r="A2111" t="str">
        <x:v>7710bec6-8b49-437f-bfcb-74e0c59a127b</x:v>
      </x:c>
      <x:c r="B2111" t="str">
        <x:v>8e4c7d6b-50fe-40f3-8219-02e35b5338bd</x:v>
      </x:c>
      <x:c r="C2111" s="9" t="str">
        <x:v>Morton &amp; Anor v Morton [2023] EWCA Civ 700</x:v>
      </x:c>
      <x:c r="D2111" s="9" t="str"/>
      <x:c r="E2111" s="9" t="str"/>
      <x:c r="F2111" s="13" t="str">
        <x:v>2023</x:v>
      </x:c>
      <x:c r="G2111" s="9" t="str">
        <x:v>England and Wales Court of Appeal (Civil Division)</x:v>
      </x:c>
      <x:c r="H2111" s="9" t="str">
        <x:v>Court of Appeal (Civil Division)</x:v>
      </x:c>
      <x:c r="I2111" s="9" t="str">
        <x:v>England and Wales</x:v>
      </x:c>
      <x:c r="J2111" s="9" t="str">
        <x:v>Contract/Partnership; Equity; Property/Trusts; Civil Procedure</x:v>
      </x:c>
      <x:c r="K2111" s="9" t="str">
        <x:v>ew-cases-EWCA-Civ-2023-700.xml</x:v>
      </x:c>
      <x:c r="L2111" s="9" t="str">
        <x:v>TBA</x:v>
      </x:c>
    </x:row>
    <x:row r="2112">
      <x:c r="A2112" t="str">
        <x:v>78aefed4-000b-46cb-a7a0-b882ff7c9218</x:v>
      </x:c>
      <x:c r="B2112" t="str">
        <x:v>313851a2-c4b1-4daf-8258-da9c3ffb847e</x:v>
      </x:c>
      <x:c r="C2112" s="9" t="str">
        <x:v>Mostyn House Estate Management Company Limited v Youde &amp; Ors [2022] EWCA Civ 929</x:v>
      </x:c>
      <x:c r="D2112" s="9" t="str"/>
      <x:c r="E2112" s="9" t="str"/>
      <x:c r="F2112" s="13" t="str">
        <x:v>2022</x:v>
      </x:c>
      <x:c r="G2112" s="9" t="str">
        <x:v>Court of Appeal (Civil Division), England and Wales</x:v>
      </x:c>
      <x:c r="H2112" s="9" t="str">
        <x:v>Court of Appeal (Civil Division)</x:v>
      </x:c>
      <x:c r="I2112" s="9" t="str">
        <x:v>England and Wales</x:v>
      </x:c>
      <x:c r="J2112" s="9" t="str">
        <x:v>Contract/Property Law</x:v>
      </x:c>
      <x:c r="K2112" s="9" t="str">
        <x:v>ew-cases-EWCA-Civ-2022-929.xml</x:v>
      </x:c>
      <x:c r="L2112" s="9" t="str">
        <x:v>TBA</x:v>
      </x:c>
    </x:row>
    <x:row r="2113">
      <x:c r="A2113" t="str">
        <x:v>b5740928-d36c-4181-b14b-c61d4fbd4b59</x:v>
      </x:c>
      <x:c r="B2113" t="str">
        <x:v>f6001a99-5658-4684-9e50-ad6bdb76a3b1</x:v>
      </x:c>
      <x:c r="C2113" s="9" t="str">
        <x:v>Motorola Solutions, Inc &amp; Anor v Hytera Communications Corporation Ltd &amp; Anor</x:v>
      </x:c>
      <x:c r="D2113" s="9" t="str"/>
      <x:c r="E2113" s="9" t="str"/>
      <x:c r="F2113" s="13" t="str">
        <x:v>2021</x:v>
      </x:c>
      <x:c r="G2113" s="9" t="str">
        <x:v>England and Wales Court of Appeal (Civil Division)</x:v>
      </x:c>
      <x:c r="H2113" s="9" t="str">
        <x:v>Appellate</x:v>
      </x:c>
      <x:c r="I2113" s="9" t="str">
        <x:v>England and Wales</x:v>
      </x:c>
      <x:c r="J2113" s="9" t="str">
        <x:v>Civil Procedure</x:v>
      </x:c>
      <x:c r="K2113" s="9" t="str">
        <x:v>ew-cases-EWCA-Civ-2021-11.xml</x:v>
      </x:c>
      <x:c r="L2113" s="9" t="str">
        <x:v>TBA</x:v>
      </x:c>
    </x:row>
    <x:row r="2114">
      <x:c r="A2114" t="str">
        <x:v>28ef7f5d-f194-4da1-9cb1-e0cac06e352d</x:v>
      </x:c>
      <x:c r="B2114" t="str">
        <x:v>126384c6-71ee-4af8-ae92-223d88b7a66d</x:v>
      </x:c>
      <x:c r="C2114" s="9" t="str">
        <x:v>Mott v Environment Agency [2016] EWCA Civ 564</x:v>
      </x:c>
      <x:c r="D2114" s="9" t="str"/>
      <x:c r="E2114" s="9" t="str"/>
      <x:c r="F2114" s="13" t="str">
        <x:v>2016</x:v>
      </x:c>
      <x:c r="G2114" s="9" t="str">
        <x:v>England and Wales Court of Appeal (Civil Division)</x:v>
      </x:c>
      <x:c r="H2114" s="9" t="str">
        <x:v>Court of Appeal (Civil Division)</x:v>
      </x:c>
      <x:c r="I2114" s="9" t="str">
        <x:v>England and Wales</x:v>
      </x:c>
      <x:c r="J2114" s="9" t="str">
        <x:v>Administrative Law - Environmental Regulation</x:v>
      </x:c>
      <x:c r="K2114" s="9" t="str">
        <x:v>-ew-cases-EWCA-Civ-2016-564.xml</x:v>
      </x:c>
      <x:c r="L2114" s="9" t="str">
        <x:v>TBA</x:v>
      </x:c>
    </x:row>
    <x:row r="2115">
      <x:c r="A2115" t="str">
        <x:v>a42ecc36-c977-4975-ae3d-44ea25b3a22d</x:v>
      </x:c>
      <x:c r="B2115" t="str">
        <x:v>19a46eab-1f38-4f3d-a330-8949f9ebffd0</x:v>
      </x:c>
      <x:c r="C2115" s="9" t="str">
        <x:v>Mousasaoui v Secretary of State for the Home Department [2016] EWCA Civ 50</x:v>
      </x:c>
      <x:c r="D2115" s="9" t="str"/>
      <x:c r="E2115" s="9" t="str"/>
      <x:c r="F2115" s="13" t="str">
        <x:v>2016</x:v>
      </x:c>
      <x:c r="G2115" s="9" t="str">
        <x:v>England and Wales Court of Appeal (Civil Division)</x:v>
      </x:c>
      <x:c r="H2115" s="9" t="str">
        <x:v>Court of Appeal (Civil Division)</x:v>
      </x:c>
      <x:c r="I2115" s="9" t="str">
        <x:v>England and Wales</x:v>
      </x:c>
      <x:c r="J2115" s="9" t="str">
        <x:v>Immigration Law / Administrative Law</x:v>
      </x:c>
      <x:c r="K2115" s="9" t="str">
        <x:v>-ew-cases-EWCA-Civ-2016-50.xml</x:v>
      </x:c>
      <x:c r="L2115" s="9" t="str">
        <x:v>TBA</x:v>
      </x:c>
    </x:row>
    <x:row r="2116">
      <x:c r="A2116" t="str">
        <x:v>3c9f3660-7b7c-4eb2-95cf-23ca73746447</x:v>
      </x:c>
      <x:c r="B2116" t="str">
        <x:v>2ac97049-9fe9-4ea0-af5b-5ad518f2d2a7</x:v>
      </x:c>
      <x:c r="C2116" s="9" t="str">
        <x:v>Mozumder v Secretary of State for the Home Department</x:v>
      </x:c>
      <x:c r="D2116" s="9" t="str"/>
      <x:c r="E2116" s="9" t="str"/>
      <x:c r="F2116" s="13" t="str">
        <x:v>2021</x:v>
      </x:c>
      <x:c r="G2116" s="9" t="str">
        <x:v>England and Wales Court of Appeal (Civil Division)</x:v>
      </x:c>
      <x:c r="H2116" s="9" t="str">
        <x:v>Appellate</x:v>
      </x:c>
      <x:c r="I2116" s="9" t="str">
        <x:v>England and Wales</x:v>
      </x:c>
      <x:c r="J2116" s="9" t="str">
        <x:v>Immigration Law</x:v>
      </x:c>
      <x:c r="K2116" s="9" t="str">
        <x:v>ew-cases-EWCA-Civ-2021-138.xml</x:v>
      </x:c>
      <x:c r="L2116" s="9" t="str">
        <x:v>TBA</x:v>
      </x:c>
    </x:row>
    <x:row r="2117">
      <x:c r="A2117" t="str">
        <x:v>8280cddc-4509-4ea5-a7e0-6e39c75e4f74</x:v>
      </x:c>
      <x:c r="B2117" t="str">
        <x:v>d536e126-40cc-442f-a765-09997d02d2c6</x:v>
      </x:c>
      <x:c r="C2117" s="9" t="str">
        <x:v>MP &amp; Anor v Secretary of State for the Home Department</x:v>
      </x:c>
      <x:c r="D2117" s="9" t="str"/>
      <x:c r="E2117" s="9" t="str"/>
      <x:c r="F2117" s="13" t="str">
        <x:v>2014</x:v>
      </x:c>
      <x:c r="G2117" s="9" t="str">
        <x:v>England and Wales Court of Appeal (Civil Division)</x:v>
      </x:c>
      <x:c r="H2117" s="9" t="str">
        <x:v>Appellate</x:v>
      </x:c>
      <x:c r="I2117" s="9" t="str">
        <x:v>England and Wales</x:v>
      </x:c>
      <x:c r="J2117" s="9" t="str">
        <x:v>Immigration Law</x:v>
      </x:c>
      <x:c r="K2117" s="9" t="str">
        <x:v>-ew-cases-EWCA-Civ-2014-829.xml</x:v>
      </x:c>
      <x:c r="L2117" s="9" t="str">
        <x:v>TBA</x:v>
      </x:c>
    </x:row>
    <x:row r="2118">
      <x:c r="A2118" t="str">
        <x:v>544a74c9-1f67-43c1-995b-5bcda2b4b6d7</x:v>
      </x:c>
      <x:c r="B2118" t="str">
        <x:v>8850b6ec-26ad-4c4a-bd8c-706875f19368</x:v>
      </x:c>
      <x:c r="C2118" s="9" t="str">
        <x:v>MQ v Secretary of State for the Home Department [2015] EWCA Civ 726</x:v>
      </x:c>
      <x:c r="D2118" s="9" t="str"/>
      <x:c r="E2118" s="9" t="str"/>
      <x:c r="F2118" s="13" t="str">
        <x:v>2015</x:v>
      </x:c>
      <x:c r="G2118" s="9" t="str">
        <x:v>England and Wales Court of Appeal (Civil Division)</x:v>
      </x:c>
      <x:c r="H2118" s="9" t="str">
        <x:v>Appellate</x:v>
      </x:c>
      <x:c r="I2118" s="9" t="str">
        <x:v>England and Wales</x:v>
      </x:c>
      <x:c r="J2118" s="9" t="str">
        <x:v>Administrative Law / Immigration</x:v>
      </x:c>
      <x:c r="K2118" s="9" t="str">
        <x:v>-ew-cases-EWCA-Civ-2015-726.xml</x:v>
      </x:c>
      <x:c r="L2118" s="9" t="str">
        <x:v>TBA</x:v>
      </x:c>
    </x:row>
    <x:row r="2119">
      <x:c r="A2119" t="str">
        <x:v>09109314-2874-4931-9567-491beb718c11</x:v>
      </x:c>
      <x:c r="B2119" t="str">
        <x:v>73747391-2c79-417a-9586-5c141f28b46a</x:v>
      </x:c>
      <x:c r="C2119" s="9" t="str">
        <x:v>MR (India) v Secretary of State for the Home Department</x:v>
      </x:c>
      <x:c r="D2119" s="9" t="str"/>
      <x:c r="E2119" s="9" t="str"/>
      <x:c r="F2119" s="13" t="str">
        <x:v>2015</x:v>
      </x:c>
      <x:c r="G2119" s="9" t="str">
        <x:v>England and Wales Court of Appeal (Civil Division)</x:v>
      </x:c>
      <x:c r="H2119" s="9" t="str">
        <x:v>Appellate</x:v>
      </x:c>
      <x:c r="I2119" s="9" t="str">
        <x:v>England and Wales</x:v>
      </x:c>
      <x:c r="J2119" s="9" t="str">
        <x:v>Immigration Law</x:v>
      </x:c>
      <x:c r="K2119" s="9" t="str">
        <x:v>-ew-cases-EWCA-Civ-2015-862.xml</x:v>
      </x:c>
      <x:c r="L2119" s="9" t="str">
        <x:v>TBA</x:v>
      </x:c>
    </x:row>
    <x:row r="2120">
      <x:c r="A2120" t="str">
        <x:v>bdcdd439-e4f5-4367-b0c9-85c5d3ab1f2a</x:v>
      </x:c>
      <x:c r="B2120" t="str">
        <x:v>3ed98197-2320-488d-a3b9-64dce9d7d6cd</x:v>
      </x:c>
      <x:c r="C2120" s="9" t="str">
        <x:v>MR (Pakistan) &amp; Anor v Secretary of State for Justice &amp; Orse [2021] EWCA Civ 541</x:v>
      </x:c>
      <x:c r="D2120" s="9" t="str"/>
      <x:c r="E2120" s="9" t="str"/>
      <x:c r="F2120" s="13" t="str">
        <x:v>2021</x:v>
      </x:c>
      <x:c r="G2120" s="9" t="str">
        <x:v>England and Wales Court of Appeal (Civil Division)</x:v>
      </x:c>
      <x:c r="H2120" s="9" t="str">
        <x:v>Appellate</x:v>
      </x:c>
      <x:c r="I2120" s="9" t="str">
        <x:v>England and Wales</x:v>
      </x:c>
      <x:c r="J2120" s="9" t="str">
        <x:v>Administrative Law</x:v>
      </x:c>
      <x:c r="K2120" s="9" t="str">
        <x:v>ew-cases-EWCA-Civ-2021-541.xml</x:v>
      </x:c>
      <x:c r="L2120" s="9" t="str">
        <x:v>TBA</x:v>
      </x:c>
    </x:row>
    <x:row r="2121">
      <x:c r="A2121" t="str">
        <x:v>067d66db-0571-4b92-a502-63ba762212cc</x:v>
      </x:c>
      <x:c r="B2121" t="str">
        <x:v>ca64b8d0-92e7-4976-a823-9a4a47e7a668</x:v>
      </x:c>
      <x:c r="C2121" s="9" t="str">
        <x:v>MS (Pakistan) v Secretary of State for the Home Department</x:v>
      </x:c>
      <x:c r="D2121" s="9" t="str"/>
      <x:c r="E2121" s="9" t="str"/>
      <x:c r="F2121" s="13" t="str">
        <x:v>2015</x:v>
      </x:c>
      <x:c r="G2121" s="9" t="str">
        <x:v>England and Wales Court of Appeal (Civil Division)</x:v>
      </x:c>
      <x:c r="H2121" s="9" t="str">
        <x:v>Appellate</x:v>
      </x:c>
      <x:c r="I2121" s="9" t="str">
        <x:v>England and Wales</x:v>
      </x:c>
      <x:c r="J2121" s="9" t="str">
        <x:v>Administrative Law</x:v>
      </x:c>
      <x:c r="K2121" s="9" t="str">
        <x:v>-ew-cases-EWCA-Civ-2015-1404.xml</x:v>
      </x:c>
      <x:c r="L2121" s="9" t="str">
        <x:v>TBA</x:v>
      </x:c>
    </x:row>
    <x:row r="2122">
      <x:c r="A2122" t="str">
        <x:v>4b4e98ac-53f3-457e-a8d3-822f6a401373</x:v>
      </x:c>
      <x:c r="B2122" t="str">
        <x:v>7026a9da-7399-439b-a532-b7ef45661a07</x:v>
      </x:c>
      <x:c r="C2122" s="9" t="str">
        <x:v>MS (Sri Lanka) v Secretary of State for the Home Department [2015] EWCA Civ 644</x:v>
      </x:c>
      <x:c r="D2122" s="9" t="str"/>
      <x:c r="E2122" s="9" t="str"/>
      <x:c r="F2122" s="13" t="str">
        <x:v>2015</x:v>
      </x:c>
      <x:c r="G2122" s="9" t="str">
        <x:v>England and Wales Court of Appeal (Civil Division)</x:v>
      </x:c>
      <x:c r="H2122" s="9" t="str">
        <x:v>Appellate</x:v>
      </x:c>
      <x:c r="I2122" s="9" t="str">
        <x:v>England and Wales</x:v>
      </x:c>
      <x:c r="J2122" s="9" t="str">
        <x:v>Immigration Law</x:v>
      </x:c>
      <x:c r="K2122" s="9" t="str">
        <x:v>-ew-cases-EWCA-Civ-2015-644.xml</x:v>
      </x:c>
      <x:c r="L2122" s="9" t="str">
        <x:v>TBA</x:v>
      </x:c>
    </x:row>
    <x:row r="2123">
      <x:c r="A2123" t="str">
        <x:v>766b5944-0de2-458c-a000-11be904e3fe3</x:v>
      </x:c>
      <x:c r="B2123" t="str">
        <x:v>6d20c546-f971-4475-a8b9-a0c4a265f883</x:v>
      </x:c>
      <x:c r="C2123" s="9" t="str">
        <x:v>MS (Uganda) v Secretary of State for the Home Department</x:v>
      </x:c>
      <x:c r="D2123" s="9" t="str"/>
      <x:c r="E2123" s="9" t="str"/>
      <x:c r="F2123" s="13" t="str">
        <x:v>2014</x:v>
      </x:c>
      <x:c r="G2123" s="9" t="str">
        <x:v>England and Wales Court of Appeal (Civil Division)</x:v>
      </x:c>
      <x:c r="H2123" s="9" t="str">
        <x:v>Appellate</x:v>
      </x:c>
      <x:c r="I2123" s="9" t="str">
        <x:v>England and Wales</x:v>
      </x:c>
      <x:c r="J2123" s="9" t="str">
        <x:v>Immigration Law</x:v>
      </x:c>
      <x:c r="K2123" s="9" t="str">
        <x:v>-ew-cases-EWCA-Civ-2014-50.xml</x:v>
      </x:c>
      <x:c r="L2123" s="9" t="str">
        <x:v>TBA</x:v>
      </x:c>
    </x:row>
    <x:row r="2124">
      <x:c r="A2124" t="str">
        <x:v>55a8d756-d26a-492c-94d6-590fdff9f81d</x:v>
      </x:c>
      <x:c r="B2124" t="str">
        <x:v>e4d0d8f2-1d41-4f68-a749-839252ecf132</x:v>
      </x:c>
      <x:c r="C2124" s="9" t="str">
        <x:v>MS (Zimbabwe) v Secretary of State for the Home Department [2021] EWCA Civ 941</x:v>
      </x:c>
      <x:c r="D2124" s="9" t="str"/>
      <x:c r="E2124" s="9" t="str"/>
      <x:c r="F2124" s="13" t="str">
        <x:v>2021</x:v>
      </x:c>
      <x:c r="G2124" s="9" t="str">
        <x:v>England and Wales Court of Appeal (Civil Division)</x:v>
      </x:c>
      <x:c r="H2124" s="9" t="str">
        <x:v>Appellate</x:v>
      </x:c>
      <x:c r="I2124" s="9" t="str">
        <x:v>England and Wales</x:v>
      </x:c>
      <x:c r="J2124" s="9" t="str">
        <x:v>Immigration Law</x:v>
      </x:c>
      <x:c r="K2124" s="9" t="str">
        <x:v>ew-cases-EWCA-Civ-2021-941.xml</x:v>
      </x:c>
      <x:c r="L2124" s="9" t="str">
        <x:v>TBA</x:v>
      </x:c>
    </x:row>
    <x:row r="2125">
      <x:c r="A2125" t="str">
        <x:v>58a57055-9f3b-4c8c-a0a5-702cf50c5488</x:v>
      </x:c>
      <x:c r="B2125" t="str">
        <x:v>0f1397db-ed20-4e8c-b81a-3554dfdbcb2a</x:v>
      </x:c>
      <x:c r="C2125" s="9" t="str">
        <x:v>MS &amp; Anor v The Secretary of State for the Home Department [2017] EWCA Civ 1190</x:v>
      </x:c>
      <x:c r="D2125" s="9" t="str"/>
      <x:c r="E2125" s="9" t="str"/>
      <x:c r="F2125" s="13" t="str">
        <x:v>2017</x:v>
      </x:c>
      <x:c r="G2125" s="9" t="str">
        <x:v>England and Wales Court of Appeal (Civil Division)</x:v>
      </x:c>
      <x:c r="H2125" s="9" t="str">
        <x:v>Appellate</x:v>
      </x:c>
      <x:c r="I2125" s="9" t="str">
        <x:v>England and Wales</x:v>
      </x:c>
      <x:c r="J2125" s="9" t="str">
        <x:v>Immigration</x:v>
      </x:c>
      <x:c r="K2125" s="9" t="str">
        <x:v>-ew-cases-EWCA-Civ-2017-1190.xml</x:v>
      </x:c>
      <x:c r="L2125" s="9" t="str">
        <x:v>TBA</x:v>
      </x:c>
    </x:row>
    <x:row r="2126">
      <x:c r="A2126" t="str">
        <x:v>8db01dab-6583-4c3c-acc8-35b478d6cc48</x:v>
      </x:c>
      <x:c r="B2126" t="str">
        <x:v>38bc3d86-0553-4c90-ad3a-a10639f51476</x:v>
      </x:c>
      <x:c r="C2126" s="9" t="str">
        <x:v>Ms Susan Louise Cox v Woodlands Manor Care Home</x:v>
      </x:c>
      <x:c r="D2126" s="9" t="str"/>
      <x:c r="E2126" s="9" t="str"/>
      <x:c r="F2126" s="13" t="str">
        <x:v>2015</x:v>
      </x:c>
      <x:c r="G2126" s="9" t="str">
        <x:v>England and Wales Court of Appeal (Civil Division)</x:v>
      </x:c>
      <x:c r="H2126" s="9" t="str">
        <x:v>Appellate</x:v>
      </x:c>
      <x:c r="I2126" s="9" t="str">
        <x:v>England and Wales</x:v>
      </x:c>
      <x:c r="J2126" s="9" t="str">
        <x:v>Civil Appeal</x:v>
      </x:c>
      <x:c r="K2126" s="9" t="str">
        <x:v>-ew-cases-EWCA-Civ-2015-415.xml</x:v>
      </x:c>
      <x:c r="L2126" s="9" t="str">
        <x:v>TBA</x:v>
      </x:c>
    </x:row>
    <x:row r="2127">
      <x:c r="A2127" t="str">
        <x:v>efe0f980-981d-4fda-ab5f-0b47d0342591</x:v>
      </x:c>
      <x:c r="B2127" t="str">
        <x:v>6cecd02f-6d40-4d13-80f4-06b5a5ada00e</x:v>
      </x:c>
      <x:c r="C2127" s="9" t="str">
        <x:v>MSC Mediterranean Shipping Company S.A. v Cottonex Anstalt [2016] EWCA Civ 789</x:v>
      </x:c>
      <x:c r="D2127" s="9" t="str"/>
      <x:c r="E2127" s="9" t="str"/>
      <x:c r="F2127" s="13" t="str">
        <x:v>2016</x:v>
      </x:c>
      <x:c r="G2127" s="9" t="str">
        <x:v>England and Wales Court of Appeal (Civil Division)</x:v>
      </x:c>
      <x:c r="H2127" s="9" t="str">
        <x:v>Court of Appeal</x:v>
      </x:c>
      <x:c r="I2127" s="9" t="str">
        <x:v>England and Wales</x:v>
      </x:c>
      <x:c r="J2127" s="9" t="str">
        <x:v>Contract Dispute / Maritime Law</x:v>
      </x:c>
      <x:c r="K2127" s="9" t="str">
        <x:v>-ew-cases-EWCA-Civ-2016-789.xml</x:v>
      </x:c>
      <x:c r="L2127" s="9" t="str">
        <x:v>TBA</x:v>
      </x:c>
    </x:row>
    <x:row r="2128">
      <x:c r="A2128" t="str">
        <x:v>b458813e-4876-4952-a310-19064e82ecc3</x:v>
      </x:c>
      <x:c r="B2128" t="str">
        <x:v>8c8df71f-4ac1-4950-b08c-f5b40295d8e4</x:v>
      </x:c>
      <x:c r="C2128" s="9" t="str">
        <x:v>MSC Mediterranean Shipping Company S.A. v Glencore International AG</x:v>
      </x:c>
      <x:c r="D2128" s="9" t="str"/>
      <x:c r="E2128" s="9" t="str"/>
      <x:c r="F2128" s="13" t="str">
        <x:v>2017</x:v>
      </x:c>
      <x:c r="G2128" s="9" t="str">
        <x:v>England and Wales Court of Appeal (Civil Division)</x:v>
      </x:c>
      <x:c r="H2128" s="9" t="str">
        <x:v>Appellate</x:v>
      </x:c>
      <x:c r="I2128" s="9" t="str">
        <x:v>England and Wales</x:v>
      </x:c>
      <x:c r="J2128" s="9" t="str">
        <x:v>Contract Dispute</x:v>
      </x:c>
      <x:c r="K2128" s="9" t="str">
        <x:v>-ew-cases-EWCA-Civ-2017-365.xml</x:v>
      </x:c>
      <x:c r="L2128" s="9" t="str">
        <x:v>TBA</x:v>
      </x:c>
    </x:row>
    <x:row r="2129">
      <x:c r="A2129" t="str">
        <x:v>9f534e13-edc8-47f2-bc00-b3e28857bd16</x:v>
      </x:c>
      <x:c r="B2129" t="str">
        <x:v>d4f95cc2-f7cb-4ac4-a944-7003f8003e21</x:v>
      </x:c>
      <x:c r="C2129" s="9" t="str">
        <x:v>MT Højgaard A/S v E.On Climate And Renewables UK Robin Rigg East Ltd &amp; Anor [2015] EWCA Civ 407</x:v>
      </x:c>
      <x:c r="D2129" s="9" t="str"/>
      <x:c r="E2129" s="9" t="str"/>
      <x:c r="F2129" s="13" t="str">
        <x:v>2015</x:v>
      </x:c>
      <x:c r="G2129" s="9" t="str">
        <x:v>England and Wales Court of Appeal (Civil Division)</x:v>
      </x:c>
      <x:c r="H2129" s="9" t="str">
        <x:v>Appellate</x:v>
      </x:c>
      <x:c r="I2129" s="9" t="str">
        <x:v>England and Wales</x:v>
      </x:c>
      <x:c r="J2129" s="9" t="str">
        <x:v>Contract Dispute</x:v>
      </x:c>
      <x:c r="K2129" s="9" t="str">
        <x:v>-ew-cases-EWCA-Civ-2015-407.xml</x:v>
      </x:c>
      <x:c r="L2129" s="9" t="str">
        <x:v>TBA</x:v>
      </x:c>
    </x:row>
    <x:row r="2130">
      <x:c r="A2130" t="str">
        <x:v>ddf5005e-648b-4270-98ee-3e5e3d09c628</x:v>
      </x:c>
      <x:c r="B2130" t="str">
        <x:v>50f3324e-7e20-444c-b5c6-18d53dfb80ed</x:v>
      </x:c>
      <x:c r="C2130" s="9" t="str">
        <x:v>MTR Bailey Trading Ltd v Barclays Bank Plc [2015] EWCA Civ 667</x:v>
      </x:c>
      <x:c r="D2130" s="9" t="str"/>
      <x:c r="E2130" s="9" t="str"/>
      <x:c r="F2130" s="13" t="str">
        <x:v>2015</x:v>
      </x:c>
      <x:c r="G2130" s="9" t="str">
        <x:v>England and Wales Court of Appeal (Civil Division)</x:v>
      </x:c>
      <x:c r="H2130" s="9" t="str">
        <x:v>Appellate</x:v>
      </x:c>
      <x:c r="I2130" s="9" t="str">
        <x:v>England and Wales</x:v>
      </x:c>
      <x:c r="J2130" s="9" t="str">
        <x:v>Contract Dispute</x:v>
      </x:c>
      <x:c r="K2130" s="9" t="str">
        <x:v>-ew-cases-EWCA-Civ-2015-667.xml</x:v>
      </x:c>
      <x:c r="L2130" s="9" t="str">
        <x:v>TBA</x:v>
      </x:c>
    </x:row>
    <x:row r="2131">
      <x:c r="A2131" t="str">
        <x:v>dd43598f-5fb4-4b2c-848c-14d715939063</x:v>
      </x:c>
      <x:c r="B2131" t="str">
        <x:v>e15bace5-1bf7-4b10-9edc-88422fd56d42</x:v>
      </x:c>
      <x:c r="C2131" s="9" t="str">
        <x:v>Mudibo v Secretary of State for the Home Department</x:v>
      </x:c>
      <x:c r="D2131" s="9" t="str"/>
      <x:c r="E2131" s="9" t="str"/>
      <x:c r="F2131" s="13" t="str">
        <x:v>2017</x:v>
      </x:c>
      <x:c r="G2131" s="9" t="str">
        <x:v>England and Wales Court of Appeal (Civil Division)</x:v>
      </x:c>
      <x:c r="H2131" s="9" t="str">
        <x:v>Appellate</x:v>
      </x:c>
      <x:c r="I2131" s="9" t="str">
        <x:v>England and Wales</x:v>
      </x:c>
      <x:c r="J2131" s="9" t="str">
        <x:v>Immigration Law</x:v>
      </x:c>
      <x:c r="K2131" s="9" t="str">
        <x:v>-ew-cases-EWCA-Civ-2017-1949.xml</x:v>
      </x:c>
      <x:c r="L2131" s="9" t="str">
        <x:v>TBA</x:v>
      </x:c>
    </x:row>
    <x:row r="2132">
      <x:c r="A2132" t="str">
        <x:v>fcc7b17f-dd79-430f-ae5f-1382a48a199c</x:v>
      </x:c>
      <x:c r="B2132" t="str">
        <x:v>cd0cf5f9-a506-4102-86bc-7b3babdd1774</x:v>
      </x:c>
      <x:c r="C2132" s="9" t="str">
        <x:v>Mudibo v Secretary of State for the Home Department</x:v>
      </x:c>
      <x:c r="D2132" s="9" t="str"/>
      <x:c r="E2132" s="9" t="str"/>
      <x:c r="F2132" s="13" t="str">
        <x:v>2015</x:v>
      </x:c>
      <x:c r="G2132" s="9" t="str">
        <x:v>England and Wales Court of Appeal (Civil Division)</x:v>
      </x:c>
      <x:c r="H2132" s="9" t="str">
        <x:v>Appellate</x:v>
      </x:c>
      <x:c r="I2132" s="9" t="str">
        <x:v>England and Wales</x:v>
      </x:c>
      <x:c r="J2132" s="9" t="str">
        <x:v>Immigration Law</x:v>
      </x:c>
      <x:c r="K2132" s="9" t="str">
        <x:v>-ew-cases-EWCA-Civ-2015-1588.xml</x:v>
      </x:c>
      <x:c r="L2132" s="9" t="str">
        <x:v>TBA</x:v>
      </x:c>
    </x:row>
    <x:row r="2133">
      <x:c r="A2133" t="str">
        <x:v>93f3babb-fd1a-41b1-881e-05af4267eceb</x:v>
      </x:c>
      <x:c r="B2133" t="str">
        <x:v>c275239a-3da3-47b5-bdee-8c667a74c98f</x:v>
      </x:c>
      <x:c r="C2133" s="9" t="str">
        <x:v>Mujahid, R (On the Application Of) v First Tier Tribunal (Immigration and Asylum Chamber)</x:v>
      </x:c>
      <x:c r="D2133" s="9" t="str"/>
      <x:c r="E2133" s="9" t="str"/>
      <x:c r="F2133" s="13" t="str">
        <x:v>2021</x:v>
      </x:c>
      <x:c r="G2133" s="9" t="str">
        <x:v>England and Wales Court of Appeal (Civil Division)</x:v>
      </x:c>
      <x:c r="H2133" s="9" t="str">
        <x:v>Appellate</x:v>
      </x:c>
      <x:c r="I2133" s="9" t="str">
        <x:v>England and Wales</x:v>
      </x:c>
      <x:c r="J2133" s="9" t="str">
        <x:v>Immigration Law</x:v>
      </x:c>
      <x:c r="K2133" s="9" t="str">
        <x:v>ew-cases-EWCA-Civ-2021-449.xml</x:v>
      </x:c>
      <x:c r="L2133" s="9" t="str">
        <x:v>TBA</x:v>
      </x:c>
    </x:row>
    <x:row r="2134">
      <x:c r="A2134" t="str">
        <x:v>4b7f1e7c-fac4-4680-883d-c59fe929fd2d</x:v>
      </x:c>
      <x:c r="B2134" t="str">
        <x:v>8e7cb8fd-bf04-47d3-a2be-008bae217d4d</x:v>
      </x:c>
      <x:c r="C2134" s="9" t="str">
        <x:v>Mulalley &amp; Co. Ltd v Martlet Homes Ltd [2022] EWCA Civ 32</x:v>
      </x:c>
      <x:c r="D2134" s="9" t="str"/>
      <x:c r="E2134" s="9" t="str"/>
      <x:c r="F2134" s="13" t="str">
        <x:v>2022</x:v>
      </x:c>
      <x:c r="G2134" s="9" t="str">
        <x:v>England and Wales Court of Appeal (Civil Division)</x:v>
      </x:c>
      <x:c r="H2134" s="9" t="str">
        <x:v>Court of Appeal (Civil Division)</x:v>
      </x:c>
      <x:c r="I2134" s="9" t="str">
        <x:v>England and Wales</x:v>
      </x:c>
      <x:c r="J2134" s="9" t="str">
        <x:v>Construction/Contract Dispute</x:v>
      </x:c>
      <x:c r="K2134" s="9" t="str">
        <x:v>ew-cases-EWCA-Civ-2022-32.xml</x:v>
      </x:c>
      <x:c r="L2134" s="9" t="str">
        <x:v>TBA</x:v>
      </x:c>
    </x:row>
    <x:row r="2135">
      <x:c r="A2135" t="str">
        <x:v>d0fde1f7-7118-4138-a9c1-9a3d221d1cfb</x:v>
      </x:c>
      <x:c r="B2135" t="str">
        <x:v>b5095ee5-1916-4d0f-985c-48e566fd8423</x:v>
      </x:c>
      <x:c r="C2135" s="9" t="str">
        <x:v>Mulla v Hackney Learning Trust [2014] EWCA Civ 397</x:v>
      </x:c>
      <x:c r="D2135" s="9" t="str"/>
      <x:c r="E2135" s="9" t="str"/>
      <x:c r="F2135" s="13" t="str">
        <x:v>2014</x:v>
      </x:c>
      <x:c r="G2135" s="9" t="str">
        <x:v>England and Wales Court of Appeal (Civil Division)</x:v>
      </x:c>
      <x:c r="H2135" s="9" t="str">
        <x:v>Appellate</x:v>
      </x:c>
      <x:c r="I2135" s="9" t="str">
        <x:v>England and Wales</x:v>
      </x:c>
      <x:c r="J2135" s="9" t="str">
        <x:v>Administrative Law</x:v>
      </x:c>
      <x:c r="K2135" s="9" t="str">
        <x:v>-ew-cases-EWCA-Civ-2014-397.xml</x:v>
      </x:c>
      <x:c r="L2135" s="9" t="str">
        <x:v>TBA</x:v>
      </x:c>
    </x:row>
    <x:row r="2136">
      <x:c r="A2136" t="str">
        <x:v>06f557cf-ca0f-4cd5-8720-60400809d0ee</x:v>
      </x:c>
      <x:c r="B2136" t="str">
        <x:v>19fa4c00-9fe9-458e-9201-3c5f0ae2662f</x:v>
      </x:c>
      <x:c r="C2136" s="9" t="str">
        <x:v>Mulugeta Guadie Mengiste &amp; Anor v Endowment Fund for the Rehabilitation of Tigray &amp; Ors</x:v>
      </x:c>
      <x:c r="D2136" s="9" t="str"/>
      <x:c r="E2136" s="9" t="str"/>
      <x:c r="F2136" s="13" t="str">
        <x:v>2017</x:v>
      </x:c>
      <x:c r="G2136" s="9" t="str">
        <x:v>England and Wales Court of Appeal (Civil Division)</x:v>
      </x:c>
      <x:c r="H2136" s="9" t="str">
        <x:v>Appellate</x:v>
      </x:c>
      <x:c r="I2136" s="9" t="str">
        <x:v>England and Wales</x:v>
      </x:c>
      <x:c r="J2136" s="9" t="str">
        <x:v>Civil Appeals</x:v>
      </x:c>
      <x:c r="K2136" s="9" t="str">
        <x:v>-ew-cases-EWCA-Civ-2017-1326.xml</x:v>
      </x:c>
      <x:c r="L2136" s="9" t="str">
        <x:v>TBA</x:v>
      </x:c>
    </x:row>
    <x:row r="2137">
      <x:c r="A2137" t="str">
        <x:v>887b2705-4af6-4241-a040-73f46e59aaf0</x:v>
      </x:c>
      <x:c r="B2137" t="str">
        <x:v>d7e26b55-29e0-43a1-a668-857eea7d5b9f</x:v>
      </x:c>
      <x:c r="C2137" s="9" t="str">
        <x:v>Mungu, R (On the Application Of) v The Secretary of State for the Home Department</x:v>
      </x:c>
      <x:c r="D2137" s="9" t="str"/>
      <x:c r="E2137" s="9" t="str"/>
      <x:c r="F2137" s="13" t="str">
        <x:v>2021</x:v>
      </x:c>
      <x:c r="G2137" s="9" t="str">
        <x:v>England and Wales Court of Appeal (Civil Division)</x:v>
      </x:c>
      <x:c r="H2137" s="9" t="str">
        <x:v>Appellate</x:v>
      </x:c>
      <x:c r="I2137" s="9" t="str">
        <x:v>England and Wales</x:v>
      </x:c>
      <x:c r="J2137" s="9" t="str">
        <x:v>Immigration Law</x:v>
      </x:c>
      <x:c r="K2137" s="9" t="str">
        <x:v>ew-cases-EWCA-Civ-2021-1076.xml</x:v>
      </x:c>
      <x:c r="L2137" s="9" t="str">
        <x:v>TBA</x:v>
      </x:c>
    </x:row>
    <x:row r="2138">
      <x:c r="A2138" t="str">
        <x:v>87495ece-fad9-4469-bce8-3303b5f8b4bf</x:v>
      </x:c>
      <x:c r="B2138" t="str">
        <x:v>d9f847ad-9dcb-47d7-ae7a-5de44abdb09b</x:v>
      </x:c>
      <x:c r="C2138" s="9" t="str">
        <x:v>Municipio De Mariana &amp; Ors v BHP Group Plc &amp; Anor [2021] EWCA Civ 1156</x:v>
      </x:c>
      <x:c r="D2138" s="9" t="str"/>
      <x:c r="E2138" s="9" t="str"/>
      <x:c r="F2138" s="13" t="str">
        <x:v>2021</x:v>
      </x:c>
      <x:c r="G2138" s="9" t="str">
        <x:v>England and Wales Court of Appeal (Civil Division)</x:v>
      </x:c>
      <x:c r="H2138" s="9" t="str">
        <x:v>Appellate</x:v>
      </x:c>
      <x:c r="I2138" s="9" t="str">
        <x:v>England and Wales</x:v>
      </x:c>
      <x:c r="J2138" s="9" t="str">
        <x:v>Civil Procedure</x:v>
      </x:c>
      <x:c r="K2138" s="9" t="str">
        <x:v>ew-cases-EWCA-Civ-2021-1156.xml</x:v>
      </x:c>
      <x:c r="L2138" s="9" t="str">
        <x:v>TBA</x:v>
      </x:c>
    </x:row>
    <x:row r="2139">
      <x:c r="A2139" t="str">
        <x:v>6af1f22c-00e4-45dd-aa82-56210167f67a</x:v>
      </x:c>
      <x:c r="B2139" t="str">
        <x:v>de31f448-8314-4535-b841-75e23ab56a91</x:v>
      </x:c>
      <x:c r="C2139" s="9" t="str">
        <x:v>Municipio de Mariana v BHP Group (UK) Ltd &amp; Anor [2022] EWCA Civ 951</x:v>
      </x:c>
      <x:c r="D2139" s="9" t="str"/>
      <x:c r="E2139" s="9" t="str"/>
      <x:c r="F2139" s="13" t="str">
        <x:v>2022</x:v>
      </x:c>
      <x:c r="G2139" s="9" t="str">
        <x:v>England and Wales Court of Appeal (Civil Division)</x:v>
      </x:c>
      <x:c r="H2139" s="9" t="str">
        <x:v>Court of Appeal (Civil Division)</x:v>
      </x:c>
      <x:c r="I2139" s="9" t="str">
        <x:v>England and Wales</x:v>
      </x:c>
      <x:c r="J2139" s="9" t="str">
        <x:v>Civil Procedure; International Jurisdiction; Group Litigation; Environmental Mass Tort</x:v>
      </x:c>
      <x:c r="K2139" s="9" t="str">
        <x:v>ew-cases-EWCA-Civ-2022-951.xml</x:v>
      </x:c>
      <x:c r="L2139" s="9" t="str">
        <x:v>TBA</x:v>
      </x:c>
    </x:row>
    <x:row r="2140">
      <x:c r="A2140" t="str">
        <x:v>51bbae97-9faa-41b7-8a04-1f2ea11ee19b</x:v>
      </x:c>
      <x:c r="B2140" t="str">
        <x:v>980664d4-6e5c-403d-aa66-1a8a2a8edde8</x:v>
      </x:c>
      <x:c r="C2140" s="9" t="str">
        <x:v>Munir v Revenue And Customs</x:v>
      </x:c>
      <x:c r="D2140" s="9" t="str"/>
      <x:c r="E2140" s="9" t="str"/>
      <x:c r="F2140" s="13" t="str">
        <x:v>2021</x:v>
      </x:c>
      <x:c r="G2140" s="9" t="str">
        <x:v>England and Wales Court of Appeal (Civil Division)</x:v>
      </x:c>
      <x:c r="H2140" s="9" t="str">
        <x:v>Appellate</x:v>
      </x:c>
      <x:c r="I2140" s="9" t="str">
        <x:v>England and Wales</x:v>
      </x:c>
      <x:c r="J2140" s="9" t="str">
        <x:v>Tax Law</x:v>
      </x:c>
      <x:c r="K2140" s="9" t="str">
        <x:v>ew-cases-EWCA-Civ-2021-799.xml</x:v>
      </x:c>
      <x:c r="L2140" s="9" t="str">
        <x:v>TBA</x:v>
      </x:c>
    </x:row>
    <x:row r="2141">
      <x:c r="A2141" t="str">
        <x:v>a2fd77f8-b77d-4b5e-aeff-845b7782ec38</x:v>
      </x:c>
      <x:c r="B2141" t="str">
        <x:v>dae98908-a08c-466c-b814-165a4a120bf5</x:v>
      </x:c>
      <x:c r="C2141" s="9" t="str">
        <x:v>MUR Shipping BV v RTI Ltd [2022] EWCA Civ 1406</x:v>
      </x:c>
      <x:c r="D2141" s="9" t="str"/>
      <x:c r="E2141" s="9" t="str"/>
      <x:c r="F2141" s="13" t="str">
        <x:v>2022</x:v>
      </x:c>
      <x:c r="G2141" s="9" t="str">
        <x:v>England and Wales Court of Appeal (Civil Division)</x:v>
      </x:c>
      <x:c r="H2141" s="9" t="str">
        <x:v>Court of Appeal (Civil Division)</x:v>
      </x:c>
      <x:c r="I2141" s="9" t="str">
        <x:v>England and Wales</x:v>
      </x:c>
      <x:c r="J2141" s="9" t="str">
        <x:v>Contract Dispute</x:v>
      </x:c>
      <x:c r="K2141" s="9" t="str">
        <x:v>ew-cases-EWCA-Civ-2022-1406.xml</x:v>
      </x:c>
      <x:c r="L2141" s="9" t="str">
        <x:v>TBA</x:v>
      </x:c>
    </x:row>
    <x:row r="2142">
      <x:c r="A2142" t="str">
        <x:v>ce1b337f-729f-428d-a2e7-a2397ff78637</x:v>
      </x:c>
      <x:c r="B2142" t="str">
        <x:v>010369ae-b751-4e0f-a507-9c332af2a813</x:v>
      </x:c>
      <x:c r="C2142" s="9" t="str">
        <x:v>Murphy &amp; Anor v Revenue And Customs [2023] EWCA Civ 497</x:v>
      </x:c>
      <x:c r="D2142" s="9" t="str"/>
      <x:c r="E2142" s="9" t="str"/>
      <x:c r="F2142" s="13" t="str">
        <x:v>2023</x:v>
      </x:c>
      <x:c r="G2142" s="9" t="str">
        <x:v>England and Wales Court of Appeal (Civil Division)</x:v>
      </x:c>
      <x:c r="H2142" s="9" t="str">
        <x:v>Court of Appeal (Civil Division)</x:v>
      </x:c>
      <x:c r="I2142" s="9" t="str">
        <x:v>England and Wales</x:v>
      </x:c>
      <x:c r="J2142" s="9" t="str">
        <x:v>Tax and Trusts</x:v>
      </x:c>
      <x:c r="K2142" s="9" t="str">
        <x:v>ew-cases-EWCA-Civ-2023-497.xml</x:v>
      </x:c>
      <x:c r="L2142" s="9" t="str">
        <x:v>TBA</x:v>
      </x:c>
    </x:row>
    <x:row r="2143">
      <x:c r="A2143" t="str">
        <x:v>cf0a0550-2c58-4a48-8e1e-d3b2c0a812ee</x:v>
      </x:c>
      <x:c r="B2143" t="str">
        <x:v>644ed609-0437-4a2d-8cad-997c3b4deba0</x:v>
      </x:c>
      <x:c r="C2143" s="9" t="str">
        <x:v>Murphy v The Law Society</x:v>
      </x:c>
      <x:c r="D2143" s="9" t="str"/>
      <x:c r="E2143" s="9" t="str"/>
      <x:c r="F2143" s="13" t="str">
        <x:v>2015</x:v>
      </x:c>
      <x:c r="G2143" s="9" t="str">
        <x:v>England and Wales Court of Appeal (Civil Division)</x:v>
      </x:c>
      <x:c r="H2143" s="9" t="str">
        <x:v>Appellate</x:v>
      </x:c>
      <x:c r="I2143" s="9" t="str">
        <x:v>England and Wales</x:v>
      </x:c>
      <x:c r="J2143" s="9" t="str">
        <x:v>Negligence</x:v>
      </x:c>
      <x:c r="K2143" s="9" t="str">
        <x:v>-ew-cases-EWCA-Civ-2015-290.xml</x:v>
      </x:c>
      <x:c r="L2143" s="9" t="str">
        <x:v>TBA</x:v>
      </x:c>
    </x:row>
    <x:row r="2144">
      <x:c r="A2144" t="str">
        <x:v>5c7cbc78-f0cc-483a-9ddd-80e7e5ac6e02</x:v>
      </x:c>
      <x:c r="B2144" t="str">
        <x:v>f3ea8180-9399-4fad-b4de-f6eaca25bbcb</x:v>
      </x:c>
      <x:c r="C2144" s="9" t="str">
        <x:v>Murray v Lancashire Constabulary [2015] EWCA Civ 1174</x:v>
      </x:c>
      <x:c r="D2144" s="9" t="str"/>
      <x:c r="E2144" s="9" t="str"/>
      <x:c r="F2144" s="13" t="str">
        <x:v>2015</x:v>
      </x:c>
      <x:c r="G2144" s="9" t="str">
        <x:v>England and Wales Court of Appeal (Civil Division)</x:v>
      </x:c>
      <x:c r="H2144" s="9" t="str">
        <x:v>Appellate</x:v>
      </x:c>
      <x:c r="I2144" s="9" t="str">
        <x:v>England and Wales</x:v>
      </x:c>
      <x:c r="J2144" s="9" t="str">
        <x:v>Civil Rights</x:v>
      </x:c>
      <x:c r="K2144" s="9" t="str">
        <x:v>-ew-cases-EWCA-Civ-2015-1174.xml</x:v>
      </x:c>
      <x:c r="L2144" s="9" t="str">
        <x:v>TBA</x:v>
      </x:c>
    </x:row>
    <x:row r="2145">
      <x:c r="A2145" t="str">
        <x:v>a14ba8d5-66f2-4074-bb1d-fc01db0301fe</x:v>
      </x:c>
      <x:c r="B2145" t="str">
        <x:v>a08f5ddb-ddbf-4b94-84c9-97ad2f4d77bd</x:v>
      </x:c>
      <x:c r="C2145" s="9" t="str">
        <x:v>Murrills v Berlanda &amp; Anor [2014] EWCA Civ 6</x:v>
      </x:c>
      <x:c r="D2145" s="9" t="str"/>
      <x:c r="E2145" s="9" t="str"/>
      <x:c r="F2145" s="13" t="str">
        <x:v>2014</x:v>
      </x:c>
      <x:c r="G2145" s="9" t="str">
        <x:v>England and Wales Court of Appeal (Civil Division)</x:v>
      </x:c>
      <x:c r="H2145" s="9" t="str">
        <x:v>Appellate</x:v>
      </x:c>
      <x:c r="I2145" s="9" t="str">
        <x:v>England and Wales</x:v>
      </x:c>
      <x:c r="J2145" s="9" t="str">
        <x:v>Civil Procedure</x:v>
      </x:c>
      <x:c r="K2145" s="9" t="str">
        <x:v>-ew-cases-EWCA-Civ-2014-6.xml</x:v>
      </x:c>
      <x:c r="L2145" s="9" t="str">
        <x:v>TBA</x:v>
      </x:c>
    </x:row>
    <x:row r="2146">
      <x:c r="A2146" t="str">
        <x:v>9b21c2d1-a606-4183-bf78-126acb8a9a62</x:v>
      </x:c>
      <x:c r="B2146" t="str">
        <x:v>d900b0ef-e700-4029-984c-c4193849fdb3</x:v>
      </x:c>
      <x:c r="C2146" s="9" t="str">
        <x:v>Musst Holdings Limited v Astra Asset Management UK Limited &amp; Anor [2023] EWCA Civ 128</x:v>
      </x:c>
      <x:c r="D2146" s="9" t="str"/>
      <x:c r="E2146" s="9" t="str"/>
      <x:c r="F2146" s="13" t="str">
        <x:v>2023</x:v>
      </x:c>
      <x:c r="G2146" s="9" t="str">
        <x:v>England and Wales Court of Appeal (Civil Division)</x:v>
      </x:c>
      <x:c r="H2146" s="9" t="str">
        <x:v>Court of Appeal (Civil Division)</x:v>
      </x:c>
      <x:c r="I2146" s="9" t="str">
        <x:v>England and Wales</x:v>
      </x:c>
      <x:c r="J2146" s="9" t="str">
        <x:v>Contract Dispute</x:v>
      </x:c>
      <x:c r="K2146" s="9" t="str">
        <x:v>ew-cases-EWCA-Civ-2023-128.xml</x:v>
      </x:c>
      <x:c r="L2146" s="9" t="str">
        <x:v>TBA</x:v>
      </x:c>
    </x:row>
    <x:row r="2147">
      <x:c r="A2147" t="str">
        <x:v>d6fdec17-3c8e-4a9a-a313-d55950625473</x:v>
      </x:c>
      <x:c r="B2147" t="str">
        <x:v>1cdf43b4-0d2c-4ac8-b62f-2ecf2419ceb9</x:v>
      </x:c>
      <x:c r="C2147" s="9" t="str">
        <x:v>Mutch v Mutch [2016] EWCA Civ 370</x:v>
      </x:c>
      <x:c r="D2147" s="9" t="str"/>
      <x:c r="E2147" s="9" t="str"/>
      <x:c r="F2147" s="13" t="str">
        <x:v>2016</x:v>
      </x:c>
      <x:c r="G2147" s="9" t="str">
        <x:v>England and Wales Court of Appeal (Civil Division)</x:v>
      </x:c>
      <x:c r="H2147" s="9" t="str">
        <x:v>Court of Appeal (Civil Division)</x:v>
      </x:c>
      <x:c r="I2147" s="9" t="str">
        <x:v>England and Wales</x:v>
      </x:c>
      <x:c r="J2147" s="9" t="str">
        <x:v>Family Law - Financial Remedies</x:v>
      </x:c>
      <x:c r="K2147" s="9" t="str">
        <x:v>-ew-cases-EWCA-Civ-2016-370.xml</x:v>
      </x:c>
      <x:c r="L2147" s="9" t="str">
        <x:v>TBA</x:v>
      </x:c>
    </x:row>
    <x:row r="2148">
      <x:c r="A2148" t="str">
        <x:v>fa58da8d-5f1b-4456-ae1e-e674737737a4</x:v>
      </x:c>
      <x:c r="B2148" t="str">
        <x:v>aad80477-00b3-4e95-9257-a4836514f34c</x:v>
      </x:c>
      <x:c r="C2148" s="9" t="str">
        <x:v>MVF 3 APS (formerly Vestergaard Frandsen A/S) v Bestnet Europe Ltd &amp; Ors [2016] EWCA Civ 541</x:v>
      </x:c>
      <x:c r="D2148" s="9" t="str"/>
      <x:c r="E2148" s="9" t="str"/>
      <x:c r="F2148" s="13" t="str">
        <x:v>2016</x:v>
      </x:c>
      <x:c r="G2148" s="9" t="str">
        <x:v>England and Wales Court of Appeal (Civil Division)</x:v>
      </x:c>
      <x:c r="H2148" s="9" t="str">
        <x:v>Court of Appeal (Civil Division)</x:v>
      </x:c>
      <x:c r="I2148" s="9" t="str">
        <x:v>England and Wales</x:v>
      </x:c>
      <x:c r="J2148" s="9" t="str">
        <x:v>Tort / Breach of Confidence; Intellectual Property; Civil Procedure</x:v>
      </x:c>
      <x:c r="K2148" s="9" t="str">
        <x:v>-ew-cases-EWCA-Civ-2016-541.xml</x:v>
      </x:c>
      <x:c r="L2148" s="9" t="str">
        <x:v>TBA</x:v>
      </x:c>
    </x:row>
    <x:row r="2149">
      <x:c r="A2149" t="str">
        <x:v>6d942010-3857-4789-b8a0-4e80c4f0250e</x:v>
      </x:c>
      <x:c r="B2149" t="str">
        <x:v>a1238183-4f9b-48b7-b954-44db61511bcc</x:v>
      </x:c>
      <x:c r="C2149" s="9" t="str">
        <x:v>MW v Hertfordshire County Council [2014] EWCA Civ 405</x:v>
      </x:c>
      <x:c r="D2149" s="9" t="str"/>
      <x:c r="E2149" s="9" t="str"/>
      <x:c r="F2149" s="13" t="str">
        <x:v>2014</x:v>
      </x:c>
      <x:c r="G2149" s="9" t="str">
        <x:v>England and Wales Court of Appeal (Civil Division)</x:v>
      </x:c>
      <x:c r="H2149" s="9" t="str">
        <x:v>Appellate</x:v>
      </x:c>
      <x:c r="I2149" s="9" t="str">
        <x:v>England</x:v>
      </x:c>
      <x:c r="J2149" s="9" t="str">
        <x:v>Family Law</x:v>
      </x:c>
      <x:c r="K2149" s="9" t="str">
        <x:v>-ew-cases-EWCA-Civ-2014-405.xml</x:v>
      </x:c>
      <x:c r="L2149" s="9" t="str">
        <x:v>TBA</x:v>
      </x:c>
    </x:row>
    <x:row r="2150">
      <x:c r="A2150" t="str">
        <x:v>14cb0152-e556-46f2-8d49-9edf7d282dbf</x:v>
      </x:c>
      <x:c r="B2150" t="str">
        <x:v>a86ad4ee-2e82-401c-9423-ef3b965a58f6</x:v>
      </x:c>
      <x:c r="C2150" s="9" t="str">
        <x:v>MWA (Afghanistan) v Secretary of State for the Home Department</x:v>
      </x:c>
      <x:c r="D2150" s="9" t="str"/>
      <x:c r="E2150" s="9" t="str"/>
      <x:c r="F2150" s="13" t="str">
        <x:v>2014</x:v>
      </x:c>
      <x:c r="G2150" s="9" t="str">
        <x:v>England and Wales Court of Appeal (Civil Division)</x:v>
      </x:c>
      <x:c r="H2150" s="9" t="str">
        <x:v>Appellate</x:v>
      </x:c>
      <x:c r="I2150" s="9" t="str">
        <x:v>England and Wales</x:v>
      </x:c>
      <x:c r="J2150" s="9" t="str">
        <x:v>Immigration Law</x:v>
      </x:c>
      <x:c r="K2150" s="9" t="str">
        <x:v>-ew-cases-EWCA-Civ-2014-706.xml</x:v>
      </x:c>
      <x:c r="L2150" s="9" t="str">
        <x:v>TBA</x:v>
      </x:c>
    </x:row>
    <x:row r="2151">
      <x:c r="A2151" t="str">
        <x:v>7d4b32ea-5fc5-4abf-a18c-41bcf9a5b2b9</x:v>
      </x:c>
      <x:c r="B2151" t="str">
        <x:v>1bdcf5a1-b4d2-4b1f-aabc-59a29d9fa7c2</x:v>
      </x:c>
      <x:c r="C2151" s="9" t="str">
        <x:v>MWB Business Exchange Centres Ltd v Rock Advertising Ltd (Rev 1) [2016] EWCA Civ 553</x:v>
      </x:c>
      <x:c r="D2151" s="9" t="str"/>
      <x:c r="E2151" s="9" t="str"/>
      <x:c r="F2151" s="13" t="str">
        <x:v>2016</x:v>
      </x:c>
      <x:c r="G2151" s="9" t="str">
        <x:v>England and Wales Court of Appeal (Civil Division)</x:v>
      </x:c>
      <x:c r="H2151" s="9" t="str">
        <x:v>Court of Appeal (Civil Division)</x:v>
      </x:c>
      <x:c r="I2151" s="9" t="str">
        <x:v>England and Wales</x:v>
      </x:c>
      <x:c r="J2151" s="9" t="str">
        <x:v>Contract Law</x:v>
      </x:c>
      <x:c r="K2151" s="9" t="str">
        <x:v>-ew-cases-EWCA-Civ-2016-553.xml</x:v>
      </x:c>
      <x:c r="L2151" s="9" t="str">
        <x:v>TBA</x:v>
      </x:c>
    </x:row>
    <x:row r="2152">
      <x:c r="A2152" t="str">
        <x:v>07f89aea-b66d-4c85-a4f2-14b5f77eafc3</x:v>
      </x:c>
      <x:c r="B2152" t="str">
        <x:v>265bcb73-42e2-4cd1-b7e3-1d1550d567be</x:v>
      </x:c>
      <x:c r="C2152" s="9" t="str">
        <x:v>MY (Pakistan) v Secretary of State for the Home Department [2021] EWCA Civ 1500</x:v>
      </x:c>
      <x:c r="D2152" s="9" t="str"/>
      <x:c r="E2152" s="9" t="str"/>
      <x:c r="F2152" s="13" t="str">
        <x:v>2021</x:v>
      </x:c>
      <x:c r="G2152" s="9" t="str">
        <x:v>England and Wales Court of Appeal (Civil Division)</x:v>
      </x:c>
      <x:c r="H2152" s="9" t="str">
        <x:v>Appellate</x:v>
      </x:c>
      <x:c r="I2152" s="9" t="str">
        <x:v>England and Wales</x:v>
      </x:c>
      <x:c r="J2152" s="9" t="str">
        <x:v>Immigration Law</x:v>
      </x:c>
      <x:c r="K2152" s="9" t="str">
        <x:v>ew-cases-EWCA-Civ-2021-1500.xml</x:v>
      </x:c>
      <x:c r="L2152" s="9" t="str">
        <x:v>TBA</x:v>
      </x:c>
    </x:row>
    <x:row r="2153">
      <x:c r="A2153" t="str">
        <x:v>61bd272d-91b3-4f02-bb20-feacbe66cb6a</x:v>
      </x:c>
      <x:c r="B2153" t="str">
        <x:v>0cc4789c-743d-4a09-a346-5a7cde9cbed8</x:v>
      </x:c>
      <x:c r="C2153" s="9" t="str">
        <x:v>MY (Pakistan) v Secretary of State for the Home Department [2021] EWCA Civ 1615</x:v>
      </x:c>
      <x:c r="D2153" s="9" t="str"/>
      <x:c r="E2153" s="9" t="str"/>
      <x:c r="F2153" s="13" t="str">
        <x:v>2021</x:v>
      </x:c>
      <x:c r="G2153" s="9" t="str">
        <x:v>England and Wales Court of Appeal (Civil Division)</x:v>
      </x:c>
      <x:c r="H2153" s="9" t="str">
        <x:v>Appellate</x:v>
      </x:c>
      <x:c r="I2153" s="9" t="str">
        <x:v>England and Wales</x:v>
      </x:c>
      <x:c r="J2153" s="9" t="str">
        <x:v>Immigration Law</x:v>
      </x:c>
      <x:c r="K2153" s="9" t="str">
        <x:v>ew-cases-EWCA-Civ-2021-1615.xml</x:v>
      </x:c>
      <x:c r="L2153" s="9" t="str">
        <x:v>TBA</x:v>
      </x:c>
    </x:row>
    <x:row r="2154">
      <x:c r="A2154" t="str">
        <x:v>92758612-509b-4556-87f8-997dccbca5e4</x:v>
      </x:c>
      <x:c r="B2154" t="str">
        <x:v>4e61335f-6708-44a4-8d13-612cdc158190</x:v>
      </x:c>
      <x:c r="C2154" s="9" t="str">
        <x:v>N (A Child) (Instruction of Expert) [2022] EWCA Civ 1588 (Court of Appeal, Civil Division)</x:v>
      </x:c>
      <x:c r="D2154" s="9" t="str"/>
      <x:c r="E2154" s="9" t="str"/>
      <x:c r="F2154" s="13" t="str">
        <x:v>2022</x:v>
      </x:c>
      <x:c r="G2154" s="9" t="str">
        <x:v>England and Wales Court of Appeal (Civil Division)</x:v>
      </x:c>
      <x:c r="H2154" s="9" t="str">
        <x:v>Court of Appeal (Civil Division)</x:v>
      </x:c>
      <x:c r="I2154" s="9" t="str">
        <x:v>England and Wales</x:v>
      </x:c>
      <x:c r="J2154" s="9" t="str">
        <x:v>Private law family proceedings under the Children Act 1989</x:v>
      </x:c>
      <x:c r="K2154" s="9" t="str">
        <x:v>ew-cases-EWCA-Civ-2022-1588.xml</x:v>
      </x:c>
      <x:c r="L2154" s="9" t="str">
        <x:v>TBA</x:v>
      </x:c>
    </x:row>
    <x:row r="2155">
      <x:c r="A2155" t="str">
        <x:v>92935067-6537-4b36-ae33-a66a1c5c40c5</x:v>
      </x:c>
      <x:c r="B2155" t="str">
        <x:v>34b7f2e3-a312-49f8-a330-38f5d5e4d2e2</x:v>
      </x:c>
      <x:c r="C2155" s="9" t="str">
        <x:v>N (Children: Adoption: Jurisdiction) [2015] EWCA Civ 1112</x:v>
      </x:c>
      <x:c r="D2155" s="9" t="str"/>
      <x:c r="E2155" s="9" t="str"/>
      <x:c r="F2155" s="13" t="str">
        <x:v>2015</x:v>
      </x:c>
      <x:c r="G2155" s="9" t="str">
        <x:v>England and Wales Court of Appeal (Civil Division)</x:v>
      </x:c>
      <x:c r="H2155" s="9" t="str">
        <x:v>Appellate</x:v>
      </x:c>
      <x:c r="I2155" s="9" t="str">
        <x:v>England and Wales</x:v>
      </x:c>
      <x:c r="J2155" s="9" t="str">
        <x:v>Family Law</x:v>
      </x:c>
      <x:c r="K2155" s="9" t="str">
        <x:v>-ew-cases-EWCA-Civ-2015-1112.xml</x:v>
      </x:c>
      <x:c r="L2155" s="9" t="str">
        <x:v>TBA</x:v>
      </x:c>
    </x:row>
    <x:row r="2156">
      <x:c r="A2156" t="str">
        <x:v>f6eefe50-2034-4f9b-b7dd-25cb7b79846a</x:v>
      </x:c>
      <x:c r="B2156" t="str">
        <x:v>4e0be169-8de3-4de5-97e4-522002fea371</x:v>
      </x:c>
      <x:c r="C2156" s="9" t="str">
        <x:v>N (Children: Refusal of Placement Orders) [2021] EWCA Civ 1652</x:v>
      </x:c>
      <x:c r="D2156" s="9" t="str"/>
      <x:c r="E2156" s="9" t="str"/>
      <x:c r="F2156" s="13" t="str">
        <x:v>2021</x:v>
      </x:c>
      <x:c r="G2156" s="9" t="str">
        <x:v>England and Wales Court of Appeal (Civil Division)</x:v>
      </x:c>
      <x:c r="H2156" s="9" t="str">
        <x:v>Appellate</x:v>
      </x:c>
      <x:c r="I2156" s="9" t="str">
        <x:v>England and Wales</x:v>
      </x:c>
      <x:c r="J2156" s="9" t="str">
        <x:v>Family Law</x:v>
      </x:c>
      <x:c r="K2156" s="9" t="str">
        <x:v>ew-cases-EWCA-Civ-2021-1652.xml</x:v>
      </x:c>
      <x:c r="L2156" s="9" t="str">
        <x:v>TBA</x:v>
      </x:c>
    </x:row>
    <x:row r="2157">
      <x:c r="A2157" t="str">
        <x:v>36b0cbca-8648-4ea5-b074-4b60edfa1964</x:v>
      </x:c>
      <x:c r="B2157" t="str">
        <x:v>516f9f6b-b28f-4145-9b3d-916ef66cf4ac</x:v>
      </x:c>
      <x:c r="C2157" s="9" t="str">
        <x:v>N (Children) [2021] EWCA Civ 785</x:v>
      </x:c>
      <x:c r="D2157" s="9" t="str"/>
      <x:c r="E2157" s="9" t="str"/>
      <x:c r="F2157" s="13" t="str">
        <x:v>2021</x:v>
      </x:c>
      <x:c r="G2157" s="9" t="str">
        <x:v>England and Wales Court of Appeal (Civil Division)</x:v>
      </x:c>
      <x:c r="H2157" s="9" t="str">
        <x:v>Appellate</x:v>
      </x:c>
      <x:c r="I2157" s="9" t="str">
        <x:v>United Kingdom</x:v>
      </x:c>
      <x:c r="J2157" s="9" t="str">
        <x:v>Family Law</x:v>
      </x:c>
      <x:c r="K2157" s="9" t="str">
        <x:v>ew-cases-EWCA-Civ-2021-785.xml</x:v>
      </x:c>
      <x:c r="L2157" s="9" t="str">
        <x:v>TBA</x:v>
      </x:c>
    </x:row>
    <x:row r="2158">
      <x:c r="A2158" t="str">
        <x:v>4620e1d9-145d-40c7-b3d4-c96aeed0f0b1</x:v>
      </x:c>
      <x:c r="B2158" t="str">
        <x:v>9132d04a-3e77-4935-9ef7-0e7f61292aa6</x:v>
      </x:c>
      <x:c r="C2158" s="9" t="str">
        <x:v>N (Children), Re [2016] EWCA Civ 656</x:v>
      </x:c>
      <x:c r="D2158" s="9" t="str"/>
      <x:c r="E2158" s="9" t="str"/>
      <x:c r="F2158" s="13" t="str">
        <x:v>2016</x:v>
      </x:c>
      <x:c r="G2158" s="9" t="str">
        <x:v>England and Wales Court of Appeal (Civil Division)</x:v>
      </x:c>
      <x:c r="H2158" s="9" t="str">
        <x:v>Court of Appeal (Civil Division)</x:v>
      </x:c>
      <x:c r="I2158" s="9" t="str">
        <x:v>England and Wales</x:v>
      </x:c>
      <x:c r="J2158" s="9" t="str">
        <x:v>Family Law - Care Proceedings / Private Law - Contact Orders</x:v>
      </x:c>
      <x:c r="K2158" s="9" t="str">
        <x:v>-ew-cases-EWCA-Civ-2016-656.xml</x:v>
      </x:c>
      <x:c r="L2158" s="9" t="str">
        <x:v>TBA</x:v>
      </x:c>
    </x:row>
    <x:row r="2159">
      <x:c r="A2159" t="str">
        <x:v>a92432a1-07fd-4b51-90e1-b586b9839310</x:v>
      </x:c>
      <x:c r="B2159" t="str">
        <x:v>3d834c06-29b3-4d99-a972-55e6fcbccf1c</x:v>
      </x:c>
      <x:c r="C2159" s="9" t="str">
        <x:v>N (Refusal of Placement Order) [2023] EWCA Civ 364</x:v>
      </x:c>
      <x:c r="D2159" s="9" t="str"/>
      <x:c r="E2159" s="9" t="str"/>
      <x:c r="F2159" s="13" t="str">
        <x:v>2023</x:v>
      </x:c>
      <x:c r="G2159" s="9" t="str">
        <x:v>England and Wales Court of Appeal (Civil Division)</x:v>
      </x:c>
      <x:c r="H2159" s="9" t="str">
        <x:v>Court of Appeal (Civil Division)</x:v>
      </x:c>
      <x:c r="I2159" s="9" t="str">
        <x:v>England and Wales</x:v>
      </x:c>
      <x:c r="J2159" s="9" t="str">
        <x:v>Family Law / Adoption</x:v>
      </x:c>
      <x:c r="K2159" s="9" t="str">
        <x:v>ew-cases-EWCA-Civ-2023-364.xml</x:v>
      </x:c>
      <x:c r="L2159" s="9" t="str">
        <x:v>TBA</x:v>
      </x:c>
    </x:row>
    <x:row r="2160">
      <x:c r="A2160" t="str">
        <x:v>12d6b896-81c7-4658-b264-c83d03c60812</x:v>
      </x:c>
      <x:c r="B2160" t="str">
        <x:v>79aad369-c509-4399-a0aa-727dc29289cb</x:v>
      </x:c>
      <x:c r="C2160" s="9" t="str">
        <x:v>N and A (1996 Hague Convention: Article 13) [2023] EWCA Civ 623</x:v>
      </x:c>
      <x:c r="D2160" s="9" t="str"/>
      <x:c r="E2160" s="9" t="str"/>
      <x:c r="F2160" s="13" t="str">
        <x:v>2023</x:v>
      </x:c>
      <x:c r="G2160" s="9" t="str">
        <x:v>England and Wales Court of Appeal (Civil Division)</x:v>
      </x:c>
      <x:c r="H2160" s="9" t="str">
        <x:v>Court of Appeal (Civil Division)</x:v>
      </x:c>
      <x:c r="I2160" s="9" t="str">
        <x:v>England and Wales</x:v>
      </x:c>
      <x:c r="J2160" s="9" t="str">
        <x:v>Family Law</x:v>
      </x:c>
      <x:c r="K2160" s="9" t="str">
        <x:v>ew-cases-EWCA-Civ-2023-623.xml</x:v>
      </x:c>
      <x:c r="L2160" s="9" t="str">
        <x:v>TBA</x:v>
      </x:c>
    </x:row>
    <x:row r="2161">
      <x:c r="A2161" t="str">
        <x:v>13fb6897-753c-450b-a710-3c6a7da23a8d</x:v>
      </x:c>
      <x:c r="B2161" t="str">
        <x:v>74d3973e-bd56-46c1-8ff8-bc8017fd6c77</x:v>
      </x:c>
      <x:c r="C2161" s="9" t="str">
        <x:v>N J Rickard Limited v Holloway &amp; Anor</x:v>
      </x:c>
      <x:c r="D2161" s="9" t="str"/>
      <x:c r="E2161" s="9" t="str"/>
      <x:c r="F2161" s="13" t="str">
        <x:v>2015</x:v>
      </x:c>
      <x:c r="G2161" s="9" t="str">
        <x:v>England and Wales Court of Appeal (Civil Division)</x:v>
      </x:c>
      <x:c r="H2161" s="9" t="str">
        <x:v>Appellate</x:v>
      </x:c>
      <x:c r="I2161" s="9" t="str">
        <x:v>England and Wales</x:v>
      </x:c>
      <x:c r="J2161" s="9" t="str">
        <x:v>Civil Procedure</x:v>
      </x:c>
      <x:c r="K2161" s="9" t="str">
        <x:v>-ew-cases-EWCA-Civ-2015-1631.xml</x:v>
      </x:c>
      <x:c r="L2161" s="9" t="str">
        <x:v>TBA</x:v>
      </x:c>
    </x:row>
    <x:row r="2162">
      <x:c r="A2162" t="str">
        <x:v>b00f884f-59f3-44ab-b058-c9d36cada021</x:v>
      </x:c>
      <x:c r="B2162" t="str">
        <x:v>2124dab9-8cdc-4d09-88c0-f5dd51fa96f0</x:v>
      </x:c>
      <x:c r="C2162" s="9" t="str">
        <x:v>N v N (Rev 1) [2014] EWCA Civ 314: Appeal Against Financial Provision Order on Grounds of Material Non-Disclosure</x:v>
      </x:c>
      <x:c r="D2162" s="9" t="str"/>
      <x:c r="E2162" s="9" t="str"/>
      <x:c r="F2162" s="13" t="str">
        <x:v>2014</x:v>
      </x:c>
      <x:c r="G2162" s="9" t="str">
        <x:v>England and Wales Court of Appeal (Civil Division)</x:v>
      </x:c>
      <x:c r="H2162" s="9" t="str">
        <x:v>Appellate</x:v>
      </x:c>
      <x:c r="I2162" s="9" t="str">
        <x:v>England and Wales</x:v>
      </x:c>
      <x:c r="J2162" s="9" t="str">
        <x:v>Family Law</x:v>
      </x:c>
      <x:c r="K2162" s="9" t="str">
        <x:v>-ew-cases-EWCA-Civ-2014-314.xml</x:v>
      </x:c>
      <x:c r="L2162" s="9" t="str">
        <x:v>TBA</x:v>
      </x:c>
    </x:row>
    <x:row r="2163">
      <x:c r="A2163" t="str">
        <x:v>4671a5bc-9d8f-4ff7-b248-eaf081e79c99</x:v>
      </x:c>
      <x:c r="B2163" t="str">
        <x:v>05b4cfd2-de76-4fc6-9a45-ad0a36ea8695</x:v>
      </x:c>
      <x:c r="C2163" s="9" t="str">
        <x:v>NA (Bangladesh) &amp; Ors v Secretary of State for the Home Department</x:v>
      </x:c>
      <x:c r="D2163" s="9" t="str"/>
      <x:c r="E2163" s="9" t="str"/>
      <x:c r="F2163" s="13" t="str">
        <x:v>2021</x:v>
      </x:c>
      <x:c r="G2163" s="9" t="str">
        <x:v>England and Wales Court of Appeal (Civil Division)</x:v>
      </x:c>
      <x:c r="H2163" s="9" t="str">
        <x:v>Appellate</x:v>
      </x:c>
      <x:c r="I2163" s="9" t="str">
        <x:v>England and Wales</x:v>
      </x:c>
      <x:c r="J2163" s="9" t="str">
        <x:v>Immigration Law</x:v>
      </x:c>
      <x:c r="K2163" s="9" t="str">
        <x:v>ew-cases-EWCA-Civ-2021-953.xml</x:v>
      </x:c>
      <x:c r="L2163" s="9" t="str">
        <x:v>TBA</x:v>
      </x:c>
    </x:row>
    <x:row r="2164">
      <x:c r="A2164" t="str">
        <x:v>03495426-f202-4028-9c80-4163bcb8cf7b</x:v>
      </x:c>
      <x:c r="B2164" t="str">
        <x:v>f6c2314e-afb1-45ae-ad2c-058c1a6d8f0d</x:v>
      </x:c>
      <x:c r="C2164" s="9" t="str">
        <x:v>NA (Bangladesh) v Secretary of State for the Home Department [2016] EWCA Civ 651 (18 April 2016)</x:v>
      </x:c>
      <x:c r="D2164" s="9" t="str"/>
      <x:c r="E2164" s="9" t="str"/>
      <x:c r="F2164" s="13" t="str">
        <x:v>2016</x:v>
      </x:c>
      <x:c r="G2164" s="9" t="str">
        <x:v>England and Wales Court of Appeal (Civil Division)</x:v>
      </x:c>
      <x:c r="H2164" s="9" t="str">
        <x:v>Court of Appeal (Civil Division)</x:v>
      </x:c>
      <x:c r="I2164" s="9" t="str">
        <x:v>England and Wales</x:v>
      </x:c>
      <x:c r="J2164" s="9" t="str">
        <x:v>Immigration / Administrative Law</x:v>
      </x:c>
      <x:c r="K2164" s="9" t="str">
        <x:v>-ew-cases-EWCA-Civ-2016-651.xml</x:v>
      </x:c>
      <x:c r="L2164" s="9" t="str">
        <x:v>TBA</x:v>
      </x:c>
    </x:row>
    <x:row r="2165">
      <x:c r="A2165" t="str">
        <x:v>36a9c5cd-a92c-490b-9b35-0d6d7f9fcb8b</x:v>
      </x:c>
      <x:c r="B2165" t="str">
        <x:v>9972fa38-9cea-44e7-a925-54f16036bb78</x:v>
      </x:c>
      <x:c r="C2165" s="9" t="str">
        <x:v>NA (Libya) v Secretary of State for the Home Department [2017] EWCA Civ 143</x:v>
      </x:c>
      <x:c r="D2165" s="9" t="str"/>
      <x:c r="E2165" s="9" t="str"/>
      <x:c r="F2165" s="13" t="str">
        <x:v>2017</x:v>
      </x:c>
      <x:c r="G2165" s="9" t="str">
        <x:v>England and Wales Court of Appeal (Civil Division)</x:v>
      </x:c>
      <x:c r="H2165" s="9" t="str">
        <x:v>Appellate</x:v>
      </x:c>
      <x:c r="I2165" s="9" t="str">
        <x:v>England and Wales</x:v>
      </x:c>
      <x:c r="J2165" s="9" t="str">
        <x:v>Immigration Law</x:v>
      </x:c>
      <x:c r="K2165" s="9" t="str">
        <x:v>-ew-cases-EWCA-Civ-2017-143.xml</x:v>
      </x:c>
      <x:c r="L2165" s="9" t="str">
        <x:v>TBA</x:v>
      </x:c>
    </x:row>
    <x:row r="2166">
      <x:c r="A2166" t="str">
        <x:v>f7d8c2a9-d71d-45b7-a5b8-6705a68c6324</x:v>
      </x:c>
      <x:c r="B2166" t="str">
        <x:v>a1fcbdce-1ab9-4b5c-a9ea-dffa1e5925ea</x:v>
      </x:c>
      <x:c r="C2166" s="9" t="str">
        <x:v>NA (Pakistan); KJ (Angola); WM (Afghanistan); MY (Kenya) v Secretary of State for the Home Department (England &amp; Wales Court of Appeal, Civil Division) [2016] EWCA Civ 662</x:v>
      </x:c>
      <x:c r="D2166" s="9" t="str"/>
      <x:c r="E2166" s="9" t="str"/>
      <x:c r="F2166" s="13" t="str">
        <x:v>2016</x:v>
      </x:c>
      <x:c r="G2166" s="9" t="str">
        <x:v>England and Wales Court of Appeal (Civil Division)</x:v>
      </x:c>
      <x:c r="H2166" s="9" t="str">
        <x:v>Court of Appeal (Civil Division)</x:v>
      </x:c>
      <x:c r="I2166" s="9" t="str">
        <x:v>England and Wales</x:v>
      </x:c>
      <x:c r="J2166" s="9" t="str">
        <x:v>Immigration Law; Human Rights</x:v>
      </x:c>
      <x:c r="K2166" s="9" t="str">
        <x:v>-ew-cases-EWCA-Civ-2016-662.xml</x:v>
      </x:c>
      <x:c r="L2166" s="9" t="str">
        <x:v>TBA</x:v>
      </x:c>
    </x:row>
    <x:row r="2167">
      <x:c r="A2167" t="str">
        <x:v>aa378ebe-2c6d-4450-8222-9786c2ce4007</x:v>
      </x:c>
      <x:c r="B2167" t="str">
        <x:v>8d24eddb-baf3-4033-9204-f4cf8142fee1</x:v>
      </x:c>
      <x:c r="C2167" s="9" t="str">
        <x:v>NA (Sudan) v The Secretary of State for the Home Department [2016] EWCA Civ 1060</x:v>
      </x:c>
      <x:c r="D2167" s="9" t="str"/>
      <x:c r="E2167" s="9" t="str"/>
      <x:c r="F2167" s="13" t="str">
        <x:v>2016</x:v>
      </x:c>
      <x:c r="G2167" s="9" t="str">
        <x:v>England and Wales Court of Appeal (Civil Division)</x:v>
      </x:c>
      <x:c r="H2167" s="9" t="str">
        <x:v>Appellate (Court of Appeal)</x:v>
      </x:c>
      <x:c r="I2167" s="9" t="str">
        <x:v>England and Wales</x:v>
      </x:c>
      <x:c r="J2167" s="9" t="str">
        <x:v>Immigration Law / Administrative Law</x:v>
      </x:c>
      <x:c r="K2167" s="9" t="str">
        <x:v>-ew-cases-EWCA-Civ-2016-1060.xml</x:v>
      </x:c>
      <x:c r="L2167" s="9" t="str">
        <x:v>TBA</x:v>
      </x:c>
    </x:row>
    <x:row r="2168">
      <x:c r="A2168" t="str">
        <x:v>c03fe2a4-cc43-443f-b186-afa154358b86</x:v>
      </x:c>
      <x:c r="B2168" t="str">
        <x:v>b34ecdb9-07a0-4090-af92-7e98396a1866</x:v>
      </x:c>
      <x:c r="C2168" s="9" t="str">
        <x:v>NA v Nottinghamshire County Council [2015] EWCA Civ 1139</x:v>
      </x:c>
      <x:c r="D2168" s="9" t="str"/>
      <x:c r="E2168" s="9" t="str"/>
      <x:c r="F2168" s="13" t="str">
        <x:v>2015</x:v>
      </x:c>
      <x:c r="G2168" s="9" t="str">
        <x:v>England and Wales Court of Appeal (Civil Division)</x:v>
      </x:c>
      <x:c r="H2168" s="9" t="str">
        <x:v>Appellate</x:v>
      </x:c>
      <x:c r="I2168" s="9" t="str">
        <x:v>England and Wales</x:v>
      </x:c>
      <x:c r="J2168" s="9" t="str">
        <x:v>Tort</x:v>
      </x:c>
      <x:c r="K2168" s="9" t="str">
        <x:v>-ew-cases-EWCA-Civ-2015-1139.xml</x:v>
      </x:c>
      <x:c r="L2168" s="9" t="str">
        <x:v>TBA</x:v>
      </x:c>
    </x:row>
    <x:row r="2169">
      <x:c r="A2169" t="str">
        <x:v>5155563c-96b4-46d8-b636-3f3aa53be06c</x:v>
      </x:c>
      <x:c r="B2169" t="str">
        <x:v>69b98b86-6e4a-4c8d-8a6c-d90bb8654ba7</x:v>
      </x:c>
      <x:c r="C2169" s="9" t="str">
        <x:v>NA v Secretary of State for the Home Department [2014] EWCA Civ 995</x:v>
      </x:c>
      <x:c r="D2169" s="9" t="str"/>
      <x:c r="E2169" s="9" t="str"/>
      <x:c r="F2169" s="13" t="str">
        <x:v>2014</x:v>
      </x:c>
      <x:c r="G2169" s="9" t="str">
        <x:v>England and Wales Court of Appeal (Civil Division)</x:v>
      </x:c>
      <x:c r="H2169" s="9" t="str">
        <x:v>Appellate</x:v>
      </x:c>
      <x:c r="I2169" s="9" t="str">
        <x:v>England and Wales</x:v>
      </x:c>
      <x:c r="J2169" s="9" t="str">
        <x:v>Immigration Law</x:v>
      </x:c>
      <x:c r="K2169" s="9" t="str">
        <x:v>-ew-cases-EWCA-Civ-2014-995.xml</x:v>
      </x:c>
      <x:c r="L2169" s="9" t="str">
        <x:v>TBA</x:v>
      </x:c>
    </x:row>
    <x:row r="2170">
      <x:c r="A2170" t="str">
        <x:v>0fcf5dfe-fffc-491c-9791-1c3be47873dc</x:v>
      </x:c>
      <x:c r="B2170" t="str">
        <x:v>49ebe935-f970-4edd-a4bd-9af840f3d04d</x:v>
      </x:c>
      <x:c r="C2170" s="9" t="str">
        <x:v>Naeem v The Secretary of State for Justice [2015] EWCA Civ 1264</x:v>
      </x:c>
      <x:c r="D2170" s="9" t="str"/>
      <x:c r="E2170" s="9" t="str"/>
      <x:c r="F2170" s="13" t="str">
        <x:v>2015</x:v>
      </x:c>
      <x:c r="G2170" s="9" t="str">
        <x:v>England and Wales Court of Appeal (Civil Division)</x:v>
      </x:c>
      <x:c r="H2170" s="9" t="str">
        <x:v>Appellate</x:v>
      </x:c>
      <x:c r="I2170" s="9" t="str">
        <x:v>England and Wales</x:v>
      </x:c>
      <x:c r="J2170" s="9" t="str">
        <x:v>Employment Discrimination</x:v>
      </x:c>
      <x:c r="K2170" s="9" t="str">
        <x:v>-ew-cases-EWCA-Civ-2015-1264.xml</x:v>
      </x:c>
      <x:c r="L2170" s="9" t="str">
        <x:v>TBA</x:v>
      </x:c>
    </x:row>
    <x:row r="2171">
      <x:c r="A2171" t="str">
        <x:v>181888aa-720a-48a0-83a4-a624a6d5c1e1</x:v>
      </x:c>
      <x:c r="B2171" t="str">
        <x:v>c905ed54-034f-425d-908f-4d0fc7437e71</x:v>
      </x:c>
      <x:c r="C2171" s="9" t="str">
        <x:v>Naghshineh v Commissioners for HM Revenue and Customs [2022] EWCA Civ 19</x:v>
      </x:c>
      <x:c r="D2171" s="9" t="str"/>
      <x:c r="E2171" s="9" t="str"/>
      <x:c r="F2171" s="13" t="str">
        <x:v>2022</x:v>
      </x:c>
      <x:c r="G2171" s="9" t="str">
        <x:v>England and Wales Court of Appeal (Civil Division)</x:v>
      </x:c>
      <x:c r="H2171" s="9" t="str">
        <x:v>Court of Appeal (Civil Division)</x:v>
      </x:c>
      <x:c r="I2171" s="9" t="str">
        <x:v>England and Wales</x:v>
      </x:c>
      <x:c r="J2171" s="9" t="str">
        <x:v>Tax Law</x:v>
      </x:c>
      <x:c r="K2171" s="9" t="str">
        <x:v>ew-cases-EWCA-Civ-2022-19.xml</x:v>
      </x:c>
      <x:c r="L2171" s="9" t="str">
        <x:v>TBA</x:v>
      </x:c>
    </x:row>
    <x:row r="2172">
      <x:c r="A2172" t="str">
        <x:v>69e4c6d4-5516-403c-8b44-f7af774335e3</x:v>
      </x:c>
      <x:c r="B2172" t="str">
        <x:v>b252ab7e-12d5-4a53-8c05-f629e94d0d3a</x:v>
      </x:c>
      <x:c r="C2172" s="9" t="str">
        <x:v>Naidu v Secretary of State for the Home Department [2016] EWCA Civ 156 (Court of Appeal, Civil Division)</x:v>
      </x:c>
      <x:c r="D2172" s="9" t="str"/>
      <x:c r="E2172" s="9" t="str"/>
      <x:c r="F2172" s="13" t="str">
        <x:v>2016</x:v>
      </x:c>
      <x:c r="G2172" s="9" t="str">
        <x:v>England and Wales Court of Appeal (Civil Division)</x:v>
      </x:c>
      <x:c r="H2172" s="9" t="str">
        <x:v>Court of Appeal (Civil Division)</x:v>
      </x:c>
      <x:c r="I2172" s="9" t="str">
        <x:v>England and Wales</x:v>
      </x:c>
      <x:c r="J2172" s="9" t="str">
        <x:v>Immigration Law; Judicial Review; Public Law</x:v>
      </x:c>
      <x:c r="K2172" s="9" t="str">
        <x:v>-ew-cases-EWCA-Civ-2016-156.xml</x:v>
      </x:c>
      <x:c r="L2172" s="9" t="str">
        <x:v>TBA</x:v>
      </x:c>
    </x:row>
    <x:row r="2173">
      <x:c r="A2173" t="str">
        <x:v>020d2a16-d384-478a-a9a6-d27aa19dffef</x:v>
      </x:c>
      <x:c r="B2173" t="str">
        <x:v>9e116464-b368-451a-a242-346b71053ec3</x:v>
      </x:c>
      <x:c r="C2173" s="9" t="str">
        <x:v>Najim v London Borough of Enfield</x:v>
      </x:c>
      <x:c r="D2173" s="9" t="str"/>
      <x:c r="E2173" s="9" t="str"/>
      <x:c r="F2173" s="13" t="str">
        <x:v>2015</x:v>
      </x:c>
      <x:c r="G2173" s="9" t="str">
        <x:v>England and Wales Court of Appeal (Civil Division)</x:v>
      </x:c>
      <x:c r="H2173" s="9" t="str">
        <x:v>Appellate</x:v>
      </x:c>
      <x:c r="I2173" s="9" t="str">
        <x:v>England and Wales</x:v>
      </x:c>
      <x:c r="J2173" s="9" t="str">
        <x:v>Housing Law</x:v>
      </x:c>
      <x:c r="K2173" s="9" t="str">
        <x:v>-ew-cases-EWCA-Civ-2015-319.xml</x:v>
      </x:c>
      <x:c r="L2173" s="9" t="str">
        <x:v>TBA</x:v>
      </x:c>
    </x:row>
    <x:row r="2174">
      <x:c r="A2174" t="str">
        <x:v>71f5634a-2ab9-47b0-9225-0254ed120ed2</x:v>
      </x:c>
      <x:c r="B2174" t="str">
        <x:v>e01ee3c5-f82f-4ead-ac8b-5fc42182e5f4</x:v>
      </x:c>
      <x:c r="C2174" s="9" t="str">
        <x:v>Nambiar v Solitair Ltd (Court of Appeal, Civil Division) [2022] EWCA Civ 1135</x:v>
      </x:c>
      <x:c r="D2174" s="9" t="str"/>
      <x:c r="E2174" s="9" t="str"/>
      <x:c r="F2174" s="13" t="str">
        <x:v>2022</x:v>
      </x:c>
      <x:c r="G2174" s="9" t="str">
        <x:v>England and Wales Court of Appeal (Civil Division)</x:v>
      </x:c>
      <x:c r="H2174" s="9" t="str">
        <x:v>Court of Appeal (Civil Division)</x:v>
      </x:c>
      <x:c r="I2174" s="9" t="str">
        <x:v>England and Wales</x:v>
      </x:c>
      <x:c r="J2174" s="9" t="str">
        <x:v>Civil Procedure / Contempt of Court</x:v>
      </x:c>
      <x:c r="K2174" s="9" t="str">
        <x:v>ew-cases-EWCA-Civ-2022-1135.xml</x:v>
      </x:c>
      <x:c r="L2174" s="9" t="str">
        <x:v>TBA</x:v>
      </x:c>
    </x:row>
    <x:row r="2175">
      <x:c r="A2175" t="str">
        <x:v>fb37e919-7644-4344-a1c0-d409c597289a</x:v>
      </x:c>
      <x:c r="B2175" t="str">
        <x:v>2c716266-c737-4bb3-a750-260e9d56bdc4</x:v>
      </x:c>
      <x:c r="C2175" s="9" t="str">
        <x:v>Nampak Plastics Europe Ltd v Alpla UK Ltd [2014] EWCA Civ 1293 – Appeal in Patent Non-Infringement Case</x:v>
      </x:c>
      <x:c r="D2175" s="9" t="str"/>
      <x:c r="E2175" s="9" t="str"/>
      <x:c r="F2175" s="13" t="str">
        <x:v>2014</x:v>
      </x:c>
      <x:c r="G2175" s="9" t="str">
        <x:v>England and Wales Court of Appeal (Civil Division)</x:v>
      </x:c>
      <x:c r="H2175" s="9" t="str">
        <x:v>Appellate</x:v>
      </x:c>
      <x:c r="I2175" s="9" t="str">
        <x:v>England and Wales</x:v>
      </x:c>
      <x:c r="J2175" s="9" t="str">
        <x:v>Intellectual Property Law</x:v>
      </x:c>
      <x:c r="K2175" s="9" t="str">
        <x:v>-ew-cases-EWCA-Civ-2014-1293.xml</x:v>
      </x:c>
      <x:c r="L2175" s="9" t="str">
        <x:v>TBA</x:v>
      </x:c>
    </x:row>
    <x:row r="2176">
      <x:c r="A2176" t="str">
        <x:v>3498e2ab-d5c6-4e23-bfdb-dcbfd7c20ab1</x:v>
      </x:c>
      <x:c r="B2176" t="str">
        <x:v>edb9880b-ba30-4e1e-a2b3-52b1d6fb2f64</x:v>
      </x:c>
      <x:c r="C2176" s="9" t="str">
        <x:v>Napier Park European Credit Opportunities Fund Ltd v Harbourmaster Pro-Rata Clo 2 B.V. &amp; Ors [2014] EWCA Civ 984</x:v>
      </x:c>
      <x:c r="D2176" s="9" t="str"/>
      <x:c r="E2176" s="9" t="str"/>
      <x:c r="F2176" s="13" t="str">
        <x:v>2014</x:v>
      </x:c>
      <x:c r="G2176" s="9" t="str">
        <x:v>England and Wales Court of Appeal (Civil Division)</x:v>
      </x:c>
      <x:c r="H2176" s="9" t="str">
        <x:v>Appellate</x:v>
      </x:c>
      <x:c r="I2176" s="9" t="str">
        <x:v>England and Wales</x:v>
      </x:c>
      <x:c r="J2176" s="9" t="str">
        <x:v>Commercial Financial Dispute</x:v>
      </x:c>
      <x:c r="K2176" s="9" t="str">
        <x:v>-ew-cases-EWCA-Civ-2014-984.xml</x:v>
      </x:c>
      <x:c r="L2176" s="9" t="str">
        <x:v>TBA</x:v>
      </x:c>
    </x:row>
    <x:row r="2177">
      <x:c r="A2177" t="str">
        <x:v>2b38fa2b-3644-4ddf-9e06-5ecf11e96f90</x:v>
      </x:c>
      <x:c r="B2177" t="str">
        <x:v>95b14fce-5ba5-4348-b294-243cc955bd4b</x:v>
      </x:c>
      <x:c r="C2177" s="9" t="str">
        <x:v>Napp Pharmaceutical Holdings Limited v Dr Reddy's Laboratories (UK) Limited &amp; Anor [2016] EWCA Civ 1053</x:v>
      </x:c>
      <x:c r="D2177" s="9" t="str"/>
      <x:c r="E2177" s="9" t="str"/>
      <x:c r="F2177" s="13" t="str">
        <x:v>2016</x:v>
      </x:c>
      <x:c r="G2177" s="9" t="str">
        <x:v>England and Wales Court of Appeal (Civil Division)</x:v>
      </x:c>
      <x:c r="H2177" s="9" t="str">
        <x:v>Court of Appeal (Civil Division)</x:v>
      </x:c>
      <x:c r="I2177" s="9" t="str">
        <x:v>England and Wales</x:v>
      </x:c>
      <x:c r="J2177" s="9" t="str">
        <x:v>Patent Law / Intellectual Property</x:v>
      </x:c>
      <x:c r="K2177" s="9" t="str">
        <x:v>-ew-cases-EWCA-Civ-2016-1053.xml</x:v>
      </x:c>
      <x:c r="L2177" s="9" t="str">
        <x:v>TBA</x:v>
      </x:c>
    </x:row>
    <x:row r="2178">
      <x:c r="A2178" t="str">
        <x:v>065d8b92-4acd-4f7e-8c69-200a57c3f4d9</x:v>
      </x:c>
      <x:c r="B2178" t="str">
        <x:v>a29dee6f-45ef-42b2-9c2f-3f8a33f384b9</x:v>
      </x:c>
      <x:c r="C2178" s="9" t="str">
        <x:v>Narandas-Girdhar and Anor v Bradstock [2016] EWCA Civ 88</x:v>
      </x:c>
      <x:c r="D2178" s="9" t="str"/>
      <x:c r="E2178" s="9" t="str"/>
      <x:c r="F2178" s="13" t="str">
        <x:v>2016</x:v>
      </x:c>
      <x:c r="G2178" s="9" t="str">
        <x:v>England and Wales Court of Appeal (Civil Division)</x:v>
      </x:c>
      <x:c r="H2178" s="9" t="str">
        <x:v>Court of Appeal (Civil Division)</x:v>
      </x:c>
      <x:c r="I2178" s="9" t="str">
        <x:v>England and Wales</x:v>
      </x:c>
      <x:c r="J2178" s="9" t="str">
        <x:v>Insolvency Law</x:v>
      </x:c>
      <x:c r="K2178" s="9" t="str">
        <x:v>-ew-cases-EWCA-Civ-2016-88.xml</x:v>
      </x:c>
      <x:c r="L2178" s="9" t="str">
        <x:v>TBA</x:v>
      </x:c>
    </x:row>
    <x:row r="2179">
      <x:c r="A2179" t="str">
        <x:v>53ef06b4-e8ec-4053-b9bc-1ff124a0cf2b</x:v>
      </x:c>
      <x:c r="B2179" t="str">
        <x:v>7ce83a8a-0b12-41d6-b92f-842cd1212be0</x:v>
      </x:c>
      <x:c r="C2179" s="9" t="str">
        <x:v>Nata Lee Ltd v Abid &amp; Anor [2014] EWCA Civ 1652</x:v>
      </x:c>
      <x:c r="D2179" s="9" t="str"/>
      <x:c r="E2179" s="9" t="str"/>
      <x:c r="F2179" s="13" t="str">
        <x:v>2014</x:v>
      </x:c>
      <x:c r="G2179" s="9" t="str">
        <x:v>England and Wales Court of Appeal (Civil Division)</x:v>
      </x:c>
      <x:c r="H2179" s="9" t="str">
        <x:v>Court of Appeal</x:v>
      </x:c>
      <x:c r="I2179" s="9" t="str">
        <x:v>England</x:v>
      </x:c>
      <x:c r="J2179" s="9" t="str">
        <x:v>Property Law</x:v>
      </x:c>
      <x:c r="K2179" s="9" t="str">
        <x:v>-ew-cases-EWCA-Civ-2014-1652.xml</x:v>
      </x:c>
      <x:c r="L2179" s="9" t="str">
        <x:v>TBA</x:v>
      </x:c>
    </x:row>
    <x:row r="2180">
      <x:c r="A2180" t="str">
        <x:v>6f25f8f4-2023-429b-9cc8-a6cab0c88064</x:v>
      </x:c>
      <x:c r="B2180" t="str">
        <x:v>ed07cee8-284a-4c88-9681-37d30f80d1a1</x:v>
      </x:c>
      <x:c r="C2180" s="9" t="str">
        <x:v>National AIDS Trust v National Health Service Commissioning Board (NHS England) &amp; Ors (EWCA Civ 1100) – PrEP and NHS England power to commission preventive HIV treatment</x:v>
      </x:c>
      <x:c r="D2180" s="9" t="str"/>
      <x:c r="E2180" s="9" t="str"/>
      <x:c r="F2180" s="13" t="str">
        <x:v>2016</x:v>
      </x:c>
      <x:c r="G2180" s="9" t="str">
        <x:v>England and Wales Court of Appeal (Civil Division)</x:v>
      </x:c>
      <x:c r="H2180" s="9" t="str">
        <x:v>Court of Appeal (Civil Division)</x:v>
      </x:c>
      <x:c r="I2180" s="9" t="str">
        <x:v>England and Wales</x:v>
      </x:c>
      <x:c r="J2180" s="9" t="str">
        <x:v>Public health and health service administrative law</x:v>
      </x:c>
      <x:c r="K2180" s="9" t="str">
        <x:v>-ew-cases-EWCA-Civ-2016-1100.xml</x:v>
      </x:c>
      <x:c r="L2180" s="9" t="str">
        <x:v>TBA</x:v>
      </x:c>
    </x:row>
    <x:row r="2181">
      <x:c r="A2181" t="str">
        <x:v>374ee03f-8fc0-4bdc-a7f1-03e5aa73b03e</x:v>
      </x:c>
      <x:c r="B2181" t="str">
        <x:v>2eaaf060-799f-4573-a18a-86e5c14b158b</x:v>
      </x:c>
      <x:c r="C2181" s="9" t="str">
        <x:v>National Grid Electricity Transmission Plc v Arnold White Estates Ltd [2014] EWCA Civ 216</x:v>
      </x:c>
      <x:c r="D2181" s="9" t="str"/>
      <x:c r="E2181" s="9" t="str"/>
      <x:c r="F2181" s="13" t="str">
        <x:v>2014</x:v>
      </x:c>
      <x:c r="G2181" s="9" t="str">
        <x:v>England and Wales Court of Appeal (Civil Division)</x:v>
      </x:c>
      <x:c r="H2181" s="9" t="str">
        <x:v>appellate</x:v>
      </x:c>
      <x:c r="I2181" s="9" t="str">
        <x:v>England and Wales</x:v>
      </x:c>
      <x:c r="J2181" s="9" t="str">
        <x:v>Property Law</x:v>
      </x:c>
      <x:c r="K2181" s="9" t="str">
        <x:v>-ew-cases-EWCA-Civ-2014-216.xml</x:v>
      </x:c>
      <x:c r="L2181" s="9" t="str">
        <x:v>TBA</x:v>
      </x:c>
    </x:row>
    <x:row r="2182">
      <x:c r="A2182" t="str">
        <x:v>0bef4463-aa5f-4db7-be32-d99661b7fe2e</x:v>
      </x:c>
      <x:c r="B2182" t="str">
        <x:v>14781bc9-d68a-4839-ab48-ad83f6c1df33</x:v>
      </x:c>
      <x:c r="C2182" s="9" t="str">
        <x:v>National Health Service Commissioning Board v Silovsky &amp; Anor [2017] EWCA Civ 1389</x:v>
      </x:c>
      <x:c r="D2182" s="9" t="str"/>
      <x:c r="E2182" s="9" t="str"/>
      <x:c r="F2182" s="13" t="str">
        <x:v>2017</x:v>
      </x:c>
      <x:c r="G2182" s="9" t="str">
        <x:v>England and Wales Court of Appeal (Civil Division)</x:v>
      </x:c>
      <x:c r="H2182" s="9" t="str">
        <x:v>Appellate</x:v>
      </x:c>
      <x:c r="I2182" s="9" t="str">
        <x:v>England and Wales</x:v>
      </x:c>
      <x:c r="J2182" s="9" t="str">
        <x:v>Contract Dispute</x:v>
      </x:c>
      <x:c r="K2182" s="9" t="str">
        <x:v>-ew-cases-EWCA-Civ-2017-1389.xml</x:v>
      </x:c>
      <x:c r="L2182" s="9" t="str">
        <x:v>TBA</x:v>
      </x:c>
    </x:row>
    <x:row r="2183">
      <x:c r="A2183" t="str">
        <x:v>6310b9f0-2840-48b7-9448-317441d861a8</x:v>
      </x:c>
      <x:c r="B2183" t="str">
        <x:v>d13771f0-3088-4ce0-8a0e-0ebd254f6fc7</x:v>
      </x:c>
      <x:c r="C2183" s="9" t="str">
        <x:v>National Highways Limited v Persons Unknown &amp; Ors [2023] EWCA Civ 182</x:v>
      </x:c>
      <x:c r="D2183" s="9" t="str"/>
      <x:c r="E2183" s="9" t="str"/>
      <x:c r="F2183" s="13" t="str">
        <x:v>2023</x:v>
      </x:c>
      <x:c r="G2183" s="9" t="str">
        <x:v>England and Wales Court of Appeal (Civil Division)</x:v>
      </x:c>
      <x:c r="H2183" s="9" t="str">
        <x:v>Court of Appeal (Civil Division)</x:v>
      </x:c>
      <x:c r="I2183" s="9" t="str">
        <x:v>England and Wales</x:v>
      </x:c>
      <x:c r="J2183" s="9" t="str">
        <x:v>Civil Procedure; Injunctions; Public Protests; Human Rights</x:v>
      </x:c>
      <x:c r="K2183" s="9" t="str">
        <x:v>ew-cases-EWCA-Civ-2023-182.xml</x:v>
      </x:c>
      <x:c r="L2183" s="9" t="str">
        <x:v>TBA</x:v>
      </x:c>
    </x:row>
    <x:row r="2184">
      <x:c r="A2184" t="str">
        <x:v>f66b775b-f4f4-47c2-80a3-8e92150a1c87</x:v>
      </x:c>
      <x:c r="B2184" t="str">
        <x:v>21bfdf24-b757-477e-9f0a-d9f3c37ffbd2</x:v>
      </x:c>
      <x:c r="C2184" s="9" t="str">
        <x:v>National Union of Professional Foster Carers v The Certification Officer [2021] EWCA Civ 548</x:v>
      </x:c>
      <x:c r="D2184" s="9" t="str"/>
      <x:c r="E2184" s="9" t="str"/>
      <x:c r="F2184" s="13" t="str">
        <x:v>2021</x:v>
      </x:c>
      <x:c r="G2184" s="9" t="str">
        <x:v>England and Wales Court of Appeal (Civil Division)</x:v>
      </x:c>
      <x:c r="H2184" s="9" t="str">
        <x:v>Appellate</x:v>
      </x:c>
      <x:c r="I2184" s="9" t="str">
        <x:v>England and Wales</x:v>
      </x:c>
      <x:c r="J2184" s="9" t="str">
        <x:v>Employment Law</x:v>
      </x:c>
      <x:c r="K2184" s="9" t="str">
        <x:v>ew-cases-EWCA-Civ-2021-548.xml</x:v>
      </x:c>
      <x:c r="L2184" s="9" t="str">
        <x:v>TBA</x:v>
      </x:c>
    </x:row>
    <x:row r="2185">
      <x:c r="A2185" t="str">
        <x:v>ff7e2c92-403f-4146-b8b0-2927c017dd47</x:v>
      </x:c>
      <x:c r="B2185" t="str">
        <x:v>cf08a98c-8b9a-411a-8e52-eadec92ebec0</x:v>
      </x:c>
      <x:c r="C2185" s="9" t="str">
        <x:v>National Westminster Bank Plc v Lucas &amp; Ors</x:v>
      </x:c>
      <x:c r="D2185" s="9" t="str"/>
      <x:c r="E2185" s="9" t="str"/>
      <x:c r="F2185" s="13" t="str">
        <x:v>2014</x:v>
      </x:c>
      <x:c r="G2185" s="9" t="str">
        <x:v>England and Wales Court of Appeal (Civil Division)</x:v>
      </x:c>
      <x:c r="H2185" s="9" t="str">
        <x:v>Appellate</x:v>
      </x:c>
      <x:c r="I2185" s="9" t="str">
        <x:v>England and Wales</x:v>
      </x:c>
      <x:c r="J2185" s="9" t="str">
        <x:v>Trust and Estate Management</x:v>
      </x:c>
      <x:c r="K2185" s="9" t="str">
        <x:v>-ew-cases-EWCA-Civ-2014-1632.xml</x:v>
      </x:c>
      <x:c r="L2185" s="9" t="str">
        <x:v>TBA</x:v>
      </x:c>
    </x:row>
    <x:row r="2186">
      <x:c r="A2186" t="str">
        <x:v>8091646e-c9af-4c66-a721-8e828f5805f5</x:v>
      </x:c>
      <x:c r="B2186" t="str">
        <x:v>e6d6194b-3078-42b3-bd70-234b01020c94</x:v>
      </x:c>
      <x:c r="C2186" s="9" t="str">
        <x:v>Natt &amp; Anor v Osman &amp; Anor [2014] EWCA Civ 1520: Validity of Notice Under the Leasehold Reform Act</x:v>
      </x:c>
      <x:c r="D2186" s="9" t="str"/>
      <x:c r="E2186" s="9" t="str"/>
      <x:c r="F2186" s="13" t="str">
        <x:v>2014</x:v>
      </x:c>
      <x:c r="G2186" s="9" t="str">
        <x:v>England and Wales Court of Appeal (Civil Division)</x:v>
      </x:c>
      <x:c r="H2186" s="9" t="str">
        <x:v>Appellate</x:v>
      </x:c>
      <x:c r="I2186" s="9" t="str">
        <x:v>England and Wales</x:v>
      </x:c>
      <x:c r="J2186" s="9" t="str">
        <x:v>Property Law</x:v>
      </x:c>
      <x:c r="K2186" s="9" t="str">
        <x:v>-ew-cases-EWCA-Civ-2014-1520.xml</x:v>
      </x:c>
      <x:c r="L2186" s="9" t="str">
        <x:v>TBA</x:v>
      </x:c>
    </x:row>
    <x:row r="2187">
      <x:c r="A2187" t="str">
        <x:v>c24c27f6-cc77-47a8-91e0-68c0f4ccbddc</x:v>
      </x:c>
      <x:c r="B2187" t="str">
        <x:v>99dc0496-7024-4c46-b882-2cb4a0423e85</x:v>
      </x:c>
      <x:c r="C2187" s="9" t="str">
        <x:v>Natwest Markets Plc &amp; Anor v Bilta (UK) Ltd &amp; Ors [2021] EWCA Civ 680</x:v>
      </x:c>
      <x:c r="D2187" s="9" t="str"/>
      <x:c r="E2187" s="9" t="str"/>
      <x:c r="F2187" s="13" t="str">
        <x:v>2021</x:v>
      </x:c>
      <x:c r="G2187" s="9" t="str">
        <x:v>England and Wales Court of Appeal (Civil Division)</x:v>
      </x:c>
      <x:c r="H2187" s="9" t="str">
        <x:v>Appellate</x:v>
      </x:c>
      <x:c r="I2187" s="9" t="str">
        <x:v>England and Wales</x:v>
      </x:c>
      <x:c r="J2187" s="9" t="str">
        <x:v>Commercial Law</x:v>
      </x:c>
      <x:c r="K2187" s="9" t="str">
        <x:v>ew-cases-EWCA-Civ-2021-680.xml</x:v>
      </x:c>
      <x:c r="L2187" s="9" t="str">
        <x:v>TBA</x:v>
      </x:c>
    </x:row>
    <x:row r="2188">
      <x:c r="A2188" t="str">
        <x:v>51b126d5-178f-47f8-8bd5-d55040dea4e9</x:v>
      </x:c>
      <x:c r="B2188" t="str">
        <x:v>ca7713b3-ed3a-4bd0-8ef1-9e93200a1ed6</x:v>
      </x:c>
      <x:c r="C2188" s="9" t="str">
        <x:v>Navigator Equities Ltd &amp; Anor v Deripaska</x:v>
      </x:c>
      <x:c r="D2188" s="9" t="str"/>
      <x:c r="E2188" s="9" t="str"/>
      <x:c r="F2188" s="13" t="str">
        <x:v>2021</x:v>
      </x:c>
      <x:c r="G2188" s="9" t="str">
        <x:v>England and Wales Court of Appeal (Civil Division)</x:v>
      </x:c>
      <x:c r="H2188" s="9" t="str">
        <x:v>Appellate</x:v>
      </x:c>
      <x:c r="I2188" s="9" t="str">
        <x:v>England and Wales</x:v>
      </x:c>
      <x:c r="J2188" s="9" t="str">
        <x:v>Civil Law</x:v>
      </x:c>
      <x:c r="K2188" s="9" t="str">
        <x:v>ew-cases-EWCA-Civ-2021-1799.xml</x:v>
      </x:c>
      <x:c r="L2188" s="9" t="str">
        <x:v>TBA</x:v>
      </x:c>
    </x:row>
    <x:row r="2189">
      <x:c r="A2189" t="str">
        <x:v>d9848a53-8b9c-42d0-907e-d88a4700c735</x:v>
      </x:c>
      <x:c r="B2189" t="str">
        <x:v>806f118b-d6b0-4939-ad11-753dafd57638</x:v>
      </x:c>
      <x:c r="C2189" s="9" t="str">
        <x:v>Nayif v The High Commission of Brunei Darussalam [2014] EWCA Civ 1521</x:v>
      </x:c>
      <x:c r="D2189" s="9" t="str"/>
      <x:c r="E2189" s="9" t="str"/>
      <x:c r="F2189" s="13" t="str">
        <x:v>2014</x:v>
      </x:c>
      <x:c r="G2189" s="9" t="str">
        <x:v>England and Wales Court of Appeal (Civil Division)</x:v>
      </x:c>
      <x:c r="H2189" s="9" t="str">
        <x:v>Appellate</x:v>
      </x:c>
      <x:c r="I2189" s="9" t="str">
        <x:v>England and Wales</x:v>
      </x:c>
      <x:c r="J2189" s="9" t="str">
        <x:v>Employment Law</x:v>
      </x:c>
      <x:c r="K2189" s="9" t="str">
        <x:v>-ew-cases-EWCA-Civ-2014-1521.xml</x:v>
      </x:c>
      <x:c r="L2189" s="9" t="str">
        <x:v>TBA</x:v>
      </x:c>
    </x:row>
    <x:row r="2190">
      <x:c r="A2190" t="str">
        <x:v>3086ef34-7c28-4640-bdf3-003bd9b0654e</x:v>
      </x:c>
      <x:c r="B2190" t="str">
        <x:v>f77c60de-2518-47d5-9ebf-08814c75d146</x:v>
      </x:c>
      <x:c r="C2190" s="9" t="str">
        <x:v>Naylor v Essex County Council: Permission to Appeal Dismissed in Village Green Registration Case</x:v>
      </x:c>
      <x:c r="D2190" s="9" t="str"/>
      <x:c r="E2190" s="9" t="str"/>
      <x:c r="F2190" s="13" t="str">
        <x:v>2015</x:v>
      </x:c>
      <x:c r="G2190" s="9" t="str">
        <x:v>England and Wales Court of Appeal (Civil Division)</x:v>
      </x:c>
      <x:c r="H2190" s="9" t="str">
        <x:v>Appellate</x:v>
      </x:c>
      <x:c r="I2190" s="9" t="str">
        <x:v>England and Wales</x:v>
      </x:c>
      <x:c r="J2190" s="9" t="str">
        <x:v>Administrative Law</x:v>
      </x:c>
      <x:c r="K2190" s="9" t="str">
        <x:v>-ew-cases-EWCA-Civ-2015-627.xml</x:v>
      </x:c>
      <x:c r="L2190" s="9" t="str">
        <x:v>TBA</x:v>
      </x:c>
    </x:row>
    <x:row r="2191">
      <x:c r="A2191" t="str">
        <x:v>aac64c01-4913-47a6-9a92-b5c87826c084</x:v>
      </x:c>
      <x:c r="B2191" t="str">
        <x:v>a786c7a7-84a2-4509-b1c8-bc1e3822d810</x:v>
      </x:c>
      <x:c r="C2191" s="9" t="str">
        <x:v>NC (Bangladesh) v Secretary of State for the Home Department [2015] EWCA Civ 1452</x:v>
      </x:c>
      <x:c r="D2191" s="9" t="str"/>
      <x:c r="E2191" s="9" t="str"/>
      <x:c r="F2191" s="13" t="str">
        <x:v>2015</x:v>
      </x:c>
      <x:c r="G2191" s="9" t="str">
        <x:v>England and Wales Court of Appeal (Civil Division)</x:v>
      </x:c>
      <x:c r="H2191" s="9" t="str">
        <x:v>Appellate</x:v>
      </x:c>
      <x:c r="I2191" s="9" t="str">
        <x:v>England and Wales</x:v>
      </x:c>
      <x:c r="J2191" s="9" t="str">
        <x:v>Immigration Law</x:v>
      </x:c>
      <x:c r="K2191" s="9" t="str">
        <x:v>-ew-cases-EWCA-Civ-2015-1452.xml</x:v>
      </x:c>
      <x:c r="L2191" s="9" t="str">
        <x:v>TBA</x:v>
      </x:c>
    </x:row>
    <x:row r="2192">
      <x:c r="A2192" t="str">
        <x:v>f9d91437-86d0-4f88-ad97-b927c613c9f8</x:v>
      </x:c>
      <x:c r="B2192" t="str">
        <x:v>709d819b-b974-47ac-8e0e-46b9114bb366</x:v>
      </x:c>
      <x:c r="C2192" s="9" t="str">
        <x:v>NC (Zambia) v Secretary of State for the Home Department [2015] EWCA Civ 969</x:v>
      </x:c>
      <x:c r="D2192" s="9" t="str"/>
      <x:c r="E2192" s="9" t="str"/>
      <x:c r="F2192" s="13" t="str">
        <x:v>2015</x:v>
      </x:c>
      <x:c r="G2192" s="9" t="str">
        <x:v>England and Wales Court of Appeal (Civil Division)</x:v>
      </x:c>
      <x:c r="H2192" s="9" t="str">
        <x:v>Appellate</x:v>
      </x:c>
      <x:c r="I2192" s="9" t="str">
        <x:v>England and Wales</x:v>
      </x:c>
      <x:c r="J2192" s="9" t="str">
        <x:v>Immigration Law</x:v>
      </x:c>
      <x:c r="K2192" s="9" t="str">
        <x:v>-ew-cases-EWCA-Civ-2015-969.xml</x:v>
      </x:c>
      <x:c r="L2192" s="9" t="str">
        <x:v>TBA</x:v>
      </x:c>
    </x:row>
    <x:row r="2193">
      <x:c r="A2193" t="str">
        <x:v>721d802b-c2f2-42ed-94f3-828938c184dd</x:v>
      </x:c>
      <x:c r="B2193" t="str">
        <x:v>cf530789-52f4-4f22-a674-716783b712e0</x:v>
      </x:c>
      <x:c r="C2193" s="9" t="str">
        <x:v>NCN v Secretary of State for the Home Department [2016] EWCA Civ 307</x:v>
      </x:c>
      <x:c r="D2193" s="9" t="str"/>
      <x:c r="E2193" s="9" t="str"/>
      <x:c r="F2193" s="13" t="str">
        <x:v>2016</x:v>
      </x:c>
      <x:c r="G2193" s="9" t="str">
        <x:v>England and Wales Court of Appeal (Civil Division)</x:v>
      </x:c>
      <x:c r="H2193" s="9" t="str">
        <x:v>Court of Appeal (Civil Division)</x:v>
      </x:c>
      <x:c r="I2193" s="9" t="str">
        <x:v>England and Wales</x:v>
      </x:c>
      <x:c r="J2193" s="9" t="str">
        <x:v>Judicial Review / Administrative Law / Immigration / Human Rights</x:v>
      </x:c>
      <x:c r="K2193" s="9" t="str">
        <x:v>-ew-cases-EWCA-Civ-2016-307.xml</x:v>
      </x:c>
      <x:c r="L2193" s="9" t="str">
        <x:v>TBA</x:v>
      </x:c>
    </x:row>
    <x:row r="2194">
      <x:c r="A2194" t="str">
        <x:v>48a3e320-5dd7-4813-9ba2-745d86113491</x:v>
      </x:c>
      <x:c r="B2194" t="str">
        <x:v>1eed0bf6-ca88-4a7b-9bea-219914acf839</x:v>
      </x:c>
      <x:c r="C2194" s="9" t="str">
        <x:v>NE-A (Nigeria) v Secretary of State for the Home Department [2017] EWCA Civ 239</x:v>
      </x:c>
      <x:c r="D2194" s="9" t="str"/>
      <x:c r="E2194" s="9" t="str"/>
      <x:c r="F2194" s="13" t="str">
        <x:v>2017</x:v>
      </x:c>
      <x:c r="G2194" s="9" t="str">
        <x:v>England and Wales Court of Appeal (Civil Division)</x:v>
      </x:c>
      <x:c r="H2194" s="9" t="str">
        <x:v>Appellate</x:v>
      </x:c>
      <x:c r="I2194" s="9" t="str">
        <x:v>England and Wales</x:v>
      </x:c>
      <x:c r="J2194" s="9" t="str">
        <x:v>Immigration Law</x:v>
      </x:c>
      <x:c r="K2194" s="9" t="str">
        <x:v>-ew-cases-EWCA-Civ-2017-239.xml</x:v>
      </x:c>
      <x:c r="L2194" s="9" t="str">
        <x:v>TBA</x:v>
      </x:c>
    </x:row>
    <x:row r="2195">
      <x:c r="A2195" t="str">
        <x:v>05e66036-60b0-4ead-9511-701b7b90b30c</x:v>
      </x:c>
      <x:c r="B2195" t="str">
        <x:v>3e50d912-c21c-4186-810a-b8191500184b</x:v>
      </x:c>
      <x:c r="C2195" s="9" t="str">
        <x:v>Nectrus Ltd v UCP PLC [2021] EWCA Civ 57</x:v>
      </x:c>
      <x:c r="D2195" s="9" t="str"/>
      <x:c r="E2195" s="9" t="str"/>
      <x:c r="F2195" s="13" t="str">
        <x:v>2021</x:v>
      </x:c>
      <x:c r="G2195" s="9" t="str">
        <x:v>England and Wales Court of Appeal (Civil Division)</x:v>
      </x:c>
      <x:c r="H2195" s="9" t="str">
        <x:v>Appellate</x:v>
      </x:c>
      <x:c r="I2195" s="9" t="str">
        <x:v>England and Wales</x:v>
      </x:c>
      <x:c r="J2195" s="9" t="str">
        <x:v>Corporate Law</x:v>
      </x:c>
      <x:c r="K2195" s="9" t="str">
        <x:v>ew-cases-EWCA-Civ-2021-57.xml</x:v>
      </x:c>
      <x:c r="L2195" s="9" t="str">
        <x:v>TBA</x:v>
      </x:c>
    </x:row>
    <x:row r="2196">
      <x:c r="A2196" t="str">
        <x:v>b7621e4b-18e0-45c9-a467-2573895da3b7</x:v>
      </x:c>
      <x:c r="B2196" t="str">
        <x:v>d13bd153-d2d6-4600-89b5-6f33cb729c2e</x:v>
      </x:c>
      <x:c r="C2196" s="9" t="str">
        <x:v>Nelmes v NRAM plc [2016] EWCA Civ 491 (England and Wales Court of Appeal, Civil Division)</x:v>
      </x:c>
      <x:c r="D2196" s="9" t="str"/>
      <x:c r="E2196" s="9" t="str"/>
      <x:c r="F2196" s="13" t="str">
        <x:v>2016</x:v>
      </x:c>
      <x:c r="G2196" s="9" t="str">
        <x:v>England and Wales Court of Appeal (Civil Division)</x:v>
      </x:c>
      <x:c r="H2196" s="9" t="str">
        <x:v>Court of Appeal (Civil Division)</x:v>
      </x:c>
      <x:c r="I2196" s="9" t="str">
        <x:v>England and Wales</x:v>
      </x:c>
      <x:c r="J2196" s="9" t="str">
        <x:v>Unfair relationship under the Consumer Credit Act 1974 (s140A/s140B)</x:v>
      </x:c>
      <x:c r="K2196" s="9" t="str">
        <x:v>-ew-cases-EWCA-Civ-2016-491.xml</x:v>
      </x:c>
      <x:c r="L2196" s="9" t="str">
        <x:v>TBA</x:v>
      </x:c>
    </x:row>
    <x:row r="2197">
      <x:c r="A2197" t="str">
        <x:v>bfe977b3-a968-4495-b035-80cf023b9d53</x:v>
      </x:c>
      <x:c r="B2197" t="str">
        <x:v>e3be15bc-b7fb-4406-b890-be6b3bbe66e8</x:v>
      </x:c>
      <x:c r="C2197" s="9" t="str">
        <x:v>Nelson v Circle Thirty Three Housing Trust Ltd</x:v>
      </x:c>
      <x:c r="D2197" s="9" t="str"/>
      <x:c r="E2197" s="9" t="str"/>
      <x:c r="F2197" s="13" t="str">
        <x:v>2014</x:v>
      </x:c>
      <x:c r="G2197" s="9" t="str">
        <x:v>England and Wales Court of Appeal (Civil Division)</x:v>
      </x:c>
      <x:c r="H2197" s="9" t="str">
        <x:v>Appellate</x:v>
      </x:c>
      <x:c r="I2197" s="9" t="str">
        <x:v>England and Wales</x:v>
      </x:c>
      <x:c r="J2197" s="9" t="str">
        <x:v>Housing and Tenancy Law</x:v>
      </x:c>
      <x:c r="K2197" s="9" t="str">
        <x:v>-ew-cases-EWCA-Civ-2014-106.xml</x:v>
      </x:c>
      <x:c r="L2197" s="9" t="str">
        <x:v>TBA</x:v>
      </x:c>
    </x:row>
    <x:row r="2198">
      <x:c r="A2198" t="str">
        <x:v>f66cd653-672b-477e-a1f8-3b624a6a7162</x:v>
      </x:c>
      <x:c r="B2198" t="str">
        <x:v>04043778-9f3f-4a73-b72e-2b2ccc3b38b5</x:v>
      </x:c>
      <x:c r="C2198" s="9" t="str">
        <x:v>Nelson v Wood [2014] EWCA Civ 869</x:v>
      </x:c>
      <x:c r="D2198" s="9" t="str"/>
      <x:c r="E2198" s="9" t="str"/>
      <x:c r="F2198" s="13" t="str">
        <x:v>2014</x:v>
      </x:c>
      <x:c r="G2198" s="9" t="str">
        <x:v>England and Wales Court of Appeal (Civil Division)</x:v>
      </x:c>
      <x:c r="H2198" s="9" t="str">
        <x:v>Appellate</x:v>
      </x:c>
      <x:c r="I2198" s="9" t="str">
        <x:v>England and Wales</x:v>
      </x:c>
      <x:c r="J2198" s="9" t="str">
        <x:v>Civil Procedure</x:v>
      </x:c>
      <x:c r="K2198" s="9" t="str">
        <x:v>-ew-cases-EWCA-Civ-2014-869.xml</x:v>
      </x:c>
      <x:c r="L2198" s="9" t="str">
        <x:v>TBA</x:v>
      </x:c>
    </x:row>
    <x:row r="2199">
      <x:c r="A2199" t="str">
        <x:v>b11f45f9-bf9c-4d32-9585-b54eccfd52e3</x:v>
      </x:c>
      <x:c r="B2199" t="str">
        <x:v>5c199301-9fa7-4657-b7d3-4d6b6da9e61b</x:v>
      </x:c>
      <x:c r="C2199" s="9" t="str">
        <x:v>Neurim Pharmaceuticals (1991) Limited &amp; Anor v Generics (UK) Limited &amp; Anor [2022] EWCA Civ 359</x:v>
      </x:c>
      <x:c r="D2199" s="9" t="str"/>
      <x:c r="E2199" s="9" t="str"/>
      <x:c r="F2199" s="13" t="str">
        <x:v>2022</x:v>
      </x:c>
      <x:c r="G2199" s="9" t="str">
        <x:v>England and Wales Court of Appeal (Civil Division)</x:v>
      </x:c>
      <x:c r="H2199" s="9" t="str">
        <x:v>Court of Appeal (Civil Division)</x:v>
      </x:c>
      <x:c r="I2199" s="9" t="str">
        <x:v>England and Wales</x:v>
      </x:c>
      <x:c r="J2199" s="9" t="str">
        <x:v>Intellectual Property / Patent Law</x:v>
      </x:c>
      <x:c r="K2199" s="9" t="str">
        <x:v>ew-cases-EWCA-Civ-2022-359.xml</x:v>
      </x:c>
      <x:c r="L2199" s="9" t="str">
        <x:v>TBA</x:v>
      </x:c>
    </x:row>
    <x:row r="2200">
      <x:c r="A2200" t="str">
        <x:v>5e819019-a675-4a32-af25-8156c76056b9</x:v>
      </x:c>
      <x:c r="B2200" t="str">
        <x:v>c0f3fdb2-6414-4841-8590-b7c4efeabf5e</x:v>
      </x:c>
      <x:c r="C2200" s="9" t="str">
        <x:v>Neurim Pharmaceuticals (1991) Limited &amp; Anor v Generics (UK) Limited &amp; Anor [2022] EWCA Civ 370</x:v>
      </x:c>
      <x:c r="D2200" s="9" t="str"/>
      <x:c r="E2200" s="9" t="str"/>
      <x:c r="F2200" s="13" t="str">
        <x:v>2022</x:v>
      </x:c>
      <x:c r="G2200" s="9" t="str">
        <x:v>England and Wales Court of Appeal (Civil Division)</x:v>
      </x:c>
      <x:c r="H2200" s="9" t="str">
        <x:v>Court of Appeal (Civil Division)</x:v>
      </x:c>
      <x:c r="I2200" s="9" t="str">
        <x:v>England and Wales</x:v>
      </x:c>
      <x:c r="J2200" s="9" t="str">
        <x:v>Intellectual Property – Patents</x:v>
      </x:c>
      <x:c r="K2200" s="9" t="str">
        <x:v>ew-cases-EWCA-Civ-2022-370.xml</x:v>
      </x:c>
      <x:c r="L2200" s="9" t="str">
        <x:v>TBA</x:v>
      </x:c>
    </x:row>
    <x:row r="2201">
      <x:c r="A2201" t="str">
        <x:v>af123cc2-7f98-45be-8741-716596969502</x:v>
      </x:c>
      <x:c r="B2201" t="str">
        <x:v>024940b7-32ce-4a89-be24-ef0977f9eecd</x:v>
      </x:c>
      <x:c r="C2201" s="9" t="str">
        <x:v>Neurim Pharmaceuticals (1991) Limited &amp; Flynn Pharma Limited v Generics (UK) Limited &amp; Viatris UK Healthcare Limited [2022] EWCA Civ 699</x:v>
      </x:c>
      <x:c r="D2201" s="9" t="str"/>
      <x:c r="E2201" s="9" t="str"/>
      <x:c r="F2201" s="13" t="str">
        <x:v>2022</x:v>
      </x:c>
      <x:c r="G2201" s="9" t="str">
        <x:v>England and Wales Court of Appeal (Civil Division)</x:v>
      </x:c>
      <x:c r="H2201" s="9" t="str">
        <x:v>Court of Appeal (Civil Division)</x:v>
      </x:c>
      <x:c r="I2201" s="9" t="str">
        <x:v>England and Wales</x:v>
      </x:c>
      <x:c r="J2201" s="9" t="str">
        <x:v>Intellectual Property - Patent</x:v>
      </x:c>
      <x:c r="K2201" s="9" t="str">
        <x:v>ew-cases-EWCA-Civ-2022-699.xml</x:v>
      </x:c>
      <x:c r="L2201" s="9" t="str">
        <x:v>TBA</x:v>
      </x:c>
    </x:row>
    <x:row r="2202">
      <x:c r="A2202" t="str">
        <x:v>e0822343-726d-4e9e-8bd1-a8f6e5e1af6a</x:v>
      </x:c>
      <x:c r="B2202" t="str">
        <x:v>e4f77176-87a4-4c94-a861-62e0c23ba1e8</x:v>
      </x:c>
      <x:c r="C2202" s="9" t="str">
        <x:v>Newark And Sherwood Homes v Gorman</x:v>
      </x:c>
      <x:c r="D2202" s="9" t="str"/>
      <x:c r="E2202" s="9" t="str"/>
      <x:c r="F2202" s="13" t="str">
        <x:v>2015</x:v>
      </x:c>
      <x:c r="G2202" s="9" t="str">
        <x:v>England and Wales Court of Appeal (Civil Division)</x:v>
      </x:c>
      <x:c r="H2202" s="9" t="str">
        <x:v>Appellate</x:v>
      </x:c>
      <x:c r="I2202" s="9" t="str">
        <x:v>England and Wales</x:v>
      </x:c>
      <x:c r="J2202" s="9" t="str">
        <x:v>Property Law</x:v>
      </x:c>
      <x:c r="K2202" s="9" t="str">
        <x:v>-ew-cases-EWCA-Civ-2015-764.xml</x:v>
      </x:c>
      <x:c r="L2202" s="9" t="str">
        <x:v>TBA</x:v>
      </x:c>
    </x:row>
    <x:row r="2203">
      <x:c r="A2203" t="str">
        <x:v>486f2435-a7b3-4fc3-90ee-35ea56829c0a</x:v>
      </x:c>
      <x:c r="B2203" t="str">
        <x:v>149eed79-46cd-41e3-abcf-7e97c8f0f670</x:v>
      </x:c>
      <x:c r="C2203" s="9" t="str">
        <x:v>Newbigin (Valuation Officer) v S J &amp; J Monk (a firm) [2015] EWCA Civ 78</x:v>
      </x:c>
      <x:c r="D2203" s="9" t="str"/>
      <x:c r="E2203" s="9" t="str"/>
      <x:c r="F2203" s="13" t="str">
        <x:v>2015</x:v>
      </x:c>
      <x:c r="G2203" s="9" t="str">
        <x:v>England and Wales Court of Appeal (Civil Division)</x:v>
      </x:c>
      <x:c r="H2203" s="9" t="str">
        <x:v>Appellate</x:v>
      </x:c>
      <x:c r="I2203" s="9" t="str">
        <x:v>England and Wales</x:v>
      </x:c>
      <x:c r="J2203" s="9" t="str">
        <x:v>Property Law</x:v>
      </x:c>
      <x:c r="K2203" s="9" t="str">
        <x:v>-ew-cases-EWCA-Civ-2015-78.xml</x:v>
      </x:c>
      <x:c r="L2203" s="9" t="str">
        <x:v>TBA</x:v>
      </x:c>
    </x:row>
    <x:row r="2204">
      <x:c r="A2204" t="str">
        <x:v>9ed3eaf6-ad51-41ea-b713-b39acccf8720</x:v>
      </x:c>
      <x:c r="B2204" t="str">
        <x:v>cc325dd1-63c4-4216-94ad-6b456a6b6bde</x:v>
      </x:c>
      <x:c r="C2204" s="9" t="str">
        <x:v>Newbound v Thames Water Utilities Ltd</x:v>
      </x:c>
      <x:c r="D2204" s="9" t="str"/>
      <x:c r="E2204" s="9" t="str"/>
      <x:c r="F2204" s="13" t="str">
        <x:v>2015</x:v>
      </x:c>
      <x:c r="G2204" s="9" t="str">
        <x:v>England and Wales Court of Appeal (Civil Division)</x:v>
      </x:c>
      <x:c r="H2204" s="9" t="str">
        <x:v>Appellate</x:v>
      </x:c>
      <x:c r="I2204" s="9" t="str">
        <x:v>England and Wales</x:v>
      </x:c>
      <x:c r="J2204" s="9" t="str">
        <x:v>Employment Law</x:v>
      </x:c>
      <x:c r="K2204" s="9" t="str">
        <x:v>-ew-cases-EWCA-Civ-2015-677.xml</x:v>
      </x:c>
      <x:c r="L2204" s="9" t="str">
        <x:v>TBA</x:v>
      </x:c>
    </x:row>
    <x:row r="2205">
      <x:c r="A2205" t="str">
        <x:v>0da4c643-5490-4227-8dbf-9f96c02c0b61</x:v>
      </x:c>
      <x:c r="B2205" t="str">
        <x:v>9b8eb7e7-07f1-4459-b7a7-55d8c2e8406c</x:v>
      </x:c>
      <x:c r="C2205" s="9" t="str">
        <x:v>Newby Foods Ltd, R (On the Application Of) v Food Standards Agency</x:v>
      </x:c>
      <x:c r="D2205" s="9" t="str"/>
      <x:c r="E2205" s="9" t="str"/>
      <x:c r="F2205" s="13" t="str">
        <x:v>2017</x:v>
      </x:c>
      <x:c r="G2205" s="9" t="str">
        <x:v>England and Wales Court of Appeal (Civil Division)</x:v>
      </x:c>
      <x:c r="H2205" s="9" t="str">
        <x:v>Appellate</x:v>
      </x:c>
      <x:c r="I2205" s="9" t="str">
        <x:v>England and Wales</x:v>
      </x:c>
      <x:c r="J2205" s="9" t="str">
        <x:v>Administrative Law</x:v>
      </x:c>
      <x:c r="K2205" s="9" t="str">
        <x:v>-ew-cases-EWCA-Civ-2017-400.xml</x:v>
      </x:c>
      <x:c r="L2205" s="9" t="str">
        <x:v>TBA</x:v>
      </x:c>
    </x:row>
    <x:row r="2206">
      <x:c r="A2206" t="str">
        <x:v>8ded3fca-13cf-4f8c-b0d5-4ee6ce29ae71</x:v>
      </x:c>
      <x:c r="B2206" t="str">
        <x:v>593b8241-b91e-498c-ad4d-b60b1c9ebda0</x:v>
      </x:c>
      <x:c r="C2206" s="9" t="str">
        <x:v>Newcastle Upon Tyne NHS Foundation Trust v Haywood</x:v>
      </x:c>
      <x:c r="D2206" s="9" t="str"/>
      <x:c r="E2206" s="9" t="str"/>
      <x:c r="F2206" s="13" t="str">
        <x:v>2017</x:v>
      </x:c>
      <x:c r="G2206" s="9" t="str">
        <x:v>England and Wales Court of Appeal (Civil Division)</x:v>
      </x:c>
      <x:c r="H2206" s="9" t="str">
        <x:v>Appellate</x:v>
      </x:c>
      <x:c r="I2206" s="9" t="str">
        <x:v>England and Wales</x:v>
      </x:c>
      <x:c r="J2206" s="9" t="str">
        <x:v>Employment Law</x:v>
      </x:c>
      <x:c r="K2206" s="9" t="str">
        <x:v>-ew-cases-EWCA-Civ-2017-153.xml</x:v>
      </x:c>
      <x:c r="L2206" s="9" t="str">
        <x:v>TBA</x:v>
      </x:c>
    </x:row>
    <x:row r="2207">
      <x:c r="A2207" t="str">
        <x:v>6b68e6b9-f72a-4cf2-86c3-65cb8506ad1b</x:v>
      </x:c>
      <x:c r="B2207" t="str">
        <x:v>9d2ede72-56fb-4cdc-88ed-d4b5d20db36d</x:v>
      </x:c>
      <x:c r="C2207" s="9" t="str">
        <x:v>Newham Sixth Form College v Sanders [2014] EWCA Civ 734</x:v>
      </x:c>
      <x:c r="D2207" s="9" t="str"/>
      <x:c r="E2207" s="9" t="str"/>
      <x:c r="F2207" s="13" t="str">
        <x:v>2014</x:v>
      </x:c>
      <x:c r="G2207" s="9" t="str">
        <x:v>England and Wales Court of Appeal (Civil Division)</x:v>
      </x:c>
      <x:c r="H2207" s="9" t="str">
        <x:v>Appellate</x:v>
      </x:c>
      <x:c r="I2207" s="9" t="str">
        <x:v>England and Wales</x:v>
      </x:c>
      <x:c r="J2207" s="9" t="str">
        <x:v>Employment Law</x:v>
      </x:c>
      <x:c r="K2207" s="9" t="str">
        <x:v>-ew-cases-EWCA-Civ-2014-734.xml</x:v>
      </x:c>
      <x:c r="L2207" s="9" t="str">
        <x:v>TBA</x:v>
      </x:c>
    </x:row>
    <x:row r="2208">
      <x:c r="A2208" t="str">
        <x:v>79f0080a-7b68-4dd9-9099-327dad09f4ea</x:v>
      </x:c>
      <x:c r="B2208" t="str">
        <x:v>91380c07-98ad-49bb-9859-4ecf1619e978</x:v>
      </x:c>
      <x:c r="C2208" s="9" t="str">
        <x:v>Newlyn Dean &amp; Sons LTD v Secretary of State for Communities And Local Government [2014] EWCA Civ 193</x:v>
      </x:c>
      <x:c r="D2208" s="9" t="str"/>
      <x:c r="E2208" s="9" t="str"/>
      <x:c r="F2208" s="13" t="str">
        <x:v>2014</x:v>
      </x:c>
      <x:c r="G2208" s="9" t="str">
        <x:v>England and Wales Court of Appeal (Civil Division)</x:v>
      </x:c>
      <x:c r="H2208" s="9" t="str">
        <x:v>Appellate</x:v>
      </x:c>
      <x:c r="I2208" s="9" t="str">
        <x:v>England and Wales</x:v>
      </x:c>
      <x:c r="J2208" s="9" t="str">
        <x:v>Administrative Law</x:v>
      </x:c>
      <x:c r="K2208" s="9" t="str">
        <x:v>-ew-cases-EWCA-Civ-2014-193.xml</x:v>
      </x:c>
      <x:c r="L2208" s="9" t="str">
        <x:v>TBA</x:v>
      </x:c>
    </x:row>
    <x:row r="2209">
      <x:c r="A2209" t="str">
        <x:v>3b6ee505-d5fc-4b58-9e9d-424b97e4fa95</x:v>
      </x:c>
      <x:c r="B2209" t="str">
        <x:v>85b5b785-6968-4c02-9cc3-fedb9bce062a</x:v>
      </x:c>
      <x:c r="C2209" s="9" t="str">
        <x:v>Newman v Southampton City Council &amp; Ors [2021] EWCA Civ 437</x:v>
      </x:c>
      <x:c r="D2209" s="9" t="str"/>
      <x:c r="E2209" s="9" t="str"/>
      <x:c r="F2209" s="13" t="str">
        <x:v>2021</x:v>
      </x:c>
      <x:c r="G2209" s="9" t="str">
        <x:v>England and Wales Court of Appeal (Civil Division)</x:v>
      </x:c>
      <x:c r="H2209" s="9" t="str">
        <x:v>appellate</x:v>
      </x:c>
      <x:c r="I2209" s="9" t="str">
        <x:v>England and Wales</x:v>
      </x:c>
      <x:c r="J2209" s="9" t="str">
        <x:v>Family Law</x:v>
      </x:c>
      <x:c r="K2209" s="9" t="str">
        <x:v>ew-cases-EWCA-Civ-2021-437.xml</x:v>
      </x:c>
      <x:c r="L2209" s="9" t="str">
        <x:v>TBA</x:v>
      </x:c>
    </x:row>
    <x:row r="2210">
      <x:c r="A2210" t="str">
        <x:v>e1b6418c-30f5-4177-864a-c0b9c28434c0</x:v>
      </x:c>
      <x:c r="B2210" t="str">
        <x:v>2a6d91c0-8788-4ee7-9afc-eacb6431e052</x:v>
      </x:c>
      <x:c r="C2210" s="9" t="str">
        <x:v>NGM Sustainable Developments Ltd v Wallis &amp; Ors [2016] EWCA Civ 619</x:v>
      </x:c>
      <x:c r="D2210" s="9" t="str"/>
      <x:c r="E2210" s="9" t="str"/>
      <x:c r="F2210" s="13" t="str">
        <x:v>2016</x:v>
      </x:c>
      <x:c r="G2210" s="9" t="str">
        <x:v>England and Wales Court of Appeal (Civil Division)</x:v>
      </x:c>
      <x:c r="H2210" s="9" t="str">
        <x:v>Court of Appeal</x:v>
      </x:c>
      <x:c r="I2210" s="9" t="str">
        <x:v>England and Wales</x:v>
      </x:c>
      <x:c r="J2210" s="9" t="str">
        <x:v>Contract/Financing Dispute; Fraudulent Misrepresentation; Civil Procedure</x:v>
      </x:c>
      <x:c r="K2210" s="9" t="str">
        <x:v>-ew-cases-EWCA-Civ-2016-619.xml</x:v>
      </x:c>
      <x:c r="L2210" s="9" t="str">
        <x:v>TBA</x:v>
      </x:c>
    </x:row>
    <x:row r="2211">
      <x:c r="A2211" t="str">
        <x:v>93c6ddaf-85fb-40ef-91a2-ad168befc6ba</x:v>
      </x:c>
      <x:c r="B2211" t="str">
        <x:v>3d2d9320-702f-450a-a952-5910cbb0781e</x:v>
      </x:c>
      <x:c r="C2211" s="9" t="str">
        <x:v>Ngnoguem v Milton Keynes Council</x:v>
      </x:c>
      <x:c r="D2211" s="9" t="str"/>
      <x:c r="E2211" s="9" t="str"/>
      <x:c r="F2211" s="13" t="str">
        <x:v>2021</x:v>
      </x:c>
      <x:c r="G2211" s="9" t="str">
        <x:v>England and Wales Court of Appeal (Civil Division)</x:v>
      </x:c>
      <x:c r="H2211" s="9" t="str">
        <x:v>Appellate</x:v>
      </x:c>
      <x:c r="I2211" s="9" t="str">
        <x:v>England and Wales</x:v>
      </x:c>
      <x:c r="J2211" s="9" t="str">
        <x:v>Housing Law</x:v>
      </x:c>
      <x:c r="K2211" s="9" t="str">
        <x:v>ew-cases-EWCA-Civ-2021-396.xml</x:v>
      </x:c>
      <x:c r="L2211" s="9" t="str">
        <x:v>TBA</x:v>
      </x:c>
    </x:row>
    <x:row r="2212">
      <x:c r="A2212" t="str">
        <x:v>7afe10c8-bf4c-4627-8e95-90b4d31db1ff</x:v>
      </x:c>
      <x:c r="B2212" t="str">
        <x:v>2b0f485a-6c67-456b-8fef-643c96b2d977</x:v>
      </x:c>
      <x:c r="C2212" s="9" t="str">
        <x:v>Nguyen v The Secretary of State for the Home Department [2017] EWCA Civ 258</x:v>
      </x:c>
      <x:c r="D2212" s="9" t="str"/>
      <x:c r="E2212" s="9" t="str"/>
      <x:c r="F2212" s="13" t="str">
        <x:v>2017</x:v>
      </x:c>
      <x:c r="G2212" s="9" t="str">
        <x:v>England and Wales Court of Appeal (Civil Division)</x:v>
      </x:c>
      <x:c r="H2212" s="9" t="str">
        <x:v>Appellate</x:v>
      </x:c>
      <x:c r="I2212" s="9" t="str">
        <x:v>England and Wales</x:v>
      </x:c>
      <x:c r="J2212" s="9" t="str">
        <x:v>Immigration Law</x:v>
      </x:c>
      <x:c r="K2212" s="9" t="str">
        <x:v>-ew-cases-EWCA-Civ-2017-258.xml</x:v>
      </x:c>
      <x:c r="L2212" s="9" t="str">
        <x:v>TBA</x:v>
      </x:c>
    </x:row>
    <x:row r="2213">
      <x:c r="A2213" t="str">
        <x:v>7e2ca34c-1d0c-440e-9663-389d69877a92</x:v>
      </x:c>
      <x:c r="B2213" t="str">
        <x:v>0aae8576-1d73-49e0-b98f-f4c4be96d2b2</x:v>
      </x:c>
      <x:c r="C2213" s="9" t="str">
        <x:v>Niche Products Ltd v Macdermid Offshore Solutions LLC [2014] EWCA Civ 379</x:v>
      </x:c>
      <x:c r="D2213" s="9" t="str"/>
      <x:c r="E2213" s="9" t="str"/>
      <x:c r="F2213" s="13" t="str">
        <x:v>2014</x:v>
      </x:c>
      <x:c r="G2213" s="9" t="str">
        <x:v>England and Wales Court of Appeal (Civil Division)</x:v>
      </x:c>
      <x:c r="H2213" s="9" t="str">
        <x:v>appellate</x:v>
      </x:c>
      <x:c r="I2213" s="9" t="str">
        <x:v>England and Wales</x:v>
      </x:c>
      <x:c r="J2213" s="9" t="str">
        <x:v>Tort</x:v>
      </x:c>
      <x:c r="K2213" s="9" t="str">
        <x:v>-ew-cases-EWCA-Civ-2014-379.xml</x:v>
      </x:c>
      <x:c r="L2213" s="9" t="str">
        <x:v>TBA</x:v>
      </x:c>
    </x:row>
    <x:row r="2214">
      <x:c r="A2214" t="str">
        <x:v>5890694b-7ff8-49da-8e3c-dcb0db9f0471</x:v>
      </x:c>
      <x:c r="B2214" t="str">
        <x:v>37201d9d-01a1-46bc-a082-44bb68b87e2e</x:v>
      </x:c>
      <x:c r="C2214" s="9" t="str">
        <x:v>Nicholas v Secretary of State for Defence [2015] EWCA Civ 53</x:v>
      </x:c>
      <x:c r="D2214" s="9" t="str"/>
      <x:c r="E2214" s="9" t="str"/>
      <x:c r="F2214" s="13" t="str">
        <x:v>2015</x:v>
      </x:c>
      <x:c r="G2214" s="9" t="str">
        <x:v>England and Wales Court of Appeal (Civil Division)</x:v>
      </x:c>
      <x:c r="H2214" s="9" t="str">
        <x:v>Appellate</x:v>
      </x:c>
      <x:c r="I2214" s="9" t="str">
        <x:v>England and Wales</x:v>
      </x:c>
      <x:c r="J2214" s="9" t="str">
        <x:v>Property Law</x:v>
      </x:c>
      <x:c r="K2214" s="9" t="str">
        <x:v>-ew-cases-EWCA-Civ-2015-53.xml</x:v>
      </x:c>
      <x:c r="L2214" s="9" t="str">
        <x:v>TBA</x:v>
      </x:c>
    </x:row>
    <x:row r="2215">
      <x:c r="A2215" t="str">
        <x:v>85f6c02c-da0f-45c4-b564-ae84c9421f6d</x:v>
      </x:c>
      <x:c r="B2215" t="str">
        <x:v>eeed94e7-318e-4748-bf54-707d972ba20d</x:v>
      </x:c>
      <x:c r="C2215" s="9" t="str">
        <x:v>Nixon &amp; Anor v Secretary of State for the Home Department</x:v>
      </x:c>
      <x:c r="D2215" s="9" t="str"/>
      <x:c r="E2215" s="9" t="str"/>
      <x:c r="F2215" s="13" t="str">
        <x:v>2017</x:v>
      </x:c>
      <x:c r="G2215" s="9" t="str">
        <x:v>England and Wales Court of Appeal (Civil Division)</x:v>
      </x:c>
      <x:c r="H2215" s="9" t="str">
        <x:v>Appellate</x:v>
      </x:c>
      <x:c r="I2215" s="9" t="str">
        <x:v>England and Wales</x:v>
      </x:c>
      <x:c r="J2215" s="9" t="str">
        <x:v>Administrative Law</x:v>
      </x:c>
      <x:c r="K2215" s="9" t="str">
        <x:v>-ew-cases-EWCA-Civ-2017-2694.xml</x:v>
      </x:c>
      <x:c r="L2215" s="9" t="str">
        <x:v>TBA</x:v>
      </x:c>
    </x:row>
    <x:row r="2216">
      <x:c r="A2216" t="str">
        <x:v>00660591-c63d-4b80-801b-3089bdbbdc26</x:v>
      </x:c>
      <x:c r="B2216" t="str">
        <x:v>39df6304-6d5c-4744-8f1a-adcd4015ef46</x:v>
      </x:c>
      <x:c r="C2216" s="9" t="str">
        <x:v>Nizami v Dezyanian [2015] EWCA Civ 632</x:v>
      </x:c>
      <x:c r="D2216" s="9" t="str"/>
      <x:c r="E2216" s="9" t="str"/>
      <x:c r="F2216" s="13" t="str">
        <x:v>2015</x:v>
      </x:c>
      <x:c r="G2216" s="9" t="str">
        <x:v>England and Wales Court of Appeal (Civil Division)</x:v>
      </x:c>
      <x:c r="H2216" s="9" t="str">
        <x:v>Appellate</x:v>
      </x:c>
      <x:c r="I2216" s="9" t="str">
        <x:v>England and Wales</x:v>
      </x:c>
      <x:c r="J2216" s="9" t="str">
        <x:v>Contract Dispute</x:v>
      </x:c>
      <x:c r="K2216" s="9" t="str">
        <x:v>-ew-cases-EWCA-Civ-2015-632.xml</x:v>
      </x:c>
      <x:c r="L2216" s="9" t="str">
        <x:v>TBA</x:v>
      </x:c>
    </x:row>
    <x:row r="2217">
      <x:c r="A2217" t="str">
        <x:v>8cc2e9b3-df0b-4e51-8387-2546fc12e0d8</x:v>
      </x:c>
      <x:c r="B2217" t="str">
        <x:v>9c1f6109-efbc-4875-baa0-6b3816670ad7</x:v>
      </x:c>
      <x:c r="C2217" s="9" t="str">
        <x:v>NO (Afghanistan) v Secretary of State for the Home Department [2016] EWCA Civ 876</x:v>
      </x:c>
      <x:c r="D2217" s="9" t="str"/>
      <x:c r="E2217" s="9" t="str"/>
      <x:c r="F2217" s="13" t="str">
        <x:v>2016</x:v>
      </x:c>
      <x:c r="G2217" s="9" t="str">
        <x:v>England and Wales Court of Appeal (Civil Division)</x:v>
      </x:c>
      <x:c r="H2217" s="9" t="str">
        <x:v>Court of Appeal (Civil Division)</x:v>
      </x:c>
      <x:c r="I2217" s="9" t="str">
        <x:v>England and Wales</x:v>
      </x:c>
      <x:c r="J2217" s="9" t="str">
        <x:v>Immigration / Administrative Law</x:v>
      </x:c>
      <x:c r="K2217" s="9" t="str">
        <x:v>-ew-cases-EWCA-Civ-2016-876.xml</x:v>
      </x:c>
      <x:c r="L2217" s="9" t="str">
        <x:v>TBA</x:v>
      </x:c>
    </x:row>
    <x:row r="2218">
      <x:c r="A2218" t="str">
        <x:v>e08d87a3-404b-432e-8851-8e0832dbfd0d</x:v>
      </x:c>
      <x:c r="B2218" t="str">
        <x:v>761488cd-51b2-46fe-91b1-3b634232bfe1</x:v>
      </x:c>
      <x:c r="C2218" s="9" t="str">
        <x:v>No Adastral New Town Ltd v Suffolk Coastal District Council &amp; Ors</x:v>
      </x:c>
      <x:c r="D2218" s="9" t="str"/>
      <x:c r="E2218" s="9" t="str"/>
      <x:c r="F2218" s="13" t="str">
        <x:v>2015</x:v>
      </x:c>
      <x:c r="G2218" s="9" t="str">
        <x:v>England and Wales Court of Appeal (Civil Division)</x:v>
      </x:c>
      <x:c r="H2218" s="9" t="str">
        <x:v>Appellate</x:v>
      </x:c>
      <x:c r="I2218" s="9" t="str">
        <x:v>England and Wales</x:v>
      </x:c>
      <x:c r="J2218" s="9" t="str">
        <x:v>Administrative Law</x:v>
      </x:c>
      <x:c r="K2218" s="9" t="str">
        <x:v>-ew-cases-EWCA-Civ-2015-88.xml</x:v>
      </x:c>
      <x:c r="L2218" s="9" t="str">
        <x:v>TBA</x:v>
      </x:c>
    </x:row>
    <x:row r="2219">
      <x:c r="A2219" t="str">
        <x:v>703c3e1e-ce76-4aee-a376-f167808f8ded</x:v>
      </x:c>
      <x:c r="B2219" t="str">
        <x:v>c1d32629-9e44-4510-9630-eb10dabe93b2</x:v>
      </x:c>
      <x:c r="C2219" s="9" t="str">
        <x:v>No. 1 West India Quay (Residential) Ltd v East Tower Apartments Ltd</x:v>
      </x:c>
      <x:c r="D2219" s="9" t="str"/>
      <x:c r="E2219" s="9" t="str"/>
      <x:c r="F2219" s="13" t="str">
        <x:v>2021</x:v>
      </x:c>
      <x:c r="G2219" s="9" t="str">
        <x:v>England and Wales Court of Appeal (Civil Division)</x:v>
      </x:c>
      <x:c r="H2219" s="9" t="str">
        <x:v>appellate</x:v>
      </x:c>
      <x:c r="I2219" s="9" t="str">
        <x:v>England and Wales</x:v>
      </x:c>
      <x:c r="J2219" s="9" t="str">
        <x:v>Property Law</x:v>
      </x:c>
      <x:c r="K2219" s="9" t="str">
        <x:v>ew-cases-EWCA-Civ-2021-1119.xml</x:v>
      </x:c>
      <x:c r="L2219" s="9" t="str">
        <x:v>TBA</x:v>
      </x:c>
    </x:row>
    <x:row r="2220">
      <x:c r="A2220" t="str">
        <x:v>eb246b4e-4969-45ed-b721-56a7adb6323e</x:v>
      </x:c>
      <x:c r="B2220" t="str">
        <x:v>a53b690f-62d0-483a-999d-5122c2bc025f</x:v>
      </x:c>
      <x:c r="C2220" s="9" t="str">
        <x:v>Nobahar-Cookson &amp; Ors v The Hut Group Ltd [2016] EWCA Civ 128</x:v>
      </x:c>
      <x:c r="D2220" s="9" t="str"/>
      <x:c r="E2220" s="9" t="str"/>
      <x:c r="F2220" s="13" t="str">
        <x:v>2016</x:v>
      </x:c>
      <x:c r="G2220" s="9" t="str">
        <x:v>England and Wales Court of Appeal (Civil Division)</x:v>
      </x:c>
      <x:c r="H2220" s="9" t="str">
        <x:v>Appellate (Court of Appeal)</x:v>
      </x:c>
      <x:c r="I2220" s="9" t="str">
        <x:v>England and Wales</x:v>
      </x:c>
      <x:c r="J2220" s="9" t="str">
        <x:v>Contract Dispute</x:v>
      </x:c>
      <x:c r="K2220" s="9" t="str">
        <x:v>-ew-cases-EWCA-Civ-2016-128.xml</x:v>
      </x:c>
      <x:c r="L2220" s="9" t="str">
        <x:v>TBA</x:v>
      </x:c>
    </x:row>
    <x:row r="2221">
      <x:c r="A2221" t="str">
        <x:v>23ccb3fc-1112-4942-af89-857a2140577a</x:v>
      </x:c>
      <x:c r="B2221" t="str">
        <x:v>9cdbfdb6-8932-4ee1-b4b3-5f1e0257eb3a</x:v>
      </x:c>
      <x:c r="C2221" s="9" t="str">
        <x:v>Noble Chartering Inc v Priminds Shipping Hong Kong Co Ltd "Tai Prize" [2021] EWCA Civ 87</x:v>
      </x:c>
      <x:c r="D2221" s="9" t="str"/>
      <x:c r="E2221" s="9" t="str"/>
      <x:c r="F2221" s="13" t="str">
        <x:v>2021</x:v>
      </x:c>
      <x:c r="G2221" s="9" t="str">
        <x:v>England and Wales Court of Appeal (Civil Division)</x:v>
      </x:c>
      <x:c r="H2221" s="9" t="str">
        <x:v>Appellate</x:v>
      </x:c>
      <x:c r="I2221" s="9" t="str">
        <x:v>UK</x:v>
      </x:c>
      <x:c r="J2221" s="9" t="str">
        <x:v>Contract Dispute</x:v>
      </x:c>
      <x:c r="K2221" s="9" t="str">
        <x:v>ew-cases-EWCA-Civ-2021-87.xml</x:v>
      </x:c>
      <x:c r="L2221" s="9" t="str">
        <x:v>TBA</x:v>
      </x:c>
    </x:row>
    <x:row r="2222">
      <x:c r="A2222" t="str">
        <x:v>5d85986f-eb18-4eb3-a897-54b833d85409</x:v>
      </x:c>
      <x:c r="B2222" t="str">
        <x:v>d2737a8b-f6d7-473c-83e0-4e50adcfcdc4</x:v>
      </x:c>
      <x:c r="C2222" s="9" t="str">
        <x:v>Nokia Technologies OY &amp; Anor v OnePlus Technology (Shenzhen) Co Ltd &amp; Ors</x:v>
      </x:c>
      <x:c r="D2222" s="9" t="str"/>
      <x:c r="E2222" s="9" t="str"/>
      <x:c r="F2222" s="13" t="str">
        <x:v>2022</x:v>
      </x:c>
      <x:c r="G2222" s="9" t="str">
        <x:v>England and Wales Court of Appeal (Civil Division)</x:v>
      </x:c>
      <x:c r="H2222" s="9" t="str">
        <x:v>Court of Appeal (Civil Division)</x:v>
      </x:c>
      <x:c r="I2222" s="9" t="str">
        <x:v>England and Wales</x:v>
      </x:c>
      <x:c r="J2222" s="9" t="str">
        <x:v>Intellectual Property – FRAND/SEP licensing; forum non conveniens; jurisdiction</x:v>
      </x:c>
      <x:c r="K2222" s="9" t="str">
        <x:v>ew-cases-EWCA-Civ-2022-947.xml</x:v>
      </x:c>
      <x:c r="L2222" s="9" t="str">
        <x:v>TBA</x:v>
      </x:c>
    </x:row>
    <x:row r="2223">
      <x:c r="A2223" t="str">
        <x:v>5752467c-2e71-4a38-abc9-84936abf28af</x:v>
      </x:c>
      <x:c r="B2223" t="str">
        <x:v>720d4978-9aa7-4781-800d-1b1ad019508d</x:v>
      </x:c>
      <x:c r="C2223" s="9" t="str">
        <x:v>Nord Naphtha Ltd v New Stream Trading AG</x:v>
      </x:c>
      <x:c r="D2223" s="9" t="str"/>
      <x:c r="E2223" s="9" t="str"/>
      <x:c r="F2223" s="13" t="str">
        <x:v>2021</x:v>
      </x:c>
      <x:c r="G2223" s="9" t="str">
        <x:v>England and Wales Court of Appeal (Civil Division)</x:v>
      </x:c>
      <x:c r="H2223" s="9" t="str">
        <x:v>Appellate</x:v>
      </x:c>
      <x:c r="I2223" s="9" t="str">
        <x:v>England and Wales</x:v>
      </x:c>
      <x:c r="J2223" s="9" t="str">
        <x:v>Contract Dispute</x:v>
      </x:c>
      <x:c r="K2223" s="9" t="str">
        <x:v>ew-cases-EWCA-Civ-2021-1829.xml</x:v>
      </x:c>
      <x:c r="L2223" s="9" t="str">
        <x:v>TBA</x:v>
      </x:c>
    </x:row>
    <x:row r="2224">
      <x:c r="A2224" t="str">
        <x:v>68545e6e-6b85-477a-b0a2-7c919e8e54d2</x:v>
      </x:c>
      <x:c r="B2224" t="str">
        <x:v>3c9046f0-1a84-4f88-bc27-4a2566297443</x:v>
      </x:c>
      <x:c r="C2224" s="9" t="str">
        <x:v>Norman &amp; Anor v Adler &amp; Anor [2023] EWCA Civ 785</x:v>
      </x:c>
      <x:c r="D2224" s="9" t="str"/>
      <x:c r="E2224" s="9" t="str"/>
      <x:c r="F2224" s="13" t="str">
        <x:v>2023</x:v>
      </x:c>
      <x:c r="G2224" s="9" t="str">
        <x:v>England and Wales Court of Appeal (Civil Division)</x:v>
      </x:c>
      <x:c r="H2224" s="9" t="str">
        <x:v>Court of Appeal (Civil Division)</x:v>
      </x:c>
      <x:c r="I2224" s="9" t="str">
        <x:v>England and Wales</x:v>
      </x:c>
      <x:c r="J2224" s="9" t="str">
        <x:v>Contempt of Court / Civil Procedure</x:v>
      </x:c>
      <x:c r="K2224" s="9" t="str">
        <x:v>ew-cases-EWCA-Civ-2023-785.xml</x:v>
      </x:c>
      <x:c r="L2224" s="9" t="str">
        <x:v>TBA</x:v>
      </x:c>
    </x:row>
    <x:row r="2225">
      <x:c r="A2225" t="str">
        <x:v>3b1c3512-11bd-476f-b8be-65aaa85dea05</x:v>
      </x:c>
      <x:c r="B2225" t="str">
        <x:v>fd3a5915-672d-4637-8854-948545011055</x:v>
      </x:c>
      <x:c r="C2225" s="9" t="str">
        <x:v>Norman v Norman [2017] EWCA Civ 120: Appeal on Consent Order in Financial Remedy Proceedings</x:v>
      </x:c>
      <x:c r="D2225" s="9" t="str"/>
      <x:c r="E2225" s="9" t="str"/>
      <x:c r="F2225" s="13" t="str">
        <x:v>2017</x:v>
      </x:c>
      <x:c r="G2225" s="9" t="str">
        <x:v>England and Wales Court of Appeal (Civil Division)</x:v>
      </x:c>
      <x:c r="H2225" s="9" t="str">
        <x:v>Appellate</x:v>
      </x:c>
      <x:c r="I2225" s="9" t="str">
        <x:v>England and Wales</x:v>
      </x:c>
      <x:c r="J2225" s="9" t="str">
        <x:v>Family Law</x:v>
      </x:c>
      <x:c r="K2225" s="9" t="str">
        <x:v>-ew-cases-EWCA-Civ-2017-120.xml</x:v>
      </x:c>
      <x:c r="L2225" s="9" t="str">
        <x:v>TBA</x:v>
      </x:c>
    </x:row>
    <x:row r="2226">
      <x:c r="A2226" t="str">
        <x:v>3347cea0-5f91-4b3e-96b5-985ee1442437</x:v>
      </x:c>
      <x:c r="B2226" t="str">
        <x:v>3a89d50e-e8df-4b69-8227-a8898c48e22f</x:v>
      </x:c>
      <x:c r="C2226" s="9" t="str">
        <x:v>Norman v. Norman [2017] EWCA Civ 49: Anonymity Order Appeal</x:v>
      </x:c>
      <x:c r="D2226" s="9" t="str"/>
      <x:c r="E2226" s="9" t="str"/>
      <x:c r="F2226" s="13" t="str">
        <x:v>2017</x:v>
      </x:c>
      <x:c r="G2226" s="9" t="str">
        <x:v>England and Wales Court of Appeal (Civil Division)</x:v>
      </x:c>
      <x:c r="H2226" s="9" t="str">
        <x:v>Appellate</x:v>
      </x:c>
      <x:c r="I2226" s="9" t="str">
        <x:v>England and Wales</x:v>
      </x:c>
      <x:c r="J2226" s="9" t="str">
        <x:v>Family Law</x:v>
      </x:c>
      <x:c r="K2226" s="9" t="str">
        <x:v>-ew-cases-EWCA-Civ-2017-49.xml</x:v>
      </x:c>
      <x:c r="L2226" s="9" t="str">
        <x:v>TBA</x:v>
      </x:c>
    </x:row>
    <x:row r="2227">
      <x:c r="A2227" t="str">
        <x:v>4a844d50-5fd2-4df0-a224-b9b845344467</x:v>
      </x:c>
      <x:c r="B2227" t="str">
        <x:v>f6426ef1-cd68-4ace-96dd-f7b134c8c316</x:v>
      </x:c>
      <x:c r="C2227" s="9" t="str">
        <x:v>North Somerset District Council v Honda Motor Europe Ltd &amp; Ors [2010] EWHC 1505 (QB)</x:v>
      </x:c>
      <x:c r="D2227" s="9" t="str"/>
      <x:c r="E2227" s="9" t="str"/>
      <x:c r="F2227" s="13" t="str">
        <x:v>2010</x:v>
      </x:c>
      <x:c r="G2227" s="9" t="str">
        <x:v>England and Wales High Court (Queen's Bench Division)</x:v>
      </x:c>
      <x:c r="H2227" s="9" t="str">
        <x:v>High Court</x:v>
      </x:c>
      <x:c r="I2227" s="9" t="str">
        <x:v>England and Wales</x:v>
      </x:c>
      <x:c r="J2227" s="9" t="str">
        <x:v>Local Government Finance</x:v>
      </x:c>
      <x:c r="K2227" s="9" t="str">
        <x:v>PT_EWHC-QB_2010_1505.xml</x:v>
      </x:c>
      <x:c r="L2227" s="9" t="str">
        <x:v>TBA</x:v>
      </x:c>
    </x:row>
    <x:row r="2228">
      <x:c r="A2228" t="str">
        <x:v>edc7e9bd-dbbc-4fd8-b90c-bef04643d5e3</x:v>
      </x:c>
      <x:c r="B2228" t="str">
        <x:v>1bbfccbb-15e3-41bb-a970-7167b43b0267</x:v>
      </x:c>
      <x:c r="C2228" s="9" t="str">
        <x:v>Northern Gas Networks Ltd v Commissioners for HMRC [2022] EWCA Civ 910</x:v>
      </x:c>
      <x:c r="D2228" s="9" t="str"/>
      <x:c r="E2228" s="9" t="str"/>
      <x:c r="F2228" s="13" t="str">
        <x:v>2022</x:v>
      </x:c>
      <x:c r="G2228" s="9" t="str">
        <x:v>England and Wales Court of Appeal (Civil Division)</x:v>
      </x:c>
      <x:c r="H2228" s="9" t="str">
        <x:v>Court of Appeal (Civil Division)</x:v>
      </x:c>
      <x:c r="I2228" s="9" t="str">
        <x:v>England and Wales</x:v>
      </x:c>
      <x:c r="J2228" s="9" t="str">
        <x:v>Tax Law</x:v>
      </x:c>
      <x:c r="K2228" s="9" t="str">
        <x:v>ew-cases-EWCA-Civ-2022-910.xml</x:v>
      </x:c>
      <x:c r="L2228" s="9" t="str">
        <x:v>TBA</x:v>
      </x:c>
    </x:row>
    <x:row r="2229">
      <x:c r="A2229" t="str">
        <x:v>24d8c44b-722a-45c2-a0a6-19ff8d6053d4</x:v>
      </x:c>
      <x:c r="B2229" t="str">
        <x:v>e61cabb4-ab09-4abb-81fb-83596fb9943d</x:v>
      </x:c>
      <x:c r="C2229" s="9" t="str">
        <x:v>Northrop Grumman Missions Systems Europe Ltd v BAE Systems (AL Diriyah C4I) Ltd</x:v>
      </x:c>
      <x:c r="D2229" s="9" t="str"/>
      <x:c r="E2229" s="9" t="str"/>
      <x:c r="F2229" s="13" t="str">
        <x:v>2015</x:v>
      </x:c>
      <x:c r="G2229" s="9" t="str">
        <x:v>England and Wales Court of Appeal (Civil Division)</x:v>
      </x:c>
      <x:c r="H2229" s="9" t="str">
        <x:v>Appellate</x:v>
      </x:c>
      <x:c r="I2229" s="9" t="str">
        <x:v>England and Wales</x:v>
      </x:c>
      <x:c r="J2229" s="9" t="str">
        <x:v>Commercial Contract</x:v>
      </x:c>
      <x:c r="K2229" s="9" t="str">
        <x:v>-ew-cases-EWCA-Civ-2015-844.xml</x:v>
      </x:c>
      <x:c r="L2229" s="9" t="str">
        <x:v>TBA</x:v>
      </x:c>
    </x:row>
    <x:row r="2230">
      <x:c r="A2230" t="str">
        <x:v>1d0d245d-6bc2-4a15-a4f0-01cd1c4e7cbc</x:v>
      </x:c>
      <x:c r="B2230" t="str">
        <x:v>6330a4e0-745c-40fd-9360-91fd98c79b4d</x:v>
      </x:c>
      <x:c r="C2230" s="9" t="str">
        <x:v>Northumberland &amp; Durham Property Trust Ltd v Ouaha [2014] EWCA Civ 571</x:v>
      </x:c>
      <x:c r="D2230" s="9" t="str"/>
      <x:c r="E2230" s="9" t="str"/>
      <x:c r="F2230" s="13" t="str">
        <x:v>2014</x:v>
      </x:c>
      <x:c r="G2230" s="9" t="str">
        <x:v>England and Wales Court of Appeal (Civil Division)</x:v>
      </x:c>
      <x:c r="H2230" s="9" t="str">
        <x:v>Civil Appeal</x:v>
      </x:c>
      <x:c r="I2230" s="9" t="str">
        <x:v>England and Wales</x:v>
      </x:c>
      <x:c r="J2230" s="9" t="str">
        <x:v>Property Law</x:v>
      </x:c>
      <x:c r="K2230" s="9" t="str">
        <x:v>-ew-cases-EWCA-Civ-2014-571.xml</x:v>
      </x:c>
      <x:c r="L2230" s="9" t="str">
        <x:v>TBA</x:v>
      </x:c>
    </x:row>
    <x:row r="2231">
      <x:c r="A2231" t="str">
        <x:v>9cdeb9ed-0777-4e2b-a956-03270fb4ac72</x:v>
      </x:c>
      <x:c r="B2231" t="str">
        <x:v>6ed0bfad-c075-478f-a09f-f6388dad5abf</x:v>
      </x:c>
      <x:c r="C2231" s="9" t="str">
        <x:v>Northumbrian Water Ltd v McAlpine Ltd [2014] EWCA Civ 685</x:v>
      </x:c>
      <x:c r="D2231" s="9" t="str"/>
      <x:c r="E2231" s="9" t="str"/>
      <x:c r="F2231" s="13" t="str">
        <x:v>2014</x:v>
      </x:c>
      <x:c r="G2231" s="9" t="str">
        <x:v>England and Wales Court of Appeal (Civil Division)</x:v>
      </x:c>
      <x:c r="H2231" s="9" t="str">
        <x:v>Appellate</x:v>
      </x:c>
      <x:c r="I2231" s="9" t="str">
        <x:v>England and Wales</x:v>
      </x:c>
      <x:c r="J2231" s="9" t="str">
        <x:v>Tort</x:v>
      </x:c>
      <x:c r="K2231" s="9" t="str">
        <x:v>-ew-cases-EWCA-Civ-2014-685.xml</x:v>
      </x:c>
      <x:c r="L2231" s="9" t="str">
        <x:v>TBA</x:v>
      </x:c>
    </x:row>
    <x:row r="2232">
      <x:c r="A2232" t="str">
        <x:v>8fb32369-338c-45c9-9f8c-bf4804662c7f</x:v>
      </x:c>
      <x:c r="B2232" t="str">
        <x:v>551949a1-14b6-4807-bb9e-765b5561d0b7</x:v>
      </x:c>
      <x:c r="C2232" s="9" t="str">
        <x:v>Northwood (Solihull) Limited v Fearn &amp; Ors [2022] EWCA Civ 40</x:v>
      </x:c>
      <x:c r="D2232" s="9" t="str"/>
      <x:c r="E2232" s="9" t="str"/>
      <x:c r="F2232" s="13" t="str">
        <x:v>2022</x:v>
      </x:c>
      <x:c r="G2232" s="9" t="str">
        <x:v>England and Wales Court of Appeal (Civil Division)</x:v>
      </x:c>
      <x:c r="H2232" s="9" t="str">
        <x:v>Court of Appeal (Civil Division)</x:v>
      </x:c>
      <x:c r="I2232" s="9" t="str">
        <x:v>England and Wales</x:v>
      </x:c>
      <x:c r="J2232" s="9" t="str">
        <x:v>Housing law / Landlord and Tenant</x:v>
      </x:c>
      <x:c r="K2232" s="9" t="str">
        <x:v>ew-cases-EWCA-Civ-2022-40.xml</x:v>
      </x:c>
      <x:c r="L2232" s="9" t="str">
        <x:v>TBA</x:v>
      </x:c>
    </x:row>
    <x:row r="2233">
      <x:c r="A2233" t="str">
        <x:v>564c5196-8e11-4812-a96f-f42b3ecd13e1</x:v>
      </x:c>
      <x:c r="B2233" t="str">
        <x:v>d67fc337-2adf-45c1-a875-77443edb89c0</x:v>
      </x:c>
      <x:c r="C2233" s="9" t="str">
        <x:v>Norton v London Borough of Haringey [2022] EWCA Civ 1340</x:v>
      </x:c>
      <x:c r="D2233" s="9" t="str"/>
      <x:c r="E2233" s="9" t="str"/>
      <x:c r="F2233" s="13" t="str">
        <x:v>2022</x:v>
      </x:c>
      <x:c r="G2233" s="9" t="str">
        <x:v>England and Wales Court of Appeal (Civil Division)</x:v>
      </x:c>
      <x:c r="H2233" s="9" t="str">
        <x:v>Court of Appeal (Civil Division)</x:v>
      </x:c>
      <x:c r="I2233" s="9" t="str">
        <x:v>England and Wales</x:v>
      </x:c>
      <x:c r="J2233" s="9" t="str">
        <x:v>Civil; Public Law; Housing</x:v>
      </x:c>
      <x:c r="K2233" s="9" t="str">
        <x:v>ew-cases-EWCA-Civ-2022-1340.xml</x:v>
      </x:c>
      <x:c r="L2233" s="9" t="str">
        <x:v>TBA</x:v>
      </x:c>
    </x:row>
    <x:row r="2234">
      <x:c r="A2234" t="str">
        <x:v>4e51f16c-7b4f-4beb-9bfe-8b201aece760</x:v>
      </x:c>
      <x:c r="B2234" t="str">
        <x:v>d71f74c3-306e-4908-8f15-d75fc7c94ed9</x:v>
      </x:c>
      <x:c r="C2234" s="9" t="str">
        <x:v>Nottingham City Council v Dominic Parr Trevor Parr Associates Ltd</x:v>
      </x:c>
      <x:c r="D2234" s="9" t="str"/>
      <x:c r="E2234" s="9" t="str"/>
      <x:c r="F2234" s="13" t="str">
        <x:v>2017</x:v>
      </x:c>
      <x:c r="G2234" s="9" t="str">
        <x:v>England and Wales Court of Appeal (Civil Division)</x:v>
      </x:c>
      <x:c r="H2234" s="9" t="str">
        <x:v>Appellate</x:v>
      </x:c>
      <x:c r="I2234" s="9" t="str">
        <x:v>England and Wales</x:v>
      </x:c>
      <x:c r="J2234" s="9" t="str">
        <x:v>Administrative Law</x:v>
      </x:c>
      <x:c r="K2234" s="9" t="str">
        <x:v>-ew-cases-EWCA-Civ-2017-188.xml</x:v>
      </x:c>
      <x:c r="L2234" s="9" t="str">
        <x:v>TBA</x:v>
      </x:c>
    </x:row>
    <x:row r="2235">
      <x:c r="A2235" t="str">
        <x:v>66949a90-7276-4d2b-9517-468c02b3f0d6</x:v>
      </x:c>
      <x:c r="B2235" t="str">
        <x:v>5125ebbe-5915-4ab9-b2d2-c4236db40365</x:v>
      </x:c>
      <x:c r="C2235" s="9" t="str">
        <x:v>Novartis AG &amp; Ors v Focus Pharmaceuticals UK Ltd &amp; Ors; TEVA UK Ltd [2016] EWCA Civ 1295 (Court of Appeal, Civil Division)</x:v>
      </x:c>
      <x:c r="D2235" s="9" t="str"/>
      <x:c r="E2235" s="9" t="str"/>
      <x:c r="F2235" s="13" t="str">
        <x:v>2016</x:v>
      </x:c>
      <x:c r="G2235" s="9" t="str">
        <x:v>England and Wales Court of Appeal (Civil Division)</x:v>
      </x:c>
      <x:c r="H2235" s="9" t="str">
        <x:v>Court of Appeal (Civil Division) appellate</x:v>
      </x:c>
      <x:c r="I2235" s="9" t="str">
        <x:v>England and Wales</x:v>
      </x:c>
      <x:c r="J2235" s="9" t="str">
        <x:v>Intellectual Property / Patent Law</x:v>
      </x:c>
      <x:c r="K2235" s="9" t="str">
        <x:v>-ew-cases-EWCA-Civ-2016-1295.xml</x:v>
      </x:c>
      <x:c r="L2235" s="9" t="str">
        <x:v>TBA</x:v>
      </x:c>
    </x:row>
    <x:row r="2236">
      <x:c r="A2236" t="str">
        <x:v>adc258b9-7769-43ac-acc6-c3660c7ed929</x:v>
      </x:c>
      <x:c r="B2236" t="str">
        <x:v>9a6c35d9-2f41-4d9b-bdea-d545c0053749</x:v>
      </x:c>
      <x:c r="C2236" s="9" t="str">
        <x:v>Novartis AG and Novartis Pharmaceuticals UK Limited v Teva UK Ltd &amp; Ors [2022] EWCA Civ 775</x:v>
      </x:c>
      <x:c r="D2236" s="9" t="str"/>
      <x:c r="E2236" s="9" t="str"/>
      <x:c r="F2236" s="13" t="str">
        <x:v>2022</x:v>
      </x:c>
      <x:c r="G2236" s="9" t="str">
        <x:v>England and Wales Court of Appeal (Civil Division)</x:v>
      </x:c>
      <x:c r="H2236" s="9" t="str">
        <x:v>Court of Appeal (Civil Division)</x:v>
      </x:c>
      <x:c r="I2236" s="9" t="str">
        <x:v>England and Wales</x:v>
      </x:c>
      <x:c r="J2236" s="9" t="str">
        <x:v>Intellectual Property - Patents</x:v>
      </x:c>
      <x:c r="K2236" s="9" t="str">
        <x:v>ew-cases-EWCA-Civ-2022-775.xml</x:v>
      </x:c>
      <x:c r="L2236" s="9" t="str">
        <x:v>TBA</x:v>
      </x:c>
    </x:row>
    <x:row r="2237">
      <x:c r="A2237" t="str">
        <x:v>9727ae0f-93ca-4231-b7c5-9e83b70035fd</x:v>
      </x:c>
      <x:c r="B2237" t="str">
        <x:v>fbc2c9c1-7c97-4092-baf9-517335c4c967</x:v>
      </x:c>
      <x:c r="C2237" s="9" t="str">
        <x:v>Novoship (UK) Limited &amp; Ors v Nikitin &amp; Ors</x:v>
      </x:c>
      <x:c r="D2237" s="9" t="str"/>
      <x:c r="E2237" s="9" t="str"/>
      <x:c r="F2237" s="13" t="str">
        <x:v>2014</x:v>
      </x:c>
      <x:c r="G2237" s="9" t="str">
        <x:v>England and Wales Court of Appeal (Civil Division)</x:v>
      </x:c>
      <x:c r="H2237" s="9" t="str">
        <x:v>Appellate</x:v>
      </x:c>
      <x:c r="I2237" s="9" t="str">
        <x:v>England and Wales</x:v>
      </x:c>
      <x:c r="J2237" s="9" t="str">
        <x:v>Tort</x:v>
      </x:c>
      <x:c r="K2237" s="9" t="str">
        <x:v>-ew-cases-EWCA-Civ-2014-908.xml</x:v>
      </x:c>
      <x:c r="L2237" s="9" t="str">
        <x:v>TBA</x:v>
      </x:c>
    </x:row>
    <x:row r="2238">
      <x:c r="A2238" t="str">
        <x:v>8b1dc1ee-a322-43ea-84a3-e3a89393df24</x:v>
      </x:c>
      <x:c r="B2238" t="str">
        <x:v>62d8dc74-7bd4-4c38-99cd-c68108c1d17e</x:v>
      </x:c>
      <x:c r="C2238" s="9" t="str">
        <x:v>Novoship (UK) Ltd &amp; Ors v Mikhaylyuk &amp; Ors [2016] EWCA Civ 236</x:v>
      </x:c>
      <x:c r="D2238" s="9" t="str"/>
      <x:c r="E2238" s="9" t="str"/>
      <x:c r="F2238" s="13" t="str">
        <x:v>2016</x:v>
      </x:c>
      <x:c r="G2238" s="9" t="str">
        <x:v>England and Wales Court of Appeal (Civil Division)</x:v>
      </x:c>
      <x:c r="H2238" s="9" t="str">
        <x:v>Appellate (Court of Appeal)</x:v>
      </x:c>
      <x:c r="I2238" s="9" t="str">
        <x:v>England and Wales</x:v>
      </x:c>
      <x:c r="J2238" s="9" t="str">
        <x:v>Contract Dispute</x:v>
      </x:c>
      <x:c r="K2238" s="9" t="str">
        <x:v>-ew-cases-EWCA-Civ-2016-236.xml</x:v>
      </x:c>
      <x:c r="L2238" s="9" t="str">
        <x:v>TBA</x:v>
      </x:c>
    </x:row>
    <x:row r="2239">
      <x:c r="A2239" t="str">
        <x:v>638474fd-80fe-47af-9c8e-aadacb9fb74e</x:v>
      </x:c>
      <x:c r="B2239" t="str">
        <x:v>40648dca-f91d-4dd5-9a00-1e539e1ffc6c</x:v>
      </x:c>
      <x:c r="C2239" s="9" t="str">
        <x:v>Novoship (UK) LTD &amp; Ors v Vladimir Mikhaylyuk [2014] EWCA Civ 252</x:v>
      </x:c>
      <x:c r="D2239" s="9" t="str"/>
      <x:c r="E2239" s="9" t="str"/>
      <x:c r="F2239" s="13" t="str">
        <x:v>2014</x:v>
      </x:c>
      <x:c r="G2239" s="9" t="str">
        <x:v>England and Wales Court of Appeal (Civil Division)</x:v>
      </x:c>
      <x:c r="H2239" s="9" t="str">
        <x:v>Appellate Affiliation</x:v>
      </x:c>
      <x:c r="I2239" s="9" t="str">
        <x:v>England and Wales</x:v>
      </x:c>
      <x:c r="J2239" s="9" t="str">
        <x:v>Civil Appeal</x:v>
      </x:c>
      <x:c r="K2239" s="9" t="str">
        <x:v>-ew-cases-EWCA-Civ-2014-252.xml</x:v>
      </x:c>
      <x:c r="L2239" s="9" t="str">
        <x:v>TBA</x:v>
      </x:c>
    </x:row>
    <x:row r="2240">
      <x:c r="A2240" t="str">
        <x:v>d47b0046-2767-4f38-8e65-45c1401fb3c7</x:v>
      </x:c>
      <x:c r="B2240" t="str">
        <x:v>be737125-5301-4495-9e5f-80080f4caaf6</x:v>
      </x:c>
      <x:c r="C2240" s="9" t="str">
        <x:v>NP (Sri Lanka) v The Secretary Of State For The Home Department [2015] EWCA Civ 975</x:v>
      </x:c>
      <x:c r="D2240" s="9" t="str"/>
      <x:c r="E2240" s="9" t="str"/>
      <x:c r="F2240" s="13" t="str">
        <x:v>2015</x:v>
      </x:c>
      <x:c r="G2240" s="9" t="str">
        <x:v>England and Wales Court of Appeal (Civil Division)</x:v>
      </x:c>
      <x:c r="H2240" s="9" t="str">
        <x:v>Appellate</x:v>
      </x:c>
      <x:c r="I2240" s="9" t="str">
        <x:v>England and Wales</x:v>
      </x:c>
      <x:c r="J2240" s="9" t="str">
        <x:v>Immigration Law</x:v>
      </x:c>
      <x:c r="K2240" s="9" t="str">
        <x:v>-ew-cases-EWCA-Civ-2015-975.xml</x:v>
      </x:c>
      <x:c r="L2240" s="9" t="str">
        <x:v>TBA</x:v>
      </x:c>
    </x:row>
    <x:row r="2241">
      <x:c r="A2241" t="str">
        <x:v>7ade96fc-56be-4c23-88c2-e1becdf4d958</x:v>
      </x:c>
      <x:c r="B2241" t="str">
        <x:v>59f1c6e2-4173-4487-9f28-1a5acd090d1c</x:v>
      </x:c>
      <x:c r="C2241" s="9" t="str">
        <x:v>NRAM Ltd v Evans &amp; Ors [2017] EWCA Civ 1013</x:v>
      </x:c>
      <x:c r="D2241" s="9" t="str"/>
      <x:c r="E2241" s="9" t="str"/>
      <x:c r="F2241" s="13" t="str">
        <x:v>2017</x:v>
      </x:c>
      <x:c r="G2241" s="9" t="str">
        <x:v>England and Wales Court of Appeal (Civil Division)</x:v>
      </x:c>
      <x:c r="H2241" s="9" t="str">
        <x:v>Appellate</x:v>
      </x:c>
      <x:c r="I2241" s="9" t="str">
        <x:v>England and Wales</x:v>
      </x:c>
      <x:c r="J2241" s="9" t="str">
        <x:v>Property Law</x:v>
      </x:c>
      <x:c r="K2241" s="9" t="str">
        <x:v>-ew-cases-EWCA-Civ-2017-1013.xml</x:v>
      </x:c>
      <x:c r="L2241" s="9" t="str">
        <x:v>TBA</x:v>
      </x:c>
    </x:row>
    <x:row r="2242">
      <x:c r="A2242" t="str">
        <x:v>be8efce8-5724-43b9-a63e-2f92688b4059</x:v>
      </x:c>
      <x:c r="B2242" t="str">
        <x:v>a1c0d37c-8adf-4202-b001-04b73d1a53fd</x:v>
      </x:c>
      <x:c r="C2242" s="9" t="str">
        <x:v>NRAM Plc v McAdam &amp; Anor</x:v>
      </x:c>
      <x:c r="D2242" s="9" t="str"/>
      <x:c r="E2242" s="9" t="str"/>
      <x:c r="F2242" s="13" t="str">
        <x:v>2015</x:v>
      </x:c>
      <x:c r="G2242" s="9" t="str">
        <x:v>England and Wales Court of Appeal (Civil Division)</x:v>
      </x:c>
      <x:c r="H2242" s="9" t="str">
        <x:v>Appellate</x:v>
      </x:c>
      <x:c r="I2242" s="9" t="str">
        <x:v>England and Wales</x:v>
      </x:c>
      <x:c r="J2242" s="9" t="str">
        <x:v>Contract Dispute</x:v>
      </x:c>
      <x:c r="K2242" s="9" t="str">
        <x:v>-ew-cases-EWCA-Civ-2015-751.xml</x:v>
      </x:c>
      <x:c r="L2242" s="9" t="str">
        <x:v>TBA</x:v>
      </x:c>
    </x:row>
    <x:row r="2243">
      <x:c r="A2243" t="str">
        <x:v>f1401f60-c642-439f-bd4e-719a877bdea5</x:v>
      </x:c>
      <x:c r="B2243" t="str">
        <x:v>d9395400-1eff-4dd0-9aaa-79c677839335</x:v>
      </x:c>
      <x:c r="C2243" s="9" t="str">
        <x:v>NS (Zimbabwe) v Secretary of State for the Home Department</x:v>
      </x:c>
      <x:c r="D2243" s="9" t="str"/>
      <x:c r="E2243" s="9" t="str"/>
      <x:c r="F2243" s="13" t="str">
        <x:v>2015</x:v>
      </x:c>
      <x:c r="G2243" s="9" t="str">
        <x:v>England and Wales Court of Appeal (Civil Division)</x:v>
      </x:c>
      <x:c r="H2243" s="9" t="str">
        <x:v>Appellate</x:v>
      </x:c>
      <x:c r="I2243" s="9" t="str">
        <x:v>England and Wales</x:v>
      </x:c>
      <x:c r="J2243" s="9" t="str">
        <x:v>Immigration Law</x:v>
      </x:c>
      <x:c r="K2243" s="9" t="str">
        <x:v>-ew-cases-EWCA-Civ-2015-1599.xml</x:v>
      </x:c>
      <x:c r="L2243" s="9" t="str">
        <x:v>TBA</x:v>
      </x:c>
    </x:row>
    <x:row r="2244">
      <x:c r="A2244" t="str">
        <x:v>3df47e9e-9972-4f35-9cb6-e367eac209f3</x:v>
      </x:c>
      <x:c r="B2244" t="str">
        <x:v>31efb76b-c055-442e-b954-ac4fca7eb630</x:v>
      </x:c>
      <x:c r="C2244" s="9" t="str">
        <x:v>NTN Corporation &amp; Ors v Stellantis N.V. &amp; Ors [2022] EWCA Civ 16</x:v>
      </x:c>
      <x:c r="D2244" s="9" t="str"/>
      <x:c r="E2244" s="9" t="str"/>
      <x:c r="F2244" s="13" t="str">
        <x:v>2022</x:v>
      </x:c>
      <x:c r="G2244" s="9" t="str">
        <x:v>England and Wales Court of Appeal (Civil Division)</x:v>
      </x:c>
      <x:c r="H2244" s="9" t="str">
        <x:v>Court of Appeal (Civil Division)</x:v>
      </x:c>
      <x:c r="I2244" s="9" t="str">
        <x:v>England and Wales</x:v>
      </x:c>
      <x:c r="J2244" s="9" t="str">
        <x:v>Damages (Private enforcement) in Competition Law</x:v>
      </x:c>
      <x:c r="K2244" s="9" t="str">
        <x:v>ew-cases-EWCA-Civ-2022-16.xml</x:v>
      </x:c>
      <x:c r="L2244" s="9" t="str">
        <x:v>TBA</x:v>
      </x:c>
    </x:row>
    <x:row r="2245">
      <x:c r="A2245" t="str">
        <x:v>353bbfeb-a461-409d-aba7-f6cdbdf47385</x:v>
      </x:c>
      <x:c r="B2245" t="str">
        <x:v>52c042b1-1d1c-4591-94c0-de3ac662ac12</x:v>
      </x:c>
      <x:c r="C2245" s="9" t="str">
        <x:v>Nuffield Health v London Borough of Merton [2021] EWCA Civ 826</x:v>
      </x:c>
      <x:c r="D2245" s="9" t="str"/>
      <x:c r="E2245" s="9" t="str"/>
      <x:c r="F2245" s="13" t="str">
        <x:v>2021</x:v>
      </x:c>
      <x:c r="G2245" s="9" t="str">
        <x:v>England and Wales Court of Appeal (Civil Division)</x:v>
      </x:c>
      <x:c r="H2245" s="9" t="str">
        <x:v>Appellate</x:v>
      </x:c>
      <x:c r="I2245" s="9" t="str">
        <x:v>England and Wales</x:v>
      </x:c>
      <x:c r="J2245" s="9" t="str">
        <x:v>Property Tax</x:v>
      </x:c>
      <x:c r="K2245" s="9" t="str">
        <x:v>ew-cases-EWCA-Civ-2021-826.xml</x:v>
      </x:c>
      <x:c r="L2245" s="9" t="str">
        <x:v>TBA</x:v>
      </x:c>
    </x:row>
    <x:row r="2246">
      <x:c r="A2246" t="str">
        <x:v>dbc1379f-1995-4f28-a711-f250b3de6cf0</x:v>
      </x:c>
      <x:c r="B2246" t="str">
        <x:v>4a6e3c60-f40d-4a95-bd57-d62150508e45</x:v>
      </x:c>
      <x:c r="C2246" s="9" t="str">
        <x:v>Nursing and Midwifery Council v Somerville [2022] EWCA Civ 229</x:v>
      </x:c>
      <x:c r="D2246" s="9" t="str"/>
      <x:c r="E2246" s="9" t="str"/>
      <x:c r="F2246" s="13" t="str">
        <x:v>2022</x:v>
      </x:c>
      <x:c r="G2246" s="9" t="str">
        <x:v>England and Wales Court of Appeal (Civil Division)</x:v>
      </x:c>
      <x:c r="H2246" s="9" t="str">
        <x:v>Court of Appeal (Civil Division)</x:v>
      </x:c>
      <x:c r="I2246" s="9" t="str">
        <x:v>England and Wales</x:v>
      </x:c>
      <x:c r="J2246" s="9" t="str">
        <x:v>Contract/Employment Law – Worker status under Working Time Regulations; Regulatory body/fitness-to-practise context</x:v>
      </x:c>
      <x:c r="K2246" s="9" t="str">
        <x:v>ew-cases-EWCA-Civ-2022-229.xml</x:v>
      </x:c>
      <x:c r="L2246" s="9" t="str">
        <x:v>TBA</x:v>
      </x:c>
    </x:row>
    <x:row r="2247">
      <x:c r="A2247" t="str">
        <x:v>0c90e5f1-e626-497b-a966-793506ea9194</x:v>
      </x:c>
      <x:c r="B2247" t="str">
        <x:v>61aa9fc5-bebe-4bf6-961a-bea1c98ddaaa</x:v>
      </x:c>
      <x:c r="C2247" s="9" t="str">
        <x:v>NW (Sri Lanka) v Secretary of State for the Home Department [2016] EWCA Civ 309</x:v>
      </x:c>
      <x:c r="D2247" s="9" t="str"/>
      <x:c r="E2247" s="9" t="str"/>
      <x:c r="F2247" s="13" t="str">
        <x:v>2016</x:v>
      </x:c>
      <x:c r="G2247" s="9" t="str">
        <x:v>England and Wales Court of Appeal (Civil Division)</x:v>
      </x:c>
      <x:c r="H2247" s="9" t="str">
        <x:v>Court of Appeal (Civil Division)</x:v>
      </x:c>
      <x:c r="I2247" s="9" t="str">
        <x:v>England and Wales</x:v>
      </x:c>
      <x:c r="J2247" s="9" t="str">
        <x:v>Administrative/immigration law</x:v>
      </x:c>
      <x:c r="K2247" s="9" t="str">
        <x:v>-ew-cases-EWCA-Civ-2016-309.xml</x:v>
      </x:c>
      <x:c r="L2247" s="9" t="str">
        <x:v>TBA</x:v>
      </x:c>
    </x:row>
    <x:row r="2248">
      <x:c r="A2248" t="str">
        <x:v>201c72f3-8a25-4f4f-9673-fadca421401c</x:v>
      </x:c>
      <x:c r="B2248" t="str">
        <x:v>b03f1f32-3717-4dfe-8fae-d0fcaecfa082</x:v>
      </x:c>
      <x:c r="C2248" s="9" t="str">
        <x:v>NYK Bulkship (Atlantic) N.V. v Cargill International S.A.</x:v>
      </x:c>
      <x:c r="D2248" s="9" t="str"/>
      <x:c r="E2248" s="9" t="str"/>
      <x:c r="F2248" s="13" t="str">
        <x:v>2014</x:v>
      </x:c>
      <x:c r="G2248" s="9" t="str">
        <x:v>England and Wales Court of Appeal (Civil Division)</x:v>
      </x:c>
      <x:c r="H2248" s="9" t="str">
        <x:v>Appellate</x:v>
      </x:c>
      <x:c r="I2248" s="9" t="str">
        <x:v>England and Wales</x:v>
      </x:c>
      <x:c r="J2248" s="9" t="str">
        <x:v>Maritime Law</x:v>
      </x:c>
      <x:c r="K2248" s="9" t="str">
        <x:v>-ew-cases-EWCA-Civ-2014-403.xml</x:v>
      </x:c>
      <x:c r="L2248" s="9" t="str">
        <x:v>TBA</x:v>
      </x:c>
    </x:row>
    <x:row r="2249">
      <x:c r="A2249" t="str">
        <x:v>520e1740-4f51-48d8-9cd8-33d4078393ec</x:v>
      </x:c>
      <x:c r="B2249" t="str">
        <x:v>b2e4bbfd-1975-49f3-b98c-12df975ba050</x:v>
      </x:c>
      <x:c r="C2249" s="9" t="str">
        <x:v>Nzolameso v City of Westminster</x:v>
      </x:c>
      <x:c r="D2249" s="9" t="str"/>
      <x:c r="E2249" s="9" t="str"/>
      <x:c r="F2249" s="13" t="str">
        <x:v>2014</x:v>
      </x:c>
      <x:c r="G2249" s="9" t="str">
        <x:v>England and Wales Court of Appeal (Civil Division)</x:v>
      </x:c>
      <x:c r="H2249" s="9" t="str">
        <x:v>Appellate</x:v>
      </x:c>
      <x:c r="I2249" s="9" t="str">
        <x:v>England and Wales</x:v>
      </x:c>
      <x:c r="J2249" s="9" t="str">
        <x:v>Housing Law</x:v>
      </x:c>
      <x:c r="K2249" s="9" t="str">
        <x:v>-ew-cases-EWCA-Civ-2014-1383.xml</x:v>
      </x:c>
      <x:c r="L2249" s="9" t="str">
        <x:v>TBA</x:v>
      </x:c>
    </x:row>
    <x:row r="2250">
      <x:c r="A2250" t="str">
        <x:v>6bbc16f3-421b-4392-84ef-07b4ed0922dd</x:v>
      </x:c>
      <x:c r="B2250" t="str">
        <x:v>95fb6c9b-0808-46e5-8fd3-e472367ef022</x:v>
      </x:c>
      <x:c r="C2250" s="9" t="str">
        <x:v>O (A Child) [2015] EWCA Civ 1040</x:v>
      </x:c>
      <x:c r="D2250" s="9" t="str"/>
      <x:c r="E2250" s="9" t="str"/>
      <x:c r="F2250" s="13" t="str">
        <x:v>2015</x:v>
      </x:c>
      <x:c r="G2250" s="9" t="str">
        <x:v>England and Wales Court of Appeal (Civil Division)</x:v>
      </x:c>
      <x:c r="H2250" s="9" t="str">
        <x:v>Appellate</x:v>
      </x:c>
      <x:c r="I2250" s="9" t="str">
        <x:v>England and Wales</x:v>
      </x:c>
      <x:c r="J2250" s="9" t="str">
        <x:v>Family Law</x:v>
      </x:c>
      <x:c r="K2250" s="9" t="str">
        <x:v>-ew-cases-EWCA-Civ-2015-1040.xml</x:v>
      </x:c>
      <x:c r="L2250" s="9" t="str">
        <x:v>TBA</x:v>
      </x:c>
    </x:row>
    <x:row r="2251">
      <x:c r="A2251" t="str">
        <x:v>4c2fdb80-d621-4d58-a914-8e06bddbd690</x:v>
      </x:c>
      <x:c r="B2251" t="str">
        <x:v>f0cd3a15-aad4-496b-97bb-0a3e60cac273</x:v>
      </x:c>
      <x:c r="C2251" s="9" t="str">
        <x:v>O G Thomas Amaethyddiaeth CYF &amp; Anor v Turner &amp; Ors [2022] EWCA Civ 1446</x:v>
      </x:c>
      <x:c r="D2251" s="9" t="str"/>
      <x:c r="E2251" s="9" t="str"/>
      <x:c r="F2251" s="13" t="str">
        <x:v>2022</x:v>
      </x:c>
      <x:c r="G2251" s="9" t="str">
        <x:v>England and Wales Court of Appeal (Civil Division)</x:v>
      </x:c>
      <x:c r="H2251" s="9" t="str">
        <x:v>Court of Appeal (Civil Division)</x:v>
      </x:c>
      <x:c r="I2251" s="9" t="str">
        <x:v>England and Wales</x:v>
      </x:c>
      <x:c r="J2251" s="9" t="str">
        <x:v>Property Law - Landlord and Tenant (Agricultural Holdings)</x:v>
      </x:c>
      <x:c r="K2251" s="9" t="str">
        <x:v>ew-cases-EWCA-Civ-2022-1446.xml</x:v>
      </x:c>
      <x:c r="L2251" s="9" t="str">
        <x:v>TBA</x:v>
      </x:c>
    </x:row>
    <x:row r="2252">
      <x:c r="A2252" t="str">
        <x:v>03aa9238-b9a1-44b9-b18a-ba07fea77f06</x:v>
      </x:c>
      <x:c r="B2252" t="str">
        <x:v>abcffa50-4a75-4ad4-9667-e3dfe47a4411</x:v>
      </x:c>
      <x:c r="C2252" s="9" t="str">
        <x:v>O'Brien v Bolton St Catherine's Academy [2017] EWCA Civ 145</x:v>
      </x:c>
      <x:c r="D2252" s="9" t="str"/>
      <x:c r="E2252" s="9" t="str"/>
      <x:c r="F2252" s="13" t="str">
        <x:v>2017</x:v>
      </x:c>
      <x:c r="G2252" s="9" t="str">
        <x:v>England and Wales Court of Appeal (Civil Division)</x:v>
      </x:c>
      <x:c r="H2252" s="9" t="str">
        <x:v>Appellate</x:v>
      </x:c>
      <x:c r="I2252" s="9" t="str">
        <x:v>England and Wales</x:v>
      </x:c>
      <x:c r="J2252" s="9" t="str">
        <x:v>Employment Law</x:v>
      </x:c>
      <x:c r="K2252" s="9" t="str">
        <x:v>-ew-cases-EWCA-Civ-2017-145.xml</x:v>
      </x:c>
      <x:c r="L2252" s="9" t="str">
        <x:v>TBA</x:v>
      </x:c>
    </x:row>
    <x:row r="2253">
      <x:c r="A2253" t="str">
        <x:v>80bcf68f-3c55-4550-acb7-51846cd1a1c4</x:v>
      </x:c>
      <x:c r="B2253" t="str">
        <x:v>9844702c-c2b0-4354-ac06-36da76a7fc64</x:v>
      </x:c>
      <x:c r="C2253" s="9" t="str">
        <x:v>O'Brien v Ministry of Justice [2015] EWCA Civ 1000</x:v>
      </x:c>
      <x:c r="D2253" s="9" t="str"/>
      <x:c r="E2253" s="9" t="str"/>
      <x:c r="F2253" s="13" t="str">
        <x:v>2015</x:v>
      </x:c>
      <x:c r="G2253" s="9" t="str">
        <x:v>England and Wales Court of Appeal (Civil Division)</x:v>
      </x:c>
      <x:c r="H2253" s="9" t="str">
        <x:v>Appellate</x:v>
      </x:c>
      <x:c r="I2253" s="9" t="str">
        <x:v>England and Wales</x:v>
      </x:c>
      <x:c r="J2253" s="9" t="str">
        <x:v>Employment Law</x:v>
      </x:c>
      <x:c r="K2253" s="9" t="str">
        <x:v>-ew-cases-EWCA-Civ-2015-1000.xml</x:v>
      </x:c>
      <x:c r="L2253" s="9" t="str">
        <x:v>TBA</x:v>
      </x:c>
    </x:row>
    <x:row r="2254">
      <x:c r="A2254" t="str">
        <x:v>c794cd4e-4e9d-4387-a6f5-6ad3a01ce3e3</x:v>
      </x:c>
      <x:c r="B2254" t="str">
        <x:v>bb5a6dca-45f5-41a1-8a6f-f9852505f85c</x:v>
      </x:c>
      <x:c r="C2254" s="9" t="str">
        <x:v>O'Cathail v Transport for London [2015] EWCA Civ 864</x:v>
      </x:c>
      <x:c r="D2254" s="9" t="str"/>
      <x:c r="E2254" s="9" t="str"/>
      <x:c r="F2254" s="13" t="str">
        <x:v>2015</x:v>
      </x:c>
      <x:c r="G2254" s="9" t="str">
        <x:v>England and Wales Court of Appeal (Civil Division)</x:v>
      </x:c>
      <x:c r="H2254" s="9" t="str">
        <x:v>Appellate</x:v>
      </x:c>
      <x:c r="I2254" s="9" t="str">
        <x:v>England and Wales</x:v>
      </x:c>
      <x:c r="J2254" s="9" t="str">
        <x:v>Employment Dispute</x:v>
      </x:c>
      <x:c r="K2254" s="9" t="str">
        <x:v>-ew-cases-EWCA-Civ-2015-864.xml</x:v>
      </x:c>
      <x:c r="L2254" s="9" t="str">
        <x:v>TBA</x:v>
      </x:c>
    </x:row>
    <x:row r="2255">
      <x:c r="A2255" t="str">
        <x:v>6b104367-87eb-4f41-9561-29d8649f7ed5</x:v>
      </x:c>
      <x:c r="B2255" t="str">
        <x:v>5b2c5d39-bf4f-4b6e-bb6e-1d47856493e9</x:v>
      </x:c>
      <x:c r="C2255" s="9" t="str">
        <x:v>O'Connell v Rollings &amp; Ors (Administrators of Musion Systems Ltd) [2014] EWCA Civ 639</x:v>
      </x:c>
      <x:c r="D2255" s="9" t="str"/>
      <x:c r="E2255" s="9" t="str"/>
      <x:c r="F2255" s="13" t="str">
        <x:v>2014</x:v>
      </x:c>
      <x:c r="G2255" s="9" t="str">
        <x:v>England and Wales Court of Appeal (Civil Division)</x:v>
      </x:c>
      <x:c r="H2255" s="9" t="str">
        <x:v>Appellate</x:v>
      </x:c>
      <x:c r="I2255" s="9" t="str">
        <x:v>England and Wales</x:v>
      </x:c>
      <x:c r="J2255" s="9" t="str">
        <x:v>Corporate Law</x:v>
      </x:c>
      <x:c r="K2255" s="9" t="str">
        <x:v>-ew-cases-EWCA-Civ-2014-639.xml</x:v>
      </x:c>
      <x:c r="L2255" s="9" t="str">
        <x:v>TBA</x:v>
      </x:c>
    </x:row>
    <x:row r="2256">
      <x:c r="A2256" t="str">
        <x:v>6c8f867f-ae98-415e-903b-db10fa019ccd</x:v>
      </x:c>
      <x:c r="B2256" t="str">
        <x:v>db325f0b-3a49-4e12-859c-8dff286fc7e1</x:v>
      </x:c>
      <x:c r="C2256" s="9" t="str">
        <x:v>O'Connell v Rollings &amp; Ors (Administrators of Musion Systems Ltd) [2014] EWCA Civ 806</x:v>
      </x:c>
      <x:c r="D2256" s="9" t="str"/>
      <x:c r="E2256" s="9" t="str"/>
      <x:c r="F2256" s="13" t="str">
        <x:v>2014</x:v>
      </x:c>
      <x:c r="G2256" s="9" t="str">
        <x:v>England and Wales Court of Appeal (Civil Division)</x:v>
      </x:c>
      <x:c r="H2256" s="9" t="str">
        <x:v>Appellate</x:v>
      </x:c>
      <x:c r="I2256" s="9" t="str">
        <x:v>England and Wales</x:v>
      </x:c>
      <x:c r="J2256" s="9" t="str">
        <x:v>Confidentiality Breach</x:v>
      </x:c>
      <x:c r="K2256" s="9" t="str">
        <x:v>-ew-cases-EWCA-Civ-2014-806.xml</x:v>
      </x:c>
      <x:c r="L2256" s="9" t="str">
        <x:v>TBA</x:v>
      </x:c>
    </x:row>
    <x:row r="2257">
      <x:c r="A2257" t="str">
        <x:v>49421b8f-8922-41c1-ab9a-b581afdcb853</x:v>
      </x:c>
      <x:c r="B2257" t="str">
        <x:v>09032da4-f24a-4dd0-96cf-5e5fa79ba1f3</x:v>
      </x:c>
      <x:c r="C2257" s="9" t="str">
        <x:v>O'Connor v Bar Standards Board [2016] EWCA Civ 775</x:v>
      </x:c>
      <x:c r="D2257" s="9" t="str"/>
      <x:c r="E2257" s="9" t="str"/>
      <x:c r="F2257" s="13" t="str">
        <x:v>2016</x:v>
      </x:c>
      <x:c r="G2257" s="9" t="str">
        <x:v>England and Wales Court of Appeal (Civil Division)</x:v>
      </x:c>
      <x:c r="H2257" s="9" t="str">
        <x:v>Court of Appeal (Civil Division)</x:v>
      </x:c>
      <x:c r="I2257" s="9" t="str">
        <x:v>England and Wales</x:v>
      </x:c>
      <x:c r="J2257" s="9" t="str">
        <x:v>Human rights / Administrative Law</x:v>
      </x:c>
      <x:c r="K2257" s="9" t="str">
        <x:v>-ew-cases-EWCA-Civ-2016-775.xml</x:v>
      </x:c>
      <x:c r="L2257" s="9" t="str">
        <x:v>TBA</x:v>
      </x:c>
    </x:row>
    <x:row r="2258">
      <x:c r="A2258" t="str">
        <x:v>88578dc1-801c-47c0-aac7-9a257281fa20</x:v>
      </x:c>
      <x:c r="B2258" t="str">
        <x:v>b00ce0ac-ef53-4e1f-829f-7768faa9de97</x:v>
      </x:c>
      <x:c r="C2258" s="9" t="str">
        <x:v>O'Connor v The Pennine Acute Hospitals NHS Trust</x:v>
      </x:c>
      <x:c r="D2258" s="9" t="str"/>
      <x:c r="E2258" s="9" t="str"/>
      <x:c r="F2258" s="13" t="str">
        <x:v>2015</x:v>
      </x:c>
      <x:c r="G2258" s="9" t="str">
        <x:v>England and Wales Court of Appeal (Civil Division)</x:v>
      </x:c>
      <x:c r="H2258" s="9" t="str">
        <x:v>Appellate</x:v>
      </x:c>
      <x:c r="I2258" s="9" t="str">
        <x:v>England and Wales</x:v>
      </x:c>
      <x:c r="J2258" s="9" t="str">
        <x:v>Tort</x:v>
      </x:c>
      <x:c r="K2258" s="9" t="str">
        <x:v>-ew-cases-EWCA-Civ-2015-1244.xml</x:v>
      </x:c>
      <x:c r="L2258" s="9" t="str">
        <x:v>TBA</x:v>
      </x:c>
    </x:row>
    <x:row r="2259">
      <x:c r="A2259" t="str">
        <x:v>557682e5-e5c6-4850-a8db-f2a19ceaf897</x:v>
      </x:c>
      <x:c r="B2259" t="str">
        <x:v>d4709a06-42fe-4b64-a5a3-2c50330d0d4d</x:v>
      </x:c>
      <x:c r="C2259" s="9" t="str">
        <x:v>O'Kelly v Davies [2014] EWCA Civ 1606</x:v>
      </x:c>
      <x:c r="D2259" s="9" t="str"/>
      <x:c r="E2259" s="9" t="str"/>
      <x:c r="F2259" s="13" t="str">
        <x:v>2014</x:v>
      </x:c>
      <x:c r="G2259" s="9" t="str">
        <x:v>England and Wales Court of Appeal (Civil Division)</x:v>
      </x:c>
      <x:c r="H2259" s="9" t="str">
        <x:v>Appellate</x:v>
      </x:c>
      <x:c r="I2259" s="9" t="str">
        <x:v>England and Wales</x:v>
      </x:c>
      <x:c r="J2259" s="9" t="str">
        <x:v>Property Law</x:v>
      </x:c>
      <x:c r="K2259" s="9" t="str">
        <x:v>-ew-cases-EWCA-Civ-2014-1606.xml</x:v>
      </x:c>
      <x:c r="L2259" s="9" t="str">
        <x:v>TBA</x:v>
      </x:c>
    </x:row>
    <x:row r="2260">
      <x:c r="A2260" t="str">
        <x:v>953bf64f-d104-46d3-8b77-213593d79a66</x:v>
      </x:c>
      <x:c r="B2260" t="str">
        <x:v>e55b2bcd-c806-49f1-8b91-647450f700cf</x:v>
      </x:c>
      <x:c r="C2260" s="9" t="str">
        <x:v>O'Sullivan v Financial Services Authority [2015] EWCA Civ 896</x:v>
      </x:c>
      <x:c r="D2260" s="9" t="str"/>
      <x:c r="E2260" s="9" t="str"/>
      <x:c r="F2260" s="13" t="str">
        <x:v>2015</x:v>
      </x:c>
      <x:c r="G2260" s="9" t="str">
        <x:v>England and Wales Court of Appeal (Civil Division)</x:v>
      </x:c>
      <x:c r="H2260" s="9" t="str">
        <x:v>Appellate</x:v>
      </x:c>
      <x:c r="I2260" s="9" t="str">
        <x:v>England and Wales</x:v>
      </x:c>
      <x:c r="J2260" s="9" t="str">
        <x:v>Administrative Law</x:v>
      </x:c>
      <x:c r="K2260" s="9" t="str">
        <x:v>-ew-cases-EWCA-Civ-2015-896.xml</x:v>
      </x:c>
      <x:c r="L2260" s="9" t="str">
        <x:v>TBA</x:v>
      </x:c>
    </x:row>
    <x:row r="2261">
      <x:c r="A2261" t="str">
        <x:v>c660b8af-128f-42c1-a135-a3bec7bbb944</x:v>
      </x:c>
      <x:c r="B2261" t="str">
        <x:v>fabc86bf-0569-4b8c-bd2c-3a5157043895</x:v>
      </x:c>
      <x:c r="C2261" s="9" t="str">
        <x:v>OA (Somalia) v Secretary of State for the Home Department [2022] EWCA Civ 1657</x:v>
      </x:c>
      <x:c r="D2261" s="9" t="str"/>
      <x:c r="E2261" s="9" t="str"/>
      <x:c r="F2261" s="13" t="str">
        <x:v>2022</x:v>
      </x:c>
      <x:c r="G2261" s="9" t="str">
        <x:v>England and Wales Court of Appeal (Civil Division)</x:v>
      </x:c>
      <x:c r="H2261" s="9" t="str">
        <x:v>Court of Appeal (Civil Division)</x:v>
      </x:c>
      <x:c r="I2261" s="9" t="str">
        <x:v>England and Wales</x:v>
      </x:c>
      <x:c r="J2261" s="9" t="str">
        <x:v>Immigration Law</x:v>
      </x:c>
      <x:c r="K2261" s="9" t="str">
        <x:v>ew-cases-EWCA-Civ-2022-1657.xml</x:v>
      </x:c>
      <x:c r="L2261" s="9" t="str">
        <x:v>TBA</x:v>
      </x:c>
    </x:row>
    <x:row r="2262">
      <x:c r="A2262" t="str">
        <x:v>9fdf7d67-e318-47b6-b42a-78f2dda70dd6</x:v>
      </x:c>
      <x:c r="B2262" t="str">
        <x:v>ddecbe37-21a4-4843-8e46-a7ec956f1690</x:v>
      </x:c>
      <x:c r="C2262" s="9" t="str">
        <x:v>Oadby and Wigston Borough Council v Secretary of State for Communities and Local Government &amp; Anor [2016] EWCA Civ 1040</x:v>
      </x:c>
      <x:c r="D2262" s="9" t="str"/>
      <x:c r="E2262" s="9" t="str"/>
      <x:c r="F2262" s="13" t="str">
        <x:v>2016</x:v>
      </x:c>
      <x:c r="G2262" s="9" t="str">
        <x:v>England and Wales Court of Appeal (Civil Division)</x:v>
      </x:c>
      <x:c r="H2262" s="9" t="str">
        <x:v>Court of Appeal</x:v>
      </x:c>
      <x:c r="I2262" s="9" t="str">
        <x:v>England and Wales</x:v>
      </x:c>
      <x:c r="J2262" s="9" t="str">
        <x:v>Planning and Development</x:v>
      </x:c>
      <x:c r="K2262" s="9" t="str">
        <x:v>-ew-cases-EWCA-Civ-2016-1040.xml</x:v>
      </x:c>
      <x:c r="L2262" s="9" t="str">
        <x:v>TBA</x:v>
      </x:c>
    </x:row>
    <x:row r="2263">
      <x:c r="A2263" t="str">
        <x:v>463b7ce9-30b1-45ea-9f2b-90412578023d</x:v>
      </x:c>
      <x:c r="B2263" t="str">
        <x:v>a29c470f-2e2f-4902-8139-7c866ca35a1a</x:v>
      </x:c>
      <x:c r="C2263" s="9" t="str">
        <x:v>Oak Cash &amp; Carry Limited v British Gas Trading Limited [2016] EWCA Civ 153</x:v>
      </x:c>
      <x:c r="D2263" s="9" t="str"/>
      <x:c r="E2263" s="9" t="str"/>
      <x:c r="F2263" s="13" t="str">
        <x:v>2016</x:v>
      </x:c>
      <x:c r="G2263" s="9" t="str">
        <x:v>England and Wales Court of Appeal (Civil Division)</x:v>
      </x:c>
      <x:c r="H2263" s="9" t="str">
        <x:v>Court of Appeal (Civil Division)</x:v>
      </x:c>
      <x:c r="I2263" s="9" t="str">
        <x:v>England and Wales</x:v>
      </x:c>
      <x:c r="J2263" s="9" t="str">
        <x:v>Civil Procedure / Sanctions / Default Judgment</x:v>
      </x:c>
      <x:c r="K2263" s="9" t="str">
        <x:v>-ew-cases-EWCA-Civ-2016-153.xml</x:v>
      </x:c>
      <x:c r="L2263" s="9" t="str">
        <x:v>TBA</x:v>
      </x:c>
    </x:row>
    <x:row r="2264">
      <x:c r="A2264" t="str">
        <x:v>1201a772-b869-4d1b-9aea-bdb815c299cc</x:v>
      </x:c>
      <x:c r="B2264" t="str">
        <x:v>ff26cbf9-94f3-41ae-aebc-6351e0980b93</x:v>
      </x:c>
      <x:c r="C2264" s="9" t="str">
        <x:v>Oakley v South Cambridgeshire District Council &amp; Anor [2017] EWCA Civ 71</x:v>
      </x:c>
      <x:c r="D2264" s="9" t="str"/>
      <x:c r="E2264" s="9" t="str"/>
      <x:c r="F2264" s="13" t="str">
        <x:v>2017</x:v>
      </x:c>
      <x:c r="G2264" s="9" t="str">
        <x:v>England and Wales Court of Appeal (Civil Division)</x:v>
      </x:c>
      <x:c r="H2264" s="9" t="str">
        <x:v>appellate</x:v>
      </x:c>
      <x:c r="I2264" s="9" t="str">
        <x:v>England and Wales</x:v>
      </x:c>
      <x:c r="J2264" s="9" t="str">
        <x:v>Administrative Law</x:v>
      </x:c>
      <x:c r="K2264" s="9" t="str">
        <x:v>-ew-cases-EWCA-Civ-2017-71.xml</x:v>
      </x:c>
      <x:c r="L2264" s="9" t="str">
        <x:v>TBA</x:v>
      </x:c>
    </x:row>
    <x:row r="2265">
      <x:c r="A2265" t="str">
        <x:v>2b73204d-212e-4bf7-b388-c934385afc43</x:v>
      </x:c>
      <x:c r="B2265" t="str">
        <x:v>613b055c-dbd6-477a-bb6d-88681350da48</x:v>
      </x:c>
      <x:c r="C2265" s="9" t="str">
        <x:v>Oboh &amp; Ors, R v Secretary of State for the Home Department</x:v>
      </x:c>
      <x:c r="D2265" s="9" t="str"/>
      <x:c r="E2265" s="9" t="str"/>
      <x:c r="F2265" s="13" t="str">
        <x:v>2015</x:v>
      </x:c>
      <x:c r="G2265" s="9" t="str">
        <x:v>England and Wales Court of Appeal (Civil Division)</x:v>
      </x:c>
      <x:c r="H2265" s="9" t="str">
        <x:v>Appellate</x:v>
      </x:c>
      <x:c r="I2265" s="9" t="str">
        <x:v>England and Wales</x:v>
      </x:c>
      <x:c r="J2265" s="9" t="str">
        <x:v>Administrative Law</x:v>
      </x:c>
      <x:c r="K2265" s="9" t="str">
        <x:v>-ew-cases-EWCA-Civ-2015-514.xml</x:v>
      </x:c>
      <x:c r="L2265" s="9" t="str">
        <x:v>TBA</x:v>
      </x:c>
    </x:row>
    <x:row r="2266">
      <x:c r="A2266" t="str">
        <x:v>65a17047-e3d2-4801-b9db-b8e731a1e9cd</x:v>
      </x:c>
      <x:c r="B2266" t="str">
        <x:v>d375ddad-2cf0-46ea-b230-1e083cf8af7b</x:v>
      </x:c>
      <x:c r="C2266" s="9" t="str">
        <x:v>Obrascon Huarte Lain SA v HM Attorney General for Gibraltar [2015] EWCA Civ 712</x:v>
      </x:c>
      <x:c r="D2266" s="9" t="str"/>
      <x:c r="E2266" s="9" t="str"/>
      <x:c r="F2266" s="13" t="str">
        <x:v>2015</x:v>
      </x:c>
      <x:c r="G2266" s="9" t="str">
        <x:v>England and Wales Court of Appeal (Civil Division)</x:v>
      </x:c>
      <x:c r="H2266" s="9" t="str">
        <x:v>Appellate</x:v>
      </x:c>
      <x:c r="I2266" s="9" t="str">
        <x:v>England and Wales</x:v>
      </x:c>
      <x:c r="J2266" s="9" t="str">
        <x:v>Contract Dispute</x:v>
      </x:c>
      <x:c r="K2266" s="9" t="str">
        <x:v>-ew-cases-EWCA-Civ-2015-712.xml</x:v>
      </x:c>
      <x:c r="L2266" s="9" t="str">
        <x:v>TBA</x:v>
      </x:c>
    </x:row>
    <x:row r="2267">
      <x:c r="A2267" t="str">
        <x:v>3c36b6d7-1858-4d1a-81f7-b8b1bec2aa00</x:v>
      </x:c>
      <x:c r="B2267" t="str">
        <x:v>3d376c87-1c30-4a6a-86a6-729429c6da6c</x:v>
      </x:c>
      <x:c r="C2267" s="9" t="str">
        <x:v>Ocado Group PLC &amp; Anr v McKeeve [2021] EWCA Civ 145</x:v>
      </x:c>
      <x:c r="D2267" s="9" t="str"/>
      <x:c r="E2267" s="9" t="str"/>
      <x:c r="F2267" s="13" t="str">
        <x:v>2021</x:v>
      </x:c>
      <x:c r="G2267" s="9" t="str">
        <x:v>England and Wales Court of Appeal (Civil Division)</x:v>
      </x:c>
      <x:c r="H2267" s="9" t="str">
        <x:v>Appellate</x:v>
      </x:c>
      <x:c r="I2267" s="9" t="str">
        <x:v>England and Wales</x:v>
      </x:c>
      <x:c r="J2267" s="9" t="str">
        <x:v>Civil Procedure</x:v>
      </x:c>
      <x:c r="K2267" s="9" t="str">
        <x:v>ew-cases-EWCA-Civ-2021-145.xml</x:v>
      </x:c>
      <x:c r="L2267" s="9" t="str">
        <x:v>TBA</x:v>
      </x:c>
    </x:row>
    <x:row r="2268">
      <x:c r="A2268" t="str">
        <x:v>8ea50ea3-b182-4c46-b9e7-4c7c87f7a43e</x:v>
      </x:c>
      <x:c r="B2268" t="str">
        <x:v>e8178dca-826e-4fd5-9b5b-8bef75c1c7e4</x:v>
      </x:c>
      <x:c r="C2268" s="9" t="str">
        <x:v>Ocean Healthcare Ltd v Sigma Pharmaceuticals Plc [2014] EWCA Civ 1468</x:v>
      </x:c>
      <x:c r="D2268" s="9" t="str"/>
      <x:c r="E2268" s="9" t="str"/>
      <x:c r="F2268" s="13" t="str">
        <x:v>2014</x:v>
      </x:c>
      <x:c r="G2268" s="9" t="str">
        <x:v>England and Wales Court of Appeal (Civil Division)</x:v>
      </x:c>
      <x:c r="H2268" s="9" t="str">
        <x:v>Appellate</x:v>
      </x:c>
      <x:c r="I2268" s="9" t="str">
        <x:v>England and Wales</x:v>
      </x:c>
      <x:c r="J2268" s="9" t="str">
        <x:v>Contract Dispute</x:v>
      </x:c>
      <x:c r="K2268" s="9" t="str">
        <x:v>-ew-cases-EWCA-Civ-2014-1468.xml</x:v>
      </x:c>
      <x:c r="L2268" s="9" t="str">
        <x:v>TBA</x:v>
      </x:c>
    </x:row>
    <x:row r="2269">
      <x:c r="A2269" t="str">
        <x:v>3b047d29-74aa-4e3e-a32f-42f39fc9ec13</x:v>
      </x:c>
      <x:c r="B2269" t="str">
        <x:v>94e8260e-b9d7-4c71-b583-4333df418ade</x:v>
      </x:c>
      <x:c r="C2269" s="9" t="str">
        <x:v>OCM Maritime Nile LLC &amp; Anor v Courage Shipping Co. &amp; Ors [2022] EWCA Civ 1091</x:v>
      </x:c>
      <x:c r="D2269" s="9" t="str"/>
      <x:c r="E2269" s="9" t="str"/>
      <x:c r="F2269" s="13" t="str">
        <x:v>2022</x:v>
      </x:c>
      <x:c r="G2269" s="9" t="str">
        <x:v>England and Wales Court of Appeal (Civil Division)</x:v>
      </x:c>
      <x:c r="H2269" s="9" t="str">
        <x:v>Court of Appeal (Civil Division)</x:v>
      </x:c>
      <x:c r="I2269" s="9" t="str">
        <x:v>England and Wales</x:v>
      </x:c>
      <x:c r="J2269" s="9" t="str">
        <x:v>Contract/Commercial - Maritime</x:v>
      </x:c>
      <x:c r="K2269" s="9" t="str">
        <x:v>ew-cases-EWCA-Civ-2022-1091.xml</x:v>
      </x:c>
      <x:c r="L2269" s="9" t="str">
        <x:v>TBA</x:v>
      </x:c>
    </x:row>
    <x:row r="2270">
      <x:c r="A2270" t="str">
        <x:v>1aec9233-a9b1-4211-9ee6-36e9a135cee7</x:v>
      </x:c>
      <x:c r="B2270" t="str">
        <x:v>fd387248-9592-4847-a802-9357170e4de2</x:v>
      </x:c>
      <x:c r="C2270" s="9" t="str">
        <x:v>OE (Jamaica) v Secretary of State for the Home Department</x:v>
      </x:c>
      <x:c r="D2270" s="9" t="str"/>
      <x:c r="E2270" s="9" t="str"/>
      <x:c r="F2270" s="13" t="str">
        <x:v>2015</x:v>
      </x:c>
      <x:c r="G2270" s="9" t="str">
        <x:v>England and Wales Court of Appeal (Civil Division)</x:v>
      </x:c>
      <x:c r="H2270" s="9" t="str">
        <x:v>Appellate</x:v>
      </x:c>
      <x:c r="I2270" s="9" t="str">
        <x:v>England and Wales</x:v>
      </x:c>
      <x:c r="J2270" s="9" t="str">
        <x:v>Immigration Law</x:v>
      </x:c>
      <x:c r="K2270" s="9" t="str">
        <x:v>-ew-cases-EWCA-Civ-2015-827.xml</x:v>
      </x:c>
      <x:c r="L2270" s="9" t="str">
        <x:v>TBA</x:v>
      </x:c>
    </x:row>
    <x:row r="2271">
      <x:c r="A2271" t="str">
        <x:v>b36c3b0b-ccb7-44a1-b346-66a95ffe6b8c</x:v>
      </x:c>
      <x:c r="B2271" t="str">
        <x:v>66ef0e4f-af5f-406d-9033-1d688a8ab299</x:v>
      </x:c>
      <x:c r="C2271" s="9" t="str">
        <x:v>Ojikutu v London Borough of Camden [2014] EWCA Civ 978</x:v>
      </x:c>
      <x:c r="D2271" s="9" t="str"/>
      <x:c r="E2271" s="9" t="str"/>
      <x:c r="F2271" s="13" t="str">
        <x:v>2014</x:v>
      </x:c>
      <x:c r="G2271" s="9" t="str">
        <x:v>England and Wales Court of Appeal (Civil Division)</x:v>
      </x:c>
      <x:c r="H2271" s="9" t="str">
        <x:v>Appellate</x:v>
      </x:c>
      <x:c r="I2271" s="9" t="str">
        <x:v>England and Wales</x:v>
      </x:c>
      <x:c r="J2271" s="9" t="str">
        <x:v>Employment Law</x:v>
      </x:c>
      <x:c r="K2271" s="9" t="str">
        <x:v>-ew-cases-EWCA-Civ-2014-978.xml</x:v>
      </x:c>
      <x:c r="L2271" s="9" t="str">
        <x:v>TBA</x:v>
      </x:c>
    </x:row>
    <x:row r="2272">
      <x:c r="A2272" t="str">
        <x:v>22c74525-3348-44e1-96a3-2783198bd90c</x:v>
      </x:c>
      <x:c r="B2272" t="str">
        <x:v>cf087e89-040f-425d-93eb-f153467247e1</x:v>
      </x:c>
      <x:c r="C2272" s="9" t="str">
        <x:v>Okekearu v London Borough of Camden [2017] EWCA Civ 2683</x:v>
      </x:c>
      <x:c r="D2272" s="9" t="str"/>
      <x:c r="E2272" s="9" t="str"/>
      <x:c r="F2272" s="13" t="str">
        <x:v>2017</x:v>
      </x:c>
      <x:c r="G2272" s="9" t="str">
        <x:v>England and Wales Court of Appeal (Civil Division)</x:v>
      </x:c>
      <x:c r="H2272" s="9" t="str">
        <x:v>Appellate</x:v>
      </x:c>
      <x:c r="I2272" s="9" t="str">
        <x:v>England and Wales</x:v>
      </x:c>
      <x:c r="J2272" s="9" t="str">
        <x:v>Employment Law</x:v>
      </x:c>
      <x:c r="K2272" s="9" t="str">
        <x:v>-ew-cases-EWCA-Civ-2017-2683.xml</x:v>
      </x:c>
      <x:c r="L2272" s="9" t="str">
        <x:v>TBA</x:v>
      </x:c>
    </x:row>
    <x:row r="2273">
      <x:c r="A2273" t="str">
        <x:v>c60eccd2-1a1c-4f96-965a-792f6fed3cc7</x:v>
      </x:c>
      <x:c r="B2273" t="str">
        <x:v>0205a5d3-fad9-465d-a2e2-692b805e38d7</x:v>
      </x:c>
      <x:c r="C2273" s="9" t="str">
        <x:v>Olatunde v Secretary of State for the Home Department</x:v>
      </x:c>
      <x:c r="D2273" s="9" t="str"/>
      <x:c r="E2273" s="9" t="str"/>
      <x:c r="F2273" s="13" t="str">
        <x:v>2015</x:v>
      </x:c>
      <x:c r="G2273" s="9" t="str">
        <x:v>England and Wales Court of Appeal (Civil Division)</x:v>
      </x:c>
      <x:c r="H2273" s="9" t="str">
        <x:v>Appellate</x:v>
      </x:c>
      <x:c r="I2273" s="9" t="str">
        <x:v>England and Wales</x:v>
      </x:c>
      <x:c r="J2273" s="9" t="str">
        <x:v>Immigration Law</x:v>
      </x:c>
      <x:c r="K2273" s="9" t="str">
        <x:v>-ew-cases-EWCA-Civ-2015-670.xml</x:v>
      </x:c>
      <x:c r="L2273" s="9" t="str">
        <x:v>TBA</x:v>
      </x:c>
    </x:row>
    <x:row r="2274">
      <x:c r="A2274" t="str">
        <x:v>f8c48186-b93a-4b7a-886f-856a7342a27e</x:v>
      </x:c>
      <x:c r="B2274" t="str">
        <x:v>13f857a6-adde-4bce-8786-7e0e876f5c76</x:v>
      </x:c>
      <x:c r="C2274" s="9" t="str">
        <x:v>Oldfield v Secretary of State for the Communities and Local Government</x:v>
      </x:c>
      <x:c r="D2274" s="9" t="str"/>
      <x:c r="E2274" s="9" t="str"/>
      <x:c r="F2274" s="13" t="str">
        <x:v>2014</x:v>
      </x:c>
      <x:c r="G2274" s="9" t="str">
        <x:v>England and Wales Court of Appeal (Civil Division)</x:v>
      </x:c>
      <x:c r="H2274" s="9" t="str">
        <x:v>Appellate</x:v>
      </x:c>
      <x:c r="I2274" s="9" t="str">
        <x:v>England and Wales</x:v>
      </x:c>
      <x:c r="J2274" s="9" t="str">
        <x:v>Administrative Law</x:v>
      </x:c>
      <x:c r="K2274" s="9" t="str">
        <x:v>-ew-cases-EWCA-Civ-2014-1446.xml</x:v>
      </x:c>
      <x:c r="L2274" s="9" t="str">
        <x:v>TBA</x:v>
      </x:c>
    </x:row>
    <x:row r="2275">
      <x:c r="A2275" t="str">
        <x:v>572565ca-0d84-4d7c-adb4-5df80cefb8ce</x:v>
      </x:c>
      <x:c r="B2275" t="str">
        <x:v>c59b1770-3e1c-447d-961b-a263dba9e4c9</x:v>
      </x:c>
      <x:c r="C2275" s="9" t="str">
        <x:v>Oldham Metropolitan Borough Council v Tanna [2017] EWCA Civ 50</x:v>
      </x:c>
      <x:c r="D2275" s="9" t="str"/>
      <x:c r="E2275" s="9" t="str"/>
      <x:c r="F2275" s="13" t="str">
        <x:v>2017</x:v>
      </x:c>
      <x:c r="G2275" s="9" t="str">
        <x:v>England and Wales Court of Appeal (Civil Division)</x:v>
      </x:c>
      <x:c r="H2275" s="9" t="str">
        <x:v>Appellate</x:v>
      </x:c>
      <x:c r="I2275" s="9" t="str">
        <x:v>England and Wales</x:v>
      </x:c>
      <x:c r="J2275" s="9" t="str">
        <x:v>Administrative Law</x:v>
      </x:c>
      <x:c r="K2275" s="9" t="str">
        <x:v>-ew-cases-EWCA-Civ-2017-50.xml</x:v>
      </x:c>
      <x:c r="L2275" s="9" t="str">
        <x:v>TBA</x:v>
      </x:c>
    </x:row>
    <x:row r="2276">
      <x:c r="A2276" t="str">
        <x:v>f190a3e1-5aff-4ef3-b87c-b446ef267b02</x:v>
      </x:c>
      <x:c r="B2276" t="str">
        <x:v>1e90d02c-4436-4f0b-9737-0894549e5e19</x:v>
      </x:c>
      <x:c r="C2276" s="9" t="str">
        <x:v>Olympic Airlines SA v ACG Acquisition XX LLC [2014] EWCA Civ 821</x:v>
      </x:c>
      <x:c r="D2276" s="9" t="str"/>
      <x:c r="E2276" s="9" t="str"/>
      <x:c r="F2276" s="13" t="str">
        <x:v>2014</x:v>
      </x:c>
      <x:c r="G2276" s="9" t="str">
        <x:v>England and Wales Court of Appeal (Civil Division)</x:v>
      </x:c>
      <x:c r="H2276" s="9" t="str">
        <x:v>Appellate</x:v>
      </x:c>
      <x:c r="I2276" s="9" t="str">
        <x:v>England and Wales</x:v>
      </x:c>
      <x:c r="J2276" s="9" t="str">
        <x:v>Commercial</x:v>
      </x:c>
      <x:c r="K2276" s="9" t="str">
        <x:v>-ew-cases-EWCA-Civ-2014-821.xml</x:v>
      </x:c>
      <x:c r="L2276" s="9" t="str">
        <x:v>TBA</x:v>
      </x:c>
    </x:row>
    <x:row r="2277">
      <x:c r="A2277" t="str">
        <x:v>b0c31753-0799-4837-bc98-e4fbfb679212</x:v>
      </x:c>
      <x:c r="B2277" t="str">
        <x:v>adc0f138-4aa8-4536-ac96-cc9de4da880e</x:v>
      </x:c>
      <x:c r="C2277" s="9" t="str">
        <x:v>OMV Petrom SA v Glencore International AG</x:v>
      </x:c>
      <x:c r="D2277" s="9" t="str"/>
      <x:c r="E2277" s="9" t="str"/>
      <x:c r="F2277" s="13" t="str">
        <x:v>2017</x:v>
      </x:c>
      <x:c r="G2277" s="9" t="str">
        <x:v>England and Wales Court of Appeal (Civil Division)</x:v>
      </x:c>
      <x:c r="H2277" s="9" t="str">
        <x:v>Appellate</x:v>
      </x:c>
      <x:c r="I2277" s="9" t="str">
        <x:v>England and Wales</x:v>
      </x:c>
      <x:c r="J2277" s="9" t="str">
        <x:v>Contract Dispute</x:v>
      </x:c>
      <x:c r="K2277" s="9" t="str">
        <x:v>-ew-cases-EWCA-Civ-2017-195.xml</x:v>
      </x:c>
      <x:c r="L2277" s="9" t="str">
        <x:v>TBA</x:v>
      </x:c>
    </x:row>
    <x:row r="2278">
      <x:c r="A2278" t="str">
        <x:v>4736cc4c-87a0-4e11-b50c-630ea6f240df</x:v>
      </x:c>
      <x:c r="B2278" t="str">
        <x:v>7b38d2d3-0537-41e0-8951-f5d0ff258743</x:v>
      </x:c>
      <x:c r="C2278" s="9" t="str">
        <x:v>OMV Petrom SA v Glencore International AG (Rev 1) [2016] EWCA Civ 778</x:v>
      </x:c>
      <x:c r="D2278" s="9" t="str"/>
      <x:c r="E2278" s="9" t="str"/>
      <x:c r="F2278" s="13" t="str">
        <x:v>2016</x:v>
      </x:c>
      <x:c r="G2278" s="9" t="str">
        <x:v>England and Wales Court of Appeal (Civil Division)</x:v>
      </x:c>
      <x:c r="H2278" s="9" t="str">
        <x:v>Court of Appeal (Civil Division)</x:v>
      </x:c>
      <x:c r="I2278" s="9" t="str">
        <x:v>England and Wales</x:v>
      </x:c>
      <x:c r="J2278" s="9" t="str">
        <x:v>Tort - Deceit / Fraud</x:v>
      </x:c>
      <x:c r="K2278" s="9" t="str">
        <x:v>-ew-cases-EWCA-Civ-2016-778.xml</x:v>
      </x:c>
      <x:c r="L2278" s="9" t="str">
        <x:v>TBA</x:v>
      </x:c>
    </x:row>
    <x:row r="2279">
      <x:c r="A2279" t="str">
        <x:v>e4242e2b-b16f-4928-bf13-1c2bc6eb4a3a</x:v>
      </x:c>
      <x:c r="B2279" t="str">
        <x:v>1e1f2245-dd9c-4a5a-b4a0-98c9113d4865</x:v>
      </x:c>
      <x:c r="C2279" s="9" t="str">
        <x:v>OMV Supply and Trading AG v Kazmunaygaz Trading AG [2014] EWCA Civ 75</x:v>
      </x:c>
      <x:c r="D2279" s="9" t="str"/>
      <x:c r="E2279" s="9" t="str"/>
      <x:c r="F2279" s="13" t="str">
        <x:v>2014</x:v>
      </x:c>
      <x:c r="G2279" s="9" t="str">
        <x:v>England and Wales Court of Appeal (Civil Division)</x:v>
      </x:c>
      <x:c r="H2279" s="9" t="str">
        <x:v>Appellate</x:v>
      </x:c>
      <x:c r="I2279" s="9" t="str">
        <x:v>England and Wales</x:v>
      </x:c>
      <x:c r="J2279" s="9" t="str">
        <x:v>Contract Dispute</x:v>
      </x:c>
      <x:c r="K2279" s="9" t="str">
        <x:v>-ew-cases-EWCA-Civ-2014-75.xml</x:v>
      </x:c>
      <x:c r="L2279" s="9" t="str">
        <x:v>TBA</x:v>
      </x:c>
    </x:row>
    <x:row r="2280">
      <x:c r="A2280" t="str">
        <x:v>97476d21-a7c6-4462-b053-c3f319a62765</x:v>
      </x:c>
      <x:c r="B2280" t="str">
        <x:v>13fa536f-96b4-41bb-961a-7a7d22417ae4</x:v>
      </x:c>
      <x:c r="C2280" s="9" t="str">
        <x:v>On Tower UK Ltd v JH &amp; FW Green Ltd [2021] EWCA Civ 1858</x:v>
      </x:c>
      <x:c r="D2280" s="9" t="str"/>
      <x:c r="E2280" s="9" t="str"/>
      <x:c r="F2280" s="13" t="str">
        <x:v>2021</x:v>
      </x:c>
      <x:c r="G2280" s="9" t="str">
        <x:v>England and Wales Court of Appeal (Civil Division)</x:v>
      </x:c>
      <x:c r="H2280" s="9" t="str">
        <x:v>Appellate</x:v>
      </x:c>
      <x:c r="I2280" s="9" t="str">
        <x:v>England and Wales</x:v>
      </x:c>
      <x:c r="J2280" s="9" t="str">
        <x:v>Administrative Law</x:v>
      </x:c>
      <x:c r="K2280" s="9" t="str">
        <x:v>ew-cases-EWCA-Civ-2021-1858.xml</x:v>
      </x:c>
      <x:c r="L2280" s="9" t="str">
        <x:v>TBA</x:v>
      </x:c>
    </x:row>
    <x:row r="2281">
      <x:c r="A2281" t="str">
        <x:v>e175404e-f122-4abf-973a-2f1b3f189d5d</x:v>
      </x:c>
      <x:c r="B2281" t="str">
        <x:v>284b98d6-8280-4ca9-b65c-9d1d257d9288</x:v>
      </x:c>
      <x:c r="C2281" s="9" t="str">
        <x:v>Onabule v Secretary of State for the Home Department</x:v>
      </x:c>
      <x:c r="D2281" s="9" t="str"/>
      <x:c r="E2281" s="9" t="str"/>
      <x:c r="F2281" s="13" t="str">
        <x:v>2015</x:v>
      </x:c>
      <x:c r="G2281" s="9" t="str">
        <x:v>England and Wales Court of Appeal (Civil Division)</x:v>
      </x:c>
      <x:c r="H2281" s="9" t="str">
        <x:v>Appellate</x:v>
      </x:c>
      <x:c r="I2281" s="9" t="str">
        <x:v>England and Wales</x:v>
      </x:c>
      <x:c r="J2281" s="9" t="str">
        <x:v>Immigration Law</x:v>
      </x:c>
      <x:c r="K2281" s="9" t="str">
        <x:v>-ew-cases-EWCA-Civ-2015-813.xml</x:v>
      </x:c>
      <x:c r="L2281" s="9" t="str">
        <x:v>TBA</x:v>
      </x:c>
    </x:row>
    <x:row r="2282">
      <x:c r="A2282" t="str">
        <x:v>8359cdd1-cc09-411d-8451-89184cf48007</x:v>
      </x:c>
      <x:c r="B2282" t="str">
        <x:v>d22af720-7b4a-4ac3-9593-71f56a8b309a</x:v>
      </x:c>
      <x:c r="C2282" s="9" t="str">
        <x:v>One Money Mail Ltd v RIA Financial Services &amp; Anor [2015] EWCA Civ 1084</x:v>
      </x:c>
      <x:c r="D2282" s="9" t="str"/>
      <x:c r="E2282" s="9" t="str"/>
      <x:c r="F2282" s="13" t="str">
        <x:v>2015</x:v>
      </x:c>
      <x:c r="G2282" s="9" t="str">
        <x:v>England and Wales Court of Appeal (Civil Division)</x:v>
      </x:c>
      <x:c r="H2282" s="9" t="str">
        <x:v>Appellate</x:v>
      </x:c>
      <x:c r="I2282" s="9" t="str">
        <x:v>England and Wales</x:v>
      </x:c>
      <x:c r="J2282" s="9" t="str">
        <x:v>Contract Dispute</x:v>
      </x:c>
      <x:c r="K2282" s="9" t="str">
        <x:v>-ew-cases-EWCA-Civ-2015-1084.xml</x:v>
      </x:c>
      <x:c r="L2282" s="9" t="str">
        <x:v>TBA</x:v>
      </x:c>
    </x:row>
    <x:row r="2283">
      <x:c r="A2283" t="str">
        <x:v>bdada862-45ca-4022-82ec-6d1158c416cf</x:v>
      </x:c>
      <x:c r="B2283" t="str">
        <x:v>70298313-fcc9-4421-96bd-d0631474c8b0</x:v>
      </x:c>
      <x:c r="C2283" s="9" t="str">
        <x:v>Ong &amp; Ors v Ping [2017] EWCA Civ 2069</x:v>
      </x:c>
      <x:c r="D2283" s="9" t="str"/>
      <x:c r="E2283" s="9" t="str"/>
      <x:c r="F2283" s="13" t="str">
        <x:v>2017</x:v>
      </x:c>
      <x:c r="G2283" s="9" t="str">
        <x:v>England and Wales Court of Appeal (Civil Division)</x:v>
      </x:c>
      <x:c r="H2283" s="9" t="str">
        <x:v>Appellate</x:v>
      </x:c>
      <x:c r="I2283" s="9" t="str">
        <x:v>England and Wales</x:v>
      </x:c>
      <x:c r="J2283" s="9" t="str">
        <x:v>Trust Law</x:v>
      </x:c>
      <x:c r="K2283" s="9" t="str">
        <x:v>-ew-cases-EWCA-Civ-2017-2069.xml</x:v>
      </x:c>
      <x:c r="L2283" s="9" t="str">
        <x:v>TBA</x:v>
      </x:c>
    </x:row>
    <x:row r="2284">
      <x:c r="A2284" t="str">
        <x:v>958c528f-042a-4725-96b3-1689d9a25337</x:v>
      </x:c>
      <x:c r="B2284" t="str">
        <x:v>9c5985b6-eaaf-4a06-86c8-f415cd027261</x:v>
      </x:c>
      <x:c r="C2284" s="9" t="str">
        <x:v>Onu v Akwiwu &amp; Anor [2014] EWCA Civ 279</x:v>
      </x:c>
      <x:c r="D2284" s="9" t="str"/>
      <x:c r="E2284" s="9" t="str"/>
      <x:c r="F2284" s="13" t="str">
        <x:v>2014</x:v>
      </x:c>
      <x:c r="G2284" s="9" t="str">
        <x:v>England and Wales Court of Appeal (Civil Division)</x:v>
      </x:c>
      <x:c r="H2284" s="9" t="str">
        <x:v>Appellate</x:v>
      </x:c>
      <x:c r="I2284" s="9" t="str">
        <x:v>England and Wales</x:v>
      </x:c>
      <x:c r="J2284" s="9" t="str">
        <x:v>Employment Law</x:v>
      </x:c>
      <x:c r="K2284" s="9" t="str">
        <x:v>-ew-cases-EWCA-Civ-2014-279.xml</x:v>
      </x:c>
      <x:c r="L2284" s="9" t="str">
        <x:v>TBA</x:v>
      </x:c>
    </x:row>
    <x:row r="2285">
      <x:c r="A2285" t="str">
        <x:v>3b562ad6-506a-4c88-877c-431a11408ef4</x:v>
      </x:c>
      <x:c r="B2285" t="str">
        <x:v>a7561b04-5f17-4a9f-b602-cfd7f288fba7</x:v>
      </x:c>
      <x:c r="C2285" s="9" t="str">
        <x:v>Onur Air Tasimacilik AS v Goldtrail Travel Ltd [2017] EWCA Civ 1830</x:v>
      </x:c>
      <x:c r="D2285" s="9" t="str"/>
      <x:c r="E2285" s="9" t="str"/>
      <x:c r="F2285" s="13" t="str">
        <x:v>2017</x:v>
      </x:c>
      <x:c r="G2285" s="9" t="str">
        <x:v>England and Wales Court of Appeal (Civil Division)</x:v>
      </x:c>
      <x:c r="H2285" s="9" t="str">
        <x:v>Appellate</x:v>
      </x:c>
      <x:c r="I2285" s="9" t="str">
        <x:v>England and Wales</x:v>
      </x:c>
      <x:c r="J2285" s="9" t="str">
        <x:v>Civil Appeal</x:v>
      </x:c>
      <x:c r="K2285" s="9" t="str">
        <x:v>-ew-cases-EWCA-Civ-2017-1830.xml</x:v>
      </x:c>
      <x:c r="L2285" s="9" t="str">
        <x:v>TBA</x:v>
      </x:c>
    </x:row>
    <x:row r="2286">
      <x:c r="A2286" t="str">
        <x:v>a6e5033e-cd56-40e5-81eb-b35a0e3fcd4c</x:v>
      </x:c>
      <x:c r="B2286" t="str">
        <x:v>5a0a2c83-9e30-42dd-ac6e-ecfc2e5e78e2</x:v>
      </x:c>
      <x:c r="C2286" s="9" t="str">
        <x:v>OO (Nigeria) &amp; Anor v Secretary of State for the Home Department [2015] EWCA Civ 1510</x:v>
      </x:c>
      <x:c r="D2286" s="9" t="str"/>
      <x:c r="E2286" s="9" t="str"/>
      <x:c r="F2286" s="13" t="str">
        <x:v>2015</x:v>
      </x:c>
      <x:c r="G2286" s="9" t="str">
        <x:v>England and Wales Court of Appeal (Civil Division)</x:v>
      </x:c>
      <x:c r="H2286" s="9" t="str">
        <x:v>Appellate</x:v>
      </x:c>
      <x:c r="I2286" s="9" t="str">
        <x:v>England and Wales</x:v>
      </x:c>
      <x:c r="J2286" s="9" t="str">
        <x:v>Immigration Law</x:v>
      </x:c>
      <x:c r="K2286" s="9" t="str">
        <x:v>-ew-cases-EWCA-Civ-2015-1510.xml</x:v>
      </x:c>
      <x:c r="L2286" s="9" t="str">
        <x:v>TBA</x:v>
      </x:c>
    </x:row>
    <x:row r="2287">
      <x:c r="A2287" t="str">
        <x:v>5faca806-e6d2-4f32-8e06-701164faf28d</x:v>
      </x:c>
      <x:c r="B2287" t="str">
        <x:v>d2959cb6-8628-41d2-8532-b6b6e7ae683e</x:v>
      </x:c>
      <x:c r="C2287" s="9" t="str">
        <x:v>OO (Nigeria), R (on the application of) v Secretary of State for the Home Department</x:v>
      </x:c>
      <x:c r="D2287" s="9" t="str"/>
      <x:c r="E2287" s="9" t="str"/>
      <x:c r="F2287" s="13" t="str">
        <x:v>2017</x:v>
      </x:c>
      <x:c r="G2287" s="9" t="str">
        <x:v>England and Wales Court of Appeal (Civil Division)</x:v>
      </x:c>
      <x:c r="H2287" s="9" t="str">
        <x:v>Appellate</x:v>
      </x:c>
      <x:c r="I2287" s="9" t="str">
        <x:v>England and Wales</x:v>
      </x:c>
      <x:c r="J2287" s="9" t="str">
        <x:v>Immigration</x:v>
      </x:c>
      <x:c r="K2287" s="9" t="str">
        <x:v>-ew-cases-EWCA-Civ-2017-338.xml</x:v>
      </x:c>
      <x:c r="L2287" s="9" t="str">
        <x:v>TBA</x:v>
      </x:c>
    </x:row>
    <x:row r="2288">
      <x:c r="A2288" t="str">
        <x:v>05382f45-e0a2-4448-9da8-05e16402223f</x:v>
      </x:c>
      <x:c r="B2288" t="str">
        <x:v>5625f8b5-22c9-48ba-895c-2aa4f9467a9d</x:v>
      </x:c>
      <x:c r="C2288" s="9" t="str">
        <x:v>Open Rights Group &amp; Anor v Secretary of State for the Home Department &amp; Anor</x:v>
      </x:c>
      <x:c r="D2288" s="9" t="str"/>
      <x:c r="E2288" s="9" t="str"/>
      <x:c r="F2288" s="13" t="str">
        <x:v>2021</x:v>
      </x:c>
      <x:c r="G2288" s="9" t="str">
        <x:v>England and Wales Court of Appeal (Civil Division)</x:v>
      </x:c>
      <x:c r="H2288" s="9" t="str">
        <x:v>Appellate</x:v>
      </x:c>
      <x:c r="I2288" s="9" t="str">
        <x:v>England and Wales</x:v>
      </x:c>
      <x:c r="J2288" s="9" t="str">
        <x:v>Administrative Law</x:v>
      </x:c>
      <x:c r="K2288" s="9" t="str">
        <x:v>ew-cases-EWCA-Civ-2021-1573.xml</x:v>
      </x:c>
      <x:c r="L2288" s="9" t="str">
        <x:v>TBA</x:v>
      </x:c>
    </x:row>
    <x:row r="2289">
      <x:c r="A2289" t="str">
        <x:v>4bcf45a7-3c36-474e-8145-0773b3031566</x:v>
      </x:c>
      <x:c r="B2289" t="str">
        <x:v>abb8d556-371d-4ea8-b44e-8c44d24ed0e0</x:v>
      </x:c>
      <x:c r="C2289" s="9" t="str">
        <x:v>Open Spaces Society v Secretary of State for Environment, Food and Rural Affairs</x:v>
      </x:c>
      <x:c r="D2289" s="9" t="str"/>
      <x:c r="E2289" s="9" t="str"/>
      <x:c r="F2289" s="13" t="str">
        <x:v>2021</x:v>
      </x:c>
      <x:c r="G2289" s="9" t="str">
        <x:v>England and Wales Court of Appeal (Civil Division)</x:v>
      </x:c>
      <x:c r="H2289" s="9" t="str">
        <x:v>Appellate</x:v>
      </x:c>
      <x:c r="I2289" s="9" t="str">
        <x:v>England and Wales</x:v>
      </x:c>
      <x:c r="J2289" s="9" t="str">
        <x:v>Administrative Law</x:v>
      </x:c>
      <x:c r="K2289" s="9" t="str">
        <x:v>ew-cases-EWCA-Civ-2021-241.xml</x:v>
      </x:c>
      <x:c r="L2289" s="9" t="str">
        <x:v>TBA</x:v>
      </x:c>
    </x:row>
    <x:row r="2290">
      <x:c r="A2290" t="str">
        <x:v>da790c5a-7504-4fa1-981a-dca80799976b</x:v>
      </x:c>
      <x:c r="B2290" t="str">
        <x:v>3dcf6832-78fc-4a5c-892c-4f08b778e217</x:v>
      </x:c>
      <x:c r="C2290" s="9" t="str">
        <x:v>OPO v MLA &amp; Anor [2014] EWCA Civ 1277</x:v>
      </x:c>
      <x:c r="D2290" s="9" t="str"/>
      <x:c r="E2290" s="9" t="str"/>
      <x:c r="F2290" s="13" t="str">
        <x:v>2014</x:v>
      </x:c>
      <x:c r="G2290" s="9" t="str">
        <x:v>England and Wales Court of Appeal (Civil Division)</x:v>
      </x:c>
      <x:c r="H2290" s="9" t="str">
        <x:v>Appellate</x:v>
      </x:c>
      <x:c r="I2290" s="9" t="str">
        <x:v>England and Wales</x:v>
      </x:c>
      <x:c r="J2290" s="9" t="str">
        <x:v>Injunction</x:v>
      </x:c>
      <x:c r="K2290" s="9" t="str">
        <x:v>-ew-cases-EWCA-Civ-2014-1277.xml</x:v>
      </x:c>
      <x:c r="L2290" s="9" t="str">
        <x:v>TBA</x:v>
      </x:c>
    </x:row>
    <x:row r="2291">
      <x:c r="A2291" t="str">
        <x:v>2f9de265-a05e-4031-9fc7-17cec51ef360</x:v>
      </x:c>
      <x:c r="B2291" t="str">
        <x:v>5ac33708-68f7-450c-a622-c023257aa2c9</x:v>
      </x:c>
      <x:c r="C2291" s="9" t="str">
        <x:v>Optaglio Ltd v Tethal &amp; Anor [2015] EWCA Civ 1002</x:v>
      </x:c>
      <x:c r="D2291" s="9" t="str"/>
      <x:c r="E2291" s="9" t="str"/>
      <x:c r="F2291" s="13" t="str">
        <x:v>2015</x:v>
      </x:c>
      <x:c r="G2291" s="9" t="str">
        <x:v>England and Wales Court of Appeal (Civil Division)</x:v>
      </x:c>
      <x:c r="H2291" s="9" t="str">
        <x:v>Appellate</x:v>
      </x:c>
      <x:c r="I2291" s="9" t="str">
        <x:v>England and Wales</x:v>
      </x:c>
      <x:c r="J2291" s="9" t="str">
        <x:v>Corporate Governance</x:v>
      </x:c>
      <x:c r="K2291" s="9" t="str">
        <x:v>-ew-cases-EWCA-Civ-2015-1002.xml</x:v>
      </x:c>
      <x:c r="L2291" s="9" t="str">
        <x:v>TBA</x:v>
      </x:c>
    </x:row>
    <x:row r="2292">
      <x:c r="A2292" t="str">
        <x:v>cfb34907-e15f-4cac-8eab-dde4b9af4aea</x:v>
      </x:c>
      <x:c r="B2292" t="str">
        <x:v>df131dd9-a363-4ffe-8782-01767cbb4625</x:v>
      </x:c>
      <x:c r="C2292" s="9" t="str">
        <x:v>Optis Cellular Technology LLC &amp; Ors v Apple Retail UK Limited &amp; Ors [2022] EWCA Civ 792</x:v>
      </x:c>
      <x:c r="D2292" s="9" t="str"/>
      <x:c r="E2292" s="9" t="str"/>
      <x:c r="F2292" s="13" t="str">
        <x:v>2022</x:v>
      </x:c>
      <x:c r="G2292" s="9" t="str">
        <x:v>England and Wales Court of Appeal (Civil Division)</x:v>
      </x:c>
      <x:c r="H2292" s="9" t="str">
        <x:v>Court of Appeal (Civil Division)</x:v>
      </x:c>
      <x:c r="I2292" s="9" t="str">
        <x:v>England and Wales</x:v>
      </x:c>
      <x:c r="J2292" s="9" t="str">
        <x:v>Intellectual Property - Patent (Validity/Novelty) in the FRAND/SEP context</x:v>
      </x:c>
      <x:c r="K2292" s="9" t="str">
        <x:v>ew-cases-EWCA-Civ-2022-792.xml</x:v>
      </x:c>
      <x:c r="L2292" s="9" t="str">
        <x:v>TBA</x:v>
      </x:c>
    </x:row>
    <x:row r="2293">
      <x:c r="A2293" t="str">
        <x:v>d8af9d48-c023-4390-b05a-1e2dddb21c93</x:v>
      </x:c>
      <x:c r="B2293" t="str">
        <x:v>ad1cef65-0dd2-4f97-9a83-3d5cc490c310</x:v>
      </x:c>
      <x:c r="C2293" s="9" t="str">
        <x:v>Optis Cellular Technology LLC &amp; Ors v Apple Retail UK Ltd &amp; Ors</x:v>
      </x:c>
      <x:c r="D2293" s="9" t="str"/>
      <x:c r="E2293" s="9" t="str"/>
      <x:c r="F2293" s="13" t="str">
        <x:v>2021</x:v>
      </x:c>
      <x:c r="G2293" s="9" t="str">
        <x:v>England and Wales Court of Appeal (Civil Division)</x:v>
      </x:c>
      <x:c r="H2293" s="9" t="str">
        <x:v>Appellate</x:v>
      </x:c>
      <x:c r="I2293" s="9" t="str">
        <x:v>England and Wales</x:v>
      </x:c>
      <x:c r="J2293" s="9" t="str">
        <x:v>Intellectual Property</x:v>
      </x:c>
      <x:c r="K2293" s="9" t="str">
        <x:v>ew-cases-EWCA-Civ-2021-1619.xml</x:v>
      </x:c>
      <x:c r="L2293" s="9" t="str">
        <x:v>TBA</x:v>
      </x:c>
    </x:row>
    <x:row r="2294">
      <x:c r="A2294" t="str">
        <x:v>444bd4df-42bd-469f-ab00-61b3c6d7d5ab</x:v>
      </x:c>
      <x:c r="B2294" t="str">
        <x:v>5484c0b3-68e5-4332-8ca9-7879a400b8de</x:v>
      </x:c>
      <x:c r="C2294" s="9" t="str">
        <x:v>Optis Cellular Technology LLC &amp; Ors v Apple Retail UK Ltd &amp; Ors [2022] EWCA Civ 1411</x:v>
      </x:c>
      <x:c r="D2294" s="9" t="str"/>
      <x:c r="E2294" s="9" t="str"/>
      <x:c r="F2294" s="13" t="str">
        <x:v>2022</x:v>
      </x:c>
      <x:c r="G2294" s="9" t="str">
        <x:v>England and Wales Court of Appeal (Civil Division)</x:v>
      </x:c>
      <x:c r="H2294" s="9" t="str">
        <x:v>Court of Appeal (Civil Division)</x:v>
      </x:c>
      <x:c r="I2294" s="9" t="str">
        <x:v>England and Wales</x:v>
      </x:c>
      <x:c r="J2294" s="9" t="str">
        <x:v>Intellectual Property; Patent; FRAND; SEP; Standard-setting; Contract law; Competition law</x:v>
      </x:c>
      <x:c r="K2294" s="9" t="str">
        <x:v>ew-cases-EWCA-Civ-2022-1411.xml</x:v>
      </x:c>
      <x:c r="L2294" s="9" t="str">
        <x:v>TBA</x:v>
      </x:c>
    </x:row>
    <x:row r="2295">
      <x:c r="A2295" t="str">
        <x:v>93f880aa-d00a-4fe0-88af-a15ce1fb9fc5</x:v>
      </x:c>
      <x:c r="B2295" t="str">
        <x:v>466ad3d5-2323-4234-9361-33c5f1c8d976</x:v>
      </x:c>
      <x:c r="C2295" s="9" t="str">
        <x:v>Optis Cellular Technology LLC &amp; Ors v Apple Retail UK Ltd &amp; Ors [2023] EWCA Civ 758</x:v>
      </x:c>
      <x:c r="D2295" s="9" t="str"/>
      <x:c r="E2295" s="9" t="str"/>
      <x:c r="F2295" s="13" t="str">
        <x:v>2023</x:v>
      </x:c>
      <x:c r="G2295" s="9" t="str">
        <x:v>England and Wales Court of Appeal (Civil Division)</x:v>
      </x:c>
      <x:c r="H2295" s="9" t="str">
        <x:v>Court of Appeal (Civil Division)</x:v>
      </x:c>
      <x:c r="I2295" s="9" t="str">
        <x:v>England and Wales</x:v>
      </x:c>
      <x:c r="J2295" s="9" t="str">
        <x:v>Intellectual Property - Patent</x:v>
      </x:c>
      <x:c r="K2295" s="9" t="str">
        <x:v>ew-cases-EWCA-Civ-2023-758.xml</x:v>
      </x:c>
      <x:c r="L2295" s="9" t="str">
        <x:v>TBA</x:v>
      </x:c>
    </x:row>
    <x:row r="2296">
      <x:c r="A2296" t="str">
        <x:v>56af1f74-56b8-4348-8623-5aa8fa51f6f8</x:v>
      </x:c>
      <x:c r="B2296" t="str">
        <x:v>ce8d542e-c788-49dc-95c2-e97c961e144e</x:v>
      </x:c>
      <x:c r="C2296" s="9" t="str">
        <x:v>Optis Cellular Technology LLC et al v Apple Retail UK Ltd et al [2023] EWCA Civ 438</x:v>
      </x:c>
      <x:c r="D2296" s="9" t="str"/>
      <x:c r="E2296" s="9" t="str"/>
      <x:c r="F2296" s="13" t="str">
        <x:v>2023</x:v>
      </x:c>
      <x:c r="G2296" s="9" t="str">
        <x:v>England and Wales Court of Appeal (Civil Division)</x:v>
      </x:c>
      <x:c r="H2296" s="9" t="str">
        <x:v>Court of Appeal (Civil Division)</x:v>
      </x:c>
      <x:c r="I2296" s="9" t="str">
        <x:v>England and Wales</x:v>
      </x:c>
      <x:c r="J2296" s="9" t="str">
        <x:v>Patent – FRAND/Intellectual Property</x:v>
      </x:c>
      <x:c r="K2296" s="9" t="str">
        <x:v>ew-cases-EWCA-Civ-2023-438.xml</x:v>
      </x:c>
      <x:c r="L2296" s="9" t="str">
        <x:v>TBA</x:v>
      </x:c>
    </x:row>
    <x:row r="2297">
      <x:c r="A2297" t="str">
        <x:v>dd085758-e817-47cf-b717-d05206a2164a</x:v>
      </x:c>
      <x:c r="B2297" t="str">
        <x:v>75f753fe-181e-49b8-9f1a-30b5e631e3ec</x:v>
      </x:c>
      <x:c r="C2297" s="9" t="str">
        <x:v>Oraki &amp; Anor v Bramston &amp; Anor [2017] EWCA Civ 403</x:v>
      </x:c>
      <x:c r="D2297" s="9" t="str"/>
      <x:c r="E2297" s="9" t="str"/>
      <x:c r="F2297" s="13" t="str">
        <x:v>2017</x:v>
      </x:c>
      <x:c r="G2297" s="9" t="str">
        <x:v>England and Wales Court of Appeal (Civil Division)</x:v>
      </x:c>
      <x:c r="H2297" s="9" t="str">
        <x:v>Appellate</x:v>
      </x:c>
      <x:c r="I2297" s="9" t="str">
        <x:v>England and Wales</x:v>
      </x:c>
      <x:c r="J2297" s="9" t="str">
        <x:v>Bankruptcy Law</x:v>
      </x:c>
      <x:c r="K2297" s="9" t="str">
        <x:v>-ew-cases-EWCA-Civ-2017-403.xml</x:v>
      </x:c>
      <x:c r="L2297" s="9" t="str">
        <x:v>TBA</x:v>
      </x:c>
    </x:row>
    <x:row r="2298">
      <x:c r="A2298" t="str">
        <x:v>c22e2707-b3d3-4901-8837-6672d98c3a91</x:v>
      </x:c>
      <x:c r="B2298" t="str">
        <x:v>60add444-dcf6-4605-bcdf-39989239b8ed</x:v>
      </x:c>
      <x:c r="C2298" s="9" t="str">
        <x:v>Oredugba v Secretary of State for the Home Department [2014] EWCA Civ 702</x:v>
      </x:c>
      <x:c r="D2298" s="9" t="str"/>
      <x:c r="E2298" s="9" t="str"/>
      <x:c r="F2298" s="13" t="str">
        <x:v>2014</x:v>
      </x:c>
      <x:c r="G2298" s="9" t="str">
        <x:v>England and Wales Court of Appeal (Civil Division)</x:v>
      </x:c>
      <x:c r="H2298" s="9" t="str">
        <x:v>Appellate</x:v>
      </x:c>
      <x:c r="I2298" s="9" t="str">
        <x:v>England and Wales</x:v>
      </x:c>
      <x:c r="J2298" s="9" t="str">
        <x:v>Immigration Law</x:v>
      </x:c>
      <x:c r="K2298" s="9" t="str">
        <x:v>-ew-cases-EWCA-Civ-2014-702.xml</x:v>
      </x:c>
      <x:c r="L2298" s="9" t="str">
        <x:v>TBA</x:v>
      </x:c>
    </x:row>
    <x:row r="2299">
      <x:c r="A2299" t="str">
        <x:v>eadebf03-bb2c-4d72-aaf5-f4bf6825fd10</x:v>
      </x:c>
      <x:c r="B2299" t="str">
        <x:v>ab4da4b0-f2a2-4d27-9757-dd8b98b5c0d4</x:v>
      </x:c>
      <x:c r="C2299" s="9" t="str">
        <x:v>Orientfield Holdings Ltd v Bird &amp; Bird LLP [2017] EWCA Civ 348</x:v>
      </x:c>
      <x:c r="D2299" s="9" t="str"/>
      <x:c r="E2299" s="9" t="str"/>
      <x:c r="F2299" s="13" t="str">
        <x:v>2017</x:v>
      </x:c>
      <x:c r="G2299" s="9" t="str">
        <x:v>England and Wales Court of Appeal (Civil Division)</x:v>
      </x:c>
      <x:c r="H2299" s="9" t="str">
        <x:v>Appellate</x:v>
      </x:c>
      <x:c r="I2299" s="9" t="str">
        <x:v>England and Wales</x:v>
      </x:c>
      <x:c r="J2299" s="9" t="str">
        <x:v>Negligence</x:v>
      </x:c>
      <x:c r="K2299" s="9" t="str">
        <x:v>-ew-cases-EWCA-Civ-2017-348.xml</x:v>
      </x:c>
      <x:c r="L2299" s="9" t="str">
        <x:v>TBA</x:v>
      </x:c>
    </x:row>
    <x:row r="2300">
      <x:c r="A2300" t="str">
        <x:v>5cc7bcfd-5ded-452c-aabb-0c7e70890f6d</x:v>
      </x:c>
      <x:c r="B2300" t="str">
        <x:v>b8bee572-24a8-42b4-a131-4b449ca14f7b</x:v>
      </x:c>
      <x:c r="C2300" s="9" t="str">
        <x:v>OS (Nigeria) v Secretary of State for the Home Department [2015] EWCA Civ 625</x:v>
      </x:c>
      <x:c r="D2300" s="9" t="str"/>
      <x:c r="E2300" s="9" t="str"/>
      <x:c r="F2300" s="13" t="str">
        <x:v>2015</x:v>
      </x:c>
      <x:c r="G2300" s="9" t="str">
        <x:v>England and Wales Court of Appeal (Civil Division)</x:v>
      </x:c>
      <x:c r="H2300" s="9" t="str">
        <x:v>Appellate</x:v>
      </x:c>
      <x:c r="I2300" s="9" t="str">
        <x:v>England and Wales</x:v>
      </x:c>
      <x:c r="J2300" s="9" t="str">
        <x:v>Immigration Law</x:v>
      </x:c>
      <x:c r="K2300" s="9" t="str">
        <x:v>-ew-cases-EWCA-Civ-2015-625.xml</x:v>
      </x:c>
      <x:c r="L2300" s="9" t="str">
        <x:v>TBA</x:v>
      </x:c>
    </x:row>
    <x:row r="2301">
      <x:c r="A2301" t="str">
        <x:v>25b0e82b-3035-4481-be81-3fdeada275c2</x:v>
      </x:c>
      <x:c r="B2301" t="str">
        <x:v>0ab04abc-298d-49dd-a566-34253a50979d</x:v>
      </x:c>
      <x:c r="C2301" s="9" t="str">
        <x:v>OT Computers Ltd v Infineon Technologies AG &amp; Anor</x:v>
      </x:c>
      <x:c r="D2301" s="9" t="str"/>
      <x:c r="E2301" s="9" t="str"/>
      <x:c r="F2301" s="13" t="str">
        <x:v>2021</x:v>
      </x:c>
      <x:c r="G2301" s="9" t="str">
        <x:v>England and Wales Court of Appeal (Civil Division)</x:v>
      </x:c>
      <x:c r="H2301" s="9" t="str">
        <x:v>Appellate</x:v>
      </x:c>
      <x:c r="I2301" s="9" t="str">
        <x:v>England and Wales</x:v>
      </x:c>
      <x:c r="J2301" s="9" t="str">
        <x:v>Commercial Law</x:v>
      </x:c>
      <x:c r="K2301" s="9" t="str">
        <x:v>ew-cases-EWCA-Civ-2021-501.xml</x:v>
      </x:c>
      <x:c r="L2301" s="9" t="str">
        <x:v>TBA</x:v>
      </x:c>
    </x:row>
    <x:row r="2302">
      <x:c r="A2302" t="str">
        <x:v>3d03f2df-94a8-4c7c-9c60-d08c37a68850</x:v>
      </x:c>
      <x:c r="B2302" t="str">
        <x:v>65f3d140-3207-4d6e-a79b-9d11b977f84a</x:v>
      </x:c>
      <x:c r="C2302" s="9" t="str">
        <x:v>Otkritie Capital International Ltd &amp; Anor v Threadneedle Asset Management Ltd &amp; Anor [2017] EWCA Civ 274</x:v>
      </x:c>
      <x:c r="D2302" s="9" t="str"/>
      <x:c r="E2302" s="9" t="str"/>
      <x:c r="F2302" s="13" t="str">
        <x:v>2017</x:v>
      </x:c>
      <x:c r="G2302" s="9" t="str">
        <x:v>England and Wales Court of Appeal (Civil Division)</x:v>
      </x:c>
      <x:c r="H2302" s="9" t="str">
        <x:v>Appellate</x:v>
      </x:c>
      <x:c r="I2302" s="9" t="str">
        <x:v>England and Wales</x:v>
      </x:c>
      <x:c r="J2302" s="9" t="str">
        <x:v>Civil Appeals</x:v>
      </x:c>
      <x:c r="K2302" s="9" t="str">
        <x:v>-ew-cases-EWCA-Civ-2017-274.xml</x:v>
      </x:c>
      <x:c r="L2302" s="9" t="str">
        <x:v>TBA</x:v>
      </x:c>
    </x:row>
    <x:row r="2303">
      <x:c r="A2303" t="str">
        <x:v>4b4338bd-2ba8-4bca-b203-a8baba67242e</x:v>
      </x:c>
      <x:c r="B2303" t="str">
        <x:v>c5d12590-523b-47e6-aafb-4b3476fdda23</x:v>
      </x:c>
      <x:c r="C2303" s="9" t="str">
        <x:v>Otkritie International Investment Management Ltd &amp; Ors v Jemai [2016] EWCA Civ 1316</x:v>
      </x:c>
      <x:c r="D2303" s="9" t="str"/>
      <x:c r="E2303" s="9" t="str"/>
      <x:c r="F2303" s="13" t="str">
        <x:v>2016</x:v>
      </x:c>
      <x:c r="G2303" s="9" t="str">
        <x:v>England and Wales Court of Appeal (Civil Division)</x:v>
      </x:c>
      <x:c r="H2303" s="9" t="str">
        <x:v>Court of Appeal (Civil Division)</x:v>
      </x:c>
      <x:c r="I2303" s="9" t="str">
        <x:v>England and Wales</x:v>
      </x:c>
      <x:c r="J2303" s="9" t="str">
        <x:v>Civil Procedure / Contempt of Court / Fraud and Money Laundering</x:v>
      </x:c>
      <x:c r="K2303" s="9" t="str">
        <x:v>-ew-cases-EWCA-Civ-2016-1316.xml</x:v>
      </x:c>
      <x:c r="L2303" s="9" t="str">
        <x:v>TBA</x:v>
      </x:c>
    </x:row>
    <x:row r="2304">
      <x:c r="A2304" t="str">
        <x:v>c1dadd94-96b5-49ce-850e-38e0b4cd19e6</x:v>
      </x:c>
      <x:c r="B2304" t="str">
        <x:v>67c4a127-f5b3-4a14-a75d-d23aa5298ac2</x:v>
      </x:c>
      <x:c r="C2304" s="9" t="str">
        <x:v>Otkritie International Investment Management Ltd &amp; Ors v Urumov [2014] EWCA Civ 1315</x:v>
      </x:c>
      <x:c r="D2304" s="9" t="str"/>
      <x:c r="E2304" s="9" t="str"/>
      <x:c r="F2304" s="13" t="str">
        <x:v>2014</x:v>
      </x:c>
      <x:c r="G2304" s="9" t="str">
        <x:v>England and Wales Court of Appeal (Civil Division)</x:v>
      </x:c>
      <x:c r="H2304" s="9" t="str">
        <x:v>Appellate</x:v>
      </x:c>
      <x:c r="I2304" s="9" t="str">
        <x:v>England and Wales</x:v>
      </x:c>
      <x:c r="J2304" s="9" t="str">
        <x:v>Judicial Review</x:v>
      </x:c>
      <x:c r="K2304" s="9" t="str">
        <x:v>-ew-cases-EWCA-Civ-2014-1315.xml</x:v>
      </x:c>
      <x:c r="L2304" s="9" t="str">
        <x:v>TBA</x:v>
      </x:c>
    </x:row>
    <x:row r="2305">
      <x:c r="A2305" t="str">
        <x:v>13010727-838a-417b-a10b-d6d7f66aafcb</x:v>
      </x:c>
      <x:c r="B2305" t="str">
        <x:v>474a1b84-4c02-42dc-802b-17c05de119f6</x:v>
      </x:c>
      <x:c r="C2305" s="9" t="str">
        <x:v>Otkritie International Investment Management Ltd &amp; Ors v Urumov &amp; Ors [2015] EWCA Civ 1578</x:v>
      </x:c>
      <x:c r="D2305" s="9" t="str"/>
      <x:c r="E2305" s="9" t="str"/>
      <x:c r="F2305" s="13" t="str">
        <x:v>2015</x:v>
      </x:c>
      <x:c r="G2305" s="9" t="str">
        <x:v>England and Wales Court of Appeal (Civil Division)</x:v>
      </x:c>
      <x:c r="H2305" s="9" t="str">
        <x:v>appellate</x:v>
      </x:c>
      <x:c r="I2305" s="9" t="str">
        <x:v>England and Wales</x:v>
      </x:c>
      <x:c r="J2305" s="9" t="str">
        <x:v>Appeal</x:v>
      </x:c>
      <x:c r="K2305" s="9" t="str">
        <x:v>-ew-cases-EWCA-Civ-2015-1578.xml</x:v>
      </x:c>
      <x:c r="L2305" s="9" t="str">
        <x:v>TBA</x:v>
      </x:c>
    </x:row>
    <x:row r="2306">
      <x:c r="A2306" t="str">
        <x:v>f955034a-a3ab-4f82-8b2a-996d32e17204</x:v>
      </x:c>
      <x:c r="B2306" t="str">
        <x:v>e8a60619-7b5a-4866-8f5c-645737c2e3f2</x:v>
      </x:c>
      <x:c r="C2306" s="9" t="str">
        <x:v>Otobor v Croydon College &amp; Ors [2015] EWCA Civ 1217</x:v>
      </x:c>
      <x:c r="D2306" s="9" t="str"/>
      <x:c r="E2306" s="9" t="str"/>
      <x:c r="F2306" s="13" t="str">
        <x:v>2015</x:v>
      </x:c>
      <x:c r="G2306" s="9" t="str">
        <x:v>England and Wales Court of Appeal (Civil Division)</x:v>
      </x:c>
      <x:c r="H2306" s="9" t="str">
        <x:v>Appellate</x:v>
      </x:c>
      <x:c r="I2306" s="9" t="str">
        <x:v>England and Wales</x:v>
      </x:c>
      <x:c r="J2306" s="9" t="str">
        <x:v>Employment Law</x:v>
      </x:c>
      <x:c r="K2306" s="9" t="str">
        <x:v>-ew-cases-EWCA-Civ-2015-1217.xml</x:v>
      </x:c>
      <x:c r="L2306" s="9" t="str">
        <x:v>TBA</x:v>
      </x:c>
    </x:row>
    <x:row r="2307">
      <x:c r="A2307" t="str">
        <x:v>fcabd4e3-65b9-4b02-9d7c-408bcba45a12</x:v>
      </x:c>
      <x:c r="B2307" t="str">
        <x:v>6522b240-8520-425a-95f2-66fbd44c2a44</x:v>
      </x:c>
      <x:c r="C2307" s="9" t="str">
        <x:v>Otuo v Brierley [2015] EWCA Civ 1143</x:v>
      </x:c>
      <x:c r="D2307" s="9" t="str"/>
      <x:c r="E2307" s="9" t="str"/>
      <x:c r="F2307" s="13" t="str">
        <x:v>2015</x:v>
      </x:c>
      <x:c r="G2307" s="9" t="str">
        <x:v>England and Wales Court of Appeal (Civil Division)</x:v>
      </x:c>
      <x:c r="H2307" s="9" t="str">
        <x:v>Appellate</x:v>
      </x:c>
      <x:c r="I2307" s="9" t="str">
        <x:v>England and Wales</x:v>
      </x:c>
      <x:c r="J2307" s="9" t="str">
        <x:v>Civil Law</x:v>
      </x:c>
      <x:c r="K2307" s="9" t="str">
        <x:v>-ew-cases-EWCA-Civ-2015-1143.xml</x:v>
      </x:c>
      <x:c r="L2307" s="9" t="str">
        <x:v>TBA</x:v>
      </x:c>
    </x:row>
    <x:row r="2308">
      <x:c r="A2308" t="str">
        <x:v>2921c7f5-a71e-4c1a-b83e-689e27869229</x:v>
      </x:c>
      <x:c r="B2308" t="str">
        <x:v>9a8fdbfd-c087-4d4c-bba5-60494f7b9ee6</x:v>
      </x:c>
      <x:c r="C2308" s="9" t="str">
        <x:v>Otuo v Watchtower Bible and Tract Society of Britain [2017] EWCA Civ 136</x:v>
      </x:c>
      <x:c r="D2308" s="9" t="str"/>
      <x:c r="E2308" s="9" t="str"/>
      <x:c r="F2308" s="13" t="str">
        <x:v>2017</x:v>
      </x:c>
      <x:c r="G2308" s="9" t="str">
        <x:v>England and Wales Court of Appeal (Civil Division)</x:v>
      </x:c>
      <x:c r="H2308" s="9" t="str">
        <x:v>appellate</x:v>
      </x:c>
      <x:c r="I2308" s="9" t="str">
        <x:v>England and Wales</x:v>
      </x:c>
      <x:c r="J2308" s="9" t="str">
        <x:v>Defamation</x:v>
      </x:c>
      <x:c r="K2308" s="9" t="str">
        <x:v>-ew-cases-EWCA-Civ-2017-136.xml</x:v>
      </x:c>
      <x:c r="L2308" s="9" t="str">
        <x:v>TBA</x:v>
      </x:c>
    </x:row>
    <x:row r="2309">
      <x:c r="A2309" t="str">
        <x:v>3de88e5c-382e-4799-8fcf-60c5006d539a</x:v>
      </x:c>
      <x:c r="B2309" t="str">
        <x:v>c7f00cc9-eed8-47a2-a7d5-442f9823ccd7</x:v>
      </x:c>
      <x:c r="C2309" s="9" t="str">
        <x:v>Owen v Black Horse Limited [2023] EWCA Civ 325</x:v>
      </x:c>
      <x:c r="D2309" s="9" t="str"/>
      <x:c r="E2309" s="9" t="str"/>
      <x:c r="F2309" s="13" t="str">
        <x:v>2023</x:v>
      </x:c>
      <x:c r="G2309" s="9" t="str">
        <x:v>England and Wales Court of Appeal (Civil Division)</x:v>
      </x:c>
      <x:c r="H2309" s="9" t="str">
        <x:v>Court of Appeal (Civil Division)</x:v>
      </x:c>
      <x:c r="I2309" s="9" t="str">
        <x:v>England and Wales</x:v>
      </x:c>
      <x:c r="J2309" s="9" t="str">
        <x:v>Procedural Law - Civil Procedure; Small Claims</x:v>
      </x:c>
      <x:c r="K2309" s="9" t="str">
        <x:v>ew-cases-EWCA-Civ-2023-325.xml</x:v>
      </x:c>
      <x:c r="L2309" s="9" t="str">
        <x:v>TBA</x:v>
      </x:c>
    </x:row>
    <x:row r="2310">
      <x:c r="A2310" t="str">
        <x:v>38405439-42a3-4182-9a68-f3b22a814aea</x:v>
      </x:c>
      <x:c r="B2310" t="str">
        <x:v>b9fffa64-aaf1-4790-b5ab-11594e6142de</x:v>
      </x:c>
      <x:c r="C2310" s="9" t="str">
        <x:v>Owens v Owens [2017] EWCA Civ 182</x:v>
      </x:c>
      <x:c r="D2310" s="9" t="str"/>
      <x:c r="E2310" s="9" t="str"/>
      <x:c r="F2310" s="13" t="str">
        <x:v>2017</x:v>
      </x:c>
      <x:c r="G2310" s="9" t="str">
        <x:v>England and Wales Court of Appeal (Civil Division)</x:v>
      </x:c>
      <x:c r="H2310" s="9" t="str">
        <x:v>Appellate</x:v>
      </x:c>
      <x:c r="I2310" s="9" t="str">
        <x:v>England and Wales</x:v>
      </x:c>
      <x:c r="J2310" s="9" t="str">
        <x:v>Family Law</x:v>
      </x:c>
      <x:c r="K2310" s="9" t="str">
        <x:v>-ew-cases-EWCA-Civ-2017-182.xml</x:v>
      </x:c>
      <x:c r="L2310" s="9" t="str">
        <x:v>TBA</x:v>
      </x:c>
    </x:row>
    <x:row r="2311">
      <x:c r="A2311" t="str">
        <x:v>4d2eac7f-e2db-4121-b025-4483c2431da0</x:v>
      </x:c>
      <x:c r="B2311" t="str">
        <x:v>1e7c38d0-8e84-475b-928b-c9c1728e9504</x:v>
      </x:c>
      <x:c r="C2311" s="9" t="str">
        <x:v>Oxted Residential Limited v Tandridge District Council [2016] EWCA Civ 414</x:v>
      </x:c>
      <x:c r="D2311" s="9" t="str"/>
      <x:c r="E2311" s="9" t="str"/>
      <x:c r="F2311" s="13" t="str">
        <x:v>2016</x:v>
      </x:c>
      <x:c r="G2311" s="9" t="str">
        <x:v>England and Wales Court of Appeal (Civil Division)</x:v>
      </x:c>
      <x:c r="H2311" s="9" t="str">
        <x:v>Court of Appeal</x:v>
      </x:c>
      <x:c r="I2311" s="9" t="str">
        <x:v>England and Wales</x:v>
      </x:c>
      <x:c r="J2311" s="9" t="str">
        <x:v>Planning Law / Administrative Law</x:v>
      </x:c>
      <x:c r="K2311" s="9" t="str">
        <x:v>-ew-cases-EWCA-Civ-2016-414.xml</x:v>
      </x:c>
      <x:c r="L2311" s="9" t="str">
        <x:v>TBA</x:v>
      </x:c>
    </x:row>
    <x:row r="2312">
      <x:c r="A2312" t="str">
        <x:v>85ac1001-1df2-42e2-98c7-f8fc2f859332</x:v>
      </x:c>
      <x:c r="B2312" t="str">
        <x:v>9af0d278-a161-4733-9a48-7b8d787a2a2d</x:v>
      </x:c>
      <x:c r="C2312" s="9" t="str">
        <x:v>Oyekan v Secretary of State for the Home Department [2016] EWCA Civ 1352</x:v>
      </x:c>
      <x:c r="D2312" s="9" t="str"/>
      <x:c r="E2312" s="9" t="str"/>
      <x:c r="F2312" s="13" t="str">
        <x:v>2016</x:v>
      </x:c>
      <x:c r="G2312" s="9" t="str">
        <x:v>England and Wales Court of Appeal (Civil Division)</x:v>
      </x:c>
      <x:c r="H2312" s="9" t="str">
        <x:v>Court of Appeal (Civil Division)</x:v>
      </x:c>
      <x:c r="I2312" s="9" t="str">
        <x:v>England and Wales</x:v>
      </x:c>
      <x:c r="J2312" s="9" t="str">
        <x:v>Immigration and asylum; Public/administrative law; EU law</x:v>
      </x:c>
      <x:c r="K2312" s="9" t="str">
        <x:v>-ew-cases-EWCA-Civ-2016-1352.xml</x:v>
      </x:c>
      <x:c r="L2312" s="9" t="str">
        <x:v>TBA</x:v>
      </x:c>
    </x:row>
    <x:row r="2313">
      <x:c r="A2313" t="str">
        <x:v>3f669c2d-1bc2-4f1e-a741-f6ffb03f484e</x:v>
      </x:c>
      <x:c r="B2313" t="str">
        <x:v>420adfdc-70bc-4293-b1a5-9a8876de4d6d</x:v>
      </x:c>
      <x:c r="C2313" s="9" t="str">
        <x:v>Oyesanya v Mid-Yorkshire Hospital NHS Trust</x:v>
      </x:c>
      <x:c r="D2313" s="9" t="str"/>
      <x:c r="E2313" s="9" t="str"/>
      <x:c r="F2313" s="13" t="str">
        <x:v>2015</x:v>
      </x:c>
      <x:c r="G2313" s="9" t="str">
        <x:v>England and Wales Court of Appeal (Civil Division)</x:v>
      </x:c>
      <x:c r="H2313" s="9" t="str">
        <x:v>Appellate</x:v>
      </x:c>
      <x:c r="I2313" s="9" t="str">
        <x:v>England and Wales</x:v>
      </x:c>
      <x:c r="J2313" s="9" t="str">
        <x:v>Contract Dispute</x:v>
      </x:c>
      <x:c r="K2313" s="9" t="str">
        <x:v>-ew-cases-EWCA-Civ-2015-1049.xml</x:v>
      </x:c>
      <x:c r="L2313" s="9" t="str">
        <x:v>TBA</x:v>
      </x:c>
    </x:row>
    <x:row r="2314">
      <x:c r="A2314" t="str">
        <x:v>ab9dfb87-1b92-4394-aa6e-55e543d41823</x:v>
      </x:c>
      <x:c r="B2314" t="str">
        <x:v>c868cbee-74a4-4892-811b-f7a9b6a6c24c</x:v>
      </x:c>
      <x:c r="C2314" s="9" t="str">
        <x:v>P (A Child: Fair Hearing) [2023] EWCA Civ 215</x:v>
      </x:c>
      <x:c r="D2314" s="9" t="str"/>
      <x:c r="E2314" s="9" t="str"/>
      <x:c r="F2314" s="13" t="str">
        <x:v>2023</x:v>
      </x:c>
      <x:c r="G2314" s="9" t="str">
        <x:v>England and Wales Court of Appeal (Civil Division)</x:v>
      </x:c>
      <x:c r="H2314" s="9" t="str">
        <x:v>Court of Appeal (Civil Division)</x:v>
      </x:c>
      <x:c r="I2314" s="9" t="str">
        <x:v>England and Wales</x:v>
      </x:c>
      <x:c r="J2314" s="9" t="str">
        <x:v>Family Law – Care Proceedings (Placement/Adoption)</x:v>
      </x:c>
      <x:c r="K2314" s="9" t="str">
        <x:v>ew-cases-EWCA-Civ-2023-215.xml</x:v>
      </x:c>
      <x:c r="L2314" s="9" t="str">
        <x:v>TBA</x:v>
      </x:c>
    </x:row>
    <x:row r="2315">
      <x:c r="A2315" t="str">
        <x:v>73ca6c8f-3ecd-40e5-bfcd-cdb4beae8751</x:v>
      </x:c>
      <x:c r="B2315" t="str">
        <x:v>8f56c719-4e25-428d-a90a-7a20e752151c</x:v>
      </x:c>
      <x:c r="C2315" s="9" t="str">
        <x:v>P (A Child) (Abduction: Inherent Jurisdiction) [2021] EWCA Civ 1171</x:v>
      </x:c>
      <x:c r="D2315" s="9" t="str"/>
      <x:c r="E2315" s="9" t="str"/>
      <x:c r="F2315" s="13" t="str">
        <x:v>2021</x:v>
      </x:c>
      <x:c r="G2315" s="9" t="str">
        <x:v>England and Wales Court of Appeal (Civil Division)</x:v>
      </x:c>
      <x:c r="H2315" s="9" t="str">
        <x:v>Appellate</x:v>
      </x:c>
      <x:c r="I2315" s="9" t="str">
        <x:v>England and Wales</x:v>
      </x:c>
      <x:c r="J2315" s="9" t="str">
        <x:v>Family Law</x:v>
      </x:c>
      <x:c r="K2315" s="9" t="str">
        <x:v>ew-cases-EWCA-Civ-2021-1171.xml</x:v>
      </x:c>
      <x:c r="L2315" s="9" t="str">
        <x:v>TBA</x:v>
      </x:c>
    </x:row>
    <x:row r="2316">
      <x:c r="A2316" t="str">
        <x:v>148eaacf-16c2-4438-adf6-20e321190ef8</x:v>
      </x:c>
      <x:c r="B2316" t="str">
        <x:v>2ee3768b-49d9-45f5-856c-1a58f20a6cc7</x:v>
      </x:c>
      <x:c r="C2316" s="9" t="str">
        <x:v>P (A Child) (Interim Separation) [2021] EWCA Civ 499</x:v>
      </x:c>
      <x:c r="D2316" s="9" t="str"/>
      <x:c r="E2316" s="9" t="str"/>
      <x:c r="F2316" s="13" t="str">
        <x:v>2021</x:v>
      </x:c>
      <x:c r="G2316" s="9" t="str">
        <x:v>England and Wales Court of Appeal (Civil Division)</x:v>
      </x:c>
      <x:c r="H2316" s="9" t="str">
        <x:v>Appellate</x:v>
      </x:c>
      <x:c r="I2316" s="9" t="str">
        <x:v>England and Wales</x:v>
      </x:c>
      <x:c r="J2316" s="9" t="str">
        <x:v>Family Law</x:v>
      </x:c>
      <x:c r="K2316" s="9" t="str">
        <x:v>ew-cases-EWCA-Civ-2021-499.xml</x:v>
      </x:c>
      <x:c r="L2316" s="9" t="str">
        <x:v>TBA</x:v>
      </x:c>
    </x:row>
    <x:row r="2317">
      <x:c r="A2317" t="str">
        <x:v>b97964ae-ab66-44b9-806a-53e505bc775b</x:v>
      </x:c>
      <x:c r="B2317" t="str">
        <x:v>29dbdfb3-668d-449d-8cc3-555718be312b</x:v>
      </x:c>
      <x:c r="C2317" s="9" t="str">
        <x:v>P (A Child) (Rev 1) [2014] EWCA Civ 888</x:v>
      </x:c>
      <x:c r="D2317" s="9" t="str"/>
      <x:c r="E2317" s="9" t="str"/>
      <x:c r="F2317" s="13" t="str">
        <x:v>2014</x:v>
      </x:c>
      <x:c r="G2317" s="9" t="str">
        <x:v>England and Wales Court of Appeal (Civil Division)</x:v>
      </x:c>
      <x:c r="H2317" s="9" t="str">
        <x:v>Appellate</x:v>
      </x:c>
      <x:c r="I2317" s="9" t="str">
        <x:v>England and Wales</x:v>
      </x:c>
      <x:c r="J2317" s="9" t="str">
        <x:v>Family Law</x:v>
      </x:c>
      <x:c r="K2317" s="9" t="str">
        <x:v>-ew-cases-EWCA-Civ-2014-888.xml</x:v>
      </x:c>
      <x:c r="L2317" s="9" t="str">
        <x:v>TBA</x:v>
      </x:c>
    </x:row>
    <x:row r="2318">
      <x:c r="A2318" t="str">
        <x:v>dc44fa85-bb6c-4c4d-a70b-06f4bc1c230b</x:v>
      </x:c>
      <x:c r="B2318" t="str">
        <x:v>ca1455fc-014a-4ff0-a964-4afba6414e2c</x:v>
      </x:c>
      <x:c r="C2318" s="9" t="str">
        <x:v>P (A Child) [2014] EWCA Civ 1174 - Step-Parent Adoption Appeal</x:v>
      </x:c>
      <x:c r="D2318" s="9" t="str"/>
      <x:c r="E2318" s="9" t="str"/>
      <x:c r="F2318" s="13" t="str">
        <x:v>2014</x:v>
      </x:c>
      <x:c r="G2318" s="9" t="str">
        <x:v>England and Wales Court of Appeal (Civil Division)</x:v>
      </x:c>
      <x:c r="H2318" s="9" t="str">
        <x:v>Appellate</x:v>
      </x:c>
      <x:c r="I2318" s="9" t="str">
        <x:v>England and Wales</x:v>
      </x:c>
      <x:c r="J2318" s="9" t="str">
        <x:v>Family Law</x:v>
      </x:c>
      <x:c r="K2318" s="9" t="str">
        <x:v>-ew-cases-EWCA-Civ-2014-1174.xml</x:v>
      </x:c>
      <x:c r="L2318" s="9" t="str">
        <x:v>TBA</x:v>
      </x:c>
    </x:row>
    <x:row r="2319">
      <x:c r="A2319" t="str">
        <x:v>a4cd4449-2a79-4ad8-bc37-48e15804efb1</x:v>
      </x:c>
      <x:c r="B2319" t="str">
        <x:v>7710eba3-4434-4a8c-b34b-eebad42f7e0a</x:v>
      </x:c>
      <x:c r="C2319" s="9" t="str">
        <x:v>P (A Child) [2015] EWCA Civ 170</x:v>
      </x:c>
      <x:c r="D2319" s="9" t="str"/>
      <x:c r="E2319" s="9" t="str"/>
      <x:c r="F2319" s="13" t="str">
        <x:v>2015</x:v>
      </x:c>
      <x:c r="G2319" s="9" t="str">
        <x:v>England and Wales Court of Appeal (Civil Division)</x:v>
      </x:c>
      <x:c r="H2319" s="9" t="str">
        <x:v>Appellate</x:v>
      </x:c>
      <x:c r="I2319" s="9" t="str">
        <x:v>England and Wales</x:v>
      </x:c>
      <x:c r="J2319" s="9" t="str">
        <x:v>Family Law</x:v>
      </x:c>
      <x:c r="K2319" s="9" t="str">
        <x:v>-ew-cases-EWCA-Civ-2015-170.xml</x:v>
      </x:c>
      <x:c r="L2319" s="9" t="str">
        <x:v>TBA</x:v>
      </x:c>
    </x:row>
    <x:row r="2320">
      <x:c r="A2320" t="str">
        <x:v>5f5721b9-6991-45d4-b01a-cb4cf5a3166f</x:v>
      </x:c>
      <x:c r="B2320" t="str">
        <x:v>7377474a-37d7-41f1-a10b-b0e9b951922e</x:v>
      </x:c>
      <x:c r="C2320" s="9" t="str">
        <x:v>P (A Child) [2016] EWCA Civ 3</x:v>
      </x:c>
      <x:c r="D2320" s="9" t="str"/>
      <x:c r="E2320" s="9" t="str"/>
      <x:c r="F2320" s="13" t="str">
        <x:v>2016</x:v>
      </x:c>
      <x:c r="G2320" s="9" t="str">
        <x:v>England and Wales Court of Appeal (Civil Division)</x:v>
      </x:c>
      <x:c r="H2320" s="9" t="str">
        <x:v>Court of Appeal (Civil Division)</x:v>
      </x:c>
      <x:c r="I2320" s="9" t="str">
        <x:v>England and Wales</x:v>
      </x:c>
      <x:c r="J2320" s="9" t="str">
        <x:v>Care Proceedings / Adoption</x:v>
      </x:c>
      <x:c r="K2320" s="9" t="str">
        <x:v>-ew-cases-EWCA-Civ-2016-3.xml</x:v>
      </x:c>
      <x:c r="L2320" s="9" t="str">
        <x:v>TBA</x:v>
      </x:c>
    </x:row>
    <x:row r="2321">
      <x:c r="A2321" t="str">
        <x:v>d9e0e0ca-f87e-4147-bb04-fcaec53b0b04</x:v>
      </x:c>
      <x:c r="B2321" t="str">
        <x:v>2827e505-3d6e-4309-81e1-357675d041ae</x:v>
      </x:c>
      <x:c r="C2321" s="9" t="str">
        <x:v>P (Children : Disclosure) [2022] EWCA Civ 495</x:v>
      </x:c>
      <x:c r="D2321" s="9" t="str"/>
      <x:c r="E2321" s="9" t="str"/>
      <x:c r="F2321" s="13" t="str">
        <x:v>2022</x:v>
      </x:c>
      <x:c r="G2321" s="9" t="str">
        <x:v>England and Wales Court of Appeal (Civil Division)</x:v>
      </x:c>
      <x:c r="H2321" s="9" t="str">
        <x:v>Court of Appeal (Civil Division)</x:v>
      </x:c>
      <x:c r="I2321" s="9" t="str">
        <x:v>England and Wales</x:v>
      </x:c>
      <x:c r="J2321" s="9" t="str">
        <x:v>Private Law / Family Law</x:v>
      </x:c>
      <x:c r="K2321" s="9" t="str">
        <x:v>ew-cases-EWCA-Civ-2022-495.xml</x:v>
      </x:c>
      <x:c r="L2321" s="9" t="str">
        <x:v>TBA</x:v>
      </x:c>
    </x:row>
    <x:row r="2322">
      <x:c r="A2322" t="str">
        <x:v>2934aaae-8e9b-486d-8dfa-7b66f28b3230</x:v>
      </x:c>
      <x:c r="B2322" t="str">
        <x:v>3d74a849-5167-4d5f-858b-4a7641757776</x:v>
      </x:c>
      <x:c r="C2322" s="9" t="str">
        <x:v>P (Discharge of Party), Re [2021] EWCA Civ 512</x:v>
      </x:c>
      <x:c r="D2322" s="9" t="str"/>
      <x:c r="E2322" s="9" t="str"/>
      <x:c r="F2322" s="13" t="str">
        <x:v>2021</x:v>
      </x:c>
      <x:c r="G2322" s="9" t="str">
        <x:v>England and Wales Court of Appeal (Civil Division)</x:v>
      </x:c>
      <x:c r="H2322" s="9" t="str">
        <x:v>Appellate</x:v>
      </x:c>
      <x:c r="I2322" s="9" t="str">
        <x:v>England and Wales</x:v>
      </x:c>
      <x:c r="J2322" s="9" t="str">
        <x:v>Civil Procedure</x:v>
      </x:c>
      <x:c r="K2322" s="9" t="str">
        <x:v>ew-cases-EWCA-Civ-2021-512.xml</x:v>
      </x:c>
      <x:c r="L2322" s="9" t="str">
        <x:v>TBA</x:v>
      </x:c>
    </x:row>
    <x:row r="2323">
      <x:c r="A2323" t="str">
        <x:v>7e4313e8-868c-45bc-b761-cf01806e0705</x:v>
      </x:c>
      <x:c r="B2323" t="str">
        <x:v>e187476d-3d16-46fd-b585-31d525adfefe</x:v>
      </x:c>
      <x:c r="C2323" s="9" t="str">
        <x:v>P R Hardman &amp; Partners v Greenwood &amp; Anor [2017] EWCA Civ 52</x:v>
      </x:c>
      <x:c r="D2323" s="9" t="str"/>
      <x:c r="E2323" s="9" t="str"/>
      <x:c r="F2323" s="13" t="str">
        <x:v>2017</x:v>
      </x:c>
      <x:c r="G2323" s="9" t="str">
        <x:v>England and Wales Court of Appeal (Civil Division)</x:v>
      </x:c>
      <x:c r="H2323" s="9" t="str">
        <x:v>Appellate</x:v>
      </x:c>
      <x:c r="I2323" s="9" t="str">
        <x:v>England and Wales</x:v>
      </x:c>
      <x:c r="J2323" s="9" t="str">
        <x:v>Civil Law</x:v>
      </x:c>
      <x:c r="K2323" s="9" t="str">
        <x:v>-ew-cases-EWCA-Civ-2017-52.xml</x:v>
      </x:c>
      <x:c r="L2323" s="9" t="str">
        <x:v>TBA</x:v>
      </x:c>
    </x:row>
    <x:row r="2324">
      <x:c r="A2324" t="str">
        <x:v>51cd2ce7-b1d6-454c-a5dd-337a62ee7ac4</x:v>
      </x:c>
      <x:c r="B2324" t="str">
        <x:v>402fc999-3102-45ef-94e8-c88fb02cdbee</x:v>
      </x:c>
      <x:c r="C2324" s="9" t="str">
        <x:v>P v P [2015] EWCA Civ 447</x:v>
      </x:c>
      <x:c r="D2324" s="9" t="str"/>
      <x:c r="E2324" s="9" t="str"/>
      <x:c r="F2324" s="13" t="str">
        <x:v>2015</x:v>
      </x:c>
      <x:c r="G2324" s="9" t="str">
        <x:v>England and Wales Court of Appeal (Civil Division)</x:v>
      </x:c>
      <x:c r="H2324" s="9" t="str">
        <x:v>Appellate</x:v>
      </x:c>
      <x:c r="I2324" s="9" t="str">
        <x:v>England and Wales</x:v>
      </x:c>
      <x:c r="J2324" s="9" t="str">
        <x:v>Family Law</x:v>
      </x:c>
      <x:c r="K2324" s="9" t="str">
        <x:v>-ew-cases-EWCA-Civ-2015-447.xml</x:v>
      </x:c>
      <x:c r="L2324" s="9" t="str">
        <x:v>TBA</x:v>
      </x:c>
    </x:row>
    <x:row r="2325">
      <x:c r="A2325" t="str">
        <x:v>2e3117d6-7f26-42a3-95c9-e37ce1e87ed2</x:v>
      </x:c>
      <x:c r="B2325" t="str">
        <x:v>372e5534-2b02-44f6-a5bf-2acc5981a871</x:v>
      </x:c>
      <x:c r="C2325" s="9" t="str">
        <x:v>P v The Commissioner of Police for the Metropolis [2016] EWCA Civ 2</x:v>
      </x:c>
      <x:c r="D2325" s="9" t="str"/>
      <x:c r="E2325" s="9" t="str"/>
      <x:c r="F2325" s="13" t="str">
        <x:v>2016</x:v>
      </x:c>
      <x:c r="G2325" s="9" t="str">
        <x:v>England and Wales Court of Appeal (Civil Division)</x:v>
      </x:c>
      <x:c r="H2325" s="9" t="str">
        <x:v>Court of Appeal (Civil Division)</x:v>
      </x:c>
      <x:c r="I2325" s="9" t="str">
        <x:v>England and Wales</x:v>
      </x:c>
      <x:c r="J2325" s="9" t="str">
        <x:v>Employment Discrimination / Public Sector Employment</x:v>
      </x:c>
      <x:c r="K2325" s="9" t="str">
        <x:v>-ew-cases-EWCA-Civ-2016-2.xml</x:v>
      </x:c>
      <x:c r="L2325" s="9" t="str">
        <x:v>TBA</x:v>
      </x:c>
    </x:row>
    <x:row r="2326">
      <x:c r="A2326" t="str">
        <x:v>e42925de-9256-4ce9-b759-49a1db37aeb1</x:v>
      </x:c>
      <x:c r="B2326" t="str">
        <x:v>b1e165a1-f8ff-432e-8e88-e0367e794fdf</x:v>
      </x:c>
      <x:c r="C2326" s="9" t="str">
        <x:v>P-G (Children) v [2015] EWCA Civ 1025 - Appeal Against Findings of Fact in Family Law</x:v>
      </x:c>
      <x:c r="D2326" s="9" t="str"/>
      <x:c r="E2326" s="9" t="str"/>
      <x:c r="F2326" s="13" t="str">
        <x:v>2015</x:v>
      </x:c>
      <x:c r="G2326" s="9" t="str">
        <x:v>England and Wales Court of Appeal (Civil Division)</x:v>
      </x:c>
      <x:c r="H2326" s="9" t="str">
        <x:v>Appellate</x:v>
      </x:c>
      <x:c r="I2326" s="9" t="str">
        <x:v>England and Wales</x:v>
      </x:c>
      <x:c r="J2326" s="9" t="str">
        <x:v>Family Law</x:v>
      </x:c>
      <x:c r="K2326" s="9" t="str">
        <x:v>-ew-cases-EWCA-Civ-2015-1025.xml</x:v>
      </x:c>
      <x:c r="L2326" s="9" t="str">
        <x:v>TBA</x:v>
      </x:c>
    </x:row>
    <x:row r="2327">
      <x:c r="A2327" t="str">
        <x:v>883b7ff8-ac6f-425c-9178-578f27f8516b</x:v>
      </x:c>
      <x:c r="B2327" t="str">
        <x:v>7241e57a-628a-407a-b56b-7a301dba86d2</x:v>
      </x:c>
      <x:c r="C2327" s="9" t="str">
        <x:v>P-K (Children) [2017] EWCA Civ 965 - Appeal on Findings of Fact in Public Law Children Proceedings</x:v>
      </x:c>
      <x:c r="D2327" s="9" t="str"/>
      <x:c r="E2327" s="9" t="str"/>
      <x:c r="F2327" s="13" t="str">
        <x:v>2017</x:v>
      </x:c>
      <x:c r="G2327" s="9" t="str">
        <x:v>England and Wales Court of Appeal (Civil Division)</x:v>
      </x:c>
      <x:c r="H2327" s="9" t="str">
        <x:v>Appellate</x:v>
      </x:c>
      <x:c r="I2327" s="9" t="str">
        <x:v>England and Wales</x:v>
      </x:c>
      <x:c r="J2327" s="9" t="str">
        <x:v>Family Law</x:v>
      </x:c>
      <x:c r="K2327" s="9" t="str">
        <x:v>-ew-cases-EWCA-Civ-2017-965.xml</x:v>
      </x:c>
      <x:c r="L2327" s="9" t="str">
        <x:v>TBA</x:v>
      </x:c>
    </x:row>
    <x:row r="2328">
      <x:c r="A2328" t="str">
        <x:v>69a3291b-1443-40e4-a086-dfb7305a837e</x:v>
      </x:c>
      <x:c r="B2328" t="str">
        <x:v>a5074234-0718-4f8c-ac09-6b3697ba5daa</x:v>
      </x:c>
      <x:c r="C2328" s="9" t="str">
        <x:v>P, H-L (Children) (Mobile Phone Extraction) (Rev1) [2023] EWCA Civ 206</x:v>
      </x:c>
      <x:c r="D2328" s="9" t="str"/>
      <x:c r="E2328" s="9" t="str"/>
      <x:c r="F2328" s="13" t="str">
        <x:v>2023</x:v>
      </x:c>
      <x:c r="G2328" s="9" t="str">
        <x:v>England and Wales Court of Appeal (Civil Division)</x:v>
      </x:c>
      <x:c r="H2328" s="9" t="str">
        <x:v>Court of Appeal (Civil Division)</x:v>
      </x:c>
      <x:c r="I2328" s="9" t="str">
        <x:v>England and Wales</x:v>
      </x:c>
      <x:c r="J2328" s="9" t="str">
        <x:v>Care Proceedings / Family Law / Privacy</x:v>
      </x:c>
      <x:c r="K2328" s="9" t="str">
        <x:v>ew-cases-EWCA-Civ-2023-206.xml</x:v>
      </x:c>
      <x:c r="L2328" s="9" t="str">
        <x:v>TBA</x:v>
      </x:c>
    </x:row>
    <x:row r="2329">
      <x:c r="A2329" t="str">
        <x:v>e403d5a3-0a0a-42d8-8070-7ac88c4be3e0</x:v>
      </x:c>
      <x:c r="B2329" t="str">
        <x:v>18e21778-5564-4498-bf05-9bb902cd6ebc</x:v>
      </x:c>
      <x:c r="C2329" s="9" t="str">
        <x:v>P, Re (Discharge of Party: Costs of Appeal) [2021] EWCA Civ 992</x:v>
      </x:c>
      <x:c r="D2329" s="9" t="str"/>
      <x:c r="E2329" s="9" t="str"/>
      <x:c r="F2329" s="13" t="str">
        <x:v>2021</x:v>
      </x:c>
      <x:c r="G2329" s="9" t="str">
        <x:v>England and Wales Court of Appeal (Civil Division)</x:v>
      </x:c>
      <x:c r="H2329" s="9" t="str">
        <x:v>Appellate</x:v>
      </x:c>
      <x:c r="I2329" s="9" t="str">
        <x:v>England and Wales</x:v>
      </x:c>
      <x:c r="J2329" s="9" t="str">
        <x:v>Civil Procedure</x:v>
      </x:c>
      <x:c r="K2329" s="9" t="str">
        <x:v>ew-cases-EWCA-Civ-2021-992.xml</x:v>
      </x:c>
      <x:c r="L2329" s="9" t="str">
        <x:v>TBA</x:v>
      </x:c>
    </x:row>
    <x:row r="2330">
      <x:c r="A2330" t="str">
        <x:v>46a5fa6b-67b5-4150-86db-7d7f5ebf2b7b</x:v>
      </x:c>
      <x:c r="B2330" t="str">
        <x:v>105cacbe-faee-4093-93f8-e6f95b2889fa</x:v>
      </x:c>
      <x:c r="C2330" s="9" t="str">
        <x:v>Paccar Inc &amp; Ors v Road Haulage Association Ltd &amp; Ors [2021] EWCA Civ 299</x:v>
      </x:c>
      <x:c r="D2330" s="9" t="str"/>
      <x:c r="E2330" s="9" t="str"/>
      <x:c r="F2330" s="13" t="str">
        <x:v>2021</x:v>
      </x:c>
      <x:c r="G2330" s="9" t="str">
        <x:v>England and Wales Court of Appeal (Civil Division)</x:v>
      </x:c>
      <x:c r="H2330" s="9" t="str">
        <x:v>Appellate</x:v>
      </x:c>
      <x:c r="I2330" s="9" t="str">
        <x:v>England and Wales</x:v>
      </x:c>
      <x:c r="J2330" s="9" t="str">
        <x:v>Competition Law</x:v>
      </x:c>
      <x:c r="K2330" s="9" t="str">
        <x:v>ew-cases-EWCA-Civ-2021-299.xml</x:v>
      </x:c>
      <x:c r="L2330" s="9" t="str">
        <x:v>TBA</x:v>
      </x:c>
    </x:row>
    <x:row r="2331">
      <x:c r="A2331" t="str">
        <x:v>389da125-d9ac-43a8-b3fd-a290023f2a44</x:v>
      </x:c>
      <x:c r="B2331" t="str">
        <x:v>79528dea-b3f3-4e1f-beaf-20cee2657cd6</x:v>
      </x:c>
      <x:c r="C2331" s="9" t="str">
        <x:v>Page v Convoy Investments Ltd [2015] EWCA Civ 1061</x:v>
      </x:c>
      <x:c r="D2331" s="9" t="str"/>
      <x:c r="E2331" s="9" t="str"/>
      <x:c r="F2331" s="13" t="str">
        <x:v>2015</x:v>
      </x:c>
      <x:c r="G2331" s="9" t="str">
        <x:v>England and Wales Court of Appeal (Civil Division)</x:v>
      </x:c>
      <x:c r="H2331" s="9" t="str">
        <x:v>Appellate</x:v>
      </x:c>
      <x:c r="I2331" s="9" t="str">
        <x:v>England and Wales</x:v>
      </x:c>
      <x:c r="J2331" s="9" t="str">
        <x:v>Property Law</x:v>
      </x:c>
      <x:c r="K2331" s="9" t="str">
        <x:v>-ew-cases-EWCA-Civ-2015-1061.xml</x:v>
      </x:c>
      <x:c r="L2331" s="9" t="str">
        <x:v>TBA</x:v>
      </x:c>
    </x:row>
    <x:row r="2332">
      <x:c r="A2332" t="str">
        <x:v>2d48d4dd-3d9d-4666-8a1c-d7f92d5b564c</x:v>
      </x:c>
      <x:c r="B2332" t="str">
        <x:v>2bfd8178-4f2b-412d-b1f3-6f42f183c422</x:v>
      </x:c>
      <x:c r="C2332" s="9" t="str">
        <x:v>Page v Lord Chancellor &amp; Anor [2021] EWCA Civ 254</x:v>
      </x:c>
      <x:c r="D2332" s="9" t="str"/>
      <x:c r="E2332" s="9" t="str"/>
      <x:c r="F2332" s="13" t="str">
        <x:v>2021</x:v>
      </x:c>
      <x:c r="G2332" s="9" t="str">
        <x:v>England and Wales Court of Appeal (Civil Division)</x:v>
      </x:c>
      <x:c r="H2332" s="9" t="str">
        <x:v>Appellate</x:v>
      </x:c>
      <x:c r="I2332" s="9" t="str">
        <x:v>England and Wales</x:v>
      </x:c>
      <x:c r="J2332" s="9" t="str">
        <x:v>Discrimination Law</x:v>
      </x:c>
      <x:c r="K2332" s="9" t="str">
        <x:v>ew-cases-EWCA-Civ-2021-254.xml</x:v>
      </x:c>
      <x:c r="L2332" s="9" t="str">
        <x:v>TBA</x:v>
      </x:c>
    </x:row>
    <x:row r="2333">
      <x:c r="A2333" t="str">
        <x:v>ddb9b838-d9c7-4e4e-87f8-becff244712a</x:v>
      </x:c>
      <x:c r="B2333" t="str">
        <x:v>42fbe147-0f84-4308-b404-95722724c27d</x:v>
      </x:c>
      <x:c r="C2333" s="9" t="str">
        <x:v>Page v NHS Trust Development Authority</x:v>
      </x:c>
      <x:c r="D2333" s="9" t="str"/>
      <x:c r="E2333" s="9" t="str"/>
      <x:c r="F2333" s="13" t="str">
        <x:v>2021</x:v>
      </x:c>
      <x:c r="G2333" s="9" t="str">
        <x:v>England and Wales Court of Appeal (Civil Division)</x:v>
      </x:c>
      <x:c r="H2333" s="9" t="str">
        <x:v>Appellate</x:v>
      </x:c>
      <x:c r="I2333" s="9" t="str">
        <x:v>England and Wales</x:v>
      </x:c>
      <x:c r="J2333" s="9" t="str">
        <x:v>Discrimination Law</x:v>
      </x:c>
      <x:c r="K2333" s="9" t="str">
        <x:v>ew-cases-EWCA-Civ-2021-255.xml</x:v>
      </x:c>
      <x:c r="L2333" s="9" t="str">
        <x:v>TBA</x:v>
      </x:c>
    </x:row>
    <x:row r="2334">
      <x:c r="A2334" t="str">
        <x:v>2db74280-d0b6-4222-ae53-40d827326919</x:v>
      </x:c>
      <x:c r="B2334" t="str">
        <x:v>7865af8e-30e5-4533-ab77-d737427a7888</x:v>
      </x:c>
      <x:c r="C2334" s="9" t="str">
        <x:v>Paley v London Borough of Waltham Forest [2022] EWCA Civ 112</x:v>
      </x:c>
      <x:c r="D2334" s="9" t="str"/>
      <x:c r="E2334" s="9" t="str"/>
      <x:c r="F2334" s="13" t="str">
        <x:v>2022</x:v>
      </x:c>
      <x:c r="G2334" s="9" t="str">
        <x:v>Court of Appeal (Civil Division), England and Wales</x:v>
      </x:c>
      <x:c r="H2334" s="9" t="str">
        <x:v>Court of Appeal (Civil Division)</x:v>
      </x:c>
      <x:c r="I2334" s="9" t="str">
        <x:v>England and Wales</x:v>
      </x:c>
      <x:c r="J2334" s="9" t="str">
        <x:v>Public Law / Housing / Judicial Review</x:v>
      </x:c>
      <x:c r="K2334" s="9" t="str">
        <x:v>ew-cases-EWCA-Civ-2022-112.xml</x:v>
      </x:c>
      <x:c r="L2334" s="9" t="str">
        <x:v>TBA</x:v>
      </x:c>
    </x:row>
    <x:row r="2335">
      <x:c r="A2335" t="str">
        <x:v>d4c4fe09-c0e9-4c97-8e27-c04fcd19edde</x:v>
      </x:c>
      <x:c r="B2335" t="str">
        <x:v>ba289163-4ceb-4821-a7f5-7c6d40f7a8f0</x:v>
      </x:c>
      <x:c r="C2335" s="9" t="str">
        <x:v>Palmer v Herefordshire Council &amp; Anor [2016] EWCA Civ 1061</x:v>
      </x:c>
      <x:c r="D2335" s="9" t="str"/>
      <x:c r="E2335" s="9" t="str"/>
      <x:c r="F2335" s="13" t="str">
        <x:v>2016</x:v>
      </x:c>
      <x:c r="G2335" s="9" t="str">
        <x:v>England and Wales Court of Appeal (Civil Division)</x:v>
      </x:c>
      <x:c r="H2335" s="9" t="str">
        <x:v>Court of Appeal</x:v>
      </x:c>
      <x:c r="I2335" s="9" t="str">
        <x:v>England and Wales</x:v>
      </x:c>
      <x:c r="J2335" s="9" t="str">
        <x:v>Planning/Administrative Law</x:v>
      </x:c>
      <x:c r="K2335" s="9" t="str">
        <x:v>-ew-cases-EWCA-Civ-2016-1061.xml</x:v>
      </x:c>
      <x:c r="L2335" s="9" t="str">
        <x:v>TBA</x:v>
      </x:c>
    </x:row>
    <x:row r="2336">
      <x:c r="A2336" t="str">
        <x:v>995765ca-a435-4572-a891-05d25eda418a</x:v>
      </x:c>
      <x:c r="B2336" t="str">
        <x:v>1df27b64-027d-44a7-bb7a-cb5479b5f517</x:v>
      </x:c>
      <x:c r="C2336" s="9" t="str">
        <x:v>Palmer v. Muir [2014] EWCA Civ 309</x:v>
      </x:c>
      <x:c r="D2336" s="9" t="str"/>
      <x:c r="E2336" s="9" t="str"/>
      <x:c r="F2336" s="13" t="str">
        <x:v>2014</x:v>
      </x:c>
      <x:c r="G2336" s="9" t="str">
        <x:v>England and Wales Court of Appeal (Civil Division)</x:v>
      </x:c>
      <x:c r="H2336" s="9" t="str">
        <x:v>Appellate</x:v>
      </x:c>
      <x:c r="I2336" s="9" t="str">
        <x:v>England and Wales</x:v>
      </x:c>
      <x:c r="J2336" s="9" t="str">
        <x:v>Contract Dispute</x:v>
      </x:c>
      <x:c r="K2336" s="9" t="str">
        <x:v>-ew-cases-EWCA-Civ-2014-309.xml</x:v>
      </x:c>
      <x:c r="L2336" s="9" t="str">
        <x:v>TBA</x:v>
      </x:c>
    </x:row>
    <x:row r="2337">
      <x:c r="A2337" t="str">
        <x:v>906f5845-cc05-492b-b311-b922413c941c</x:v>
      </x:c>
      <x:c r="B2337" t="str">
        <x:v>8ec5941e-8aa3-4fa6-b729-5461396eb03b</x:v>
      </x:c>
      <x:c r="C2337" s="9" t="str">
        <x:v>Palmview Estates Ltd v Thurrock Council</x:v>
      </x:c>
      <x:c r="D2337" s="9" t="str"/>
      <x:c r="E2337" s="9" t="str"/>
      <x:c r="F2337" s="13" t="str">
        <x:v>2021</x:v>
      </x:c>
      <x:c r="G2337" s="9" t="str">
        <x:v>England and Wales Court of Appeal (Civil Division)</x:v>
      </x:c>
      <x:c r="H2337" s="9" t="str">
        <x:v>Appellate</x:v>
      </x:c>
      <x:c r="I2337" s="9" t="str">
        <x:v>England and Wales</x:v>
      </x:c>
      <x:c r="J2337" s="9" t="str">
        <x:v>Administrative Law</x:v>
      </x:c>
      <x:c r="K2337" s="9" t="str">
        <x:v>ew-cases-EWCA-Civ-2021-1871.xml</x:v>
      </x:c>
      <x:c r="L2337" s="9" t="str">
        <x:v>TBA</x:v>
      </x:c>
    </x:row>
    <x:row r="2338">
      <x:c r="A2338" t="str">
        <x:v>9c284f86-500a-44e2-87cb-8d6047e193ad</x:v>
      </x:c>
      <x:c r="B2338" t="str">
        <x:v>6a48f19b-d844-4e93-927c-a7f5199507c2</x:v>
      </x:c>
      <x:c r="C2338" s="9" t="str">
        <x:v>Pan Petroleum Aje Ltd v Yinka Folawiyo Petroleum Co Ltd &amp; Ors [2017] EWCA Civ 1525</x:v>
      </x:c>
      <x:c r="D2338" s="9" t="str"/>
      <x:c r="E2338" s="9" t="str"/>
      <x:c r="F2338" s="13" t="str">
        <x:v>2017</x:v>
      </x:c>
      <x:c r="G2338" s="9" t="str">
        <x:v>England and Wales Court of Appeal (Civil Division)</x:v>
      </x:c>
      <x:c r="H2338" s="9" t="str">
        <x:v>Appellate</x:v>
      </x:c>
      <x:c r="I2338" s="9" t="str">
        <x:v>England and Wales</x:v>
      </x:c>
      <x:c r="J2338" s="9" t="str">
        <x:v>Civil Appeal</x:v>
      </x:c>
      <x:c r="K2338" s="9" t="str">
        <x:v>-ew-cases-EWCA-Civ-2017-1525.xml</x:v>
      </x:c>
      <x:c r="L2338" s="9" t="str">
        <x:v>TBA</x:v>
      </x:c>
    </x:row>
    <x:row r="2339">
      <x:c r="A2339" t="str">
        <x:v>69ee6f7a-c66c-46bb-8337-0b1c707d8f37</x:v>
      </x:c>
      <x:c r="B2339" t="str">
        <x:v>fef9f8de-a988-4fc0-9f09-18d9bb4f5afa</x:v>
      </x:c>
      <x:c r="C2339" s="9" t="str">
        <x:v>Panayiotou v London Borough of Waltham Forest; Smith v London Borough of Haringey</x:v>
      </x:c>
      <x:c r="D2339" s="9" t="str"/>
      <x:c r="E2339" s="9" t="str"/>
      <x:c r="F2339" s="13" t="str">
        <x:v>2017</x:v>
      </x:c>
      <x:c r="G2339" s="9" t="str">
        <x:v>England and Wales Court of Appeal (Civil Division)</x:v>
      </x:c>
      <x:c r="H2339" s="9" t="str">
        <x:v>Appellate</x:v>
      </x:c>
      <x:c r="I2339" s="9" t="str">
        <x:v>England and Wales</x:v>
      </x:c>
      <x:c r="J2339" s="9" t="str">
        <x:v>Public Law</x:v>
      </x:c>
      <x:c r="K2339" s="9" t="str">
        <x:v>-ew-cases-EWCA-Civ-2017-1624.xml</x:v>
      </x:c>
      <x:c r="L2339" s="9" t="str">
        <x:v>TBA</x:v>
      </x:c>
    </x:row>
    <x:row r="2340">
      <x:c r="A2340" t="str">
        <x:v>007c151a-1ec7-457c-9434-25b532249baa</x:v>
      </x:c>
      <x:c r="B2340" t="str">
        <x:v>7aea2832-e77c-4869-9033-3d4a97f97418</x:v>
      </x:c>
      <x:c r="C2340" s="9" t="str">
        <x:v>Panesar &amp; Ors v HM Revenue and Customs</x:v>
      </x:c>
      <x:c r="D2340" s="9" t="str"/>
      <x:c r="E2340" s="9" t="str"/>
      <x:c r="F2340" s="13" t="str">
        <x:v>2014</x:v>
      </x:c>
      <x:c r="G2340" s="9" t="str">
        <x:v>England and Wales Court of Appeal (Civil Division)</x:v>
      </x:c>
      <x:c r="H2340" s="9" t="str">
        <x:v>Appellate</x:v>
      </x:c>
      <x:c r="I2340" s="9" t="str">
        <x:v>England and Wales</x:v>
      </x:c>
      <x:c r="J2340" s="9" t="str">
        <x:v>Judicial Review</x:v>
      </x:c>
      <x:c r="K2340" s="9" t="str">
        <x:v>-ew-cases-EWCA-Civ-2014-1613.xml</x:v>
      </x:c>
      <x:c r="L2340" s="9" t="str">
        <x:v>TBA</x:v>
      </x:c>
    </x:row>
    <x:row r="2341">
      <x:c r="A2341" t="str">
        <x:v>2219a455-8999-41c6-a880-33f95d741627</x:v>
      </x:c>
      <x:c r="B2341" t="str">
        <x:v>58b8abfb-a890-477a-addd-6645e2345464</x:v>
      </x:c>
      <x:c r="C2341" s="9" t="str">
        <x:v>Pantellerisco &amp; Ors v The Secretary of State for Work and Pensions</x:v>
      </x:c>
      <x:c r="D2341" s="9" t="str"/>
      <x:c r="E2341" s="9" t="str"/>
      <x:c r="F2341" s="13" t="str">
        <x:v>2021</x:v>
      </x:c>
      <x:c r="G2341" s="9" t="str">
        <x:v>England and Wales Court of Appeal (Civil Division)</x:v>
      </x:c>
      <x:c r="H2341" s="9" t="str">
        <x:v>Appellate</x:v>
      </x:c>
      <x:c r="I2341" s="9" t="str">
        <x:v>England and Wales</x:v>
      </x:c>
      <x:c r="J2341" s="9" t="str">
        <x:v>Administrative Law</x:v>
      </x:c>
      <x:c r="K2341" s="9" t="str">
        <x:v>ew-cases-EWCA-Civ-2021-1454.xml</x:v>
      </x:c>
      <x:c r="L2341" s="9" t="str">
        <x:v>TBA</x:v>
      </x:c>
    </x:row>
    <x:row r="2342">
      <x:c r="A2342" t="str">
        <x:v>b19f52c3-2a43-4be1-8b4d-911eadd66c65</x:v>
      </x:c>
      <x:c r="B2342" t="str">
        <x:v>dbe1a7e4-b620-4b45-827f-95610f8868c2</x:v>
      </x:c>
      <x:c r="C2342" s="9" t="str">
        <x:v>Paramount Shopfitting Company Ltd v Rix [2021] EWCA Civ 1172</x:v>
      </x:c>
      <x:c r="D2342" s="9" t="str"/>
      <x:c r="E2342" s="9" t="str"/>
      <x:c r="F2342" s="13" t="str">
        <x:v>2021</x:v>
      </x:c>
      <x:c r="G2342" s="9" t="str">
        <x:v>England and Wales Court of Appeal (Civil Division)</x:v>
      </x:c>
      <x:c r="H2342" s="9" t="str">
        <x:v>Appellate</x:v>
      </x:c>
      <x:c r="I2342" s="9" t="str">
        <x:v>England and Wales</x:v>
      </x:c>
      <x:c r="J2342" s="9" t="str">
        <x:v>Tort</x:v>
      </x:c>
      <x:c r="K2342" s="9" t="str">
        <x:v>ew-cases-EWCA-Civ-2021-1172.xml</x:v>
      </x:c>
      <x:c r="L2342" s="9" t="str">
        <x:v>TBA</x:v>
      </x:c>
    </x:row>
    <x:row r="2343">
      <x:c r="A2343" t="str">
        <x:v>40c604f5-e068-4f8e-87c5-46631bcba8dd</x:v>
      </x:c>
      <x:c r="B2343" t="str">
        <x:v>13f2763d-ccaa-4c5f-93ff-2ccafed7a991</x:v>
      </x:c>
      <x:c r="C2343" s="9" t="str">
        <x:v>Parekh (On the Application Of) v Secretary of State for the Home Department [2016] EWCA Civ 266</x:v>
      </x:c>
      <x:c r="D2343" s="9" t="str"/>
      <x:c r="E2343" s="9" t="str"/>
      <x:c r="F2343" s="13" t="str">
        <x:v>2016</x:v>
      </x:c>
      <x:c r="G2343" s="9" t="str">
        <x:v>England and Wales Court of Appeal (Civil Division)</x:v>
      </x:c>
      <x:c r="H2343" s="9" t="str">
        <x:v>Court of Appeal (Civil Division)</x:v>
      </x:c>
      <x:c r="I2343" s="9" t="str">
        <x:v>England and Wales</x:v>
      </x:c>
      <x:c r="J2343" s="9" t="str">
        <x:v>Immigration Law / Administrative Law</x:v>
      </x:c>
      <x:c r="K2343" s="9" t="str">
        <x:v>-ew-cases-EWCA-Civ-2016-266.xml</x:v>
      </x:c>
      <x:c r="L2343" s="9" t="str">
        <x:v>TBA</x:v>
      </x:c>
    </x:row>
    <x:row r="2344">
      <x:c r="A2344" t="str">
        <x:v>2a64511e-c5dc-4ac5-858d-e21d63b3019d</x:v>
      </x:c>
      <x:c r="B2344" t="str">
        <x:v>28d897f5-f708-4c68-b2bc-c6427a315140</x:v>
      </x:c>
      <x:c r="C2344" s="9" t="str">
        <x:v>Parfitt v Guy's and St Thomas' Children's NHS Foundation Trust &amp; Anor [2021] EWCA Civ 362</x:v>
      </x:c>
      <x:c r="D2344" s="9" t="str"/>
      <x:c r="E2344" s="9" t="str"/>
      <x:c r="F2344" s="13" t="str">
        <x:v>2021</x:v>
      </x:c>
      <x:c r="G2344" s="9" t="str">
        <x:v>England and Wales Court of Appeal (Civil Division)</x:v>
      </x:c>
      <x:c r="H2344" s="9" t="str">
        <x:v>Appellate</x:v>
      </x:c>
      <x:c r="I2344" s="9" t="str">
        <x:v>England and Wales</x:v>
      </x:c>
      <x:c r="J2344" s="9" t="str">
        <x:v>Medical Law</x:v>
      </x:c>
      <x:c r="K2344" s="9" t="str">
        <x:v>ew-cases-EWCA-Civ-2021-362.xml</x:v>
      </x:c>
      <x:c r="L2344" s="9" t="str">
        <x:v>TBA</x:v>
      </x:c>
    </x:row>
    <x:row r="2345">
      <x:c r="A2345" t="str">
        <x:v>688f1314-5094-4f36-9cd7-e0a4d7f5da12</x:v>
      </x:c>
      <x:c r="B2345" t="str">
        <x:v>9dfdbb9e-4ac3-407b-826b-a2ce7f93d8d8</x:v>
      </x:c>
      <x:c r="C2345" s="9" t="str">
        <x:v>Park v CNH Industrial Capital Europe Ltd [2021] EWCA Civ 1766</x:v>
      </x:c>
      <x:c r="D2345" s="9" t="str"/>
      <x:c r="E2345" s="9" t="str"/>
      <x:c r="F2345" s="13" t="str">
        <x:v>2021</x:v>
      </x:c>
      <x:c r="G2345" s="9" t="str">
        <x:v>England and Wales Court of Appeal (Civil Division)</x:v>
      </x:c>
      <x:c r="H2345" s="9" t="str">
        <x:v>Appellate</x:v>
      </x:c>
      <x:c r="I2345" s="9" t="str">
        <x:v>England and Wales</x:v>
      </x:c>
      <x:c r="J2345" s="9" t="str">
        <x:v>Civil Procedure</x:v>
      </x:c>
      <x:c r="K2345" s="9" t="str">
        <x:v>ew-cases-EWCA-Civ-2021-1766.xml</x:v>
      </x:c>
      <x:c r="L2345" s="9" t="str">
        <x:v>TBA</x:v>
      </x:c>
    </x:row>
    <x:row r="2346">
      <x:c r="A2346" t="str">
        <x:v>c184e749-56a5-497f-a050-d28f3ed1a1d2</x:v>
      </x:c>
      <x:c r="B2346" t="str">
        <x:v>a6f305d2-30a6-4ce7-bbac-74587fe8b251</x:v>
      </x:c>
      <x:c r="C2346" s="9" t="str">
        <x:v>Park v Hadi &amp; Anor [2022] EWCA Civ 581</x:v>
      </x:c>
      <x:c r="D2346" s="9" t="str"/>
      <x:c r="E2346" s="9" t="str"/>
      <x:c r="F2346" s="13" t="str">
        <x:v>2022</x:v>
      </x:c>
      <x:c r="G2346" s="9" t="str">
        <x:v>England and Wales Court of Appeal (Civil Division)</x:v>
      </x:c>
      <x:c r="H2346" s="9" t="str">
        <x:v>Court of Appeal (Civil Division)</x:v>
      </x:c>
      <x:c r="I2346" s="9" t="str">
        <x:v>England and Wales</x:v>
      </x:c>
      <x:c r="J2346" s="9" t="str">
        <x:v>Civil procedure; Contract law</x:v>
      </x:c>
      <x:c r="K2346" s="9" t="str">
        <x:v>ew-cases-EWCA-Civ-2022-581.xml</x:v>
      </x:c>
      <x:c r="L2346" s="9" t="str">
        <x:v>TBA</x:v>
      </x:c>
    </x:row>
    <x:row r="2347">
      <x:c r="A2347" t="str">
        <x:v>38398a8a-eb65-4766-ae26-1e29d646f467</x:v>
      </x:c>
      <x:c r="B2347" t="str">
        <x:v>a369cbb7-ffae-4a83-8084-88778e2e2668</x:v>
      </x:c>
      <x:c r="C2347" s="9" t="str">
        <x:v>Parkingeye Ltd v Beavis [2015] EWCA Civ 402</x:v>
      </x:c>
      <x:c r="D2347" s="9" t="str"/>
      <x:c r="E2347" s="9" t="str"/>
      <x:c r="F2347" s="13" t="str">
        <x:v>2015</x:v>
      </x:c>
      <x:c r="G2347" s="9" t="str">
        <x:v>England and Wales Court of Appeal (Civil Division)</x:v>
      </x:c>
      <x:c r="H2347" s="9" t="str">
        <x:v>Appellate</x:v>
      </x:c>
      <x:c r="I2347" s="9" t="str">
        <x:v>England and Wales</x:v>
      </x:c>
      <x:c r="J2347" s="9" t="str">
        <x:v>Contract Dispute</x:v>
      </x:c>
      <x:c r="K2347" s="9" t="str">
        <x:v>-ew-cases-EWCA-Civ-2015-402.xml</x:v>
      </x:c>
      <x:c r="L2347" s="9" t="str">
        <x:v>TBA</x:v>
      </x:c>
    </x:row>
    <x:row r="2348">
      <x:c r="A2348" t="str">
        <x:v>4a852f9a-74da-4ba3-838e-eb478b93d217</x:v>
      </x:c>
      <x:c r="B2348" t="str">
        <x:v>020a2f1b-69c5-4d60-9c90-b3a1afa54f34</x:v>
      </x:c>
      <x:c r="C2348" s="9" t="str">
        <x:v>Parkinson v Royal Bolton Hospital NHS</x:v>
      </x:c>
      <x:c r="D2348" s="9" t="str"/>
      <x:c r="E2348" s="9" t="str"/>
      <x:c r="F2348" s="13" t="str">
        <x:v>2015</x:v>
      </x:c>
      <x:c r="G2348" s="9" t="str">
        <x:v>England and Wales Court of Appeal (Civil Division)</x:v>
      </x:c>
      <x:c r="H2348" s="9" t="str">
        <x:v>Appellate</x:v>
      </x:c>
      <x:c r="I2348" s="9" t="str">
        <x:v>England and Wales</x:v>
      </x:c>
      <x:c r="J2348" s="9" t="str">
        <x:v>Tort</x:v>
      </x:c>
      <x:c r="K2348" s="9" t="str">
        <x:v>-ew-cases-EWCA-Civ-2015-1529.xml</x:v>
      </x:c>
      <x:c r="L2348" s="9" t="str">
        <x:v>TBA</x:v>
      </x:c>
    </x:row>
    <x:row r="2349">
      <x:c r="A2349" t="str">
        <x:v>d39d707f-c1bb-4d28-a358-3ea18177bec2</x:v>
      </x:c>
      <x:c r="B2349" t="str">
        <x:v>e5bae26b-066c-48eb-bc75-96bc4f536a80</x:v>
      </x:c>
      <x:c r="C2349" s="9" t="str">
        <x:v>Parmar &amp; Others v Upton [2015] EWCA Civ 795</x:v>
      </x:c>
      <x:c r="D2349" s="9" t="str"/>
      <x:c r="E2349" s="9" t="str"/>
      <x:c r="F2349" s="13" t="str">
        <x:v>2015</x:v>
      </x:c>
      <x:c r="G2349" s="9" t="str">
        <x:v>England and Wales Court of Appeal (Civil Division)</x:v>
      </x:c>
      <x:c r="H2349" s="9" t="str">
        <x:v>Appellate</x:v>
      </x:c>
      <x:c r="I2349" s="9" t="str">
        <x:v>England and Wales</x:v>
      </x:c>
      <x:c r="J2349" s="9" t="str">
        <x:v>Property Law</x:v>
      </x:c>
      <x:c r="K2349" s="9" t="str">
        <x:v>-ew-cases-EWCA-Civ-2015-795.xml</x:v>
      </x:c>
      <x:c r="L2349" s="9" t="str">
        <x:v>TBA</x:v>
      </x:c>
    </x:row>
    <x:row r="2350">
      <x:c r="A2350" t="str">
        <x:v>f16ba50a-0bce-4a59-adfb-46f5f5a47351</x:v>
      </x:c>
      <x:c r="B2350" t="str">
        <x:v>4b0e95b4-9126-4cff-aaeb-54fd70eeddf2</x:v>
      </x:c>
      <x:c r="C2350" s="9" t="str">
        <x:v>Parr v MSR Partners LLP &amp; Ors [2022] EWCA Civ 24</x:v>
      </x:c>
      <x:c r="D2350" s="9" t="str"/>
      <x:c r="E2350" s="9" t="str"/>
      <x:c r="F2350" s="13" t="str">
        <x:v>2022</x:v>
      </x:c>
      <x:c r="G2350" s="9" t="str">
        <x:v>England and Wales Court of Appeal (Civil Division)</x:v>
      </x:c>
      <x:c r="H2350" s="9" t="str">
        <x:v>Court of Appeal (Civil Division)</x:v>
      </x:c>
      <x:c r="I2350" s="9" t="str">
        <x:v>England and Wales</x:v>
      </x:c>
      <x:c r="J2350" s="9" t="str">
        <x:v>Employment Discrimination / Equality Act 2010</x:v>
      </x:c>
      <x:c r="K2350" s="9" t="str">
        <x:v>ew-cases-EWCA-Civ-2022-24.xml</x:v>
      </x:c>
      <x:c r="L2350" s="9" t="str">
        <x:v>TBA</x:v>
      </x:c>
    </x:row>
    <x:row r="2351">
      <x:c r="A2351" t="str">
        <x:v>0cedb146-eacd-4c2e-b7a7-18dc152fcf43</x:v>
      </x:c>
      <x:c r="B2351" t="str">
        <x:v>464b6335-7623-49ec-8536-df2bb3ae5a4d</x:v>
      </x:c>
      <x:c r="C2351" s="9" t="str">
        <x:v>Parratt, R (on the application of) v Parole Board</x:v>
      </x:c>
      <x:c r="D2351" s="9" t="str"/>
      <x:c r="E2351" s="9" t="str"/>
      <x:c r="F2351" s="13" t="str">
        <x:v>2014</x:v>
      </x:c>
      <x:c r="G2351" s="9" t="str">
        <x:v>England and Wales Court of Appeal (Civil Division)</x:v>
      </x:c>
      <x:c r="H2351" s="9" t="str">
        <x:v>Appellate</x:v>
      </x:c>
      <x:c r="I2351" s="9" t="str">
        <x:v>England and Wales</x:v>
      </x:c>
      <x:c r="J2351" s="9" t="str">
        <x:v>Administrative Law</x:v>
      </x:c>
      <x:c r="K2351" s="9" t="str">
        <x:v>-ew-cases-EWCA-Civ-2014-1478.xml</x:v>
      </x:c>
      <x:c r="L2351" s="9" t="str">
        <x:v>TBA</x:v>
      </x:c>
    </x:row>
    <x:row r="2352">
      <x:c r="A2352" t="str">
        <x:v>9a2c0f20-d81d-4a28-b305-b8faeec9c263</x:v>
      </x:c>
      <x:c r="B2352" t="str">
        <x:v>fb494d54-b4b1-49e6-b0ce-3a06513c8f01</x:v>
      </x:c>
      <x:c r="C2352" s="9" t="str">
        <x:v>Partington v Rossiter [2021] EWCA Civ 1564: Will Construction and Jersey Assets</x:v>
      </x:c>
      <x:c r="D2352" s="9" t="str"/>
      <x:c r="E2352" s="9" t="str"/>
      <x:c r="F2352" s="13" t="str">
        <x:v>2021</x:v>
      </x:c>
      <x:c r="G2352" s="9" t="str">
        <x:v>England and Wales Court of Appeal (Civil Division)</x:v>
      </x:c>
      <x:c r="H2352" s="9" t="str">
        <x:v>Appellate</x:v>
      </x:c>
      <x:c r="I2352" s="9" t="str">
        <x:v>England and Wales</x:v>
      </x:c>
      <x:c r="J2352" s="9" t="str">
        <x:v>Wills and Estates</x:v>
      </x:c>
      <x:c r="K2352" s="9" t="str">
        <x:v>ew-cases-EWCA-Civ-2021-1564.xml</x:v>
      </x:c>
      <x:c r="L2352" s="9" t="str">
        <x:v>TBA</x:v>
      </x:c>
    </x:row>
    <x:row r="2353">
      <x:c r="A2353" t="str">
        <x:v>f23715f7-bb1e-409e-a778-38f8a9d3bab2</x:v>
      </x:c>
      <x:c r="B2353" t="str">
        <x:v>b636b4d9-05aa-4c15-87d7-6a8f3d5e8acc</x:v>
      </x:c>
      <x:c r="C2353" s="9" t="str">
        <x:v>Parveen v Hussain [2022] EWCA Civ 1434</x:v>
      </x:c>
      <x:c r="D2353" s="9" t="str"/>
      <x:c r="E2353" s="9" t="str"/>
      <x:c r="F2353" s="13" t="str">
        <x:v>2022</x:v>
      </x:c>
      <x:c r="G2353" s="9" t="str">
        <x:v>England and Wales Court of Appeal (Civil Division)</x:v>
      </x:c>
      <x:c r="H2353" s="9" t="str">
        <x:v>Court of Appeal (Civil Division)</x:v>
      </x:c>
      <x:c r="I2353" s="9" t="str">
        <x:v>England and Wales</x:v>
      </x:c>
      <x:c r="J2353" s="9" t="str">
        <x:v>Civil appellate decision; Family law; Private international law; Conflict of laws</x:v>
      </x:c>
      <x:c r="K2353" s="9" t="str">
        <x:v>ew-cases-EWCA-Civ-2022-1434.xml</x:v>
      </x:c>
      <x:c r="L2353" s="9" t="str">
        <x:v>TBA</x:v>
      </x:c>
    </x:row>
    <x:row r="2354">
      <x:c r="A2354" t="str">
        <x:v>3aca2ee2-14b4-4092-a395-f89d9dde93c9</x:v>
      </x:c>
      <x:c r="B2354" t="str">
        <x:v>cddd3b9f-aa6e-4fc0-a8f1-45fecb553fa5</x:v>
      </x:c>
      <x:c r="C2354" s="9" t="str">
        <x:v>Paszkiewicz v Jeyes Ltd [2015] EWCA Civ 904</x:v>
      </x:c>
      <x:c r="D2354" s="9" t="str"/>
      <x:c r="E2354" s="9" t="str"/>
      <x:c r="F2354" s="13" t="str">
        <x:v>2015</x:v>
      </x:c>
      <x:c r="G2354" s="9" t="str">
        <x:v>England and Wales Court of Appeal (Civil Division)</x:v>
      </x:c>
      <x:c r="H2354" s="9" t="str">
        <x:v>Appellate</x:v>
      </x:c>
      <x:c r="I2354" s="9" t="str">
        <x:v>England and Wales</x:v>
      </x:c>
      <x:c r="J2354" s="9" t="str">
        <x:v>Employment Law</x:v>
      </x:c>
      <x:c r="K2354" s="9" t="str">
        <x:v>-ew-cases-EWCA-Civ-2015-904.xml</x:v>
      </x:c>
      <x:c r="L2354" s="9" t="str">
        <x:v>TBA</x:v>
      </x:c>
    </x:row>
    <x:row r="2355">
      <x:c r="A2355" t="str">
        <x:v>6be59fcb-3d4d-423d-aa77-0ec24e3a21f3</x:v>
      </x:c>
      <x:c r="B2355" t="str">
        <x:v>3b2b732c-7069-4f71-b1f2-887a66a04124</x:v>
      </x:c>
      <x:c r="C2355" s="9" t="str">
        <x:v>Patel &amp; Anor v Peters &amp; Ors [2014] EWCA Civ 335</x:v>
      </x:c>
      <x:c r="D2355" s="9" t="str"/>
      <x:c r="E2355" s="9" t="str"/>
      <x:c r="F2355" s="13" t="str">
        <x:v>2014</x:v>
      </x:c>
      <x:c r="G2355" s="9" t="str">
        <x:v>England and Wales Court of Appeal (Civil Division)</x:v>
      </x:c>
      <x:c r="H2355" s="9" t="str">
        <x:v>Appellate</x:v>
      </x:c>
      <x:c r="I2355" s="9" t="str">
        <x:v>England and Wales</x:v>
      </x:c>
      <x:c r="J2355" s="9" t="str">
        <x:v>Civil Practice</x:v>
      </x:c>
      <x:c r="K2355" s="9" t="str">
        <x:v>-ew-cases-EWCA-Civ-2014-335.xml</x:v>
      </x:c>
      <x:c r="L2355" s="9" t="str">
        <x:v>TBA</x:v>
      </x:c>
    </x:row>
    <x:row r="2356">
      <x:c r="A2356" t="str">
        <x:v>18aa634b-5203-47aa-a8ce-0481e743ec07</x:v>
      </x:c>
      <x:c r="B2356" t="str">
        <x:v>bbd4c7fd-28e3-4604-a8ca-845e3d7faaba</x:v>
      </x:c>
      <x:c r="C2356" s="9" t="str">
        <x:v>Patel &amp; Ors v The Secretary of State for the Home Department (Rev 1) [2015] EWCA Civ 1175</x:v>
      </x:c>
      <x:c r="D2356" s="9" t="str"/>
      <x:c r="E2356" s="9" t="str"/>
      <x:c r="F2356" s="13" t="str">
        <x:v>2015</x:v>
      </x:c>
      <x:c r="G2356" s="9" t="str">
        <x:v>England and Wales Court of Appeal (Civil Division)</x:v>
      </x:c>
      <x:c r="H2356" s="9" t="str">
        <x:v>Appellate</x:v>
      </x:c>
      <x:c r="I2356" s="9" t="str">
        <x:v>England and Wales</x:v>
      </x:c>
      <x:c r="J2356" s="9" t="str">
        <x:v>Immigration Law</x:v>
      </x:c>
      <x:c r="K2356" s="9" t="str">
        <x:v>-ew-cases-EWCA-Civ-2015-1175.xml</x:v>
      </x:c>
      <x:c r="L2356" s="9" t="str">
        <x:v>TBA</x:v>
      </x:c>
    </x:row>
    <x:row r="2357">
      <x:c r="A2357" t="str">
        <x:v>d7a678aa-c664-4e26-9536-ba7041cd43b2</x:v>
      </x:c>
      <x:c r="B2357" t="str">
        <x:v>f6622c0f-5896-40c9-b13e-fde6f64ce99c</x:v>
      </x:c>
      <x:c r="C2357" s="9" t="str">
        <x:v>Patel v London Borough of Hackney [2021] EWCA Civ 897</x:v>
      </x:c>
      <x:c r="D2357" s="9" t="str"/>
      <x:c r="E2357" s="9" t="str"/>
      <x:c r="F2357" s="13" t="str">
        <x:v>2021</x:v>
      </x:c>
      <x:c r="G2357" s="9" t="str">
        <x:v>England and Wales Court of Appeal (Civil Division)</x:v>
      </x:c>
      <x:c r="H2357" s="9" t="str">
        <x:v>Appellate</x:v>
      </x:c>
      <x:c r="I2357" s="9" t="str">
        <x:v>England and Wales</x:v>
      </x:c>
      <x:c r="J2357" s="9" t="str">
        <x:v>Housing Law</x:v>
      </x:c>
      <x:c r="K2357" s="9" t="str">
        <x:v>ew-cases-EWCA-Civ-2021-897.xml</x:v>
      </x:c>
      <x:c r="L2357" s="9" t="str">
        <x:v>TBA</x:v>
      </x:c>
    </x:row>
    <x:row r="2358">
      <x:c r="A2358" t="str">
        <x:v>3cea9e18-0701-495e-8ddb-08fc8c5d9d29</x:v>
      </x:c>
      <x:c r="B2358" t="str">
        <x:v>aaf05392-ae82-4d59-a4fb-19f7c860d5c3</x:v>
      </x:c>
      <x:c r="C2358" s="9" t="str">
        <x:v>Patel v Minerva Services Delaware, Inc &amp; Ors [2023] EWCA Civ 118</x:v>
      </x:c>
      <x:c r="D2358" s="9" t="str"/>
      <x:c r="E2358" s="9" t="str"/>
      <x:c r="F2358" s="13" t="str">
        <x:v>2023</x:v>
      </x:c>
      <x:c r="G2358" s="9" t="str">
        <x:v>England and Wales Court of Appeal (Civil Division)</x:v>
      </x:c>
      <x:c r="H2358" s="9" t="str">
        <x:v>Court of Appeal (Civil Division)</x:v>
      </x:c>
      <x:c r="I2358" s="9" t="str">
        <x:v>England and Wales</x:v>
      </x:c>
      <x:c r="J2358" s="9" t="str">
        <x:v>Civil Procedure / Commercial Dispute</x:v>
      </x:c>
      <x:c r="K2358" s="9" t="str">
        <x:v>ew-cases-EWCA-Civ-2023-118.xml</x:v>
      </x:c>
      <x:c r="L2358" s="9" t="str">
        <x:v>TBA</x:v>
      </x:c>
    </x:row>
    <x:row r="2359">
      <x:c r="A2359" t="str">
        <x:v>35eb19d5-d700-4a9e-a4b8-20c21a98a9e4</x:v>
      </x:c>
      <x:c r="B2359" t="str">
        <x:v>9e756e1e-0aa3-4c4a-a25d-e2856c41b0c9</x:v>
      </x:c>
      <x:c r="C2359" s="9" t="str">
        <x:v>Patel v Mirza [2014] EWCA Civ 1047 - Illegality in Insider Trading Agreement</x:v>
      </x:c>
      <x:c r="D2359" s="9" t="str"/>
      <x:c r="E2359" s="9" t="str"/>
      <x:c r="F2359" s="13" t="str">
        <x:v>2014</x:v>
      </x:c>
      <x:c r="G2359" s="9" t="str">
        <x:v>England and Wales Court of Appeal (Civil Division)</x:v>
      </x:c>
      <x:c r="H2359" s="9" t="str">
        <x:v>Appellate</x:v>
      </x:c>
      <x:c r="I2359" s="9" t="str">
        <x:v>England and Wales</x:v>
      </x:c>
      <x:c r="J2359" s="9" t="str">
        <x:v>Contract Dispute</x:v>
      </x:c>
      <x:c r="K2359" s="9" t="str">
        <x:v>-ew-cases-EWCA-Civ-2014-1047.xml</x:v>
      </x:c>
      <x:c r="L2359" s="9" t="str">
        <x:v>TBA</x:v>
      </x:c>
    </x:row>
    <x:row r="2360">
      <x:c r="A2360" t="str">
        <x:v>1e85aa60-4857-48b3-9fff-a91d1b1f5c4a</x:v>
      </x:c>
      <x:c r="B2360" t="str">
        <x:v>787c83c3-90f1-4743-a63b-0a55b833e7c7</x:v>
      </x:c>
      <x:c r="C2360" s="9" t="str">
        <x:v>Patel v Mussa [2015] EWCA Civ 434</x:v>
      </x:c>
      <x:c r="D2360" s="9" t="str"/>
      <x:c r="E2360" s="9" t="str"/>
      <x:c r="F2360" s="13" t="str">
        <x:v>2015</x:v>
      </x:c>
      <x:c r="G2360" s="9" t="str">
        <x:v>England and Wales Court of Appeal (Civil Division)</x:v>
      </x:c>
      <x:c r="H2360" s="9" t="str">
        <x:v>Appellate</x:v>
      </x:c>
      <x:c r="I2360" s="9" t="str">
        <x:v>England and Wales</x:v>
      </x:c>
      <x:c r="J2360" s="9" t="str">
        <x:v>Civil Procedure</x:v>
      </x:c>
      <x:c r="K2360" s="9" t="str">
        <x:v>-ew-cases-EWCA-Civ-2015-434.xml</x:v>
      </x:c>
      <x:c r="L2360" s="9" t="str">
        <x:v>TBA</x:v>
      </x:c>
    </x:row>
    <x:row r="2361">
      <x:c r="A2361" t="str">
        <x:v>40bf93bc-63d8-4b5a-8029-b7a08e26afc1</x:v>
      </x:c>
      <x:c r="B2361" t="str">
        <x:v>00825743-5c73-4a9c-9ed2-645fb1f8943f</x:v>
      </x:c>
      <x:c r="C2361" s="9" t="str">
        <x:v>Patel v National Westminster Bank Plc</x:v>
      </x:c>
      <x:c r="D2361" s="9" t="str"/>
      <x:c r="E2361" s="9" t="str"/>
      <x:c r="F2361" s="13" t="str">
        <x:v>2015</x:v>
      </x:c>
      <x:c r="G2361" s="9" t="str">
        <x:v>England and Wales Court of Appeal (Civil Division)</x:v>
      </x:c>
      <x:c r="H2361" s="9" t="str">
        <x:v>Appellate</x:v>
      </x:c>
      <x:c r="I2361" s="9" t="str">
        <x:v>England and Wales</x:v>
      </x:c>
      <x:c r="J2361" s="9" t="str">
        <x:v>Civil</x:v>
      </x:c>
      <x:c r="K2361" s="9" t="str">
        <x:v>-ew-cases-EWCA-Civ-2015-332.xml</x:v>
      </x:c>
      <x:c r="L2361" s="9" t="str">
        <x:v>TBA</x:v>
      </x:c>
    </x:row>
    <x:row r="2362">
      <x:c r="A2362" t="str">
        <x:v>da5f992b-309e-42a6-9857-07c5f2a8d95c</x:v>
      </x:c>
      <x:c r="B2362" t="str">
        <x:v>c12f4a46-7eed-4eaa-a742-c9fe07915d57</x:v>
      </x:c>
      <x:c r="C2362" s="9" t="str">
        <x:v>Patel v Secretary of State for the Home Department [2015] EWCA Civ 645</x:v>
      </x:c>
      <x:c r="D2362" s="9" t="str"/>
      <x:c r="E2362" s="9" t="str"/>
      <x:c r="F2362" s="13" t="str">
        <x:v>2015</x:v>
      </x:c>
      <x:c r="G2362" s="9" t="str">
        <x:v>England and Wales Court of Appeal (Civil Division)</x:v>
      </x:c>
      <x:c r="H2362" s="9" t="str">
        <x:v>Appellate</x:v>
      </x:c>
      <x:c r="I2362" s="9" t="str">
        <x:v>England and Wales</x:v>
      </x:c>
      <x:c r="J2362" s="9" t="str">
        <x:v>Tort</x:v>
      </x:c>
      <x:c r="K2362" s="9" t="str">
        <x:v>-ew-cases-EWCA-Civ-2015-645.xml</x:v>
      </x:c>
      <x:c r="L2362" s="9" t="str">
        <x:v>TBA</x:v>
      </x:c>
    </x:row>
    <x:row r="2363">
      <x:c r="A2363" t="str">
        <x:v>5e9ae47c-46db-4f0f-859f-455ca2fe3094</x:v>
      </x:c>
      <x:c r="B2363" t="str">
        <x:v>ab28aa18-6da1-4379-ad02-89a5f0af2896</x:v>
      </x:c>
      <x:c r="C2363" s="9" t="str">
        <x:v>Patel v The Secretary of State for the Home Department</x:v>
      </x:c>
      <x:c r="D2363" s="9" t="str"/>
      <x:c r="E2363" s="9" t="str"/>
      <x:c r="F2363" s="13" t="str">
        <x:v>2017</x:v>
      </x:c>
      <x:c r="G2363" s="9" t="str">
        <x:v>England and Wales Court of Appeal (Civil Division)</x:v>
      </x:c>
      <x:c r="H2363" s="9" t="str">
        <x:v>appellate</x:v>
      </x:c>
      <x:c r="I2363" s="9" t="str">
        <x:v>England and Wales</x:v>
      </x:c>
      <x:c r="J2363" s="9" t="str">
        <x:v>Immigration</x:v>
      </x:c>
      <x:c r="K2363" s="9" t="str">
        <x:v>-ew-cases-EWCA-Civ-2017-2028.xml</x:v>
      </x:c>
      <x:c r="L2363" s="9" t="str">
        <x:v>TBA</x:v>
      </x:c>
    </x:row>
    <x:row r="2364">
      <x:c r="A2364" t="str">
        <x:v>54825e02-5b5c-4b1e-840f-d70680c52d50</x:v>
      </x:c>
      <x:c r="B2364" t="str">
        <x:v>c7825347-bc75-4737-b515-56abdc617535</x:v>
      </x:c>
      <x:c r="C2364" s="9" t="str">
        <x:v>Patersons of Greenoakhill Limited v HM Revenue &amp; Customs [2016] EWCA Civ 1250 (Court of Appeal, Civil Division) – Landfill Tax on Biodegradable Material and the Meaning of “Material” at Deposit</x:v>
      </x:c>
      <x:c r="D2364" s="9" t="str"/>
      <x:c r="E2364" s="9" t="str"/>
      <x:c r="F2364" s="13" t="str">
        <x:v>2016</x:v>
      </x:c>
      <x:c r="G2364" s="9" t="str">
        <x:v>Court of Appeal (Civil Division), England and Wales</x:v>
      </x:c>
      <x:c r="H2364" s="9" t="str">
        <x:v>Court of Appeal (Civil Division)</x:v>
      </x:c>
      <x:c r="I2364" s="9" t="str">
        <x:v>England and Wales</x:v>
      </x:c>
      <x:c r="J2364" s="9" t="str">
        <x:v>Tax/Administrative Law</x:v>
      </x:c>
      <x:c r="K2364" s="9" t="str">
        <x:v>-ew-cases-EWCA-Civ-2016-1250.xml</x:v>
      </x:c>
      <x:c r="L2364" s="9" t="str">
        <x:v>TBA</x:v>
      </x:c>
    </x:row>
    <x:row r="2365">
      <x:c r="A2365" t="str">
        <x:v>9c3a05cb-f744-48c3-b4fc-7822a5fbca97</x:v>
      </x:c>
      <x:c r="B2365" t="str">
        <x:v>eb147b00-6646-4e7b-ad72-1cedbe1c7be0</x:v>
      </x:c>
      <x:c r="C2365" s="9" t="str">
        <x:v>Pathania v Adedeji &amp; Ors [2014] EWCA Civ 681</x:v>
      </x:c>
      <x:c r="D2365" s="9" t="str"/>
      <x:c r="E2365" s="9" t="str"/>
      <x:c r="F2365" s="13" t="str">
        <x:v>2014</x:v>
      </x:c>
      <x:c r="G2365" s="9" t="str">
        <x:v>England and Wales Court of Appeal (Civil Division)</x:v>
      </x:c>
      <x:c r="H2365" s="9" t="str">
        <x:v>Appellate</x:v>
      </x:c>
      <x:c r="I2365" s="9" t="str">
        <x:v>England and Wales</x:v>
      </x:c>
      <x:c r="J2365" s="9" t="str">
        <x:v>Civil Appeal</x:v>
      </x:c>
      <x:c r="K2365" s="9" t="str">
        <x:v>-ew-cases-EWCA-Civ-2014-681.xml</x:v>
      </x:c>
      <x:c r="L2365" s="9" t="str">
        <x:v>TBA</x:v>
      </x:c>
    </x:row>
    <x:row r="2366">
      <x:c r="A2366" t="str">
        <x:v>db369ba3-ff0d-47c0-b750-d16b310c22bb</x:v>
      </x:c>
      <x:c r="B2366" t="str">
        <x:v>3c5e7f9b-2ee5-4224-8b94-f732d508fe16</x:v>
      </x:c>
      <x:c r="C2366" s="9" t="str">
        <x:v>Patrick v McKinley [2015] EWCA Civ 1582</x:v>
      </x:c>
      <x:c r="D2366" s="9" t="str"/>
      <x:c r="E2366" s="9" t="str"/>
      <x:c r="F2366" s="13" t="str">
        <x:v>2015</x:v>
      </x:c>
      <x:c r="G2366" s="9" t="str">
        <x:v>England and Wales Court of Appeal (Civil Division)</x:v>
      </x:c>
      <x:c r="H2366" s="9" t="str">
        <x:v>Appellate</x:v>
      </x:c>
      <x:c r="I2366" s="9" t="str">
        <x:v>England and Wales</x:v>
      </x:c>
      <x:c r="J2366" s="9" t="str">
        <x:v>Property Law</x:v>
      </x:c>
      <x:c r="K2366" s="9" t="str">
        <x:v>-ew-cases-EWCA-Civ-2015-1582.xml</x:v>
      </x:c>
      <x:c r="L2366" s="9" t="str">
        <x:v>TBA</x:v>
      </x:c>
    </x:row>
    <x:row r="2367">
      <x:c r="A2367" t="str">
        <x:v>0939e482-bfa7-4cc9-a17a-8529d58c4d52</x:v>
      </x:c>
      <x:c r="B2367" t="str">
        <x:v>d4e7f56a-002d-4a8f-b534-225426213b88</x:v>
      </x:c>
      <x:c r="C2367" s="9" t="str">
        <x:v>Patrick v McKinley [2017] EWCA Civ 2068</x:v>
      </x:c>
      <x:c r="D2367" s="9" t="str"/>
      <x:c r="E2367" s="9" t="str"/>
      <x:c r="F2367" s="13" t="str">
        <x:v>2017</x:v>
      </x:c>
      <x:c r="G2367" s="9" t="str">
        <x:v>England and Wales Court of Appeal (Civil Division)</x:v>
      </x:c>
      <x:c r="H2367" s="9" t="str">
        <x:v>Appellate</x:v>
      </x:c>
      <x:c r="I2367" s="9" t="str">
        <x:v>England and Wales</x:v>
      </x:c>
      <x:c r="J2367" s="9" t="str">
        <x:v>Civil Appeal</x:v>
      </x:c>
      <x:c r="K2367" s="9" t="str">
        <x:v>-ew-cases-EWCA-Civ-2017-2068.xml</x:v>
      </x:c>
      <x:c r="L2367" s="9" t="str">
        <x:v>TBA</x:v>
      </x:c>
    </x:row>
    <x:row r="2368">
      <x:c r="A2368" t="str">
        <x:v>e20e8494-67ab-4368-be63-342565c5104b</x:v>
      </x:c>
      <x:c r="B2368" t="str">
        <x:v>305f98fa-71bc-4658-97ba-311aefa48eb5</x:v>
      </x:c>
      <x:c r="C2368" s="9" t="str">
        <x:v>Patterson v Spencer [2017] EWCA Civ 140</x:v>
      </x:c>
      <x:c r="D2368" s="9" t="str"/>
      <x:c r="E2368" s="9" t="str"/>
      <x:c r="F2368" s="13" t="str">
        <x:v>2017</x:v>
      </x:c>
      <x:c r="G2368" s="9" t="str">
        <x:v>England and Wales Court of Appeal (Civil Division)</x:v>
      </x:c>
      <x:c r="H2368" s="9" t="str">
        <x:v>Appellate</x:v>
      </x:c>
      <x:c r="I2368" s="9" t="str">
        <x:v>England and Wales</x:v>
      </x:c>
      <x:c r="J2368" s="9" t="str">
        <x:v>Bankruptcy and Insolvency</x:v>
      </x:c>
      <x:c r="K2368" s="9" t="str">
        <x:v>-ew-cases-EWCA-Civ-2017-140.xml</x:v>
      </x:c>
      <x:c r="L2368" s="9" t="str">
        <x:v>TBA</x:v>
      </x:c>
    </x:row>
    <x:row r="2369">
      <x:c r="A2369" t="str">
        <x:v>9135bda8-46e8-4247-a0da-d0a173cee199</x:v>
      </x:c>
      <x:c r="B2369" t="str">
        <x:v>353163ab-c444-4186-a05c-4f5d73800a3f</x:v>
      </x:c>
      <x:c r="C2369" s="9" t="str">
        <x:v>Paul &amp; Ors v The Royal Wolverhampton NHS Trust; Polmear v The Royal Wolverhampton NHS Trust; Purchase v Royal Cornwall Hospitals NHS Trust</x:v>
      </x:c>
      <x:c r="D2369" s="9" t="str"/>
      <x:c r="E2369" s="9" t="str"/>
      <x:c r="F2369" s="13" t="str">
        <x:v>2022</x:v>
      </x:c>
      <x:c r="G2369" s="9" t="str">
        <x:v>England and Wales Court of Appeal (Civil Division)</x:v>
      </x:c>
      <x:c r="H2369" s="9" t="str">
        <x:v>Court of Appeal (Civil Division)</x:v>
      </x:c>
      <x:c r="I2369" s="9" t="str">
        <x:v>England and Wales</x:v>
      </x:c>
      <x:c r="J2369" s="9" t="str">
        <x:v>Tort/Negligence - Medical Negligence - Psychiatric Injury (Secondary Victims)</x:v>
      </x:c>
      <x:c r="K2369" s="9" t="str">
        <x:v>ew-cases-EWCA-Civ-2022-12.xml</x:v>
      </x:c>
      <x:c r="L2369" s="9" t="str">
        <x:v>TBA</x:v>
      </x:c>
    </x:row>
    <x:row r="2370">
      <x:c r="A2370" t="str">
        <x:v>439696e1-cc05-4f69-8812-0d27be86f6b7</x:v>
      </x:c>
      <x:c r="B2370" t="str">
        <x:v>010d8e18-724e-4eff-b5ae-bcbfe19c8bf6</x:v>
      </x:c>
      <x:c r="C2370" s="9" t="str">
        <x:v>Paul Newman New Homes Ltd v Secretary of State for Housing, Communities And Local Government</x:v>
      </x:c>
      <x:c r="D2370" s="9" t="str"/>
      <x:c r="E2370" s="9" t="str"/>
      <x:c r="F2370" s="13" t="str">
        <x:v>2021</x:v>
      </x:c>
      <x:c r="G2370" s="9" t="str">
        <x:v>England and Wales Court of Appeal (Civil Division)</x:v>
      </x:c>
      <x:c r="H2370" s="9" t="str">
        <x:v>Appellate court</x:v>
      </x:c>
      <x:c r="I2370" s="9" t="str">
        <x:v>England and Wales</x:v>
      </x:c>
      <x:c r="J2370" s="9" t="str">
        <x:v>Administrative Law</x:v>
      </x:c>
      <x:c r="K2370" s="9" t="str">
        <x:v>ew-cases-EWCA-Civ-2021-15.xml</x:v>
      </x:c>
      <x:c r="L2370" s="9" t="str">
        <x:v>TBA</x:v>
      </x:c>
    </x:row>
    <x:row r="2371">
      <x:c r="A2371" t="str">
        <x:v>8664f1c2-fcb6-49fd-84f7-96785046a352</x:v>
      </x:c>
      <x:c r="B2371" t="str">
        <x:v>0a18c66b-4753-4650-959e-afb376e78fef</x:v>
      </x:c>
      <x:c r="C2371" s="9" t="str">
        <x:v>Pawar v JSD Haulage Ltd [2016] EWCA Civ 551</x:v>
      </x:c>
      <x:c r="D2371" s="9" t="str"/>
      <x:c r="E2371" s="9" t="str"/>
      <x:c r="F2371" s="13" t="str">
        <x:v>2016</x:v>
      </x:c>
      <x:c r="G2371" s="9" t="str">
        <x:v>England and Wales Court of Appeal (Civil Division)</x:v>
      </x:c>
      <x:c r="H2371" s="9" t="str">
        <x:v>Court of Appeal (Civil Division)</x:v>
      </x:c>
      <x:c r="I2371" s="9" t="str">
        <x:v>England and Wales</x:v>
      </x:c>
      <x:c r="J2371" s="9" t="str">
        <x:v>Tort - Personal Injury</x:v>
      </x:c>
      <x:c r="K2371" s="9" t="str">
        <x:v>-ew-cases-EWCA-Civ-2016-551.xml</x:v>
      </x:c>
      <x:c r="L2371" s="9" t="str">
        <x:v>TBA</x:v>
      </x:c>
    </x:row>
    <x:row r="2372">
      <x:c r="A2372" t="str">
        <x:v>0b4b2a5b-971d-4abf-b01a-d1de38c6c55c</x:v>
      </x:c>
      <x:c r="B2372" t="str">
        <x:v>76746466-4f0b-4910-af5d-003ebd20dba8</x:v>
      </x:c>
      <x:c r="C2372" s="9" t="str">
        <x:v>Pawley v Whitecross Dental Care Ltd &amp; Anor</x:v>
      </x:c>
      <x:c r="D2372" s="9" t="str"/>
      <x:c r="E2372" s="9" t="str"/>
      <x:c r="F2372" s="13" t="str">
        <x:v>2021</x:v>
      </x:c>
      <x:c r="G2372" s="9" t="str">
        <x:v>England and Wales Court of Appeal (Civil Division)</x:v>
      </x:c>
      <x:c r="H2372" s="9" t="str">
        <x:v>Appellate</x:v>
      </x:c>
      <x:c r="I2372" s="9" t="str">
        <x:v>England and Wales</x:v>
      </x:c>
      <x:c r="J2372" s="9" t="str">
        <x:v>Negligence</x:v>
      </x:c>
      <x:c r="K2372" s="9" t="str">
        <x:v>ew-cases-EWCA-Civ-2021-1827.xml</x:v>
      </x:c>
      <x:c r="L2372" s="9" t="str">
        <x:v>TBA</x:v>
      </x:c>
    </x:row>
    <x:row r="2373">
      <x:c r="A2373" t="str">
        <x:v>7c6b8f71-a6dd-4e93-9d80-19bd60b2f0ac</x:v>
      </x:c>
      <x:c r="B2373" t="str">
        <x:v>6704e94e-e6b0-4dfe-b4c9-c5d695bdc6aa</x:v>
      </x:c>
      <x:c r="C2373" s="9" t="str">
        <x:v>Pearce, R (On the Application Of) v Parole Board of England and Wales &amp; Anor [2022] EWCA Civ 4</x:v>
      </x:c>
      <x:c r="D2373" s="9" t="str"/>
      <x:c r="E2373" s="9" t="str"/>
      <x:c r="F2373" s="13" t="str">
        <x:v>2022</x:v>
      </x:c>
      <x:c r="G2373" s="9" t="str">
        <x:v>England and Wales Court of Appeal (Civil Division)</x:v>
      </x:c>
      <x:c r="H2373" s="9" t="str">
        <x:v>Court of Appeal (Civil Division)</x:v>
      </x:c>
      <x:c r="I2373" s="9" t="str">
        <x:v>England and Wales</x:v>
      </x:c>
      <x:c r="J2373" s="9" t="str">
        <x:v>Administrative Law; Judicial Review</x:v>
      </x:c>
      <x:c r="K2373" s="9" t="str">
        <x:v>ew-cases-EWCA-Civ-2022-4.xml</x:v>
      </x:c>
      <x:c r="L2373" s="9" t="str">
        <x:v>TBA</x:v>
      </x:c>
    </x:row>
    <x:row r="2374">
      <x:c r="A2374" t="str">
        <x:v>0f8ce288-04fb-45e0-8808-7c5bb38e1c73</x:v>
      </x:c>
      <x:c r="B2374" t="str">
        <x:v>127d64c7-23cb-4675-a476-609f2c7c2e52</x:v>
      </x:c>
      <x:c r="C2374" s="9" t="str">
        <x:v>Pearson v Anwar [2015] EWCA Civ 1011</x:v>
      </x:c>
      <x:c r="D2374" s="9" t="str"/>
      <x:c r="E2374" s="9" t="str"/>
      <x:c r="F2374" s="13" t="str">
        <x:v>2015</x:v>
      </x:c>
      <x:c r="G2374" s="9" t="str">
        <x:v>England and Wales Court of Appeal (Civil Division)</x:v>
      </x:c>
      <x:c r="H2374" s="9" t="str">
        <x:v>Appellate</x:v>
      </x:c>
      <x:c r="I2374" s="9" t="str">
        <x:v>England and Wales</x:v>
      </x:c>
      <x:c r="J2374" s="9" t="str">
        <x:v>Tort</x:v>
      </x:c>
      <x:c r="K2374" s="9" t="str">
        <x:v>-ew-cases-EWCA-Civ-2015-1011.xml</x:v>
      </x:c>
      <x:c r="L2374" s="9" t="str">
        <x:v>TBA</x:v>
      </x:c>
    </x:row>
    <x:row r="2375">
      <x:c r="A2375" t="str">
        <x:v>206d62a1-1842-48f5-a540-999781754136</x:v>
      </x:c>
      <x:c r="B2375" t="str">
        <x:v>2702fe29-d7f0-4cc6-8c3f-b840406bb7a2</x:v>
      </x:c>
      <x:c r="C2375" s="9" t="str">
        <x:v>Peel Land and Property (Ports No. 3) Ltd v TS Sheerness Ltd</x:v>
      </x:c>
      <x:c r="D2375" s="9" t="str"/>
      <x:c r="E2375" s="9" t="str"/>
      <x:c r="F2375" s="13" t="str">
        <x:v>2014</x:v>
      </x:c>
      <x:c r="G2375" s="9" t="str">
        <x:v>England and Wales Court of Appeal (Civil Division)</x:v>
      </x:c>
      <x:c r="H2375" s="9" t="str">
        <x:v>Appellate</x:v>
      </x:c>
      <x:c r="I2375" s="9" t="str">
        <x:v>England and Wales</x:v>
      </x:c>
      <x:c r="J2375" s="9" t="str">
        <x:v>Property Law</x:v>
      </x:c>
      <x:c r="K2375" s="9" t="str">
        <x:v>-ew-cases-EWCA-Civ-2014-100.xml</x:v>
      </x:c>
      <x:c r="L2375" s="9" t="str">
        <x:v>TBA</x:v>
      </x:c>
    </x:row>
    <x:row r="2376">
      <x:c r="A2376" t="str">
        <x:v>9460a417-18e5-4e4a-af8f-ddbeb673bfdb</x:v>
      </x:c>
      <x:c r="B2376" t="str">
        <x:v>67f347cd-36dc-40b2-8b20-56d9d2262945</x:v>
      </x:c>
      <x:c r="C2376" s="9" t="str">
        <x:v>Peires v Bickerton's Aerodromes Ltd [2017] EWCA Civ 273</x:v>
      </x:c>
      <x:c r="D2376" s="9" t="str"/>
      <x:c r="E2376" s="9" t="str"/>
      <x:c r="F2376" s="13" t="str">
        <x:v>2017</x:v>
      </x:c>
      <x:c r="G2376" s="9" t="str">
        <x:v>England and Wales Court of Appeal (Civil Division)</x:v>
      </x:c>
      <x:c r="H2376" s="9" t="str">
        <x:v>Appellate</x:v>
      </x:c>
      <x:c r="I2376" s="9" t="str">
        <x:v>England and Wales</x:v>
      </x:c>
      <x:c r="J2376" s="9" t="str">
        <x:v>Tort</x:v>
      </x:c>
      <x:c r="K2376" s="9" t="str">
        <x:v>-ew-cases-EWCA-Civ-2017-273.xml</x:v>
      </x:c>
      <x:c r="L2376" s="9" t="str">
        <x:v>TBA</x:v>
      </x:c>
    </x:row>
    <x:row r="2377">
      <x:c r="A2377" t="str">
        <x:v>32db0a12-785d-4db6-b430-47a3c4cff5bb</x:v>
      </x:c>
      <x:c r="B2377" t="str">
        <x:v>f6d823a7-f5e7-4603-b28e-07740f3214bd</x:v>
      </x:c>
      <x:c r="C2377" s="9" t="str">
        <x:v>Penhallurick v MD5 Ltd [2021] EWCA Civ 1770</x:v>
      </x:c>
      <x:c r="D2377" s="9" t="str"/>
      <x:c r="E2377" s="9" t="str"/>
      <x:c r="F2377" s="13" t="str">
        <x:v>2021</x:v>
      </x:c>
      <x:c r="G2377" s="9" t="str">
        <x:v>England and Wales Court of Appeal (Civil Division)</x:v>
      </x:c>
      <x:c r="H2377" s="9" t="str">
        <x:v>Appellate</x:v>
      </x:c>
      <x:c r="I2377" s="9" t="str">
        <x:v>England and Wales</x:v>
      </x:c>
      <x:c r="J2377" s="9" t="str">
        <x:v>Intellectual Property</x:v>
      </x:c>
      <x:c r="K2377" s="9" t="str">
        <x:v>ew-cases-EWCA-Civ-2021-1770.xml</x:v>
      </x:c>
      <x:c r="L2377" s="9" t="str">
        <x:v>TBA</x:v>
      </x:c>
    </x:row>
    <x:row r="2378">
      <x:c r="A2378" t="str">
        <x:v>14aec3dd-1a0d-4a2c-919d-f689a3601c0a</x:v>
      </x:c>
      <x:c r="B2378" t="str">
        <x:v>040ab589-56f8-4251-905d-ade1d7b6bf28</x:v>
      </x:c>
      <x:c r="C2378" s="9" t="str">
        <x:v>Peninsular &amp; Oriental Steam Navigation Company v HM Revenue and Customs [2016] EWCA Civ 468 (Court of Appeal, Civil Division)</x:v>
      </x:c>
      <x:c r="D2378" s="9" t="str"/>
      <x:c r="E2378" s="9" t="str"/>
      <x:c r="F2378" s="13" t="str">
        <x:v>2016</x:v>
      </x:c>
      <x:c r="G2378" s="9" t="str">
        <x:v>England and Wales Court of Appeal (Civil Division)</x:v>
      </x:c>
      <x:c r="H2378" s="9" t="str">
        <x:v>Court of Appeal (Civil Division)</x:v>
      </x:c>
      <x:c r="I2378" s="9" t="str">
        <x:v>England and Wales</x:v>
      </x:c>
      <x:c r="J2378" s="9" t="str">
        <x:v>Tax Law / International Tax</x:v>
      </x:c>
      <x:c r="K2378" s="9" t="str">
        <x:v>-ew-cases-EWCA-Civ-2016-468.xml</x:v>
      </x:c>
      <x:c r="L2378" s="9" t="str">
        <x:v>TBA</x:v>
      </x:c>
    </x:row>
    <x:row r="2379">
      <x:c r="A2379" t="str">
        <x:v>57d2dffc-d429-471b-88f2-832615eebcfd</x:v>
      </x:c>
      <x:c r="B2379" t="str">
        <x:v>a780c5db-03f5-44b6-863f-7546261a9e91</x:v>
      </x:c>
      <x:c r="C2379" s="9" t="str">
        <x:v>Pennistone Holdings Ltd v Rock Ferry Waterfront Trust</x:v>
      </x:c>
      <x:c r="D2379" s="9" t="str"/>
      <x:c r="E2379" s="9" t="str"/>
      <x:c r="F2379" s="13" t="str">
        <x:v>2021</x:v>
      </x:c>
      <x:c r="G2379" s="9" t="str">
        <x:v>England and Wales Court of Appeal (Civil Division)</x:v>
      </x:c>
      <x:c r="H2379" s="9" t="str">
        <x:v>Appellate</x:v>
      </x:c>
      <x:c r="I2379" s="9" t="str">
        <x:v>England and Wales</x:v>
      </x:c>
      <x:c r="J2379" s="9" t="str">
        <x:v>Property Law</x:v>
      </x:c>
      <x:c r="K2379" s="9" t="str">
        <x:v>ew-cases-EWCA-Civ-2021-1029.xml</x:v>
      </x:c>
      <x:c r="L2379" s="9" t="str">
        <x:v>TBA</x:v>
      </x:c>
    </x:row>
    <x:row r="2380">
      <x:c r="A2380" t="str">
        <x:v>663f8afc-ba05-4b29-99bb-2120debb5c8d</x:v>
      </x:c>
      <x:c r="B2380" t="str">
        <x:v>363d4dda-f9fd-497d-b45b-cecba704fa51</x:v>
      </x:c>
      <x:c r="C2380" s="9" t="str">
        <x:v>Percy v White &amp; Anor [2022] EWCA Civ 493</x:v>
      </x:c>
      <x:c r="D2380" s="9" t="str"/>
      <x:c r="E2380" s="9" t="str"/>
      <x:c r="F2380" s="13" t="str">
        <x:v>2022</x:v>
      </x:c>
      <x:c r="G2380" s="9" t="str">
        <x:v>England and Wales Court of Appeal (Civil Division)</x:v>
      </x:c>
      <x:c r="H2380" s="9" t="str">
        <x:v>Court of Appeal (Civil Division)</x:v>
      </x:c>
      <x:c r="I2380" s="9" t="str">
        <x:v>England and Wales</x:v>
      </x:c>
      <x:c r="J2380" s="9" t="str">
        <x:v>Civil / Company Law / Professional Negligence</x:v>
      </x:c>
      <x:c r="K2380" s="9" t="str">
        <x:v>ew-cases-EWCA-Civ-2022-493.xml</x:v>
      </x:c>
      <x:c r="L2380" s="9" t="str">
        <x:v>TBA</x:v>
      </x:c>
    </x:row>
    <x:row r="2381">
      <x:c r="A2381" t="str">
        <x:v>56d53228-fd3f-4a91-b134-f873a193aa9d</x:v>
      </x:c>
      <x:c r="B2381" t="str">
        <x:v>53a0cdd4-3872-47c2-81cf-e3813685e478</x:v>
      </x:c>
      <x:c r="C2381" s="9" t="str">
        <x:v>Perform Content Services Ltd v Ness Global Services Ltd</x:v>
      </x:c>
      <x:c r="D2381" s="9" t="str"/>
      <x:c r="E2381" s="9" t="str"/>
      <x:c r="F2381" s="13" t="str">
        <x:v>2021</x:v>
      </x:c>
      <x:c r="G2381" s="9" t="str">
        <x:v>England and Wales Court of Appeal (Civil Division)</x:v>
      </x:c>
      <x:c r="H2381" s="9" t="str">
        <x:v>Appellate</x:v>
      </x:c>
      <x:c r="I2381" s="9" t="str">
        <x:v>England and Wales</x:v>
      </x:c>
      <x:c r="J2381" s="9" t="str">
        <x:v>Civil Procedure</x:v>
      </x:c>
      <x:c r="K2381" s="9" t="str">
        <x:v>ew-cases-EWCA-Civ-2021-981.xml</x:v>
      </x:c>
      <x:c r="L2381" s="9" t="str">
        <x:v>TBA</x:v>
      </x:c>
    </x:row>
    <x:row r="2382">
      <x:c r="A2382" t="str">
        <x:v>829af66d-462c-45ad-9157-ccafe4835c84</x:v>
      </x:c>
      <x:c r="B2382" t="str">
        <x:v>5191f0b4-6c36-42e1-9ebc-9638b3a35730</x:v>
      </x:c>
      <x:c r="C2382" s="9" t="str">
        <x:v>Perry v Raleys Solicitors [2017] EWCA Civ 314</x:v>
      </x:c>
      <x:c r="D2382" s="9" t="str"/>
      <x:c r="E2382" s="9" t="str"/>
      <x:c r="F2382" s="13" t="str">
        <x:v>2017</x:v>
      </x:c>
      <x:c r="G2382" s="9" t="str">
        <x:v>England and Wales Court of Appeal (Civil Division)</x:v>
      </x:c>
      <x:c r="H2382" s="9" t="str">
        <x:v>Appellate</x:v>
      </x:c>
      <x:c r="I2382" s="9" t="str">
        <x:v>England and Wales</x:v>
      </x:c>
      <x:c r="J2382" s="9" t="str">
        <x:v>Professional Negligence</x:v>
      </x:c>
      <x:c r="K2382" s="9" t="str">
        <x:v>-ew-cases-EWCA-Civ-2017-314.xml</x:v>
      </x:c>
      <x:c r="L2382" s="9" t="str">
        <x:v>TBA</x:v>
      </x:c>
    </x:row>
    <x:row r="2383">
      <x:c r="A2383" t="str">
        <x:v>133b010e-e11a-4cc2-8de5-1c9569c43786</x:v>
      </x:c>
      <x:c r="B2383" t="str">
        <x:v>2dc2a7ac-d332-4112-93f1-122e3a9d7870</x:v>
      </x:c>
      <x:c r="C2383" s="9" t="str">
        <x:v>Perry, R (on the application of) v London Borough of Hackney &amp; Ors</x:v>
      </x:c>
      <x:c r="D2383" s="9" t="str"/>
      <x:c r="E2383" s="9" t="str"/>
      <x:c r="F2383" s="13" t="str">
        <x:v>2014</x:v>
      </x:c>
      <x:c r="G2383" s="9" t="str">
        <x:v>England and Wales Court of Appeal (Civil Division)</x:v>
      </x:c>
      <x:c r="H2383" s="9" t="str">
        <x:v>Appellate</x:v>
      </x:c>
      <x:c r="I2383" s="9" t="str">
        <x:v>England and Wales</x:v>
      </x:c>
      <x:c r="J2383" s="9" t="str">
        <x:v>Administrative Law</x:v>
      </x:c>
      <x:c r="K2383" s="9" t="str">
        <x:v>-ew-cases-EWCA-Civ-2014-1372.xml</x:v>
      </x:c>
      <x:c r="L2383" s="9" t="str">
        <x:v>TBA</x:v>
      </x:c>
    </x:row>
    <x:row r="2384">
      <x:c r="A2384" t="str">
        <x:v>88c4244a-4bc5-4dbc-ba15-51cba16ebf47</x:v>
      </x:c>
      <x:c r="B2384" t="str">
        <x:v>5bd02bc9-d9b9-4e60-aee7-2c718f8620b9</x:v>
      </x:c>
      <x:c r="C2384" s="9" t="str">
        <x:v>Persimmon Homes (Thames Valley) Ltd v Worthing Borough Council [2023] EWCA Civ 762</x:v>
      </x:c>
      <x:c r="D2384" s="9" t="str"/>
      <x:c r="E2384" s="9" t="str"/>
      <x:c r="F2384" s="13" t="str">
        <x:v>2023</x:v>
      </x:c>
      <x:c r="G2384" s="9" t="str">
        <x:v>England and Wales Court of Appeal (Civil Division)</x:v>
      </x:c>
      <x:c r="H2384" s="9" t="str">
        <x:v>Court of Appeal (Civil Division)</x:v>
      </x:c>
      <x:c r="I2384" s="9" t="str">
        <x:v>England and Wales</x:v>
      </x:c>
      <x:c r="J2384" s="9" t="str">
        <x:v>Planning and Administrative Law</x:v>
      </x:c>
      <x:c r="K2384" s="9" t="str">
        <x:v>ew-cases-EWCA-Civ-2023-762.xml</x:v>
      </x:c>
      <x:c r="L2384" s="9" t="str">
        <x:v>TBA</x:v>
      </x:c>
    </x:row>
    <x:row r="2385">
      <x:c r="A2385" t="str">
        <x:v>f082b89b-526d-41b8-80ba-abb740a81439</x:v>
      </x:c>
      <x:c r="B2385" t="str">
        <x:v>18a7e76b-357b-4cb4-9eb8-0b151cce320d</x:v>
      </x:c>
      <x:c r="C2385" s="9" t="str">
        <x:v>Persimmon Homes Ltd v Ove Arup &amp; Partners Ltd &amp; Anor [2017] EWCA Civ 373</x:v>
      </x:c>
      <x:c r="D2385" s="9" t="str"/>
      <x:c r="E2385" s="9" t="str"/>
      <x:c r="F2385" s="13" t="str">
        <x:v>2017</x:v>
      </x:c>
      <x:c r="G2385" s="9" t="str">
        <x:v>England and Wales Court of Appeal (Civil Division)</x:v>
      </x:c>
      <x:c r="H2385" s="9" t="str">
        <x:v>Appellate</x:v>
      </x:c>
      <x:c r="I2385" s="9" t="str">
        <x:v>England and Wales</x:v>
      </x:c>
      <x:c r="J2385" s="9" t="str">
        <x:v>Contract Dispute</x:v>
      </x:c>
      <x:c r="K2385" s="9" t="str">
        <x:v>-ew-cases-EWCA-Civ-2017-373.xml</x:v>
      </x:c>
      <x:c r="L2385" s="9" t="str">
        <x:v>TBA</x:v>
      </x:c>
    </x:row>
    <x:row r="2386">
      <x:c r="A2386" t="str">
        <x:v>c7b142c2-1e60-4f83-9d94-3d95c7eb1758</x:v>
      </x:c>
      <x:c r="B2386" t="str">
        <x:v>2c6b1248-4e2c-460b-9cc8-b1eda02b1c9b</x:v>
      </x:c>
      <x:c r="C2386" s="9" t="str">
        <x:v>Personal Management Solutions Ltd &amp; Anor v Brakes Bros Ltd &amp; Ors [2015] EWCA Civ 985</x:v>
      </x:c>
      <x:c r="D2386" s="9" t="str"/>
      <x:c r="E2386" s="9" t="str"/>
      <x:c r="F2386" s="13" t="str">
        <x:v>2015</x:v>
      </x:c>
      <x:c r="G2386" s="9" t="str">
        <x:v>England and Wales Court of Appeal (Civil Division)</x:v>
      </x:c>
      <x:c r="H2386" s="9" t="str">
        <x:v>Appellate</x:v>
      </x:c>
      <x:c r="I2386" s="9" t="str">
        <x:v>England and Wales</x:v>
      </x:c>
      <x:c r="J2386" s="9" t="str">
        <x:v>Civil Procedure</x:v>
      </x:c>
      <x:c r="K2386" s="9" t="str">
        <x:v>-ew-cases-EWCA-Civ-2015-985.xml</x:v>
      </x:c>
      <x:c r="L2386" s="9" t="str">
        <x:v>TBA</x:v>
      </x:c>
    </x:row>
    <x:row r="2387">
      <x:c r="A2387" t="str">
        <x:v>735577d5-500d-4032-87a6-6dfa73aed12f</x:v>
      </x:c>
      <x:c r="B2387" t="str">
        <x:v>f04c2123-efe7-410d-89c7-15fdad39535f</x:v>
      </x:c>
      <x:c r="C2387" s="9" t="str">
        <x:v>Personal Touch Financial Services Ltd v SimplySure Ltd &amp; Anor [2016] EWCA Civ 461</x:v>
      </x:c>
      <x:c r="D2387" s="9" t="str"/>
      <x:c r="E2387" s="9" t="str"/>
      <x:c r="F2387" s="13" t="str">
        <x:v>2016</x:v>
      </x:c>
      <x:c r="G2387" s="9" t="str">
        <x:v>England and Wales Court of Appeal (Civil Division)</x:v>
      </x:c>
      <x:c r="H2387" s="9" t="str">
        <x:v>Court of Appeal (Civil Division)</x:v>
      </x:c>
      <x:c r="I2387" s="9" t="str">
        <x:v>England and Wales</x:v>
      </x:c>
      <x:c r="J2387" s="9" t="str">
        <x:v>Regulatory/Contractual Dispute within Financial Services</x:v>
      </x:c>
      <x:c r="K2387" s="9" t="str">
        <x:v>-ew-cases-EWCA-Civ-2016-461.xml</x:v>
      </x:c>
      <x:c r="L2387" s="9" t="str">
        <x:v>TBA</x:v>
      </x:c>
    </x:row>
    <x:row r="2388">
      <x:c r="A2388" t="str">
        <x:v>ef93bad4-78c6-4807-9dd9-7c7d347a68ba</x:v>
      </x:c>
      <x:c r="B2388" t="str">
        <x:v>f72b1dd6-125a-489f-900f-6988f6418708</x:v>
      </x:c>
      <x:c r="C2388" s="9" t="str">
        <x:v>Personnel Hygiene Services Ltd v. Rentokil Initial UK Ltd</x:v>
      </x:c>
      <x:c r="D2388" s="9" t="str"/>
      <x:c r="E2388" s="9" t="str"/>
      <x:c r="F2388" s="13" t="str">
        <x:v>2014</x:v>
      </x:c>
      <x:c r="G2388" s="9" t="str">
        <x:v>England and Wales Court of Appeal (Civil Division)</x:v>
      </x:c>
      <x:c r="H2388" s="9" t="str">
        <x:v>Appellate</x:v>
      </x:c>
      <x:c r="I2388" s="9" t="str">
        <x:v>England and Wales</x:v>
      </x:c>
      <x:c r="J2388" s="9" t="str">
        <x:v>Contract Dispute</x:v>
      </x:c>
      <x:c r="K2388" s="9" t="str">
        <x:v>-ew-cases-EWCA-Civ-2014-29.xml</x:v>
      </x:c>
      <x:c r="L2388" s="9" t="str">
        <x:v>TBA</x:v>
      </x:c>
    </x:row>
    <x:row r="2389">
      <x:c r="A2389" t="str">
        <x:v>bc56abc9-25b6-4819-9605-823c0da63e7d</x:v>
      </x:c>
      <x:c r="B2389" t="str">
        <x:v>0bd56882-4b31-4f29-9f2e-11ebfb64384e</x:v>
      </x:c>
      <x:c r="C2389" s="9" t="str">
        <x:v>Peterborough &amp; Stamford Hospitals NHS Trust v McMenemy &amp; Ors [2017] EWCA Civ 1941</x:v>
      </x:c>
      <x:c r="D2389" s="9" t="str"/>
      <x:c r="E2389" s="9" t="str"/>
      <x:c r="F2389" s="13" t="str">
        <x:v>2017</x:v>
      </x:c>
      <x:c r="G2389" s="9" t="str">
        <x:v>England and Wales Court of Appeal (Civil Division)</x:v>
      </x:c>
      <x:c r="H2389" s="9" t="str">
        <x:v>Appellate</x:v>
      </x:c>
      <x:c r="I2389" s="9" t="str">
        <x:v>England and Wales</x:v>
      </x:c>
      <x:c r="J2389" s="9" t="str">
        <x:v>Civil Law</x:v>
      </x:c>
      <x:c r="K2389" s="9" t="str">
        <x:v>-ew-cases-EWCA-Civ-2017-1941.xml</x:v>
      </x:c>
      <x:c r="L2389" s="9" t="str">
        <x:v>TBA</x:v>
      </x:c>
    </x:row>
    <x:row r="2390">
      <x:c r="A2390" t="str">
        <x:v>40222136-e1d6-42c9-9533-896fc7ad48ec</x:v>
      </x:c>
      <x:c r="B2390" t="str">
        <x:v>60e3f787-07ad-4c5b-b0e1-87e872f3b4da</x:v>
      </x:c>
      <x:c r="C2390" s="9" t="str">
        <x:v>Petromec Inc &amp; Ors v Petroleo Brasileiro SA Petrobras &amp; Ors [2005] EWCA Civ 891</x:v>
      </x:c>
      <x:c r="D2390" s="9" t="str"/>
      <x:c r="E2390" s="9" t="str"/>
      <x:c r="F2390" s="13" t="str">
        <x:v>2005</x:v>
      </x:c>
      <x:c r="G2390" s="9" t="str">
        <x:v>England and Wales Court of Appeal (Civil Division)</x:v>
      </x:c>
      <x:c r="H2390" s="9" t="str">
        <x:v>Appellate</x:v>
      </x:c>
      <x:c r="I2390" s="9" t="str">
        <x:v>England and Wales</x:v>
      </x:c>
      <x:c r="J2390" s="9" t="str">
        <x:v>Contract Dispute</x:v>
      </x:c>
      <x:c r="K2390" s="9" t="str">
        <x:v>PT_EWCA-Civ_2005_891.xml</x:v>
      </x:c>
      <x:c r="L2390" s="9" t="str">
        <x:v>TBA</x:v>
      </x:c>
    </x:row>
    <x:row r="2391">
      <x:c r="A2391" t="str">
        <x:v>04b474df-5311-4da9-8155-342f2e5cde62</x:v>
      </x:c>
      <x:c r="B2391" t="str">
        <x:v>32505147-ef1f-49f1-b9fd-76386053e687</x:v>
      </x:c>
      <x:c r="C2391" s="9" t="str">
        <x:v>Petter v EMC Europe Ltd &amp; Anor [2015] EWCA Civ 480</x:v>
      </x:c>
      <x:c r="D2391" s="9" t="str"/>
      <x:c r="E2391" s="9" t="str"/>
      <x:c r="F2391" s="13" t="str">
        <x:v>2015</x:v>
      </x:c>
      <x:c r="G2391" s="9" t="str">
        <x:v>England and Wales Court of Appeal (Civil Division)</x:v>
      </x:c>
      <x:c r="H2391" s="9" t="str">
        <x:v>Appellate</x:v>
      </x:c>
      <x:c r="I2391" s="9" t="str">
        <x:v>England and Wales</x:v>
      </x:c>
      <x:c r="J2391" s="9" t="str">
        <x:v>Employment Law</x:v>
      </x:c>
      <x:c r="K2391" s="9" t="str">
        <x:v>-ew-cases-EWCA-Civ-2015-480.xml</x:v>
      </x:c>
      <x:c r="L2391" s="9" t="str">
        <x:v>TBA</x:v>
      </x:c>
    </x:row>
    <x:row r="2392">
      <x:c r="A2392" t="str">
        <x:v>c628194b-6277-4af9-852d-48b7ba7b8e61</x:v>
      </x:c>
      <x:c r="B2392" t="str">
        <x:v>c7d7b0b4-3f5d-4a44-92d8-171d7090fc18</x:v>
      </x:c>
      <x:c r="C2392" s="9" t="str">
        <x:v>Petter v EMC Europe Ltd &amp; Anor [2015] EWCA Civ 828</x:v>
      </x:c>
      <x:c r="D2392" s="9" t="str"/>
      <x:c r="E2392" s="9" t="str"/>
      <x:c r="F2392" s="13" t="str">
        <x:v>2015</x:v>
      </x:c>
      <x:c r="G2392" s="9" t="str">
        <x:v>England and Wales Court of Appeal (Civil Division)</x:v>
      </x:c>
      <x:c r="H2392" s="9" t="str">
        <x:v>Appellate</x:v>
      </x:c>
      <x:c r="I2392" s="9" t="str">
        <x:v>England</x:v>
      </x:c>
      <x:c r="J2392" s="9" t="str">
        <x:v>Contract Dispute</x:v>
      </x:c>
      <x:c r="K2392" s="9" t="str">
        <x:v>-ew-cases-EWCA-Civ-2015-828.xml</x:v>
      </x:c>
      <x:c r="L2392" s="9" t="str">
        <x:v>TBA</x:v>
      </x:c>
    </x:row>
    <x:row r="2393">
      <x:c r="A2393" t="str">
        <x:v>add46831-0756-41da-bd6a-1cb4798cd3ec</x:v>
      </x:c>
      <x:c r="B2393" t="str">
        <x:v>189fec19-92aa-4caf-a922-f706c0c20356</x:v>
      </x:c>
      <x:c r="C2393" s="9" t="str">
        <x:v>PF (Nigeria) v The Secretary of State for the Home Department [2015] EWCA Civ 251</x:v>
      </x:c>
      <x:c r="D2393" s="9" t="str"/>
      <x:c r="E2393" s="9" t="str"/>
      <x:c r="F2393" s="13" t="str">
        <x:v>2015</x:v>
      </x:c>
      <x:c r="G2393" s="9" t="str">
        <x:v>England and Wales Court of Appeal (Civil Division)</x:v>
      </x:c>
      <x:c r="H2393" s="9" t="str">
        <x:v>Appellate</x:v>
      </x:c>
      <x:c r="I2393" s="9" t="str">
        <x:v>England and Wales</x:v>
      </x:c>
      <x:c r="J2393" s="9" t="str">
        <x:v>Immigration</x:v>
      </x:c>
      <x:c r="K2393" s="9" t="str">
        <x:v>-ew-cases-EWCA-Civ-2015-251.xml</x:v>
      </x:c>
      <x:c r="L2393" s="9" t="str">
        <x:v>TBA</x:v>
      </x:c>
    </x:row>
    <x:row r="2394">
      <x:c r="A2394" t="str">
        <x:v>b5bbbc49-5492-425c-ae0e-bba625e411fe</x:v>
      </x:c>
      <x:c r="B2394" t="str">
        <x:v>2d391422-4f63-431d-996a-c5284e8643e2</x:v>
      </x:c>
      <x:c r="C2394" s="9" t="str">
        <x:v>PG (USA) v The Secretary of State for the Home Department [2015] EWCA Civ 118</x:v>
      </x:c>
      <x:c r="D2394" s="9" t="str"/>
      <x:c r="E2394" s="9" t="str"/>
      <x:c r="F2394" s="13" t="str">
        <x:v>2015</x:v>
      </x:c>
      <x:c r="G2394" s="9" t="str">
        <x:v>England and Wales Court of Appeal (Civil Division)</x:v>
      </x:c>
      <x:c r="H2394" s="9" t="str">
        <x:v>Appellate</x:v>
      </x:c>
      <x:c r="I2394" s="9" t="str">
        <x:v>England and Wales</x:v>
      </x:c>
      <x:c r="J2394" s="9" t="str">
        <x:v>Immigration Law</x:v>
      </x:c>
      <x:c r="K2394" s="9" t="str">
        <x:v>-ew-cases-EWCA-Civ-2015-118.xml</x:v>
      </x:c>
      <x:c r="L2394" s="9" t="str">
        <x:v>TBA</x:v>
      </x:c>
    </x:row>
    <x:row r="2395">
      <x:c r="A2395" t="str">
        <x:v>991fecc5-cb5b-479f-b87e-4f6ac7febd11</x:v>
      </x:c>
      <x:c r="B2395" t="str">
        <x:v>012d6ef1-21d4-4f27-9979-b9ba7d253cca</x:v>
      </x:c>
      <x:c r="C2395" s="9" t="str">
        <x:v>PGI Group Limited v Magret Thomas &amp; 30 Others (Application for Permission to Appeal) [2022] EWCA Civ 233</x:v>
      </x:c>
      <x:c r="D2395" s="9" t="str"/>
      <x:c r="E2395" s="9" t="str"/>
      <x:c r="F2395" s="13" t="str">
        <x:v>2022</x:v>
      </x:c>
      <x:c r="G2395" s="9" t="str">
        <x:v>England and Wales Court of Appeal (Civil Division)</x:v>
      </x:c>
      <x:c r="H2395" s="9" t="str">
        <x:v>Court of Appeal (Civil Division)</x:v>
      </x:c>
      <x:c r="I2395" s="9" t="str">
        <x:v>England and Wales</x:v>
      </x:c>
      <x:c r="J2395" s="9" t="str">
        <x:v>Costs / Civil Procedure / Appeal</x:v>
      </x:c>
      <x:c r="K2395" s="9" t="str">
        <x:v>ew-cases-EWCA-Civ-2022-233.xml</x:v>
      </x:c>
      <x:c r="L2395" s="9" t="str">
        <x:v>TBA</x:v>
      </x:c>
    </x:row>
    <x:row r="2396">
      <x:c r="A2396" t="str">
        <x:v>2bb21530-c9b6-482f-97a3-8aadab701713</x:v>
      </x:c>
      <x:c r="B2396" t="str">
        <x:v>e13c50b0-90da-4688-8da4-ac5a42cf9f72</x:v>
      </x:c>
      <x:c r="C2396" s="9" t="str">
        <x:v>Phil &amp; Ted's Most Excellent Buggy Company Ltd v TFK Trends for Kids GmbH &amp; Ors</x:v>
      </x:c>
      <x:c r="D2396" s="9" t="str"/>
      <x:c r="E2396" s="9" t="str"/>
      <x:c r="F2396" s="13" t="str">
        <x:v>2014</x:v>
      </x:c>
      <x:c r="G2396" s="9" t="str">
        <x:v>England and Wales Court of Appeal (Civil Division)</x:v>
      </x:c>
      <x:c r="H2396" s="9" t="str">
        <x:v>Appellate</x:v>
      </x:c>
      <x:c r="I2396" s="9" t="str">
        <x:v>England and Wales</x:v>
      </x:c>
      <x:c r="J2396" s="9" t="str">
        <x:v>Intellectual Property</x:v>
      </x:c>
      <x:c r="K2396" s="9" t="str">
        <x:v>-ew-cases-EWCA-Civ-2014-469.xml</x:v>
      </x:c>
      <x:c r="L2396" s="9" t="str">
        <x:v>TBA</x:v>
      </x:c>
    </x:row>
    <x:row r="2397">
      <x:c r="A2397" t="str">
        <x:v>8bee9cc9-84dc-49ff-ad46-56a7a08acf2c</x:v>
      </x:c>
      <x:c r="B2397" t="str">
        <x:v>9c4e33c9-91d3-464b-b025-a46e5f3673af</x:v>
      </x:c>
      <x:c r="C2397" s="9" t="str">
        <x:v>Philip Morris Products, S.A. v Nicoventures Trading Limited &amp; Anor (Re Invalidity of Patents) [2022] EWCA Civ 1638</x:v>
      </x:c>
      <x:c r="D2397" s="9" t="str"/>
      <x:c r="E2397" s="9" t="str"/>
      <x:c r="F2397" s="13" t="str">
        <x:v>2022</x:v>
      </x:c>
      <x:c r="G2397" s="9" t="str">
        <x:v>England and Wales Court of Appeal (Civil Division)</x:v>
      </x:c>
      <x:c r="H2397" s="9" t="str">
        <x:v>Court of Appeal (Civil Division)</x:v>
      </x:c>
      <x:c r="I2397" s="9" t="str">
        <x:v>England and Wales</x:v>
      </x:c>
      <x:c r="J2397" s="9" t="str">
        <x:v>Intellectual Property – Patents</x:v>
      </x:c>
      <x:c r="K2397" s="9" t="str">
        <x:v>ew-cases-EWCA-Civ-2022-1638.xml</x:v>
      </x:c>
      <x:c r="L2397" s="9" t="str">
        <x:v>TBA</x:v>
      </x:c>
    </x:row>
    <x:row r="2398">
      <x:c r="A2398" t="str">
        <x:v>86397443-7370-4121-abd9-ad8efd5871ff</x:v>
      </x:c>
      <x:c r="B2398" t="str">
        <x:v>727d863a-b385-45df-96e6-d8dba00144f9</x:v>
      </x:c>
      <x:c r="C2398" s="9" t="str">
        <x:v>Philipp v Barclays Bank UK Plc [2022] EWCA Civ 318</x:v>
      </x:c>
      <x:c r="D2398" s="9" t="str"/>
      <x:c r="E2398" s="9" t="str"/>
      <x:c r="F2398" s="13" t="str">
        <x:v>2022</x:v>
      </x:c>
      <x:c r="G2398" s="9" t="str">
        <x:v>England and Wales Court of Appeal (Civil Division)</x:v>
      </x:c>
      <x:c r="H2398" s="9" t="str">
        <x:v>Court of Appeal (Civil Division)</x:v>
      </x:c>
      <x:c r="I2398" s="9" t="str">
        <x:v>England and Wales</x:v>
      </x:c>
      <x:c r="J2398" s="9" t="str">
        <x:v>Civil Law – Banking Negligence / Duty of Care</x:v>
      </x:c>
      <x:c r="K2398" s="9" t="str">
        <x:v>ew-cases-EWCA-Civ-2022-318.xml</x:v>
      </x:c>
      <x:c r="L2398" s="9" t="str">
        <x:v>TBA</x:v>
      </x:c>
    </x:row>
    <x:row r="2399">
      <x:c r="A2399" t="str">
        <x:v>4fa3188a-8727-4605-a063-86de0ec4bf24</x:v>
      </x:c>
      <x:c r="B2399" t="str">
        <x:v>b9bf2eeb-1aaf-4fdf-b9f5-65321281f20b</x:v>
      </x:c>
      <x:c r="C2399" s="9" t="str">
        <x:v>Phillips v Willis [2016] EWCA Civ 401</x:v>
      </x:c>
      <x:c r="D2399" s="9" t="str"/>
      <x:c r="E2399" s="9" t="str"/>
      <x:c r="F2399" s="13" t="str">
        <x:v>2016</x:v>
      </x:c>
      <x:c r="G2399" s="9" t="str">
        <x:v>England and Wales Court of Appeal (Civil Division)</x:v>
      </x:c>
      <x:c r="H2399" s="9" t="str">
        <x:v>Court of Appeal (Civil Division)</x:v>
      </x:c>
      <x:c r="I2399" s="9" t="str">
        <x:v>England and Wales</x:v>
      </x:c>
      <x:c r="J2399" s="9" t="str">
        <x:v>Civil Procedure / Pre-Action Protocols</x:v>
      </x:c>
      <x:c r="K2399" s="9" t="str">
        <x:v>-ew-cases-EWCA-Civ-2016-401.xml</x:v>
      </x:c>
      <x:c r="L2399" s="9" t="str">
        <x:v>TBA</x:v>
      </x:c>
    </x:row>
    <x:row r="2400">
      <x:c r="A2400" t="str">
        <x:v>01d87531-e99f-42f8-8ed3-f19f75660f90</x:v>
      </x:c>
      <x:c r="B2400" t="str">
        <x:v>70e2de79-c2b3-4a71-898c-cd1e5dd77e7b</x:v>
      </x:c>
      <x:c r="C2400" s="9" t="str">
        <x:v>Philpot, R (On the Application Of) v Commissioner of Police of the Metropolis [2023] EWCA Civ 66</x:v>
      </x:c>
      <x:c r="D2400" s="9" t="str"/>
      <x:c r="E2400" s="9" t="str"/>
      <x:c r="F2400" s="13" t="str">
        <x:v>2023</x:v>
      </x:c>
      <x:c r="G2400" s="9" t="str">
        <x:v>England and Wales Court of Appeal (Civil Division)</x:v>
      </x:c>
      <x:c r="H2400" s="9" t="str">
        <x:v>Court of Appeal (Civil Division)</x:v>
      </x:c>
      <x:c r="I2400" s="9" t="str">
        <x:v>England and Wales</x:v>
      </x:c>
      <x:c r="J2400" s="9" t="str">
        <x:v>Administrative Law / Judicial Review; Public Law</x:v>
      </x:c>
      <x:c r="K2400" s="9" t="str">
        <x:v>ew-cases-EWCA-Civ-2023-66.xml</x:v>
      </x:c>
      <x:c r="L2400" s="9" t="str">
        <x:v>TBA</x:v>
      </x:c>
    </x:row>
    <x:row r="2401">
      <x:c r="A2401" t="str">
        <x:v>eeb6e10c-c885-4463-a1fb-fc71887a25d0</x:v>
      </x:c>
      <x:c r="B2401" t="str">
        <x:v>b09fb158-eea2-4246-afa6-9a119107834a</x:v>
      </x:c>
      <x:c r="C2401" s="9" t="str">
        <x:v>Phipps v Priory Education Services Ltd [2023] EWCA Civ 652 (Court of Appeal, Civil Division)</x:v>
      </x:c>
      <x:c r="D2401" s="9" t="str"/>
      <x:c r="E2401" s="9" t="str"/>
      <x:c r="F2401" s="13" t="str">
        <x:v>2023</x:v>
      </x:c>
      <x:c r="G2401" s="9" t="str">
        <x:v>England and Wales Court of Appeal (Civil Division)</x:v>
      </x:c>
      <x:c r="H2401" s="9" t="str">
        <x:v>Court of Appeal (Civil Division)</x:v>
      </x:c>
      <x:c r="I2401" s="9" t="str">
        <x:v>England and Wales</x:v>
      </x:c>
      <x:c r="J2401" s="9" t="str">
        <x:v>Employment Law; Tribunal Procedure; Appellate Review</x:v>
      </x:c>
      <x:c r="K2401" s="9" t="str">
        <x:v>ew-cases-EWCA-Civ-2023-652.xml</x:v>
      </x:c>
      <x:c r="L2401" s="9" t="str">
        <x:v>TBA</x:v>
      </x:c>
    </x:row>
    <x:row r="2402">
      <x:c r="A2402" t="str">
        <x:v>878f1963-c5e9-4775-9e0e-ba4485ce5483</x:v>
      </x:c>
      <x:c r="B2402" t="str">
        <x:v>4b510407-4cf8-4930-9fc7-22d1c561e103</x:v>
      </x:c>
      <x:c r="C2402" s="9" t="str">
        <x:v>Phoenix Group Foundation v Harbour Fund II LP &amp; Ors [2023] EWCA Civ 36</x:v>
      </x:c>
      <x:c r="D2402" s="9" t="str"/>
      <x:c r="E2402" s="9" t="str"/>
      <x:c r="F2402" s="13" t="str">
        <x:v>2023</x:v>
      </x:c>
      <x:c r="G2402" s="9" t="str">
        <x:v>England and Wales Court of Appeal (Civil Division)</x:v>
      </x:c>
      <x:c r="H2402" s="9" t="str">
        <x:v>Court of Appeal (Civil Division)</x:v>
      </x:c>
      <x:c r="I2402" s="9" t="str">
        <x:v>England and Wales</x:v>
      </x:c>
      <x:c r="J2402" s="9" t="str">
        <x:v>Civil Appeal; Trusts and Equity; Insolvency</x:v>
      </x:c>
      <x:c r="K2402" s="9" t="str">
        <x:v>ew-cases-EWCA-Civ-2023-36.xml</x:v>
      </x:c>
      <x:c r="L2402" s="9" t="str">
        <x:v>TBA</x:v>
      </x:c>
    </x:row>
    <x:row r="2403">
      <x:c r="A2403" t="str">
        <x:v>5c098282-3e52-4cde-943f-3c4bc6b9d70d</x:v>
      </x:c>
      <x:c r="B2403" t="str">
        <x:v>d1c34b40-ca07-41ac-be04-f52393d978ca</x:v>
      </x:c>
      <x:c r="C2403" s="9" t="str">
        <x:v>Phones 4U Ltd v EE Ltd &amp; Ors [2021] EWCA Civ 116</x:v>
      </x:c>
      <x:c r="D2403" s="9" t="str"/>
      <x:c r="E2403" s="9" t="str"/>
      <x:c r="F2403" s="13" t="str">
        <x:v>2021</x:v>
      </x:c>
      <x:c r="G2403" s="9" t="str">
        <x:v>England and Wales Court of Appeal (Civil Division)</x:v>
      </x:c>
      <x:c r="H2403" s="9" t="str">
        <x:v>appellate</x:v>
      </x:c>
      <x:c r="I2403" s="9" t="str">
        <x:v>England and Wales</x:v>
      </x:c>
      <x:c r="J2403" s="9" t="str">
        <x:v>Civil Procedure</x:v>
      </x:c>
      <x:c r="K2403" s="9" t="str">
        <x:v>ew-cases-EWCA-Civ-2021-116.xml</x:v>
      </x:c>
      <x:c r="L2403" s="9" t="str">
        <x:v>TBA</x:v>
      </x:c>
    </x:row>
    <x:row r="2404">
      <x:c r="A2404" t="str">
        <x:v>eb094093-ce06-42a5-9c10-feb70c685e3a</x:v>
      </x:c>
      <x:c r="B2404" t="str">
        <x:v>5c2c6ba3-099c-4959-b140-a77cae987ade</x:v>
      </x:c>
      <x:c r="C2404" s="9" t="str">
        <x:v>Piffs Elm Limited v Commission for Local Administration in England &amp; Anor [2023] EWCA Civ 486</x:v>
      </x:c>
      <x:c r="D2404" s="9" t="str"/>
      <x:c r="E2404" s="9" t="str"/>
      <x:c r="F2404" s="13" t="str">
        <x:v>2023</x:v>
      </x:c>
      <x:c r="G2404" s="9" t="str">
        <x:v>England and Wales Court of Appeal (Civil Division)</x:v>
      </x:c>
      <x:c r="H2404" s="9" t="str">
        <x:v>Court of Appeal (Civil Division)</x:v>
      </x:c>
      <x:c r="I2404" s="9" t="str">
        <x:v>England and Wales</x:v>
      </x:c>
      <x:c r="J2404" s="9" t="str">
        <x:v>Administrative Law / Local Government</x:v>
      </x:c>
      <x:c r="K2404" s="9" t="str">
        <x:v>ew-cases-EWCA-Civ-2023-486.xml</x:v>
      </x:c>
      <x:c r="L2404" s="9" t="str">
        <x:v>TBA</x:v>
      </x:c>
    </x:row>
    <x:row r="2405">
      <x:c r="A2405" t="str">
        <x:v>38c2200c-e155-493e-a310-5159e66d7bc5</x:v>
      </x:c>
      <x:c r="B2405" t="str">
        <x:v>4a1b81ee-604f-4703-87d5-9186511a732b</x:v>
      </x:c>
      <x:c r="C2405" s="9" t="str">
        <x:v>Pigot v The Environment Agency: Rights and Responsibilities Regarding River Use</x:v>
      </x:c>
      <x:c r="D2405" s="9" t="str"/>
      <x:c r="E2405" s="9" t="str"/>
      <x:c r="F2405" s="13" t="str">
        <x:v>2021</x:v>
      </x:c>
      <x:c r="G2405" s="9" t="str">
        <x:v>England and Wales Court of Appeal (Civil Division)</x:v>
      </x:c>
      <x:c r="H2405" s="9" t="str">
        <x:v>Appellate</x:v>
      </x:c>
      <x:c r="I2405" s="9" t="str">
        <x:v>England and Wales</x:v>
      </x:c>
      <x:c r="J2405" s="9" t="str">
        <x:v>Environmental Law</x:v>
      </x:c>
      <x:c r="K2405" s="9" t="str">
        <x:v>ew-cases-EWCA-Civ-2021-213.xml</x:v>
      </x:c>
      <x:c r="L2405" s="9" t="str">
        <x:v>TBA</x:v>
      </x:c>
    </x:row>
    <x:row r="2406">
      <x:c r="A2406" t="str">
        <x:v>d6143395-c58a-4754-8e72-bc633331e30c</x:v>
      </x:c>
      <x:c r="B2406" t="str">
        <x:v>d1df7f93-6ec2-43c6-b077-7e14f4bdd140</x:v>
      </x:c>
      <x:c r="C2406" s="9" t="str">
        <x:v>Pillar Denton Ltd &amp; Ors v Jervis &amp; Ors [2014] EWCA Civ 180</x:v>
      </x:c>
      <x:c r="D2406" s="9" t="str"/>
      <x:c r="E2406" s="9" t="str"/>
      <x:c r="F2406" s="13" t="str">
        <x:v>2014</x:v>
      </x:c>
      <x:c r="G2406" s="9" t="str">
        <x:v>England and Wales Court of Appeal (Civil Division)</x:v>
      </x:c>
      <x:c r="H2406" s="9" t="str">
        <x:v>Appellate</x:v>
      </x:c>
      <x:c r="I2406" s="9" t="str">
        <x:v>England and Wales</x:v>
      </x:c>
      <x:c r="J2406" s="9" t="str">
        <x:v>Insolvency Law</x:v>
      </x:c>
      <x:c r="K2406" s="9" t="str">
        <x:v>-ew-cases-EWCA-Civ-2014-180.xml</x:v>
      </x:c>
      <x:c r="L2406" s="9" t="str">
        <x:v>TBA</x:v>
      </x:c>
    </x:row>
    <x:row r="2407">
      <x:c r="A2407" t="str">
        <x:v>0fe252aa-d570-4ee7-b002-ebda140e23dd</x:v>
      </x:c>
      <x:c r="B2407" t="str">
        <x:v>126904c3-76e4-4116-9766-06699aedc5c8</x:v>
      </x:c>
      <x:c r="C2407" s="9" t="str">
        <x:v>Pimlico Plumbers Ltd &amp; Anor v Smith</x:v>
      </x:c>
      <x:c r="D2407" s="9" t="str"/>
      <x:c r="E2407" s="9" t="str"/>
      <x:c r="F2407" s="13" t="str">
        <x:v>2017</x:v>
      </x:c>
      <x:c r="G2407" s="9" t="str">
        <x:v>England and Wales Court of Appeal (Civil Division)</x:v>
      </x:c>
      <x:c r="H2407" s="9" t="str">
        <x:v>Appellate</x:v>
      </x:c>
      <x:c r="I2407" s="9" t="str">
        <x:v>England and Wales</x:v>
      </x:c>
      <x:c r="J2407" s="9" t="str">
        <x:v>Employment Law</x:v>
      </x:c>
      <x:c r="K2407" s="9" t="str">
        <x:v>-ew-cases-EWCA-Civ-2017-51.xml</x:v>
      </x:c>
      <x:c r="L2407" s="9" t="str">
        <x:v>TBA</x:v>
      </x:c>
    </x:row>
    <x:row r="2408">
      <x:c r="A2408" t="str">
        <x:v>dc8d21ea-fe39-4479-a845-0cae795ddc23</x:v>
      </x:c>
      <x:c r="B2408" t="str">
        <x:v>f267189c-abb2-4e08-9ad3-2d255e4734f9</x:v>
      </x:c>
      <x:c r="C2408" s="9" t="str">
        <x:v>Pitalia &amp; Anor v NHS England [2023] EWCA Civ 657</x:v>
      </x:c>
      <x:c r="D2408" s="9" t="str"/>
      <x:c r="E2408" s="9" t="str"/>
      <x:c r="F2408" s="13" t="str">
        <x:v>2023</x:v>
      </x:c>
      <x:c r="G2408" s="9" t="str">
        <x:v>England and Wales Court of Appeal (Civil Division)</x:v>
      </x:c>
      <x:c r="H2408" s="9" t="str">
        <x:v>Court of Appeal, Civil Division</x:v>
      </x:c>
      <x:c r="I2408" s="9" t="str">
        <x:v>England and Wales</x:v>
      </x:c>
      <x:c r="J2408" s="9" t="str">
        <x:v>Civil Procedure; Jurisdiction; Service of Process; Appeals</x:v>
      </x:c>
      <x:c r="K2408" s="9" t="str">
        <x:v>ew-cases-EWCA-Civ-2023-657.xml</x:v>
      </x:c>
      <x:c r="L2408" s="9" t="str">
        <x:v>TBA</x:v>
      </x:c>
    </x:row>
    <x:row r="2409">
      <x:c r="A2409" t="str">
        <x:v>f9a7d16e-1a92-40a4-bd8c-8c7a5f85bf6d</x:v>
      </x:c>
      <x:c r="B2409" t="str">
        <x:v>2239bdac-2d8f-4159-aac8-7ce21f245400</x:v>
      </x:c>
      <x:c r="C2409" s="9" t="str">
        <x:v>Pitalia &amp; Anor v The National Health Service Commissioning Board</x:v>
      </x:c>
      <x:c r="D2409" s="9" t="str"/>
      <x:c r="E2409" s="9" t="str"/>
      <x:c r="F2409" s="13" t="str">
        <x:v>2014</x:v>
      </x:c>
      <x:c r="G2409" s="9" t="str">
        <x:v>England and Wales Court of Appeal (Civil Division)</x:v>
      </x:c>
      <x:c r="H2409" s="9" t="str">
        <x:v>Appellate</x:v>
      </x:c>
      <x:c r="I2409" s="9" t="str">
        <x:v>England and Wales</x:v>
      </x:c>
      <x:c r="J2409" s="9" t="str">
        <x:v>Administrative Law</x:v>
      </x:c>
      <x:c r="K2409" s="9" t="str">
        <x:v>-ew-cases-EWCA-Civ-2014-474.xml</x:v>
      </x:c>
      <x:c r="L2409" s="9" t="str">
        <x:v>TBA</x:v>
      </x:c>
    </x:row>
    <x:row r="2410">
      <x:c r="A2410" t="str">
        <x:v>32206be7-4fe8-4a61-80c5-95738f12cd91</x:v>
      </x:c>
      <x:c r="B2410" t="str">
        <x:v>9ec88c2a-5e3d-4d84-bc1e-cd8a55ad50cb</x:v>
      </x:c>
      <x:c r="C2410" s="9" t="str">
        <x:v>PJ (India) v Secretary of State for the Home Department [2015] EWCA Civ 765</x:v>
      </x:c>
      <x:c r="D2410" s="9" t="str"/>
      <x:c r="E2410" s="9" t="str"/>
      <x:c r="F2410" s="13" t="str">
        <x:v>2015</x:v>
      </x:c>
      <x:c r="G2410" s="9" t="str">
        <x:v>England and Wales Court of Appeal (Civil Division)</x:v>
      </x:c>
      <x:c r="H2410" s="9" t="str">
        <x:v>Appellate</x:v>
      </x:c>
      <x:c r="I2410" s="9" t="str">
        <x:v>England and Wales</x:v>
      </x:c>
      <x:c r="J2410" s="9" t="str">
        <x:v>Immigration Law</x:v>
      </x:c>
      <x:c r="K2410" s="9" t="str">
        <x:v>-ew-cases-EWCA-Civ-2015-765.xml</x:v>
      </x:c>
      <x:c r="L2410" s="9" t="str">
        <x:v>TBA</x:v>
      </x:c>
    </x:row>
    <x:row r="2411">
      <x:c r="A2411" t="str">
        <x:v>5ae874e0-58bc-4505-af56-a56107d31a32</x:v>
      </x:c>
      <x:c r="B2411" t="str">
        <x:v>dc247eb5-079a-4dff-a935-e4ad6ebc9261</x:v>
      </x:c>
      <x:c r="C2411" s="9" t="str">
        <x:v>PJ v Secretary of State for the Home Department</x:v>
      </x:c>
      <x:c r="D2411" s="9" t="str"/>
      <x:c r="E2411" s="9" t="str"/>
      <x:c r="F2411" s="13" t="str">
        <x:v>2014</x:v>
      </x:c>
      <x:c r="G2411" s="9" t="str">
        <x:v>England and Wales Court of Appeal (Civil Division)</x:v>
      </x:c>
      <x:c r="H2411" s="9" t="str">
        <x:v>Appellate</x:v>
      </x:c>
      <x:c r="I2411" s="9" t="str">
        <x:v>England and Wales</x:v>
      </x:c>
      <x:c r="J2411" s="9" t="str">
        <x:v>Immigration</x:v>
      </x:c>
      <x:c r="K2411" s="9" t="str">
        <x:v>-ew-cases-EWCA-Civ-2014-1011.xml</x:v>
      </x:c>
      <x:c r="L2411" s="9" t="str">
        <x:v>TBA</x:v>
      </x:c>
    </x:row>
    <x:row r="2412">
      <x:c r="A2412" t="str">
        <x:v>46d89eaf-af5c-4cf9-99d7-0739c403f2b6</x:v>
      </x:c>
      <x:c r="B2412" t="str">
        <x:v>a270dca7-9668-4eaa-bb2c-be86976eb898</x:v>
      </x:c>
      <x:c r="C2412" s="9" t="str">
        <x:v>PJS v News Group Newspapers Limited [2016] EWCA Civ 100 (22 January 2016)</x:v>
      </x:c>
      <x:c r="D2412" s="9" t="str"/>
      <x:c r="E2412" s="9" t="str"/>
      <x:c r="F2412" s="13" t="str">
        <x:v>2016</x:v>
      </x:c>
      <x:c r="G2412" s="9" t="str">
        <x:v>England and Wales Court of Appeal</x:v>
      </x:c>
      <x:c r="H2412" s="9" t="str">
        <x:v>Court of Appeal (Civil Division)</x:v>
      </x:c>
      <x:c r="I2412" s="9" t="str">
        <x:v>England and Wales</x:v>
      </x:c>
      <x:c r="J2412" s="9" t="str">
        <x:v>Privacy / Confidentiality and Publication under Human Rights framework</x:v>
      </x:c>
      <x:c r="K2412" s="9" t="str">
        <x:v>-ew-cases-EWCA-Civ-2016-100.xml</x:v>
      </x:c>
      <x:c r="L2412" s="9" t="str">
        <x:v>TBA</x:v>
      </x:c>
    </x:row>
    <x:row r="2413">
      <x:c r="A2413" t="str">
        <x:v>fa6a5147-6763-4d7c-a2a2-6a0f0f023064</x:v>
      </x:c>
      <x:c r="B2413" t="str">
        <x:v>14f24903-de2d-4d46-8ac6-aab9f39d9cee</x:v>
      </x:c>
      <x:c r="C2413" s="9" t="str">
        <x:v>PJS v News Group Newspapers Ltd [2016] EWCA Civ 393 (Court of Appeal, Civil Division) – Interim injunction on publication set aside in light of public-domain information and HRA section 12 balancing</x:v>
      </x:c>
      <x:c r="D2413" s="9" t="str"/>
      <x:c r="E2413" s="9" t="str"/>
      <x:c r="F2413" s="13" t="str">
        <x:v>2016</x:v>
      </x:c>
      <x:c r="G2413" s="9" t="str">
        <x:v>England and Wales Court of Appeal (Civil Division)</x:v>
      </x:c>
      <x:c r="H2413" s="9" t="str">
        <x:v>Court of Appeal (Civil Division)</x:v>
      </x:c>
      <x:c r="I2413" s="9" t="str">
        <x:v>England and Wales</x:v>
      </x:c>
      <x:c r="J2413" s="9" t="str">
        <x:v>Privacy/Injunction – Article 8 vs Article 10 balancing under HRA 1998</x:v>
      </x:c>
      <x:c r="K2413" s="9" t="str">
        <x:v>-ew-cases-EWCA-Civ-2016-393.xml</x:v>
      </x:c>
      <x:c r="L2413" s="9" t="str">
        <x:v>TBA</x:v>
      </x:c>
    </x:row>
    <x:row r="2414">
      <x:c r="A2414" t="str">
        <x:v>977a43af-6868-4156-af8f-4dd789b2ebe0</x:v>
      </x:c>
      <x:c r="B2414" t="str">
        <x:v>051a95b9-9e1e-4fe6-b5c8-8b16148d7dcb</x:v>
      </x:c>
      <x:c r="C2414" s="9" t="str">
        <x:v>PJSC Tatneft v Bogolyubov &amp; Ors</x:v>
      </x:c>
      <x:c r="D2414" s="9" t="str"/>
      <x:c r="E2414" s="9" t="str"/>
      <x:c r="F2414" s="13" t="str">
        <x:v>2017</x:v>
      </x:c>
      <x:c r="G2414" s="9" t="str">
        <x:v>England and Wales Court of Appeal (Civil Division)</x:v>
      </x:c>
      <x:c r="H2414" s="9" t="str">
        <x:v>Appellate</x:v>
      </x:c>
      <x:c r="I2414" s="9" t="str">
        <x:v>England and Wales</x:v>
      </x:c>
      <x:c r="J2414" s="9" t="str">
        <x:v>Commercial Dispute</x:v>
      </x:c>
      <x:c r="K2414" s="9" t="str">
        <x:v>-ew-cases-EWCA-Civ-2017-1581.xml</x:v>
      </x:c>
      <x:c r="L2414" s="9" t="str">
        <x:v>TBA</x:v>
      </x:c>
    </x:row>
    <x:row r="2415">
      <x:c r="A2415" t="str">
        <x:v>b17796b2-0805-480d-96ab-c612bf10eca7</x:v>
      </x:c>
      <x:c r="B2415" t="str">
        <x:v>abd2eb4d-62ae-4c3d-924e-f02b20b5674c</x:v>
      </x:c>
      <x:c r="C2415" s="9" t="str">
        <x:v>PK Airfinance SARL &amp; Anor v Alpstream AG &amp; Ors [2015] EWCA Civ 1318</x:v>
      </x:c>
      <x:c r="D2415" s="9" t="str"/>
      <x:c r="E2415" s="9" t="str"/>
      <x:c r="F2415" s="13" t="str">
        <x:v>2015</x:v>
      </x:c>
      <x:c r="G2415" s="9" t="str">
        <x:v>England and Wales Court of Appeal (Civil Division)</x:v>
      </x:c>
      <x:c r="H2415" s="9" t="str">
        <x:v>appellate</x:v>
      </x:c>
      <x:c r="I2415" s="9" t="str">
        <x:v>England and Wales</x:v>
      </x:c>
      <x:c r="J2415" s="9" t="str">
        <x:v>Contract Dispute</x:v>
      </x:c>
      <x:c r="K2415" s="9" t="str">
        <x:v>-ew-cases-EWCA-Civ-2015-1318.xml</x:v>
      </x:c>
      <x:c r="L2415" s="9" t="str">
        <x:v>TBA</x:v>
      </x:c>
    </x:row>
    <x:row r="2416">
      <x:c r="A2416" t="str">
        <x:v>801d30ce-024a-4ff9-96ca-ff1b16c5cde9</x:v>
      </x:c>
      <x:c r="B2416" t="str">
        <x:v>1eb3abd7-0da8-40e3-b68e-a9c28a049ebe</x:v>
      </x:c>
      <x:c r="C2416" s="9" t="str">
        <x:v>Plan B Earth v Secretary of State for Transport</x:v>
      </x:c>
      <x:c r="D2416" s="9" t="str"/>
      <x:c r="E2416" s="9" t="str"/>
      <x:c r="F2416" s="13" t="str">
        <x:v>2020</x:v>
      </x:c>
      <x:c r="G2416" s="9" t="str">
        <x:v>England and Wales Court of Appeal (Civil Division)</x:v>
      </x:c>
      <x:c r="H2416" s="9" t="str">
        <x:v>Appellate</x:v>
      </x:c>
      <x:c r="I2416" s="9" t="str">
        <x:v>United Kingdom</x:v>
      </x:c>
      <x:c r="J2416" s="9" t="str">
        <x:v>Environmental Law</x:v>
      </x:c>
      <x:c r="K2416" s="9" t="str">
        <x:v>PT_EWCA-Civ_2020_214.xml</x:v>
      </x:c>
      <x:c r="L2416" s="9" t="str">
        <x:v>TBA</x:v>
      </x:c>
    </x:row>
    <x:row r="2417">
      <x:c r="A2417" t="str">
        <x:v>a85c7c89-f6e0-46fd-b05b-35bb968f259f</x:v>
      </x:c>
      <x:c r="B2417" t="str">
        <x:v>753bf041-06ad-469d-90f3-d671da197711</x:v>
      </x:c>
      <x:c r="C2417" s="9" t="str">
        <x:v>Planon Limited v Gilligan [2022] EWCA Civ 642 (Court of Appeal, Civil Division)</x:v>
      </x:c>
      <x:c r="D2417" s="9" t="str"/>
      <x:c r="E2417" s="9" t="str"/>
      <x:c r="F2417" s="13" t="str">
        <x:v>2022</x:v>
      </x:c>
      <x:c r="G2417" s="9" t="str">
        <x:v>England and Wales Court of Appeal (Civil Division)</x:v>
      </x:c>
      <x:c r="H2417" s="9" t="str">
        <x:v>Court of Appeal (Civil Division)</x:v>
      </x:c>
      <x:c r="I2417" s="9" t="str">
        <x:v>England and Wales</x:v>
      </x:c>
      <x:c r="J2417" s="9" t="str">
        <x:v>Contract/Employment - Post-termination restraints (PTRs)</x:v>
      </x:c>
      <x:c r="K2417" s="9" t="str">
        <x:v>ew-cases-EWCA-Civ-2022-642.xml</x:v>
      </x:c>
      <x:c r="L2417" s="9" t="str">
        <x:v>TBA</x:v>
      </x:c>
    </x:row>
    <x:row r="2418">
      <x:c r="A2418" t="str">
        <x:v>3d4ee5ef-1c54-47d4-9f58-85c10cc3d2e0</x:v>
      </x:c>
      <x:c r="B2418" t="str">
        <x:v>b99a8901-9b30-4c95-816a-546d73fc1fe8</x:v>
      </x:c>
      <x:c r="C2418" s="9" t="str">
        <x:v>Platt v BRB (Residuary) Ltd [2014] EWCA Civ 1401</x:v>
      </x:c>
      <x:c r="D2418" s="9" t="str"/>
      <x:c r="E2418" s="9" t="str"/>
      <x:c r="F2418" s="13" t="str">
        <x:v>2014</x:v>
      </x:c>
      <x:c r="G2418" s="9" t="str">
        <x:v>England and Wales Court of Appeal (Civil Division)</x:v>
      </x:c>
      <x:c r="H2418" s="9" t="str">
        <x:v>Appellate</x:v>
      </x:c>
      <x:c r="I2418" s="9" t="str">
        <x:v>England and Wales</x:v>
      </x:c>
      <x:c r="J2418" s="9" t="str">
        <x:v>Tort Related</x:v>
      </x:c>
      <x:c r="K2418" s="9" t="str">
        <x:v>-ew-cases-EWCA-Civ-2014-1401.xml</x:v>
      </x:c>
      <x:c r="L2418" s="9" t="str">
        <x:v>TBA</x:v>
      </x:c>
    </x:row>
    <x:row r="2419">
      <x:c r="A2419" t="str">
        <x:v>2220e122-6a74-4229-8361-99f5d3a127bd</x:v>
      </x:c>
      <x:c r="B2419" t="str">
        <x:v>ccdc9770-af58-479d-b881-17b6e348a8ab</x:v>
      </x:c>
      <x:c r="C2419" s="9" t="str">
        <x:v>Playboy Club London Ltd &amp; Ors v Banca Nazionale Del Lavoro Spa [2016] EWCA Civ 457</x:v>
      </x:c>
      <x:c r="D2419" s="9" t="str"/>
      <x:c r="E2419" s="9" t="str"/>
      <x:c r="F2419" s="13" t="str">
        <x:v>2016</x:v>
      </x:c>
      <x:c r="G2419" s="9" t="str">
        <x:v>England and Wales Court of Appeal (Civil Division)</x:v>
      </x:c>
      <x:c r="H2419" s="9" t="str">
        <x:v>Court of Appeal (Civil Division)</x:v>
      </x:c>
      <x:c r="I2419" s="9" t="str">
        <x:v>England and Wales</x:v>
      </x:c>
      <x:c r="J2419" s="9" t="str">
        <x:v>Tort / Negligence (negligent misstatement)</x:v>
      </x:c>
      <x:c r="K2419" s="9" t="str">
        <x:v>-ew-cases-EWCA-Civ-2016-457.xml</x:v>
      </x:c>
      <x:c r="L2419" s="9" t="str">
        <x:v>TBA</x:v>
      </x:c>
    </x:row>
    <x:row r="2420">
      <x:c r="A2420" t="str">
        <x:v>7f9b7bf9-57c2-448b-bb66-d35e103f4db2</x:v>
      </x:c>
      <x:c r="B2420" t="str">
        <x:v>5ca100db-da4c-4fe9-b820-352e8450beed</x:v>
      </x:c>
      <x:c r="C2420" s="9" t="str">
        <x:v>PNM v Times Newspapers Ltd and Ors [2014] EWCA Civ 1132</x:v>
      </x:c>
      <x:c r="D2420" s="9" t="str"/>
      <x:c r="E2420" s="9" t="str"/>
      <x:c r="F2420" s="13" t="str">
        <x:v>2014</x:v>
      </x:c>
      <x:c r="G2420" s="9" t="str">
        <x:v>England and Wales Court of Appeal (Civil Division)</x:v>
      </x:c>
      <x:c r="H2420" s="9" t="str">
        <x:v>Appellate</x:v>
      </x:c>
      <x:c r="I2420" s="9" t="str">
        <x:v>England and Wales</x:v>
      </x:c>
      <x:c r="J2420" s="9" t="str">
        <x:v>Privacy Law</x:v>
      </x:c>
      <x:c r="K2420" s="9" t="str">
        <x:v>-ew-cases-EWCA-Civ-2014-1132.xml</x:v>
      </x:c>
      <x:c r="L2420" s="9" t="str">
        <x:v>TBA</x:v>
      </x:c>
    </x:row>
    <x:row r="2421">
      <x:c r="A2421" t="str">
        <x:v>8757cd9a-7df1-4d2c-aab8-961eaaa518fa</x:v>
      </x:c>
      <x:c r="B2421" t="str">
        <x:v>fce8cdea-3919-4229-a464-b673eef90d57</x:v>
      </x:c>
      <x:c r="C2421" s="9" t="str">
        <x:v>Porter Capital Corporation v Zulfikar Masters [2016] EWCA Civ 5</x:v>
      </x:c>
      <x:c r="D2421" s="9" t="str"/>
      <x:c r="E2421" s="9" t="str"/>
      <x:c r="F2421" s="13" t="str">
        <x:v>2016</x:v>
      </x:c>
      <x:c r="G2421" s="9" t="str">
        <x:v>England and Wales Court of Appeal (Civil Division)</x:v>
      </x:c>
      <x:c r="H2421" s="9" t="str">
        <x:v>Court of Appeal</x:v>
      </x:c>
      <x:c r="I2421" s="9" t="str">
        <x:v>England and Wales</x:v>
      </x:c>
      <x:c r="J2421" s="9" t="str">
        <x:v>Contract Dispute</x:v>
      </x:c>
      <x:c r="K2421" s="9" t="str">
        <x:v>-ew-cases-EWCA-Civ-2016-5.xml</x:v>
      </x:c>
      <x:c r="L2421" s="9" t="str">
        <x:v>TBA</x:v>
      </x:c>
    </x:row>
    <x:row r="2422">
      <x:c r="A2422" t="str">
        <x:v>aea705fa-d493-4487-af92-d725470b0e5e</x:v>
      </x:c>
      <x:c r="B2422" t="str">
        <x:v>bd5ca662-5014-4b47-99e5-2577c81b10cf</x:v>
      </x:c>
      <x:c r="C2422" s="9" t="str">
        <x:v>Portland Gas Storage Ltd v HM Revenue &amp; Customs [2015] EWCA Civ 559</x:v>
      </x:c>
      <x:c r="D2422" s="9" t="str"/>
      <x:c r="E2422" s="9" t="str"/>
      <x:c r="F2422" s="13" t="str">
        <x:v>2015</x:v>
      </x:c>
      <x:c r="G2422" s="9" t="str">
        <x:v>England and Wales Court of Appeal (Civil Division)</x:v>
      </x:c>
      <x:c r="H2422" s="9" t="str">
        <x:v>Appellate</x:v>
      </x:c>
      <x:c r="I2422" s="9" t="str">
        <x:v>England and Wales</x:v>
      </x:c>
      <x:c r="J2422" s="9" t="str">
        <x:v>Tax Law</x:v>
      </x:c>
      <x:c r="K2422" s="9" t="str">
        <x:v>-ew-cases-EWCA-Civ-2015-559.xml</x:v>
      </x:c>
      <x:c r="L2422" s="9" t="str">
        <x:v>TBA</x:v>
      </x:c>
    </x:row>
    <x:row r="2423">
      <x:c r="A2423" t="str">
        <x:v>26cd7e4d-ceef-41f0-8c79-0ace32955cc5</x:v>
      </x:c>
      <x:c r="B2423" t="str">
        <x:v>6b964b74-0beb-4873-af30-66e2731cb1de</x:v>
      </x:c>
      <x:c r="C2423" s="9" t="str">
        <x:v>Poshteh v Royal Borough of Kensington And Chelsea</x:v>
      </x:c>
      <x:c r="D2423" s="9" t="str"/>
      <x:c r="E2423" s="9" t="str"/>
      <x:c r="F2423" s="13" t="str">
        <x:v>2015</x:v>
      </x:c>
      <x:c r="G2423" s="9" t="str">
        <x:v>England and Wales Court of Appeal (Civil Division)</x:v>
      </x:c>
      <x:c r="H2423" s="9" t="str">
        <x:v>Appellate</x:v>
      </x:c>
      <x:c r="I2423" s="9" t="str">
        <x:v>England and Wales</x:v>
      </x:c>
      <x:c r="J2423" s="9" t="str">
        <x:v>Housing Law</x:v>
      </x:c>
      <x:c r="K2423" s="9" t="str">
        <x:v>-ew-cases-EWCA-Civ-2015-711.xml</x:v>
      </x:c>
      <x:c r="L2423" s="9" t="str">
        <x:v>TBA</x:v>
      </x:c>
    </x:row>
    <x:row r="2424">
      <x:c r="A2424" t="str">
        <x:v>9607549e-9856-4211-9069-4b5e6434dd61</x:v>
      </x:c>
      <x:c r="B2424" t="str">
        <x:v>3b0c69c0-48eb-45e1-9e15-c64945d67f9d</x:v>
      </x:c>
      <x:c r="C2424" s="9" t="str">
        <x:v>Potanina v Potanin [2021] EWCA Civ 702</x:v>
      </x:c>
      <x:c r="D2424" s="9" t="str"/>
      <x:c r="E2424" s="9" t="str"/>
      <x:c r="F2424" s="13" t="str">
        <x:v>2021</x:v>
      </x:c>
      <x:c r="G2424" s="9" t="str">
        <x:v>England and Wales Court of Appeal (Civil Division)</x:v>
      </x:c>
      <x:c r="H2424" s="9" t="str">
        <x:v>Appellate</x:v>
      </x:c>
      <x:c r="I2424" s="9" t="str">
        <x:v>England and Wales</x:v>
      </x:c>
      <x:c r="J2424" s="9" t="str">
        <x:v>Family Law</x:v>
      </x:c>
      <x:c r="K2424" s="9" t="str">
        <x:v>ew-cases-EWCA-Civ-2021-702.xml</x:v>
      </x:c>
      <x:c r="L2424" s="9" t="str">
        <x:v>TBA</x:v>
      </x:c>
    </x:row>
    <x:row r="2425">
      <x:c r="A2425" t="str">
        <x:v>b6b24121-f8c4-4a9d-8ab4-f77a35777e9c</x:v>
      </x:c>
      <x:c r="B2425" t="str">
        <x:v>9332a0b1-d48c-4aeb-aaae-c90041a9da96</x:v>
      </x:c>
      <x:c r="C2425" s="9" t="str">
        <x:v>Poule Securities Ltd v Howe &amp; Ors [2021] EWCA Civ 1373</x:v>
      </x:c>
      <x:c r="D2425" s="9" t="str"/>
      <x:c r="E2425" s="9" t="str"/>
      <x:c r="F2425" s="13" t="str">
        <x:v>2021</x:v>
      </x:c>
      <x:c r="G2425" s="9" t="str">
        <x:v>England and Wales Court of Appeal (Civil Division)</x:v>
      </x:c>
      <x:c r="H2425" s="9" t="str">
        <x:v>Appellate</x:v>
      </x:c>
      <x:c r="I2425" s="9" t="str">
        <x:v>England and Wales</x:v>
      </x:c>
      <x:c r="J2425" s="9" t="str">
        <x:v>Civil Procedure</x:v>
      </x:c>
      <x:c r="K2425" s="9" t="str">
        <x:v>ew-cases-EWCA-Civ-2021-1373.xml</x:v>
      </x:c>
      <x:c r="L2425" s="9" t="str">
        <x:v>TBA</x:v>
      </x:c>
    </x:row>
    <x:row r="2426">
      <x:c r="A2426" t="str">
        <x:v>a99a96f5-811b-49f8-8b88-e871b2bf1c95</x:v>
      </x:c>
      <x:c r="B2426" t="str">
        <x:v>393c3939-5c84-47e7-80eb-af154a93839b</x:v>
      </x:c>
      <x:c r="C2426" s="9" t="str">
        <x:v>Powell, R (on the application of) v The Brighton Marina Company Ltd &amp; Ors</x:v>
      </x:c>
      <x:c r="D2426" s="9" t="str"/>
      <x:c r="E2426" s="9" t="str"/>
      <x:c r="F2426" s="13" t="str">
        <x:v>2015</x:v>
      </x:c>
      <x:c r="G2426" s="9" t="str">
        <x:v>England and Wales Court of Appeal (Civil Division)</x:v>
      </x:c>
      <x:c r="H2426" s="9" t="str">
        <x:v>Appellate</x:v>
      </x:c>
      <x:c r="I2426" s="9" t="str">
        <x:v>England and Wales</x:v>
      </x:c>
      <x:c r="J2426" s="9" t="str">
        <x:v>Administrative Law</x:v>
      </x:c>
      <x:c r="K2426" s="9" t="str">
        <x:v>-ew-cases-EWCA-Civ-2015-650.xml</x:v>
      </x:c>
      <x:c r="L2426" s="9" t="str">
        <x:v>TBA</x:v>
      </x:c>
    </x:row>
    <x:row r="2427">
      <x:c r="A2427" t="str">
        <x:v>38311a28-c8d8-4d58-9a96-3581cd503644</x:v>
      </x:c>
      <x:c r="B2427" t="str">
        <x:v>caef1fd9-0377-4174-a9c3-41bb6add5c75</x:v>
      </x:c>
      <x:c r="C2427" s="9" t="str">
        <x:v>Power &amp; Anor v Shah [2023] EWCA Civ 239</x:v>
      </x:c>
      <x:c r="D2427" s="9" t="str"/>
      <x:c r="E2427" s="9" t="str"/>
      <x:c r="F2427" s="13" t="str">
        <x:v>2023</x:v>
      </x:c>
      <x:c r="G2427" s="9" t="str">
        <x:v>England and Wales Court of Appeal (Civil Division)</x:v>
      </x:c>
      <x:c r="H2427" s="9" t="str">
        <x:v>Court of Appeal (Civil Division)</x:v>
      </x:c>
      <x:c r="I2427" s="9" t="str">
        <x:v>England and Wales</x:v>
      </x:c>
      <x:c r="J2427" s="9" t="str">
        <x:v>Civil dispute; Statutory interpretation; Property law; Party Wall Act 1996</x:v>
      </x:c>
      <x:c r="K2427" s="9" t="str">
        <x:v>ew-cases-EWCA-Civ-2023-239.xml</x:v>
      </x:c>
      <x:c r="L2427" s="9" t="str">
        <x:v>TBA</x:v>
      </x:c>
    </x:row>
    <x:row r="2428">
      <x:c r="A2428" t="str">
        <x:v>e2f02e62-edd8-4876-acff-cb226b1101e4</x:v>
      </x:c>
      <x:c r="B2428" t="str">
        <x:v>90e05a07-8071-4fb6-abbf-52518e213f1c</x:v>
      </x:c>
      <x:c r="C2428" s="9" t="str">
        <x:v>Power Plane Ltd v Kotak [2016] EWCA Civ 300</x:v>
      </x:c>
      <x:c r="D2428" s="9" t="str"/>
      <x:c r="E2428" s="9" t="str"/>
      <x:c r="F2428" s="13" t="str">
        <x:v>2016</x:v>
      </x:c>
      <x:c r="G2428" s="9" t="str">
        <x:v>England and Wales Court of Appeal (Civil Division)</x:v>
      </x:c>
      <x:c r="H2428" s="9" t="str">
        <x:v>Court of Appeal (Civil Division)</x:v>
      </x:c>
      <x:c r="I2428" s="9" t="str">
        <x:v>England and Wales</x:v>
      </x:c>
      <x:c r="J2428" s="9" t="str">
        <x:v>Contract Dispute / Civil Appeal</x:v>
      </x:c>
      <x:c r="K2428" s="9" t="str">
        <x:v>-ew-cases-EWCA-Civ-2016-300.xml</x:v>
      </x:c>
      <x:c r="L2428" s="9" t="str">
        <x:v>TBA</x:v>
      </x:c>
    </x:row>
    <x:row r="2429">
      <x:c r="A2429" t="str">
        <x:v>612fd2b9-99d8-4f14-9094-fca5926b2f9e</x:v>
      </x:c>
      <x:c r="B2429" t="str">
        <x:v>2241cd06-6176-4e05-914b-3483ca877bff</x:v>
      </x:c>
      <x:c r="C2429" s="9" t="str">
        <x:v>Power v Meloy Whittle Robinson Solicitors [2014] EWCA Civ 898</x:v>
      </x:c>
      <x:c r="D2429" s="9" t="str"/>
      <x:c r="E2429" s="9" t="str"/>
      <x:c r="F2429" s="13" t="str">
        <x:v>2014</x:v>
      </x:c>
      <x:c r="G2429" s="9" t="str">
        <x:v>England and Wales Court of Appeal (Civil Division)</x:v>
      </x:c>
      <x:c r="H2429" s="9" t="str">
        <x:v>Appellate</x:v>
      </x:c>
      <x:c r="I2429" s="9" t="str">
        <x:v>England and Wales</x:v>
      </x:c>
      <x:c r="J2429" s="9" t="str">
        <x:v>Professional Negligence</x:v>
      </x:c>
      <x:c r="K2429" s="9" t="str">
        <x:v>-ew-cases-EWCA-Civ-2014-898.xml</x:v>
      </x:c>
      <x:c r="L2429" s="9" t="str">
        <x:v>TBA</x:v>
      </x:c>
    </x:row>
    <x:row r="2430">
      <x:c r="A2430" t="str">
        <x:v>a525c414-b1cc-4fc9-8025-3382cc6bf003</x:v>
      </x:c>
      <x:c r="B2430" t="str">
        <x:v>90b96cff-22f1-4762-9ed4-15270330857f</x:v>
      </x:c>
      <x:c r="C2430" s="9" t="str">
        <x:v>Powles &amp; Anor v Reeves &amp; Ors [2016] EWCA Civ 1375</x:v>
      </x:c>
      <x:c r="D2430" s="9" t="str"/>
      <x:c r="E2430" s="9" t="str"/>
      <x:c r="F2430" s="13" t="str">
        <x:v>2016</x:v>
      </x:c>
      <x:c r="G2430" s="9" t="str">
        <x:v>England and Wales Court of Appeal (Civil Division)</x:v>
      </x:c>
      <x:c r="H2430" s="9" t="str">
        <x:v>Court of Appeal</x:v>
      </x:c>
      <x:c r="I2430" s="9" t="str">
        <x:v>England and Wales</x:v>
      </x:c>
      <x:c r="J2430" s="9" t="str">
        <x:v>Civil - Costs in a boundary/dispute settlement</x:v>
      </x:c>
      <x:c r="K2430" s="9" t="str">
        <x:v>-ew-cases-EWCA-Civ-2016-1375.xml</x:v>
      </x:c>
      <x:c r="L2430" s="9" t="str">
        <x:v>TBA</x:v>
      </x:c>
    </x:row>
    <x:row r="2431">
      <x:c r="A2431" t="str">
        <x:v>fd85fa12-54dc-4023-bc2c-e18dc7692d55</x:v>
      </x:c>
      <x:c r="B2431" t="str">
        <x:v>a886526a-44f6-4d3b-b324-227de2a59e2e</x:v>
      </x:c>
      <x:c r="C2431" s="9" t="str">
        <x:v>Powys County Council v Price &amp; Anor [2017] EWCA Civ 1133</x:v>
      </x:c>
      <x:c r="D2431" s="9" t="str"/>
      <x:c r="E2431" s="9" t="str"/>
      <x:c r="F2431" s="13" t="str">
        <x:v>2017</x:v>
      </x:c>
      <x:c r="G2431" s="9" t="str">
        <x:v>England and Wales Court of Appeal (Civil Division)</x:v>
      </x:c>
      <x:c r="H2431" s="9" t="str">
        <x:v>Appellate</x:v>
      </x:c>
      <x:c r="I2431" s="9" t="str">
        <x:v>England and Wales</x:v>
      </x:c>
      <x:c r="J2431" s="9" t="str">
        <x:v>Environmental Law</x:v>
      </x:c>
      <x:c r="K2431" s="9" t="str">
        <x:v>-ew-cases-EWCA-Civ-2017-1133.xml</x:v>
      </x:c>
      <x:c r="L2431" s="9" t="str">
        <x:v>TBA</x:v>
      </x:c>
    </x:row>
    <x:row r="2432">
      <x:c r="A2432" t="str">
        <x:v>c55e8586-90fb-4e02-8df7-b390d76f21fb</x:v>
      </x:c>
      <x:c r="B2432" t="str">
        <x:v>cc9aa024-a782-4618-a180-27e9c5c79090</x:v>
      </x:c>
      <x:c r="C2432" s="9" t="str">
        <x:v>Powys Teaching Local Health Board v Dusza &amp; Anor [2015] EWCA Civ 15</x:v>
      </x:c>
      <x:c r="D2432" s="9" t="str"/>
      <x:c r="E2432" s="9" t="str"/>
      <x:c r="F2432" s="13" t="str">
        <x:v>2015</x:v>
      </x:c>
      <x:c r="G2432" s="9" t="str">
        <x:v>England and Wales Court of Appeal (Civil Division)</x:v>
      </x:c>
      <x:c r="H2432" s="9" t="str">
        <x:v>Appellate</x:v>
      </x:c>
      <x:c r="I2432" s="9" t="str">
        <x:v>England and Wales</x:v>
      </x:c>
      <x:c r="J2432" s="9" t="str">
        <x:v>Contract Dispute</x:v>
      </x:c>
      <x:c r="K2432" s="9" t="str">
        <x:v>-ew-cases-EWCA-Civ-2015-15.xml</x:v>
      </x:c>
      <x:c r="L2432" s="9" t="str">
        <x:v>TBA</x:v>
      </x:c>
    </x:row>
    <x:row r="2433">
      <x:c r="A2433" t="str">
        <x:v>676e1c73-0751-4ce2-95ba-f05f474f352a</x:v>
      </x:c>
      <x:c r="B2433" t="str">
        <x:v>87063e33-46c9-48ea-ac5f-544c4dc756a0</x:v>
      </x:c>
      <x:c r="C2433" s="9" t="str">
        <x:v>PP (Sri Lanka) v Secretary of State for the Home Department [2014] EWCA Civ 1828</x:v>
      </x:c>
      <x:c r="D2433" s="9" t="str"/>
      <x:c r="E2433" s="9" t="str"/>
      <x:c r="F2433" s="13" t="str">
        <x:v>2014</x:v>
      </x:c>
      <x:c r="G2433" s="9" t="str">
        <x:v>England and Wales Court of Appeal (Civil Division)</x:v>
      </x:c>
      <x:c r="H2433" s="9" t="str">
        <x:v>Appellate</x:v>
      </x:c>
      <x:c r="I2433" s="9" t="str">
        <x:v>England and Wales</x:v>
      </x:c>
      <x:c r="J2433" s="9" t="str">
        <x:v>Immigration and Asylum</x:v>
      </x:c>
      <x:c r="K2433" s="9" t="str">
        <x:v>-ew-cases-EWCA-Civ-2014-1828.xml</x:v>
      </x:c>
      <x:c r="L2433" s="9" t="str">
        <x:v>TBA</x:v>
      </x:c>
    </x:row>
    <x:row r="2434">
      <x:c r="A2434" t="str">
        <x:v>0d9625b0-09ad-4e9c-9fce-051875ed59fc</x:v>
      </x:c>
      <x:c r="B2434" t="str">
        <x:v>f26e169e-2ee7-4d87-8a4b-239904fbb6c1</x:v>
      </x:c>
      <x:c r="C2434" s="9" t="str">
        <x:v>PR (Sri Lanka), R (on the application of) v Secretary of State for the Home Department</x:v>
      </x:c>
      <x:c r="D2434" s="9" t="str"/>
      <x:c r="E2434" s="9" t="str"/>
      <x:c r="F2434" s="13" t="str">
        <x:v>2017</x:v>
      </x:c>
      <x:c r="G2434" s="9" t="str">
        <x:v>England and Wales Court of Appeal (Civil Division)</x:v>
      </x:c>
      <x:c r="H2434" s="9" t="str">
        <x:v>Appellate</x:v>
      </x:c>
      <x:c r="I2434" s="9" t="str">
        <x:v>United Kingdom</x:v>
      </x:c>
      <x:c r="J2434" s="9" t="str">
        <x:v>Immigration Law</x:v>
      </x:c>
      <x:c r="K2434" s="9" t="str">
        <x:v>-ew-cases-EWCA-Civ-2017-1946.xml</x:v>
      </x:c>
      <x:c r="L2434" s="9" t="str">
        <x:v>TBA</x:v>
      </x:c>
    </x:row>
    <x:row r="2435">
      <x:c r="A2435" t="str">
        <x:v>b8e9250c-1000-49ea-9782-f5d7da47b497</x:v>
      </x:c>
      <x:c r="B2435" t="str">
        <x:v>5367a57f-6cd6-4e33-931b-10ad19b8a8b7</x:v>
      </x:c>
      <x:c r="C2435" s="9" t="str">
        <x:v>Preedy &amp; Anor v Dunne &amp; Ors [2016] EWCA Civ 805</x:v>
      </x:c>
      <x:c r="D2435" s="9" t="str"/>
      <x:c r="E2435" s="9" t="str"/>
      <x:c r="F2435" s="13" t="str">
        <x:v>2016</x:v>
      </x:c>
      <x:c r="G2435" s="9" t="str">
        <x:v>England and Wales Court of Appeal (Civil Division)</x:v>
      </x:c>
      <x:c r="H2435" s="9" t="str">
        <x:v>Court of Appeal (Civil Division)</x:v>
      </x:c>
      <x:c r="I2435" s="9" t="str">
        <x:v>England and Wales</x:v>
      </x:c>
      <x:c r="J2435" s="9" t="str">
        <x:v>Civil - Trusts / Property</x:v>
      </x:c>
      <x:c r="K2435" s="9" t="str">
        <x:v>-ew-cases-EWCA-Civ-2016-805.xml</x:v>
      </x:c>
      <x:c r="L2435" s="9" t="str">
        <x:v>TBA</x:v>
      </x:c>
    </x:row>
    <x:row r="2436">
      <x:c r="A2436" t="str">
        <x:v>ef5ed411-3116-4ab7-baf0-1fa8d6da0a91</x:v>
      </x:c>
      <x:c r="B2436" t="str">
        <x:v>eedd97e4-102f-47ec-b85e-80ba316ad6c0</x:v>
      </x:c>
      <x:c r="C2436" s="9" t="str">
        <x:v>Premier Motorauctions Ltd &amp; Anor v Pricewaterhousecoopers LLP &amp; Anor [2017] EWCA Civ 1872</x:v>
      </x:c>
      <x:c r="D2436" s="9" t="str"/>
      <x:c r="E2436" s="9" t="str"/>
      <x:c r="F2436" s="13" t="str">
        <x:v>2017</x:v>
      </x:c>
      <x:c r="G2436" s="9" t="str">
        <x:v>England and Wales Court of Appeal (Civil Division)</x:v>
      </x:c>
      <x:c r="H2436" s="9" t="str">
        <x:v>Appellate</x:v>
      </x:c>
      <x:c r="I2436" s="9" t="str">
        <x:v>England and Wales</x:v>
      </x:c>
      <x:c r="J2436" s="9" t="str">
        <x:v>Civil Litigation</x:v>
      </x:c>
      <x:c r="K2436" s="9" t="str">
        <x:v>-ew-cases-EWCA-Civ-2017-1872.xml</x:v>
      </x:c>
      <x:c r="L2436" s="9" t="str">
        <x:v>TBA</x:v>
      </x:c>
    </x:row>
    <x:row r="2437">
      <x:c r="A2437" t="str">
        <x:v>6b253c0a-4c07-4f52-b9c5-f2452eeba32f</x:v>
      </x:c>
      <x:c r="B2437" t="str">
        <x:v>e51d9713-7672-4527-b4ca-d97aa3756447</x:v>
      </x:c>
      <x:c r="C2437" s="9" t="str">
        <x:v>Premier Telecom Communications Group Ltd &amp; Anor v Webb [2014] EWCA Civ 994</x:v>
      </x:c>
      <x:c r="D2437" s="9" t="str"/>
      <x:c r="E2437" s="9" t="str"/>
      <x:c r="F2437" s="13" t="str">
        <x:v>2014</x:v>
      </x:c>
      <x:c r="G2437" s="9" t="str">
        <x:v>England and Wales Court of Appeal (Civil Division)</x:v>
      </x:c>
      <x:c r="H2437" s="9" t="str">
        <x:v>Appellate</x:v>
      </x:c>
      <x:c r="I2437" s="9" t="str">
        <x:v>England and Wales</x:v>
      </x:c>
      <x:c r="J2437" s="9" t="str">
        <x:v>Business Valuation Dispute</x:v>
      </x:c>
      <x:c r="K2437" s="9" t="str">
        <x:v>-ew-cases-EWCA-Civ-2014-994.xml</x:v>
      </x:c>
      <x:c r="L2437" s="9" t="str">
        <x:v>TBA</x:v>
      </x:c>
    </x:row>
    <x:row r="2438">
      <x:c r="A2438" t="str">
        <x:v>a5e7f48e-e3c8-4676-b2f7-472851cfd92f</x:v>
      </x:c>
      <x:c r="B2438" t="str">
        <x:v>a49ff986-986a-4b71-80ba-8e09c842b1c0</x:v>
      </x:c>
      <x:c r="C2438" s="9" t="str">
        <x:v>Prest v Prest [2015] EWCA Civ 714</x:v>
      </x:c>
      <x:c r="D2438" s="9" t="str"/>
      <x:c r="E2438" s="9" t="str"/>
      <x:c r="F2438" s="13" t="str">
        <x:v>2015</x:v>
      </x:c>
      <x:c r="G2438" s="9" t="str">
        <x:v>England and Wales Court of Appeal (Civil Division)</x:v>
      </x:c>
      <x:c r="H2438" s="9" t="str">
        <x:v>appellate</x:v>
      </x:c>
      <x:c r="I2438" s="9" t="str">
        <x:v>England and Wales</x:v>
      </x:c>
      <x:c r="J2438" s="9" t="str">
        <x:v>Family Law</x:v>
      </x:c>
      <x:c r="K2438" s="9" t="str">
        <x:v>-ew-cases-EWCA-Civ-2015-714.xml</x:v>
      </x:c>
      <x:c r="L2438" s="9" t="str">
        <x:v>TBA</x:v>
      </x:c>
    </x:row>
    <x:row r="2439">
      <x:c r="A2439" t="str">
        <x:v>297ec2b8-27f2-4b06-823c-b92d5033fc67</x:v>
      </x:c>
      <x:c r="B2439" t="str">
        <x:v>af9e3301-1698-47b5-b41c-40e3ed4a0b93</x:v>
      </x:c>
      <x:c r="C2439" s="9" t="str">
        <x:v>Pretoria Energy Company (Chittering) Limited v Blankney Estates Limited [2023] EWCA Civ 482</x:v>
      </x:c>
      <x:c r="D2439" s="9" t="str"/>
      <x:c r="E2439" s="9" t="str"/>
      <x:c r="F2439" s="13" t="str">
        <x:v>2023</x:v>
      </x:c>
      <x:c r="G2439" s="9" t="str">
        <x:v>England and Wales Court of Appeal (Civil Division)</x:v>
      </x:c>
      <x:c r="H2439" s="9" t="str">
        <x:v>Court of Appeal (Civil Division)</x:v>
      </x:c>
      <x:c r="I2439" s="9" t="str">
        <x:v>England and Wales</x:v>
      </x:c>
      <x:c r="J2439" s="9" t="str">
        <x:v>Contract Dispute / Property Law - Leases</x:v>
      </x:c>
      <x:c r="K2439" s="9" t="str">
        <x:v>ew-cases-EWCA-Civ-2023-482.xml</x:v>
      </x:c>
      <x:c r="L2439" s="9" t="str">
        <x:v>TBA</x:v>
      </x:c>
    </x:row>
    <x:row r="2440">
      <x:c r="A2440" t="str">
        <x:v>c1823036-5a88-4847-96b5-eacb7c8787e9</x:v>
      </x:c>
      <x:c r="B2440" t="str">
        <x:v>0bd39d33-1004-43e2-8622-23d5e500fb18</x:v>
      </x:c>
      <x:c r="C2440" s="9" t="str">
        <x:v>Price &amp; Anor v Davis &amp; Anor [2014] EWCA Civ 26</x:v>
      </x:c>
      <x:c r="D2440" s="9" t="str"/>
      <x:c r="E2440" s="9" t="str"/>
      <x:c r="F2440" s="13" t="str">
        <x:v>2014</x:v>
      </x:c>
      <x:c r="G2440" s="9" t="str">
        <x:v>England and Wales Court of Appeal (Civil Division)</x:v>
      </x:c>
      <x:c r="H2440" s="9" t="str">
        <x:v>Appellate</x:v>
      </x:c>
      <x:c r="I2440" s="9" t="str">
        <x:v>England and Wales</x:v>
      </x:c>
      <x:c r="J2440" s="9" t="str">
        <x:v>Insolvency</x:v>
      </x:c>
      <x:c r="K2440" s="9" t="str">
        <x:v>-ew-cases-EWCA-Civ-2014-26.xml</x:v>
      </x:c>
      <x:c r="L2440" s="9" t="str">
        <x:v>TBA</x:v>
      </x:c>
    </x:row>
    <x:row r="2441">
      <x:c r="A2441" t="str">
        <x:v>3f7fcd93-ccd6-439f-a1e9-1aacc5b128cc</x:v>
      </x:c>
      <x:c r="B2441" t="str">
        <x:v>b84dd9be-f846-4810-aa00-ea8a9129425a</x:v>
      </x:c>
      <x:c r="C2441" s="9" t="str">
        <x:v>Price v Price [2014] EWCA Civ 655</x:v>
      </x:c>
      <x:c r="D2441" s="9" t="str"/>
      <x:c r="E2441" s="9" t="str"/>
      <x:c r="F2441" s="13" t="str">
        <x:v>2014</x:v>
      </x:c>
      <x:c r="G2441" s="9" t="str">
        <x:v>England and Wales Court of Appeal (Civil Division)</x:v>
      </x:c>
      <x:c r="H2441" s="9" t="str">
        <x:v>Appellate</x:v>
      </x:c>
      <x:c r="I2441" s="9" t="str">
        <x:v>England and Wales</x:v>
      </x:c>
      <x:c r="J2441" s="9" t="str">
        <x:v>Family Law</x:v>
      </x:c>
      <x:c r="K2441" s="9" t="str">
        <x:v>-ew-cases-EWCA-Civ-2014-655.xml</x:v>
      </x:c>
      <x:c r="L2441" s="9" t="str">
        <x:v>TBA</x:v>
      </x:c>
    </x:row>
    <x:row r="2442">
      <x:c r="A2442" t="str">
        <x:v>0bf82b09-58e9-4187-9136-de98a026ca6d</x:v>
      </x:c>
      <x:c r="B2442" t="str">
        <x:v>4cdc18fe-c8e6-4e1c-8143-84231a68cf0f</x:v>
      </x:c>
      <x:c r="C2442" s="9" t="str">
        <x:v>Pricewaterhousecoopers LLP v BTI 2014 LLC [2021] EWCA Civ 9</x:v>
      </x:c>
      <x:c r="D2442" s="9" t="str"/>
      <x:c r="E2442" s="9" t="str"/>
      <x:c r="F2442" s="13" t="str">
        <x:v>2021</x:v>
      </x:c>
      <x:c r="G2442" s="9" t="str">
        <x:v>England and Wales Court of Appeal (Civil Division)</x:v>
      </x:c>
      <x:c r="H2442" s="9" t="str">
        <x:v>Appellate</x:v>
      </x:c>
      <x:c r="I2442" s="9" t="str">
        <x:v>England and Wales</x:v>
      </x:c>
      <x:c r="J2442" s="9" t="str">
        <x:v>Professional Negligence</x:v>
      </x:c>
      <x:c r="K2442" s="9" t="str">
        <x:v>ew-cases-EWCA-Civ-2021-9.xml</x:v>
      </x:c>
      <x:c r="L2442" s="9" t="str">
        <x:v>TBA</x:v>
      </x:c>
    </x:row>
    <x:row r="2443">
      <x:c r="A2443" t="str">
        <x:v>dd9bf449-bacc-4289-8fd4-f0caf5538549</x:v>
      </x:c>
      <x:c r="B2443" t="str">
        <x:v>e935ca1c-f6b8-459e-bbe2-dba37f8795a6</x:v>
      </x:c>
      <x:c r="C2443" s="9" t="str">
        <x:v>Primekings Holding Ltd &amp; Ors v King &amp; Ors (Re Kings Solutions Group Ltd) [2021] EWCA Civ 1943</x:v>
      </x:c>
      <x:c r="D2443" s="9" t="str"/>
      <x:c r="E2443" s="9" t="str"/>
      <x:c r="F2443" s="13" t="str">
        <x:v>2021</x:v>
      </x:c>
      <x:c r="G2443" s="9" t="str">
        <x:v>England and Wales Court of Appeal (Civil Division)</x:v>
      </x:c>
      <x:c r="H2443" s="9" t="str">
        <x:v>Appellate</x:v>
      </x:c>
      <x:c r="I2443" s="9" t="str">
        <x:v>England and Wales</x:v>
      </x:c>
      <x:c r="J2443" s="9" t="str">
        <x:v>Company Law</x:v>
      </x:c>
      <x:c r="K2443" s="9" t="str">
        <x:v>ew-cases-EWCA-Civ-2021-1943.xml</x:v>
      </x:c>
      <x:c r="L2443" s="9" t="str">
        <x:v>TBA</x:v>
      </x:c>
    </x:row>
    <x:row r="2444">
      <x:c r="A2444" t="str">
        <x:v>911da0eb-8f9a-4b71-94f9-ffc88a78efba</x:v>
      </x:c>
      <x:c r="B2444" t="str">
        <x:v>932aa6dd-f5b7-4e7c-b7e8-6438606065ad</x:v>
      </x:c>
      <x:c r="C2444" s="9" t="str">
        <x:v>Prince Abdulaziz v Apex Global Management Ltd &amp; Anor [2014] EWCA Civ 1106</x:v>
      </x:c>
      <x:c r="D2444" s="9" t="str"/>
      <x:c r="E2444" s="9" t="str"/>
      <x:c r="F2444" s="13" t="str">
        <x:v>2014</x:v>
      </x:c>
      <x:c r="G2444" s="9" t="str">
        <x:v>England and Wales Court of Appeal (Civil Division)</x:v>
      </x:c>
      <x:c r="H2444" s="9" t="str">
        <x:v>Appellate</x:v>
      </x:c>
      <x:c r="I2444" s="9" t="str">
        <x:v>England and Wales</x:v>
      </x:c>
      <x:c r="J2444" s="9" t="str">
        <x:v>Civil Appeal</x:v>
      </x:c>
      <x:c r="K2444" s="9" t="str">
        <x:v>-ew-cases-EWCA-Civ-2014-1106.xml</x:v>
      </x:c>
      <x:c r="L2444" s="9" t="str">
        <x:v>TBA</x:v>
      </x:c>
    </x:row>
    <x:row r="2445">
      <x:c r="A2445" t="str">
        <x:v>5b20ef67-83fd-4df4-b028-dfd6b6b6da08</x:v>
      </x:c>
      <x:c r="B2445" t="str">
        <x:v>e740d8a5-358e-479f-bd7e-c3d458ca9f77</x:v>
      </x:c>
      <x:c r="C2445" s="9" t="str">
        <x:v>Prince Fahd Bin Abdul Aziz v Harb [2017] EWCA Civ 2215</x:v>
      </x:c>
      <x:c r="D2445" s="9" t="str"/>
      <x:c r="E2445" s="9" t="str"/>
      <x:c r="F2445" s="13" t="str">
        <x:v>2017</x:v>
      </x:c>
      <x:c r="G2445" s="9" t="str">
        <x:v>England and Wales Court of Appeal (Civil Division)</x:v>
      </x:c>
      <x:c r="H2445" s="9" t="str">
        <x:v>appellate</x:v>
      </x:c>
      <x:c r="I2445" s="9" t="str">
        <x:v>England and Wales</x:v>
      </x:c>
      <x:c r="J2445" s="9" t="str">
        <x:v>Contract Dispute</x:v>
      </x:c>
      <x:c r="K2445" s="9" t="str">
        <x:v>-ew-cases-EWCA-Civ-2017-2215.xml</x:v>
      </x:c>
      <x:c r="L2445" s="9" t="str">
        <x:v>TBA</x:v>
      </x:c>
    </x:row>
    <x:row r="2446">
      <x:c r="A2446" t="str">
        <x:v>d9da1b2e-55ff-4000-aeab-4aa4c58ca71e</x:v>
      </x:c>
      <x:c r="B2446" t="str">
        <x:v>2ce1a66b-e09c-49d6-ae7c-f04499838c1a</x:v>
      </x:c>
      <x:c r="C2446" s="9" t="str">
        <x:v>Prior &amp; Ors v Commissioner of Police of the Metropolis (Rev1) [2023] EWCA Civ 32</x:v>
      </x:c>
      <x:c r="D2446" s="9" t="str"/>
      <x:c r="E2446" s="9" t="str"/>
      <x:c r="F2446" s="13" t="str">
        <x:v>2023</x:v>
      </x:c>
      <x:c r="G2446" s="9" t="str">
        <x:v>England and Wales Court of Appeal (Civil Division)</x:v>
      </x:c>
      <x:c r="H2446" s="9" t="str">
        <x:v>Court of Appeal (Civil Division)</x:v>
      </x:c>
      <x:c r="I2446" s="9" t="str">
        <x:v>England and Wales</x:v>
      </x:c>
      <x:c r="J2446" s="9" t="str">
        <x:v>Public Law / Administrative Law</x:v>
      </x:c>
      <x:c r="K2446" s="9" t="str">
        <x:v>ew-cases-EWCA-Civ-2023-32.xml</x:v>
      </x:c>
      <x:c r="L2446" s="9" t="str">
        <x:v>TBA</x:v>
      </x:c>
    </x:row>
    <x:row r="2447">
      <x:c r="A2447" t="str">
        <x:v>ffdb51b8-925d-485e-a379-19a249ccd5f6</x:v>
      </x:c>
      <x:c r="B2447" t="str">
        <x:v>3b2337c3-3561-4184-a6c6-04b3d41cf3a1</x:v>
      </x:c>
      <x:c r="C2447" s="9" t="str">
        <x:v>Pritchett v Crossrail Ltd [2017] EWCA Civ 317</x:v>
      </x:c>
      <x:c r="D2447" s="9" t="str"/>
      <x:c r="E2447" s="9" t="str"/>
      <x:c r="F2447" s="13" t="str">
        <x:v>2017</x:v>
      </x:c>
      <x:c r="G2447" s="9" t="str">
        <x:v>England and Wales Court of Appeal (Civil Division)</x:v>
      </x:c>
      <x:c r="H2447" s="9" t="str">
        <x:v>Appellate</x:v>
      </x:c>
      <x:c r="I2447" s="9" t="str">
        <x:v>England and Wales</x:v>
      </x:c>
      <x:c r="J2447" s="9" t="str">
        <x:v>Administrative Law</x:v>
      </x:c>
      <x:c r="K2447" s="9" t="str">
        <x:v>-ew-cases-EWCA-Civ-2017-317.xml</x:v>
      </x:c>
      <x:c r="L2447" s="9" t="str">
        <x:v>TBA</x:v>
      </x:c>
    </x:row>
    <x:row r="2448">
      <x:c r="A2448" t="str">
        <x:v>0bbbcf3a-968e-40da-9395-f4799c9d0a60</x:v>
      </x:c>
      <x:c r="B2448" t="str">
        <x:v>8eb6d04c-c40a-48f7-bfb2-5382b3076398</x:v>
      </x:c>
      <x:c r="C2448" s="9" t="str">
        <x:v>Privacy International &amp; Ors v Secretary of State for Foreign and Commonwealth Affairs &amp; Ors</x:v>
      </x:c>
      <x:c r="D2448" s="9" t="str"/>
      <x:c r="E2448" s="9" t="str"/>
      <x:c r="F2448" s="13" t="str">
        <x:v>2021</x:v>
      </x:c>
      <x:c r="G2448" s="9" t="str">
        <x:v>England and Wales Court of Appeal (Civil Division)</x:v>
      </x:c>
      <x:c r="H2448" s="9" t="str">
        <x:v>Appellate</x:v>
      </x:c>
      <x:c r="I2448" s="9" t="str">
        <x:v>England and Wales</x:v>
      </x:c>
      <x:c r="J2448" s="9" t="str">
        <x:v>Administrative Law / Human Rights</x:v>
      </x:c>
      <x:c r="K2448" s="9" t="str">
        <x:v>ew-cases-EWCA-Civ-2021-330.xml</x:v>
      </x:c>
      <x:c r="L2448" s="9" t="str">
        <x:v>TBA</x:v>
      </x:c>
    </x:row>
    <x:row r="2449">
      <x:c r="A2449" t="str">
        <x:v>e3a74244-01fb-448f-b4bf-1aa7f41d6be5</x:v>
      </x:c>
      <x:c r="B2449" t="str">
        <x:v>0dcdca29-7c1e-442b-9ead-eb6c7f4cb23e</x:v>
      </x:c>
      <x:c r="C2449" s="9" t="str">
        <x:v>Privacy International v Secretary of State for Foreign and Commonwealth Affairs</x:v>
      </x:c>
      <x:c r="D2449" s="9" t="str"/>
      <x:c r="E2449" s="9" t="str"/>
      <x:c r="F2449" s="13" t="str">
        <x:v>2017</x:v>
      </x:c>
      <x:c r="G2449" s="9" t="str">
        <x:v>England and Wales Court of Appeal (Civil Division)</x:v>
      </x:c>
      <x:c r="H2449" s="9" t="str">
        <x:v>Appellate</x:v>
      </x:c>
      <x:c r="I2449" s="9" t="str">
        <x:v>England and Wales</x:v>
      </x:c>
      <x:c r="J2449" s="9" t="str">
        <x:v>Administrative Law</x:v>
      </x:c>
      <x:c r="K2449" s="9" t="str">
        <x:v>-ew-cases-EWCA-Civ-2017-1868.xml</x:v>
      </x:c>
      <x:c r="L2449" s="9" t="str">
        <x:v>TBA</x:v>
      </x:c>
    </x:row>
    <x:row r="2450">
      <x:c r="A2450" t="str">
        <x:v>a140ae1f-6722-45ff-a2b8-496e66b85e10</x:v>
      </x:c>
      <x:c r="B2450" t="str">
        <x:v>28da03e6-3463-4c70-be3a-d89911abdad8</x:v>
      </x:c>
      <x:c r="C2450" s="9" t="str">
        <x:v>Procter &amp; Anor v Procter &amp; Ors [2021] EWCA Civ 167</x:v>
      </x:c>
      <x:c r="D2450" s="9" t="str"/>
      <x:c r="E2450" s="9" t="str"/>
      <x:c r="F2450" s="13" t="str">
        <x:v>2021</x:v>
      </x:c>
      <x:c r="G2450" s="9" t="str">
        <x:v>England and Wales Court of Appeal (Civil Division)</x:v>
      </x:c>
      <x:c r="H2450" s="9" t="str">
        <x:v>Appellate</x:v>
      </x:c>
      <x:c r="I2450" s="9" t="str">
        <x:v>England and Wales</x:v>
      </x:c>
      <x:c r="J2450" s="9" t="str">
        <x:v>Property Law</x:v>
      </x:c>
      <x:c r="K2450" s="9" t="str">
        <x:v>ew-cases-EWCA-Civ-2021-167.xml</x:v>
      </x:c>
      <x:c r="L2450" s="9" t="str">
        <x:v>TBA</x:v>
      </x:c>
    </x:row>
    <x:row r="2451">
      <x:c r="A2451" t="str">
        <x:v>c8765f74-58fc-49eb-b424-b53f69b56c97</x:v>
      </x:c>
      <x:c r="B2451" t="str">
        <x:v>2bd10c54-07db-4985-85eb-0568607ef9f3</x:v>
      </x:c>
      <x:c r="C2451" s="9" t="str">
        <x:v>Procter v Raleys Solicitors [2015] EWCA Civ 400</x:v>
      </x:c>
      <x:c r="D2451" s="9" t="str"/>
      <x:c r="E2451" s="9" t="str"/>
      <x:c r="F2451" s="13" t="str">
        <x:v>2015</x:v>
      </x:c>
      <x:c r="G2451" s="9" t="str">
        <x:v>England and Wales Court of Appeal (Civil Division)</x:v>
      </x:c>
      <x:c r="H2451" s="9" t="str">
        <x:v>Appellate</x:v>
      </x:c>
      <x:c r="I2451" s="9" t="str">
        <x:v>England and Wales</x:v>
      </x:c>
      <x:c r="J2451" s="9" t="str">
        <x:v>Tort</x:v>
      </x:c>
      <x:c r="K2451" s="9" t="str">
        <x:v>-ew-cases-EWCA-Civ-2015-400.xml</x:v>
      </x:c>
      <x:c r="L2451" s="9" t="str">
        <x:v>TBA</x:v>
      </x:c>
    </x:row>
    <x:row r="2452">
      <x:c r="A2452" t="str">
        <x:v>227db2fe-ea53-438a-b275-bae4a7e0eebd</x:v>
      </x:c>
      <x:c r="B2452" t="str">
        <x:v>b27c1084-b4b9-4323-906f-9e6f7a12a4b2</x:v>
      </x:c>
      <x:c r="C2452" s="9" t="str">
        <x:v>Proctor v The Chief Constable of Cleveland Police [2017] EWCA Civ 1531</x:v>
      </x:c>
      <x:c r="D2452" s="9" t="str"/>
      <x:c r="E2452" s="9" t="str"/>
      <x:c r="F2452" s="13" t="str">
        <x:v>2017</x:v>
      </x:c>
      <x:c r="G2452" s="9" t="str">
        <x:v>England and Wales Court of Appeal (Civil Division)</x:v>
      </x:c>
      <x:c r="H2452" s="9" t="str">
        <x:v>Appellate</x:v>
      </x:c>
      <x:c r="I2452" s="9" t="str">
        <x:v>England and Wales</x:v>
      </x:c>
      <x:c r="J2452" s="9" t="str">
        <x:v>Tort</x:v>
      </x:c>
      <x:c r="K2452" s="9" t="str">
        <x:v>-ew-cases-EWCA-Civ-2017-1531.xml</x:v>
      </x:c>
      <x:c r="L2452" s="9" t="str">
        <x:v>TBA</x:v>
      </x:c>
    </x:row>
    <x:row r="2453">
      <x:c r="A2453" t="str">
        <x:v>46b6f414-bed4-4e50-9c67-bbf6f565c6e4</x:v>
      </x:c>
      <x:c r="B2453" t="str">
        <x:v>66a2adb7-bddd-44b0-98f8-695142e21b39</x:v>
      </x:c>
      <x:c r="C2453" s="9" t="str">
        <x:v>Proforce Recruit Ltd v The Rugby Group Ltd [2006] EWCA Civ 69</x:v>
      </x:c>
      <x:c r="D2453" s="9" t="str"/>
      <x:c r="E2453" s="9" t="str"/>
      <x:c r="F2453" s="13" t="str">
        <x:v>2006</x:v>
      </x:c>
      <x:c r="G2453" s="9" t="str">
        <x:v>England and Wales Court of Appeal (Civil Division)</x:v>
      </x:c>
      <x:c r="H2453" s="9" t="str">
        <x:v>Appellate</x:v>
      </x:c>
      <x:c r="I2453" s="9" t="str">
        <x:v>England and Wales</x:v>
      </x:c>
      <x:c r="J2453" s="9" t="str">
        <x:v>Contract Dispute</x:v>
      </x:c>
      <x:c r="K2453" s="9" t="str">
        <x:v>PT_EWCA-Civ_2006_69.xml</x:v>
      </x:c>
      <x:c r="L2453" s="9" t="str">
        <x:v>TBA</x:v>
      </x:c>
    </x:row>
    <x:row r="2454">
      <x:c r="A2454" t="str">
        <x:v>67772270-0673-4f60-94eb-9a544693e6cb</x:v>
      </x:c>
      <x:c r="B2454" t="str">
        <x:v>ff761b33-5304-4f4b-ba2b-638b90a9864b</x:v>
      </x:c>
      <x:c r="C2454" s="9" t="str">
        <x:v>Project Blue Limited v The Commissioners for HM Revenue and Customs [2016] EWCA Civ 485 (Court of Appeal, Civil Division)</x:v>
      </x:c>
      <x:c r="D2454" s="9" t="str"/>
      <x:c r="E2454" s="9" t="str"/>
      <x:c r="F2454" s="13" t="str">
        <x:v>2016</x:v>
      </x:c>
      <x:c r="G2454" s="9" t="str">
        <x:v>England and Wales Court of Appeal (Civil Division)</x:v>
      </x:c>
      <x:c r="H2454" s="9" t="str">
        <x:v>Court of Appeal (Civil Division)</x:v>
      </x:c>
      <x:c r="I2454" s="9" t="str">
        <x:v>England and Wales</x:v>
      </x:c>
      <x:c r="J2454" s="9" t="str">
        <x:v>Tax Law</x:v>
      </x:c>
      <x:c r="K2454" s="9" t="str">
        <x:v>-ew-cases-EWCA-Civ-2016-485.xml</x:v>
      </x:c>
      <x:c r="L2454" s="9" t="str">
        <x:v>TBA</x:v>
      </x:c>
    </x:row>
    <x:row r="2455">
      <x:c r="A2455" t="str">
        <x:v>e3f4bc76-95b3-427f-8539-a182f2418fd9</x:v>
      </x:c>
      <x:c r="B2455" t="str">
        <x:v>2f7b21ce-37b8-4421-af71-540097896752</x:v>
      </x:c>
      <x:c r="C2455" s="9" t="str">
        <x:v>Project for the Registration of Children as British Citizens &amp; Anor, R v Secretary of State for the Home Department</x:v>
      </x:c>
      <x:c r="D2455" s="9" t="str"/>
      <x:c r="E2455" s="9" t="str"/>
      <x:c r="F2455" s="13" t="str">
        <x:v>2021</x:v>
      </x:c>
      <x:c r="G2455" s="9" t="str">
        <x:v>England and Wales Court of Appeal (Civil Division)</x:v>
      </x:c>
      <x:c r="H2455" s="9" t="str">
        <x:v>appellate</x:v>
      </x:c>
      <x:c r="I2455" s="9" t="str">
        <x:v>England and Wales</x:v>
      </x:c>
      <x:c r="J2455" s="9" t="str">
        <x:v>Administrative Law</x:v>
      </x:c>
      <x:c r="K2455" s="9" t="str">
        <x:v>ew-cases-EWCA-Civ-2021-193.xml</x:v>
      </x:c>
      <x:c r="L2455" s="9" t="str">
        <x:v>TBA</x:v>
      </x:c>
    </x:row>
    <x:row r="2456">
      <x:c r="A2456" t="str">
        <x:v>e507e8a3-cf16-4f54-a5e6-94efefbd637b</x:v>
      </x:c>
      <x:c r="B2456" t="str">
        <x:v>785d5356-88d9-4869-8cc7-dca6d69f2a32</x:v>
      </x:c>
      <x:c r="C2456" s="9" t="str">
        <x:v>Prometric Limited v Cunliffe [2016] EWCA Civ 191</x:v>
      </x:c>
      <x:c r="D2456" s="9" t="str"/>
      <x:c r="E2456" s="9" t="str"/>
      <x:c r="F2456" s="13" t="str">
        <x:v>2016</x:v>
      </x:c>
      <x:c r="G2456" s="9" t="str">
        <x:v>England and Wales Court of Appeal (Civil Division)</x:v>
      </x:c>
      <x:c r="H2456" s="9" t="str">
        <x:v>Court of Appeal (Civil Division)</x:v>
      </x:c>
      <x:c r="I2456" s="9" t="str">
        <x:v>England and Wales</x:v>
      </x:c>
      <x:c r="J2456" s="9" t="str">
        <x:v>Contract and Employment</x:v>
      </x:c>
      <x:c r="K2456" s="9" t="str">
        <x:v>-ew-cases-EWCA-Civ-2016-191.xml</x:v>
      </x:c>
      <x:c r="L2456" s="9" t="str">
        <x:v>TBA</x:v>
      </x:c>
    </x:row>
    <x:row r="2457">
      <x:c r="A2457" t="str">
        <x:v>d9ec1deb-ef3a-4f66-a690-39a43092223b</x:v>
      </x:c>
      <x:c r="B2457" t="str">
        <x:v>01d206eb-8b1c-465e-959e-bb40bc761b0b</x:v>
      </x:c>
      <x:c r="C2457" s="9" t="str">
        <x:v>Promontoria (Oak) Ltd v Emanuel &amp; Ors [2021] EWCA Civ 1682</x:v>
      </x:c>
      <x:c r="D2457" s="9" t="str"/>
      <x:c r="E2457" s="9" t="str"/>
      <x:c r="F2457" s="13" t="str">
        <x:v>2021</x:v>
      </x:c>
      <x:c r="G2457" s="9" t="str">
        <x:v>England and Wales Court of Appeal (Civil Division)</x:v>
      </x:c>
      <x:c r="H2457" s="9" t="str">
        <x:v>Appellate</x:v>
      </x:c>
      <x:c r="I2457" s="9" t="str">
        <x:v>England and Wales</x:v>
      </x:c>
      <x:c r="J2457" s="9" t="str">
        <x:v>Civil</x:v>
      </x:c>
      <x:c r="K2457" s="9" t="str">
        <x:v>ew-cases-EWCA-Civ-2021-1682.xml</x:v>
      </x:c>
      <x:c r="L2457" s="9" t="str">
        <x:v>TBA</x:v>
      </x:c>
    </x:row>
    <x:row r="2458">
      <x:c r="A2458" t="str">
        <x:v>cdd8020a-35dc-4bbc-9137-27523f9b63b0</x:v>
      </x:c>
      <x:c r="B2458" t="str">
        <x:v>a30b2ade-6e0c-4b33-a0cd-099ae990e876</x:v>
      </x:c>
      <x:c r="C2458" s="9" t="str">
        <x:v>Property Alliance Group Ltd v The Royal Bank of Scotland Plc [2018] EWCA Civ 355</x:v>
      </x:c>
      <x:c r="D2458" s="9" t="str"/>
      <x:c r="E2458" s="9" t="str"/>
      <x:c r="F2458" s="13" t="str">
        <x:v>2018</x:v>
      </x:c>
      <x:c r="G2458" s="9" t="str">
        <x:v>England and Wales Court of Appeal (Civil Division)</x:v>
      </x:c>
      <x:c r="H2458" s="9" t="str">
        <x:v>appellate</x:v>
      </x:c>
      <x:c r="I2458" s="9" t="str">
        <x:v>England and Wales</x:v>
      </x:c>
      <x:c r="J2458" s="9" t="str">
        <x:v>Commercial Law</x:v>
      </x:c>
      <x:c r="K2458" s="9" t="str">
        <x:v>PT_EWCA-Civ_2018_355.xml</x:v>
      </x:c>
      <x:c r="L2458" s="9" t="str">
        <x:v>TBA</x:v>
      </x:c>
    </x:row>
    <x:row r="2459">
      <x:c r="A2459" t="str">
        <x:v>c1aae594-4e3c-4276-84d4-bf19a412cc9d</x:v>
      </x:c>
      <x:c r="B2459" t="str">
        <x:v>fb172418-08c3-4917-be83-86d8e210d7e6</x:v>
      </x:c>
      <x:c r="C2459" s="9" t="str">
        <x:v>Prophet Plc v Huggett [2014] EWCA Civ 1013</x:v>
      </x:c>
      <x:c r="D2459" s="9" t="str"/>
      <x:c r="E2459" s="9" t="str"/>
      <x:c r="F2459" s="13" t="str">
        <x:v>2014</x:v>
      </x:c>
      <x:c r="G2459" s="9" t="str">
        <x:v>England and Wales Court of Appeal (Civil Division)</x:v>
      </x:c>
      <x:c r="H2459" s="9" t="str">
        <x:v>Appellate</x:v>
      </x:c>
      <x:c r="I2459" s="9" t="str">
        <x:v>England and Wales</x:v>
      </x:c>
      <x:c r="J2459" s="9" t="str">
        <x:v>Employment Law</x:v>
      </x:c>
      <x:c r="K2459" s="9" t="str">
        <x:v>-ew-cases-EWCA-Civ-2014-1013.xml</x:v>
      </x:c>
      <x:c r="L2459" s="9" t="str">
        <x:v>TBA</x:v>
      </x:c>
    </x:row>
    <x:row r="2460">
      <x:c r="A2460" t="str">
        <x:v>9f531d11-4a71-4ed8-810d-db9bf4b9ccec</x:v>
      </x:c>
      <x:c r="B2460" t="str">
        <x:v>43a869b0-cb33-4cec-96ac-72fc11b7bdd5</x:v>
      </x:c>
      <x:c r="C2460" s="9" t="str">
        <x:v>PST Energy 7 Shipping LLC Product Shipping &amp; Trading S.A. v O.W. Bunker Malta Ltd &amp; Ors</x:v>
      </x:c>
      <x:c r="D2460" s="9" t="str"/>
      <x:c r="E2460" s="9" t="str"/>
      <x:c r="F2460" s="13" t="str">
        <x:v>2015</x:v>
      </x:c>
      <x:c r="G2460" s="9" t="str">
        <x:v>England and Wales Court of Appeal (Civil Division)</x:v>
      </x:c>
      <x:c r="H2460" s="9" t="str">
        <x:v>Appellate</x:v>
      </x:c>
      <x:c r="I2460" s="9" t="str">
        <x:v>England and Wales</x:v>
      </x:c>
      <x:c r="J2460" s="9" t="str">
        <x:v>Commercial Law</x:v>
      </x:c>
      <x:c r="K2460" s="9" t="str">
        <x:v>-ew-cases-EWCA-Civ-2015-1058.xml</x:v>
      </x:c>
      <x:c r="L2460" s="9" t="str">
        <x:v>TBA</x:v>
      </x:c>
    </x:row>
    <x:row r="2461">
      <x:c r="A2461" t="str">
        <x:v>b6afcf17-abc0-4e5e-a205-b3652a8a324c</x:v>
      </x:c>
      <x:c r="B2461" t="str">
        <x:v>899c92df-e451-4bf5-ab6f-f083658e94f7</x:v>
      </x:c>
      <x:c r="C2461" s="9" t="str">
        <x:v>PSV 1982 Limited v Langdon [2022] EWCA Civ 1319</x:v>
      </x:c>
      <x:c r="D2461" s="9" t="str"/>
      <x:c r="E2461" s="9" t="str"/>
      <x:c r="F2461" s="13" t="str">
        <x:v>2022</x:v>
      </x:c>
      <x:c r="G2461" s="9" t="str">
        <x:v>England and Wales Court of Appeal (Civil Division)</x:v>
      </x:c>
      <x:c r="H2461" s="9" t="str">
        <x:v>Court of Appeal</x:v>
      </x:c>
      <x:c r="I2461" s="9" t="str">
        <x:v>England and Wales</x:v>
      </x:c>
      <x:c r="J2461" s="9" t="str">
        <x:v>Statutory Interpretation / Insolvency / Director's Liability</x:v>
      </x:c>
      <x:c r="K2461" s="9" t="str">
        <x:v>ew-cases-EWCA-Civ-2022-1319.xml</x:v>
      </x:c>
      <x:c r="L2461" s="9" t="str">
        <x:v>TBA</x:v>
      </x:c>
    </x:row>
    <x:row r="2462">
      <x:c r="A2462" t="str">
        <x:v>5e7ee16b-27b9-429c-8d48-7b014e323ecc</x:v>
      </x:c>
      <x:c r="B2462" t="str">
        <x:v>0213c60f-12ff-4961-86b2-2cb9a5e6f642</x:v>
      </x:c>
      <x:c r="C2462" s="9" t="str">
        <x:v>PT (Sri Lanka) v Entry Clearance Officer, Chennai [2016] EWCA Civ 612</x:v>
      </x:c>
      <x:c r="D2462" s="9" t="str"/>
      <x:c r="E2462" s="9" t="str"/>
      <x:c r="F2462" s="13" t="str">
        <x:v>2016</x:v>
      </x:c>
      <x:c r="G2462" s="9" t="str">
        <x:v>England and Wales Court of Appeal (Civil Division)</x:v>
      </x:c>
      <x:c r="H2462" s="9" t="str">
        <x:v>Court of Appeal (Civil Division)</x:v>
      </x:c>
      <x:c r="I2462" s="9" t="str">
        <x:v>England and Wales</x:v>
      </x:c>
      <x:c r="J2462" s="9" t="str">
        <x:v>Immigration and Human Rights</x:v>
      </x:c>
      <x:c r="K2462" s="9" t="str">
        <x:v>-ew-cases-EWCA-Civ-2016-612.xml</x:v>
      </x:c>
      <x:c r="L2462" s="9" t="str">
        <x:v>TBA</x:v>
      </x:c>
    </x:row>
    <x:row r="2463">
      <x:c r="A2463" t="str">
        <x:v>1d5e5e14-09df-4991-963d-073477fb22ff</x:v>
      </x:c>
      <x:c r="B2463" t="str">
        <x:v>970ca77e-942d-4dd9-93e4-6d8ed2dcb401</x:v>
      </x:c>
      <x:c r="C2463" s="9" t="str">
        <x:v>Public and Commercial Services Union &amp; Ors, R (On the Application Of) v Secretary of State for the Home Department [2022] EWCA Civ 840</x:v>
      </x:c>
      <x:c r="D2463" s="9" t="str"/>
      <x:c r="E2463" s="9" t="str"/>
      <x:c r="F2463" s="13" t="str">
        <x:v>2022</x:v>
      </x:c>
      <x:c r="G2463" s="9" t="str">
        <x:v>England and Wales Court of Appeal (Civil Division)</x:v>
      </x:c>
      <x:c r="H2463" s="9" t="str">
        <x:v>Court of Appeal (Civil Division)</x:v>
      </x:c>
      <x:c r="I2463" s="9" t="str">
        <x:v>England and Wales</x:v>
      </x:c>
      <x:c r="J2463" s="9" t="str">
        <x:v>Public Law / Immigration / Administrative Law</x:v>
      </x:c>
      <x:c r="K2463" s="9" t="str">
        <x:v>ew-cases-EWCA-Civ-2022-840.xml</x:v>
      </x:c>
      <x:c r="L2463" s="9" t="str">
        <x:v>TBA</x:v>
      </x:c>
    </x:row>
    <x:row r="2464">
      <x:c r="A2464" t="str">
        <x:v>2868b051-e18a-4657-b57d-8e3eeeda699d</x:v>
      </x:c>
      <x:c r="B2464" t="str">
        <x:v>58aa0b7b-b6e5-4f76-b9ab-81e309e99b72</x:v>
      </x:c>
      <x:c r="C2464" s="9" t="str">
        <x:v>Public Law Project v The Lord Chancellor [2015] EWCA Civ 1193</x:v>
      </x:c>
      <x:c r="D2464" s="9" t="str"/>
      <x:c r="E2464" s="9" t="str"/>
      <x:c r="F2464" s="13" t="str">
        <x:v>2015</x:v>
      </x:c>
      <x:c r="G2464" s="9" t="str">
        <x:v>England and Wales Court of Appeal (Civil Division)</x:v>
      </x:c>
      <x:c r="H2464" s="9" t="str">
        <x:v>Appellate,</x:v>
      </x:c>
      <x:c r="I2464" s="9" t="str">
        <x:v>England and Wales</x:v>
      </x:c>
      <x:c r="J2464" s="9" t="str">
        <x:v>Administrative Law</x:v>
      </x:c>
      <x:c r="K2464" s="9" t="str">
        <x:v>-ew-cases-EWCA-Civ-2015-1193.xml</x:v>
      </x:c>
      <x:c r="L2464" s="9" t="str">
        <x:v>TBA</x:v>
      </x:c>
    </x:row>
    <x:row r="2465">
      <x:c r="A2465" t="str">
        <x:v>f5caee33-7e4b-4339-a52a-97a1379b88d7</x:v>
      </x:c>
      <x:c r="B2465" t="str">
        <x:v>a869a2f7-f622-4f11-9e30-a8e9f0abfeff</x:v>
      </x:c>
      <x:c r="C2465" s="9" t="str">
        <x:v>Pun &amp; Anor (Nepal) v The Secretary of State for the Home Department</x:v>
      </x:c>
      <x:c r="D2465" s="9" t="str"/>
      <x:c r="E2465" s="9" t="str"/>
      <x:c r="F2465" s="13" t="str">
        <x:v>2017</x:v>
      </x:c>
      <x:c r="G2465" s="9" t="str">
        <x:v>England and Wales Court of Appeal (Civil Division)</x:v>
      </x:c>
      <x:c r="H2465" s="9" t="str">
        <x:v>Appellate</x:v>
      </x:c>
      <x:c r="I2465" s="9" t="str">
        <x:v>England and Wales</x:v>
      </x:c>
      <x:c r="J2465" s="9" t="str">
        <x:v>Immigration Law</x:v>
      </x:c>
      <x:c r="K2465" s="9" t="str">
        <x:v>-ew-cases-EWCA-Civ-2017-2106.xml</x:v>
      </x:c>
      <x:c r="L2465" s="9" t="str">
        <x:v>TBA</x:v>
      </x:c>
    </x:row>
    <x:row r="2466">
      <x:c r="A2466" t="str">
        <x:v>3badbe12-50ec-4591-bb47-98f3402424c0</x:v>
      </x:c>
      <x:c r="B2466" t="str">
        <x:v>bef84128-6e3d-44d1-96fc-87ef30f4210f</x:v>
      </x:c>
      <x:c r="C2466" s="9" t="str">
        <x:v>Purewal v Countrywide Residential Lettings Ltd &amp; Anor</x:v>
      </x:c>
      <x:c r="D2466" s="9" t="str"/>
      <x:c r="E2466" s="9" t="str"/>
      <x:c r="F2466" s="13" t="str">
        <x:v>2015</x:v>
      </x:c>
      <x:c r="G2466" s="9" t="str">
        <x:v>England and Wales Court of Appeal (Civil Division)</x:v>
      </x:c>
      <x:c r="H2466" s="9" t="str">
        <x:v>Appellate</x:v>
      </x:c>
      <x:c r="I2466" s="9" t="str">
        <x:v>England and Wales</x:v>
      </x:c>
      <x:c r="J2466" s="9" t="str">
        <x:v>Tort</x:v>
      </x:c>
      <x:c r="K2466" s="9" t="str">
        <x:v>-ew-cases-EWCA-Civ-2015-1122.xml</x:v>
      </x:c>
      <x:c r="L2466" s="9" t="str">
        <x:v>TBA</x:v>
      </x:c>
    </x:row>
    <x:row r="2467">
      <x:c r="A2467" t="str">
        <x:v>2de953d6-c8e8-463d-aaf9-96a95e5b2aee</x:v>
      </x:c>
      <x:c r="B2467" t="str">
        <x:v>e099b583-4ed3-4598-a6cb-0f3565312f05</x:v>
      </x:c>
      <x:c r="C2467" s="9" t="str">
        <x:v>Pye v Queen Mary University of London [2017] EWCA Civ 1820</x:v>
      </x:c>
      <x:c r="D2467" s="9" t="str"/>
      <x:c r="E2467" s="9" t="str"/>
      <x:c r="F2467" s="13" t="str">
        <x:v>2017</x:v>
      </x:c>
      <x:c r="G2467" s="9" t="str">
        <x:v>England and Wales Court of Appeal (Civil Division)</x:v>
      </x:c>
      <x:c r="H2467" s="9" t="str">
        <x:v>Appellate</x:v>
      </x:c>
      <x:c r="I2467" s="9" t="str">
        <x:v>UK</x:v>
      </x:c>
      <x:c r="J2467" s="9" t="str">
        <x:v>Employment Law</x:v>
      </x:c>
      <x:c r="K2467" s="9" t="str">
        <x:v>-ew-cases-EWCA-Civ-2017-1820.xml</x:v>
      </x:c>
      <x:c r="L2467" s="9" t="str">
        <x:v>TBA</x:v>
      </x:c>
    </x:row>
    <x:row r="2468">
      <x:c r="A2468" t="str">
        <x:v>314ab082-c4ae-4ec4-91ed-7b2a52437e3e</x:v>
      </x:c>
      <x:c r="B2468" t="str">
        <x:v>c3dea1d8-5bf5-431b-af7a-6bd718c9c42c</x:v>
      </x:c>
      <x:c r="C2468" s="9" t="str">
        <x:v>Q (Children) [2014] EWCA Civ 918</x:v>
      </x:c>
      <x:c r="D2468" s="9" t="str"/>
      <x:c r="E2468" s="9" t="str"/>
      <x:c r="F2468" s="13" t="str">
        <x:v>2014</x:v>
      </x:c>
      <x:c r="G2468" s="9" t="str">
        <x:v>England and Wales Court of Appeal (Civil Division)</x:v>
      </x:c>
      <x:c r="H2468" s="9" t="str">
        <x:v>Appellate</x:v>
      </x:c>
      <x:c r="I2468" s="9" t="str">
        <x:v>United Kingdom</x:v>
      </x:c>
      <x:c r="J2468" s="9" t="str">
        <x:v>Family Law</x:v>
      </x:c>
      <x:c r="K2468" s="9" t="str">
        <x:v>-ew-cases-EWCA-Civ-2014-918.xml</x:v>
      </x:c>
      <x:c r="L2468" s="9" t="str">
        <x:v>TBA</x:v>
      </x:c>
    </x:row>
    <x:row r="2469">
      <x:c r="A2469" t="str">
        <x:v>ca36f7bd-353b-4497-85c3-c3815b48b133</x:v>
      </x:c>
      <x:c r="B2469" t="str">
        <x:v>bfc6ff32-1e49-43f1-8094-2231d0b4e8ae</x:v>
      </x:c>
      <x:c r="C2469" s="9" t="str">
        <x:v>Qader &amp; Ors v Esure Services Ltd &amp; Ors [2016] EWCA Civ 1109</x:v>
      </x:c>
      <x:c r="D2469" s="9" t="str"/>
      <x:c r="E2469" s="9" t="str"/>
      <x:c r="F2469" s="13" t="str">
        <x:v>2016</x:v>
      </x:c>
      <x:c r="G2469" s="9" t="str">
        <x:v>England and Wales Court of Appeal (Civil Division)</x:v>
      </x:c>
      <x:c r="H2469" s="9" t="str">
        <x:v>Court of Appeal (Civil Division)</x:v>
      </x:c>
      <x:c r="I2469" s="9" t="str">
        <x:v>England and Wales</x:v>
      </x:c>
      <x:c r="J2469" s="9" t="str">
        <x:v>Civil Procedure; Costs; Fixed Costs Regime</x:v>
      </x:c>
      <x:c r="K2469" s="9" t="str">
        <x:v>-ew-cases-EWCA-Civ-2016-1109.xml</x:v>
      </x:c>
      <x:c r="L2469" s="9" t="str">
        <x:v>TBA</x:v>
      </x:c>
    </x:row>
    <x:row r="2470">
      <x:c r="A2470" t="str">
        <x:v>108333f4-d0d1-4f97-bf21-4dca9b02a367</x:v>
      </x:c>
      <x:c r="B2470" t="str">
        <x:v>37f1e18b-c326-47d7-af6f-fe79a6c4fa22</x:v>
      </x:c>
      <x:c r="C2470" s="9" t="str">
        <x:v>Qatar Investment and Project Development Holding Company &amp; Anor v Phoenix Ancient Art S.A. [2022] EWCA Civ 422</x:v>
      </x:c>
      <x:c r="D2470" s="9" t="str"/>
      <x:c r="E2470" s="9" t="str"/>
      <x:c r="F2470" s="13" t="str">
        <x:v>2022</x:v>
      </x:c>
      <x:c r="G2470" s="9" t="str">
        <x:v>England and Wales Court of Appeal (Civil Division)</x:v>
      </x:c>
      <x:c r="H2470" s="9" t="str">
        <x:v>Court of Appeal (Civil Division)</x:v>
      </x:c>
      <x:c r="I2470" s="9" t="str">
        <x:v>England and Wales</x:v>
      </x:c>
      <x:c r="J2470" s="9" t="str">
        <x:v>Civil Dispute - Sale of Artwork / Limitation and Procedural Law</x:v>
      </x:c>
      <x:c r="K2470" s="9" t="str">
        <x:v>ew-cases-EWCA-Civ-2022-422.xml</x:v>
      </x:c>
      <x:c r="L2470" s="9" t="str">
        <x:v>TBA</x:v>
      </x:c>
    </x:row>
    <x:row r="2471">
      <x:c r="A2471" t="str">
        <x:v>10cad3b6-1b9d-4c7a-94ed-f8850ce28a3b</x:v>
      </x:c>
      <x:c r="B2471" t="str">
        <x:v>f74c29a5-8a01-45e8-b56e-f60a16e2f332</x:v>
      </x:c>
      <x:c r="C2471" s="9" t="str">
        <x:v>QH (Afghanistan) v Secretary of State for the Home Department [2022] EWCA Civ 421</x:v>
      </x:c>
      <x:c r="D2471" s="9" t="str"/>
      <x:c r="E2471" s="9" t="str"/>
      <x:c r="F2471" s="13" t="str">
        <x:v>2022</x:v>
      </x:c>
      <x:c r="G2471" s="9" t="str">
        <x:v>England and Wales Court of Appeal (Civil Division)</x:v>
      </x:c>
      <x:c r="H2471" s="9" t="str">
        <x:v>Court of Appeal (Civil Division)</x:v>
      </x:c>
      <x:c r="I2471" s="9" t="str">
        <x:v>England and Wales</x:v>
      </x:c>
      <x:c r="J2471" s="9" t="str">
        <x:v>Immigration Law; Administrative Law; Human Rights</x:v>
      </x:c>
      <x:c r="K2471" s="9" t="str">
        <x:v>ew-cases-EWCA-Civ-2022-421.xml</x:v>
      </x:c>
      <x:c r="L2471" s="9" t="str">
        <x:v>TBA</x:v>
      </x:c>
    </x:row>
    <x:row r="2472">
      <x:c r="A2472" t="str">
        <x:v>9014cd9e-ba1b-45d4-a3b7-e1c18c421cc9</x:v>
      </x:c>
      <x:c r="B2472" t="str">
        <x:v>dc1a5063-3c29-4956-8bc1-371d28c03116</x:v>
      </x:c>
      <x:c r="C2472" s="9" t="str">
        <x:v>QM (Pakistan) v Secretary of State for the Home Department</x:v>
      </x:c>
      <x:c r="D2472" s="9" t="str"/>
      <x:c r="E2472" s="9" t="str"/>
      <x:c r="F2472" s="13" t="str">
        <x:v>2015</x:v>
      </x:c>
      <x:c r="G2472" s="9" t="str">
        <x:v>England and Wales Court of Appeal (Civil Division)</x:v>
      </x:c>
      <x:c r="H2472" s="9" t="str">
        <x:v>Appellate</x:v>
      </x:c>
      <x:c r="I2472" s="9" t="str">
        <x:v>England and Wales</x:v>
      </x:c>
      <x:c r="J2472" s="9" t="str">
        <x:v>Immigration Law</x:v>
      </x:c>
      <x:c r="K2472" s="9" t="str">
        <x:v>-ew-cases-EWCA-Civ-2015-786.xml</x:v>
      </x:c>
      <x:c r="L2472" s="9" t="str">
        <x:v>TBA</x:v>
      </x:c>
    </x:row>
    <x:row r="2473">
      <x:c r="A2473" t="str">
        <x:v>1e16eaed-67ee-4b20-9b04-9cac06db8563</x:v>
      </x:c>
      <x:c r="B2473" t="str">
        <x:v>d9ac81c5-24cd-4fb5-994f-db0b98b716cf</x:v>
      </x:c>
      <x:c r="C2473" s="9" t="str">
        <x:v>Qongwane &amp; Ors v Secretary of State for the Home Department</x:v>
      </x:c>
      <x:c r="D2473" s="9" t="str"/>
      <x:c r="E2473" s="9" t="str"/>
      <x:c r="F2473" s="13" t="str">
        <x:v>2014</x:v>
      </x:c>
      <x:c r="G2473" s="9" t="str">
        <x:v>England and Wales Court of Appeal (Civil Division)</x:v>
      </x:c>
      <x:c r="H2473" s="9" t="str">
        <x:v>Appellate</x:v>
      </x:c>
      <x:c r="I2473" s="9" t="str">
        <x:v>England and Wales</x:v>
      </x:c>
      <x:c r="J2473" s="9" t="str">
        <x:v>Immigration</x:v>
      </x:c>
      <x:c r="K2473" s="9" t="str">
        <x:v>-ew-cases-EWCA-Civ-2014-957.xml</x:v>
      </x:c>
      <x:c r="L2473" s="9" t="str">
        <x:v>TBA</x:v>
      </x:c>
    </x:row>
    <x:row r="2474">
      <x:c r="A2474" t="str">
        <x:v>91da8a79-8909-4017-8b6d-199225516bde</x:v>
      </x:c>
      <x:c r="B2474" t="str">
        <x:v>c5f5d667-76c2-43ad-ac78-57208409115e</x:v>
      </x:c>
      <x:c r="C2474" s="9" t="str">
        <x:v>QS (Jamaica) v Secretary of State for the Home Department</x:v>
      </x:c>
      <x:c r="D2474" s="9" t="str"/>
      <x:c r="E2474" s="9" t="str"/>
      <x:c r="F2474" s="13" t="str">
        <x:v>2015</x:v>
      </x:c>
      <x:c r="G2474" s="9" t="str">
        <x:v>England and Wales Court of Appeal (Civil Division)</x:v>
      </x:c>
      <x:c r="H2474" s="9" t="str">
        <x:v>Appellate</x:v>
      </x:c>
      <x:c r="I2474" s="9" t="str">
        <x:v>England and Wales</x:v>
      </x:c>
      <x:c r="J2474" s="9" t="str">
        <x:v>Immigration Law</x:v>
      </x:c>
      <x:c r="K2474" s="9" t="str">
        <x:v>-ew-cases-EWCA-Civ-2015-1227.xml</x:v>
      </x:c>
      <x:c r="L2474" s="9" t="str">
        <x:v>TBA</x:v>
      </x:c>
    </x:row>
    <x:row r="2475">
      <x:c r="A2475" t="str">
        <x:v>53d53251-e0c4-458c-85fd-0b06d379c816</x:v>
      </x:c>
      <x:c r="B2475" t="str">
        <x:v>cc794994-d9ff-4e2a-a522-ddb742b52a12</x:v>
      </x:c>
      <x:c r="C2475" s="9" t="str">
        <x:v>Quadra Commodities S.A. v XL Insurance Company SE &amp; Ors [2023] EWCA Civ 432 (21 April 2023)</x:v>
      </x:c>
      <x:c r="D2475" s="9" t="str"/>
      <x:c r="E2475" s="9" t="str"/>
      <x:c r="F2475" s="13" t="str">
        <x:v>2023</x:v>
      </x:c>
      <x:c r="G2475" s="9" t="str">
        <x:v>England and Wales Court of Appeal (Civil Division)</x:v>
      </x:c>
      <x:c r="H2475" s="9" t="str">
        <x:v>Court of Appeal (Civil Division)</x:v>
      </x:c>
      <x:c r="I2475" s="9" t="str">
        <x:v>England and Wales</x:v>
      </x:c>
      <x:c r="J2475" s="9" t="str">
        <x:v>Insurance Law; Marine Insurance</x:v>
      </x:c>
      <x:c r="K2475" s="9" t="str">
        <x:v>ew-cases-EWCA-Civ-2023-432.xml</x:v>
      </x:c>
      <x:c r="L2475" s="9" t="str">
        <x:v>TBA</x:v>
      </x:c>
    </x:row>
    <x:row r="2476">
      <x:c r="A2476" t="str">
        <x:v>ddb378ff-14ce-457e-9b90-421ff8213f3a</x:v>
      </x:c>
      <x:c r="B2476" t="str">
        <x:v>cbb26c3a-61b7-4296-bd07-9529d3ccf25e</x:v>
      </x:c>
      <x:c r="C2476" s="9" t="str">
        <x:v>Quan v Bray &amp; Anor [2015] EWCA Civ 1253</x:v>
      </x:c>
      <x:c r="D2476" s="9" t="str"/>
      <x:c r="E2476" s="9" t="str"/>
      <x:c r="F2476" s="13" t="str">
        <x:v>2015</x:v>
      </x:c>
      <x:c r="G2476" s="9" t="str">
        <x:v>England and Wales Court of Appeal (Civil Division)</x:v>
      </x:c>
      <x:c r="H2476" s="9" t="str">
        <x:v>Appellate</x:v>
      </x:c>
      <x:c r="I2476" s="9" t="str">
        <x:v>England and Wales</x:v>
      </x:c>
      <x:c r="J2476" s="9" t="str">
        <x:v>Family Law</x:v>
      </x:c>
      <x:c r="K2476" s="9" t="str">
        <x:v>-ew-cases-EWCA-Civ-2015-1253.xml</x:v>
      </x:c>
      <x:c r="L2476" s="9" t="str">
        <x:v>TBA</x:v>
      </x:c>
    </x:row>
    <x:row r="2477">
      <x:c r="A2477" t="str">
        <x:v>aca928f4-aa96-4a3b-971b-0c69990c5f15</x:v>
      </x:c>
      <x:c r="B2477" t="str">
        <x:v>41bc9d07-9bb6-4362-93ba-1abbcddb8334</x:v>
      </x:c>
      <x:c r="C2477" s="9" t="str">
        <x:v>Quan v Bray &amp; Anor [2015] EWCA Civ 1401</x:v>
      </x:c>
      <x:c r="D2477" s="9" t="str"/>
      <x:c r="E2477" s="9" t="str"/>
      <x:c r="F2477" s="13" t="str">
        <x:v>2015</x:v>
      </x:c>
      <x:c r="G2477" s="9" t="str">
        <x:v>England and Wales Court of Appeal (Civil Division)</x:v>
      </x:c>
      <x:c r="H2477" s="9" t="str">
        <x:v>Appellate</x:v>
      </x:c>
      <x:c r="I2477" s="9" t="str">
        <x:v>England and Wales</x:v>
      </x:c>
      <x:c r="J2477" s="9" t="str">
        <x:v>Family Law</x:v>
      </x:c>
      <x:c r="K2477" s="9" t="str">
        <x:v>-ew-cases-EWCA-Civ-2015-1401.xml</x:v>
      </x:c>
      <x:c r="L2477" s="9" t="str">
        <x:v>TBA</x:v>
      </x:c>
    </x:row>
    <x:row r="2478">
      <x:c r="A2478" t="str">
        <x:v>c81aea09-6cd7-4d9d-b588-6f53c7640e85</x:v>
      </x:c>
      <x:c r="B2478" t="str">
        <x:v>7e8c8e51-76b3-4ef1-a703-30e50ab575c1</x:v>
      </x:c>
      <x:c r="C2478" s="9" t="str">
        <x:v>Quan v Bray &amp; Ors [2017] EWCA Civ 405</x:v>
      </x:c>
      <x:c r="D2478" s="9" t="str"/>
      <x:c r="E2478" s="9" t="str"/>
      <x:c r="F2478" s="13" t="str">
        <x:v>2017</x:v>
      </x:c>
      <x:c r="G2478" s="9" t="str">
        <x:v>England and Wales Court of Appeal (Civil Division)</x:v>
      </x:c>
      <x:c r="H2478" s="9" t="str">
        <x:v>Appellate</x:v>
      </x:c>
      <x:c r="I2478" s="9" t="str">
        <x:v>England and Wales</x:v>
      </x:c>
      <x:c r="J2478" s="9" t="str">
        <x:v>Family Law</x:v>
      </x:c>
      <x:c r="K2478" s="9" t="str">
        <x:v>-ew-cases-EWCA-Civ-2017-405.xml</x:v>
      </x:c>
      <x:c r="L2478" s="9" t="str">
        <x:v>TBA</x:v>
      </x:c>
    </x:row>
    <x:row r="2479">
      <x:c r="A2479" t="str">
        <x:v>dcd84288-9761-486d-bfda-84a7ea3acce1</x:v>
      </x:c>
      <x:c r="B2479" t="str">
        <x:v>0dd36a66-c9cd-4493-8a87-caa87d1c6614</x:v>
      </x:c>
      <x:c r="C2479" s="9" t="str">
        <x:v>Quantrell v TWA Logistics Ltd [2016] EWCA Civ 399</x:v>
      </x:c>
      <x:c r="D2479" s="9" t="str"/>
      <x:c r="E2479" s="9" t="str"/>
      <x:c r="F2479" s="13" t="str">
        <x:v>2016</x:v>
      </x:c>
      <x:c r="G2479" s="9" t="str">
        <x:v>England and Wales Court of Appeal (Civil Division)</x:v>
      </x:c>
      <x:c r="H2479" s="9" t="str">
        <x:v>Court of Appeal (Civil Division)</x:v>
      </x:c>
      <x:c r="I2479" s="9" t="str">
        <x:v>England and Wales</x:v>
      </x:c>
      <x:c r="J2479" s="9" t="str">
        <x:v>Personal Injury / Tort – Employer's liability</x:v>
      </x:c>
      <x:c r="K2479" s="9" t="str">
        <x:v>-ew-cases-EWCA-Civ-2016-399.xml</x:v>
      </x:c>
      <x:c r="L2479" s="9" t="str">
        <x:v>TBA</x:v>
      </x:c>
    </x:row>
    <x:row r="2480">
      <x:c r="A2480" t="str">
        <x:v>e6261d7a-4af4-49fd-840b-4d97f56b9466</x:v>
      </x:c>
      <x:c r="B2480" t="str">
        <x:v>9d03afe3-4b0d-4677-b339-180d02060188</x:v>
      </x:c>
      <x:c r="C2480" s="9" t="str">
        <x:v>Quantum Actuarial LLP v Quantum Advisory Ltd [2021] EWCA Civ 227</x:v>
      </x:c>
      <x:c r="D2480" s="9" t="str"/>
      <x:c r="E2480" s="9" t="str"/>
      <x:c r="F2480" s="13" t="str">
        <x:v>2021</x:v>
      </x:c>
      <x:c r="G2480" s="9" t="str">
        <x:v>England and Wales Court of Appeal (Civil Division)</x:v>
      </x:c>
      <x:c r="H2480" s="9" t="str">
        <x:v>Appellate</x:v>
      </x:c>
      <x:c r="I2480" s="9" t="str">
        <x:v>England and Wales</x:v>
      </x:c>
      <x:c r="J2480" s="9" t="str">
        <x:v>Contract Law</x:v>
      </x:c>
      <x:c r="K2480" s="9" t="str">
        <x:v>ew-cases-EWCA-Civ-2021-227.xml</x:v>
      </x:c>
      <x:c r="L2480" s="9" t="str">
        <x:v>TBA</x:v>
      </x:c>
    </x:row>
    <x:row r="2481">
      <x:c r="A2481" t="str">
        <x:v>758cb47e-d73b-4ca2-9212-f1b741500b81</x:v>
      </x:c>
      <x:c r="B2481" t="str">
        <x:v>21442ad4-b913-4c37-a107-0770abf41368</x:v>
      </x:c>
      <x:c r="C2481" s="9" t="str">
        <x:v>Quantum Advisory Ltd v Quantum Actuarial LLP [2023] EWCA Civ 12</x:v>
      </x:c>
      <x:c r="D2481" s="9" t="str"/>
      <x:c r="E2481" s="9" t="str"/>
      <x:c r="F2481" s="13" t="str">
        <x:v>2023</x:v>
      </x:c>
      <x:c r="G2481" s="9" t="str">
        <x:v>England and Wales Court of Appeal (Civil Division)</x:v>
      </x:c>
      <x:c r="H2481" s="9" t="str">
        <x:v>Court of Appeal (Civil Division)</x:v>
      </x:c>
      <x:c r="I2481" s="9" t="str">
        <x:v>England and Wales</x:v>
      </x:c>
      <x:c r="J2481" s="9" t="str">
        <x:v>Contract interpretation</x:v>
      </x:c>
      <x:c r="K2481" s="9" t="str">
        <x:v>ew-cases-EWCA-Civ-2023-12.xml</x:v>
      </x:c>
      <x:c r="L2481" s="9" t="str">
        <x:v>TBA</x:v>
      </x:c>
    </x:row>
    <x:row r="2482">
      <x:c r="A2482" t="str">
        <x:v>709e8469-4af8-4426-bd13-5107ceead14a</x:v>
      </x:c>
      <x:c r="B2482" t="str">
        <x:v>d9e7a22d-e3a3-46bd-bb63-3be3c0b4992a</x:v>
      </x:c>
      <x:c r="C2482" s="9" t="str">
        <x:v>Quantum Care Limited (Quantum Care Ltd) &amp; Gurpreet Gill Maag v Lalit Modi [2023] EWCA Civ 171</x:v>
      </x:c>
      <x:c r="D2482" s="9" t="str"/>
      <x:c r="E2482" s="9" t="str"/>
      <x:c r="F2482" s="13" t="str">
        <x:v>2023</x:v>
      </x:c>
      <x:c r="G2482" s="9" t="str">
        <x:v>England and Wales Court of Appeal (Civil Division)</x:v>
      </x:c>
      <x:c r="H2482" s="9" t="str">
        <x:v>Court of Appeal (Civil Division)</x:v>
      </x:c>
      <x:c r="I2482" s="9" t="str">
        <x:v>England and Wales</x:v>
      </x:c>
      <x:c r="J2482" s="9" t="str">
        <x:v>Contract and Tort (Deceit)</x:v>
      </x:c>
      <x:c r="K2482" s="9" t="str">
        <x:v>ew-cases-EWCA-Civ-2023-171.xml</x:v>
      </x:c>
      <x:c r="L2482" s="9" t="str">
        <x:v>TBA</x:v>
      </x:c>
    </x:row>
    <x:row r="2483">
      <x:c r="A2483" t="str">
        <x:v>368f2031-f691-471e-bdd1-680b420cdc60</x:v>
      </x:c>
      <x:c r="B2483" t="str">
        <x:v>69baea1f-4f50-445b-8c73-4ebd2fd29ca9</x:v>
      </x:c>
      <x:c r="C2483" s="9" t="str">
        <x:v>Quarey v The Secretary of State for the Home Department [2017] EWCA Civ 47</x:v>
      </x:c>
      <x:c r="D2483" s="9" t="str"/>
      <x:c r="E2483" s="9" t="str"/>
      <x:c r="F2483" s="13" t="str">
        <x:v>2017</x:v>
      </x:c>
      <x:c r="G2483" s="9" t="str">
        <x:v>England and Wales Court of Appeal (Civil Division)</x:v>
      </x:c>
      <x:c r="H2483" s="9" t="str">
        <x:v>Appellate</x:v>
      </x:c>
      <x:c r="I2483" s="9" t="str">
        <x:v>England and Wales</x:v>
      </x:c>
      <x:c r="J2483" s="9" t="str">
        <x:v>Immigration Law</x:v>
      </x:c>
      <x:c r="K2483" s="9" t="str">
        <x:v>-ew-cases-EWCA-Civ-2017-47.xml</x:v>
      </x:c>
      <x:c r="L2483" s="9" t="str">
        <x:v>TBA</x:v>
      </x:c>
    </x:row>
    <x:row r="2484">
      <x:c r="A2484" t="str">
        <x:v>9e1beb96-6c12-4f6c-9a9a-3fc37f0dd097</x:v>
      </x:c>
      <x:c r="B2484" t="str">
        <x:v>2496ebc0-317d-4133-8438-9e529b28b943</x:v>
      </x:c>
      <x:c r="C2484" s="9" t="str">
        <x:v>Quilter v Hodson Developments Limited [2016] EWCA Civ 1125</x:v>
      </x:c>
      <x:c r="D2484" s="9" t="str"/>
      <x:c r="E2484" s="9" t="str"/>
      <x:c r="F2484" s="13" t="str">
        <x:v>2016</x:v>
      </x:c>
      <x:c r="G2484" s="9" t="str">
        <x:v>England and Wales Court of Appeal (Civil Division)</x:v>
      </x:c>
      <x:c r="H2484" s="9" t="str">
        <x:v>Court of Appeal (Civil Division)</x:v>
      </x:c>
      <x:c r="I2484" s="9" t="str">
        <x:v>England and Wales</x:v>
      </x:c>
      <x:c r="J2484" s="9" t="str">
        <x:v>Contract Dispute (Misrepresentation) / Property Law</x:v>
      </x:c>
      <x:c r="K2484" s="9" t="str">
        <x:v>-ew-cases-EWCA-Civ-2016-1125.xml</x:v>
      </x:c>
      <x:c r="L2484" s="9" t="str">
        <x:v>TBA</x:v>
      </x:c>
    </x:row>
    <x:row r="2485">
      <x:c r="A2485" t="str">
        <x:v>7073c2f0-36ef-44ce-aa98-d34e279feaec</x:v>
      </x:c>
      <x:c r="B2485" t="str">
        <x:v>6b2e2714-ca39-4378-966c-1b3ff6b417b2</x:v>
      </x:c>
      <x:c r="C2485" s="9" t="str">
        <x:v>QX v Secretary of State for the Home Department [2022] EWCA Civ 1541</x:v>
      </x:c>
      <x:c r="D2485" s="9" t="str"/>
      <x:c r="E2485" s="9" t="str"/>
      <x:c r="F2485" s="13" t="str">
        <x:v>2022</x:v>
      </x:c>
      <x:c r="G2485" s="9" t="str">
        <x:v>England and Wales Court of Appeal (Civil Division)</x:v>
      </x:c>
      <x:c r="H2485" s="9" t="str">
        <x:v>Court of Appeal (Civil Division)</x:v>
      </x:c>
      <x:c r="I2485" s="9" t="str">
        <x:v>England and Wales</x:v>
      </x:c>
      <x:c r="J2485" s="9" t="str">
        <x:v>Public Law / Administrative Law; National Security; Human Rights</x:v>
      </x:c>
      <x:c r="K2485" s="9" t="str">
        <x:v>ew-cases-EWCA-Civ-2022-1541.xml</x:v>
      </x:c>
      <x:c r="L2485" s="9" t="str">
        <x:v>TBA</x:v>
      </x:c>
    </x:row>
    <x:row r="2486">
      <x:c r="A2486" t="str">
        <x:v>a055ade7-8626-4e48-842b-33de2ada093e</x:v>
      </x:c>
      <x:c r="B2486" t="str">
        <x:v>02fc531c-fd16-4848-a427-deb0e4d48515</x:v>
      </x:c>
      <x:c r="C2486" s="9" t="str">
        <x:v>R (A Child) (Asylum and 1980 Hague Convention Application) (Rev1) [2022] EWCA Civ 188</x:v>
      </x:c>
      <x:c r="D2486" s="9" t="str"/>
      <x:c r="E2486" s="9" t="str"/>
      <x:c r="F2486" s="13" t="str">
        <x:v>2022</x:v>
      </x:c>
      <x:c r="G2486" s="9" t="str">
        <x:v>England and Wales Court of Appeal (Civil Division)</x:v>
      </x:c>
      <x:c r="H2486" s="9" t="str">
        <x:v>Court of Appeal (Civil Division)</x:v>
      </x:c>
      <x:c r="I2486" s="9" t="str">
        <x:v>England and Wales</x:v>
      </x:c>
      <x:c r="J2486" s="9" t="str">
        <x:v>Public Law - Family (International Child Abduction) / International Law</x:v>
      </x:c>
      <x:c r="K2486" s="9" t="str">
        <x:v>ew-cases-EWCA-Civ-2022-188.xml</x:v>
      </x:c>
      <x:c r="L2486" s="9" t="str">
        <x:v>TBA</x:v>
      </x:c>
    </x:row>
    <x:row r="2487">
      <x:c r="A2487" t="str">
        <x:v>b9c1eefb-77d3-45a7-aa3f-813ef7425987</x:v>
      </x:c>
      <x:c r="B2487" t="str">
        <x:v>4ddd127d-d87c-4e64-be56-5b376df568a7</x:v>
      </x:c>
      <x:c r="C2487" s="9" t="str">
        <x:v>R (A Child) [2014] EWCA Civ 1625: Appeal Against Care and Adoption Orders</x:v>
      </x:c>
      <x:c r="D2487" s="9" t="str"/>
      <x:c r="E2487" s="9" t="str"/>
      <x:c r="F2487" s="13" t="str">
        <x:v>2014</x:v>
      </x:c>
      <x:c r="G2487" s="9" t="str">
        <x:v>England and Wales Court of Appeal (Civil Division)</x:v>
      </x:c>
      <x:c r="H2487" s="9" t="str">
        <x:v>Appellate</x:v>
      </x:c>
      <x:c r="I2487" s="9" t="str">
        <x:v>England and Wales</x:v>
      </x:c>
      <x:c r="J2487" s="9" t="str">
        <x:v>Family Law</x:v>
      </x:c>
      <x:c r="K2487" s="9" t="str">
        <x:v>-ew-cases-EWCA-Civ-2014-1625.xml</x:v>
      </x:c>
      <x:c r="L2487" s="9" t="str">
        <x:v>TBA</x:v>
      </x:c>
    </x:row>
    <x:row r="2488">
      <x:c r="A2488" t="str">
        <x:v>05c9a3e1-f75b-4899-bde0-1aa5b9c0fefe</x:v>
      </x:c>
      <x:c r="B2488" t="str">
        <x:v>cda6db07-ec06-4b5e-a750-ed6605c7fac8</x:v>
      </x:c>
      <x:c r="C2488" s="9" t="str">
        <x:v>R (A Child) [2014] EWCA Civ 597: Appeal of Care Orders</x:v>
      </x:c>
      <x:c r="D2488" s="9" t="str"/>
      <x:c r="E2488" s="9" t="str"/>
      <x:c r="F2488" s="13" t="str">
        <x:v>2014</x:v>
      </x:c>
      <x:c r="G2488" s="9" t="str">
        <x:v>England and Wales Court of Appeal (Civil Division)</x:v>
      </x:c>
      <x:c r="H2488" s="9" t="str">
        <x:v>Appellate</x:v>
      </x:c>
      <x:c r="I2488" s="9" t="str">
        <x:v>England and Wales</x:v>
      </x:c>
      <x:c r="J2488" s="9" t="str">
        <x:v>Family Law</x:v>
      </x:c>
      <x:c r="K2488" s="9" t="str">
        <x:v>-ew-cases-EWCA-Civ-2014-597.xml</x:v>
      </x:c>
      <x:c r="L2488" s="9" t="str">
        <x:v>TBA</x:v>
      </x:c>
    </x:row>
    <x:row r="2489">
      <x:c r="A2489" t="str">
        <x:v>3b852111-fce1-4328-8cce-b73e460fc6b2</x:v>
      </x:c>
      <x:c r="B2489" t="str">
        <x:v>73fe0f18-0a06-444e-9eb7-31d5b9017da5</x:v>
      </x:c>
      <x:c r="C2489" s="9" t="str">
        <x:v>R (A Child) [2015] EWCA Civ 1026 – Appeal on Custody and Return Order</x:v>
      </x:c>
      <x:c r="D2489" s="9" t="str"/>
      <x:c r="E2489" s="9" t="str"/>
      <x:c r="F2489" s="13" t="str">
        <x:v>2015</x:v>
      </x:c>
      <x:c r="G2489" s="9" t="str">
        <x:v>England and Wales Court of Appeal (Civil Division)</x:v>
      </x:c>
      <x:c r="H2489" s="9" t="str">
        <x:v>Appellate</x:v>
      </x:c>
      <x:c r="I2489" s="9" t="str">
        <x:v>England and Wales</x:v>
      </x:c>
      <x:c r="J2489" s="9" t="str">
        <x:v>Family Law</x:v>
      </x:c>
      <x:c r="K2489" s="9" t="str">
        <x:v>-ew-cases-EWCA-Civ-2015-1026.xml</x:v>
      </x:c>
      <x:c r="L2489" s="9" t="str">
        <x:v>TBA</x:v>
      </x:c>
    </x:row>
    <x:row r="2490">
      <x:c r="A2490" t="str">
        <x:v>0f5e690c-55cd-4a97-8138-66baaf0a2991</x:v>
      </x:c>
      <x:c r="B2490" t="str">
        <x:v>bf773bc1-5568-476a-bcc7-a5ad678befd0</x:v>
      </x:c>
      <x:c r="C2490" s="9" t="str">
        <x:v>R (A Child), Re [2014] EWCA Civ 1664</x:v>
      </x:c>
      <x:c r="D2490" s="9" t="str"/>
      <x:c r="E2490" s="9" t="str"/>
      <x:c r="F2490" s="13" t="str">
        <x:v>2014</x:v>
      </x:c>
      <x:c r="G2490" s="9" t="str">
        <x:v>England and Wales Court of Appeal (Civil Division)</x:v>
      </x:c>
      <x:c r="H2490" s="9" t="str">
        <x:v>Appellate</x:v>
      </x:c>
      <x:c r="I2490" s="9" t="str">
        <x:v>England and Wales</x:v>
      </x:c>
      <x:c r="J2490" s="9" t="str">
        <x:v>Family Law</x:v>
      </x:c>
      <x:c r="K2490" s="9" t="str">
        <x:v>-ew-cases-EWCA-Civ-2014-1664.xml</x:v>
      </x:c>
      <x:c r="L2490" s="9" t="str">
        <x:v>TBA</x:v>
      </x:c>
    </x:row>
    <x:row r="2491">
      <x:c r="A2491" t="str">
        <x:v>c98fea00-da15-459e-b953-e2d15db3ed7c</x:v>
      </x:c>
      <x:c r="B2491" t="str">
        <x:v>cc13e534-56b1-4729-aaf8-e6c702ed05f0</x:v>
      </x:c>
      <x:c r="C2491" s="9" t="str">
        <x:v>R (A Child), Re [2021] EWCA Civ 1019</x:v>
      </x:c>
      <x:c r="D2491" s="9" t="str"/>
      <x:c r="E2491" s="9" t="str"/>
      <x:c r="F2491" s="13" t="str">
        <x:v>2021</x:v>
      </x:c>
      <x:c r="G2491" s="9" t="str">
        <x:v>England and Wales Court of Appeal (Civil Division)</x:v>
      </x:c>
      <x:c r="H2491" s="9" t="str">
        <x:v>Appellate</x:v>
      </x:c>
      <x:c r="I2491" s="9" t="str">
        <x:v>England and Wales</x:v>
      </x:c>
      <x:c r="J2491" s="9" t="str">
        <x:v>Family Law</x:v>
      </x:c>
      <x:c r="K2491" s="9" t="str">
        <x:v>ew-cases-EWCA-Civ-2021-1019.xml</x:v>
      </x:c>
      <x:c r="L2491" s="9" t="str">
        <x:v>TBA</x:v>
      </x:c>
    </x:row>
    <x:row r="2492">
      <x:c r="A2492" t="str">
        <x:v>d15d36b2-4bf8-4641-a534-9578d91b2235</x:v>
      </x:c>
      <x:c r="B2492" t="str">
        <x:v>02127c51-bd78-4e98-8160-12d5895985d8</x:v>
      </x:c>
      <x:c r="C2492" s="9" t="str">
        <x:v>R (Alistair Thompson) v Oxford City Council &amp; Anor [2014] EWCA Civ 94</x:v>
      </x:c>
      <x:c r="D2492" s="9" t="str"/>
      <x:c r="E2492" s="9" t="str"/>
      <x:c r="F2492" s="13" t="str">
        <x:v>2014</x:v>
      </x:c>
      <x:c r="G2492" s="9" t="str">
        <x:v>England and Wales Court of Appeal (Civil Division)</x:v>
      </x:c>
      <x:c r="H2492" s="9" t="str">
        <x:v>Appellate</x:v>
      </x:c>
      <x:c r="I2492" s="9" t="str">
        <x:v>England and Wales</x:v>
      </x:c>
      <x:c r="J2492" s="9" t="str">
        <x:v>Administrative Law</x:v>
      </x:c>
      <x:c r="K2492" s="9" t="str">
        <x:v>-ew-cases-EWCA-Civ-2014-94.xml</x:v>
      </x:c>
      <x:c r="L2492" s="9" t="str">
        <x:v>TBA</x:v>
      </x:c>
    </x:row>
    <x:row r="2493">
      <x:c r="A2493" t="str">
        <x:v>b7f9dfc4-ec19-485b-9579-ac9c6e0fc6b8</x:v>
      </x:c>
      <x:c r="B2493" t="str">
        <x:v>99b99fec-0be3-4048-a378-f05143e99610</x:v>
      </x:c>
      <x:c r="C2493" s="9" t="str">
        <x:v>R (Bashir &amp; Ors) v Secretary of State for the Home Department</x:v>
      </x:c>
      <x:c r="D2493" s="9" t="str"/>
      <x:c r="E2493" s="9" t="str"/>
      <x:c r="F2493" s="13" t="str">
        <x:v>2017</x:v>
      </x:c>
      <x:c r="G2493" s="9" t="str">
        <x:v>England and Wales Court of Appeal (Civil Division)</x:v>
      </x:c>
      <x:c r="H2493" s="9" t="str">
        <x:v>Appellate</x:v>
      </x:c>
      <x:c r="I2493" s="9" t="str">
        <x:v>England and Wales</x:v>
      </x:c>
      <x:c r="J2493" s="9" t="str">
        <x:v>Administrative Law</x:v>
      </x:c>
      <x:c r="K2493" s="9" t="str">
        <x:v>-ew-cases-EWCA-Civ-2017-397.xml</x:v>
      </x:c>
      <x:c r="L2493" s="9" t="str">
        <x:v>TBA</x:v>
      </x:c>
    </x:row>
    <x:row r="2494">
      <x:c r="A2494" t="str">
        <x:v>41c9d19e-a92b-4f62-abfe-a4138f33ea60</x:v>
      </x:c>
      <x:c r="B2494" t="str">
        <x:v>b43a181d-4507-45c6-85a6-91051b1a024d</x:v>
      </x:c>
      <x:c r="C2494" s="9" t="str">
        <x:v>R (Care Proceedings Joinder of Foster Carers) [2021] EWCA Civ 875</x:v>
      </x:c>
      <x:c r="D2494" s="9" t="str"/>
      <x:c r="E2494" s="9" t="str"/>
      <x:c r="F2494" s="13" t="str">
        <x:v>2021</x:v>
      </x:c>
      <x:c r="G2494" s="9" t="str">
        <x:v>England and Wales Court of Appeal (Civil Division)</x:v>
      </x:c>
      <x:c r="H2494" s="9" t="str">
        <x:v>Appellate</x:v>
      </x:c>
      <x:c r="I2494" s="9" t="str">
        <x:v>England and Wales</x:v>
      </x:c>
      <x:c r="J2494" s="9" t="str">
        <x:v>Care Proceedings</x:v>
      </x:c>
      <x:c r="K2494" s="9" t="str">
        <x:v>ew-cases-EWCA-Civ-2021-875.xml</x:v>
      </x:c>
      <x:c r="L2494" s="9" t="str">
        <x:v>TBA</x:v>
      </x:c>
    </x:row>
    <x:row r="2495">
      <x:c r="A2495" t="str">
        <x:v>b9616b12-8f42-44a4-bec2-dba1400b7819</x:v>
      </x:c>
      <x:c r="B2495" t="str">
        <x:v>ae01bf0d-8f1b-4a2a-9158-b7f449d9ea45</x:v>
      </x:c>
      <x:c r="C2495" s="9" t="str">
        <x:v>R (Child), Re [2016] EWCA Civ 1016 (Court of Appeal, Civil Division) – Domestic Abduction, Welfare Principle and Re C Considerations</x:v>
      </x:c>
      <x:c r="D2495" s="9" t="str"/>
      <x:c r="E2495" s="9" t="str"/>
      <x:c r="F2495" s="13" t="str">
        <x:v>2016</x:v>
      </x:c>
      <x:c r="G2495" s="9" t="str">
        <x:v>England and Wales Court of Appeal (Civil Division)</x:v>
      </x:c>
      <x:c r="H2495" s="9" t="str">
        <x:v>Court of Appeal (Civil Division)</x:v>
      </x:c>
      <x:c r="I2495" s="9" t="str">
        <x:v>England and Wales</x:v>
      </x:c>
      <x:c r="J2495" s="9" t="str">
        <x:v>Family Law – Child Abduction/Relocation</x:v>
      </x:c>
      <x:c r="K2495" s="9" t="str">
        <x:v>-ew-cases-EWCA-Civ-2016-1016.xml</x:v>
      </x:c>
      <x:c r="L2495" s="9" t="str">
        <x:v>TBA</x:v>
      </x:c>
    </x:row>
    <x:row r="2496">
      <x:c r="A2496" t="str">
        <x:v>9324b54a-8601-437a-bcbe-5ff168170041</x:v>
      </x:c>
      <x:c r="B2496" t="str">
        <x:v>64755b5a-f95c-45e1-aa69-a6d047430d4d</x:v>
      </x:c>
      <x:c r="C2496" s="9" t="str">
        <x:v>R (Children: Control of Court Documents) [2021] EWCA Civ 162</x:v>
      </x:c>
      <x:c r="D2496" s="9" t="str"/>
      <x:c r="E2496" s="9" t="str"/>
      <x:c r="F2496" s="13" t="str">
        <x:v>2021</x:v>
      </x:c>
      <x:c r="G2496" s="9" t="str">
        <x:v>England and Wales Court of Appeal (Civil Division)</x:v>
      </x:c>
      <x:c r="H2496" s="9" t="str">
        <x:v>Appellate</x:v>
      </x:c>
      <x:c r="I2496" s="9" t="str">
        <x:v>England &amp; Wales</x:v>
      </x:c>
      <x:c r="J2496" s="9" t="str">
        <x:v>Family Law</x:v>
      </x:c>
      <x:c r="K2496" s="9" t="str">
        <x:v>ew-cases-EWCA-Civ-2021-162.xml</x:v>
      </x:c>
      <x:c r="L2496" s="9" t="str">
        <x:v>TBA</x:v>
      </x:c>
    </x:row>
    <x:row r="2497">
      <x:c r="A2497" t="str">
        <x:v>329c011d-b8df-4a04-aa78-0eff729005a9</x:v>
      </x:c>
      <x:c r="B2497" t="str">
        <x:v>47a80977-a575-403d-9a8f-1f84b591c879</x:v>
      </x:c>
      <x:c r="C2497" s="9" t="str">
        <x:v>R (Children), Re; Appeal Regarding Permission for Child to Give Evidence</x:v>
      </x:c>
      <x:c r="D2497" s="9" t="str"/>
      <x:c r="E2497" s="9" t="str"/>
      <x:c r="F2497" s="13" t="str">
        <x:v>2015</x:v>
      </x:c>
      <x:c r="G2497" s="9" t="str">
        <x:v>England and Wales Court of Appeal (Civil Division)</x:v>
      </x:c>
      <x:c r="H2497" s="9" t="str">
        <x:v>Appellate</x:v>
      </x:c>
      <x:c r="I2497" s="9" t="str">
        <x:v>England and Wales</x:v>
      </x:c>
      <x:c r="J2497" s="9" t="str">
        <x:v>Family Law</x:v>
      </x:c>
      <x:c r="K2497" s="9" t="str">
        <x:v>-ew-cases-EWCA-Civ-2015-167.xml</x:v>
      </x:c>
      <x:c r="L2497" s="9" t="str">
        <x:v>TBA</x:v>
      </x:c>
    </x:row>
    <x:row r="2498">
      <x:c r="A2498" t="str">
        <x:v>bcc0a7ba-f51d-44fc-a9de-44df21840f42</x:v>
      </x:c>
      <x:c r="B2498" t="str">
        <x:v>ee31d7f8-ed60-468c-8d64-06358e7a888d</x:v>
      </x:c>
      <x:c r="C2498" s="9" t="str">
        <x:v>R (Commissioner of Police of the Metropolis) v The Independent Police Complaints Commission &amp; Anor</x:v>
      </x:c>
      <x:c r="D2498" s="9" t="str"/>
      <x:c r="E2498" s="9" t="str"/>
      <x:c r="F2498" s="13" t="str">
        <x:v>2015</x:v>
      </x:c>
      <x:c r="G2498" s="9" t="str">
        <x:v>England and Wales Court of Appeal (Civil Division)</x:v>
      </x:c>
      <x:c r="H2498" s="9" t="str">
        <x:v>Appellate</x:v>
      </x:c>
      <x:c r="I2498" s="9" t="str">
        <x:v>England and Wales</x:v>
      </x:c>
      <x:c r="J2498" s="9" t="str">
        <x:v>Administrative law</x:v>
      </x:c>
      <x:c r="K2498" s="9" t="str">
        <x:v>-ew-cases-EWCA-Civ-2015-1248.xml</x:v>
      </x:c>
      <x:c r="L2498" s="9" t="str">
        <x:v>TBA</x:v>
      </x:c>
    </x:row>
    <x:row r="2499">
      <x:c r="A2499" t="str">
        <x:v>d0c3d6f0-980a-484d-9f74-414dacbac884</x:v>
      </x:c>
      <x:c r="B2499" t="str">
        <x:v>7d1480a7-d4e7-401c-9801-bbb447e63ec8</x:v>
      </x:c>
      <x:c r="C2499" s="9" t="str">
        <x:v>R (Conway) v The Secretary of State for Justice</x:v>
      </x:c>
      <x:c r="D2499" s="9" t="str"/>
      <x:c r="E2499" s="9" t="str"/>
      <x:c r="F2499" s="13" t="str">
        <x:v>2017</x:v>
      </x:c>
      <x:c r="G2499" s="9" t="str">
        <x:v>England and Wales Court of Appeal (Civil Division)</x:v>
      </x:c>
      <x:c r="H2499" s="9" t="str">
        <x:v>Appellate</x:v>
      </x:c>
      <x:c r="I2499" s="9" t="str">
        <x:v>England and Wales</x:v>
      </x:c>
      <x:c r="J2499" s="9" t="str">
        <x:v>Judicial Review</x:v>
      </x:c>
      <x:c r="K2499" s="9" t="str">
        <x:v>-ew-cases-EWCA-Civ-2017-275.xml</x:v>
      </x:c>
      <x:c r="L2499" s="9" t="str">
        <x:v>TBA</x:v>
      </x:c>
    </x:row>
    <x:row r="2500">
      <x:c r="A2500" t="str">
        <x:v>519754e1-b25c-452f-b50c-53ee2f26290f</x:v>
      </x:c>
      <x:c r="B2500" t="str">
        <x:v>7fbe2c1c-51d0-441d-ae74-ab7d2f9d38c5</x:v>
      </x:c>
      <x:c r="C2500" s="9" t="str">
        <x:v>R (Delezuch) v Chief Constable of Leicestershire Constabulary &amp; Ors</x:v>
      </x:c>
      <x:c r="D2500" s="9" t="str"/>
      <x:c r="E2500" s="9" t="str"/>
      <x:c r="F2500" s="13" t="str">
        <x:v>2014</x:v>
      </x:c>
      <x:c r="G2500" s="9" t="str">
        <x:v>England and Wales Court of Appeal (Civil Division)</x:v>
      </x:c>
      <x:c r="H2500" s="9" t="str">
        <x:v>Appellate</x:v>
      </x:c>
      <x:c r="I2500" s="9" t="str">
        <x:v>England and Wales</x:v>
      </x:c>
      <x:c r="J2500" s="9" t="str">
        <x:v>Administrative Law</x:v>
      </x:c>
      <x:c r="K2500" s="9" t="str">
        <x:v>-ew-cases-EWCA-Civ-2014-1635.xml</x:v>
      </x:c>
      <x:c r="L2500" s="9" t="str">
        <x:v>TBA</x:v>
      </x:c>
    </x:row>
    <x:row r="2501">
      <x:c r="A2501" t="str">
        <x:v>31a72392-4df2-4cc7-8504-192191822df4</x:v>
      </x:c>
      <x:c r="B2501" t="str">
        <x:v>cee945fc-95ce-4ed4-b003-4212c8b3f652</x:v>
      </x:c>
      <x:c r="C2501" s="9" t="str">
        <x:v>R (Howard League for Penal Reform &amp; Anor) v The Lord Chancellor</x:v>
      </x:c>
      <x:c r="D2501" s="9" t="str"/>
      <x:c r="E2501" s="9" t="str"/>
      <x:c r="F2501" s="13" t="str">
        <x:v>2017</x:v>
      </x:c>
      <x:c r="G2501" s="9" t="str">
        <x:v>England and Wales Court of Appeal (Civil Division)</x:v>
      </x:c>
      <x:c r="H2501" s="9" t="str">
        <x:v>Appellate</x:v>
      </x:c>
      <x:c r="I2501" s="9" t="str">
        <x:v>England and Wales</x:v>
      </x:c>
      <x:c r="J2501" s="9" t="str">
        <x:v>Administrative Law</x:v>
      </x:c>
      <x:c r="K2501" s="9" t="str">
        <x:v>-ew-cases-EWCA-Civ-2017-244.xml</x:v>
      </x:c>
      <x:c r="L2501" s="9" t="str">
        <x:v>TBA</x:v>
      </x:c>
    </x:row>
    <x:row r="2502">
      <x:c r="A2502" t="str">
        <x:v>511a2f9c-b341-43cf-93d2-e0381cbf2b44</x:v>
      </x:c>
      <x:c r="B2502" t="str">
        <x:v>efac7fbc-592d-47a2-b244-e4f4b06cbabe</x:v>
      </x:c>
      <x:c r="C2502" s="9" t="str">
        <x:v>R (Lucinda Vowles) v Secretary of State for Justice &amp; Anor [2015] EWCA Civ 56</x:v>
      </x:c>
      <x:c r="D2502" s="9" t="str"/>
      <x:c r="E2502" s="9" t="str"/>
      <x:c r="F2502" s="13" t="str">
        <x:v>2015</x:v>
      </x:c>
      <x:c r="G2502" s="9" t="str">
        <x:v>England and Wales Court of Appeal (Civil Division)</x:v>
      </x:c>
      <x:c r="H2502" s="9" t="str">
        <x:v>Appellate</x:v>
      </x:c>
      <x:c r="I2502" s="9" t="str">
        <x:v>England</x:v>
      </x:c>
      <x:c r="J2502" s="9" t="str">
        <x:v>Administrative Law</x:v>
      </x:c>
      <x:c r="K2502" s="9" t="str">
        <x:v>-ew-cases-EWCA-Civ-2015-56.xml</x:v>
      </x:c>
      <x:c r="L2502" s="9" t="str">
        <x:v>TBA</x:v>
      </x:c>
    </x:row>
    <x:row r="2503">
      <x:c r="A2503" t="str">
        <x:v>56cafaec-8e76-4251-bffc-bb34776b1b8c</x:v>
      </x:c>
      <x:c r="B2503" t="str">
        <x:v>051ca1f8-ae87-4c43-911c-af4886faca74</x:v>
      </x:c>
      <x:c r="C2503" s="9" t="str">
        <x:v>R (On the Application of Ali &amp; Ors) v Secretary of State for Justice</x:v>
      </x:c>
      <x:c r="D2503" s="9" t="str"/>
      <x:c r="E2503" s="9" t="str"/>
      <x:c r="F2503" s="13" t="str">
        <x:v>2014</x:v>
      </x:c>
      <x:c r="G2503" s="9" t="str">
        <x:v>England and Wales Court of Appeal (Civil Division)</x:v>
      </x:c>
      <x:c r="H2503" s="9" t="str">
        <x:v>Appellate</x:v>
      </x:c>
      <x:c r="I2503" s="9" t="str">
        <x:v>England and Wales</x:v>
      </x:c>
      <x:c r="J2503" s="9" t="str">
        <x:v>Administrative Law</x:v>
      </x:c>
      <x:c r="K2503" s="9" t="str">
        <x:v>-ew-cases-EWCA-Civ-2014-194.xml</x:v>
      </x:c>
      <x:c r="L2503" s="9" t="str">
        <x:v>TBA</x:v>
      </x:c>
    </x:row>
    <x:row r="2504">
      <x:c r="A2504" t="str">
        <x:v>04ef0125-0da5-485e-a419-2d7d1d90926e</x:v>
      </x:c>
      <x:c r="B2504" t="str">
        <x:v>974685d2-677a-4497-837f-199dd9f61f0d</x:v>
      </x:c>
      <x:c r="C2504" s="9" t="str">
        <x:v>R (On the Application of Ben King) v The Secretary of State for the Home Department [2016] EWCA Civ 51</x:v>
      </x:c>
      <x:c r="D2504" s="9" t="str"/>
      <x:c r="E2504" s="9" t="str"/>
      <x:c r="F2504" s="13" t="str">
        <x:v>2016</x:v>
      </x:c>
      <x:c r="G2504" s="9" t="str">
        <x:v>England and Wales Court of Appeal (Civil Division)</x:v>
      </x:c>
      <x:c r="H2504" s="9" t="str">
        <x:v>Court of Appeal (Civil Division)</x:v>
      </x:c>
      <x:c r="I2504" s="9" t="str">
        <x:v>England and Wales</x:v>
      </x:c>
      <x:c r="J2504" s="9" t="str">
        <x:v>Administrative Law / Parole / Public Law</x:v>
      </x:c>
      <x:c r="K2504" s="9" t="str">
        <x:v>-ew-cases-EWCA-Civ-2016-51.xml</x:v>
      </x:c>
      <x:c r="L2504" s="9" t="str">
        <x:v>TBA</x:v>
      </x:c>
    </x:row>
    <x:row r="2505">
      <x:c r="A2505" t="str">
        <x:v>b4262d54-9e34-40e1-9bd9-e29242d0ba8c</x:v>
      </x:c>
      <x:c r="B2505" t="str">
        <x:v>42f09a13-c8b6-48e4-a452-5c37c5c4df2f</x:v>
      </x:c>
      <x:c r="C2505" s="9" t="str">
        <x:v>R (on the application of HN and SA) (Afghanistan) (Lead Cases Associated Non-Lead Cases) v Secretary of State for the Home Department [2016] EWCA Civ 123</x:v>
      </x:c>
      <x:c r="D2505" s="9" t="str"/>
      <x:c r="E2505" s="9" t="str"/>
      <x:c r="F2505" s="13" t="str">
        <x:v>2016</x:v>
      </x:c>
      <x:c r="G2505" s="9" t="str">
        <x:v>England and Wales Court of Appeal (Civil Division)</x:v>
      </x:c>
      <x:c r="H2505" s="9" t="str">
        <x:v>Court of Appeal (Civil Division)</x:v>
      </x:c>
      <x:c r="I2505" s="9" t="str">
        <x:v>England and Wales</x:v>
      </x:c>
      <x:c r="J2505" s="9" t="str">
        <x:v>Public Law / Immigration &amp; Asylum / Judicial Review</x:v>
      </x:c>
      <x:c r="K2505" s="9" t="str">
        <x:v>-ew-cases-EWCA-Civ-2016-123.xml</x:v>
      </x:c>
      <x:c r="L2505" s="9" t="str">
        <x:v>TBA</x:v>
      </x:c>
    </x:row>
    <x:row r="2506">
      <x:c r="A2506" t="str">
        <x:v>814da1f9-ed07-46d1-9863-5aaed9ab7735</x:v>
      </x:c>
      <x:c r="B2506" t="str">
        <x:v>509e9800-d78a-4f69-b0fe-7015ee64b535</x:v>
      </x:c>
      <x:c r="C2506" s="9" t="str">
        <x:v>R (on the application of O) v Secretary of State for the Home Department</x:v>
      </x:c>
      <x:c r="D2506" s="9" t="str"/>
      <x:c r="E2506" s="9" t="str"/>
      <x:c r="F2506" s="13" t="str">
        <x:v>2014</x:v>
      </x:c>
      <x:c r="G2506" s="9" t="str">
        <x:v>England and Wales Court of Appeal (Civil Division)</x:v>
      </x:c>
      <x:c r="H2506" s="9" t="str">
        <x:v>Appellate</x:v>
      </x:c>
      <x:c r="I2506" s="9" t="str">
        <x:v>England and Wales</x:v>
      </x:c>
      <x:c r="J2506" s="9" t="str">
        <x:v>Immigration Law</x:v>
      </x:c>
      <x:c r="K2506" s="9" t="str">
        <x:v>-ew-cases-EWCA-Civ-2014-990.xml</x:v>
      </x:c>
      <x:c r="L2506" s="9" t="str">
        <x:v>TBA</x:v>
      </x:c>
    </x:row>
    <x:row r="2507">
      <x:c r="A2507" t="str">
        <x:v>67c3ad50-0560-478d-a102-af7efbdf51eb</x:v>
      </x:c>
      <x:c r="B2507" t="str">
        <x:v>53949770-37d5-4802-8fe5-dd250f6add65</x:v>
      </x:c>
      <x:c r="C2507" s="9" t="str">
        <x:v>R (on the application of The Good Law Project) v The Prime Minister &amp; Ors [2022] EWCA Civ 1580</x:v>
      </x:c>
      <x:c r="D2507" s="9" t="str"/>
      <x:c r="E2507" s="9" t="str"/>
      <x:c r="F2507" s="13" t="str">
        <x:v>2022</x:v>
      </x:c>
      <x:c r="G2507" s="9" t="str">
        <x:v>England and Wales Court of Appeal (Civil Division)</x:v>
      </x:c>
      <x:c r="H2507" s="9" t="str">
        <x:v>Court of Appeal (Civil Division)</x:v>
      </x:c>
      <x:c r="I2507" s="9" t="str">
        <x:v>England and Wales</x:v>
      </x:c>
      <x:c r="J2507" s="9" t="str">
        <x:v>Public Law – Administrative/Information Governance</x:v>
      </x:c>
      <x:c r="K2507" s="9" t="str">
        <x:v>ew-cases-EWCA-Civ-2022-1580.xml</x:v>
      </x:c>
      <x:c r="L2507" s="9" t="str">
        <x:v>TBA</x:v>
      </x:c>
    </x:row>
    <x:row r="2508">
      <x:c r="A2508" t="str">
        <x:v>ad32357f-2cee-4f9c-850e-a739697ddd85</x:v>
      </x:c>
      <x:c r="B2508" t="str">
        <x:v>87316edc-c0eb-451a-8926-179079ab2691</x:v>
      </x:c>
      <x:c r="C2508" s="9" t="str">
        <x:v>R (On the Application Of) AB v The Secretary of State for the Home Department [2017] EWCA Civ 59</x:v>
      </x:c>
      <x:c r="D2508" s="9" t="str"/>
      <x:c r="E2508" s="9" t="str"/>
      <x:c r="F2508" s="13" t="str">
        <x:v>2017</x:v>
      </x:c>
      <x:c r="G2508" s="9" t="str">
        <x:v>England and Wales Court of Appeal (Civil Division)</x:v>
      </x:c>
      <x:c r="H2508" s="9" t="str">
        <x:v>Appellate</x:v>
      </x:c>
      <x:c r="I2508" s="9" t="str">
        <x:v>England and Wales</x:v>
      </x:c>
      <x:c r="J2508" s="9" t="str">
        <x:v>Immigration Law</x:v>
      </x:c>
      <x:c r="K2508" s="9" t="str">
        <x:v>-ew-cases-EWCA-Civ-2017-59.xml</x:v>
      </x:c>
      <x:c r="L2508" s="9" t="str">
        <x:v>TBA</x:v>
      </x:c>
    </x:row>
    <x:row r="2509">
      <x:c r="A2509" t="str">
        <x:v>6aadddbf-d10d-4449-beeb-e2c2f22e6738</x:v>
      </x:c>
      <x:c r="B2509" t="str">
        <x:v>5eb00e92-26f9-42e2-8285-38ace633d879</x:v>
      </x:c>
      <x:c r="C2509" s="9" t="str">
        <x:v>R (On the Application Of) Huxtable v Secretary of State for Justice</x:v>
      </x:c>
      <x:c r="D2509" s="9" t="str"/>
      <x:c r="E2509" s="9" t="str"/>
      <x:c r="F2509" s="13" t="str">
        <x:v>2021</x:v>
      </x:c>
      <x:c r="G2509" s="9" t="str">
        <x:v>England and Wales Court of Appeal (Civil Division)</x:v>
      </x:c>
      <x:c r="H2509" s="9" t="str">
        <x:v>Appellate</x:v>
      </x:c>
      <x:c r="I2509" s="9" t="str">
        <x:v>England and Wales</x:v>
      </x:c>
      <x:c r="J2509" s="9" t="str">
        <x:v>Administrative Law</x:v>
      </x:c>
      <x:c r="K2509" s="9" t="str">
        <x:v>ew-cases-EWCA-Civ-2021-1394.xml</x:v>
      </x:c>
      <x:c r="L2509" s="9" t="str">
        <x:v>TBA</x:v>
      </x:c>
    </x:row>
    <x:row r="2510">
      <x:c r="A2510" t="str">
        <x:v>313fd4bf-3165-429d-ab88-706f8f8692b3</x:v>
      </x:c>
      <x:c r="B2510" t="str">
        <x:v>88f81617-3d05-4cec-a001-5edf306bd117</x:v>
      </x:c>
      <x:c r="C2510" s="9" t="str">
        <x:v>R (on the application of) SPM v Secretary of State for the Home Department [2023] EWCA Civ 764</x:v>
      </x:c>
      <x:c r="D2510" s="9" t="str"/>
      <x:c r="E2510" s="9" t="str"/>
      <x:c r="F2510" s="13" t="str">
        <x:v>2023</x:v>
      </x:c>
      <x:c r="G2510" s="9" t="str">
        <x:v>England and Wales Court of Appeal (Civil Division)</x:v>
      </x:c>
      <x:c r="H2510" s="9" t="str">
        <x:v>Court of Appeal (Civil Division)</x:v>
      </x:c>
      <x:c r="I2510" s="9" t="str">
        <x:v>England and Wales</x:v>
      </x:c>
      <x:c r="J2510" s="9" t="str">
        <x:v>Administrative Law / Judicial Review (Immigration) / Human Rights</x:v>
      </x:c>
      <x:c r="K2510" s="9" t="str">
        <x:v>ew-cases-EWCA-Civ-2023-764.xml</x:v>
      </x:c>
      <x:c r="L2510" s="9" t="str">
        <x:v>TBA</x:v>
      </x:c>
    </x:row>
    <x:row r="2511">
      <x:c r="A2511" t="str">
        <x:v>3308650e-09ac-4d99-9284-30f1b3d0b65b</x:v>
      </x:c>
      <x:c r="B2511" t="str">
        <x:v>be44e528-bdba-4691-afcc-c607a89fd1dc</x:v>
      </x:c>
      <x:c r="C2511" s="9" t="str">
        <x:v>R (On the Application Of) v Secretary of State for the Home Department (Rev1) [2022] EWCA Civ 30</x:v>
      </x:c>
      <x:c r="D2511" s="9" t="str"/>
      <x:c r="E2511" s="9" t="str"/>
      <x:c r="F2511" s="13" t="str">
        <x:v>2022</x:v>
      </x:c>
      <x:c r="G2511" s="9" t="str">
        <x:v>England and Wales Court of Appeal (Civil Division)</x:v>
      </x:c>
      <x:c r="H2511" s="9" t="str">
        <x:v>Court of Appeal (Civil Division)</x:v>
      </x:c>
      <x:c r="I2511" s="9" t="str">
        <x:v>England and Wales</x:v>
      </x:c>
      <x:c r="J2511" s="9" t="str">
        <x:v>Immigration Law / Administrative Law</x:v>
      </x:c>
      <x:c r="K2511" s="9" t="str">
        <x:v>ew-cases-EWCA-Civ-2022-30.xml</x:v>
      </x:c>
      <x:c r="L2511" s="9" t="str">
        <x:v>TBA</x:v>
      </x:c>
    </x:row>
    <x:row r="2512">
      <x:c r="A2512" t="str">
        <x:v>133c6218-d988-4d6e-9f86-c31c157915a2</x:v>
      </x:c>
      <x:c r="B2512" t="str">
        <x:v>045eb7a6-7fd2-4c34-9e0e-e77375034282</x:v>
      </x:c>
      <x:c r="C2512" s="9" t="str">
        <x:v>R (P, G, W, Krol) v Secretary of State for the Home Department &amp; Anor</x:v>
      </x:c>
      <x:c r="D2512" s="9" t="str"/>
      <x:c r="E2512" s="9" t="str"/>
      <x:c r="F2512" s="13" t="str">
        <x:v>2017</x:v>
      </x:c>
      <x:c r="G2512" s="9" t="str">
        <x:v>England and Wales Court of Appeal (Civil Division)</x:v>
      </x:c>
      <x:c r="H2512" s="9" t="str">
        <x:v>Appellate</x:v>
      </x:c>
      <x:c r="I2512" s="9" t="str">
        <x:v>England and Wales</x:v>
      </x:c>
      <x:c r="J2512" s="9" t="str">
        <x:v>Administrative Law</x:v>
      </x:c>
      <x:c r="K2512" s="9" t="str">
        <x:v>-ew-cases-EWCA-Civ-2017-321.xml</x:v>
      </x:c>
      <x:c r="L2512" s="9" t="str">
        <x:v>TBA</x:v>
      </x:c>
    </x:row>
    <x:row r="2513">
      <x:c r="A2513" t="str">
        <x:v>4b1e7e29-2999-428d-9296-95154cf65ae7</x:v>
      </x:c>
      <x:c r="B2513" t="str">
        <x:v>086b9cfe-b8c4-4e90-bf6e-484b430f5888</x:v>
      </x:c>
      <x:c r="C2513" s="9" t="str">
        <x:v>R (W2 and IA) v Secretary of State for the Home Department</x:v>
      </x:c>
      <x:c r="D2513" s="9" t="str"/>
      <x:c r="E2513" s="9" t="str"/>
      <x:c r="F2513" s="13" t="str">
        <x:v>2017</x:v>
      </x:c>
      <x:c r="G2513" s="9" t="str">
        <x:v>England and Wales Court of Appeal (Civil Division)</x:v>
      </x:c>
      <x:c r="H2513" s="9" t="str">
        <x:v>Appellate</x:v>
      </x:c>
      <x:c r="I2513" s="9" t="str">
        <x:v>England and Wales</x:v>
      </x:c>
      <x:c r="J2513" s="9" t="str">
        <x:v>Administrative Law</x:v>
      </x:c>
      <x:c r="K2513" s="9" t="str">
        <x:v>-ew-cases-EWCA-Civ-2017-2146.xml</x:v>
      </x:c>
      <x:c r="L2513" s="9" t="str">
        <x:v>TBA</x:v>
      </x:c>
    </x:row>
    <x:row r="2514">
      <x:c r="A2514" t="str">
        <x:v>4b13b501-165b-48d6-991f-bde2f5fc7dfc</x:v>
      </x:c>
      <x:c r="B2514" t="str">
        <x:v>e857a8a9-36ee-452c-ae6c-e940c48589ac</x:v>
      </x:c>
      <x:c r="C2514" s="9" t="str">
        <x:v>R v London Borough of Hillingdon [2014] EWCA Civ 1407</x:v>
      </x:c>
      <x:c r="D2514" s="9" t="str"/>
      <x:c r="E2514" s="9" t="str"/>
      <x:c r="F2514" s="13" t="str">
        <x:v>2014</x:v>
      </x:c>
      <x:c r="G2514" s="9" t="str">
        <x:v>England and Wales Court of Appeal (Civil Division)</x:v>
      </x:c>
      <x:c r="H2514" s="9" t="str">
        <x:v>Appellate</x:v>
      </x:c>
      <x:c r="I2514" s="9" t="str">
        <x:v>England and Wales</x:v>
      </x:c>
      <x:c r="J2514" s="9" t="str">
        <x:v>Administrative Law / Education Law</x:v>
      </x:c>
      <x:c r="K2514" s="9" t="str">
        <x:v>-ew-cases-EWCA-Civ-2014-1407.xml</x:v>
      </x:c>
      <x:c r="L2514" s="9" t="str">
        <x:v>TBA</x:v>
      </x:c>
    </x:row>
    <x:row r="2515">
      <x:c r="A2515" t="str">
        <x:v>a41821fe-8eac-4891-a292-a80d99fd0deb</x:v>
      </x:c>
      <x:c r="B2515" t="str">
        <x:v>a4ec64ea-8708-47c9-adea-6bc16e59b8af</x:v>
      </x:c>
      <x:c r="C2515" s="9" t="str">
        <x:v>R v R [2015] EWCA Civ 796 - Interim Maintenance and Sanctions Legislation</x:v>
      </x:c>
      <x:c r="D2515" s="9" t="str"/>
      <x:c r="E2515" s="9" t="str"/>
      <x:c r="F2515" s="13" t="str">
        <x:v>2015</x:v>
      </x:c>
      <x:c r="G2515" s="9" t="str">
        <x:v>England and Wales Court of Appeal (Civil Division)</x:v>
      </x:c>
      <x:c r="H2515" s="9" t="str">
        <x:v>Appellate</x:v>
      </x:c>
      <x:c r="I2515" s="9" t="str">
        <x:v>England and Wales</x:v>
      </x:c>
      <x:c r="J2515" s="9" t="str">
        <x:v>Family Law</x:v>
      </x:c>
      <x:c r="K2515" s="9" t="str">
        <x:v>-ew-cases-EWCA-Civ-2015-796.xml</x:v>
      </x:c>
      <x:c r="L2515" s="9" t="str">
        <x:v>TBA</x:v>
      </x:c>
    </x:row>
    <x:row r="2516">
      <x:c r="A2516" t="str">
        <x:v>b23e1442-3f01-42aa-bc85-e1e926e876e1</x:v>
      </x:c>
      <x:c r="B2516" t="str">
        <x:v>38e3e38a-4500-4e22-a3c9-8a7039e32393</x:v>
      </x:c>
      <x:c r="C2516" s="9" t="str">
        <x:v>R v R &amp; Anor [2017] EWCA Civ 1588: Reporting Restrictions in Matrimonial Proceedings</x:v>
      </x:c>
      <x:c r="D2516" s="9" t="str"/>
      <x:c r="E2516" s="9" t="str"/>
      <x:c r="F2516" s="13" t="str">
        <x:v>2017</x:v>
      </x:c>
      <x:c r="G2516" s="9" t="str">
        <x:v>England and Wales Court of Appeal (Civil Division)</x:v>
      </x:c>
      <x:c r="H2516" s="9" t="str">
        <x:v>Appellate</x:v>
      </x:c>
      <x:c r="I2516" s="9" t="str">
        <x:v>England and Wales</x:v>
      </x:c>
      <x:c r="J2516" s="9" t="str">
        <x:v>Family Law</x:v>
      </x:c>
      <x:c r="K2516" s="9" t="str">
        <x:v>-ew-cases-EWCA-Civ-2017-1588.xml</x:v>
      </x:c>
      <x:c r="L2516" s="9" t="str">
        <x:v>TBA</x:v>
      </x:c>
    </x:row>
    <x:row r="2517">
      <x:c r="A2517" t="str">
        <x:v>04f0d3fa-b0f2-4eec-b4eb-f35617bf971b</x:v>
      </x:c>
      <x:c r="B2517" t="str">
        <x:v>c3ba635e-0e6b-44d8-884e-f7bfefa66969</x:v>
      </x:c>
      <x:c r="C2517" s="9" t="str">
        <x:v>R: T (Children) [2015] EWCA Civ 606</x:v>
      </x:c>
      <x:c r="D2517" s="9" t="str"/>
      <x:c r="E2517" s="9" t="str"/>
      <x:c r="F2517" s="13" t="str">
        <x:v>2015</x:v>
      </x:c>
      <x:c r="G2517" s="9" t="str">
        <x:v>England and Wales Court of Appeal (Civil Division)</x:v>
      </x:c>
      <x:c r="H2517" s="9" t="str">
        <x:v>Appellate</x:v>
      </x:c>
      <x:c r="I2517" s="9" t="str">
        <x:v>England and Wales</x:v>
      </x:c>
      <x:c r="J2517" s="9" t="str">
        <x:v>Family Law</x:v>
      </x:c>
      <x:c r="K2517" s="9" t="str">
        <x:v>-ew-cases-EWCA-Civ-2015-606.xml</x:v>
      </x:c>
      <x:c r="L2517" s="9" t="str">
        <x:v>TBA</x:v>
      </x:c>
    </x:row>
    <x:row r="2518">
      <x:c r="A2518" t="str">
        <x:v>45c888df-82f0-4f0c-902d-41b85ba72dbe</x:v>
      </x:c>
      <x:c r="B2518" t="str">
        <x:v>215b4f1f-c45b-4b5a-83c7-d9ecf0c27585</x:v>
      </x:c>
      <x:c r="C2518" s="9" t="str">
        <x:v>R3 v Secretary of State for the Home Department [2023] EWCA Civ 169</x:v>
      </x:c>
      <x:c r="D2518" s="9" t="str"/>
      <x:c r="E2518" s="9" t="str"/>
      <x:c r="F2518" s="13" t="str">
        <x:v>2023</x:v>
      </x:c>
      <x:c r="G2518" s="9" t="str">
        <x:v>England and Wales Court of Appeal (Civil Division)</x:v>
      </x:c>
      <x:c r="H2518" s="9" t="str">
        <x:v>Court of Appeal (Civil Division)</x:v>
      </x:c>
      <x:c r="I2518" s="9" t="str">
        <x:v>England and Wales</x:v>
      </x:c>
      <x:c r="J2518" s="9" t="str">
        <x:v>Administrative Law / Immigration and Nationality Law / Human Rights</x:v>
      </x:c>
      <x:c r="K2518" s="9" t="str">
        <x:v>ew-cases-EWCA-Civ-2023-169.xml</x:v>
      </x:c>
      <x:c r="L2518" s="9" t="str">
        <x:v>TBA</x:v>
      </x:c>
    </x:row>
    <x:row r="2519">
      <x:c r="A2519" t="str">
        <x:v>4fbc602b-f535-4f23-86ac-d49b3c88f381</x:v>
      </x:c>
      <x:c r="B2519" t="str">
        <x:v>3a45a727-600f-4038-b0cc-b98a245003ab</x:v>
      </x:c>
      <x:c r="C2519" s="9" t="str">
        <x:v>RA (A Child : Nigeria) &amp; Anor v Secretary of State for the Home Department</x:v>
      </x:c>
      <x:c r="D2519" s="9" t="str"/>
      <x:c r="E2519" s="9" t="str"/>
      <x:c r="F2519" s="13" t="str">
        <x:v>2015</x:v>
      </x:c>
      <x:c r="G2519" s="9" t="str">
        <x:v>England and Wales Court of Appeal (Civil Division)</x:v>
      </x:c>
      <x:c r="H2519" s="9" t="str">
        <x:v>Appellate</x:v>
      </x:c>
      <x:c r="I2519" s="9" t="str">
        <x:v>England and Wales</x:v>
      </x:c>
      <x:c r="J2519" s="9" t="str">
        <x:v>Immigration Law</x:v>
      </x:c>
      <x:c r="K2519" s="9" t="str">
        <x:v>-ew-cases-EWCA-Civ-2015-679.xml</x:v>
      </x:c>
      <x:c r="L2519" s="9" t="str">
        <x:v>TBA</x:v>
      </x:c>
    </x:row>
    <x:row r="2520">
      <x:c r="A2520" t="str">
        <x:v>9fa3ff9f-d64c-4e3b-a20b-a106460c0704</x:v>
      </x:c>
      <x:c r="B2520" t="str">
        <x:v>bb698126-66a9-4e7b-bb4b-8f5a59153b37</x:v>
      </x:c>
      <x:c r="C2520" s="9" t="str">
        <x:v>RA (Nigeria), R (on the application of) v Secretary of State for the Home Department [2016] EWCA Civ 384</x:v>
      </x:c>
      <x:c r="D2520" s="9" t="str"/>
      <x:c r="E2520" s="9" t="str"/>
      <x:c r="F2520" s="13" t="str">
        <x:v>2016</x:v>
      </x:c>
      <x:c r="G2520" s="9" t="str">
        <x:v>England and Wales Court of Appeal (Civil Division)</x:v>
      </x:c>
      <x:c r="H2520" s="9" t="str">
        <x:v>Court of Appeal (Civil Division)</x:v>
      </x:c>
      <x:c r="I2520" s="9" t="str">
        <x:v>England and Wales</x:v>
      </x:c>
      <x:c r="J2520" s="9" t="str">
        <x:v>Administrative Law / Immigration / Human Rights</x:v>
      </x:c>
      <x:c r="K2520" s="9" t="str">
        <x:v>-ew-cases-EWCA-Civ-2016-384.xml</x:v>
      </x:c>
      <x:c r="L2520" s="9" t="str">
        <x:v>TBA</x:v>
      </x:c>
    </x:row>
    <x:row r="2521">
      <x:c r="A2521" t="str">
        <x:v>2e84e41b-ff01-4c97-bf25-285b1e63d38d</x:v>
      </x:c>
      <x:c r="B2521" t="str">
        <x:v>7591076e-d646-4c3a-a274-13be78582f5c</x:v>
      </x:c>
      <x:c r="C2521" s="9" t="str">
        <x:v>Rabess v The London Fire and Emergency Planning Authority [2016] EWCA Civ 1017</x:v>
      </x:c>
      <x:c r="D2521" s="9" t="str"/>
      <x:c r="E2521" s="9" t="str"/>
      <x:c r="F2521" s="13" t="str">
        <x:v>2016</x:v>
      </x:c>
      <x:c r="G2521" s="9" t="str">
        <x:v>England and Wales Court of Appeal (Civil Division)</x:v>
      </x:c>
      <x:c r="H2521" s="9" t="str">
        <x:v>Court of Appeal (Civil Division)</x:v>
      </x:c>
      <x:c r="I2521" s="9" t="str">
        <x:v>England and Wales</x:v>
      </x:c>
      <x:c r="J2521" s="9" t="str">
        <x:v>Contract/Employment Dispute; Statutory Interpretation; Time Limits</x:v>
      </x:c>
      <x:c r="K2521" s="9" t="str">
        <x:v>-ew-cases-EWCA-Civ-2016-1017.xml</x:v>
      </x:c>
      <x:c r="L2521" s="9" t="str">
        <x:v>TBA</x:v>
      </x:c>
    </x:row>
    <x:row r="2522">
      <x:c r="A2522" t="str">
        <x:v>0aa97553-337b-4341-802c-a5d66f1ba207</x:v>
      </x:c>
      <x:c r="B2522" t="str">
        <x:v>0423fdb0-931f-4ef6-8d83-85a102bdb170</x:v>
      </x:c>
      <x:c r="C2522" s="9" t="str">
        <x:v>Rahaman &amp; Anor v The Secretary of State for the Home Department [2022] EWCA Civ 310</x:v>
      </x:c>
      <x:c r="D2522" s="9" t="str"/>
      <x:c r="E2522" s="9" t="str"/>
      <x:c r="F2522" s="13" t="str">
        <x:v>2022</x:v>
      </x:c>
      <x:c r="G2522" s="9" t="str">
        <x:v>England and Wales Court of Appeal (Civil Division)</x:v>
      </x:c>
      <x:c r="H2522" s="9" t="str">
        <x:v>Court of Appeal (Civil Division)</x:v>
      </x:c>
      <x:c r="I2522" s="9" t="str">
        <x:v>England and Wales</x:v>
      </x:c>
      <x:c r="J2522" s="9" t="str">
        <x:v>Immigration Law / Administrative Law</x:v>
      </x:c>
      <x:c r="K2522" s="9" t="str">
        <x:v>ew-cases-EWCA-Civ-2022-310.xml</x:v>
      </x:c>
      <x:c r="L2522" s="9" t="str">
        <x:v>TBA</x:v>
      </x:c>
    </x:row>
    <x:row r="2523">
      <x:c r="A2523" t="str">
        <x:v>01424c7f-d747-43c4-85da-3aadd1ff65ee</x:v>
      </x:c>
      <x:c r="B2523" t="str">
        <x:v>19cf5b33-b155-419a-959e-5f97e274b81a</x:v>
      </x:c>
      <x:c r="C2523" s="9" t="str">
        <x:v>Rahman v Secretary of State for the Home Department [2014] EWCA Civ 11</x:v>
      </x:c>
      <x:c r="D2523" s="9" t="str"/>
      <x:c r="E2523" s="9" t="str"/>
      <x:c r="F2523" s="13" t="str">
        <x:v>2014</x:v>
      </x:c>
      <x:c r="G2523" s="9" t="str">
        <x:v>England and Wales Court of Appeal (Civil Division)</x:v>
      </x:c>
      <x:c r="H2523" s="9" t="str">
        <x:v>Appellate</x:v>
      </x:c>
      <x:c r="I2523" s="9" t="str">
        <x:v>England and Wales</x:v>
      </x:c>
      <x:c r="J2523" s="9" t="str">
        <x:v>Immigration Law</x:v>
      </x:c>
      <x:c r="K2523" s="9" t="str">
        <x:v>-ew-cases-EWCA-Civ-2014-11.xml</x:v>
      </x:c>
      <x:c r="L2523" s="9" t="str">
        <x:v>TBA</x:v>
      </x:c>
    </x:row>
    <x:row r="2524">
      <x:c r="A2524" t="str">
        <x:v>914cda77-1016-47cd-83f9-268bbdbbfb02</x:v>
      </x:c>
      <x:c r="B2524" t="str">
        <x:v>f90f1391-6498-4913-8916-bd175cb4096a</x:v>
      </x:c>
      <x:c r="C2524" s="9" t="str">
        <x:v>Rai v Entry Clearance Officer, New Delhi [2017] EWCA Civ 320</x:v>
      </x:c>
      <x:c r="D2524" s="9" t="str"/>
      <x:c r="E2524" s="9" t="str"/>
      <x:c r="F2524" s="13" t="str">
        <x:v>2017</x:v>
      </x:c>
      <x:c r="G2524" s="9" t="str">
        <x:v>England and Wales Court of Appeal (Civil Division)</x:v>
      </x:c>
      <x:c r="H2524" s="9" t="str">
        <x:v>Appellate</x:v>
      </x:c>
      <x:c r="I2524" s="9" t="str">
        <x:v>England and Wales</x:v>
      </x:c>
      <x:c r="J2524" s="9" t="str">
        <x:v>Immigration</x:v>
      </x:c>
      <x:c r="K2524" s="9" t="str">
        <x:v>-ew-cases-EWCA-Civ-2017-320.xml</x:v>
      </x:c>
      <x:c r="L2524" s="9" t="str">
        <x:v>TBA</x:v>
      </x:c>
    </x:row>
    <x:row r="2525">
      <x:c r="A2525" t="str">
        <x:v>dae551ba-5b99-42a0-8cde-0255cb0cf59e</x:v>
      </x:c>
      <x:c r="B2525" t="str">
        <x:v>0199f711-8f61-4b47-ad43-1ed8c9fb142c</x:v>
      </x:c>
      <x:c r="C2525" s="9" t="str">
        <x:v>Rai v The Crown Court sitting at Winchester</x:v>
      </x:c>
      <x:c r="D2525" s="9" t="str"/>
      <x:c r="E2525" s="9" t="str"/>
      <x:c r="F2525" s="13" t="str">
        <x:v>2021</x:v>
      </x:c>
      <x:c r="G2525" s="9" t="str">
        <x:v>England and Wales Court of Appeal (Civil Division)</x:v>
      </x:c>
      <x:c r="H2525" s="9" t="str">
        <x:v>appellate</x:v>
      </x:c>
      <x:c r="I2525" s="9" t="str">
        <x:v>England and Wales</x:v>
      </x:c>
      <x:c r="J2525" s="9" t="str">
        <x:v>Criminal</x:v>
      </x:c>
      <x:c r="K2525" s="9" t="str">
        <x:v>ew-cases-EWCA-Civ-2021-604.xml</x:v>
      </x:c>
      <x:c r="L2525" s="9" t="str">
        <x:v>TBA</x:v>
      </x:c>
    </x:row>
    <x:row r="2526">
      <x:c r="A2526" t="str">
        <x:v>b9b0e968-ad5d-471c-9847-9b6767dbc399</x:v>
      </x:c>
      <x:c r="B2526" t="str">
        <x:v>62a81912-2937-454a-ad60-1ad760fcf147</x:v>
      </x:c>
      <x:c r="C2526" s="9" t="str">
        <x:v>Rainy Sky SA &amp; Ors v Kookmin Bank [2011] UKSC 50</x:v>
      </x:c>
      <x:c r="D2526" s="9" t="str"/>
      <x:c r="E2526" s="9" t="str"/>
      <x:c r="F2526" s="13" t="str">
        <x:v>2011</x:v>
      </x:c>
      <x:c r="G2526" s="9" t="str">
        <x:v>United Kingdom Supreme Court</x:v>
      </x:c>
      <x:c r="H2526" s="9" t="str">
        <x:v>Supreme Court</x:v>
      </x:c>
      <x:c r="I2526" s="9" t="str">
        <x:v>United Kingdom</x:v>
      </x:c>
      <x:c r="J2526" s="9" t="str">
        <x:v>Contract Dispute</x:v>
      </x:c>
      <x:c r="K2526" s="9" t="str">
        <x:v>PT_UKSC_2011_50.xml</x:v>
      </x:c>
      <x:c r="L2526" s="9" t="str">
        <x:v>TBA</x:v>
      </x:c>
    </x:row>
    <x:row r="2527">
      <x:c r="A2527" t="str">
        <x:v>a471a9b2-c16a-47b2-8518-9a27f5b7bfe1</x:v>
      </x:c>
      <x:c r="B2527" t="str">
        <x:v>922a20fe-b3e5-4282-a5df-504ccf6df665</x:v>
      </x:c>
      <x:c r="C2527" s="9" t="str">
        <x:v>Raj and Knoll Limited v Secretary of State for the Home Department [2016] EWCA Civ 770</x:v>
      </x:c>
      <x:c r="D2527" s="9" t="str"/>
      <x:c r="E2527" s="9" t="str"/>
      <x:c r="F2527" s="13" t="str">
        <x:v>2016</x:v>
      </x:c>
      <x:c r="G2527" s="9" t="str">
        <x:v>England and Wales Court of Appeal (Civil Division)</x:v>
      </x:c>
      <x:c r="H2527" s="9" t="str">
        <x:v>Court of Appeal (Civil Division)</x:v>
      </x:c>
      <x:c r="I2527" s="9" t="str">
        <x:v>England and Wales</x:v>
      </x:c>
      <x:c r="J2527" s="9" t="str">
        <x:v>Administrative Law; Immigration</x:v>
      </x:c>
      <x:c r="K2527" s="9" t="str">
        <x:v>-ew-cases-EWCA-Civ-2016-770.xml</x:v>
      </x:c>
      <x:c r="L2527" s="9" t="str">
        <x:v>TBA</x:v>
      </x:c>
    </x:row>
    <x:row r="2528">
      <x:c r="A2528" t="str">
        <x:v>14c4f987-4e03-43a5-b43c-72a61f4c9f5a</x:v>
      </x:c>
      <x:c r="B2528" t="str">
        <x:v>711dfe71-6aa0-4dd2-b55e-f56129b83584</x:v>
      </x:c>
      <x:c r="C2528" s="9" t="str">
        <x:v>Raj and Knoll Ltd v Secretary of State for the Home Department</x:v>
      </x:c>
      <x:c r="D2528" s="9" t="str"/>
      <x:c r="E2528" s="9" t="str"/>
      <x:c r="F2528" s="13" t="str">
        <x:v>2015</x:v>
      </x:c>
      <x:c r="G2528" s="9" t="str">
        <x:v>England and Wales Court of Appeal (Civil Division)</x:v>
      </x:c>
      <x:c r="H2528" s="9" t="str">
        <x:v>Appellate</x:v>
      </x:c>
      <x:c r="I2528" s="9" t="str">
        <x:v>England and Wales</x:v>
      </x:c>
      <x:c r="J2528" s="9" t="str">
        <x:v>Administrative Law</x:v>
      </x:c>
      <x:c r="K2528" s="9" t="str">
        <x:v>-ew-cases-EWCA-Civ-2015-663.xml</x:v>
      </x:c>
      <x:c r="L2528" s="9" t="str">
        <x:v>TBA</x:v>
      </x:c>
    </x:row>
    <x:row r="2529">
      <x:c r="A2529" t="str">
        <x:v>e0e3d055-3ed7-495a-a018-8e8d4b1d3301</x:v>
      </x:c>
      <x:c r="B2529" t="str">
        <x:v>90df9a2a-8f73-496d-a66c-7e0cca6490d0</x:v>
      </x:c>
      <x:c r="C2529" s="9" t="str">
        <x:v>Raja v McMillan [2021] EWCA Civ 1103</x:v>
      </x:c>
      <x:c r="D2529" s="9" t="str"/>
      <x:c r="E2529" s="9" t="str"/>
      <x:c r="F2529" s="13" t="str">
        <x:v>2021</x:v>
      </x:c>
      <x:c r="G2529" s="9" t="str">
        <x:v>England and Wales Court of Appeal (Civil Division)</x:v>
      </x:c>
      <x:c r="H2529" s="9" t="str">
        <x:v>Appellate</x:v>
      </x:c>
      <x:c r="I2529" s="9" t="str">
        <x:v>England and Wales</x:v>
      </x:c>
      <x:c r="J2529" s="9" t="str">
        <x:v>Tort</x:v>
      </x:c>
      <x:c r="K2529" s="9" t="str">
        <x:v>ew-cases-EWCA-Civ-2021-1103.xml</x:v>
      </x:c>
      <x:c r="L2529" s="9" t="str">
        <x:v>TBA</x:v>
      </x:c>
    </x:row>
    <x:row r="2530">
      <x:c r="A2530" t="str">
        <x:v>0e613d8a-1f93-492c-9b51-73c6a76cb99e</x:v>
      </x:c>
      <x:c r="B2530" t="str">
        <x:v>6d2a3c0b-3ba5-4b92-9e2c-64656acc870c</x:v>
      </x:c>
      <x:c r="C2530" s="9" t="str">
        <x:v>Rajaratnam v Secretary of State for the Home Department [2014] EWCA Civ 8</x:v>
      </x:c>
      <x:c r="D2530" s="9" t="str"/>
      <x:c r="E2530" s="9" t="str"/>
      <x:c r="F2530" s="13" t="str">
        <x:v>2014</x:v>
      </x:c>
      <x:c r="G2530" s="9" t="str">
        <x:v>England and Wales Court of Appeal (Civil Division)</x:v>
      </x:c>
      <x:c r="H2530" s="9" t="str">
        <x:v>Appellate</x:v>
      </x:c>
      <x:c r="I2530" s="9" t="str">
        <x:v>England and Wales</x:v>
      </x:c>
      <x:c r="J2530" s="9" t="str">
        <x:v>Immigration Law</x:v>
      </x:c>
      <x:c r="K2530" s="9" t="str">
        <x:v>-ew-cases-EWCA-Civ-2014-8.xml</x:v>
      </x:c>
      <x:c r="L2530" s="9" t="str">
        <x:v>TBA</x:v>
      </x:c>
    </x:row>
    <x:row r="2531">
      <x:c r="A2531" t="str">
        <x:v>de3aa24a-cb8c-4c1a-846f-9e06e76a72dd</x:v>
      </x:c>
      <x:c r="B2531" t="str">
        <x:v>f2cb63d2-3900-4342-9e02-9d1daa56b590</x:v>
      </x:c>
      <x:c r="C2531" s="9" t="str">
        <x:v>Rakusen v Jepsen &amp; Ors [2021] EWCA Civ 1150</x:v>
      </x:c>
      <x:c r="D2531" s="9" t="str"/>
      <x:c r="E2531" s="9" t="str"/>
      <x:c r="F2531" s="13" t="str">
        <x:v>2021</x:v>
      </x:c>
      <x:c r="G2531" s="9" t="str">
        <x:v>England and Wales Court of Appeal (Civil Division)</x:v>
      </x:c>
      <x:c r="H2531" s="9" t="str">
        <x:v>Appellate</x:v>
      </x:c>
      <x:c r="I2531" s="9" t="str">
        <x:v>England and Wales</x:v>
      </x:c>
      <x:c r="J2531" s="9" t="str">
        <x:v>Housing Law</x:v>
      </x:c>
      <x:c r="K2531" s="9" t="str">
        <x:v>ew-cases-EWCA-Civ-2021-1150.xml</x:v>
      </x:c>
      <x:c r="L2531" s="9" t="str">
        <x:v>TBA</x:v>
      </x:c>
    </x:row>
    <x:row r="2532">
      <x:c r="A2532" t="str">
        <x:v>c025f77b-4c5f-4803-91da-9ee50a70e184</x:v>
      </x:c>
      <x:c r="B2532" t="str">
        <x:v>3395fec9-6c95-45de-8e0c-8c2c375447da</x:v>
      </x:c>
      <x:c r="C2532" s="9" t="str">
        <x:v>Raleys Solicitors v Barnaby</x:v>
      </x:c>
      <x:c r="D2532" s="9" t="str"/>
      <x:c r="E2532" s="9" t="str"/>
      <x:c r="F2532" s="13" t="str">
        <x:v>2014</x:v>
      </x:c>
      <x:c r="G2532" s="9" t="str">
        <x:v>England and Wales Court of Appeal (Civil Division)</x:v>
      </x:c>
      <x:c r="H2532" s="9" t="str">
        <x:v>Appellate</x:v>
      </x:c>
      <x:c r="I2532" s="9" t="str">
        <x:v>England and Wales</x:v>
      </x:c>
      <x:c r="J2532" s="9" t="str">
        <x:v>Professional Negligence</x:v>
      </x:c>
      <x:c r="K2532" s="9" t="str">
        <x:v>-ew-cases-EWCA-Civ-2014-686.xml</x:v>
      </x:c>
      <x:c r="L2532" s="9" t="str">
        <x:v>TBA</x:v>
      </x:c>
    </x:row>
    <x:row r="2533">
      <x:c r="A2533" t="str">
        <x:v>839b1e81-594b-4e27-8996-50159e24588c</x:v>
      </x:c>
      <x:c r="B2533" t="str">
        <x:v>723edc11-7e16-4747-a59a-d34f92c45b9e</x:v>
      </x:c>
      <x:c r="C2533" s="9" t="str">
        <x:v>Ralph v Ralph [2021] EWCA Civ 1106: Rectification of Trust Declaration</x:v>
      </x:c>
      <x:c r="D2533" s="9" t="str"/>
      <x:c r="E2533" s="9" t="str"/>
      <x:c r="F2533" s="13" t="str">
        <x:v>2021</x:v>
      </x:c>
      <x:c r="G2533" s="9" t="str">
        <x:v>England and Wales Court of Appeal (Civil Division)</x:v>
      </x:c>
      <x:c r="H2533" s="9" t="str">
        <x:v>Appellate</x:v>
      </x:c>
      <x:c r="I2533" s="9" t="str">
        <x:v>England and Wales</x:v>
      </x:c>
      <x:c r="J2533" s="9" t="str">
        <x:v>Property Law</x:v>
      </x:c>
      <x:c r="K2533" s="9" t="str">
        <x:v>ew-cases-EWCA-Civ-2021-1106.xml</x:v>
      </x:c>
      <x:c r="L2533" s="9" t="str">
        <x:v>TBA</x:v>
      </x:c>
    </x:row>
    <x:row r="2534">
      <x:c r="A2534" t="str">
        <x:v>143b2f30-6960-44a6-9d3c-2a0d0332cf47</x:v>
      </x:c>
      <x:c r="B2534" t="str">
        <x:v>e4a331e7-68ee-4a86-ae5e-ad8ccc230db6</x:v>
      </x:c>
      <x:c r="C2534" s="9" t="str">
        <x:v>Ramadani v Ramadani [2015] EWCA Civ 1138</x:v>
      </x:c>
      <x:c r="D2534" s="9" t="str"/>
      <x:c r="E2534" s="9" t="str"/>
      <x:c r="F2534" s="13" t="str">
        <x:v>2015</x:v>
      </x:c>
      <x:c r="G2534" s="9" t="str">
        <x:v>England and Wales Court of Appeal (Civil Division)</x:v>
      </x:c>
      <x:c r="H2534" s="9" t="str">
        <x:v>Appellate</x:v>
      </x:c>
      <x:c r="I2534" s="9" t="str">
        <x:v>England and Wales</x:v>
      </x:c>
      <x:c r="J2534" s="9" t="str">
        <x:v>Family Law</x:v>
      </x:c>
      <x:c r="K2534" s="9" t="str">
        <x:v>-ew-cases-EWCA-Civ-2015-1138.xml</x:v>
      </x:c>
      <x:c r="L2534" s="9" t="str">
        <x:v>TBA</x:v>
      </x:c>
    </x:row>
    <x:row r="2535">
      <x:c r="A2535" t="str">
        <x:v>0ad72f7f-d0bb-49c0-9276-554155d38e6f</x:v>
      </x:c>
      <x:c r="B2535" t="str">
        <x:v>50ad0fef-c59e-464c-8d87-04a50c7ac07d</x:v>
      </x:c>
      <x:c r="C2535" s="9" t="str">
        <x:v>Ramirez v Maheswari [2015] EWCA Civ 879</x:v>
      </x:c>
      <x:c r="D2535" s="9" t="str"/>
      <x:c r="E2535" s="9" t="str"/>
      <x:c r="F2535" s="13" t="str">
        <x:v>2015</x:v>
      </x:c>
      <x:c r="G2535" s="9" t="str">
        <x:v>England and Wales Court of Appeal (Civil Division)</x:v>
      </x:c>
      <x:c r="H2535" s="9" t="str">
        <x:v>Appellate</x:v>
      </x:c>
      <x:c r="I2535" s="9" t="str">
        <x:v>England and Wales</x:v>
      </x:c>
      <x:c r="J2535" s="9" t="str">
        <x:v>Tort</x:v>
      </x:c>
      <x:c r="K2535" s="9" t="str">
        <x:v>-ew-cases-EWCA-Civ-2015-879.xml</x:v>
      </x:c>
      <x:c r="L2535" s="9" t="str">
        <x:v>TBA</x:v>
      </x:c>
    </x:row>
    <x:row r="2536">
      <x:c r="A2536" t="str">
        <x:v>21787b67-39c3-44df-bd67-27e3fb6720fb</x:v>
      </x:c>
      <x:c r="B2536" t="str">
        <x:v>b0a2e806-f7a7-46f2-8499-e9b41f3f05ba</x:v>
      </x:c>
      <x:c r="C2536" s="9" t="str">
        <x:v>Randall v Randall [2016] EWCA Civ 494 (Court of Appeal, Civil Division)</x:v>
      </x:c>
      <x:c r="D2536" s="9" t="str"/>
      <x:c r="E2536" s="9" t="str"/>
      <x:c r="F2536" s="13" t="str">
        <x:v>2016</x:v>
      </x:c>
      <x:c r="G2536" s="9" t="str">
        <x:v>England and Wales Court of Appeal (Civil Division)</x:v>
      </x:c>
      <x:c r="H2536" s="9" t="str">
        <x:v>Court of Appeal (Civil Division)</x:v>
      </x:c>
      <x:c r="I2536" s="9" t="str">
        <x:v>England and Wales</x:v>
      </x:c>
      <x:c r="J2536" s="9" t="str">
        <x:v>Probate / Wills; Procedural law within Probate practice; Civil procedure in England and Wales</x:v>
      </x:c>
      <x:c r="K2536" s="9" t="str">
        <x:v>-ew-cases-EWCA-Civ-2016-494.xml</x:v>
      </x:c>
      <x:c r="L2536" s="9" t="str">
        <x:v>TBA</x:v>
      </x:c>
    </x:row>
    <x:row r="2537">
      <x:c r="A2537" t="str">
        <x:v>979e37b5-0043-4fa8-8cf1-166695a14d41</x:v>
      </x:c>
      <x:c r="B2537" t="str">
        <x:v>68e860f3-4c50-45c8-b812-56f25e733977</x:v>
      </x:c>
      <x:c r="C2537" s="9" t="str">
        <x:v>Randhawa &amp; Anor v Turpin &amp; Anor - Insolvency Act Administration Appointment Validity</x:v>
      </x:c>
      <x:c r="D2537" s="9" t="str"/>
      <x:c r="E2537" s="9" t="str"/>
      <x:c r="F2537" s="13" t="str">
        <x:v>2017</x:v>
      </x:c>
      <x:c r="G2537" s="9" t="str">
        <x:v>England and Wales Court of Appeal (Civil Division)</x:v>
      </x:c>
      <x:c r="H2537" s="9" t="str">
        <x:v>Appellate</x:v>
      </x:c>
      <x:c r="I2537" s="9" t="str">
        <x:v>England and Wales</x:v>
      </x:c>
      <x:c r="J2537" s="9" t="str">
        <x:v>Civil Appeal - Company Law</x:v>
      </x:c>
      <x:c r="K2537" s="9" t="str">
        <x:v>-ew-cases-EWCA-Civ-2017-1201.xml</x:v>
      </x:c>
      <x:c r="L2537" s="9" t="str">
        <x:v>TBA</x:v>
      </x:c>
    </x:row>
    <x:row r="2538">
      <x:c r="A2538" t="str">
        <x:v>edb49674-3cba-4f48-9d76-5a941884dd41</x:v>
      </x:c>
      <x:c r="B2538" t="str">
        <x:v>f5e26784-99a5-4d4d-8ede-8f60d81350c8</x:v>
      </x:c>
      <x:c r="C2538" s="9" t="str">
        <x:v>Rapp v Sarre (Formerly Rapp) [2016] EWCA Civ 93 (18 February 2016)</x:v>
      </x:c>
      <x:c r="D2538" s="9" t="str"/>
      <x:c r="E2538" s="9" t="str"/>
      <x:c r="F2538" s="13" t="str">
        <x:v>2016</x:v>
      </x:c>
      <x:c r="G2538" s="9" t="str">
        <x:v>England and Wales Court of Appeal (Civil Division)</x:v>
      </x:c>
      <x:c r="H2538" s="9" t="str">
        <x:v>Court of Appeal (Civil Division)</x:v>
      </x:c>
      <x:c r="I2538" s="9" t="str">
        <x:v>England and Wales</x:v>
      </x:c>
      <x:c r="J2538" s="9" t="str">
        <x:v>Family Law</x:v>
      </x:c>
      <x:c r="K2538" s="9" t="str">
        <x:v>-ew-cases-EWCA-Civ-2016-93.xml</x:v>
      </x:c>
      <x:c r="L2538" s="9" t="str">
        <x:v>TBA</x:v>
      </x:c>
    </x:row>
    <x:row r="2539">
      <x:c r="A2539" t="str">
        <x:v>c7f5aeef-ad3c-4754-b0ff-6bc1866a8f99</x:v>
      </x:c>
      <x:c r="B2539" t="str">
        <x:v>b447b6fd-e6df-4c64-8c7a-ccd1fa20dd3c</x:v>
      </x:c>
      <x:c r="C2539" s="9" t="str">
        <x:v>Ras Al Khaimah Investment Authority &amp; Ors v Bestfort Development LLp &amp; Ors [2017] EWCA Civ 1014</x:v>
      </x:c>
      <x:c r="D2539" s="9" t="str"/>
      <x:c r="E2539" s="9" t="str"/>
      <x:c r="F2539" s="13" t="str">
        <x:v>2017</x:v>
      </x:c>
      <x:c r="G2539" s="9" t="str">
        <x:v>England and Wales Court of Appeal (Civil Division)</x:v>
      </x:c>
      <x:c r="H2539" s="9" t="str">
        <x:v>Appellate Court</x:v>
      </x:c>
      <x:c r="I2539" s="9" t="str">
        <x:v>England and Wales</x:v>
      </x:c>
      <x:c r="J2539" s="9" t="str">
        <x:v>Civil Procedure</x:v>
      </x:c>
      <x:c r="K2539" s="9" t="str">
        <x:v>-ew-cases-EWCA-Civ-2017-1014.xml</x:v>
      </x:c>
      <x:c r="L2539" s="9" t="str">
        <x:v>TBA</x:v>
      </x:c>
    </x:row>
    <x:row r="2540">
      <x:c r="A2540" t="str">
        <x:v>a25de608-10c3-42b1-93a3-b80d704a4449</x:v>
      </x:c>
      <x:c r="B2540" t="str">
        <x:v>5f278938-7ea9-4712-a92d-5950c9e62d61</x:v>
      </x:c>
      <x:c r="C2540" s="9" t="str">
        <x:v>Ras Al Khaimah Investment Authority v Azima [2021] EWCA Civ 349</x:v>
      </x:c>
      <x:c r="D2540" s="9" t="str"/>
      <x:c r="E2540" s="9" t="str"/>
      <x:c r="F2540" s="13" t="str">
        <x:v>2021</x:v>
      </x:c>
      <x:c r="G2540" s="9" t="str">
        <x:v>England and Wales Court of Appeal (Civil Division)</x:v>
      </x:c>
      <x:c r="H2540" s="9" t="str">
        <x:v>Appellate</x:v>
      </x:c>
      <x:c r="I2540" s="9" t="str">
        <x:v>England and Wales</x:v>
      </x:c>
      <x:c r="J2540" s="9" t="str">
        <x:v>Fraud and Conspiracy</x:v>
      </x:c>
      <x:c r="K2540" s="9" t="str">
        <x:v>ew-cases-EWCA-Civ-2021-349.xml</x:v>
      </x:c>
      <x:c r="L2540" s="9" t="str">
        <x:v>TBA</x:v>
      </x:c>
    </x:row>
    <x:row r="2541">
      <x:c r="A2541" t="str">
        <x:v>1152a774-f533-4793-8b4b-c712226b33e1</x:v>
      </x:c>
      <x:c r="B2541" t="str">
        <x:v>6ea744d7-18d0-4c5e-b6cf-fb3f88edc0a5</x:v>
      </x:c>
      <x:c r="C2541" s="9" t="str">
        <x:v>Ras Al Khaimah Investment Authority v Azima &amp; Ors [2023] EWCA Civ 507</x:v>
      </x:c>
      <x:c r="D2541" s="9" t="str"/>
      <x:c r="E2541" s="9" t="str"/>
      <x:c r="F2541" s="13" t="str">
        <x:v>2023</x:v>
      </x:c>
      <x:c r="G2541" s="9" t="str">
        <x:v>England and Wales Court of Appeal (Civil Division)</x:v>
      </x:c>
      <x:c r="H2541" s="9" t="str">
        <x:v>Court of Appeal (Civil Division)</x:v>
      </x:c>
      <x:c r="I2541" s="9" t="str">
        <x:v>England and Wales</x:v>
      </x:c>
      <x:c r="J2541" s="9" t="str">
        <x:v>Civil Appeal / Fraud and Abuse of Process</x:v>
      </x:c>
      <x:c r="K2541" s="9" t="str">
        <x:v>ew-cases-EWCA-Civ-2023-507.xml</x:v>
      </x:c>
      <x:c r="L2541" s="9" t="str">
        <x:v>TBA</x:v>
      </x:c>
    </x:row>
    <x:row r="2542">
      <x:c r="A2542" t="str">
        <x:v>9337e8f2-0488-4e0f-babc-cccedc1fecd6</x:v>
      </x:c>
      <x:c r="B2542" t="str">
        <x:v>39f2552a-7ea1-42e0-8176-5a1b1fc092e6</x:v>
      </x:c>
      <x:c r="C2542" s="9" t="str">
        <x:v>Rasheed v Secretary of State for the Home Department</x:v>
      </x:c>
      <x:c r="D2542" s="9" t="str"/>
      <x:c r="E2542" s="9" t="str"/>
      <x:c r="F2542" s="13" t="str">
        <x:v>2014</x:v>
      </x:c>
      <x:c r="G2542" s="9" t="str">
        <x:v>England and Wales Court of Appeal (Civil Division)</x:v>
      </x:c>
      <x:c r="H2542" s="9" t="str">
        <x:v>Appellate</x:v>
      </x:c>
      <x:c r="I2542" s="9" t="str">
        <x:v>England and Wales</x:v>
      </x:c>
      <x:c r="J2542" s="9" t="str">
        <x:v>Immigration Law</x:v>
      </x:c>
      <x:c r="K2542" s="9" t="str">
        <x:v>-ew-cases-EWCA-Civ-2014-1493.xml</x:v>
      </x:c>
      <x:c r="L2542" s="9" t="str">
        <x:v>TBA</x:v>
      </x:c>
    </x:row>
    <x:row r="2543">
      <x:c r="A2543" t="str">
        <x:v>d6e6b612-4887-46b3-b424-1ef45e7530f7</x:v>
      </x:c>
      <x:c r="B2543" t="str">
        <x:v>7ef6b081-c596-4da5-ab59-699badd6aa57</x:v>
      </x:c>
      <x:c r="C2543" s="9" t="str">
        <x:v>Rashid &amp; Anor v Sharif &amp; Anor [2014] EWCA Civ 377 - Boundary Dispute and Trespass</x:v>
      </x:c>
      <x:c r="D2543" s="9" t="str"/>
      <x:c r="E2543" s="9" t="str"/>
      <x:c r="F2543" s="13" t="str">
        <x:v>2014</x:v>
      </x:c>
      <x:c r="G2543" s="9" t="str">
        <x:v>England and Wales Court of Appeal (Civil Division)</x:v>
      </x:c>
      <x:c r="H2543" s="9" t="str">
        <x:v>Appellate</x:v>
      </x:c>
      <x:c r="I2543" s="9" t="str">
        <x:v>England and Wales</x:v>
      </x:c>
      <x:c r="J2543" s="9" t="str">
        <x:v>Property Law</x:v>
      </x:c>
      <x:c r="K2543" s="9" t="str">
        <x:v>-ew-cases-EWCA-Civ-2014-377.xml</x:v>
      </x:c>
      <x:c r="L2543" s="9" t="str">
        <x:v>TBA</x:v>
      </x:c>
    </x:row>
    <x:row r="2544">
      <x:c r="A2544" t="str">
        <x:v>7a353487-7c62-4767-a3e3-5e03c76aef79</x:v>
      </x:c>
      <x:c r="B2544" t="str">
        <x:v>015acc1e-95b1-43cf-8def-0a0cb0f02ef1</x:v>
      </x:c>
      <x:c r="C2544" s="9" t="str">
        <x:v>Rashid v London Borough of Merton [2016] EWCA Civ 622</x:v>
      </x:c>
      <x:c r="D2544" s="9" t="str"/>
      <x:c r="E2544" s="9" t="str"/>
      <x:c r="F2544" s="13" t="str">
        <x:v>2016</x:v>
      </x:c>
      <x:c r="G2544" s="9" t="str">
        <x:v>England and Wales Court of Appeal (Civil Division)</x:v>
      </x:c>
      <x:c r="H2544" s="9" t="str">
        <x:v>Court of Appeal (Civil Division)</x:v>
      </x:c>
      <x:c r="I2544" s="9" t="str">
        <x:v>England and Wales</x:v>
      </x:c>
      <x:c r="J2544" s="9" t="str">
        <x:v>Judicial Review / Public Law / Administrative Law</x:v>
      </x:c>
      <x:c r="K2544" s="9" t="str">
        <x:v>-ew-cases-EWCA-Civ-2016-622.xml</x:v>
      </x:c>
      <x:c r="L2544" s="9" t="str">
        <x:v>TBA</x:v>
      </x:c>
    </x:row>
    <x:row r="2545">
      <x:c r="A2545" t="str">
        <x:v>ffa27941-cc01-436b-88e7-aec387fee787</x:v>
      </x:c>
      <x:c r="B2545" t="str">
        <x:v>67abc4a7-14a4-43bc-848f-b98458660411</x:v>
      </x:c>
      <x:c r="C2545" s="9" t="str">
        <x:v>Ratcliffe v Ratcliffe [2021] EWCA Civ 247</x:v>
      </x:c>
      <x:c r="D2545" s="9" t="str"/>
      <x:c r="E2545" s="9" t="str"/>
      <x:c r="F2545" s="13" t="str">
        <x:v>2021</x:v>
      </x:c>
      <x:c r="G2545" s="9" t="str">
        <x:v>England and Wales Court of Appeal (Civil Division)</x:v>
      </x:c>
      <x:c r="H2545" s="9" t="str">
        <x:v>Appellate</x:v>
      </x:c>
      <x:c r="I2545" s="9" t="str">
        <x:v>England and Wales</x:v>
      </x:c>
      <x:c r="J2545" s="9" t="str">
        <x:v>Family Law</x:v>
      </x:c>
      <x:c r="K2545" s="9" t="str">
        <x:v>ew-cases-EWCA-Civ-2021-247.xml</x:v>
      </x:c>
      <x:c r="L2545" s="9" t="str">
        <x:v>TBA</x:v>
      </x:c>
    </x:row>
    <x:row r="2546">
      <x:c r="A2546" t="str">
        <x:v>e8e3f0bd-ca7e-4dc3-9cdc-9cae16e0d36b</x:v>
      </x:c>
      <x:c r="B2546" t="str">
        <x:v>722b6674-59d3-46ef-b540-ede9d435c156</x:v>
      </x:c>
      <x:c r="C2546" s="9" t="str">
        <x:v>Rathbone Brothers Plc &amp; Anor v Novae Corporate Underwriting Ltd [2014] EWCA Civ 1464</x:v>
      </x:c>
      <x:c r="D2546" s="9" t="str"/>
      <x:c r="E2546" s="9" t="str"/>
      <x:c r="F2546" s="13" t="str">
        <x:v>2014</x:v>
      </x:c>
      <x:c r="G2546" s="9" t="str">
        <x:v>England and Wales Court of Appeal (Civil Division)</x:v>
      </x:c>
      <x:c r="H2546" s="9" t="str">
        <x:v>Appellate</x:v>
      </x:c>
      <x:c r="I2546" s="9" t="str">
        <x:v>England and Wales</x:v>
      </x:c>
      <x:c r="J2546" s="9" t="str">
        <x:v>Insurance Law</x:v>
      </x:c>
      <x:c r="K2546" s="9" t="str">
        <x:v>-ew-cases-EWCA-Civ-2014-1464.xml</x:v>
      </x:c>
      <x:c r="L2546" s="9" t="str">
        <x:v>TBA</x:v>
      </x:c>
    </x:row>
    <x:row r="2547">
      <x:c r="A2547" t="str">
        <x:v>1f26519c-bf7a-486d-8759-6fdb3156fdb4</x:v>
      </x:c>
      <x:c r="B2547" t="str">
        <x:v>04831f1f-a744-4c59-8b99-66af48b9f614</x:v>
      </x:c>
      <x:c r="C2547" s="9" t="str">
        <x:v>Rattan v Kuwad (Rev 1) [2021] EWCA Civ 1</x:v>
      </x:c>
      <x:c r="D2547" s="9" t="str"/>
      <x:c r="E2547" s="9" t="str"/>
      <x:c r="F2547" s="13" t="str">
        <x:v>2021</x:v>
      </x:c>
      <x:c r="G2547" s="9" t="str">
        <x:v>England and Wales Court of Appeal (Civil Division)</x:v>
      </x:c>
      <x:c r="H2547" s="9" t="str">
        <x:v>Appellate</x:v>
      </x:c>
      <x:c r="I2547" s="9" t="str">
        <x:v>England and Wales</x:v>
      </x:c>
      <x:c r="J2547" s="9" t="str">
        <x:v>Family Law</x:v>
      </x:c>
      <x:c r="K2547" s="9" t="str">
        <x:v>ew-cases-EWCA-Civ-2021-1.xml</x:v>
      </x:c>
      <x:c r="L2547" s="9" t="str">
        <x:v>TBA</x:v>
      </x:c>
    </x:row>
    <x:row r="2548">
      <x:c r="A2548" t="str">
        <x:v>b1a717b3-c9c3-4454-b1b3-2e3267b9003d</x:v>
      </x:c>
      <x:c r="B2548" t="str">
        <x:v>9228096a-2f29-46f4-bfa2-80a071827d94</x:v>
      </x:c>
      <x:c r="C2548" s="9" t="str">
        <x:v>Ravendark Holdings Ltd v Rotenberg &amp; Ors [2021] EWCA Civ 1661</x:v>
      </x:c>
      <x:c r="D2548" s="9" t="str"/>
      <x:c r="E2548" s="9" t="str"/>
      <x:c r="F2548" s="13" t="str">
        <x:v>2021</x:v>
      </x:c>
      <x:c r="G2548" s="9" t="str">
        <x:v>England and Wales Court of Appeal (Civil Division)</x:v>
      </x:c>
      <x:c r="H2548" s="9" t="str">
        <x:v>Appellate</x:v>
      </x:c>
      <x:c r="I2548" s="9" t="str">
        <x:v>England and Wales</x:v>
      </x:c>
      <x:c r="J2548" s="9" t="str">
        <x:v>Family Law</x:v>
      </x:c>
      <x:c r="K2548" s="9" t="str">
        <x:v>ew-cases-EWCA-Civ-2021-1661.xml</x:v>
      </x:c>
      <x:c r="L2548" s="9" t="str">
        <x:v>TBA</x:v>
      </x:c>
    </x:row>
    <x:row r="2549">
      <x:c r="A2549" t="str">
        <x:v>17a39d6a-4690-4494-9e0c-7e902a031ee6</x:v>
      </x:c>
      <x:c r="B2549" t="str">
        <x:v>e26396a1-83c8-41e2-973e-993f4ba0f50a</x:v>
      </x:c>
      <x:c r="C2549" s="9" t="str">
        <x:v>Rawding v Seaga UK Ltd [2015] EWCA Civ 113</x:v>
      </x:c>
      <x:c r="D2549" s="9" t="str"/>
      <x:c r="E2549" s="9" t="str"/>
      <x:c r="F2549" s="13" t="str">
        <x:v>2015</x:v>
      </x:c>
      <x:c r="G2549" s="9" t="str">
        <x:v>England and Wales Court of Appeal (Civil Division)</x:v>
      </x:c>
      <x:c r="H2549" s="9" t="str">
        <x:v>Appellate</x:v>
      </x:c>
      <x:c r="I2549" s="9" t="str">
        <x:v>England and Wales</x:v>
      </x:c>
      <x:c r="J2549" s="9" t="str">
        <x:v>Contract Dispute</x:v>
      </x:c>
      <x:c r="K2549" s="9" t="str">
        <x:v>-ew-cases-EWCA-Civ-2015-113.xml</x:v>
      </x:c>
      <x:c r="L2549" s="9" t="str">
        <x:v>TBA</x:v>
      </x:c>
    </x:row>
    <x:row r="2550">
      <x:c r="A2550" t="str">
        <x:v>5b915e69-24f4-4892-94ac-c9da77ab8671</x:v>
      </x:c>
      <x:c r="B2550" t="str">
        <x:v>a9987acd-67c8-4a08-bb99-744776f1f372</x:v>
      </x:c>
      <x:c r="C2550" s="9" t="str">
        <x:v>Rawlinson &amp; Hunter Trustees SA v The Director of the Serious Fraud Office &amp; Ors [2016] EWCA Civ 276 (02 March 2016)</x:v>
      </x:c>
      <x:c r="D2550" s="9" t="str"/>
      <x:c r="E2550" s="9" t="str"/>
      <x:c r="F2550" s="13" t="str">
        <x:v>2016</x:v>
      </x:c>
      <x:c r="G2550" s="9" t="str">
        <x:v>England and Wales Court of Appeal (Civil Division)</x:v>
      </x:c>
      <x:c r="H2550" s="9" t="str">
        <x:v>Court of Appeal (Civil Division)</x:v>
      </x:c>
      <x:c r="I2550" s="9" t="str">
        <x:v>England and Wales</x:v>
      </x:c>
      <x:c r="J2550" s="9" t="str">
        <x:v>Civil Procedure / Trusts / Cross-Border Litigation</x:v>
      </x:c>
      <x:c r="K2550" s="9" t="str">
        <x:v>-ew-cases-EWCA-Civ-2016-276.xml</x:v>
      </x:c>
      <x:c r="L2550" s="9" t="str">
        <x:v>TBA</x:v>
      </x:c>
    </x:row>
    <x:row r="2551">
      <x:c r="A2551" t="str">
        <x:v>47442fea-bf55-4b5a-892b-a45a3d93bc15</x:v>
      </x:c>
      <x:c r="B2551" t="str">
        <x:v>ec35a9e8-ef9f-4f01-b873-c59e2d81807e</x:v>
      </x:c>
      <x:c r="C2551" s="9" t="str">
        <x:v>Rawlinson And Hunter Trustees S.A. &amp; Ors v Director of the Serious Fraud Office [2014] EWCA Civ 1129</x:v>
      </x:c>
      <x:c r="D2551" s="9" t="str"/>
      <x:c r="E2551" s="9" t="str"/>
      <x:c r="F2551" s="13" t="str">
        <x:v>2014</x:v>
      </x:c>
      <x:c r="G2551" s="9" t="str">
        <x:v>England and Wales Court of Appeal (Civil Division)</x:v>
      </x:c>
      <x:c r="H2551" s="9" t="str">
        <x:v>Appellate</x:v>
      </x:c>
      <x:c r="I2551" s="9" t="str">
        <x:v>England and Wales</x:v>
      </x:c>
      <x:c r="J2551" s="9" t="str">
        <x:v>Civil Appeal</x:v>
      </x:c>
      <x:c r="K2551" s="9" t="str">
        <x:v>-ew-cases-EWCA-Civ-2014-1129.xml</x:v>
      </x:c>
      <x:c r="L2551" s="9" t="str">
        <x:v>TBA</x:v>
      </x:c>
    </x:row>
    <x:row r="2552">
      <x:c r="A2552" t="str">
        <x:v>6742ac54-ca87-433a-86f9-ca907544b742</x:v>
      </x:c>
      <x:c r="B2552" t="str">
        <x:v>b9c1c703-7438-4ac4-8117-ad2d02aecbec</x:v>
      </x:c>
      <x:c r="C2552" s="9" t="str">
        <x:v>Rawlinson And Hunter Trustees SA &amp; Ors v Akers &amp; Anor</x:v>
      </x:c>
      <x:c r="D2552" s="9" t="str"/>
      <x:c r="E2552" s="9" t="str"/>
      <x:c r="F2552" s="13" t="str">
        <x:v>2014</x:v>
      </x:c>
      <x:c r="G2552" s="9" t="str">
        <x:v>England and Wales Court of Appeal (Civil Division)</x:v>
      </x:c>
      <x:c r="H2552" s="9" t="str">
        <x:v>Court of Appeal</x:v>
      </x:c>
      <x:c r="I2552" s="9" t="str">
        <x:v>England and Wales</x:v>
      </x:c>
      <x:c r="J2552" s="9" t="str">
        <x:v>Civil Procedure</x:v>
      </x:c>
      <x:c r="K2552" s="9" t="str">
        <x:v>-ew-cases-EWCA-Civ-2014-136.xml</x:v>
      </x:c>
      <x:c r="L2552" s="9" t="str">
        <x:v>TBA</x:v>
      </x:c>
    </x:row>
    <x:row r="2553">
      <x:c r="A2553" t="str">
        <x:v>b465fdea-7006-4ed6-98b6-c6a2896f1d02</x:v>
      </x:c>
      <x:c r="B2553" t="str">
        <x:v>e65eac64-ec88-492d-96f3-59523b92681f</x:v>
      </x:c>
      <x:c r="C2553" s="9" t="str">
        <x:v>Ray v Sekhri [2014] EWCA Civ 119</x:v>
      </x:c>
      <x:c r="D2553" s="9" t="str"/>
      <x:c r="E2553" s="9" t="str"/>
      <x:c r="F2553" s="13" t="str">
        <x:v>2014</x:v>
      </x:c>
      <x:c r="G2553" s="9" t="str">
        <x:v>England and Wales Court of Appeal (Civil Division)</x:v>
      </x:c>
      <x:c r="H2553" s="9" t="str">
        <x:v>Appellate</x:v>
      </x:c>
      <x:c r="I2553" s="9" t="str">
        <x:v>England and Wales</x:v>
      </x:c>
      <x:c r="J2553" s="9" t="str">
        <x:v>Family Law</x:v>
      </x:c>
      <x:c r="K2553" s="9" t="str">
        <x:v>-ew-cases-EWCA-Civ-2014-119.xml</x:v>
      </x:c>
      <x:c r="L2553" s="9" t="str">
        <x:v>TBA</x:v>
      </x:c>
    </x:row>
    <x:row r="2554">
      <x:c r="A2554" t="str">
        <x:v>d13ff506-e099-48be-8d1c-7e8ebe2cff40</x:v>
      </x:c>
      <x:c r="B2554" t="str">
        <x:v>ddb41c46-79af-4f91-b36d-e2fc1279f012</x:v>
      </x:c>
      <x:c r="C2554" s="9" t="str">
        <x:v>Raymond &amp; Anor v Young &amp; Anor [2015] EWCA Civ 456</x:v>
      </x:c>
      <x:c r="D2554" s="9" t="str"/>
      <x:c r="E2554" s="9" t="str"/>
      <x:c r="F2554" s="13" t="str">
        <x:v>2015</x:v>
      </x:c>
      <x:c r="G2554" s="9" t="str">
        <x:v>England and Wales Court of Appeal (Civil Division)</x:v>
      </x:c>
      <x:c r="H2554" s="9" t="str">
        <x:v>appellate</x:v>
      </x:c>
      <x:c r="I2554" s="9" t="str">
        <x:v>England and Wales</x:v>
      </x:c>
      <x:c r="J2554" s="9" t="str">
        <x:v>Tort</x:v>
      </x:c>
      <x:c r="K2554" s="9" t="str">
        <x:v>-ew-cases-EWCA-Civ-2015-456.xml</x:v>
      </x:c>
      <x:c r="L2554" s="9" t="str">
        <x:v>TBA</x:v>
      </x:c>
    </x:row>
    <x:row r="2555">
      <x:c r="A2555" t="str">
        <x:v>207a2d43-8b61-4ec3-9d47-af1cbc26f042</x:v>
      </x:c>
      <x:c r="B2555" t="str">
        <x:v>6fd3f839-9dbd-4e98-ba99-08a6fdab0a37</x:v>
      </x:c>
      <x:c r="C2555" s="9" t="str">
        <x:v>Rayner v The Lord Chancellor [2015] EWCA Civ 1124</x:v>
      </x:c>
      <x:c r="D2555" s="9" t="str"/>
      <x:c r="E2555" s="9" t="str"/>
      <x:c r="F2555" s="13" t="str">
        <x:v>2015</x:v>
      </x:c>
      <x:c r="G2555" s="9" t="str">
        <x:v>England and Wales Court of Appeal (Civil Division)</x:v>
      </x:c>
      <x:c r="H2555" s="9" t="str">
        <x:v>Appellate</x:v>
      </x:c>
      <x:c r="I2555" s="9" t="str">
        <x:v>England and Wales</x:v>
      </x:c>
      <x:c r="J2555" s="9" t="str">
        <x:v>Administrative Law</x:v>
      </x:c>
      <x:c r="K2555" s="9" t="str">
        <x:v>-ew-cases-EWCA-Civ-2015-1124.xml</x:v>
      </x:c>
      <x:c r="L2555" s="9" t="str">
        <x:v>TBA</x:v>
      </x:c>
    </x:row>
    <x:row r="2556">
      <x:c r="A2556" t="str">
        <x:v>ce09bef8-feae-4d6f-b520-45f684736216</x:v>
      </x:c>
      <x:c r="B2556" t="str">
        <x:v>c82416fd-710e-4b70-81c4-32ea1a02191d</x:v>
      </x:c>
      <x:c r="C2556" s="9" t="str">
        <x:v>Raza v Secretary of State for the Home Department [2023] EWCA Civ 29</x:v>
      </x:c>
      <x:c r="D2556" s="9" t="str"/>
      <x:c r="E2556" s="9" t="str"/>
      <x:c r="F2556" s="13" t="str">
        <x:v>2023</x:v>
      </x:c>
      <x:c r="G2556" s="9" t="str">
        <x:v>England and Wales Court of Appeal (Civil Division)</x:v>
      </x:c>
      <x:c r="H2556" s="9" t="str">
        <x:v>Court of Appeal (Civil Division)</x:v>
      </x:c>
      <x:c r="I2556" s="9" t="str">
        <x:v>England and Wales</x:v>
      </x:c>
      <x:c r="J2556" s="9" t="str">
        <x:v>Civil Appeal / Administrative Law - Immigration</x:v>
      </x:c>
      <x:c r="K2556" s="9" t="str">
        <x:v>ew-cases-EWCA-Civ-2023-29.xml</x:v>
      </x:c>
      <x:c r="L2556" s="9" t="str">
        <x:v>TBA</x:v>
      </x:c>
    </x:row>
    <x:row r="2557">
      <x:c r="A2557" t="str">
        <x:v>6aa9cf5f-cf7f-4f9b-9d68-2d420ed325cd</x:v>
      </x:c>
      <x:c r="B2557" t="str">
        <x:v>89e4d5eb-b533-4635-95c2-554e3feb2f4e</x:v>
      </x:c>
      <x:c r="C2557" s="9" t="str">
        <x:v>Raza, R (on the application of) v The Secretary of State for the Home Department [2016] EWCA Civ 36 (Court of Appeal, Civil Division)</x:v>
      </x:c>
      <x:c r="D2557" s="9" t="str"/>
      <x:c r="E2557" s="9" t="str"/>
      <x:c r="F2557" s="13" t="str">
        <x:v>2016</x:v>
      </x:c>
      <x:c r="G2557" s="9" t="str">
        <x:v>England and Wales Court of Appeal (Civil Division)</x:v>
      </x:c>
      <x:c r="H2557" s="9" t="str">
        <x:v>Court of Appeal (Civil Division)</x:v>
      </x:c>
      <x:c r="I2557" s="9" t="str">
        <x:v>England and Wales</x:v>
      </x:c>
      <x:c r="J2557" s="9" t="str">
        <x:v>Immigration Law / Public Law (Administrative Law)</x:v>
      </x:c>
      <x:c r="K2557" s="9" t="str">
        <x:v>-ew-cases-EWCA-Civ-2016-36.xml</x:v>
      </x:c>
      <x:c r="L2557" s="9" t="str">
        <x:v>TBA</x:v>
      </x:c>
    </x:row>
    <x:row r="2558">
      <x:c r="A2558" t="str">
        <x:v>09d78252-510f-4bea-b2c0-54be38e5d403</x:v>
      </x:c>
      <x:c r="B2558" t="str">
        <x:v>0c9d9723-33b0-4749-b88b-6c8e170d2b43</x:v>
      </x:c>
      <x:c r="C2558" s="9" t="str">
        <x:v>Razak v Secretary of State for the Home Department [2016] EWCA Civ 190</x:v>
      </x:c>
      <x:c r="D2558" s="9" t="str"/>
      <x:c r="E2558" s="9" t="str"/>
      <x:c r="F2558" s="13" t="str">
        <x:v>2016</x:v>
      </x:c>
      <x:c r="G2558" s="9" t="str">
        <x:v>England and Wales Court of Appeal (Civil Division)</x:v>
      </x:c>
      <x:c r="H2558" s="9" t="str">
        <x:v>Court of Appeal (Civil Division)</x:v>
      </x:c>
      <x:c r="I2558" s="9" t="str">
        <x:v>England and Wales</x:v>
      </x:c>
      <x:c r="J2558" s="9" t="str">
        <x:v>Immigration Law; Public/Administrative Law</x:v>
      </x:c>
      <x:c r="K2558" s="9" t="str">
        <x:v>-ew-cases-EWCA-Civ-2016-190.xml</x:v>
      </x:c>
      <x:c r="L2558" s="9" t="str">
        <x:v>TBA</x:v>
      </x:c>
    </x:row>
    <x:row r="2559">
      <x:c r="A2559" t="str">
        <x:v>47574f1a-13f2-43e9-ad9f-d491a7def879</x:v>
      </x:c>
      <x:c r="B2559" t="str">
        <x:v>3cb4f547-83af-4a6d-852e-18cabf05feea</x:v>
      </x:c>
      <x:c r="C2559" s="9" t="str">
        <x:v>Razoq, R (On the Application Of) v General Medical Council [2015] EWCA Civ 972</x:v>
      </x:c>
      <x:c r="D2559" s="9" t="str"/>
      <x:c r="E2559" s="9" t="str"/>
      <x:c r="F2559" s="13" t="str">
        <x:v>2015</x:v>
      </x:c>
      <x:c r="G2559" s="9" t="str">
        <x:v>England and Wales Court of Appeal (Civil Division)</x:v>
      </x:c>
      <x:c r="H2559" s="9" t="str">
        <x:v>Appellate</x:v>
      </x:c>
      <x:c r="I2559" s="9" t="str">
        <x:v>England and Wales</x:v>
      </x:c>
      <x:c r="J2559" s="9" t="str">
        <x:v>Judicial Review</x:v>
      </x:c>
      <x:c r="K2559" s="9" t="str">
        <x:v>-ew-cases-EWCA-Civ-2015-972.xml</x:v>
      </x:c>
      <x:c r="L2559" s="9" t="str">
        <x:v>TBA</x:v>
      </x:c>
    </x:row>
    <x:row r="2560">
      <x:c r="A2560" t="str">
        <x:v>2686e58e-43d8-4d4a-a08d-7846d786630f</x:v>
      </x:c>
      <x:c r="B2560" t="str">
        <x:v>c2fbbe69-3d95-42a1-830a-30fec048f843</x:v>
      </x:c>
      <x:c r="C2560" s="9" t="str">
        <x:v>Razu v Secretary of State for the Home Department [2016] EWCA Civ 390</x:v>
      </x:c>
      <x:c r="D2560" s="9" t="str"/>
      <x:c r="E2560" s="9" t="str"/>
      <x:c r="F2560" s="13" t="str">
        <x:v>2016</x:v>
      </x:c>
      <x:c r="G2560" s="9" t="str">
        <x:v>England and Wales Court of Appeal (Civil Division)</x:v>
      </x:c>
      <x:c r="H2560" s="9" t="str">
        <x:v>Court of Appeal (Civil Division)</x:v>
      </x:c>
      <x:c r="I2560" s="9" t="str">
        <x:v>England and Wales</x:v>
      </x:c>
      <x:c r="J2560" s="9" t="str">
        <x:v>Immigration and Asylum Law</x:v>
      </x:c>
      <x:c r="K2560" s="9" t="str">
        <x:v>-ew-cases-EWCA-Civ-2016-390.xml</x:v>
      </x:c>
      <x:c r="L2560" s="9" t="str">
        <x:v>TBA</x:v>
      </x:c>
    </x:row>
    <x:row r="2561">
      <x:c r="A2561" t="str">
        <x:v>cd39a387-0766-4a9d-9b56-7cb27dd6c41f</x:v>
      </x:c>
      <x:c r="B2561" t="str">
        <x:v>b5ffd0ed-897d-401f-9a7a-84ec7a257c4d</x:v>
      </x:c>
      <x:c r="C2561" s="9" t="str">
        <x:v>Razzaq v Ageas Insurance Ltd</x:v>
      </x:c>
      <x:c r="D2561" s="9" t="str"/>
      <x:c r="E2561" s="9" t="str"/>
      <x:c r="F2561" s="13" t="str">
        <x:v>2015</x:v>
      </x:c>
      <x:c r="G2561" s="9" t="str">
        <x:v>England and Wales Court of Appeal (Civil Division)</x:v>
      </x:c>
      <x:c r="H2561" s="9" t="str">
        <x:v>Appellate</x:v>
      </x:c>
      <x:c r="I2561" s="9" t="str">
        <x:v>England and Wales</x:v>
      </x:c>
      <x:c r="J2561" s="9" t="str">
        <x:v>Contract Dispute</x:v>
      </x:c>
      <x:c r="K2561" s="9" t="str">
        <x:v>-ew-cases-EWCA-Civ-2015-752.xml</x:v>
      </x:c>
      <x:c r="L2561" s="9" t="str">
        <x:v>TBA</x:v>
      </x:c>
    </x:row>
    <x:row r="2562">
      <x:c r="A2562" t="str">
        <x:v>68e97b94-9bf5-43a7-a327-95e1969bef94</x:v>
      </x:c>
      <x:c r="B2562" t="str">
        <x:v>d4f8c6ce-0a59-4c64-a5a1-d0a0bed7fce2</x:v>
      </x:c>
      <x:c r="C2562" s="9" t="str">
        <x:v>Razzaq v Financial Conduct Authority (FCA) [2014] EWCA Civ 770</x:v>
      </x:c>
      <x:c r="D2562" s="9" t="str"/>
      <x:c r="E2562" s="9" t="str"/>
      <x:c r="F2562" s="13" t="str">
        <x:v>2014</x:v>
      </x:c>
      <x:c r="G2562" s="9" t="str">
        <x:v>England and Wales Court of Appeal (Civil Division)</x:v>
      </x:c>
      <x:c r="H2562" s="9" t="str">
        <x:v>Appellate</x:v>
      </x:c>
      <x:c r="I2562" s="9" t="str">
        <x:v>England and Wales</x:v>
      </x:c>
      <x:c r="J2562" s="9" t="str">
        <x:v>Administrative Law</x:v>
      </x:c>
      <x:c r="K2562" s="9" t="str">
        <x:v>-ew-cases-EWCA-Civ-2014-770.xml</x:v>
      </x:c>
      <x:c r="L2562" s="9" t="str">
        <x:v>TBA</x:v>
      </x:c>
    </x:row>
    <x:row r="2563">
      <x:c r="A2563" t="str">
        <x:v>62865e5a-9f26-4733-8b26-d0e9b2df2000</x:v>
      </x:c>
      <x:c r="B2563" t="str">
        <x:v>fc8294f5-ef7a-4339-aaf3-448655d5d97b</x:v>
      </x:c>
      <x:c r="C2563" s="9" t="str">
        <x:v>RB v Brighton &amp; Hove City Council [2014] EWCA Civ 561</x:v>
      </x:c>
      <x:c r="D2563" s="9" t="str"/>
      <x:c r="E2563" s="9" t="str"/>
      <x:c r="F2563" s="13" t="str">
        <x:v>2014</x:v>
      </x:c>
      <x:c r="G2563" s="9" t="str">
        <x:v>England and Wales Court of Appeal (Civil Division)</x:v>
      </x:c>
      <x:c r="H2563" s="9" t="str">
        <x:v>Appellate</x:v>
      </x:c>
      <x:c r="I2563" s="9" t="str">
        <x:v>England and Wales</x:v>
      </x:c>
      <x:c r="J2563" s="9" t="str">
        <x:v>Mental Health Law</x:v>
      </x:c>
      <x:c r="K2563" s="9" t="str">
        <x:v>-ew-cases-EWCA-Civ-2014-561.xml</x:v>
      </x:c>
      <x:c r="L2563" s="9" t="str">
        <x:v>TBA</x:v>
      </x:c>
    </x:row>
    <x:row r="2564">
      <x:c r="A2564" t="str">
        <x:v>cea30e81-111b-443c-955e-4a05bad83390</x:v>
      </x:c>
      <x:c r="B2564" t="str">
        <x:v>02592aeb-8641-4243-a14e-47060a39b93a</x:v>
      </x:c>
      <x:c r="C2564" s="9" t="str">
        <x:v>Re (A Child: Habitual Residence) [2014] EWCA Civ 1032</x:v>
      </x:c>
      <x:c r="D2564" s="9" t="str"/>
      <x:c r="E2564" s="9" t="str"/>
      <x:c r="F2564" s="13" t="str">
        <x:v>2014</x:v>
      </x:c>
      <x:c r="G2564" s="9" t="str">
        <x:v>England and Wales Court of Appeal (Civil Division)</x:v>
      </x:c>
      <x:c r="H2564" s="9" t="str">
        <x:v>Appellate</x:v>
      </x:c>
      <x:c r="I2564" s="9" t="str">
        <x:v>England and Wales</x:v>
      </x:c>
      <x:c r="J2564" s="9" t="str">
        <x:v>Family Law</x:v>
      </x:c>
      <x:c r="K2564" s="9" t="str">
        <x:v>-ew-cases-EWCA-Civ-2014-1032.xml</x:v>
      </x:c>
      <x:c r="L2564" s="9" t="str">
        <x:v>TBA</x:v>
      </x:c>
    </x:row>
    <x:row r="2565">
      <x:c r="A2565" t="str">
        <x:v>ccb4a813-a006-419a-beea-b4a966a5652b</x:v>
      </x:c>
      <x:c r="B2565" t="str">
        <x:v>656e26e4-9d99-451c-ac6e-35b83a37ba89</x:v>
      </x:c>
      <x:c r="C2565" s="9" t="str">
        <x:v>Re A (A CHILD) (supervised contact) (s91(14) Children Act 1989 orders) [2021] EWCA Civ 1749</x:v>
      </x:c>
      <x:c r="D2565" s="9" t="str"/>
      <x:c r="E2565" s="9" t="str"/>
      <x:c r="F2565" s="13" t="str">
        <x:v>2021</x:v>
      </x:c>
      <x:c r="G2565" s="9" t="str">
        <x:v>England and Wales Court of Appeal (Civil Division)</x:v>
      </x:c>
      <x:c r="H2565" s="9" t="str">
        <x:v>Appellate</x:v>
      </x:c>
      <x:c r="I2565" s="9" t="str">
        <x:v>England and Wales</x:v>
      </x:c>
      <x:c r="J2565" s="9" t="str">
        <x:v>Family Law</x:v>
      </x:c>
      <x:c r="K2565" s="9" t="str">
        <x:v>ew-cases-EWCA-Civ-2021-1749.xml</x:v>
      </x:c>
      <x:c r="L2565" s="9" t="str">
        <x:v>TBA</x:v>
      </x:c>
    </x:row>
    <x:row r="2566">
      <x:c r="A2566" t="str">
        <x:v>5a335436-5273-46fc-b545-64f0a4f7be7f</x:v>
      </x:c>
      <x:c r="B2566" t="str">
        <x:v>a8f57ff7-5300-4d02-80ca-5940b3bae9f4</x:v>
      </x:c>
      <x:c r="C2566" s="9" t="str">
        <x:v>RE A (CHILDREN) (POOL OF PERPETRATORS) [2022] EWCA Civ 1348</x:v>
      </x:c>
      <x:c r="D2566" s="9" t="str"/>
      <x:c r="E2566" s="9" t="str"/>
      <x:c r="F2566" s="13" t="str">
        <x:v>2022</x:v>
      </x:c>
      <x:c r="G2566" s="9" t="str">
        <x:v>England and Wales Court of Appeal (Civil Division)</x:v>
      </x:c>
      <x:c r="H2566" s="9" t="str">
        <x:v>Court of Appeal (Civil Division)</x:v>
      </x:c>
      <x:c r="I2566" s="9" t="str">
        <x:v>England and Wales</x:v>
      </x:c>
      <x:c r="J2566" s="9" t="str">
        <x:v>Care Proceedings / Family Law</x:v>
      </x:c>
      <x:c r="K2566" s="9" t="str">
        <x:v>ew-cases-EWCA-Civ-2022-1348.xml</x:v>
      </x:c>
      <x:c r="L2566" s="9" t="str">
        <x:v>TBA</x:v>
      </x:c>
    </x:row>
    <x:row r="2567">
      <x:c r="A2567" t="str">
        <x:v>561be2ee-ee29-4438-9ee0-a0be766938ba</x:v>
      </x:c>
      <x:c r="B2567" t="str">
        <x:v>708eaa11-04f4-47fc-81d4-11122d4c4938</x:v>
      </x:c>
      <x:c r="C2567" s="9" t="str">
        <x:v>Re AH (Serious Medical Treatment) [2021] EWCA Civ 1768</x:v>
      </x:c>
      <x:c r="D2567" s="9" t="str"/>
      <x:c r="E2567" s="9" t="str"/>
      <x:c r="F2567" s="13" t="str">
        <x:v>2021</x:v>
      </x:c>
      <x:c r="G2567" s="9" t="str">
        <x:v>England and Wales Court of Appeal (Civil Division)</x:v>
      </x:c>
      <x:c r="H2567" s="9" t="str">
        <x:v>Appellate</x:v>
      </x:c>
      <x:c r="I2567" s="9" t="str">
        <x:v>England and Wales</x:v>
      </x:c>
      <x:c r="J2567" s="9" t="str">
        <x:v>Health Law</x:v>
      </x:c>
      <x:c r="K2567" s="9" t="str">
        <x:v>ew-cases-EWCA-Civ-2021-1768.xml</x:v>
      </x:c>
      <x:c r="L2567" s="9" t="str">
        <x:v>TBA</x:v>
      </x:c>
    </x:row>
    <x:row r="2568">
      <x:c r="A2568" t="str">
        <x:v>9c4e0b60-e600-409b-a508-ae2d44d3ef9c</x:v>
      </x:c>
      <x:c r="B2568" t="str">
        <x:v>98f08d48-3812-4bfb-b543-7da4b6e84a80</x:v>
      </x:c>
      <x:c r="C2568" s="9" t="str">
        <x:v>Re B (A Child) (1980 Hague Convention Proceedings) [2014] EWCA Civ 375</x:v>
      </x:c>
      <x:c r="D2568" s="9" t="str"/>
      <x:c r="E2568" s="9" t="str"/>
      <x:c r="F2568" s="13" t="str">
        <x:v>2014</x:v>
      </x:c>
      <x:c r="G2568" s="9" t="str">
        <x:v>England and Wales Court of Appeal (Civil Division)</x:v>
      </x:c>
      <x:c r="H2568" s="9" t="str">
        <x:v>Appellate</x:v>
      </x:c>
      <x:c r="I2568" s="9" t="str">
        <x:v>England and Wales</x:v>
      </x:c>
      <x:c r="J2568" s="9" t="str">
        <x:v>Family Law</x:v>
      </x:c>
      <x:c r="K2568" s="9" t="str">
        <x:v>-ew-cases-EWCA-Civ-2014-375.xml</x:v>
      </x:c>
      <x:c r="L2568" s="9" t="str">
        <x:v>TBA</x:v>
      </x:c>
    </x:row>
    <x:row r="2569">
      <x:c r="A2569" t="str">
        <x:v>e5f0cdd3-0153-44dc-962e-65fb29e72e4d</x:v>
      </x:c>
      <x:c r="B2569" t="str">
        <x:v>2e8cd90f-14cd-407a-a574-f3f7218e2eb8</x:v>
      </x:c>
      <x:c r="C2569" s="9" t="str">
        <x:v>Re B (A Child) [2014] EWCA Civ 19: Appeal Against Relocation Permission</x:v>
      </x:c>
      <x:c r="D2569" s="9" t="str"/>
      <x:c r="E2569" s="9" t="str"/>
      <x:c r="F2569" s="13" t="str">
        <x:v>2014</x:v>
      </x:c>
      <x:c r="G2569" s="9" t="str">
        <x:v>England and Wales Court of Appeal (Civil Division)</x:v>
      </x:c>
      <x:c r="H2569" s="9" t="str">
        <x:v>Appellate</x:v>
      </x:c>
      <x:c r="I2569" s="9" t="str">
        <x:v>England and Wales</x:v>
      </x:c>
      <x:c r="J2569" s="9" t="str">
        <x:v>Family Law</x:v>
      </x:c>
      <x:c r="K2569" s="9" t="str">
        <x:v>-ew-cases-EWCA-Civ-2014-19.xml</x:v>
      </x:c>
      <x:c r="L2569" s="9" t="str">
        <x:v>TBA</x:v>
      </x:c>
    </x:row>
    <x:row r="2570">
      <x:c r="A2570" t="str">
        <x:v>c6dc6f91-88e5-4473-8ab8-e2edd3994734</x:v>
      </x:c>
      <x:c r="B2570" t="str">
        <x:v>6883b589-6c8d-4ed3-bce7-23d4c85a1962</x:v>
      </x:c>
      <x:c r="C2570" s="9" t="str">
        <x:v>Re B (A Child) [2014] EWCA Civ 565: Review of Court Decision in Family Law</x:v>
      </x:c>
      <x:c r="D2570" s="9" t="str"/>
      <x:c r="E2570" s="9" t="str"/>
      <x:c r="F2570" s="13" t="str">
        <x:v>2014</x:v>
      </x:c>
      <x:c r="G2570" s="9" t="str">
        <x:v>England and Wales Court of Appeal (Civil Division)</x:v>
      </x:c>
      <x:c r="H2570" s="9" t="str">
        <x:v>Appellate</x:v>
      </x:c>
      <x:c r="I2570" s="9" t="str">
        <x:v>England and Wales</x:v>
      </x:c>
      <x:c r="J2570" s="9" t="str">
        <x:v>Family Law</x:v>
      </x:c>
      <x:c r="K2570" s="9" t="str">
        <x:v>-ew-cases-EWCA-Civ-2014-565.xml</x:v>
      </x:c>
      <x:c r="L2570" s="9" t="str">
        <x:v>TBA</x:v>
      </x:c>
    </x:row>
    <x:row r="2571">
      <x:c r="A2571" t="str">
        <x:v>52e3fd44-8b90-412d-97e8-43a71120ae2d</x:v>
      </x:c>
      <x:c r="B2571" t="str">
        <x:v>c3097787-da28-43f5-8560-9fde3170f769</x:v>
      </x:c>
      <x:c r="C2571" s="9" t="str">
        <x:v>Re B (A Child) [2017] EWCA Civ 1579</x:v>
      </x:c>
      <x:c r="D2571" s="9" t="str"/>
      <x:c r="E2571" s="9" t="str"/>
      <x:c r="F2571" s="13" t="str">
        <x:v>2017</x:v>
      </x:c>
      <x:c r="G2571" s="9" t="str">
        <x:v>England and Wales Court of Appeal (Civil Division)</x:v>
      </x:c>
      <x:c r="H2571" s="9" t="str">
        <x:v>Appellate</x:v>
      </x:c>
      <x:c r="I2571" s="9" t="str">
        <x:v>England and Wales</x:v>
      </x:c>
      <x:c r="J2571" s="9" t="str">
        <x:v>Family Law</x:v>
      </x:c>
      <x:c r="K2571" s="9" t="str">
        <x:v>-ew-cases-EWCA-Civ-2017-1579.xml</x:v>
      </x:c>
      <x:c r="L2571" s="9" t="str">
        <x:v>TBA</x:v>
      </x:c>
    </x:row>
    <x:row r="2572">
      <x:c r="A2572" t="str">
        <x:v>e8054530-67eb-4fa7-895f-d9ae2291acab</x:v>
      </x:c>
      <x:c r="B2572" t="str">
        <x:v>a7fa874e-c969-4914-82c2-4d5a338f85bf</x:v>
      </x:c>
      <x:c r="C2572" s="9" t="str">
        <x:v>Re B (Child Evidence) [2014] EWCA Civ 1015</x:v>
      </x:c>
      <x:c r="D2572" s="9" t="str"/>
      <x:c r="E2572" s="9" t="str"/>
      <x:c r="F2572" s="13" t="str">
        <x:v>2014</x:v>
      </x:c>
      <x:c r="G2572" s="9" t="str">
        <x:v>England and Wales Court of Appeal (Civil Division)</x:v>
      </x:c>
      <x:c r="H2572" s="9" t="str">
        <x:v>Appellate</x:v>
      </x:c>
      <x:c r="I2572" s="9" t="str">
        <x:v>England and Wales</x:v>
      </x:c>
      <x:c r="J2572" s="9" t="str">
        <x:v>Family Law</x:v>
      </x:c>
      <x:c r="K2572" s="9" t="str">
        <x:v>-ew-cases-EWCA-Civ-2014-1015.xml</x:v>
      </x:c>
      <x:c r="L2572" s="9" t="str">
        <x:v>TBA</x:v>
      </x:c>
    </x:row>
    <x:row r="2573">
      <x:c r="A2573" t="str">
        <x:v>77ef5a47-624f-424d-87ff-35e72089e2c2</x:v>
      </x:c>
      <x:c r="B2573" t="str">
        <x:v>b383caac-fd7d-4c01-94ca-c0561c940109</x:v>
      </x:c>
      <x:c r="C2573" s="9" t="str">
        <x:v>Re B (Child) (Relocation: Sweden) [2015] EWCA Civ 286</x:v>
      </x:c>
      <x:c r="D2573" s="9" t="str"/>
      <x:c r="E2573" s="9" t="str"/>
      <x:c r="F2573" s="13" t="str">
        <x:v>2015</x:v>
      </x:c>
      <x:c r="G2573" s="9" t="str">
        <x:v>England and Wales Court of Appeal (Civil Division)</x:v>
      </x:c>
      <x:c r="H2573" s="9" t="str">
        <x:v>Appellate</x:v>
      </x:c>
      <x:c r="I2573" s="9" t="str">
        <x:v>England and Wales</x:v>
      </x:c>
      <x:c r="J2573" s="9" t="str">
        <x:v>Family Law</x:v>
      </x:c>
      <x:c r="K2573" s="9" t="str">
        <x:v>-ew-cases-EWCA-Civ-2015-286.xml</x:v>
      </x:c>
      <x:c r="L2573" s="9" t="str">
        <x:v>TBA</x:v>
      </x:c>
    </x:row>
    <x:row r="2574">
      <x:c r="A2574" t="str">
        <x:v>5b2f1081-6944-4773-b77c-dd134ea179c9</x:v>
      </x:c>
      <x:c r="B2574" t="str">
        <x:v>0a459137-be30-4a1f-a6fd-6ae657253699</x:v>
      </x:c>
      <x:c r="C2574" s="9" t="str">
        <x:v>Re B (Child) [2017] EWCA Civ 264: Court of Appeal Decision on Mother's Appeal Against Adoption Order</x:v>
      </x:c>
      <x:c r="D2574" s="9" t="str"/>
      <x:c r="E2574" s="9" t="str"/>
      <x:c r="F2574" s="13" t="str">
        <x:v>2017</x:v>
      </x:c>
      <x:c r="G2574" s="9" t="str">
        <x:v>England and Wales Court of Appeal (Civil Division)</x:v>
      </x:c>
      <x:c r="H2574" s="9" t="str">
        <x:v>Appellate</x:v>
      </x:c>
      <x:c r="I2574" s="9" t="str">
        <x:v>England and Wales</x:v>
      </x:c>
      <x:c r="J2574" s="9" t="str">
        <x:v>Family Law</x:v>
      </x:c>
      <x:c r="K2574" s="9" t="str">
        <x:v>-ew-cases-EWCA-Civ-2017-264.xml</x:v>
      </x:c>
      <x:c r="L2574" s="9" t="str">
        <x:v>TBA</x:v>
      </x:c>
    </x:row>
    <x:row r="2575">
      <x:c r="A2575" t="str">
        <x:v>87ff81a8-a7f6-4213-b641-a7872fa41a4d</x:v>
      </x:c>
      <x:c r="B2575" t="str">
        <x:v>56ae79e6-ad0c-4fa5-8200-d421b7885312</x:v>
      </x:c>
      <x:c r="C2575" s="9" t="str">
        <x:v>Re B (Children: Long Term Foster Care) [2014] EWCA Civ 1172</x:v>
      </x:c>
      <x:c r="D2575" s="9" t="str"/>
      <x:c r="E2575" s="9" t="str"/>
      <x:c r="F2575" s="13" t="str">
        <x:v>2014</x:v>
      </x:c>
      <x:c r="G2575" s="9" t="str">
        <x:v>England and Wales Court of Appeal (Civil Division)</x:v>
      </x:c>
      <x:c r="H2575" s="9" t="str">
        <x:v>Appellate</x:v>
      </x:c>
      <x:c r="I2575" s="9" t="str">
        <x:v>England and Wales</x:v>
      </x:c>
      <x:c r="J2575" s="9" t="str">
        <x:v>Family Law</x:v>
      </x:c>
      <x:c r="K2575" s="9" t="str">
        <x:v>-ew-cases-EWCA-Civ-2014-1172.xml</x:v>
      </x:c>
      <x:c r="L2575" s="9" t="str">
        <x:v>TBA</x:v>
      </x:c>
    </x:row>
    <x:row r="2576">
      <x:c r="A2576" t="str">
        <x:v>84288176-275f-4025-8c80-67efc2d3df18</x:v>
      </x:c>
      <x:c r="B2576" t="str">
        <x:v>b47f516d-ad2e-4917-8acd-6c8206ffb6c5</x:v>
      </x:c>
      <x:c r="C2576" s="9" t="str">
        <x:v>Re B (Children: Police Investigation) [2022] EWCA Civ 982</x:v>
      </x:c>
      <x:c r="D2576" s="9" t="str"/>
      <x:c r="E2576" s="9" t="str"/>
      <x:c r="F2576" s="13" t="str">
        <x:v>2022</x:v>
      </x:c>
      <x:c r="G2576" s="9" t="str">
        <x:v>England and Wales Court of Appeal (Civil Division)</x:v>
      </x:c>
      <x:c r="H2576" s="9" t="str">
        <x:v>Court of Appeal</x:v>
      </x:c>
      <x:c r="I2576" s="9" t="str">
        <x:v>England and Wales</x:v>
      </x:c>
      <x:c r="J2576" s="9" t="str">
        <x:v>Injunctions; Police powers; Private family law; Public law review</x:v>
      </x:c>
      <x:c r="K2576" s="9" t="str">
        <x:v>ew-cases-EWCA-Civ-2022-982.xml</x:v>
      </x:c>
      <x:c r="L2576" s="9" t="str">
        <x:v>TBA</x:v>
      </x:c>
    </x:row>
    <x:row r="2577">
      <x:c r="A2577" t="str">
        <x:v>88cc9648-4c1d-4aec-b59f-7cfec693ee52</x:v>
      </x:c>
      <x:c r="B2577" t="str">
        <x:v>9f4c40ce-6041-4321-9311-80fa5cf951bf</x:v>
      </x:c>
      <x:c r="C2577" s="9" t="str">
        <x:v>Re B (Children): Relocation and Enforcement of Child Custody Orders</x:v>
      </x:c>
      <x:c r="D2577" s="9" t="str"/>
      <x:c r="E2577" s="9" t="str"/>
      <x:c r="F2577" s="13" t="str">
        <x:v>2015</x:v>
      </x:c>
      <x:c r="G2577" s="9" t="str">
        <x:v>England and Wales Court of Appeal (Civil Division)</x:v>
      </x:c>
      <x:c r="H2577" s="9" t="str">
        <x:v>Appellate</x:v>
      </x:c>
      <x:c r="I2577" s="9" t="str">
        <x:v>England and Wales</x:v>
      </x:c>
      <x:c r="J2577" s="9" t="str">
        <x:v>Family Law</x:v>
      </x:c>
      <x:c r="K2577" s="9" t="str">
        <x:v>-ew-cases-EWCA-Civ-2015-1302.xml</x:v>
      </x:c>
      <x:c r="L2577" s="9" t="str">
        <x:v>TBA</x:v>
      </x:c>
    </x:row>
    <x:row r="2578">
      <x:c r="A2578" t="str">
        <x:v>58c1f517-0225-43e5-9338-058c4a8aeb92</x:v>
      </x:c>
      <x:c r="B2578" t="str">
        <x:v>6f8e16bb-dd48-43a8-9488-a6b4c017df40</x:v>
      </x:c>
      <x:c r="C2578" s="9" t="str">
        <x:v>Re C (A Child) - Procedural Requirements and Expert Evidence</x:v>
      </x:c>
      <x:c r="D2578" s="9" t="str"/>
      <x:c r="E2578" s="9" t="str"/>
      <x:c r="F2578" s="13" t="str">
        <x:v>2015</x:v>
      </x:c>
      <x:c r="G2578" s="9" t="str">
        <x:v>England and Wales Court of Appeal (Civil Division)</x:v>
      </x:c>
      <x:c r="H2578" s="9" t="str">
        <x:v>Appellate</x:v>
      </x:c>
      <x:c r="I2578" s="9" t="str">
        <x:v>England and Wales</x:v>
      </x:c>
      <x:c r="J2578" s="9" t="str">
        <x:v>Family Law</x:v>
      </x:c>
      <x:c r="K2578" s="9" t="str">
        <x:v>-ew-cases-EWCA-Civ-2015-539.xml</x:v>
      </x:c>
      <x:c r="L2578" s="9" t="str">
        <x:v>TBA</x:v>
      </x:c>
    </x:row>
    <x:row r="2579">
      <x:c r="A2579" t="str">
        <x:v>f4e393ea-a10d-4b08-8aea-06f9cc7a9aec</x:v>
      </x:c>
      <x:c r="B2579" t="str">
        <x:v>daaf5324-7276-4195-b70a-47828811bbb2</x:v>
      </x:c>
      <x:c r="C2579" s="9" t="str">
        <x:v>Re C (A Child) [2014] EWCA Civ 70: Appeal Against Placement Order</x:v>
      </x:c>
      <x:c r="D2579" s="9" t="str"/>
      <x:c r="E2579" s="9" t="str"/>
      <x:c r="F2579" s="13" t="str">
        <x:v>2014</x:v>
      </x:c>
      <x:c r="G2579" s="9" t="str">
        <x:v>England and Wales Court of Appeal (Civil Division)</x:v>
      </x:c>
      <x:c r="H2579" s="9" t="str">
        <x:v>Appellate</x:v>
      </x:c>
      <x:c r="I2579" s="9" t="str">
        <x:v>England and Wales</x:v>
      </x:c>
      <x:c r="J2579" s="9" t="str">
        <x:v>Family Law</x:v>
      </x:c>
      <x:c r="K2579" s="9" t="str">
        <x:v>-ew-cases-EWCA-Civ-2014-70.xml</x:v>
      </x:c>
      <x:c r="L2579" s="9" t="str">
        <x:v>TBA</x:v>
      </x:c>
    </x:row>
    <x:row r="2580">
      <x:c r="A2580" t="str">
        <x:v>b359d26d-ddb3-46fb-bfdf-faa35c696c93</x:v>
      </x:c>
      <x:c r="B2580" t="str">
        <x:v>e0906f25-0cd7-4de7-a8ee-0446391f9d74</x:v>
      </x:c>
      <x:c r="C2580" s="9" t="str">
        <x:v>Re C (A Child) [2015] EWCA Civ 221: Appeal on Care Orders</x:v>
      </x:c>
      <x:c r="D2580" s="9" t="str"/>
      <x:c r="E2580" s="9" t="str"/>
      <x:c r="F2580" s="13" t="str">
        <x:v>2015</x:v>
      </x:c>
      <x:c r="G2580" s="9" t="str">
        <x:v>England and Wales Court of Appeal (Civil Division)</x:v>
      </x:c>
      <x:c r="H2580" s="9" t="str">
        <x:v>Appellate</x:v>
      </x:c>
      <x:c r="I2580" s="9" t="str">
        <x:v>England and Wales</x:v>
      </x:c>
      <x:c r="J2580" s="9" t="str">
        <x:v>Family Law</x:v>
      </x:c>
      <x:c r="K2580" s="9" t="str">
        <x:v>-ew-cases-EWCA-Civ-2015-221.xml</x:v>
      </x:c>
      <x:c r="L2580" s="9" t="str">
        <x:v>TBA</x:v>
      </x:c>
    </x:row>
    <x:row r="2581">
      <x:c r="A2581" t="str">
        <x:v>ca900c09-d540-4951-a71d-7e985b1b36de</x:v>
      </x:c>
      <x:c r="B2581" t="str">
        <x:v>5333eb24-d770-4a80-a348-f314b2121734</x:v>
      </x:c>
      <x:c r="C2581" s="9" t="str">
        <x:v>Re C (Children) [2016] EWCA Civ 356</x:v>
      </x:c>
      <x:c r="D2581" s="9" t="str"/>
      <x:c r="E2581" s="9" t="str"/>
      <x:c r="F2581" s="13" t="str">
        <x:v>2016</x:v>
      </x:c>
      <x:c r="G2581" s="9" t="str">
        <x:v>England and Wales Court of Appeal (Civil Division)</x:v>
      </x:c>
      <x:c r="H2581" s="9" t="str">
        <x:v>Court of Appeal (Civil Division)</x:v>
      </x:c>
      <x:c r="I2581" s="9" t="str">
        <x:v>England and Wales</x:v>
      </x:c>
      <x:c r="J2581" s="9" t="str">
        <x:v>Family Law / Care Proceedings</x:v>
      </x:c>
      <x:c r="K2581" s="9" t="str">
        <x:v>-ew-cases-EWCA-Civ-2016-356.xml</x:v>
      </x:c>
      <x:c r="L2581" s="9" t="str">
        <x:v>TBA</x:v>
      </x:c>
    </x:row>
    <x:row r="2582">
      <x:c r="A2582" t="str">
        <x:v>ec5c6b21-0941-4171-a246-521dacbdba71</x:v>
      </x:c>
      <x:c r="B2582" t="str">
        <x:v>496d61b3-05a4-456e-97a8-15f105738364</x:v>
      </x:c>
      <x:c r="C2582" s="9" t="str">
        <x:v>Re C (children) [2016] EWCA Civ 374</x:v>
      </x:c>
      <x:c r="D2582" s="9" t="str"/>
      <x:c r="E2582" s="9" t="str"/>
      <x:c r="F2582" s="13" t="str">
        <x:v>2016</x:v>
      </x:c>
      <x:c r="G2582" s="9" t="str">
        <x:v>England and Wales Court of Appeal (Civil Division)</x:v>
      </x:c>
      <x:c r="H2582" s="9" t="str">
        <x:v>Court of Appeal (Civil Division)</x:v>
      </x:c>
      <x:c r="I2582" s="9" t="str">
        <x:v>England and Wales</x:v>
      </x:c>
      <x:c r="J2582" s="9" t="str">
        <x:v>Civil Appeal, Family Law</x:v>
      </x:c>
      <x:c r="K2582" s="9" t="str">
        <x:v>-ew-cases-EWCA-Civ-2016-374.xml</x:v>
      </x:c>
      <x:c r="L2582" s="9" t="str">
        <x:v>TBA</x:v>
      </x:c>
    </x:row>
    <x:row r="2583">
      <x:c r="A2583" t="str">
        <x:v>003e3f5c-452b-42a5-936b-17d78b0509ef</x:v>
      </x:c>
      <x:c r="B2583" t="str">
        <x:v>133341b7-ba5a-4777-b253-6559a1e6f15c</x:v>
      </x:c>
      <x:c r="C2583" s="9" t="str">
        <x:v>Re C (Internal Relocation) [2015] EWCA Civ 1305</x:v>
      </x:c>
      <x:c r="D2583" s="9" t="str"/>
      <x:c r="E2583" s="9" t="str"/>
      <x:c r="F2583" s="13" t="str">
        <x:v>2015</x:v>
      </x:c>
      <x:c r="G2583" s="9" t="str">
        <x:v>England and Wales Court of Appeal (Civil Division)</x:v>
      </x:c>
      <x:c r="H2583" s="9" t="str">
        <x:v>Appellate</x:v>
      </x:c>
      <x:c r="I2583" s="9" t="str">
        <x:v>England and Wales</x:v>
      </x:c>
      <x:c r="J2583" s="9" t="str">
        <x:v>Family Law</x:v>
      </x:c>
      <x:c r="K2583" s="9" t="str">
        <x:v>-ew-cases-EWCA-Civ-2015-1305.xml</x:v>
      </x:c>
      <x:c r="L2583" s="9" t="str">
        <x:v>TBA</x:v>
      </x:c>
    </x:row>
    <x:row r="2584">
      <x:c r="A2584" t="str">
        <x:v>cac6180e-f8ae-4429-a658-297d56d18f1d</x:v>
      </x:c>
      <x:c r="B2584" t="str">
        <x:v>63e66053-83cb-4c25-98e4-c89ec5c6f2c7</x:v>
      </x:c>
      <x:c r="C2584" s="9" t="str">
        <x:v>Re C (N, W &amp; H) [2014] EWCA Civ 705: Appeal Against Mother's Relocation Plan to Brazil</x:v>
      </x:c>
      <x:c r="D2584" s="9" t="str"/>
      <x:c r="E2584" s="9" t="str"/>
      <x:c r="F2584" s="13" t="str">
        <x:v>2014</x:v>
      </x:c>
      <x:c r="G2584" s="9" t="str">
        <x:v>England and Wales Court of Appeal (Civil Division)</x:v>
      </x:c>
      <x:c r="H2584" s="9" t="str">
        <x:v>Appellate</x:v>
      </x:c>
      <x:c r="I2584" s="9" t="str">
        <x:v>England and Wales</x:v>
      </x:c>
      <x:c r="J2584" s="9" t="str">
        <x:v>Family Law</x:v>
      </x:c>
      <x:c r="K2584" s="9" t="str">
        <x:v>-ew-cases-EWCA-Civ-2014-705.xml</x:v>
      </x:c>
      <x:c r="L2584" s="9" t="str">
        <x:v>TBA</x:v>
      </x:c>
    </x:row>
    <x:row r="2585">
      <x:c r="A2585" t="str">
        <x:v>9b9c6a85-de90-47dc-84e0-f93e1377ee3d</x:v>
      </x:c>
      <x:c r="B2585" t="str">
        <x:v>6cda392e-fed3-42d5-977a-dba0148501b9</x:v>
      </x:c>
      <x:c r="C2585" s="9" t="str">
        <x:v>Re C (Surrogacy: Consent) [2023] EWCA Civ 16</x:v>
      </x:c>
      <x:c r="D2585" s="9" t="str"/>
      <x:c r="E2585" s="9" t="str"/>
      <x:c r="F2585" s="13" t="str">
        <x:v>2023</x:v>
      </x:c>
      <x:c r="G2585" s="9" t="str">
        <x:v>England and Wales Court of Appeal (Civil Division)</x:v>
      </x:c>
      <x:c r="H2585" s="9" t="str">
        <x:v>Court of Appeal (Civil Division)</x:v>
      </x:c>
      <x:c r="I2585" s="9" t="str">
        <x:v>England and Wales</x:v>
      </x:c>
      <x:c r="J2585" s="9" t="str">
        <x:v>Family Law (Surrogacy, Parental Orders)</x:v>
      </x:c>
      <x:c r="K2585" s="9" t="str">
        <x:v>ew-cases-EWCA-Civ-2023-16.xml</x:v>
      </x:c>
      <x:c r="L2585" s="9" t="str">
        <x:v>TBA</x:v>
      </x:c>
    </x:row>
    <x:row r="2586">
      <x:c r="A2586" t="str">
        <x:v>9380a142-ebb4-4c43-be7c-e685b65ab617</x:v>
      </x:c>
      <x:c r="B2586" t="str">
        <x:v>d3cc6a40-82be-40ab-9afc-e017ee0e3602</x:v>
      </x:c>
      <x:c r="C2586" s="9" t="str">
        <x:v>Re C-W (A Child) [2015] EWCA Civ 1272</x:v>
      </x:c>
      <x:c r="D2586" s="9" t="str"/>
      <x:c r="E2586" s="9" t="str"/>
      <x:c r="F2586" s="13" t="str">
        <x:v>2015</x:v>
      </x:c>
      <x:c r="G2586" s="9" t="str">
        <x:v>England and Wales Court of Appeal (Civil Division)</x:v>
      </x:c>
      <x:c r="H2586" s="9" t="str">
        <x:v>Appellate</x:v>
      </x:c>
      <x:c r="I2586" s="9" t="str">
        <x:v>England and Wales</x:v>
      </x:c>
      <x:c r="J2586" s="9" t="str">
        <x:v>Family Law</x:v>
      </x:c>
      <x:c r="K2586" s="9" t="str">
        <x:v>-ew-cases-EWCA-Civ-2015-1272.xml</x:v>
      </x:c>
      <x:c r="L2586" s="9" t="str">
        <x:v>TBA</x:v>
      </x:c>
    </x:row>
    <x:row r="2587">
      <x:c r="A2587" t="str">
        <x:v>4822b433-aa51-404a-bef7-c91dbef45be1</x:v>
      </x:c>
      <x:c r="B2587" t="str">
        <x:v>11d55bbc-5f61-44c1-956b-ee923813bee8</x:v>
      </x:c>
      <x:c r="C2587" s="9" t="str">
        <x:v>Re D (A Child) [2015] EWCA Civ 829: Child Arrangements Order Appeal</x:v>
      </x:c>
      <x:c r="D2587" s="9" t="str"/>
      <x:c r="E2587" s="9" t="str"/>
      <x:c r="F2587" s="13" t="str">
        <x:v>2015</x:v>
      </x:c>
      <x:c r="G2587" s="9" t="str">
        <x:v>England and Wales Court of Appeal (Civil Division)</x:v>
      </x:c>
      <x:c r="H2587" s="9" t="str">
        <x:v>Appellate</x:v>
      </x:c>
      <x:c r="I2587" s="9" t="str">
        <x:v>England and Wales</x:v>
      </x:c>
      <x:c r="J2587" s="9" t="str">
        <x:v>Family Law</x:v>
      </x:c>
      <x:c r="K2587" s="9" t="str">
        <x:v>-ew-cases-EWCA-Civ-2015-829.xml</x:v>
      </x:c>
      <x:c r="L2587" s="9" t="str">
        <x:v>TBA</x:v>
      </x:c>
    </x:row>
    <x:row r="2588">
      <x:c r="A2588" t="str">
        <x:v>e7f26330-5c94-4b12-9630-541c56503412</x:v>
      </x:c>
      <x:c r="B2588" t="str">
        <x:v>d0bf3fa3-0400-4056-aff0-a728d5f24e3d</x:v>
      </x:c>
      <x:c r="C2588" s="9" t="str">
        <x:v>Re D (Children) [2015] EWCA Civ 703</x:v>
      </x:c>
      <x:c r="D2588" s="9" t="str"/>
      <x:c r="E2588" s="9" t="str"/>
      <x:c r="F2588" s="13" t="str">
        <x:v>2015</x:v>
      </x:c>
      <x:c r="G2588" s="9" t="str">
        <x:v>England and Wales Court of Appeal (Civil Division)</x:v>
      </x:c>
      <x:c r="H2588" s="9" t="str">
        <x:v>Appellate</x:v>
      </x:c>
      <x:c r="I2588" s="9" t="str">
        <x:v>England and Wales</x:v>
      </x:c>
      <x:c r="J2588" s="9" t="str">
        <x:v>Family Law</x:v>
      </x:c>
      <x:c r="K2588" s="9" t="str">
        <x:v>-ew-cases-EWCA-Civ-2015-703.xml</x:v>
      </x:c>
      <x:c r="L2588" s="9" t="str">
        <x:v>TBA</x:v>
      </x:c>
    </x:row>
    <x:row r="2589">
      <x:c r="A2589" t="str">
        <x:v>99192825-b5a7-47c8-bb38-9080dac4d148</x:v>
      </x:c>
      <x:c r="B2589" t="str">
        <x:v>10931fe5-58fc-490f-97f7-566321217052</x:v>
      </x:c>
      <x:c r="C2589" s="9" t="str">
        <x:v>Re D (Children) [2015] EWCA Civ 749</x:v>
      </x:c>
      <x:c r="D2589" s="9" t="str"/>
      <x:c r="E2589" s="9" t="str"/>
      <x:c r="F2589" s="13" t="str">
        <x:v>2015</x:v>
      </x:c>
      <x:c r="G2589" s="9" t="str">
        <x:v>England and Wales Court of Appeal (Civil Division)</x:v>
      </x:c>
      <x:c r="H2589" s="9" t="str">
        <x:v>Appellate</x:v>
      </x:c>
      <x:c r="I2589" s="9" t="str">
        <x:v>England and Wales</x:v>
      </x:c>
      <x:c r="J2589" s="9" t="str">
        <x:v>Family Law</x:v>
      </x:c>
      <x:c r="K2589" s="9" t="str">
        <x:v>-ew-cases-EWCA-Civ-2015-749.xml</x:v>
      </x:c>
      <x:c r="L2589" s="9" t="str">
        <x:v>TBA</x:v>
      </x:c>
    </x:row>
    <x:row r="2590">
      <x:c r="A2590" t="str">
        <x:v>be450ac0-d9a3-4ee7-b16a-208e064def4a</x:v>
      </x:c>
      <x:c r="B2590" t="str">
        <x:v>73666d01-0dae-4b4c-bc2e-18aa02424497</x:v>
      </x:c>
      <x:c r="C2590" s="9" t="str">
        <x:v>Re E-R (A Child) [2015] EWCA Civ 405</x:v>
      </x:c>
      <x:c r="D2590" s="9" t="str"/>
      <x:c r="E2590" s="9" t="str"/>
      <x:c r="F2590" s="13" t="str">
        <x:v>2015</x:v>
      </x:c>
      <x:c r="G2590" s="9" t="str">
        <x:v>England and Wales Court of Appeal (Civil Division)</x:v>
      </x:c>
      <x:c r="H2590" s="9" t="str">
        <x:v>Appellate</x:v>
      </x:c>
      <x:c r="I2590" s="9" t="str">
        <x:v>England and Wales</x:v>
      </x:c>
      <x:c r="J2590" s="9" t="str">
        <x:v>Family Law</x:v>
      </x:c>
      <x:c r="K2590" s="9" t="str">
        <x:v>-ew-cases-EWCA-Civ-2015-405.xml</x:v>
      </x:c>
      <x:c r="L2590" s="9" t="str">
        <x:v>TBA</x:v>
      </x:c>
    </x:row>
    <x:row r="2591">
      <x:c r="A2591" t="str">
        <x:v>0a5a54be-0411-4018-a161-dc3c185e8308</x:v>
      </x:c>
      <x:c r="B2591" t="str">
        <x:v>d2f3c96b-6b7a-42f6-8673-613201b6292d</x:v>
      </x:c>
      <x:c r="C2591" s="9" t="str">
        <x:v>Re F (A Child) [2014] EWCA Civ 789</x:v>
      </x:c>
      <x:c r="D2591" s="9" t="str"/>
      <x:c r="E2591" s="9" t="str"/>
      <x:c r="F2591" s="13" t="str">
        <x:v>2014</x:v>
      </x:c>
      <x:c r="G2591" s="9" t="str">
        <x:v>England and Wales Court of Appeal (Civil Division)</x:v>
      </x:c>
      <x:c r="H2591" s="9" t="str">
        <x:v>Appellate</x:v>
      </x:c>
      <x:c r="I2591" s="9" t="str">
        <x:v>England and Wales</x:v>
      </x:c>
      <x:c r="J2591" s="9" t="str">
        <x:v>Family Law</x:v>
      </x:c>
      <x:c r="K2591" s="9" t="str">
        <x:v>-ew-cases-EWCA-Civ-2014-789.xml</x:v>
      </x:c>
      <x:c r="L2591" s="9" t="str">
        <x:v>TBA</x:v>
      </x:c>
    </x:row>
    <x:row r="2592">
      <x:c r="A2592" t="str">
        <x:v>6439c0f4-9fb7-4d39-aef3-a60236ba928e</x:v>
      </x:c>
      <x:c r="B2592" t="str">
        <x:v>a890e8bd-8e99-4d03-ab20-2c6bcd9c8f94</x:v>
      </x:c>
      <x:c r="C2592" s="9" t="str">
        <x:v>Re F (Children) [2016] EWCA Civ 546</x:v>
      </x:c>
      <x:c r="D2592" s="9" t="str"/>
      <x:c r="E2592" s="9" t="str"/>
      <x:c r="F2592" s="13" t="str">
        <x:v>2016</x:v>
      </x:c>
      <x:c r="G2592" s="9" t="str">
        <x:v>England and Wales Court of Appeal (Civil Division)</x:v>
      </x:c>
      <x:c r="H2592" s="9" t="str">
        <x:v>Court of Appeal (Civil Division)</x:v>
      </x:c>
      <x:c r="I2592" s="9" t="str">
        <x:v>England and Wales</x:v>
      </x:c>
      <x:c r="J2592" s="9" t="str">
        <x:v>International family law; Hague Abduction</x:v>
      </x:c>
      <x:c r="K2592" s="9" t="str">
        <x:v>-ew-cases-EWCA-Civ-2016-546.xml</x:v>
      </x:c>
      <x:c r="L2592" s="9" t="str">
        <x:v>TBA</x:v>
      </x:c>
    </x:row>
    <x:row r="2593">
      <x:c r="A2593" t="str">
        <x:v>f109f26f-d20d-4636-8562-b55084a0238d</x:v>
      </x:c>
      <x:c r="B2593" t="str">
        <x:v>d88dd451-fdc8-4f02-8035-422083c48ee7</x:v>
      </x:c>
      <x:c r="C2593" s="9" t="str">
        <x:v>Re G (Abduction: Consent/Discretion) [2021] EWCA Civ 139</x:v>
      </x:c>
      <x:c r="D2593" s="9" t="str"/>
      <x:c r="E2593" s="9" t="str"/>
      <x:c r="F2593" s="13" t="str">
        <x:v>2021</x:v>
      </x:c>
      <x:c r="G2593" s="9" t="str">
        <x:v>England and Wales Court of Appeal (Civil Division)</x:v>
      </x:c>
      <x:c r="H2593" s="9" t="str">
        <x:v>Appellate</x:v>
      </x:c>
      <x:c r="I2593" s="9" t="str">
        <x:v>England and Wales</x:v>
      </x:c>
      <x:c r="J2593" s="9" t="str">
        <x:v>Family Law</x:v>
      </x:c>
      <x:c r="K2593" s="9" t="str">
        <x:v>ew-cases-EWCA-Civ-2021-139.xml</x:v>
      </x:c>
      <x:c r="L2593" s="9" t="str">
        <x:v>TBA</x:v>
      </x:c>
    </x:row>
    <x:row r="2594">
      <x:c r="A2594" t="str">
        <x:v>33daff95-b9a5-4792-ae09-3737da7ed469</x:v>
      </x:c>
      <x:c r="B2594" t="str">
        <x:v>c7c66f15-53ff-4e38-b7de-96a291999c2c</x:v>
      </x:c>
      <x:c r="C2594" s="9" t="str">
        <x:v>Re G (Children), 2014 EWCA Civ 336: Shared Residence Order and Parental Responsibility</x:v>
      </x:c>
      <x:c r="D2594" s="9" t="str"/>
      <x:c r="E2594" s="9" t="str"/>
      <x:c r="F2594" s="13" t="str">
        <x:v>2014</x:v>
      </x:c>
      <x:c r="G2594" s="9" t="str">
        <x:v>England and Wales Court of Appeal (Civil Division)</x:v>
      </x:c>
      <x:c r="H2594" s="9" t="str">
        <x:v>Appellate</x:v>
      </x:c>
      <x:c r="I2594" s="9" t="str">
        <x:v>England and Wales</x:v>
      </x:c>
      <x:c r="J2594" s="9" t="str">
        <x:v>Family Law</x:v>
      </x:c>
      <x:c r="K2594" s="9" t="str">
        <x:v>-ew-cases-EWCA-Civ-2014-336.xml</x:v>
      </x:c>
      <x:c r="L2594" s="9" t="str">
        <x:v>TBA</x:v>
      </x:c>
    </x:row>
    <x:row r="2595">
      <x:c r="A2595" t="str">
        <x:v>12bf6555-801f-410b-8202-ac14b8f6e004</x:v>
      </x:c>
      <x:c r="B2595" t="str">
        <x:v>48610ba0-2dab-45cf-813f-3e54d7ebb2ba</x:v>
      </x:c>
      <x:c r="C2595" s="9" t="str">
        <x:v>Re H (A Child: Surrogacy Breakdown) [2017] EWCA Civ 1798</x:v>
      </x:c>
      <x:c r="D2595" s="9" t="str"/>
      <x:c r="E2595" s="9" t="str"/>
      <x:c r="F2595" s="13" t="str">
        <x:v>2017</x:v>
      </x:c>
      <x:c r="G2595" s="9" t="str">
        <x:v>England and Wales Court of Appeal (Civil Division)</x:v>
      </x:c>
      <x:c r="H2595" s="9" t="str">
        <x:v>Appellate</x:v>
      </x:c>
      <x:c r="I2595" s="9" t="str">
        <x:v>England and Wales</x:v>
      </x:c>
      <x:c r="J2595" s="9" t="str">
        <x:v>Family Law / Child Custody</x:v>
      </x:c>
      <x:c r="K2595" s="9" t="str">
        <x:v>-ew-cases-EWCA-Civ-2017-1798.xml</x:v>
      </x:c>
      <x:c r="L2595" s="9" t="str">
        <x:v>TBA</x:v>
      </x:c>
    </x:row>
    <x:row r="2596">
      <x:c r="A2596" t="str">
        <x:v>a6f6fd90-dafd-4438-b31d-45d3bb927fe6</x:v>
      </x:c>
      <x:c r="B2596" t="str">
        <x:v>50e1e5bd-7e29-4805-9f85-faa481208508</x:v>
      </x:c>
      <x:c r="C2596" s="9" t="str">
        <x:v>Re H (Children: Findings of Fact) [2021] EWCA Civ 319</x:v>
      </x:c>
      <x:c r="D2596" s="9" t="str"/>
      <x:c r="E2596" s="9" t="str"/>
      <x:c r="F2596" s="13" t="str">
        <x:v>2021</x:v>
      </x:c>
      <x:c r="G2596" s="9" t="str">
        <x:v>England and Wales Court of Appeal (Civil Division)</x:v>
      </x:c>
      <x:c r="H2596" s="9" t="str">
        <x:v>Appellate</x:v>
      </x:c>
      <x:c r="I2596" s="9" t="str">
        <x:v>England and Wales</x:v>
      </x:c>
      <x:c r="J2596" s="9" t="str">
        <x:v>Family Law</x:v>
      </x:c>
      <x:c r="K2596" s="9" t="str">
        <x:v>ew-cases-EWCA-Civ-2021-319.xml</x:v>
      </x:c>
      <x:c r="L2596" s="9" t="str">
        <x:v>TBA</x:v>
      </x:c>
    </x:row>
    <x:row r="2597">
      <x:c r="A2597" t="str">
        <x:v>725c43c3-7259-4722-b012-3e34f97d5561</x:v>
      </x:c>
      <x:c r="B2597" t="str">
        <x:v>994b2872-f2d8-47ef-8cfd-d763859cc151</x:v>
      </x:c>
      <x:c r="C2597" s="9" t="str">
        <x:v>Re H (Jurisdiction) [2014] EWCA Civ 1101</x:v>
      </x:c>
      <x:c r="D2597" s="9" t="str"/>
      <x:c r="E2597" s="9" t="str"/>
      <x:c r="F2597" s="13" t="str">
        <x:v>2014</x:v>
      </x:c>
      <x:c r="G2597" s="9" t="str">
        <x:v>England and Wales Court of Appeal (Civil Division)</x:v>
      </x:c>
      <x:c r="H2597" s="9" t="str">
        <x:v>Appellate</x:v>
      </x:c>
      <x:c r="I2597" s="9" t="str">
        <x:v>England and Wales</x:v>
      </x:c>
      <x:c r="J2597" s="9" t="str">
        <x:v>Family Law</x:v>
      </x:c>
      <x:c r="K2597" s="9" t="str">
        <x:v>-ew-cases-EWCA-Civ-2014-1101.xml</x:v>
      </x:c>
      <x:c r="L2597" s="9" t="str">
        <x:v>TBA</x:v>
      </x:c>
    </x:row>
    <x:row r="2598">
      <x:c r="A2598" t="str">
        <x:v>2bf72338-5d11-4744-b782-d9ae89f0a2b7</x:v>
      </x:c>
      <x:c r="B2598" t="str">
        <x:v>6242e6ce-339a-4769-add2-ee51313abb4f</x:v>
      </x:c>
      <x:c r="C2598" s="9" t="str">
        <x:v>Re H-B (Contact) [2015] EWCA Civ 389</x:v>
      </x:c>
      <x:c r="D2598" s="9" t="str"/>
      <x:c r="E2598" s="9" t="str"/>
      <x:c r="F2598" s="13" t="str">
        <x:v>2015</x:v>
      </x:c>
      <x:c r="G2598" s="9" t="str">
        <x:v>England and Wales Court of Appeal (Civil Division)</x:v>
      </x:c>
      <x:c r="H2598" s="9" t="str">
        <x:v>Appellate</x:v>
      </x:c>
      <x:c r="I2598" s="9" t="str">
        <x:v>England and Wales</x:v>
      </x:c>
      <x:c r="J2598" s="9" t="str">
        <x:v>Family Law</x:v>
      </x:c>
      <x:c r="K2598" s="9" t="str">
        <x:v>-ew-cases-EWCA-Civ-2015-389.xml</x:v>
      </x:c>
      <x:c r="L2598" s="9" t="str">
        <x:v>TBA</x:v>
      </x:c>
    </x:row>
    <x:row r="2599">
      <x:c r="A2599" t="str">
        <x:v>d4e64163-b084-401b-a6bf-39ab355ada28</x:v>
      </x:c>
      <x:c r="B2599" t="str">
        <x:v>57582b43-19e1-49e5-938f-20bc3051b96f</x:v>
      </x:c>
      <x:c r="C2599" s="9" t="str">
        <x:v>Re H-W (Child) [2017] EWCA Civ 154</x:v>
      </x:c>
      <x:c r="D2599" s="9" t="str"/>
      <x:c r="E2599" s="9" t="str"/>
      <x:c r="F2599" s="13" t="str">
        <x:v>2017</x:v>
      </x:c>
      <x:c r="G2599" s="9" t="str">
        <x:v>England and Wales Court of Appeal (Civil Division)</x:v>
      </x:c>
      <x:c r="H2599" s="9" t="str">
        <x:v>Appellate</x:v>
      </x:c>
      <x:c r="I2599" s="9" t="str">
        <x:v>England and Wales</x:v>
      </x:c>
      <x:c r="J2599" s="9" t="str">
        <x:v>Family Law</x:v>
      </x:c>
      <x:c r="K2599" s="9" t="str">
        <x:v>-ew-cases-EWCA-Civ-2017-154.xml</x:v>
      </x:c>
      <x:c r="L2599" s="9" t="str">
        <x:v>TBA</x:v>
      </x:c>
    </x:row>
    <x:row r="2600">
      <x:c r="A2600" t="str">
        <x:v>d7f4ef39-4d97-48d4-a2dd-543d17075782</x:v>
      </x:c>
      <x:c r="B2600" t="str">
        <x:v>8bcf97fa-e23e-4385-aad9-742a41ca8cab</x:v>
      </x:c>
      <x:c r="C2600" s="9" t="str">
        <x:v>RE J (A Child) (1996 Hague Convention) (Morocco) [2015] EWCA Civ 329</x:v>
      </x:c>
      <x:c r="D2600" s="9" t="str"/>
      <x:c r="E2600" s="9" t="str"/>
      <x:c r="F2600" s="13" t="str">
        <x:v>2015</x:v>
      </x:c>
      <x:c r="G2600" s="9" t="str">
        <x:v>England and Wales Court of Appeal (Civil Division)</x:v>
      </x:c>
      <x:c r="H2600" s="9" t="str">
        <x:v>Appellate</x:v>
      </x:c>
      <x:c r="I2600" s="9" t="str">
        <x:v>England and Wales</x:v>
      </x:c>
      <x:c r="J2600" s="9" t="str">
        <x:v>Family Law</x:v>
      </x:c>
      <x:c r="K2600" s="9" t="str">
        <x:v>-ew-cases-EWCA-Civ-2015-329.xml</x:v>
      </x:c>
      <x:c r="L2600" s="9" t="str">
        <x:v>TBA</x:v>
      </x:c>
    </x:row>
    <x:row r="2601">
      <x:c r="A2601" t="str">
        <x:v>9f301feb-e496-414d-b421-d51bc3368cc1</x:v>
      </x:c>
      <x:c r="B2601" t="str">
        <x:v>c5d4f7fc-919c-4447-acb7-21a68457cacd</x:v>
      </x:c>
      <x:c r="C2601" s="9" t="str">
        <x:v>Re J (A Child) (Finland) (Habitual Residence) [2017] EWCA Civ 80</x:v>
      </x:c>
      <x:c r="D2601" s="9" t="str"/>
      <x:c r="E2601" s="9" t="str"/>
      <x:c r="F2601" s="13" t="str">
        <x:v>2017</x:v>
      </x:c>
      <x:c r="G2601" s="9" t="str">
        <x:v>England and Wales Court of Appeal (Civil Division)</x:v>
      </x:c>
      <x:c r="H2601" s="9" t="str">
        <x:v>Appellate</x:v>
      </x:c>
      <x:c r="I2601" s="9" t="str">
        <x:v>England and Wales</x:v>
      </x:c>
      <x:c r="J2601" s="9" t="str">
        <x:v>Family Law</x:v>
      </x:c>
      <x:c r="K2601" s="9" t="str">
        <x:v>-ew-cases-EWCA-Civ-2017-80.xml</x:v>
      </x:c>
      <x:c r="L2601" s="9" t="str">
        <x:v>TBA</x:v>
      </x:c>
    </x:row>
    <x:row r="2602">
      <x:c r="A2602" t="str">
        <x:v>4e1fdc50-d3ab-4823-be30-30d6a3596fc3</x:v>
      </x:c>
      <x:c r="B2602" t="str">
        <x:v>5131d81a-bfaa-423a-91bc-3f84154348b9</x:v>
      </x:c>
      <x:c r="C2602" s="9" t="str">
        <x:v>Re J (A Child) [2014] EWCA Civ 875 - Appeal Judgment</x:v>
      </x:c>
      <x:c r="D2602" s="9" t="str"/>
      <x:c r="E2602" s="9" t="str"/>
      <x:c r="F2602" s="13" t="str">
        <x:v>2014</x:v>
      </x:c>
      <x:c r="G2602" s="9" t="str">
        <x:v>England and Wales Court of Appeal (Civil Division)</x:v>
      </x:c>
      <x:c r="H2602" s="9" t="str">
        <x:v>Appellate</x:v>
      </x:c>
      <x:c r="I2602" s="9" t="str">
        <x:v>England and Wales</x:v>
      </x:c>
      <x:c r="J2602" s="9" t="str">
        <x:v>Family Law</x:v>
      </x:c>
      <x:c r="K2602" s="9" t="str">
        <x:v>-ew-cases-EWCA-Civ-2014-875.xml</x:v>
      </x:c>
      <x:c r="L2602" s="9" t="str">
        <x:v>TBA</x:v>
      </x:c>
    </x:row>
    <x:row r="2603">
      <x:c r="A2603" t="str">
        <x:v>91afe029-fe08-475b-a3a8-453992636973</x:v>
      </x:c>
      <x:c r="B2603" t="str">
        <x:v>9b8ceaa1-8f8b-460b-8fa7-2e452fe1162b</x:v>
      </x:c>
      <x:c r="C2603" s="9" t="str">
        <x:v>Re K (1980 Hague Convention) (Lithuania) [2015] EWCA Civ 720</x:v>
      </x:c>
      <x:c r="D2603" s="9" t="str"/>
      <x:c r="E2603" s="9" t="str"/>
      <x:c r="F2603" s="13" t="str">
        <x:v>2015</x:v>
      </x:c>
      <x:c r="G2603" s="9" t="str">
        <x:v>England and Wales Court of Appeal (Civil Division)</x:v>
      </x:c>
      <x:c r="H2603" s="9" t="str">
        <x:v>Appellate</x:v>
      </x:c>
      <x:c r="I2603" s="9" t="str">
        <x:v>England and Wales</x:v>
      </x:c>
      <x:c r="J2603" s="9" t="str">
        <x:v>International Child Abduction</x:v>
      </x:c>
      <x:c r="K2603" s="9" t="str">
        <x:v>-ew-cases-EWCA-Civ-2015-720.xml</x:v>
      </x:c>
      <x:c r="L2603" s="9" t="str">
        <x:v>TBA</x:v>
      </x:c>
    </x:row>
    <x:row r="2604">
      <x:c r="A2604" t="str">
        <x:v>40a8dc13-d39e-4a9e-ae27-aa570892b892</x:v>
      </x:c>
      <x:c r="B2604" t="str">
        <x:v>6bfeca58-0e88-4ad8-9b93-77aca7ad6c68</x:v>
      </x:c>
      <x:c r="C2604" s="9" t="str">
        <x:v>Re K and H (Children) [2015] EWCA Civ 543</x:v>
      </x:c>
      <x:c r="D2604" s="9" t="str"/>
      <x:c r="E2604" s="9" t="str"/>
      <x:c r="F2604" s="13" t="str">
        <x:v>2015</x:v>
      </x:c>
      <x:c r="G2604" s="9" t="str">
        <x:v>England and Wales Court of Appeal (Civil Division)</x:v>
      </x:c>
      <x:c r="H2604" s="9" t="str">
        <x:v>Appellate</x:v>
      </x:c>
      <x:c r="I2604" s="9" t="str">
        <x:v>England and Wales</x:v>
      </x:c>
      <x:c r="J2604" s="9" t="str">
        <x:v>Family Law</x:v>
      </x:c>
      <x:c r="K2604" s="9" t="str">
        <x:v>-ew-cases-EWCA-Civ-2015-543.xml</x:v>
      </x:c>
      <x:c r="L2604" s="9" t="str">
        <x:v>TBA</x:v>
      </x:c>
    </x:row>
    <x:row r="2605">
      <x:c r="A2605" t="str">
        <x:v>f81b260d-2f2a-42ba-928f-4212d6bdf6a7</x:v>
      </x:c>
      <x:c r="B2605" t="str">
        <x:v>431833af-3e24-4352-bf92-8a2fe4547ad6</x:v>
      </x:c>
      <x:c r="C2605" s="9" t="str">
        <x:v>Re KP [2014] EWCA Civ 554 - Child Abduction Case</x:v>
      </x:c>
      <x:c r="D2605" s="9" t="str"/>
      <x:c r="E2605" s="9" t="str"/>
      <x:c r="F2605" s="13" t="str">
        <x:v>2014</x:v>
      </x:c>
      <x:c r="G2605" s="9" t="str">
        <x:v>England and Wales Court of Appeal (Civil Division)</x:v>
      </x:c>
      <x:c r="H2605" s="9" t="str">
        <x:v>Appellate</x:v>
      </x:c>
      <x:c r="I2605" s="9" t="str">
        <x:v>England and Wales</x:v>
      </x:c>
      <x:c r="J2605" s="9" t="str">
        <x:v>Family Law</x:v>
      </x:c>
      <x:c r="K2605" s="9" t="str">
        <x:v>-ew-cases-EWCA-Civ-2014-554.xml</x:v>
      </x:c>
      <x:c r="L2605" s="9" t="str">
        <x:v>TBA</x:v>
      </x:c>
    </x:row>
    <x:row r="2606">
      <x:c r="A2606" t="str">
        <x:v>dc543697-3cb6-4799-baf4-217bae0ebb01</x:v>
      </x:c>
      <x:c r="B2606" t="str">
        <x:v>897af7ec-93dd-4080-a5e4-052b70da9be7</x:v>
      </x:c>
      <x:c r="C2606" s="9" t="str">
        <x:v>Re L (A Child: Step-Parent Adoption) [2021] EWCA Civ 801</x:v>
      </x:c>
      <x:c r="D2606" s="9" t="str"/>
      <x:c r="E2606" s="9" t="str"/>
      <x:c r="F2606" s="13" t="str">
        <x:v>2021</x:v>
      </x:c>
      <x:c r="G2606" s="9" t="str">
        <x:v>England and Wales Court of Appeal (Civil Division)</x:v>
      </x:c>
      <x:c r="H2606" s="9" t="str">
        <x:v>Appellate</x:v>
      </x:c>
      <x:c r="I2606" s="9" t="str">
        <x:v>England and Wales</x:v>
      </x:c>
      <x:c r="J2606" s="9" t="str">
        <x:v>Family Law</x:v>
      </x:c>
      <x:c r="K2606" s="9" t="str">
        <x:v>ew-cases-EWCA-Civ-2021-801.xml</x:v>
      </x:c>
      <x:c r="L2606" s="9" t="str">
        <x:v>TBA</x:v>
      </x:c>
    </x:row>
    <x:row r="2607">
      <x:c r="A2607" t="str">
        <x:v>e7599d1a-fd2f-4da3-a1d2-ce8789977482</x:v>
      </x:c>
      <x:c r="B2607" t="str">
        <x:v>00866a79-ad67-4e4e-ba61-1993c35d5d66</x:v>
      </x:c>
      <x:c r="C2607" s="9" t="str">
        <x:v>Re L (Children) [2017] EWCA Civ 1137</x:v>
      </x:c>
      <x:c r="D2607" s="9" t="str"/>
      <x:c r="E2607" s="9" t="str"/>
      <x:c r="F2607" s="13" t="str">
        <x:v>2017</x:v>
      </x:c>
      <x:c r="G2607" s="9" t="str">
        <x:v>England and Wales Court of Appeal (Civil Division)</x:v>
      </x:c>
      <x:c r="H2607" s="9" t="str">
        <x:v>Appellate</x:v>
      </x:c>
      <x:c r="I2607" s="9" t="str">
        <x:v>England and Wales</x:v>
      </x:c>
      <x:c r="J2607" s="9" t="str">
        <x:v>Child Welfare</x:v>
      </x:c>
      <x:c r="K2607" s="9" t="str">
        <x:v>-ew-cases-EWCA-Civ-2017-1137.xml</x:v>
      </x:c>
      <x:c r="L2607" s="9" t="str">
        <x:v>TBA</x:v>
      </x:c>
    </x:row>
    <x:row r="2608">
      <x:c r="A2608" t="str">
        <x:v>a9908f78-3702-4d19-8657-5bdc7f3f723a</x:v>
      </x:c>
      <x:c r="B2608" t="str">
        <x:v>1aff3ddd-0938-450d-9908-1f81e9b3407b</x:v>
      </x:c>
      <x:c r="C2608" s="9" t="str">
        <x:v>Re L-K [2015] EWCA Civ 830</x:v>
      </x:c>
      <x:c r="D2608" s="9" t="str"/>
      <x:c r="E2608" s="9" t="str"/>
      <x:c r="F2608" s="13" t="str">
        <x:v>2015</x:v>
      </x:c>
      <x:c r="G2608" s="9" t="str">
        <x:v>England and Wales Court of Appeal (Civil Division)</x:v>
      </x:c>
      <x:c r="H2608" s="9" t="str">
        <x:v>appellate</x:v>
      </x:c>
      <x:c r="I2608" s="9" t="str">
        <x:v>England and Wales</x:v>
      </x:c>
      <x:c r="J2608" s="9" t="str">
        <x:v>Family Law</x:v>
      </x:c>
      <x:c r="K2608" s="9" t="str">
        <x:v>-ew-cases-EWCA-Civ-2015-830.xml</x:v>
      </x:c>
      <x:c r="L2608" s="9" t="str">
        <x:v>TBA</x:v>
      </x:c>
    </x:row>
    <x:row r="2609">
      <x:c r="A2609" t="str">
        <x:v>5d7c4d7b-4814-4766-8605-0e7e8f4ebf5d</x:v>
      </x:c>
      <x:c r="B2609" t="str">
        <x:v>45c3ed60-e4ee-4249-9d5a-63fd3befaa3f</x:v>
      </x:c>
      <x:c r="C2609" s="9" t="str">
        <x:v>Re M (A Child) [2014] EWCA Civ 226</x:v>
      </x:c>
      <x:c r="D2609" s="9" t="str"/>
      <x:c r="E2609" s="9" t="str"/>
      <x:c r="F2609" s="13" t="str">
        <x:v>2014</x:v>
      </x:c>
      <x:c r="G2609" s="9" t="str">
        <x:v>England and Wales Court of Appeal (Civil Division)</x:v>
      </x:c>
      <x:c r="H2609" s="9" t="str">
        <x:v>Appellate</x:v>
      </x:c>
      <x:c r="I2609" s="9" t="str">
        <x:v>England and Wales</x:v>
      </x:c>
      <x:c r="J2609" s="9" t="str">
        <x:v>Family Law</x:v>
      </x:c>
      <x:c r="K2609" s="9" t="str">
        <x:v>-ew-cases-EWCA-Civ-2014-226.xml</x:v>
      </x:c>
      <x:c r="L2609" s="9" t="str">
        <x:v>TBA</x:v>
      </x:c>
    </x:row>
    <x:row r="2610">
      <x:c r="A2610" t="str">
        <x:v>4d2fe666-089e-472b-9e4f-59e21f2488b8</x:v>
      </x:c>
      <x:c r="B2610" t="str">
        <x:v>31078057-f705-4604-aa9d-eeed97ad3544</x:v>
      </x:c>
      <x:c r="C2610" s="9" t="str">
        <x:v>Re M (A Child) [2014] EWCA Civ 420: Appeal Against Care Order</x:v>
      </x:c>
      <x:c r="D2610" s="9" t="str"/>
      <x:c r="E2610" s="9" t="str"/>
      <x:c r="F2610" s="13" t="str">
        <x:v>2014</x:v>
      </x:c>
      <x:c r="G2610" s="9" t="str">
        <x:v>England and Wales Court of Appeal (Civil Division)</x:v>
      </x:c>
      <x:c r="H2610" s="9" t="str">
        <x:v>Appellate</x:v>
      </x:c>
      <x:c r="I2610" s="9" t="str">
        <x:v>England and Wales</x:v>
      </x:c>
      <x:c r="J2610" s="9" t="str">
        <x:v>Family Law</x:v>
      </x:c>
      <x:c r="K2610" s="9" t="str">
        <x:v>-ew-cases-EWCA-Civ-2014-420.xml</x:v>
      </x:c>
      <x:c r="L2610" s="9" t="str">
        <x:v>TBA</x:v>
      </x:c>
    </x:row>
    <x:row r="2611">
      <x:c r="A2611" t="str">
        <x:v>953db055-e417-4372-9467-f43813f85d6f</x:v>
      </x:c>
      <x:c r="B2611" t="str">
        <x:v>d3e360f3-e401-45d6-a6e2-74621ce8da3b</x:v>
      </x:c>
      <x:c r="C2611" s="9" t="str">
        <x:v>Re M (A Child) [2017] EWCA Civ 2356: Appeal on Child Relocation</x:v>
      </x:c>
      <x:c r="D2611" s="9" t="str"/>
      <x:c r="E2611" s="9" t="str"/>
      <x:c r="F2611" s="13" t="str">
        <x:v>2017</x:v>
      </x:c>
      <x:c r="G2611" s="9" t="str">
        <x:v>England and Wales Court of Appeal (Civil Division)</x:v>
      </x:c>
      <x:c r="H2611" s="9" t="str">
        <x:v>Appellate</x:v>
      </x:c>
      <x:c r="I2611" s="9" t="str">
        <x:v>United Kingdom</x:v>
      </x:c>
      <x:c r="J2611" s="9" t="str">
        <x:v>Family Law</x:v>
      </x:c>
      <x:c r="K2611" s="9" t="str">
        <x:v>-ew-cases-EWCA-Civ-2017-2356.xml</x:v>
      </x:c>
      <x:c r="L2611" s="9" t="str">
        <x:v>TBA</x:v>
      </x:c>
    </x:row>
    <x:row r="2612">
      <x:c r="A2612" t="str">
        <x:v>34725d2c-80a6-49ca-852b-06f662bb2aff</x:v>
      </x:c>
      <x:c r="B2612" t="str">
        <x:v>bbf8601c-389a-4e6d-978c-ae5c3763a23b</x:v>
      </x:c>
      <x:c r="C2612" s="9" t="str">
        <x:v>Re M (Child) [2017] EWCA Civ 228</x:v>
      </x:c>
      <x:c r="D2612" s="9" t="str"/>
      <x:c r="E2612" s="9" t="str"/>
      <x:c r="F2612" s="13" t="str">
        <x:v>2017</x:v>
      </x:c>
      <x:c r="G2612" s="9" t="str">
        <x:v>England and Wales Court of Appeal (Civil Division)</x:v>
      </x:c>
      <x:c r="H2612" s="9" t="str">
        <x:v>Appellate</x:v>
      </x:c>
      <x:c r="I2612" s="9" t="str">
        <x:v>England and Wales</x:v>
      </x:c>
      <x:c r="J2612" s="9" t="str">
        <x:v>Family Law</x:v>
      </x:c>
      <x:c r="K2612" s="9" t="str">
        <x:v>-ew-cases-EWCA-Civ-2017-228.xml</x:v>
      </x:c>
      <x:c r="L2612" s="9" t="str">
        <x:v>TBA</x:v>
      </x:c>
    </x:row>
    <x:row r="2613">
      <x:c r="A2613" t="str">
        <x:v>f9743e1d-da63-4993-89dd-7f01a6c3e11b</x:v>
      </x:c>
      <x:c r="B2613" t="str">
        <x:v>74444510-eaba-48ac-8778-7e82b97f3a5a</x:v>
      </x:c>
      <x:c r="C2613" s="9" t="str">
        <x:v>Re N-A (Children) [2017] EWCA Civ 230</x:v>
      </x:c>
      <x:c r="D2613" s="9" t="str"/>
      <x:c r="E2613" s="9" t="str"/>
      <x:c r="F2613" s="13" t="str">
        <x:v>2017</x:v>
      </x:c>
      <x:c r="G2613" s="9" t="str">
        <x:v>England and Wales Court of Appeal (Civil Division)</x:v>
      </x:c>
      <x:c r="H2613" s="9" t="str">
        <x:v>Appellate</x:v>
      </x:c>
      <x:c r="I2613" s="9" t="str">
        <x:v>England and Wales</x:v>
      </x:c>
      <x:c r="J2613" s="9" t="str">
        <x:v>Family Law</x:v>
      </x:c>
      <x:c r="K2613" s="9" t="str">
        <x:v>-ew-cases-EWCA-Civ-2017-230.xml</x:v>
      </x:c>
      <x:c r="L2613" s="9" t="str">
        <x:v>TBA</x:v>
      </x:c>
    </x:row>
    <x:row r="2614">
      <x:c r="A2614" t="str">
        <x:v>5c75e041-0d08-4ed9-9b70-79724c40bb06</x:v>
      </x:c>
      <x:c r="B2614" t="str">
        <x:v>6db3a6d4-a65d-46ea-bc51-e666434ef39b</x:v>
      </x:c>
      <x:c r="C2614" s="9" t="str">
        <x:v>Re N-S (Children) [2017] EWCA Civ 1121</x:v>
      </x:c>
      <x:c r="D2614" s="9" t="str"/>
      <x:c r="E2614" s="9" t="str"/>
      <x:c r="F2614" s="13" t="str">
        <x:v>2017</x:v>
      </x:c>
      <x:c r="G2614" s="9" t="str">
        <x:v>England and Wales Court of Appeal (Civil Division)</x:v>
      </x:c>
      <x:c r="H2614" s="9" t="str">
        <x:v>Appellate</x:v>
      </x:c>
      <x:c r="I2614" s="9" t="str">
        <x:v>England and Wales</x:v>
      </x:c>
      <x:c r="J2614" s="9" t="str">
        <x:v>Family Law</x:v>
      </x:c>
      <x:c r="K2614" s="9" t="str">
        <x:v>-ew-cases-EWCA-Civ-2017-1121.xml</x:v>
      </x:c>
      <x:c r="L2614" s="9" t="str">
        <x:v>TBA</x:v>
      </x:c>
    </x:row>
    <x:row r="2615">
      <x:c r="A2615" t="str">
        <x:v>8d64abbd-cfa4-4402-992d-e99455789c06</x:v>
      </x:c>
      <x:c r="B2615" t="str">
        <x:v>494679dc-b4d0-4d2c-9103-d3ad05c48697</x:v>
      </x:c>
      <x:c r="C2615" s="9" t="str">
        <x:v>Re P (A Child) [2014] EWCA Civ 1648</x:v>
      </x:c>
      <x:c r="D2615" s="9" t="str"/>
      <x:c r="E2615" s="9" t="str"/>
      <x:c r="F2615" s="13" t="str">
        <x:v>2014</x:v>
      </x:c>
      <x:c r="G2615" s="9" t="str">
        <x:v>England and Wales Court of Appeal (Civil Division)</x:v>
      </x:c>
      <x:c r="H2615" s="9" t="str">
        <x:v>Appellate</x:v>
      </x:c>
      <x:c r="I2615" s="9" t="str">
        <x:v>England and Wales</x:v>
      </x:c>
      <x:c r="J2615" s="9" t="str">
        <x:v>Family Law</x:v>
      </x:c>
      <x:c r="K2615" s="9" t="str">
        <x:v>-ew-cases-EWCA-Civ-2014-1648.xml</x:v>
      </x:c>
      <x:c r="L2615" s="9" t="str">
        <x:v>TBA</x:v>
      </x:c>
    </x:row>
    <x:row r="2616">
      <x:c r="A2616" t="str">
        <x:v>96048ef8-dc60-41f8-a2a9-369f95dde501</x:v>
      </x:c>
      <x:c r="B2616" t="str">
        <x:v>a81a43f1-cca1-4f45-abee-5a037c785e75</x:v>
      </x:c>
      <x:c r="C2616" s="9" t="str">
        <x:v>Re P (A Child) [2015] EWCA Civ 777 - Adoption Application Appeal Analysis</x:v>
      </x:c>
      <x:c r="D2616" s="9" t="str"/>
      <x:c r="E2616" s="9" t="str"/>
      <x:c r="F2616" s="13" t="str">
        <x:v>2015</x:v>
      </x:c>
      <x:c r="G2616" s="9" t="str">
        <x:v>England and Wales Court of Appeal (Civil Division)</x:v>
      </x:c>
      <x:c r="H2616" s="9" t="str">
        <x:v>Appellate</x:v>
      </x:c>
      <x:c r="I2616" s="9" t="str">
        <x:v>England and Wales</x:v>
      </x:c>
      <x:c r="J2616" s="9" t="str">
        <x:v>Family Law</x:v>
      </x:c>
      <x:c r="K2616" s="9" t="str">
        <x:v>-ew-cases-EWCA-Civ-2015-777.xml</x:v>
      </x:c>
      <x:c r="L2616" s="9" t="str">
        <x:v>TBA</x:v>
      </x:c>
    </x:row>
    <x:row r="2617">
      <x:c r="A2617" t="str">
        <x:v>25179c82-93bf-4b86-b7d3-70aa1bb9dcab</x:v>
      </x:c>
      <x:c r="B2617" t="str">
        <x:v>8ac5720c-af4c-4bca-a5dd-d13f9d7061ba</x:v>
      </x:c>
      <x:c r="C2617" s="9" t="str">
        <x:v>Re P (Children) [2014] EWCA Civ 852: Appeal for Relocation Denied</x:v>
      </x:c>
      <x:c r="D2617" s="9" t="str"/>
      <x:c r="E2617" s="9" t="str"/>
      <x:c r="F2617" s="13" t="str">
        <x:v>2014</x:v>
      </x:c>
      <x:c r="G2617" s="9" t="str">
        <x:v>England and Wales Court of Appeal (Civil Division)</x:v>
      </x:c>
      <x:c r="H2617" s="9" t="str">
        <x:v>appellate</x:v>
      </x:c>
      <x:c r="I2617" s="9" t="str">
        <x:v>England and Wales</x:v>
      </x:c>
      <x:c r="J2617" s="9" t="str">
        <x:v>Family Law</x:v>
      </x:c>
      <x:c r="K2617" s="9" t="str">
        <x:v>-ew-cases-EWCA-Civ-2014-852.xml</x:v>
      </x:c>
      <x:c r="L2617" s="9" t="str">
        <x:v>TBA</x:v>
      </x:c>
    </x:row>
    <x:row r="2618">
      <x:c r="A2618" t="str">
        <x:v>8289cb48-8a5c-4c2e-b800-39ff42cf8140</x:v>
      </x:c>
      <x:c r="B2618" t="str">
        <x:v>02f77877-7eea-4a50-9021-934a43653fca</x:v>
      </x:c>
      <x:c r="C2618" s="9" t="str">
        <x:v>Re P (Children) [2015] EWCA Civ 466 - Child Arrangements Order Appeal</x:v>
      </x:c>
      <x:c r="D2618" s="9" t="str"/>
      <x:c r="E2618" s="9" t="str"/>
      <x:c r="F2618" s="13" t="str">
        <x:v>2015</x:v>
      </x:c>
      <x:c r="G2618" s="9" t="str">
        <x:v>England and Wales Court of Appeal (Civil Division)</x:v>
      </x:c>
      <x:c r="H2618" s="9" t="str">
        <x:v>Appellate</x:v>
      </x:c>
      <x:c r="I2618" s="9" t="str">
        <x:v>England and Wales</x:v>
      </x:c>
      <x:c r="J2618" s="9" t="str">
        <x:v>Family Law</x:v>
      </x:c>
      <x:c r="K2618" s="9" t="str">
        <x:v>-ew-cases-EWCA-Civ-2015-466.xml</x:v>
      </x:c>
      <x:c r="L2618" s="9" t="str">
        <x:v>TBA</x:v>
      </x:c>
    </x:row>
    <x:row r="2619">
      <x:c r="A2619" t="str">
        <x:v>b1a67e13-6d84-4908-9030-c68aeb9ce9a1</x:v>
      </x:c>
      <x:c r="B2619" t="str">
        <x:v>71f2b7cd-25df-4ebe-bcd4-0839728db6ce</x:v>
      </x:c>
      <x:c r="C2619" s="9" t="str">
        <x:v>Re P (Findings of Fact) [2014] EWCA Civ 89</x:v>
      </x:c>
      <x:c r="D2619" s="9" t="str"/>
      <x:c r="E2619" s="9" t="str"/>
      <x:c r="F2619" s="13" t="str">
        <x:v>2014</x:v>
      </x:c>
      <x:c r="G2619" s="9" t="str">
        <x:v>England and Wales Court of Appeal (Civil Division)</x:v>
      </x:c>
      <x:c r="H2619" s="9" t="str">
        <x:v>Appellate</x:v>
      </x:c>
      <x:c r="I2619" s="9" t="str">
        <x:v>England and Wales</x:v>
      </x:c>
      <x:c r="J2619" s="9" t="str">
        <x:v>Family Law</x:v>
      </x:c>
      <x:c r="K2619" s="9" t="str">
        <x:v>-ew-cases-EWCA-Civ-2014-89.xml</x:v>
      </x:c>
      <x:c r="L2619" s="9" t="str">
        <x:v>TBA</x:v>
      </x:c>
    </x:row>
    <x:row r="2620">
      <x:c r="A2620" t="str">
        <x:v>1b6662be-df38-4e1d-8fca-facf3b0d9058</x:v>
      </x:c>
      <x:c r="B2620" t="str">
        <x:v>f9c4ce8e-bbc5-45e1-981c-3f2fd53ed62a</x:v>
      </x:c>
      <x:c r="C2620" s="9" t="str">
        <x:v>Re P-K (Children) [2014] EWCA Civ 1602</x:v>
      </x:c>
      <x:c r="D2620" s="9" t="str"/>
      <x:c r="E2620" s="9" t="str"/>
      <x:c r="F2620" s="13" t="str">
        <x:v>2014</x:v>
      </x:c>
      <x:c r="G2620" s="9" t="str">
        <x:v>England and Wales Court of Appeal (Civil Division)</x:v>
      </x:c>
      <x:c r="H2620" s="9" t="str">
        <x:v>appellate</x:v>
      </x:c>
      <x:c r="I2620" s="9" t="str">
        <x:v>England and Wales</x:v>
      </x:c>
      <x:c r="J2620" s="9" t="str">
        <x:v>Family Law</x:v>
      </x:c>
      <x:c r="K2620" s="9" t="str">
        <x:v>-ew-cases-EWCA-Civ-2014-1602.xml</x:v>
      </x:c>
      <x:c r="L2620" s="9" t="str">
        <x:v>TBA</x:v>
      </x:c>
    </x:row>
    <x:row r="2621">
      <x:c r="A2621" t="str">
        <x:v>13d09513-6642-450f-885b-6887eea515d4</x:v>
      </x:c>
      <x:c r="B2621" t="str">
        <x:v>40bd0370-824f-4da5-bc3b-f579332eeec8</x:v>
      </x:c>
      <x:c r="C2621" s="9" t="str">
        <x:v>Re Q (A Child) [2015] EWCA Civ 991</x:v>
      </x:c>
      <x:c r="D2621" s="9" t="str"/>
      <x:c r="E2621" s="9" t="str"/>
      <x:c r="F2621" s="13" t="str">
        <x:v>2015</x:v>
      </x:c>
      <x:c r="G2621" s="9" t="str">
        <x:v>England and Wales Court of Appeal (Civil Division)</x:v>
      </x:c>
      <x:c r="H2621" s="9" t="str">
        <x:v>Appellate</x:v>
      </x:c>
      <x:c r="I2621" s="9" t="str">
        <x:v>England and Wales</x:v>
      </x:c>
      <x:c r="J2621" s="9" t="str">
        <x:v>Family Law</x:v>
      </x:c>
      <x:c r="K2621" s="9" t="str">
        <x:v>-ew-cases-EWCA-Civ-2015-991.xml</x:v>
      </x:c>
      <x:c r="L2621" s="9" t="str">
        <x:v>TBA</x:v>
      </x:c>
    </x:row>
    <x:row r="2622">
      <x:c r="A2622" t="str">
        <x:v>f2a87842-8888-479f-b3eb-b906db4d9caa</x:v>
      </x:c>
      <x:c r="B2622" t="str">
        <x:v>3d70069c-7c28-4cba-8f35-93ad0d0b0c51</x:v>
      </x:c>
      <x:c r="C2622" s="9" t="str">
        <x:v>Re R (Children) [2014] EWCA Civ 1110 - Appeal on Placement Orders</x:v>
      </x:c>
      <x:c r="D2622" s="9" t="str"/>
      <x:c r="E2622" s="9" t="str"/>
      <x:c r="F2622" s="13" t="str">
        <x:v>2014</x:v>
      </x:c>
      <x:c r="G2622" s="9" t="str">
        <x:v>England and Wales Court of Appeal (Civil Division)</x:v>
      </x:c>
      <x:c r="H2622" s="9" t="str">
        <x:v>Appellate</x:v>
      </x:c>
      <x:c r="I2622" s="9" t="str">
        <x:v>England and Wales</x:v>
      </x:c>
      <x:c r="J2622" s="9" t="str">
        <x:v>Family Law</x:v>
      </x:c>
      <x:c r="K2622" s="9" t="str">
        <x:v>-ew-cases-EWCA-Civ-2014-1110.xml</x:v>
      </x:c>
      <x:c r="L2622" s="9" t="str">
        <x:v>TBA</x:v>
      </x:c>
    </x:row>
    <x:row r="2623">
      <x:c r="A2623" t="str">
        <x:v>a4de404e-63b2-4f8f-9312-f12eab86a42d</x:v>
      </x:c>
      <x:c r="B2623" t="str">
        <x:v>266ac1a7-a2c3-4e3c-a796-77aaa9489ca2</x:v>
      </x:c>
      <x:c r="C2623" s="9" t="str">
        <x:v>Re S (A Child) – England and Wales Court of Appeal (Civil Division)</x:v>
      </x:c>
      <x:c r="D2623" s="9" t="str"/>
      <x:c r="E2623" s="9" t="str"/>
      <x:c r="F2623" s="13" t="str">
        <x:v>2014</x:v>
      </x:c>
      <x:c r="G2623" s="9" t="str">
        <x:v>England and Wales Court of Appeal (Civil Division)</x:v>
      </x:c>
      <x:c r="H2623" s="9" t="str">
        <x:v>Appellate</x:v>
      </x:c>
      <x:c r="I2623" s="9" t="str">
        <x:v>England and Wales</x:v>
      </x:c>
      <x:c r="J2623" s="9" t="str">
        <x:v>Family Law</x:v>
      </x:c>
      <x:c r="K2623" s="9" t="str">
        <x:v>-ew-cases-EWCA-Civ-2014-25.xml</x:v>
      </x:c>
      <x:c r="L2623" s="9" t="str">
        <x:v>TBA</x:v>
      </x:c>
    </x:row>
    <x:row r="2624">
      <x:c r="A2624" t="str">
        <x:v>2c66d55f-65fb-4e0f-9031-9f36f4799586</x:v>
      </x:c>
      <x:c r="B2624" t="str">
        <x:v>9910b00b-0357-4a79-a9f6-e266a975c312</x:v>
      </x:c>
      <x:c r="C2624" s="9" t="str">
        <x:v>Re S (A Child) [2014] EWCA Civ 1682</x:v>
      </x:c>
      <x:c r="D2624" s="9" t="str"/>
      <x:c r="E2624" s="9" t="str"/>
      <x:c r="F2624" s="13" t="str">
        <x:v>2014</x:v>
      </x:c>
      <x:c r="G2624" s="9" t="str">
        <x:v>England and Wales Court of Appeal (Civil Division)</x:v>
      </x:c>
      <x:c r="H2624" s="9" t="str">
        <x:v>Appellate</x:v>
      </x:c>
      <x:c r="I2624" s="9" t="str">
        <x:v>England and Wales</x:v>
      </x:c>
      <x:c r="J2624" s="9" t="str">
        <x:v>Family Law</x:v>
      </x:c>
      <x:c r="K2624" s="9" t="str">
        <x:v>-ew-cases-EWCA-Civ-2014-1682.xml</x:v>
      </x:c>
      <x:c r="L2624" s="9" t="str">
        <x:v>TBA</x:v>
      </x:c>
    </x:row>
    <x:row r="2625">
      <x:c r="A2625" t="str">
        <x:v>d1f4396c-9d50-4f44-b977-0b433a512a27</x:v>
      </x:c>
      <x:c r="B2625" t="str">
        <x:v>bf0a4526-0c99-446e-91bc-c215e8a3f245</x:v>
      </x:c>
      <x:c r="C2625" s="9" t="str">
        <x:v>Re S (A Child) [2015] EWCA Civ 325 – Assessment of Long-Term Care Options</x:v>
      </x:c>
      <x:c r="D2625" s="9" t="str"/>
      <x:c r="E2625" s="9" t="str"/>
      <x:c r="F2625" s="13" t="str">
        <x:v>2015</x:v>
      </x:c>
      <x:c r="G2625" s="9" t="str">
        <x:v>England and Wales Court of Appeal (Civil Division)</x:v>
      </x:c>
      <x:c r="H2625" s="9" t="str">
        <x:v>Appellate</x:v>
      </x:c>
      <x:c r="I2625" s="9" t="str">
        <x:v>England and Wales</x:v>
      </x:c>
      <x:c r="J2625" s="9" t="str">
        <x:v>Child Welfare</x:v>
      </x:c>
      <x:c r="K2625" s="9" t="str">
        <x:v>-ew-cases-EWCA-Civ-2015-325.xml</x:v>
      </x:c>
      <x:c r="L2625" s="9" t="str">
        <x:v>TBA</x:v>
      </x:c>
    </x:row>
    <x:row r="2626">
      <x:c r="A2626" t="str">
        <x:v>9b4872eb-514c-4179-9c3b-0d61f9035eae</x:v>
      </x:c>
      <x:c r="B2626" t="str">
        <x:v>3b8b7e10-88da-4775-8e38-ce0603d9bd9c</x:v>
      </x:c>
      <x:c r="C2626" s="9" t="str">
        <x:v>Re S (A Child) [2015] EWCA Civ 689</x:v>
      </x:c>
      <x:c r="D2626" s="9" t="str"/>
      <x:c r="E2626" s="9" t="str"/>
      <x:c r="F2626" s="13" t="str">
        <x:v>2015</x:v>
      </x:c>
      <x:c r="G2626" s="9" t="str">
        <x:v>England and Wales Court of Appeal (Civil Division)</x:v>
      </x:c>
      <x:c r="H2626" s="9" t="str">
        <x:v>Appellate</x:v>
      </x:c>
      <x:c r="I2626" s="9" t="str">
        <x:v>England and Wales</x:v>
      </x:c>
      <x:c r="J2626" s="9" t="str">
        <x:v>Family Law</x:v>
      </x:c>
      <x:c r="K2626" s="9" t="str">
        <x:v>-ew-cases-EWCA-Civ-2015-689.xml</x:v>
      </x:c>
      <x:c r="L2626" s="9" t="str">
        <x:v>TBA</x:v>
      </x:c>
    </x:row>
    <x:row r="2627">
      <x:c r="A2627" t="str">
        <x:v>9eeea9b5-f1a8-40ed-9f63-91b39039f23a</x:v>
      </x:c>
      <x:c r="B2627" t="str">
        <x:v>33d71dad-8ab0-411a-ba34-cd0f6b985175</x:v>
      </x:c>
      <x:c r="C2627" s="9" t="str">
        <x:v>Re S (A Child) [2017] EWCA Civ 44</x:v>
      </x:c>
      <x:c r="D2627" s="9" t="str"/>
      <x:c r="E2627" s="9" t="str"/>
      <x:c r="F2627" s="13" t="str">
        <x:v>2017</x:v>
      </x:c>
      <x:c r="G2627" s="9" t="str">
        <x:v>England and Wales Court of Appeal (Civil Division)</x:v>
      </x:c>
      <x:c r="H2627" s="9" t="str">
        <x:v>Appellate</x:v>
      </x:c>
      <x:c r="I2627" s="9" t="str">
        <x:v>England and Wales</x:v>
      </x:c>
      <x:c r="J2627" s="9" t="str">
        <x:v>Family Law</x:v>
      </x:c>
      <x:c r="K2627" s="9" t="str">
        <x:v>-ew-cases-EWCA-Civ-2017-44.xml</x:v>
      </x:c>
      <x:c r="L2627" s="9" t="str">
        <x:v>TBA</x:v>
      </x:c>
    </x:row>
    <x:row r="2628">
      <x:c r="A2628" t="str">
        <x:v>24267648-8464-4e63-b02a-a100e213e197</x:v>
      </x:c>
      <x:c r="B2628" t="str">
        <x:v>446ad8eb-b97c-4411-887b-dfbca9169cab</x:v>
      </x:c>
      <x:c r="C2628" s="9" t="str">
        <x:v>Re S (Children) [2014] EWCA Civ 135 - Placement Order Appeal</x:v>
      </x:c>
      <x:c r="D2628" s="9" t="str"/>
      <x:c r="E2628" s="9" t="str"/>
      <x:c r="F2628" s="13" t="str">
        <x:v>2014</x:v>
      </x:c>
      <x:c r="G2628" s="9" t="str">
        <x:v>England and Wales Court of Appeal (Civil Division)</x:v>
      </x:c>
      <x:c r="H2628" s="9" t="str">
        <x:v>Appellate</x:v>
      </x:c>
      <x:c r="I2628" s="9" t="str">
        <x:v>England and Wales</x:v>
      </x:c>
      <x:c r="J2628" s="9" t="str">
        <x:v>Family Law</x:v>
      </x:c>
      <x:c r="K2628" s="9" t="str">
        <x:v>-ew-cases-EWCA-Civ-2014-135.xml</x:v>
      </x:c>
      <x:c r="L2628" s="9" t="str">
        <x:v>TBA</x:v>
      </x:c>
    </x:row>
    <x:row r="2629">
      <x:c r="A2629" t="str">
        <x:v>6d69d718-77ea-4929-b64d-926a8bc4efcb</x:v>
      </x:c>
      <x:c r="B2629" t="str">
        <x:v>eeaff854-b894-408d-af14-30de6aeb2e39</x:v>
      </x:c>
      <x:c r="C2629" s="9" t="str">
        <x:v>Re S-B (Children) [2015] EWCA Civ 705</x:v>
      </x:c>
      <x:c r="D2629" s="9" t="str"/>
      <x:c r="E2629" s="9" t="str"/>
      <x:c r="F2629" s="13" t="str">
        <x:v>2015</x:v>
      </x:c>
      <x:c r="G2629" s="9" t="str">
        <x:v>England and Wales Court of Appeal (Civil Division)</x:v>
      </x:c>
      <x:c r="H2629" s="9" t="str">
        <x:v>Appellate</x:v>
      </x:c>
      <x:c r="I2629" s="9" t="str">
        <x:v>England and Wales</x:v>
      </x:c>
      <x:c r="J2629" s="9" t="str">
        <x:v>Family Law</x:v>
      </x:c>
      <x:c r="K2629" s="9" t="str">
        <x:v>-ew-cases-EWCA-Civ-2015-705.xml</x:v>
      </x:c>
      <x:c r="L2629" s="9" t="str">
        <x:v>TBA</x:v>
      </x:c>
    </x:row>
    <x:row r="2630">
      <x:c r="A2630" t="str">
        <x:v>8541c038-6512-4d6f-85c0-cb02b03657ce</x:v>
      </x:c>
      <x:c r="B2630" t="str">
        <x:v>55ffb22a-aba6-4027-bb4f-d8fdd0a569c1</x:v>
      </x:c>
      <x:c r="C2630" s="9" t="str">
        <x:v>Re S-W (Children) [2015] EWCA Civ 27</x:v>
      </x:c>
      <x:c r="D2630" s="9" t="str"/>
      <x:c r="E2630" s="9" t="str"/>
      <x:c r="F2630" s="13" t="str">
        <x:v>2015</x:v>
      </x:c>
      <x:c r="G2630" s="9" t="str">
        <x:v>England and Wales Court of Appeal (Civil Division)</x:v>
      </x:c>
      <x:c r="H2630" s="9" t="str">
        <x:v>Appellate</x:v>
      </x:c>
      <x:c r="I2630" s="9" t="str">
        <x:v>England and Wales</x:v>
      </x:c>
      <x:c r="J2630" s="9" t="str">
        <x:v>Family Law</x:v>
      </x:c>
      <x:c r="K2630" s="9" t="str">
        <x:v>-ew-cases-EWCA-Civ-2015-27.xml</x:v>
      </x:c>
      <x:c r="L2630" s="9" t="str">
        <x:v>TBA</x:v>
      </x:c>
    </x:row>
    <x:row r="2631">
      <x:c r="A2631" t="str">
        <x:v>06e482c0-4512-4c70-8385-84df1b1e3d38</x:v>
      </x:c>
      <x:c r="B2631" t="str">
        <x:v>4389a460-0acf-4f09-9013-6c1b17073edf</x:v>
      </x:c>
      <x:c r="C2631" s="9" t="str">
        <x:v>Re T (A Child: Adoption or Special Guardianship) [2017]</x:v>
      </x:c>
      <x:c r="D2631" s="9" t="str"/>
      <x:c r="E2631" s="9" t="str"/>
      <x:c r="F2631" s="13" t="str">
        <x:v>2017</x:v>
      </x:c>
      <x:c r="G2631" s="9" t="str">
        <x:v>England and Wales Court of Appeal (Civil Division)</x:v>
      </x:c>
      <x:c r="H2631" s="9" t="str">
        <x:v>Appellate</x:v>
      </x:c>
      <x:c r="I2631" s="9" t="str">
        <x:v>England</x:v>
      </x:c>
      <x:c r="J2631" s="9" t="str">
        <x:v>Family Law</x:v>
      </x:c>
      <x:c r="K2631" s="9" t="str">
        <x:v>-ew-cases-EWCA-Civ-2017-1797.xml</x:v>
      </x:c>
      <x:c r="L2631" s="9" t="str">
        <x:v>TBA</x:v>
      </x:c>
    </x:row>
    <x:row r="2632">
      <x:c r="A2632" t="str">
        <x:v>d8ded362-17ee-4fda-be0e-d1b813de3c0f</x:v>
      </x:c>
      <x:c r="B2632" t="str">
        <x:v>c965524f-f82d-467c-82b6-b26ae218eba5</x:v>
      </x:c>
      <x:c r="C2632" s="9" t="str">
        <x:v>Re T (A Child) (Suspension of Contact) [2015] EWCA Civ 719</x:v>
      </x:c>
      <x:c r="D2632" s="9" t="str"/>
      <x:c r="E2632" s="9" t="str"/>
      <x:c r="F2632" s="13" t="str">
        <x:v>2015</x:v>
      </x:c>
      <x:c r="G2632" s="9" t="str">
        <x:v>England and Wales Court of Appeal (Civil Division)</x:v>
      </x:c>
      <x:c r="H2632" s="9" t="str">
        <x:v>Appellate</x:v>
      </x:c>
      <x:c r="I2632" s="9" t="str">
        <x:v>England and Wales</x:v>
      </x:c>
      <x:c r="J2632" s="9" t="str">
        <x:v>Family Law</x:v>
      </x:c>
      <x:c r="K2632" s="9" t="str">
        <x:v>-ew-cases-EWCA-Civ-2015-719.xml</x:v>
      </x:c>
      <x:c r="L2632" s="9" t="str">
        <x:v>TBA</x:v>
      </x:c>
    </x:row>
    <x:row r="2633">
      <x:c r="A2633" t="str">
        <x:v>00b231d0-eb0a-41f8-babb-4acad9436b31</x:v>
      </x:c>
      <x:c r="B2633" t="str">
        <x:v>81bfb6d8-8055-43f9-90a8-690809e7888d</x:v>
      </x:c>
      <x:c r="C2633" s="9" t="str">
        <x:v>Re T (A Child) [2015] EWCA Civ 842 - Appeal on Factual Finding of Sexual Abuse</x:v>
      </x:c>
      <x:c r="D2633" s="9" t="str"/>
      <x:c r="E2633" s="9" t="str"/>
      <x:c r="F2633" s="13" t="str">
        <x:v>2015</x:v>
      </x:c>
      <x:c r="G2633" s="9" t="str">
        <x:v>England and Wales Court of Appeal (Civil Division)</x:v>
      </x:c>
      <x:c r="H2633" s="9" t="str">
        <x:v>Appellate</x:v>
      </x:c>
      <x:c r="I2633" s="9" t="str">
        <x:v>England and Wales</x:v>
      </x:c>
      <x:c r="J2633" s="9" t="str">
        <x:v>Family Law</x:v>
      </x:c>
      <x:c r="K2633" s="9" t="str">
        <x:v>-ew-cases-EWCA-Civ-2015-842.xml</x:v>
      </x:c>
      <x:c r="L2633" s="9" t="str">
        <x:v>TBA</x:v>
      </x:c>
    </x:row>
    <x:row r="2634">
      <x:c r="A2634" t="str">
        <x:v>5feead78-1b82-41a0-a4a8-5b294f4a9bd6</x:v>
      </x:c>
      <x:c r="B2634" t="str">
        <x:v>eb2e2df2-2562-45c7-83b2-8826154ed2ee</x:v>
      </x:c>
      <x:c r="C2634" s="9" t="str">
        <x:v>Re T (Children) - Appeal Against Placement Orders</x:v>
      </x:c>
      <x:c r="D2634" s="9" t="str"/>
      <x:c r="E2634" s="9" t="str"/>
      <x:c r="F2634" s="13" t="str">
        <x:v>2014</x:v>
      </x:c>
      <x:c r="G2634" s="9" t="str">
        <x:v>England and Wales Court of Appeal (Civil Division)</x:v>
      </x:c>
      <x:c r="H2634" s="9" t="str">
        <x:v>Appellate</x:v>
      </x:c>
      <x:c r="I2634" s="9" t="str">
        <x:v>England and Wales</x:v>
      </x:c>
      <x:c r="J2634" s="9" t="str">
        <x:v>Family Law</x:v>
      </x:c>
      <x:c r="K2634" s="9" t="str">
        <x:v>-ew-cases-EWCA-Civ-2014-1369.xml</x:v>
      </x:c>
      <x:c r="L2634" s="9" t="str">
        <x:v>TBA</x:v>
      </x:c>
    </x:row>
    <x:row r="2635">
      <x:c r="A2635" t="str">
        <x:v>1ab9760f-7dd8-45bb-a64f-04b4ea6d6f5b</x:v>
      </x:c>
      <x:c r="B2635" t="str">
        <x:v>97820fba-c3e6-414f-917f-2422a1df03d7</x:v>
      </x:c>
      <x:c r="C2635" s="9" t="str">
        <x:v>Re T (Children) [2014] EWCA Civ 1549: An Appeal on Care Orders Against Judicial Findings</x:v>
      </x:c>
      <x:c r="D2635" s="9" t="str"/>
      <x:c r="E2635" s="9" t="str"/>
      <x:c r="F2635" s="13" t="str">
        <x:v>2014</x:v>
      </x:c>
      <x:c r="G2635" s="9" t="str">
        <x:v>England and Wales Court of Appeal (Civil Division)</x:v>
      </x:c>
      <x:c r="H2635" s="9" t="str">
        <x:v>Appellate</x:v>
      </x:c>
      <x:c r="I2635" s="9" t="str">
        <x:v>England and Wales</x:v>
      </x:c>
      <x:c r="J2635" s="9" t="str">
        <x:v>Family Law</x:v>
      </x:c>
      <x:c r="K2635" s="9" t="str">
        <x:v>-ew-cases-EWCA-Civ-2014-1549.xml</x:v>
      </x:c>
      <x:c r="L2635" s="9" t="str">
        <x:v>TBA</x:v>
      </x:c>
    </x:row>
    <x:row r="2636">
      <x:c r="A2636" t="str">
        <x:v>697dcbca-df17-4ea4-9371-2a53dd9bc250</x:v>
      </x:c>
      <x:c r="B2636" t="str">
        <x:v>ed92a364-ef70-44f8-9e3b-6218ac80d824</x:v>
      </x:c>
      <x:c r="C2636" s="9" t="str">
        <x:v>Re T (Children), [2015] EWCA Civ 453 - Appeal on Interim Care Order</x:v>
      </x:c>
      <x:c r="D2636" s="9" t="str"/>
      <x:c r="E2636" s="9" t="str"/>
      <x:c r="F2636" s="13" t="str">
        <x:v>2015</x:v>
      </x:c>
      <x:c r="G2636" s="9" t="str">
        <x:v>England and Wales Court of Appeal (Civil Division)</x:v>
      </x:c>
      <x:c r="H2636" s="9" t="str">
        <x:v>Appellate</x:v>
      </x:c>
      <x:c r="I2636" s="9" t="str">
        <x:v>England and Wales</x:v>
      </x:c>
      <x:c r="J2636" s="9" t="str">
        <x:v>Family Law</x:v>
      </x:c>
      <x:c r="K2636" s="9" t="str">
        <x:v>-ew-cases-EWCA-Civ-2015-453.xml</x:v>
      </x:c>
      <x:c r="L2636" s="9" t="str">
        <x:v>TBA</x:v>
      </x:c>
    </x:row>
    <x:row r="2637">
      <x:c r="A2637" t="str">
        <x:v>2c67e0b2-dc4a-4ba4-a48c-2b92793576cc</x:v>
      </x:c>
      <x:c r="B2637" t="str">
        <x:v>ce1ea211-3766-4788-90e0-dff53af5095b</x:v>
      </x:c>
      <x:c r="C2637" s="9" t="str">
        <x:v>RE T AND OTHERS (CHILDREN) (ADEQUACY OF REASONS) [2023] EWCA Civ 757</x:v>
      </x:c>
      <x:c r="D2637" s="9" t="str"/>
      <x:c r="E2637" s="9" t="str"/>
      <x:c r="F2637" s="13" t="str">
        <x:v>2023</x:v>
      </x:c>
      <x:c r="G2637" s="9" t="str">
        <x:v>England and Wales Court of Appeal (Civil Division)</x:v>
      </x:c>
      <x:c r="H2637" s="9" t="str">
        <x:v>Court of Appeal (Civil Division)</x:v>
      </x:c>
      <x:c r="I2637" s="9" t="str">
        <x:v>England and Wales</x:v>
      </x:c>
      <x:c r="J2637" s="9" t="str">
        <x:v>Public Law - Care Proceedings (Children)</x:v>
      </x:c>
      <x:c r="K2637" s="9" t="str">
        <x:v>ew-cases-EWCA-Civ-2023-757.xml</x:v>
      </x:c>
      <x:c r="L2637" s="9" t="str">
        <x:v>TBA</x:v>
      </x:c>
    </x:row>
    <x:row r="2638">
      <x:c r="A2638" t="str">
        <x:v>f294032f-c33b-4cc2-a56d-59e78c2ae956</x:v>
      </x:c>
      <x:c r="B2638" t="str">
        <x:v>151a8f49-415e-4da4-883e-bb87cd46f93d</x:v>
      </x:c>
      <x:c r="C2638" s="9" t="str">
        <x:v>RE v North Yorkshire County Council &amp; Ors [2015] EWCA Civ 1169: An Appeal on Jurisdictional and Procedural Grounds</x:v>
      </x:c>
      <x:c r="D2638" s="9" t="str"/>
      <x:c r="E2638" s="9" t="str"/>
      <x:c r="F2638" s="13" t="str">
        <x:v>2015</x:v>
      </x:c>
      <x:c r="G2638" s="9" t="str">
        <x:v>England and Wales Court of Appeal (Civil Division)</x:v>
      </x:c>
      <x:c r="H2638" s="9" t="str">
        <x:v>Appellate</x:v>
      </x:c>
      <x:c r="I2638" s="9" t="str">
        <x:v>England and Wales</x:v>
      </x:c>
      <x:c r="J2638" s="9" t="str">
        <x:v>Family Law</x:v>
      </x:c>
      <x:c r="K2638" s="9" t="str">
        <x:v>-ew-cases-EWCA-Civ-2015-1169.xml</x:v>
      </x:c>
      <x:c r="L2638" s="9" t="str">
        <x:v>TBA</x:v>
      </x:c>
    </x:row>
    <x:row r="2639">
      <x:c r="A2639" t="str">
        <x:v>3c174ab0-a79b-4b05-ae07-4efc40870ffc</x:v>
      </x:c>
      <x:c r="B2639" t="str">
        <x:v>ef72a4cf-2b47-4f70-b79d-1623d4e247b4</x:v>
      </x:c>
      <x:c r="C2639" s="9" t="str">
        <x:v>Re W and F (Children) [2015] EWCA Civ 1300 - Appeal on Findings of Sexual Abuse</x:v>
      </x:c>
      <x:c r="D2639" s="9" t="str"/>
      <x:c r="E2639" s="9" t="str"/>
      <x:c r="F2639" s="13" t="str">
        <x:v>2015</x:v>
      </x:c>
      <x:c r="G2639" s="9" t="str">
        <x:v>England and Wales Court of Appeal (Civil Division)</x:v>
      </x:c>
      <x:c r="H2639" s="9" t="str">
        <x:v>Appellate</x:v>
      </x:c>
      <x:c r="I2639" s="9" t="str">
        <x:v>England and Wales</x:v>
      </x:c>
      <x:c r="J2639" s="9" t="str">
        <x:v>Family Law</x:v>
      </x:c>
      <x:c r="K2639" s="9" t="str">
        <x:v>-ew-cases-EWCA-Civ-2015-1300.xml</x:v>
      </x:c>
      <x:c r="L2639" s="9" t="str">
        <x:v>TBA</x:v>
      </x:c>
    </x:row>
    <x:row r="2640">
      <x:c r="A2640" t="str">
        <x:v>b7fb8cfd-9a27-4ce5-9ea4-77599f92b3ec</x:v>
      </x:c>
      <x:c r="B2640" t="str">
        <x:v>8647323c-e687-47ea-a40c-835aee2085a9</x:v>
      </x:c>
      <x:c r="C2640" s="9" t="str">
        <x:v>Re X (Court of Protection Practice) [2015] EWCA Civ 599</x:v>
      </x:c>
      <x:c r="D2640" s="9" t="str"/>
      <x:c r="E2640" s="9" t="str"/>
      <x:c r="F2640" s="13" t="str">
        <x:v>2015</x:v>
      </x:c>
      <x:c r="G2640" s="9" t="str">
        <x:v>England and Wales Court of Appeal (Civil Division)</x:v>
      </x:c>
      <x:c r="H2640" s="9" t="str">
        <x:v>Appellate</x:v>
      </x:c>
      <x:c r="I2640" s="9" t="str">
        <x:v>England and Wales</x:v>
      </x:c>
      <x:c r="J2640" s="9" t="str">
        <x:v>Civil Procedure / Human Rights</x:v>
      </x:c>
      <x:c r="K2640" s="9" t="str">
        <x:v>-ew-cases-EWCA-Civ-2015-599.xml</x:v>
      </x:c>
      <x:c r="L2640" s="9" t="str">
        <x:v>TBA</x:v>
      </x:c>
    </x:row>
    <x:row r="2641">
      <x:c r="A2641" t="str">
        <x:v>8ea42b41-3e74-4ac1-93ed-b3034e1fdea1</x:v>
      </x:c>
      <x:c r="B2641" t="str">
        <x:v>15e07958-df5a-414b-bbeb-83a7002076c5</x:v>
      </x:c>
      <x:c r="C2641" s="9" t="str">
        <x:v>Re: D (Child) [2015] EWCA Civ 1150 - Appeal on Care and Placement Orders</x:v>
      </x:c>
      <x:c r="D2641" s="9" t="str"/>
      <x:c r="E2641" s="9" t="str"/>
      <x:c r="F2641" s="13" t="str">
        <x:v>2015</x:v>
      </x:c>
      <x:c r="G2641" s="9" t="str">
        <x:v>England and Wales Court of Appeal (Civil Division)</x:v>
      </x:c>
      <x:c r="H2641" s="9" t="str">
        <x:v>Appellate</x:v>
      </x:c>
      <x:c r="I2641" s="9" t="str">
        <x:v>England and Wales</x:v>
      </x:c>
      <x:c r="J2641" s="9" t="str">
        <x:v>Family Law</x:v>
      </x:c>
      <x:c r="K2641" s="9" t="str">
        <x:v>-ew-cases-EWCA-Civ-2015-1150.xml</x:v>
      </x:c>
      <x:c r="L2641" s="9" t="str">
        <x:v>TBA</x:v>
      </x:c>
    </x:row>
    <x:row r="2642">
      <x:c r="A2642" t="str">
        <x:v>0de32762-523f-4cb6-9374-d5406a9ebfda</x:v>
      </x:c>
      <x:c r="B2642" t="str">
        <x:v>62e163a1-d628-45ae-8fa9-b75b12d8d0d3</x:v>
      </x:c>
      <x:c r="C2642" s="9" t="str">
        <x:v>Re: D (Children)</x:v>
      </x:c>
      <x:c r="D2642" s="9" t="str"/>
      <x:c r="E2642" s="9" t="str"/>
      <x:c r="F2642" s="13" t="str">
        <x:v>2015</x:v>
      </x:c>
      <x:c r="G2642" s="9" t="str">
        <x:v>England and Wales Court of Appeal (Civil Division)</x:v>
      </x:c>
      <x:c r="H2642" s="9" t="str">
        <x:v>Appellate</x:v>
      </x:c>
      <x:c r="I2642" s="9" t="str">
        <x:v>England and Wales</x:v>
      </x:c>
      <x:c r="J2642" s="9" t="str">
        <x:v>Children and Family Law</x:v>
      </x:c>
      <x:c r="K2642" s="9" t="str">
        <x:v>-ew-cases-EWCA-Civ-2015-409.xml</x:v>
      </x:c>
      <x:c r="L2642" s="9" t="str">
        <x:v>TBA</x:v>
      </x:c>
    </x:row>
    <x:row r="2643">
      <x:c r="A2643" t="str">
        <x:v>f250e20c-858d-48b3-8158-4e7a6f0ed866</x:v>
      </x:c>
      <x:c r="B2643" t="str">
        <x:v>8c7611e4-cca8-40d7-aa22-6cde6f3355f7</x:v>
      </x:c>
      <x:c r="C2643" s="9" t="str">
        <x:v>Re: H (Child) [2016] EWCA Civ 988 (Court of Appeal, Civil Division)</x:v>
      </x:c>
      <x:c r="D2643" s="9" t="str"/>
      <x:c r="E2643" s="9" t="str"/>
      <x:c r="F2643" s="13" t="str">
        <x:v>2016</x:v>
      </x:c>
      <x:c r="G2643" s="9" t="str">
        <x:v>England and Wales Court of Appeal (Civil Division)</x:v>
      </x:c>
      <x:c r="H2643" s="9" t="str">
        <x:v>Court of Appeal (Civil Division)</x:v>
      </x:c>
      <x:c r="I2643" s="9" t="str">
        <x:v>England and Wales</x:v>
      </x:c>
      <x:c r="J2643" s="9" t="str">
        <x:v>Family Law - Wardship / International Child Return</x:v>
      </x:c>
      <x:c r="K2643" s="9" t="str">
        <x:v>-ew-cases-EWCA-Civ-2016-988.xml</x:v>
      </x:c>
      <x:c r="L2643" s="9" t="str">
        <x:v>TBA</x:v>
      </x:c>
    </x:row>
    <x:row r="2644">
      <x:c r="A2644" t="str">
        <x:v>8e2cdc1f-22d8-4359-920a-5d10a4f0b637</x:v>
      </x:c>
      <x:c r="B2644" t="str">
        <x:v>848fa41b-22ce-4b21-8d5c-6331689e1684</x:v>
      </x:c>
      <x:c r="C2644" s="9" t="str">
        <x:v>Re: R (A Child) v (2015) EWCA Civ 674</x:v>
      </x:c>
      <x:c r="D2644" s="9" t="str"/>
      <x:c r="E2644" s="9" t="str"/>
      <x:c r="F2644" s="13" t="str">
        <x:v>2015</x:v>
      </x:c>
      <x:c r="G2644" s="9" t="str">
        <x:v>England and Wales Court of Appeal (Civil Division)</x:v>
      </x:c>
      <x:c r="H2644" s="9" t="str">
        <x:v>Appellate</x:v>
      </x:c>
      <x:c r="I2644" s="9" t="str">
        <x:v>England and Wales</x:v>
      </x:c>
      <x:c r="J2644" s="9" t="str">
        <x:v>Family Law</x:v>
      </x:c>
      <x:c r="K2644" s="9" t="str">
        <x:v>-ew-cases-EWCA-Civ-2015-674.xml</x:v>
      </x:c>
      <x:c r="L2644" s="9" t="str">
        <x:v>TBA</x:v>
      </x:c>
    </x:row>
    <x:row r="2645">
      <x:c r="A2645" t="str">
        <x:v>da6d3288-b5b9-41b3-8e7f-7fe18e01eea6</x:v>
      </x:c>
      <x:c r="B2645" t="str">
        <x:v>945b7665-5c8c-4022-8ed8-9d596cd45ada</x:v>
      </x:c>
      <x:c r="C2645" s="9" t="str">
        <x:v>Re: T (A Child) - Appeal for Non-Molestation Order</x:v>
      </x:c>
      <x:c r="D2645" s="9" t="str"/>
      <x:c r="E2645" s="9" t="str"/>
      <x:c r="F2645" s="13" t="str">
        <x:v>2017</x:v>
      </x:c>
      <x:c r="G2645" s="9" t="str">
        <x:v>England and Wales Court of Appeal (Civil Division)</x:v>
      </x:c>
      <x:c r="H2645" s="9" t="str">
        <x:v>Appellate</x:v>
      </x:c>
      <x:c r="I2645" s="9" t="str">
        <x:v>England and Wales</x:v>
      </x:c>
      <x:c r="J2645" s="9" t="str">
        <x:v>Family Law</x:v>
      </x:c>
      <x:c r="K2645" s="9" t="str">
        <x:v>-ew-cases-EWCA-Civ-2017-1889.xml</x:v>
      </x:c>
      <x:c r="L2645" s="9" t="str">
        <x:v>TBA</x:v>
      </x:c>
    </x:row>
    <x:row r="2646">
      <x:c r="A2646" t="str">
        <x:v>48ae2285-5362-49db-be2a-2f54604cdc3b</x:v>
      </x:c>
      <x:c r="B2646" t="str">
        <x:v>dc5968bf-cb41-465d-9e58-a17a49b73d17</x:v>
      </x:c>
      <x:c r="C2646" s="9" t="str">
        <x:v>Rea &amp; Ors v Rea [2022] EWCA Civ 195</x:v>
      </x:c>
      <x:c r="D2646" s="9" t="str"/>
      <x:c r="E2646" s="9" t="str"/>
      <x:c r="F2646" s="13" t="str">
        <x:v>2022</x:v>
      </x:c>
      <x:c r="G2646" s="9" t="str">
        <x:v>England and Wales Court of Appeal (Civil Division)</x:v>
      </x:c>
      <x:c r="H2646" s="9" t="str">
        <x:v>Court of Appeal (Civil Division)</x:v>
      </x:c>
      <x:c r="I2646" s="9" t="str">
        <x:v>England and Wales</x:v>
      </x:c>
      <x:c r="J2646" s="9" t="str">
        <x:v>Probate and Will disputes; Civil Procedure; Appellate review</x:v>
      </x:c>
      <x:c r="K2646" s="9" t="str">
        <x:v>ew-cases-EWCA-Civ-2022-195.xml</x:v>
      </x:c>
      <x:c r="L2646" s="9" t="str">
        <x:v>TBA</x:v>
      </x:c>
    </x:row>
    <x:row r="2647">
      <x:c r="A2647" t="str">
        <x:v>4cf4f26b-efe2-42f5-b58e-e5b4541164cc</x:v>
      </x:c>
      <x:c r="B2647" t="str">
        <x:v>0e19c98e-4d68-414a-9cc1-d1a0c7b2476a</x:v>
      </x:c>
      <x:c r="C2647" s="9" t="str">
        <x:v>Reaney v University Hospital of North Staffordshire NHS Trust &amp; Anor [2015] EWCA Civ 1119</x:v>
      </x:c>
      <x:c r="D2647" s="9" t="str"/>
      <x:c r="E2647" s="9" t="str"/>
      <x:c r="F2647" s="13" t="str">
        <x:v>2015</x:v>
      </x:c>
      <x:c r="G2647" s="9" t="str">
        <x:v>England and Wales Court of Appeal (Civil Division)</x:v>
      </x:c>
      <x:c r="H2647" s="9" t="str">
        <x:v>Appellate</x:v>
      </x:c>
      <x:c r="I2647" s="9" t="str">
        <x:v>England and Wales</x:v>
      </x:c>
      <x:c r="J2647" s="9" t="str">
        <x:v>Tort</x:v>
      </x:c>
      <x:c r="K2647" s="9" t="str">
        <x:v>-ew-cases-EWCA-Civ-2015-1119.xml</x:v>
      </x:c>
      <x:c r="L2647" s="9" t="str">
        <x:v>TBA</x:v>
      </x:c>
    </x:row>
    <x:row r="2648">
      <x:c r="A2648" t="str">
        <x:v>89d91b34-463d-49b0-aff4-9ad1420e080b</x:v>
      </x:c>
      <x:c r="B2648" t="str">
        <x:v>548709e2-c104-4970-8b4e-4a333bc3581d</x:v>
      </x:c>
      <x:c r="C2648" s="9" t="str">
        <x:v>Recall Support Services Ltd &amp; Ors v Secretary of State for Culture, Media and Sport</x:v>
      </x:c>
      <x:c r="D2648" s="9" t="str"/>
      <x:c r="E2648" s="9" t="str"/>
      <x:c r="F2648" s="13" t="str">
        <x:v>2014</x:v>
      </x:c>
      <x:c r="G2648" s="9" t="str">
        <x:v>England and Wales Court of Appeal (Civil Division)</x:v>
      </x:c>
      <x:c r="H2648" s="9" t="str">
        <x:v>Court of Appeal, Civil Division</x:v>
      </x:c>
      <x:c r="I2648" s="9" t="str">
        <x:v>England and Wales</x:v>
      </x:c>
      <x:c r="J2648" s="9" t="str">
        <x:v>Administrative Law</x:v>
      </x:c>
      <x:c r="K2648" s="9" t="str">
        <x:v>-ew-cases-EWCA-Civ-2014-1370.xml</x:v>
      </x:c>
      <x:c r="L2648" s="9" t="str">
        <x:v>TBA</x:v>
      </x:c>
    </x:row>
    <x:row r="2649">
      <x:c r="A2649" t="str">
        <x:v>4af81f02-0e09-489a-80f4-a10c3a9026fd</x:v>
      </x:c>
      <x:c r="B2649" t="str">
        <x:v>8083fc20-0741-4b1d-bf49-faaaa6530a9a</x:v>
      </x:c>
      <x:c r="C2649" s="9" t="str">
        <x:v>Recovery Partners GP Limited &amp; Anor v Rukhadze &amp; Ors [2023] EWCA Civ 305 (Court of Appeal, Civil Division)</x:v>
      </x:c>
      <x:c r="D2649" s="9" t="str"/>
      <x:c r="E2649" s="9" t="str"/>
      <x:c r="F2649" s="13" t="str">
        <x:v>2023</x:v>
      </x:c>
      <x:c r="G2649" s="9" t="str">
        <x:v>England and Wales Court of Appeal (Civil Division)</x:v>
      </x:c>
      <x:c r="H2649" s="9" t="str">
        <x:v>Appellate (Court of Appeal, Civil Division)</x:v>
      </x:c>
      <x:c r="I2649" s="9" t="str">
        <x:v>England and Wales</x:v>
      </x:c>
      <x:c r="J2649" s="9" t="str">
        <x:v>Equity; Fiduciary duties; Account of profits; Remedies</x:v>
      </x:c>
      <x:c r="K2649" s="9" t="str">
        <x:v>ew-cases-EWCA-Civ-2023-305.xml</x:v>
      </x:c>
      <x:c r="L2649" s="9" t="str">
        <x:v>TBA</x:v>
      </x:c>
    </x:row>
    <x:row r="2650">
      <x:c r="A2650" t="str">
        <x:v>7a6f5936-524a-4c9d-90cc-e25a822304b1</x:v>
      </x:c>
      <x:c r="B2650" t="str">
        <x:v>70a54b3a-6d86-473d-ac2f-607d9cecd2d7</x:v>
      </x:c>
      <x:c r="C2650" s="9" t="str">
        <x:v>Redrow Homes Ltd, R (on the Application of) v Knowsley Metropolitan Borough Council [2014] EWCA Civ 1433</x:v>
      </x:c>
      <x:c r="D2650" s="9" t="str"/>
      <x:c r="E2650" s="9" t="str"/>
      <x:c r="F2650" s="13" t="str">
        <x:v>2014</x:v>
      </x:c>
      <x:c r="G2650" s="9" t="str">
        <x:v>England and Wales Court of Appeal (Civil Division)</x:v>
      </x:c>
      <x:c r="H2650" s="9" t="str">
        <x:v>Appellate</x:v>
      </x:c>
      <x:c r="I2650" s="9" t="str">
        <x:v>England and Wales</x:v>
      </x:c>
      <x:c r="J2650" s="9" t="str">
        <x:v>Administrative Law</x:v>
      </x:c>
      <x:c r="K2650" s="9" t="str">
        <x:v>-ew-cases-EWCA-Civ-2014-1433.xml</x:v>
      </x:c>
      <x:c r="L2650" s="9" t="str">
        <x:v>TBA</x:v>
      </x:c>
    </x:row>
    <x:row r="2651">
      <x:c r="A2651" t="str">
        <x:v>d3ca2c1b-c8d3-4bb8-8c0a-a6076cc26ac5</x:v>
      </x:c>
      <x:c r="B2651" t="str">
        <x:v>77de6f74-22d2-4440-a98f-3e75819dc938</x:v>
      </x:c>
      <x:c r="C2651" s="9" t="str">
        <x:v>Reed Elsevier UK Ltd (t/a LexisNexis) &amp; Anor v Bewry</x:v>
      </x:c>
      <x:c r="D2651" s="9" t="str"/>
      <x:c r="E2651" s="9" t="str"/>
      <x:c r="F2651" s="13" t="str">
        <x:v>2014</x:v>
      </x:c>
      <x:c r="G2651" s="9" t="str">
        <x:v>England and Wales Court of Appeal (Civil Division)</x:v>
      </x:c>
      <x:c r="H2651" s="9" t="str">
        <x:v>Appellate</x:v>
      </x:c>
      <x:c r="I2651" s="9" t="str">
        <x:v>England and Wales</x:v>
      </x:c>
      <x:c r="J2651" s="9" t="str">
        <x:v>Defamation</x:v>
      </x:c>
      <x:c r="K2651" s="9" t="str">
        <x:v>-ew-cases-EWCA-Civ-2014-1411.xml</x:v>
      </x:c>
      <x:c r="L2651" s="9" t="str">
        <x:v>TBA</x:v>
      </x:c>
    </x:row>
    <x:row r="2652">
      <x:c r="A2652" t="str">
        <x:v>e88001d0-6ae2-44e0-b8e5-5ee2a5f382a8</x:v>
      </x:c>
      <x:c r="B2652" t="str">
        <x:v>5c2719bb-df7d-4d55-a473-dd5087c1d2e8</x:v>
      </x:c>
      <x:c r="C2652" s="9" t="str">
        <x:v>Reed Employment Ltd v HM Revenue and Customs</x:v>
      </x:c>
      <x:c r="D2652" s="9" t="str"/>
      <x:c r="E2652" s="9" t="str"/>
      <x:c r="F2652" s="13" t="str">
        <x:v>2014</x:v>
      </x:c>
      <x:c r="G2652" s="9" t="str">
        <x:v>England and Wales Court of Appeal (Civil Division)</x:v>
      </x:c>
      <x:c r="H2652" s="9" t="str">
        <x:v>Appellate</x:v>
      </x:c>
      <x:c r="I2652" s="9" t="str">
        <x:v>England and Wales</x:v>
      </x:c>
      <x:c r="J2652" s="9" t="str">
        <x:v>Financial Regulation</x:v>
      </x:c>
      <x:c r="K2652" s="9" t="str">
        <x:v>-ew-cases-EWCA-Civ-2014-32.xml</x:v>
      </x:c>
      <x:c r="L2652" s="9" t="str">
        <x:v>TBA</x:v>
      </x:c>
    </x:row>
    <x:row r="2653">
      <x:c r="A2653" t="str">
        <x:v>46fde0af-64d3-40f3-831d-93ef1b7d5636</x:v>
      </x:c>
      <x:c r="B2653" t="str">
        <x:v>0d8befb1-5805-4af4-bd72-aee8af719258</x:v>
      </x:c>
      <x:c r="C2653" s="9" t="str">
        <x:v>Reed Employment Plc &amp; Ors v HM Revenue and Customs</x:v>
      </x:c>
      <x:c r="D2653" s="9" t="str"/>
      <x:c r="E2653" s="9" t="str"/>
      <x:c r="F2653" s="13" t="str">
        <x:v>2015</x:v>
      </x:c>
      <x:c r="G2653" s="9" t="str">
        <x:v>England and Wales Court of Appeal (Civil Division)</x:v>
      </x:c>
      <x:c r="H2653" s="9" t="str">
        <x:v>Appellate</x:v>
      </x:c>
      <x:c r="I2653" s="9" t="str">
        <x:v>England and Wales</x:v>
      </x:c>
      <x:c r="J2653" s="9" t="str">
        <x:v>Tax Law</x:v>
      </x:c>
      <x:c r="K2653" s="9" t="str">
        <x:v>-ew-cases-EWCA-Civ-2015-805.xml</x:v>
      </x:c>
      <x:c r="L2653" s="9" t="str">
        <x:v>TBA</x:v>
      </x:c>
    </x:row>
    <x:row r="2654">
      <x:c r="A2654" t="str">
        <x:v>0fa11176-957f-46c4-811c-eba82e143aca</x:v>
      </x:c>
      <x:c r="B2654" t="str">
        <x:v>572ff279-a32e-4a07-9b6a-ab02b2990115</x:v>
      </x:c>
      <x:c r="C2654" s="9" t="str">
        <x:v>Reed v The Secretary of State for Communities and Local Government &amp; Anor [2014] EWCA Civ 241</x:v>
      </x:c>
      <x:c r="D2654" s="9" t="str"/>
      <x:c r="E2654" s="9" t="str"/>
      <x:c r="F2654" s="13" t="str">
        <x:v>2014</x:v>
      </x:c>
      <x:c r="G2654" s="9" t="str">
        <x:v>England and Wales Court of Appeal (Civil Division)</x:v>
      </x:c>
      <x:c r="H2654" s="9" t="str">
        <x:v>Appellate</x:v>
      </x:c>
      <x:c r="I2654" s="9" t="str">
        <x:v>England and Wales</x:v>
      </x:c>
      <x:c r="J2654" s="9" t="str">
        <x:v>Administrative Law</x:v>
      </x:c>
      <x:c r="K2654" s="9" t="str">
        <x:v>-ew-cases-EWCA-Civ-2014-241.xml</x:v>
      </x:c>
      <x:c r="L2654" s="9" t="str">
        <x:v>TBA</x:v>
      </x:c>
    </x:row>
    <x:row r="2655">
      <x:c r="A2655" t="str">
        <x:v>fc9f17f7-882d-48e5-97bc-65f2e57b97bd</x:v>
      </x:c>
      <x:c r="B2655" t="str">
        <x:v>996671fb-7337-4364-acf7-ecaf124007c4</x:v>
      </x:c>
      <x:c r="C2655" s="9" t="str">
        <x:v>Rees v Commissioner of Police of the Metropolis [2021] EWCA Civ 49</x:v>
      </x:c>
      <x:c r="D2655" s="9" t="str"/>
      <x:c r="E2655" s="9" t="str"/>
      <x:c r="F2655" s="13" t="str">
        <x:v>2021</x:v>
      </x:c>
      <x:c r="G2655" s="9" t="str">
        <x:v>England and Wales Court of Appeal (Civil Division)</x:v>
      </x:c>
      <x:c r="H2655" s="9" t="str">
        <x:v>Appellate</x:v>
      </x:c>
      <x:c r="I2655" s="9" t="str">
        <x:v>England and Wales</x:v>
      </x:c>
      <x:c r="J2655" s="9" t="str">
        <x:v>Civil Procedure</x:v>
      </x:c>
      <x:c r="K2655" s="9" t="str">
        <x:v>ew-cases-EWCA-Civ-2021-49.xml</x:v>
      </x:c>
      <x:c r="L2655" s="9" t="str">
        <x:v>TBA</x:v>
      </x:c>
    </x:row>
    <x:row r="2656">
      <x:c r="A2656" t="str">
        <x:v>be70fe1e-7f75-46d4-add3-391bbf650511</x:v>
      </x:c>
      <x:c r="B2656" t="str">
        <x:v>2913c743-d430-4ae7-963f-3711ae59c04e</x:v>
      </x:c>
      <x:c r="C2656" s="9" t="str">
        <x:v>Rees v Gateley Wareing (A Firm) &amp; Ors</x:v>
      </x:c>
      <x:c r="D2656" s="9" t="str"/>
      <x:c r="E2656" s="9" t="str"/>
      <x:c r="F2656" s="13" t="str">
        <x:v>2014</x:v>
      </x:c>
      <x:c r="G2656" s="9" t="str">
        <x:v>England and Wales Court of Appeal (Civil Division)</x:v>
      </x:c>
      <x:c r="H2656" s="9" t="str">
        <x:v>Appellate</x:v>
      </x:c>
      <x:c r="I2656" s="9" t="str">
        <x:v>England and Wales</x:v>
      </x:c>
      <x:c r="J2656" s="9" t="str">
        <x:v>Contract Dispute</x:v>
      </x:c>
      <x:c r="K2656" s="9" t="str">
        <x:v>-ew-cases-EWCA-Civ-2014-1351.xml</x:v>
      </x:c>
      <x:c r="L2656" s="9" t="str">
        <x:v>TBA</x:v>
      </x:c>
    </x:row>
    <x:row r="2657">
      <x:c r="A2657" t="str">
        <x:v>10f92580-b003-4184-8591-94e848ae306a</x:v>
      </x:c>
      <x:c r="B2657" t="str">
        <x:v>11e19665-6bc8-45ce-85f2-40a433dc32d1</x:v>
      </x:c>
      <x:c r="C2657" s="9" t="str">
        <x:v>Reeve v Reeve [2015] EWCA Civ 616</x:v>
      </x:c>
      <x:c r="D2657" s="9" t="str"/>
      <x:c r="E2657" s="9" t="str"/>
      <x:c r="F2657" s="13" t="str">
        <x:v>2015</x:v>
      </x:c>
      <x:c r="G2657" s="9" t="str">
        <x:v>England and Wales Court of Appeal (Civil Division)</x:v>
      </x:c>
      <x:c r="H2657" s="9" t="str">
        <x:v>Appellate</x:v>
      </x:c>
      <x:c r="I2657" s="9" t="str">
        <x:v>England and Wales</x:v>
      </x:c>
      <x:c r="J2657" s="9" t="str">
        <x:v>Family Law</x:v>
      </x:c>
      <x:c r="K2657" s="9" t="str">
        <x:v>-ew-cases-EWCA-Civ-2015-616.xml</x:v>
      </x:c>
      <x:c r="L2657" s="9" t="str">
        <x:v>TBA</x:v>
      </x:c>
    </x:row>
    <x:row r="2658">
      <x:c r="A2658" t="str">
        <x:v>905fce48-d3b1-4078-a0df-32c3d181e8df</x:v>
      </x:c>
      <x:c r="B2658" t="str">
        <x:v>bfa85128-3daf-4206-8d8f-d2dc5f32ab27</x:v>
      </x:c>
      <x:c r="C2658" s="9" t="str">
        <x:v>Regency Factors Plc v HM Revenue &amp; Customs (Rev1) [2022] EWCA Civ 103</x:v>
      </x:c>
      <x:c r="D2658" s="9" t="str"/>
      <x:c r="E2658" s="9" t="str"/>
      <x:c r="F2658" s="13" t="str">
        <x:v>2022</x:v>
      </x:c>
      <x:c r="G2658" s="9" t="str">
        <x:v>England and Wales Court of Appeal (Civil Division)</x:v>
      </x:c>
      <x:c r="H2658" s="9" t="str">
        <x:v>Court of Appeal (Civil Division)</x:v>
      </x:c>
      <x:c r="I2658" s="9" t="str">
        <x:v>England and Wales</x:v>
      </x:c>
      <x:c r="J2658" s="9" t="str">
        <x:v>Tax; Administrative Law</x:v>
      </x:c>
      <x:c r="K2658" s="9" t="str">
        <x:v>ew-cases-EWCA-Civ-2022-103.xml</x:v>
      </x:c>
      <x:c r="L2658" s="9" t="str">
        <x:v>TBA</x:v>
      </x:c>
    </x:row>
    <x:row r="2659">
      <x:c r="A2659" t="str">
        <x:v>388ef963-2616-4d7f-a5fd-8fc11ba2dea2</x:v>
      </x:c>
      <x:c r="B2659" t="str">
        <x:v>fae3b9ca-31c0-48f8-9cb7-8f601791da60</x:v>
      </x:c>
      <x:c r="C2659" s="9" t="str">
        <x:v>Regency Villas Title Ltd &amp; Ors v Diamond Resorts (Europe) Ltd &amp; Anor [2017] EWCA Civ 238</x:v>
      </x:c>
      <x:c r="D2659" s="9" t="str"/>
      <x:c r="E2659" s="9" t="str"/>
      <x:c r="F2659" s="13" t="str">
        <x:v>2017</x:v>
      </x:c>
      <x:c r="G2659" s="9" t="str">
        <x:v>England and Wales Court of Appeal (Civil Division)</x:v>
      </x:c>
      <x:c r="H2659" s="9" t="str">
        <x:v>Appellate</x:v>
      </x:c>
      <x:c r="I2659" s="9" t="str">
        <x:v>England and Wales</x:v>
      </x:c>
      <x:c r="J2659" s="9" t="str">
        <x:v>Property Law</x:v>
      </x:c>
      <x:c r="K2659" s="9" t="str">
        <x:v>-ew-cases-EWCA-Civ-2017-238.xml</x:v>
      </x:c>
      <x:c r="L2659" s="9" t="str">
        <x:v>TBA</x:v>
      </x:c>
    </x:row>
    <x:row r="2660">
      <x:c r="A2660" t="str">
        <x:v>a720fd6d-16e9-4bdd-9fcb-0851a7b6b874</x:v>
      </x:c>
      <x:c r="B2660" t="str">
        <x:v>a843b369-e386-4fe0-a9cb-585a65048cc1</x:v>
      </x:c>
      <x:c r="C2660" s="9" t="str">
        <x:v>Regent Wealth Ltd &amp; Ors v Wiggins [2014] EWCA Civ 1078</x:v>
      </x:c>
      <x:c r="D2660" s="9" t="str"/>
      <x:c r="E2660" s="9" t="str"/>
      <x:c r="F2660" s="13" t="str">
        <x:v>2014</x:v>
      </x:c>
      <x:c r="G2660" s="9" t="str">
        <x:v>England and Wales Court of Appeal (Civil Division)</x:v>
      </x:c>
      <x:c r="H2660" s="9" t="str">
        <x:v>Appellate</x:v>
      </x:c>
      <x:c r="I2660" s="9" t="str">
        <x:v>England and Wales</x:v>
      </x:c>
      <x:c r="J2660" s="9" t="str">
        <x:v>Property Law</x:v>
      </x:c>
      <x:c r="K2660" s="9" t="str">
        <x:v>-ew-cases-EWCA-Civ-2014-1078.xml</x:v>
      </x:c>
      <x:c r="L2660" s="9" t="str">
        <x:v>TBA</x:v>
      </x:c>
    </x:row>
    <x:row r="2661">
      <x:c r="A2661" t="str">
        <x:v>e34a7741-5406-4068-8c3a-f186f932212c</x:v>
      </x:c>
      <x:c r="B2661" t="str">
        <x:v>25d5fa5c-eed7-49a3-8a1a-2edb58d54107</x:v>
      </x:c>
      <x:c r="C2661" s="9" t="str">
        <x:v>Regina v Liam Kingswell (R. v Kingswell) [2022] EWCA Crim 814</x:v>
      </x:c>
      <x:c r="D2661" s="9" t="str"/>
      <x:c r="E2661" s="9" t="str"/>
      <x:c r="F2661" s="13" t="str">
        <x:v>2022</x:v>
      </x:c>
      <x:c r="G2661" s="9" t="str">
        <x:v>England and Wales Court of Appeal (Criminal Division)</x:v>
      </x:c>
      <x:c r="H2661" s="9" t="str">
        <x:v>Court of Appeal (Criminal Division)</x:v>
      </x:c>
      <x:c r="I2661" s="9" t="str">
        <x:v>England and Wales</x:v>
      </x:c>
      <x:c r="J2661" s="9" t="str">
        <x:v>Criminal Law - Sentencing</x:v>
      </x:c>
      <x:c r="K2661" s="9" t="str">
        <x:v>ew-cases-EWCA-Civ-2022-814.xml</x:v>
      </x:c>
      <x:c r="L2661" s="9" t="str">
        <x:v>TBA</x:v>
      </x:c>
    </x:row>
    <x:row r="2662">
      <x:c r="A2662" t="str">
        <x:v>19cbf240-f82c-44e7-9424-f4d9c65465e3</x:v>
      </x:c>
      <x:c r="B2662" t="str">
        <x:v>379d4f20-62f5-403b-a082-fa36b82fe1c1</x:v>
      </x:c>
      <x:c r="C2662" s="9" t="str">
        <x:v>Regina v. London Borough of Hammersmith and Fulham (Burkett) [2002] UKHL 23</x:v>
      </x:c>
      <x:c r="D2662" s="9" t="str"/>
      <x:c r="E2662" s="9" t="str"/>
      <x:c r="F2662" s="13" t="str">
        <x:v>2002</x:v>
      </x:c>
      <x:c r="G2662" s="9" t="str">
        <x:v>United Kingdom House of Lords</x:v>
      </x:c>
      <x:c r="H2662" s="9" t="str">
        <x:v>House of Lords</x:v>
      </x:c>
      <x:c r="I2662" s="9" t="str">
        <x:v>United Kingdom</x:v>
      </x:c>
      <x:c r="J2662" s="9" t="str">
        <x:v>Administrative Law</x:v>
      </x:c>
      <x:c r="K2662" s="9" t="str">
        <x:v>PT_UKHL_2002_23.xml</x:v>
      </x:c>
      <x:c r="L2662" s="9" t="str">
        <x:v>TBA</x:v>
      </x:c>
    </x:row>
    <x:row r="2663">
      <x:c r="A2663" t="str">
        <x:v>69c892c0-269d-4dbd-a8e5-1c42757b9d94</x:v>
      </x:c>
      <x:c r="B2663" t="str">
        <x:v>e759841f-483e-4040-b715-eef54ef6f5ea</x:v>
      </x:c>
      <x:c r="C2663" s="9" t="str">
        <x:v>Regina v. Soneji &amp; Anor [2005] UKHL 49: Confiscation Orders and Procedural Compliance</x:v>
      </x:c>
      <x:c r="D2663" s="9" t="str"/>
      <x:c r="E2663" s="9" t="str"/>
      <x:c r="F2663" s="13" t="str">
        <x:v>2005</x:v>
      </x:c>
      <x:c r="G2663" s="9" t="str">
        <x:v>United Kingdom House of Lords</x:v>
      </x:c>
      <x:c r="H2663" s="9" t="str">
        <x:v>House of Lords</x:v>
      </x:c>
      <x:c r="I2663" s="9" t="str">
        <x:v>England and Wales</x:v>
      </x:c>
      <x:c r="J2663" s="9" t="str">
        <x:v>Criminal Law</x:v>
      </x:c>
      <x:c r="K2663" s="9" t="str">
        <x:v>PT_UKHL_2005_49.xml</x:v>
      </x:c>
      <x:c r="L2663" s="9" t="str">
        <x:v>TBA</x:v>
      </x:c>
    </x:row>
    <x:row r="2664">
      <x:c r="A2664" t="str">
        <x:v>f0504154-21ca-48e9-99c3-a5333fceb9bc</x:v>
      </x:c>
      <x:c r="B2664" t="str">
        <x:v>fcaf7d14-e70a-4de2-9d49-1ff20699b55a</x:v>
      </x:c>
      <x:c r="C2664" s="9" t="str">
        <x:v>Regione Piemonte v Dexia Crediop SpA [2014] EWCA Civ 1298</x:v>
      </x:c>
      <x:c r="D2664" s="9" t="str"/>
      <x:c r="E2664" s="9" t="str"/>
      <x:c r="F2664" s="13" t="str">
        <x:v>2014</x:v>
      </x:c>
      <x:c r="G2664" s="9" t="str">
        <x:v>England and Wales Court of Appeal (Civil Division)</x:v>
      </x:c>
      <x:c r="H2664" s="9" t="str">
        <x:v>Appellate</x:v>
      </x:c>
      <x:c r="I2664" s="9" t="str">
        <x:v>England and Wales</x:v>
      </x:c>
      <x:c r="J2664" s="9" t="str">
        <x:v>Commercial Law</x:v>
      </x:c>
      <x:c r="K2664" s="9" t="str">
        <x:v>-ew-cases-EWCA-Civ-2014-1298.xml</x:v>
      </x:c>
      <x:c r="L2664" s="9" t="str">
        <x:v>TBA</x:v>
      </x:c>
    </x:row>
    <x:row r="2665">
      <x:c r="A2665" t="str">
        <x:v>c0ba4462-84c9-4be2-896c-8a6a541d7648</x:v>
      </x:c>
      <x:c r="B2665" t="str">
        <x:v>ad379907-051f-4f48-80f2-4347995a5002</x:v>
      </x:c>
      <x:c r="C2665" s="9" t="str">
        <x:v>Rehill v Rider Holdings Ltd</x:v>
      </x:c>
      <x:c r="D2665" s="9" t="str"/>
      <x:c r="E2665" s="9" t="str"/>
      <x:c r="F2665" s="13" t="str">
        <x:v>2014</x:v>
      </x:c>
      <x:c r="G2665" s="9" t="str">
        <x:v>England and Wales Court of Appeal (Civil Division)</x:v>
      </x:c>
      <x:c r="H2665" s="9" t="str">
        <x:v>appellate</x:v>
      </x:c>
      <x:c r="I2665" s="9" t="str">
        <x:v>England and Wales</x:v>
      </x:c>
      <x:c r="J2665" s="9" t="str">
        <x:v>Personal Injury</x:v>
      </x:c>
      <x:c r="K2665" s="9" t="str">
        <x:v>-ew-cases-EWCA-Civ-2014-42.xml</x:v>
      </x:c>
      <x:c r="L2665" s="9" t="str">
        <x:v>TBA</x:v>
      </x:c>
    </x:row>
    <x:row r="2666">
      <x:c r="A2666" t="str">
        <x:v>8a0319e9-aad0-4bb8-9c28-9594cb793696</x:v>
      </x:c>
      <x:c r="B2666" t="str">
        <x:v>1f82689e-4964-4681-9f30-5bf71b6d8288</x:v>
      </x:c>
      <x:c r="C2666" s="9" t="str">
        <x:v>Rehman v T Class Security Ltd</x:v>
      </x:c>
      <x:c r="D2666" s="9" t="str"/>
      <x:c r="E2666" s="9" t="str"/>
      <x:c r="F2666" s="13" t="str">
        <x:v>2015</x:v>
      </x:c>
      <x:c r="G2666" s="9" t="str">
        <x:v>England and Wales Court of Appeal (Civil Division)</x:v>
      </x:c>
      <x:c r="H2666" s="9" t="str">
        <x:v>Appellate</x:v>
      </x:c>
      <x:c r="I2666" s="9" t="str">
        <x:v>England and Wales</x:v>
      </x:c>
      <x:c r="J2666" s="9" t="str">
        <x:v>Employment Law</x:v>
      </x:c>
      <x:c r="K2666" s="9" t="str">
        <x:v>-ew-cases-EWCA-Civ-2015-981.xml</x:v>
      </x:c>
      <x:c r="L2666" s="9" t="str">
        <x:v>TBA</x:v>
      </x:c>
    </x:row>
    <x:row r="2667">
      <x:c r="A2667" t="str">
        <x:v>f890b83e-ba50-4a12-971a-c105e76edf64</x:v>
      </x:c>
      <x:c r="B2667" t="str">
        <x:v>4c101ec5-ad69-45f5-a144-3642794ef2f3</x:v>
      </x:c>
      <x:c r="C2667" s="9" t="str">
        <x:v>Reid v Secretary of State for the Home Department [2021] EWCA Civ 1158</x:v>
      </x:c>
      <x:c r="D2667" s="9" t="str"/>
      <x:c r="E2667" s="9" t="str"/>
      <x:c r="F2667" s="13" t="str">
        <x:v>2021</x:v>
      </x:c>
      <x:c r="G2667" s="9" t="str">
        <x:v>England and Wales Court of Appeal (Civil Division)</x:v>
      </x:c>
      <x:c r="H2667" s="9" t="str">
        <x:v>Appellate</x:v>
      </x:c>
      <x:c r="I2667" s="9" t="str">
        <x:v>England and Wales</x:v>
      </x:c>
      <x:c r="J2667" s="9" t="str">
        <x:v>Immigration Law</x:v>
      </x:c>
      <x:c r="K2667" s="9" t="str">
        <x:v>ew-cases-EWCA-Civ-2021-1158.xml</x:v>
      </x:c>
      <x:c r="L2667" s="9" t="str">
        <x:v>TBA</x:v>
      </x:c>
    </x:row>
    <x:row r="2668">
      <x:c r="A2668" t="str">
        <x:v>8eaa4b94-844e-4f13-9813-c3fb324f2222</x:v>
      </x:c>
      <x:c r="B2668" t="str">
        <x:v>d1152bb7-20b0-4217-a91b-171203a9484a</x:v>
      </x:c>
      <x:c r="C2668" s="9" t="str">
        <x:v>Reilly and Hewstone v Secretary of State for Work and Pensions [2016] EWCA Civ 413</x:v>
      </x:c>
      <x:c r="D2668" s="9" t="str"/>
      <x:c r="E2668" s="9" t="str"/>
      <x:c r="F2668" s="13" t="str">
        <x:v>2016</x:v>
      </x:c>
      <x:c r="G2668" s="9" t="str">
        <x:v>England and Wales Court of Appeal (Civil Division)</x:v>
      </x:c>
      <x:c r="H2668" s="9" t="str">
        <x:v>Court of Appeal (Civil Division)</x:v>
      </x:c>
      <x:c r="I2668" s="9" t="str">
        <x:v>England and Wales</x:v>
      </x:c>
      <x:c r="J2668" s="9" t="str">
        <x:v>Public Law; Administrative Law; Constitutional Law; Human Rights</x:v>
      </x:c>
      <x:c r="K2668" s="9" t="str">
        <x:v>-ew-cases-EWCA-Civ-2016-413.xml</x:v>
      </x:c>
      <x:c r="L2668" s="9" t="str">
        <x:v>TBA</x:v>
      </x:c>
    </x:row>
    <x:row r="2669">
      <x:c r="A2669" t="str">
        <x:v>8373c749-e623-4dab-ab9a-74b3cdf0cc35</x:v>
      </x:c>
      <x:c r="B2669" t="str">
        <x:v>0c2dec27-7298-4392-ac1d-232b819b6e82</x:v>
      </x:c>
      <x:c r="C2669" s="9" t="str">
        <x:v>Relfo Limited v Varsani [2014] EWCA Civ 360</x:v>
      </x:c>
      <x:c r="D2669" s="9" t="str"/>
      <x:c r="E2669" s="9" t="str"/>
      <x:c r="F2669" s="13" t="str">
        <x:v>2014</x:v>
      </x:c>
      <x:c r="G2669" s="9" t="str">
        <x:v>England and Wales Court of Appeal (Civil Division)</x:v>
      </x:c>
      <x:c r="H2669" s="9" t="str">
        <x:v>Appellate</x:v>
      </x:c>
      <x:c r="I2669" s="9" t="str">
        <x:v>England and Wales</x:v>
      </x:c>
      <x:c r="J2669" s="9" t="str">
        <x:v>Commercial Law</x:v>
      </x:c>
      <x:c r="K2669" s="9" t="str">
        <x:v>-ew-cases-EWCA-Civ-2014-360.xml</x:v>
      </x:c>
      <x:c r="L2669" s="9" t="str">
        <x:v>TBA</x:v>
      </x:c>
    </x:row>
    <x:row r="2670">
      <x:c r="A2670" t="str">
        <x:v>f5e69b55-4e7b-43a2-9f5a-5ab87ce409af</x:v>
      </x:c>
      <x:c r="B2670" t="str">
        <x:v>1f4ab223-a277-4d8a-ab79-35f9f867a4ad</x:v>
      </x:c>
      <x:c r="C2670" s="9" t="str">
        <x:v>Representative Claimants v MGN Ltd [2015] EWCA Civ 1291</x:v>
      </x:c>
      <x:c r="D2670" s="9" t="str"/>
      <x:c r="E2670" s="9" t="str"/>
      <x:c r="F2670" s="13" t="str">
        <x:v>2015</x:v>
      </x:c>
      <x:c r="G2670" s="9" t="str">
        <x:v>England and Wales Court of Appeal (Civil Division)</x:v>
      </x:c>
      <x:c r="H2670" s="9" t="str">
        <x:v>Appellate</x:v>
      </x:c>
      <x:c r="I2670" s="9" t="str">
        <x:v>England and Wales</x:v>
      </x:c>
      <x:c r="J2670" s="9" t="str">
        <x:v>Tort Law</x:v>
      </x:c>
      <x:c r="K2670" s="9" t="str">
        <x:v>-ew-cases-EWCA-Civ-2015-1291.xml</x:v>
      </x:c>
      <x:c r="L2670" s="9" t="str">
        <x:v>TBA</x:v>
      </x:c>
    </x:row>
    <x:row r="2671">
      <x:c r="A2671" t="str">
        <x:v>ee44892d-945f-470a-9680-f98e80909f6f</x:v>
      </x:c>
      <x:c r="B2671" t="str">
        <x:v>fec3b86a-75f6-42f9-8b6c-4c5f561eb3d1</x:v>
      </x:c>
      <x:c r="C2671" s="9" t="str">
        <x:v>Reprieve &amp; Ors, R (On the Application Of) v The Prime Minister</x:v>
      </x:c>
      <x:c r="D2671" s="9" t="str"/>
      <x:c r="E2671" s="9" t="str"/>
      <x:c r="F2671" s="13" t="str">
        <x:v>2021</x:v>
      </x:c>
      <x:c r="G2671" s="9" t="str">
        <x:v>England and Wales Court of Appeal (Civil Division)</x:v>
      </x:c>
      <x:c r="H2671" s="9" t="str">
        <x:v>Appellate</x:v>
      </x:c>
      <x:c r="I2671" s="9" t="str">
        <x:v>England and Wales</x:v>
      </x:c>
      <x:c r="J2671" s="9" t="str">
        <x:v>Administrative Law</x:v>
      </x:c>
      <x:c r="K2671" s="9" t="str">
        <x:v>ew-cases-EWCA-Civ-2021-972.xml</x:v>
      </x:c>
      <x:c r="L2671" s="9" t="str">
        <x:v>TBA</x:v>
      </x:c>
    </x:row>
    <x:row r="2672">
      <x:c r="A2672" t="str">
        <x:v>b4eb1b15-782d-413d-882e-d0fcf5878161</x:v>
      </x:c>
      <x:c r="B2672" t="str">
        <x:v>66a944f8-7985-472a-bc02-dcaa41de4df8</x:v>
      </x:c>
      <x:c r="C2672" s="9" t="str">
        <x:v>Republic of Mozambique v Credit Suisse International &amp; Ors [2021] EWCA Civ 329</x:v>
      </x:c>
      <x:c r="D2672" s="9" t="str"/>
      <x:c r="E2672" s="9" t="str"/>
      <x:c r="F2672" s="13" t="str">
        <x:v>2021</x:v>
      </x:c>
      <x:c r="G2672" s="9" t="str">
        <x:v>England and Wales Court of Appeal (Civil Division)</x:v>
      </x:c>
      <x:c r="H2672" s="9" t="str">
        <x:v>Appellate</x:v>
      </x:c>
      <x:c r="I2672" s="9" t="str">
        <x:v>England and Wales</x:v>
      </x:c>
      <x:c r="J2672" s="9" t="str">
        <x:v>Civil</x:v>
      </x:c>
      <x:c r="K2672" s="9" t="str">
        <x:v>ew-cases-EWCA-Civ-2021-329.xml</x:v>
      </x:c>
      <x:c r="L2672" s="9" t="str">
        <x:v>TBA</x:v>
      </x:c>
    </x:row>
    <x:row r="2673">
      <x:c r="A2673" t="str">
        <x:v>772a5f11-95e4-495f-aa66-12644d55c615</x:v>
      </x:c>
      <x:c r="B2673" t="str">
        <x:v>0440b668-5c42-4aa2-af77-34dc98088648</x:v>
      </x:c>
      <x:c r="C2673" s="9" t="str">
        <x:v>Reveille Independent LLC v Anotech International (UK) Ltd [2016] EWCA Civ 443 (06 May 2016)</x:v>
      </x:c>
      <x:c r="D2673" s="9" t="str"/>
      <x:c r="E2673" s="9" t="str"/>
      <x:c r="F2673" s="13" t="str">
        <x:v>2016</x:v>
      </x:c>
      <x:c r="G2673" s="9" t="str">
        <x:v>England and Wales Court of Appeal (Civil Division)</x:v>
      </x:c>
      <x:c r="H2673" s="9" t="str">
        <x:v>Court of Appeal (Civil Division)</x:v>
      </x:c>
      <x:c r="I2673" s="9" t="str">
        <x:v>England and Wales</x:v>
      </x:c>
      <x:c r="J2673" s="9" t="str">
        <x:v>Contract Law - Commercial Contract Formation</x:v>
      </x:c>
      <x:c r="K2673" s="9" t="str">
        <x:v>-ew-cases-EWCA-Civ-2016-443.xml</x:v>
      </x:c>
      <x:c r="L2673" s="9" t="str">
        <x:v>TBA</x:v>
      </x:c>
    </x:row>
    <x:row r="2674">
      <x:c r="A2674" t="str">
        <x:v>b4424bf7-52ff-4f03-9ed7-74a54448c302</x:v>
      </x:c>
      <x:c r="B2674" t="str">
        <x:v>f088dcd9-a86b-4857-941b-1ba09d92fbc6</x:v>
      </x:c>
      <x:c r="C2674" s="9" t="str">
        <x:v>Revenue &amp; Customs v Gray &amp; Farrar International LLP [2023] EWCA Civ 121</x:v>
      </x:c>
      <x:c r="D2674" s="9" t="str"/>
      <x:c r="E2674" s="9" t="str"/>
      <x:c r="F2674" s="13" t="str">
        <x:v>2023</x:v>
      </x:c>
      <x:c r="G2674" s="9" t="str">
        <x:v>England and Wales Court of Appeal (Civil Division)</x:v>
      </x:c>
      <x:c r="H2674" s="9" t="str">
        <x:v>Court of Appeal (Civil Division)</x:v>
      </x:c>
      <x:c r="I2674" s="9" t="str">
        <x:v>England and Wales</x:v>
      </x:c>
      <x:c r="J2674" s="9" t="str">
        <x:v>Tax Law / VAT</x:v>
      </x:c>
      <x:c r="K2674" s="9" t="str">
        <x:v>ew-cases-EWCA-Civ-2023-121.xml</x:v>
      </x:c>
      <x:c r="L2674" s="9" t="str">
        <x:v>TBA</x:v>
      </x:c>
    </x:row>
    <x:row r="2675">
      <x:c r="A2675" t="str">
        <x:v>7c596b7a-4aa4-4f9e-af38-445ffa8a3b20</x:v>
      </x:c>
      <x:c r="B2675" t="str">
        <x:v>c009622e-9e72-4c9c-a114-e74deba95ac2</x:v>
      </x:c>
      <x:c r="C2675" s="9" t="str">
        <x:v>Revenue and Customs (HMRC) v London Clubs Management Ltd</x:v>
      </x:c>
      <x:c r="D2675" s="9" t="str"/>
      <x:c r="E2675" s="9" t="str"/>
      <x:c r="F2675" s="13" t="str">
        <x:v>2018</x:v>
      </x:c>
      <x:c r="G2675" s="9" t="str">
        <x:v>England and Wales Court of Appeal (Civil Division)</x:v>
      </x:c>
      <x:c r="H2675" s="9" t="str">
        <x:v>Appellate</x:v>
      </x:c>
      <x:c r="I2675" s="9" t="str">
        <x:v>England and Wales</x:v>
      </x:c>
      <x:c r="J2675" s="9" t="str">
        <x:v>Tax Law</x:v>
      </x:c>
      <x:c r="K2675" s="9" t="str">
        <x:v>-ew-cases-EWCA-Civ-2017-2210.xml</x:v>
      </x:c>
      <x:c r="L2675" s="9" t="str">
        <x:v>TBA</x:v>
      </x:c>
    </x:row>
    <x:row r="2676">
      <x:c r="A2676" t="str">
        <x:v>6d0c26f0-ccd9-4f22-bd3c-9a16e4551013</x:v>
      </x:c>
      <x:c r="B2676" t="str">
        <x:v>09b385ca-a300-41e2-ab1c-5887020f3829</x:v>
      </x:c>
      <x:c r="C2676" s="9" t="str">
        <x:v>Revenue And Customs v Ampleaward Ltd [2021] EWCA Civ 1459</x:v>
      </x:c>
      <x:c r="D2676" s="9" t="str"/>
      <x:c r="E2676" s="9" t="str"/>
      <x:c r="F2676" s="13" t="str">
        <x:v>2021</x:v>
      </x:c>
      <x:c r="G2676" s="9" t="str">
        <x:v>England and Wales Court of Appeal (Civil Division)</x:v>
      </x:c>
      <x:c r="H2676" s="9" t="str">
        <x:v>appellate</x:v>
      </x:c>
      <x:c r="I2676" s="9" t="str">
        <x:v>United Kingdom</x:v>
      </x:c>
      <x:c r="J2676" s="9" t="str">
        <x:v>Tax Law</x:v>
      </x:c>
      <x:c r="K2676" s="9" t="str">
        <x:v>ew-cases-EWCA-Civ-2021-1459.xml</x:v>
      </x:c>
      <x:c r="L2676" s="9" t="str">
        <x:v>TBA</x:v>
      </x:c>
    </x:row>
    <x:row r="2677">
      <x:c r="A2677" t="str">
        <x:v>c929e277-f499-4b97-a6f7-ce3834deb1c4</x:v>
      </x:c>
      <x:c r="B2677" t="str">
        <x:v>cbbabcf8-4269-4c67-a6e7-4c29d59a2413</x:v>
      </x:c>
      <x:c r="C2677" s="9" t="str">
        <x:v>Revenue And Customs v Fisher &amp; Ors [2021] EWCA Civ 1438</x:v>
      </x:c>
      <x:c r="D2677" s="9" t="str"/>
      <x:c r="E2677" s="9" t="str"/>
      <x:c r="F2677" s="13" t="str">
        <x:v>2021</x:v>
      </x:c>
      <x:c r="G2677" s="9" t="str">
        <x:v>England and Wales Court of Appeal (Civil Division)</x:v>
      </x:c>
      <x:c r="H2677" s="9" t="str">
        <x:v>Appellate</x:v>
      </x:c>
      <x:c r="I2677" s="9" t="str">
        <x:v>England and Wales</x:v>
      </x:c>
      <x:c r="J2677" s="9" t="str">
        <x:v>Tax Law</x:v>
      </x:c>
      <x:c r="K2677" s="9" t="str">
        <x:v>ew-cases-EWCA-Civ-2021-1438.xml</x:v>
      </x:c>
      <x:c r="L2677" s="9" t="str">
        <x:v>TBA</x:v>
      </x:c>
    </x:row>
    <x:row r="2678">
      <x:c r="A2678" t="str">
        <x:v>072d000a-f993-4e71-8e8b-d1a6731d55d4</x:v>
      </x:c>
      <x:c r="B2678" t="str">
        <x:v>2327feed-b592-4dcf-a1c4-1ea46fd42a00</x:v>
      </x:c>
      <x:c r="C2678" s="9" t="str">
        <x:v>Revenue and Customs v Hutchinson [2017] EWCA Civ 1075</x:v>
      </x:c>
      <x:c r="D2678" s="9" t="str"/>
      <x:c r="E2678" s="9" t="str"/>
      <x:c r="F2678" s="13" t="str">
        <x:v>2017</x:v>
      </x:c>
      <x:c r="G2678" s="9" t="str">
        <x:v>England and Wales Court of Appeal (Civil Division)</x:v>
      </x:c>
      <x:c r="H2678" s="9" t="str">
        <x:v>Appellate</x:v>
      </x:c>
      <x:c r="I2678" s="9" t="str">
        <x:v>United Kingdom</x:v>
      </x:c>
      <x:c r="J2678" s="9" t="str">
        <x:v>Tax Law</x:v>
      </x:c>
      <x:c r="K2678" s="9" t="str">
        <x:v>-ew-cases-EWCA-Civ-2017-1075.xml</x:v>
      </x:c>
      <x:c r="L2678" s="9" t="str">
        <x:v>TBA</x:v>
      </x:c>
    </x:row>
    <x:row r="2679">
      <x:c r="A2679" t="str">
        <x:v>3830304d-1bea-4001-bfe4-9013ca6ab4bc</x:v>
      </x:c>
      <x:c r="B2679" t="str">
        <x:v>2583c42c-d948-4b52-a166-30fbd9f096f4</x:v>
      </x:c>
      <x:c r="C2679" s="9" t="str">
        <x:v>Revenue And Customs v Kishore [2021] EWCA Civ 1565</x:v>
      </x:c>
      <x:c r="D2679" s="9" t="str"/>
      <x:c r="E2679" s="9" t="str"/>
      <x:c r="F2679" s="13" t="str">
        <x:v>2021</x:v>
      </x:c>
      <x:c r="G2679" s="9" t="str">
        <x:v>England and Wales Court of Appeal (Civil Division)</x:v>
      </x:c>
      <x:c r="H2679" s="9" t="str">
        <x:v>Appellate</x:v>
      </x:c>
      <x:c r="I2679" s="9" t="str">
        <x:v>England and Wales</x:v>
      </x:c>
      <x:c r="J2679" s="9" t="str">
        <x:v>Tax Law</x:v>
      </x:c>
      <x:c r="K2679" s="9" t="str">
        <x:v>ew-cases-EWCA-Civ-2021-1565.xml</x:v>
      </x:c>
      <x:c r="L2679" s="9" t="str">
        <x:v>TBA</x:v>
      </x:c>
    </x:row>
    <x:row r="2680">
      <x:c r="A2680" t="str">
        <x:v>2c34b0dd-b345-46de-8047-9b13303b5370</x:v>
      </x:c>
      <x:c r="B2680" t="str">
        <x:v>43ef5de1-aec0-41aa-83ef-7f2ecf54e8b8</x:v>
      </x:c>
      <x:c r="C2680" s="9" t="str">
        <x:v>Revenue and Customs v Lloyds TSB Equipment Leasing (No 1) Ltd [2014] EWCA Civ 1062</x:v>
      </x:c>
      <x:c r="D2680" s="9" t="str"/>
      <x:c r="E2680" s="9" t="str"/>
      <x:c r="F2680" s="13" t="str">
        <x:v>2014</x:v>
      </x:c>
      <x:c r="G2680" s="9" t="str">
        <x:v>England and Wales Court of Appeal (Civil Division)</x:v>
      </x:c>
      <x:c r="H2680" s="9" t="str">
        <x:v>appellate</x:v>
      </x:c>
      <x:c r="I2680" s="9" t="str">
        <x:v>England and Wales</x:v>
      </x:c>
      <x:c r="J2680" s="9" t="str">
        <x:v>Tax Law</x:v>
      </x:c>
      <x:c r="K2680" s="9" t="str">
        <x:v>-ew-cases-EWCA-Civ-2014-1062.xml</x:v>
      </x:c>
      <x:c r="L2680" s="9" t="str">
        <x:v>TBA</x:v>
      </x:c>
    </x:row>
    <x:row r="2681">
      <x:c r="A2681" t="str">
        <x:v>7d92ece0-07c5-4f99-997a-1cd881d32130</x:v>
      </x:c>
      <x:c r="B2681" t="str">
        <x:v>d202a6eb-1ade-4ad2-97e8-565ee51a0123</x:v>
      </x:c>
      <x:c r="C2681" s="9" t="str">
        <x:v>Revenue And Customs v Lomas &amp; Ors (Administrators of Lehman Brothers International (Europe))</x:v>
      </x:c>
      <x:c r="D2681" s="9" t="str"/>
      <x:c r="E2681" s="9" t="str"/>
      <x:c r="F2681" s="13" t="str">
        <x:v>2017</x:v>
      </x:c>
      <x:c r="G2681" s="9" t="str">
        <x:v>England and Wales Court of Appeal (Civil Division)</x:v>
      </x:c>
      <x:c r="H2681" s="9" t="str">
        <x:v>Appellate</x:v>
      </x:c>
      <x:c r="I2681" s="9" t="str">
        <x:v>England and Wales</x:v>
      </x:c>
      <x:c r="J2681" s="9" t="str">
        <x:v>Tax Law</x:v>
      </x:c>
      <x:c r="K2681" s="9" t="str">
        <x:v>-ew-cases-EWCA-Civ-2017-2124.xml</x:v>
      </x:c>
      <x:c r="L2681" s="9" t="str">
        <x:v>TBA</x:v>
      </x:c>
    </x:row>
    <x:row r="2682">
      <x:c r="A2682" t="str">
        <x:v>b2702e48-73c1-457d-8116-b94e0b814e03</x:v>
      </x:c>
      <x:c r="B2682" t="str">
        <x:v>508ac52d-8a70-4403-9e78-8d4631c5a506</x:v>
      </x:c>
      <x:c r="C2682" s="9" t="str">
        <x:v>Revenue and Customs v MCX Dunlin (UK) Ltd</x:v>
      </x:c>
      <x:c r="D2682" s="9" t="str"/>
      <x:c r="E2682" s="9" t="str"/>
      <x:c r="F2682" s="13" t="str">
        <x:v>2021</x:v>
      </x:c>
      <x:c r="G2682" s="9" t="str">
        <x:v>England and Wales Court of Appeal (Civil Division)</x:v>
      </x:c>
      <x:c r="H2682" s="9" t="str">
        <x:v>Appellate</x:v>
      </x:c>
      <x:c r="I2682" s="9" t="str">
        <x:v>England and Wales</x:v>
      </x:c>
      <x:c r="J2682" s="9" t="str">
        <x:v>Tax Law</x:v>
      </x:c>
      <x:c r="K2682" s="9" t="str">
        <x:v>ew-cases-EWCA-Civ-2021-186.xml</x:v>
      </x:c>
      <x:c r="L2682" s="9" t="str">
        <x:v>TBA</x:v>
      </x:c>
    </x:row>
    <x:row r="2683">
      <x:c r="A2683" t="str">
        <x:v>6eaca063-5a7f-489b-a852-8162958e3636</x:v>
      </x:c>
      <x:c r="B2683" t="str">
        <x:v>4ce131bd-2742-476d-a37a-0727c7980ebc</x:v>
      </x:c>
      <x:c r="C2683" s="9" t="str">
        <x:v>Revenue and Customs v Mercedes-Benz Financial Services UK Ltd</x:v>
      </x:c>
      <x:c r="D2683" s="9" t="str"/>
      <x:c r="E2683" s="9" t="str"/>
      <x:c r="F2683" s="13" t="str">
        <x:v>2015</x:v>
      </x:c>
      <x:c r="G2683" s="9" t="str">
        <x:v>England and Wales Court of Appeal (Civil Division)</x:v>
      </x:c>
      <x:c r="H2683" s="9" t="str">
        <x:v>Appellate</x:v>
      </x:c>
      <x:c r="I2683" s="9" t="str">
        <x:v>England and Wales</x:v>
      </x:c>
      <x:c r="J2683" s="9" t="str">
        <x:v>Taxation</x:v>
      </x:c>
      <x:c r="K2683" s="9" t="str">
        <x:v>-ew-cases-EWCA-Civ-2015-1211.xml</x:v>
      </x:c>
      <x:c r="L2683" s="9" t="str">
        <x:v>TBA</x:v>
      </x:c>
    </x:row>
    <x:row r="2684">
      <x:c r="A2684" t="str">
        <x:v>ff038d2d-8c80-4ff3-8344-c97e9381cd16</x:v>
      </x:c>
      <x:c r="B2684" t="str">
        <x:v>0feb7867-8796-4d1b-894f-36fbca1ce471</x:v>
      </x:c>
      <x:c r="C2684" s="9" t="str">
        <x:v>Revenue And Customs v Murphy</x:v>
      </x:c>
      <x:c r="D2684" s="9" t="str"/>
      <x:c r="E2684" s="9" t="str"/>
      <x:c r="F2684" s="13" t="str">
        <x:v>2022</x:v>
      </x:c>
      <x:c r="G2684" s="9" t="str">
        <x:v>England and Wales Court of Appeal (Civil Division)</x:v>
      </x:c>
      <x:c r="H2684" s="9" t="str">
        <x:v>Court of Appeal (Civil Division)</x:v>
      </x:c>
      <x:c r="I2684" s="9" t="str">
        <x:v>England and Wales</x:v>
      </x:c>
      <x:c r="J2684" s="9" t="str">
        <x:v>Tax Law / Employment Income</x:v>
      </x:c>
      <x:c r="K2684" s="9" t="str">
        <x:v>ew-cases-EWCA-Civ-2022-1112.xml</x:v>
      </x:c>
      <x:c r="L2684" s="9" t="str">
        <x:v>TBA</x:v>
      </x:c>
    </x:row>
    <x:row r="2685">
      <x:c r="A2685" t="str">
        <x:v>d4591813-4ea4-4d9c-9462-89364301d5da</x:v>
      </x:c>
      <x:c r="B2685" t="str">
        <x:v>98aa9dac-3d8a-4d23-a731-f1b8c920d82f</x:v>
      </x:c>
      <x:c r="C2685" s="9" t="str">
        <x:v>Revenue and Customs v News Corp UK &amp; Ireland Ltd</x:v>
      </x:c>
      <x:c r="D2685" s="9" t="str"/>
      <x:c r="E2685" s="9" t="str"/>
      <x:c r="F2685" s="13" t="str">
        <x:v>2021</x:v>
      </x:c>
      <x:c r="G2685" s="9" t="str">
        <x:v>England and Wales Court of Appeal (Civil Division)</x:v>
      </x:c>
      <x:c r="H2685" s="9" t="str">
        <x:v>Appellate</x:v>
      </x:c>
      <x:c r="I2685" s="9" t="str">
        <x:v>England and Wales</x:v>
      </x:c>
      <x:c r="J2685" s="9" t="str">
        <x:v>Tax Law</x:v>
      </x:c>
      <x:c r="K2685" s="9" t="str">
        <x:v>ew-cases-EWCA-Civ-2021-91.xml</x:v>
      </x:c>
      <x:c r="L2685" s="9" t="str">
        <x:v>TBA</x:v>
      </x:c>
    </x:row>
    <x:row r="2686">
      <x:c r="A2686" t="str">
        <x:v>7f7c8e4a-2e76-401c-82e0-c712c85cbea3</x:v>
      </x:c>
      <x:c r="B2686" t="str">
        <x:v>8ffc70c8-15a7-424b-a84b-65247c33dac7</x:v>
      </x:c>
      <x:c r="C2686" s="9" t="str">
        <x:v>Revenue and Customs v Perfect [2022] EWCA Civ 330</x:v>
      </x:c>
      <x:c r="D2686" s="9" t="str"/>
      <x:c r="E2686" s="9" t="str"/>
      <x:c r="F2686" s="13" t="str">
        <x:v>2022</x:v>
      </x:c>
      <x:c r="G2686" s="9" t="str">
        <x:v>England and Wales Court of Appeal (Civil Division)</x:v>
      </x:c>
      <x:c r="H2686" s="9" t="str">
        <x:v>Court of Appeal (Civil Division)</x:v>
      </x:c>
      <x:c r="I2686" s="9" t="str">
        <x:v>England and Wales</x:v>
      </x:c>
      <x:c r="J2686" s="9" t="str">
        <x:v>Tax Law</x:v>
      </x:c>
      <x:c r="K2686" s="9" t="str">
        <x:v>ew-cases-EWCA-Civ-2022-330.xml</x:v>
      </x:c>
      <x:c r="L2686" s="9" t="str">
        <x:v>TBA</x:v>
      </x:c>
    </x:row>
    <x:row r="2687">
      <x:c r="A2687" t="str">
        <x:v>89f4815d-5b06-4bda-9534-e3fcd4dfc967</x:v>
      </x:c>
      <x:c r="B2687" t="str">
        <x:v>b76edcda-ee4b-4de3-8adf-69e3cc937584</x:v>
      </x:c>
      <x:c r="C2687" s="9" t="str">
        <x:v>Revenue and Customs v Professional Game Match Officials Ltd</x:v>
      </x:c>
      <x:c r="D2687" s="9" t="str"/>
      <x:c r="E2687" s="9" t="str"/>
      <x:c r="F2687" s="13" t="str">
        <x:v>2021</x:v>
      </x:c>
      <x:c r="G2687" s="9" t="str">
        <x:v>England and Wales Court of Appeal (Civil Division)</x:v>
      </x:c>
      <x:c r="H2687" s="9" t="str">
        <x:v>Appellate</x:v>
      </x:c>
      <x:c r="I2687" s="9" t="str">
        <x:v>England and Wales</x:v>
      </x:c>
      <x:c r="J2687" s="9" t="str">
        <x:v>Tax Law</x:v>
      </x:c>
      <x:c r="K2687" s="9" t="str">
        <x:v>ew-cases-EWCA-Civ-2021-1370.xml</x:v>
      </x:c>
      <x:c r="L2687" s="9" t="str">
        <x:v>TBA</x:v>
      </x:c>
    </x:row>
    <x:row r="2688">
      <x:c r="A2688" t="str">
        <x:v>31114b0f-2f75-41ac-b4f8-6debbfe16fec</x:v>
      </x:c>
      <x:c r="B2688" t="str">
        <x:v>ff706e01-2911-4522-b7e2-4cb4ed7e3992</x:v>
      </x:c>
      <x:c r="C2688" s="9" t="str">
        <x:v>Revenue And Customs v The Open University [2016] EWCA Civ 114</x:v>
      </x:c>
      <x:c r="D2688" s="9" t="str"/>
      <x:c r="E2688" s="9" t="str"/>
      <x:c r="F2688" s="13" t="str">
        <x:v>2016</x:v>
      </x:c>
      <x:c r="G2688" s="9" t="str">
        <x:v>England and Wales Court of Appeal (Civil Division)</x:v>
      </x:c>
      <x:c r="H2688" s="9" t="str">
        <x:v>Court of Appeal (Civil Division)</x:v>
      </x:c>
      <x:c r="I2688" s="9" t="str">
        <x:v>United Kingdom</x:v>
      </x:c>
      <x:c r="J2688" s="9" t="str">
        <x:v>Tax Law / VAT / Public Law</x:v>
      </x:c>
      <x:c r="K2688" s="9" t="str">
        <x:v>-ew-cases-EWCA-Civ-2016-114.xml</x:v>
      </x:c>
      <x:c r="L2688" s="9" t="str">
        <x:v>TBA</x:v>
      </x:c>
    </x:row>
    <x:row r="2689">
      <x:c r="A2689" t="str">
        <x:v>1313e1e3-7ad3-44e7-a264-39c2469f4f23</x:v>
      </x:c>
      <x:c r="B2689" t="str">
        <x:v>f1db17d9-c809-4f44-a350-a7c506f9683c</x:v>
      </x:c>
      <x:c r="C2689" s="9" t="str">
        <x:v>Reyes &amp; Anor v Al-Malki &amp; Anor</x:v>
      </x:c>
      <x:c r="D2689" s="9" t="str"/>
      <x:c r="E2689" s="9" t="str"/>
      <x:c r="F2689" s="13" t="str">
        <x:v>2015</x:v>
      </x:c>
      <x:c r="G2689" s="9" t="str">
        <x:v>England and Wales Court of Appeal (Civil Division)</x:v>
      </x:c>
      <x:c r="H2689" s="9" t="str">
        <x:v>Appellate</x:v>
      </x:c>
      <x:c r="I2689" s="9" t="str">
        <x:v>England and Wales</x:v>
      </x:c>
      <x:c r="J2689" s="9" t="str">
        <x:v>Tort</x:v>
      </x:c>
      <x:c r="K2689" s="9" t="str">
        <x:v>-ew-cases-EWCA-Civ-2015-32.xml</x:v>
      </x:c>
      <x:c r="L2689" s="9" t="str">
        <x:v>TBA</x:v>
      </x:c>
    </x:row>
    <x:row r="2690">
      <x:c r="A2690" t="str">
        <x:v>b66796ed-2250-4845-8572-23e5b6140ebe</x:v>
      </x:c>
      <x:c r="B2690" t="str">
        <x:v>9b0fc4fa-445a-4d1d-8a3f-60ba2845c769</x:v>
      </x:c>
      <x:c r="C2690" s="9" t="str">
        <x:v>RF (Jamaica) &amp; Anor v Secretary of State for the Home Department</x:v>
      </x:c>
      <x:c r="D2690" s="9" t="str"/>
      <x:c r="E2690" s="9" t="str"/>
      <x:c r="F2690" s="13" t="str">
        <x:v>2015</x:v>
      </x:c>
      <x:c r="G2690" s="9" t="str">
        <x:v>England and Wales Court of Appeal (Civil Division)</x:v>
      </x:c>
      <x:c r="H2690" s="9" t="str">
        <x:v>Appellate</x:v>
      </x:c>
      <x:c r="I2690" s="9" t="str">
        <x:v>England and Wales</x:v>
      </x:c>
      <x:c r="J2690" s="9" t="str">
        <x:v>Immigration Law</x:v>
      </x:c>
      <x:c r="K2690" s="9" t="str">
        <x:v>-ew-cases-EWCA-Civ-2015-855.xml</x:v>
      </x:c>
      <x:c r="L2690" s="9" t="str">
        <x:v>TBA</x:v>
      </x:c>
    </x:row>
    <x:row r="2691">
      <x:c r="A2691" t="str">
        <x:v>e9eeaa7e-5c4c-457c-99b4-981b12f295d3</x:v>
      </x:c>
      <x:c r="B2691" t="str">
        <x:v>214cfdf6-8b1c-469d-a5e6-fc4c2e7483a5</x:v>
      </x:c>
      <x:c r="C2691" s="9" t="str">
        <x:v>Rhuppiah v Secretary of State for the Home Department [2016] EWCA Civ 803 (02 August 2016)</x:v>
      </x:c>
      <x:c r="D2691" s="9" t="str"/>
      <x:c r="E2691" s="9" t="str"/>
      <x:c r="F2691" s="13" t="str">
        <x:v>2016</x:v>
      </x:c>
      <x:c r="G2691" s="9" t="str">
        <x:v>England and Wales Court of Appeal (Civil Division)</x:v>
      </x:c>
      <x:c r="H2691" s="9" t="str">
        <x:v>Court of Appeal (Civil Division)</x:v>
      </x:c>
      <x:c r="I2691" s="9" t="str">
        <x:v>England and Wales</x:v>
      </x:c>
      <x:c r="J2691" s="9" t="str">
        <x:v>Immigration Law</x:v>
      </x:c>
      <x:c r="K2691" s="9" t="str">
        <x:v>-ew-cases-EWCA-Civ-2016-803.xml</x:v>
      </x:c>
      <x:c r="L2691" s="9" t="str">
        <x:v>TBA</x:v>
      </x:c>
    </x:row>
    <x:row r="2692">
      <x:c r="A2692" t="str">
        <x:v>54abccd2-7b09-4f91-8626-188012aa041d</x:v>
      </x:c>
      <x:c r="B2692" t="str">
        <x:v>1d367ea7-d512-44af-b32f-2fd22a843299</x:v>
      </x:c>
      <x:c r="C2692" s="9" t="str">
        <x:v>Richards v Wood [2014] EWCA Civ 327</x:v>
      </x:c>
      <x:c r="D2692" s="9" t="str"/>
      <x:c r="E2692" s="9" t="str"/>
      <x:c r="F2692" s="13" t="str">
        <x:v>2014</x:v>
      </x:c>
      <x:c r="G2692" s="9" t="str">
        <x:v>England and Wales Court of Appeal (Civil Division)</x:v>
      </x:c>
      <x:c r="H2692" s="9" t="str">
        <x:v>Appellate Court</x:v>
      </x:c>
      <x:c r="I2692" s="9" t="str">
        <x:v>England and Wales</x:v>
      </x:c>
      <x:c r="J2692" s="9" t="str">
        <x:v>Trust Law</x:v>
      </x:c>
      <x:c r="K2692" s="9" t="str">
        <x:v>-ew-cases-EWCA-Civ-2014-327.xml</x:v>
      </x:c>
      <x:c r="L2692" s="9" t="str">
        <x:v>TBA</x:v>
      </x:c>
    </x:row>
    <x:row r="2693">
      <x:c r="A2693" t="str">
        <x:v>84488e45-6a0b-4e00-b62c-388da946c06d</x:v>
      </x:c>
      <x:c r="B2693" t="str">
        <x:v>0432a8ad-5bac-41b1-921d-a987b949c676</x:v>
      </x:c>
      <x:c r="C2693" s="9" t="str">
        <x:v>Richards v Worcestershire County Council &amp; Anor [2017] EWCA Civ 1998</x:v>
      </x:c>
      <x:c r="D2693" s="9" t="str"/>
      <x:c r="E2693" s="9" t="str"/>
      <x:c r="F2693" s="13" t="str">
        <x:v>2017</x:v>
      </x:c>
      <x:c r="G2693" s="9" t="str">
        <x:v>England and Wales Court of Appeal (Civil Division)</x:v>
      </x:c>
      <x:c r="H2693" s="9" t="str">
        <x:v>Appellate</x:v>
      </x:c>
      <x:c r="I2693" s="9" t="str">
        <x:v>England and Wales</x:v>
      </x:c>
      <x:c r="J2693" s="9" t="str">
        <x:v>Administrative Law</x:v>
      </x:c>
      <x:c r="K2693" s="9" t="str">
        <x:v>-ew-cases-EWCA-Civ-2017-1998.xml</x:v>
      </x:c>
      <x:c r="L2693" s="9" t="str">
        <x:v>TBA</x:v>
      </x:c>
    </x:row>
    <x:row r="2694">
      <x:c r="A2694" t="str">
        <x:v>3aaf96bc-12bb-497f-ae53-2f28cb256c4c</x:v>
      </x:c>
      <x:c r="B2694" t="str">
        <x:v>bc155598-44cf-467a-a330-c3826c92f415</x:v>
      </x:c>
      <x:c r="C2694" s="9" t="str">
        <x:v>Richards, R (On the Application Of) v Teesside Magistrates' Court &amp; Anor</x:v>
      </x:c>
      <x:c r="D2694" s="9" t="str"/>
      <x:c r="E2694" s="9" t="str"/>
      <x:c r="F2694" s="13" t="str">
        <x:v>2015</x:v>
      </x:c>
      <x:c r="G2694" s="9" t="str">
        <x:v>England and Wales Court of Appeal (Civil Division)</x:v>
      </x:c>
      <x:c r="H2694" s="9" t="str">
        <x:v>Appellate</x:v>
      </x:c>
      <x:c r="I2694" s="9" t="str">
        <x:v>England and Wales</x:v>
      </x:c>
      <x:c r="J2694" s="9" t="str">
        <x:v>Administrative Law</x:v>
      </x:c>
      <x:c r="K2694" s="9" t="str">
        <x:v>-ew-cases-EWCA-Civ-2015-7.xml</x:v>
      </x:c>
      <x:c r="L2694" s="9" t="str">
        <x:v>TBA</x:v>
      </x:c>
    </x:row>
    <x:row r="2695">
      <x:c r="A2695" t="str">
        <x:v>a60effcb-2664-4815-af80-d7ff3294355c</x:v>
      </x:c>
      <x:c r="B2695" t="str">
        <x:v>e99652af-372a-448f-8251-a215010e8b3a</x:v>
      </x:c>
      <x:c r="C2695" s="9" t="str">
        <x:v>Richards, R (On the Application Of) v The Environment Agency [2022] EWCA Civ 26</x:v>
      </x:c>
      <x:c r="D2695" s="9" t="str"/>
      <x:c r="E2695" s="9" t="str"/>
      <x:c r="F2695" s="13" t="str">
        <x:v>2022</x:v>
      </x:c>
      <x:c r="G2695" s="9" t="str">
        <x:v>England and Wales Court of Appeal (Civil Division)</x:v>
      </x:c>
      <x:c r="H2695" s="9" t="str">
        <x:v>Court of Appeal (Civil Division)</x:v>
      </x:c>
      <x:c r="I2695" s="9" t="str">
        <x:v>England and Wales</x:v>
      </x:c>
      <x:c r="J2695" s="9" t="str">
        <x:v>Public Law / Administrative Law / Environmental Law</x:v>
      </x:c>
      <x:c r="K2695" s="9" t="str">
        <x:v>ew-cases-EWCA-Civ-2022-26.xml</x:v>
      </x:c>
      <x:c r="L2695" s="9" t="str">
        <x:v>TBA</x:v>
      </x:c>
    </x:row>
    <x:row r="2696">
      <x:c r="A2696" t="str">
        <x:v>ff533fc2-5b1c-4939-bc74-f53ff32b39ee</x:v>
      </x:c>
      <x:c r="B2696" t="str">
        <x:v>9b72e6ff-27c1-45de-a052-9cfc91910dda</x:v>
      </x:c>
      <x:c r="C2696" s="9" t="str">
        <x:v>Richter Gedeon Vegyeszeti Gyar RT v Generics (UK) Ltd (t/a Mylan) [2016] EWCA Civ 410</x:v>
      </x:c>
      <x:c r="D2696" s="9" t="str"/>
      <x:c r="E2696" s="9" t="str"/>
      <x:c r="F2696" s="13" t="str">
        <x:v>2016</x:v>
      </x:c>
      <x:c r="G2696" s="9" t="str">
        <x:v>England and Wales Court of Appeal (Civil Division)</x:v>
      </x:c>
      <x:c r="H2696" s="9" t="str">
        <x:v>Court of Appeal (Civil Division)</x:v>
      </x:c>
      <x:c r="I2696" s="9" t="str">
        <x:v>England and Wales</x:v>
      </x:c>
      <x:c r="J2696" s="9" t="str">
        <x:v>Patent Law</x:v>
      </x:c>
      <x:c r="K2696" s="9" t="str">
        <x:v>-ew-cases-EWCA-Civ-2016-410.xml</x:v>
      </x:c>
      <x:c r="L2696" s="9" t="str">
        <x:v>TBA</x:v>
      </x:c>
    </x:row>
    <x:row r="2697">
      <x:c r="A2697" t="str">
        <x:v>b70c8ba8-7283-4ff7-96dd-d1ec4eb70123</x:v>
      </x:c>
      <x:c r="B2697" t="str">
        <x:v>da7390a1-7f6c-4d46-b285-523e24711478</x:v>
      </x:c>
      <x:c r="C2697" s="9" t="str">
        <x:v>Ridley v Blackpool County Court [2023] EWCA Civ 586</x:v>
      </x:c>
      <x:c r="D2697" s="9" t="str"/>
      <x:c r="E2697" s="9" t="str"/>
      <x:c r="F2697" s="13" t="str">
        <x:v>2023</x:v>
      </x:c>
      <x:c r="G2697" s="9" t="str">
        <x:v>England and Wales Court of Appeal (Civil Division)</x:v>
      </x:c>
      <x:c r="H2697" s="9" t="str">
        <x:v>Court of Appeal (Civil Division)</x:v>
      </x:c>
      <x:c r="I2697" s="9" t="str">
        <x:v>England and Wales</x:v>
      </x:c>
      <x:c r="J2697" s="9" t="str">
        <x:v>Civil Procedure; Judicial Review; Landlord and Tenant</x:v>
      </x:c>
      <x:c r="K2697" s="9" t="str">
        <x:v>ew-cases-EWCA-Civ-2023-586.xml</x:v>
      </x:c>
      <x:c r="L2697" s="9" t="str">
        <x:v>TBA</x:v>
      </x:c>
    </x:row>
    <x:row r="2698">
      <x:c r="A2698" t="str">
        <x:v>83d86100-d85b-44c9-9f72-c3ca6abba72d</x:v>
      </x:c>
      <x:c r="B2698" t="str">
        <x:v>e3ce0dbd-9110-4325-a345-afc8eae0f55c</x:v>
      </x:c>
      <x:c r="C2698" s="9" t="str">
        <x:v>Rights of Women, R (on the application of) v The Lord Chancellor and Secretary of State for Justice [2016] EWCA Civ 91</x:v>
      </x:c>
      <x:c r="D2698" s="9" t="str"/>
      <x:c r="E2698" s="9" t="str"/>
      <x:c r="F2698" s="13" t="str">
        <x:v>2016</x:v>
      </x:c>
      <x:c r="G2698" s="9" t="str">
        <x:v>England and Wales Court of Appeal (Civil Division)</x:v>
      </x:c>
      <x:c r="H2698" s="9" t="str">
        <x:v>Court of Appeal (Civil Division)</x:v>
      </x:c>
      <x:c r="I2698" s="9" t="str">
        <x:v>England and Wales</x:v>
      </x:c>
      <x:c r="J2698" s="9" t="str">
        <x:v>Civil Public Law / Administrative Law (Legal Aid) + Family Law</x:v>
      </x:c>
      <x:c r="K2698" s="9" t="str">
        <x:v>-ew-cases-EWCA-Civ-2016-91.xml</x:v>
      </x:c>
      <x:c r="L2698" s="9" t="str">
        <x:v>TBA</x:v>
      </x:c>
    </x:row>
    <x:row r="2699">
      <x:c r="A2699" t="str">
        <x:v>eb187b44-3b88-4521-b0c3-af4b6603d51c</x:v>
      </x:c>
      <x:c r="B2699" t="str">
        <x:v>e0bf970e-ead5-4285-abbb-6e4cc6731e37</x:v>
      </x:c>
      <x:c r="C2699" s="9" t="str">
        <x:v>Rights: Community: Action v Secretary of State for Housing, Communities and Local Government</x:v>
      </x:c>
      <x:c r="D2699" s="9" t="str"/>
      <x:c r="E2699" s="9" t="str"/>
      <x:c r="F2699" s="13" t="str">
        <x:v>2021</x:v>
      </x:c>
      <x:c r="G2699" s="9" t="str">
        <x:v>England and Wales Court of Appeal (Civil Division)</x:v>
      </x:c>
      <x:c r="H2699" s="9" t="str">
        <x:v>Appellate</x:v>
      </x:c>
      <x:c r="I2699" s="9" t="str">
        <x:v>England and Wales</x:v>
      </x:c>
      <x:c r="J2699" s="9" t="str">
        <x:v>Administrative Law</x:v>
      </x:c>
      <x:c r="K2699" s="9" t="str">
        <x:v>ew-cases-EWCA-Civ-2021-1954.xml</x:v>
      </x:c>
      <x:c r="L2699" s="9" t="str">
        <x:v>TBA</x:v>
      </x:c>
    </x:row>
    <x:row r="2700">
      <x:c r="A2700" t="str">
        <x:v>0ae5a4ca-ff43-42ff-bd2e-8dab32cab884</x:v>
      </x:c>
      <x:c r="B2700" t="str">
        <x:v>0ce57914-b433-4ea0-85e1-6db19c8a9b39</x:v>
      </x:c>
      <x:c r="C2700" s="9" t="str">
        <x:v>Riley v Murray [2022] EWCA Civ 1146</x:v>
      </x:c>
      <x:c r="D2700" s="9" t="str"/>
      <x:c r="E2700" s="9" t="str"/>
      <x:c r="F2700" s="13" t="str">
        <x:v>2022</x:v>
      </x:c>
      <x:c r="G2700" s="9" t="str">
        <x:v>England and Wales Court of Appeal (Civil Division)</x:v>
      </x:c>
      <x:c r="H2700" s="9" t="str">
        <x:v>Court of Appeal (Civil Division)</x:v>
      </x:c>
      <x:c r="I2700" s="9" t="str">
        <x:v>England and Wales</x:v>
      </x:c>
      <x:c r="J2700" s="9" t="str">
        <x:v>Defamation</x:v>
      </x:c>
      <x:c r="K2700" s="9" t="str">
        <x:v>ew-cases-EWCA-Civ-2022-1146.xml</x:v>
      </x:c>
      <x:c r="L2700" s="9" t="str">
        <x:v>TBA</x:v>
      </x:c>
    </x:row>
    <x:row r="2701">
      <x:c r="A2701" t="str">
        <x:v>b06159c7-c0ed-467b-98de-5bbffbfc12ab</x:v>
      </x:c>
      <x:c r="B2701" t="str">
        <x:v>90756194-f981-4e41-97cb-a2e85aad6473</x:v>
      </x:c>
      <x:c r="C2701" s="9" t="str">
        <x:v>Riley v Sivier [2023] EWCA Civ 71</x:v>
      </x:c>
      <x:c r="D2701" s="9" t="str"/>
      <x:c r="E2701" s="9" t="str"/>
      <x:c r="F2701" s="13" t="str">
        <x:v>2023</x:v>
      </x:c>
      <x:c r="G2701" s="9" t="str">
        <x:v>England and Wales Court of Appeal (Civil Division)</x:v>
      </x:c>
      <x:c r="H2701" s="9" t="str">
        <x:v>Court of Appeal (Civil Division)</x:v>
      </x:c>
      <x:c r="I2701" s="9" t="str">
        <x:v>England and Wales</x:v>
      </x:c>
      <x:c r="J2701" s="9" t="str">
        <x:v>Defamation</x:v>
      </x:c>
      <x:c r="K2701" s="9" t="str">
        <x:v>ew-cases-EWCA-Civ-2023-71.xml</x:v>
      </x:c>
      <x:c r="L2701" s="9" t="str">
        <x:v>TBA</x:v>
      </x:c>
    </x:row>
    <x:row r="2702">
      <x:c r="A2702" t="str">
        <x:v>45ae2b59-5ff1-4a44-a9e2-23c44670cd46</x:v>
      </x:c>
      <x:c r="B2702" t="str">
        <x:v>9665ba9c-9d29-42a5-b2a5-fbdb6b1dbcd9</x:v>
      </x:c>
      <x:c r="C2702" s="9" t="str">
        <x:v>Rivertrade Ltd v EMG Finance Ltd &amp; Ors [2015] EWCA Civ 1295</x:v>
      </x:c>
      <x:c r="D2702" s="9" t="str"/>
      <x:c r="E2702" s="9" t="str"/>
      <x:c r="F2702" s="13" t="str">
        <x:v>2015</x:v>
      </x:c>
      <x:c r="G2702" s="9" t="str">
        <x:v>England and Wales Court of Appeal (Civil Division)</x:v>
      </x:c>
      <x:c r="H2702" s="9" t="str">
        <x:v>Appellate</x:v>
      </x:c>
      <x:c r="I2702" s="9" t="str">
        <x:v>England and Wales</x:v>
      </x:c>
      <x:c r="J2702" s="9" t="str">
        <x:v>Contract Dispute</x:v>
      </x:c>
      <x:c r="K2702" s="9" t="str">
        <x:v>-ew-cases-EWCA-Civ-2015-1295.xml</x:v>
      </x:c>
      <x:c r="L2702" s="9" t="str">
        <x:v>TBA</x:v>
      </x:c>
    </x:row>
    <x:row r="2703">
      <x:c r="A2703" t="str">
        <x:v>32da8946-2c91-47d0-9432-c59ad870ed75</x:v>
      </x:c>
      <x:c r="B2703" t="str">
        <x:v>b1f43d5e-8612-4418-b106-a07a92be4eb8</x:v>
      </x:c>
      <x:c r="C2703" s="9" t="str">
        <x:v>Rizan &amp; Anor v Hayes &amp; Anor [2016] EWCA Civ 481</x:v>
      </x:c>
      <x:c r="D2703" s="9" t="str"/>
      <x:c r="E2703" s="9" t="str"/>
      <x:c r="F2703" s="13" t="str">
        <x:v>2016</x:v>
      </x:c>
      <x:c r="G2703" s="9" t="str">
        <x:v>England and Wales Court of Appeal (Civil Division)</x:v>
      </x:c>
      <x:c r="H2703" s="9" t="str">
        <x:v>Court of Appeal (Civil Division)</x:v>
      </x:c>
      <x:c r="I2703" s="9" t="str">
        <x:v>England and Wales</x:v>
      </x:c>
      <x:c r="J2703" s="9" t="str">
        <x:v>Civil Appeal / Tort / Personal Injury / Fraud</x:v>
      </x:c>
      <x:c r="K2703" s="9" t="str">
        <x:v>-ew-cases-EWCA-Civ-2016-481.xml</x:v>
      </x:c>
      <x:c r="L2703" s="9" t="str">
        <x:v>TBA</x:v>
      </x:c>
    </x:row>
    <x:row r="2704">
      <x:c r="A2704" t="str">
        <x:v>cd45ea02-cc3a-46d9-9ebd-a10499a0c1f2</x:v>
      </x:c>
      <x:c r="B2704" t="str">
        <x:v>a02470c1-6fec-4eeb-8217-fb83b744ffc2</x:v>
      </x:c>
      <x:c r="C2704" s="9" t="str">
        <x:v>RJ (Gambia) v Secretary of State for the Home Department [2015] EWCA Civ 1406</x:v>
      </x:c>
      <x:c r="D2704" s="9" t="str"/>
      <x:c r="E2704" s="9" t="str"/>
      <x:c r="F2704" s="13" t="str">
        <x:v>2015</x:v>
      </x:c>
      <x:c r="G2704" s="9" t="str">
        <x:v>England and Wales Court of Appeal (Civil Division)</x:v>
      </x:c>
      <x:c r="H2704" s="9" t="str">
        <x:v>Appellate</x:v>
      </x:c>
      <x:c r="I2704" s="9" t="str">
        <x:v>England and Wales</x:v>
      </x:c>
      <x:c r="J2704" s="9" t="str">
        <x:v>Immigration Law</x:v>
      </x:c>
      <x:c r="K2704" s="9" t="str">
        <x:v>-ew-cases-EWCA-Civ-2015-1406.xml</x:v>
      </x:c>
      <x:c r="L2704" s="9" t="str">
        <x:v>TBA</x:v>
      </x:c>
    </x:row>
    <x:row r="2705">
      <x:c r="A2705" t="str">
        <x:v>27171955-2f94-45ec-9fcd-8240d3eaf3ee</x:v>
      </x:c>
      <x:c r="B2705" t="str">
        <x:v>cb79269c-b3cc-49ca-a840-850bc21ae97f</x:v>
      </x:c>
      <x:c r="C2705" s="9" t="str">
        <x:v>RJG v Secretary of State for the Home Department [2016] EWCA Civ 1042</x:v>
      </x:c>
      <x:c r="D2705" s="9" t="str"/>
      <x:c r="E2705" s="9" t="str"/>
      <x:c r="F2705" s="13" t="str">
        <x:v>2016</x:v>
      </x:c>
      <x:c r="G2705" s="9" t="str">
        <x:v>England and Wales Court of Appeal (Civil Division)</x:v>
      </x:c>
      <x:c r="H2705" s="9" t="str">
        <x:v>Court of Appeal (Civil Division)</x:v>
      </x:c>
      <x:c r="I2705" s="9" t="str">
        <x:v>England and Wales</x:v>
      </x:c>
      <x:c r="J2705" s="9" t="str">
        <x:v>Immigration/Deportation</x:v>
      </x:c>
      <x:c r="K2705" s="9" t="str">
        <x:v>-ew-cases-EWCA-Civ-2016-1042.xml</x:v>
      </x:c>
      <x:c r="L2705" s="9" t="str">
        <x:v>TBA</x:v>
      </x:c>
    </x:row>
    <x:row r="2706">
      <x:c r="A2706" t="str">
        <x:v>0c5a42e9-3d54-4bbd-b171-0bc94b0c7f1c</x:v>
      </x:c>
      <x:c r="B2706" t="str">
        <x:v>6df8e703-8f96-472b-b4bd-92818f16d975</x:v>
      </x:c>
      <x:c r="C2706" s="9" t="str">
        <x:v>RK (Bangladesh) v Secretary of State for the Home Department [2016] EWCA Civ 308</x:v>
      </x:c>
      <x:c r="D2706" s="9" t="str"/>
      <x:c r="E2706" s="9" t="str"/>
      <x:c r="F2706" s="13" t="str">
        <x:v>2016</x:v>
      </x:c>
      <x:c r="G2706" s="9" t="str">
        <x:v>England and Wales Court of Appeal (Civil Division)</x:v>
      </x:c>
      <x:c r="H2706" s="9" t="str">
        <x:v>Court of Appeal (Civil Division)</x:v>
      </x:c>
      <x:c r="I2706" s="9" t="str">
        <x:v>England and Wales</x:v>
      </x:c>
      <x:c r="J2706" s="9" t="str">
        <x:v>Immigration / Administrative Law</x:v>
      </x:c>
      <x:c r="K2706" s="9" t="str">
        <x:v>-ew-cases-EWCA-Civ-2016-308.xml</x:v>
      </x:c>
      <x:c r="L2706" s="9" t="str">
        <x:v>TBA</x:v>
      </x:c>
    </x:row>
    <x:row r="2707">
      <x:c r="A2707" t="str">
        <x:v>f3924d45-40a6-497e-aea8-0884f1e0b336</x:v>
      </x:c>
      <x:c r="B2707" t="str">
        <x:v>44ce11b7-7528-4607-ad5c-af43f3404bd6</x:v>
      </x:c>
      <x:c r="C2707" s="9" t="str">
        <x:v>RL (New Zealand) v SSHD [2015] EWCA Civ 1583</x:v>
      </x:c>
      <x:c r="D2707" s="9" t="str"/>
      <x:c r="E2707" s="9" t="str"/>
      <x:c r="F2707" s="13" t="str">
        <x:v>2015</x:v>
      </x:c>
      <x:c r="G2707" s="9" t="str">
        <x:v>England and Wales Court of Appeal (Civil Division)</x:v>
      </x:c>
      <x:c r="H2707" s="9" t="str">
        <x:v>Appellate</x:v>
      </x:c>
      <x:c r="I2707" s="9" t="str">
        <x:v>England and Wales</x:v>
      </x:c>
      <x:c r="J2707" s="9" t="str">
        <x:v>Immigration Law</x:v>
      </x:c>
      <x:c r="K2707" s="9" t="str">
        <x:v>-ew-cases-EWCA-Civ-2015-1583.xml</x:v>
      </x:c>
      <x:c r="L2707" s="9" t="str">
        <x:v>TBA</x:v>
      </x:c>
    </x:row>
    <x:row r="2708">
      <x:c r="A2708" t="str">
        <x:v>0f4e351b-fc96-4258-b83b-6bdae6836296</x:v>
      </x:c>
      <x:c r="B2708" t="str">
        <x:v>8fdfe6a7-e114-47fa-b005-b94cfd0a5ae4</x:v>
      </x:c>
      <x:c r="C2708" s="9" t="str">
        <x:v>RM (Sierra Leone) v The Secretary of State for the Home Department [2015] EWCA Civ 541</x:v>
      </x:c>
      <x:c r="D2708" s="9" t="str"/>
      <x:c r="E2708" s="9" t="str"/>
      <x:c r="F2708" s="13" t="str">
        <x:v>2015</x:v>
      </x:c>
      <x:c r="G2708" s="9" t="str">
        <x:v>England and Wales Court of Appeal (Civil Division)</x:v>
      </x:c>
      <x:c r="H2708" s="9" t="str">
        <x:v>Appellate</x:v>
      </x:c>
      <x:c r="I2708" s="9" t="str">
        <x:v>England and Wales</x:v>
      </x:c>
      <x:c r="J2708" s="9" t="str">
        <x:v>Immigration Law</x:v>
      </x:c>
      <x:c r="K2708" s="9" t="str">
        <x:v>-ew-cases-EWCA-Civ-2015-541.xml</x:v>
      </x:c>
      <x:c r="L2708" s="9" t="str">
        <x:v>TBA</x:v>
      </x:c>
    </x:row>
    <x:row r="2709">
      <x:c r="A2709" t="str">
        <x:v>84cde931-68cd-422f-b1e8-18858bc15a21</x:v>
      </x:c>
      <x:c r="B2709" t="str">
        <x:v>6b0d6dc4-e59b-48b8-ad66-aa92dec9447d</x:v>
      </x:c>
      <x:c r="C2709" s="9" t="str">
        <x:v>RN (Pakistan) v Secretary of State for the Home Department [2015] EWCA Civ 1411</x:v>
      </x:c>
      <x:c r="D2709" s="9" t="str"/>
      <x:c r="E2709" s="9" t="str"/>
      <x:c r="F2709" s="13" t="str">
        <x:v>2015</x:v>
      </x:c>
      <x:c r="G2709" s="9" t="str">
        <x:v>England and Wales Court of Appeal (Civil Division)</x:v>
      </x:c>
      <x:c r="H2709" s="9" t="str">
        <x:v>Appellate</x:v>
      </x:c>
      <x:c r="I2709" s="9" t="str">
        <x:v>England and Wales</x:v>
      </x:c>
      <x:c r="J2709" s="9" t="str">
        <x:v>Immigration Law</x:v>
      </x:c>
      <x:c r="K2709" s="9" t="str">
        <x:v>-ew-cases-EWCA-Civ-2015-1411.xml</x:v>
      </x:c>
      <x:c r="L2709" s="9" t="str">
        <x:v>TBA</x:v>
      </x:c>
    </x:row>
    <x:row r="2710">
      <x:c r="A2710" t="str">
        <x:v>173b9078-634b-446e-87fb-fed739a73a8d</x:v>
      </x:c>
      <x:c r="B2710" t="str">
        <x:v>2fdeb3d5-a5cd-4c48-9438-38ffe4f4ee02</x:v>
      </x:c>
      <x:c r="C2710" s="9" t="str">
        <x:v>RN v Secretary of State for the Home Department [2014] EWCA Civ 938</x:v>
      </x:c>
      <x:c r="D2710" s="9" t="str"/>
      <x:c r="E2710" s="9" t="str"/>
      <x:c r="F2710" s="13" t="str">
        <x:v>2014</x:v>
      </x:c>
      <x:c r="G2710" s="9" t="str">
        <x:v>England and Wales Court of Appeal (Civil Division)</x:v>
      </x:c>
      <x:c r="H2710" s="9" t="str">
        <x:v>Appellate</x:v>
      </x:c>
      <x:c r="I2710" s="9" t="str">
        <x:v>England and Wales</x:v>
      </x:c>
      <x:c r="J2710" s="9" t="str">
        <x:v>Administrative Law</x:v>
      </x:c>
      <x:c r="K2710" s="9" t="str">
        <x:v>-ew-cases-EWCA-Civ-2014-938.xml</x:v>
      </x:c>
      <x:c r="L2710" s="9" t="str">
        <x:v>TBA</x:v>
      </x:c>
    </x:row>
    <x:row r="2711">
      <x:c r="A2711" t="str">
        <x:v>90a4cce4-549b-46ae-9a1b-f1e17d7f6464</x:v>
      </x:c>
      <x:c r="B2711" t="str">
        <x:v>8f093e9c-3749-46d3-8d06-d77e93f16dc9</x:v>
      </x:c>
      <x:c r="C2711" s="9" t="str">
        <x:v>Robert Hitchins Ltd, R (on the application of) v Worcestershire County Council &amp; Anor [2015] EWCA Civ 1060</x:v>
      </x:c>
      <x:c r="D2711" s="9" t="str"/>
      <x:c r="E2711" s="9" t="str"/>
      <x:c r="F2711" s="13" t="str">
        <x:v>2015</x:v>
      </x:c>
      <x:c r="G2711" s="9" t="str">
        <x:v>England and Wales Court of Appeal (Civil Division)</x:v>
      </x:c>
      <x:c r="H2711" s="9" t="str">
        <x:v>Appellate</x:v>
      </x:c>
      <x:c r="I2711" s="9" t="str">
        <x:v>England and Wales</x:v>
      </x:c>
      <x:c r="J2711" s="9" t="str">
        <x:v>Administrative Law</x:v>
      </x:c>
      <x:c r="K2711" s="9" t="str">
        <x:v>-ew-cases-EWCA-Civ-2015-1060.xml</x:v>
      </x:c>
      <x:c r="L2711" s="9" t="str">
        <x:v>TBA</x:v>
      </x:c>
    </x:row>
    <x:row r="2712">
      <x:c r="A2712" t="str">
        <x:v>57c58e33-d4a3-4ba9-bed1-38e8465c1a67</x:v>
      </x:c>
      <x:c r="B2712" t="str">
        <x:v>33c93a27-d440-4f79-a427-fab19b793d06</x:v>
      </x:c>
      <x:c r="C2712" s="9" t="str">
        <x:v>Roberts &amp; Anor v Fernandez [2016] EWCA Civ 256</x:v>
      </x:c>
      <x:c r="D2712" s="9" t="str"/>
      <x:c r="E2712" s="9" t="str"/>
      <x:c r="F2712" s="13" t="str">
        <x:v>2016</x:v>
      </x:c>
      <x:c r="G2712" s="9" t="str">
        <x:v>England and Wales Court of Appeal (Civil Division)</x:v>
      </x:c>
      <x:c r="H2712" s="9" t="str">
        <x:v>Court of Appeal (Civil Division)</x:v>
      </x:c>
      <x:c r="I2712" s="9" t="str">
        <x:v>England and Wales</x:v>
      </x:c>
      <x:c r="J2712" s="9" t="str">
        <x:v>Leasehold/Property Valuation / Appellate Procedure</x:v>
      </x:c>
      <x:c r="K2712" s="9" t="str">
        <x:v>-ew-cases-EWCA-Civ-2016-256.xml</x:v>
      </x:c>
      <x:c r="L2712" s="9" t="str">
        <x:v>TBA</x:v>
      </x:c>
    </x:row>
    <x:row r="2713">
      <x:c r="A2713" t="str">
        <x:v>ce1becde-2942-4e25-a31b-5590e01e3cda</x:v>
      </x:c>
      <x:c r="B2713" t="str">
        <x:v>171468d2-dfa7-4b81-8b18-384b6779d61d</x:v>
      </x:c>
      <x:c r="C2713" s="9" t="str">
        <x:v>Roberts v The Commissioner of Police of the Metropolis</x:v>
      </x:c>
      <x:c r="D2713" s="9" t="str"/>
      <x:c r="E2713" s="9" t="str"/>
      <x:c r="F2713" s="13" t="str">
        <x:v>2014</x:v>
      </x:c>
      <x:c r="G2713" s="9" t="str">
        <x:v>England and Wales Court of Appeal (Civil Division)</x:v>
      </x:c>
      <x:c r="H2713" s="9" t="str">
        <x:v>appellate</x:v>
      </x:c>
      <x:c r="I2713" s="9" t="str">
        <x:v>England and Wales</x:v>
      </x:c>
      <x:c r="J2713" s="9" t="str">
        <x:v>Constitutional Law</x:v>
      </x:c>
      <x:c r="K2713" s="9" t="str">
        <x:v>-ew-cases-EWCA-Civ-2014-69.xml</x:v>
      </x:c>
      <x:c r="L2713" s="9" t="str">
        <x:v>TBA</x:v>
      </x:c>
    </x:row>
    <x:row r="2714">
      <x:c r="A2714" t="str">
        <x:v>90e66c3f-0966-436e-99ae-98752b6ad305</x:v>
      </x:c>
      <x:c r="B2714" t="str">
        <x:v>36821e13-0ec1-4e84-9341-c9367cd608b9</x:v>
      </x:c>
      <x:c r="C2714" s="9" t="str">
        <x:v>Robinson v Al-Qasimi [2021] EWCA Civ 862</x:v>
      </x:c>
      <x:c r="D2714" s="9" t="str"/>
      <x:c r="E2714" s="9" t="str"/>
      <x:c r="F2714" s="13" t="str">
        <x:v>2021</x:v>
      </x:c>
      <x:c r="G2714" s="9" t="str">
        <x:v>England and Wales Court of Appeal (Civil Division)</x:v>
      </x:c>
      <x:c r="H2714" s="9" t="str">
        <x:v>Appellate</x:v>
      </x:c>
      <x:c r="I2714" s="9" t="str">
        <x:v>England and Wales</x:v>
      </x:c>
      <x:c r="J2714" s="9" t="str">
        <x:v>Employment Law</x:v>
      </x:c>
      <x:c r="K2714" s="9" t="str">
        <x:v>ew-cases-EWCA-Civ-2021-862.xml</x:v>
      </x:c>
      <x:c r="L2714" s="9" t="str">
        <x:v>TBA</x:v>
      </x:c>
    </x:row>
    <x:row r="2715">
      <x:c r="A2715" t="str">
        <x:v>c462c52e-02ed-46fa-b2b9-c685ae446b94</x:v>
      </x:c>
      <x:c r="B2715" t="str">
        <x:v>bcbdb5d9-a183-4364-b31d-638354462525</x:v>
      </x:c>
      <x:c r="C2715" s="9" t="str">
        <x:v>Robinson v Chief Constable of West Yorkshire Police</x:v>
      </x:c>
      <x:c r="D2715" s="9" t="str"/>
      <x:c r="E2715" s="9" t="str"/>
      <x:c r="F2715" s="13" t="str">
        <x:v>2014</x:v>
      </x:c>
      <x:c r="G2715" s="9" t="str">
        <x:v>England and Wales Court of Appeal (Civil Division)</x:v>
      </x:c>
      <x:c r="H2715" s="9" t="str">
        <x:v>Appellate</x:v>
      </x:c>
      <x:c r="I2715" s="9" t="str">
        <x:v>England and Wales</x:v>
      </x:c>
      <x:c r="J2715" s="9" t="str">
        <x:v>Negligence</x:v>
      </x:c>
      <x:c r="K2715" s="9" t="str">
        <x:v>-ew-cases-EWCA-Civ-2014-15.xml</x:v>
      </x:c>
      <x:c r="L2715" s="9" t="str">
        <x:v>TBA</x:v>
      </x:c>
    </x:row>
    <x:row r="2716">
      <x:c r="A2716" t="str">
        <x:v>886c5b73-c5c2-4378-ad5e-9a2f4a46ad63</x:v>
      </x:c>
      <x:c r="B2716" t="str">
        <x:v>2f28c79c-14eb-4a33-bae9-bfcb01bfd9f0</x:v>
      </x:c>
      <x:c r="C2716" s="9" t="str">
        <x:v>Robinson v Chief Constable of West Yorkshire Police [2018] UKSC 4</x:v>
      </x:c>
      <x:c r="D2716" s="9" t="str"/>
      <x:c r="E2716" s="9" t="str"/>
      <x:c r="F2716" s="13" t="str">
        <x:v>2018</x:v>
      </x:c>
      <x:c r="G2716" s="9" t="str">
        <x:v>United Kingdom Supreme Court</x:v>
      </x:c>
      <x:c r="H2716" s="9" t="str">
        <x:v>Supreme Court</x:v>
      </x:c>
      <x:c r="I2716" s="9" t="str">
        <x:v>United Kingdom</x:v>
      </x:c>
      <x:c r="J2716" s="9" t="str">
        <x:v>Tort Law</x:v>
      </x:c>
      <x:c r="K2716" s="9" t="str">
        <x:v>PT_UKSC_2018_4.xml</x:v>
      </x:c>
      <x:c r="L2716" s="9" t="str">
        <x:v>TBA</x:v>
      </x:c>
    </x:row>
    <x:row r="2717">
      <x:c r="A2717" t="str">
        <x:v>1e556950-cd61-4f9c-905b-7431b400c893</x:v>
      </x:c>
      <x:c r="B2717" t="str">
        <x:v>b7dd7dac-014b-4100-80da-92ffc4dbcbcf</x:v>
      </x:c>
      <x:c r="C2717" s="9" t="str">
        <x:v>Robinson v Secretary of State for the Home Department [2017] EWCA Civ 316</x:v>
      </x:c>
      <x:c r="D2717" s="9" t="str"/>
      <x:c r="E2717" s="9" t="str"/>
      <x:c r="F2717" s="13" t="str">
        <x:v>2017</x:v>
      </x:c>
      <x:c r="G2717" s="9" t="str">
        <x:v>England and Wales Court of Appeal (Civil Division)</x:v>
      </x:c>
      <x:c r="H2717" s="9" t="str">
        <x:v>Appellate</x:v>
      </x:c>
      <x:c r="I2717" s="9" t="str">
        <x:v>England and Wales</x:v>
      </x:c>
      <x:c r="J2717" s="9" t="str">
        <x:v>Immigration Law</x:v>
      </x:c>
      <x:c r="K2717" s="9" t="str">
        <x:v>-ew-cases-EWCA-Civ-2017-316.xml</x:v>
      </x:c>
      <x:c r="L2717" s="9" t="str">
        <x:v>TBA</x:v>
      </x:c>
    </x:row>
    <x:row r="2718">
      <x:c r="A2718" t="str">
        <x:v>bd59eae1-5acb-4e25-967e-6a19c8068218</x:v>
      </x:c>
      <x:c r="B2718" t="str">
        <x:v>fecc131f-4d18-4f3f-b331-272f4a04bb1c</x:v>
      </x:c>
      <x:c r="C2718" s="9" t="str">
        <x:v>Robson v Salford City Council [2015] EWCA Civ 6</x:v>
      </x:c>
      <x:c r="D2718" s="9" t="str"/>
      <x:c r="E2718" s="9" t="str"/>
      <x:c r="F2718" s="13" t="str">
        <x:v>2015</x:v>
      </x:c>
      <x:c r="G2718" s="9" t="str">
        <x:v>England and Wales Court of Appeal (Civil Division)</x:v>
      </x:c>
      <x:c r="H2718" s="9" t="str">
        <x:v>Appellate</x:v>
      </x:c>
      <x:c r="I2718" s="9" t="str">
        <x:v>England and Wales</x:v>
      </x:c>
      <x:c r="J2718" s="9" t="str">
        <x:v>Administrative Law</x:v>
      </x:c>
      <x:c r="K2718" s="9" t="str">
        <x:v>-ew-cases-EWCA-Civ-2015-6.xml</x:v>
      </x:c>
      <x:c r="L2718" s="9" t="str">
        <x:v>TBA</x:v>
      </x:c>
    </x:row>
    <x:row r="2719">
      <x:c r="A2719" t="str">
        <x:v>9d9fe6e4-e6e8-4cbd-8748-1f77343fea28</x:v>
      </x:c>
      <x:c r="B2719" t="str">
        <x:v>2081f703-fbd5-4bdc-b8b8-0a8424eb00b1</x:v>
      </x:c>
      <x:c r="C2719" s="9" t="str">
        <x:v>Roche Registration Ltd, R (on the application of) v The Secretary of State for Health</x:v>
      </x:c>
      <x:c r="D2719" s="9" t="str"/>
      <x:c r="E2719" s="9" t="str"/>
      <x:c r="F2719" s="13" t="str">
        <x:v>2015</x:v>
      </x:c>
      <x:c r="G2719" s="9" t="str">
        <x:v>England and Wales Court of Appeal (Civil Division)</x:v>
      </x:c>
      <x:c r="H2719" s="9" t="str">
        <x:v>Appellate</x:v>
      </x:c>
      <x:c r="I2719" s="9" t="str">
        <x:v>England and Wales</x:v>
      </x:c>
      <x:c r="J2719" s="9" t="str">
        <x:v>Administrative Law</x:v>
      </x:c>
      <x:c r="K2719" s="9" t="str">
        <x:v>-ew-cases-EWCA-Civ-2015-1311.xml</x:v>
      </x:c>
      <x:c r="L2719" s="9" t="str">
        <x:v>TBA</x:v>
      </x:c>
    </x:row>
    <x:row r="2720">
      <x:c r="A2720" t="str">
        <x:v>c55698bb-fed5-4dfa-b8e7-bf45d97ab807</x:v>
      </x:c>
      <x:c r="B2720" t="str">
        <x:v>71cd4995-e726-4ac0-861a-ef9b3e0c3f4d</x:v>
      </x:c>
      <x:c r="C2720" s="9" t="str">
        <x:v>Rochford v WNS Global Services (UK) Ltd &amp; Ors [2017] EWCA Civ 2205</x:v>
      </x:c>
      <x:c r="D2720" s="9" t="str"/>
      <x:c r="E2720" s="9" t="str"/>
      <x:c r="F2720" s="13" t="str">
        <x:v>2017</x:v>
      </x:c>
      <x:c r="G2720" s="9" t="str">
        <x:v>England and Wales Court of Appeal (Civil Division)</x:v>
      </x:c>
      <x:c r="H2720" s="9" t="str">
        <x:v>Appellate</x:v>
      </x:c>
      <x:c r="I2720" s="9" t="str">
        <x:v>England and Wales</x:v>
      </x:c>
      <x:c r="J2720" s="9" t="str">
        <x:v>Employment Law</x:v>
      </x:c>
      <x:c r="K2720" s="9" t="str">
        <x:v>-ew-cases-EWCA-Civ-2017-2205.xml</x:v>
      </x:c>
      <x:c r="L2720" s="9" t="str">
        <x:v>TBA</x:v>
      </x:c>
    </x:row>
    <x:row r="2721">
      <x:c r="A2721" t="str">
        <x:v>64e5bc38-6e8d-4e51-b130-4d5d7fc9d407</x:v>
      </x:c>
      <x:c r="B2721" t="str">
        <x:v>b28ef1e1-4ef7-4015-9008-5cb657f48023</x:v>
      </x:c>
      <x:c r="C2721" s="9" t="str">
        <x:v>Rodgers v Leeds Laser Cutting Ltd [2022] EWCA Civ 1659</x:v>
      </x:c>
      <x:c r="D2721" s="9" t="str"/>
      <x:c r="E2721" s="9" t="str"/>
      <x:c r="F2721" s="13" t="str">
        <x:v>2022</x:v>
      </x:c>
      <x:c r="G2721" s="9" t="str">
        <x:v>England and Wales Court of Appeal (Civil Division)</x:v>
      </x:c>
      <x:c r="H2721" s="9" t="str">
        <x:v>Court of Appeal (Civil Division)</x:v>
      </x:c>
      <x:c r="I2721" s="9" t="str">
        <x:v>England and Wales</x:v>
      </x:c>
      <x:c r="J2721" s="9" t="str">
        <x:v>Employment Law; Health and Safety</x:v>
      </x:c>
      <x:c r="K2721" s="9" t="str">
        <x:v>ew-cases-EWCA-Civ-2022-1659.xml</x:v>
      </x:c>
      <x:c r="L2721" s="9" t="str">
        <x:v>TBA</x:v>
      </x:c>
    </x:row>
    <x:row r="2722">
      <x:c r="A2722" t="str">
        <x:v>ec89c6cb-3b32-4ed0-8874-fec31beb06d2</x:v>
      </x:c>
      <x:c r="B2722" t="str">
        <x:v>ca9d6c3a-73da-476d-bf5c-eef26771a7a1</x:v>
      </x:c>
      <x:c r="C2722" s="9" t="str">
        <x:v>Roland Stafford Flowers v Linstone Chine Management Company Limited [2016] EWCA Civ 674</x:v>
      </x:c>
      <x:c r="D2722" s="9" t="str"/>
      <x:c r="E2722" s="9" t="str"/>
      <x:c r="F2722" s="13" t="str">
        <x:v>2016</x:v>
      </x:c>
      <x:c r="G2722" s="9" t="str">
        <x:v>England and Wales Court of Appeal (Civil Division)</x:v>
      </x:c>
      <x:c r="H2722" s="9" t="str">
        <x:v>Court of Appeal (Civil Division)</x:v>
      </x:c>
      <x:c r="I2722" s="9" t="str">
        <x:v>England and Wales</x:v>
      </x:c>
      <x:c r="J2722" s="9" t="str">
        <x:v>Property Law / Land Law</x:v>
      </x:c>
      <x:c r="K2722" s="9" t="str">
        <x:v>-ew-cases-EWCA-Civ-2016-674.xml</x:v>
      </x:c>
      <x:c r="L2722" s="9" t="str">
        <x:v>TBA</x:v>
      </x:c>
    </x:row>
    <x:row r="2723">
      <x:c r="A2723" t="str">
        <x:v>9ccf4d17-f679-4de2-a514-d82e1cdd3eae</x:v>
      </x:c>
      <x:c r="B2723" t="str">
        <x:v>9fc6a33e-b669-4839-89f5-7102cfb8f06f</x:v>
      </x:c>
      <x:c r="C2723" s="9" t="str">
        <x:v>Rollerteam Limited &amp; Anor v Riley &amp; Anor [2016] EWCA Civ 1291</x:v>
      </x:c>
      <x:c r="D2723" s="9" t="str"/>
      <x:c r="E2723" s="9" t="str"/>
      <x:c r="F2723" s="13" t="str">
        <x:v>2016</x:v>
      </x:c>
      <x:c r="G2723" s="9" t="str">
        <x:v>England and Wales Court of Appeal (Civil Division)</x:v>
      </x:c>
      <x:c r="H2723" s="9" t="str">
        <x:v>Court of Appeal (Civil Division)</x:v>
      </x:c>
      <x:c r="I2723" s="9" t="str">
        <x:v>England and Wales</x:v>
      </x:c>
      <x:c r="J2723" s="9" t="str">
        <x:v>Civil – Land Law / Contract – Settlement of litigation</x:v>
      </x:c>
      <x:c r="K2723" s="9" t="str">
        <x:v>-ew-cases-EWCA-Civ-2016-1291.xml</x:v>
      </x:c>
      <x:c r="L2723" s="9" t="str">
        <x:v>TBA</x:v>
      </x:c>
    </x:row>
    <x:row r="2724">
      <x:c r="A2724" t="str">
        <x:v>20703520-3c9d-41f8-ab6b-5927b7b1dc6d</x:v>
      </x:c>
      <x:c r="B2724" t="str">
        <x:v>13e7867c-b2a7-41f3-98f7-0a5337bc728b</x:v>
      </x:c>
      <x:c r="C2724" s="9" t="str">
        <x:v>Roocroft v Ball [2016] EWCA Civ 1009</x:v>
      </x:c>
      <x:c r="D2724" s="9" t="str"/>
      <x:c r="E2724" s="9" t="str"/>
      <x:c r="F2724" s="13" t="str">
        <x:v>2016</x:v>
      </x:c>
      <x:c r="G2724" s="9" t="str">
        <x:v>England and Wales Court of Appeal (Civil Division)</x:v>
      </x:c>
      <x:c r="H2724" s="9" t="str">
        <x:v>Court of Appeal (Civil Division)</x:v>
      </x:c>
      <x:c r="I2724" s="9" t="str">
        <x:v>England and Wales</x:v>
      </x:c>
      <x:c r="J2724" s="9" t="str">
        <x:v>Civil appellate decision in Family Law; Financial remedies; Non-disclosure; Consent orders</x:v>
      </x:c>
      <x:c r="K2724" s="9" t="str">
        <x:v>-ew-cases-EWCA-Civ-2016-1009.xml</x:v>
      </x:c>
      <x:c r="L2724" s="9" t="str">
        <x:v>TBA</x:v>
      </x:c>
    </x:row>
    <x:row r="2725">
      <x:c r="A2725" t="str">
        <x:v>0d702c32-45ba-4038-b872-976f9f37fb29</x:v>
      </x:c>
      <x:c r="B2725" t="str">
        <x:v>99b61081-ab4b-43fc-9c03-8f4b963bcf3c</x:v>
      </x:c>
      <x:c r="C2725" s="9" t="str">
        <x:v>Rooney &amp; Anor v CSE Bournemouth Ltd [2010] EWCA Civ 1364</x:v>
      </x:c>
      <x:c r="D2725" s="9" t="str"/>
      <x:c r="E2725" s="9" t="str"/>
      <x:c r="F2725" s="13" t="str">
        <x:v>2010</x:v>
      </x:c>
      <x:c r="G2725" s="9" t="str">
        <x:v>England and Wales Court of Appeal (Civil Division)</x:v>
      </x:c>
      <x:c r="H2725" s="9" t="str">
        <x:v>Appellate</x:v>
      </x:c>
      <x:c r="I2725" s="9" t="str">
        <x:v>England and Wales</x:v>
      </x:c>
      <x:c r="J2725" s="9" t="str">
        <x:v>Contract Law</x:v>
      </x:c>
      <x:c r="K2725" s="9" t="str">
        <x:v>-ew-cases-EWCA-Civ-2017-1364.xml</x:v>
      </x:c>
      <x:c r="L2725" s="9" t="str">
        <x:v>TBA</x:v>
      </x:c>
    </x:row>
    <x:row r="2726">
      <x:c r="A2726" t="str">
        <x:v>78b79e0e-64a5-4441-9985-935f73cecd9e</x:v>
      </x:c>
      <x:c r="B2726" t="str">
        <x:v>58adcbbf-5af0-4ddc-a4c4-7a7c63f937ea</x:v>
      </x:c>
      <x:c r="C2726" s="9" t="str">
        <x:v>Rosa v Secretary of State for the Home Department</x:v>
      </x:c>
      <x:c r="D2726" s="9" t="str"/>
      <x:c r="E2726" s="9" t="str"/>
      <x:c r="F2726" s="13" t="str">
        <x:v>2016</x:v>
      </x:c>
      <x:c r="G2726" s="9" t="str">
        <x:v>England and Wales Court of Appeal (Civil Division)</x:v>
      </x:c>
      <x:c r="H2726" s="9" t="str">
        <x:v>Court of Appeal (Civil Division)</x:v>
      </x:c>
      <x:c r="I2726" s="9" t="str">
        <x:v>England and Wales</x:v>
      </x:c>
      <x:c r="J2726" s="9" t="str">
        <x:v>Immigration Law; EU Law</x:v>
      </x:c>
      <x:c r="K2726" s="9" t="str">
        <x:v>-ew-cases-EWCA-Civ-2016-14.xml</x:v>
      </x:c>
      <x:c r="L2726" s="9" t="str">
        <x:v>TBA</x:v>
      </x:c>
    </x:row>
    <x:row r="2727">
      <x:c r="A2727" t="str">
        <x:v>cad71fe2-49df-4aac-ace1-571af39b760b</x:v>
      </x:c>
      <x:c r="B2727" t="str">
        <x:v>793948fe-a902-4ef7-8118-a33f44a99aa4</x:v>
      </x:c>
      <x:c r="C2727" s="9" t="str">
        <x:v>Rosserlane Consultants Ltd &amp; Anor v Credit Suisse International [2017] EWCA Civ 91</x:v>
      </x:c>
      <x:c r="D2727" s="9" t="str"/>
      <x:c r="E2727" s="9" t="str"/>
      <x:c r="F2727" s="13" t="str">
        <x:v>2017</x:v>
      </x:c>
      <x:c r="G2727" s="9" t="str">
        <x:v>England and Wales Court of Appeal (Civil Division)</x:v>
      </x:c>
      <x:c r="H2727" s="9" t="str">
        <x:v>appellate</x:v>
      </x:c>
      <x:c r="I2727" s="9" t="str">
        <x:v>England and Wales</x:v>
      </x:c>
      <x:c r="J2727" s="9" t="str">
        <x:v>Contract Dispute</x:v>
      </x:c>
      <x:c r="K2727" s="9" t="str">
        <x:v>-ew-cases-EWCA-Civ-2017-91.xml</x:v>
      </x:c>
      <x:c r="L2727" s="9" t="str">
        <x:v>TBA</x:v>
      </x:c>
    </x:row>
    <x:row r="2728">
      <x:c r="A2728" t="str">
        <x:v>dda05d56-d977-4ee2-8f6b-5726ceaba79d</x:v>
      </x:c>
      <x:c r="B2728" t="str">
        <x:v>6cb8f857-ca59-43d5-8b6e-b40d44041dfa</x:v>
      </x:c>
      <x:c r="C2728" s="9" t="str">
        <x:v>Roszkowski v Secretary of State for the Home Department [2017] EWCA Civ 1893</x:v>
      </x:c>
      <x:c r="D2728" s="9" t="str"/>
      <x:c r="E2728" s="9" t="str"/>
      <x:c r="F2728" s="13" t="str">
        <x:v>2017</x:v>
      </x:c>
      <x:c r="G2728" s="9" t="str">
        <x:v>England and Wales Court of Appeal (Civil Division)</x:v>
      </x:c>
      <x:c r="H2728" s="9" t="str">
        <x:v>Appellate</x:v>
      </x:c>
      <x:c r="I2728" s="9" t="str">
        <x:v>England and Wales</x:v>
      </x:c>
      <x:c r="J2728" s="9" t="str">
        <x:v>Immigration Law</x:v>
      </x:c>
      <x:c r="K2728" s="9" t="str">
        <x:v>-ew-cases-EWCA-Civ-2017-1893.xml</x:v>
      </x:c>
      <x:c r="L2728" s="9" t="str">
        <x:v>TBA</x:v>
      </x:c>
    </x:row>
    <x:row r="2729">
      <x:c r="A2729" t="str">
        <x:v>e68915e0-3a35-4a5f-b72c-f8c8c577e498</x:v>
      </x:c>
      <x:c r="B2729" t="str">
        <x:v>bab866ef-ca70-446c-a76d-a69bb3f7f15d</x:v>
      </x:c>
      <x:c r="C2729" s="9" t="str">
        <x:v>Rotala Plc, R (On the Application Of) v Greater Manchester Combined Authority &amp; Anor [2022] EWCA Civ 1048</x:v>
      </x:c>
      <x:c r="D2729" s="9" t="str"/>
      <x:c r="E2729" s="9" t="str"/>
      <x:c r="F2729" s="13" t="str">
        <x:v>2022</x:v>
      </x:c>
      <x:c r="G2729" s="9" t="str">
        <x:v>England and Wales Court of Appeal (Civil Division)</x:v>
      </x:c>
      <x:c r="H2729" s="9" t="str">
        <x:v>Court of Appeal (Civil Division)</x:v>
      </x:c>
      <x:c r="I2729" s="9" t="str">
        <x:v>England and Wales</x:v>
      </x:c>
      <x:c r="J2729" s="9" t="str">
        <x:v>Administrative Law / Public Law</x:v>
      </x:c>
      <x:c r="K2729" s="9" t="str">
        <x:v>ew-cases-EWCA-Civ-2022-1048.xml</x:v>
      </x:c>
      <x:c r="L2729" s="9" t="str">
        <x:v>TBA</x:v>
      </x:c>
    </x:row>
    <x:row r="2730">
      <x:c r="A2730" t="str">
        <x:v>a49e2d9e-2fe9-4f45-806b-edd0ca84d0e0</x:v>
      </x:c>
      <x:c r="B2730" t="str">
        <x:v>a86c8039-4dcd-41c2-bbee-f72673a10ba2</x:v>
      </x:c>
      <x:c r="C2730" s="9" t="str">
        <x:v>Rotherham Borough Council &amp; Ors v Secretary of State for Business, Innovation And Skills</x:v>
      </x:c>
      <x:c r="D2730" s="9" t="str"/>
      <x:c r="E2730" s="9" t="str"/>
      <x:c r="F2730" s="13" t="str">
        <x:v>2014</x:v>
      </x:c>
      <x:c r="G2730" s="9" t="str">
        <x:v>England and Wales Court of Appeal (Civil Division)</x:v>
      </x:c>
      <x:c r="H2730" s="9" t="str">
        <x:v>Appellate</x:v>
      </x:c>
      <x:c r="I2730" s="9" t="str">
        <x:v>England and Wales</x:v>
      </x:c>
      <x:c r="J2730" s="9" t="str">
        <x:v>Administrative Law</x:v>
      </x:c>
      <x:c r="K2730" s="9" t="str">
        <x:v>-ew-cases-EWCA-Civ-2014-1080.xml</x:v>
      </x:c>
      <x:c r="L2730" s="9" t="str">
        <x:v>TBA</x:v>
      </x:c>
    </x:row>
    <x:row r="2731">
      <x:c r="A2731" t="str">
        <x:v>d4060d93-cf2b-4a15-b636-4dcabedc5dd0</x:v>
      </x:c>
      <x:c r="B2731" t="str">
        <x:v>49a7af4c-0d11-408e-8d84-2238f7e8f04a</x:v>
      </x:c>
      <x:c r="C2731" s="9" t="str">
        <x:v>Routier &amp; Anor v Revenue &amp; Customs [2016] EWCA Civ 938 (Court of Appeal, Civil Division)</x:v>
      </x:c>
      <x:c r="D2731" s="9" t="str"/>
      <x:c r="E2731" s="9" t="str"/>
      <x:c r="F2731" s="13" t="str">
        <x:v>2016</x:v>
      </x:c>
      <x:c r="G2731" s="9" t="str">
        <x:v>England and Wales Court of Appeal (Civil Division)</x:v>
      </x:c>
      <x:c r="H2731" s="9" t="str">
        <x:v>Court of Appeal (Civil Division)</x:v>
      </x:c>
      <x:c r="I2731" s="9" t="str">
        <x:v>England and Wales</x:v>
      </x:c>
      <x:c r="J2731" s="9" t="str">
        <x:v>Tax Law; Trusts and Estates; Cross-Border/European Law</x:v>
      </x:c>
      <x:c r="K2731" s="9" t="str">
        <x:v>-ew-cases-EWCA-Civ-2016-938.xml</x:v>
      </x:c>
      <x:c r="L2731" s="9" t="str">
        <x:v>TBA</x:v>
      </x:c>
    </x:row>
    <x:row r="2732">
      <x:c r="A2732" t="str">
        <x:v>78a47185-eaa7-4f59-be2c-0baf0d2cdc4a</x:v>
      </x:c>
      <x:c r="B2732" t="str">
        <x:v>471b7d07-0869-49d1-b3cc-23a6dceb9c80</x:v>
      </x:c>
      <x:c r="C2732" s="9" t="str">
        <x:v>Routier &amp; Anor v Revenue And Customs [2017] EWCA Civ 1584</x:v>
      </x:c>
      <x:c r="D2732" s="9" t="str"/>
      <x:c r="E2732" s="9" t="str"/>
      <x:c r="F2732" s="13" t="str">
        <x:v>2017</x:v>
      </x:c>
      <x:c r="G2732" s="9" t="str">
        <x:v>England and Wales Court of Appeal (Civil Division)</x:v>
      </x:c>
      <x:c r="H2732" s="9" t="str">
        <x:v>Appellate</x:v>
      </x:c>
      <x:c r="I2732" s="9" t="str">
        <x:v>England and Wales</x:v>
      </x:c>
      <x:c r="J2732" s="9" t="str">
        <x:v>Tax Law</x:v>
      </x:c>
      <x:c r="K2732" s="9" t="str">
        <x:v>-ew-cases-EWCA-Civ-2017-1584.xml</x:v>
      </x:c>
      <x:c r="L2732" s="9" t="str">
        <x:v>TBA</x:v>
      </x:c>
    </x:row>
    <x:row r="2733">
      <x:c r="A2733" t="str">
        <x:v>8365dc97-bc0f-41ab-ad82-8e1fd9f20d8b</x:v>
      </x:c>
      <x:c r="B2733" t="str">
        <x:v>b114b914-aa53-44ee-b341-c34eeea5977b</x:v>
      </x:c>
      <x:c r="C2733" s="9" t="str">
        <x:v>Rovi Guides Inc v Virgin Media Ltd &amp; Ors [2015] EWCA Civ 1214</x:v>
      </x:c>
      <x:c r="D2733" s="9" t="str"/>
      <x:c r="E2733" s="9" t="str"/>
      <x:c r="F2733" s="13" t="str">
        <x:v>2015</x:v>
      </x:c>
      <x:c r="G2733" s="9" t="str">
        <x:v>England and Wales Court of Appeal (Civil Division)</x:v>
      </x:c>
      <x:c r="H2733" s="9" t="str">
        <x:v>Appellate</x:v>
      </x:c>
      <x:c r="I2733" s="9" t="str">
        <x:v>England and Wales</x:v>
      </x:c>
      <x:c r="J2733" s="9" t="str">
        <x:v>Intellectual Property</x:v>
      </x:c>
      <x:c r="K2733" s="9" t="str">
        <x:v>-ew-cases-EWCA-Civ-2015-1214.xml</x:v>
      </x:c>
      <x:c r="L2733" s="9" t="str">
        <x:v>TBA</x:v>
      </x:c>
    </x:row>
    <x:row r="2734">
      <x:c r="A2734" t="str">
        <x:v>9c4abb15-2e44-41aa-818e-b9ff28ff331f</x:v>
      </x:c>
      <x:c r="B2734" t="str">
        <x:v>e729b74c-3cad-4eb6-9e2a-cb5f0e51b503</x:v>
      </x:c>
      <x:c r="C2734" s="9" t="str">
        <x:v>Rovi Guides, Inc v Virgin Media Ltd &amp; Ors [2015] EWCA Civ 781</x:v>
      </x:c>
      <x:c r="D2734" s="9" t="str"/>
      <x:c r="E2734" s="9" t="str"/>
      <x:c r="F2734" s="13" t="str">
        <x:v>2015</x:v>
      </x:c>
      <x:c r="G2734" s="9" t="str">
        <x:v>England and Wales Court of Appeal (Civil Division)</x:v>
      </x:c>
      <x:c r="H2734" s="9" t="str">
        <x:v>Appellate</x:v>
      </x:c>
      <x:c r="I2734" s="9" t="str">
        <x:v>England and Wales</x:v>
      </x:c>
      <x:c r="J2734" s="9" t="str">
        <x:v>Intellectual Property</x:v>
      </x:c>
      <x:c r="K2734" s="9" t="str">
        <x:v>-ew-cases-EWCA-Civ-2015-781.xml</x:v>
      </x:c>
      <x:c r="L2734" s="9" t="str">
        <x:v>TBA</x:v>
      </x:c>
    </x:row>
    <x:row r="2735">
      <x:c r="A2735" t="str">
        <x:v>cce40e84-6298-4184-8dc2-6c2632fa8981</x:v>
      </x:c>
      <x:c r="B2735" t="str">
        <x:v>7614b7b3-9102-4127-baa4-ed60bb7a82ed</x:v>
      </x:c>
      <x:c r="C2735" s="9" t="str">
        <x:v>Rowan, R (On the Application Of) v Governor of His Majesty's Prison Berwyn &amp; Anor [2023] EWCA Civ 27</x:v>
      </x:c>
      <x:c r="D2735" s="9" t="str"/>
      <x:c r="E2735" s="9" t="str"/>
      <x:c r="F2735" s="13" t="str">
        <x:v>2023</x:v>
      </x:c>
      <x:c r="G2735" s="9" t="str">
        <x:v>England and Wales Court of Appeal (Civil Division)</x:v>
      </x:c>
      <x:c r="H2735" s="9" t="str">
        <x:v>Court of Appeal (Civil Division)</x:v>
      </x:c>
      <x:c r="I2735" s="9" t="str">
        <x:v>England and Wales</x:v>
      </x:c>
      <x:c r="J2735" s="9" t="str">
        <x:v>Judicial Review / Administrative Law</x:v>
      </x:c>
      <x:c r="K2735" s="9" t="str">
        <x:v>ew-cases-EWCA-Civ-2023-27.xml</x:v>
      </x:c>
      <x:c r="L2735" s="9" t="str">
        <x:v>TBA</x:v>
      </x:c>
    </x:row>
    <x:row r="2736">
      <x:c r="A2736" t="str">
        <x:v>be72928e-61ea-4067-9f46-b016c4bbe588</x:v>
      </x:c>
      <x:c r="B2736" t="str">
        <x:v>6f009114-1b8b-4356-a939-b518461f53d3</x:v>
      </x:c>
      <x:c r="C2736" s="9" t="str">
        <x:v>Rowe &amp; Ors v Ingenious Media Holdings PLC &amp; Ors [2021] EWCA Civ 29</x:v>
      </x:c>
      <x:c r="D2736" s="9" t="str"/>
      <x:c r="E2736" s="9" t="str"/>
      <x:c r="F2736" s="13" t="str">
        <x:v>2021</x:v>
      </x:c>
      <x:c r="G2736" s="9" t="str">
        <x:v>England and Wales Court of Appeal (Civil Division)</x:v>
      </x:c>
      <x:c r="H2736" s="9" t="str">
        <x:v>Appellate</x:v>
      </x:c>
      <x:c r="I2736" s="9" t="str">
        <x:v>England and Wales</x:v>
      </x:c>
      <x:c r="J2736" s="9" t="str">
        <x:v>Civil Procedure</x:v>
      </x:c>
      <x:c r="K2736" s="9" t="str">
        <x:v>ew-cases-EWCA-Civ-2021-29.xml</x:v>
      </x:c>
      <x:c r="L2736" s="9" t="str">
        <x:v>TBA</x:v>
      </x:c>
    </x:row>
    <x:row r="2737">
      <x:c r="A2737" t="str">
        <x:v>49158fc3-c927-4608-b2d7-9799c0dce59c</x:v>
      </x:c>
      <x:c r="B2737" t="str">
        <x:v>6803bd26-eda0-4d87-8a27-c579ce25a0a9</x:v>
      </x:c>
      <x:c r="C2737" s="9" t="str">
        <x:v>Rowe &amp; Ors, R (On the Application Of) v Revenue And Customs</x:v>
      </x:c>
      <x:c r="D2737" s="9" t="str"/>
      <x:c r="E2737" s="9" t="str"/>
      <x:c r="F2737" s="13" t="str">
        <x:v>2017</x:v>
      </x:c>
      <x:c r="G2737" s="9" t="str">
        <x:v>England and Wales Court of Appeal (Civil Division)</x:v>
      </x:c>
      <x:c r="H2737" s="9" t="str">
        <x:v>Appellate</x:v>
      </x:c>
      <x:c r="I2737" s="9" t="str">
        <x:v>England and Wales</x:v>
      </x:c>
      <x:c r="J2737" s="9" t="str">
        <x:v>Tax Law</x:v>
      </x:c>
      <x:c r="K2737" s="9" t="str">
        <x:v>-ew-cases-EWCA-Civ-2017-2105.xml</x:v>
      </x:c>
      <x:c r="L2737" s="9" t="str">
        <x:v>TBA</x:v>
      </x:c>
    </x:row>
    <x:row r="2738">
      <x:c r="A2738" t="str">
        <x:v>0f6ee4bd-1914-467f-bfce-02ef88392945</x:v>
      </x:c>
      <x:c r="B2738" t="str">
        <x:v>843c9e6e-fb34-4f2e-b943-ccfe2dea06e0</x:v>
      </x:c>
      <x:c r="C2738" s="9" t="str">
        <x:v>Rowe v London Borough of Haringey [2022] EWCA Civ 1370</x:v>
      </x:c>
      <x:c r="D2738" s="9" t="str"/>
      <x:c r="E2738" s="9" t="str"/>
      <x:c r="F2738" s="13" t="str">
        <x:v>2022</x:v>
      </x:c>
      <x:c r="G2738" s="9" t="str">
        <x:v>England and Wales Court of Appeal (Civil Division)</x:v>
      </x:c>
      <x:c r="H2738" s="9" t="str">
        <x:v>Court of Appeal (Civil Division)</x:v>
      </x:c>
      <x:c r="I2738" s="9" t="str">
        <x:v>England and Wales</x:v>
      </x:c>
      <x:c r="J2738" s="9" t="str">
        <x:v>Housing Law; Administrative/Public Law; Local Government Law</x:v>
      </x:c>
      <x:c r="K2738" s="9" t="str">
        <x:v>ew-cases-EWCA-Civ-2022-1370.xml</x:v>
      </x:c>
      <x:c r="L2738" s="9" t="str">
        <x:v>TBA</x:v>
      </x:c>
    </x:row>
    <x:row r="2739">
      <x:c r="A2739" t="str">
        <x:v>33fc3209-078b-48fe-8094-879c33592ca5</x:v>
      </x:c>
      <x:c r="B2739" t="str">
        <x:v>84a7d421-c352-4a95-959a-a1d33991b008</x:v>
      </x:c>
      <x:c r="C2739" s="9" t="str">
        <x:v>Rowe v West Yorkshire Probation Trust [2016] EWCA Civ 302 (Court of Appeal, Civil Division)</x:v>
      </x:c>
      <x:c r="D2739" s="9" t="str"/>
      <x:c r="E2739" s="9" t="str"/>
      <x:c r="F2739" s="13" t="str">
        <x:v>2016</x:v>
      </x:c>
      <x:c r="G2739" s="9" t="str">
        <x:v>England and Wales Court of Appeal (Civil Division)</x:v>
      </x:c>
      <x:c r="H2739" s="9" t="str">
        <x:v>Court of Appeal (Civil Division)</x:v>
      </x:c>
      <x:c r="I2739" s="9" t="str">
        <x:v>England and Wales</x:v>
      </x:c>
      <x:c r="J2739" s="9" t="str">
        <x:v>Appeal - Employment Discrimination</x:v>
      </x:c>
      <x:c r="K2739" s="9" t="str">
        <x:v>-ew-cases-EWCA-Civ-2016-302.xml</x:v>
      </x:c>
      <x:c r="L2739" s="9" t="str">
        <x:v>TBA</x:v>
      </x:c>
    </x:row>
    <x:row r="2740">
      <x:c r="A2740" t="str">
        <x:v>d3903538-678c-46cc-ba00-ace27b911748</x:v>
      </x:c>
      <x:c r="B2740" t="str">
        <x:v>bcf6dc0e-327b-4b31-8441-cc8b4d018c8a</x:v>
      </x:c>
      <x:c r="C2740" s="9" t="str">
        <x:v>Royal Bank of Canada v Commissioners for HMRC [2023] EWCA Civ 695 — Court of Appeal interpretation of Article 6(2) fifth limb and tax treatment of oil royalty payments</x:v>
      </x:c>
      <x:c r="D2740" s="9" t="str"/>
      <x:c r="E2740" s="9" t="str"/>
      <x:c r="F2740" s="13" t="str">
        <x:v>2023</x:v>
      </x:c>
      <x:c r="G2740" s="9" t="str">
        <x:v>England and Wales Court of Appeal (Civil Division)</x:v>
      </x:c>
      <x:c r="H2740" s="9" t="str">
        <x:v>Court of Appeal (Civil Division)</x:v>
      </x:c>
      <x:c r="I2740" s="9" t="str">
        <x:v>United Kingdom</x:v>
      </x:c>
      <x:c r="J2740" s="9" t="str">
        <x:v>Tax / International Taxation / Treaty interpretation</x:v>
      </x:c>
      <x:c r="K2740" s="9" t="str">
        <x:v>ew-cases-EWCA-Civ-2023-695.xml</x:v>
      </x:c>
      <x:c r="L2740" s="9" t="str">
        <x:v>TBA</x:v>
      </x:c>
    </x:row>
    <x:row r="2741">
      <x:c r="A2741" t="str">
        <x:v>1d4202a8-0d33-4f01-a118-ce395165cda5</x:v>
      </x:c>
      <x:c r="B2741" t="str">
        <x:v>a1787aa8-3208-4d55-b92e-076ece53d184</x:v>
      </x:c>
      <x:c r="C2741" s="9" t="str">
        <x:v>Royal Bank of Scotland Plc v AB [2021] EWCA Civ 345</x:v>
      </x:c>
      <x:c r="D2741" s="9" t="str"/>
      <x:c r="E2741" s="9" t="str"/>
      <x:c r="F2741" s="13" t="str">
        <x:v>2021</x:v>
      </x:c>
      <x:c r="G2741" s="9" t="str">
        <x:v>England and Wales Court of Appeal (Civil Division)</x:v>
      </x:c>
      <x:c r="H2741" s="9" t="str">
        <x:v>Appellate</x:v>
      </x:c>
      <x:c r="I2741" s="9" t="str">
        <x:v>England and Wales</x:v>
      </x:c>
      <x:c r="J2741" s="9" t="str">
        <x:v>Employment Law</x:v>
      </x:c>
      <x:c r="K2741" s="9" t="str">
        <x:v>ew-cases-EWCA-Civ-2021-345.xml</x:v>
      </x:c>
      <x:c r="L2741" s="9" t="str">
        <x:v>TBA</x:v>
      </x:c>
    </x:row>
    <x:row r="2742">
      <x:c r="A2742" t="str">
        <x:v>84b76c90-9aa9-4929-9ff5-a21559659f6e</x:v>
      </x:c>
      <x:c r="B2742" t="str">
        <x:v>1424f90c-1cfc-4223-a308-051372953267</x:v>
      </x:c>
      <x:c r="C2742" s="9" t="str">
        <x:v>Royal Borough of Greenwich v Tuitt [2014] EWCA Civ 1669</x:v>
      </x:c>
      <x:c r="D2742" s="9" t="str"/>
      <x:c r="E2742" s="9" t="str"/>
      <x:c r="F2742" s="13" t="str">
        <x:v>2014</x:v>
      </x:c>
      <x:c r="G2742" s="9" t="str">
        <x:v>England and Wales Court of Appeal (Civil Division)</x:v>
      </x:c>
      <x:c r="H2742" s="9" t="str">
        <x:v>Appellate</x:v>
      </x:c>
      <x:c r="I2742" s="9" t="str">
        <x:v>England and Wales</x:v>
      </x:c>
      <x:c r="J2742" s="9" t="str">
        <x:v>Housing</x:v>
      </x:c>
      <x:c r="K2742" s="9" t="str">
        <x:v>-ew-cases-EWCA-Civ-2014-1669.xml</x:v>
      </x:c>
      <x:c r="L2742" s="9" t="str">
        <x:v>TBA</x:v>
      </x:c>
    </x:row>
    <x:row r="2743">
      <x:c r="A2743" t="str">
        <x:v>14d70d72-74eb-46ca-8019-8619c2b07628</x:v>
      </x:c>
      <x:c r="B2743" t="str">
        <x:v>d04c91df-1bc9-4729-a41e-69448942e643</x:v>
      </x:c>
      <x:c r="C2743" s="9" t="str">
        <x:v>Royal Borough of Kingston-Upon-Thames v Slater [2021] EWCA Civ 1479</x:v>
      </x:c>
      <x:c r="D2743" s="9" t="str"/>
      <x:c r="E2743" s="9" t="str"/>
      <x:c r="F2743" s="13" t="str">
        <x:v>2021</x:v>
      </x:c>
      <x:c r="G2743" s="9" t="str">
        <x:v>England and Wales Court of Appeal (Civil Division)</x:v>
      </x:c>
      <x:c r="H2743" s="9" t="str">
        <x:v>appellate</x:v>
      </x:c>
      <x:c r="I2743" s="9" t="str">
        <x:v>England and Wales</x:v>
      </x:c>
      <x:c r="J2743" s="9" t="str">
        <x:v>Criminal</x:v>
      </x:c>
      <x:c r="K2743" s="9" t="str">
        <x:v>ew-cases-EWCA-Civ-2021-1479.xml</x:v>
      </x:c>
      <x:c r="L2743" s="9" t="str">
        <x:v>TBA</x:v>
      </x:c>
    </x:row>
    <x:row r="2744">
      <x:c r="A2744" t="str">
        <x:v>8ddfb86f-a5d7-4471-9ae8-1a1f2e93e4f4</x:v>
      </x:c>
      <x:c r="B2744" t="str">
        <x:v>5cdbdf4d-72b4-4c1b-899f-2b99a0f344af</x:v>
      </x:c>
      <x:c r="C2744" s="9" t="str">
        <x:v>Royal Devon &amp; Exeter NHS Foundation Trust v Atos IT Services UK Ltd</x:v>
      </x:c>
      <x:c r="D2744" s="9" t="str"/>
      <x:c r="E2744" s="9" t="str"/>
      <x:c r="F2744" s="13" t="str">
        <x:v>2017</x:v>
      </x:c>
      <x:c r="G2744" s="9" t="str">
        <x:v>England and Wales Court of Appeal (Civil Division)</x:v>
      </x:c>
      <x:c r="H2744" s="9" t="str">
        <x:v>Appellate</x:v>
      </x:c>
      <x:c r="I2744" s="9" t="str">
        <x:v>England and Wales</x:v>
      </x:c>
      <x:c r="J2744" s="9" t="str">
        <x:v>Contract Dispute</x:v>
      </x:c>
      <x:c r="K2744" s="9" t="str">
        <x:v>-ew-cases-EWCA-Civ-2017-2196.xml</x:v>
      </x:c>
      <x:c r="L2744" s="9" t="str">
        <x:v>TBA</x:v>
      </x:c>
    </x:row>
    <x:row r="2745">
      <x:c r="A2745" t="str">
        <x:v>de2bd491-e588-4cce-80a0-6f73717c1e9c</x:v>
      </x:c>
      <x:c r="B2745" t="str">
        <x:v>384e0c8e-cdd6-4cc9-b403-66e1f4f34acd</x:v>
      </x:c>
      <x:c r="C2745" s="9" t="str">
        <x:v>Royal Mail Ltd v Jhuti [2017] EWCA Civ 1632</x:v>
      </x:c>
      <x:c r="D2745" s="9" t="str"/>
      <x:c r="E2745" s="9" t="str"/>
      <x:c r="F2745" s="13" t="str">
        <x:v>2017</x:v>
      </x:c>
      <x:c r="G2745" s="9" t="str">
        <x:v>England and Wales Court of Appeal (Civil Division)</x:v>
      </x:c>
      <x:c r="H2745" s="9" t="str">
        <x:v>Appellate</x:v>
      </x:c>
      <x:c r="I2745" s="9" t="str">
        <x:v>UK</x:v>
      </x:c>
      <x:c r="J2745" s="9" t="str">
        <x:v>Employment Law</x:v>
      </x:c>
      <x:c r="K2745" s="9" t="str">
        <x:v>-ew-cases-EWCA-Civ-2017-1632.xml</x:v>
      </x:c>
      <x:c r="L2745" s="9" t="str">
        <x:v>TBA</x:v>
      </x:c>
    </x:row>
    <x:row r="2746">
      <x:c r="A2746" t="str">
        <x:v>90b7cc90-d2f2-4c2e-9413-5bd323fd975b</x:v>
      </x:c>
      <x:c r="B2746" t="str">
        <x:v>768c29ef-8d04-4e13-9cd6-174aaf62195f</x:v>
      </x:c>
      <x:c r="C2746" s="9" t="str">
        <x:v>Royal Mail PLC v Office of Communications &amp; Anor [2021] EWCA Civ 669</x:v>
      </x:c>
      <x:c r="D2746" s="9" t="str"/>
      <x:c r="E2746" s="9" t="str"/>
      <x:c r="F2746" s="13" t="str">
        <x:v>2021</x:v>
      </x:c>
      <x:c r="G2746" s="9" t="str">
        <x:v>England and Wales Court of Appeal (Civil Division)</x:v>
      </x:c>
      <x:c r="H2746" s="9" t="str">
        <x:v>Appellate</x:v>
      </x:c>
      <x:c r="I2746" s="9" t="str">
        <x:v>England and Wales</x:v>
      </x:c>
      <x:c r="J2746" s="9" t="str">
        <x:v>Competition Law</x:v>
      </x:c>
      <x:c r="K2746" s="9" t="str">
        <x:v>ew-cases-EWCA-Civ-2021-669.xml</x:v>
      </x:c>
      <x:c r="L2746" s="9" t="str">
        <x:v>TBA</x:v>
      </x:c>
    </x:row>
    <x:row r="2747">
      <x:c r="A2747" t="str">
        <x:v>20baf9ed-f163-4427-8566-4da1e63b8ecd</x:v>
      </x:c>
      <x:c r="B2747" t="str">
        <x:v>87d36928-7669-48bb-8abd-37a455c79bb6</x:v>
      </x:c>
      <x:c r="C2747" s="9" t="str">
        <x:v>Royal Opera House Covent Garden Foundation v Commissioners for Her Majesty's Revenue and Customs</x:v>
      </x:c>
      <x:c r="D2747" s="9" t="str"/>
      <x:c r="E2747" s="9" t="str"/>
      <x:c r="F2747" s="13" t="str">
        <x:v>2021</x:v>
      </x:c>
      <x:c r="G2747" s="9" t="str">
        <x:v>England and Wales Court of Appeal (Civil Division)</x:v>
      </x:c>
      <x:c r="H2747" s="9" t="str">
        <x:v>Appellate</x:v>
      </x:c>
      <x:c r="I2747" s="9" t="str">
        <x:v>England &amp; Wales</x:v>
      </x:c>
      <x:c r="J2747" s="9" t="str">
        <x:v>Tax Dispute</x:v>
      </x:c>
      <x:c r="K2747" s="9" t="str">
        <x:v>ew-cases-EWCA-Civ-2021-910.xml</x:v>
      </x:c>
      <x:c r="L2747" s="9" t="str">
        <x:v>TBA</x:v>
      </x:c>
    </x:row>
    <x:row r="2748">
      <x:c r="A2748" t="str">
        <x:v>f0b07df0-134a-4bc7-bba7-25f90192a69f</x:v>
      </x:c>
      <x:c r="B2748" t="str">
        <x:v>98d318f5-5306-4fe8-9287-19206ae0a0ac</x:v>
      </x:c>
      <x:c r="C2748" s="9" t="str">
        <x:v>Royal Wolverhampton Hospitals NHS Trust v. June Evans [2015] EWCA Civ 1059</x:v>
      </x:c>
      <x:c r="D2748" s="9" t="str"/>
      <x:c r="E2748" s="9" t="str"/>
      <x:c r="F2748" s="13" t="str">
        <x:v>2015</x:v>
      </x:c>
      <x:c r="G2748" s="9" t="str">
        <x:v>England and Wales Court of Appeal (Civil Division)</x:v>
      </x:c>
      <x:c r="H2748" s="9" t="str">
        <x:v>Appellate</x:v>
      </x:c>
      <x:c r="I2748" s="9" t="str">
        <x:v>England &amp; Wales</x:v>
      </x:c>
      <x:c r="J2748" s="9" t="str">
        <x:v>Tort</x:v>
      </x:c>
      <x:c r="K2748" s="9" t="str">
        <x:v>-ew-cases-EWCA-Civ-2015-1059.xml</x:v>
      </x:c>
      <x:c r="L2748" s="9" t="str">
        <x:v>TBA</x:v>
      </x:c>
    </x:row>
    <x:row r="2749">
      <x:c r="A2749" t="str">
        <x:v>0b66dc55-4e4b-4475-bda9-c75611a0fcc6</x:v>
      </x:c>
      <x:c r="B2749" t="str">
        <x:v>8bb97653-97e3-4519-9d6a-8d6cf5787f20</x:v>
      </x:c>
      <x:c r="C2749" s="9" t="str">
        <x:v>Royale Parks Ltd v Secretary of State for Housing, Communities and Local Government &amp; Anor</x:v>
      </x:c>
      <x:c r="D2749" s="9" t="str"/>
      <x:c r="E2749" s="9" t="str"/>
      <x:c r="F2749" s="13" t="str">
        <x:v>2021</x:v>
      </x:c>
      <x:c r="G2749" s="9" t="str">
        <x:v>England and Wales Court of Appeal (Civil Division)</x:v>
      </x:c>
      <x:c r="H2749" s="9" t="str">
        <x:v>Appellate</x:v>
      </x:c>
      <x:c r="I2749" s="9" t="str">
        <x:v>England and Wales</x:v>
      </x:c>
      <x:c r="J2749" s="9" t="str">
        <x:v>Administrative Law</x:v>
      </x:c>
      <x:c r="K2749" s="9" t="str">
        <x:v>ew-cases-EWCA-Civ-2021-1101.xml</x:v>
      </x:c>
      <x:c r="L2749" s="9" t="str">
        <x:v>TBA</x:v>
      </x:c>
    </x:row>
    <x:row r="2750">
      <x:c r="A2750" t="str">
        <x:v>17b62f1a-3db3-4fea-9ba3-f654f27f6c25</x:v>
      </x:c>
      <x:c r="B2750" t="str">
        <x:v>47c53eea-afd7-47f3-9aee-7fa6f4b9798e</x:v>
      </x:c>
      <x:c r="C2750" s="9" t="str">
        <x:v>RS (Afghanistan) v The Secretary of State for the Home Department [2016] EWCA Civ 1179</x:v>
      </x:c>
      <x:c r="D2750" s="9" t="str"/>
      <x:c r="E2750" s="9" t="str"/>
      <x:c r="F2750" s="13" t="str">
        <x:v>2016</x:v>
      </x:c>
      <x:c r="G2750" s="9" t="str">
        <x:v>England and Wales Court of Appeal (Civil Division)</x:v>
      </x:c>
      <x:c r="H2750" s="9" t="str">
        <x:v>Court of Appeal (Civil Division)</x:v>
      </x:c>
      <x:c r="I2750" s="9" t="str">
        <x:v>England and Wales</x:v>
      </x:c>
      <x:c r="J2750" s="9" t="str">
        <x:v>Immigration / Refugee Law</x:v>
      </x:c>
      <x:c r="K2750" s="9" t="str">
        <x:v>-ew-cases-EWCA-Civ-2016-1179.xml</x:v>
      </x:c>
      <x:c r="L2750" s="9" t="str">
        <x:v>TBA</x:v>
      </x:c>
    </x:row>
    <x:row r="2751">
      <x:c r="A2751" t="str">
        <x:v>55825beb-2749-4204-974a-b745529321d4</x:v>
      </x:c>
      <x:c r="B2751" t="str">
        <x:v>d6117ccf-8c7a-4475-b997-4b24404b80e6</x:v>
      </x:c>
      <x:c r="C2751" s="9" t="str">
        <x:v>RSM Bentley Jennison (A Firm) &amp; Ors v Ayton [2015] EWCA Civ 1120</x:v>
      </x:c>
      <x:c r="D2751" s="9" t="str"/>
      <x:c r="E2751" s="9" t="str"/>
      <x:c r="F2751" s="13" t="str">
        <x:v>2015</x:v>
      </x:c>
      <x:c r="G2751" s="9" t="str">
        <x:v>England and Wales Court of Appeal (Civil Division)</x:v>
      </x:c>
      <x:c r="H2751" s="9" t="str">
        <x:v>Appellate</x:v>
      </x:c>
      <x:c r="I2751" s="9" t="str">
        <x:v>England and Wales</x:v>
      </x:c>
      <x:c r="J2751" s="9" t="str">
        <x:v>Civil Procedure</x:v>
      </x:c>
      <x:c r="K2751" s="9" t="str">
        <x:v>-ew-cases-EWCA-Civ-2015-1120.xml</x:v>
      </x:c>
      <x:c r="L2751" s="9" t="str">
        <x:v>TBA</x:v>
      </x:c>
    </x:row>
    <x:row r="2752">
      <x:c r="A2752" t="str">
        <x:v>37363d35-dbb1-4ada-b9b4-18a3e629803c</x:v>
      </x:c>
      <x:c r="B2752" t="str">
        <x:v>a2f8eac9-ad1e-4b88-a5e3-121724345cc9</x:v>
      </x:c>
      <x:c r="C2752" s="9" t="str">
        <x:v>Rushbond Plc v The JS Design Partnership LLP: Duty of Care and Pure Omissions in Negligence</x:v>
      </x:c>
      <x:c r="D2752" s="9" t="str"/>
      <x:c r="E2752" s="9" t="str"/>
      <x:c r="F2752" s="13" t="str">
        <x:v>2021</x:v>
      </x:c>
      <x:c r="G2752" s="9" t="str">
        <x:v>England and Wales Court of Appeal (Civil Division)</x:v>
      </x:c>
      <x:c r="H2752" s="9" t="str">
        <x:v>Appellate</x:v>
      </x:c>
      <x:c r="I2752" s="9" t="str">
        <x:v>England and Wales</x:v>
      </x:c>
      <x:c r="J2752" s="9" t="str">
        <x:v>Negligence</x:v>
      </x:c>
      <x:c r="K2752" s="9" t="str">
        <x:v>ew-cases-EWCA-Civ-2021-1889.xml</x:v>
      </x:c>
      <x:c r="L2752" s="9" t="str">
        <x:v>TBA</x:v>
      </x:c>
    </x:row>
    <x:row r="2753">
      <x:c r="A2753" t="str">
        <x:v>99cc797e-027d-4134-ac37-e73a707a2454</x:v>
      </x:c>
      <x:c r="B2753" t="str">
        <x:v>760f0069-d12a-4eb2-bfd1-49b7a9fa0fce</x:v>
      </x:c>
      <x:c r="C2753" s="9" t="str">
        <x:v>Rushton v Tompkins &amp; Anor [2017] EWCA Civ 1995</x:v>
      </x:c>
      <x:c r="D2753" s="9" t="str"/>
      <x:c r="E2753" s="9" t="str"/>
      <x:c r="F2753" s="13" t="str">
        <x:v>2017</x:v>
      </x:c>
      <x:c r="G2753" s="9" t="str">
        <x:v>England and Wales Court of Appeal (Civil Division)</x:v>
      </x:c>
      <x:c r="H2753" s="9" t="str">
        <x:v>appellate</x:v>
      </x:c>
      <x:c r="I2753" s="9" t="str">
        <x:v>England and Wales</x:v>
      </x:c>
      <x:c r="J2753" s="9" t="str">
        <x:v>Civil Rights</x:v>
      </x:c>
      <x:c r="K2753" s="9" t="str">
        <x:v>-ew-cases-EWCA-Civ-2017-1995.xml</x:v>
      </x:c>
      <x:c r="L2753" s="9" t="str">
        <x:v>TBA</x:v>
      </x:c>
    </x:row>
    <x:row r="2754">
      <x:c r="A2754" t="str">
        <x:v>0e45f9c7-4024-44bb-af9b-49cf05dc6c43</x:v>
      </x:c>
      <x:c r="B2754" t="str">
        <x:v>7b4d2658-b7d7-4823-815b-891fb7c58eab</x:v>
      </x:c>
      <x:c r="C2754" s="9" t="str">
        <x:v>Rutherford &amp; Ors, R (On the Application Of) v Secretary of State for Work &amp; Pensions [2016] EWCA Civ 29</x:v>
      </x:c>
      <x:c r="D2754" s="9" t="str"/>
      <x:c r="E2754" s="9" t="str"/>
      <x:c r="F2754" s="13" t="str">
        <x:v>2016</x:v>
      </x:c>
      <x:c r="G2754" s="9" t="str">
        <x:v>England and Wales Court of Appeal (Civil Division)</x:v>
      </x:c>
      <x:c r="H2754" s="9" t="str">
        <x:v>Court of Appeal (Civil Division)</x:v>
      </x:c>
      <x:c r="I2754" s="9" t="str">
        <x:v>England and Wales</x:v>
      </x:c>
      <x:c r="J2754" s="9" t="str">
        <x:v>Administrative Law; Equality and Human Rights; Social Security; Housing Benefit</x:v>
      </x:c>
      <x:c r="K2754" s="9" t="str">
        <x:v>-ew-cases-EWCA-Civ-2016-29.xml</x:v>
      </x:c>
      <x:c r="L2754" s="9" t="str">
        <x:v>TBA</x:v>
      </x:c>
    </x:row>
    <x:row r="2755">
      <x:c r="A2755" t="str">
        <x:v>16da1f34-f427-4f0b-8256-63f73a80654a</x:v>
      </x:c>
      <x:c r="B2755" t="str">
        <x:v>727843c5-0d5c-4bf9-b9a0-883e7d034e8f</x:v>
      </x:c>
      <x:c r="C2755" s="9" t="str">
        <x:v>RWE Npower Renewables Ltd v J N Bentley Ltd [2014] EWCA Civ 150</x:v>
      </x:c>
      <x:c r="D2755" s="9" t="str"/>
      <x:c r="E2755" s="9" t="str"/>
      <x:c r="F2755" s="13" t="str">
        <x:v>2014</x:v>
      </x:c>
      <x:c r="G2755" s="9" t="str">
        <x:v>England and Wales Court of Appeal (Civil Division)</x:v>
      </x:c>
      <x:c r="H2755" s="9" t="str">
        <x:v>Appellate</x:v>
      </x:c>
      <x:c r="I2755" s="9" t="str">
        <x:v>England</x:v>
      </x:c>
      <x:c r="J2755" s="9" t="str">
        <x:v>Contract Dispute</x:v>
      </x:c>
      <x:c r="K2755" s="9" t="str">
        <x:v>-ew-cases-EWCA-Civ-2014-150.xml</x:v>
      </x:c>
      <x:c r="L2755" s="9" t="str">
        <x:v>TBA</x:v>
      </x:c>
    </x:row>
    <x:row r="2756">
      <x:c r="A2756" t="str">
        <x:v>8155e070-1ab8-47ef-b6cb-66a1f444b340</x:v>
      </x:c>
      <x:c r="B2756" t="str">
        <x:v>659f9376-4fc0-440b-85b0-a1d23025191c</x:v>
      </x:c>
      <x:c r="C2756" s="9" t="str">
        <x:v>RXDX v Northampton Borough Council &amp; Anr [2016] EWCA Civ 672</x:v>
      </x:c>
      <x:c r="D2756" s="9" t="str"/>
      <x:c r="E2756" s="9" t="str"/>
      <x:c r="F2756" s="13" t="str">
        <x:v>2016</x:v>
      </x:c>
      <x:c r="G2756" s="9" t="str">
        <x:v>England and Wales Court of Appeal (Civil Division)</x:v>
      </x:c>
      <x:c r="H2756" s="9" t="str">
        <x:v>Court of Appeal (Civil Division)</x:v>
      </x:c>
      <x:c r="I2756" s="9" t="str">
        <x:v>England and Wales</x:v>
      </x:c>
      <x:c r="J2756" s="9" t="str">
        <x:v>Civil Tort / Appeal</x:v>
      </x:c>
      <x:c r="K2756" s="9" t="str">
        <x:v>-ew-cases-EWCA-Civ-2016-672.xml</x:v>
      </x:c>
      <x:c r="L2756" s="9" t="str">
        <x:v>TBA</x:v>
      </x:c>
    </x:row>
    <x:row r="2757">
      <x:c r="A2757" t="str">
        <x:v>2350231c-1418-441a-b9f1-d0f08f90f80b</x:v>
      </x:c>
      <x:c r="B2757" t="str">
        <x:v>c7e7931a-ff51-46a7-91ab-8a62d3756195</x:v>
      </x:c>
      <x:c r="C2757" s="9" t="str">
        <x:v>RY (Sri Lanka) v Secretary of State for the Home Department [2016] EWCA Civ 81</x:v>
      </x:c>
      <x:c r="D2757" s="9" t="str"/>
      <x:c r="E2757" s="9" t="str"/>
      <x:c r="F2757" s="13" t="str">
        <x:v>2016</x:v>
      </x:c>
      <x:c r="G2757" s="9" t="str">
        <x:v>England and Wales Court of Appeal (Civil Division)</x:v>
      </x:c>
      <x:c r="H2757" s="9" t="str">
        <x:v>Court of Appeal (Civil Division)</x:v>
      </x:c>
      <x:c r="I2757" s="9" t="str">
        <x:v>England and Wales</x:v>
      </x:c>
      <x:c r="J2757" s="9" t="str">
        <x:v>Immigration and Refugee Law</x:v>
      </x:c>
      <x:c r="K2757" s="9" t="str">
        <x:v>-ew-cases-EWCA-Civ-2016-81.xml</x:v>
      </x:c>
      <x:c r="L2757" s="9" t="str">
        <x:v>TBA</x:v>
      </x:c>
    </x:row>
    <x:row r="2758">
      <x:c r="A2758" t="str">
        <x:v>9ad3395d-1db7-4f4d-9843-f3b94594e720</x:v>
      </x:c>
      <x:c r="B2758" t="str">
        <x:v>fa2821be-f118-4568-ad75-f1c79c4aa559</x:v>
      </x:c>
      <x:c r="C2758" s="9" t="str">
        <x:v>Ryan v City of Westminster [2015] EWCA Civ 1448</x:v>
      </x:c>
      <x:c r="D2758" s="9" t="str"/>
      <x:c r="E2758" s="9" t="str"/>
      <x:c r="F2758" s="13" t="str">
        <x:v>2015</x:v>
      </x:c>
      <x:c r="G2758" s="9" t="str">
        <x:v>England and Wales Court of Appeal (Civil Division)</x:v>
      </x:c>
      <x:c r="H2758" s="9" t="str">
        <x:v>Appellate</x:v>
      </x:c>
      <x:c r="I2758" s="9" t="str">
        <x:v>England and Wales</x:v>
      </x:c>
      <x:c r="J2758" s="9" t="str">
        <x:v>Housing Law</x:v>
      </x:c>
      <x:c r="K2758" s="9" t="str">
        <x:v>-ew-cases-EWCA-Civ-2015-1448.xml</x:v>
      </x:c>
      <x:c r="L2758" s="9" t="str">
        <x:v>TBA</x:v>
      </x:c>
    </x:row>
    <x:row r="2759">
      <x:c r="A2759" t="str">
        <x:v>240b9c85-a451-487c-a2a9-7b6169b2a99c</x:v>
      </x:c>
      <x:c r="B2759" t="str">
        <x:v>a56819ed-f16e-40bd-a442-c050756b26f9</x:v>
      </x:c>
      <x:c r="C2759" s="9" t="str">
        <x:v>Ryanair Holdings Plc v The Competition And Markets Authority &amp; Anor [2015] EWCA Civ 83</x:v>
      </x:c>
      <x:c r="D2759" s="9" t="str"/>
      <x:c r="E2759" s="9" t="str"/>
      <x:c r="F2759" s="13" t="str">
        <x:v>2015</x:v>
      </x:c>
      <x:c r="G2759" s="9" t="str">
        <x:v>England and Wales Court of Appeal (Civil Division)</x:v>
      </x:c>
      <x:c r="H2759" s="9" t="str">
        <x:v>Appellate</x:v>
      </x:c>
      <x:c r="I2759" s="9" t="str">
        <x:v>England and Wales</x:v>
      </x:c>
      <x:c r="J2759" s="9" t="str">
        <x:v>Competition Law</x:v>
      </x:c>
      <x:c r="K2759" s="9" t="str">
        <x:v>-ew-cases-EWCA-Civ-2015-83.xml</x:v>
      </x:c>
      <x:c r="L2759" s="9" t="str">
        <x:v>TBA</x:v>
      </x:c>
    </x:row>
    <x:row r="2760">
      <x:c r="A2760" t="str">
        <x:v>0e39c0ec-c12b-4145-9d6d-a4dbba4d51c6</x:v>
      </x:c>
      <x:c r="B2760" t="str">
        <x:v>75a20b14-f8c3-4078-b7f8-35b3a7d3864f</x:v>
      </x:c>
      <x:c r="C2760" s="9" t="str">
        <x:v>Ryanair Ltd v HM Revenue and Customs [2014] EWCA Civ 410</x:v>
      </x:c>
      <x:c r="D2760" s="9" t="str"/>
      <x:c r="E2760" s="9" t="str"/>
      <x:c r="F2760" s="13" t="str">
        <x:v>2014</x:v>
      </x:c>
      <x:c r="G2760" s="9" t="str">
        <x:v>England and Wales Court of Appeal (Civil Division)</x:v>
      </x:c>
      <x:c r="H2760" s="9" t="str">
        <x:v>Appellate</x:v>
      </x:c>
      <x:c r="I2760" s="9" t="str">
        <x:v>England and Wales</x:v>
      </x:c>
      <x:c r="J2760" s="9" t="str">
        <x:v>Administrative Law</x:v>
      </x:c>
      <x:c r="K2760" s="9" t="str">
        <x:v>-ew-cases-EWCA-Civ-2014-410.xml</x:v>
      </x:c>
      <x:c r="L2760" s="9" t="str">
        <x:v>TBA</x:v>
      </x:c>
    </x:row>
    <x:row r="2761">
      <x:c r="A2761" t="str">
        <x:v>7b233b17-91e8-4e1e-82ca-a05eb431e055</x:v>
      </x:c>
      <x:c r="B2761" t="str">
        <x:v>c214aaf4-81ff-4a49-aa6f-74984fed8cdf</x:v>
      </x:c>
      <x:c r="C2761" s="9" t="str">
        <x:v>Rynda (UK) Ltd v Rhijnsburger</x:v>
      </x:c>
      <x:c r="D2761" s="9" t="str"/>
      <x:c r="E2761" s="9" t="str"/>
      <x:c r="F2761" s="13" t="str">
        <x:v>2015</x:v>
      </x:c>
      <x:c r="G2761" s="9" t="str">
        <x:v>England and Wales Court of Appeal (Civil Division)</x:v>
      </x:c>
      <x:c r="H2761" s="9" t="str">
        <x:v>Appellate</x:v>
      </x:c>
      <x:c r="I2761" s="9" t="str">
        <x:v>England and Wales</x:v>
      </x:c>
      <x:c r="J2761" s="9" t="str">
        <x:v>Employment Law</x:v>
      </x:c>
      <x:c r="K2761" s="9" t="str">
        <x:v>-ew-cases-EWCA-Civ-2015-75.xml</x:v>
      </x:c>
      <x:c r="L2761" s="9" t="str">
        <x:v>TBA</x:v>
      </x:c>
    </x:row>
    <x:row r="2762">
      <x:c r="A2762" t="str">
        <x:v>09110f96-d4ba-4912-825d-734de1b0b6d0</x:v>
      </x:c>
      <x:c r="B2762" t="str">
        <x:v>0eb63e06-40ac-45da-88a9-6ecc0c220594</x:v>
      </x:c>
      <x:c r="C2762" s="9" t="str">
        <x:v>S (A Child: Abduction: Article 13(B): Mental Health) (Rev1) [2023] EWCA Civ 208</x:v>
      </x:c>
      <x:c r="D2762" s="9" t="str"/>
      <x:c r="E2762" s="9" t="str"/>
      <x:c r="F2762" s="13" t="str">
        <x:v>2023</x:v>
      </x:c>
      <x:c r="G2762" s="9" t="str">
        <x:v>England and Wales Court of Appeal (Civil Division)</x:v>
      </x:c>
      <x:c r="H2762" s="9" t="str">
        <x:v>Court of Appeal (Civil Division)</x:v>
      </x:c>
      <x:c r="I2762" s="9" t="str">
        <x:v>England and Wales</x:v>
      </x:c>
      <x:c r="J2762" s="9" t="str">
        <x:v>International Family Law</x:v>
      </x:c>
      <x:c r="K2762" s="9" t="str">
        <x:v>ew-cases-EWCA-Civ-2023-208.xml</x:v>
      </x:c>
      <x:c r="L2762" s="9" t="str">
        <x:v>TBA</x:v>
      </x:c>
    </x:row>
    <x:row r="2763">
      <x:c r="A2763" t="str">
        <x:v>dad272f1-c9bd-4a87-84e2-df4088ac421a</x:v>
      </x:c>
      <x:c r="B2763" t="str">
        <x:v>a1850c88-4f4f-44f7-a4fb-dc722b19c457</x:v>
      </x:c>
      <x:c r="C2763" s="9" t="str">
        <x:v>S (A Child: Findings of Fact) [2023] EWCA Civ 346 (31 March 2023)</x:v>
      </x:c>
      <x:c r="D2763" s="9" t="str"/>
      <x:c r="E2763" s="9" t="str"/>
      <x:c r="F2763" s="13" t="str">
        <x:v>2023</x:v>
      </x:c>
      <x:c r="G2763" s="9" t="str">
        <x:v>England and Wales Court of Appeal (Civil Division)</x:v>
      </x:c>
      <x:c r="H2763" s="9" t="str">
        <x:v>Court of Appeal (Civil Division)</x:v>
      </x:c>
      <x:c r="I2763" s="9" t="str">
        <x:v>England and Wales</x:v>
      </x:c>
      <x:c r="J2763" s="9" t="str">
        <x:v>Family Law - Care Proceedings (Findings of Fact)</x:v>
      </x:c>
      <x:c r="K2763" s="9" t="str">
        <x:v>ew-cases-EWCA-Civ-2023-346.xml</x:v>
      </x:c>
      <x:c r="L2763" s="9" t="str">
        <x:v>TBA</x:v>
      </x:c>
    </x:row>
    <x:row r="2764">
      <x:c r="A2764" t="str">
        <x:v>ad6becf4-05f6-4efb-ae28-bd891ec4d278</x:v>
      </x:c>
      <x:c r="B2764" t="str">
        <x:v>183f1380-529f-4dfe-ac60-8828abb2107c</x:v>
      </x:c>
      <x:c r="C2764" s="9" t="str">
        <x:v>S (A Child) (Abduction: Hearing the Child) [2014] EWCA Civ 1557</x:v>
      </x:c>
      <x:c r="D2764" s="9" t="str"/>
      <x:c r="E2764" s="9" t="str"/>
      <x:c r="F2764" s="13" t="str">
        <x:v>2014</x:v>
      </x:c>
      <x:c r="G2764" s="9" t="str">
        <x:v>England and Wales Court of Appeal (Civil Division)</x:v>
      </x:c>
      <x:c r="H2764" s="9" t="str">
        <x:v>Appellate</x:v>
      </x:c>
      <x:c r="I2764" s="9" t="str">
        <x:v>England and Wales</x:v>
      </x:c>
      <x:c r="J2764" s="9" t="str">
        <x:v>Family Law</x:v>
      </x:c>
      <x:c r="K2764" s="9" t="str">
        <x:v>-ew-cases-EWCA-Civ-2014-1557.xml</x:v>
      </x:c>
      <x:c r="L2764" s="9" t="str">
        <x:v>TBA</x:v>
      </x:c>
    </x:row>
    <x:row r="2765">
      <x:c r="A2765" t="str">
        <x:v>f7025f1e-939d-4c95-892e-e8f0e02be144</x:v>
      </x:c>
      <x:c r="B2765" t="str">
        <x:v>d7fb9989-ebcc-4156-bcbd-bb8c1bfc7492</x:v>
      </x:c>
      <x:c r="C2765" s="9" t="str">
        <x:v>S (A Child) [2015] EWCA Civ 489</x:v>
      </x:c>
      <x:c r="D2765" s="9" t="str"/>
      <x:c r="E2765" s="9" t="str"/>
      <x:c r="F2765" s="13" t="str">
        <x:v>2015</x:v>
      </x:c>
      <x:c r="G2765" s="9" t="str">
        <x:v>England and Wales Court of Appeal (Civil Division)</x:v>
      </x:c>
      <x:c r="H2765" s="9" t="str">
        <x:v>appellate</x:v>
      </x:c>
      <x:c r="I2765" s="9" t="str">
        <x:v>England and Wales</x:v>
      </x:c>
      <x:c r="J2765" s="9" t="str">
        <x:v>Family Law</x:v>
      </x:c>
      <x:c r="K2765" s="9" t="str">
        <x:v>-ew-cases-EWCA-Civ-2015-489.xml</x:v>
      </x:c>
      <x:c r="L2765" s="9" t="str">
        <x:v>TBA</x:v>
      </x:c>
    </x:row>
    <x:row r="2766">
      <x:c r="A2766" t="str">
        <x:v>184bfdfd-8f90-4cab-a115-a3ef128e5173</x:v>
      </x:c>
      <x:c r="B2766" t="str">
        <x:v>19884c30-9e8c-45aa-820e-c0602e24560e</x:v>
      </x:c>
      <x:c r="C2766" s="9" t="str">
        <x:v>S (A Child) [2016] EWCA Civ 495 (Court of Appeal, Civil Division)</x:v>
      </x:c>
      <x:c r="D2766" s="9" t="str"/>
      <x:c r="E2766" s="9" t="str"/>
      <x:c r="F2766" s="13" t="str">
        <x:v>2016</x:v>
      </x:c>
      <x:c r="G2766" s="9" t="str">
        <x:v>England and Wales Court of Appeal (Civil Division)</x:v>
      </x:c>
      <x:c r="H2766" s="9" t="str">
        <x:v>Court of Appeal (Civil Division)</x:v>
      </x:c>
      <x:c r="I2766" s="9" t="str">
        <x:v>England and Wales</x:v>
      </x:c>
      <x:c r="J2766" s="9" t="str">
        <x:v>Family Law</x:v>
      </x:c>
      <x:c r="K2766" s="9" t="str">
        <x:v>-ew-cases-EWCA-Civ-2016-495.xml</x:v>
      </x:c>
      <x:c r="L2766" s="9" t="str">
        <x:v>TBA</x:v>
      </x:c>
    </x:row>
    <x:row r="2767">
      <x:c r="A2767" t="str">
        <x:v>dbf2ce89-e398-4d6e-846b-83c3317d48d0</x:v>
      </x:c>
      <x:c r="B2767" t="str">
        <x:v>adaece2d-d4f3-46a5-88ec-3a6eb4558494</x:v>
      </x:c>
      <x:c r="C2767" s="9" t="str">
        <x:v>S (A Child) [2017] EWCA Civ 249</x:v>
      </x:c>
      <x:c r="D2767" s="9" t="str"/>
      <x:c r="E2767" s="9" t="str"/>
      <x:c r="F2767" s="13" t="str">
        <x:v>2017</x:v>
      </x:c>
      <x:c r="G2767" s="9" t="str">
        <x:v>England and Wales Court of Appeal (Civil Division)</x:v>
      </x:c>
      <x:c r="H2767" s="9" t="str">
        <x:v>Appellate</x:v>
      </x:c>
      <x:c r="I2767" s="9" t="str">
        <x:v>England and Wales</x:v>
      </x:c>
      <x:c r="J2767" s="9" t="str">
        <x:v>Family Law</x:v>
      </x:c>
      <x:c r="K2767" s="9" t="str">
        <x:v>-ew-cases-EWCA-Civ-2017-249.xml</x:v>
      </x:c>
      <x:c r="L2767" s="9" t="str">
        <x:v>TBA</x:v>
      </x:c>
    </x:row>
    <x:row r="2768">
      <x:c r="A2768" t="str">
        <x:v>1fdf2b91-c41b-4cf5-95f4-566b0892e902</x:v>
      </x:c>
      <x:c r="B2768" t="str">
        <x:v>9d940ba8-25c8-4f5d-8120-d9748ca3ea22</x:v>
      </x:c>
      <x:c r="C2768" s="9" t="str">
        <x:v>S (A Child) [2021] EWCA Civ 605</x:v>
      </x:c>
      <x:c r="D2768" s="9" t="str"/>
      <x:c r="E2768" s="9" t="str"/>
      <x:c r="F2768" s="13" t="str">
        <x:v>2021</x:v>
      </x:c>
      <x:c r="G2768" s="9" t="str">
        <x:v>England and Wales Court of Appeal (Civil Division)</x:v>
      </x:c>
      <x:c r="H2768" s="9" t="str">
        <x:v>Appellate</x:v>
      </x:c>
      <x:c r="I2768" s="9" t="str">
        <x:v>England and Wales</x:v>
      </x:c>
      <x:c r="J2768" s="9" t="str">
        <x:v>Family Law</x:v>
      </x:c>
      <x:c r="K2768" s="9" t="str">
        <x:v>ew-cases-EWCA-Civ-2021-605.xml</x:v>
      </x:c>
      <x:c r="L2768" s="9" t="str">
        <x:v>TBA</x:v>
      </x:c>
    </x:row>
    <x:row r="2769">
      <x:c r="A2769" t="str">
        <x:v>bc68e97a-aac9-423b-bdad-e2b59290dac9</x:v>
      </x:c>
      <x:c r="B2769" t="str">
        <x:v>ac22f348-fed7-41e1-8a8e-c4024d45416e</x:v>
      </x:c>
      <x:c r="C2769" s="9" t="str">
        <x:v>S (A Child) [2023] EWCA Civ 706</x:v>
      </x:c>
      <x:c r="D2769" s="9" t="str"/>
      <x:c r="E2769" s="9" t="str"/>
      <x:c r="F2769" s="13" t="str">
        <x:v>2023</x:v>
      </x:c>
      <x:c r="G2769" s="9" t="str">
        <x:v>England and Wales Court of Appeal (Civil Division)</x:v>
      </x:c>
      <x:c r="H2769" s="9" t="str">
        <x:v>Court of Appeal (Civil Division)</x:v>
      </x:c>
      <x:c r="I2769" s="9" t="str">
        <x:v>England and Wales</x:v>
      </x:c>
      <x:c r="J2769" s="9" t="str">
        <x:v>Family Law / Care Proceedings</x:v>
      </x:c>
      <x:c r="K2769" s="9" t="str">
        <x:v>ew-cases-EWCA-Civ-2023-706.xml</x:v>
      </x:c>
      <x:c r="L2769" s="9" t="str">
        <x:v>TBA</x:v>
      </x:c>
    </x:row>
    <x:row r="2770">
      <x:c r="A2770" t="str">
        <x:v>8d8f5533-f26d-4a63-9c3b-7b154fe29e65</x:v>
      </x:c>
      <x:c r="B2770" t="str">
        <x:v>2be2128f-d4ce-41dd-b3f5-cb783cd095b1</x:v>
      </x:c>
      <x:c r="C2770" s="9" t="str">
        <x:v>S (A Child) &amp; W (A Child), Re (s 20 Accommodation) [2023] EWCA Civ 1</x:v>
      </x:c>
      <x:c r="D2770" s="9" t="str"/>
      <x:c r="E2770" s="9" t="str"/>
      <x:c r="F2770" s="13" t="str">
        <x:v>2023</x:v>
      </x:c>
      <x:c r="G2770" s="9" t="str">
        <x:v>England and Wales Court of Appeal (Civil Division)</x:v>
      </x:c>
      <x:c r="H2770" s="9" t="str">
        <x:v>Court of Appeal (Civil Division)</x:v>
      </x:c>
      <x:c r="I2770" s="9" t="str">
        <x:v>England and Wales</x:v>
      </x:c>
      <x:c r="J2770" s="9" t="str">
        <x:v>Civil Appeal - Family Law (Children)</x:v>
      </x:c>
      <x:c r="K2770" s="9" t="str">
        <x:v>ew-cases-EWCA-Civ-2023-1.xml</x:v>
      </x:c>
      <x:c r="L2770" s="9" t="str">
        <x:v>TBA</x:v>
      </x:c>
    </x:row>
    <x:row r="2771">
      <x:c r="A2771" t="str">
        <x:v>86b070e1-406d-47ce-9e9b-e95c5a3adfb6</x:v>
      </x:c>
      <x:c r="B2771" t="str">
        <x:v>d7a81ad9-1bee-4cfa-9fc9-53ca435beeb4</x:v>
      </x:c>
      <x:c r="C2771" s="9" t="str">
        <x:v>S (A Child), Re [2015] EWCA Civ 1345</x:v>
      </x:c>
      <x:c r="D2771" s="9" t="str"/>
      <x:c r="E2771" s="9" t="str"/>
      <x:c r="F2771" s="13" t="str">
        <x:v>2015</x:v>
      </x:c>
      <x:c r="G2771" s="9" t="str">
        <x:v>England and Wales Court of Appeal (Civil Division)</x:v>
      </x:c>
      <x:c r="H2771" s="9" t="str">
        <x:v>Appellate</x:v>
      </x:c>
      <x:c r="I2771" s="9" t="str">
        <x:v>England and Wales</x:v>
      </x:c>
      <x:c r="J2771" s="9" t="str">
        <x:v>Family Law</x:v>
      </x:c>
      <x:c r="K2771" s="9" t="str">
        <x:v>-ew-cases-EWCA-Civ-2015-1345.xml</x:v>
      </x:c>
      <x:c r="L2771" s="9" t="str">
        <x:v>TBA</x:v>
      </x:c>
    </x:row>
    <x:row r="2772">
      <x:c r="A2772" t="str">
        <x:v>9f1ae586-b6db-44d9-896c-6182f8be371a</x:v>
      </x:c>
      <x:c r="B2772" t="str">
        <x:v>0591e293-f3c5-4db6-9abe-20f16e06ea87</x:v>
      </x:c>
      <x:c r="C2772" s="9" t="str">
        <x:v>S (A Child), Re [2015] EWCA Civ 649</x:v>
      </x:c>
      <x:c r="D2772" s="9" t="str"/>
      <x:c r="E2772" s="9" t="str"/>
      <x:c r="F2772" s="13" t="str">
        <x:v>2015</x:v>
      </x:c>
      <x:c r="G2772" s="9" t="str">
        <x:v>England and Wales Court of Appeal (Civil Division)</x:v>
      </x:c>
      <x:c r="H2772" s="9" t="str">
        <x:v>Appellate</x:v>
      </x:c>
      <x:c r="I2772" s="9" t="str">
        <x:v>England and Wales</x:v>
      </x:c>
      <x:c r="J2772" s="9" t="str">
        <x:v>Family Law</x:v>
      </x:c>
      <x:c r="K2772" s="9" t="str">
        <x:v>-ew-cases-EWCA-Civ-2015-649.xml</x:v>
      </x:c>
      <x:c r="L2772" s="9" t="str">
        <x:v>TBA</x:v>
      </x:c>
    </x:row>
    <x:row r="2773">
      <x:c r="A2773" t="str">
        <x:v>aa65d91c-8736-4dad-85d0-c2f164036e35</x:v>
      </x:c>
      <x:c r="B2773" t="str">
        <x:v>03fd4270-018f-4b70-a5be-2e4b77587bf2</x:v>
      </x:c>
      <x:c r="C2773" s="9" t="str">
        <x:v>S (A Child): Habitual Residence and Child's Objections (Brazil) [2015] EWCA Civ 2</x:v>
      </x:c>
      <x:c r="D2773" s="9" t="str"/>
      <x:c r="E2773" s="9" t="str"/>
      <x:c r="F2773" s="13" t="str">
        <x:v>2015</x:v>
      </x:c>
      <x:c r="G2773" s="9" t="str">
        <x:v>England and Wales Court of Appeal (Civil Division)</x:v>
      </x:c>
      <x:c r="H2773" s="9" t="str">
        <x:v>Appellate</x:v>
      </x:c>
      <x:c r="I2773" s="9" t="str">
        <x:v>England and Wales</x:v>
      </x:c>
      <x:c r="J2773" s="9" t="str">
        <x:v>Family Law</x:v>
      </x:c>
      <x:c r="K2773" s="9" t="str">
        <x:v>-ew-cases-EWCA-Civ-2015-2.xml</x:v>
      </x:c>
      <x:c r="L2773" s="9" t="str">
        <x:v>TBA</x:v>
      </x:c>
    </x:row>
    <x:row r="2774">
      <x:c r="A2774" t="str">
        <x:v>01dad52c-eab3-4dd8-be12-1fe4e7bba345</x:v>
      </x:c>
      <x:c r="B2774" t="str">
        <x:v>c638648d-fec0-4d91-ae91-59ece875ee73</x:v>
      </x:c>
      <x:c r="C2774" s="9" t="str">
        <x:v>S (Children, W &amp; T), Re [2014] EWCA Civ 638</x:v>
      </x:c>
      <x:c r="D2774" s="9" t="str"/>
      <x:c r="E2774" s="9" t="str"/>
      <x:c r="F2774" s="13" t="str">
        <x:v>2014</x:v>
      </x:c>
      <x:c r="G2774" s="9" t="str">
        <x:v>England and Wales Court of Appeal (Civil Division)</x:v>
      </x:c>
      <x:c r="H2774" s="9" t="str">
        <x:v>Appellate</x:v>
      </x:c>
      <x:c r="I2774" s="9" t="str">
        <x:v>England and Wales</x:v>
      </x:c>
      <x:c r="J2774" s="9" t="str">
        <x:v>Family Law</x:v>
      </x:c>
      <x:c r="K2774" s="9" t="str">
        <x:v>-ew-cases-EWCA-Civ-2014-638.xml</x:v>
      </x:c>
      <x:c r="L2774" s="9" t="str">
        <x:v>TBA</x:v>
      </x:c>
    </x:row>
    <x:row r="2775">
      <x:c r="A2775" t="str">
        <x:v>993f8124-5fa2-4443-990c-003f88a5da35</x:v>
      </x:c>
      <x:c r="B2775" t="str">
        <x:v>3bd25668-d1bd-4dc9-a0a8-9bd126ade410</x:v>
      </x:c>
      <x:c r="C2775" s="9" t="str">
        <x:v>S (Children: Party Status) [2022] EWCA Civ 1717</x:v>
      </x:c>
      <x:c r="D2775" s="9" t="str"/>
      <x:c r="E2775" s="9" t="str"/>
      <x:c r="F2775" s="13" t="str">
        <x:v>2022</x:v>
      </x:c>
      <x:c r="G2775" s="9" t="str">
        <x:v>England and Wales Court of Appeal (Civil Division)</x:v>
      </x:c>
      <x:c r="H2775" s="9" t="str">
        <x:v>Court of Appeal (Civil Division)</x:v>
      </x:c>
      <x:c r="I2775" s="9" t="str">
        <x:v>England and Wales</x:v>
      </x:c>
      <x:c r="J2775" s="9" t="str">
        <x:v>Care proceedings; Family Law</x:v>
      </x:c>
      <x:c r="K2775" s="9" t="str">
        <x:v>ew-cases-EWCA-Civ-2022-1717.xml</x:v>
      </x:c>
      <x:c r="L2775" s="9" t="str">
        <x:v>TBA</x:v>
      </x:c>
    </x:row>
    <x:row r="2776">
      <x:c r="A2776" t="str">
        <x:v>3570ca32-e07c-43cf-b6f4-ba2bdba690aa</x:v>
      </x:c>
      <x:c r="B2776" t="str">
        <x:v>5d4ddbcf-66a9-4e90-86ea-8a7879351e09</x:v>
      </x:c>
      <x:c r="C2776" s="9" t="str">
        <x:v>S (Children) [2014] EWCA Civ 1447</x:v>
      </x:c>
      <x:c r="D2776" s="9" t="str"/>
      <x:c r="E2776" s="9" t="str"/>
      <x:c r="F2776" s="13" t="str">
        <x:v>2014</x:v>
      </x:c>
      <x:c r="G2776" s="9" t="str">
        <x:v>England and Wales Court of Appeal (Civil Division)</x:v>
      </x:c>
      <x:c r="H2776" s="9" t="str">
        <x:v>Appellate</x:v>
      </x:c>
      <x:c r="I2776" s="9" t="str">
        <x:v>England and Wales</x:v>
      </x:c>
      <x:c r="J2776" s="9" t="str">
        <x:v>Family Law</x:v>
      </x:c>
      <x:c r="K2776" s="9" t="str">
        <x:v>-ew-cases-EWCA-Civ-2014-1447.xml</x:v>
      </x:c>
      <x:c r="L2776" s="9" t="str">
        <x:v>TBA</x:v>
      </x:c>
    </x:row>
    <x:row r="2777">
      <x:c r="A2777" t="str">
        <x:v>6731f3e5-0ed6-49c6-9fd3-9189db8915d9</x:v>
      </x:c>
      <x:c r="B2777" t="str">
        <x:v>eac7236e-0674-4c45-a7a4-34dfc4022815</x:v>
      </x:c>
      <x:c r="C2777" s="9" t="str">
        <x:v>S (Children) [2016] EWCA Civ 83</x:v>
      </x:c>
      <x:c r="D2777" s="9" t="str"/>
      <x:c r="E2777" s="9" t="str"/>
      <x:c r="F2777" s="13" t="str">
        <x:v>2016</x:v>
      </x:c>
      <x:c r="G2777" s="9" t="str">
        <x:v>England and Wales Court of Appeal (Civil Division)</x:v>
      </x:c>
      <x:c r="H2777" s="9" t="str">
        <x:v>Court of Appeal (Civil Division)</x:v>
      </x:c>
      <x:c r="I2777" s="9" t="str">
        <x:v>England and Wales</x:v>
      </x:c>
      <x:c r="J2777" s="9" t="str">
        <x:v>Family Law; Care Proceedings; Child Evidence</x:v>
      </x:c>
      <x:c r="K2777" s="9" t="str">
        <x:v>-ew-cases-EWCA-Civ-2016-83.xml</x:v>
      </x:c>
      <x:c r="L2777" s="9" t="str">
        <x:v>TBA</x:v>
      </x:c>
    </x:row>
    <x:row r="2778">
      <x:c r="A2778" t="str">
        <x:v>e78c0feb-f937-403c-b9b7-8e73529fb253</x:v>
      </x:c>
      <x:c r="B2778" t="str">
        <x:v>bc2a7780-b007-49e8-81c0-cab613bc5bd7</x:v>
      </x:c>
      <x:c r="C2778" s="9" t="str">
        <x:v>S (Children), Re [2016] EWCA Civ 1090</x:v>
      </x:c>
      <x:c r="D2778" s="9" t="str"/>
      <x:c r="E2778" s="9" t="str"/>
      <x:c r="F2778" s="13" t="str">
        <x:v>2016</x:v>
      </x:c>
      <x:c r="G2778" s="9" t="str">
        <x:v>England and Wales Court of Appeal (Civil Division)</x:v>
      </x:c>
      <x:c r="H2778" s="9" t="str">
        <x:v>Court of Appeal (Civil Division)</x:v>
      </x:c>
      <x:c r="I2778" s="9" t="str">
        <x:v>England and Wales</x:v>
      </x:c>
      <x:c r="J2778" s="9" t="str">
        <x:v>Family Law / Child Welfare</x:v>
      </x:c>
      <x:c r="K2778" s="9" t="str">
        <x:v>-ew-cases-EWCA-Civ-2016-1090.xml</x:v>
      </x:c>
      <x:c r="L2778" s="9" t="str">
        <x:v>TBA</x:v>
      </x:c>
    </x:row>
    <x:row r="2779">
      <x:c r="A2779" t="str">
        <x:v>f260741a-ef3c-41a1-9f61-342d237324f4</x:v>
      </x:c>
      <x:c r="B2779" t="str">
        <x:v>f0b7b660-e17a-4e92-84a8-60743664ebf6</x:v>
      </x:c>
      <x:c r="C2779" s="9" t="str">
        <x:v>S (Vulnerable Party: Fairness Of Proceedings) [2022] EWCA Civ 8</x:v>
      </x:c>
      <x:c r="D2779" s="9" t="str"/>
      <x:c r="E2779" s="9" t="str"/>
      <x:c r="F2779" s="13" t="str">
        <x:v>2022</x:v>
      </x:c>
      <x:c r="G2779" s="9" t="str">
        <x:v>England and Wales Court of Appeal (Civil Division)</x:v>
      </x:c>
      <x:c r="H2779" s="9" t="str">
        <x:v>Court of Appeal (Civil Division)</x:v>
      </x:c>
      <x:c r="I2779" s="9" t="str">
        <x:v>England and Wales</x:v>
      </x:c>
      <x:c r="J2779" s="9" t="str">
        <x:v>Family Law</x:v>
      </x:c>
      <x:c r="K2779" s="9" t="str">
        <x:v>ew-cases-EWCA-Civ-2022-8.xml</x:v>
      </x:c>
      <x:c r="L2779" s="9" t="str">
        <x:v>TBA</x:v>
      </x:c>
    </x:row>
    <x:row r="2780">
      <x:c r="A2780" t="str">
        <x:v>ad631c3c-d1ca-454e-afb3-7c90dfc96ec9</x:v>
      </x:c>
      <x:c r="B2780" t="str">
        <x:v>0663ddda-8831-4a68-b2a4-16005cabd297</x:v>
      </x:c>
      <x:c r="C2780" s="9" t="str">
        <x:v>S and Anor v Secretary of State for the Home Department and Anor [2022] EWCA Civ 1092</x:v>
      </x:c>
      <x:c r="D2780" s="9" t="str"/>
      <x:c r="E2780" s="9" t="str"/>
      <x:c r="F2780" s="13" t="str">
        <x:v>2022</x:v>
      </x:c>
      <x:c r="G2780" s="9" t="str">
        <x:v>England and Wales Court of Appeal (Civil Division)</x:v>
      </x:c>
      <x:c r="H2780" s="9" t="str">
        <x:v>Court of Appeal (Civil Division)</x:v>
      </x:c>
      <x:c r="I2780" s="9" t="str">
        <x:v>England and Wales</x:v>
      </x:c>
      <x:c r="J2780" s="9" t="str">
        <x:v>Judicial Review; Immigration/Asylum; Administrative Law</x:v>
      </x:c>
      <x:c r="K2780" s="9" t="str">
        <x:v>ew-cases-EWCA-Civ-2022-1092.xml</x:v>
      </x:c>
      <x:c r="L2780" s="9" t="str">
        <x:v>TBA</x:v>
      </x:c>
    </x:row>
    <x:row r="2781">
      <x:c r="A2781" t="str">
        <x:v>cf44e584-6b7a-4a69-ac14-c938475ad506</x:v>
      </x:c>
      <x:c r="B2781" t="str">
        <x:v>4bfdd00c-1087-4810-a7a4-2eb3c5d82236</x:v>
      </x:c>
      <x:c r="C2781" s="9" t="str">
        <x:v>S-F (A Child) [2017] EWCA Civ 964</x:v>
      </x:c>
      <x:c r="D2781" s="9" t="str"/>
      <x:c r="E2781" s="9" t="str"/>
      <x:c r="F2781" s="13" t="str">
        <x:v>2017</x:v>
      </x:c>
      <x:c r="G2781" s="9" t="str">
        <x:v>England and Wales Court of Appeal (Civil Division)</x:v>
      </x:c>
      <x:c r="H2781" s="9" t="str">
        <x:v>Appellate</x:v>
      </x:c>
      <x:c r="I2781" s="9" t="str">
        <x:v>United Kingdom</x:v>
      </x:c>
      <x:c r="J2781" s="9" t="str">
        <x:v>Family Law</x:v>
      </x:c>
      <x:c r="K2781" s="9" t="str">
        <x:v>-ew-cases-EWCA-Civ-2017-964.xml</x:v>
      </x:c>
      <x:c r="L2781" s="9" t="str">
        <x:v>TBA</x:v>
      </x:c>
    </x:row>
    <x:row r="2782">
      <x:c r="A2782" t="str">
        <x:v>9bdd66c7-a439-4de4-869e-a7d7db35c5e9</x:v>
      </x:c>
      <x:c r="B2782" t="str">
        <x:v>96885a07-5488-476b-af41-4b56e4270911</x:v>
      </x:c>
      <x:c r="C2782" s="9" t="str">
        <x:v>S.C. Compania Nationala De Transporturi Aeriene Romane Tarom S.A. v Jet2.Com Ltd</x:v>
      </x:c>
      <x:c r="D2782" s="9" t="str"/>
      <x:c r="E2782" s="9" t="str"/>
      <x:c r="F2782" s="13" t="str">
        <x:v>2014</x:v>
      </x:c>
      <x:c r="G2782" s="9" t="str">
        <x:v>England and Wales Court of Appeal (Civil Division)</x:v>
      </x:c>
      <x:c r="H2782" s="9" t="str">
        <x:v>Appellate</x:v>
      </x:c>
      <x:c r="I2782" s="9" t="str">
        <x:v>England and Wales</x:v>
      </x:c>
      <x:c r="J2782" s="9" t="str">
        <x:v>Contract Dispute</x:v>
      </x:c>
      <x:c r="K2782" s="9" t="str">
        <x:v>-ew-cases-EWCA-Civ-2014-87.xml</x:v>
      </x:c>
      <x:c r="L2782" s="9" t="str">
        <x:v>TBA</x:v>
      </x:c>
    </x:row>
    <x:row r="2783">
      <x:c r="A2783" t="str">
        <x:v>20ee6518-654c-41e2-8cc9-f9301c2550ff</x:v>
      </x:c>
      <x:c r="B2783" t="str">
        <x:v>5c713f49-6ba4-4622-9888-abf550e79737</x:v>
      </x:c>
      <x:c r="C2783" s="9" t="str">
        <x:v>S1, T1, U1 &amp; V1 v Secretary of State for the Home Department [2016] EWCA Civ 560 (Court of Appeal, Civil Division)</x:v>
      </x:c>
      <x:c r="D2783" s="9" t="str"/>
      <x:c r="E2783" s="9" t="str"/>
      <x:c r="F2783" s="13" t="str">
        <x:v>2016</x:v>
      </x:c>
      <x:c r="G2783" s="9" t="str">
        <x:v>England and Wales Court of Appeal (Civil Division)</x:v>
      </x:c>
      <x:c r="H2783" s="9" t="str">
        <x:v>Court of Appeal (Civil Division)</x:v>
      </x:c>
      <x:c r="I2783" s="9" t="str">
        <x:v>England and Wales</x:v>
      </x:c>
      <x:c r="J2783" s="9" t="str">
        <x:v>Administrative Law; Immigration; Nationality; Human Rights</x:v>
      </x:c>
      <x:c r="K2783" s="9" t="str">
        <x:v>-ew-cases-EWCA-Civ-2016-560.xml</x:v>
      </x:c>
      <x:c r="L2783" s="9" t="str">
        <x:v>TBA</x:v>
      </x:c>
    </x:row>
    <x:row r="2784">
      <x:c r="A2784" t="str">
        <x:v>e0eff126-9e8f-4e78-a2fc-226c1609111f</x:v>
      </x:c>
      <x:c r="B2784" t="str">
        <x:v>b7ff0880-dc50-4bfe-9099-d3f1db930d67</x:v>
      </x:c>
      <x:c r="C2784" s="9" t="str">
        <x:v>S3D Interactive, Inc. v Oovee Ltd (Rev1) [2022] EWCA Civ 1665</x:v>
      </x:c>
      <x:c r="D2784" s="9" t="str"/>
      <x:c r="E2784" s="9" t="str"/>
      <x:c r="F2784" s="13" t="str">
        <x:v>2022</x:v>
      </x:c>
      <x:c r="G2784" s="9" t="str">
        <x:v>England and Wales Court of Appeal (Civil Division)</x:v>
      </x:c>
      <x:c r="H2784" s="9" t="str">
        <x:v>Appellate</x:v>
      </x:c>
      <x:c r="I2784" s="9" t="str">
        <x:v>England and Wales</x:v>
      </x:c>
      <x:c r="J2784" s="9" t="str">
        <x:v>Arbitration; Contract; International Law</x:v>
      </x:c>
      <x:c r="K2784" s="9" t="str">
        <x:v>ew-cases-EWCA-Civ-2022-1665.xml</x:v>
      </x:c>
      <x:c r="L2784" s="9" t="str">
        <x:v>TBA</x:v>
      </x:c>
    </x:row>
    <x:row r="2785">
      <x:c r="A2785" t="str">
        <x:v>5ef52cde-70de-47c5-a8d4-0eedc36564f0</x:v>
      </x:c>
      <x:c r="B2785" t="str">
        <x:v>f547e2d3-a6d3-48c4-bb4b-2451d32b3041</x:v>
      </x:c>
      <x:c r="C2785" s="9" t="str">
        <x:v>SA (Holland) v Secretary of State for the Home Department [2015] EWCA Civ 1447</x:v>
      </x:c>
      <x:c r="D2785" s="9" t="str"/>
      <x:c r="E2785" s="9" t="str"/>
      <x:c r="F2785" s="13" t="str">
        <x:v>2015</x:v>
      </x:c>
      <x:c r="G2785" s="9" t="str">
        <x:v>England and Wales Court of Appeal (Civil Division)</x:v>
      </x:c>
      <x:c r="H2785" s="9" t="str">
        <x:v>Appellate</x:v>
      </x:c>
      <x:c r="I2785" s="9" t="str">
        <x:v>England</x:v>
      </x:c>
      <x:c r="J2785" s="9" t="str">
        <x:v>Immigration Law</x:v>
      </x:c>
      <x:c r="K2785" s="9" t="str">
        <x:v>-ew-cases-EWCA-Civ-2015-1447.xml</x:v>
      </x:c>
      <x:c r="L2785" s="9" t="str">
        <x:v>TBA</x:v>
      </x:c>
    </x:row>
    <x:row r="2786">
      <x:c r="A2786" t="str">
        <x:v>cb767c52-2ed5-499d-995d-809cad7db837</x:v>
      </x:c>
      <x:c r="B2786" t="str">
        <x:v>8cccfa6a-5a42-48fc-a859-4e6a397b9b0e</x:v>
      </x:c>
      <x:c r="C2786" s="9" t="str">
        <x:v>SA (India) v Secretary of State for the Home Department [2015] EWCA Civ 791</x:v>
      </x:c>
      <x:c r="D2786" s="9" t="str"/>
      <x:c r="E2786" s="9" t="str"/>
      <x:c r="F2786" s="13" t="str">
        <x:v>2015</x:v>
      </x:c>
      <x:c r="G2786" s="9" t="str">
        <x:v>England and Wales Court of Appeal (Civil Division)</x:v>
      </x:c>
      <x:c r="H2786" s="9" t="str">
        <x:v>Appellate</x:v>
      </x:c>
      <x:c r="I2786" s="9" t="str">
        <x:v>England and Wales</x:v>
      </x:c>
      <x:c r="J2786" s="9" t="str">
        <x:v>Immigration</x:v>
      </x:c>
      <x:c r="K2786" s="9" t="str">
        <x:v>-ew-cases-EWCA-Civ-2015-791.xml</x:v>
      </x:c>
      <x:c r="L2786" s="9" t="str">
        <x:v>TBA</x:v>
      </x:c>
    </x:row>
    <x:row r="2787">
      <x:c r="A2787" t="str">
        <x:v>86657b26-4766-4231-98f7-6bccc2bcbcf1</x:v>
      </x:c>
      <x:c r="B2787" t="str">
        <x:v>95b42ee3-e579-437c-9e8d-f7857b8e3495</x:v>
      </x:c>
      <x:c r="C2787" s="9" t="str">
        <x:v>SA (Sri Lanka) v Secretary of State for the Home Department</x:v>
      </x:c>
      <x:c r="D2787" s="9" t="str"/>
      <x:c r="E2787" s="9" t="str"/>
      <x:c r="F2787" s="13" t="str">
        <x:v>2015</x:v>
      </x:c>
      <x:c r="G2787" s="9" t="str">
        <x:v>England and Wales Court of Appeal (Civil Division)</x:v>
      </x:c>
      <x:c r="H2787" s="9" t="str">
        <x:v>Appellate</x:v>
      </x:c>
      <x:c r="I2787" s="9" t="str">
        <x:v>England and Wales</x:v>
      </x:c>
      <x:c r="J2787" s="9" t="str">
        <x:v>Asylum and Immigration</x:v>
      </x:c>
      <x:c r="K2787" s="9" t="str">
        <x:v>-ew-cases-EWCA-Civ-2015-605.xml</x:v>
      </x:c>
      <x:c r="L2787" s="9" t="str">
        <x:v>TBA</x:v>
      </x:c>
    </x:row>
    <x:row r="2788">
      <x:c r="A2788" t="str">
        <x:v>e996c1d4-d7ba-4074-95f5-bd0d0f2e49ad</x:v>
      </x:c>
      <x:c r="B2788" t="str">
        <x:v>6f322a67-9fb3-4a17-96ff-b94be2fd65b7</x:v>
      </x:c>
      <x:c r="C2788" s="9" t="str">
        <x:v>SA (Sri Lanka) v Secretary of State for the Home Department [2014] EWCA Civ 683</x:v>
      </x:c>
      <x:c r="D2788" s="9" t="str"/>
      <x:c r="E2788" s="9" t="str"/>
      <x:c r="F2788" s="13" t="str">
        <x:v>2014</x:v>
      </x:c>
      <x:c r="G2788" s="9" t="str">
        <x:v>England and Wales Court of Appeal (Civil Division)</x:v>
      </x:c>
      <x:c r="H2788" s="9" t="str">
        <x:v>Appellate</x:v>
      </x:c>
      <x:c r="I2788" s="9" t="str">
        <x:v>England and Wales</x:v>
      </x:c>
      <x:c r="J2788" s="9" t="str">
        <x:v>Immigration Law</x:v>
      </x:c>
      <x:c r="K2788" s="9" t="str">
        <x:v>-ew-cases-EWCA-Civ-2014-683.xml</x:v>
      </x:c>
      <x:c r="L2788" s="9" t="str">
        <x:v>TBA</x:v>
      </x:c>
    </x:row>
    <x:row r="2789">
      <x:c r="A2789" t="str">
        <x:v>4f67b196-5377-4538-b65f-d75972ac5024</x:v>
      </x:c>
      <x:c r="B2789" t="str">
        <x:v>9836e102-dac4-4ed6-a55e-a3e4d84da019</x:v>
      </x:c>
      <x:c r="C2789" s="9" t="str">
        <x:v>SA Builders and Contractors Ltd v Holm [2016] EWCA Civ 712</x:v>
      </x:c>
      <x:c r="D2789" s="9" t="str"/>
      <x:c r="E2789" s="9" t="str"/>
      <x:c r="F2789" s="13" t="str">
        <x:v>2016</x:v>
      </x:c>
      <x:c r="G2789" s="9" t="str">
        <x:v>England and Wales Court of Appeal (Civil Division)</x:v>
      </x:c>
      <x:c r="H2789" s="9" t="str">
        <x:v>Court of Appeal (Civil Division)</x:v>
      </x:c>
      <x:c r="I2789" s="9" t="str">
        <x:v>England and Wales</x:v>
      </x:c>
      <x:c r="J2789" s="9" t="str">
        <x:v>Contract/Construction dispute; Civil Procedure; Appellate procedure</x:v>
      </x:c>
      <x:c r="K2789" s="9" t="str">
        <x:v>-ew-cases-EWCA-Civ-2016-712.xml</x:v>
      </x:c>
      <x:c r="L2789" s="9" t="str">
        <x:v>TBA</x:v>
      </x:c>
    </x:row>
    <x:row r="2790">
      <x:c r="A2790" t="str">
        <x:v>7d091fde-0a50-4f79-a4ea-200bb82132e6</x:v>
      </x:c>
      <x:c r="B2790" t="str">
        <x:v>00d633cd-161d-40f2-a0fa-6778bb3db7f1</x:v>
      </x:c>
      <x:c r="C2790" s="9" t="str">
        <x:v>Saab Seaeye Ltd v Atlas Elektronik GmbH &amp; Anor [2017] EWCA Civ 2175</x:v>
      </x:c>
      <x:c r="D2790" s="9" t="str"/>
      <x:c r="E2790" s="9" t="str"/>
      <x:c r="F2790" s="13" t="str">
        <x:v>2017</x:v>
      </x:c>
      <x:c r="G2790" s="9" t="str">
        <x:v>England and Wales Court of Appeal (Civil Division)</x:v>
      </x:c>
      <x:c r="H2790" s="9" t="str">
        <x:v>Appellate</x:v>
      </x:c>
      <x:c r="I2790" s="9" t="str">
        <x:v>England and Wales</x:v>
      </x:c>
      <x:c r="J2790" s="9" t="str">
        <x:v>Patent Law</x:v>
      </x:c>
      <x:c r="K2790" s="9" t="str">
        <x:v>-ew-cases-EWCA-Civ-2017-2175.xml</x:v>
      </x:c>
      <x:c r="L2790" s="9" t="str">
        <x:v>TBA</x:v>
      </x:c>
    </x:row>
    <x:row r="2791">
      <x:c r="A2791" t="str">
        <x:v>c2ceb25a-22ba-43f7-8935-5fe8671bab4e</x:v>
      </x:c>
      <x:c r="B2791" t="str">
        <x:v>04fb7fd1-311e-402f-8530-853dd8fb11b1</x:v>
      </x:c>
      <x:c r="C2791" s="9" t="str">
        <x:v>Sabbagh v Khoury &amp; Ors [2017] EWCA Civ 1120</x:v>
      </x:c>
      <x:c r="D2791" s="9" t="str"/>
      <x:c r="E2791" s="9" t="str"/>
      <x:c r="F2791" s="13" t="str">
        <x:v>2017</x:v>
      </x:c>
      <x:c r="G2791" s="9" t="str">
        <x:v>England and Wales Court of Appeal (Civil Division)</x:v>
      </x:c>
      <x:c r="H2791" s="9" t="str">
        <x:v>Appellate</x:v>
      </x:c>
      <x:c r="I2791" s="9" t="str">
        <x:v>England and Wales</x:v>
      </x:c>
      <x:c r="J2791" s="9" t="str">
        <x:v>Civil Procedure</x:v>
      </x:c>
      <x:c r="K2791" s="9" t="str">
        <x:v>-ew-cases-EWCA-Civ-2017-1120.xml</x:v>
      </x:c>
      <x:c r="L2791" s="9" t="str">
        <x:v>TBA</x:v>
      </x:c>
    </x:row>
    <x:row r="2792">
      <x:c r="A2792" t="str">
        <x:v>82877138-5a67-4667-badb-afc20d926c3e</x:v>
      </x:c>
      <x:c r="B2792" t="str">
        <x:v>ccc68f49-6e03-4164-bef5-1b5febd0ee2c</x:v>
      </x:c>
      <x:c r="C2792" s="9" t="str">
        <x:v>Sabha &amp; Ors v Rai &amp; Ors [2015] EWCA Civ 1594</x:v>
      </x:c>
      <x:c r="D2792" s="9" t="str"/>
      <x:c r="E2792" s="9" t="str"/>
      <x:c r="F2792" s="13" t="str">
        <x:v>2015</x:v>
      </x:c>
      <x:c r="G2792" s="9" t="str">
        <x:v>England and Wales Court of Appeal (Civil Division)</x:v>
      </x:c>
      <x:c r="H2792" s="9" t="str">
        <x:v>Appellate</x:v>
      </x:c>
      <x:c r="I2792" s="9" t="str">
        <x:v>England and Wales</x:v>
      </x:c>
      <x:c r="J2792" s="9" t="str">
        <x:v>Civil</x:v>
      </x:c>
      <x:c r="K2792" s="9" t="str">
        <x:v>-ew-cases-EWCA-Civ-2015-1594.xml</x:v>
      </x:c>
      <x:c r="L2792" s="9" t="str">
        <x:v>TBA</x:v>
      </x:c>
    </x:row>
    <x:row r="2793">
      <x:c r="A2793" t="str">
        <x:v>bf137b61-0894-43eb-be7a-ca9191884a59</x:v>
      </x:c>
      <x:c r="B2793" t="str">
        <x:v>2bc8f8da-71dc-4b32-abf7-303033add9e1</x:v>
      </x:c>
      <x:c r="C2793" s="9" t="str">
        <x:v>Sabir &amp; Ors, R (on the application of) v The Secretary of State for the Home Department</x:v>
      </x:c>
      <x:c r="D2793" s="9" t="str"/>
      <x:c r="E2793" s="9" t="str"/>
      <x:c r="F2793" s="13" t="str">
        <x:v>2015</x:v>
      </x:c>
      <x:c r="G2793" s="9" t="str">
        <x:v>England and Wales Court of Appeal (Civil Division)</x:v>
      </x:c>
      <x:c r="H2793" s="9" t="str">
        <x:v>Appellate</x:v>
      </x:c>
      <x:c r="I2793" s="9" t="str">
        <x:v>England and Wales</x:v>
      </x:c>
      <x:c r="J2793" s="9" t="str">
        <x:v>Administrative Law</x:v>
      </x:c>
      <x:c r="K2793" s="9" t="str">
        <x:v>-ew-cases-EWCA-Civ-2015-1173.xml</x:v>
      </x:c>
      <x:c r="L2793" s="9" t="str">
        <x:v>TBA</x:v>
      </x:c>
    </x:row>
    <x:row r="2794">
      <x:c r="A2794" t="str">
        <x:v>2d423b86-8e3c-4bcb-a374-7f5d957e5f9a</x:v>
      </x:c>
      <x:c r="B2794" t="str">
        <x:v>e8d6e241-24e2-421e-85af-72f67ec1fd73</x:v>
      </x:c>
      <x:c r="C2794" s="9" t="str">
        <x:v>Sabir v Osei-Kwabena [2015] EWCA Civ 1213</x:v>
      </x:c>
      <x:c r="D2794" s="9" t="str"/>
      <x:c r="E2794" s="9" t="str"/>
      <x:c r="F2794" s="13" t="str">
        <x:v>2015</x:v>
      </x:c>
      <x:c r="G2794" s="9" t="str">
        <x:v>England and Wales Court of Appeal (Civil Division)</x:v>
      </x:c>
      <x:c r="H2794" s="9" t="str">
        <x:v>Appellate</x:v>
      </x:c>
      <x:c r="I2794" s="9" t="str">
        <x:v>England and Wales</x:v>
      </x:c>
      <x:c r="J2794" s="9" t="str">
        <x:v>Tort</x:v>
      </x:c>
      <x:c r="K2794" s="9" t="str">
        <x:v>-ew-cases-EWCA-Civ-2015-1213.xml</x:v>
      </x:c>
      <x:c r="L2794" s="9" t="str">
        <x:v>TBA</x:v>
      </x:c>
    </x:row>
    <x:row r="2795">
      <x:c r="A2795" t="str">
        <x:v>5c23c44d-7996-4c5e-878e-00943edfbc44</x:v>
      </x:c>
      <x:c r="B2795" t="str">
        <x:v>d18a7e9c-a930-43c5-a32d-bc205ffe00f8</x:v>
      </x:c>
      <x:c r="C2795" s="9" t="str">
        <x:v>SAE Education Ltd v Revenue And Customs</x:v>
      </x:c>
      <x:c r="D2795" s="9" t="str"/>
      <x:c r="E2795" s="9" t="str"/>
      <x:c r="F2795" s="13" t="str">
        <x:v>2017</x:v>
      </x:c>
      <x:c r="G2795" s="9" t="str">
        <x:v>England and Wales Court of Appeal (Civil Division)</x:v>
      </x:c>
      <x:c r="H2795" s="9" t="str">
        <x:v>Appellate</x:v>
      </x:c>
      <x:c r="I2795" s="9" t="str">
        <x:v>England and Wales</x:v>
      </x:c>
      <x:c r="J2795" s="9" t="str">
        <x:v>Tax Law</x:v>
      </x:c>
      <x:c r="K2795" s="9" t="str">
        <x:v>-ew-cases-EWCA-Civ-2017-1116.xml</x:v>
      </x:c>
      <x:c r="L2795" s="9" t="str">
        <x:v>TBA</x:v>
      </x:c>
    </x:row>
    <x:row r="2796">
      <x:c r="A2796" t="str">
        <x:v>3f4e76b5-1fb5-4677-971b-82c86c71b9b0</x:v>
      </x:c>
      <x:c r="B2796" t="str">
        <x:v>2733aa11-717a-42e6-9a97-77f01ce935a3</x:v>
      </x:c>
      <x:c r="C2796" s="9" t="str">
        <x:v>Safeway Ltd v Newton &amp; Anor [2017] EWCA Civ 1482: Equalization of Pension Ages</x:v>
      </x:c>
      <x:c r="D2796" s="9" t="str"/>
      <x:c r="E2796" s="9" t="str"/>
      <x:c r="F2796" s="13" t="str">
        <x:v>2017</x:v>
      </x:c>
      <x:c r="G2796" s="9" t="str">
        <x:v>England and Wales Court of Appeal (Civil Division)</x:v>
      </x:c>
      <x:c r="H2796" s="9" t="str">
        <x:v>Appellate</x:v>
      </x:c>
      <x:c r="I2796" s="9" t="str">
        <x:v>England and Wales</x:v>
      </x:c>
      <x:c r="J2796" s="9" t="str">
        <x:v>Pension Law</x:v>
      </x:c>
      <x:c r="K2796" s="9" t="str">
        <x:v>-ew-cases-EWCA-Civ-2017-1482.xml</x:v>
      </x:c>
      <x:c r="L2796" s="9" t="str">
        <x:v>TBA</x:v>
      </x:c>
    </x:row>
    <x:row r="2797">
      <x:c r="A2797" t="str">
        <x:v>f85485b0-3db9-48ff-8305-c812275e605e</x:v>
      </x:c>
      <x:c r="B2797" t="str">
        <x:v>4069dcc9-48e8-416f-8e76-772df1730e96</x:v>
      </x:c>
      <x:c r="C2797" s="9" t="str">
        <x:v>Safin (Fursecroft) Ltd v The Estate of Dr Said Ahmed Said Badrig (Deceased) [2015] EWCA Civ 739</x:v>
      </x:c>
      <x:c r="D2797" s="9" t="str"/>
      <x:c r="E2797" s="9" t="str"/>
      <x:c r="F2797" s="13" t="str">
        <x:v>2015</x:v>
      </x:c>
      <x:c r="G2797" s="9" t="str">
        <x:v>England and Wales Court of Appeal (Civil Division)</x:v>
      </x:c>
      <x:c r="H2797" s="9" t="str">
        <x:v>Appellate</x:v>
      </x:c>
      <x:c r="I2797" s="9" t="str">
        <x:v>England and Wales</x:v>
      </x:c>
      <x:c r="J2797" s="9" t="str">
        <x:v>Property Law</x:v>
      </x:c>
      <x:c r="K2797" s="9" t="str">
        <x:v>-ew-cases-EWCA-Civ-2015-739.xml</x:v>
      </x:c>
      <x:c r="L2797" s="9" t="str">
        <x:v>TBA</x:v>
      </x:c>
    </x:row>
    <x:row r="2798">
      <x:c r="A2798" t="str">
        <x:v>50f08595-feb1-44a6-bc59-11e22717315a</x:v>
      </x:c>
      <x:c r="B2798" t="str">
        <x:v>c5ed64f0-4d80-48a8-93b6-3508c1cf86cb</x:v>
      </x:c>
      <x:c r="C2798" s="9" t="str">
        <x:v>Sage v Hewlett Packard Enterprise Company &amp; Ors [2017] EWCA Civ 973</x:v>
      </x:c>
      <x:c r="D2798" s="9" t="str"/>
      <x:c r="E2798" s="9" t="str"/>
      <x:c r="F2798" s="13" t="str">
        <x:v>2017</x:v>
      </x:c>
      <x:c r="G2798" s="9" t="str">
        <x:v>England and Wales Court of Appeal (Civil Division)</x:v>
      </x:c>
      <x:c r="H2798" s="9" t="str">
        <x:v>Appellate</x:v>
      </x:c>
      <x:c r="I2798" s="9" t="str">
        <x:v>England and Wales</x:v>
      </x:c>
      <x:c r="J2798" s="9" t="str">
        <x:v>Civil Contempt</x:v>
      </x:c>
      <x:c r="K2798" s="9" t="str">
        <x:v>-ew-cases-EWCA-Civ-2017-973.xml</x:v>
      </x:c>
      <x:c r="L2798" s="9" t="str">
        <x:v>TBA</x:v>
      </x:c>
    </x:row>
    <x:row r="2799">
      <x:c r="A2799" t="str">
        <x:v>b6194c93-f5aa-42ad-929e-9af72521400f</x:v>
      </x:c>
      <x:c r="B2799" t="str">
        <x:v>06dc7629-ee87-4e1a-b281-d44058e28b08</x:v>
      </x:c>
      <x:c r="C2799" s="9" t="str">
        <x:v>Sahin v Havard &amp; Anor [2016] EWCA Civ 1202</x:v>
      </x:c>
      <x:c r="D2799" s="9" t="str"/>
      <x:c r="E2799" s="9" t="str"/>
      <x:c r="F2799" s="13" t="str">
        <x:v>2016</x:v>
      </x:c>
      <x:c r="G2799" s="9" t="str">
        <x:v>England and Wales Court of Appeal (Civil Division)</x:v>
      </x:c>
      <x:c r="H2799" s="9" t="str">
        <x:v>Court of Appeal (Civil Division)</x:v>
      </x:c>
      <x:c r="I2799" s="9" t="str">
        <x:v>England and Wales</x:v>
      </x:c>
      <x:c r="J2799" s="9" t="str">
        <x:v>Insurance Law / Motor Vehicle Third-Party Liability</x:v>
      </x:c>
      <x:c r="K2799" s="9" t="str">
        <x:v>-ew-cases-EWCA-Civ-2016-1202.xml</x:v>
      </x:c>
      <x:c r="L2799" s="9" t="str">
        <x:v>TBA</x:v>
      </x:c>
    </x:row>
    <x:row r="2800">
      <x:c r="A2800" t="str">
        <x:v>019d2213-02e3-4f2c-be41-5240f4db3e9a</x:v>
      </x:c>
      <x:c r="B2800" t="str">
        <x:v>0642e885-86b3-4c0b-84a2-2005424f4309</x:v>
      </x:c>
      <x:c r="C2800" s="9" t="str">
        <x:v>Sahota, R (On the Application Of) v Herefordshire Council [2022] EWCA Civ 1640</x:v>
      </x:c>
      <x:c r="D2800" s="9" t="str"/>
      <x:c r="E2800" s="9" t="str"/>
      <x:c r="F2800" s="13" t="str">
        <x:v>2022</x:v>
      </x:c>
      <x:c r="G2800" s="9" t="str">
        <x:v>England and Wales Court of Appeal (Civil Division)</x:v>
      </x:c>
      <x:c r="H2800" s="9" t="str">
        <x:v>Court of Appeal (Civil Division)</x:v>
      </x:c>
      <x:c r="I2800" s="9" t="str">
        <x:v>England and Wales</x:v>
      </x:c>
      <x:c r="J2800" s="9" t="str">
        <x:v>Judicial Review / Planning</x:v>
      </x:c>
      <x:c r="K2800" s="9" t="str">
        <x:v>ew-cases-EWCA-Civ-2022-1640.xml</x:v>
      </x:c>
      <x:c r="L2800" s="9" t="str">
        <x:v>TBA</x:v>
      </x:c>
    </x:row>
    <x:row r="2801">
      <x:c r="A2801" t="str">
        <x:v>549039cb-6555-4112-8605-4c9bc34729d2</x:v>
      </x:c>
      <x:c r="B2801" t="str">
        <x:v>6a0a81e7-9101-4c84-960f-4216b3fa448c</x:v>
      </x:c>
      <x:c r="C2801" s="9" t="str">
        <x:v>Saigol v Thorney Ltd (t/a Thorney Motorsport) [2014] EWCA Civ 556</x:v>
      </x:c>
      <x:c r="D2801" s="9" t="str"/>
      <x:c r="E2801" s="9" t="str"/>
      <x:c r="F2801" s="13" t="str">
        <x:v>2014</x:v>
      </x:c>
      <x:c r="G2801" s="9" t="str">
        <x:v>England and Wales Court of Appeal (Civil Division)</x:v>
      </x:c>
      <x:c r="H2801" s="9" t="str">
        <x:v>Appellate</x:v>
      </x:c>
      <x:c r="I2801" s="9" t="str">
        <x:v>England and Wales</x:v>
      </x:c>
      <x:c r="J2801" s="9" t="str">
        <x:v>Cost Dispute</x:v>
      </x:c>
      <x:c r="K2801" s="9" t="str">
        <x:v>-ew-cases-EWCA-Civ-2014-556.xml</x:v>
      </x:c>
      <x:c r="L2801" s="9" t="str">
        <x:v>TBA</x:v>
      </x:c>
    </x:row>
    <x:row r="2802">
      <x:c r="A2802" t="str">
        <x:v>12d89895-580d-4898-8acb-faeba3376f34</x:v>
      </x:c>
      <x:c r="B2802" t="str">
        <x:v>0515c253-250f-4adf-94ca-60d2f1e3048a</x:v>
      </x:c>
      <x:c r="C2802" s="9" t="str">
        <x:v>Sainsbury's Supermarkets Limited v Clark &amp; Ors [2023] EWCA Civ 386</x:v>
      </x:c>
      <x:c r="D2802" s="9" t="str"/>
      <x:c r="E2802" s="9" t="str"/>
      <x:c r="F2802" s="13" t="str">
        <x:v>2023</x:v>
      </x:c>
      <x:c r="G2802" s="9" t="str">
        <x:v>England and Wales Court of Appeal (Civil Division)</x:v>
      </x:c>
      <x:c r="H2802" s="9" t="str">
        <x:v>Court of Appeal (Civil Division)</x:v>
      </x:c>
      <x:c r="I2802" s="9" t="str">
        <x:v>England and Wales</x:v>
      </x:c>
      <x:c r="J2802" s="9" t="str">
        <x:v>Employment Law / Procedural Law</x:v>
      </x:c>
      <x:c r="K2802" s="9" t="str">
        <x:v>ew-cases-EWCA-Civ-2023-386.xml</x:v>
      </x:c>
      <x:c r="L2802" s="9" t="str">
        <x:v>TBA</x:v>
      </x:c>
    </x:row>
    <x:row r="2803">
      <x:c r="A2803" t="str">
        <x:v>7c5d22f4-7565-4e04-8626-2ed0bad76b82</x:v>
      </x:c>
      <x:c r="B2803" t="str">
        <x:v>f21e05aa-68e5-4aaa-b0d4-9175701912ac</x:v>
      </x:c>
      <x:c r="C2803" s="9" t="str">
        <x:v>Saleem v Serwan &amp; Anor [2015] EWCA Civ 123</x:v>
      </x:c>
      <x:c r="D2803" s="9" t="str"/>
      <x:c r="E2803" s="9" t="str"/>
      <x:c r="F2803" s="13" t="str">
        <x:v>2015</x:v>
      </x:c>
      <x:c r="G2803" s="9" t="str">
        <x:v>England and Wales Court of Appeal (Civil Division)</x:v>
      </x:c>
      <x:c r="H2803" s="9" t="str">
        <x:v>Appellate</x:v>
      </x:c>
      <x:c r="I2803" s="9" t="str">
        <x:v>England and Wales</x:v>
      </x:c>
      <x:c r="J2803" s="9" t="str">
        <x:v>Contempt of Court</x:v>
      </x:c>
      <x:c r="K2803" s="9" t="str">
        <x:v>-ew-cases-EWCA-Civ-2015-123.xml</x:v>
      </x:c>
      <x:c r="L2803" s="9" t="str">
        <x:v>TBA</x:v>
      </x:c>
    </x:row>
    <x:row r="2804">
      <x:c r="A2804" t="str">
        <x:v>f724cc44-59d1-4d1d-962c-3168104899e3</x:v>
      </x:c>
      <x:c r="B2804" t="str">
        <x:v>b35fd108-74bf-47ee-827f-9a2df4bf0489</x:v>
      </x:c>
      <x:c r="C2804" s="9" t="str">
        <x:v>Salekipour &amp; Anor v Parmar [2017] EWCA Civ 2141</x:v>
      </x:c>
      <x:c r="D2804" s="9" t="str"/>
      <x:c r="E2804" s="9" t="str"/>
      <x:c r="F2804" s="13" t="str">
        <x:v>2017</x:v>
      </x:c>
      <x:c r="G2804" s="9" t="str">
        <x:v>England and Wales Court of Appeal (Civil Division)</x:v>
      </x:c>
      <x:c r="H2804" s="9" t="str">
        <x:v>Appellate</x:v>
      </x:c>
      <x:c r="I2804" s="9" t="str">
        <x:v>England and Wales</x:v>
      </x:c>
      <x:c r="J2804" s="9" t="str">
        <x:v>Civil Procedure</x:v>
      </x:c>
      <x:c r="K2804" s="9" t="str">
        <x:v>-ew-cases-EWCA-Civ-2017-2141.xml</x:v>
      </x:c>
      <x:c r="L2804" s="9" t="str">
        <x:v>TBA</x:v>
      </x:c>
    </x:row>
    <x:row r="2805">
      <x:c r="A2805" t="str">
        <x:v>4a9eb77e-5a5b-4649-9fbe-54f2b15a78bc</x:v>
      </x:c>
      <x:c r="B2805" t="str">
        <x:v>10d2c8f6-6d10-4aa1-83c3-d221f543714e</x:v>
      </x:c>
      <x:c r="C2805" s="9" t="str">
        <x:v>Salford Estates (No.2) Ltd v Altomart Ltd [2014] EWCA Civ 1575</x:v>
      </x:c>
      <x:c r="D2805" s="9" t="str"/>
      <x:c r="E2805" s="9" t="str"/>
      <x:c r="F2805" s="13" t="str">
        <x:v>2014</x:v>
      </x:c>
      <x:c r="G2805" s="9" t="str">
        <x:v>England and Wales Court of Appeal (Civil Division)</x:v>
      </x:c>
      <x:c r="H2805" s="9" t="str">
        <x:v>Appellate</x:v>
      </x:c>
      <x:c r="I2805" s="9" t="str">
        <x:v>England and Wales</x:v>
      </x:c>
      <x:c r="J2805" s="9" t="str">
        <x:v>Corporate Insolvency</x:v>
      </x:c>
      <x:c r="K2805" s="9" t="str">
        <x:v>-ew-cases-EWCA-Civ-2014-1575.xml</x:v>
      </x:c>
      <x:c r="L2805" s="9" t="str">
        <x:v>TBA</x:v>
      </x:c>
    </x:row>
    <x:row r="2806">
      <x:c r="A2806" t="str">
        <x:v>72c4dfce-b8e6-4cf1-84f7-3574d1770fd9</x:v>
      </x:c>
      <x:c r="B2806" t="str">
        <x:v>cf7ef7db-5ba9-4114-aa22-2e636ccd91a5</x:v>
      </x:c>
      <x:c r="C2806" s="9" t="str">
        <x:v>Saliu &amp; Anor v The Entry Clearance Officer [2021] EWCA Civ 1847</x:v>
      </x:c>
      <x:c r="D2806" s="9" t="str"/>
      <x:c r="E2806" s="9" t="str"/>
      <x:c r="F2806" s="13" t="str">
        <x:v>2021</x:v>
      </x:c>
      <x:c r="G2806" s="9" t="str">
        <x:v>England and Wales Court of Appeal (Civil Division)</x:v>
      </x:c>
      <x:c r="H2806" s="9" t="str">
        <x:v>Appellate</x:v>
      </x:c>
      <x:c r="I2806" s="9" t="str">
        <x:v>England and Wales</x:v>
      </x:c>
      <x:c r="J2806" s="9" t="str">
        <x:v>Immigration</x:v>
      </x:c>
      <x:c r="K2806" s="9" t="str">
        <x:v>ew-cases-EWCA-Civ-2021-1847.xml</x:v>
      </x:c>
      <x:c r="L2806" s="9" t="str">
        <x:v>TBA</x:v>
      </x:c>
    </x:row>
    <x:row r="2807">
      <x:c r="A2807" t="str">
        <x:v>a426bcfe-a140-4c23-9f06-5d9224645857</x:v>
      </x:c>
      <x:c r="B2807" t="str">
        <x:v>daa16fe6-03e3-422f-8c02-f39886b1c443</x:v>
      </x:c>
      <x:c r="C2807" s="9" t="str">
        <x:v>Salt v Stratstone Specialist Ltd [2015] EWCA Civ 745</x:v>
      </x:c>
      <x:c r="D2807" s="9" t="str"/>
      <x:c r="E2807" s="9" t="str"/>
      <x:c r="F2807" s="13" t="str">
        <x:v>2015</x:v>
      </x:c>
      <x:c r="G2807" s="9" t="str">
        <x:v>England and Wales Court of Appeal (Civil Division)</x:v>
      </x:c>
      <x:c r="H2807" s="9" t="str">
        <x:v>Appellate</x:v>
      </x:c>
      <x:c r="I2807" s="9" t="str">
        <x:v>England and Wales</x:v>
      </x:c>
      <x:c r="J2807" s="9" t="str">
        <x:v>Contract Dispute</x:v>
      </x:c>
      <x:c r="K2807" s="9" t="str">
        <x:v>-ew-cases-EWCA-Civ-2015-745.xml</x:v>
      </x:c>
      <x:c r="L2807" s="9" t="str">
        <x:v>TBA</x:v>
      </x:c>
    </x:row>
    <x:row r="2808">
      <x:c r="A2808" t="str">
        <x:v>aa998ff7-2598-46e1-bfcd-dcf7780e9a4d</x:v>
      </x:c>
      <x:c r="B2808" t="str">
        <x:v>2d68495f-58c8-465f-8e04-e35e14ec1190</x:v>
      </x:c>
      <x:c r="C2808" s="9" t="str">
        <x:v>Salvato, R (On the Application Of) v The Secretary of State for Work And Pensions</x:v>
      </x:c>
      <x:c r="D2808" s="9" t="str"/>
      <x:c r="E2808" s="9" t="str"/>
      <x:c r="F2808" s="13" t="str">
        <x:v>2021</x:v>
      </x:c>
      <x:c r="G2808" s="9" t="str">
        <x:v>England and Wales Court of Appeal (Civil Division)</x:v>
      </x:c>
      <x:c r="H2808" s="9" t="str">
        <x:v>Appellate</x:v>
      </x:c>
      <x:c r="I2808" s="9" t="str">
        <x:v>United Kingdom</x:v>
      </x:c>
      <x:c r="J2808" s="9" t="str">
        <x:v>Administrative Law</x:v>
      </x:c>
      <x:c r="K2808" s="9" t="str">
        <x:v>ew-cases-EWCA-Civ-2021-1482.xml</x:v>
      </x:c>
      <x:c r="L2808" s="9" t="str">
        <x:v>TBA</x:v>
      </x:c>
    </x:row>
    <x:row r="2809">
      <x:c r="A2809" t="str">
        <x:v>058f53d9-d836-4e15-bae0-6e89184704db</x:v>
      </x:c>
      <x:c r="B2809" t="str">
        <x:v>59f15731-1a42-4e32-975a-08d680511d17</x:v>
      </x:c>
      <x:c r="C2809" s="9" t="str">
        <x:v>Samara v MBI Partners UK Ltd [2015] EWCA Civ 1191</x:v>
      </x:c>
      <x:c r="D2809" s="9" t="str"/>
      <x:c r="E2809" s="9" t="str"/>
      <x:c r="F2809" s="13" t="str">
        <x:v>2015</x:v>
      </x:c>
      <x:c r="G2809" s="9" t="str">
        <x:v>England and Wales Court of Appeal (Civil Division)</x:v>
      </x:c>
      <x:c r="H2809" s="9" t="str">
        <x:v>Appellate</x:v>
      </x:c>
      <x:c r="I2809" s="9" t="str">
        <x:v>England and Wales</x:v>
      </x:c>
      <x:c r="J2809" s="9" t="str">
        <x:v>Civil Appeal</x:v>
      </x:c>
      <x:c r="K2809" s="9" t="str">
        <x:v>-ew-cases-EWCA-Civ-2015-1191.xml</x:v>
      </x:c>
      <x:c r="L2809" s="9" t="str">
        <x:v>TBA</x:v>
      </x:c>
    </x:row>
    <x:row r="2810">
      <x:c r="A2810" t="str">
        <x:v>8c47cbc0-b757-4d12-a74b-e7528ac8fd52</x:v>
      </x:c>
      <x:c r="B2810" t="str">
        <x:v>6263e11d-4784-4f75-b0ca-47c5d85c0d49</x:v>
      </x:c>
      <x:c r="C2810" s="9" t="str">
        <x:v>Samarkand Film Partnership No. 3 &amp; Ors v Revenue And Customs</x:v>
      </x:c>
      <x:c r="D2810" s="9" t="str"/>
      <x:c r="E2810" s="9" t="str"/>
      <x:c r="F2810" s="13" t="str">
        <x:v>2017</x:v>
      </x:c>
      <x:c r="G2810" s="9" t="str">
        <x:v>England and Wales Court of Appeal (Civil Division)</x:v>
      </x:c>
      <x:c r="H2810" s="9" t="str">
        <x:v>Appellate</x:v>
      </x:c>
      <x:c r="I2810" s="9" t="str">
        <x:v>England and Wales</x:v>
      </x:c>
      <x:c r="J2810" s="9" t="str">
        <x:v>Tax Law</x:v>
      </x:c>
      <x:c r="K2810" s="9" t="str">
        <x:v>-ew-cases-EWCA-Civ-2017-77.xml</x:v>
      </x:c>
      <x:c r="L2810" s="9" t="str">
        <x:v>TBA</x:v>
      </x:c>
    </x:row>
    <x:row r="2811">
      <x:c r="A2811" t="str">
        <x:v>8543afa7-013b-4b40-8f2b-26d1013f5f65</x:v>
      </x:c>
      <x:c r="B2811" t="str">
        <x:v>5699a187-b0d8-4bcc-b655-7c3e525cb13a</x:v>
      </x:c>
      <x:c r="C2811" s="9" t="str">
        <x:v>Samsung Electronics Co Ltd v Apple Retail UK Ltd &amp; Anor [2014] EWCA Civ 250</x:v>
      </x:c>
      <x:c r="D2811" s="9" t="str"/>
      <x:c r="E2811" s="9" t="str"/>
      <x:c r="F2811" s="13" t="str">
        <x:v>2014</x:v>
      </x:c>
      <x:c r="G2811" s="9" t="str">
        <x:v>England and Wales Court of Appeal (Civil Division)</x:v>
      </x:c>
      <x:c r="H2811" s="9" t="str">
        <x:v>Appellate</x:v>
      </x:c>
      <x:c r="I2811" s="9" t="str">
        <x:v>England and Wales</x:v>
      </x:c>
      <x:c r="J2811" s="9" t="str">
        <x:v>Patent Law</x:v>
      </x:c>
      <x:c r="K2811" s="9" t="str">
        <x:v>-ew-cases-EWCA-Civ-2014-250.xml</x:v>
      </x:c>
      <x:c r="L2811" s="9" t="str">
        <x:v>TBA</x:v>
      </x:c>
    </x:row>
    <x:row r="2812">
      <x:c r="A2812" t="str">
        <x:v>89b3f662-b84d-4229-b1d9-3e3878b1a75f</x:v>
      </x:c>
      <x:c r="B2812" t="str">
        <x:v>5c7cab1e-843c-4dae-94d9-a83698ef1d2e</x:v>
      </x:c>
      <x:c r="C2812" s="9" t="str">
        <x:v>Samsung Electronics Co Ltd v Apple Retail UK Ltd &amp; Anor [2014] EWCA Civ 376</x:v>
      </x:c>
      <x:c r="D2812" s="9" t="str"/>
      <x:c r="E2812" s="9" t="str"/>
      <x:c r="F2812" s="13" t="str">
        <x:v>2014</x:v>
      </x:c>
      <x:c r="G2812" s="9" t="str">
        <x:v>England and Wales Court of Appeal (Civil Division)</x:v>
      </x:c>
      <x:c r="H2812" s="9" t="str">
        <x:v>Appellate</x:v>
      </x:c>
      <x:c r="I2812" s="9" t="str">
        <x:v>England and Wales</x:v>
      </x:c>
      <x:c r="J2812" s="9" t="str">
        <x:v>Patent Law</x:v>
      </x:c>
      <x:c r="K2812" s="9" t="str">
        <x:v>-ew-cases-EWCA-Civ-2014-376.xml</x:v>
      </x:c>
      <x:c r="L2812" s="9" t="str">
        <x:v>TBA</x:v>
      </x:c>
    </x:row>
    <x:row r="2813">
      <x:c r="A2813" t="str">
        <x:v>196d529f-e777-46e6-a092-dc1ac12bbe6b</x:v>
      </x:c>
      <x:c r="B2813" t="str">
        <x:v>4899cd32-c524-4426-9e9b-accedc22aa78</x:v>
      </x:c>
      <x:c r="C2813" s="9" t="str">
        <x:v>Samsung Electronics Co Ltd v Telefonaktiebolaget L M Ericsson &amp; Ors [2016] EWCA Civ 489</x:v>
      </x:c>
      <x:c r="D2813" s="9" t="str"/>
      <x:c r="E2813" s="9" t="str"/>
      <x:c r="F2813" s="13" t="str">
        <x:v>2016</x:v>
      </x:c>
      <x:c r="G2813" s="9" t="str">
        <x:v>England and Wales Court of Appeal (Civil Division)</x:v>
      </x:c>
      <x:c r="H2813" s="9" t="str">
        <x:v>Court of Appeal (Civil Division)</x:v>
      </x:c>
      <x:c r="I2813" s="9" t="str">
        <x:v>England and Wales</x:v>
      </x:c>
      <x:c r="J2813" s="9" t="str">
        <x:v>Contract/Competition Law (FRAND/SEP) and Patent Disputes</x:v>
      </x:c>
      <x:c r="K2813" s="9" t="str">
        <x:v>-ew-cases-EWCA-Civ-2016-489.xml</x:v>
      </x:c>
      <x:c r="L2813" s="9" t="str">
        <x:v>TBA</x:v>
      </x:c>
    </x:row>
    <x:row r="2814">
      <x:c r="A2814" t="str">
        <x:v>fa013a19-0b2d-489b-8bab-b315b58eefc5</x:v>
      </x:c>
      <x:c r="B2814" t="str">
        <x:v>8235c118-ac29-403f-92bd-f4b44cd887e1</x:v>
      </x:c>
      <x:c r="C2814" s="9" t="str">
        <x:v>Samsung Electronics Co. Ltd &amp; Ors v LG Display Co. Ltd &amp; Anor (Costs) [2022] EWCA Civ 466</x:v>
      </x:c>
      <x:c r="D2814" s="9" t="str"/>
      <x:c r="E2814" s="9" t="str"/>
      <x:c r="F2814" s="13" t="str">
        <x:v>2022</x:v>
      </x:c>
      <x:c r="G2814" s="9" t="str">
        <x:v>England and Wales Court of Appeal (Civil Division)</x:v>
      </x:c>
      <x:c r="H2814" s="9" t="str">
        <x:v>Court of Appeal (Civil Division)</x:v>
      </x:c>
      <x:c r="I2814" s="9" t="str">
        <x:v>England and Wales</x:v>
      </x:c>
      <x:c r="J2814" s="9" t="str">
        <x:v>Civil Appeal / Commercial Litigation</x:v>
      </x:c>
      <x:c r="K2814" s="9" t="str">
        <x:v>ew-cases-EWCA-Civ-2022-466.xml</x:v>
      </x:c>
      <x:c r="L2814" s="9" t="str">
        <x:v>TBA</x:v>
      </x:c>
    </x:row>
    <x:row r="2815">
      <x:c r="A2815" t="str">
        <x:v>4b01130d-233a-4d59-877b-8309dd502262</x:v>
      </x:c>
      <x:c r="B2815" t="str">
        <x:v>0ea75a44-70e9-43cd-98bc-a3c804398417</x:v>
      </x:c>
      <x:c r="C2815" s="9" t="str">
        <x:v>Samsung Electronics Co. Ltd v LG Display Co Ltd &amp; Anor [2022] EWCA Civ 423 (01 April 2022)</x:v>
      </x:c>
      <x:c r="D2815" s="9" t="str"/>
      <x:c r="E2815" s="9" t="str"/>
      <x:c r="F2815" s="13" t="str">
        <x:v>2022</x:v>
      </x:c>
      <x:c r="G2815" s="9" t="str">
        <x:v>England and Wales Court of Appeal (Civil Division)</x:v>
      </x:c>
      <x:c r="H2815" s="9" t="str">
        <x:v>Court of Appeal (Civil Division)</x:v>
      </x:c>
      <x:c r="I2815" s="9" t="str">
        <x:v>England and Wales</x:v>
      </x:c>
      <x:c r="J2815" s="9" t="str">
        <x:v>Tort; Competition law; Forum conveniens; Cross-border litigation</x:v>
      </x:c>
      <x:c r="K2815" s="9" t="str">
        <x:v>ew-cases-EWCA-Civ-2022-423.xml</x:v>
      </x:c>
      <x:c r="L2815" s="9" t="str">
        <x:v>TBA</x:v>
      </x:c>
    </x:row>
    <x:row r="2816">
      <x:c r="A2816" t="str">
        <x:v>830e0073-43c1-4945-88ab-0dcb73fb9bba</x:v>
      </x:c>
      <x:c r="B2816" t="str">
        <x:v>08d543e7-7ff9-4919-8787-7e07d20801ce</x:v>
      </x:c>
      <x:c r="C2816" s="9" t="str">
        <x:v>Samuda v Secretary of State for Work and Pensions &amp; Anor [2014] EWCA Civ 1</x:v>
      </x:c>
      <x:c r="D2816" s="9" t="str"/>
      <x:c r="E2816" s="9" t="str"/>
      <x:c r="F2816" s="13" t="str">
        <x:v>2014</x:v>
      </x:c>
      <x:c r="G2816" s="9" t="str">
        <x:v>England and Wales Court of Appeal (Civil Division)</x:v>
      </x:c>
      <x:c r="H2816" s="9" t="str">
        <x:v>Court of Appeal (Civil Division)</x:v>
      </x:c>
      <x:c r="I2816" s="9" t="str">
        <x:v>England and Wales</x:v>
      </x:c>
      <x:c r="J2816" s="9" t="str">
        <x:v>Administrative Law</x:v>
      </x:c>
      <x:c r="K2816" s="9" t="str">
        <x:v>-ew-cases-EWCA-Civ-2014-1.xml</x:v>
      </x:c>
      <x:c r="L2816" s="9" t="str">
        <x:v>TBA</x:v>
      </x:c>
    </x:row>
    <x:row r="2817">
      <x:c r="A2817" t="str">
        <x:v>95a5e738-02c0-400f-a8a3-a717feeff36e</x:v>
      </x:c>
      <x:c r="B2817" t="str">
        <x:v>f145d3b8-3b72-466e-935b-2b3d21620b61</x:v>
      </x:c>
      <x:c r="C2817" s="9" t="str">
        <x:v>Samuel Smith Old Brewery (Tadcaster) v Selby District Council [2015] EWCA Civ 1107</x:v>
      </x:c>
      <x:c r="D2817" s="9" t="str"/>
      <x:c r="E2817" s="9" t="str"/>
      <x:c r="F2817" s="13" t="str">
        <x:v>2015</x:v>
      </x:c>
      <x:c r="G2817" s="9" t="str">
        <x:v>England and Wales Court of Appeal (Civil Division)</x:v>
      </x:c>
      <x:c r="H2817" s="9" t="str">
        <x:v>Appellate</x:v>
      </x:c>
      <x:c r="I2817" s="9" t="str">
        <x:v>England and Wales</x:v>
      </x:c>
      <x:c r="J2817" s="9" t="str">
        <x:v>Administrative Law</x:v>
      </x:c>
      <x:c r="K2817" s="9" t="str">
        <x:v>-ew-cases-EWCA-Civ-2015-1107.xml</x:v>
      </x:c>
      <x:c r="L2817" s="9" t="str">
        <x:v>TBA</x:v>
      </x:c>
    </x:row>
    <x:row r="2818">
      <x:c r="A2818" t="str">
        <x:v>cc046e59-0103-4422-bc87-7f22af1c6009</x:v>
      </x:c>
      <x:c r="B2818" t="str">
        <x:v>690a531f-b00a-4df1-ada3-16dc4aaf4447</x:v>
      </x:c>
      <x:c r="C2818" s="9" t="str">
        <x:v>Samuels v Birmingham City Council [2015] EWCA Civ 1051</x:v>
      </x:c>
      <x:c r="D2818" s="9" t="str"/>
      <x:c r="E2818" s="9" t="str"/>
      <x:c r="F2818" s="13" t="str">
        <x:v>2015</x:v>
      </x:c>
      <x:c r="G2818" s="9" t="str">
        <x:v>England and Wales Court of Appeal (Civil Division)</x:v>
      </x:c>
      <x:c r="H2818" s="9" t="str">
        <x:v>appellate</x:v>
      </x:c>
      <x:c r="I2818" s="9" t="str">
        <x:v>England and Wales</x:v>
      </x:c>
      <x:c r="J2818" s="9" t="str">
        <x:v>Housing Law</x:v>
      </x:c>
      <x:c r="K2818" s="9" t="str">
        <x:v>-ew-cases-EWCA-Civ-2015-1051.xml</x:v>
      </x:c>
      <x:c r="L2818" s="9" t="str">
        <x:v>TBA</x:v>
      </x:c>
    </x:row>
    <x:row r="2819">
      <x:c r="A2819" t="str">
        <x:v>a6a87878-9cbc-4982-8397-034ac13a0ed0</x:v>
      </x:c>
      <x:c r="B2819" t="str">
        <x:v>475da4c1-c7bc-465e-97de-b7e84c625ddb</x:v>
      </x:c>
      <x:c r="C2819" s="9" t="str">
        <x:v>Sanam v National Crime Agency [2015] EWCA Civ 1234</x:v>
      </x:c>
      <x:c r="D2819" s="9" t="str"/>
      <x:c r="E2819" s="9" t="str"/>
      <x:c r="F2819" s="13" t="str">
        <x:v>2015</x:v>
      </x:c>
      <x:c r="G2819" s="9" t="str">
        <x:v>England and Wales Court of Appeal (Civil Division)</x:v>
      </x:c>
      <x:c r="H2819" s="9" t="str">
        <x:v>Appellate</x:v>
      </x:c>
      <x:c r="I2819" s="9" t="str">
        <x:v>England and Wales</x:v>
      </x:c>
      <x:c r="J2819" s="9" t="str">
        <x:v>Civil Recovery under Criminal Law</x:v>
      </x:c>
      <x:c r="K2819" s="9" t="str">
        <x:v>-ew-cases-EWCA-Civ-2015-1234.xml</x:v>
      </x:c>
      <x:c r="L2819" s="9" t="str">
        <x:v>TBA</x:v>
      </x:c>
    </x:row>
    <x:row r="2820">
      <x:c r="A2820" t="str">
        <x:v>edb1920a-9f86-44c9-ae58-e1ac3bfdb8cd</x:v>
      </x:c>
      <x:c r="B2820" t="str">
        <x:v>25b8d565-e9dc-428f-bd32-bee1b406bf7c</x:v>
      </x:c>
      <x:c r="C2820" s="9" t="str">
        <x:v>Sanderson v HM Revenue and Customs [2016] EWCA Civ 19</x:v>
      </x:c>
      <x:c r="D2820" s="9" t="str"/>
      <x:c r="E2820" s="9" t="str"/>
      <x:c r="F2820" s="13" t="str">
        <x:v>2016</x:v>
      </x:c>
      <x:c r="G2820" s="9" t="str">
        <x:v>England and Wales Court of Appeal (Civil Division)</x:v>
      </x:c>
      <x:c r="H2820" s="9" t="str">
        <x:v>Court of Appeal (Civil Division)</x:v>
      </x:c>
      <x:c r="I2820" s="9" t="str">
        <x:v>England and Wales</x:v>
      </x:c>
      <x:c r="J2820" s="9" t="str">
        <x:v>Tax Law / Administrative Law</x:v>
      </x:c>
      <x:c r="K2820" s="9" t="str">
        <x:v>-ew-cases-EWCA-Civ-2016-19.xml</x:v>
      </x:c>
      <x:c r="L2820" s="9" t="str">
        <x:v>TBA</x:v>
      </x:c>
    </x:row>
    <x:row r="2821">
      <x:c r="A2821" t="str">
        <x:v>5a1710c1-53aa-46e1-8106-625b77a49648</x:v>
      </x:c>
      <x:c r="B2821" t="str">
        <x:v>da52bb4a-2c5b-43a6-8ebe-7eb972a7c857</x:v>
      </x:c>
      <x:c r="C2821" s="9" t="str">
        <x:v>Sandhu v Sandhu [2016] EWCA Civ 1050</x:v>
      </x:c>
      <x:c r="D2821" s="9" t="str"/>
      <x:c r="E2821" s="9" t="str"/>
      <x:c r="F2821" s="13" t="str">
        <x:v>2016</x:v>
      </x:c>
      <x:c r="G2821" s="9" t="str">
        <x:v>England and Wales Court of Appeal (Civil Division)</x:v>
      </x:c>
      <x:c r="H2821" s="9" t="str">
        <x:v>Court of Appeal (Civil Division)</x:v>
      </x:c>
      <x:c r="I2821" s="9" t="str">
        <x:v>England and Wales</x:v>
      </x:c>
      <x:c r="J2821" s="9" t="str">
        <x:v>Property/Trust - Beneficial ownership in family home</x:v>
      </x:c>
      <x:c r="K2821" s="9" t="str">
        <x:v>-ew-cases-EWCA-Civ-2016-1050.xml</x:v>
      </x:c>
      <x:c r="L2821" s="9" t="str">
        <x:v>TBA</x:v>
      </x:c>
    </x:row>
    <x:row r="2822">
      <x:c r="A2822" t="str">
        <x:v>6c6113ba-3b0d-4ec1-abf8-096e3406fbaa</x:v>
      </x:c>
      <x:c r="B2822" t="str">
        <x:v>f462ecd6-c4d2-4d24-997f-71bddff50aab</x:v>
      </x:c>
      <x:c r="C2822" s="9" t="str">
        <x:v>Sandoz Limited v Bristol-Myers Squibb Holdings Ireland Unlimited Company (Re Patent - Plausibility when determining validity) [2023] EWCA Civ 472</x:v>
      </x:c>
      <x:c r="D2822" s="9" t="str"/>
      <x:c r="E2822" s="9" t="str"/>
      <x:c r="F2822" s="13" t="str">
        <x:v>2023</x:v>
      </x:c>
      <x:c r="G2822" s="9" t="str">
        <x:v>England and Wales Court of Appeal (Civil Division)</x:v>
      </x:c>
      <x:c r="H2822" s="9" t="str">
        <x:v>Court of Appeal (Civil Division)</x:v>
      </x:c>
      <x:c r="I2822" s="9" t="str">
        <x:v>England and Wales</x:v>
      </x:c>
      <x:c r="J2822" s="9" t="str">
        <x:v>Patent Law / Patent validity</x:v>
      </x:c>
      <x:c r="K2822" s="9" t="str">
        <x:v>ew-cases-EWCA-Civ-2023-472.xml</x:v>
      </x:c>
      <x:c r="L2822" s="9" t="str">
        <x:v>TBA</x:v>
      </x:c>
    </x:row>
    <x:row r="2823">
      <x:c r="A2823" t="str">
        <x:v>4c65cf14-73e9-4f48-818c-ca58ea345e41</x:v>
      </x:c>
      <x:c r="B2823" t="str">
        <x:v>1e7b990c-bf35-4b4a-8565-23f8e565c01a</x:v>
      </x:c>
      <x:c r="C2823" s="9" t="str">
        <x:v>Sands (as trustee in bankruptcy) v Layne &amp; Anor [2016] EWCA Civ 1159</x:v>
      </x:c>
      <x:c r="D2823" s="9" t="str"/>
      <x:c r="E2823" s="9" t="str"/>
      <x:c r="F2823" s="13" t="str">
        <x:v>2016</x:v>
      </x:c>
      <x:c r="G2823" s="9" t="str">
        <x:v>England and Wales Court of Appeal (Civil Division)</x:v>
      </x:c>
      <x:c r="H2823" s="9" t="str">
        <x:v>Court of Appeal (Civil Division)</x:v>
      </x:c>
      <x:c r="I2823" s="9" t="str">
        <x:v>England and Wales</x:v>
      </x:c>
      <x:c r="J2823" s="9" t="str">
        <x:v>Insolvency; Judicial review of insolvency orders; Appellate procedure; Statutory interpretation</x:v>
      </x:c>
      <x:c r="K2823" s="9" t="str">
        <x:v>-ew-cases-EWCA-Civ-2016-1159.xml</x:v>
      </x:c>
      <x:c r="L2823" s="9" t="str">
        <x:v>TBA</x:v>
      </x:c>
    </x:row>
    <x:row r="2824">
      <x:c r="A2824" t="str">
        <x:v>a19dd6b4-85c0-4f5d-9bd5-86799076e9e3</x:v>
      </x:c>
      <x:c r="B2824" t="str">
        <x:v>f7744e95-ab77-490e-b0fe-502620fd001f</x:v>
      </x:c>
      <x:c r="C2824" s="9" t="str">
        <x:v>Sangha v Estate of Diljit Kaur Sangha &amp; Ors [2023] EWCA Civ 660</x:v>
      </x:c>
      <x:c r="D2824" s="9" t="str"/>
      <x:c r="E2824" s="9" t="str"/>
      <x:c r="F2824" s="13" t="str">
        <x:v>2023</x:v>
      </x:c>
      <x:c r="G2824" s="9" t="str">
        <x:v>England and Wales Court of Appeal (Civil Division)</x:v>
      </x:c>
      <x:c r="H2824" s="9" t="str">
        <x:v>Court of Appeal (Civil Division)</x:v>
      </x:c>
      <x:c r="I2824" s="9" t="str">
        <x:v>England and Wales</x:v>
      </x:c>
      <x:c r="J2824" s="9" t="str">
        <x:v>Probate and Will Construction</x:v>
      </x:c>
      <x:c r="K2824" s="9" t="str">
        <x:v>ew-cases-EWCA-Civ-2023-660.xml</x:v>
      </x:c>
      <x:c r="L2824" s="9" t="str">
        <x:v>TBA</x:v>
      </x:c>
    </x:row>
    <x:row r="2825">
      <x:c r="A2825" t="str">
        <x:v>2f5f25f2-37dd-4d43-a8c4-590dbcaa3a1e</x:v>
      </x:c>
      <x:c r="B2825" t="str">
        <x:v>9d85fbf0-bef7-4606-b1a3-041cf479e3eb</x:v>
      </x:c>
      <x:c r="C2825" s="9" t="str">
        <x:v>Sanneh &amp; Ors v Secretary of State for Work and Pensions</x:v>
      </x:c>
      <x:c r="D2825" s="9" t="str"/>
      <x:c r="E2825" s="9" t="str"/>
      <x:c r="F2825" s="13" t="str">
        <x:v>2015</x:v>
      </x:c>
      <x:c r="G2825" s="9" t="str">
        <x:v>England and Wales Court of Appeal (Civil Division)</x:v>
      </x:c>
      <x:c r="H2825" s="9" t="str">
        <x:v>Appellate</x:v>
      </x:c>
      <x:c r="I2825" s="9" t="str">
        <x:v>England and Wales</x:v>
      </x:c>
      <x:c r="J2825" s="9" t="str">
        <x:v>Administrative Law</x:v>
      </x:c>
      <x:c r="K2825" s="9" t="str">
        <x:v>-ew-cases-EWCA-Civ-2015-49.xml</x:v>
      </x:c>
      <x:c r="L2825" s="9" t="str">
        <x:v>TBA</x:v>
      </x:c>
    </x:row>
    <x:row r="2826">
      <x:c r="A2826" t="str">
        <x:v>3032597f-1264-428f-8dec-b8dab2f298c0</x:v>
      </x:c>
      <x:c r="B2826" t="str">
        <x:v>af98350e-e553-4a58-8a45-9d7b2067b530</x:v>
      </x:c>
      <x:c r="C2826" s="9" t="str">
        <x:v>Santander UK Plc v R.A. Legal Solicitors [2014] EWCA Civ 183</x:v>
      </x:c>
      <x:c r="D2826" s="9" t="str"/>
      <x:c r="E2826" s="9" t="str"/>
      <x:c r="F2826" s="13" t="str">
        <x:v>2014</x:v>
      </x:c>
      <x:c r="G2826" s="9" t="str">
        <x:v>England and Wales Court of Appeal (Civil Division)</x:v>
      </x:c>
      <x:c r="H2826" s="9" t="str">
        <x:v>Appellate</x:v>
      </x:c>
      <x:c r="I2826" s="9" t="str">
        <x:v>England and Wales</x:v>
      </x:c>
      <x:c r="J2826" s="9" t="str">
        <x:v>Trust Law</x:v>
      </x:c>
      <x:c r="K2826" s="9" t="str">
        <x:v>-ew-cases-EWCA-Civ-2014-183.xml</x:v>
      </x:c>
      <x:c r="L2826" s="9" t="str">
        <x:v>TBA</x:v>
      </x:c>
    </x:row>
    <x:row r="2827">
      <x:c r="A2827" t="str">
        <x:v>96281478-a044-4c09-aa4a-aded32d1c59e</x:v>
      </x:c>
      <x:c r="B2827" t="str">
        <x:v>a12be215-1d6e-4a9d-8335-44a1b8b13d60</x:v>
      </x:c>
      <x:c r="C2827" s="9" t="str">
        <x:v>Sarfraz v Disclosure and Barring Service [2015] EWCA Civ 544</x:v>
      </x:c>
      <x:c r="D2827" s="9" t="str"/>
      <x:c r="E2827" s="9" t="str"/>
      <x:c r="F2827" s="13" t="str">
        <x:v>2015</x:v>
      </x:c>
      <x:c r="G2827" s="9" t="str">
        <x:v>England and Wales Court of Appeal (Civil Division)</x:v>
      </x:c>
      <x:c r="H2827" s="9" t="str">
        <x:v>Appellate</x:v>
      </x:c>
      <x:c r="I2827" s="9" t="str">
        <x:v>England and Wales</x:v>
      </x:c>
      <x:c r="J2827" s="9" t="str">
        <x:v>Administrative Law</x:v>
      </x:c>
      <x:c r="K2827" s="9" t="str">
        <x:v>-ew-cases-EWCA-Civ-2015-544.xml</x:v>
      </x:c>
      <x:c r="L2827" s="9" t="str">
        <x:v>TBA</x:v>
      </x:c>
    </x:row>
    <x:row r="2828">
      <x:c r="A2828" t="str">
        <x:v>88c15f9c-4378-4e8c-9db5-398c06852c27</x:v>
      </x:c>
      <x:c r="B2828" t="str">
        <x:v>f4a5f3a8-c850-4b89-89a1-c990baffac43</x:v>
      </x:c>
      <x:c r="C2828" s="9" t="str">
        <x:v>Sarkandi &amp; Ors v Secretary of State for Foreign and Commonwealth Affairs</x:v>
      </x:c>
      <x:c r="D2828" s="9" t="str"/>
      <x:c r="E2828" s="9" t="str"/>
      <x:c r="F2828" s="13" t="str">
        <x:v>2015</x:v>
      </x:c>
      <x:c r="G2828" s="9" t="str">
        <x:v>England and Wales Court of Appeal (Civil Division)</x:v>
      </x:c>
      <x:c r="H2828" s="9" t="str">
        <x:v>Appellate</x:v>
      </x:c>
      <x:c r="I2828" s="9" t="str">
        <x:v>England and Wales</x:v>
      </x:c>
      <x:c r="J2828" s="9" t="str">
        <x:v>Administrative Law</x:v>
      </x:c>
      <x:c r="K2828" s="9" t="str">
        <x:v>-ew-cases-EWCA-Civ-2015-687.xml</x:v>
      </x:c>
      <x:c r="L2828" s="9" t="str">
        <x:v>TBA</x:v>
      </x:c>
    </x:row>
    <x:row r="2829">
      <x:c r="A2829" t="str">
        <x:v>d91fa558-a761-4197-8fb3-c5c212f0a594</x:v>
      </x:c>
      <x:c r="B2829" t="str">
        <x:v>abd74fc7-d4a6-4fa8-b703-0682856b2346</x:v>
      </x:c>
      <x:c r="C2829" s="9" t="str">
        <x:v>Sarkar v Secretary of State for the Home Department [2014] EWCA Civ 195</x:v>
      </x:c>
      <x:c r="D2829" s="9" t="str"/>
      <x:c r="E2829" s="9" t="str"/>
      <x:c r="F2829" s="13" t="str">
        <x:v>2014</x:v>
      </x:c>
      <x:c r="G2829" s="9" t="str">
        <x:v>England and Wales Court of Appeal (Civil Division)</x:v>
      </x:c>
      <x:c r="H2829" s="9" t="str">
        <x:v>Appellate</x:v>
      </x:c>
      <x:c r="I2829" s="9" t="str">
        <x:v>England and Wales</x:v>
      </x:c>
      <x:c r="J2829" s="9" t="str">
        <x:v>Immigration Law</x:v>
      </x:c>
      <x:c r="K2829" s="9" t="str">
        <x:v>-ew-cases-EWCA-Civ-2014-195.xml</x:v>
      </x:c>
      <x:c r="L2829" s="9" t="str">
        <x:v>TBA</x:v>
      </x:c>
    </x:row>
    <x:row r="2830">
      <x:c r="A2830" t="str">
        <x:v>f5c29957-f56e-40fb-9d7c-bfd9a09bb42e</x:v>
      </x:c>
      <x:c r="B2830" t="str">
        <x:v>f538eb04-8621-4cfb-9bf0-3442811eb23f</x:v>
      </x:c>
      <x:c r="C2830" s="9" t="str">
        <x:v>Sarnoff v YZ [2021] EWCA Civ 26 - Disclosure Orders Against Non-Parties</x:v>
      </x:c>
      <x:c r="D2830" s="9" t="str"/>
      <x:c r="E2830" s="9" t="str"/>
      <x:c r="F2830" s="13" t="str">
        <x:v>2021</x:v>
      </x:c>
      <x:c r="G2830" s="9" t="str">
        <x:v>England and Wales Court of Appeal (Civil Division)</x:v>
      </x:c>
      <x:c r="H2830" s="9" t="str">
        <x:v>Appellate</x:v>
      </x:c>
      <x:c r="I2830" s="9" t="str">
        <x:v>England and Wales</x:v>
      </x:c>
      <x:c r="J2830" s="9" t="str">
        <x:v>Civil Procedure</x:v>
      </x:c>
      <x:c r="K2830" s="9" t="str">
        <x:v>ew-cases-EWCA-Civ-2021-26.xml</x:v>
      </x:c>
      <x:c r="L2830" s="9" t="str">
        <x:v>TBA</x:v>
      </x:c>
    </x:row>
    <x:row r="2831">
      <x:c r="A2831" t="str">
        <x:v>04e7392c-e234-42ac-8b9e-3830fda992d0</x:v>
      </x:c>
      <x:c r="B2831" t="str">
        <x:v>8532cffa-4060-4721-8778-968381cb9da2</x:v>
      </x:c>
      <x:c r="C2831" s="9" t="str">
        <x:v>SARPD Oil International Ltd v Addax Energy SA &amp; Anor [2016] EWCA Civ 120</x:v>
      </x:c>
      <x:c r="D2831" s="9" t="str"/>
      <x:c r="E2831" s="9" t="str"/>
      <x:c r="F2831" s="13" t="str">
        <x:v>2016</x:v>
      </x:c>
      <x:c r="G2831" s="9" t="str">
        <x:v>England and Wales Court of Appeal (Civil Division)</x:v>
      </x:c>
      <x:c r="H2831" s="9" t="str">
        <x:v>Court of Appeal (Civil Division)</x:v>
      </x:c>
      <x:c r="I2831" s="9" t="str">
        <x:v>England and Wales</x:v>
      </x:c>
      <x:c r="J2831" s="9" t="str">
        <x:v>Civil Procedure / Security for Costs / Commercial Contract</x:v>
      </x:c>
      <x:c r="K2831" s="9" t="str">
        <x:v>-ew-cases-EWCA-Civ-2016-120.xml</x:v>
      </x:c>
      <x:c r="L2831" s="9" t="str">
        <x:v>TBA</x:v>
      </x:c>
    </x:row>
    <x:row r="2832">
      <x:c r="A2832" t="str">
        <x:v>7f65da4d-ca72-40e3-a8c4-b2049b816c31</x:v>
      </x:c>
      <x:c r="B2832" t="str">
        <x:v>526d9904-5b0c-4a83-87d4-3a2efae5f873</x:v>
      </x:c>
      <x:c r="C2832" s="9" t="str">
        <x:v>Sastry &amp; Anor v General Medical Council [2021] EWCA Civ 623</x:v>
      </x:c>
      <x:c r="D2832" s="9" t="str"/>
      <x:c r="E2832" s="9" t="str"/>
      <x:c r="F2832" s="13" t="str">
        <x:v>2021</x:v>
      </x:c>
      <x:c r="G2832" s="9" t="str">
        <x:v>England and Wales Court of Appeal (Civil Division)</x:v>
      </x:c>
      <x:c r="H2832" s="9" t="str">
        <x:v>Appellate</x:v>
      </x:c>
      <x:c r="I2832" s="9" t="str">
        <x:v>England and Wales</x:v>
      </x:c>
      <x:c r="J2832" s="9" t="str">
        <x:v>Administrative Law</x:v>
      </x:c>
      <x:c r="K2832" s="9" t="str">
        <x:v>ew-cases-EWCA-Civ-2021-623.xml</x:v>
      </x:c>
      <x:c r="L2832" s="9" t="str">
        <x:v>TBA</x:v>
      </x:c>
    </x:row>
    <x:row r="2833">
      <x:c r="A2833" t="str">
        <x:v>e6fb06a8-61ed-41b4-b803-124530c704e4</x:v>
      </x:c>
      <x:c r="B2833" t="str">
        <x:v>2bbe1523-aff1-4b68-a749-7672c0d465b9</x:v>
      </x:c>
      <x:c r="C2833" s="9" t="str">
        <x:v>Satyam Enterprises Ltd v Burton &amp; Anor [2021] EWCA Civ 287</x:v>
      </x:c>
      <x:c r="D2833" s="9" t="str"/>
      <x:c r="E2833" s="9" t="str"/>
      <x:c r="F2833" s="13" t="str">
        <x:v>2021</x:v>
      </x:c>
      <x:c r="G2833" s="9" t="str">
        <x:v>England and Wales Court of Appeal (Civil Division)</x:v>
      </x:c>
      <x:c r="H2833" s="9" t="str">
        <x:v>appellate</x:v>
      </x:c>
      <x:c r="I2833" s="9" t="str">
        <x:v>England and Wales</x:v>
      </x:c>
      <x:c r="J2833" s="9" t="str">
        <x:v>Corporate Law</x:v>
      </x:c>
      <x:c r="K2833" s="9" t="str">
        <x:v>ew-cases-EWCA-Civ-2021-287.xml</x:v>
      </x:c>
      <x:c r="L2833" s="9" t="str">
        <x:v>TBA</x:v>
      </x:c>
    </x:row>
    <x:row r="2834">
      <x:c r="A2834" t="str">
        <x:v>87e24f5e-c13f-4151-9d8d-dee4a5fa8ecf</x:v>
      </x:c>
      <x:c r="B2834" t="str">
        <x:v>d93d9d5b-1859-4f78-9a33-99df1e16ca41</x:v>
      </x:c>
      <x:c r="C2834" s="9" t="str">
        <x:v>Saunderson &amp; Ors v Sonae Industria (UK) Ltd [2016] EWCA Civ 1177</x:v>
      </x:c>
      <x:c r="D2834" s="9" t="str"/>
      <x:c r="E2834" s="9" t="str"/>
      <x:c r="F2834" s="13" t="str">
        <x:v>2016</x:v>
      </x:c>
      <x:c r="G2834" s="9" t="str">
        <x:v>England and Wales Court of Appeal (Civil Division)</x:v>
      </x:c>
      <x:c r="H2834" s="9" t="str">
        <x:v>Court of Appeal (Civil Division)</x:v>
      </x:c>
      <x:c r="I2834" s="9" t="str">
        <x:v>England and Wales</x:v>
      </x:c>
      <x:c r="J2834" s="9" t="str">
        <x:v>Civil Procedure / Costs</x:v>
      </x:c>
      <x:c r="K2834" s="9" t="str">
        <x:v>-ew-cases-EWCA-Civ-2016-1177.xml</x:v>
      </x:c>
      <x:c r="L2834" s="9" t="str">
        <x:v>TBA</x:v>
      </x:c>
    </x:row>
    <x:row r="2835">
      <x:c r="A2835" t="str">
        <x:v>4392aedd-fcff-4b0e-8905-173bd695ef70</x:v>
      </x:c>
      <x:c r="B2835" t="str">
        <x:v>86b2441d-78e7-4fc6-afe1-7aaa14fe94e7</x:v>
      </x:c>
      <x:c r="C2835" s="9" t="str">
        <x:v>Savage v Mansfield District Council [2015] EWCA Civ 4</x:v>
      </x:c>
      <x:c r="D2835" s="9" t="str"/>
      <x:c r="E2835" s="9" t="str"/>
      <x:c r="F2835" s="13" t="str">
        <x:v>2015</x:v>
      </x:c>
      <x:c r="G2835" s="9" t="str">
        <x:v>England and Wales Court of Appeal (Civil Division)</x:v>
      </x:c>
      <x:c r="H2835" s="9" t="str">
        <x:v>Appellate</x:v>
      </x:c>
      <x:c r="I2835" s="9" t="str">
        <x:v>England and Wales</x:v>
      </x:c>
      <x:c r="J2835" s="9" t="str">
        <x:v>Planning Law</x:v>
      </x:c>
      <x:c r="K2835" s="9" t="str">
        <x:v>-ew-cases-EWCA-Civ-2015-4.xml</x:v>
      </x:c>
      <x:c r="L2835" s="9" t="str">
        <x:v>TBA</x:v>
      </x:c>
    </x:row>
    <x:row r="2836">
      <x:c r="A2836" t="str">
        <x:v>25a33548-a2b6-4215-95b2-dccd8899689f</x:v>
      </x:c>
      <x:c r="B2836" t="str">
        <x:v>235388cd-5994-4cf3-b7e7-c349382ef164</x:v>
      </x:c>
      <x:c r="C2836" s="9" t="str">
        <x:v>Save Britain's Heritage, R (On the Application Of) v Davies (Rev1) [2023] EWCA Civ 723</x:v>
      </x:c>
      <x:c r="D2836" s="9" t="str"/>
      <x:c r="E2836" s="9" t="str"/>
      <x:c r="F2836" s="13" t="str">
        <x:v>2023</x:v>
      </x:c>
      <x:c r="G2836" s="9" t="str">
        <x:v>England and Wales Court of Appeal (Civil Division)</x:v>
      </x:c>
      <x:c r="H2836" s="9" t="str">
        <x:v>Court of Appeal (Civil Division)</x:v>
      </x:c>
      <x:c r="I2836" s="9" t="str">
        <x:v>England and Wales</x:v>
      </x:c>
      <x:c r="J2836" s="9" t="str">
        <x:v>Planning Law / Judicial Review</x:v>
      </x:c>
      <x:c r="K2836" s="9" t="str">
        <x:v>ew-cases-EWCA-Civ-2023-723.xml</x:v>
      </x:c>
      <x:c r="L2836" s="9" t="str">
        <x:v>TBA</x:v>
      </x:c>
    </x:row>
    <x:row r="2837">
      <x:c r="A2837" t="str">
        <x:v>3440b94f-a483-4fde-aec9-4f2ae0c1865d</x:v>
      </x:c>
      <x:c r="B2837" t="str">
        <x:v>0f325863-97f5-47cf-b59a-f35c94886187</x:v>
      </x:c>
      <x:c r="C2837" s="9" t="str">
        <x:v>Save Britain’s Heritage, R (On the Application Of) v Liverpool City Council &amp; Anor (Rev 1) [2016] EWCA Civ 806</x:v>
      </x:c>
      <x:c r="D2837" s="9" t="str"/>
      <x:c r="E2837" s="9" t="str"/>
      <x:c r="F2837" s="13" t="str">
        <x:v>2016</x:v>
      </x:c>
      <x:c r="G2837" s="9" t="str">
        <x:v>England and Wales Court of Appeal (Civil Division)</x:v>
      </x:c>
      <x:c r="H2837" s="9" t="str">
        <x:v>Court of Appeal (Civil Division)</x:v>
      </x:c>
      <x:c r="I2837" s="9" t="str">
        <x:v>England and Wales</x:v>
      </x:c>
      <x:c r="J2837" s="9" t="str">
        <x:v>Planning/Administrative Law; World Heritage Site planning; Judicial Review</x:v>
      </x:c>
      <x:c r="K2837" s="9" t="str">
        <x:v>-ew-cases-EWCA-Civ-2016-806.xml</x:v>
      </x:c>
      <x:c r="L2837" s="9" t="str">
        <x:v>TBA</x:v>
      </x:c>
    </x:row>
    <x:row r="2838">
      <x:c r="A2838" t="str">
        <x:v>c501b73b-1e23-4fbf-b32a-38663e1bbb3e</x:v>
      </x:c>
      <x:c r="B2838" t="str">
        <x:v>187b7b96-3c95-4093-96a7-389bc96a5dea</x:v>
      </x:c>
      <x:c r="C2838" s="9" t="str">
        <x:v>Saville v Central Capital Ltd [2014] EWCA Civ 337</x:v>
      </x:c>
      <x:c r="D2838" s="9" t="str"/>
      <x:c r="E2838" s="9" t="str"/>
      <x:c r="F2838" s="13" t="str">
        <x:v>2014</x:v>
      </x:c>
      <x:c r="G2838" s="9" t="str">
        <x:v>England and Wales Court of Appeal (Civil Division)</x:v>
      </x:c>
      <x:c r="H2838" s="9" t="str">
        <x:v>Appellate</x:v>
      </x:c>
      <x:c r="I2838" s="9" t="str">
        <x:v>England and Wales</x:v>
      </x:c>
      <x:c r="J2838" s="9" t="str">
        <x:v>Consumer Protection</x:v>
      </x:c>
      <x:c r="K2838" s="9" t="str">
        <x:v>-ew-cases-EWCA-Civ-2014-337.xml</x:v>
      </x:c>
      <x:c r="L2838" s="9" t="str">
        <x:v>TBA</x:v>
      </x:c>
    </x:row>
    <x:row r="2839">
      <x:c r="A2839" t="str">
        <x:v>cd8cee4b-a4db-4a1c-95a9-7e8cf5bc6f8f</x:v>
      </x:c>
      <x:c r="B2839" t="str">
        <x:v>225de844-be04-483a-ba1a-507b3cc549f5</x:v>
      </x:c>
      <x:c r="C2839" s="9" t="str">
        <x:v>Savills (UK) Ltd v Blacker &amp; Anor [2017] EWCA Civ 68</x:v>
      </x:c>
      <x:c r="D2839" s="9" t="str"/>
      <x:c r="E2839" s="9" t="str"/>
      <x:c r="F2839" s="13" t="str">
        <x:v>2017</x:v>
      </x:c>
      <x:c r="G2839" s="9" t="str">
        <x:v>England and Wales Court of Appeal (Civil Division)</x:v>
      </x:c>
      <x:c r="H2839" s="9" t="str">
        <x:v>Appellate</x:v>
      </x:c>
      <x:c r="I2839" s="9" t="str">
        <x:v>England and Wales</x:v>
      </x:c>
      <x:c r="J2839" s="9" t="str">
        <x:v>Contract Dispute</x:v>
      </x:c>
      <x:c r="K2839" s="9" t="str">
        <x:v>-ew-cases-EWCA-Civ-2017-68.xml</x:v>
      </x:c>
      <x:c r="L2839" s="9" t="str">
        <x:v>TBA</x:v>
      </x:c>
    </x:row>
    <x:row r="2840">
      <x:c r="A2840" t="str">
        <x:v>b6573eb4-60fd-4918-a1df-7b89b6fa1c7b</x:v>
      </x:c>
      <x:c r="B2840" t="str">
        <x:v>3e09d0e8-a5c4-4169-83de-066a758b97d4</x:v>
      </x:c>
      <x:c r="C2840" s="9" t="str">
        <x:v>SAW (SW) 2010 Ltd &amp; Anor v Wilson &amp; Ors: The Validity of Floating Charges</x:v>
      </x:c>
      <x:c r="D2840" s="9" t="str"/>
      <x:c r="E2840" s="9" t="str"/>
      <x:c r="F2840" s="13" t="str">
        <x:v>2017</x:v>
      </x:c>
      <x:c r="G2840" s="9" t="str">
        <x:v>England and Wales Court of Appeal (Civil Division)</x:v>
      </x:c>
      <x:c r="H2840" s="9" t="str">
        <x:v>appellate</x:v>
      </x:c>
      <x:c r="I2840" s="9" t="str">
        <x:v>England and Wales</x:v>
      </x:c>
      <x:c r="J2840" s="9" t="str">
        <x:v>Commercial Law</x:v>
      </x:c>
      <x:c r="K2840" s="9" t="str">
        <x:v>-ew-cases-EWCA-Civ-2017-1001.xml</x:v>
      </x:c>
      <x:c r="L2840" s="9" t="str">
        <x:v>TBA</x:v>
      </x:c>
    </x:row>
    <x:row r="2841">
      <x:c r="A2841" t="str">
        <x:v>df06e9e0-c78b-4d74-ae18-9b140165cdfe</x:v>
      </x:c>
      <x:c r="B2841" t="str">
        <x:v>7297b7f5-f33d-496f-99d9-d1824326377e</x:v>
      </x:c>
      <x:c r="C2841" s="9" t="str">
        <x:v>Sayaniya, R (on the application of) v Upper Tribunal (Immigration and Asylum Chamber) &amp; Ors [2016] EWCA Civ 85</x:v>
      </x:c>
      <x:c r="D2841" s="9" t="str"/>
      <x:c r="E2841" s="9" t="str"/>
      <x:c r="F2841" s="13" t="str">
        <x:v>2016</x:v>
      </x:c>
      <x:c r="G2841" s="9" t="str">
        <x:v>England and Wales Court of Appeal (Civil Division)</x:v>
      </x:c>
      <x:c r="H2841" s="9" t="str">
        <x:v>Court of Appeal (Civil Division)</x:v>
      </x:c>
      <x:c r="I2841" s="9" t="str">
        <x:v>England and Wales</x:v>
      </x:c>
      <x:c r="J2841" s="9" t="str">
        <x:v>Administrative Law / Immigration</x:v>
      </x:c>
      <x:c r="K2841" s="9" t="str">
        <x:v>-ew-cases-EWCA-Civ-2016-85.xml</x:v>
      </x:c>
      <x:c r="L2841" s="9" t="str">
        <x:v>TBA</x:v>
      </x:c>
    </x:row>
    <x:row r="2842">
      <x:c r="A2842" t="str">
        <x:v>4c0ade46-1874-4e8e-b8d8-2e0ca6ab48f1</x:v>
      </x:c>
      <x:c r="B2842" t="str">
        <x:v>7107ec67-0fe1-4e2a-a665-6949d1c2b554</x:v>
      </x:c>
      <x:c r="C2842" s="9" t="str">
        <x:v>Sayn-Wittgenstein-Sayn v His Majesty Juan Carlos Alfonso Victor Maria de Borbón y Borbón [2022] EWCA Civ 1052</x:v>
      </x:c>
      <x:c r="D2842" s="9" t="str"/>
      <x:c r="E2842" s="9" t="str"/>
      <x:c r="F2842" s="13" t="str">
        <x:v>2022</x:v>
      </x:c>
      <x:c r="G2842" s="9" t="str">
        <x:v>England and Wales Court of Appeal (Civil Division)</x:v>
      </x:c>
      <x:c r="H2842" s="9" t="str">
        <x:v>Court of Appeal (Civil Division)</x:v>
      </x:c>
      <x:c r="I2842" s="9" t="str">
        <x:v>England and Wales</x:v>
      </x:c>
      <x:c r="J2842" s="9" t="str">
        <x:v>Civil - Immunities and Diplomatic Privileges</x:v>
      </x:c>
      <x:c r="K2842" s="9" t="str">
        <x:v>ew-cases-EWCA-Civ-2022-1052.xml</x:v>
      </x:c>
      <x:c r="L2842" s="9" t="str">
        <x:v>TBA</x:v>
      </x:c>
    </x:row>
    <x:row r="2843">
      <x:c r="A2843" t="str">
        <x:v>1b1d494d-5ef7-4bdb-9b6e-53a40fc81c2f</x:v>
      </x:c>
      <x:c r="B2843" t="str">
        <x:v>2e88bc46-6293-4125-beac-79bb041f2d4c</x:v>
      </x:c>
      <x:c r="C2843" s="9" t="str">
        <x:v>Sayn-Wittgenstein-Sayn v HM Juan Carlos Alfonso Victor María de Borbón y Borbón (Rev1) [2022] EWCA Civ 1595</x:v>
      </x:c>
      <x:c r="D2843" s="9" t="str"/>
      <x:c r="E2843" s="9" t="str"/>
      <x:c r="F2843" s="13" t="str">
        <x:v>2022</x:v>
      </x:c>
      <x:c r="G2843" s="9" t="str">
        <x:v>England and Wales Court of Appeal (Civil Division)</x:v>
      </x:c>
      <x:c r="H2843" s="9" t="str">
        <x:v>Court of Appeal (Civil Division)</x:v>
      </x:c>
      <x:c r="I2843" s="9" t="str">
        <x:v>England and Wales</x:v>
      </x:c>
      <x:c r="J2843" s="9" t="str">
        <x:v>Public international law / State immunity (State Immunity Act 1978) and civil procedure</x:v>
      </x:c>
      <x:c r="K2843" s="9" t="str">
        <x:v>ew-cases-EWCA-Civ-2022-1595.xml</x:v>
      </x:c>
      <x:c r="L2843" s="9" t="str">
        <x:v>TBA</x:v>
      </x:c>
    </x:row>
    <x:row r="2844">
      <x:c r="A2844" t="str">
        <x:v>fa6cf36e-5d73-4866-b702-03d4491a1fdf</x:v>
      </x:c>
      <x:c r="B2844" t="str">
        <x:v>302bc746-9b74-4fd8-b85b-5919eb8c4c5c</x:v>
      </x:c>
      <x:c r="C2844" s="9" t="str">
        <x:v>SB (India) and CB (India) v Secretary of State for the Home Department [2016] EWCA Civ 451</x:v>
      </x:c>
      <x:c r="D2844" s="9" t="str"/>
      <x:c r="E2844" s="9" t="str"/>
      <x:c r="F2844" s="13" t="str">
        <x:v>2016</x:v>
      </x:c>
      <x:c r="G2844" s="9" t="str">
        <x:v>England and Wales Court of Appeal (Civil Division)</x:v>
      </x:c>
      <x:c r="H2844" s="9" t="str">
        <x:v>Court of Appeal (Civil Division)</x:v>
      </x:c>
      <x:c r="I2844" s="9" t="str">
        <x:v>United Kingdom (England and Wales)</x:v>
      </x:c>
      <x:c r="J2844" s="9" t="str">
        <x:v>Immigration and Human Rights</x:v>
      </x:c>
      <x:c r="K2844" s="9" t="str">
        <x:v>-ew-cases-EWCA-Civ-2016-451.xml</x:v>
      </x:c>
      <x:c r="L2844" s="9" t="str">
        <x:v>TBA</x:v>
      </x:c>
    </x:row>
    <x:row r="2845">
      <x:c r="A2845" t="str">
        <x:v>1de3e638-d49e-468e-a089-233aa7b21f1b</x:v>
      </x:c>
      <x:c r="B2845" t="str">
        <x:v>aff1b969-d032-4705-8987-82b491930a1f</x:v>
      </x:c>
      <x:c r="C2845" s="9" t="str">
        <x:v>SB (Jamaica) and ABD (A Minor) v Secretary of State for the Home Department [2016] EWCA Civ 400</x:v>
      </x:c>
      <x:c r="D2845" s="9" t="str"/>
      <x:c r="E2845" s="9" t="str"/>
      <x:c r="F2845" s="13" t="str">
        <x:v>2016</x:v>
      </x:c>
      <x:c r="G2845" s="9" t="str">
        <x:v>England and Wales Court of Appeal (Civil Division)</x:v>
      </x:c>
      <x:c r="H2845" s="9" t="str">
        <x:v>Court of Appeal (Civil Division)</x:v>
      </x:c>
      <x:c r="I2845" s="9" t="str">
        <x:v>England and Wales</x:v>
      </x:c>
      <x:c r="J2845" s="9" t="str">
        <x:v>Immigration Law</x:v>
      </x:c>
      <x:c r="K2845" s="9" t="str">
        <x:v>-ew-cases-EWCA-Civ-2016-400.xml</x:v>
      </x:c>
      <x:c r="L2845" s="9" t="str">
        <x:v>TBA</x:v>
      </x:c>
    </x:row>
    <x:row r="2846">
      <x:c r="A2846" t="str">
        <x:v>a0cd6dab-fa00-46d4-83ee-68c37b75c3a6</x:v>
      </x:c>
      <x:c r="B2846" t="str">
        <x:v>8d417ae2-4851-4f1a-8ef1-fd267ca0b524</x:v>
      </x:c>
      <x:c r="C2846" s="9" t="str">
        <x:v>SC Confectia SA v Miss Mania Wholesale Ltd [2014] EWCA Civ 1484</x:v>
      </x:c>
      <x:c r="D2846" s="9" t="str"/>
      <x:c r="E2846" s="9" t="str"/>
      <x:c r="F2846" s="13" t="str">
        <x:v>2014</x:v>
      </x:c>
      <x:c r="G2846" s="9" t="str">
        <x:v>England and Wales Court of Appeal (Civil Division)</x:v>
      </x:c>
      <x:c r="H2846" s="9" t="str">
        <x:v>Appellate</x:v>
      </x:c>
      <x:c r="I2846" s="9" t="str">
        <x:v>England and Wales</x:v>
      </x:c>
      <x:c r="J2846" s="9" t="str">
        <x:v>Contract Dispute</x:v>
      </x:c>
      <x:c r="K2846" s="9" t="str">
        <x:v>-ew-cases-EWCA-Civ-2014-1484.xml</x:v>
      </x:c>
      <x:c r="L2846" s="9" t="str">
        <x:v>TBA</x:v>
      </x:c>
    </x:row>
    <x:row r="2847">
      <x:c r="A2847" t="str">
        <x:v>9fdc677c-fa9f-430c-9d3f-6db0c91deb7a</x:v>
      </x:c>
      <x:c r="B2847" t="str">
        <x:v>16b9969b-a880-4f83-bfcd-5b0128191697</x:v>
      </x:c>
      <x:c r="C2847" s="9" t="str">
        <x:v>Scarisbrick v Secretary of State for Communities and Local Government</x:v>
      </x:c>
      <x:c r="D2847" s="9" t="str"/>
      <x:c r="E2847" s="9" t="str"/>
      <x:c r="F2847" s="13" t="str">
        <x:v>2017</x:v>
      </x:c>
      <x:c r="G2847" s="9" t="str">
        <x:v>England and Wales Court of Appeal (Civil Division)</x:v>
      </x:c>
      <x:c r="H2847" s="9" t="str">
        <x:v>Appellate</x:v>
      </x:c>
      <x:c r="I2847" s="9" t="str">
        <x:v>England and Wales</x:v>
      </x:c>
      <x:c r="J2847" s="9" t="str">
        <x:v>Administrative Law</x:v>
      </x:c>
      <x:c r="K2847" s="9" t="str">
        <x:v>-ew-cases-EWCA-Civ-2017-787.xml</x:v>
      </x:c>
      <x:c r="L2847" s="9" t="str">
        <x:v>TBA</x:v>
      </x:c>
    </x:row>
    <x:row r="2848">
      <x:c r="A2848" t="str">
        <x:v>35c320c5-03b3-4a3e-84be-65621cf9bf4a</x:v>
      </x:c>
      <x:c r="B2848" t="str">
        <x:v>d6b530f8-2954-41c7-9dea-2f1aace16fd9</x:v>
      </x:c>
      <x:c r="C2848" s="9" t="str">
        <x:v>SCF Tankers Ltd &amp; Ors v Privalov &amp; Ors [2017] EWCA Civ 1877</x:v>
      </x:c>
      <x:c r="D2848" s="9" t="str"/>
      <x:c r="E2848" s="9" t="str"/>
      <x:c r="F2848" s="13" t="str">
        <x:v>2017</x:v>
      </x:c>
      <x:c r="G2848" s="9" t="str">
        <x:v>England and Wales Court of Appeal (Civil Division)</x:v>
      </x:c>
      <x:c r="H2848" s="9" t="str">
        <x:v>Appellate</x:v>
      </x:c>
      <x:c r="I2848" s="9" t="str">
        <x:v>England &amp; Wales</x:v>
      </x:c>
      <x:c r="J2848" s="9" t="str">
        <x:v>Civil Procedure</x:v>
      </x:c>
      <x:c r="K2848" s="9" t="str">
        <x:v>-ew-cases-EWCA-Civ-2017-1877.xml</x:v>
      </x:c>
      <x:c r="L2848" s="9" t="str">
        <x:v>TBA</x:v>
      </x:c>
    </x:row>
    <x:row r="2849">
      <x:c r="A2849" t="str">
        <x:v>0b5279ac-ef52-4028-bb7e-04130617d335</x:v>
      </x:c>
      <x:c r="B2849" t="str">
        <x:v>2ec88329-a340-43b5-8eaf-1e364bc2fc99</x:v>
      </x:c>
      <x:c r="C2849" s="9" t="str">
        <x:v>Schodlok v The General Medical Council [2015] EWCA Civ 769</x:v>
      </x:c>
      <x:c r="D2849" s="9" t="str"/>
      <x:c r="E2849" s="9" t="str"/>
      <x:c r="F2849" s="13" t="str">
        <x:v>2015</x:v>
      </x:c>
      <x:c r="G2849" s="9" t="str">
        <x:v>England and Wales Court of Appeal (Civil Division)</x:v>
      </x:c>
      <x:c r="H2849" s="9" t="str">
        <x:v>Appellate</x:v>
      </x:c>
      <x:c r="I2849" s="9" t="str">
        <x:v>England and Wales</x:v>
      </x:c>
      <x:c r="J2849" s="9" t="str">
        <x:v>Administrative Law</x:v>
      </x:c>
      <x:c r="K2849" s="9" t="str">
        <x:v>-ew-cases-EWCA-Civ-2015-769.xml</x:v>
      </x:c>
      <x:c r="L2849" s="9" t="str">
        <x:v>TBA</x:v>
      </x:c>
    </x:row>
    <x:row r="2850">
      <x:c r="A2850" t="str">
        <x:v>1dfd63cb-0eba-4e8a-8865-03b9f323e7df</x:v>
      </x:c>
      <x:c r="B2850" t="str">
        <x:v>e5d644c7-0c3c-4885-a0c9-73db584ea88e</x:v>
      </x:c>
      <x:c r="C2850" s="9" t="str">
        <x:v>Schofield &amp; Anor v Smith &amp; Anor [2022] EWCA Civ 824 (21 June 2022)</x:v>
      </x:c>
      <x:c r="D2850" s="9" t="str"/>
      <x:c r="E2850" s="9" t="str"/>
      <x:c r="F2850" s="13" t="str">
        <x:v>2022</x:v>
      </x:c>
      <x:c r="G2850" s="9" t="str">
        <x:v>England and Wales Court of Appeal (Civil Division)</x:v>
      </x:c>
      <x:c r="H2850" s="9" t="str">
        <x:v>Court of Appeal (Civil Division)</x:v>
      </x:c>
      <x:c r="I2850" s="9" t="str">
        <x:v>England and Wales</x:v>
      </x:c>
      <x:c r="J2850" s="9" t="str">
        <x:v>Civil appellate decision; Contract interpretation; Settlement releases; Insolvency/Administration</x:v>
      </x:c>
      <x:c r="K2850" s="9" t="str">
        <x:v>ew-cases-EWCA-Civ-2022-824.xml</x:v>
      </x:c>
      <x:c r="L2850" s="9" t="str">
        <x:v>TBA</x:v>
      </x:c>
    </x:row>
    <x:row r="2851">
      <x:c r="A2851" t="str">
        <x:v>3edb0213-7177-486e-aa04-4315307a7104</x:v>
      </x:c>
      <x:c r="B2851" t="str">
        <x:v>6aef13e8-fdba-4c7e-8a70-15e6c6b5a25b</x:v>
      </x:c>
      <x:c r="C2851" s="9" t="str">
        <x:v>School Facility Management Ltd &amp; Ors v Governing Body of Christ The King College</x:v>
      </x:c>
      <x:c r="D2851" s="9" t="str"/>
      <x:c r="E2851" s="9" t="str"/>
      <x:c r="F2851" s="13" t="str">
        <x:v>2021</x:v>
      </x:c>
      <x:c r="G2851" s="9" t="str">
        <x:v>England and Wales Court of Appeal (Civil Division)</x:v>
      </x:c>
      <x:c r="H2851" s="9" t="str">
        <x:v>Appellate</x:v>
      </x:c>
      <x:c r="I2851" s="9" t="str">
        <x:v>England and Wales</x:v>
      </x:c>
      <x:c r="J2851" s="9" t="str">
        <x:v>Contract Dispute</x:v>
      </x:c>
      <x:c r="K2851" s="9" t="str">
        <x:v>ew-cases-EWCA-Civ-2021-1053.xml</x:v>
      </x:c>
      <x:c r="L2851" s="9" t="str">
        <x:v>TBA</x:v>
      </x:c>
    </x:row>
    <x:row r="2852">
      <x:c r="A2852" t="str">
        <x:v>d6c2f061-8ee8-42bc-b4eb-9151715a7daf</x:v>
      </x:c>
      <x:c r="B2852" t="str">
        <x:v>ea29a7ee-aabc-43d3-a4f6-6d6009925230</x:v>
      </x:c>
      <x:c r="C2852" s="9" t="str">
        <x:v>Sciortino v Beaumont</x:v>
      </x:c>
      <x:c r="D2852" s="9" t="str"/>
      <x:c r="E2852" s="9" t="str"/>
      <x:c r="F2852" s="13" t="str">
        <x:v>2021</x:v>
      </x:c>
      <x:c r="G2852" s="9" t="str">
        <x:v>England and Wales Court of Appeal (Civil Division)</x:v>
      </x:c>
      <x:c r="H2852" s="9" t="str">
        <x:v>Appellate</x:v>
      </x:c>
      <x:c r="I2852" s="9" t="str">
        <x:v>England and Wales</x:v>
      </x:c>
      <x:c r="J2852" s="9" t="str">
        <x:v>Negligence</x:v>
      </x:c>
      <x:c r="K2852" s="9" t="str">
        <x:v>ew-cases-EWCA-Civ-2021-786.xml</x:v>
      </x:c>
      <x:c r="L2852" s="9" t="str">
        <x:v>TBA</x:v>
      </x:c>
    </x:row>
    <x:row r="2853">
      <x:c r="A2853" t="str">
        <x:v>104709a3-5cad-4714-b90e-e9f1f0a9dad8</x:v>
      </x:c>
      <x:c r="B2853" t="str">
        <x:v>d9498baa-6ca5-4a63-9766-9607e142ed92</x:v>
      </x:c>
      <x:c r="C2853" s="9" t="str">
        <x:v>Scopema Sarl v Scot Seat Direct Ltd [2014] EWCA Civ 187</x:v>
      </x:c>
      <x:c r="D2853" s="9" t="str"/>
      <x:c r="E2853" s="9" t="str"/>
      <x:c r="F2853" s="13" t="str">
        <x:v>2014</x:v>
      </x:c>
      <x:c r="G2853" s="9" t="str">
        <x:v>England and Wales Court of Appeal (Civil Division)</x:v>
      </x:c>
      <x:c r="H2853" s="9" t="str">
        <x:v>Appellate</x:v>
      </x:c>
      <x:c r="I2853" s="9" t="str">
        <x:v>England and Wales</x:v>
      </x:c>
      <x:c r="J2853" s="9" t="str">
        <x:v>Intellectual Property</x:v>
      </x:c>
      <x:c r="K2853" s="9" t="str">
        <x:v>-ew-cases-EWCA-Civ-2014-187.xml</x:v>
      </x:c>
      <x:c r="L2853" s="9" t="str">
        <x:v>TBA</x:v>
      </x:c>
    </x:row>
    <x:row r="2854">
      <x:c r="A2854" t="str">
        <x:v>a26efa39-b78b-4252-8c00-f1e7814ae85e</x:v>
      </x:c>
      <x:c r="B2854" t="str">
        <x:v>1684f504-c1ad-40c4-a82e-f5a9e6526b06</x:v>
      </x:c>
      <x:c r="C2854" s="9" t="str">
        <x:v>Scotland &amp; Anor v British Credit Trust Limited [2014] EWCA Civ 790</x:v>
      </x:c>
      <x:c r="D2854" s="9" t="str"/>
      <x:c r="E2854" s="9" t="str"/>
      <x:c r="F2854" s="13" t="str">
        <x:v>2014</x:v>
      </x:c>
      <x:c r="G2854" s="9" t="str">
        <x:v>England and Wales Court of Appeal (Civil Division)</x:v>
      </x:c>
      <x:c r="H2854" s="9" t="str">
        <x:v>Appellate</x:v>
      </x:c>
      <x:c r="I2854" s="9" t="str">
        <x:v>England and Wales</x:v>
      </x:c>
      <x:c r="J2854" s="9" t="str">
        <x:v>Consumer Credit</x:v>
      </x:c>
      <x:c r="K2854" s="9" t="str">
        <x:v>-ew-cases-EWCA-Civ-2014-790.xml</x:v>
      </x:c>
      <x:c r="L2854" s="9" t="str">
        <x:v>TBA</x:v>
      </x:c>
    </x:row>
    <x:row r="2855">
      <x:c r="A2855" t="str">
        <x:v>fe35808b-e9c2-48ea-860d-17793202ab70</x:v>
      </x:c>
      <x:c r="B2855" t="str">
        <x:v>6948a4df-0a45-4ddc-ae3d-8eafee44976a</x:v>
      </x:c>
      <x:c r="C2855" s="9" t="str">
        <x:v>Scott v Gavigan [2016] EWCA Civ 544</x:v>
      </x:c>
      <x:c r="D2855" s="9" t="str"/>
      <x:c r="E2855" s="9" t="str"/>
      <x:c r="F2855" s="13" t="str">
        <x:v>2016</x:v>
      </x:c>
      <x:c r="G2855" s="9" t="str">
        <x:v>England and Wales Court of Appeal (Civil Division)</x:v>
      </x:c>
      <x:c r="H2855" s="9" t="str">
        <x:v>Court of Appeal (Civil Division)</x:v>
      </x:c>
      <x:c r="I2855" s="9" t="str">
        <x:v>England and Wales</x:v>
      </x:c>
      <x:c r="J2855" s="9" t="str">
        <x:v>Tort / Negligence</x:v>
      </x:c>
      <x:c r="K2855" s="9" t="str">
        <x:v>-ew-cases-EWCA-Civ-2016-544.xml</x:v>
      </x:c>
      <x:c r="L2855" s="9" t="str">
        <x:v>TBA</x:v>
      </x:c>
    </x:row>
    <x:row r="2856">
      <x:c r="A2856" t="str">
        <x:v>a8119115-3e64-4f16-9f22-47047abde556</x:v>
      </x:c>
      <x:c r="B2856" t="str">
        <x:v>714e0cd5-9f0d-4477-b94f-87aa690989d8</x:v>
      </x:c>
      <x:c r="C2856" s="9" t="str">
        <x:v>Scottish Power UK PLC v BP Exploration Operating Company Ltd &amp; Ors [2016] EWCA Civ 1043</x:v>
      </x:c>
      <x:c r="D2856" s="9" t="str"/>
      <x:c r="E2856" s="9" t="str"/>
      <x:c r="F2856" s="13" t="str">
        <x:v>2016</x:v>
      </x:c>
      <x:c r="G2856" s="9" t="str">
        <x:v>England and Wales Court of Appeal (Civil Division)</x:v>
      </x:c>
      <x:c r="H2856" s="9" t="str">
        <x:v>Court of Appeal (Civil Division)</x:v>
      </x:c>
      <x:c r="I2856" s="9" t="str">
        <x:v>England and Wales</x:v>
      </x:c>
      <x:c r="J2856" s="9" t="str">
        <x:v>Contract/Commercial</x:v>
      </x:c>
      <x:c r="K2856" s="9" t="str">
        <x:v>-ew-cases-EWCA-Civ-2016-1043.xml</x:v>
      </x:c>
      <x:c r="L2856" s="9" t="str">
        <x:v>TBA</x:v>
      </x:c>
    </x:row>
    <x:row r="2857">
      <x:c r="A2857" t="str">
        <x:v>5b574d46-3efc-4671-aea5-5a13c9063f96</x:v>
      </x:c>
      <x:c r="B2857" t="str">
        <x:v>6efd1166-2e1a-4c31-a25d-070069212ab0</x:v>
      </x:c>
      <x:c r="C2857" s="9" t="str">
        <x:v>SD, R (On the Application Of) v The Chief Constable of North Yorkshire &amp; Anor</x:v>
      </x:c>
      <x:c r="D2857" s="9" t="str"/>
      <x:c r="E2857" s="9" t="str"/>
      <x:c r="F2857" s="13" t="str">
        <x:v>2017</x:v>
      </x:c>
      <x:c r="G2857" s="9" t="str">
        <x:v>England and Wales Court of Appeal (Civil Division)</x:v>
      </x:c>
      <x:c r="H2857" s="9" t="str">
        <x:v>Appellate</x:v>
      </x:c>
      <x:c r="I2857" s="9" t="str">
        <x:v>England and Wales</x:v>
      </x:c>
      <x:c r="J2857" s="9" t="str">
        <x:v>Administrative Law</x:v>
      </x:c>
      <x:c r="K2857" s="9" t="str">
        <x:v>-ew-cases-EWCA-Civ-2017-1838.xml</x:v>
      </x:c>
      <x:c r="L2857" s="9" t="str">
        <x:v>TBA</x:v>
      </x:c>
    </x:row>
    <x:row r="2858">
      <x:c r="A2858" t="str">
        <x:v>dc5a4ca1-5bf5-4ebf-abd7-7f7fbc8711eb</x:v>
      </x:c>
      <x:c r="B2858" t="str">
        <x:v>d504d453-05a6-4b98-a9aa-b574b6ed60b7</x:v>
      </x:c>
      <x:c r="C2858" s="9" t="str">
        <x:v>SDI Retail Services Ltd v Rangers Football Club Ltd</x:v>
      </x:c>
      <x:c r="D2858" s="9" t="str"/>
      <x:c r="E2858" s="9" t="str"/>
      <x:c r="F2858" s="13" t="str">
        <x:v>2021</x:v>
      </x:c>
      <x:c r="G2858" s="9" t="str">
        <x:v>England and Wales Court of Appeal (Civil Division)</x:v>
      </x:c>
      <x:c r="H2858" s="9" t="str">
        <x:v>Appellate</x:v>
      </x:c>
      <x:c r="I2858" s="9" t="str">
        <x:v>England and Wales</x:v>
      </x:c>
      <x:c r="J2858" s="9" t="str">
        <x:v>Contract Dispute</x:v>
      </x:c>
      <x:c r="K2858" s="9" t="str">
        <x:v>ew-cases-EWCA-Civ-2021-790.xml</x:v>
      </x:c>
      <x:c r="L2858" s="9" t="str">
        <x:v>TBA</x:v>
      </x:c>
    </x:row>
    <x:row r="2859">
      <x:c r="A2859" t="str">
        <x:v>b37c60a5-c3d6-4e90-88f8-9672ad12eb50</x:v>
      </x:c>
      <x:c r="B2859" t="str">
        <x:v>aa62926f-8556-4cb2-97d0-a4248d9f3d13</x:v>
      </x:c>
      <x:c r="C2859" s="9" t="str">
        <x:v>SE (Mauritius) &amp; Anor v The Secretary of State for the Home Department [2017] EWCA Civ 2145</x:v>
      </x:c>
      <x:c r="D2859" s="9" t="str"/>
      <x:c r="E2859" s="9" t="str"/>
      <x:c r="F2859" s="13" t="str">
        <x:v>2017</x:v>
      </x:c>
      <x:c r="G2859" s="9" t="str">
        <x:v>England and Wales Court of Appeal (Civil Division)</x:v>
      </x:c>
      <x:c r="H2859" s="9" t="str">
        <x:v>Appellate</x:v>
      </x:c>
      <x:c r="I2859" s="9" t="str">
        <x:v>England and Wales</x:v>
      </x:c>
      <x:c r="J2859" s="9" t="str">
        <x:v>Immigration</x:v>
      </x:c>
      <x:c r="K2859" s="9" t="str">
        <x:v>-ew-cases-EWCA-Civ-2017-2145.xml</x:v>
      </x:c>
      <x:c r="L2859" s="9" t="str">
        <x:v>TBA</x:v>
      </x:c>
    </x:row>
    <x:row r="2860">
      <x:c r="A2860" t="str">
        <x:v>5a6860ba-e64a-4321-84a4-ab03a2b53150</x:v>
      </x:c>
      <x:c r="B2860" t="str">
        <x:v>d04e8a2e-4c22-4808-9c89-6ce5c3f2105a</x:v>
      </x:c>
      <x:c r="C2860" s="9" t="str">
        <x:v>SE (Zimbabwe) v The Secretary of State for the Home Department</x:v>
      </x:c>
      <x:c r="D2860" s="9" t="str"/>
      <x:c r="E2860" s="9" t="str"/>
      <x:c r="F2860" s="13" t="str">
        <x:v>2014</x:v>
      </x:c>
      <x:c r="G2860" s="9" t="str">
        <x:v>England and Wales Court of Appeal (Civil Division)</x:v>
      </x:c>
      <x:c r="H2860" s="9" t="str">
        <x:v>Appellate</x:v>
      </x:c>
      <x:c r="I2860" s="9" t="str">
        <x:v>United Kingdom</x:v>
      </x:c>
      <x:c r="J2860" s="9" t="str">
        <x:v>Immigration Law</x:v>
      </x:c>
      <x:c r="K2860" s="9" t="str">
        <x:v>-ew-cases-EWCA-Civ-2014-256.xml</x:v>
      </x:c>
      <x:c r="L2860" s="9" t="str">
        <x:v>TBA</x:v>
      </x:c>
    </x:row>
    <x:row r="2861">
      <x:c r="A2861" t="str">
        <x:v>c0b0dcc9-ffea-42f4-b7a6-8ebcfb9255a2</x:v>
      </x:c>
      <x:c r="B2861" t="str">
        <x:v>8abcbd1f-7f26-48b5-a403-1d846cbb8d86</x:v>
      </x:c>
      <x:c r="C2861" s="9" t="str">
        <x:v>Seabrook v Adam [2021] EWCA Civ 382</x:v>
      </x:c>
      <x:c r="D2861" s="9" t="str"/>
      <x:c r="E2861" s="9" t="str"/>
      <x:c r="F2861" s="13" t="str">
        <x:v>2021</x:v>
      </x:c>
      <x:c r="G2861" s="9" t="str">
        <x:v>England and Wales Court of Appeal (Civil Division)</x:v>
      </x:c>
      <x:c r="H2861" s="9" t="str">
        <x:v>Appellate</x:v>
      </x:c>
      <x:c r="I2861" s="9" t="str">
        <x:v>England and Wales</x:v>
      </x:c>
      <x:c r="J2861" s="9" t="str">
        <x:v>Civil Procedure</x:v>
      </x:c>
      <x:c r="K2861" s="9" t="str">
        <x:v>ew-cases-EWCA-Civ-2021-382.xml</x:v>
      </x:c>
      <x:c r="L2861" s="9" t="str">
        <x:v>TBA</x:v>
      </x:c>
    </x:row>
    <x:row r="2862">
      <x:c r="A2862" t="str">
        <x:v>7e7c0225-dcfc-43d8-a206-e97bcf1e187e</x:v>
      </x:c>
      <x:c r="B2862" t="str">
        <x:v>65eb2911-0cb6-4cff-8074-0f7b169c2e75</x:v>
      </x:c>
      <x:c r="C2862" s="9" t="str">
        <x:v>Seakom Ltd &amp; Anor v Knowledgepool Group Ltd</x:v>
      </x:c>
      <x:c r="D2862" s="9" t="str"/>
      <x:c r="E2862" s="9" t="str"/>
      <x:c r="F2862" s="13" t="str">
        <x:v>2014</x:v>
      </x:c>
      <x:c r="G2862" s="9" t="str">
        <x:v>England and Wales Court of Appeal (Civil Division)</x:v>
      </x:c>
      <x:c r="H2862" s="9" t="str">
        <x:v>Appellate</x:v>
      </x:c>
      <x:c r="I2862" s="9" t="str">
        <x:v>England and Wales</x:v>
      </x:c>
      <x:c r="J2862" s="9" t="str">
        <x:v>Contractual Dispute</x:v>
      </x:c>
      <x:c r="K2862" s="9" t="str">
        <x:v>-ew-cases-EWCA-Civ-2014-1164.xml</x:v>
      </x:c>
      <x:c r="L2862" s="9" t="str">
        <x:v>TBA</x:v>
      </x:c>
    </x:row>
    <x:row r="2863">
      <x:c r="A2863" t="str">
        <x:v>0d1116e5-1136-401c-bacb-fd0d3e0f42d1</x:v>
      </x:c>
      <x:c r="B2863" t="str">
        <x:v>99564e72-db20-4ba1-b007-f666fe9bc449</x:v>
      </x:c>
      <x:c r="C2863" s="9" t="str">
        <x:v>Sebastian Holdings, Inc v Deutsche Bank AG [2014] EWCA Civ 1100</x:v>
      </x:c>
      <x:c r="D2863" s="9" t="str"/>
      <x:c r="E2863" s="9" t="str"/>
      <x:c r="F2863" s="13" t="str">
        <x:v>2014</x:v>
      </x:c>
      <x:c r="G2863" s="9" t="str">
        <x:v>England and Wales Court of Appeal (Civil Division)</x:v>
      </x:c>
      <x:c r="H2863" s="9" t="str">
        <x:v>Appellate</x:v>
      </x:c>
      <x:c r="I2863" s="9" t="str">
        <x:v>England and Wales</x:v>
      </x:c>
      <x:c r="J2863" s="9" t="str">
        <x:v>Civil Appeal</x:v>
      </x:c>
      <x:c r="K2863" s="9" t="str">
        <x:v>-ew-cases-EWCA-Civ-2014-1100.xml</x:v>
      </x:c>
      <x:c r="L2863" s="9" t="str">
        <x:v>TBA</x:v>
      </x:c>
    </x:row>
    <x:row r="2864">
      <x:c r="A2864" t="str">
        <x:v>1bcdd429-82a0-420a-a6fe-d5ca070cf9d0</x:v>
      </x:c>
      <x:c r="B2864" t="str">
        <x:v>739220b7-b921-4cbc-a4cb-5e7fc9e968da</x:v>
      </x:c>
      <x:c r="C2864" s="9" t="str">
        <x:v>Secretariat Consulting PTE Ltd &amp; Ors v A Company [2021] EWCA Civ 6</x:v>
      </x:c>
      <x:c r="D2864" s="9" t="str"/>
      <x:c r="E2864" s="9" t="str"/>
      <x:c r="F2864" s="13" t="str">
        <x:v>2021</x:v>
      </x:c>
      <x:c r="G2864" s="9" t="str">
        <x:v>England and Wales Court of Appeal (Civil Division)</x:v>
      </x:c>
      <x:c r="H2864" s="9" t="str">
        <x:v>Appellate</x:v>
      </x:c>
      <x:c r="I2864" s="9" t="str">
        <x:v>England and Wales</x:v>
      </x:c>
      <x:c r="J2864" s="9" t="str">
        <x:v>Civil Appeals</x:v>
      </x:c>
      <x:c r="K2864" s="9" t="str">
        <x:v>ew-cases-EWCA-Civ-2021-6.xml</x:v>
      </x:c>
      <x:c r="L2864" s="9" t="str">
        <x:v>TBA</x:v>
      </x:c>
    </x:row>
    <x:row r="2865">
      <x:c r="A2865" t="str">
        <x:v>20d620ec-3d55-4af9-9eb1-1dcff0e41ef0</x:v>
      </x:c>
      <x:c r="B2865" t="str">
        <x:v>0f98ab6b-b6cc-4bf2-977c-80ea02105f27</x:v>
      </x:c>
      <x:c r="C2865" s="9" t="str">
        <x:v>Secretary of State for Business, Innovation And Skills v PLT Anti-Marketing Ltd [2015] EWCA Civ 76</x:v>
      </x:c>
      <x:c r="D2865" s="9" t="str"/>
      <x:c r="E2865" s="9" t="str"/>
      <x:c r="F2865" s="13" t="str">
        <x:v>2015</x:v>
      </x:c>
      <x:c r="G2865" s="9" t="str">
        <x:v>England and Wales Court of Appeal (Civil Division)</x:v>
      </x:c>
      <x:c r="H2865" s="9" t="str">
        <x:v>Appellate</x:v>
      </x:c>
      <x:c r="I2865" s="9" t="str">
        <x:v>England and Wales</x:v>
      </x:c>
      <x:c r="J2865" s="9" t="str">
        <x:v>Consumer Protection</x:v>
      </x:c>
      <x:c r="K2865" s="9" t="str">
        <x:v>-ew-cases-EWCA-Civ-2015-76.xml</x:v>
      </x:c>
      <x:c r="L2865" s="9" t="str">
        <x:v>TBA</x:v>
      </x:c>
    </x:row>
    <x:row r="2866">
      <x:c r="A2866" t="str">
        <x:v>ff7f47f0-2fd0-42ef-9e4b-68cef6bff4f4</x:v>
      </x:c>
      <x:c r="B2866" t="str">
        <x:v>cd283e1d-2aa2-4f15-968e-1c7909dfec0a</x:v>
      </x:c>
      <x:c r="C2866" s="9" t="str">
        <x:v>Secretary of State for Communities and Local Government &amp; Anor v Engbers [2016] EWCA Civ 1183</x:v>
      </x:c>
      <x:c r="D2866" s="9" t="str"/>
      <x:c r="E2866" s="9" t="str"/>
      <x:c r="F2866" s="13" t="str">
        <x:v>2016</x:v>
      </x:c>
      <x:c r="G2866" s="9" t="str">
        <x:v>England and Wales Court of Appeal (Civil Division)</x:v>
      </x:c>
      <x:c r="H2866" s="9" t="str">
        <x:v>Court of Appeal (Civil Division)</x:v>
      </x:c>
      <x:c r="I2866" s="9" t="str">
        <x:v>England and Wales</x:v>
      </x:c>
      <x:c r="J2866" s="9" t="str">
        <x:v>Planning Law / Administrative Law</x:v>
      </x:c>
      <x:c r="K2866" s="9" t="str">
        <x:v>-ew-cases-EWCA-Civ-2016-1183.xml</x:v>
      </x:c>
      <x:c r="L2866" s="9" t="str">
        <x:v>TBA</x:v>
      </x:c>
    </x:row>
    <x:row r="2867">
      <x:c r="A2867" t="str">
        <x:v>3e97ea1b-0391-4b36-86fa-a6fe8e4b76e8</x:v>
      </x:c>
      <x:c r="B2867" t="str">
        <x:v>875bf0c1-4456-4115-bb4e-59220e6f27ed</x:v>
      </x:c>
      <x:c r="C2867" s="9" t="str">
        <x:v>Secretary of State for Communities and Local Government &amp; Ors v Redhill Aerodrome Ltd</x:v>
      </x:c>
      <x:c r="D2867" s="9" t="str"/>
      <x:c r="E2867" s="9" t="str"/>
      <x:c r="F2867" s="13" t="str">
        <x:v>2014</x:v>
      </x:c>
      <x:c r="G2867" s="9" t="str">
        <x:v>England and Wales Court of Appeal (Civil Division)</x:v>
      </x:c>
      <x:c r="H2867" s="9" t="str">
        <x:v>appellate</x:v>
      </x:c>
      <x:c r="I2867" s="9" t="str">
        <x:v>England and Wales</x:v>
      </x:c>
      <x:c r="J2867" s="9" t="str">
        <x:v>Administrative Law</x:v>
      </x:c>
      <x:c r="K2867" s="9" t="str">
        <x:v>-ew-cases-EWCA-Civ-2014-1386.xml</x:v>
      </x:c>
      <x:c r="L2867" s="9" t="str">
        <x:v>TBA</x:v>
      </x:c>
    </x:row>
    <x:row r="2868">
      <x:c r="A2868" t="str">
        <x:v>86fd0f3b-06a0-4a59-8019-4129e8064eb0</x:v>
      </x:c>
      <x:c r="B2868" t="str">
        <x:v>0705edfa-8f6d-4674-a5dd-cda5db4656a0</x:v>
      </x:c>
      <x:c r="C2868" s="9" t="str">
        <x:v>Secretary of State for Communities and Local Government v Allen &amp; Anor [2016] EWCA Civ 767 (Court of Appeal, Civil Division)</x:v>
      </x:c>
      <x:c r="D2868" s="9" t="str"/>
      <x:c r="E2868" s="9" t="str"/>
      <x:c r="F2868" s="13" t="str">
        <x:v>2016</x:v>
      </x:c>
      <x:c r="G2868" s="9" t="str">
        <x:v>England and Wales Court of Appeal (Civil Division)</x:v>
      </x:c>
      <x:c r="H2868" s="9" t="str">
        <x:v>Court of Appeal (Civil Division)</x:v>
      </x:c>
      <x:c r="I2868" s="9" t="str">
        <x:v>England and Wales</x:v>
      </x:c>
      <x:c r="J2868" s="9" t="str">
        <x:v>Administrative Law – Planning</x:v>
      </x:c>
      <x:c r="K2868" s="9" t="str">
        <x:v>-ew-cases-EWCA-Civ-2016-767.xml</x:v>
      </x:c>
      <x:c r="L2868" s="9" t="str">
        <x:v>TBA</x:v>
      </x:c>
    </x:row>
    <x:row r="2869">
      <x:c r="A2869" t="str">
        <x:v>3b288b56-9803-4418-8cae-c30230968057</x:v>
      </x:c>
      <x:c r="B2869" t="str">
        <x:v>2a43924e-024a-4989-9c98-b5bdf65296d1</x:v>
      </x:c>
      <x:c r="C2869" s="9" t="str">
        <x:v>Secretary of State for Communities and Local Government v BDW Trading Ltd (t/a David Wilson Homes (Central, Mercia and West Midlands)) [2016] EWCA Civ 493 (27 May 2016); [2017] PTSR 1337</x:v>
      </x:c>
      <x:c r="D2869" s="9" t="str"/>
      <x:c r="E2869" s="9" t="str"/>
      <x:c r="F2869" s="13" t="str">
        <x:v>2016</x:v>
      </x:c>
      <x:c r="G2869" s="9" t="str">
        <x:v>England and Wales Court of Appeal (Civil Division)</x:v>
      </x:c>
      <x:c r="H2869" s="9" t="str">
        <x:v>Court of Appeal (Civil Division)</x:v>
      </x:c>
      <x:c r="I2869" s="9" t="str">
        <x:v>England and Wales</x:v>
      </x:c>
      <x:c r="J2869" s="9" t="str">
        <x:v>Planning Law / Administrative Law</x:v>
      </x:c>
      <x:c r="K2869" s="9" t="str">
        <x:v>-ew-cases-EWCA-Civ-2016-493.xml</x:v>
      </x:c>
      <x:c r="L2869" s="9" t="str">
        <x:v>TBA</x:v>
      </x:c>
    </x:row>
    <x:row r="2870">
      <x:c r="A2870" t="str">
        <x:v>cd375741-52fd-4719-bb94-71c0ddc0f53b</x:v>
      </x:c>
      <x:c r="B2870" t="str">
        <x:v>d8ef5edb-61a0-4b29-b510-5fe53f814e53</x:v>
      </x:c>
      <x:c r="C2870" s="9" t="str">
        <x:v>Secretary of State for Communities and Local Government v Hopkins Developments Ltd</x:v>
      </x:c>
      <x:c r="D2870" s="9" t="str"/>
      <x:c r="E2870" s="9" t="str"/>
      <x:c r="F2870" s="13" t="str">
        <x:v>2014</x:v>
      </x:c>
      <x:c r="G2870" s="9" t="str">
        <x:v>England and Wales Court of Appeal (Civil Division)</x:v>
      </x:c>
      <x:c r="H2870" s="9" t="str">
        <x:v>Appellate</x:v>
      </x:c>
      <x:c r="I2870" s="9" t="str">
        <x:v>England and Wales</x:v>
      </x:c>
      <x:c r="J2870" s="9" t="str">
        <x:v>Administrative Law</x:v>
      </x:c>
      <x:c r="K2870" s="9" t="str">
        <x:v>-ew-cases-EWCA-Civ-2014-470.xml</x:v>
      </x:c>
      <x:c r="L2870" s="9" t="str">
        <x:v>TBA</x:v>
      </x:c>
    </x:row>
    <x:row r="2871">
      <x:c r="A2871" t="str">
        <x:v>adc63d2e-b344-4655-a49c-7589f05add71</x:v>
      </x:c>
      <x:c r="B2871" t="str">
        <x:v>168de16c-935d-43d1-b3f9-4b58a7969df5</x:v>
      </x:c>
      <x:c r="C2871" s="9" t="str">
        <x:v>Secretary of State for Communities and Local Government v Ioannou [2014] EWCA Civ 1432</x:v>
      </x:c>
      <x:c r="D2871" s="9" t="str"/>
      <x:c r="E2871" s="9" t="str"/>
      <x:c r="F2871" s="13" t="str">
        <x:v>2014</x:v>
      </x:c>
      <x:c r="G2871" s="9" t="str">
        <x:v>England and Wales Court of Appeal (Civil Division)</x:v>
      </x:c>
      <x:c r="H2871" s="9" t="str">
        <x:v>Appeal Court</x:v>
      </x:c>
      <x:c r="I2871" s="9" t="str">
        <x:v>UK</x:v>
      </x:c>
      <x:c r="J2871" s="9" t="str">
        <x:v>Administrative Law</x:v>
      </x:c>
      <x:c r="K2871" s="9" t="str">
        <x:v>-ew-cases-EWCA-Civ-2014-1432.xml</x:v>
      </x:c>
      <x:c r="L2871" s="9" t="str">
        <x:v>TBA</x:v>
      </x:c>
    </x:row>
    <x:row r="2872">
      <x:c r="A2872" t="str">
        <x:v>83999d91-9898-4f5d-a487-d4901df2a4d6</x:v>
      </x:c>
      <x:c r="B2872" t="str">
        <x:v>c9dfbe00-0e49-4806-a923-b145247d1a0f</x:v>
      </x:c>
      <x:c r="C2872" s="9" t="str">
        <x:v>Secretary of State for Communities and Local Government v South Gloucestershire Council &amp; Anor [2016] EWCA Civ 74</x:v>
      </x:c>
      <x:c r="D2872" s="9" t="str"/>
      <x:c r="E2872" s="9" t="str"/>
      <x:c r="F2872" s="13" t="str">
        <x:v>2016</x:v>
      </x:c>
      <x:c r="G2872" s="9" t="str">
        <x:v>England and Wales Court of Appeal (Civil Division)</x:v>
      </x:c>
      <x:c r="H2872" s="9" t="str">
        <x:v>Court of Appeal (Civil Division)</x:v>
      </x:c>
      <x:c r="I2872" s="9" t="str">
        <x:v>England and Wales</x:v>
      </x:c>
      <x:c r="J2872" s="9" t="str">
        <x:v>Planning/Administrative Law</x:v>
      </x:c>
      <x:c r="K2872" s="9" t="str">
        <x:v>-ew-cases-EWCA-Civ-2016-74.xml</x:v>
      </x:c>
      <x:c r="L2872" s="9" t="str">
        <x:v>TBA</x:v>
      </x:c>
    </x:row>
    <x:row r="2873">
      <x:c r="A2873" t="str">
        <x:v>3441e0f5-cc96-47a7-bd1f-6deedae21709</x:v>
      </x:c>
      <x:c r="B2873" t="str">
        <x:v>beff2d5f-922f-42e5-9aaa-8b70d7179f71</x:v>
      </x:c>
      <x:c r="C2873" s="9" t="str">
        <x:v>Secretary of State for Communities and Local Government v West Berkshire District Council &amp; Anor [2016] EWCA Civ 441 (11 May 2016)</x:v>
      </x:c>
      <x:c r="D2873" s="9" t="str"/>
      <x:c r="E2873" s="9" t="str"/>
      <x:c r="F2873" s="13" t="str">
        <x:v>2016</x:v>
      </x:c>
      <x:c r="G2873" s="9" t="str">
        <x:v>England and Wales Court of Appeal (Civil Division)</x:v>
      </x:c>
      <x:c r="H2873" s="9" t="str">
        <x:v>Court of Appeal (Civil Division)</x:v>
      </x:c>
      <x:c r="I2873" s="9" t="str">
        <x:v>England and Wales</x:v>
      </x:c>
      <x:c r="J2873" s="9" t="str">
        <x:v>Planning Law / Administrative Law (Judicial Review)</x:v>
      </x:c>
      <x:c r="K2873" s="9" t="str">
        <x:v>-ew-cases-EWCA-Civ-2016-441.xml</x:v>
      </x:c>
      <x:c r="L2873" s="9" t="str">
        <x:v>TBA</x:v>
      </x:c>
    </x:row>
    <x:row r="2874">
      <x:c r="A2874" t="str">
        <x:v>51017542-d298-4a00-9335-5d9f99d5ad30</x:v>
      </x:c>
      <x:c r="B2874" t="str">
        <x:v>ea70547d-214b-4fbb-b791-ab4ba2840cb8</x:v>
      </x:c>
      <x:c r="C2874" s="9" t="str">
        <x:v>Secretary of State for Culture, Media And Sport v BT Pension Scheme Trustees Ltd &amp; Anor</x:v>
      </x:c>
      <x:c r="D2874" s="9" t="str"/>
      <x:c r="E2874" s="9" t="str"/>
      <x:c r="F2874" s="13" t="str">
        <x:v>2014</x:v>
      </x:c>
      <x:c r="G2874" s="9" t="str">
        <x:v>England and Wales Court of Appeal (Civil Division)</x:v>
      </x:c>
      <x:c r="H2874" s="9" t="str">
        <x:v>Appellate</x:v>
      </x:c>
      <x:c r="I2874" s="9" t="str">
        <x:v>England and Wales</x:v>
      </x:c>
      <x:c r="J2874" s="9" t="str">
        <x:v>Administrative Law</x:v>
      </x:c>
      <x:c r="K2874" s="9" t="str">
        <x:v>-ew-cases-EWCA-Civ-2014-958.xml</x:v>
      </x:c>
      <x:c r="L2874" s="9" t="str">
        <x:v>TBA</x:v>
      </x:c>
    </x:row>
    <x:row r="2875">
      <x:c r="A2875" t="str">
        <x:v>a0fec9f6-01d3-4890-9d72-fbc564d06a49</x:v>
      </x:c>
      <x:c r="B2875" t="str">
        <x:v>91b279c8-93c4-4170-9491-70368396983f</x:v>
      </x:c>
      <x:c r="C2875" s="9" t="str">
        <x:v>Secretary of State for Justice v A Local Authority &amp; Ors (Rev2) [2021] EWCA Civ 1527</x:v>
      </x:c>
      <x:c r="D2875" s="9" t="str"/>
      <x:c r="E2875" s="9" t="str"/>
      <x:c r="F2875" s="13" t="str">
        <x:v>2021</x:v>
      </x:c>
      <x:c r="G2875" s="9" t="str">
        <x:v>England and Wales Court of Appeal (Civil Division)</x:v>
      </x:c>
      <x:c r="H2875" s="9" t="str">
        <x:v>Appellate</x:v>
      </x:c>
      <x:c r="I2875" s="9" t="str">
        <x:v>England and Wales</x:v>
      </x:c>
      <x:c r="J2875" s="9" t="str">
        <x:v>Criminal Law</x:v>
      </x:c>
      <x:c r="K2875" s="9" t="str">
        <x:v>ew-cases-EWCA-Civ-2021-1527.xml</x:v>
      </x:c>
      <x:c r="L2875" s="9" t="str">
        <x:v>TBA</x:v>
      </x:c>
    </x:row>
    <x:row r="2876">
      <x:c r="A2876" t="str">
        <x:v>a32f666a-257d-4571-8831-151cdeb9fed3</x:v>
      </x:c>
      <x:c r="B2876" t="str">
        <x:v>9289473a-6889-4929-925d-2d6d66b75e86</x:v>
      </x:c>
      <x:c r="C2876" s="9" t="str">
        <x:v>Secretary of State for Justice v Black [2016] EWCA Civ 125</x:v>
      </x:c>
      <x:c r="D2876" s="9" t="str"/>
      <x:c r="E2876" s="9" t="str"/>
      <x:c r="F2876" s="13" t="str">
        <x:v>2016</x:v>
      </x:c>
      <x:c r="G2876" s="9" t="str">
        <x:v>England and Wales Court of Appeal (Civil Division)</x:v>
      </x:c>
      <x:c r="H2876" s="9" t="str">
        <x:v>Court of Appeal (Civil Division)</x:v>
      </x:c>
      <x:c r="I2876" s="9" t="str">
        <x:v>England and Wales</x:v>
      </x:c>
      <x:c r="J2876" s="9" t="str">
        <x:v>Public/Administrative Law</x:v>
      </x:c>
      <x:c r="K2876" s="9" t="str">
        <x:v>-ew-cases-EWCA-Civ-2016-125.xml</x:v>
      </x:c>
      <x:c r="L2876" s="9" t="str">
        <x:v>TBA</x:v>
      </x:c>
    </x:row>
    <x:row r="2877">
      <x:c r="A2877" t="str">
        <x:v>b81942d7-8aae-4fd7-963a-c6556151cc7e</x:v>
      </x:c>
      <x:c r="B2877" t="str">
        <x:v>f2cc3790-6693-4c61-b9d2-5a1c2ed5be42</x:v>
      </x:c>
      <x:c r="C2877" s="9" t="str">
        <x:v>Secretary of State for Justice v Staffordshire County Council &amp; Ors (Rev 1) [2016] EWCA Civ 1317</x:v>
      </x:c>
      <x:c r="D2877" s="9" t="str"/>
      <x:c r="E2877" s="9" t="str"/>
      <x:c r="F2877" s="13" t="str">
        <x:v>2016</x:v>
      </x:c>
      <x:c r="G2877" s="9" t="str">
        <x:v>England and Wales Court of Appeal (Civil Division)</x:v>
      </x:c>
      <x:c r="H2877" s="9" t="str">
        <x:v>Court of Appeal (Civil Division)</x:v>
      </x:c>
      <x:c r="I2877" s="9" t="str">
        <x:v>England and Wales</x:v>
      </x:c>
      <x:c r="J2877" s="9" t="str">
        <x:v>Human Rights / Mental Capacity / Deprivation of Liberty</x:v>
      </x:c>
      <x:c r="K2877" s="9" t="str">
        <x:v>-ew-cases-EWCA-Civ-2016-1317.xml</x:v>
      </x:c>
      <x:c r="L2877" s="9" t="str">
        <x:v>TBA</x:v>
      </x:c>
    </x:row>
    <x:row r="2878">
      <x:c r="A2878" t="str">
        <x:v>c1dd686f-990f-4760-9198-66b3b738376b</x:v>
      </x:c>
      <x:c r="B2878" t="str">
        <x:v>419e6b34-408a-4082-a957-00fb1a643683</x:v>
      </x:c>
      <x:c r="C2878" s="9" t="str">
        <x:v>Secretary of State for Justice v Windle &amp; Arada [2016] EWCA Civ 459</x:v>
      </x:c>
      <x:c r="D2878" s="9" t="str"/>
      <x:c r="E2878" s="9" t="str"/>
      <x:c r="F2878" s="13" t="str">
        <x:v>2016</x:v>
      </x:c>
      <x:c r="G2878" s="9" t="str">
        <x:v>England and Wales Court of Appeal (Civil Division)</x:v>
      </x:c>
      <x:c r="H2878" s="9" t="str">
        <x:v>Court of Appeal (Civil Division)</x:v>
      </x:c>
      <x:c r="I2878" s="9" t="str">
        <x:v>England and Wales</x:v>
      </x:c>
      <x:c r="J2878" s="9" t="str">
        <x:v>Employment Law / Discrimination</x:v>
      </x:c>
      <x:c r="K2878" s="9" t="str">
        <x:v>-ew-cases-EWCA-Civ-2016-459.xml</x:v>
      </x:c>
      <x:c r="L2878" s="9" t="str">
        <x:v>TBA</x:v>
      </x:c>
    </x:row>
    <x:row r="2879">
      <x:c r="A2879" t="str">
        <x:v>eb82815f-8c1d-4675-9c9d-d5dd621046c1</x:v>
      </x:c>
      <x:c r="B2879" t="str">
        <x:v>7f44d9a8-2459-4f6a-84fc-e475bb8f169a</x:v>
      </x:c>
      <x:c r="C2879" s="9" t="str">
        <x:v>Secretary of State for Levelling Up, Housing and Communities v Smith &amp; Anor [2023] EWCA Civ 514</x:v>
      </x:c>
      <x:c r="D2879" s="9" t="str"/>
      <x:c r="E2879" s="9" t="str"/>
      <x:c r="F2879" s="13" t="str">
        <x:v>2023</x:v>
      </x:c>
      <x:c r="G2879" s="9" t="str">
        <x:v>England and Wales Court of Appeal (Civil Division)</x:v>
      </x:c>
      <x:c r="H2879" s="9" t="str">
        <x:v>Court of Appeal (Civil Division)</x:v>
      </x:c>
      <x:c r="I2879" s="9" t="str">
        <x:v>England and Wales</x:v>
      </x:c>
      <x:c r="J2879" s="9" t="str">
        <x:v>Administrative Law / Planning Law</x:v>
      </x:c>
      <x:c r="K2879" s="9" t="str">
        <x:v>ew-cases-EWCA-Civ-2023-514.xml</x:v>
      </x:c>
      <x:c r="L2879" s="9" t="str">
        <x:v>TBA</x:v>
      </x:c>
    </x:row>
    <x:row r="2880">
      <x:c r="A2880" t="str">
        <x:v>d478ae09-1348-403d-b5f0-c4faec68122a</x:v>
      </x:c>
      <x:c r="B2880" t="str">
        <x:v>2d88bb62-9b26-42d4-b88b-6430de264f17</x:v>
      </x:c>
      <x:c r="C2880" s="9" t="str">
        <x:v>Secretary of State for the Department of Energy And Climate Change v. Jones &amp; Ors</x:v>
      </x:c>
      <x:c r="D2880" s="9" t="str"/>
      <x:c r="E2880" s="9" t="str"/>
      <x:c r="F2880" s="13" t="str">
        <x:v>2014</x:v>
      </x:c>
      <x:c r="G2880" s="9" t="str">
        <x:v>England and Wales Court of Appeal (Civil Division)</x:v>
      </x:c>
      <x:c r="H2880" s="9" t="str">
        <x:v>Appellate</x:v>
      </x:c>
      <x:c r="I2880" s="9" t="str">
        <x:v>England and Wales</x:v>
      </x:c>
      <x:c r="J2880" s="9" t="str">
        <x:v>Civil Litigation</x:v>
      </x:c>
      <x:c r="K2880" s="9" t="str">
        <x:v>-ew-cases-EWCA-Civ-2014-363.xml</x:v>
      </x:c>
      <x:c r="L2880" s="9" t="str">
        <x:v>TBA</x:v>
      </x:c>
    </x:row>
    <x:row r="2881">
      <x:c r="A2881" t="str">
        <x:v>ffa161fc-cf70-47f2-a482-c8e735d6ba00</x:v>
      </x:c>
      <x:c r="B2881" t="str">
        <x:v>e85f8f0d-68e4-4173-a6de-29019865c57e</x:v>
      </x:c>
      <x:c r="C2881" s="9" t="str">
        <x:v>Secretary of State for the Home Department v Abbas</x:v>
      </x:c>
      <x:c r="D2881" s="9" t="str"/>
      <x:c r="E2881" s="9" t="str"/>
      <x:c r="F2881" s="13" t="str">
        <x:v>2017</x:v>
      </x:c>
      <x:c r="G2881" s="9" t="str">
        <x:v>England and Wales Court of Appeal (Civil Division)</x:v>
      </x:c>
      <x:c r="H2881" s="9" t="str">
        <x:v>Appellate</x:v>
      </x:c>
      <x:c r="I2881" s="9" t="str">
        <x:v>England and Wales</x:v>
      </x:c>
      <x:c r="J2881" s="9" t="str">
        <x:v>Immigration Law</x:v>
      </x:c>
      <x:c r="K2881" s="9" t="str">
        <x:v>-ew-cases-EWCA-Civ-2017-1393.xml</x:v>
      </x:c>
      <x:c r="L2881" s="9" t="str">
        <x:v>TBA</x:v>
      </x:c>
    </x:row>
    <x:row r="2882">
      <x:c r="A2882" t="str">
        <x:v>f6006743-fdaf-4703-91ed-1dfaea82e0ca</x:v>
      </x:c>
      <x:c r="B2882" t="str">
        <x:v>e07439fe-6e6f-4665-84fb-73eff697cc9a</x:v>
      </x:c>
      <x:c r="C2882" s="9" t="str">
        <x:v>Secretary of State for the Home Department v AM (The Queen on the application of) AM [2022] EWCA Civ 780</x:v>
      </x:c>
      <x:c r="D2882" s="9" t="str"/>
      <x:c r="E2882" s="9" t="str"/>
      <x:c r="F2882" s="13" t="str">
        <x:v>2022</x:v>
      </x:c>
      <x:c r="G2882" s="9" t="str">
        <x:v>England and Wales Court of Appeal (Civil Division)</x:v>
      </x:c>
      <x:c r="H2882" s="9" t="str">
        <x:v>Court of Appeal (Civil Division)</x:v>
      </x:c>
      <x:c r="I2882" s="9" t="str">
        <x:v>England and Wales</x:v>
      </x:c>
      <x:c r="J2882" s="9" t="str">
        <x:v>Immigration and Human Rights</x:v>
      </x:c>
      <x:c r="K2882" s="9" t="str">
        <x:v>ew-cases-EWCA-Civ-2022-780.xml</x:v>
      </x:c>
      <x:c r="L2882" s="9" t="str">
        <x:v>TBA</x:v>
      </x:c>
    </x:row>
    <x:row r="2883">
      <x:c r="A2883" t="str">
        <x:v>47a26206-a5ad-4447-983b-11992098ef13</x:v>
      </x:c>
      <x:c r="B2883" t="str">
        <x:v>1878f956-5221-4394-ab9f-c1746933d5d2</x:v>
      </x:c>
      <x:c r="C2883" s="9" t="str">
        <x:v>Secretary of State for the Home Department v AQ (Nigeria) &amp; Ors [2015] EWCA Civ 250</x:v>
      </x:c>
      <x:c r="D2883" s="9" t="str"/>
      <x:c r="E2883" s="9" t="str"/>
      <x:c r="F2883" s="13" t="str">
        <x:v>2015</x:v>
      </x:c>
      <x:c r="G2883" s="9" t="str">
        <x:v>England and Wales Court of Appeal (Civil Division)</x:v>
      </x:c>
      <x:c r="H2883" s="9" t="str">
        <x:v>Appellate Level</x:v>
      </x:c>
      <x:c r="I2883" s="9" t="str">
        <x:v>England and Wales</x:v>
      </x:c>
      <x:c r="J2883" s="9" t="str">
        <x:v>Immigration and Deportation</x:v>
      </x:c>
      <x:c r="K2883" s="9" t="str">
        <x:v>-ew-cases-EWCA-Civ-2015-250.xml</x:v>
      </x:c>
      <x:c r="L2883" s="9" t="str">
        <x:v>TBA</x:v>
      </x:c>
    </x:row>
    <x:row r="2884">
      <x:c r="A2884" t="str">
        <x:v>06f86952-2e20-4bc1-9aea-cfa85d0e0ab2</x:v>
      </x:c>
      <x:c r="B2884" t="str">
        <x:v>6e8e988c-074c-4ab1-9e37-5c84673b441b</x:v>
      </x:c>
      <x:c r="C2884" s="9" t="str">
        <x:v>Secretary of State for the Home Department v Cox &amp; Ors [2023] EWCA Civ 551 (19 May 2023)</x:v>
      </x:c>
      <x:c r="D2884" s="9" t="str"/>
      <x:c r="E2884" s="9" t="str"/>
      <x:c r="F2884" s="13" t="str">
        <x:v>2023</x:v>
      </x:c>
      <x:c r="G2884" s="9" t="str">
        <x:v>England and Wales Court of Appeal (Civil Division)</x:v>
      </x:c>
      <x:c r="H2884" s="9" t="str">
        <x:v>Court of Appeal (Civil Division)</x:v>
      </x:c>
      <x:c r="I2884" s="9" t="str">
        <x:v>England and Wales</x:v>
      </x:c>
      <x:c r="J2884" s="9" t="str">
        <x:v>Contract and Employment Law; Third-Party Rights; Statutory Interpretation</x:v>
      </x:c>
      <x:c r="K2884" s="9" t="str">
        <x:v>ew-cases-EWCA-Civ-2023-551.xml</x:v>
      </x:c>
      <x:c r="L2884" s="9" t="str">
        <x:v>TBA</x:v>
      </x:c>
    </x:row>
    <x:row r="2885">
      <x:c r="A2885" t="str">
        <x:v>18449e32-0ea1-4572-9a87-c26bc33ec781</x:v>
      </x:c>
      <x:c r="B2885" t="str">
        <x:v>090017b3-4037-46f2-99e2-5e9865ca4134</x:v>
      </x:c>
      <x:c r="C2885" s="9" t="str">
        <x:v>Secretary of State for the Home Department v Davis MP &amp; Ors</x:v>
      </x:c>
      <x:c r="D2885" s="9" t="str"/>
      <x:c r="E2885" s="9" t="str"/>
      <x:c r="F2885" s="13" t="str">
        <x:v>2015</x:v>
      </x:c>
      <x:c r="G2885" s="9" t="str">
        <x:v>England and Wales Court of Appeal (Civil Division)</x:v>
      </x:c>
      <x:c r="H2885" s="9" t="str">
        <x:v>Appellate</x:v>
      </x:c>
      <x:c r="I2885" s="9" t="str">
        <x:v>England</x:v>
      </x:c>
      <x:c r="J2885" s="9" t="str">
        <x:v>Administrative Law</x:v>
      </x:c>
      <x:c r="K2885" s="9" t="str">
        <x:v>-ew-cases-EWCA-Civ-2015-1185.xml</x:v>
      </x:c>
      <x:c r="L2885" s="9" t="str">
        <x:v>TBA</x:v>
      </x:c>
    </x:row>
    <x:row r="2886">
      <x:c r="A2886" t="str">
        <x:v>ba7fc36e-af00-4651-997d-9c7267d771d2</x:v>
      </x:c>
      <x:c r="B2886" t="str">
        <x:v>b0a06b60-a1f2-466f-b40b-2e41434f3b06</x:v>
      </x:c>
      <x:c r="C2886" s="9" t="str">
        <x:v>Secretary of State for the Home Department v Dumliauskas &amp; Ors [2015] EWCA Civ 145</x:v>
      </x:c>
      <x:c r="D2886" s="9" t="str"/>
      <x:c r="E2886" s="9" t="str"/>
      <x:c r="F2886" s="13" t="str">
        <x:v>2015</x:v>
      </x:c>
      <x:c r="G2886" s="9" t="str">
        <x:v>England and Wales Court of Appeal (Civil Division)</x:v>
      </x:c>
      <x:c r="H2886" s="9" t="str">
        <x:v>Appellate</x:v>
      </x:c>
      <x:c r="I2886" s="9" t="str">
        <x:v>England and Wales</x:v>
      </x:c>
      <x:c r="J2886" s="9" t="str">
        <x:v>Immigration Deportation Appeal</x:v>
      </x:c>
      <x:c r="K2886" s="9" t="str">
        <x:v>-ew-cases-EWCA-Civ-2015-145.xml</x:v>
      </x:c>
      <x:c r="L2886" s="9" t="str">
        <x:v>TBA</x:v>
      </x:c>
    </x:row>
    <x:row r="2887">
      <x:c r="A2887" t="str">
        <x:v>c0e940e2-fc0b-4a98-9cb7-e8c0237008f9</x:v>
      </x:c>
      <x:c r="B2887" t="str">
        <x:v>707f3728-c595-4a8f-bdcd-1425299676ed</x:v>
      </x:c>
      <x:c r="C2887" s="9" t="str">
        <x:v>Secretary of State for the Home Department v FWF &amp; Anor, R (On the Application Of)</x:v>
      </x:c>
      <x:c r="D2887" s="9" t="str"/>
      <x:c r="E2887" s="9" t="str"/>
      <x:c r="F2887" s="13" t="str">
        <x:v>2021</x:v>
      </x:c>
      <x:c r="G2887" s="9" t="str">
        <x:v>England and Wales Court of Appeal (Civil Division)</x:v>
      </x:c>
      <x:c r="H2887" s="9" t="str">
        <x:v>Appellate</x:v>
      </x:c>
      <x:c r="I2887" s="9" t="str">
        <x:v>England and Wales</x:v>
      </x:c>
      <x:c r="J2887" s="9" t="str">
        <x:v>Administrative Law</x:v>
      </x:c>
      <x:c r="K2887" s="9" t="str">
        <x:v>ew-cases-EWCA-Civ-2021-88.xml</x:v>
      </x:c>
      <x:c r="L2887" s="9" t="str">
        <x:v>TBA</x:v>
      </x:c>
    </x:row>
    <x:row r="2888">
      <x:c r="A2888" t="str">
        <x:v>9a7af7bb-2d43-4d7b-aa2c-aa29d21d9009</x:v>
      </x:c>
      <x:c r="B2888" t="str">
        <x:v>3ca5133c-325c-4da2-9986-c712f76df3ff</x:v>
      </x:c>
      <x:c r="C2888" s="9" t="str">
        <x:v>Secretary of State for the Home Department v FY (Somalia) [2017] EWCA Civ 1853</x:v>
      </x:c>
      <x:c r="D2888" s="9" t="str"/>
      <x:c r="E2888" s="9" t="str"/>
      <x:c r="F2888" s="13" t="str">
        <x:v>2017</x:v>
      </x:c>
      <x:c r="G2888" s="9" t="str">
        <x:v>England and Wales Court of Appeal (Civil Division)</x:v>
      </x:c>
      <x:c r="H2888" s="9" t="str">
        <x:v>Appellate</x:v>
      </x:c>
      <x:c r="I2888" s="9" t="str">
        <x:v>England and Wales</x:v>
      </x:c>
      <x:c r="J2888" s="9" t="str">
        <x:v>Immigration Law</x:v>
      </x:c>
      <x:c r="K2888" s="9" t="str">
        <x:v>-ew-cases-EWCA-Civ-2017-1853.xml</x:v>
      </x:c>
      <x:c r="L2888" s="9" t="str">
        <x:v>TBA</x:v>
      </x:c>
    </x:row>
    <x:row r="2889">
      <x:c r="A2889" t="str">
        <x:v>545c9497-8a42-462c-bdbf-00e0ccd644f5</x:v>
      </x:c>
      <x:c r="B2889" t="str">
        <x:v>2a258a6a-297d-497d-b114-9acc23b100b6</x:v>
      </x:c>
      <x:c r="C2889" s="9" t="str">
        <x:v>Secretary of State for the Home Department v GA &amp; Ors</x:v>
      </x:c>
      <x:c r="D2889" s="9" t="str"/>
      <x:c r="E2889" s="9" t="str"/>
      <x:c r="F2889" s="13" t="str">
        <x:v>2021</x:v>
      </x:c>
      <x:c r="G2889" s="9" t="str">
        <x:v>England and Wales Court of Appeal (Civil Division)</x:v>
      </x:c>
      <x:c r="H2889" s="9" t="str">
        <x:v>Appellate</x:v>
      </x:c>
      <x:c r="I2889" s="9" t="str">
        <x:v>England and Wales</x:v>
      </x:c>
      <x:c r="J2889" s="9" t="str">
        <x:v>Administrative Law</x:v>
      </x:c>
      <x:c r="K2889" s="9" t="str">
        <x:v>ew-cases-EWCA-Civ-2021-1131.xml</x:v>
      </x:c>
      <x:c r="L2889" s="9" t="str">
        <x:v>TBA</x:v>
      </x:c>
    </x:row>
    <x:row r="2890">
      <x:c r="A2890" t="str">
        <x:v>eff02294-f48b-4cca-95d4-8e55bff33ef4</x:v>
      </x:c>
      <x:c r="B2890" t="str">
        <x:v>3b78cdf1-dea1-4dd1-90d3-cd2f5fbba038</x:v>
      </x:c>
      <x:c r="C2890" s="9" t="str">
        <x:v>Secretary of State for the Home Department v Gaviria-Manrique [2016] EWCA Civ 159 (17 March 2016)</x:v>
      </x:c>
      <x:c r="D2890" s="9" t="str"/>
      <x:c r="E2890" s="9" t="str"/>
      <x:c r="F2890" s="13" t="str">
        <x:v>2016</x:v>
      </x:c>
      <x:c r="G2890" s="9" t="str">
        <x:v>England and Wales Court of Appeal (Civil Division)</x:v>
      </x:c>
      <x:c r="H2890" s="9" t="str">
        <x:v>Court of Appeal (Civil Division)</x:v>
      </x:c>
      <x:c r="I2890" s="9" t="str">
        <x:v>England and Wales</x:v>
      </x:c>
      <x:c r="J2890" s="9" t="str">
        <x:v>Public Law / Immigration Detention</x:v>
      </x:c>
      <x:c r="K2890" s="9" t="str">
        <x:v>-ew-cases-EWCA-Civ-2016-159.xml</x:v>
      </x:c>
      <x:c r="L2890" s="9" t="str">
        <x:v>TBA</x:v>
      </x:c>
    </x:row>
    <x:row r="2891">
      <x:c r="A2891" t="str">
        <x:v>6bd96503-67e4-4feb-9430-b8fb9d7f1454</x:v>
      </x:c>
      <x:c r="B2891" t="str">
        <x:v>6f792d7a-8b1e-43f6-bb6d-860b79e1e55d</x:v>
      </x:c>
      <x:c r="C2891" s="9" t="str">
        <x:v>Secretary of State for the Home Department v GD (Ghana)</x:v>
      </x:c>
      <x:c r="D2891" s="9" t="str"/>
      <x:c r="E2891" s="9" t="str"/>
      <x:c r="F2891" s="13" t="str">
        <x:v>2017</x:v>
      </x:c>
      <x:c r="G2891" s="9" t="str">
        <x:v>England and Wales Court of Appeal (Civil Division)</x:v>
      </x:c>
      <x:c r="H2891" s="9" t="str">
        <x:v>Appellate</x:v>
      </x:c>
      <x:c r="I2891" s="9" t="str">
        <x:v>England and Wales</x:v>
      </x:c>
      <x:c r="J2891" s="9" t="str">
        <x:v>Immigration and Asylum</x:v>
      </x:c>
      <x:c r="K2891" s="9" t="str">
        <x:v>-ew-cases-EWCA-Civ-2017-1126.xml</x:v>
      </x:c>
      <x:c r="L2891" s="9" t="str">
        <x:v>TBA</x:v>
      </x:c>
    </x:row>
    <x:row r="2892">
      <x:c r="A2892" t="str">
        <x:v>0c72a3c7-d260-467c-b5d0-3cf865282589</x:v>
      </x:c>
      <x:c r="B2892" t="str">
        <x:v>ea3d5fd0-3674-49ad-9c31-766c50010ba5</x:v>
      </x:c>
      <x:c r="C2892" s="9" t="str">
        <x:v>Secretary of State for the Home Department v Ize-Iyamu [2016] EWCA Civ 118</x:v>
      </x:c>
      <x:c r="D2892" s="9" t="str"/>
      <x:c r="E2892" s="9" t="str"/>
      <x:c r="F2892" s="13" t="str">
        <x:v>2016</x:v>
      </x:c>
      <x:c r="G2892" s="9" t="str">
        <x:v>England and Wales Court of Appeal (Civil Division)</x:v>
      </x:c>
      <x:c r="H2892" s="9" t="str">
        <x:v>Court of Appeal (Civil Division)</x:v>
      </x:c>
      <x:c r="I2892" s="9" t="str">
        <x:v>England and Wales</x:v>
      </x:c>
      <x:c r="J2892" s="9" t="str">
        <x:v>Immigration Law</x:v>
      </x:c>
      <x:c r="K2892" s="9" t="str">
        <x:v>-ew-cases-EWCA-Civ-2016-118.xml</x:v>
      </x:c>
      <x:c r="L2892" s="9" t="str">
        <x:v>TBA</x:v>
      </x:c>
    </x:row>
    <x:row r="2893">
      <x:c r="A2893" t="str">
        <x:v>e98e3873-85c6-472b-9c74-43b96ad5ff27</x:v>
      </x:c>
      <x:c r="B2893" t="str">
        <x:v>69d5c89f-38d6-44a8-918d-ea871b26d986</x:v>
      </x:c>
      <x:c r="C2893" s="9" t="str">
        <x:v>Secretary of State for the Home Department v Jobe [2016] EWCA Civ 1035</x:v>
      </x:c>
      <x:c r="D2893" s="9" t="str"/>
      <x:c r="E2893" s="9" t="str"/>
      <x:c r="F2893" s="13" t="str">
        <x:v>2016</x:v>
      </x:c>
      <x:c r="G2893" s="9" t="str">
        <x:v>England and Wales Court of Appeal (Civil Division)</x:v>
      </x:c>
      <x:c r="H2893" s="9" t="str">
        <x:v>Appellate (Court of Appeal, Civil Division)</x:v>
      </x:c>
      <x:c r="I2893" s="9" t="str">
        <x:v>England and Wales</x:v>
      </x:c>
      <x:c r="J2893" s="9" t="str">
        <x:v>Administrative Law; Immigration Detention; Deportation</x:v>
      </x:c>
      <x:c r="K2893" s="9" t="str">
        <x:v>-ew-cases-EWCA-Civ-2016-1035.xml</x:v>
      </x:c>
      <x:c r="L2893" s="9" t="str">
        <x:v>TBA</x:v>
      </x:c>
    </x:row>
    <x:row r="2894">
      <x:c r="A2894" t="str">
        <x:v>ba2549bb-4eec-48c9-b0c8-723d74e4cce3</x:v>
      </x:c>
      <x:c r="B2894" t="str">
        <x:v>228899cf-fdf3-407a-ad5b-fde90d325b7d</x:v>
      </x:c>
      <x:c r="C2894" s="9" t="str">
        <x:v>Secretary of State for the Home Department v JR (Jamaica) [2014] EWCA Civ 477</x:v>
      </x:c>
      <x:c r="D2894" s="9" t="str"/>
      <x:c r="E2894" s="9" t="str"/>
      <x:c r="F2894" s="13" t="str">
        <x:v>2014</x:v>
      </x:c>
      <x:c r="G2894" s="9" t="str">
        <x:v>England and Wales Court of Appeal (Civil Division)</x:v>
      </x:c>
      <x:c r="H2894" s="9" t="str">
        <x:v>Appellate</x:v>
      </x:c>
      <x:c r="I2894" s="9" t="str">
        <x:v>England and Wales</x:v>
      </x:c>
      <x:c r="J2894" s="9" t="str">
        <x:v>Immigration</x:v>
      </x:c>
      <x:c r="K2894" s="9" t="str">
        <x:v>-ew-cases-EWCA-Civ-2014-477.xml</x:v>
      </x:c>
      <x:c r="L2894" s="9" t="str">
        <x:v>TBA</x:v>
      </x:c>
    </x:row>
    <x:row r="2895">
      <x:c r="A2895" t="str">
        <x:v>d8a6dcff-ed34-43b0-8e81-69485d2c919a</x:v>
      </x:c>
      <x:c r="B2895" t="str">
        <x:v>76c7a281-d962-4221-969b-1774ad3277b6</x:v>
      </x:c>
      <x:c r="C2895" s="9" t="str">
        <x:v>Secretary of State for the Home Department v Kamara (2016) EWCA Civ 813</x:v>
      </x:c>
      <x:c r="D2895" s="9" t="str"/>
      <x:c r="E2895" s="9" t="str"/>
      <x:c r="F2895" s="13" t="str">
        <x:v>2016</x:v>
      </x:c>
      <x:c r="G2895" s="9" t="str">
        <x:v>England and Wales Court of Appeal (Civil Division)</x:v>
      </x:c>
      <x:c r="H2895" s="9" t="str">
        <x:v>Court of Appeal (Civil Division)</x:v>
      </x:c>
      <x:c r="I2895" s="9" t="str">
        <x:v>England and Wales</x:v>
      </x:c>
      <x:c r="J2895" s="9" t="str">
        <x:v>Immigration law / Deportation of foreign criminals</x:v>
      </x:c>
      <x:c r="K2895" s="9" t="str">
        <x:v>-ew-cases-EWCA-Civ-2016-813.xml</x:v>
      </x:c>
      <x:c r="L2895" s="9" t="str">
        <x:v>TBA</x:v>
      </x:c>
    </x:row>
    <x:row r="2896">
      <x:c r="A2896" t="str">
        <x:v>ae9685ee-9882-4ee7-97eb-6854915f6326</x:v>
      </x:c>
      <x:c r="B2896" t="str">
        <x:v>e352d481-b0d4-4544-ab08-8b098720517a</x:v>
      </x:c>
      <x:c r="C2896" s="9" t="str">
        <x:v>Secretary of State for the Home Department v KD (Jamaica) [2015] EWCA Civ 911</x:v>
      </x:c>
      <x:c r="D2896" s="9" t="str"/>
      <x:c r="E2896" s="9" t="str"/>
      <x:c r="F2896" s="13" t="str">
        <x:v>2015</x:v>
      </x:c>
      <x:c r="G2896" s="9" t="str">
        <x:v>England and Wales Court of Appeal (Civil Division)</x:v>
      </x:c>
      <x:c r="H2896" s="9" t="str">
        <x:v>appellate</x:v>
      </x:c>
      <x:c r="I2896" s="9" t="str">
        <x:v>England and Wales</x:v>
      </x:c>
      <x:c r="J2896" s="9" t="str">
        <x:v>Immigration Law</x:v>
      </x:c>
      <x:c r="K2896" s="9" t="str">
        <x:v>-ew-cases-EWCA-Civ-2015-911.xml</x:v>
      </x:c>
      <x:c r="L2896" s="9" t="str">
        <x:v>TBA</x:v>
      </x:c>
    </x:row>
    <x:row r="2897">
      <x:c r="A2897" t="str">
        <x:v>89387261-1dfd-4079-8516-214099ebf6ee</x:v>
      </x:c>
      <x:c r="B2897" t="str">
        <x:v>a1fb8d7c-c90c-443e-94d7-6ae94f1ce712</x:v>
      </x:c>
      <x:c r="C2897" s="9" t="str">
        <x:v>Secretary of State for the Home Department v Khan [2016] EWCA Civ 137</x:v>
      </x:c>
      <x:c r="D2897" s="9" t="str"/>
      <x:c r="E2897" s="9" t="str"/>
      <x:c r="F2897" s="13" t="str">
        <x:v>2016</x:v>
      </x:c>
      <x:c r="G2897" s="9" t="str">
        <x:v>England and Wales Court of Appeal (Civil Division)</x:v>
      </x:c>
      <x:c r="H2897" s="9" t="str">
        <x:v>Court of Appeal (Civil Division)</x:v>
      </x:c>
      <x:c r="I2897" s="9" t="str">
        <x:v>England and Wales</x:v>
      </x:c>
      <x:c r="J2897" s="9" t="str">
        <x:v>Immigration Law</x:v>
      </x:c>
      <x:c r="K2897" s="9" t="str">
        <x:v>-ew-cases-EWCA-Civ-2016-137.xml</x:v>
      </x:c>
      <x:c r="L2897" s="9" t="str">
        <x:v>TBA</x:v>
      </x:c>
    </x:row>
    <x:row r="2898">
      <x:c r="A2898" t="str">
        <x:v>d6f2f821-e8da-4d0b-8564-ba15434a46c4</x:v>
      </x:c>
      <x:c r="B2898" t="str">
        <x:v>3f1c9fb3-7b9f-44d2-8738-2526d957be77</x:v>
      </x:c>
      <x:c r="C2898" s="9" t="str">
        <x:v>Secretary of State for the Home Department v Lisa Smith</x:v>
      </x:c>
      <x:c r="D2898" s="9" t="str"/>
      <x:c r="E2898" s="9" t="str"/>
      <x:c r="F2898" s="13" t="str">
        <x:v>2022</x:v>
      </x:c>
      <x:c r="G2898" s="9" t="str">
        <x:v>England and Wales Court of Appeal (Civil Division)</x:v>
      </x:c>
      <x:c r="H2898" s="9" t="str">
        <x:v>Court of Appeal (Civil Division)</x:v>
      </x:c>
      <x:c r="I2898" s="9" t="str">
        <x:v>England and Wales</x:v>
      </x:c>
      <x:c r="J2898" s="9" t="str">
        <x:v>Administrative Law; Immigration Law; Human Rights; Jurisdiction</x:v>
      </x:c>
      <x:c r="K2898" s="9" t="str">
        <x:v>ew-cases-EWCA-Civ-2022-1445.xml</x:v>
      </x:c>
      <x:c r="L2898" s="9" t="str">
        <x:v>TBA</x:v>
      </x:c>
    </x:row>
    <x:row r="2899">
      <x:c r="A2899" t="str">
        <x:v>dff91d8c-efb7-4d7a-b5c5-bd12b2df164b</x:v>
      </x:c>
      <x:c r="B2899" t="str">
        <x:v>ef2a3b5f-c840-4290-9574-fe29eee1c165</x:v>
      </x:c>
      <x:c r="C2899" s="9" t="str">
        <x:v>Secretary of State for the Home Department v Lisa Smith [2023] EWCA Civ 376</x:v>
      </x:c>
      <x:c r="D2899" s="9" t="str"/>
      <x:c r="E2899" s="9" t="str"/>
      <x:c r="F2899" s="13" t="str">
        <x:v>2023</x:v>
      </x:c>
      <x:c r="G2899" s="9" t="str">
        <x:v>England and Wales Court of Appeal (Civil Division)</x:v>
      </x:c>
      <x:c r="H2899" s="9" t="str">
        <x:v>Court of Appeal (Civil Division)</x:v>
      </x:c>
      <x:c r="I2899" s="9" t="str">
        <x:v>England and Wales</x:v>
      </x:c>
      <x:c r="J2899" s="9" t="str">
        <x:v>Immigration/National Security; Administrative Law</x:v>
      </x:c>
      <x:c r="K2899" s="9" t="str">
        <x:v>ew-cases-EWCA-Civ-2023-376.xml</x:v>
      </x:c>
      <x:c r="L2899" s="9" t="str">
        <x:v>TBA</x:v>
      </x:c>
    </x:row>
    <x:row r="2900">
      <x:c r="A2900" t="str">
        <x:v>140563fe-7c0f-466b-beb8-2d08a4a4388b</x:v>
      </x:c>
      <x:c r="B2900" t="str">
        <x:v>4c40d9ac-7e38-42d9-a133-f1190e1bc564</x:v>
      </x:c>
      <x:c r="C2900" s="9" t="str">
        <x:v>Secretary of State for the Home Department v LW (Jamaica) [2016] EWCA Civ 369</x:v>
      </x:c>
      <x:c r="D2900" s="9" t="str"/>
      <x:c r="E2900" s="9" t="str"/>
      <x:c r="F2900" s="13" t="str">
        <x:v>2016</x:v>
      </x:c>
      <x:c r="G2900" s="9" t="str">
        <x:v>England and Wales Court of Appeal (Civil Division)</x:v>
      </x:c>
      <x:c r="H2900" s="9" t="str">
        <x:v>Court of Appeal (Civil Division)</x:v>
      </x:c>
      <x:c r="I2900" s="9" t="str">
        <x:v>England and Wales</x:v>
      </x:c>
      <x:c r="J2900" s="9" t="str">
        <x:v>Immigration Law / Deportation / Human Rights</x:v>
      </x:c>
      <x:c r="K2900" s="9" t="str">
        <x:v>-ew-cases-EWCA-Civ-2016-369.xml</x:v>
      </x:c>
      <x:c r="L2900" s="9" t="str">
        <x:v>TBA</x:v>
      </x:c>
    </x:row>
    <x:row r="2901">
      <x:c r="A2901" t="str">
        <x:v>9f33974c-67c7-456b-852f-eaa32afe9183</x:v>
      </x:c>
      <x:c r="B2901" t="str">
        <x:v>b94246d4-b431-4a85-b876-5b99e291eef5</x:v>
      </x:c>
      <x:c r="C2901" s="9" t="str">
        <x:v>Secretary of State for the Home Department v MA (Somalia) [2015] EWCA Civ 48</x:v>
      </x:c>
      <x:c r="D2901" s="9" t="str"/>
      <x:c r="E2901" s="9" t="str"/>
      <x:c r="F2901" s="13" t="str">
        <x:v>2015</x:v>
      </x:c>
      <x:c r="G2901" s="9" t="str">
        <x:v>England and Wales Court of Appeal (Civil Division)</x:v>
      </x:c>
      <x:c r="H2901" s="9" t="str">
        <x:v>Appellate</x:v>
      </x:c>
      <x:c r="I2901" s="9" t="str">
        <x:v>England and Wales</x:v>
      </x:c>
      <x:c r="J2901" s="9" t="str">
        <x:v>Immigration Law</x:v>
      </x:c>
      <x:c r="K2901" s="9" t="str">
        <x:v>-ew-cases-EWCA-Civ-2015-48.xml</x:v>
      </x:c>
      <x:c r="L2901" s="9" t="str">
        <x:v>TBA</x:v>
      </x:c>
    </x:row>
    <x:row r="2902">
      <x:c r="A2902" t="str">
        <x:v>41935960-1c2c-4e0f-8aaa-b2a26454d1d9</x:v>
      </x:c>
      <x:c r="B2902" t="str">
        <x:v>1137c06b-ba0e-4749-851b-72989b98a6ad</x:v>
      </x:c>
      <x:c r="C2902" s="9" t="str">
        <x:v>Secretary of State for the Home Department v Minh [2016] EWCA Civ 565</x:v>
      </x:c>
      <x:c r="D2902" s="9" t="str"/>
      <x:c r="E2902" s="9" t="str"/>
      <x:c r="F2902" s="13" t="str">
        <x:v>2016</x:v>
      </x:c>
      <x:c r="G2902" s="9" t="str">
        <x:v>England and Wales Court of Appeal (Civil Division)</x:v>
      </x:c>
      <x:c r="H2902" s="9" t="str">
        <x:v>Court of Appeal (Civil Division)</x:v>
      </x:c>
      <x:c r="I2902" s="9" t="str">
        <x:v>England and Wales</x:v>
      </x:c>
      <x:c r="J2902" s="9" t="str">
        <x:v>Public Law / Administrative Law</x:v>
      </x:c>
      <x:c r="K2902" s="9" t="str">
        <x:v>-ew-cases-EWCA-Civ-2016-565.xml</x:v>
      </x:c>
      <x:c r="L2902" s="9" t="str">
        <x:v>TBA</x:v>
      </x:c>
    </x:row>
    <x:row r="2903">
      <x:c r="A2903" t="str">
        <x:v>6b8a514b-e18b-4853-8c82-b72bdf74e976</x:v>
      </x:c>
      <x:c r="B2903" t="str">
        <x:v>d51af306-df30-422b-be6d-cd187d4332e0</x:v>
      </x:c>
      <x:c r="C2903" s="9" t="str">
        <x:v>Secretary of State for the Home Department v MSM (Somalia) &amp; Anor [2016] EWCA Civ 715</x:v>
      </x:c>
      <x:c r="D2903" s="9" t="str"/>
      <x:c r="E2903" s="9" t="str"/>
      <x:c r="F2903" s="13" t="str">
        <x:v>2016</x:v>
      </x:c>
      <x:c r="G2903" s="9" t="str">
        <x:v>England and Wales Court of Appeal (Civil Division)</x:v>
      </x:c>
      <x:c r="H2903" s="9" t="str">
        <x:v>Court of Appeal (Civil Division)</x:v>
      </x:c>
      <x:c r="I2903" s="9" t="str">
        <x:v>England and Wales</x:v>
      </x:c>
      <x:c r="J2903" s="9" t="str">
        <x:v>Immigration/Refugee Law</x:v>
      </x:c>
      <x:c r="K2903" s="9" t="str">
        <x:v>-ew-cases-EWCA-Civ-2016-715.xml</x:v>
      </x:c>
      <x:c r="L2903" s="9" t="str">
        <x:v>TBA</x:v>
      </x:c>
    </x:row>
    <x:row r="2904">
      <x:c r="A2904" t="str">
        <x:v>b1ce8d51-b2b9-4ec4-9c44-d9b9e4fe9c6c</x:v>
      </x:c>
      <x:c r="B2904" t="str">
        <x:v>d27f31ab-28e8-418e-9fa1-3de652ea0155</x:v>
      </x:c>
      <x:c r="C2904" s="9" t="str">
        <x:v>Secretary of State for the Home Department v Muhammad Shehzad and Shafiul Bashar Chowdhury [2016] EWCA Civ 615</x:v>
      </x:c>
      <x:c r="D2904" s="9" t="str"/>
      <x:c r="E2904" s="9" t="str"/>
      <x:c r="F2904" s="13" t="str">
        <x:v>2016</x:v>
      </x:c>
      <x:c r="G2904" s="9" t="str">
        <x:v>England and Wales Court of Appeal (Civil Division)</x:v>
      </x:c>
      <x:c r="H2904" s="9" t="str">
        <x:v>Court of Appeal (Civil Division)</x:v>
      </x:c>
      <x:c r="I2904" s="9" t="str">
        <x:v>England and Wales</x:v>
      </x:c>
      <x:c r="J2904" s="9" t="str">
        <x:v>Immigration Law</x:v>
      </x:c>
      <x:c r="K2904" s="9" t="str">
        <x:v>-ew-cases-EWCA-Civ-2016-615.xml</x:v>
      </x:c>
      <x:c r="L2904" s="9" t="str">
        <x:v>TBA</x:v>
      </x:c>
    </x:row>
    <x:row r="2905">
      <x:c r="A2905" t="str">
        <x:v>9db3b67e-9579-4fc2-99f6-b594060b0a48</x:v>
      </x:c>
      <x:c r="B2905" t="str">
        <x:v>ef54c014-342b-49f3-a2a5-d539f35d52c6</x:v>
      </x:c>
      <x:c r="C2905" s="9" t="str">
        <x:v>Secretary of State for the Home Department v NA (Pakistan) [2015] EWCA Civ 140</x:v>
      </x:c>
      <x:c r="D2905" s="9" t="str"/>
      <x:c r="E2905" s="9" t="str"/>
      <x:c r="F2905" s="13" t="str">
        <x:v>2015</x:v>
      </x:c>
      <x:c r="G2905" s="9" t="str">
        <x:v>England and Wales Court of Appeal (Civil Division)</x:v>
      </x:c>
      <x:c r="H2905" s="9" t="str">
        <x:v>Appellate</x:v>
      </x:c>
      <x:c r="I2905" s="9" t="str">
        <x:v>England and Wales</x:v>
      </x:c>
      <x:c r="J2905" s="9" t="str">
        <x:v>Immigration and Asylum</x:v>
      </x:c>
      <x:c r="K2905" s="9" t="str">
        <x:v>-ew-cases-EWCA-Civ-2015-140.xml</x:v>
      </x:c>
      <x:c r="L2905" s="9" t="str">
        <x:v>TBA</x:v>
      </x:c>
    </x:row>
    <x:row r="2906">
      <x:c r="A2906" t="str">
        <x:v>8238cba3-adf3-456b-bc8e-e25248e6a780</x:v>
      </x:c>
      <x:c r="B2906" t="str">
        <x:v>efc834a0-2561-445a-bbfc-6044aa5e9cf9</x:v>
      </x:c>
      <x:c r="C2906" s="9" t="str">
        <x:v>Secretary of State for the Home Department v NF</x:v>
      </x:c>
      <x:c r="D2906" s="9" t="str"/>
      <x:c r="E2906" s="9" t="str"/>
      <x:c r="F2906" s="13" t="str">
        <x:v>2021</x:v>
      </x:c>
      <x:c r="G2906" s="9" t="str">
        <x:v>England and Wales Court of Appeal (Civil Division)</x:v>
      </x:c>
      <x:c r="H2906" s="9" t="str">
        <x:v>Appellate</x:v>
      </x:c>
      <x:c r="I2906" s="9" t="str">
        <x:v>England and Wales</x:v>
      </x:c>
      <x:c r="J2906" s="9" t="str">
        <x:v>Immigration Law</x:v>
      </x:c>
      <x:c r="K2906" s="9" t="str">
        <x:v>ew-cases-EWCA-Civ-2021-17.xml</x:v>
      </x:c>
      <x:c r="L2906" s="9" t="str">
        <x:v>TBA</x:v>
      </x:c>
    </x:row>
    <x:row r="2907">
      <x:c r="A2907" t="str">
        <x:v>0eb1e1e5-3eb4-405a-8c1e-6d2cd0be2dc8</x:v>
      </x:c>
      <x:c r="B2907" t="str">
        <x:v>cd7cba15-0439-4b05-831b-13757739c7ba</x:v>
      </x:c>
      <x:c r="C2907" s="9" t="str">
        <x:v>Secretary of State for the Home Department v Ojo</x:v>
      </x:c>
      <x:c r="D2907" s="9" t="str"/>
      <x:c r="E2907" s="9" t="str"/>
      <x:c r="F2907" s="13" t="str">
        <x:v>2015</x:v>
      </x:c>
      <x:c r="G2907" s="9" t="str">
        <x:v>England and Wales Court of Appeal (Civil Division)</x:v>
      </x:c>
      <x:c r="H2907" s="9" t="str">
        <x:v>Appellate</x:v>
      </x:c>
      <x:c r="I2907" s="9" t="str">
        <x:v>England and Wales</x:v>
      </x:c>
      <x:c r="J2907" s="9" t="str">
        <x:v>Immigration Law</x:v>
      </x:c>
      <x:c r="K2907" s="9" t="str">
        <x:v>-ew-cases-EWCA-Civ-2015-1301.xml</x:v>
      </x:c>
      <x:c r="L2907" s="9" t="str">
        <x:v>TBA</x:v>
      </x:c>
    </x:row>
    <x:row r="2908">
      <x:c r="A2908" t="str">
        <x:v>3e036809-a854-447e-8176-4ab145b6ad67</x:v>
      </x:c>
      <x:c r="B2908" t="str">
        <x:v>a52d6938-7f30-4696-9eb7-05a9e783b2e8</x:v>
      </x:c>
      <x:c r="C2908" s="9" t="str">
        <x:v>Secretary of State for the Home Department v Onuorah</x:v>
      </x:c>
      <x:c r="D2908" s="9" t="str"/>
      <x:c r="E2908" s="9" t="str"/>
      <x:c r="F2908" s="13" t="str">
        <x:v>2017</x:v>
      </x:c>
      <x:c r="G2908" s="9" t="str">
        <x:v>England and Wales Court of Appeal (Civil Division)</x:v>
      </x:c>
      <x:c r="H2908" s="9" t="str">
        <x:v>Appellate</x:v>
      </x:c>
      <x:c r="I2908" s="9" t="str">
        <x:v>England and Wales</x:v>
      </x:c>
      <x:c r="J2908" s="9" t="str">
        <x:v>Immigration</x:v>
      </x:c>
      <x:c r="K2908" s="9" t="str">
        <x:v>-ew-cases-EWCA-Civ-2017-1757.xml</x:v>
      </x:c>
      <x:c r="L2908" s="9" t="str">
        <x:v>TBA</x:v>
      </x:c>
    </x:row>
    <x:row r="2909">
      <x:c r="A2909" t="str">
        <x:v>151a1a62-4b33-42ba-80e5-2fbdb54fd3ce</x:v>
      </x:c>
      <x:c r="B2909" t="str">
        <x:v>77a4c5e0-159c-4253-83ef-2b6e66222fbe</x:v>
      </x:c>
      <x:c r="C2909" s="9" t="str">
        <x:v>Secretary of State for the Home Department v Ouedrani [2021] EWCA Civ 1181</x:v>
      </x:c>
      <x:c r="D2909" s="9" t="str"/>
      <x:c r="E2909" s="9" t="str"/>
      <x:c r="F2909" s="13" t="str">
        <x:v>2021</x:v>
      </x:c>
      <x:c r="G2909" s="9" t="str">
        <x:v>England and Wales Court of Appeal (Civil Division)</x:v>
      </x:c>
      <x:c r="H2909" s="9" t="str">
        <x:v>Appellate</x:v>
      </x:c>
      <x:c r="I2909" s="9" t="str">
        <x:v>England and Wales</x:v>
      </x:c>
      <x:c r="J2909" s="9" t="str">
        <x:v>Administrative Law</x:v>
      </x:c>
      <x:c r="K2909" s="9" t="str">
        <x:v>ew-cases-EWCA-Civ-2021-1181.xml</x:v>
      </x:c>
      <x:c r="L2909" s="9" t="str">
        <x:v>TBA</x:v>
      </x:c>
    </x:row>
    <x:row r="2910">
      <x:c r="A2910" t="str">
        <x:v>5b5372ef-6d3a-416a-aa90-33a09a17cd20</x:v>
      </x:c>
      <x:c r="B2910" t="str">
        <x:v>a29f4152-c149-421f-b70e-24b6ebfa81a6</x:v>
      </x:c>
      <x:c r="C2910" s="9" t="str">
        <x:v>Secretary of State for the Home Department v P3</x:v>
      </x:c>
      <x:c r="D2910" s="9" t="str"/>
      <x:c r="E2910" s="9" t="str"/>
      <x:c r="F2910" s="13" t="str">
        <x:v>2021</x:v>
      </x:c>
      <x:c r="G2910" s="9" t="str">
        <x:v>England and Wales Court of Appeal (Civil Division)</x:v>
      </x:c>
      <x:c r="H2910" s="9" t="str">
        <x:v>Appellate</x:v>
      </x:c>
      <x:c r="I2910" s="9" t="str">
        <x:v>England and Wales</x:v>
      </x:c>
      <x:c r="J2910" s="9" t="str">
        <x:v>Immigration</x:v>
      </x:c>
      <x:c r="K2910" s="9" t="str">
        <x:v>ew-cases-EWCA-Civ-2021-1642.xml</x:v>
      </x:c>
      <x:c r="L2910" s="9" t="str">
        <x:v>TBA</x:v>
      </x:c>
    </x:row>
    <x:row r="2911">
      <x:c r="A2911" t="str">
        <x:v>b22464a6-8d41-4f29-83a6-125f9b0d763a</x:v>
      </x:c>
      <x:c r="B2911" t="str">
        <x:v>f41abfb2-c4f2-47c5-b430-933f520d4baa</x:v>
      </x:c>
      <x:c r="C2911" s="9" t="str">
        <x:v>Secretary of State for the Home Department v Patel [2022] EWCA Civ 36</x:v>
      </x:c>
      <x:c r="D2911" s="9" t="str"/>
      <x:c r="E2911" s="9" t="str"/>
      <x:c r="F2911" s="13" t="str">
        <x:v>2022</x:v>
      </x:c>
      <x:c r="G2911" s="9" t="str">
        <x:v>England and Wales Court of Appeal (Civil Division)</x:v>
      </x:c>
      <x:c r="H2911" s="9" t="str">
        <x:v>Court of Appeal (Civil Division)</x:v>
      </x:c>
      <x:c r="I2911" s="9" t="str">
        <x:v>England and Wales</x:v>
      </x:c>
      <x:c r="J2911" s="9" t="str">
        <x:v>Immigration and Administrative Law</x:v>
      </x:c>
      <x:c r="K2911" s="9" t="str">
        <x:v>ew-cases-EWCA-Civ-2022-36.xml</x:v>
      </x:c>
      <x:c r="L2911" s="9" t="str">
        <x:v>TBA</x:v>
      </x:c>
    </x:row>
    <x:row r="2912">
      <x:c r="A2912" t="str">
        <x:v>397016f0-633b-4413-a6bb-bfa26ce37272</x:v>
      </x:c>
      <x:c r="B2912" t="str">
        <x:v>282e9623-5d3b-4493-a09a-3f92f2554a44</x:v>
      </x:c>
      <x:c r="C2912" s="9" t="str">
        <x:v>Secretary of State for the Home Department v RA (Pakistan) &amp; Anor [2015] EWCA Civ 1524</x:v>
      </x:c>
      <x:c r="D2912" s="9" t="str"/>
      <x:c r="E2912" s="9" t="str"/>
      <x:c r="F2912" s="13" t="str">
        <x:v>2015</x:v>
      </x:c>
      <x:c r="G2912" s="9" t="str">
        <x:v>England and Wales Court of Appeal (Civil Division)</x:v>
      </x:c>
      <x:c r="H2912" s="9" t="str">
        <x:v>Appellate</x:v>
      </x:c>
      <x:c r="I2912" s="9" t="str">
        <x:v>England and Wales</x:v>
      </x:c>
      <x:c r="J2912" s="9" t="str">
        <x:v>Immigration Law</x:v>
      </x:c>
      <x:c r="K2912" s="9" t="str">
        <x:v>-ew-cases-EWCA-Civ-2015-1524.xml</x:v>
      </x:c>
      <x:c r="L2912" s="9" t="str">
        <x:v>TBA</x:v>
      </x:c>
    </x:row>
    <x:row r="2913">
      <x:c r="A2913" t="str">
        <x:v>6c6d760e-f51a-46f0-928f-0900302bcf05</x:v>
      </x:c>
      <x:c r="B2913" t="str">
        <x:v>b5f12b25-612f-42aa-a45d-40a6df53bcd3</x:v>
      </x:c>
      <x:c r="C2913" s="9" t="str">
        <x:v>Secretary of State for the Home Department v RF (Jamaica)</x:v>
      </x:c>
      <x:c r="D2913" s="9" t="str"/>
      <x:c r="E2913" s="9" t="str"/>
      <x:c r="F2913" s="13" t="str">
        <x:v>2017</x:v>
      </x:c>
      <x:c r="G2913" s="9" t="str">
        <x:v>England and Wales Court of Appeal (Civil Division)</x:v>
      </x:c>
      <x:c r="H2913" s="9" t="str">
        <x:v>Appellate</x:v>
      </x:c>
      <x:c r="I2913" s="9" t="str">
        <x:v>England and Wales</x:v>
      </x:c>
      <x:c r="J2913" s="9" t="str">
        <x:v>Immigration Law</x:v>
      </x:c>
      <x:c r="K2913" s="9" t="str">
        <x:v>-ew-cases-EWCA-Civ-2017-124.xml</x:v>
      </x:c>
      <x:c r="L2913" s="9" t="str">
        <x:v>TBA</x:v>
      </x:c>
    </x:row>
    <x:row r="2914">
      <x:c r="A2914" t="str">
        <x:v>4ffe33ea-4e87-4576-9d48-b3d75fe71507</x:v>
      </x:c>
      <x:c r="B2914" t="str">
        <x:v>c17e5731-1af4-47f7-ac3a-41aa49443598</x:v>
      </x:c>
      <x:c r="C2914" s="9" t="str">
        <x:v>Secretary of State for the Home Department v Rodriguez [2014] EWCA Civ 2</x:v>
      </x:c>
      <x:c r="D2914" s="9" t="str"/>
      <x:c r="E2914" s="9" t="str"/>
      <x:c r="F2914" s="13" t="str">
        <x:v>2014</x:v>
      </x:c>
      <x:c r="G2914" s="9" t="str">
        <x:v>England and Wales Court of Appeal (Civil Division)</x:v>
      </x:c>
      <x:c r="H2914" s="9" t="str">
        <x:v>Appellate</x:v>
      </x:c>
      <x:c r="I2914" s="9" t="str">
        <x:v>England and Wales</x:v>
      </x:c>
      <x:c r="J2914" s="9" t="str">
        <x:v>Immigration Law</x:v>
      </x:c>
      <x:c r="K2914" s="9" t="str">
        <x:v>-ew-cases-EWCA-Civ-2014-2.xml</x:v>
      </x:c>
      <x:c r="L2914" s="9" t="str">
        <x:v>TBA</x:v>
      </x:c>
    </x:row>
    <x:row r="2915">
      <x:c r="A2915" t="str">
        <x:v>ba99fb05-f2a4-4396-b9d1-384d3dc31ce6</x:v>
      </x:c>
      <x:c r="B2915" t="str">
        <x:v>be6243ef-f16c-4d7a-b02f-7018bc6bb84d</x:v>
      </x:c>
      <x:c r="C2915" s="9" t="str">
        <x:v>Secretary of State for the Home Department v Said</x:v>
      </x:c>
      <x:c r="D2915" s="9" t="str"/>
      <x:c r="E2915" s="9" t="str"/>
      <x:c r="F2915" s="13" t="str">
        <x:v>2016</x:v>
      </x:c>
      <x:c r="G2915" s="9" t="str">
        <x:v>England and Wales Court of Appeal (Civil Division)</x:v>
      </x:c>
      <x:c r="H2915" s="9" t="str">
        <x:v>Court of Appeal (Civil Division)</x:v>
      </x:c>
      <x:c r="I2915" s="9" t="str">
        <x:v>England and Wales</x:v>
      </x:c>
      <x:c r="J2915" s="9" t="str">
        <x:v>Immigration Law; Human Rights; Deportation</x:v>
      </x:c>
      <x:c r="K2915" s="9" t="str">
        <x:v>-ew-cases-EWCA-Civ-2016-442.xml</x:v>
      </x:c>
      <x:c r="L2915" s="9" t="str">
        <x:v>TBA</x:v>
      </x:c>
    </x:row>
    <x:row r="2916">
      <x:c r="A2916" t="str">
        <x:v>a104cd63-f486-47de-88b8-57bdc38441a3</x:v>
      </x:c>
      <x:c r="B2916" t="str">
        <x:v>7e775a68-5ffc-445e-9e59-e4390a4deee2</x:v>
      </x:c>
      <x:c r="C2916" s="9" t="str">
        <x:v>Secretary of State for the Home Department v SC (Jamaica)</x:v>
      </x:c>
      <x:c r="D2916" s="9" t="str"/>
      <x:c r="E2916" s="9" t="str"/>
      <x:c r="F2916" s="13" t="str">
        <x:v>2017</x:v>
      </x:c>
      <x:c r="G2916" s="9" t="str">
        <x:v>England and Wales Court of Appeal (Civil Division)</x:v>
      </x:c>
      <x:c r="H2916" s="9" t="str">
        <x:v>Appellate</x:v>
      </x:c>
      <x:c r="I2916" s="9" t="str">
        <x:v>England and Wales</x:v>
      </x:c>
      <x:c r="J2916" s="9" t="str">
        <x:v>Immigration and Asylum</x:v>
      </x:c>
      <x:c r="K2916" s="9" t="str">
        <x:v>-ew-cases-EWCA-Civ-2017-2112.xml</x:v>
      </x:c>
      <x:c r="L2916" s="9" t="str">
        <x:v>TBA</x:v>
      </x:c>
    </x:row>
    <x:row r="2917">
      <x:c r="A2917" t="str">
        <x:v>4ade628d-7ab2-43c9-b4fa-44d3f24b44bc</x:v>
      </x:c>
      <x:c r="B2917" t="str">
        <x:v>c6650704-2478-4e08-8c7d-752ba8d09b2d</x:v>
      </x:c>
      <x:c r="C2917" s="9" t="str">
        <x:v>Secretary of State for the Home Department v Starkey [2021] EWCA Civ 421</x:v>
      </x:c>
      <x:c r="D2917" s="9" t="str"/>
      <x:c r="E2917" s="9" t="str"/>
      <x:c r="F2917" s="13" t="str">
        <x:v>2021</x:v>
      </x:c>
      <x:c r="G2917" s="9" t="str">
        <x:v>England and Wales Court of Appeal (Civil Division)</x:v>
      </x:c>
      <x:c r="H2917" s="9" t="str">
        <x:v>Appellate</x:v>
      </x:c>
      <x:c r="I2917" s="9" t="str">
        <x:v>England and Wales</x:v>
      </x:c>
      <x:c r="J2917" s="9" t="str">
        <x:v>Immigration Law</x:v>
      </x:c>
      <x:c r="K2917" s="9" t="str">
        <x:v>ew-cases-EWCA-Civ-2021-421.xml</x:v>
      </x:c>
      <x:c r="L2917" s="9" t="str">
        <x:v>TBA</x:v>
      </x:c>
    </x:row>
    <x:row r="2918">
      <x:c r="A2918" t="str">
        <x:v>b2bc558f-38d0-4f3d-b288-07d0de361323</x:v>
      </x:c>
      <x:c r="B2918" t="str">
        <x:v>6fae5f67-8de6-4b94-abb4-73c534524e0b</x:v>
      </x:c>
      <x:c r="C2918" s="9" t="str">
        <x:v>Secretary of State for the Home Department v Straszewski</x:v>
      </x:c>
      <x:c r="D2918" s="9" t="str"/>
      <x:c r="E2918" s="9" t="str"/>
      <x:c r="F2918" s="13" t="str">
        <x:v>2015</x:v>
      </x:c>
      <x:c r="G2918" s="9" t="str">
        <x:v>England and Wales Court of Appeal (Civil Division)</x:v>
      </x:c>
      <x:c r="H2918" s="9" t="str">
        <x:v>Appellate</x:v>
      </x:c>
      <x:c r="I2918" s="9" t="str">
        <x:v>England and Wales</x:v>
      </x:c>
      <x:c r="J2918" s="9" t="str">
        <x:v>Immigration Law</x:v>
      </x:c>
      <x:c r="K2918" s="9" t="str">
        <x:v>-ew-cases-EWCA-Civ-2015-1245.xml</x:v>
      </x:c>
      <x:c r="L2918" s="9" t="str">
        <x:v>TBA</x:v>
      </x:c>
    </x:row>
    <x:row r="2919">
      <x:c r="A2919" t="str">
        <x:v>aa1c430d-20f7-4100-9be1-06a6bc863a6e</x:v>
      </x:c>
      <x:c r="B2919" t="str">
        <x:v>606f6061-2b5f-43fd-a5c6-ae2ae03a5705</x:v>
      </x:c>
      <x:c r="C2919" s="9" t="str">
        <x:v>Secretary of State for the Home Department v Suckoo [2016] EWCA Civ 39</x:v>
      </x:c>
      <x:c r="D2919" s="9" t="str"/>
      <x:c r="E2919" s="9" t="str"/>
      <x:c r="F2919" s="13" t="str">
        <x:v>2016</x:v>
      </x:c>
      <x:c r="G2919" s="9" t="str">
        <x:v>England and Wales Court of Appeal (Civil Division)</x:v>
      </x:c>
      <x:c r="H2919" s="9" t="str">
        <x:v>Court of Appeal (Civil Division)</x:v>
      </x:c>
      <x:c r="I2919" s="9" t="str">
        <x:v>England and Wales</x:v>
      </x:c>
      <x:c r="J2919" s="9" t="str">
        <x:v>Immigration / Deportation</x:v>
      </x:c>
      <x:c r="K2919" s="9" t="str">
        <x:v>-ew-cases-EWCA-Civ-2016-39.xml</x:v>
      </x:c>
      <x:c r="L2919" s="9" t="str">
        <x:v>TBA</x:v>
      </x:c>
    </x:row>
    <x:row r="2920">
      <x:c r="A2920" t="str">
        <x:v>6cfa0232-18c2-4f6a-882f-34adc545097e</x:v>
      </x:c>
      <x:c r="B2920" t="str">
        <x:v>d72f910a-b8f9-41a3-9e57-d55a630b03ed</x:v>
      </x:c>
      <x:c r="C2920" s="9" t="str">
        <x:v>Secretary of State for the Home Department v Vassallo [2016] EWCA Civ 13</x:v>
      </x:c>
      <x:c r="D2920" s="9" t="str"/>
      <x:c r="E2920" s="9" t="str"/>
      <x:c r="F2920" s="13" t="str">
        <x:v>2016</x:v>
      </x:c>
      <x:c r="G2920" s="9" t="str">
        <x:v>England and Wales Court of Appeal (Civil Division)</x:v>
      </x:c>
      <x:c r="H2920" s="9" t="str">
        <x:v>Court of Appeal (Civil Division)</x:v>
      </x:c>
      <x:c r="I2920" s="9" t="str">
        <x:v>England and Wales</x:v>
      </x:c>
      <x:c r="J2920" s="9" t="str">
        <x:v>Immigration / Deportation</x:v>
      </x:c>
      <x:c r="K2920" s="9" t="str">
        <x:v>-ew-cases-EWCA-Civ-2016-13.xml</x:v>
      </x:c>
      <x:c r="L2920" s="9" t="str">
        <x:v>TBA</x:v>
      </x:c>
    </x:row>
    <x:row r="2921">
      <x:c r="A2921" t="str">
        <x:v>f75d89f7-a15d-41d8-ac4c-31ae3faaab9b</x:v>
      </x:c>
      <x:c r="B2921" t="str">
        <x:v>9b392963-09fe-49ef-a5e4-d5e2e8effec4</x:v>
      </x:c>
      <x:c r="C2921" s="9" t="str">
        <x:v>Secretary of State for the Home Department v VM (Jamaica) [2017] EWCA Civ 255</x:v>
      </x:c>
      <x:c r="D2921" s="9" t="str"/>
      <x:c r="E2921" s="9" t="str"/>
      <x:c r="F2921" s="13" t="str">
        <x:v>2017</x:v>
      </x:c>
      <x:c r="G2921" s="9" t="str">
        <x:v>England and Wales Court of Appeal (Civil Division)</x:v>
      </x:c>
      <x:c r="H2921" s="9" t="str">
        <x:v>Appellate</x:v>
      </x:c>
      <x:c r="I2921" s="9" t="str">
        <x:v>England and Wales</x:v>
      </x:c>
      <x:c r="J2921" s="9" t="str">
        <x:v>Immigration Law</x:v>
      </x:c>
      <x:c r="K2921" s="9" t="str">
        <x:v>-ew-cases-EWCA-Civ-2017-255.xml</x:v>
      </x:c>
      <x:c r="L2921" s="9" t="str">
        <x:v>TBA</x:v>
      </x:c>
    </x:row>
    <x:row r="2922">
      <x:c r="A2922" t="str">
        <x:v>19879d23-5dfc-40d6-917b-ecea0c5b6c86</x:v>
      </x:c>
      <x:c r="B2922" t="str">
        <x:v>20e497a2-a6cf-4eec-9655-13b0ab9cddfb</x:v>
      </x:c>
      <x:c r="C2922" s="9" t="str">
        <x:v>Secretary of State for the Home Department v Y [2014] EWCA Civ 754</x:v>
      </x:c>
      <x:c r="D2922" s="9" t="str"/>
      <x:c r="E2922" s="9" t="str"/>
      <x:c r="F2922" s="13" t="str">
        <x:v>2014</x:v>
      </x:c>
      <x:c r="G2922" s="9" t="str">
        <x:v>England and Wales Court of Appeal (Civil Division)</x:v>
      </x:c>
      <x:c r="H2922" s="9" t="str">
        <x:v>Appellate</x:v>
      </x:c>
      <x:c r="I2922" s="9" t="str">
        <x:v>England and Wales</x:v>
      </x:c>
      <x:c r="J2922" s="9" t="str">
        <x:v>Immigration Law</x:v>
      </x:c>
      <x:c r="K2922" s="9" t="str">
        <x:v>-ew-cases-EWCA-Civ-2014-754.xml</x:v>
      </x:c>
      <x:c r="L2922" s="9" t="str">
        <x:v>TBA</x:v>
      </x:c>
    </x:row>
    <x:row r="2923">
      <x:c r="A2923" t="str">
        <x:v>5db2b1b4-051f-41f7-af6b-e16f17866497</x:v>
      </x:c>
      <x:c r="B2923" t="str">
        <x:v>0cacdb35-554d-4a27-aa18-20ea0bb2d72f</x:v>
      </x:c>
      <x:c r="C2923" s="9" t="str">
        <x:v>Secretary of State for the Home Department v ZAT &amp; Ors (Syria) [2016] EWCA Civ 810</x:v>
      </x:c>
      <x:c r="D2923" s="9" t="str"/>
      <x:c r="E2923" s="9" t="str"/>
      <x:c r="F2923" s="13" t="str">
        <x:v>2016</x:v>
      </x:c>
      <x:c r="G2923" s="9" t="str">
        <x:v>England and Wales Court of Appeal (Civil Division)</x:v>
      </x:c>
      <x:c r="H2923" s="9" t="str">
        <x:v>Appeal</x:v>
      </x:c>
      <x:c r="I2923" s="9" t="str">
        <x:v>England and Wales</x:v>
      </x:c>
      <x:c r="J2923" s="9" t="str">
        <x:v>Immigration / Public Law / Human Rights</x:v>
      </x:c>
      <x:c r="K2923" s="9" t="str">
        <x:v>-ew-cases-EWCA-Civ-2016-810.xml</x:v>
      </x:c>
      <x:c r="L2923" s="9" t="str">
        <x:v>TBA</x:v>
      </x:c>
    </x:row>
    <x:row r="2924">
      <x:c r="A2924" t="str">
        <x:v>ff491a1e-46ef-4af4-bd2c-8808909c2846</x:v>
      </x:c>
      <x:c r="B2924" t="str">
        <x:v>be5ccedc-cdaf-4999-9144-72252b1d3c7f</x:v>
      </x:c>
      <x:c r="C2924" s="9" t="str">
        <x:v>Secretary of State for the Home Office v Khattak</x:v>
      </x:c>
      <x:c r="D2924" s="9" t="str"/>
      <x:c r="E2924" s="9" t="str"/>
      <x:c r="F2924" s="13" t="str">
        <x:v>2021</x:v>
      </x:c>
      <x:c r="G2924" s="9" t="str">
        <x:v>England and Wales Court of Appeal (Civil Division)</x:v>
      </x:c>
      <x:c r="H2924" s="9" t="str">
        <x:v>appellate</x:v>
      </x:c>
      <x:c r="I2924" s="9" t="str">
        <x:v>England and Wales</x:v>
      </x:c>
      <x:c r="J2924" s="9" t="str">
        <x:v>Immigration Law</x:v>
      </x:c>
      <x:c r="K2924" s="9" t="str">
        <x:v>ew-cases-EWCA-Civ-2021-1873.xml</x:v>
      </x:c>
      <x:c r="L2924" s="9" t="str">
        <x:v>TBA</x:v>
      </x:c>
    </x:row>
    <x:row r="2925">
      <x:c r="A2925" t="str">
        <x:v>af3a9dfa-0318-40a5-9099-48576c5ff116</x:v>
      </x:c>
      <x:c r="B2925" t="str">
        <x:v>c8878e64-e01e-4967-b499-12748dbce6aa</x:v>
      </x:c>
      <x:c r="C2925" s="9" t="str">
        <x:v>Secretary of State for Transport v Curzon Park Ltd &amp; Ors [2021] EWCA Civ 651</x:v>
      </x:c>
      <x:c r="D2925" s="9" t="str"/>
      <x:c r="E2925" s="9" t="str"/>
      <x:c r="F2925" s="13" t="str">
        <x:v>2021</x:v>
      </x:c>
      <x:c r="G2925" s="9" t="str">
        <x:v>England and Wales Court of Appeal (Civil Division)</x:v>
      </x:c>
      <x:c r="H2925" s="9" t="str">
        <x:v>Appellate</x:v>
      </x:c>
      <x:c r="I2925" s="9" t="str">
        <x:v>England and Wales</x:v>
      </x:c>
      <x:c r="J2925" s="9" t="str">
        <x:v>Administrative Law</x:v>
      </x:c>
      <x:c r="K2925" s="9" t="str">
        <x:v>ew-cases-EWCA-Civ-2021-651.xml</x:v>
      </x:c>
      <x:c r="L2925" s="9" t="str">
        <x:v>TBA</x:v>
      </x:c>
    </x:row>
    <x:row r="2926">
      <x:c r="A2926" t="str">
        <x:v>1d261fca-2bdb-4e1d-9539-15753b20d7b2</x:v>
      </x:c>
      <x:c r="B2926" t="str">
        <x:v>4df5055b-652b-4653-8ff7-917796fcd20c</x:v>
      </x:c>
      <x:c r="C2926" s="9" t="str">
        <x:v>Secretary of State for Work and Pensions &amp; Anor v Hughes &amp; Ors</x:v>
      </x:c>
      <x:c r="D2926" s="9" t="str"/>
      <x:c r="E2926" s="9" t="str"/>
      <x:c r="F2926" s="13" t="str">
        <x:v>2021</x:v>
      </x:c>
      <x:c r="G2926" s="9" t="str">
        <x:v>England and Wales Court of Appeal (Civil Division)</x:v>
      </x:c>
      <x:c r="H2926" s="9" t="str">
        <x:v>Appellate</x:v>
      </x:c>
      <x:c r="I2926" s="9" t="str">
        <x:v>England and Wales</x:v>
      </x:c>
      <x:c r="J2926" s="9" t="str">
        <x:v>Administrative Law</x:v>
      </x:c>
      <x:c r="K2926" s="9" t="str">
        <x:v>ew-cases-EWCA-Civ-2021-1093.xml</x:v>
      </x:c>
      <x:c r="L2926" s="9" t="str">
        <x:v>TBA</x:v>
      </x:c>
    </x:row>
    <x:row r="2927">
      <x:c r="A2927" t="str">
        <x:v>3804cfb7-784f-4ae0-b212-3c37aafbb0d2</x:v>
      </x:c>
      <x:c r="B2927" t="str">
        <x:v>a9cf33e7-0e30-40d0-ab86-4ef1a366290f</x:v>
      </x:c>
      <x:c r="C2927" s="9" t="str">
        <x:v>Secure Capital SA v Credit Suisse AG [2017] EWCA Civ 1486</x:v>
      </x:c>
      <x:c r="D2927" s="9" t="str"/>
      <x:c r="E2927" s="9" t="str"/>
      <x:c r="F2927" s="13" t="str">
        <x:v>2017</x:v>
      </x:c>
      <x:c r="G2927" s="9" t="str">
        <x:v>England and Wales Court of Appeal (Civil Division)</x:v>
      </x:c>
      <x:c r="H2927" s="9" t="str">
        <x:v>Appellate</x:v>
      </x:c>
      <x:c r="I2927" s="9" t="str">
        <x:v>England and Wales</x:v>
      </x:c>
      <x:c r="J2927" s="9" t="str">
        <x:v>Contract Dispute</x:v>
      </x:c>
      <x:c r="K2927" s="9" t="str">
        <x:v>-ew-cases-EWCA-Civ-2017-1486.xml</x:v>
      </x:c>
      <x:c r="L2927" s="9" t="str">
        <x:v>TBA</x:v>
      </x:c>
    </x:row>
    <x:row r="2928">
      <x:c r="A2928" t="str">
        <x:v>55d4adc9-a448-45f6-a8e9-02caa8a3b270</x:v>
      </x:c>
      <x:c r="B2928" t="str">
        <x:v>cb693db8-1f1d-426f-a684-19ff85cc7fdf</x:v>
      </x:c>
      <x:c r="C2928" s="9" t="str">
        <x:v>Seedo v El Gamal &amp; Anor [2023] EWCA Civ 330</x:v>
      </x:c>
      <x:c r="D2928" s="9" t="str"/>
      <x:c r="E2928" s="9" t="str"/>
      <x:c r="F2928" s="13" t="str">
        <x:v>2023</x:v>
      </x:c>
      <x:c r="G2928" s="9" t="str">
        <x:v>England and Wales Court of Appeal (Civil Division)</x:v>
      </x:c>
      <x:c r="H2928" s="9" t="str">
        <x:v>Court of Appeal (Civil Division)</x:v>
      </x:c>
      <x:c r="I2928" s="9" t="str">
        <x:v>England and Wales</x:v>
      </x:c>
      <x:c r="J2928" s="9" t="str">
        <x:v>Civil - Limitation / Deceit / Fraud</x:v>
      </x:c>
      <x:c r="K2928" s="9" t="str">
        <x:v>ew-cases-EWCA-Civ-2023-330.xml</x:v>
      </x:c>
      <x:c r="L2928" s="9" t="str">
        <x:v>TBA</x:v>
      </x:c>
    </x:row>
    <x:row r="2929">
      <x:c r="A2929" t="str">
        <x:v>4202ad57-75df-4afd-b811-ec706a58fd08</x:v>
      </x:c>
      <x:c r="B2929" t="str">
        <x:v>fcaf484b-d91f-40a3-8679-c5d3985ba76c</x:v>
      </x:c>
      <x:c r="C2929" s="9" t="str">
        <x:v>Sensar Ltd &amp; Azdar Ltd v Newbury Venture Capital Ltd &amp; Ors [2016] EWCA Civ 261</x:v>
      </x:c>
      <x:c r="D2929" s="9" t="str"/>
      <x:c r="E2929" s="9" t="str"/>
      <x:c r="F2929" s="13" t="str">
        <x:v>2016</x:v>
      </x:c>
      <x:c r="G2929" s="9" t="str">
        <x:v>England and Wales Court of Appeal (Civil Division)</x:v>
      </x:c>
      <x:c r="H2929" s="9" t="str">
        <x:v>Court of Appeal (Civil Division)</x:v>
      </x:c>
      <x:c r="I2929" s="9" t="str">
        <x:v>England and Wales</x:v>
      </x:c>
      <x:c r="J2929" s="9" t="str">
        <x:v>Civil Procedure / Interim Relief (Freezing Injunctions)</x:v>
      </x:c>
      <x:c r="K2929" s="9" t="str">
        <x:v>-ew-cases-EWCA-Civ-2016-261.xml</x:v>
      </x:c>
      <x:c r="L2929" s="9" t="str">
        <x:v>TBA</x:v>
      </x:c>
    </x:row>
    <x:row r="2930">
      <x:c r="A2930" t="str">
        <x:v>b0b570a1-be31-458f-827e-e36ca6e9117a</x:v>
      </x:c>
      <x:c r="B2930" t="str">
        <x:v>e17690e4-b565-4446-be5b-0256f3c90656</x:v>
      </x:c>
      <x:c r="C2930" s="9" t="str">
        <x:v>Septo Trading Inc v Tintrade Ltd</x:v>
      </x:c>
      <x:c r="D2930" s="9" t="str"/>
      <x:c r="E2930" s="9" t="str"/>
      <x:c r="F2930" s="13" t="str">
        <x:v>2021</x:v>
      </x:c>
      <x:c r="G2930" s="9" t="str">
        <x:v>England and Wales Court of Appeal (Civil Division)</x:v>
      </x:c>
      <x:c r="H2930" s="9" t="str">
        <x:v>Appellate</x:v>
      </x:c>
      <x:c r="I2930" s="9" t="str">
        <x:v>England and Wales</x:v>
      </x:c>
      <x:c r="J2930" s="9" t="str">
        <x:v>Commercial Dispute</x:v>
      </x:c>
      <x:c r="K2930" s="9" t="str">
        <x:v>ew-cases-EWCA-Civ-2021-718.xml</x:v>
      </x:c>
      <x:c r="L2930" s="9" t="str">
        <x:v>TBA</x:v>
      </x:c>
    </x:row>
    <x:row r="2931">
      <x:c r="A2931" t="str">
        <x:v>3d9f3339-9691-4fb7-a948-97ac1bedf056</x:v>
      </x:c>
      <x:c r="B2931" t="str">
        <x:v>a5e58134-9029-42b8-a2a2-db8e7f9fb58f</x:v>
      </x:c>
      <x:c r="C2931" s="9" t="str">
        <x:v>Serene Construction Limited v Barclays Bank Plc [2016] EWCA Civ 1379</x:v>
      </x:c>
      <x:c r="D2931" s="9" t="str"/>
      <x:c r="E2931" s="9" t="str"/>
      <x:c r="F2931" s="13" t="str">
        <x:v>2016</x:v>
      </x:c>
      <x:c r="G2931" s="9" t="str">
        <x:v>England and Wales Court of Appeal (Civil Division)</x:v>
      </x:c>
      <x:c r="H2931" s="9" t="str">
        <x:v>Court of Appeal (Civil Division)</x:v>
      </x:c>
      <x:c r="I2931" s="9" t="str">
        <x:v>England and Wales</x:v>
      </x:c>
      <x:c r="J2931" s="9" t="str">
        <x:v>Contract/Finance Dispute</x:v>
      </x:c>
      <x:c r="K2931" s="9" t="str">
        <x:v>-ew-cases-EWCA-Civ-2016-1379.xml</x:v>
      </x:c>
      <x:c r="L2931" s="9" t="str">
        <x:v>TBA</x:v>
      </x:c>
    </x:row>
    <x:row r="2932">
      <x:c r="A2932" t="str">
        <x:v>90abaa84-563a-4508-91e8-974231e90453</x:v>
      </x:c>
      <x:c r="B2932" t="str">
        <x:v>72b606a5-9f29-4356-b6a0-3dd1aa4776a2</x:v>
      </x:c>
      <x:c r="C2932" s="9" t="str">
        <x:v>SG &amp; Ors v The Secretary of State for Work And Pensions [2014] EWCA Civ 156</x:v>
      </x:c>
      <x:c r="D2932" s="9" t="str"/>
      <x:c r="E2932" s="9" t="str"/>
      <x:c r="F2932" s="13" t="str">
        <x:v>2014</x:v>
      </x:c>
      <x:c r="G2932" s="9" t="str">
        <x:v>England and Wales Court of Appeal (Civil Division)</x:v>
      </x:c>
      <x:c r="H2932" s="9" t="str">
        <x:v>Appellate</x:v>
      </x:c>
      <x:c r="I2932" s="9" t="str">
        <x:v>England and Wales</x:v>
      </x:c>
      <x:c r="J2932" s="9" t="str">
        <x:v>Constitutional Law</x:v>
      </x:c>
      <x:c r="K2932" s="9" t="str">
        <x:v>-ew-cases-EWCA-Civ-2014-156.xml</x:v>
      </x:c>
      <x:c r="L2932" s="9" t="str">
        <x:v>TBA</x:v>
      </x:c>
    </x:row>
    <x:row r="2933">
      <x:c r="A2933" t="str">
        <x:v>614b2cd7-219c-41b0-b129-e136628c3924</x:v>
      </x:c>
      <x:c r="B2933" t="str">
        <x:v>e9714568-4535-4e32-b9bc-91f4e5209e91</x:v>
      </x:c>
      <x:c r="C2933" s="9" t="str">
        <x:v>SG, R (on the application of) v London Borough of Haringey &amp; Ors</x:v>
      </x:c>
      <x:c r="D2933" s="9" t="str"/>
      <x:c r="E2933" s="9" t="str"/>
      <x:c r="F2933" s="13" t="str">
        <x:v>2017</x:v>
      </x:c>
      <x:c r="G2933" s="9" t="str">
        <x:v>England and Wales Court of Appeal (Civil Division)</x:v>
      </x:c>
      <x:c r="H2933" s="9" t="str">
        <x:v>appellate</x:v>
      </x:c>
      <x:c r="I2933" s="9" t="str">
        <x:v>England and Wales</x:v>
      </x:c>
      <x:c r="J2933" s="9" t="str">
        <x:v>Administrative Law</x:v>
      </x:c>
      <x:c r="K2933" s="9" t="str">
        <x:v>-ew-cases-EWCA-Civ-2017-322.xml</x:v>
      </x:c>
      <x:c r="L2933" s="9" t="str">
        <x:v>TBA</x:v>
      </x:c>
    </x:row>
    <x:row r="2934">
      <x:c r="A2934" t="str">
        <x:v>1adb5541-cb05-4a5f-80dc-f4cb83d5f04f</x:v>
      </x:c>
      <x:c r="B2934" t="str">
        <x:v>2396543c-6d7d-431e-8474-5dfe30fe6234</x:v>
      </x:c>
      <x:c r="C2934" s="9" t="str">
        <x:v>SH (Iran) &amp; Anor v Secretary of State for the Home Department</x:v>
      </x:c>
      <x:c r="D2934" s="9" t="str"/>
      <x:c r="E2934" s="9" t="str"/>
      <x:c r="F2934" s="13" t="str">
        <x:v>2014</x:v>
      </x:c>
      <x:c r="G2934" s="9" t="str">
        <x:v>England and Wales Court of Appeal (Civil Division)</x:v>
      </x:c>
      <x:c r="H2934" s="9" t="str">
        <x:v>Appellate</x:v>
      </x:c>
      <x:c r="I2934" s="9" t="str">
        <x:v>England and Wales</x:v>
      </x:c>
      <x:c r="J2934" s="9" t="str">
        <x:v>Administrative Law</x:v>
      </x:c>
      <x:c r="K2934" s="9" t="str">
        <x:v>-ew-cases-EWCA-Civ-2014-1469.xml</x:v>
      </x:c>
      <x:c r="L2934" s="9" t="str">
        <x:v>TBA</x:v>
      </x:c>
    </x:row>
    <x:row r="2935">
      <x:c r="A2935" t="str">
        <x:v>14c7672d-1c04-4430-8fd7-4cc7010ff3a1</x:v>
      </x:c>
      <x:c r="B2935" t="str">
        <x:v>93fe1e6a-bed5-41be-8206-bcf03bc2cbdb</x:v>
      </x:c>
      <x:c r="C2935" s="9" t="str">
        <x:v>SH (Pakistan) v Secretary of State for the Home Department [2016] EWCA Civ 426</x:v>
      </x:c>
      <x:c r="D2935" s="9" t="str"/>
      <x:c r="E2935" s="9" t="str"/>
      <x:c r="F2935" s="13" t="str">
        <x:v>2016</x:v>
      </x:c>
      <x:c r="G2935" s="9" t="str">
        <x:v>England and Wales Court of Appeal (Civil Division)</x:v>
      </x:c>
      <x:c r="H2935" s="9" t="str">
        <x:v>Court of Appeal</x:v>
      </x:c>
      <x:c r="I2935" s="9" t="str">
        <x:v>England and Wales</x:v>
      </x:c>
      <x:c r="J2935" s="9" t="str">
        <x:v>Immigration Law - Points-based system, evidential flexibility, policy interpretation</x:v>
      </x:c>
      <x:c r="K2935" s="9" t="str">
        <x:v>-ew-cases-EWCA-Civ-2016-426.xml</x:v>
      </x:c>
      <x:c r="L2935" s="9" t="str">
        <x:v>TBA</x:v>
      </x:c>
    </x:row>
    <x:row r="2936">
      <x:c r="A2936" t="str">
        <x:v>48429ee4-b5de-4b2c-9b9e-bcd73e3d936c</x:v>
      </x:c>
      <x:c r="B2936" t="str">
        <x:v>2580e2fd-b358-469f-b94a-a83b12a8ae19</x:v>
      </x:c>
      <x:c r="C2936" s="9" t="str">
        <x:v>Shafi v Rutherford [2014] EWCA Civ 1186: Expert Determination in Share Sale Dispute</x:v>
      </x:c>
      <x:c r="D2936" s="9" t="str"/>
      <x:c r="E2936" s="9" t="str"/>
      <x:c r="F2936" s="13" t="str">
        <x:v>2014</x:v>
      </x:c>
      <x:c r="G2936" s="9" t="str">
        <x:v>England and Wales Court of Appeal (Civil Division)</x:v>
      </x:c>
      <x:c r="H2936" s="9" t="str">
        <x:v>Appellate</x:v>
      </x:c>
      <x:c r="I2936" s="9" t="str">
        <x:v>England and Wales</x:v>
      </x:c>
      <x:c r="J2936" s="9" t="str">
        <x:v>Contract Dispute</x:v>
      </x:c>
      <x:c r="K2936" s="9" t="str">
        <x:v>-ew-cases-EWCA-Civ-2014-1186.xml</x:v>
      </x:c>
      <x:c r="L2936" s="9" t="str">
        <x:v>TBA</x:v>
      </x:c>
    </x:row>
    <x:row r="2937">
      <x:c r="A2937" t="str">
        <x:v>21e3ed97-ad18-48a9-8ccb-83cc402b546e</x:v>
      </x:c>
      <x:c r="B2937" t="str">
        <x:v>66bd0fab-bc7a-47e2-b6f0-9e4a97bad91d</x:v>
      </x:c>
      <x:c r="C2937" s="9" t="str">
        <x:v>Shah v Secretary of State for the Home Department</x:v>
      </x:c>
      <x:c r="D2937" s="9" t="str"/>
      <x:c r="E2937" s="9" t="str"/>
      <x:c r="F2937" s="13" t="str">
        <x:v>2015</x:v>
      </x:c>
      <x:c r="G2937" s="9" t="str">
        <x:v>England and Wales Court of Appeal (Civil Division)</x:v>
      </x:c>
      <x:c r="H2937" s="9" t="str">
        <x:v>appellate</x:v>
      </x:c>
      <x:c r="I2937" s="9" t="str">
        <x:v>England and Wales</x:v>
      </x:c>
      <x:c r="J2937" s="9" t="str">
        <x:v>Administrative Law</x:v>
      </x:c>
      <x:c r="K2937" s="9" t="str">
        <x:v>-ew-cases-EWCA-Civ-2015-1114.xml</x:v>
      </x:c>
      <x:c r="L2937" s="9" t="str">
        <x:v>TBA</x:v>
      </x:c>
    </x:row>
    <x:row r="2938">
      <x:c r="A2938" t="str">
        <x:v>4fcc153a-c032-4416-af78-65175cd1cafa</x:v>
      </x:c>
      <x:c r="B2938" t="str">
        <x:v>9cb20400-5e75-4e37-8d22-11eedd454ca5</x:v>
      </x:c>
      <x:c r="C2938" s="9" t="str">
        <x:v>Shahi v Secretary of State for the Home Department [2021] EWCA Civ 1676</x:v>
      </x:c>
      <x:c r="D2938" s="9" t="str"/>
      <x:c r="E2938" s="9" t="str"/>
      <x:c r="F2938" s="13" t="str">
        <x:v>2021</x:v>
      </x:c>
      <x:c r="G2938" s="9" t="str">
        <x:v>England and Wales Court of Appeal (Civil Division)</x:v>
      </x:c>
      <x:c r="H2938" s="9" t="str">
        <x:v>Appellate</x:v>
      </x:c>
      <x:c r="I2938" s="9" t="str">
        <x:v>England and Wales</x:v>
      </x:c>
      <x:c r="J2938" s="9" t="str">
        <x:v>Administrative Law</x:v>
      </x:c>
      <x:c r="K2938" s="9" t="str">
        <x:v>ew-cases-EWCA-Civ-2021-1676.xml</x:v>
      </x:c>
      <x:c r="L2938" s="9" t="str">
        <x:v>TBA</x:v>
      </x:c>
    </x:row>
    <x:row r="2939">
      <x:c r="A2939" t="str">
        <x:v>6ff1a8ab-94c9-4e13-aa34-232d87be3958</x:v>
      </x:c>
      <x:c r="B2939" t="str">
        <x:v>298ba601-5898-4766-aa40-8d2b8f97ddde</x:v>
      </x:c>
      <x:c r="C2939" s="9" t="str">
        <x:v>Shalabayev v JSC BTA Bank [2016] EWCA Civ 987 (Court of Appeal, Civil Division)</x:v>
      </x:c>
      <x:c r="D2939" s="9" t="str"/>
      <x:c r="E2939" s="9" t="str"/>
      <x:c r="F2939" s="13" t="str">
        <x:v>2016</x:v>
      </x:c>
      <x:c r="G2939" s="9" t="str">
        <x:v>England and Wales Court of Appeal (Civil Division)</x:v>
      </x:c>
      <x:c r="H2939" s="9" t="str">
        <x:v>Court of Appeal (Civil Division)</x:v>
      </x:c>
      <x:c r="I2939" s="9" t="str">
        <x:v>England and Wales</x:v>
      </x:c>
      <x:c r="J2939" s="9" t="str">
        <x:v>Civil Procedure / Property</x:v>
      </x:c>
      <x:c r="K2939" s="9" t="str">
        <x:v>-ew-cases-EWCA-Civ-2016-987.xml</x:v>
      </x:c>
      <x:c r="L2939" s="9" t="str">
        <x:v>TBA</x:v>
      </x:c>
    </x:row>
    <x:row r="2940">
      <x:c r="A2940" t="str">
        <x:v>66f01420-b772-46b4-8284-ce3d5b5b00da</x:v>
      </x:c>
      <x:c r="B2940" t="str">
        <x:v>8676b221-986a-44b2-9727-9ad8467ba2d4</x:v>
      </x:c>
      <x:c r="C2940" s="9" t="str">
        <x:v>Shanghai Shipyard Co. Ltd. v Reignwood International Investment (Group) Company Ltd</x:v>
      </x:c>
      <x:c r="D2940" s="9" t="str"/>
      <x:c r="E2940" s="9" t="str"/>
      <x:c r="F2940" s="13" t="str">
        <x:v>2021</x:v>
      </x:c>
      <x:c r="G2940" s="9" t="str">
        <x:v>England and Wales Court of Appeal (Civil Division)</x:v>
      </x:c>
      <x:c r="H2940" s="9" t="str">
        <x:v>Appellate</x:v>
      </x:c>
      <x:c r="I2940" s="9" t="str">
        <x:v>England and Wales</x:v>
      </x:c>
      <x:c r="J2940" s="9" t="str">
        <x:v>Contract Law</x:v>
      </x:c>
      <x:c r="K2940" s="9" t="str">
        <x:v>ew-cases-EWCA-Civ-2021-1147.xml</x:v>
      </x:c>
      <x:c r="L2940" s="9" t="str">
        <x:v>TBA</x:v>
      </x:c>
    </x:row>
    <x:row r="2941">
      <x:c r="A2941" t="str">
        <x:v>2eee44a9-5e38-40fa-aecb-13acb3845c87</x:v>
      </x:c>
      <x:c r="B2941" t="str">
        <x:v>a4466503-fa6e-40e0-8b29-fed7465f0af9</x:v>
      </x:c>
      <x:c r="C2941" s="9" t="str">
        <x:v>Shanks v Unilever Plc &amp; Ors [2015] EWCA Civ 787</x:v>
      </x:c>
      <x:c r="D2941" s="9" t="str"/>
      <x:c r="E2941" s="9" t="str"/>
      <x:c r="F2941" s="13" t="str">
        <x:v>2015</x:v>
      </x:c>
      <x:c r="G2941" s="9" t="str">
        <x:v>England and Wales Court of Appeal (Civil Division)</x:v>
      </x:c>
      <x:c r="H2941" s="9" t="str">
        <x:v>Appellate</x:v>
      </x:c>
      <x:c r="I2941" s="9" t="str">
        <x:v>England and Wales</x:v>
      </x:c>
      <x:c r="J2941" s="9" t="str">
        <x:v>Intellectual Property</x:v>
      </x:c>
      <x:c r="K2941" s="9" t="str">
        <x:v>-ew-cases-EWCA-Civ-2015-787.xml</x:v>
      </x:c>
      <x:c r="L2941" s="9" t="str">
        <x:v>TBA</x:v>
      </x:c>
    </x:row>
    <x:row r="2942">
      <x:c r="A2942" t="str">
        <x:v>cc4e413d-c865-43a7-8f5c-c6918575c321</x:v>
      </x:c>
      <x:c r="B2942" t="str">
        <x:v>5854584a-9e0a-4fd7-946c-ab0d937a75f6</x:v>
      </x:c>
      <x:c r="C2942" s="9" t="str">
        <x:v>Sharland v Sharland [2014] EWCA Civ 95 - Appeal Against Financial Provision Order</x:v>
      </x:c>
      <x:c r="D2942" s="9" t="str"/>
      <x:c r="E2942" s="9" t="str"/>
      <x:c r="F2942" s="13" t="str">
        <x:v>2014</x:v>
      </x:c>
      <x:c r="G2942" s="9" t="str">
        <x:v>England and Wales Court of Appeal (Civil Division)</x:v>
      </x:c>
      <x:c r="H2942" s="9" t="str">
        <x:v>Appellate</x:v>
      </x:c>
      <x:c r="I2942" s="9" t="str">
        <x:v>England and Wales</x:v>
      </x:c>
      <x:c r="J2942" s="9" t="str">
        <x:v>Family Law - Financial Provision</x:v>
      </x:c>
      <x:c r="K2942" s="9" t="str">
        <x:v>-ew-cases-EWCA-Civ-2014-95.xml</x:v>
      </x:c>
      <x:c r="L2942" s="9" t="str">
        <x:v>TBA</x:v>
      </x:c>
    </x:row>
    <x:row r="2943">
      <x:c r="A2943" t="str">
        <x:v>63cf4e95-886a-4909-904f-19add283489c</x:v>
      </x:c>
      <x:c r="B2943" t="str">
        <x:v>dab88ca2-1074-4b23-8fcc-f77b32b1d551</x:v>
      </x:c>
      <x:c r="C2943" s="9" t="str">
        <x:v>Sharma v Top Brands Ltd &amp; Ors [2015] EWCA Civ 1140</x:v>
      </x:c>
      <x:c r="D2943" s="9" t="str"/>
      <x:c r="E2943" s="9" t="str"/>
      <x:c r="F2943" s="13" t="str">
        <x:v>2015</x:v>
      </x:c>
      <x:c r="G2943" s="9" t="str">
        <x:v>England and Wales Court of Appeal (Civil Division)</x:v>
      </x:c>
      <x:c r="H2943" s="9" t="str">
        <x:v>Appellate</x:v>
      </x:c>
      <x:c r="I2943" s="9" t="str">
        <x:v>England and Wales</x:v>
      </x:c>
      <x:c r="J2943" s="9" t="str">
        <x:v>Insolvency</x:v>
      </x:c>
      <x:c r="K2943" s="9" t="str">
        <x:v>-ew-cases-EWCA-Civ-2015-1140.xml</x:v>
      </x:c>
      <x:c r="L2943" s="9" t="str">
        <x:v>TBA</x:v>
      </x:c>
    </x:row>
    <x:row r="2944">
      <x:c r="A2944" t="str">
        <x:v>a156e94a-29a0-4aac-a2cc-2d09ec32293c</x:v>
      </x:c>
      <x:c r="B2944" t="str">
        <x:v>0d4bec1b-9bd7-4eed-a699-37c881a80c82</x:v>
      </x:c>
      <x:c r="C2944" s="9" t="str">
        <x:v>Sharp &amp; Anor, R (On the Application Of) v North Essex Magistrates Court</x:v>
      </x:c>
      <x:c r="D2944" s="9" t="str"/>
      <x:c r="E2944" s="9" t="str"/>
      <x:c r="F2944" s="13" t="str">
        <x:v>2017</x:v>
      </x:c>
      <x:c r="G2944" s="9" t="str">
        <x:v>England and Wales Court of Appeal (Civil Division)</x:v>
      </x:c>
      <x:c r="H2944" s="9" t="str">
        <x:v>Appellate</x:v>
      </x:c>
      <x:c r="I2944" s="9" t="str">
        <x:v>England and Wales</x:v>
      </x:c>
      <x:c r="J2944" s="9" t="str">
        <x:v>Administrative Law</x:v>
      </x:c>
      <x:c r="K2944" s="9" t="str">
        <x:v>-ew-cases-EWCA-Civ-2017-1143.xml</x:v>
      </x:c>
      <x:c r="L2944" s="9" t="str">
        <x:v>TBA</x:v>
      </x:c>
    </x:row>
    <x:row r="2945">
      <x:c r="A2945" t="str">
        <x:v>21936e39-f9f3-4327-bf8e-1d509b351b0b</x:v>
      </x:c>
      <x:c r="B2945" t="str">
        <x:v>43d4ac89-b448-44d9-9932-c5736983a48f</x:v>
      </x:c>
      <x:c r="C2945" s="9" t="str">
        <x:v>Sharp Corp Ltd v Viterra BV [2023] EWCA Civ 7</x:v>
      </x:c>
      <x:c r="D2945" s="9" t="str"/>
      <x:c r="E2945" s="9" t="str"/>
      <x:c r="F2945" s="13" t="str">
        <x:v>2023</x:v>
      </x:c>
      <x:c r="G2945" s="9" t="str">
        <x:v>England and Wales Court of Appeal (Civil Division)</x:v>
      </x:c>
      <x:c r="H2945" s="9" t="str">
        <x:v>Court of Appeal (Civil Division)</x:v>
      </x:c>
      <x:c r="I2945" s="9" t="str">
        <x:v>England and Wales</x:v>
      </x:c>
      <x:c r="J2945" s="9" t="str">
        <x:v>Contract Dispute</x:v>
      </x:c>
      <x:c r="K2945" s="9" t="str">
        <x:v>ew-cases-EWCA-Civ-2023-7.xml</x:v>
      </x:c>
      <x:c r="L2945" s="9" t="str">
        <x:v>TBA</x:v>
      </x:c>
    </x:row>
    <x:row r="2946">
      <x:c r="A2946" t="str">
        <x:v>10cbbe36-4918-4bea-8448-38febd60a69d</x:v>
      </x:c>
      <x:c r="B2946" t="str">
        <x:v>b10b6397-8237-4ea0-9da7-5d3ba9caa0ac</x:v>
      </x:c>
      <x:c r="C2946" s="9" t="str">
        <x:v>Sharp v Sharp [2017] EWCA Civ 408</x:v>
      </x:c>
      <x:c r="D2946" s="9" t="str"/>
      <x:c r="E2946" s="9" t="str"/>
      <x:c r="F2946" s="13" t="str">
        <x:v>2017</x:v>
      </x:c>
      <x:c r="G2946" s="9" t="str">
        <x:v>England and Wales Court of Appeal (Civil Division)</x:v>
      </x:c>
      <x:c r="H2946" s="9" t="str">
        <x:v>Appellate</x:v>
      </x:c>
      <x:c r="I2946" s="9" t="str">
        <x:v>England and Wales</x:v>
      </x:c>
      <x:c r="J2946" s="9" t="str">
        <x:v>Family Law</x:v>
      </x:c>
      <x:c r="K2946" s="9" t="str">
        <x:v>-ew-cases-EWCA-Civ-2017-408.xml</x:v>
      </x:c>
      <x:c r="L2946" s="9" t="str">
        <x:v>TBA</x:v>
      </x:c>
    </x:row>
    <x:row r="2947">
      <x:c r="A2947" t="str">
        <x:v>738af50d-e440-41ad-af0d-e05d43a67a84</x:v>
      </x:c>
      <x:c r="B2947" t="str">
        <x:v>a60ae3fa-ff82-413f-a294-e9d6c06c8677</x:v>
      </x:c>
      <x:c r="C2947" s="9" t="str">
        <x:v>Sharpe v The Bishop of Worcester [2015] EWCA Civ 399</x:v>
      </x:c>
      <x:c r="D2947" s="9" t="str"/>
      <x:c r="E2947" s="9" t="str"/>
      <x:c r="F2947" s="13" t="str">
        <x:v>2015</x:v>
      </x:c>
      <x:c r="G2947" s="9" t="str">
        <x:v>England and Wales Court of Appeal (Civil Division)</x:v>
      </x:c>
      <x:c r="H2947" s="9" t="str">
        <x:v>Appellate</x:v>
      </x:c>
      <x:c r="I2947" s="9" t="str">
        <x:v>England and Wales</x:v>
      </x:c>
      <x:c r="J2947" s="9" t="str">
        <x:v>Employment Law</x:v>
      </x:c>
      <x:c r="K2947" s="9" t="str">
        <x:v>-ew-cases-EWCA-Civ-2015-399.xml</x:v>
      </x:c>
      <x:c r="L2947" s="9" t="str">
        <x:v>TBA</x:v>
      </x:c>
    </x:row>
    <x:row r="2948">
      <x:c r="A2948" t="str">
        <x:v>d0287510-5324-40aa-bb23-9d08dbb03f23</x:v>
      </x:c>
      <x:c r="B2948" t="str">
        <x:v>8f262401-751c-49b7-bbd4-98afb02b71d4</x:v>
      </x:c>
      <x:c r="C2948" s="9" t="str">
        <x:v>Shaw v HM Coroner for Leicester City &amp; South Leicester</x:v>
      </x:c>
      <x:c r="D2948" s="9" t="str"/>
      <x:c r="E2948" s="9" t="str"/>
      <x:c r="F2948" s="13" t="str">
        <x:v>2014</x:v>
      </x:c>
      <x:c r="G2948" s="9" t="str">
        <x:v>England and Wales Court of Appeal (Civil Division)</x:v>
      </x:c>
      <x:c r="H2948" s="9" t="str">
        <x:v>Appellate</x:v>
      </x:c>
      <x:c r="I2948" s="9" t="str">
        <x:v>England and Wales</x:v>
      </x:c>
      <x:c r="J2948" s="9" t="str">
        <x:v>Administrative Law</x:v>
      </x:c>
      <x:c r="K2948" s="9" t="str">
        <x:v>-ew-cases-EWCA-Civ-2014-294.xml</x:v>
      </x:c>
      <x:c r="L2948" s="9" t="str">
        <x:v>TBA</x:v>
      </x:c>
    </x:row>
    <x:row r="2949">
      <x:c r="A2949" t="str">
        <x:v>4e362170-7249-4ac7-827a-cea882302b02</x:v>
      </x:c>
      <x:c r="B2949" t="str">
        <x:v>57797f26-5cc4-4535-bce9-8f2f5a5c42cf</x:v>
      </x:c>
      <x:c r="C2949" s="9" t="str">
        <x:v>Shaw v Kovac &amp; Ors [2017] EWCA Civ 1028</x:v>
      </x:c>
      <x:c r="D2949" s="9" t="str"/>
      <x:c r="E2949" s="9" t="str"/>
      <x:c r="F2949" s="13" t="str">
        <x:v>2017</x:v>
      </x:c>
      <x:c r="G2949" s="9" t="str">
        <x:v>England and Wales Court of Appeal (Civil Division)</x:v>
      </x:c>
      <x:c r="H2949" s="9" t="str">
        <x:v>Appellate</x:v>
      </x:c>
      <x:c r="I2949" s="9" t="str">
        <x:v>England and Wales</x:v>
      </x:c>
      <x:c r="J2949" s="9" t="str">
        <x:v>Tort</x:v>
      </x:c>
      <x:c r="K2949" s="9" t="str">
        <x:v>-ew-cases-EWCA-Civ-2017-1028.xml</x:v>
      </x:c>
      <x:c r="L2949" s="9" t="str">
        <x:v>TBA</x:v>
      </x:c>
    </x:row>
    <x:row r="2950">
      <x:c r="A2950" t="str">
        <x:v>57fc1945-e5a3-4219-ae48-5f7215596dc3</x:v>
      </x:c>
      <x:c r="B2950" t="str">
        <x:v>c13c9819-1abd-451c-803c-45cb96c36a37</x:v>
      </x:c>
      <x:c r="C2950" s="9" t="str">
        <x:v>Shaw v Merthyr Tydfil County Borough [2014] EWCA Civ 1678</x:v>
      </x:c>
      <x:c r="D2950" s="9" t="str"/>
      <x:c r="E2950" s="9" t="str"/>
      <x:c r="F2950" s="13" t="str">
        <x:v>2014</x:v>
      </x:c>
      <x:c r="G2950" s="9" t="str">
        <x:v>England and Wales Court of Appeal (Civil Division)</x:v>
      </x:c>
      <x:c r="H2950" s="9" t="str">
        <x:v>Appellate</x:v>
      </x:c>
      <x:c r="I2950" s="9" t="str">
        <x:v>England and Wales</x:v>
      </x:c>
      <x:c r="J2950" s="9" t="str">
        <x:v>Civil Procedure</x:v>
      </x:c>
      <x:c r="K2950" s="9" t="str">
        <x:v>-ew-cases-EWCA-Civ-2014-1678.xml</x:v>
      </x:c>
      <x:c r="L2950" s="9" t="str">
        <x:v>TBA</x:v>
      </x:c>
    </x:row>
    <x:row r="2951">
      <x:c r="A2951" t="str">
        <x:v>d4d40336-3fe2-4333-b063-e85123923796</x:v>
      </x:c>
      <x:c r="B2951" t="str">
        <x:v>5ede7c36-9e52-4aee-a100-1386778e47dc</x:v>
      </x:c>
      <x:c r="C2951" s="9" t="str">
        <x:v>Shaw v. Grouby &amp; Anor [2017] EWCA Civ 233</x:v>
      </x:c>
      <x:c r="D2951" s="9" t="str"/>
      <x:c r="E2951" s="9" t="str"/>
      <x:c r="F2951" s="13" t="str">
        <x:v>2017</x:v>
      </x:c>
      <x:c r="G2951" s="9" t="str">
        <x:v>England and Wales Court of Appeal (Civil Division)</x:v>
      </x:c>
      <x:c r="H2951" s="9" t="str">
        <x:v>Appellate</x:v>
      </x:c>
      <x:c r="I2951" s="9" t="str">
        <x:v>England and Wales</x:v>
      </x:c>
      <x:c r="J2951" s="9" t="str">
        <x:v>Property Law</x:v>
      </x:c>
      <x:c r="K2951" s="9" t="str">
        <x:v>-ew-cases-EWCA-Civ-2017-233.xml</x:v>
      </x:c>
      <x:c r="L2951" s="9" t="str">
        <x:v>TBA</x:v>
      </x:c>
    </x:row>
    <x:row r="2952">
      <x:c r="A2952" t="str">
        <x:v>21bff4d1-a8be-46a8-bcb1-00bf6de9de29</x:v>
      </x:c>
      <x:c r="B2952" t="str">
        <x:v>776a8070-aa6f-410e-b91e-2e1fcadadb9b</x:v>
      </x:c>
      <x:c r="C2952" s="9" t="str">
        <x:v>Sheakh, R (On the Application Of) v London Borough of Lambeth Council [2022] EWCA Civ 457 (05 April 2022)</x:v>
      </x:c>
      <x:c r="D2952" s="9" t="str"/>
      <x:c r="E2952" s="9" t="str"/>
      <x:c r="F2952" s="13" t="str">
        <x:v>2022</x:v>
      </x:c>
      <x:c r="G2952" s="9" t="str">
        <x:v>England and Wales Court of Appeal (Civil Division)</x:v>
      </x:c>
      <x:c r="H2952" s="9" t="str">
        <x:v>Court of Appeal (Civil Division)</x:v>
      </x:c>
      <x:c r="I2952" s="9" t="str">
        <x:v>England and Wales</x:v>
      </x:c>
      <x:c r="J2952" s="9" t="str">
        <x:v>Administrative Law; Public Law; Equality Law; Transport/Planning</x:v>
      </x:c>
      <x:c r="K2952" s="9" t="str">
        <x:v>ew-cases-EWCA-Civ-2022-457.xml</x:v>
      </x:c>
      <x:c r="L2952" s="9" t="str">
        <x:v>TBA</x:v>
      </x:c>
    </x:row>
    <x:row r="2953">
      <x:c r="A2953" t="str">
        <x:v>d4dd97a9-53f5-406e-bd73-e63f2f513838</x:v>
      </x:c>
      <x:c r="B2953" t="str">
        <x:v>db0bb370-4901-44d9-b300-2d39ec128cb1</x:v>
      </x:c>
      <x:c r="C2953" s="9" t="str">
        <x:v>Shebelle Enterprises Ltd v The Hampstead Garden Suburb Trust Ltd</x:v>
      </x:c>
      <x:c r="D2953" s="9" t="str"/>
      <x:c r="E2953" s="9" t="str"/>
      <x:c r="F2953" s="13" t="str">
        <x:v>2014</x:v>
      </x:c>
      <x:c r="G2953" s="9" t="str">
        <x:v>England and Wales Court of Appeal (Civil Division)</x:v>
      </x:c>
      <x:c r="H2953" s="9" t="str">
        <x:v>Appellate</x:v>
      </x:c>
      <x:c r="I2953" s="9" t="str">
        <x:v>England and Wales</x:v>
      </x:c>
      <x:c r="J2953" s="9" t="str">
        <x:v>Property Law</x:v>
      </x:c>
      <x:c r="K2953" s="9" t="str">
        <x:v>-ew-cases-EWCA-Civ-2014-305.xml</x:v>
      </x:c>
      <x:c r="L2953" s="9" t="str">
        <x:v>TBA</x:v>
      </x:c>
    </x:row>
    <x:row r="2954">
      <x:c r="A2954" t="str">
        <x:v>1d20fa34-282e-452a-a79c-be24a475eefb</x:v>
      </x:c>
      <x:c r="B2954" t="str">
        <x:v>623f5e9b-e499-43dc-9e1a-6ee3aaaa3a34</x:v>
      </x:c>
      <x:c r="C2954" s="9" t="str">
        <x:v>Sheffield City Council v Oliver [2017] EWCA Civ 225</x:v>
      </x:c>
      <x:c r="D2954" s="9" t="str"/>
      <x:c r="E2954" s="9" t="str"/>
      <x:c r="F2954" s="13" t="str">
        <x:v>2017</x:v>
      </x:c>
      <x:c r="G2954" s="9" t="str">
        <x:v>England and Wales Court of Appeal (Civil Division)</x:v>
      </x:c>
      <x:c r="H2954" s="9" t="str">
        <x:v>Appellate</x:v>
      </x:c>
      <x:c r="I2954" s="9" t="str">
        <x:v>England and Wales</x:v>
      </x:c>
      <x:c r="J2954" s="9" t="str">
        <x:v>Property</x:v>
      </x:c>
      <x:c r="K2954" s="9" t="str">
        <x:v>-ew-cases-EWCA-Civ-2017-225.xml</x:v>
      </x:c>
      <x:c r="L2954" s="9" t="str">
        <x:v>TBA</x:v>
      </x:c>
    </x:row>
    <x:row r="2955">
      <x:c r="A2955" t="str">
        <x:v>31f1a184-b698-4082-a517-481442071223</x:v>
      </x:c>
      <x:c r="B2955" t="str">
        <x:v>a264d32d-db9b-47c5-b493-39f83cbded43</x:v>
      </x:c>
      <x:c r="C2955" s="9" t="str">
        <x:v>Sheiling Properties Ltd v Revenue And Customs</x:v>
      </x:c>
      <x:c r="D2955" s="9" t="str"/>
      <x:c r="E2955" s="9" t="str"/>
      <x:c r="F2955" s="13" t="str">
        <x:v>2021</x:v>
      </x:c>
      <x:c r="G2955" s="9" t="str">
        <x:v>England and Wales Court of Appeal (Civil Division)</x:v>
      </x:c>
      <x:c r="H2955" s="9" t="str">
        <x:v>Appellate</x:v>
      </x:c>
      <x:c r="I2955" s="9" t="str">
        <x:v>England and Wales</x:v>
      </x:c>
      <x:c r="J2955" s="9" t="str">
        <x:v>Tax Law</x:v>
      </x:c>
      <x:c r="K2955" s="9" t="str">
        <x:v>ew-cases-EWCA-Civ-2021-1425.xml</x:v>
      </x:c>
      <x:c r="L2955" s="9" t="str">
        <x:v>TBA</x:v>
      </x:c>
    </x:row>
    <x:row r="2956">
      <x:c r="A2956" t="str">
        <x:v>01ec51f6-abc2-413a-b5d3-2113f0069a1b</x:v>
      </x:c>
      <x:c r="B2956" t="str">
        <x:v>65ce9468-a6d8-4d23-87a5-36e1f19001c5</x:v>
      </x:c>
      <x:c r="C2956" s="9" t="str">
        <x:v>Shepherd v Official Receiver [2016] EWCA Civ 671</x:v>
      </x:c>
      <x:c r="D2956" s="9" t="str"/>
      <x:c r="E2956" s="9" t="str"/>
      <x:c r="F2956" s="13" t="str">
        <x:v>2016</x:v>
      </x:c>
      <x:c r="G2956" s="9" t="str">
        <x:v>England and Wales Court of Appeal (Civil Division)</x:v>
      </x:c>
      <x:c r="H2956" s="9" t="str">
        <x:v>Court of Appeal (Civil Division)</x:v>
      </x:c>
      <x:c r="I2956" s="9" t="str">
        <x:v>England and Wales</x:v>
      </x:c>
      <x:c r="J2956" s="9" t="str">
        <x:v>Civil Procedure / Insolvency / Administrative Appeals</x:v>
      </x:c>
      <x:c r="K2956" s="9" t="str">
        <x:v>-ew-cases-EWCA-Civ-2016-671.xml</x:v>
      </x:c>
      <x:c r="L2956" s="9" t="str">
        <x:v>TBA</x:v>
      </x:c>
    </x:row>
    <x:row r="2957">
      <x:c r="A2957" t="str">
        <x:v>f9bf2f7a-381e-4d4e-bfec-ba8b43e67386</x:v>
      </x:c>
      <x:c r="B2957" t="str">
        <x:v>6432249e-27b7-417b-aafc-af99be5f4fde</x:v>
      </x:c>
      <x:c r="C2957" s="9" t="str">
        <x:v>Shield v Shield [2014] EWCA Civ 1136</x:v>
      </x:c>
      <x:c r="D2957" s="9" t="str"/>
      <x:c r="E2957" s="9" t="str"/>
      <x:c r="F2957" s="13" t="str">
        <x:v>2014</x:v>
      </x:c>
      <x:c r="G2957" s="9" t="str">
        <x:v>England and Wales Court of Appeal (Civil Division)</x:v>
      </x:c>
      <x:c r="H2957" s="9" t="str">
        <x:v>Appellate</x:v>
      </x:c>
      <x:c r="I2957" s="9" t="str">
        <x:v>England and Wales</x:v>
      </x:c>
      <x:c r="J2957" s="9" t="str">
        <x:v>Family Law</x:v>
      </x:c>
      <x:c r="K2957" s="9" t="str">
        <x:v>-ew-cases-EWCA-Civ-2014-1136.xml</x:v>
      </x:c>
      <x:c r="L2957" s="9" t="str">
        <x:v>TBA</x:v>
      </x:c>
    </x:row>
    <x:row r="2958">
      <x:c r="A2958" t="str">
        <x:v>721f4e83-43f0-4fc9-a770-7124727eec3f</x:v>
      </x:c>
      <x:c r="B2958" t="str">
        <x:v>f828c7a2-b7ee-4510-89b9-3df713d23b3b</x:v>
      </x:c>
      <x:c r="C2958" s="9" t="str">
        <x:v>Shindler &amp; Anor v Chancellor of the Duchy of Lancaster &amp; Anor [2016] EWCA Civ 469</x:v>
      </x:c>
      <x:c r="D2958" s="9" t="str"/>
      <x:c r="E2958" s="9" t="str"/>
      <x:c r="F2958" s="13" t="str">
        <x:v>2016</x:v>
      </x:c>
      <x:c r="G2958" s="9" t="str">
        <x:v>England and Wales Court of Appeal (Civil Division)</x:v>
      </x:c>
      <x:c r="H2958" s="9" t="str">
        <x:v>Court of Appeal (Civil Division)</x:v>
      </x:c>
      <x:c r="I2958" s="9" t="str">
        <x:v>England and Wales</x:v>
      </x:c>
      <x:c r="J2958" s="9" t="str">
        <x:v>Constitutional and EU Law; Referendum law; Free movement of persons; Sovereignty and constitutional rights</x:v>
      </x:c>
      <x:c r="K2958" s="9" t="str">
        <x:v>-ew-cases-EWCA-Civ-2016-469.xml</x:v>
      </x:c>
      <x:c r="L2958" s="9" t="str">
        <x:v>TBA</x:v>
      </x:c>
    </x:row>
    <x:row r="2959">
      <x:c r="A2959" t="str">
        <x:v>cd594281-2ef0-4429-b785-5bde97e8a991</x:v>
      </x:c>
      <x:c r="B2959" t="str">
        <x:v>d38848d5-b685-4b5f-8093-40563114db3b</x:v>
      </x:c>
      <x:c r="C2959" s="9" t="str">
        <x:v>Shipowners' Mutual Protection and Indemnity Association (Luxembourg) v Containerships Denizcilik Nakliyat ve Ticaret A.S. ("Yusuf Cepnioglu") [2016] EWCA Civ 386</x:v>
      </x:c>
      <x:c r="D2959" s="9" t="str"/>
      <x:c r="E2959" s="9" t="str"/>
      <x:c r="F2959" s="13" t="str">
        <x:v>2016</x:v>
      </x:c>
      <x:c r="G2959" s="9" t="str">
        <x:v>England and Wales Court of Appeal (Civil Division)</x:v>
      </x:c>
      <x:c r="H2959" s="9" t="str">
        <x:v>Court of Appeal (Civil Division)</x:v>
      </x:c>
      <x:c r="I2959" s="9" t="str">
        <x:v>England and Wales</x:v>
      </x:c>
      <x:c r="J2959" s="9" t="str">
        <x:v>Conflict of Laws / International Private Law / Insurance Law</x:v>
      </x:c>
      <x:c r="K2959" s="9" t="str">
        <x:v>-ew-cases-EWCA-Civ-2016-386.xml</x:v>
      </x:c>
      <x:c r="L2959" s="9" t="str">
        <x:v>TBA</x:v>
      </x:c>
    </x:row>
    <x:row r="2960">
      <x:c r="A2960" t="str">
        <x:v>58b4be1d-a2a1-49ba-bf45-d0972fe54e8b</x:v>
      </x:c>
      <x:c r="B2960" t="str">
        <x:v>492a067f-5341-4cca-b7bc-185de6bfd138</x:v>
      </x:c>
      <x:c r="C2960" s="9" t="str">
        <x:v>Shittu v The Home Office [2017] EWCA Civ 1748</x:v>
      </x:c>
      <x:c r="D2960" s="9" t="str"/>
      <x:c r="E2960" s="9" t="str"/>
      <x:c r="F2960" s="13" t="str">
        <x:v>2017</x:v>
      </x:c>
      <x:c r="G2960" s="9" t="str">
        <x:v>England and Wales Court of Appeal (Civil Division)</x:v>
      </x:c>
      <x:c r="H2960" s="9" t="str">
        <x:v>appellate</x:v>
      </x:c>
      <x:c r="I2960" s="9" t="str">
        <x:v>England and Wales</x:v>
      </x:c>
      <x:c r="J2960" s="9" t="str">
        <x:v>Tort</x:v>
      </x:c>
      <x:c r="K2960" s="9" t="str">
        <x:v>-ew-cases-EWCA-Civ-2017-1748.xml</x:v>
      </x:c>
      <x:c r="L2960" s="9" t="str">
        <x:v>TBA</x:v>
      </x:c>
    </x:row>
    <x:row r="2961">
      <x:c r="A2961" t="str">
        <x:v>9c944e49-8158-478a-8017-3caf51eb74d7</x:v>
      </x:c>
      <x:c r="B2961" t="str">
        <x:v>d4b04b48-39d3-4a21-9289-872e5ca0de63</x:v>
      </x:c>
      <x:c r="C2961" s="9" t="str">
        <x:v>Shop Direct Group v Revenue And Customs [2014] EWCA Civ 255</x:v>
      </x:c>
      <x:c r="D2961" s="9" t="str"/>
      <x:c r="E2961" s="9" t="str"/>
      <x:c r="F2961" s="13" t="str">
        <x:v>2014</x:v>
      </x:c>
      <x:c r="G2961" s="9" t="str">
        <x:v>England and Wales Court of Appeal (Civil Division)</x:v>
      </x:c>
      <x:c r="H2961" s="9" t="str">
        <x:v>Appellate</x:v>
      </x:c>
      <x:c r="I2961" s="9" t="str">
        <x:v>England and Wales</x:v>
      </x:c>
      <x:c r="J2961" s="9" t="str">
        <x:v>Tax Law</x:v>
      </x:c>
      <x:c r="K2961" s="9" t="str">
        <x:v>-ew-cases-EWCA-Civ-2014-255.xml</x:v>
      </x:c>
      <x:c r="L2961" s="9" t="str">
        <x:v>TBA</x:v>
      </x:c>
    </x:row>
    <x:row r="2962">
      <x:c r="A2962" t="str">
        <x:v>97f118e4-0e20-41ae-83e5-fdf493ece466</x:v>
      </x:c>
      <x:c r="B2962" t="str">
        <x:v>44e1253f-c03f-4931-b63b-86ed56a94dca</x:v>
      </x:c>
      <x:c r="C2962" s="9" t="str">
        <x:v>Shortt &amp; Anor v Secretary of State for Communities And Local Government &amp; Anor [2015] EWCA Civ 1192</x:v>
      </x:c>
      <x:c r="D2962" s="9" t="str"/>
      <x:c r="E2962" s="9" t="str"/>
      <x:c r="F2962" s="13" t="str">
        <x:v>2015</x:v>
      </x:c>
      <x:c r="G2962" s="9" t="str">
        <x:v>England and Wales Court of Appeal (Civil Division)</x:v>
      </x:c>
      <x:c r="H2962" s="9" t="str">
        <x:v>Appellate</x:v>
      </x:c>
      <x:c r="I2962" s="9" t="str">
        <x:v>England and Wales</x:v>
      </x:c>
      <x:c r="J2962" s="9" t="str">
        <x:v>Administrative Law</x:v>
      </x:c>
      <x:c r="K2962" s="9" t="str">
        <x:v>-ew-cases-EWCA-Civ-2015-1192.xml</x:v>
      </x:c>
      <x:c r="L2962" s="9" t="str">
        <x:v>TBA</x:v>
      </x:c>
    </x:row>
    <x:row r="2963">
      <x:c r="A2963" t="str">
        <x:v>a17fd88c-84ec-46d7-b86a-9569210b9c19</x:v>
      </x:c>
      <x:c r="B2963" t="str">
        <x:v>b6038737-31bb-4cfe-ba4c-5199070a3616</x:v>
      </x:c>
      <x:c r="C2963" s="9" t="str">
        <x:v>Shrestha v Genesis Housing Association Ltd [2015] EWCA Civ 94</x:v>
      </x:c>
      <x:c r="D2963" s="9" t="str"/>
      <x:c r="E2963" s="9" t="str"/>
      <x:c r="F2963" s="13" t="str">
        <x:v>2015</x:v>
      </x:c>
      <x:c r="G2963" s="9" t="str">
        <x:v>England and Wales Court of Appeal (Civil Division)</x:v>
      </x:c>
      <x:c r="H2963" s="9" t="str">
        <x:v>Appellate</x:v>
      </x:c>
      <x:c r="I2963" s="9" t="str">
        <x:v>England and Wales</x:v>
      </x:c>
      <x:c r="J2963" s="9" t="str">
        <x:v>Employment Law</x:v>
      </x:c>
      <x:c r="K2963" s="9" t="str">
        <x:v>-ew-cases-EWCA-Civ-2015-94.xml</x:v>
      </x:c>
      <x:c r="L2963" s="9" t="str">
        <x:v>TBA</x:v>
      </x:c>
    </x:row>
    <x:row r="2964">
      <x:c r="A2964" t="str">
        <x:v>a451e49a-74b5-46cf-a431-01233e275741</x:v>
      </x:c>
      <x:c r="B2964" t="str">
        <x:v>cbcfa66b-8161-4c44-858f-ecd68281fa4e</x:v>
      </x:c>
      <x:c r="C2964" s="9" t="str">
        <x:v>Shyti v Secretary of State for the Home Department [2023] EWCA Civ 770</x:v>
      </x:c>
      <x:c r="D2964" s="9" t="str"/>
      <x:c r="E2964" s="9" t="str"/>
      <x:c r="F2964" s="13" t="str">
        <x:v>2023</x:v>
      </x:c>
      <x:c r="G2964" s="9" t="str">
        <x:v>England and Wales Court of Appeal (Civil Division)</x:v>
      </x:c>
      <x:c r="H2964" s="9" t="str">
        <x:v>Court of Appeal (Civil Division)</x:v>
      </x:c>
      <x:c r="I2964" s="9" t="str">
        <x:v>England and Wales</x:v>
      </x:c>
      <x:c r="J2964" s="9" t="str">
        <x:v>Immigration and Nationality Law</x:v>
      </x:c>
      <x:c r="K2964" s="9" t="str">
        <x:v>ew-cases-EWCA-Civ-2023-770.xml</x:v>
      </x:c>
      <x:c r="L2964" s="9" t="str">
        <x:v>TBA</x:v>
      </x:c>
    </x:row>
    <x:row r="2965">
      <x:c r="A2965" t="str">
        <x:v>6fa83022-3ce1-4d1a-9649-ad050efd3c21</x:v>
      </x:c>
      <x:c r="B2965" t="str">
        <x:v>3e883860-f3b4-47b6-81f0-c3a45e9f2871</x:v>
      </x:c>
      <x:c r="C2965" s="9" t="str">
        <x:v>SI (Bangladesh) v Secretary of State for the Home Department [2015] EWCA Civ 737</x:v>
      </x:c>
      <x:c r="D2965" s="9" t="str"/>
      <x:c r="E2965" s="9" t="str"/>
      <x:c r="F2965" s="13" t="str">
        <x:v>2015</x:v>
      </x:c>
      <x:c r="G2965" s="9" t="str">
        <x:v>England and Wales Court of Appeal (Civil Division)</x:v>
      </x:c>
      <x:c r="H2965" s="9" t="str">
        <x:v>Appellate</x:v>
      </x:c>
      <x:c r="I2965" s="9" t="str">
        <x:v>England and Wales</x:v>
      </x:c>
      <x:c r="J2965" s="9" t="str">
        <x:v>Immigration Law</x:v>
      </x:c>
      <x:c r="K2965" s="9" t="str">
        <x:v>-ew-cases-EWCA-Civ-2015-737.xml</x:v>
      </x:c>
      <x:c r="L2965" s="9" t="str">
        <x:v>TBA</x:v>
      </x:c>
    </x:row>
    <x:row r="2966">
      <x:c r="A2966" t="str">
        <x:v>67b656e6-9595-4993-ae6e-9e09101a007d</x:v>
      </x:c>
      <x:c r="B2966" t="str">
        <x:v>719f1ba8-51e0-4863-a663-5de01e0c23a2</x:v>
      </x:c>
      <x:c r="C2966" s="9" t="str">
        <x:v>SI (India) v Secretary of State for the Home Department [2016] EWCA Civ 1255</x:v>
      </x:c>
      <x:c r="D2966" s="9" t="str"/>
      <x:c r="E2966" s="9" t="str"/>
      <x:c r="F2966" s="13" t="str">
        <x:v>2016</x:v>
      </x:c>
      <x:c r="G2966" s="9" t="str">
        <x:v>England and Wales Court of Appeal (Civil Division)</x:v>
      </x:c>
      <x:c r="H2966" s="9" t="str">
        <x:v>Court of Appeal (Civil Division)</x:v>
      </x:c>
      <x:c r="I2966" s="9" t="str">
        <x:v>England and Wales</x:v>
      </x:c>
      <x:c r="J2966" s="9" t="str">
        <x:v>Immigration Law / Administrative Law</x:v>
      </x:c>
      <x:c r="K2966" s="9" t="str">
        <x:v>-ew-cases-EWCA-Civ-2016-1255.xml</x:v>
      </x:c>
      <x:c r="L2966" s="9" t="str">
        <x:v>TBA</x:v>
      </x:c>
    </x:row>
    <x:row r="2967">
      <x:c r="A2967" t="str">
        <x:v>b55d2ee3-d384-4109-ad78-9918db1e4084</x:v>
      </x:c>
      <x:c r="B2967" t="str">
        <x:v>220ae57b-758e-4604-bbf2-8451348f8e38</x:v>
      </x:c>
      <x:c r="C2967" s="9" t="str">
        <x:v>Sibir Energy Ltd &amp; Ors v Slocom Trading Ltd &amp; Ors [2014] EWCA Civ 831</x:v>
      </x:c>
      <x:c r="D2967" s="9" t="str"/>
      <x:c r="E2967" s="9" t="str"/>
      <x:c r="F2967" s="13" t="str">
        <x:v>2014</x:v>
      </x:c>
      <x:c r="G2967" s="9" t="str">
        <x:v>England and Wales Court of Appeal (Civil Division)</x:v>
      </x:c>
      <x:c r="H2967" s="9" t="str">
        <x:v>Appellate</x:v>
      </x:c>
      <x:c r="I2967" s="9" t="str">
        <x:v>England</x:v>
      </x:c>
      <x:c r="J2967" s="9" t="str">
        <x:v>Contract Dispute</x:v>
      </x:c>
      <x:c r="K2967" s="9" t="str">
        <x:v>-ew-cases-EWCA-Civ-2014-831.xml</x:v>
      </x:c>
      <x:c r="L2967" s="9" t="str">
        <x:v>TBA</x:v>
      </x:c>
    </x:row>
    <x:row r="2968">
      <x:c r="A2968" t="str">
        <x:v>4f5ea68e-b676-4870-b4f5-c9e69e0db22f</x:v>
      </x:c>
      <x:c r="B2968" t="str">
        <x:v>8e2b53f9-cb95-4112-bced-0e4487c87023</x:v>
      </x:c>
      <x:c r="C2968" s="9" t="str">
        <x:v>Sicwebu v Secretary of State for the Home Department [2023] EWCA Civ 550</x:v>
      </x:c>
      <x:c r="D2968" s="9" t="str"/>
      <x:c r="E2968" s="9" t="str"/>
      <x:c r="F2968" s="13" t="str">
        <x:v>2023</x:v>
      </x:c>
      <x:c r="G2968" s="9" t="str">
        <x:v>England and Wales Court of Appeal (Civil Division)</x:v>
      </x:c>
      <x:c r="H2968" s="9" t="str">
        <x:v>Court of Appeal (Civil Division)</x:v>
      </x:c>
      <x:c r="I2968" s="9" t="str">
        <x:v>England and Wales</x:v>
      </x:c>
      <x:c r="J2968" s="9" t="str">
        <x:v>Immigration Law - Deportation and Article 8 ECHR</x:v>
      </x:c>
      <x:c r="K2968" s="9" t="str">
        <x:v>ew-cases-EWCA-Civ-2023-550.xml</x:v>
      </x:c>
      <x:c r="L2968" s="9" t="str">
        <x:v>TBA</x:v>
      </x:c>
    </x:row>
    <x:row r="2969">
      <x:c r="A2969" t="str">
        <x:v>ee9664d5-ac4b-48e2-8e64-1f0b3047f547</x:v>
      </x:c>
      <x:c r="B2969" t="str">
        <x:v>ecdc9823-f7a9-4541-9d7d-8dd141724730</x:v>
      </x:c>
      <x:c r="C2969" s="9" t="str">
        <x:v>Siddique, R (on the application of) v Secretary of State for the Home Department [2016] EWCA Civ 570</x:v>
      </x:c>
      <x:c r="D2969" s="9" t="str"/>
      <x:c r="E2969" s="9" t="str"/>
      <x:c r="F2969" s="13" t="str">
        <x:v>2016</x:v>
      </x:c>
      <x:c r="G2969" s="9" t="str">
        <x:v>England and Wales Court of Appeal (Civil Division)</x:v>
      </x:c>
      <x:c r="H2969" s="9" t="str">
        <x:v>Court of Appeal (Civil Division)</x:v>
      </x:c>
      <x:c r="I2969" s="9" t="str">
        <x:v>England and Wales</x:v>
      </x:c>
      <x:c r="J2969" s="9" t="str">
        <x:v>Immigration / Public Law</x:v>
      </x:c>
      <x:c r="K2969" s="9" t="str">
        <x:v>-ew-cases-EWCA-Civ-2016-570.xml</x:v>
      </x:c>
      <x:c r="L2969" s="9" t="str">
        <x:v>TBA</x:v>
      </x:c>
    </x:row>
    <x:row r="2970">
      <x:c r="A2970" t="str">
        <x:v>9e7a2ff5-f32c-4147-9225-15a43c8b3ef3</x:v>
      </x:c>
      <x:c r="B2970" t="str">
        <x:v>02010104-338a-4b67-8caa-51e59c065468</x:v>
      </x:c>
      <x:c r="C2970" s="9" t="str">
        <x:v>Siddiqui v Siddiqui &amp; Anor [2021] EWCA Civ 1572</x:v>
      </x:c>
      <x:c r="D2970" s="9" t="str"/>
      <x:c r="E2970" s="9" t="str"/>
      <x:c r="F2970" s="13" t="str">
        <x:v>2021</x:v>
      </x:c>
      <x:c r="G2970" s="9" t="str">
        <x:v>England and Wales Court of Appeal (Civil Division)</x:v>
      </x:c>
      <x:c r="H2970" s="9" t="str">
        <x:v>Appellate</x:v>
      </x:c>
      <x:c r="I2970" s="9" t="str">
        <x:v>England and Wales</x:v>
      </x:c>
      <x:c r="J2970" s="9" t="str">
        <x:v>Family Law</x:v>
      </x:c>
      <x:c r="K2970" s="9" t="str">
        <x:v>ew-cases-EWCA-Civ-2021-1572.xml</x:v>
      </x:c>
      <x:c r="L2970" s="9" t="str">
        <x:v>TBA</x:v>
      </x:c>
    </x:row>
    <x:row r="2971">
      <x:c r="A2971" t="str">
        <x:v>d0d956d0-ad2a-470d-9702-1c590ba5942a</x:v>
      </x:c>
      <x:c r="B2971" t="str">
        <x:v>98a141f0-f889-4521-86c4-1b8648867286</x:v>
      </x:c>
      <x:c r="C2971" s="9" t="str">
        <x:v>Silver Fern Microlights Ltd v Jones &amp; Ors [2016] EWCA Civ 277</x:v>
      </x:c>
      <x:c r="D2971" s="9" t="str"/>
      <x:c r="E2971" s="9" t="str"/>
      <x:c r="F2971" s="13" t="str">
        <x:v>2016</x:v>
      </x:c>
      <x:c r="G2971" s="9" t="str">
        <x:v>England and Wales Court of Appeal (Civil Division)</x:v>
      </x:c>
      <x:c r="H2971" s="9" t="str">
        <x:v>Court of Appeal (Civil Division)</x:v>
      </x:c>
      <x:c r="I2971" s="9" t="str">
        <x:v>England and Wales</x:v>
      </x:c>
      <x:c r="J2971" s="9" t="str">
        <x:v>Civil Appeal</x:v>
      </x:c>
      <x:c r="K2971" s="9" t="str">
        <x:v>-ew-cases-EWCA-Civ-2016-277.xml</x:v>
      </x:c>
      <x:c r="L2971" s="9" t="str">
        <x:v>TBA</x:v>
      </x:c>
    </x:row>
    <x:row r="2972">
      <x:c r="A2972" t="str">
        <x:v>1105430b-da3a-42de-ad7c-2fe39e97b6e9</x:v>
      </x:c>
      <x:c r="B2972" t="str">
        <x:v>fb2874e1-024c-4f9b-a34d-98ab5661bb6c</x:v>
      </x:c>
      <x:c r="C2972" s="9" t="str">
        <x:v>Simon v Byford &amp; Ors [2014] EWCA Civ 280</x:v>
      </x:c>
      <x:c r="D2972" s="9" t="str"/>
      <x:c r="E2972" s="9" t="str"/>
      <x:c r="F2972" s="13" t="str">
        <x:v>2014</x:v>
      </x:c>
      <x:c r="G2972" s="9" t="str">
        <x:v>England and Wales Court of Appeal (Civil Division)</x:v>
      </x:c>
      <x:c r="H2972" s="9" t="str">
        <x:v>Appellate</x:v>
      </x:c>
      <x:c r="I2972" s="9" t="str">
        <x:v>England and Wales</x:v>
      </x:c>
      <x:c r="J2972" s="9" t="str">
        <x:v>Probate Dispute</x:v>
      </x:c>
      <x:c r="K2972" s="9" t="str">
        <x:v>-ew-cases-EWCA-Civ-2014-280.xml</x:v>
      </x:c>
      <x:c r="L2972" s="9" t="str">
        <x:v>TBA</x:v>
      </x:c>
    </x:row>
    <x:row r="2973">
      <x:c r="A2973" t="str">
        <x:v>c8aa8499-8867-4abb-8baa-f82291e9c7ab</x:v>
      </x:c>
      <x:c r="B2973" t="str">
        <x:v>87c7b977-526d-42a5-a4b0-81656286dc91</x:v>
      </x:c>
      <x:c r="C2973" s="9" t="str">
        <x:v>Simou v Salliss &amp; Ors [2017] EWCA Civ 312</x:v>
      </x:c>
      <x:c r="D2973" s="9" t="str"/>
      <x:c r="E2973" s="9" t="str"/>
      <x:c r="F2973" s="13" t="str">
        <x:v>2017</x:v>
      </x:c>
      <x:c r="G2973" s="9" t="str">
        <x:v>England and Wales Court of Appeal (Civil Division)</x:v>
      </x:c>
      <x:c r="H2973" s="9" t="str">
        <x:v>Appellate</x:v>
      </x:c>
      <x:c r="I2973" s="9" t="str">
        <x:v>England and Wales</x:v>
      </x:c>
      <x:c r="J2973" s="9" t="str">
        <x:v>Civil Appeal</x:v>
      </x:c>
      <x:c r="K2973" s="9" t="str">
        <x:v>-ew-cases-EWCA-Civ-2017-312.xml</x:v>
      </x:c>
      <x:c r="L2973" s="9" t="str">
        <x:v>TBA</x:v>
      </x:c>
    </x:row>
    <x:row r="2974">
      <x:c r="A2974" t="str">
        <x:v>3f7703ea-b4ba-4105-86ab-00d055212a87</x:v>
      </x:c>
      <x:c r="B2974" t="str">
        <x:v>68148d1a-bb6e-40cc-a949-7deb1d2baaca</x:v>
      </x:c>
      <x:c r="C2974" s="9" t="str">
        <x:v>Simpson v Mirror Group Newspapers Ltd [2016] EWCA Civ 772</x:v>
      </x:c>
      <x:c r="D2974" s="9" t="str"/>
      <x:c r="E2974" s="9" t="str"/>
      <x:c r="F2974" s="13" t="str">
        <x:v>2016</x:v>
      </x:c>
      <x:c r="G2974" s="9" t="str">
        <x:v>England and Wales Court of Appeal (Civil Division)</x:v>
      </x:c>
      <x:c r="H2974" s="9" t="str">
        <x:v>Court of Appeal (Civil Division)</x:v>
      </x:c>
      <x:c r="I2974" s="9" t="str">
        <x:v>England and Wales</x:v>
      </x:c>
      <x:c r="J2974" s="9" t="str">
        <x:v>Defamation Law / Tort</x:v>
      </x:c>
      <x:c r="K2974" s="9" t="str">
        <x:v>-ew-cases-EWCA-Civ-2016-772.xml</x:v>
      </x:c>
      <x:c r="L2974" s="9" t="str">
        <x:v>TBA</x:v>
      </x:c>
    </x:row>
    <x:row r="2975">
      <x:c r="A2975" t="str">
        <x:v>373dfb62-3561-490e-b541-a7cce956b4bc</x:v>
      </x:c>
      <x:c r="B2975" t="str">
        <x:v>2bbce922-1fa3-4d47-8d0f-562ed63d1931</x:v>
      </x:c>
      <x:c r="C2975" s="9" t="str">
        <x:v>Simpson v Simpson [2016] EWCA Civ 1306 (Court of Appeal, Civil Division)</x:v>
      </x:c>
      <x:c r="D2975" s="9" t="str"/>
      <x:c r="E2975" s="9" t="str"/>
      <x:c r="F2975" s="13" t="str">
        <x:v>2016</x:v>
      </x:c>
      <x:c r="G2975" s="9" t="str">
        <x:v>England and Wales Court of Appeal (Civil Division)</x:v>
      </x:c>
      <x:c r="H2975" s="9" t="str">
        <x:v>Court of Appeal (Civil Division)</x:v>
      </x:c>
      <x:c r="I2975" s="9" t="str">
        <x:v>England and Wales</x:v>
      </x:c>
      <x:c r="J2975" s="9" t="str">
        <x:v>Tort - Conversion; Civil Procedure / Case Management</x:v>
      </x:c>
      <x:c r="K2975" s="9" t="str">
        <x:v>-ew-cases-EWCA-Civ-2016-1306.xml</x:v>
      </x:c>
      <x:c r="L2975" s="9" t="str">
        <x:v>TBA</x:v>
      </x:c>
    </x:row>
    <x:row r="2976">
      <x:c r="A2976" t="str">
        <x:v>bf96369f-60a3-4dd7-ac56-ff9db62a3039</x:v>
      </x:c>
      <x:c r="B2976" t="str">
        <x:v>04565701-705d-4f8e-9418-eb16854ce34c</x:v>
      </x:c>
      <x:c r="C2976" s="9" t="str">
        <x:v>Sinclair Gardens Investments (Kensington) Ltd v Ray [2015] EWCA Civ 1247</x:v>
      </x:c>
      <x:c r="D2976" s="9" t="str"/>
      <x:c r="E2976" s="9" t="str"/>
      <x:c r="F2976" s="13" t="str">
        <x:v>2015</x:v>
      </x:c>
      <x:c r="G2976" s="9" t="str">
        <x:v>England and Wales Court of Appeal (Civil Division)</x:v>
      </x:c>
      <x:c r="H2976" s="9" t="str">
        <x:v>Appellate</x:v>
      </x:c>
      <x:c r="I2976" s="9" t="str">
        <x:v>England and Wales</x:v>
      </x:c>
      <x:c r="J2976" s="9" t="str">
        <x:v>Property Law</x:v>
      </x:c>
      <x:c r="K2976" s="9" t="str">
        <x:v>-ew-cases-EWCA-Civ-2015-1247.xml</x:v>
      </x:c>
      <x:c r="L2976" s="9" t="str">
        <x:v>TBA</x:v>
      </x:c>
    </x:row>
    <x:row r="2977">
      <x:c r="A2977" t="str">
        <x:v>24eaf4b7-9d80-4be0-88e8-378f3a3a5689</x:v>
      </x:c>
      <x:c r="B2977" t="str">
        <x:v>2f03453e-8dd7-40a9-9cb0-4be956c3fcbb</x:v>
      </x:c>
      <x:c r="C2977" s="9" t="str">
        <x:v>Singh (India) v Secretary of State for the Home Department</x:v>
      </x:c>
      <x:c r="D2977" s="9" t="str"/>
      <x:c r="E2977" s="9" t="str"/>
      <x:c r="F2977" s="13" t="str">
        <x:v>2017</x:v>
      </x:c>
      <x:c r="G2977" s="9" t="str">
        <x:v>England and Wales Court of Appeal (Civil Division)</x:v>
      </x:c>
      <x:c r="H2977" s="9" t="str">
        <x:v>Appellate</x:v>
      </x:c>
      <x:c r="I2977" s="9" t="str">
        <x:v>England and Wales</x:v>
      </x:c>
      <x:c r="J2977" s="9" t="str">
        <x:v>Immigration Law</x:v>
      </x:c>
      <x:c r="K2977" s="9" t="str">
        <x:v>-ew-cases-EWCA-Civ-2017-362.xml</x:v>
      </x:c>
      <x:c r="L2977" s="9" t="str">
        <x:v>TBA</x:v>
      </x:c>
    </x:row>
    <x:row r="2978">
      <x:c r="A2978" t="str">
        <x:v>107f89ef-24ab-4ed1-b13c-f028362286f8</x:v>
      </x:c>
      <x:c r="B2978" t="str">
        <x:v>94c490be-f617-4e7f-8b87-096fe35ee578</x:v>
      </x:c>
      <x:c r="C2978" s="9" t="str">
        <x:v>Singh &amp; Anor v The Secretary of State for the Home Department [2015] EWCA Civ 630</x:v>
      </x:c>
      <x:c r="D2978" s="9" t="str"/>
      <x:c r="E2978" s="9" t="str"/>
      <x:c r="F2978" s="13" t="str">
        <x:v>2015</x:v>
      </x:c>
      <x:c r="G2978" s="9" t="str">
        <x:v>England and Wales Court of Appeal (Civil Division)</x:v>
      </x:c>
      <x:c r="H2978" s="9" t="str">
        <x:v>appellate</x:v>
      </x:c>
      <x:c r="I2978" s="9" t="str">
        <x:v>England and Wales</x:v>
      </x:c>
      <x:c r="J2978" s="9" t="str">
        <x:v>Immigration Law</x:v>
      </x:c>
      <x:c r="K2978" s="9" t="str">
        <x:v>-ew-cases-EWCA-Civ-2015-630.xml</x:v>
      </x:c>
      <x:c r="L2978" s="9" t="str">
        <x:v>TBA</x:v>
      </x:c>
    </x:row>
    <x:row r="2979">
      <x:c r="A2979" t="str">
        <x:v>eb0508e2-6462-4316-8422-756bffbc642e</x:v>
      </x:c>
      <x:c r="B2979" t="str">
        <x:v>65bb575d-e811-428c-8989-5747bc2f29b5</x:v>
      </x:c>
      <x:c r="C2979" s="9" t="str">
        <x:v>Singh v Dhanji &amp; Anor [2014] EWCA Civ 414</x:v>
      </x:c>
      <x:c r="D2979" s="9" t="str"/>
      <x:c r="E2979" s="9" t="str"/>
      <x:c r="F2979" s="13" t="str">
        <x:v>2014</x:v>
      </x:c>
      <x:c r="G2979" s="9" t="str">
        <x:v>England and Wales Court of Appeal (Civil Division)</x:v>
      </x:c>
      <x:c r="H2979" s="9" t="str">
        <x:v>Appellate</x:v>
      </x:c>
      <x:c r="I2979" s="9" t="str">
        <x:v>England and Wales</x:v>
      </x:c>
      <x:c r="J2979" s="9" t="str">
        <x:v>Landlord-Tenant Dispute</x:v>
      </x:c>
      <x:c r="K2979" s="9" t="str">
        <x:v>-ew-cases-EWCA-Civ-2014-414.xml</x:v>
      </x:c>
      <x:c r="L2979" s="9" t="str">
        <x:v>TBA</x:v>
      </x:c>
    </x:row>
    <x:row r="2980">
      <x:c r="A2980" t="str">
        <x:v>f02e7c96-8fa2-44d5-ad87-4b5c677e509e</x:v>
      </x:c>
      <x:c r="B2980" t="str">
        <x:v>7c848995-f8ac-4d70-9838-204d596bad5a</x:v>
      </x:c>
      <x:c r="C2980" s="9" t="str">
        <x:v>Singh v Secretary of State for the Home Department [2014] EWCA Civ 438</x:v>
      </x:c>
      <x:c r="D2980" s="9" t="str"/>
      <x:c r="E2980" s="9" t="str"/>
      <x:c r="F2980" s="13" t="str">
        <x:v>2014</x:v>
      </x:c>
      <x:c r="G2980" s="9" t="str">
        <x:v>England and Wales Court of Appeal (Civil Division)</x:v>
      </x:c>
      <x:c r="H2980" s="9" t="str">
        <x:v>Appellate</x:v>
      </x:c>
      <x:c r="I2980" s="9" t="str">
        <x:v>England and Wales</x:v>
      </x:c>
      <x:c r="J2980" s="9" t="str">
        <x:v>Administrative Law</x:v>
      </x:c>
      <x:c r="K2980" s="9" t="str">
        <x:v>-ew-cases-EWCA-Civ-2014-438.xml</x:v>
      </x:c>
      <x:c r="L2980" s="9" t="str">
        <x:v>TBA</x:v>
      </x:c>
    </x:row>
    <x:row r="2981">
      <x:c r="A2981" t="str">
        <x:v>d05c4872-961b-4d99-99b9-df71debbdcf6</x:v>
      </x:c>
      <x:c r="B2981" t="str">
        <x:v>262e2c9d-0304-4b0e-84a7-2f61d78e8c4b</x:v>
      </x:c>
      <x:c r="C2981" s="9" t="str">
        <x:v>Singh v Secretary of State for the Home Department [2014] EWCA Civ 932</x:v>
      </x:c>
      <x:c r="D2981" s="9" t="str"/>
      <x:c r="E2981" s="9" t="str"/>
      <x:c r="F2981" s="13" t="str">
        <x:v>2014</x:v>
      </x:c>
      <x:c r="G2981" s="9" t="str">
        <x:v>England and Wales Court of Appeal (Civil Division)</x:v>
      </x:c>
      <x:c r="H2981" s="9" t="str">
        <x:v>Appellate</x:v>
      </x:c>
      <x:c r="I2981" s="9" t="str">
        <x:v>England and Wales</x:v>
      </x:c>
      <x:c r="J2981" s="9" t="str">
        <x:v>Immigration Law</x:v>
      </x:c>
      <x:c r="K2981" s="9" t="str">
        <x:v>-ew-cases-EWCA-Civ-2014-932.xml</x:v>
      </x:c>
      <x:c r="L2981" s="9" t="str">
        <x:v>TBA</x:v>
      </x:c>
    </x:row>
    <x:row r="2982">
      <x:c r="A2982" t="str">
        <x:v>28807865-4ea9-4b17-999a-1c761f0d2c0b</x:v>
      </x:c>
      <x:c r="B2982" t="str">
        <x:v>cbb3f96c-d882-4579-9e20-e55ba51bc6a7</x:v>
      </x:c>
      <x:c r="C2982" s="9" t="str">
        <x:v>Singh v Secretary of State for the Home Department [2022] EWCA Civ 1054</x:v>
      </x:c>
      <x:c r="D2982" s="9" t="str"/>
      <x:c r="E2982" s="9" t="str"/>
      <x:c r="F2982" s="13" t="str">
        <x:v>2022</x:v>
      </x:c>
      <x:c r="G2982" s="9" t="str">
        <x:v>England and Wales Court of Appeal (Civil Division)</x:v>
      </x:c>
      <x:c r="H2982" s="9" t="str">
        <x:v>Court of Appeal (Civil Division)</x:v>
      </x:c>
      <x:c r="I2982" s="9" t="str">
        <x:v>England and Wales</x:v>
      </x:c>
      <x:c r="J2982" s="9" t="str">
        <x:v>Immigration Law / Public Administrative Law</x:v>
      </x:c>
      <x:c r="K2982" s="9" t="str">
        <x:v>ew-cases-EWCA-Civ-2022-1054.xml</x:v>
      </x:c>
      <x:c r="L2982" s="9" t="str">
        <x:v>TBA</x:v>
      </x:c>
    </x:row>
    <x:row r="2983">
      <x:c r="A2983" t="str">
        <x:v>5cdb5d6b-5871-4652-8d83-0b8a677718f9</x:v>
      </x:c>
      <x:c r="B2983" t="str">
        <x:v>2c599c42-fc71-4edc-b942-6d0f11eb02c2</x:v>
      </x:c>
      <x:c r="C2983" s="9" t="str">
        <x:v>Singh v Sinel [2016] EWCA Civ 387</x:v>
      </x:c>
      <x:c r="D2983" s="9" t="str"/>
      <x:c r="E2983" s="9" t="str"/>
      <x:c r="F2983" s="13" t="str">
        <x:v>2016</x:v>
      </x:c>
      <x:c r="G2983" s="9" t="str">
        <x:v>England and Wales Court of Appeal (Civil Division)</x:v>
      </x:c>
      <x:c r="H2983" s="9" t="str">
        <x:v>Court of Appeal (Civil Division)</x:v>
      </x:c>
      <x:c r="I2983" s="9" t="str">
        <x:v>England and Wales</x:v>
      </x:c>
      <x:c r="J2983" s="9" t="str">
        <x:v>Costs/Fees - Quantum and Summary Assessment</x:v>
      </x:c>
      <x:c r="K2983" s="9" t="str">
        <x:v>-ew-cases-EWCA-Civ-2016-387.xml</x:v>
      </x:c>
      <x:c r="L2983" s="9" t="str">
        <x:v>TBA</x:v>
      </x:c>
    </x:row>
    <x:row r="2984">
      <x:c r="A2984" t="str">
        <x:v>543be0b8-91a6-4f61-9b60-860a4aef38c0</x:v>
      </x:c>
      <x:c r="B2984" t="str">
        <x:v>157d02a6-680c-4b7b-8b6b-071b8b7c0c29</x:v>
      </x:c>
      <x:c r="C2984" s="9" t="str">
        <x:v>Singh v The Secretary of State for the Home Department</x:v>
      </x:c>
      <x:c r="D2984" s="9" t="str"/>
      <x:c r="E2984" s="9" t="str"/>
      <x:c r="F2984" s="13" t="str">
        <x:v>2015</x:v>
      </x:c>
      <x:c r="G2984" s="9" t="str">
        <x:v>England and Wales Court of Appeal (Civil Division)</x:v>
      </x:c>
      <x:c r="H2984" s="9" t="str">
        <x:v>Appellate</x:v>
      </x:c>
      <x:c r="I2984" s="9" t="str">
        <x:v>England and Wales</x:v>
      </x:c>
      <x:c r="J2984" s="9" t="str">
        <x:v>Immigration Law</x:v>
      </x:c>
      <x:c r="K2984" s="9" t="str">
        <x:v>-ew-cases-EWCA-Civ-2015-74.xml</x:v>
      </x:c>
      <x:c r="L2984" s="9" t="str">
        <x:v>TBA</x:v>
      </x:c>
    </x:row>
    <x:row r="2985">
      <x:c r="A2985" t="str">
        <x:v>0cbe8c2d-d579-489e-959a-b1cf6cfc9a24</x:v>
      </x:c>
      <x:c r="B2985" t="str">
        <x:v>e7ecab18-0885-4ce3-962b-8314ef8034b7</x:v>
      </x:c>
      <x:c r="C2985" s="9" t="str">
        <x:v>Singh v The Secretary of State for the Home Department [2016] EWCA Civ 492</x:v>
      </x:c>
      <x:c r="D2985" s="9" t="str"/>
      <x:c r="E2985" s="9" t="str"/>
      <x:c r="F2985" s="13" t="str">
        <x:v>2016</x:v>
      </x:c>
      <x:c r="G2985" s="9" t="str">
        <x:v>England and Wales Court of Appeal (Civil Division)</x:v>
      </x:c>
      <x:c r="H2985" s="9" t="str">
        <x:v>Court of Appeal (Civil Division)</x:v>
      </x:c>
      <x:c r="I2985" s="9" t="str">
        <x:v>England and Wales</x:v>
      </x:c>
      <x:c r="J2985" s="9" t="str">
        <x:v>Administrative Law / Immigration Law (Judicial Conduct)</x:v>
      </x:c>
      <x:c r="K2985" s="9" t="str">
        <x:v>-ew-cases-EWCA-Civ-2016-492.xml</x:v>
      </x:c>
      <x:c r="L2985" s="9" t="str">
        <x:v>TBA</x:v>
      </x:c>
    </x:row>
    <x:row r="2986">
      <x:c r="A2986" t="str">
        <x:v>df29c6ca-9e82-4352-a087-79d50f26ccbc</x:v>
      </x:c>
      <x:c r="B2986" t="str">
        <x:v>2c47986c-82f6-4ffd-9cb8-760af7cf51e7</x:v>
      </x:c>
      <x:c r="C2986" s="9" t="str">
        <x:v>Singha v Heer [2016] EWCA Civ 424 (16 February 2016)</x:v>
      </x:c>
      <x:c r="D2986" s="9" t="str"/>
      <x:c r="E2986" s="9" t="str"/>
      <x:c r="F2986" s="13" t="str">
        <x:v>2016</x:v>
      </x:c>
      <x:c r="G2986" s="9" t="str">
        <x:v>England and Wales Court of Appeal (Civil Division)</x:v>
      </x:c>
      <x:c r="H2986" s="9" t="str">
        <x:v>Court of Appeal (Civil Division)</x:v>
      </x:c>
      <x:c r="I2986" s="9" t="str">
        <x:v>England and Wales</x:v>
      </x:c>
      <x:c r="J2986" s="9" t="str">
        <x:v>Property and Trusts</x:v>
      </x:c>
      <x:c r="K2986" s="9" t="str">
        <x:v>-ew-cases-EWCA-Civ-2016-424.xml</x:v>
      </x:c>
      <x:c r="L2986" s="9" t="str">
        <x:v>TBA</x:v>
      </x:c>
    </x:row>
    <x:row r="2987">
      <x:c r="A2987" t="str">
        <x:v>f04da3e5-bc81-4c23-9ce9-356eb1300766</x:v>
      </x:c>
      <x:c r="B2987" t="str">
        <x:v>11537398-46ca-4003-b0b6-add0dcf0a2fe</x:v>
      </x:c>
      <x:c r="C2987" s="9" t="str">
        <x:v>Sino Channel Asia Ltd v Dana Shipping &amp; Trading PTE Singapore &amp; Anor</x:v>
      </x:c>
      <x:c r="D2987" s="9" t="str"/>
      <x:c r="E2987" s="9" t="str"/>
      <x:c r="F2987" s="13" t="str">
        <x:v>2017</x:v>
      </x:c>
      <x:c r="G2987" s="9" t="str">
        <x:v>England and Wales Court of Appeal (Civil Division)</x:v>
      </x:c>
      <x:c r="H2987" s="9" t="str">
        <x:v>Appellate</x:v>
      </x:c>
      <x:c r="I2987" s="9" t="str">
        <x:v>England and Wales</x:v>
      </x:c>
      <x:c r="J2987" s="9" t="str">
        <x:v>Arbitration</x:v>
      </x:c>
      <x:c r="K2987" s="9" t="str">
        <x:v>-ew-cases-EWCA-Civ-2017-1703.xml</x:v>
      </x:c>
      <x:c r="L2987" s="9" t="str">
        <x:v>TBA</x:v>
      </x:c>
    </x:row>
    <x:row r="2988">
      <x:c r="A2988" t="str">
        <x:v>f1a73456-f50c-45ea-9764-b78173db7812</x:v>
      </x:c>
      <x:c r="B2988" t="str">
        <x:v>d1502f02-54c2-4ad2-86b3-72cdd5286574</x:v>
      </x:c>
      <x:c r="C2988" s="9" t="str">
        <x:v>Sivier v Riley [2021] EWCA Civ 713</x:v>
      </x:c>
      <x:c r="D2988" s="9" t="str"/>
      <x:c r="E2988" s="9" t="str"/>
      <x:c r="F2988" s="13" t="str">
        <x:v>2021</x:v>
      </x:c>
      <x:c r="G2988" s="9" t="str">
        <x:v>England and Wales Court of Appeal (Civil Division)</x:v>
      </x:c>
      <x:c r="H2988" s="9" t="str">
        <x:v>Appellate</x:v>
      </x:c>
      <x:c r="I2988" s="9" t="str">
        <x:v>England and Wales</x:v>
      </x:c>
      <x:c r="J2988" s="9" t="str">
        <x:v>Defamation</x:v>
      </x:c>
      <x:c r="K2988" s="9" t="str">
        <x:v>ew-cases-EWCA-Civ-2021-713.xml</x:v>
      </x:c>
      <x:c r="L2988" s="9" t="str">
        <x:v>TBA</x:v>
      </x:c>
    </x:row>
    <x:row r="2989">
      <x:c r="A2989" t="str">
        <x:v>fc5438f5-1c70-46db-9e21-052420798687</x:v>
      </x:c>
      <x:c r="B2989" t="str">
        <x:v>c027b0a0-d4f3-4963-a4ab-08c32b2d5b9c</x:v>
      </x:c>
      <x:c r="C2989" s="9" t="str">
        <x:v>SK (Bangladesh) v Secretary of State for the Home Department [2015] EWCA Civ 756</x:v>
      </x:c>
      <x:c r="D2989" s="9" t="str"/>
      <x:c r="E2989" s="9" t="str"/>
      <x:c r="F2989" s="13" t="str">
        <x:v>2015</x:v>
      </x:c>
      <x:c r="G2989" s="9" t="str">
        <x:v>England and Wales Court of Appeal (Civil Division)</x:v>
      </x:c>
      <x:c r="H2989" s="9" t="str">
        <x:v>Appellate</x:v>
      </x:c>
      <x:c r="I2989" s="9" t="str">
        <x:v>England &amp; Wales</x:v>
      </x:c>
      <x:c r="J2989" s="9" t="str">
        <x:v>Immigration</x:v>
      </x:c>
      <x:c r="K2989" s="9" t="str">
        <x:v>-ew-cases-EWCA-Civ-2015-756.xml</x:v>
      </x:c>
      <x:c r="L2989" s="9" t="str">
        <x:v>TBA</x:v>
      </x:c>
    </x:row>
    <x:row r="2990">
      <x:c r="A2990" t="str">
        <x:v>1bd2521c-3b5e-452a-b65a-ec5105af4d4e</x:v>
      </x:c>
      <x:c r="B2990" t="str">
        <x:v>c7b23b4d-6f34-4d74-bc9b-1603c40f627e</x:v>
      </x:c>
      <x:c r="C2990" s="9" t="str">
        <x:v>SK Shipping Europe Limited v Capital VLCC 3 Corp [2022] EWCA Civ 231</x:v>
      </x:c>
      <x:c r="D2990" s="9" t="str"/>
      <x:c r="E2990" s="9" t="str"/>
      <x:c r="F2990" s="13" t="str">
        <x:v>2022</x:v>
      </x:c>
      <x:c r="G2990" s="9" t="str">
        <x:v>England and Wales Court of Appeal (Civil Division)</x:v>
      </x:c>
      <x:c r="H2990" s="9" t="str">
        <x:v>Court of Appeal (Civil Division)</x:v>
      </x:c>
      <x:c r="I2990" s="9" t="str">
        <x:v>England and Wales</x:v>
      </x:c>
      <x:c r="J2990" s="9" t="str">
        <x:v>Contract Dispute</x:v>
      </x:c>
      <x:c r="K2990" s="9" t="str">
        <x:v>ew-cases-EWCA-Civ-2022-231.xml</x:v>
      </x:c>
      <x:c r="L2990" s="9" t="str">
        <x:v>TBA</x:v>
      </x:c>
    </x:row>
    <x:row r="2991">
      <x:c r="A2991" t="str">
        <x:v>3796bca4-a13a-4598-aa87-e620cfb203ef</x:v>
      </x:c>
      <x:c r="B2991" t="str">
        <x:v>67ecf63e-9f8a-4725-bec5-52123d081a70</x:v>
      </x:c>
      <x:c r="C2991" s="9" t="str">
        <x:v>Skatteforvaltningen v Solo Capital Partners LLP [2022] EWCA Civ 234</x:v>
      </x:c>
      <x:c r="D2991" s="9" t="str"/>
      <x:c r="E2991" s="9" t="str"/>
      <x:c r="F2991" s="13" t="str">
        <x:v>2022</x:v>
      </x:c>
      <x:c r="G2991" s="9" t="str">
        <x:v>England and Wales Court of Appeal (Civil Division)</x:v>
      </x:c>
      <x:c r="H2991" s="9" t="str">
        <x:v>Court of Appeal</x:v>
      </x:c>
      <x:c r="I2991" s="9" t="str">
        <x:v>England and Wales</x:v>
      </x:c>
      <x:c r="J2991" s="9" t="str">
        <x:v>Civil Dispute / Conflict of Laws / International Law</x:v>
      </x:c>
      <x:c r="K2991" s="9" t="str">
        <x:v>ew-cases-EWCA-Civ-2022-234.xml</x:v>
      </x:c>
      <x:c r="L2991" s="9" t="str">
        <x:v>TBA</x:v>
      </x:c>
    </x:row>
    <x:row r="2992">
      <x:c r="A2992" t="str">
        <x:v>e59385e9-3783-4323-9a4e-f57f8b1453a9</x:v>
      </x:c>
      <x:c r="B2992" t="str">
        <x:v>6c4e3d25-3ccd-49dd-a000-b11be0d6288d</x:v>
      </x:c>
      <x:c r="C2992" s="9" t="str">
        <x:v>Skelmersdale Ltd Partnership, R (On the Application Of) v West Lancashire Borough Council &amp; Anor [2016] EWCA Civ 1260</x:v>
      </x:c>
      <x:c r="D2992" s="9" t="str"/>
      <x:c r="E2992" s="9" t="str"/>
      <x:c r="F2992" s="13" t="str">
        <x:v>2016</x:v>
      </x:c>
      <x:c r="G2992" s="9" t="str">
        <x:v>England and Wales Court of Appeal (Civil Division)</x:v>
      </x:c>
      <x:c r="H2992" s="9" t="str">
        <x:v>Court of Appeal</x:v>
      </x:c>
      <x:c r="I2992" s="9" t="str">
        <x:v>England and Wales</x:v>
      </x:c>
      <x:c r="J2992" s="9" t="str">
        <x:v>Planning Law / Administrative Law</x:v>
      </x:c>
      <x:c r="K2992" s="9" t="str">
        <x:v>-ew-cases-EWCA-Civ-2016-1260.xml</x:v>
      </x:c>
      <x:c r="L2992" s="9" t="str">
        <x:v>TBA</x:v>
      </x:c>
    </x:row>
    <x:row r="2993">
      <x:c r="A2993" t="str">
        <x:v>771f64a6-34f5-49d6-9c18-64ccae63becc</x:v>
      </x:c>
      <x:c r="B2993" t="str">
        <x:v>c23b2756-1915-480c-9a3d-e10cc039bf8d</x:v>
      </x:c>
      <x:c r="C2993" s="9" t="str">
        <x:v>Skelton v DBS Homes (Kings Hill) Ltd</x:v>
      </x:c>
      <x:c r="D2993" s="9" t="str"/>
      <x:c r="E2993" s="9" t="str"/>
      <x:c r="F2993" s="13" t="str">
        <x:v>2017</x:v>
      </x:c>
      <x:c r="G2993" s="9" t="str">
        <x:v>England and Wales Court of Appeal (Civil Division)</x:v>
      </x:c>
      <x:c r="H2993" s="9" t="str">
        <x:v>Appellate</x:v>
      </x:c>
      <x:c r="I2993" s="9" t="str">
        <x:v>England and Wales</x:v>
      </x:c>
      <x:c r="J2993" s="9" t="str">
        <x:v>Real Property</x:v>
      </x:c>
      <x:c r="K2993" s="9" t="str">
        <x:v>-ew-cases-EWCA-Civ-2017-1139.xml</x:v>
      </x:c>
      <x:c r="L2993" s="9" t="str">
        <x:v>TBA</x:v>
      </x:c>
    </x:row>
    <x:row r="2994">
      <x:c r="A2994" t="str">
        <x:v>f9d5bc19-e179-4949-b38c-0611284ae437</x:v>
      </x:c>
      <x:c r="B2994" t="str">
        <x:v>890029e3-5850-4eb7-8ea7-49d075f0ae77</x:v>
      </x:c>
      <x:c r="C2994" s="9" t="str">
        <x:v>Skrzynski &amp; Anor v The Commissioner of Police for the Metropolis</x:v>
      </x:c>
      <x:c r="D2994" s="9" t="str"/>
      <x:c r="E2994" s="9" t="str"/>
      <x:c r="F2994" s="13" t="str">
        <x:v>2014</x:v>
      </x:c>
      <x:c r="G2994" s="9" t="str">
        <x:v>England and Wales Court of Appeal (Civil Division)</x:v>
      </x:c>
      <x:c r="H2994" s="9" t="str">
        <x:v>appellate</x:v>
      </x:c>
      <x:c r="I2994" s="9" t="str">
        <x:v>England and Wales</x:v>
      </x:c>
      <x:c r="J2994" s="9" t="str">
        <x:v>Tort</x:v>
      </x:c>
      <x:c r="K2994" s="9" t="str">
        <x:v>-ew-cases-EWCA-Civ-2014-9.xml</x:v>
      </x:c>
      <x:c r="L2994" s="9" t="str">
        <x:v>TBA</x:v>
      </x:c>
    </x:row>
    <x:row r="2995">
      <x:c r="A2995" t="str">
        <x:v>f1277c93-9e8f-48fd-bbaf-62bf9e895049</x:v>
      </x:c>
      <x:c r="B2995" t="str">
        <x:v>e83e0936-681d-49ab-b160-94789efc1f40</x:v>
      </x:c>
      <x:c r="C2995" s="9" t="str">
        <x:v>Sky Blue Sports &amp; Leisure Ltd &amp; Anor v Arena Coventry Ltd &amp; Anor [2016] EWCA Civ 453</x:v>
      </x:c>
      <x:c r="D2995" s="9" t="str"/>
      <x:c r="E2995" s="9" t="str"/>
      <x:c r="F2995" s="13" t="str">
        <x:v>2016</x:v>
      </x:c>
      <x:c r="G2995" s="9" t="str">
        <x:v>England and Wales Court of Appeal (Civil Division)</x:v>
      </x:c>
      <x:c r="H2995" s="9" t="str">
        <x:v>Court of Appeal (Civil Division)</x:v>
      </x:c>
      <x:c r="I2995" s="9" t="str">
        <x:v>England and Wales Courts</x:v>
      </x:c>
      <x:c r="J2995" s="9" t="str">
        <x:v>Administrative Law; Public Law; EU State Aid</x:v>
      </x:c>
      <x:c r="K2995" s="9" t="str">
        <x:v>-ew-cases-EWCA-Civ-2016-453.xml</x:v>
      </x:c>
      <x:c r="L2995" s="9" t="str">
        <x:v>TBA</x:v>
      </x:c>
    </x:row>
    <x:row r="2996">
      <x:c r="A2996" t="str">
        <x:v>fa4d97d6-d499-4810-89e4-dd821f38a17a</x:v>
      </x:c>
      <x:c r="B2996" t="str">
        <x:v>0dd77b72-25b9-498c-a445-0b01293050a8</x:v>
      </x:c>
      <x:c r="C2996" s="9" t="str">
        <x:v>Sky Ltd &amp; Ors v Skykick, UK Ltd &amp; Anor</x:v>
      </x:c>
      <x:c r="D2996" s="9" t="str"/>
      <x:c r="E2996" s="9" t="str"/>
      <x:c r="F2996" s="13" t="str">
        <x:v>2021</x:v>
      </x:c>
      <x:c r="G2996" s="9" t="str">
        <x:v>England and Wales Court of Appeal (Civil Division)</x:v>
      </x:c>
      <x:c r="H2996" s="9" t="str">
        <x:v>Appellate Court</x:v>
      </x:c>
      <x:c r="I2996" s="9" t="str">
        <x:v>England and Wales</x:v>
      </x:c>
      <x:c r="J2996" s="9" t="str">
        <x:v>Intellectual Property</x:v>
      </x:c>
      <x:c r="K2996" s="9" t="str">
        <x:v>ew-cases-EWCA-Civ-2021-1121.xml</x:v>
      </x:c>
      <x:c r="L2996" s="9" t="str">
        <x:v>TBA</x:v>
      </x:c>
    </x:row>
    <x:row r="2997">
      <x:c r="A2997" t="str">
        <x:v>a9723946-fed2-47d6-8324-57afdd420eee</x:v>
      </x:c>
      <x:c r="B2997" t="str">
        <x:v>5b87b353-2d9c-4c36-9490-a921ebe36e58</x:v>
      </x:c>
      <x:c r="C2997" s="9" t="str">
        <x:v>Slattery v Basildon Borough Council [2014] EWCA Civ 30</x:v>
      </x:c>
      <x:c r="D2997" s="9" t="str"/>
      <x:c r="E2997" s="9" t="str"/>
      <x:c r="F2997" s="13" t="str">
        <x:v>2014</x:v>
      </x:c>
      <x:c r="G2997" s="9" t="str">
        <x:v>England and Wales Court of Appeal (Civil Division)</x:v>
      </x:c>
      <x:c r="H2997" s="9" t="str">
        <x:v>Appellate</x:v>
      </x:c>
      <x:c r="I2997" s="9" t="str">
        <x:v>England and Wales</x:v>
      </x:c>
      <x:c r="J2997" s="9" t="str">
        <x:v>Housing Law</x:v>
      </x:c>
      <x:c r="K2997" s="9" t="str">
        <x:v>-ew-cases-EWCA-Civ-2014-30.xml</x:v>
      </x:c>
      <x:c r="L2997" s="9" t="str">
        <x:v>TBA</x:v>
      </x:c>
    </x:row>
    <x:row r="2998">
      <x:c r="A2998" t="str">
        <x:v>f90a28bf-cc94-4ae2-a57c-3674f6b62ea8</x:v>
      </x:c>
      <x:c r="B2998" t="str">
        <x:v>99dca792-26d3-4e44-9cce-0419d6a1d62f</x:v>
      </x:c>
      <x:c r="C2998" s="9" t="str">
        <x:v>Sloan v The Governors of Rastrick High School [2014] EWCA Civ 1063</x:v>
      </x:c>
      <x:c r="D2998" s="9" t="str"/>
      <x:c r="E2998" s="9" t="str"/>
      <x:c r="F2998" s="13" t="str">
        <x:v>2014</x:v>
      </x:c>
      <x:c r="G2998" s="9" t="str">
        <x:v>England and Wales Court of Appeal (Civil Division)</x:v>
      </x:c>
      <x:c r="H2998" s="9" t="str">
        <x:v>Appellate</x:v>
      </x:c>
      <x:c r="I2998" s="9" t="str">
        <x:v>England and Wales</x:v>
      </x:c>
      <x:c r="J2998" s="9" t="str">
        <x:v>Employment Law</x:v>
      </x:c>
      <x:c r="K2998" s="9" t="str">
        <x:v>-ew-cases-EWCA-Civ-2014-1063.xml</x:v>
      </x:c>
      <x:c r="L2998" s="9" t="str">
        <x:v>TBA</x:v>
      </x:c>
    </x:row>
    <x:row r="2999">
      <x:c r="A2999" t="str">
        <x:v>e633a91d-ea6c-4b50-9ebf-1d3eb89eeb23</x:v>
      </x:c>
      <x:c r="B2999" t="str">
        <x:v>7bfdc5a2-597d-41fa-b50f-5b7ea5ce2dfe</x:v>
      </x:c>
      <x:c r="C2999" s="9" t="str">
        <x:v>SM (Algeria) v Entry Clearance Officer, UK Visa Section - Appeal Decision on EEA Family Permit</x:v>
      </x:c>
      <x:c r="D2999" s="9" t="str"/>
      <x:c r="E2999" s="9" t="str"/>
      <x:c r="F2999" s="13" t="str">
        <x:v>2015</x:v>
      </x:c>
      <x:c r="G2999" s="9" t="str">
        <x:v>England and Wales Court of Appeal (Civil Division)</x:v>
      </x:c>
      <x:c r="H2999" s="9" t="str">
        <x:v>Appellate</x:v>
      </x:c>
      <x:c r="I2999" s="9" t="str">
        <x:v>England and Wales</x:v>
      </x:c>
      <x:c r="J2999" s="9" t="str">
        <x:v>Immigration Law</x:v>
      </x:c>
      <x:c r="K2999" s="9" t="str">
        <x:v>-ew-cases-EWCA-Civ-2015-1109.xml</x:v>
      </x:c>
      <x:c r="L2999" s="9" t="str">
        <x:v>TBA</x:v>
      </x:c>
    </x:row>
    <x:row r="3000">
      <x:c r="A3000" t="str">
        <x:v>b89e35e3-b576-4e60-a370-d82e9d435ab2</x:v>
      </x:c>
      <x:c r="B3000" t="str">
        <x:v>473a5195-db20-4ad3-8e42-e6443b83dc1d</x:v>
      </x:c>
      <x:c r="C3000" s="9" t="str">
        <x:v>SM (Bulgaria) v Secretary of State for the Home Department</x:v>
      </x:c>
      <x:c r="D3000" s="9" t="str"/>
      <x:c r="E3000" s="9" t="str"/>
      <x:c r="F3000" s="13" t="str">
        <x:v>2015</x:v>
      </x:c>
      <x:c r="G3000" s="9" t="str">
        <x:v>England and Wales Court of Appeal (Civil Division)</x:v>
      </x:c>
      <x:c r="H3000" s="9" t="str">
        <x:v>Appellate</x:v>
      </x:c>
      <x:c r="I3000" s="9" t="str">
        <x:v>UK</x:v>
      </x:c>
      <x:c r="J3000" s="9" t="str">
        <x:v>Immigration Law</x:v>
      </x:c>
      <x:c r="K3000" s="9" t="str">
        <x:v>-ew-cases-EWCA-Civ-2015-1409.xml</x:v>
      </x:c>
      <x:c r="L3000" s="9" t="str">
        <x:v>TBA</x:v>
      </x:c>
    </x:row>
    <x:row r="3001">
      <x:c r="A3001" t="str">
        <x:v>1a84000b-53ff-446f-8552-41b80a0a92db</x:v>
      </x:c>
      <x:c r="B3001" t="str">
        <x:v>ffc65e68-8a19-4547-98fd-078eed4abc79</x:v>
      </x:c>
      <x:c r="C3001" s="9" t="str">
        <x:v>SM (Georgia), R (on the application of) v Secretary of State for the Home Department</x:v>
      </x:c>
      <x:c r="D3001" s="9" t="str"/>
      <x:c r="E3001" s="9" t="str"/>
      <x:c r="F3001" s="13" t="str">
        <x:v>2015</x:v>
      </x:c>
      <x:c r="G3001" s="9" t="str">
        <x:v>England and Wales Court of Appeal (Civil Division)</x:v>
      </x:c>
      <x:c r="H3001" s="9" t="str">
        <x:v>appellate</x:v>
      </x:c>
      <x:c r="I3001" s="9" t="str">
        <x:v>England and Wales</x:v>
      </x:c>
      <x:c r="J3001" s="9" t="str">
        <x:v>Immigration Law</x:v>
      </x:c>
      <x:c r="K3001" s="9" t="str">
        <x:v>-ew-cases-EWCA-Civ-2015-1223.xml</x:v>
      </x:c>
      <x:c r="L3001" s="9" t="str">
        <x:v>TBA</x:v>
      </x:c>
    </x:row>
    <x:row r="3002">
      <x:c r="A3002" t="str">
        <x:v>21402cb1-c8b7-4489-80d0-9b4ea28f83c7</x:v>
      </x:c>
      <x:c r="B3002" t="str">
        <x:v>f2e1d5bb-2b6f-4bad-b26e-ea5212ebeda2</x:v>
      </x:c>
      <x:c r="C3002" s="9" t="str">
        <x:v>SM (Pakistan) v Secretary of State for the Home Department [2016] EWCA Civ 283</x:v>
      </x:c>
      <x:c r="D3002" s="9" t="str"/>
      <x:c r="E3002" s="9" t="str"/>
      <x:c r="F3002" s="13" t="str">
        <x:v>2016</x:v>
      </x:c>
      <x:c r="G3002" s="9" t="str">
        <x:v>England and Wales Court of Appeal (Civil Division)</x:v>
      </x:c>
      <x:c r="H3002" s="9" t="str">
        <x:v>Court of Appeal (Civil Division)</x:v>
      </x:c>
      <x:c r="I3002" s="9" t="str">
        <x:v>England and Wales</x:v>
      </x:c>
      <x:c r="J3002" s="9" t="str">
        <x:v>Appeal / Administrative Law / Immigration</x:v>
      </x:c>
      <x:c r="K3002" s="9" t="str">
        <x:v>-ew-cases-EWCA-Civ-2016-283.xml</x:v>
      </x:c>
      <x:c r="L3002" s="9" t="str">
        <x:v>TBA</x:v>
      </x:c>
    </x:row>
    <x:row r="3003">
      <x:c r="A3003" t="str">
        <x:v>0d9ecccf-dae4-4af7-8515-2bdc585682e8</x:v>
      </x:c>
      <x:c r="B3003" t="str">
        <x:v>fbf85e80-1d04-4bb3-bfc9-de0cf10cb317</x:v>
      </x:c>
      <x:c r="C3003" s="9" t="str">
        <x:v>SM (Pakistan) v the Secretary of State for the Home Department [2015] EWCA Civ 738</x:v>
      </x:c>
      <x:c r="D3003" s="9" t="str"/>
      <x:c r="E3003" s="9" t="str"/>
      <x:c r="F3003" s="13" t="str">
        <x:v>2015</x:v>
      </x:c>
      <x:c r="G3003" s="9" t="str">
        <x:v>England and Wales Court of Appeal (Civil Division)</x:v>
      </x:c>
      <x:c r="H3003" s="9" t="str">
        <x:v>Appellate</x:v>
      </x:c>
      <x:c r="I3003" s="9" t="str">
        <x:v>England and Wales</x:v>
      </x:c>
      <x:c r="J3003" s="9" t="str">
        <x:v>Immigration Law</x:v>
      </x:c>
      <x:c r="K3003" s="9" t="str">
        <x:v>-ew-cases-EWCA-Civ-2015-738.xml</x:v>
      </x:c>
      <x:c r="L3003" s="9" t="str">
        <x:v>TBA</x:v>
      </x:c>
    </x:row>
    <x:row r="3004">
      <x:c r="A3004" t="str">
        <x:v>194a5c25-e6b9-49f1-b67e-138819ff34b0</x:v>
      </x:c>
      <x:c r="B3004" t="str">
        <x:v>6e74568b-52c9-4c83-b378-d2c35f165aae</x:v>
      </x:c>
      <x:c r="C3004" s="9" t="str">
        <x:v>SM (Ukraine), R (on the application of) v SSHD [2015] EWCA Civ 1220</x:v>
      </x:c>
      <x:c r="D3004" s="9" t="str"/>
      <x:c r="E3004" s="9" t="str"/>
      <x:c r="F3004" s="13" t="str">
        <x:v>2015</x:v>
      </x:c>
      <x:c r="G3004" s="9" t="str">
        <x:v>England and Wales Court of Appeal (Civil Division)</x:v>
      </x:c>
      <x:c r="H3004" s="9" t="str">
        <x:v>Appellate</x:v>
      </x:c>
      <x:c r="I3004" s="9" t="str">
        <x:v>England and Wales</x:v>
      </x:c>
      <x:c r="J3004" s="9" t="str">
        <x:v>Immigration Law</x:v>
      </x:c>
      <x:c r="K3004" s="9" t="str">
        <x:v>-ew-cases-EWCA-Civ-2015-1220.xml</x:v>
      </x:c>
      <x:c r="L3004" s="9" t="str">
        <x:v>TBA</x:v>
      </x:c>
    </x:row>
    <x:row r="3005">
      <x:c r="A3005" t="str">
        <x:v>c6e0635a-fea2-4ab7-a17f-c6bf403cd7db</x:v>
      </x:c>
      <x:c r="B3005" t="str">
        <x:v>9f75c8bc-8b5d-433e-ae93-6bf1a93891cf</x:v>
      </x:c>
      <x:c r="C3005" s="9" t="str">
        <x:v>SM (Zimbabwe) v Secretary of State for the Home Department [2021] EWCA Civ 1566</x:v>
      </x:c>
      <x:c r="D3005" s="9" t="str"/>
      <x:c r="E3005" s="9" t="str"/>
      <x:c r="F3005" s="13" t="str">
        <x:v>2021</x:v>
      </x:c>
      <x:c r="G3005" s="9" t="str">
        <x:v>England and Wales Court of Appeal (Civil Division)</x:v>
      </x:c>
      <x:c r="H3005" s="9" t="str">
        <x:v>Appellate</x:v>
      </x:c>
      <x:c r="I3005" s="9" t="str">
        <x:v>England and Wales</x:v>
      </x:c>
      <x:c r="J3005" s="9" t="str">
        <x:v>Immigration Law</x:v>
      </x:c>
      <x:c r="K3005" s="9" t="str">
        <x:v>ew-cases-EWCA-Civ-2021-1566.xml</x:v>
      </x:c>
      <x:c r="L3005" s="9" t="str">
        <x:v>TBA</x:v>
      </x:c>
    </x:row>
    <x:row r="3006">
      <x:c r="A3006" t="str">
        <x:v>fbe2dac3-9290-4a2b-88d9-96a0e23a395e</x:v>
      </x:c>
      <x:c r="B3006" t="str">
        <x:v>c5e12eb5-f30a-4f06-85dc-0ce7d3032714</x:v>
      </x:c>
      <x:c r="C3006" s="9" t="str">
        <x:v>SM &amp; Ors (Somalia) v Entry Clearance Officer (Addis Ababa) [2015] EWCA Civ 223</x:v>
      </x:c>
      <x:c r="D3006" s="9" t="str"/>
      <x:c r="E3006" s="9" t="str"/>
      <x:c r="F3006" s="13" t="str">
        <x:v>2015</x:v>
      </x:c>
      <x:c r="G3006" s="9" t="str">
        <x:v>England and Wales Court of Appeal (Civil Division)</x:v>
      </x:c>
      <x:c r="H3006" s="9" t="str">
        <x:v>Court of Appeal</x:v>
      </x:c>
      <x:c r="I3006" s="9" t="str">
        <x:v>England and Wales</x:v>
      </x:c>
      <x:c r="J3006" s="9" t="str">
        <x:v>Immigration Law</x:v>
      </x:c>
      <x:c r="K3006" s="9" t="str">
        <x:v>-ew-cases-EWCA-Civ-2015-223.xml</x:v>
      </x:c>
      <x:c r="L3006" s="9" t="str">
        <x:v>TBA</x:v>
      </x:c>
    </x:row>
    <x:row r="3007">
      <x:c r="A3007" t="str">
        <x:v>1b5d059b-2fd4-4c28-8504-84ba7f1985b6</x:v>
      </x:c>
      <x:c r="B3007" t="str">
        <x:v>1e46b55d-0197-4ecb-bac9-9447778c0c76</x:v>
      </x:c>
      <x:c r="C3007" s="9" t="str">
        <x:v>SM &amp; Ors (Somalia) v Secretary of State for the Home Department [2015] EWCA Civ 763</x:v>
      </x:c>
      <x:c r="D3007" s="9" t="str"/>
      <x:c r="E3007" s="9" t="str"/>
      <x:c r="F3007" s="13" t="str">
        <x:v>2015</x:v>
      </x:c>
      <x:c r="G3007" s="9" t="str">
        <x:v>England and Wales Court of Appeal (Civil Division)</x:v>
      </x:c>
      <x:c r="H3007" s="9" t="str">
        <x:v>Appellate</x:v>
      </x:c>
      <x:c r="I3007" s="9" t="str">
        <x:v>England and Wales</x:v>
      </x:c>
      <x:c r="J3007" s="9" t="str">
        <x:v>Immigration Law</x:v>
      </x:c>
      <x:c r="K3007" s="9" t="str">
        <x:v>-ew-cases-EWCA-Civ-2015-763.xml</x:v>
      </x:c>
      <x:c r="L3007" s="9" t="str">
        <x:v>TBA</x:v>
      </x:c>
    </x:row>
    <x:row r="3008">
      <x:c r="A3008" t="str">
        <x:v>d2906bfd-fb08-4040-9c5d-35e63106c85b</x:v>
      </x:c>
      <x:c r="B3008" t="str">
        <x:v>d3508b07-918c-4794-a254-141e22447eb8</x:v>
      </x:c>
      <x:c r="C3008" s="9" t="str">
        <x:v>Smailes &amp; Anor v McNally &amp; Anor [2014] EWCA Civ 1299: Compliance with an Unless Order in a Fraudulent Trading Case</x:v>
      </x:c>
      <x:c r="D3008" s="9" t="str"/>
      <x:c r="E3008" s="9" t="str"/>
      <x:c r="F3008" s="13" t="str">
        <x:v>2014</x:v>
      </x:c>
      <x:c r="G3008" s="9" t="str">
        <x:v>England and Wales Court of Appeal (Civil Division)</x:v>
      </x:c>
      <x:c r="H3008" s="9" t="str">
        <x:v>Appellate Court</x:v>
      </x:c>
      <x:c r="I3008" s="9" t="str">
        <x:v>England and Wales</x:v>
      </x:c>
      <x:c r="J3008" s="9" t="str">
        <x:v>Civil Procedure and Insolvency Law</x:v>
      </x:c>
      <x:c r="K3008" s="9" t="str">
        <x:v>-ew-cases-EWCA-Civ-2014-1299.xml</x:v>
      </x:c>
      <x:c r="L3008" s="9" t="str">
        <x:v>TBA</x:v>
      </x:c>
    </x:row>
    <x:row r="3009">
      <x:c r="A3009" t="str">
        <x:v>a7797fb5-f4ef-4edf-807a-0ff14a23fea9</x:v>
      </x:c>
      <x:c r="B3009" t="str">
        <x:v>e556ebdd-cc8f-4715-9bd7-6fe54d4e5d2b</x:v>
      </x:c>
      <x:c r="C3009" s="9" t="str">
        <x:v>Small v The Shrewsbury and Telford Hospitals NHS Trust [2017] EWCA Civ 882</x:v>
      </x:c>
      <x:c r="D3009" s="9" t="str"/>
      <x:c r="E3009" s="9" t="str"/>
      <x:c r="F3009" s="13" t="str">
        <x:v>2017</x:v>
      </x:c>
      <x:c r="G3009" s="9" t="str">
        <x:v>England and Wales Court of Appeal (Civil Division)</x:v>
      </x:c>
      <x:c r="H3009" s="9" t="str">
        <x:v>Appellate</x:v>
      </x:c>
      <x:c r="I3009" s="9" t="str">
        <x:v>England and Wales</x:v>
      </x:c>
      <x:c r="J3009" s="9" t="str">
        <x:v>Labor Law</x:v>
      </x:c>
      <x:c r="K3009" s="9" t="str">
        <x:v>-ew-cases-EWCA-Civ-2017-882.xml</x:v>
      </x:c>
      <x:c r="L3009" s="9" t="str">
        <x:v>TBA</x:v>
      </x:c>
    </x:row>
    <x:row r="3010">
      <x:c r="A3010" t="str">
        <x:v>8f1dbe32-a6cd-4fdb-964b-545906aec384</x:v>
      </x:c>
      <x:c r="B3010" t="str">
        <x:v>2a583b4c-3156-40ca-8406-1eb295398d4e</x:v>
      </x:c>
      <x:c r="C3010" s="9" t="str">
        <x:v>Smech Properties Limited v Runnymede Borough Council &amp; Anor [2016] EWCA Civ 42</x:v>
      </x:c>
      <x:c r="D3010" s="9" t="str"/>
      <x:c r="E3010" s="9" t="str"/>
      <x:c r="F3010" s="13" t="str">
        <x:v>2016</x:v>
      </x:c>
      <x:c r="G3010" s="9" t="str">
        <x:v>England and Wales Court of Appeal (Civil Division)</x:v>
      </x:c>
      <x:c r="H3010" s="9" t="str">
        <x:v>Court of Appeal (Civil Division)</x:v>
      </x:c>
      <x:c r="I3010" s="9" t="str">
        <x:v>England and Wales</x:v>
      </x:c>
      <x:c r="J3010" s="9" t="str">
        <x:v>Judicial Review / Administrative Law / Planning Law</x:v>
      </x:c>
      <x:c r="K3010" s="9" t="str">
        <x:v>-ew-cases-EWCA-Civ-2016-42.xml</x:v>
      </x:c>
      <x:c r="L3010" s="9" t="str">
        <x:v>TBA</x:v>
      </x:c>
    </x:row>
    <x:row r="3011">
      <x:c r="A3011" t="str">
        <x:v>7ecb5da8-b6d4-4dce-b416-d49b45d343b3</x:v>
      </x:c>
      <x:c r="B3011" t="str">
        <x:v>a6ba2568-c81f-4703-8a5c-bff13cf0bef8</x:v>
      </x:c>
      <x:c r="C3011" s="9" t="str">
        <x:v>Smech Properties v Runnymede Borough Council [2015] EWCA Civ 1017</x:v>
      </x:c>
      <x:c r="D3011" s="9" t="str"/>
      <x:c r="E3011" s="9" t="str"/>
      <x:c r="F3011" s="13" t="str">
        <x:v>2015</x:v>
      </x:c>
      <x:c r="G3011" s="9" t="str">
        <x:v>England and Wales Court of Appeal (Civil Division)</x:v>
      </x:c>
      <x:c r="H3011" s="9" t="str">
        <x:v>Appellate</x:v>
      </x:c>
      <x:c r="I3011" s="9" t="str">
        <x:v>England and Wales</x:v>
      </x:c>
      <x:c r="J3011" s="9" t="str">
        <x:v>Administrative Law</x:v>
      </x:c>
      <x:c r="K3011" s="9" t="str">
        <x:v>-ew-cases-EWCA-Civ-2015-1017.xml</x:v>
      </x:c>
      <x:c r="L3011" s="9" t="str">
        <x:v>TBA</x:v>
      </x:c>
    </x:row>
    <x:row r="3012">
      <x:c r="A3012" t="str">
        <x:v>37cd96a2-4e9c-4fa8-aed9-f1784d87fb08</x:v>
      </x:c>
      <x:c r="B3012" t="str">
        <x:v>a1525372-4bdc-4949-8f7c-25d48e0565d3</x:v>
      </x:c>
      <x:c r="C3012" s="9" t="str">
        <x:v>Smieja v London Borough of Bexley</x:v>
      </x:c>
      <x:c r="D3012" s="9" t="str"/>
      <x:c r="E3012" s="9" t="str"/>
      <x:c r="F3012" s="13" t="str">
        <x:v>2015</x:v>
      </x:c>
      <x:c r="G3012" s="9" t="str">
        <x:v>England and Wales Court of Appeal (Civil Division)</x:v>
      </x:c>
      <x:c r="H3012" s="9" t="str">
        <x:v>Appellate</x:v>
      </x:c>
      <x:c r="I3012" s="9" t="str">
        <x:v>England and Wales</x:v>
      </x:c>
      <x:c r="J3012" s="9" t="str">
        <x:v>Administrative Law</x:v>
      </x:c>
      <x:c r="K3012" s="9" t="str">
        <x:v>-ew-cases-EWCA-Civ-2015-895.xml</x:v>
      </x:c>
      <x:c r="L3012" s="9" t="str">
        <x:v>TBA</x:v>
      </x:c>
    </x:row>
    <x:row r="3013">
      <x:c r="A3013" t="str">
        <x:v>7db841e0-364e-4d8f-b46c-387234c15e6f</x:v>
      </x:c>
      <x:c r="B3013" t="str">
        <x:v>40fa32e7-df65-4ef0-a001-70a37a8a5b0a</x:v>
      </x:c>
      <x:c r="C3013" s="9" t="str">
        <x:v>Smith &amp; Anor v Royal Bank of Scotland Plc [2021] EWCA Civ 1832</x:v>
      </x:c>
      <x:c r="D3013" s="9" t="str"/>
      <x:c r="E3013" s="9" t="str"/>
      <x:c r="F3013" s="13" t="str">
        <x:v>2021</x:v>
      </x:c>
      <x:c r="G3013" s="9" t="str">
        <x:v>England and Wales Court of Appeal (Civil Division)</x:v>
      </x:c>
      <x:c r="H3013" s="9" t="str">
        <x:v>Appellate</x:v>
      </x:c>
      <x:c r="I3013" s="9" t="str">
        <x:v>England and Wales</x:v>
      </x:c>
      <x:c r="J3013" s="9" t="str">
        <x:v>Consumer Law</x:v>
      </x:c>
      <x:c r="K3013" s="9" t="str">
        <x:v>ew-cases-EWCA-Civ-2021-1832.xml</x:v>
      </x:c>
      <x:c r="L3013" s="9" t="str">
        <x:v>TBA</x:v>
      </x:c>
    </x:row>
    <x:row r="3014">
      <x:c r="A3014" t="str">
        <x:v>d277976f-b77a-4653-aec0-ce3e325f41d9</x:v>
      </x:c>
      <x:c r="B3014" t="str">
        <x:v>9142c256-428f-4a73-aa37-5a94f01b68f2</x:v>
      </x:c>
      <x:c r="C3014" s="9" t="str">
        <x:v>Smith &amp; Nephew Plc v Convatec Technologies Inc</x:v>
      </x:c>
      <x:c r="D3014" s="9" t="str"/>
      <x:c r="E3014" s="9" t="str"/>
      <x:c r="F3014" s="13" t="str">
        <x:v>2015</x:v>
      </x:c>
      <x:c r="G3014" s="9" t="str">
        <x:v>England and Wales Court of Appeal (Civil Division)</x:v>
      </x:c>
      <x:c r="H3014" s="9" t="str">
        <x:v>Appellate</x:v>
      </x:c>
      <x:c r="I3014" s="9" t="str">
        <x:v>England and Wales</x:v>
      </x:c>
      <x:c r="J3014" s="9" t="str">
        <x:v>Patent Infringement</x:v>
      </x:c>
      <x:c r="K3014" s="9" t="str">
        <x:v>-ew-cases-EWCA-Civ-2015-607.xml</x:v>
      </x:c>
      <x:c r="L3014" s="9" t="str">
        <x:v>TBA</x:v>
      </x:c>
    </x:row>
    <x:row r="3015">
      <x:c r="A3015" t="str">
        <x:v>7293d1a0-39b9-42ac-9faa-34d4e9ace876</x:v>
      </x:c>
      <x:c r="B3015" t="str">
        <x:v>29106524-22a0-4410-a8a6-c9fc60308a2a</x:v>
      </x:c>
      <x:c r="C3015" s="9" t="str">
        <x:v>Smith &amp; Nephew Plc v Convatec Technologies Inc &amp; Ors [2015] EWCA Civ 803</x:v>
      </x:c>
      <x:c r="D3015" s="9" t="str"/>
      <x:c r="E3015" s="9" t="str"/>
      <x:c r="F3015" s="13" t="str">
        <x:v>2015</x:v>
      </x:c>
      <x:c r="G3015" s="9" t="str">
        <x:v>England and Wales Court of Appeal (Civil Division)</x:v>
      </x:c>
      <x:c r="H3015" s="9" t="str">
        <x:v>Appellate</x:v>
      </x:c>
      <x:c r="I3015" s="9" t="str">
        <x:v>England and Wales</x:v>
      </x:c>
      <x:c r="J3015" s="9" t="str">
        <x:v>Intellectual Property</x:v>
      </x:c>
      <x:c r="K3015" s="9" t="str">
        <x:v>-ew-cases-EWCA-Civ-2015-803.xml</x:v>
      </x:c>
      <x:c r="L3015" s="9" t="str">
        <x:v>TBA</x:v>
      </x:c>
    </x:row>
    <x:row r="3016">
      <x:c r="A3016" t="str">
        <x:v>247ac489-cada-4f2c-9f74-61ec7daa6f3b</x:v>
      </x:c>
      <x:c r="B3016" t="str">
        <x:v>3f9ea643-73f4-4f17-b89a-f4861c2d62c0</x:v>
      </x:c>
      <x:c r="C3016" s="9" t="str">
        <x:v>Smith v Carillion (JM) Ltd &amp; Anor [2015] EWCA Civ 209</x:v>
      </x:c>
      <x:c r="D3016" s="9" t="str"/>
      <x:c r="E3016" s="9" t="str"/>
      <x:c r="F3016" s="13" t="str">
        <x:v>2015</x:v>
      </x:c>
      <x:c r="G3016" s="9" t="str">
        <x:v>England and Wales Court of Appeal (Civil Division)</x:v>
      </x:c>
      <x:c r="H3016" s="9" t="str">
        <x:v>Appellate</x:v>
      </x:c>
      <x:c r="I3016" s="9" t="str">
        <x:v>England and Wales</x:v>
      </x:c>
      <x:c r="J3016" s="9" t="str">
        <x:v>Employment Law</x:v>
      </x:c>
      <x:c r="K3016" s="9" t="str">
        <x:v>-ew-cases-EWCA-Civ-2015-209.xml</x:v>
      </x:c>
      <x:c r="L3016" s="9" t="str">
        <x:v>TBA</x:v>
      </x:c>
    </x:row>
    <x:row r="3017">
      <x:c r="A3017" t="str">
        <x:v>4d90f69c-3b6e-4b86-914a-4629faedd74d</x:v>
      </x:c>
      <x:c r="B3017" t="str">
        <x:v>c7e319c5-b6b4-446b-9ea6-fcca4aad19aa</x:v>
      </x:c>
      <x:c r="C3017" s="9" t="str">
        <x:v>Smith v Doncaster Metropolitan Borough Council [2014] EWCA Civ 16</x:v>
      </x:c>
      <x:c r="D3017" s="9" t="str"/>
      <x:c r="E3017" s="9" t="str"/>
      <x:c r="F3017" s="13" t="str">
        <x:v>2014</x:v>
      </x:c>
      <x:c r="G3017" s="9" t="str">
        <x:v>England and Wales Court of Appeal (Civil Division)</x:v>
      </x:c>
      <x:c r="H3017" s="9" t="str">
        <x:v>Appellate</x:v>
      </x:c>
      <x:c r="I3017" s="9" t="str">
        <x:v>England and Wales</x:v>
      </x:c>
      <x:c r="J3017" s="9" t="str">
        <x:v>Contempt of Court</x:v>
      </x:c>
      <x:c r="K3017" s="9" t="str">
        <x:v>-ew-cases-EWCA-Civ-2014-16.xml</x:v>
      </x:c>
      <x:c r="L3017" s="9" t="str">
        <x:v>TBA</x:v>
      </x:c>
    </x:row>
    <x:row r="3018">
      <x:c r="A3018" t="str">
        <x:v>09192c73-27c5-44e9-9490-e902645d2804</x:v>
      </x:c>
      <x:c r="B3018" t="str">
        <x:v>a4c8ba58-4e75-4679-a768-4d65cd8e9155</x:v>
      </x:c>
      <x:c r="C3018" s="9" t="str">
        <x:v>Smith v Eversheds [2015] EWCA Civ 761</x:v>
      </x:c>
      <x:c r="D3018" s="9" t="str"/>
      <x:c r="E3018" s="9" t="str"/>
      <x:c r="F3018" s="13" t="str">
        <x:v>2015</x:v>
      </x:c>
      <x:c r="G3018" s="9" t="str">
        <x:v>England and Wales Court of Appeal (Civil Division)</x:v>
      </x:c>
      <x:c r="H3018" s="9" t="str">
        <x:v>Appellate</x:v>
      </x:c>
      <x:c r="I3018" s="9" t="str">
        <x:v>England and Wales</x:v>
      </x:c>
      <x:c r="J3018" s="9" t="str">
        <x:v>Civil Appeal</x:v>
      </x:c>
      <x:c r="K3018" s="9" t="str">
        <x:v>-ew-cases-EWCA-Civ-2015-761.xml</x:v>
      </x:c>
      <x:c r="L3018" s="9" t="str">
        <x:v>TBA</x:v>
      </x:c>
    </x:row>
    <x:row r="3019">
      <x:c r="A3019" t="str">
        <x:v>9cb890c1-2db9-4df0-b63b-93f9e378bac8</x:v>
      </x:c>
      <x:c r="B3019" t="str">
        <x:v>cac6f5a1-a200-4756-b934-7e069858bdb9</x:v>
      </x:c>
      <x:c r="C3019" s="9" t="str">
        <x:v>Smith v Lancashire Teaching Hospitals NHS Foundation Trust &amp; Ors</x:v>
      </x:c>
      <x:c r="D3019" s="9" t="str"/>
      <x:c r="E3019" s="9" t="str"/>
      <x:c r="F3019" s="13" t="str">
        <x:v>2017</x:v>
      </x:c>
      <x:c r="G3019" s="9" t="str">
        <x:v>England and Wales Court of Appeal (Civil Division)</x:v>
      </x:c>
      <x:c r="H3019" s="9" t="str">
        <x:v>Appellate</x:v>
      </x:c>
      <x:c r="I3019" s="9" t="str">
        <x:v>England and Wales</x:v>
      </x:c>
      <x:c r="J3019" s="9" t="str">
        <x:v>Tort</x:v>
      </x:c>
      <x:c r="K3019" s="9" t="str">
        <x:v>-ew-cases-EWCA-Civ-2017-1916.xml</x:v>
      </x:c>
      <x:c r="L3019" s="9" t="str">
        <x:v>TBA</x:v>
      </x:c>
    </x:row>
    <x:row r="3020">
      <x:c r="A3020" t="str">
        <x:v>961c174e-cc8d-412f-914b-15c706a5f515</x:v>
      </x:c>
      <x:c r="B3020" t="str">
        <x:v>aa8e9b5e-fa84-4fd8-ac44-75dccba74bf8</x:v>
      </x:c>
      <x:c r="C3020" s="9" t="str">
        <x:v>Smith v Pimlico Plumbers Ltd (Rev1) [2022] EWCA Civ 70</x:v>
      </x:c>
      <x:c r="D3020" s="9" t="str"/>
      <x:c r="E3020" s="9" t="str"/>
      <x:c r="F3020" s="13" t="str">
        <x:v>2022</x:v>
      </x:c>
      <x:c r="G3020" s="9" t="str">
        <x:v>England and Wales Court of Appeal (Civil Division)</x:v>
      </x:c>
      <x:c r="H3020" s="9" t="str">
        <x:v>Court of Appeal (Civil Division)</x:v>
      </x:c>
      <x:c r="I3020" s="9" t="str">
        <x:v>England and Wales</x:v>
      </x:c>
      <x:c r="J3020" s="9" t="str">
        <x:v>Employment Law; EU Law</x:v>
      </x:c>
      <x:c r="K3020" s="9" t="str">
        <x:v>ew-cases-EWCA-Civ-2022-70.xml</x:v>
      </x:c>
      <x:c r="L3020" s="9" t="str">
        <x:v>TBA</x:v>
      </x:c>
    </x:row>
    <x:row r="3021">
      <x:c r="A3021" t="str">
        <x:v>cf82173d-9a3b-455d-83b9-5e0956495a4a</x:v>
      </x:c>
      <x:c r="B3021" t="str">
        <x:v>36166c1f-7b4e-4e19-9f3e-ba06d04ac22a</x:v>
      </x:c>
      <x:c r="C3021" s="9" t="str">
        <x:v>Smith v Secretary of State for Justice &amp; Ors [2014] EWCA Civ 380</x:v>
      </x:c>
      <x:c r="D3021" s="9" t="str"/>
      <x:c r="E3021" s="9" t="str"/>
      <x:c r="F3021" s="13" t="str">
        <x:v>2014</x:v>
      </x:c>
      <x:c r="G3021" s="9" t="str">
        <x:v>England and Wales Court of Appeal (Civil Division)</x:v>
      </x:c>
      <x:c r="H3021" s="9" t="str">
        <x:v>Appellate</x:v>
      </x:c>
      <x:c r="I3021" s="9" t="str">
        <x:v>England and Wales</x:v>
      </x:c>
      <x:c r="J3021" s="9" t="str">
        <x:v>Administrative Law</x:v>
      </x:c>
      <x:c r="K3021" s="9" t="str">
        <x:v>-ew-cases-EWCA-Civ-2014-380.xml</x:v>
      </x:c>
      <x:c r="L3021" s="9" t="str">
        <x:v>TBA</x:v>
      </x:c>
    </x:row>
    <x:row r="3022">
      <x:c r="A3022" t="str">
        <x:v>68ba22fd-8a3a-4eba-a2be-c57035f9a655</x:v>
      </x:c>
      <x:c r="B3022" t="str">
        <x:v>6cd7db33-7ee1-44c0-9219-b2cc7d57d88b</x:v>
      </x:c>
      <x:c r="C3022" s="9" t="str">
        <x:v>Smith v Secretary of State for Levelling Up, Housing &amp; Communities &amp; Anor [2022] EWCA Civ 1391</x:v>
      </x:c>
      <x:c r="D3022" s="9" t="str"/>
      <x:c r="E3022" s="9" t="str"/>
      <x:c r="F3022" s="13" t="str">
        <x:v>2022</x:v>
      </x:c>
      <x:c r="G3022" s="9" t="str">
        <x:v>England and Wales Court of Appeal (Civil Division)</x:v>
      </x:c>
      <x:c r="H3022" s="9" t="str">
        <x:v>Court of Appeal (Civil Division)</x:v>
      </x:c>
      <x:c r="I3022" s="9" t="str">
        <x:v>England and Wales</x:v>
      </x:c>
      <x:c r="J3022" s="9" t="str">
        <x:v>Planning Law; Equality and Human Rights</x:v>
      </x:c>
      <x:c r="K3022" s="9" t="str">
        <x:v>ew-cases-EWCA-Civ-2022-1391.xml</x:v>
      </x:c>
      <x:c r="L3022" s="9" t="str">
        <x:v>TBA</x:v>
      </x:c>
    </x:row>
    <x:row r="3023">
      <x:c r="A3023" t="str">
        <x:v>4c5f64b3-1e90-483c-a248-987a77fdeda6</x:v>
      </x:c>
      <x:c r="B3023" t="str">
        <x:v>8be07d36-26e8-47af-aed3-0eb018c2c157</x:v>
      </x:c>
      <x:c r="C3023" s="9" t="str">
        <x:v>Smith v Secretary of State for Work and Pensions [2015] EWCA Civ 229</x:v>
      </x:c>
      <x:c r="D3023" s="9" t="str"/>
      <x:c r="E3023" s="9" t="str"/>
      <x:c r="F3023" s="13" t="str">
        <x:v>2015</x:v>
      </x:c>
      <x:c r="G3023" s="9" t="str">
        <x:v>England and Wales Court of Appeal (Civil Division)</x:v>
      </x:c>
      <x:c r="H3023" s="9" t="str">
        <x:v>Appellate</x:v>
      </x:c>
      <x:c r="I3023" s="9" t="str">
        <x:v>England and Wales</x:v>
      </x:c>
      <x:c r="J3023" s="9" t="str">
        <x:v>Administrative Law</x:v>
      </x:c>
      <x:c r="K3023" s="9" t="str">
        <x:v>-ew-cases-EWCA-Civ-2015-229.xml</x:v>
      </x:c>
      <x:c r="L3023" s="9" t="str">
        <x:v>TBA</x:v>
      </x:c>
    </x:row>
    <x:row r="3024">
      <x:c r="A3024" t="str">
        <x:v>9332a67a-4342-4fde-9927-8c322074b882</x:v>
      </x:c>
      <x:c r="B3024" t="str">
        <x:v>3e3276b9-122d-4d18-892d-fa9a8a462b3c</x:v>
      </x:c>
      <x:c r="C3024" s="9" t="str">
        <x:v>Smith v Stratton &amp; Anor [2015] EWCA Civ 1413</x:v>
      </x:c>
      <x:c r="D3024" s="9" t="str"/>
      <x:c r="E3024" s="9" t="str"/>
      <x:c r="F3024" s="13" t="str">
        <x:v>2015</x:v>
      </x:c>
      <x:c r="G3024" s="9" t="str">
        <x:v>England and Wales Court of Appeal (Civil Division)</x:v>
      </x:c>
      <x:c r="H3024" s="9" t="str">
        <x:v>appellate</x:v>
      </x:c>
      <x:c r="I3024" s="9" t="str">
        <x:v>England and Wales</x:v>
      </x:c>
      <x:c r="J3024" s="9" t="str">
        <x:v>Tort</x:v>
      </x:c>
      <x:c r="K3024" s="9" t="str">
        <x:v>-ew-cases-EWCA-Civ-2015-1413.xml</x:v>
      </x:c>
      <x:c r="L3024" s="9" t="str">
        <x:v>TBA</x:v>
      </x:c>
    </x:row>
    <x:row r="3025">
      <x:c r="A3025" t="str">
        <x:v>e50d84ce-0ea8-4608-9be5-c1d3d17fa8a9</x:v>
      </x:c>
      <x:c r="B3025" t="str">
        <x:v>1c7d71e9-5ce8-48e1-93e7-334dbd92b856</x:v>
      </x:c>
      <x:c r="C3025" s="9" t="str">
        <x:v>Smith v The Royal Bank of Scotland Plc</x:v>
      </x:c>
      <x:c r="D3025" s="9" t="str"/>
      <x:c r="E3025" s="9" t="str"/>
      <x:c r="F3025" s="13" t="str">
        <x:v>2021</x:v>
      </x:c>
      <x:c r="G3025" s="9" t="str">
        <x:v>England and Wales Court of Appeal (Civil Division)</x:v>
      </x:c>
      <x:c r="H3025" s="9" t="str">
        <x:v>Appellate</x:v>
      </x:c>
      <x:c r="I3025" s="9" t="str">
        <x:v>England and Wales</x:v>
      </x:c>
      <x:c r="J3025" s="9" t="str">
        <x:v>Consumer Rights</x:v>
      </x:c>
      <x:c r="K3025" s="9" t="str">
        <x:v>ew-cases-EWCA-Civ-2021-977.xml</x:v>
      </x:c>
      <x:c r="L3025" s="9" t="str">
        <x:v>TBA</x:v>
      </x:c>
    </x:row>
    <x:row r="3026">
      <x:c r="A3026" t="str">
        <x:v>49cebfa2-57b4-46a4-9f8f-8b4205d78c63</x:v>
      </x:c>
      <x:c r="B3026" t="str">
        <x:v>3f78187a-94f8-42fd-b145-7260b11537e0</x:v>
      </x:c>
      <x:c r="C3026" s="9" t="str">
        <x:v>Smithton Ltd v Naggar [2014] EWCA Civ 939</x:v>
      </x:c>
      <x:c r="D3026" s="9" t="str"/>
      <x:c r="E3026" s="9" t="str"/>
      <x:c r="F3026" s="13" t="str">
        <x:v>2014</x:v>
      </x:c>
      <x:c r="G3026" s="9" t="str">
        <x:v>England and Wales Court of Appeal (Civil Division)</x:v>
      </x:c>
      <x:c r="H3026" s="9" t="str">
        <x:v>Appellate</x:v>
      </x:c>
      <x:c r="I3026" s="9" t="str">
        <x:v>England and Wales</x:v>
      </x:c>
      <x:c r="J3026" s="9" t="str">
        <x:v>Corporate Governance</x:v>
      </x:c>
      <x:c r="K3026" s="9" t="str">
        <x:v>-ew-cases-EWCA-Civ-2014-939.xml</x:v>
      </x:c>
      <x:c r="L3026" s="9" t="str">
        <x:v>TBA</x:v>
      </x:c>
    </x:row>
    <x:row r="3027">
      <x:c r="A3027" t="str">
        <x:v>6a657abf-8ce2-4675-a9ed-96021dcabfdf</x:v>
      </x:c>
      <x:c r="B3027" t="str">
        <x:v>460f25ed-4397-480d-bfc8-f066773577aa</x:v>
      </x:c>
      <x:c r="C3027" s="9" t="str">
        <x:v>Smyth v The Secretary of State for Communities and Local Government &amp; Ors [2015] EWCA Civ 174</x:v>
      </x:c>
      <x:c r="D3027" s="9" t="str"/>
      <x:c r="E3027" s="9" t="str"/>
      <x:c r="F3027" s="13" t="str">
        <x:v>2015</x:v>
      </x:c>
      <x:c r="G3027" s="9" t="str">
        <x:v>England and Wales Court of Appeal (Civil Division)</x:v>
      </x:c>
      <x:c r="H3027" s="9" t="str">
        <x:v>appellate</x:v>
      </x:c>
      <x:c r="I3027" s="9" t="str">
        <x:v>England and Wales</x:v>
      </x:c>
      <x:c r="J3027" s="9" t="str">
        <x:v>Administrative Law</x:v>
      </x:c>
      <x:c r="K3027" s="9" t="str">
        <x:v>-ew-cases-EWCA-Civ-2015-174.xml</x:v>
      </x:c>
      <x:c r="L3027" s="9" t="str">
        <x:v>TBA</x:v>
      </x:c>
    </x:row>
    <x:row r="3028">
      <x:c r="A3028" t="str">
        <x:v>3543c199-5f9d-44ea-898f-6d62fb654d8f</x:v>
      </x:c>
      <x:c r="B3028" t="str">
        <x:v>6d67446c-88e3-4c35-9b74-49fed3ca4999</x:v>
      </x:c>
      <x:c r="C3028" s="9" t="str">
        <x:v>SN (Botswana) v Secretary of State for the Home Department</x:v>
      </x:c>
      <x:c r="D3028" s="9" t="str"/>
      <x:c r="E3028" s="9" t="str"/>
      <x:c r="F3028" s="13" t="str">
        <x:v>2015</x:v>
      </x:c>
      <x:c r="G3028" s="9" t="str">
        <x:v>England and Wales Court of Appeal (Civil Division)</x:v>
      </x:c>
      <x:c r="H3028" s="9" t="str">
        <x:v>Appellate</x:v>
      </x:c>
      <x:c r="I3028" s="9" t="str">
        <x:v>England and Wales</x:v>
      </x:c>
      <x:c r="J3028" s="9" t="str">
        <x:v>Administrative Law / Human Rights</x:v>
      </x:c>
      <x:c r="K3028" s="9" t="str">
        <x:v>-ew-cases-EWCA-Civ-2015-870.xml</x:v>
      </x:c>
      <x:c r="L3028" s="9" t="str">
        <x:v>TBA</x:v>
      </x:c>
    </x:row>
    <x:row r="3029">
      <x:c r="A3029" t="str">
        <x:v>f92460ca-ea8e-4e64-a6b6-e3622106dc47</x:v>
      </x:c>
      <x:c r="B3029" t="str">
        <x:v>2307073e-42c1-42be-b23e-f72c4d070bf6</x:v>
      </x:c>
      <x:c r="C3029" s="9" t="str">
        <x:v>SO (on the application of) v Thanet District Council [2023] EWCA Civ 398</x:v>
      </x:c>
      <x:c r="D3029" s="9" t="str"/>
      <x:c r="E3029" s="9" t="str"/>
      <x:c r="F3029" s="13" t="str">
        <x:v>2023</x:v>
      </x:c>
      <x:c r="G3029" s="9" t="str">
        <x:v>England and Wales Court of Appeal (Civil Division)</x:v>
      </x:c>
      <x:c r="H3029" s="9" t="str">
        <x:v>Court of Appeal (Civil Division)</x:v>
      </x:c>
      <x:c r="I3029" s="9" t="str">
        <x:v>England and Wales</x:v>
      </x:c>
      <x:c r="J3029" s="9" t="str">
        <x:v>Public Law / Judicial Review</x:v>
      </x:c>
      <x:c r="K3029" s="9" t="str">
        <x:v>ew-cases-EWCA-Civ-2023-398.xml</x:v>
      </x:c>
      <x:c r="L3029" s="9" t="str">
        <x:v>TBA</x:v>
      </x:c>
    </x:row>
    <x:row r="3030">
      <x:c r="A3030" t="str">
        <x:v>ebe54869-5a59-440b-a51a-cc42c3a2b862</x:v>
      </x:c>
      <x:c r="B3030" t="str">
        <x:v>73b3dc25-5f3f-4b55-a036-6843967dbba7</x:v>
      </x:c>
      <x:c r="C3030" s="9" t="str">
        <x:v>SO, R (On the Application Of) v Thanet District Council (Re Costs) [2023] EWCA Civ 526</x:v>
      </x:c>
      <x:c r="D3030" s="9" t="str"/>
      <x:c r="E3030" s="9" t="str"/>
      <x:c r="F3030" s="13" t="str">
        <x:v>2023</x:v>
      </x:c>
      <x:c r="G3030" s="9" t="str">
        <x:v>England and Wales Court of Appeal (Civil Division)</x:v>
      </x:c>
      <x:c r="H3030" s="9" t="str">
        <x:v>Court of Appeal (Civil Division)</x:v>
      </x:c>
      <x:c r="I3030" s="9" t="str">
        <x:v>England and Wales</x:v>
      </x:c>
      <x:c r="J3030" s="9" t="str">
        <x:v>Costs/Procedural</x:v>
      </x:c>
      <x:c r="K3030" s="9" t="str">
        <x:v>ew-cases-EWCA-Civ-2023-526.xml</x:v>
      </x:c>
      <x:c r="L3030" s="9" t="str">
        <x:v>TBA</x:v>
      </x:c>
    </x:row>
    <x:row r="3031">
      <x:c r="A3031" t="str">
        <x:v>744d37d0-36d2-4b07-bab2-6df0394acea1</x:v>
      </x:c>
      <x:c r="B3031" t="str">
        <x:v>8f6d03d1-3e4a-4b10-b919-e453802595bc</x:v>
      </x:c>
      <x:c r="C3031" s="9" t="str">
        <x:v>Sobrany v UAB Transtira [2016] EWCA Civ 28</x:v>
      </x:c>
      <x:c r="D3031" s="9" t="str"/>
      <x:c r="E3031" s="9" t="str"/>
      <x:c r="F3031" s="13" t="str">
        <x:v>2016</x:v>
      </x:c>
      <x:c r="G3031" s="9" t="str">
        <x:v>England and Wales Court of Appeal (Civil Division)</x:v>
      </x:c>
      <x:c r="H3031" s="9" t="str">
        <x:v>Court of Appeal (Civil Division)</x:v>
      </x:c>
      <x:c r="I3031" s="9" t="str">
        <x:v>England and Wales</x:v>
      </x:c>
      <x:c r="J3031" s="9" t="str">
        <x:v>Insurance/Contract law (Credit hire) and Subrogation</x:v>
      </x:c>
      <x:c r="K3031" s="9" t="str">
        <x:v>-ew-cases-EWCA-Civ-2016-28.xml</x:v>
      </x:c>
      <x:c r="L3031" s="9" t="str">
        <x:v>TBA</x:v>
      </x:c>
    </x:row>
    <x:row r="3032">
      <x:c r="A3032" t="str">
        <x:v>44571913-42b1-4f81-81a3-9b198d9d79d9</x:v>
      </x:c>
      <x:c r="B3032" t="str">
        <x:v>57940112-dd2e-488c-8536-e1da5d16de7d</x:v>
      </x:c>
      <x:c r="C3032" s="9" t="str">
        <x:v>Société Coopérative De Production Seafrance S.A. v Competition and Markets Authority [2015] EWCA Civ 768</x:v>
      </x:c>
      <x:c r="D3032" s="9" t="str"/>
      <x:c r="E3032" s="9" t="str"/>
      <x:c r="F3032" s="13" t="str">
        <x:v>2015</x:v>
      </x:c>
      <x:c r="G3032" s="9" t="str">
        <x:v>England and Wales Court of Appeal (Civil Division)</x:v>
      </x:c>
      <x:c r="H3032" s="9" t="str">
        <x:v>Appellate</x:v>
      </x:c>
      <x:c r="I3032" s="9" t="str">
        <x:v>England and Wales</x:v>
      </x:c>
      <x:c r="J3032" s="9" t="str">
        <x:v>Antitrust/Competition Law</x:v>
      </x:c>
      <x:c r="K3032" s="9" t="str">
        <x:v>-ew-cases-EWCA-Civ-2015-768.xml</x:v>
      </x:c>
      <x:c r="L3032" s="9" t="str">
        <x:v>TBA</x:v>
      </x:c>
    </x:row>
    <x:row r="3033">
      <x:c r="A3033" t="str">
        <x:v>30a44a09-51c0-47aa-b107-eb7fc36a13cc</x:v>
      </x:c>
      <x:c r="B3033" t="str">
        <x:v>a97c7a6e-06b4-4f29-ae30-17592c6acf48</x:v>
      </x:c>
      <x:c r="C3033" s="9" t="str">
        <x:v>Société Coopérative De Production SeaFrance S.A. v Competition and Markets Authority &amp; Anor [2015] EWCA Civ 487</x:v>
      </x:c>
      <x:c r="D3033" s="9" t="str"/>
      <x:c r="E3033" s="9" t="str"/>
      <x:c r="F3033" s="13" t="str">
        <x:v>2015</x:v>
      </x:c>
      <x:c r="G3033" s="9" t="str">
        <x:v>England and Wales Court of Appeal (Civil Division)</x:v>
      </x:c>
      <x:c r="H3033" s="9" t="str">
        <x:v>Appellate</x:v>
      </x:c>
      <x:c r="I3033" s="9" t="str">
        <x:v>England and Wales</x:v>
      </x:c>
      <x:c r="J3033" s="9" t="str">
        <x:v>Competition Law</x:v>
      </x:c>
      <x:c r="K3033" s="9" t="str">
        <x:v>-ew-cases-EWCA-Civ-2015-487.xml</x:v>
      </x:c>
      <x:c r="L3033" s="9" t="str">
        <x:v>TBA</x:v>
      </x:c>
    </x:row>
    <x:row r="3034">
      <x:c r="A3034" t="str">
        <x:v>19613c50-7ebc-42ed-ab38-9aba4e63fff5</x:v>
      </x:c>
      <x:c r="B3034" t="str">
        <x:v>8c9b650b-8e76-4cea-a0df-2825ec328e59</x:v>
      </x:c>
      <x:c r="C3034" s="9" t="str">
        <x:v>Société des Produits Nestlé SA v Cadbury UK Ltd</x:v>
      </x:c>
      <x:c r="D3034" s="9" t="str"/>
      <x:c r="E3034" s="9" t="str"/>
      <x:c r="F3034" s="13" t="str">
        <x:v>2017</x:v>
      </x:c>
      <x:c r="G3034" s="9" t="str">
        <x:v>England and Wales Court of Appeal (Civil Division)</x:v>
      </x:c>
      <x:c r="H3034" s="9" t="str">
        <x:v>Appellate</x:v>
      </x:c>
      <x:c r="I3034" s="9" t="str">
        <x:v>UK</x:v>
      </x:c>
      <x:c r="J3034" s="9" t="str">
        <x:v>Intellectual Property</x:v>
      </x:c>
      <x:c r="K3034" s="9" t="str">
        <x:v>-ew-cases-EWCA-Civ-2017-358.xml</x:v>
      </x:c>
      <x:c r="L3034" s="9" t="str">
        <x:v>TBA</x:v>
      </x:c>
    </x:row>
    <x:row r="3035">
      <x:c r="A3035" t="str">
        <x:v>909e4356-0b30-4f93-884f-762e8d6d1cb1</x:v>
      </x:c>
      <x:c r="B3035" t="str">
        <x:v>6b4a0b42-454b-401a-b41b-13491b409529</x:v>
      </x:c>
      <x:c r="C3035" s="9" t="str">
        <x:v>Societe Generale, London Branch v Geys [2012] UKSC 63</x:v>
      </x:c>
      <x:c r="D3035" s="9" t="str"/>
      <x:c r="E3035" s="9" t="str"/>
      <x:c r="F3035" s="13" t="str">
        <x:v>2012</x:v>
      </x:c>
      <x:c r="G3035" s="9" t="str">
        <x:v>United Kingdom Supreme Court</x:v>
      </x:c>
      <x:c r="H3035" s="9" t="str">
        <x:v>Supreme Court</x:v>
      </x:c>
      <x:c r="I3035" s="9" t="str">
        <x:v>United Kingdom</x:v>
      </x:c>
      <x:c r="J3035" s="9" t="str">
        <x:v>Employment Law</x:v>
      </x:c>
      <x:c r="K3035" s="9" t="str">
        <x:v>PT_UKSC_2012_63.xml</x:v>
      </x:c>
      <x:c r="L3035" s="9" t="str">
        <x:v>TBA</x:v>
      </x:c>
    </x:row>
    <x:row r="3036">
      <x:c r="A3036" t="str">
        <x:v>14081eab-f704-4e45-a758-90e295641751</x:v>
      </x:c>
      <x:c r="B3036" t="str">
        <x:v>774ce56b-3a21-4d9a-be0f-2e4cd8924a73</x:v>
      </x:c>
      <x:c r="C3036" s="9" t="str">
        <x:v>Solar Century Holdings Ltd &amp; Ors v Secretary of State for Energy and Climate Change [2016] EWCA Civ 117</x:v>
      </x:c>
      <x:c r="D3036" s="9" t="str"/>
      <x:c r="E3036" s="9" t="str"/>
      <x:c r="F3036" s="13" t="str">
        <x:v>2016</x:v>
      </x:c>
      <x:c r="G3036" s="9" t="str">
        <x:v>England and Wales Court of Appeal (Civil Division)</x:v>
      </x:c>
      <x:c r="H3036" s="9" t="str">
        <x:v>Court of Appeal (Civil Division)</x:v>
      </x:c>
      <x:c r="I3036" s="9" t="str">
        <x:v>England and Wales</x:v>
      </x:c>
      <x:c r="J3036" s="9" t="str">
        <x:v>Administrative Law / Public Law</x:v>
      </x:c>
      <x:c r="K3036" s="9" t="str">
        <x:v>-ew-cases-EWCA-Civ-2016-117.xml</x:v>
      </x:c>
      <x:c r="L3036" s="9" t="str">
        <x:v>TBA</x:v>
      </x:c>
    </x:row>
    <x:row r="3037">
      <x:c r="A3037" t="str">
        <x:v>e2018240-8daf-459c-bc0a-5f61e38b2c0a</x:v>
      </x:c>
      <x:c r="B3037" t="str">
        <x:v>a5fab45b-1aa7-4f86-b66d-43efc2df29fa</x:v>
      </x:c>
      <x:c r="C3037" s="9" t="str">
        <x:v>Soleymani v Nifty Gateway LLC [2022] EWCA Civ 1297 (Court of Appeal, Civil Division)</x:v>
      </x:c>
      <x:c r="D3037" s="9" t="str"/>
      <x:c r="E3037" s="9" t="str"/>
      <x:c r="F3037" s="13" t="str">
        <x:v>2022</x:v>
      </x:c>
      <x:c r="G3037" s="9" t="str">
        <x:v>England and Wales Court of Appeal (Civil Division)</x:v>
      </x:c>
      <x:c r="H3037" s="9" t="str">
        <x:v>Court of Appeal (Civil Division)</x:v>
      </x:c>
      <x:c r="I3037" s="9" t="str">
        <x:v>England and Wales</x:v>
      </x:c>
      <x:c r="J3037" s="9" t="str">
        <x:v>Civil appeal; Jurisdiction and Arbitration; Consumer protection; Cross-border contracts</x:v>
      </x:c>
      <x:c r="K3037" s="9" t="str">
        <x:v>ew-cases-EWCA-Civ-2022-1297.xml</x:v>
      </x:c>
      <x:c r="L3037" s="9" t="str">
        <x:v>TBA</x:v>
      </x:c>
    </x:row>
    <x:row r="3038">
      <x:c r="A3038" t="str">
        <x:v>944cdd2f-5fd7-4776-be22-7a5cef17f7e8</x:v>
      </x:c>
      <x:c r="B3038" t="str">
        <x:v>3318cef0-c1fb-4b20-9c13-e573c9e21a90</x:v>
      </x:c>
      <x:c r="C3038" s="9" t="str">
        <x:v>Solihull Metropolitan Borough Council v Gallagher Estates Ltd &amp; Anor [2014] EWCA Civ 1610</x:v>
      </x:c>
      <x:c r="D3038" s="9" t="str"/>
      <x:c r="E3038" s="9" t="str"/>
      <x:c r="F3038" s="13" t="str">
        <x:v>2014</x:v>
      </x:c>
      <x:c r="G3038" s="9" t="str">
        <x:v>England and Wales Court of Appeal (Civil Division)</x:v>
      </x:c>
      <x:c r="H3038" s="9" t="str">
        <x:v>Appellate</x:v>
      </x:c>
      <x:c r="I3038" s="9" t="str">
        <x:v>England and Wales</x:v>
      </x:c>
      <x:c r="J3038" s="9" t="str">
        <x:v>Administrative Law</x:v>
      </x:c>
      <x:c r="K3038" s="9" t="str">
        <x:v>-ew-cases-EWCA-Civ-2014-1610.xml</x:v>
      </x:c>
      <x:c r="L3038" s="9" t="str">
        <x:v>TBA</x:v>
      </x:c>
    </x:row>
    <x:row r="3039">
      <x:c r="A3039" t="str">
        <x:v>485e6233-7f8d-4a5a-ac88-e3365b4c5677</x:v>
      </x:c>
      <x:c r="B3039" t="str">
        <x:v>9f247da1-72a3-4e01-bf71-fc179aa57f61</x:v>
      </x:c>
      <x:c r="C3039" s="9" t="str">
        <x:v>Solihull Metropolitan Borough Council v Khan [2014] EWCA Civ 41</x:v>
      </x:c>
      <x:c r="D3039" s="9" t="str"/>
      <x:c r="E3039" s="9" t="str"/>
      <x:c r="F3039" s="13" t="str">
        <x:v>2014</x:v>
      </x:c>
      <x:c r="G3039" s="9" t="str">
        <x:v>England and Wales Court of Appeal (Civil Division)</x:v>
      </x:c>
      <x:c r="H3039" s="9" t="str">
        <x:v>Appellate</x:v>
      </x:c>
      <x:c r="I3039" s="9" t="str">
        <x:v>England and Wales</x:v>
      </x:c>
      <x:c r="J3039" s="9" t="str">
        <x:v>Administrative Law</x:v>
      </x:c>
      <x:c r="K3039" s="9" t="str">
        <x:v>-ew-cases-EWCA-Civ-2014-41.xml</x:v>
      </x:c>
      <x:c r="L3039" s="9" t="str">
        <x:v>TBA</x:v>
      </x:c>
    </x:row>
    <x:row r="3040">
      <x:c r="A3040" t="str">
        <x:v>c33cb7e1-0e49-489f-a53d-9e543fb001d6</x:v>
      </x:c>
      <x:c r="B3040" t="str">
        <x:v>fefc90a2-23cd-4d0a-9e87-0367294dd7f5</x:v>
      </x:c>
      <x:c r="C3040" s="9" t="str">
        <x:v>Sood v Secretary of State for the Home Department</x:v>
      </x:c>
      <x:c r="D3040" s="9" t="str"/>
      <x:c r="E3040" s="9" t="str"/>
      <x:c r="F3040" s="13" t="str">
        <x:v>2015</x:v>
      </x:c>
      <x:c r="G3040" s="9" t="str">
        <x:v>England and Wales Court of Appeal (Civil Division)</x:v>
      </x:c>
      <x:c r="H3040" s="9" t="str">
        <x:v>Appellate</x:v>
      </x:c>
      <x:c r="I3040" s="9" t="str">
        <x:v>England and Wales</x:v>
      </x:c>
      <x:c r="J3040" s="9" t="str">
        <x:v>Immigration</x:v>
      </x:c>
      <x:c r="K3040" s="9" t="str">
        <x:v>-ew-cases-EWCA-Civ-2015-831.xml</x:v>
      </x:c>
      <x:c r="L3040" s="9" t="str">
        <x:v>TBA</x:v>
      </x:c>
    </x:row>
    <x:row r="3041">
      <x:c r="A3041" t="str">
        <x:v>d0cf3d6c-bac8-457c-933f-aa70b246c839</x:v>
      </x:c>
      <x:c r="B3041" t="str">
        <x:v>d8942524-7e14-46b2-953c-a1eca28ae6cb</x:v>
      </x:c>
      <x:c r="C3041" s="9" t="str">
        <x:v>Soriano v Forensic News LLC &amp; Ors (Rev1) [2021] EWCA Civ 1952</x:v>
      </x:c>
      <x:c r="D3041" s="9" t="str"/>
      <x:c r="E3041" s="9" t="str"/>
      <x:c r="F3041" s="13" t="str">
        <x:v>2021</x:v>
      </x:c>
      <x:c r="G3041" s="9" t="str">
        <x:v>England and Wales Court of Appeal (Civil Division)</x:v>
      </x:c>
      <x:c r="H3041" s="9" t="str">
        <x:v>Appellate</x:v>
      </x:c>
      <x:c r="I3041" s="9" t="str">
        <x:v>England and Wales</x:v>
      </x:c>
      <x:c r="J3041" s="9" t="str">
        <x:v>Defamation</x:v>
      </x:c>
      <x:c r="K3041" s="9" t="str">
        <x:v>ew-cases-EWCA-Civ-2021-1952.xml</x:v>
      </x:c>
      <x:c r="L3041" s="9" t="str">
        <x:v>TBA</x:v>
      </x:c>
    </x:row>
    <x:row r="3042">
      <x:c r="A3042" t="str">
        <x:v>760c07ec-c094-4c74-a9f4-ca9dc897064b</x:v>
      </x:c>
      <x:c r="B3042" t="str">
        <x:v>cf6e82f7-4165-4036-8b4f-8bd5c2655bc6</x:v>
      </x:c>
      <x:c r="C3042" s="9" t="str">
        <x:v>Soriano v Forensic News LLC &amp; Ors [2023] EWCA Civ 223 (01 March 2023)</x:v>
      </x:c>
      <x:c r="D3042" s="9" t="str"/>
      <x:c r="E3042" s="9" t="str"/>
      <x:c r="F3042" s="13" t="str">
        <x:v>2023</x:v>
      </x:c>
      <x:c r="G3042" s="9" t="str">
        <x:v>England and Wales Court of Appeal (Civil Division)</x:v>
      </x:c>
      <x:c r="H3042" s="9" t="str">
        <x:v>Court of Appeal (Civil Division)</x:v>
      </x:c>
      <x:c r="I3042" s="9" t="str">
        <x:v>England and Wales</x:v>
      </x:c>
      <x:c r="J3042" s="9" t="str">
        <x:v>Civil Appeal; Cross-border Discovery; Defamation</x:v>
      </x:c>
      <x:c r="K3042" s="9" t="str">
        <x:v>ew-cases-EWCA-Civ-2023-223.xml</x:v>
      </x:c>
      <x:c r="L3042" s="9" t="str">
        <x:v>TBA</x:v>
      </x:c>
    </x:row>
    <x:row r="3043">
      <x:c r="A3043" t="str">
        <x:v>513437ec-4a36-41fe-af9e-cc561a479f06</x:v>
      </x:c>
      <x:c r="B3043" t="str">
        <x:v>81d53202-31ed-492b-a22e-15e4f280610b</x:v>
      </x:c>
      <x:c r="C3043" s="9" t="str">
        <x:v>Soteria Insurance Ltd v IBM United Kingdom Ltd [2022] EWCA Civ 440</x:v>
      </x:c>
      <x:c r="D3043" s="9" t="str"/>
      <x:c r="E3043" s="9" t="str"/>
      <x:c r="F3043" s="13" t="str">
        <x:v>2022</x:v>
      </x:c>
      <x:c r="G3043" s="9" t="str">
        <x:v>England and Wales Court of Appeal (Civil Division)</x:v>
      </x:c>
      <x:c r="H3043" s="9" t="str">
        <x:v>Court of Appeal (Civil Division)</x:v>
      </x:c>
      <x:c r="I3043" s="9" t="str">
        <x:v>England and Wales</x:v>
      </x:c>
      <x:c r="J3043" s="9" t="str">
        <x:v>Contract Law / Damages / Exclusion Clauses</x:v>
      </x:c>
      <x:c r="K3043" s="9" t="str">
        <x:v>ew-cases-EWCA-Civ-2022-440.xml</x:v>
      </x:c>
      <x:c r="L3043" s="9" t="str">
        <x:v>TBA</x:v>
      </x:c>
    </x:row>
    <x:row r="3044">
      <x:c r="A3044" t="str">
        <x:v>8bec1bb3-608b-4142-b5ac-138177d8f977</x:v>
      </x:c>
      <x:c r="B3044" t="str">
        <x:v>5315bcf1-31e2-4c09-9977-ecd80a7a8ec7</x:v>
      </x:c>
      <x:c r="C3044" s="9" t="str">
        <x:v>South Essex Partnership University NHS Foundation Trust v Laindon Holdings Ltd [2016] EWCA Civ 377</x:v>
      </x:c>
      <x:c r="D3044" s="9" t="str"/>
      <x:c r="E3044" s="9" t="str"/>
      <x:c r="F3044" s="13" t="str">
        <x:v>2016</x:v>
      </x:c>
      <x:c r="G3044" s="9" t="str">
        <x:v>England and Wales Court of Appeal (Civil Division)</x:v>
      </x:c>
      <x:c r="H3044" s="9" t="str">
        <x:v>Court of Appeal (Civil Division)</x:v>
      </x:c>
      <x:c r="I3044" s="9" t="str">
        <x:v>England and Wales</x:v>
      </x:c>
      <x:c r="J3044" s="9" t="str">
        <x:v>Contract/Property – Lease Dispute</x:v>
      </x:c>
      <x:c r="K3044" s="9" t="str">
        <x:v>-ew-cases-EWCA-Civ-2016-377.xml</x:v>
      </x:c>
      <x:c r="L3044" s="9" t="str">
        <x:v>TBA</x:v>
      </x:c>
    </x:row>
    <x:row r="3045">
      <x:c r="A3045" t="str">
        <x:v>6e889cdb-4277-41cc-b063-5d370cc68bfa</x:v>
      </x:c>
      <x:c r="B3045" t="str">
        <x:v>f5b8b953-e111-4e41-97fc-f9bc4469dd4a</x:v>
      </x:c>
      <x:c r="C3045" s="9" t="str">
        <x:v>South Gloucestershire Council v Burge &amp; Anor [2017] EWCA Civ 1313</x:v>
      </x:c>
      <x:c r="D3045" s="9" t="str"/>
      <x:c r="E3045" s="9" t="str"/>
      <x:c r="F3045" s="13" t="str">
        <x:v>2017</x:v>
      </x:c>
      <x:c r="G3045" s="9" t="str">
        <x:v>England and Wales Court of Appeal (Civil Division)</x:v>
      </x:c>
      <x:c r="H3045" s="9" t="str">
        <x:v>Appellate</x:v>
      </x:c>
      <x:c r="I3045" s="9" t="str">
        <x:v>England and Wales</x:v>
      </x:c>
      <x:c r="J3045" s="9" t="str">
        <x:v>Tort (Compensation for Damages)</x:v>
      </x:c>
      <x:c r="K3045" s="9" t="str">
        <x:v>-ew-cases-EWCA-Civ-2017-1313.xml</x:v>
      </x:c>
      <x:c r="L3045" s="9" t="str">
        <x:v>TBA</x:v>
      </x:c>
    </x:row>
    <x:row r="3046">
      <x:c r="A3046" t="str">
        <x:v>1b15846b-8b7d-4393-90de-ec3742e3b3bc</x:v>
      </x:c>
      <x:c r="B3046" t="str">
        <x:v>9fb84674-d69e-469f-883d-f59470afe313</x:v>
      </x:c>
      <x:c r="C3046" s="9" t="str">
        <x:v>South Lodge Flats Limited v Malik [2022] EWCA Civ 411</x:v>
      </x:c>
      <x:c r="D3046" s="9" t="str"/>
      <x:c r="E3046" s="9" t="str"/>
      <x:c r="F3046" s="13" t="str">
        <x:v>2022</x:v>
      </x:c>
      <x:c r="G3046" s="9" t="str">
        <x:v>England and Wales Court of Appeal (Civil Division)</x:v>
      </x:c>
      <x:c r="H3046" s="9" t="str">
        <x:v>Court of Appeal (Civil Division)</x:v>
      </x:c>
      <x:c r="I3046" s="9" t="str">
        <x:v>England and Wales</x:v>
      </x:c>
      <x:c r="J3046" s="9" t="str">
        <x:v>Civil Procedure / Costs on Appeal</x:v>
      </x:c>
      <x:c r="K3046" s="9" t="str">
        <x:v>ew-cases-EWCA-Civ-2022-411.xml</x:v>
      </x:c>
      <x:c r="L3046" s="9" t="str">
        <x:v>TBA</x:v>
      </x:c>
    </x:row>
    <x:row r="3047">
      <x:c r="A3047" t="str">
        <x:v>4873f70b-256c-4556-b636-748c8f05e5e3</x:v>
      </x:c>
      <x:c r="B3047" t="str">
        <x:v>7b9b0d5a-dc61-43d4-9626-d82e18f8c8dd</x:v>
      </x:c>
      <x:c r="C3047" s="9" t="str">
        <x:v>South Wales Police Authority v Johnson [2014] EWCA Civ 73</x:v>
      </x:c>
      <x:c r="D3047" s="9" t="str"/>
      <x:c r="E3047" s="9" t="str"/>
      <x:c r="F3047" s="13" t="str">
        <x:v>2014</x:v>
      </x:c>
      <x:c r="G3047" s="9" t="str">
        <x:v>England and Wales Court of Appeal (Civil Division)</x:v>
      </x:c>
      <x:c r="H3047" s="9" t="str">
        <x:v>Appellate</x:v>
      </x:c>
      <x:c r="I3047" s="9" t="str">
        <x:v>England and Wales</x:v>
      </x:c>
      <x:c r="J3047" s="9" t="str">
        <x:v>Employment Law</x:v>
      </x:c>
      <x:c r="K3047" s="9" t="str">
        <x:v>-ew-cases-EWCA-Civ-2014-73.xml</x:v>
      </x:c>
      <x:c r="L3047" s="9" t="str">
        <x:v>TBA</x:v>
      </x:c>
    </x:row>
    <x:row r="3048">
      <x:c r="A3048" t="str">
        <x:v>6de56b88-748a-41f1-8e20-0ebc1dbb9ff0</x:v>
      </x:c>
      <x:c r="B3048" t="str">
        <x:v>defd4a00-a774-466f-aae6-5190aaad7ac4</x:v>
      </x:c>
      <x:c r="C3048" s="9" t="str">
        <x:v>South Wales Police v Daniels &amp; Ors [2015] EWCA Civ 680</x:v>
      </x:c>
      <x:c r="D3048" s="9" t="str"/>
      <x:c r="E3048" s="9" t="str"/>
      <x:c r="F3048" s="13" t="str">
        <x:v>2015</x:v>
      </x:c>
      <x:c r="G3048" s="9" t="str">
        <x:v>England and Wales Court of Appeal (Civil Division)</x:v>
      </x:c>
      <x:c r="H3048" s="9" t="str">
        <x:v>Appellate</x:v>
      </x:c>
      <x:c r="I3048" s="9" t="str">
        <x:v>England and Wales</x:v>
      </x:c>
      <x:c r="J3048" s="9" t="str">
        <x:v>Civil Rights</x:v>
      </x:c>
      <x:c r="K3048" s="9" t="str">
        <x:v>-ew-cases-EWCA-Civ-2015-680.xml</x:v>
      </x:c>
      <x:c r="L3048" s="9" t="str">
        <x:v>TBA</x:v>
      </x:c>
    </x:row>
    <x:row r="3049">
      <x:c r="A3049" t="str">
        <x:v>03051ea9-be5b-477a-9a69-1df8fa299b62</x:v>
      </x:c>
      <x:c r="B3049" t="str">
        <x:v>ddd77b29-2402-442e-bbb8-f7b737d94bba</x:v>
      </x:c>
      <x:c r="C3049" s="9" t="str">
        <x:v>Southend-On-Sea Borough Council v Armour [2014] EWCA Civ 231</x:v>
      </x:c>
      <x:c r="D3049" s="9" t="str"/>
      <x:c r="E3049" s="9" t="str"/>
      <x:c r="F3049" s="13" t="str">
        <x:v>2014</x:v>
      </x:c>
      <x:c r="G3049" s="9" t="str">
        <x:v>England and Wales Court of Appeal (Civil Division)</x:v>
      </x:c>
      <x:c r="H3049" s="9" t="str">
        <x:v>Appellate</x:v>
      </x:c>
      <x:c r="I3049" s="9" t="str">
        <x:v>England and Wales</x:v>
      </x:c>
      <x:c r="J3049" s="9" t="str">
        <x:v>Housing Law</x:v>
      </x:c>
      <x:c r="K3049" s="9" t="str">
        <x:v>-ew-cases-EWCA-Civ-2014-231.xml</x:v>
      </x:c>
      <x:c r="L3049" s="9" t="str">
        <x:v>TBA</x:v>
      </x:c>
    </x:row>
    <x:row r="3050">
      <x:c r="A3050" t="str">
        <x:v>b59e20a7-f6e8-4327-8f92-54f2768a25f7</x:v>
      </x:c>
      <x:c r="B3050" t="str">
        <x:v>277c985f-57cd-45fb-ba0e-1126bdc20a22</x:v>
      </x:c>
      <x:c r="C3050" s="9" t="str">
        <x:v>Southern Housing Group Ltd v Kontou [2015] EWCA Civ 617</x:v>
      </x:c>
      <x:c r="D3050" s="9" t="str"/>
      <x:c r="E3050" s="9" t="str"/>
      <x:c r="F3050" s="13" t="str">
        <x:v>2015</x:v>
      </x:c>
      <x:c r="G3050" s="9" t="str">
        <x:v>England and Wales Court of Appeal (Civil Division)</x:v>
      </x:c>
      <x:c r="H3050" s="9" t="str">
        <x:v>appellate</x:v>
      </x:c>
      <x:c r="I3050" s="9" t="str">
        <x:v>England and Wales</x:v>
      </x:c>
      <x:c r="J3050" s="9" t="str">
        <x:v>Housing Law</x:v>
      </x:c>
      <x:c r="K3050" s="9" t="str">
        <x:v>-ew-cases-EWCA-Civ-2015-617.xml</x:v>
      </x:c>
      <x:c r="L3050" s="9" t="str">
        <x:v>TBA</x:v>
      </x:c>
    </x:row>
    <x:row r="3051">
      <x:c r="A3051" t="str">
        <x:v>03031983-3b33-40d3-8b9b-b6fe2e019c1c</x:v>
      </x:c>
      <x:c r="B3051" t="str">
        <x:v>02264d18-a38b-4845-96bd-9ca5e3f451d3</x:v>
      </x:c>
      <x:c r="C3051" s="9" t="str">
        <x:v>Southwell v Blackburn [2014] EWCA Civ 1347</x:v>
      </x:c>
      <x:c r="D3051" s="9" t="str"/>
      <x:c r="E3051" s="9" t="str"/>
      <x:c r="F3051" s="13" t="str">
        <x:v>2014</x:v>
      </x:c>
      <x:c r="G3051" s="9" t="str">
        <x:v>England and Wales Court of Appeal (Civil Division)</x:v>
      </x:c>
      <x:c r="H3051" s="9" t="str">
        <x:v>appellate</x:v>
      </x:c>
      <x:c r="I3051" s="9" t="str">
        <x:v>England and Wales</x:v>
      </x:c>
      <x:c r="J3051" s="9" t="str">
        <x:v>Equity</x:v>
      </x:c>
      <x:c r="K3051" s="9" t="str">
        <x:v>-ew-cases-EWCA-Civ-2014-1347.xml</x:v>
      </x:c>
      <x:c r="L3051" s="9" t="str">
        <x:v>TBA</x:v>
      </x:c>
    </x:row>
    <x:row r="3052">
      <x:c r="A3052" t="str">
        <x:v>a2ac956c-fbb2-43e2-ba15-9c2bbe8282b8</x:v>
      </x:c>
      <x:c r="B3052" t="str">
        <x:v>4452cb34-8ff7-4a2e-bd6e-abd9b771b032</x:v>
      </x:c>
      <x:c r="C3052" s="9" t="str">
        <x:v>Sparling v Norman &amp; Anor [2014] EWCA Civ 1152</x:v>
      </x:c>
      <x:c r="D3052" s="9" t="str"/>
      <x:c r="E3052" s="9" t="str"/>
      <x:c r="F3052" s="13" t="str">
        <x:v>2014</x:v>
      </x:c>
      <x:c r="G3052" s="9" t="str">
        <x:v>England and Wales Court of Appeal (Civil Division)</x:v>
      </x:c>
      <x:c r="H3052" s="9" t="str">
        <x:v>Appellate</x:v>
      </x:c>
      <x:c r="I3052" s="9" t="str">
        <x:v>England and Wales</x:v>
      </x:c>
      <x:c r="J3052" s="9" t="str">
        <x:v>Property Law</x:v>
      </x:c>
      <x:c r="K3052" s="9" t="str">
        <x:v>-ew-cases-EWCA-Civ-2014-1152.xml</x:v>
      </x:c>
      <x:c r="L3052" s="9" t="str">
        <x:v>TBA</x:v>
      </x:c>
    </x:row>
    <x:row r="3053">
      <x:c r="A3053" t="str">
        <x:v>b07e37af-9d96-4b2c-8b10-08ff17ea339c</x:v>
      </x:c>
      <x:c r="B3053" t="str">
        <x:v>c61edc5d-8b8b-41ac-ad67-52203bf2871b</x:v>
      </x:c>
      <x:c r="C3053" s="9" t="str">
        <x:v>Spaul v Spaul &amp; Anor [2014] EWCA Civ 679</x:v>
      </x:c>
      <x:c r="D3053" s="9" t="str"/>
      <x:c r="E3053" s="9" t="str"/>
      <x:c r="F3053" s="13" t="str">
        <x:v>2014</x:v>
      </x:c>
      <x:c r="G3053" s="9" t="str">
        <x:v>England and Wales Court of Appeal (Civil Division)</x:v>
      </x:c>
      <x:c r="H3053" s="9" t="str">
        <x:v>Appellate</x:v>
      </x:c>
      <x:c r="I3053" s="9" t="str">
        <x:v>England and Wales</x:v>
      </x:c>
      <x:c r="J3053" s="9" t="str">
        <x:v>Corporate Law</x:v>
      </x:c>
      <x:c r="K3053" s="9" t="str">
        <x:v>-ew-cases-EWCA-Civ-2014-679.xml</x:v>
      </x:c>
      <x:c r="L3053" s="9" t="str">
        <x:v>TBA</x:v>
      </x:c>
    </x:row>
    <x:row r="3054">
      <x:c r="A3054" t="str">
        <x:v>ee783d77-5a1b-4344-af98-a8e42c7dc132</x:v>
      </x:c>
      <x:c r="B3054" t="str">
        <x:v>09a2c16d-47ac-4756-9ad3-d559a4af06bc</x:v>
      </x:c>
      <x:c r="C3054" s="9" t="str">
        <x:v>Speciality European Pharma Ltd v Doncaster Pharmaceuticals Group Ltd &amp; Anor [2015] EWCA Civ 54</x:v>
      </x:c>
      <x:c r="D3054" s="9" t="str"/>
      <x:c r="E3054" s="9" t="str"/>
      <x:c r="F3054" s="13" t="str">
        <x:v>2015</x:v>
      </x:c>
      <x:c r="G3054" s="9" t="str">
        <x:v>England and Wales Court of Appeal (Civil Division)</x:v>
      </x:c>
      <x:c r="H3054" s="9" t="str">
        <x:v>Appellate</x:v>
      </x:c>
      <x:c r="I3054" s="9" t="str">
        <x:v>England and Wales</x:v>
      </x:c>
      <x:c r="J3054" s="9" t="str">
        <x:v>Trademark Dispute</x:v>
      </x:c>
      <x:c r="K3054" s="9" t="str">
        <x:v>-ew-cases-EWCA-Civ-2015-54.xml</x:v>
      </x:c>
      <x:c r="L3054" s="9" t="str">
        <x:v>TBA</x:v>
      </x:c>
    </x:row>
    <x:row r="3055">
      <x:c r="A3055" t="str">
        <x:v>30136b17-2069-4537-b829-d5405d6b9db5</x:v>
      </x:c>
      <x:c r="B3055" t="str">
        <x:v>e24cf354-c98a-480a-84b3-9df9961a12e1</x:v>
      </x:c>
      <x:c r="C3055" s="9" t="str">
        <x:v>Speciality Produce Ltd v The Secretary of State for Environment, Food And Rural Affairs: Costs of Judicial Review Appeal</x:v>
      </x:c>
      <x:c r="D3055" s="9" t="str"/>
      <x:c r="E3055" s="9" t="str"/>
      <x:c r="F3055" s="13" t="str">
        <x:v>2014</x:v>
      </x:c>
      <x:c r="G3055" s="9" t="str">
        <x:v>England and Wales Court of Appeal (Civil Division)</x:v>
      </x:c>
      <x:c r="H3055" s="9" t="str">
        <x:v>Appellate</x:v>
      </x:c>
      <x:c r="I3055" s="9" t="str">
        <x:v>England and Wales</x:v>
      </x:c>
      <x:c r="J3055" s="9" t="str">
        <x:v>Judicial Review</x:v>
      </x:c>
      <x:c r="K3055" s="9" t="str">
        <x:v>-ew-cases-EWCA-Civ-2014-225.xml</x:v>
      </x:c>
      <x:c r="L3055" s="9" t="str">
        <x:v>TBA</x:v>
      </x:c>
    </x:row>
    <x:row r="3056">
      <x:c r="A3056" t="str">
        <x:v>a2530d11-a5dd-485d-a7e2-416d4e382b04</x:v>
      </x:c>
      <x:c r="B3056" t="str">
        <x:v>4c6cd5ef-4ae9-48c5-a864-218b5c3212d6</x:v>
      </x:c>
      <x:c r="C3056" s="9" t="str">
        <x:v>Specsavers International Healthcare Ltd &amp; Ors v ASDA Stores Ltd &amp; Anor [2014] EWCA Civ 1294</x:v>
      </x:c>
      <x:c r="D3056" s="9" t="str"/>
      <x:c r="E3056" s="9" t="str"/>
      <x:c r="F3056" s="13" t="str">
        <x:v>2014</x:v>
      </x:c>
      <x:c r="G3056" s="9" t="str">
        <x:v>England and Wales Court of Appeal (Civil Division)</x:v>
      </x:c>
      <x:c r="H3056" s="9" t="str">
        <x:v>Appellate</x:v>
      </x:c>
      <x:c r="I3056" s="9" t="str">
        <x:v>England and Wales</x:v>
      </x:c>
      <x:c r="J3056" s="9" t="str">
        <x:v>Intellectual Property</x:v>
      </x:c>
      <x:c r="K3056" s="9" t="str">
        <x:v>-ew-cases-EWCA-Civ-2014-1294.xml</x:v>
      </x:c>
      <x:c r="L3056" s="9" t="str">
        <x:v>TBA</x:v>
      </x:c>
    </x:row>
    <x:row r="3057">
      <x:c r="A3057" t="str">
        <x:v>317c32fd-3dd0-44e8-baf5-fb5dcf918286</x:v>
      </x:c>
      <x:c r="B3057" t="str">
        <x:v>948ab674-dd25-4dd3-9ae2-e2f9efcfd5c8</x:v>
      </x:c>
      <x:c r="C3057" s="9" t="str">
        <x:v>Speechley &amp; Ors v Allott &amp; Ors [2014] EWCA Civ 230</x:v>
      </x:c>
      <x:c r="D3057" s="9" t="str"/>
      <x:c r="E3057" s="9" t="str"/>
      <x:c r="F3057" s="13" t="str">
        <x:v>2014</x:v>
      </x:c>
      <x:c r="G3057" s="9" t="str">
        <x:v>England and Wales Court of Appeal (Civil Division)</x:v>
      </x:c>
      <x:c r="H3057" s="9" t="str">
        <x:v>Appellate</x:v>
      </x:c>
      <x:c r="I3057" s="9" t="str">
        <x:v>England and Wales</x:v>
      </x:c>
      <x:c r="J3057" s="9" t="str">
        <x:v>Incorporated Societies</x:v>
      </x:c>
      <x:c r="K3057" s="9" t="str">
        <x:v>-ew-cases-EWCA-Civ-2014-230.xml</x:v>
      </x:c>
      <x:c r="L3057" s="9" t="str">
        <x:v>TBA</x:v>
      </x:c>
    </x:row>
    <x:row r="3058">
      <x:c r="A3058" t="str">
        <x:v>4b9eccd4-89ee-489b-a62a-3a4994739a1b</x:v>
      </x:c>
      <x:c r="B3058" t="str">
        <x:v>6f848134-cc61-43b1-983c-f6145b19f69f</x:v>
      </x:c>
      <x:c r="C3058" s="9" t="str">
        <x:v>Spencer-White v Harding Evans LLP [2017] EWCA Civ 434</x:v>
      </x:c>
      <x:c r="D3058" s="9" t="str"/>
      <x:c r="E3058" s="9" t="str"/>
      <x:c r="F3058" s="13" t="str">
        <x:v>2017</x:v>
      </x:c>
      <x:c r="G3058" s="9" t="str">
        <x:v>England and Wales Court of Appeal (Civil Division)</x:v>
      </x:c>
      <x:c r="H3058" s="9" t="str">
        <x:v>Appellate</x:v>
      </x:c>
      <x:c r="I3058" s="9" t="str">
        <x:v>England and Wales</x:v>
      </x:c>
      <x:c r="J3058" s="9" t="str">
        <x:v>Contract Dispute</x:v>
      </x:c>
      <x:c r="K3058" s="9" t="str">
        <x:v>-ew-cases-EWCA-Civ-2017-434.xml</x:v>
      </x:c>
      <x:c r="L3058" s="9" t="str">
        <x:v>TBA</x:v>
      </x:c>
    </x:row>
    <x:row r="3059">
      <x:c r="A3059" t="str">
        <x:v>34717367-1594-4015-a5ac-df25c1cee8a1</x:v>
      </x:c>
      <x:c r="B3059" t="str">
        <x:v>79d5937f-0fce-4aaf-bcbe-e5f1c3d1b114</x:v>
      </x:c>
      <x:c r="C3059" s="9" t="str">
        <x:v>Spicejet Ltd v De Havilland Aircraft of Canada Ltd [2021] EWCA Civ 1834</x:v>
      </x:c>
      <x:c r="D3059" s="9" t="str"/>
      <x:c r="E3059" s="9" t="str"/>
      <x:c r="F3059" s="13" t="str">
        <x:v>2021</x:v>
      </x:c>
      <x:c r="G3059" s="9" t="str">
        <x:v>England and Wales Court of Appeal (Civil Division)</x:v>
      </x:c>
      <x:c r="H3059" s="9" t="str">
        <x:v>Appellate</x:v>
      </x:c>
      <x:c r="I3059" s="9" t="str">
        <x:v>England and Wales</x:v>
      </x:c>
      <x:c r="J3059" s="9" t="str">
        <x:v>Contractual Obligation</x:v>
      </x:c>
      <x:c r="K3059" s="9" t="str">
        <x:v>ew-cases-EWCA-Civ-2021-1834.xml</x:v>
      </x:c>
      <x:c r="L3059" s="9" t="str">
        <x:v>TBA</x:v>
      </x:c>
    </x:row>
    <x:row r="3060">
      <x:c r="A3060" t="str">
        <x:v>9906929f-d666-471d-a65f-cfad575681d1</x:v>
      </x:c>
      <x:c r="B3060" t="str">
        <x:v>0dfbc0a4-1c56-4752-8b71-d4963adad6d0</x:v>
      </x:c>
      <x:c r="C3060" s="9" t="str">
        <x:v>Spielplatz Ltd v Pearson &amp; Anor [2015] EWCA Civ 804</x:v>
      </x:c>
      <x:c r="D3060" s="9" t="str"/>
      <x:c r="E3060" s="9" t="str"/>
      <x:c r="F3060" s="13" t="str">
        <x:v>2015</x:v>
      </x:c>
      <x:c r="G3060" s="9" t="str">
        <x:v>England and Wales Court of Appeal (Civil Division)</x:v>
      </x:c>
      <x:c r="H3060" s="9" t="str">
        <x:v>Appellate</x:v>
      </x:c>
      <x:c r="I3060" s="9" t="str">
        <x:v>England and Wales</x:v>
      </x:c>
      <x:c r="J3060" s="9" t="str">
        <x:v>Property Law</x:v>
      </x:c>
      <x:c r="K3060" s="9" t="str">
        <x:v>-ew-cases-EWCA-Civ-2015-804.xml</x:v>
      </x:c>
      <x:c r="L3060" s="9" t="str">
        <x:v>TBA</x:v>
      </x:c>
    </x:row>
    <x:row r="3061">
      <x:c r="A3061" t="str">
        <x:v>8f4e1206-8e9d-4037-9a03-1a4e56858377</x:v>
      </x:c>
      <x:c r="B3061" t="str">
        <x:v>21eb721f-d8b2-4c96-bff1-74c6066eea1d</x:v>
      </x:c>
      <x:c r="C3061" s="9" t="str">
        <x:v>Spire Healthcare Limited v Royal &amp; Sun Alliance Insurance Limited [2022] EWCA Civ 17</x:v>
      </x:c>
      <x:c r="D3061" s="9" t="str"/>
      <x:c r="E3061" s="9" t="str"/>
      <x:c r="F3061" s="13" t="str">
        <x:v>2022</x:v>
      </x:c>
      <x:c r="G3061" s="9" t="str">
        <x:v>England and Wales Court of Appeal (Civil Division)</x:v>
      </x:c>
      <x:c r="H3061" s="9" t="str">
        <x:v>Court of Appeal (Civil Division)</x:v>
      </x:c>
      <x:c r="I3061" s="9" t="str">
        <x:v>England and Wales</x:v>
      </x:c>
      <x:c r="J3061" s="9" t="str">
        <x:v>Insurance Law</x:v>
      </x:c>
      <x:c r="K3061" s="9" t="str">
        <x:v>ew-cases-EWCA-Civ-2022-17.xml</x:v>
      </x:c>
      <x:c r="L3061" s="9" t="str">
        <x:v>TBA</x:v>
      </x:c>
    </x:row>
    <x:row r="3062">
      <x:c r="A3062" t="str">
        <x:v>a8853321-07e3-4f93-acb2-95492afb4d2e</x:v>
      </x:c>
      <x:c r="B3062" t="str">
        <x:v>7bc4d59e-cc60-4942-af27-745ffc1ad26d</x:v>
      </x:c>
      <x:c r="C3062" s="9" t="str">
        <x:v>Spire Property Development LLP &amp; Hortensia Property Development LLP v Withers LLP [2022] EWCA Civ 970</x:v>
      </x:c>
      <x:c r="D3062" s="9" t="str"/>
      <x:c r="E3062" s="9" t="str"/>
      <x:c r="F3062" s="13" t="str">
        <x:v>2022</x:v>
      </x:c>
      <x:c r="G3062" s="9" t="str">
        <x:v>England and Wales Court of Appeal (Civil Division)</x:v>
      </x:c>
      <x:c r="H3062" s="9" t="str">
        <x:v>Court of Appeal (Civil Division)</x:v>
      </x:c>
      <x:c r="I3062" s="9" t="str">
        <x:v>England and Wales</x:v>
      </x:c>
      <x:c r="J3062" s="9" t="str">
        <x:v>Civil Law - Tort &amp; Contract; Professional Negligence</x:v>
      </x:c>
      <x:c r="K3062" s="9" t="str">
        <x:v>ew-cases-EWCA-Civ-2022-970.xml</x:v>
      </x:c>
      <x:c r="L3062" s="9" t="str">
        <x:v>TBA</x:v>
      </x:c>
    </x:row>
    <x:row r="3063">
      <x:c r="A3063" t="str">
        <x:v>d00a9496-badd-422b-8ace-687a68227410</x:v>
      </x:c>
      <x:c r="B3063" t="str">
        <x:v>eabb0edc-643c-4b47-9695-3589ceb3a8f4</x:v>
      </x:c>
      <x:c r="C3063" s="9" t="str">
        <x:v>SPL Private Finance (PF2) IC Ltd &amp; 5 Ors v Farrell</x:v>
      </x:c>
      <x:c r="D3063" s="9" t="str"/>
      <x:c r="E3063" s="9" t="str"/>
      <x:c r="F3063" s="13" t="str">
        <x:v>2015</x:v>
      </x:c>
      <x:c r="G3063" s="9" t="str">
        <x:v>England and Wales Court of Appeal (Civil Division)</x:v>
      </x:c>
      <x:c r="H3063" s="9" t="str">
        <x:v>Appellate</x:v>
      </x:c>
      <x:c r="I3063" s="9" t="str">
        <x:v>England and Wales</x:v>
      </x:c>
      <x:c r="J3063" s="9" t="str">
        <x:v>Civil Appeal</x:v>
      </x:c>
      <x:c r="K3063" s="9" t="str">
        <x:v>-ew-cases-EWCA-Civ-2015-1004.xml</x:v>
      </x:c>
      <x:c r="L3063" s="9" t="str">
        <x:v>TBA</x:v>
      </x:c>
    </x:row>
    <x:row r="3064">
      <x:c r="A3064" t="str">
        <x:v>0e08a69a-68b8-4516-8e7c-5d35d4eedfc3</x:v>
      </x:c>
      <x:c r="B3064" t="str">
        <x:v>d7075ffc-2be9-49f1-99fa-d546502c0c70</x:v>
      </x:c>
      <x:c r="C3064" s="9" t="str">
        <x:v>Splitt Chartering APS &amp; Ors v Saga Shipholding Norway AS &amp; Ors</x:v>
      </x:c>
      <x:c r="D3064" s="9" t="str"/>
      <x:c r="E3064" s="9" t="str"/>
      <x:c r="F3064" s="13" t="str">
        <x:v>2021</x:v>
      </x:c>
      <x:c r="G3064" s="9" t="str">
        <x:v>England and Wales Court of Appeal (Civil Division)</x:v>
      </x:c>
      <x:c r="H3064" s="9" t="str">
        <x:v>Appellate</x:v>
      </x:c>
      <x:c r="I3064" s="9" t="str">
        <x:v>England and Wales</x:v>
      </x:c>
      <x:c r="J3064" s="9" t="str">
        <x:v>Maritime Law</x:v>
      </x:c>
      <x:c r="K3064" s="9" t="str">
        <x:v>ew-cases-EWCA-Civ-2021-1880.xml</x:v>
      </x:c>
      <x:c r="L3064" s="9" t="str">
        <x:v>TBA</x:v>
      </x:c>
    </x:row>
    <x:row r="3065">
      <x:c r="A3065" t="str">
        <x:v>c178b12f-b3d6-4e6a-940d-2a2a2e423f5d</x:v>
      </x:c>
      <x:c r="B3065" t="str">
        <x:v>6e515f4a-b272-4034-bd99-966703ea7d8e</x:v>
      </x:c>
      <x:c r="C3065" s="9" t="str">
        <x:v>Square Global Ltd v Leonard [2020] EWHC 1008 (QB)</x:v>
      </x:c>
      <x:c r="D3065" s="9" t="str"/>
      <x:c r="E3065" s="9" t="str"/>
      <x:c r="F3065" s="13" t="str">
        <x:v>2020</x:v>
      </x:c>
      <x:c r="G3065" s="9" t="str">
        <x:v>England and Wales High Court (Queen's Bench Division)</x:v>
      </x:c>
      <x:c r="H3065" s="9" t="str">
        <x:v>High Court</x:v>
      </x:c>
      <x:c r="I3065" s="9" t="str">
        <x:v>England and Wales</x:v>
      </x:c>
      <x:c r="J3065" s="9" t="str">
        <x:v>Employment Law</x:v>
      </x:c>
      <x:c r="K3065" s="9" t="str">
        <x:v>PT_EWHC-QB_2020_1008.xml</x:v>
      </x:c>
      <x:c r="L3065" s="9" t="str">
        <x:v>TBA</x:v>
      </x:c>
    </x:row>
    <x:row r="3066">
      <x:c r="A3066" t="str">
        <x:v>bf3f243a-2b47-4f5c-aeab-8936037887e4</x:v>
      </x:c>
      <x:c r="B3066" t="str">
        <x:v>bdadc6f4-3f46-4999-bda4-23027f1ca19f</x:v>
      </x:c>
      <x:c r="C3066" s="9" t="str">
        <x:v>Squire v Thames Valley Police &amp; Anor (R. on the Application of) [2016] EWCA Civ 1315</x:v>
      </x:c>
      <x:c r="D3066" s="9" t="str"/>
      <x:c r="E3066" s="9" t="str"/>
      <x:c r="F3066" s="13" t="str">
        <x:v>2016</x:v>
      </x:c>
      <x:c r="G3066" s="9" t="str">
        <x:v>England and Wales Court of Appeal (Civil Division)</x:v>
      </x:c>
      <x:c r="H3066" s="9" t="str">
        <x:v>Court of Appeal (Civil Division)</x:v>
      </x:c>
      <x:c r="I3066" s="9" t="str">
        <x:v>England and Wales</x:v>
      </x:c>
      <x:c r="J3066" s="9" t="str">
        <x:v>Administrative Law / Judicial Review</x:v>
      </x:c>
      <x:c r="K3066" s="9" t="str">
        <x:v>-ew-cases-EWCA-Civ-2016-1315.xml</x:v>
      </x:c>
      <x:c r="L3066" s="9" t="str">
        <x:v>TBA</x:v>
      </x:c>
    </x:row>
    <x:row r="3067">
      <x:c r="A3067" t="str">
        <x:v>08013fe4-d9e2-4fcb-a671-0a1f2324d5bf</x:v>
      </x:c>
      <x:c r="B3067" t="str">
        <x:v>7b304542-91d5-4a70-9dda-989cc62434b2</x:v>
      </x:c>
      <x:c r="C3067" s="9" t="str">
        <x:v>SR (Algeria) v Secretary of State for the Home Department</x:v>
      </x:c>
      <x:c r="D3067" s="9" t="str"/>
      <x:c r="E3067" s="9" t="str"/>
      <x:c r="F3067" s="13" t="str">
        <x:v>2015</x:v>
      </x:c>
      <x:c r="G3067" s="9" t="str">
        <x:v>England and Wales Court of Appeal (Civil Division)</x:v>
      </x:c>
      <x:c r="H3067" s="9" t="str">
        <x:v>Appellate</x:v>
      </x:c>
      <x:c r="I3067" s="9" t="str">
        <x:v>England and Wales</x:v>
      </x:c>
      <x:c r="J3067" s="9" t="str">
        <x:v>Immigration Law</x:v>
      </x:c>
      <x:c r="K3067" s="9" t="str">
        <x:v>-ew-cases-EWCA-Civ-2015-1375.xml</x:v>
      </x:c>
      <x:c r="L3067" s="9" t="str">
        <x:v>TBA</x:v>
      </x:c>
    </x:row>
    <x:row r="3068">
      <x:c r="A3068" t="str">
        <x:v>d92e1298-c20a-42a7-90f7-d5b2403e4cc8</x:v>
      </x:c>
      <x:c r="B3068" t="str">
        <x:v>c197f1ef-9b2d-47d1-b8f6-502cd48fc39f</x:v>
      </x:c>
      <x:c r="C3068" s="9" t="str">
        <x:v>SR (Sri Lanka) v Secretary of State for the Home Department [2022] EWCA Civ 828</x:v>
      </x:c>
      <x:c r="D3068" s="9" t="str"/>
      <x:c r="E3068" s="9" t="str"/>
      <x:c r="F3068" s="13" t="str">
        <x:v>2022</x:v>
      </x:c>
      <x:c r="G3068" s="9" t="str">
        <x:v>England and Wales Court of Appeal (Civil Division)</x:v>
      </x:c>
      <x:c r="H3068" s="9" t="str">
        <x:v>Court of Appeal (Civil Division)</x:v>
      </x:c>
      <x:c r="I3068" s="9" t="str">
        <x:v>England and Wales</x:v>
      </x:c>
      <x:c r="J3068" s="9" t="str">
        <x:v>Immigration / Refugee Law</x:v>
      </x:c>
      <x:c r="K3068" s="9" t="str">
        <x:v>ew-cases-EWCA-Civ-2022-828.xml</x:v>
      </x:c>
      <x:c r="L3068" s="9" t="str">
        <x:v>TBA</x:v>
      </x:c>
    </x:row>
    <x:row r="3069">
      <x:c r="A3069" t="str">
        <x:v>cf67ae65-3229-40a1-96d2-949ee5d129f9</x:v>
      </x:c>
      <x:c r="B3069" t="str">
        <x:v>1490c7ac-e459-4253-ac47-856382b1a478</x:v>
      </x:c>
      <x:c r="C3069" s="9" t="str">
        <x:v>SS Tanzania v Secretary of State for the Home Department</x:v>
      </x:c>
      <x:c r="D3069" s="9" t="str"/>
      <x:c r="E3069" s="9" t="str"/>
      <x:c r="F3069" s="13" t="str">
        <x:v>2015</x:v>
      </x:c>
      <x:c r="G3069" s="9" t="str">
        <x:v>England and Wales Court of Appeal (Civil Division)</x:v>
      </x:c>
      <x:c r="H3069" s="9" t="str">
        <x:v>Appellate</x:v>
      </x:c>
      <x:c r="I3069" s="9" t="str">
        <x:v>England and Wales</x:v>
      </x:c>
      <x:c r="J3069" s="9" t="str">
        <x:v>Immigration Law</x:v>
      </x:c>
      <x:c r="K3069" s="9" t="str">
        <x:v>-ew-cases-EWCA-Civ-2015-917.xml</x:v>
      </x:c>
      <x:c r="L3069" s="9" t="str">
        <x:v>TBA</x:v>
      </x:c>
    </x:row>
    <x:row r="3070">
      <x:c r="A3070" t="str">
        <x:v>e41c396e-d648-4304-8f07-01b5d96f9d8a</x:v>
      </x:c>
      <x:c r="B3070" t="str">
        <x:v>ba88c240-b4fb-473e-a047-da1a1ad3d735</x:v>
      </x:c>
      <x:c r="C3070" s="9" t="str">
        <x:v>SS, R (on the application of) v Secretary of State for the Home Department &amp; Anor</x:v>
      </x:c>
      <x:c r="D3070" s="9" t="str"/>
      <x:c r="E3070" s="9" t="str"/>
      <x:c r="F3070" s="13" t="str">
        <x:v>2015</x:v>
      </x:c>
      <x:c r="G3070" s="9" t="str">
        <x:v>England and Wales Court of Appeal (Civil Division)</x:v>
      </x:c>
      <x:c r="H3070" s="9" t="str">
        <x:v>Appellate</x:v>
      </x:c>
      <x:c r="I3070" s="9" t="str">
        <x:v>England and Wales</x:v>
      </x:c>
      <x:c r="J3070" s="9" t="str">
        <x:v>Administrative Law</x:v>
      </x:c>
      <x:c r="K3070" s="9" t="str">
        <x:v>-ew-cases-EWCA-Civ-2015-652.xml</x:v>
      </x:c>
      <x:c r="L3070" s="9" t="str">
        <x:v>TBA</x:v>
      </x:c>
    </x:row>
    <x:row r="3071">
      <x:c r="A3071" t="str">
        <x:v>e48a49d6-46de-4731-899e-bcb9ab0baf84</x:v>
      </x:c>
      <x:c r="B3071" t="str">
        <x:v>cbc84513-e5c9-4b25-89ca-6c116d3b6479</x:v>
      </x:c>
      <x:c r="C3071" s="9" t="str">
        <x:v>SSE Generation Limited &amp; Ors v Competition and Markets Authority; Gas and Electricity Markets Authority [2022] EWCA Civ 1472</x:v>
      </x:c>
      <x:c r="D3071" s="9" t="str"/>
      <x:c r="E3071" s="9" t="str"/>
      <x:c r="F3071" s="13" t="str">
        <x:v>2022</x:v>
      </x:c>
      <x:c r="G3071" s="9" t="str">
        <x:v>Court of Appeal (Civil Division)</x:v>
      </x:c>
      <x:c r="H3071" s="9" t="str">
        <x:v>Court of Appeal (Civil Division)</x:v>
      </x:c>
      <x:c r="I3071" s="9" t="str">
        <x:v>England and Wales</x:v>
      </x:c>
      <x:c r="J3071" s="9" t="str">
        <x:v>Administrative Law; Energy Regulation; Public Law</x:v>
      </x:c>
      <x:c r="K3071" s="9" t="str">
        <x:v>ew-cases-EWCA-Civ-2022-1472.xml</x:v>
      </x:c>
      <x:c r="L3071" s="9" t="str">
        <x:v>TBA</x:v>
      </x:c>
    </x:row>
    <x:row r="3072">
      <x:c r="A3072" t="str">
        <x:v>b09e1ee3-a192-4303-b141-b230064d85e4</x:v>
      </x:c>
      <x:c r="B3072" t="str">
        <x:v>68d1f7cb-6932-4b53-9baa-c6e15c9c1d06</x:v>
      </x:c>
      <x:c r="C3072" s="9" t="str">
        <x:v>ST &amp; Anor v The Secretary of State for the Home Department</x:v>
      </x:c>
      <x:c r="D3072" s="9" t="str"/>
      <x:c r="E3072" s="9" t="str"/>
      <x:c r="F3072" s="13" t="str">
        <x:v>2014</x:v>
      </x:c>
      <x:c r="G3072" s="9" t="str">
        <x:v>England and Wales Court of Appeal (Civil Division)</x:v>
      </x:c>
      <x:c r="H3072" s="9" t="str">
        <x:v>Appellate</x:v>
      </x:c>
      <x:c r="I3072" s="9" t="str">
        <x:v>England and Wales</x:v>
      </x:c>
      <x:c r="J3072" s="9" t="str">
        <x:v>Administrative Law</x:v>
      </x:c>
      <x:c r="K3072" s="9" t="str">
        <x:v>-ew-cases-EWCA-Civ-2014-188.xml</x:v>
      </x:c>
      <x:c r="L3072" s="9" t="str">
        <x:v>TBA</x:v>
      </x:c>
    </x:row>
    <x:row r="3073">
      <x:c r="A3073" t="str">
        <x:v>d8d2fb04-99c9-4ed2-b4d5-70d51b0acd7c</x:v>
      </x:c>
      <x:c r="B3073" t="str">
        <x:v>d944d576-d4a0-4fc6-b005-a295d5458889</x:v>
      </x:c>
      <x:c r="C3073" s="9" t="str">
        <x:v>St Modwen Developments Ltd v Secretary of State for Communities and Local Government &amp; Ors</x:v>
      </x:c>
      <x:c r="D3073" s="9" t="str"/>
      <x:c r="E3073" s="9" t="str"/>
      <x:c r="F3073" s="13" t="str">
        <x:v>2017</x:v>
      </x:c>
      <x:c r="G3073" s="9" t="str">
        <x:v>England and Wales Court of Appeal (Civil Division)</x:v>
      </x:c>
      <x:c r="H3073" s="9" t="str">
        <x:v>Appellate</x:v>
      </x:c>
      <x:c r="I3073" s="9" t="str">
        <x:v>England and Wales</x:v>
      </x:c>
      <x:c r="J3073" s="9" t="str">
        <x:v>Administrative Law</x:v>
      </x:c>
      <x:c r="K3073" s="9" t="str">
        <x:v>-ew-cases-EWCA-Civ-2017-1643.xml</x:v>
      </x:c>
      <x:c r="L3073" s="9" t="str">
        <x:v>TBA</x:v>
      </x:c>
    </x:row>
    <x:row r="3074">
      <x:c r="A3074" t="str">
        <x:v>becfdd41-2a07-474b-adb4-f9c0c90bade5</x:v>
      </x:c>
      <x:c r="B3074" t="str">
        <x:v>bc10f530-dae8-4a95-9dcb-bcf05e7deb34</x:v>
      </x:c>
      <x:c r="C3074" s="9" t="str">
        <x:v>ST v BAI (SA) trading as Brittany Ferries [2022] EWCA Civ 1037 (27 July 2022)</x:v>
      </x:c>
      <x:c r="D3074" s="9" t="str"/>
      <x:c r="E3074" s="9" t="str"/>
      <x:c r="F3074" s="13" t="str">
        <x:v>2022</x:v>
      </x:c>
      <x:c r="G3074" s="9" t="str">
        <x:v>England and Wales Court of Appeal (Civil Division)</x:v>
      </x:c>
      <x:c r="H3074" s="9" t="str">
        <x:v>Court of Appeal (Civil Division)</x:v>
      </x:c>
      <x:c r="I3074" s="9" t="str">
        <x:v>England and Wales</x:v>
      </x:c>
      <x:c r="J3074" s="9" t="str">
        <x:v>Civil Procedure / Limitation and Service of Process / Maritime Law</x:v>
      </x:c>
      <x:c r="K3074" s="9" t="str">
        <x:v>ew-cases-EWCA-Civ-2022-1037.xml</x:v>
      </x:c>
      <x:c r="L3074" s="9" t="str">
        <x:v>TBA</x:v>
      </x:c>
    </x:row>
    <x:row r="3075">
      <x:c r="A3075" t="str">
        <x:v>2764afff-50fb-4370-bf80-3e0e3f755702</x:v>
      </x:c>
      <x:c r="B3075" t="str">
        <x:v>de020436-346c-43ad-85c8-7d2bfd572c71</x:v>
      </x:c>
      <x:c r="C3075" s="9" t="str">
        <x:v>Stacey (t/a the New Gailey Caravan/Motorhomes Centre) v Autosleeper Group Ltd</x:v>
      </x:c>
      <x:c r="D3075" s="9" t="str"/>
      <x:c r="E3075" s="9" t="str"/>
      <x:c r="F3075" s="13" t="str">
        <x:v>2014</x:v>
      </x:c>
      <x:c r="G3075" s="9" t="str">
        <x:v>England and Wales Court of Appeal (Civil Division)</x:v>
      </x:c>
      <x:c r="H3075" s="9" t="str">
        <x:v>Appellate</x:v>
      </x:c>
      <x:c r="I3075" s="9" t="str">
        <x:v>England and Wales</x:v>
      </x:c>
      <x:c r="J3075" s="9" t="str">
        <x:v>Contract Dispute</x:v>
      </x:c>
      <x:c r="K3075" s="9" t="str">
        <x:v>-ew-cases-EWCA-Civ-2014-1551.xml</x:v>
      </x:c>
      <x:c r="L3075" s="9" t="str">
        <x:v>TBA</x:v>
      </x:c>
    </x:row>
    <x:row r="3076">
      <x:c r="A3076" t="str">
        <x:v>8855eb92-f76c-4ab5-abd9-7647cc136109</x:v>
      </x:c>
      <x:c r="B3076" t="str">
        <x:v>4c211bdc-d1de-4d7c-afa7-a194a718db4f</x:v>
      </x:c>
      <x:c r="C3076" s="9" t="str">
        <x:v>Stack v Ajar-Tec Ltd [2015] EWCA Civ 46</x:v>
      </x:c>
      <x:c r="D3076" s="9" t="str"/>
      <x:c r="E3076" s="9" t="str"/>
      <x:c r="F3076" s="13" t="str">
        <x:v>2015</x:v>
      </x:c>
      <x:c r="G3076" s="9" t="str">
        <x:v>England and Wales Court of Appeal (Civil Division)</x:v>
      </x:c>
      <x:c r="H3076" s="9" t="str">
        <x:v>Appellate</x:v>
      </x:c>
      <x:c r="I3076" s="9" t="str">
        <x:v>England and Wales</x:v>
      </x:c>
      <x:c r="J3076" s="9" t="str">
        <x:v>Employment Law</x:v>
      </x:c>
      <x:c r="K3076" s="9" t="str">
        <x:v>-ew-cases-EWCA-Civ-2015-46.xml</x:v>
      </x:c>
      <x:c r="L3076" s="9" t="str">
        <x:v>TBA</x:v>
      </x:c>
    </x:row>
    <x:row r="3077">
      <x:c r="A3077" t="str">
        <x:v>a2dd5273-81c7-41b1-8477-b7d4364f2665</x:v>
      </x:c>
      <x:c r="B3077" t="str">
        <x:v>716e800b-e0f7-4ae8-8924-26e7817a7bef</x:v>
      </x:c>
      <x:c r="C3077" s="9" t="str">
        <x:v>Stafford Flowers v Linstone Chine Management Company Ltd [2017] EWCA Civ 202</x:v>
      </x:c>
      <x:c r="D3077" s="9" t="str"/>
      <x:c r="E3077" s="9" t="str"/>
      <x:c r="F3077" s="13" t="str">
        <x:v>2017</x:v>
      </x:c>
      <x:c r="G3077" s="9" t="str">
        <x:v>England and Wales Court of Appeal (Civil Division)</x:v>
      </x:c>
      <x:c r="H3077" s="9" t="str">
        <x:v>Appellate</x:v>
      </x:c>
      <x:c r="I3077" s="9" t="str">
        <x:v>England and Wales</x:v>
      </x:c>
      <x:c r="J3077" s="9" t="str">
        <x:v>Property Law</x:v>
      </x:c>
      <x:c r="K3077" s="9" t="str">
        <x:v>-ew-cases-EWCA-Civ-2017-202.xml</x:v>
      </x:c>
      <x:c r="L3077" s="9" t="str">
        <x:v>TBA</x:v>
      </x:c>
    </x:row>
    <x:row r="3078">
      <x:c r="A3078" t="str">
        <x:v>4c34224f-0fc8-4cad-aa94-14ebae5c95f4</x:v>
      </x:c>
      <x:c r="B3078" t="str">
        <x:v>997d2c69-3d5d-4ad2-ad4c-45ba1fd57a71</x:v>
      </x:c>
      <x:c r="C3078" s="9" t="str">
        <x:v>Stait v Cosmos Insurance Limited Cyprus [2022] EWCA Civ 1429</x:v>
      </x:c>
      <x:c r="D3078" s="9" t="str"/>
      <x:c r="E3078" s="9" t="str"/>
      <x:c r="F3078" s="13" t="str">
        <x:v>2022</x:v>
      </x:c>
      <x:c r="G3078" s="9" t="str">
        <x:v>England and Wales Court of Appeal (Civil Division)</x:v>
      </x:c>
      <x:c r="H3078" s="9" t="str">
        <x:v>Court of Appeal (Civil Division)</x:v>
      </x:c>
      <x:c r="I3078" s="9" t="str">
        <x:v>England and Wales</x:v>
      </x:c>
      <x:c r="J3078" s="9" t="str">
        <x:v>Civil Procedure / Jurisdiction (Private International Law)</x:v>
      </x:c>
      <x:c r="K3078" s="9" t="str">
        <x:v>ew-cases-EWCA-Civ-2022-1429.xml</x:v>
      </x:c>
      <x:c r="L3078" s="9" t="str">
        <x:v>TBA</x:v>
      </x:c>
    </x:row>
    <x:row r="3079">
      <x:c r="A3079" t="str">
        <x:v>a417ee4f-97f0-4449-97e1-f21b9226a985</x:v>
      </x:c>
      <x:c r="B3079" t="str">
        <x:v>5e021f10-5b90-489e-b92a-2cccb01fccb7</x:v>
      </x:c>
      <x:c r="C3079" s="9" t="str">
        <x:v>Stampfer v Avon Ground Rents Ltd [2022] EWCA Civ 1375</x:v>
      </x:c>
      <x:c r="D3079" s="9" t="str"/>
      <x:c r="E3079" s="9" t="str"/>
      <x:c r="F3079" s="13" t="str">
        <x:v>2022</x:v>
      </x:c>
      <x:c r="G3079" s="9" t="str">
        <x:v>England and Wales Court of Appeal (Civil Division)</x:v>
      </x:c>
      <x:c r="H3079" s="9" t="str">
        <x:v>Court of Appeal (Civil Division)</x:v>
      </x:c>
      <x:c r="I3079" s="9" t="str">
        <x:v>England and Wales</x:v>
      </x:c>
      <x:c r="J3079" s="9" t="str">
        <x:v>Property Law (Leasehold/Service Charges) – Leasehold Administration Charges</x:v>
      </x:c>
      <x:c r="K3079" s="9" t="str">
        <x:v>ew-cases-EWCA-Civ-2022-1375.xml</x:v>
      </x:c>
      <x:c r="L3079" s="9" t="str">
        <x:v>TBA</x:v>
      </x:c>
    </x:row>
    <x:row r="3080">
      <x:c r="A3080" t="str">
        <x:v>8d380a55-a6e1-4512-94f8-d949c7bfc82a</x:v>
      </x:c>
      <x:c r="B3080" t="str">
        <x:v>56faa637-1ba5-4da0-a948-a59e676be8de</x:v>
      </x:c>
      <x:c r="C3080" s="9" t="str">
        <x:v>Standard Chartered Bank (Hong Kong) Limited &amp; Anor v Independent Power Tanzania Limited &amp; Ors [2016] EWCA Civ 411</x:v>
      </x:c>
      <x:c r="D3080" s="9" t="str"/>
      <x:c r="E3080" s="9" t="str"/>
      <x:c r="F3080" s="13" t="str">
        <x:v>2016</x:v>
      </x:c>
      <x:c r="G3080" s="9" t="str">
        <x:v>England and Wales Court of Appeal (Civil Division)</x:v>
      </x:c>
      <x:c r="H3080" s="9" t="str">
        <x:v>Court of Appeal (Civil Division)</x:v>
      </x:c>
      <x:c r="I3080" s="9" t="str">
        <x:v>England and Wales</x:v>
      </x:c>
      <x:c r="J3080" s="9" t="str">
        <x:v>Civil – Contract Dispute; Jurisdiction and Forum; Cross-border finance</x:v>
      </x:c>
      <x:c r="K3080" s="9" t="str">
        <x:v>-ew-cases-EWCA-Civ-2016-411.xml</x:v>
      </x:c>
      <x:c r="L3080" s="9" t="str">
        <x:v>TBA</x:v>
      </x:c>
    </x:row>
    <x:row r="3081">
      <x:c r="A3081" t="str">
        <x:v>aeb347ee-13b7-45b1-9306-6a4e9a2aca90</x:v>
      </x:c>
      <x:c r="B3081" t="str">
        <x:v>7285e1b9-0772-43fd-8017-832363590979</x:v>
      </x:c>
      <x:c r="C3081" s="9" t="str">
        <x:v>Standard Chartered Bank v. Dorchester LNG (Rev 1) [2014] EWCA Civ 1382</x:v>
      </x:c>
      <x:c r="D3081" s="9" t="str"/>
      <x:c r="E3081" s="9" t="str"/>
      <x:c r="F3081" s="13" t="str">
        <x:v>2014</x:v>
      </x:c>
      <x:c r="G3081" s="9" t="str">
        <x:v>England and Wales Court of Appeal (Civil Division)</x:v>
      </x:c>
      <x:c r="H3081" s="9" t="str">
        <x:v>Appellate</x:v>
      </x:c>
      <x:c r="I3081" s="9" t="str">
        <x:v>United Kingdom</x:v>
      </x:c>
      <x:c r="J3081" s="9" t="str">
        <x:v>Commercial Law</x:v>
      </x:c>
      <x:c r="K3081" s="9" t="str">
        <x:v>-ew-cases-EWCA-Civ-2014-1382.xml</x:v>
      </x:c>
      <x:c r="L3081" s="9" t="str">
        <x:v>TBA</x:v>
      </x:c>
    </x:row>
    <x:row r="3082">
      <x:c r="A3082" t="str">
        <x:v>70b102b1-d381-4670-8715-9ffc2cd937e0</x:v>
      </x:c>
      <x:c r="B3082" t="str">
        <x:v>92bd14e9-7c50-43aa-a20b-ca5bdecfe54c</x:v>
      </x:c>
      <x:c r="C3082" s="9" t="str">
        <x:v>Stanford International Bank Ltd v HSBC Bank Plc</x:v>
      </x:c>
      <x:c r="D3082" s="9" t="str"/>
      <x:c r="E3082" s="9" t="str"/>
      <x:c r="F3082" s="13" t="str">
        <x:v>2021</x:v>
      </x:c>
      <x:c r="G3082" s="9" t="str">
        <x:v>England and Wales Court of Appeal (Civil Division)</x:v>
      </x:c>
      <x:c r="H3082" s="9" t="str">
        <x:v>Appellate</x:v>
      </x:c>
      <x:c r="I3082" s="9" t="str">
        <x:v>England and Wales</x:v>
      </x:c>
      <x:c r="J3082" s="9" t="str">
        <x:v>Civil Liability</x:v>
      </x:c>
      <x:c r="K3082" s="9" t="str">
        <x:v>ew-cases-EWCA-Civ-2021-535.xml</x:v>
      </x:c>
      <x:c r="L3082" s="9" t="str">
        <x:v>TBA</x:v>
      </x:c>
    </x:row>
    <x:row r="3083">
      <x:c r="A3083" t="str">
        <x:v>0087a104-e90d-406e-b5b2-b755606d9469</x:v>
      </x:c>
      <x:c r="B3083" t="str">
        <x:v>64ba33a4-5a9f-49c7-893a-e9cf1b593e26</x:v>
      </x:c>
      <x:c r="C3083" s="9" t="str">
        <x:v>Starbev GP Limited v Interbrew Central European Holdings BV (Rev 1) [2016] EWCA Civ 449</x:v>
      </x:c>
      <x:c r="D3083" s="9" t="str"/>
      <x:c r="E3083" s="9" t="str"/>
      <x:c r="F3083" s="13" t="str">
        <x:v>2016</x:v>
      </x:c>
      <x:c r="G3083" s="9" t="str">
        <x:v>England and Wales Court of Appeal (Civil Division)</x:v>
      </x:c>
      <x:c r="H3083" s="9" t="str">
        <x:v>Court of Appeal (Civil Division)</x:v>
      </x:c>
      <x:c r="I3083" s="9" t="str">
        <x:v>England and Wales</x:v>
      </x:c>
      <x:c r="J3083" s="9" t="str">
        <x:v>Commercial Contract / Corporate Finance / M&amp;A</x:v>
      </x:c>
      <x:c r="K3083" s="9" t="str">
        <x:v>-ew-cases-EWCA-Civ-2016-449.xml</x:v>
      </x:c>
      <x:c r="L3083" s="9" t="str">
        <x:v>TBA</x:v>
      </x:c>
    </x:row>
    <x:row r="3084">
      <x:c r="A3084" t="str">
        <x:v>fac9989b-26fd-4850-b87e-ec8fb4977780</x:v>
      </x:c>
      <x:c r="B3084" t="str">
        <x:v>83040df0-5ebd-481d-96b8-e53b37e0f97e</x:v>
      </x:c>
      <x:c r="C3084" s="9" t="str">
        <x:v>Starlight Shipping Company v Allianz Marine &amp; Aviation Versicherungs AG &amp; Ors</x:v>
      </x:c>
      <x:c r="D3084" s="9" t="str"/>
      <x:c r="E3084" s="9" t="str"/>
      <x:c r="F3084" s="13" t="str">
        <x:v>2014</x:v>
      </x:c>
      <x:c r="G3084" s="9" t="str">
        <x:v>England and Wales Court of Appeal (Civil Division)</x:v>
      </x:c>
      <x:c r="H3084" s="9" t="str">
        <x:v>appellate</x:v>
      </x:c>
      <x:c r="I3084" s="9" t="str">
        <x:v>England and Wales</x:v>
      </x:c>
      <x:c r="J3084" s="9" t="str">
        <x:v>Contract Law</x:v>
      </x:c>
      <x:c r="K3084" s="9" t="str">
        <x:v>-ew-cases-EWCA-Civ-2014-1010.xml</x:v>
      </x:c>
      <x:c r="L3084" s="9" t="str">
        <x:v>TBA</x:v>
      </x:c>
    </x:row>
    <x:row r="3085">
      <x:c r="A3085" t="str">
        <x:v>5473af90-5d58-4176-9e0d-db883c6be741</x:v>
      </x:c>
      <x:c r="B3085" t="str">
        <x:v>c129a108-997e-4c92-81d0-494a94a36337</x:v>
      </x:c>
      <x:c r="C3085" s="9" t="str">
        <x:v>Steer v Stormsure Ltd [2021] EWCA Civ 887</x:v>
      </x:c>
      <x:c r="D3085" s="9" t="str"/>
      <x:c r="E3085" s="9" t="str"/>
      <x:c r="F3085" s="13" t="str">
        <x:v>2021</x:v>
      </x:c>
      <x:c r="G3085" s="9" t="str">
        <x:v>England and Wales Court of Appeal (Civil Division)</x:v>
      </x:c>
      <x:c r="H3085" s="9" t="str">
        <x:v>Appellate</x:v>
      </x:c>
      <x:c r="I3085" s="9" t="str">
        <x:v>England and Wales</x:v>
      </x:c>
      <x:c r="J3085" s="9" t="str">
        <x:v>Employment Law</x:v>
      </x:c>
      <x:c r="K3085" s="9" t="str">
        <x:v>ew-cases-EWCA-Civ-2021-887.xml</x:v>
      </x:c>
      <x:c r="L3085" s="9" t="str">
        <x:v>TBA</x:v>
      </x:c>
    </x:row>
    <x:row r="3086">
      <x:c r="A3086" t="str">
        <x:v>93106a3b-3830-4734-bdce-9242c3512eac</x:v>
      </x:c>
      <x:c r="B3086" t="str">
        <x:v>e2b33909-8ea1-4a5a-94e0-b819820b017c</x:v>
      </x:c>
      <x:c r="C3086" s="9" t="str">
        <x:v>Steer v Stormsure Ltd [2021] EWCA Civ 887 | Interim Relief in Employment Law</x:v>
      </x:c>
      <x:c r="D3086" s="9" t="str"/>
      <x:c r="E3086" s="9" t="str"/>
      <x:c r="F3086" s="13" t="str">
        <x:v>2021</x:v>
      </x:c>
      <x:c r="G3086" s="9" t="str">
        <x:v>England and Wales Court of Appeal (Civil Division)</x:v>
      </x:c>
      <x:c r="H3086" s="9" t="str">
        <x:v>Appellate</x:v>
      </x:c>
      <x:c r="I3086" s="9" t="str">
        <x:v>England and Wales</x:v>
      </x:c>
      <x:c r="J3086" s="9" t="str">
        <x:v>Employment Law</x:v>
      </x:c>
      <x:c r="K3086" s="9" t="str">
        <x:v>ew-cases-EWCA-Civ-2021-887.xml</x:v>
      </x:c>
      <x:c r="L3086" s="9" t="str">
        <x:v>TBA</x:v>
      </x:c>
    </x:row>
    <x:row r="3087">
      <x:c r="A3087" t="str">
        <x:v>1e14cd3d-0a46-4f5a-8413-2271efd2bd0b</x:v>
      </x:c>
      <x:c r="B3087" t="str">
        <x:v>64c211e7-048a-4000-b973-4405d2f7474f</x:v>
      </x:c>
      <x:c r="C3087" s="9" t="str">
        <x:v>Steinfeld &amp; Anor v Secretary of State for Education [2017] EWCA Civ 81</x:v>
      </x:c>
      <x:c r="D3087" s="9" t="str"/>
      <x:c r="E3087" s="9" t="str"/>
      <x:c r="F3087" s="13" t="str">
        <x:v>2017</x:v>
      </x:c>
      <x:c r="G3087" s="9" t="str">
        <x:v>England and Wales Court of Appeal (Civil Division)</x:v>
      </x:c>
      <x:c r="H3087" s="9" t="str">
        <x:v>Appellate</x:v>
      </x:c>
      <x:c r="I3087" s="9" t="str">
        <x:v>England and Wales</x:v>
      </x:c>
      <x:c r="J3087" s="9" t="str">
        <x:v>Human Rights</x:v>
      </x:c>
      <x:c r="K3087" s="9" t="str">
        <x:v>-ew-cases-EWCA-Civ-2017-81.xml</x:v>
      </x:c>
      <x:c r="L3087" s="9" t="str">
        <x:v>TBA</x:v>
      </x:c>
    </x:row>
    <x:row r="3088">
      <x:c r="A3088" t="str">
        <x:v>2d0e5198-f43e-43b2-854b-f68cbaf4ec25</x:v>
      </x:c>
      <x:c r="B3088" t="str">
        <x:v>3d83ca7a-4f9d-470a-84bd-d9426b97e609</x:v>
      </x:c>
      <x:c r="C3088" s="9" t="str">
        <x:v>Sternbaum v Dhesi [2016] EWCA Civ 155 ( Court of Appeal (Civil Division) 18 March 2016 )</x:v>
      </x:c>
      <x:c r="D3088" s="9" t="str"/>
      <x:c r="E3088" s="9" t="str"/>
      <x:c r="F3088" s="13" t="str">
        <x:v>2016</x:v>
      </x:c>
      <x:c r="G3088" s="9" t="str">
        <x:v>England and Wales Court of Appeal (Civil Division)</x:v>
      </x:c>
      <x:c r="H3088" s="9" t="str">
        <x:v>Court of Appeal (Civil Division)</x:v>
      </x:c>
      <x:c r="I3088" s="9" t="str">
        <x:v>England and Wales</x:v>
      </x:c>
      <x:c r="J3088" s="9" t="str">
        <x:v>Tort / Property / Statutory Duty under Defective Premises Act 1972</x:v>
      </x:c>
      <x:c r="K3088" s="9" t="str">
        <x:v>-ew-cases-EWCA-Civ-2016-155.xml</x:v>
      </x:c>
      <x:c r="L3088" s="9" t="str">
        <x:v>TBA</x:v>
      </x:c>
    </x:row>
    <x:row r="3089">
      <x:c r="A3089" t="str">
        <x:v>a4c79775-5daf-4529-85d0-beffa1cb9d0f</x:v>
      </x:c>
      <x:c r="B3089" t="str">
        <x:v>54aa7aae-df0b-43d4-9f34-c9443973ce51</x:v>
      </x:c>
      <x:c r="C3089" s="9" t="str">
        <x:v>Steve Hill Ltd v Witham [2021] EWCA Civ 1312</x:v>
      </x:c>
      <x:c r="D3089" s="9" t="str"/>
      <x:c r="E3089" s="9" t="str"/>
      <x:c r="F3089" s="13" t="str">
        <x:v>2021</x:v>
      </x:c>
      <x:c r="G3089" s="9" t="str">
        <x:v>England and Wales Court of Appeal (Civil Division)</x:v>
      </x:c>
      <x:c r="H3089" s="9" t="str">
        <x:v>Appellate</x:v>
      </x:c>
      <x:c r="I3089" s="9" t="str">
        <x:v>England and Wales</x:v>
      </x:c>
      <x:c r="J3089" s="9" t="str">
        <x:v>Personal Injury - Fatal Accidents</x:v>
      </x:c>
      <x:c r="K3089" s="9" t="str">
        <x:v>ew-cases-EWCA-Civ-2021-1312.xml</x:v>
      </x:c>
      <x:c r="L3089" s="9" t="str">
        <x:v>TBA</x:v>
      </x:c>
    </x:row>
    <x:row r="3090">
      <x:c r="A3090" t="str">
        <x:v>0d64075f-607d-415a-922c-f6560f7d50e3</x:v>
      </x:c>
      <x:c r="B3090" t="str">
        <x:v>a87860ff-994f-4309-bdb5-6259022af9ab</x:v>
      </x:c>
      <x:c r="C3090" s="9" t="str">
        <x:v>Steve Ward Services (UK) Limited v Davies &amp; Davies Associates Limited [2022] EWCA Civ 153</x:v>
      </x:c>
      <x:c r="D3090" s="9" t="str"/>
      <x:c r="E3090" s="9" t="str"/>
      <x:c r="F3090" s="13" t="str">
        <x:v>2022</x:v>
      </x:c>
      <x:c r="G3090" s="9" t="str">
        <x:v>England and Wales Court of Appeal (Civil Division)</x:v>
      </x:c>
      <x:c r="H3090" s="9" t="str">
        <x:v>Court of Appeal (Civil Division)</x:v>
      </x:c>
      <x:c r="I3090" s="9" t="str">
        <x:v>England and Wales</x:v>
      </x:c>
      <x:c r="J3090" s="9" t="str">
        <x:v>Contract/Construction Adjudication</x:v>
      </x:c>
      <x:c r="K3090" s="9" t="str">
        <x:v>ew-cases-EWCA-Civ-2022-153.xml</x:v>
      </x:c>
      <x:c r="L3090" s="9" t="str">
        <x:v>TBA</x:v>
      </x:c>
    </x:row>
    <x:row r="3091">
      <x:c r="A3091" t="str">
        <x:v>6470134b-1423-4749-a646-21c52f348602</x:v>
      </x:c>
      <x:c r="B3091" t="str">
        <x:v>bfe7a194-032c-454a-8149-d0eef2b0b770</x:v>
      </x:c>
      <x:c r="C3091" s="9" t="str">
        <x:v>Stevens v Equity Syndicate Management Ltd [2015] EWCA Civ 93</x:v>
      </x:c>
      <x:c r="D3091" s="9" t="str"/>
      <x:c r="E3091" s="9" t="str"/>
      <x:c r="F3091" s="13" t="str">
        <x:v>2015</x:v>
      </x:c>
      <x:c r="G3091" s="9" t="str">
        <x:v>England and Wales Court of Appeal (Civil Division)</x:v>
      </x:c>
      <x:c r="H3091" s="9" t="str">
        <x:v>Appellate</x:v>
      </x:c>
      <x:c r="I3091" s="9" t="str">
        <x:v>England and Wales</x:v>
      </x:c>
      <x:c r="J3091" s="9" t="str">
        <x:v>Tort</x:v>
      </x:c>
      <x:c r="K3091" s="9" t="str">
        <x:v>-ew-cases-EWCA-Civ-2015-93.xml</x:v>
      </x:c>
      <x:c r="L3091" s="9" t="str">
        <x:v>TBA</x:v>
      </x:c>
    </x:row>
    <x:row r="3092">
      <x:c r="A3092" t="str">
        <x:v>a3893165-a4bc-4280-903b-2b148ee9db15</x:v>
      </x:c>
      <x:c r="B3092" t="str">
        <x:v>c6d864ce-909f-4810-81a4-e4ac97219e97</x:v>
      </x:c>
      <x:c r="C3092" s="9" t="str">
        <x:v>Stevensdrake Ltd (t/a Stevensdrake Solicitors) v Hunt [2017] EWCA Civ 1173</x:v>
      </x:c>
      <x:c r="D3092" s="9" t="str"/>
      <x:c r="E3092" s="9" t="str"/>
      <x:c r="F3092" s="13" t="str">
        <x:v>2017</x:v>
      </x:c>
      <x:c r="G3092" s="9" t="str">
        <x:v>England and Wales Court of Appeal (Civil Division)</x:v>
      </x:c>
      <x:c r="H3092" s="9" t="str">
        <x:v>Appellate</x:v>
      </x:c>
      <x:c r="I3092" s="9" t="str">
        <x:v>England and Wales</x:v>
      </x:c>
      <x:c r="J3092" s="9" t="str">
        <x:v>Contract Dispute</x:v>
      </x:c>
      <x:c r="K3092" s="9" t="str">
        <x:v>-ew-cases-EWCA-Civ-2017-1173.xml</x:v>
      </x:c>
      <x:c r="L3092" s="9" t="str">
        <x:v>TBA</x:v>
      </x:c>
    </x:row>
    <x:row r="3093">
      <x:c r="A3093" t="str">
        <x:v>9a2a2363-d297-4800-a0a2-14faba53cb41</x:v>
      </x:c>
      <x:c r="B3093" t="str">
        <x:v>a2f5463c-4e9a-4e3e-b711-3d66548699ff</x:v>
      </x:c>
      <x:c r="C3093" s="9" t="str">
        <x:v>Stevenson v The Secretary of State for Work and Pensions</x:v>
      </x:c>
      <x:c r="D3093" s="9" t="str"/>
      <x:c r="E3093" s="9" t="str"/>
      <x:c r="F3093" s="13" t="str">
        <x:v>2017</x:v>
      </x:c>
      <x:c r="G3093" s="9" t="str">
        <x:v>England and Wales Court of Appeal (Civil Division)</x:v>
      </x:c>
      <x:c r="H3093" s="9" t="str">
        <x:v>Appellate</x:v>
      </x:c>
      <x:c r="I3093" s="9" t="str">
        <x:v>England and Wales</x:v>
      </x:c>
      <x:c r="J3093" s="9" t="str">
        <x:v>Administrative Law</x:v>
      </x:c>
      <x:c r="K3093" s="9" t="str">
        <x:v>-ew-cases-EWCA-Civ-2017-2123.xml</x:v>
      </x:c>
      <x:c r="L3093" s="9" t="str">
        <x:v>TBA</x:v>
      </x:c>
    </x:row>
    <x:row r="3094">
      <x:c r="A3094" t="str">
        <x:v>6407c82d-93f8-4cbc-804d-f0bf9c9dd13d</x:v>
      </x:c>
      <x:c r="B3094" t="str">
        <x:v>bb0f31bd-b33d-499a-b0ee-5dc02d50186c</x:v>
      </x:c>
      <x:c r="C3094" s="9" t="str">
        <x:v>Stewart v Lewisham And Greenwich NHS Trust</x:v>
      </x:c>
      <x:c r="D3094" s="9" t="str"/>
      <x:c r="E3094" s="9" t="str"/>
      <x:c r="F3094" s="13" t="str">
        <x:v>2017</x:v>
      </x:c>
      <x:c r="G3094" s="9" t="str">
        <x:v>England and Wales Court of Appeal (Civil Division)</x:v>
      </x:c>
      <x:c r="H3094" s="9" t="str">
        <x:v>Appellate</x:v>
      </x:c>
      <x:c r="I3094" s="9" t="str">
        <x:v>England and Wales</x:v>
      </x:c>
      <x:c r="J3094" s="9" t="str">
        <x:v>Tort</x:v>
      </x:c>
      <x:c r="K3094" s="9" t="str">
        <x:v>-ew-cases-EWCA-Civ-2017-2091.xml</x:v>
      </x:c>
      <x:c r="L3094" s="9" t="str">
        <x:v>TBA</x:v>
      </x:c>
    </x:row>
    <x:row r="3095">
      <x:c r="A3095" t="str">
        <x:v>314e4b72-a587-4756-b5be-998eab9efcc2</x:v>
      </x:c>
      <x:c r="B3095" t="str">
        <x:v>a86a3a54-7bec-4151-a407-dbf3d908b957</x:v>
      </x:c>
      <x:c r="C3095" s="9" t="str">
        <x:v>Stewart v Royal Mail Group Ltd [2015] EWCA Civ 1527</x:v>
      </x:c>
      <x:c r="D3095" s="9" t="str"/>
      <x:c r="E3095" s="9" t="str"/>
      <x:c r="F3095" s="13" t="str">
        <x:v>2015</x:v>
      </x:c>
      <x:c r="G3095" s="9" t="str">
        <x:v>England and Wales Court of Appeal (Civil Division)</x:v>
      </x:c>
      <x:c r="H3095" s="9" t="str">
        <x:v>Appellate</x:v>
      </x:c>
      <x:c r="I3095" s="9" t="str">
        <x:v>United Kingdom</x:v>
      </x:c>
      <x:c r="J3095" s="9" t="str">
        <x:v>Employment Law</x:v>
      </x:c>
      <x:c r="K3095" s="9" t="str">
        <x:v>-ew-cases-EWCA-Civ-2015-1527.xml</x:v>
      </x:c>
      <x:c r="L3095" s="9" t="str">
        <x:v>TBA</x:v>
      </x:c>
    </x:row>
    <x:row r="3096">
      <x:c r="A3096" t="str">
        <x:v>a91ab1ed-06c1-4272-9294-89dc83f7c99b</x:v>
      </x:c>
      <x:c r="B3096" t="str">
        <x:v>3bd9611e-8a1b-4bda-8bd6-747b0479db82</x:v>
      </x:c>
      <x:c r="C3096" s="9" t="str">
        <x:v>Stocker v Stocker [2013] EWCA Civ 628</x:v>
      </x:c>
      <x:c r="D3096" s="9" t="str"/>
      <x:c r="E3096" s="9" t="str"/>
      <x:c r="F3096" s="13" t="str">
        <x:v>2015</x:v>
      </x:c>
      <x:c r="G3096" s="9" t="str">
        <x:v>England and Wales Court of Appeal (Civil Division)</x:v>
      </x:c>
      <x:c r="H3096" s="9" t="str">
        <x:v>Appellate</x:v>
      </x:c>
      <x:c r="I3096" s="9" t="str">
        <x:v>England and Wales</x:v>
      </x:c>
      <x:c r="J3096" s="9" t="str">
        <x:v>Family Law</x:v>
      </x:c>
      <x:c r="K3096" s="9" t="str">
        <x:v>-ew-cases-EWCA-Civ-2015-628.xml</x:v>
      </x:c>
      <x:c r="L3096" s="9" t="str">
        <x:v>TBA</x:v>
      </x:c>
    </x:row>
    <x:row r="3097">
      <x:c r="A3097" t="str">
        <x:v>960b52ca-5dfe-4be6-aacd-de8d07eba0f4</x:v>
      </x:c>
      <x:c r="B3097" t="str">
        <x:v>cd9ea2e1-633c-4b07-b8bc-180da216b237</x:v>
      </x:c>
      <x:c r="C3097" s="9" t="str">
        <x:v>Stokoe Partnership Solicitors v Grayson &amp; Ors [2021] EWCA Civ 626</x:v>
      </x:c>
      <x:c r="D3097" s="9" t="str"/>
      <x:c r="E3097" s="9" t="str"/>
      <x:c r="F3097" s="13" t="str">
        <x:v>2021</x:v>
      </x:c>
      <x:c r="G3097" s="9" t="str">
        <x:v>England and Wales Court of Appeal (Civil Division)</x:v>
      </x:c>
      <x:c r="H3097" s="9" t="str">
        <x:v>Appellate</x:v>
      </x:c>
      <x:c r="I3097" s="9" t="str">
        <x:v>England and Wales</x:v>
      </x:c>
      <x:c r="J3097" s="9" t="str">
        <x:v>Civil Procedure</x:v>
      </x:c>
      <x:c r="K3097" s="9" t="str">
        <x:v>ew-cases-EWCA-Civ-2021-626.xml</x:v>
      </x:c>
      <x:c r="L3097" s="9" t="str">
        <x:v>TBA</x:v>
      </x:c>
    </x:row>
    <x:row r="3098">
      <x:c r="A3098" t="str">
        <x:v>0b87de73-041e-409e-a273-37e386988f04</x:v>
      </x:c>
      <x:c r="B3098" t="str">
        <x:v>9c55075b-13a6-498b-9f7e-ccc061718283</x:v>
      </x:c>
      <x:c r="C3098" s="9" t="str">
        <x:v>Stolkin v HM Revenue and Customs [2016] EWCA Civ 447 (10 May 2016)</x:v>
      </x:c>
      <x:c r="D3098" s="9" t="str"/>
      <x:c r="E3098" s="9" t="str"/>
      <x:c r="F3098" s="13" t="str">
        <x:v>2016</x:v>
      </x:c>
      <x:c r="G3098" s="9" t="str">
        <x:v>England and Wales Court of Appeal (Civil Division)</x:v>
      </x:c>
      <x:c r="H3098" s="9" t="str">
        <x:v>Court of Appeal (Civil Division)</x:v>
      </x:c>
      <x:c r="I3098" s="9" t="str">
        <x:v>England and Wales</x:v>
      </x:c>
      <x:c r="J3098" s="9" t="str">
        <x:v>Tax Law / Capital Gains Tax</x:v>
      </x:c>
      <x:c r="K3098" s="9" t="str">
        <x:v>-ew-cases-EWCA-Civ-2016-447.xml</x:v>
      </x:c>
      <x:c r="L3098" s="9" t="str">
        <x:v>TBA</x:v>
      </x:c>
    </x:row>
    <x:row r="3099">
      <x:c r="A3099" t="str">
        <x:v>250b4bf8-f2cf-4de5-89b1-850130c790b4</x:v>
      </x:c>
      <x:c r="B3099" t="str">
        <x:v>a44d2394-6c51-459e-96d7-b5bf64ea6567</x:v>
      </x:c>
      <x:c r="C3099" s="9" t="str">
        <x:v>Stolt Kestrel BV v Sener Petrol Denizcilik Ticaret AS [2015] EWCA Civ 1035</x:v>
      </x:c>
      <x:c r="D3099" s="9" t="str"/>
      <x:c r="E3099" s="9" t="str"/>
      <x:c r="F3099" s="13" t="str">
        <x:v>2015</x:v>
      </x:c>
      <x:c r="G3099" s="9" t="str">
        <x:v>England and Wales Court of Appeal (Civil Division)</x:v>
      </x:c>
      <x:c r="H3099" s="9" t="str">
        <x:v>Appellate</x:v>
      </x:c>
      <x:c r="I3099" s="9" t="str">
        <x:v>England and Wales</x:v>
      </x:c>
      <x:c r="J3099" s="9" t="str">
        <x:v>Admiralty Law</x:v>
      </x:c>
      <x:c r="K3099" s="9" t="str">
        <x:v>-ew-cases-EWCA-Civ-2015-1035.xml</x:v>
      </x:c>
      <x:c r="L3099" s="9" t="str">
        <x:v>TBA</x:v>
      </x:c>
    </x:row>
    <x:row r="3100">
      <x:c r="A3100" t="str">
        <x:v>337e6282-e7b7-44ff-a0f9-98b712a3eafc</x:v>
      </x:c>
      <x:c r="B3100" t="str">
        <x:v>21ae9139-1951-42b1-b286-e8381251e8b4</x:v>
      </x:c>
      <x:c r="C3100" s="9" t="str">
        <x:v>Stone v Humberside Police &amp; Anor [2015] EWCA Civ 903</x:v>
      </x:c>
      <x:c r="D3100" s="9" t="str"/>
      <x:c r="E3100" s="9" t="str"/>
      <x:c r="F3100" s="13" t="str">
        <x:v>2015</x:v>
      </x:c>
      <x:c r="G3100" s="9" t="str">
        <x:v>England and Wales Court of Appeal (Civil Division)</x:v>
      </x:c>
      <x:c r="H3100" s="9" t="str">
        <x:v>Appellate</x:v>
      </x:c>
      <x:c r="I3100" s="9" t="str">
        <x:v>England and Wales</x:v>
      </x:c>
      <x:c r="J3100" s="9" t="str">
        <x:v>Civil Procedure</x:v>
      </x:c>
      <x:c r="K3100" s="9" t="str">
        <x:v>-ew-cases-EWCA-Civ-2015-903.xml</x:v>
      </x:c>
      <x:c r="L3100" s="9" t="str">
        <x:v>TBA</x:v>
      </x:c>
    </x:row>
    <x:row r="3101">
      <x:c r="A3101" t="str">
        <x:v>fac396f3-ff81-4182-b022-1087b26e57e0</x:v>
      </x:c>
      <x:c r="B3101" t="str">
        <x:v>ff1dce48-9dc0-453f-b01c-93feae810a5c</x:v>
      </x:c>
      <x:c r="C3101" s="9" t="str">
        <x:v>Storey v British Telecommunications Plc [2022] EWCA Civ 616</x:v>
      </x:c>
      <x:c r="D3101" s="9" t="str"/>
      <x:c r="E3101" s="9" t="str"/>
      <x:c r="F3101" s="13" t="str">
        <x:v>2022</x:v>
      </x:c>
      <x:c r="G3101" s="9" t="str">
        <x:v>England and Wales Court of Appeal (Civil Division)</x:v>
      </x:c>
      <x:c r="H3101" s="9" t="str">
        <x:v>Court of Appeal (Civil Division)</x:v>
      </x:c>
      <x:c r="I3101" s="9" t="str">
        <x:v>England and Wales</x:v>
      </x:c>
      <x:c r="J3101" s="9" t="str">
        <x:v>Civil appeal – Tort / Personal Injury / Occupational safety</x:v>
      </x:c>
      <x:c r="K3101" s="9" t="str">
        <x:v>ew-cases-EWCA-Civ-2022-616.xml</x:v>
      </x:c>
      <x:c r="L3101" s="9" t="str">
        <x:v>TBA</x:v>
      </x:c>
    </x:row>
    <x:row r="3102">
      <x:c r="A3102" t="str">
        <x:v>16704802-988a-4930-9e81-3fc02547898c</x:v>
      </x:c>
      <x:c r="B3102" t="str">
        <x:v>4b8b45a7-8c36-4001-aaa8-4956febea157</x:v>
      </x:c>
      <x:c r="C3102" s="9" t="str">
        <x:v>StormHarbour Securities LLP v Dusek [2016] EWCA Civ 604</x:v>
      </x:c>
      <x:c r="D3102" s="9" t="str"/>
      <x:c r="E3102" s="9" t="str"/>
      <x:c r="F3102" s="13" t="str">
        <x:v>2016</x:v>
      </x:c>
      <x:c r="G3102" s="9" t="str">
        <x:v>England and Wales Court of Appeal (Civil Division)</x:v>
      </x:c>
      <x:c r="H3102" s="9" t="str">
        <x:v>Court of Appeal (Civil Division)</x:v>
      </x:c>
      <x:c r="I3102" s="9" t="str">
        <x:v>England and Wales</x:v>
      </x:c>
      <x:c r="J3102" s="9" t="str">
        <x:v>Tort / Negligence; Appellate Procedure</x:v>
      </x:c>
      <x:c r="K3102" s="9" t="str">
        <x:v>-ew-cases-EWCA-Civ-2016-604.xml</x:v>
      </x:c>
      <x:c r="L3102" s="9" t="str">
        <x:v>TBA</x:v>
      </x:c>
    </x:row>
    <x:row r="3103">
      <x:c r="A3103" t="str">
        <x:v>3dd8f354-f61b-480a-9bfd-5a970179d1f3</x:v>
      </x:c>
      <x:c r="B3103" t="str">
        <x:v>0565a7e3-2f58-4b81-9305-fda74d5eb3da</x:v>
      </x:c>
      <x:c r="C3103" s="9" t="str">
        <x:v>Stoute &amp; Anor v News Group Newspapers Ltd [2023] EWCA Civ 523</x:v>
      </x:c>
      <x:c r="D3103" s="9" t="str"/>
      <x:c r="E3103" s="9" t="str"/>
      <x:c r="F3103" s="13" t="str">
        <x:v>2023</x:v>
      </x:c>
      <x:c r="G3103" s="9" t="str">
        <x:v>England and Wales Court of Appeal (Civil Division)</x:v>
      </x:c>
      <x:c r="H3103" s="9" t="str">
        <x:v>Court of Appeal (Civil Division)</x:v>
      </x:c>
      <x:c r="I3103" s="9" t="str">
        <x:v>England and Wales</x:v>
      </x:c>
      <x:c r="J3103" s="9" t="str">
        <x:v>Privacy/Misuse of Private Information</x:v>
      </x:c>
      <x:c r="K3103" s="9" t="str">
        <x:v>ew-cases-EWCA-Civ-2023-523.xml</x:v>
      </x:c>
      <x:c r="L3103" s="9" t="str">
        <x:v>TBA</x:v>
      </x:c>
    </x:row>
    <x:row r="3104">
      <x:c r="A3104" t="str">
        <x:v>1575fbf1-0370-49e8-a8b7-111325714e24</x:v>
      </x:c>
      <x:c r="B3104" t="str">
        <x:v>2e6e1d58-9f2a-439b-8bf7-6da0b0d60969</x:v>
      </x:c>
      <x:c r="C3104" s="9" t="str">
        <x:v>Stoute v LTA Operations Ltd</x:v>
      </x:c>
      <x:c r="D3104" s="9" t="str"/>
      <x:c r="E3104" s="9" t="str"/>
      <x:c r="F3104" s="13" t="str">
        <x:v>2014</x:v>
      </x:c>
      <x:c r="G3104" s="9" t="str">
        <x:v>England and Wales Court of Appeal (Civil Division)</x:v>
      </x:c>
      <x:c r="H3104" s="9" t="str">
        <x:v>Appellate</x:v>
      </x:c>
      <x:c r="I3104" s="9" t="str">
        <x:v>England and Wales</x:v>
      </x:c>
      <x:c r="J3104" s="9" t="str">
        <x:v>Civil Procedure</x:v>
      </x:c>
      <x:c r="K3104" s="9" t="str">
        <x:v>-ew-cases-EWCA-Civ-2014-657.xml</x:v>
      </x:c>
      <x:c r="L3104" s="9" t="str">
        <x:v>TBA</x:v>
      </x:c>
    </x:row>
    <x:row r="3105">
      <x:c r="A3105" t="str">
        <x:v>2a6eb69c-8892-4464-a34d-e2a00305db6a</x:v>
      </x:c>
      <x:c r="B3105" t="str">
        <x:v>c5862648-7e3b-469f-82bc-3214c17b5096</x:v>
      </x:c>
      <x:c r="C3105" s="9" t="str">
        <x:v>Strain v Chief Constable of Greater Manchester Police [2023] EWCA Civ 240 (Court of Appeal, Civil Division)</x:v>
      </x:c>
      <x:c r="D3105" s="9" t="str"/>
      <x:c r="E3105" s="9" t="str"/>
      <x:c r="F3105" s="13" t="str">
        <x:v>2023</x:v>
      </x:c>
      <x:c r="G3105" s="9" t="str">
        <x:v>England and Wales Court of Appeal (Civil Division)</x:v>
      </x:c>
      <x:c r="H3105" s="9" t="str">
        <x:v>Court of Appeal (Civil Division)</x:v>
      </x:c>
      <x:c r="I3105" s="9" t="str">
        <x:v>England and Wales</x:v>
      </x:c>
      <x:c r="J3105" s="9" t="str">
        <x:v>Judicial Review</x:v>
      </x:c>
      <x:c r="K3105" s="9" t="str">
        <x:v>ew-cases-EWCA-Civ-2023-240.xml</x:v>
      </x:c>
      <x:c r="L3105" s="9" t="str">
        <x:v>TBA</x:v>
      </x:c>
    </x:row>
    <x:row r="3106">
      <x:c r="A3106" t="str">
        <x:v>a251fe8c-f8ee-46c3-af70-2588471bc161</x:v>
      </x:c>
      <x:c r="B3106" t="str">
        <x:v>1c998f92-39d1-49a5-8d3b-26019e239e13</x:v>
      </x:c>
      <x:c r="C3106" s="9" t="str">
        <x:v>Stretchline Intellectual Properties Ltd v H&amp;M Hennes &amp; Mauritz Ltd [2017] EWCA Civ 199</x:v>
      </x:c>
      <x:c r="D3106" s="9" t="str"/>
      <x:c r="E3106" s="9" t="str"/>
      <x:c r="F3106" s="13" t="str">
        <x:v>2017</x:v>
      </x:c>
      <x:c r="G3106" s="9" t="str">
        <x:v>England and Wales Court of Appeal (Civil Division)</x:v>
      </x:c>
      <x:c r="H3106" s="9" t="str">
        <x:v>Appellate</x:v>
      </x:c>
      <x:c r="I3106" s="9" t="str">
        <x:v>England and Wales</x:v>
      </x:c>
      <x:c r="J3106" s="9" t="str">
        <x:v>Patent Dispute</x:v>
      </x:c>
      <x:c r="K3106" s="9" t="str">
        <x:v>-ew-cases-EWCA-Civ-2017-199.xml</x:v>
      </x:c>
      <x:c r="L3106" s="9" t="str">
        <x:v>TBA</x:v>
      </x:c>
    </x:row>
    <x:row r="3107">
      <x:c r="A3107" t="str">
        <x:v>6da3a3eb-4f87-480d-aeda-1d104c9256c0</x:v>
      </x:c>
      <x:c r="B3107" t="str">
        <x:v>e9fdc950-afbf-4a58-b7e1-3650999ea96b</x:v>
      </x:c>
      <x:c r="C3107" s="9" t="str">
        <x:v>Stretchline Intellectual Properties Ltd v H&amp;M Hennes &amp; Mauritz UK Ltd [2015] EWCA Civ 516</x:v>
      </x:c>
      <x:c r="D3107" s="9" t="str"/>
      <x:c r="E3107" s="9" t="str"/>
      <x:c r="F3107" s="13" t="str">
        <x:v>2015</x:v>
      </x:c>
      <x:c r="G3107" s="9" t="str">
        <x:v>England and Wales Court of Appeal (Civil Division)</x:v>
      </x:c>
      <x:c r="H3107" s="9" t="str">
        <x:v>Appellate</x:v>
      </x:c>
      <x:c r="I3107" s="9" t="str">
        <x:v>England and Wales</x:v>
      </x:c>
      <x:c r="J3107" s="9" t="str">
        <x:v>Intellectual Property</x:v>
      </x:c>
      <x:c r="K3107" s="9" t="str">
        <x:v>-ew-cases-EWCA-Civ-2015-516.xml</x:v>
      </x:c>
      <x:c r="L3107" s="9" t="str">
        <x:v>TBA</x:v>
      </x:c>
    </x:row>
    <x:row r="3108">
      <x:c r="A3108" t="str">
        <x:v>5dce994d-caa8-499a-807b-c352921d83e7</x:v>
      </x:c>
      <x:c r="B3108" t="str">
        <x:v>201290fa-7603-4b27-bc81-d4a592e32b41</x:v>
      </x:c>
      <x:c r="C3108" s="9" t="str">
        <x:v>Stuart Delivery Ltd v Augustine [2021] EWCA Civ 1514</x:v>
      </x:c>
      <x:c r="D3108" s="9" t="str"/>
      <x:c r="E3108" s="9" t="str"/>
      <x:c r="F3108" s="13" t="str">
        <x:v>2021</x:v>
      </x:c>
      <x:c r="G3108" s="9" t="str">
        <x:v>England and Wales Court of Appeal (Civil Division)</x:v>
      </x:c>
      <x:c r="H3108" s="9" t="str">
        <x:v>Appellate</x:v>
      </x:c>
      <x:c r="I3108" s="9" t="str">
        <x:v>England and Wales</x:v>
      </x:c>
      <x:c r="J3108" s="9" t="str">
        <x:v>Employment Law</x:v>
      </x:c>
      <x:c r="K3108" s="9" t="str">
        <x:v>ew-cases-EWCA-Civ-2021-1514.xml</x:v>
      </x:c>
      <x:c r="L3108" s="9" t="str">
        <x:v>TBA</x:v>
      </x:c>
    </x:row>
    <x:row r="3109">
      <x:c r="A3109" t="str">
        <x:v>fc3e95a8-373e-41d6-b35d-898b0ef59d17</x:v>
      </x:c>
      <x:c r="B3109" t="str">
        <x:v>080c954e-d1b8-4995-bd80-11f5cb95f0c9</x:v>
      </x:c>
      <x:c r="C3109" s="9" t="str">
        <x:v>Stuewe v Health and Care Professions Council [2022] EWCA Civ 1605</x:v>
      </x:c>
      <x:c r="D3109" s="9" t="str"/>
      <x:c r="E3109" s="9" t="str"/>
      <x:c r="F3109" s="13" t="str">
        <x:v>2022</x:v>
      </x:c>
      <x:c r="G3109" s="9" t="str">
        <x:v>England and Wales Court of Appeal (Civil Division)</x:v>
      </x:c>
      <x:c r="H3109" s="9" t="str">
        <x:v>Court of Appeal (Civil Division)</x:v>
      </x:c>
      <x:c r="I3109" s="9" t="str">
        <x:v>England and Wales</x:v>
      </x:c>
      <x:c r="J3109" s="9" t="str">
        <x:v>Administrative Law / Regulatory Fitness to Practise</x:v>
      </x:c>
      <x:c r="K3109" s="9" t="str">
        <x:v>ew-cases-EWCA-Civ-2022-1605.xml</x:v>
      </x:c>
      <x:c r="L3109" s="9" t="str">
        <x:v>TBA</x:v>
      </x:c>
    </x:row>
    <x:row r="3110">
      <x:c r="A3110" t="str">
        <x:v>12570086-bbfb-4ebf-9446-db1a18386f6e</x:v>
      </x:c>
      <x:c r="B3110" t="str">
        <x:v>161ba597-15ee-4439-815d-9202153f4b45</x:v>
      </x:c>
      <x:c r="C3110" s="9" t="str">
        <x:v>Sub One Ltd v Revenue and Customs: VAT Treatment of Hot Food Supplies</x:v>
      </x:c>
      <x:c r="D3110" s="9" t="str"/>
      <x:c r="E3110" s="9" t="str"/>
      <x:c r="F3110" s="13" t="str">
        <x:v>2014</x:v>
      </x:c>
      <x:c r="G3110" s="9" t="str">
        <x:v>England and Wales Court of Appeal (Civil Division)</x:v>
      </x:c>
      <x:c r="H3110" s="9" t="str">
        <x:v>Appellate</x:v>
      </x:c>
      <x:c r="I3110" s="9" t="str">
        <x:v>England and Wales</x:v>
      </x:c>
      <x:c r="J3110" s="9" t="str">
        <x:v>Taxation</x:v>
      </x:c>
      <x:c r="K3110" s="9" t="str">
        <x:v>-ew-cases-EWCA-Civ-2014-773.xml</x:v>
      </x:c>
      <x:c r="L3110" s="9" t="str">
        <x:v>TBA</x:v>
      </x:c>
    </x:row>
    <x:row r="3111">
      <x:c r="A3111" t="str">
        <x:v>bd8dbf0b-4e49-4064-9f6e-0e0441a31587</x:v>
      </x:c>
      <x:c r="B3111" t="str">
        <x:v>78d8da2d-85e0-41e4-9bf7-e553ce92cbd9</x:v>
      </x:c>
      <x:c r="C3111" s="9" t="str">
        <x:v>Suffolk Coastal District Council v Hopkins Homes Ltd &amp; Anor [2016] EWCA Civ 168 (conjoined appeals)</x:v>
      </x:c>
      <x:c r="D3111" s="9" t="str"/>
      <x:c r="E3111" s="9" t="str"/>
      <x:c r="F3111" s="13" t="str">
        <x:v>2016</x:v>
      </x:c>
      <x:c r="G3111" s="9" t="str">
        <x:v>England and Wales Court of Appeal (Civil Division)</x:v>
      </x:c>
      <x:c r="H3111" s="9" t="str">
        <x:v>Court of Appeal (Civil Division)</x:v>
      </x:c>
      <x:c r="I3111" s="9" t="str">
        <x:v>England and Wales</x:v>
      </x:c>
      <x:c r="J3111" s="9" t="str">
        <x:v>Planning Law / Administrative Law</x:v>
      </x:c>
      <x:c r="K3111" s="9" t="str">
        <x:v>-ew-cases-EWCA-Civ-2016-168.xml</x:v>
      </x:c>
      <x:c r="L3111" s="9" t="str">
        <x:v>TBA</x:v>
      </x:c>
    </x:row>
    <x:row r="3112">
      <x:c r="A3112" t="str">
        <x:v>2ae3095a-c60a-4bfd-92e9-bff8a5452ef5</x:v>
      </x:c>
      <x:c r="B3112" t="str">
        <x:v>e35b7087-7b7e-4e3e-bc29-b7e2932c0e11</x:v>
      </x:c>
      <x:c r="C3112" s="9" t="str">
        <x:v>Sugar Hut Group Ltd &amp; Ors v A J Insurance Service (A Partnership) [2016] EWCA Civ 46</x:v>
      </x:c>
      <x:c r="D3112" s="9" t="str"/>
      <x:c r="E3112" s="9" t="str"/>
      <x:c r="F3112" s="13" t="str">
        <x:v>2016</x:v>
      </x:c>
      <x:c r="G3112" s="9" t="str">
        <x:v>England and Wales Court of Appeal (Civil Division)</x:v>
      </x:c>
      <x:c r="H3112" s="9" t="str">
        <x:v>Court of Appeal (Civil Division)</x:v>
      </x:c>
      <x:c r="I3112" s="9" t="str">
        <x:v>England and Wales</x:v>
      </x:c>
      <x:c r="J3112" s="9" t="str">
        <x:v>Civil Procedure / Costs and damages in insurance/broker negligence</x:v>
      </x:c>
      <x:c r="K3112" s="9" t="str">
        <x:v>-ew-cases-EWCA-Civ-2016-46.xml</x:v>
      </x:c>
      <x:c r="L3112" s="9" t="str">
        <x:v>TBA</x:v>
      </x:c>
    </x:row>
    <x:row r="3113">
      <x:c r="A3113" t="str">
        <x:v>1062e245-07ae-4dcb-a466-56506c8c98d1</x:v>
      </x:c>
      <x:c r="B3113" t="str">
        <x:v>90b41f43-7b08-4c7e-8643-5a1b6c5eb51c</x:v>
      </x:c>
      <x:c r="C3113" s="9" t="str">
        <x:v>Sugarman &amp; Ors v CJS Investments LLP &amp; Ors [2014] EWCA Civ 1239</x:v>
      </x:c>
      <x:c r="D3113" s="9" t="str"/>
      <x:c r="E3113" s="9" t="str"/>
      <x:c r="F3113" s="13" t="str">
        <x:v>2014</x:v>
      </x:c>
      <x:c r="G3113" s="9" t="str">
        <x:v>England and Wales Court of Appeal (Civil Division)</x:v>
      </x:c>
      <x:c r="H3113" s="9" t="str">
        <x:v>Appellate</x:v>
      </x:c>
      <x:c r="I3113" s="9" t="str">
        <x:v>England and Wales</x:v>
      </x:c>
      <x:c r="J3113" s="9" t="str">
        <x:v>Company Law</x:v>
      </x:c>
      <x:c r="K3113" s="9" t="str">
        <x:v>-ew-cases-EWCA-Civ-2014-1239.xml</x:v>
      </x:c>
      <x:c r="L3113" s="9" t="str">
        <x:v>TBA</x:v>
      </x:c>
    </x:row>
    <x:row r="3114">
      <x:c r="A3114" t="str">
        <x:v>2139f849-a886-4959-97f0-073820774dc5</x:v>
      </x:c>
      <x:c r="B3114" t="str">
        <x:v>9bb82270-0985-407f-97c6-c02dd3a9c2dd</x:v>
      </x:c>
      <x:c r="C3114" s="9" t="str">
        <x:v>Suh &amp; Anor v Mace (UK) Limited [2016] EWCA Civ 4 (15 January 2016)</x:v>
      </x:c>
      <x:c r="D3114" s="9" t="str"/>
      <x:c r="E3114" s="9" t="str"/>
      <x:c r="F3114" s="13" t="str">
        <x:v>2016</x:v>
      </x:c>
      <x:c r="G3114" s="9" t="str">
        <x:v>England and Wales Court of Appeal (Civil Division)</x:v>
      </x:c>
      <x:c r="H3114" s="9" t="str">
        <x:v>Court of Appeal (Civil Division)</x:v>
      </x:c>
      <x:c r="I3114" s="9" t="str">
        <x:v>England and Wales</x:v>
      </x:c>
      <x:c r="J3114" s="9" t="str">
        <x:v>Lease dispute; Privilege in civil litigation; Admissibility of evidence; Forfeiture of lease</x:v>
      </x:c>
      <x:c r="K3114" s="9" t="str">
        <x:v>-ew-cases-EWCA-Civ-2016-4.xml</x:v>
      </x:c>
      <x:c r="L3114" s="9" t="str">
        <x:v>TBA</x:v>
      </x:c>
    </x:row>
    <x:row r="3115">
      <x:c r="A3115" t="str">
        <x:v>84796862-c4fd-496b-aed9-a9f4385a0c15</x:v>
      </x:c>
      <x:c r="B3115" t="str">
        <x:v>ae7534b8-a683-4ec6-b2a3-ed54f6f2ade8</x:v>
      </x:c>
      <x:c r="C3115" s="9" t="str">
        <x:v>Sukhoruchkin &amp; Ors v Van Bekestein &amp; Ors [2014] EWCA Civ 399</x:v>
      </x:c>
      <x:c r="D3115" s="9" t="str"/>
      <x:c r="E3115" s="9" t="str"/>
      <x:c r="F3115" s="13" t="str">
        <x:v>2014</x:v>
      </x:c>
      <x:c r="G3115" s="9" t="str">
        <x:v>England and Wales Court of Appeal (Civil Division)</x:v>
      </x:c>
      <x:c r="H3115" s="9" t="str">
        <x:v>Appellate</x:v>
      </x:c>
      <x:c r="I3115" s="9" t="str">
        <x:v>England and Wales</x:v>
      </x:c>
      <x:c r="J3115" s="9" t="str">
        <x:v>Equity and Injunctive Relief</x:v>
      </x:c>
      <x:c r="K3115" s="9" t="str">
        <x:v>-ew-cases-EWCA-Civ-2014-399.xml</x:v>
      </x:c>
      <x:c r="L3115" s="9" t="str">
        <x:v>TBA</x:v>
      </x:c>
    </x:row>
    <x:row r="3116">
      <x:c r="A3116" t="str">
        <x:v>d618b73a-6137-48e7-9622-c9cda122ef3d</x:v>
      </x:c>
      <x:c r="B3116" t="str">
        <x:v>2c675a82-75f3-44ff-bc33-9e35ef3a0c8c</x:v>
      </x:c>
      <x:c r="C3116" s="9" t="str">
        <x:v>Sullivan v Bury Street Capital Limited [2021] EWCA Civ 1694</x:v>
      </x:c>
      <x:c r="D3116" s="9" t="str"/>
      <x:c r="E3116" s="9" t="str"/>
      <x:c r="F3116" s="13" t="str">
        <x:v>2021</x:v>
      </x:c>
      <x:c r="G3116" s="9" t="str">
        <x:v>England and Wales Court of Appeal (Civil Division)</x:v>
      </x:c>
      <x:c r="H3116" s="9" t="str">
        <x:v>Appellate</x:v>
      </x:c>
      <x:c r="I3116" s="9" t="str">
        <x:v>England and Wales</x:v>
      </x:c>
      <x:c r="J3116" s="9" t="str">
        <x:v>Employment Law</x:v>
      </x:c>
      <x:c r="K3116" s="9" t="str">
        <x:v>ew-cases-EWCA-Civ-2021-1694.xml</x:v>
      </x:c>
      <x:c r="L3116" s="9" t="str">
        <x:v>TBA</x:v>
      </x:c>
    </x:row>
    <x:row r="3117">
      <x:c r="A3117" t="str">
        <x:v>ba512e1d-b0f7-4658-9ed4-36e4bd932b41</x:v>
      </x:c>
      <x:c r="B3117" t="str">
        <x:v>1ad26736-31f8-4b16-8e0c-72fd9f0216a0</x:v>
      </x:c>
      <x:c r="C3117" s="9" t="str">
        <x:v>Sultana v Secretary of State for the Home Department [2021] EWCA Civ 1876</x:v>
      </x:c>
      <x:c r="D3117" s="9" t="str"/>
      <x:c r="E3117" s="9" t="str"/>
      <x:c r="F3117" s="13" t="str">
        <x:v>2021</x:v>
      </x:c>
      <x:c r="G3117" s="9" t="str">
        <x:v>England and Wales Court of Appeal (Civil Division)</x:v>
      </x:c>
      <x:c r="H3117" s="9" t="str">
        <x:v>Appellate</x:v>
      </x:c>
      <x:c r="I3117" s="9" t="str">
        <x:v>England and Wales</x:v>
      </x:c>
      <x:c r="J3117" s="9" t="str">
        <x:v>Immigration Law</x:v>
      </x:c>
      <x:c r="K3117" s="9" t="str">
        <x:v>ew-cases-EWCA-Civ-2021-1876.xml</x:v>
      </x:c>
      <x:c r="L3117" s="9" t="str">
        <x:v>TBA</x:v>
      </x:c>
    </x:row>
    <x:row r="3118">
      <x:c r="A3118" t="str">
        <x:v>683f55f7-90ba-4c82-a2f0-21fd922ae85a</x:v>
      </x:c>
      <x:c r="B3118" t="str">
        <x:v>f6397363-b8ee-4d5f-bf7c-a51d577b664a</x:v>
      </x:c>
      <x:c r="C3118" s="9" t="str">
        <x:v>Sumanu Natural Resources Ltd &amp; ANR v Mediterranean Shipping Co SA [2016] EWCA Civ 34 (Court of Appeal, Civil Division)</x:v>
      </x:c>
      <x:c r="D3118" s="9" t="str"/>
      <x:c r="E3118" s="9" t="str"/>
      <x:c r="F3118" s="13" t="str">
        <x:v>2016</x:v>
      </x:c>
      <x:c r="G3118" s="9" t="str">
        <x:v>England and Wales Court of Appeal (Civil Division)</x:v>
      </x:c>
      <x:c r="H3118" s="9" t="str">
        <x:v>Court of Appeal (Civil Division)</x:v>
      </x:c>
      <x:c r="I3118" s="9" t="str">
        <x:v>England and Wales</x:v>
      </x:c>
      <x:c r="J3118" s="9" t="str">
        <x:v>Shipping/Contract/Procedural</x:v>
      </x:c>
      <x:c r="K3118" s="9" t="str">
        <x:v>-ew-cases-EWCA-Civ-2016-34.xml</x:v>
      </x:c>
      <x:c r="L3118" s="9" t="str">
        <x:v>TBA</x:v>
      </x:c>
    </x:row>
    <x:row r="3119">
      <x:c r="A3119" t="str">
        <x:v>9798ec77-c147-412e-b97d-a2634e605d02</x:v>
      </x:c>
      <x:c r="B3119" t="str">
        <x:v>533df7ae-bb53-4ff2-a83d-41ec1971ee0f</x:v>
      </x:c>
      <x:c r="C3119" s="9" t="str">
        <x:v>Sumi v Entry Clearance Officer - English Language Test Requirements in Immigration Rules</x:v>
      </x:c>
      <x:c r="D3119" s="9" t="str"/>
      <x:c r="E3119" s="9" t="str"/>
      <x:c r="F3119" s="13" t="str">
        <x:v>2015</x:v>
      </x:c>
      <x:c r="G3119" s="9" t="str">
        <x:v>England and Wales Court of Appeal (Civil Division)</x:v>
      </x:c>
      <x:c r="H3119" s="9" t="str">
        <x:v>Appellate</x:v>
      </x:c>
      <x:c r="I3119" s="9" t="str">
        <x:v>England and Wales</x:v>
      </x:c>
      <x:c r="J3119" s="9" t="str">
        <x:v>Immigration Law</x:v>
      </x:c>
      <x:c r="K3119" s="9" t="str">
        <x:v>-ew-cases-EWCA-Civ-2015-1564.xml</x:v>
      </x:c>
      <x:c r="L3119" s="9" t="str">
        <x:v>TBA</x:v>
      </x:c>
    </x:row>
    <x:row r="3120">
      <x:c r="A3120" t="str">
        <x:v>be94a170-777c-4b79-b150-b3c6522aa1c1</x:v>
      </x:c>
      <x:c r="B3120" t="str">
        <x:v>0d9ee259-5996-4a64-8760-569ffce1b610</x:v>
      </x:c>
      <x:c r="C3120" s="9" t="str">
        <x:v>Summers v Bundy [2016] EWCA Civ 126</x:v>
      </x:c>
      <x:c r="D3120" s="9" t="str"/>
      <x:c r="E3120" s="9" t="str"/>
      <x:c r="F3120" s="13" t="str">
        <x:v>2016</x:v>
      </x:c>
      <x:c r="G3120" s="9" t="str">
        <x:v>England and Wales Court of Appeal (Civil Division)</x:v>
      </x:c>
      <x:c r="H3120" s="9" t="str">
        <x:v>Court of Appeal (Civil Division)</x:v>
      </x:c>
      <x:c r="I3120" s="9" t="str">
        <x:v>England and Wales</x:v>
      </x:c>
      <x:c r="J3120" s="9" t="str">
        <x:v>Tort / Personal Injury – Clinical Negligence</x:v>
      </x:c>
      <x:c r="K3120" s="9" t="str">
        <x:v>-ew-cases-EWCA-Civ-2016-126.xml</x:v>
      </x:c>
      <x:c r="L3120" s="9" t="str">
        <x:v>TBA</x:v>
      </x:c>
    </x:row>
    <x:row r="3121">
      <x:c r="A3121" t="str">
        <x:v>0605069b-ac14-4397-a8ab-f3fe859ce134</x:v>
      </x:c>
      <x:c r="B3121" t="str">
        <x:v>abfc3629-fd06-4f96-ab73-b2a798ed0bb7</x:v>
      </x:c>
      <x:c r="C3121" s="9" t="str">
        <x:v>Sumpter, R (on the application of) v Secretary of State for Works and Pensions [2015] EWCA Civ 1033</x:v>
      </x:c>
      <x:c r="D3121" s="9" t="str"/>
      <x:c r="E3121" s="9" t="str"/>
      <x:c r="F3121" s="13" t="str">
        <x:v>2015</x:v>
      </x:c>
      <x:c r="G3121" s="9" t="str">
        <x:v>England and Wales Court of Appeal (Civil Division)</x:v>
      </x:c>
      <x:c r="H3121" s="9" t="str">
        <x:v>Appellate</x:v>
      </x:c>
      <x:c r="I3121" s="9" t="str">
        <x:v>England and Wales</x:v>
      </x:c>
      <x:c r="J3121" s="9" t="str">
        <x:v>Administrative Law</x:v>
      </x:c>
      <x:c r="K3121" s="9" t="str">
        <x:v>-ew-cases-EWCA-Civ-2015-1033.xml</x:v>
      </x:c>
      <x:c r="L3121" s="9" t="str">
        <x:v>TBA</x:v>
      </x:c>
    </x:row>
    <x:row r="3122">
      <x:c r="A3122" t="str">
        <x:v>c06f264b-7cfc-40a1-99d0-97ba346dcf64</x:v>
      </x:c>
      <x:c r="B3122" t="str">
        <x:v>78c6911e-eb43-451f-8e2f-9d67dda17b7b</x:v>
      </x:c>
      <x:c r="C3122" s="9" t="str">
        <x:v>Sunico A/S &amp; Ors v Revenue and Customs</x:v>
      </x:c>
      <x:c r="D3122" s="9" t="str"/>
      <x:c r="E3122" s="9" t="str"/>
      <x:c r="F3122" s="13" t="str">
        <x:v>2014</x:v>
      </x:c>
      <x:c r="G3122" s="9" t="str">
        <x:v>England and Wales Court of Appeal (Civil Division)</x:v>
      </x:c>
      <x:c r="H3122" s="9" t="str">
        <x:v>Appellate</x:v>
      </x:c>
      <x:c r="I3122" s="9" t="str">
        <x:v>England and Wales</x:v>
      </x:c>
      <x:c r="J3122" s="9" t="str">
        <x:v>Appeal</x:v>
      </x:c>
      <x:c r="K3122" s="9" t="str">
        <x:v>-ew-cases-EWCA-Civ-2014-1108.xml</x:v>
      </x:c>
      <x:c r="L3122" s="9" t="str">
        <x:v>TBA</x:v>
      </x:c>
    </x:row>
    <x:row r="3123">
      <x:c r="A3123" t="str">
        <x:v>e1c63714-6af4-44ce-8ece-483a7a6bf53c</x:v>
      </x:c>
      <x:c r="B3123" t="str">
        <x:v>c9936a53-fa3e-464f-9504-b22bdbbcc939</x:v>
      </x:c>
      <x:c r="C3123" s="9" t="str">
        <x:v>Sunrise Brokers LLP v Rodgers [2014] EWCA Civ 1373</x:v>
      </x:c>
      <x:c r="D3123" s="9" t="str"/>
      <x:c r="E3123" s="9" t="str"/>
      <x:c r="F3123" s="13" t="str">
        <x:v>2014</x:v>
      </x:c>
      <x:c r="G3123" s="9" t="str">
        <x:v>England and Wales Court of Appeal (Civil Division)</x:v>
      </x:c>
      <x:c r="H3123" s="9" t="str">
        <x:v>Appellate</x:v>
      </x:c>
      <x:c r="I3123" s="9" t="str">
        <x:v>England and Wales</x:v>
      </x:c>
      <x:c r="J3123" s="9" t="str">
        <x:v>Employment Law</x:v>
      </x:c>
      <x:c r="K3123" s="9" t="str">
        <x:v>-ew-cases-EWCA-Civ-2014-1373.xml</x:v>
      </x:c>
      <x:c r="L3123" s="9" t="str">
        <x:v>TBA</x:v>
      </x:c>
    </x:row>
    <x:row r="3124">
      <x:c r="A3124" t="str">
        <x:v>ce69e9dc-6993-4ad3-bc59-6b85092df9b6</x:v>
      </x:c>
      <x:c r="B3124" t="str">
        <x:v>7705504d-479f-4fec-8b7d-3ea6faaa9f20</x:v>
      </x:c>
      <x:c r="C3124" s="9" t="str">
        <x:v>Surrey County Council v S [2014] EWCA Civ 601</x:v>
      </x:c>
      <x:c r="D3124" s="9" t="str"/>
      <x:c r="E3124" s="9" t="str"/>
      <x:c r="F3124" s="13" t="str">
        <x:v>2014</x:v>
      </x:c>
      <x:c r="G3124" s="9" t="str">
        <x:v>England and Wales Court of Appeal (Civil Division)</x:v>
      </x:c>
      <x:c r="H3124" s="9" t="str">
        <x:v>Appellate</x:v>
      </x:c>
      <x:c r="I3124" s="9" t="str">
        <x:v>England and Wales</x:v>
      </x:c>
      <x:c r="J3124" s="9" t="str">
        <x:v>Family Law</x:v>
      </x:c>
      <x:c r="K3124" s="9" t="str">
        <x:v>-ew-cases-EWCA-Civ-2014-601.xml</x:v>
      </x:c>
      <x:c r="L3124" s="9" t="str">
        <x:v>TBA</x:v>
      </x:c>
    </x:row>
    <x:row r="3125">
      <x:c r="A3125" t="str">
        <x:v>ace9d798-d6cc-4cbe-ab99-68239b106c86</x:v>
      </x:c>
      <x:c r="B3125" t="str">
        <x:v>b478c8dc-91c9-43bb-8919-97180ec30332</x:v>
      </x:c>
      <x:c r="C3125" s="9" t="str">
        <x:v>Sutton Housing Partnership Ltd v Rydon Maintenance Ltd [2017] EWCA Civ 359</x:v>
      </x:c>
      <x:c r="D3125" s="9" t="str"/>
      <x:c r="E3125" s="9" t="str"/>
      <x:c r="F3125" s="13" t="str">
        <x:v>2017</x:v>
      </x:c>
      <x:c r="G3125" s="9" t="str">
        <x:v>England and Wales Court of Appeal (Civil Division)</x:v>
      </x:c>
      <x:c r="H3125" s="9" t="str">
        <x:v>Appellate</x:v>
      </x:c>
      <x:c r="I3125" s="9" t="str">
        <x:v>England and Wales</x:v>
      </x:c>
      <x:c r="J3125" s="9" t="str">
        <x:v>Contract Dispute</x:v>
      </x:c>
      <x:c r="K3125" s="9" t="str">
        <x:v>-ew-cases-EWCA-Civ-2017-359.xml</x:v>
      </x:c>
      <x:c r="L3125" s="9" t="str">
        <x:v>TBA</x:v>
      </x:c>
    </x:row>
    <x:row r="3126">
      <x:c r="A3126" t="str">
        <x:v>f5f4d78f-ed6a-4d45-ae60-544af07f663b</x:v>
      </x:c>
      <x:c r="B3126" t="str">
        <x:v>d4aa404e-7154-4793-81d5-a3909d8bff25</x:v>
      </x:c>
      <x:c r="C3126" s="9" t="str">
        <x:v>Sutton v Norwich City Council</x:v>
      </x:c>
      <x:c r="D3126" s="9" t="str"/>
      <x:c r="E3126" s="9" t="str"/>
      <x:c r="F3126" s="13" t="str">
        <x:v>2021</x:v>
      </x:c>
      <x:c r="G3126" s="9" t="str">
        <x:v>England and Wales Court of Appeal (Civil Division)</x:v>
      </x:c>
      <x:c r="H3126" s="9" t="str">
        <x:v>Appellate</x:v>
      </x:c>
      <x:c r="I3126" s="9" t="str">
        <x:v>England and Wales</x:v>
      </x:c>
      <x:c r="J3126" s="9" t="str">
        <x:v>Administrative Law</x:v>
      </x:c>
      <x:c r="K3126" s="9" t="str">
        <x:v>ew-cases-EWCA-Civ-2021-20.xml</x:v>
      </x:c>
      <x:c r="L3126" s="9" t="str">
        <x:v>TBA</x:v>
      </x:c>
    </x:row>
    <x:row r="3127">
      <x:c r="A3127" t="str">
        <x:v>d879245f-399c-4c82-a493-02552140bb6f</x:v>
      </x:c>
      <x:c r="B3127" t="str">
        <x:v>63c13b59-95b3-46e6-bcfd-eef08df13985</x:v>
      </x:c>
      <x:c r="C3127" s="9" t="str">
        <x:v>SWA Developments Ltd v Burke [2016] EWCA Civ 389</x:v>
      </x:c>
      <x:c r="D3127" s="9" t="str"/>
      <x:c r="E3127" s="9" t="str"/>
      <x:c r="F3127" s="13" t="str">
        <x:v>2016</x:v>
      </x:c>
      <x:c r="G3127" s="9" t="str">
        <x:v>England and Wales Court of Appeal (Civil Division)</x:v>
      </x:c>
      <x:c r="H3127" s="9" t="str">
        <x:v>Court of Appeal (Civil Division)</x:v>
      </x:c>
      <x:c r="I3127" s="9" t="str">
        <x:v>England and Wales</x:v>
      </x:c>
      <x:c r="J3127" s="9" t="str">
        <x:v>Property/Lease – Forfeiture Relief</x:v>
      </x:c>
      <x:c r="K3127" s="9" t="str">
        <x:v>-ew-cases-EWCA-Civ-2016-389.xml</x:v>
      </x:c>
      <x:c r="L3127" s="9" t="str">
        <x:v>TBA</x:v>
      </x:c>
    </x:row>
    <x:row r="3128">
      <x:c r="A3128" t="str">
        <x:v>d62272d6-9b7f-41c2-b4c1-746534844471</x:v>
      </x:c>
      <x:c r="B3128" t="str">
        <x:v>efea1dc0-4284-465b-9ced-aa7cce8dd37a</x:v>
      </x:c>
      <x:c r="C3128" s="9" t="str">
        <x:v>Swallowfalls LTD v Monaco Yachting &amp; Technologies S.A.M. &amp; Anor [2014] EWCA Civ 186</x:v>
      </x:c>
      <x:c r="D3128" s="9" t="str"/>
      <x:c r="E3128" s="9" t="str"/>
      <x:c r="F3128" s="13" t="str">
        <x:v>2014</x:v>
      </x:c>
      <x:c r="G3128" s="9" t="str">
        <x:v>England and Wales Court of Appeal (Civil Division)</x:v>
      </x:c>
      <x:c r="H3128" s="9" t="str">
        <x:v>Appellate</x:v>
      </x:c>
      <x:c r="I3128" s="9" t="str">
        <x:v>England and Wales</x:v>
      </x:c>
      <x:c r="J3128" s="9" t="str">
        <x:v>Contract Dispute</x:v>
      </x:c>
      <x:c r="K3128" s="9" t="str">
        <x:v>-ew-cases-EWCA-Civ-2014-186.xml</x:v>
      </x:c>
      <x:c r="L3128" s="9" t="str">
        <x:v>TBA</x:v>
      </x:c>
    </x:row>
    <x:row r="3129">
      <x:c r="A3129" t="str">
        <x:v>8680856e-73e0-42ce-a912-670ae7aabdd8</x:v>
      </x:c>
      <x:c r="B3129" t="str">
        <x:v>a2d4c14d-c36a-4601-8897-ecbcbf26ee59</x:v>
      </x:c>
      <x:c r="C3129" s="9" t="str">
        <x:v>Swampillai v Joseph [2015] EWCA Civ 261</x:v>
      </x:c>
      <x:c r="D3129" s="9" t="str"/>
      <x:c r="E3129" s="9" t="str"/>
      <x:c r="F3129" s="13" t="str">
        <x:v>2015</x:v>
      </x:c>
      <x:c r="G3129" s="9" t="str">
        <x:v>England and Wales Court of Appeal (Civil Division)</x:v>
      </x:c>
      <x:c r="H3129" s="9" t="str">
        <x:v>Appellate</x:v>
      </x:c>
      <x:c r="I3129" s="9" t="str">
        <x:v>England and Wales</x:v>
      </x:c>
      <x:c r="J3129" s="9" t="str">
        <x:v>Property Law</x:v>
      </x:c>
      <x:c r="K3129" s="9" t="str">
        <x:v>-ew-cases-EWCA-Civ-2015-261.xml</x:v>
      </x:c>
      <x:c r="L3129" s="9" t="str">
        <x:v>TBA</x:v>
      </x:c>
    </x:row>
    <x:row r="3130">
      <x:c r="A3130" t="str">
        <x:v>91dadf5d-5c80-455f-a35a-e4487ad5fa4a</x:v>
      </x:c>
      <x:c r="B3130" t="str">
        <x:v>67b5bada-49ef-4217-a98e-4157c25006c0</x:v>
      </x:c>
      <x:c r="C3130" s="9" t="str">
        <x:v>Swarovski-Optik KG v Leica Camera AG &amp; Anor [2014] EWCA Civ 637</x:v>
      </x:c>
      <x:c r="D3130" s="9" t="str"/>
      <x:c r="E3130" s="9" t="str"/>
      <x:c r="F3130" s="13" t="str">
        <x:v>2014</x:v>
      </x:c>
      <x:c r="G3130" s="9" t="str">
        <x:v>England and Wales Court of Appeal (Civil Division)</x:v>
      </x:c>
      <x:c r="H3130" s="9" t="str">
        <x:v>Appellate</x:v>
      </x:c>
      <x:c r="I3130" s="9" t="str">
        <x:v>England and Wales</x:v>
      </x:c>
      <x:c r="J3130" s="9" t="str">
        <x:v>Intellectual Property</x:v>
      </x:c>
      <x:c r="K3130" s="9" t="str">
        <x:v>-ew-cases-EWCA-Civ-2014-637.xml</x:v>
      </x:c>
      <x:c r="L3130" s="9" t="str">
        <x:v>TBA</x:v>
      </x:c>
    </x:row>
    <x:row r="3131">
      <x:c r="A3131" t="str">
        <x:v>e0e41279-383e-4b25-aa3f-31570b6c8f13</x:v>
      </x:c>
      <x:c r="B3131" t="str">
        <x:v>152ce886-eca7-43ca-86bc-7f0d6f17312f</x:v>
      </x:c>
      <x:c r="C3131" s="9" t="str">
        <x:v>Swift &amp; Ors v Fred Olsen Cruise Lines [2016] EWCA Civ 785 (29 July 2016)</x:v>
      </x:c>
      <x:c r="D3131" s="9" t="str"/>
      <x:c r="E3131" s="9" t="str"/>
      <x:c r="F3131" s="13" t="str">
        <x:v>2016</x:v>
      </x:c>
      <x:c r="G3131" s="9" t="str">
        <x:v>England and Wales Court of Appeal (Civil Division)</x:v>
      </x:c>
      <x:c r="H3131" s="9" t="str">
        <x:v>Court of Appeal (Civil Division)</x:v>
      </x:c>
      <x:c r="I3131" s="9" t="str">
        <x:v>England and Wales</x:v>
      </x:c>
      <x:c r="J3131" s="9" t="str">
        <x:v>Maritime Law / Carriage of Passengers and Luggage by Sea (Athens Convention)</x:v>
      </x:c>
      <x:c r="K3131" s="9" t="str">
        <x:v>-ew-cases-EWCA-Civ-2016-785.xml</x:v>
      </x:c>
      <x:c r="L3131" s="9" t="str">
        <x:v>TBA</x:v>
      </x:c>
    </x:row>
    <x:row r="3132">
      <x:c r="A3132" t="str">
        <x:v>01e9ea0b-c1e0-430c-a436-aa8e30d659be</x:v>
      </x:c>
      <x:c r="B3132" t="str">
        <x:v>31401734-1668-4b5e-89af-d9e6b3791def</x:v>
      </x:c>
      <x:c r="C3132" s="9" t="str">
        <x:v>Swift 1st Ltd v The Chief Land Registrar</x:v>
      </x:c>
      <x:c r="D3132" s="9" t="str"/>
      <x:c r="E3132" s="9" t="str"/>
      <x:c r="F3132" s="13" t="str">
        <x:v>2015</x:v>
      </x:c>
      <x:c r="G3132" s="9" t="str">
        <x:v>England and Wales Court of Appeal (Civil Division)</x:v>
      </x:c>
      <x:c r="H3132" s="9" t="str">
        <x:v>Appellate</x:v>
      </x:c>
      <x:c r="I3132" s="9" t="str">
        <x:v>England and Wales</x:v>
      </x:c>
      <x:c r="J3132" s="9" t="str">
        <x:v>Property Law</x:v>
      </x:c>
      <x:c r="K3132" s="9" t="str">
        <x:v>-ew-cases-EWCA-Civ-2015-330.xml</x:v>
      </x:c>
      <x:c r="L3132" s="9" t="str">
        <x:v>TBA</x:v>
      </x:c>
    </x:row>
    <x:row r="3133">
      <x:c r="A3133" t="str">
        <x:v>d0fbefcc-2b5c-42f7-8cbc-ee71bd537909</x:v>
      </x:c>
      <x:c r="B3133" t="str">
        <x:v>34cf6cb8-5147-4d55-902b-4bb9695b9140</x:v>
      </x:c>
      <x:c r="C3133" s="9" t="str">
        <x:v>Swindon Borough Council v Webb (t/a Protective Coatings) [2016] EWCA Civ 152</x:v>
      </x:c>
      <x:c r="D3133" s="9" t="str"/>
      <x:c r="E3133" s="9" t="str"/>
      <x:c r="F3133" s="13" t="str">
        <x:v>2016</x:v>
      </x:c>
      <x:c r="G3133" s="9" t="str">
        <x:v>England and Wales Court of Appeal (Civil Division)</x:v>
      </x:c>
      <x:c r="H3133" s="9" t="str">
        <x:v>Court of Appeal (Civil Division)</x:v>
      </x:c>
      <x:c r="I3133" s="9" t="str">
        <x:v>England and Wales</x:v>
      </x:c>
      <x:c r="J3133" s="9" t="str">
        <x:v>Civil Procedure / Contempt of Court / Injunctions</x:v>
      </x:c>
      <x:c r="K3133" s="9" t="str">
        <x:v>-ew-cases-EWCA-Civ-2016-152.xml</x:v>
      </x:c>
      <x:c r="L3133" s="9" t="str">
        <x:v>TBA</x:v>
      </x:c>
    </x:row>
    <x:row r="3134">
      <x:c r="A3134" t="str">
        <x:v>a1139421-a2c1-432d-8923-85d935a1362f</x:v>
      </x:c>
      <x:c r="B3134" t="str">
        <x:v>46d332fc-7167-4dba-b33a-909c06ad712b</x:v>
      </x:c>
      <x:c r="C3134" s="9" t="str">
        <x:v>Swiss International Air Lines AG v The Secretary of State for Energy and Climate Change &amp; Ors [2015] EWCA Civ 331</x:v>
      </x:c>
      <x:c r="D3134" s="9" t="str"/>
      <x:c r="E3134" s="9" t="str"/>
      <x:c r="F3134" s="13" t="str">
        <x:v>2015</x:v>
      </x:c>
      <x:c r="G3134" s="9" t="str">
        <x:v>England and Wales Court of Appeal (Civil Division)</x:v>
      </x:c>
      <x:c r="H3134" s="9" t="str">
        <x:v>Appellate</x:v>
      </x:c>
      <x:c r="I3134" s="9" t="str">
        <x:v>England and Wales</x:v>
      </x:c>
      <x:c r="J3134" s="9" t="str">
        <x:v>Administrative Law</x:v>
      </x:c>
      <x:c r="K3134" s="9" t="str">
        <x:v>-ew-cases-EWCA-Civ-2015-331.xml</x:v>
      </x:c>
      <x:c r="L3134" s="9" t="str">
        <x:v>TBA</x:v>
      </x:c>
    </x:row>
    <x:row r="3135">
      <x:c r="A3135" t="str">
        <x:v>1fdcc295-4beb-4a8b-9fb2-39120a4e02ac</x:v>
      </x:c>
      <x:c r="B3135" t="str">
        <x:v>708f9bcf-f4ff-4be9-a12d-a2623f8e5258</x:v>
      </x:c>
      <x:c r="C3135" s="9" t="str">
        <x:v>SWP, R (On the Application Of) v Secretary of State for the Home Department [2023] EWCA Civ 439</x:v>
      </x:c>
      <x:c r="D3135" s="9" t="str"/>
      <x:c r="E3135" s="9" t="str"/>
      <x:c r="F3135" s="13" t="str">
        <x:v>2023</x:v>
      </x:c>
      <x:c r="G3135" s="9" t="str">
        <x:v>England and Wales Court of Appeal (Civil Division)</x:v>
      </x:c>
      <x:c r="H3135" s="9" t="str">
        <x:v>Court of Appeal (Civil Division)</x:v>
      </x:c>
      <x:c r="I3135" s="9" t="str">
        <x:v>England and Wales</x:v>
      </x:c>
      <x:c r="J3135" s="9" t="str">
        <x:v>Judicial Review / Immigration Law</x:v>
      </x:c>
      <x:c r="K3135" s="9" t="str">
        <x:v>ew-cases-EWCA-Civ-2023-439.xml</x:v>
      </x:c>
      <x:c r="L3135" s="9" t="str">
        <x:v>TBA</x:v>
      </x:c>
    </x:row>
    <x:row r="3136">
      <x:c r="A3136" t="str">
        <x:v>6b51c2f3-1fc3-4f67-a678-2e2440bda6aa</x:v>
      </x:c>
      <x:c r="B3136" t="str">
        <x:v>4c08ed14-9c24-47f7-965b-813db4327c88</x:v>
      </x:c>
      <x:c r="C3136" s="9" t="str">
        <x:v>Swynson Ltd v Lowick Rose LLP</x:v>
      </x:c>
      <x:c r="D3136" s="9" t="str"/>
      <x:c r="E3136" s="9" t="str"/>
      <x:c r="F3136" s="13" t="str">
        <x:v>2015</x:v>
      </x:c>
      <x:c r="G3136" s="9" t="str">
        <x:v>England and Wales Court of Appeal (Civil Division)</x:v>
      </x:c>
      <x:c r="H3136" s="9" t="str">
        <x:v>Appellate</x:v>
      </x:c>
      <x:c r="I3136" s="9" t="str">
        <x:v>England and Wales</x:v>
      </x:c>
      <x:c r="J3136" s="9" t="str">
        <x:v>Tort</x:v>
      </x:c>
      <x:c r="K3136" s="9" t="str">
        <x:v>-ew-cases-EWCA-Civ-2015-629.xml</x:v>
      </x:c>
      <x:c r="L3136" s="9" t="str">
        <x:v>TBA</x:v>
      </x:c>
    </x:row>
    <x:row r="3137">
      <x:c r="A3137" t="str">
        <x:v>ec52a32d-c55e-4f9a-a84b-c38e5d800a46</x:v>
      </x:c>
      <x:c r="B3137" t="str">
        <x:v>e0841efc-ccd5-4584-a6eb-43b4c0d281dd</x:v>
      </x:c>
      <x:c r="C3137" s="9" t="str">
        <x:v>SXH v Crown Prosecution Service [2014] EWCA Civ 90</x:v>
      </x:c>
      <x:c r="D3137" s="9" t="str"/>
      <x:c r="E3137" s="9" t="str"/>
      <x:c r="F3137" s="13" t="str">
        <x:v>2014</x:v>
      </x:c>
      <x:c r="G3137" s="9" t="str">
        <x:v>England and Wales Court of Appeal (Civil Division)</x:v>
      </x:c>
      <x:c r="H3137" s="9" t="str">
        <x:v>Appellate</x:v>
      </x:c>
      <x:c r="I3137" s="9" t="str">
        <x:v>England and Wales</x:v>
      </x:c>
      <x:c r="J3137" s="9" t="str">
        <x:v>Civil Rights</x:v>
      </x:c>
      <x:c r="K3137" s="9" t="str">
        <x:v>-ew-cases-EWCA-Civ-2014-90.xml</x:v>
      </x:c>
      <x:c r="L3137" s="9" t="str">
        <x:v>TBA</x:v>
      </x:c>
    </x:row>
    <x:row r="3138">
      <x:c r="A3138" t="str">
        <x:v>b701a6df-4a81-44e5-bd65-7e2646ec25a3</x:v>
      </x:c>
      <x:c r="B3138" t="str">
        <x:v>eaaf56b4-d7eb-4bb0-b3cb-683d815a2a98</x:v>
      </x:c>
      <x:c r="C3138" s="9" t="str">
        <x:v>SY (India) v Secretary of State for the Home Department [2016] EWCA Civ 311</x:v>
      </x:c>
      <x:c r="D3138" s="9" t="str"/>
      <x:c r="E3138" s="9" t="str"/>
      <x:c r="F3138" s="13" t="str">
        <x:v>2016</x:v>
      </x:c>
      <x:c r="G3138" s="9" t="str">
        <x:v>Court of Appeal (Civil Division) – England and Wales</x:v>
      </x:c>
      <x:c r="H3138" s="9" t="str">
        <x:v>Court of Appeal (Civil Division)</x:v>
      </x:c>
      <x:c r="I3138" s="9" t="str">
        <x:v>England and Wales</x:v>
      </x:c>
      <x:c r="J3138" s="9" t="str">
        <x:v>Civil appellate / Immigration</x:v>
      </x:c>
      <x:c r="K3138" s="9" t="str">
        <x:v>-ew-cases-EWCA-Civ-2016-311.xml</x:v>
      </x:c>
      <x:c r="L3138" s="9" t="str">
        <x:v>TBA</x:v>
      </x:c>
    </x:row>
    <x:row r="3139">
      <x:c r="A3139" t="str">
        <x:v>e2b2e9d3-9a0b-4a8a-9d4b-9f7ef674181c</x:v>
      </x:c>
      <x:c r="B3139" t="str">
        <x:v>6f3e41f0-f855-4349-9fd1-9d2991465286</x:v>
      </x:c>
      <x:c r="C3139" s="9" t="str">
        <x:v>Syed &amp; Anor, R (on the application of) v Secretary of State for the Home Department</x:v>
      </x:c>
      <x:c r="D3139" s="9" t="str"/>
      <x:c r="E3139" s="9" t="str"/>
      <x:c r="F3139" s="13" t="str">
        <x:v>2014</x:v>
      </x:c>
      <x:c r="G3139" s="9" t="str">
        <x:v>England and Wales Court of Appeal (Civil Division)</x:v>
      </x:c>
      <x:c r="H3139" s="9" t="str">
        <x:v>Appellate</x:v>
      </x:c>
      <x:c r="I3139" s="9" t="str">
        <x:v>England and Wales</x:v>
      </x:c>
      <x:c r="J3139" s="9" t="str">
        <x:v>Administrative Law</x:v>
      </x:c>
      <x:c r="K3139" s="9" t="str">
        <x:v>-ew-cases-EWCA-Civ-2014-196.xml</x:v>
      </x:c>
      <x:c r="L3139" s="9" t="str">
        <x:v>TBA</x:v>
      </x:c>
    </x:row>
    <x:row r="3140">
      <x:c r="A3140" t="str">
        <x:v>23d41331-fe8a-47e8-a311-b628b562d4c0</x:v>
      </x:c>
      <x:c r="B3140" t="str">
        <x:v>d72caa5e-d62d-4fc1-a123-6801a09736ee</x:v>
      </x:c>
      <x:c r="C3140" s="9" t="str">
        <x:v>Syed v Secretary of State for the Home Department [2016] EWCA Civ 685 (15 June 2016)</x:v>
      </x:c>
      <x:c r="D3140" s="9" t="str"/>
      <x:c r="E3140" s="9" t="str"/>
      <x:c r="F3140" s="13" t="str">
        <x:v>2016</x:v>
      </x:c>
      <x:c r="G3140" s="9" t="str">
        <x:v>England and Wales Court of Appeal (Civil Division)</x:v>
      </x:c>
      <x:c r="H3140" s="9" t="str">
        <x:v>Court of Appeal (Civil Division)</x:v>
      </x:c>
      <x:c r="I3140" s="9" t="str">
        <x:v>England and Wales</x:v>
      </x:c>
      <x:c r="J3140" s="9" t="str">
        <x:v>Immigration</x:v>
      </x:c>
      <x:c r="K3140" s="9" t="str">
        <x:v>-ew-cases-EWCA-Civ-2016-685.xml</x:v>
      </x:c>
      <x:c r="L3140" s="9" t="str">
        <x:v>TBA</x:v>
      </x:c>
    </x:row>
    <x:row r="3141">
      <x:c r="A3141" t="str">
        <x:v>01422742-6c8a-4380-af12-7adc91c55add</x:v>
      </x:c>
      <x:c r="B3141" t="str">
        <x:v>a06e93bf-f1f4-4a30-b6f3-96fcc361577c</x:v>
      </x:c>
      <x:c r="C3141" s="9" t="str">
        <x:v>Synclair v East Lancashire Hospitals NHS Trust</x:v>
      </x:c>
      <x:c r="D3141" s="9" t="str"/>
      <x:c r="E3141" s="9" t="str"/>
      <x:c r="F3141" s="13" t="str">
        <x:v>2015</x:v>
      </x:c>
      <x:c r="G3141" s="9" t="str">
        <x:v>England and Wales Court of Appeal (Civil Division)</x:v>
      </x:c>
      <x:c r="H3141" s="9" t="str">
        <x:v>Appellate</x:v>
      </x:c>
      <x:c r="I3141" s="9" t="str">
        <x:v>England and Wales</x:v>
      </x:c>
      <x:c r="J3141" s="9" t="str">
        <x:v>Tort</x:v>
      </x:c>
      <x:c r="K3141" s="9" t="str">
        <x:v>-ew-cases-EWCA-Civ-2015-1283.xml</x:v>
      </x:c>
      <x:c r="L3141" s="9" t="str">
        <x:v>TBA</x:v>
      </x:c>
    </x:row>
    <x:row r="3142">
      <x:c r="A3142" t="str">
        <x:v>3cacac26-716d-4ab0-ad17-cd2f4407d74d</x:v>
      </x:c>
      <x:c r="B3142" t="str">
        <x:v>a1a08eab-f66f-48ea-a2b4-e885be7c07df</x:v>
      </x:c>
      <x:c r="C3142" s="9" t="str">
        <x:v>Synthon BV v Teva Pharmaceutical Industries Ltd [2017] EWCA Civ 148</x:v>
      </x:c>
      <x:c r="D3142" s="9" t="str"/>
      <x:c r="E3142" s="9" t="str"/>
      <x:c r="F3142" s="13" t="str">
        <x:v>2017</x:v>
      </x:c>
      <x:c r="G3142" s="9" t="str">
        <x:v>England and Wales Court of Appeal (Civil Division)</x:v>
      </x:c>
      <x:c r="H3142" s="9" t="str">
        <x:v>Appellate</x:v>
      </x:c>
      <x:c r="I3142" s="9" t="str">
        <x:v>United Kingdom</x:v>
      </x:c>
      <x:c r="J3142" s="9" t="str">
        <x:v>Patent Dispute</x:v>
      </x:c>
      <x:c r="K3142" s="9" t="str">
        <x:v>-ew-cases-EWCA-Civ-2017-148.xml</x:v>
      </x:c>
      <x:c r="L3142" s="9" t="str">
        <x:v>TBA</x:v>
      </x:c>
    </x:row>
    <x:row r="3143">
      <x:c r="A3143" t="str">
        <x:v>88f6ecf6-868f-4abc-a2cb-4a86b7856890</x:v>
      </x:c>
      <x:c r="B3143" t="str">
        <x:v>03d0e899-e3ff-4603-9eb3-2f602d7e5d3f</x:v>
      </x:c>
      <x:c r="C3143" s="9" t="str">
        <x:v>Szeto v Workman LLP [2016] EWCA Civ 247</x:v>
      </x:c>
      <x:c r="D3143" s="9" t="str"/>
      <x:c r="E3143" s="9" t="str"/>
      <x:c r="F3143" s="13" t="str">
        <x:v>2016</x:v>
      </x:c>
      <x:c r="G3143" s="9" t="str">
        <x:v>England and Wales Court of Appeal (Civil Division)</x:v>
      </x:c>
      <x:c r="H3143" s="9" t="str">
        <x:v>Court of Appeal (Civil Division)</x:v>
      </x:c>
      <x:c r="I3143" s="9" t="str">
        <x:v>England and Wales</x:v>
      </x:c>
      <x:c r="J3143" s="9" t="str">
        <x:v>Civil appeal in landlord/tenant and agency law</x:v>
      </x:c>
      <x:c r="K3143" s="9" t="str">
        <x:v>-ew-cases-EWCA-Civ-2016-247.xml</x:v>
      </x:c>
      <x:c r="L3143" s="9" t="str">
        <x:v>TBA</x:v>
      </x:c>
    </x:row>
    <x:row r="3144">
      <x:c r="A3144" t="str">
        <x:v>8fcfde07-3ba0-47e4-beac-2466ac3acbee</x:v>
      </x:c>
      <x:c r="B3144" t="str">
        <x:v>a61f5378-eba4-4c6f-bfd2-2353b6ffef64</x:v>
      </x:c>
      <x:c r="C3144" s="9" t="str">
        <x:v>T (A Child : Early Permanence Placement) [2015] EWCA Civ 983</x:v>
      </x:c>
      <x:c r="D3144" s="9" t="str"/>
      <x:c r="E3144" s="9" t="str"/>
      <x:c r="F3144" s="13" t="str">
        <x:v>2015</x:v>
      </x:c>
      <x:c r="G3144" s="9" t="str">
        <x:v>England and Wales Court of Appeal (Civil Division)</x:v>
      </x:c>
      <x:c r="H3144" s="9" t="str">
        <x:v>Appellate</x:v>
      </x:c>
      <x:c r="I3144" s="9" t="str">
        <x:v>England and Wales</x:v>
      </x:c>
      <x:c r="J3144" s="9" t="str">
        <x:v>Family Law</x:v>
      </x:c>
      <x:c r="K3144" s="9" t="str">
        <x:v>-ew-cases-EWCA-Civ-2015-983.xml</x:v>
      </x:c>
      <x:c r="L3144" s="9" t="str">
        <x:v>TBA</x:v>
      </x:c>
    </x:row>
    <x:row r="3145">
      <x:c r="A3145" t="str">
        <x:v>d25ebff9-634d-4c0c-833c-0bb7ca25d1ac</x:v>
      </x:c>
      <x:c r="B3145" t="str">
        <x:v>e7f5dce1-b20d-4285-a7de-0bf1da0a2a8d</x:v>
      </x:c>
      <x:c r="C3145" s="9" t="str">
        <x:v>T (A Child) [2016] EWCA Civ 1210 (06 December 2016) - Court of Appeal (Civil Division)</x:v>
      </x:c>
      <x:c r="D3145" s="9" t="str"/>
      <x:c r="E3145" s="9" t="str"/>
      <x:c r="F3145" s="13" t="str">
        <x:v>2016</x:v>
      </x:c>
      <x:c r="G3145" s="9" t="str">
        <x:v>England and Wales Court of Appeal (Civil Division)</x:v>
      </x:c>
      <x:c r="H3145" s="9" t="str">
        <x:v>Court of Appeal (Civil Division)</x:v>
      </x:c>
      <x:c r="I3145" s="9" t="str">
        <x:v>England and Wales</x:v>
      </x:c>
      <x:c r="J3145" s="9" t="str">
        <x:v>Private Law - Family</x:v>
      </x:c>
      <x:c r="K3145" s="9" t="str">
        <x:v>-ew-cases-EWCA-Civ-2016-1210.xml</x:v>
      </x:c>
      <x:c r="L3145" s="9" t="str">
        <x:v>TBA</x:v>
      </x:c>
    </x:row>
    <x:row r="3146">
      <x:c r="A3146" t="str">
        <x:v>5f3a57ec-8563-4d06-97fc-b130d0cb44d9</x:v>
      </x:c>
      <x:c r="B3146" t="str">
        <x:v>c1db14b1-6a36-483e-a41d-a735c80bf208</x:v>
      </x:c>
      <x:c r="C3146" s="9" t="str">
        <x:v>T (Children : Jurisdiction: Matrimonial Proceedings) (Rev1) [2023] EWCA Civ 285</x:v>
      </x:c>
      <x:c r="D3146" s="9" t="str"/>
      <x:c r="E3146" s="9" t="str"/>
      <x:c r="F3146" s="13" t="str">
        <x:v>2023</x:v>
      </x:c>
      <x:c r="G3146" s="9" t="str">
        <x:v>England and Wales Court of Appeal (Civil Division)</x:v>
      </x:c>
      <x:c r="H3146" s="9" t="str">
        <x:v>Court of Appeal (Civil Division)</x:v>
      </x:c>
      <x:c r="I3146" s="9" t="str">
        <x:v>England and Wales</x:v>
      </x:c>
      <x:c r="J3146" s="9" t="str">
        <x:v>Family Law / Private International Law (Intra-UK Jurisdiction)</x:v>
      </x:c>
      <x:c r="K3146" s="9" t="str">
        <x:v>ew-cases-EWCA-Civ-2023-285.xml</x:v>
      </x:c>
      <x:c r="L3146" s="9" t="str">
        <x:v>TBA</x:v>
      </x:c>
    </x:row>
    <x:row r="3147">
      <x:c r="A3147" t="str">
        <x:v>b3f75f87-4ab9-4dfc-844f-1d2d2322dfca</x:v>
      </x:c>
      <x:c r="B3147" t="str">
        <x:v>f602d1bd-5f3d-408b-8582-b9b7d33edab6</x:v>
      </x:c>
      <x:c r="C3147" s="9" t="str">
        <x:v>T (Fact-Finding: Second Appeal) [2023] EWCA Civ 475</x:v>
      </x:c>
      <x:c r="D3147" s="9" t="str"/>
      <x:c r="E3147" s="9" t="str"/>
      <x:c r="F3147" s="13" t="str">
        <x:v>2023</x:v>
      </x:c>
      <x:c r="G3147" s="9" t="str">
        <x:v>England and Wales Court of Appeal (Civil Division)</x:v>
      </x:c>
      <x:c r="H3147" s="9" t="str">
        <x:v>Court of Appeal (Civil Division)</x:v>
      </x:c>
      <x:c r="I3147" s="9" t="str">
        <x:v>England and Wales</x:v>
      </x:c>
      <x:c r="J3147" s="9" t="str">
        <x:v>Care proceedings / Family Law</x:v>
      </x:c>
      <x:c r="K3147" s="9" t="str">
        <x:v>ew-cases-EWCA-Civ-2023-475.xml</x:v>
      </x:c>
      <x:c r="L3147" s="9" t="str">
        <x:v>TBA</x:v>
      </x:c>
    </x:row>
    <x:row r="3148">
      <x:c r="A3148" t="str">
        <x:v>9e500a50-1775-45cf-9257-8aa65f885dcb</x:v>
      </x:c>
      <x:c r="B3148" t="str">
        <x:v>09519016-518a-43d3-8cd4-a57d5cd16ebc</x:v>
      </x:c>
      <x:c r="C3148" s="9" t="str">
        <x:v>T and R, Re (Refusal of Placement Order) [2021] EWCA Civ 71</x:v>
      </x:c>
      <x:c r="D3148" s="9" t="str"/>
      <x:c r="E3148" s="9" t="str"/>
      <x:c r="F3148" s="13" t="str">
        <x:v>2021</x:v>
      </x:c>
      <x:c r="G3148" s="9" t="str">
        <x:v>England and Wales Court of Appeal (Civil Division)</x:v>
      </x:c>
      <x:c r="H3148" s="9" t="str">
        <x:v>Appellate</x:v>
      </x:c>
      <x:c r="I3148" s="9" t="str">
        <x:v>England and Wales</x:v>
      </x:c>
      <x:c r="J3148" s="9" t="str">
        <x:v>Family Law</x:v>
      </x:c>
      <x:c r="K3148" s="9" t="str">
        <x:v>ew-cases-EWCA-Civ-2021-71.xml</x:v>
      </x:c>
      <x:c r="L3148" s="9" t="str">
        <x:v>TBA</x:v>
      </x:c>
    </x:row>
    <x:row r="3149">
      <x:c r="A3149" t="str">
        <x:v>a5aaf440-72f2-44dc-a7de-25297d13f888</x:v>
      </x:c>
      <x:c r="B3149" t="str">
        <x:v>aaf0a540-995f-4027-8128-c786836a4c13</x:v>
      </x:c>
      <x:c r="C3149" s="9" t="str">
        <x:v>T v Secretary of State for Work &amp; Pensions [2023] EWCA Civ 24 (Court of Appeal, Civil Division) - Proportionality and justification of COVID-19 UC uplift for legacyBenefit recipients</x:v>
      </x:c>
      <x:c r="D3149" s="9" t="str"/>
      <x:c r="E3149" s="9" t="str"/>
      <x:c r="F3149" s="13" t="str">
        <x:v>2023</x:v>
      </x:c>
      <x:c r="G3149" s="9" t="str">
        <x:v>England and Wales Court of Appeal (Civil Division)</x:v>
      </x:c>
      <x:c r="H3149" s="9" t="str">
        <x:v>Court of Appeal (Civil Division)</x:v>
      </x:c>
      <x:c r="I3149" s="9" t="str">
        <x:v>England and Wales</x:v>
      </x:c>
      <x:c r="J3149" s="9" t="str">
        <x:v>Public Law / Administrative Law; Discrimination; Social Security</x:v>
      </x:c>
      <x:c r="K3149" s="9" t="str">
        <x:v>ew-cases-EWCA-Civ-2023-24.xml</x:v>
      </x:c>
      <x:c r="L3149" s="9" t="str">
        <x:v>TBA</x:v>
      </x:c>
    </x:row>
    <x:row r="3150">
      <x:c r="A3150" t="str">
        <x:v>77ae61e2-8434-4ea2-b35e-1e62dd017925</x:v>
      </x:c>
      <x:c r="B3150" t="str">
        <x:v>7be2c07d-a442-43cc-9282-58de5910efc2</x:v>
      </x:c>
      <x:c r="C3150" s="9" t="str">
        <x:v>T-B-N (Children), Re [2016] EWCA Civ 1098</x:v>
      </x:c>
      <x:c r="D3150" s="9" t="str"/>
      <x:c r="E3150" s="9" t="str"/>
      <x:c r="F3150" s="13" t="str">
        <x:v>2016</x:v>
      </x:c>
      <x:c r="G3150" s="9" t="str">
        <x:v>England and Wales Court of Appeal (Civil Division)</x:v>
      </x:c>
      <x:c r="H3150" s="9" t="str">
        <x:v>Court of Appeal (Civil Division)</x:v>
      </x:c>
      <x:c r="I3150" s="9" t="str">
        <x:v>England and Wales</x:v>
      </x:c>
      <x:c r="J3150" s="9" t="str">
        <x:v>Civil appellate decision; Family law</x:v>
      </x:c>
      <x:c r="K3150" s="9" t="str">
        <x:v>-ew-cases-EWCA-Civ-2016-1098.xml</x:v>
      </x:c>
      <x:c r="L3150" s="9" t="str">
        <x:v>TBA</x:v>
      </x:c>
    </x:row>
    <x:row r="3151">
      <x:c r="A3151" t="str">
        <x:v>73a1eec0-f314-4b37-8f57-c24f213de19d</x:v>
      </x:c>
      <x:c r="B3151" t="str">
        <x:v>12a836e3-f8f4-4bda-bc5e-f2a77edc3339</x:v>
      </x:c>
      <x:c r="C3151" s="9" t="str">
        <x:v>T, R (On the Application Of) v Secretary of State for the Home Department [2016] EWCA Civ 801 (28 July 2016)</x:v>
      </x:c>
      <x:c r="D3151" s="9" t="str"/>
      <x:c r="E3151" s="9" t="str"/>
      <x:c r="F3151" s="13" t="str">
        <x:v>2016</x:v>
      </x:c>
      <x:c r="G3151" s="9" t="str">
        <x:v>England and Wales Court of Appeal (Civil Division)</x:v>
      </x:c>
      <x:c r="H3151" s="9" t="str">
        <x:v>Court of Appeal (Civil Division)</x:v>
      </x:c>
      <x:c r="I3151" s="9" t="str">
        <x:v>England and Wales</x:v>
      </x:c>
      <x:c r="J3151" s="9" t="str">
        <x:v>Administrative Law / Immigration Law</x:v>
      </x:c>
      <x:c r="K3151" s="9" t="str">
        <x:v>-ew-cases-EWCA-Civ-2016-801.xml</x:v>
      </x:c>
      <x:c r="L3151" s="9" t="str">
        <x:v>TBA</x:v>
      </x:c>
    </x:row>
    <x:row r="3152">
      <x:c r="A3152" t="str">
        <x:v>9f16a80b-7132-49c8-844a-b65cfafdec03</x:v>
      </x:c>
      <x:c r="B3152" t="str">
        <x:v>3e43f85c-e2b5-4ab8-bd40-ba4a322b0d3b</x:v>
      </x:c>
      <x:c r="C3152" s="9" t="str">
        <x:v>TA (Nigeria) &amp; Ors v Secretary of State for the Home Department [2015] EWCA Civ 1235</x:v>
      </x:c>
      <x:c r="D3152" s="9" t="str"/>
      <x:c r="E3152" s="9" t="str"/>
      <x:c r="F3152" s="13" t="str">
        <x:v>2015</x:v>
      </x:c>
      <x:c r="G3152" s="9" t="str">
        <x:v>England and Wales Court of Appeal (Civil Division)</x:v>
      </x:c>
      <x:c r="H3152" s="9" t="str">
        <x:v>Appellate</x:v>
      </x:c>
      <x:c r="I3152" s="9" t="str">
        <x:v>England and Wales</x:v>
      </x:c>
      <x:c r="J3152" s="9" t="str">
        <x:v>Immigration Law</x:v>
      </x:c>
      <x:c r="K3152" s="9" t="str">
        <x:v>-ew-cases-EWCA-Civ-2015-1235.xml</x:v>
      </x:c>
      <x:c r="L3152" s="9" t="str">
        <x:v>TBA</x:v>
      </x:c>
    </x:row>
    <x:row r="3153">
      <x:c r="A3153" t="str">
        <x:v>b841ea7f-e190-4b1b-bdcd-e733b7ee713e</x:v>
      </x:c>
      <x:c r="B3153" t="str">
        <x:v>9fed1e86-f479-4421-a712-95da7a9facf8</x:v>
      </x:c>
      <x:c r="C3153" s="9" t="str">
        <x:v>TA (Sri Lanka) v Secretary of State for the Home Department</x:v>
      </x:c>
      <x:c r="D3153" s="9" t="str"/>
      <x:c r="E3153" s="9" t="str"/>
      <x:c r="F3153" s="13" t="str">
        <x:v>2015</x:v>
      </x:c>
      <x:c r="G3153" s="9" t="str">
        <x:v>England and Wales Court of Appeal (Civil Division)</x:v>
      </x:c>
      <x:c r="H3153" s="9" t="str">
        <x:v>Appellate</x:v>
      </x:c>
      <x:c r="I3153" s="9" t="str">
        <x:v>England and Wales</x:v>
      </x:c>
      <x:c r="J3153" s="9" t="str">
        <x:v>Immigration</x:v>
      </x:c>
      <x:c r="K3153" s="9" t="str">
        <x:v>-ew-cases-EWCA-Civ-2015-1435.xml</x:v>
      </x:c>
      <x:c r="L3153" s="9" t="str">
        <x:v>TBA</x:v>
      </x:c>
    </x:row>
    <x:row r="3154">
      <x:c r="A3154" t="str">
        <x:v>c8965a41-eec3-4bcd-b49e-e3d41fc0ced1</x:v>
      </x:c>
      <x:c r="B3154" t="str">
        <x:v>037fedaf-bb6c-4013-9ebb-6bc7192c7525</x:v>
      </x:c>
      <x:c r="C3154" s="9" t="str">
        <x:v>Tabbakh, R (On the Application Of) v Staffordshire And West Midlands Probation Trust &amp; Anor</x:v>
      </x:c>
      <x:c r="D3154" s="9" t="str"/>
      <x:c r="E3154" s="9" t="str"/>
      <x:c r="F3154" s="13" t="str">
        <x:v>2014</x:v>
      </x:c>
      <x:c r="G3154" s="9" t="str">
        <x:v>England and Wales Court of Appeal (Civil Division)</x:v>
      </x:c>
      <x:c r="H3154" s="9" t="str">
        <x:v>Appellate</x:v>
      </x:c>
      <x:c r="I3154" s="9" t="str">
        <x:v>England and Wales</x:v>
      </x:c>
      <x:c r="J3154" s="9" t="str">
        <x:v>Administrative Law</x:v>
      </x:c>
      <x:c r="K3154" s="9" t="str">
        <x:v>-ew-cases-EWCA-Civ-2014-827.xml</x:v>
      </x:c>
      <x:c r="L3154" s="9" t="str">
        <x:v>TBA</x:v>
      </x:c>
    </x:row>
    <x:row r="3155">
      <x:c r="A3155" t="str">
        <x:v>76d151eb-991d-44c9-81da-a5c5298e3469</x:v>
      </x:c>
      <x:c r="B3155" t="str">
        <x:v>99b25758-8161-410a-a00a-625fb50c35db</x:v>
      </x:c>
      <x:c r="C3155" s="9" t="str">
        <x:v>Tabbitt v Clark [2023] EWCA Civ 744</x:v>
      </x:c>
      <x:c r="D3155" s="9" t="str"/>
      <x:c r="E3155" s="9" t="str"/>
      <x:c r="F3155" s="13" t="str">
        <x:v>2023</x:v>
      </x:c>
      <x:c r="G3155" s="9" t="str">
        <x:v>England and Wales Court of Appeal (Civil Division)</x:v>
      </x:c>
      <x:c r="H3155" s="9" t="str">
        <x:v>Court of Appeal (Civil Division)</x:v>
      </x:c>
      <x:c r="I3155" s="9" t="str">
        <x:v>England and Wales</x:v>
      </x:c>
      <x:c r="J3155" s="9" t="str">
        <x:v>Civil Procedure / Declaratory Relief</x:v>
      </x:c>
      <x:c r="K3155" s="9" t="str">
        <x:v>ew-cases-EWCA-Civ-2023-744.xml</x:v>
      </x:c>
      <x:c r="L3155" s="9" t="str">
        <x:v>TBA</x:v>
      </x:c>
    </x:row>
    <x:row r="3156">
      <x:c r="A3156" t="str">
        <x:v>8063f4c4-88d2-4286-acda-e13c10f8c5a7</x:v>
      </x:c>
      <x:c r="B3156" t="str">
        <x:v>49bf433c-b49b-4091-a568-3110855d22c7</x:v>
      </x:c>
      <x:c r="C3156" s="9" t="str">
        <x:v>Taberna Europe CDO II Plc v Selskabet AF 1.September 2008 in Bankruptcy</x:v>
      </x:c>
      <x:c r="D3156" s="9" t="str"/>
      <x:c r="E3156" s="9" t="str"/>
      <x:c r="F3156" s="13" t="str">
        <x:v>2016</x:v>
      </x:c>
      <x:c r="G3156" s="9" t="str">
        <x:v>England and Wales Court of Appeal (Civil Division)</x:v>
      </x:c>
      <x:c r="H3156" s="9" t="str">
        <x:v>Court of Appeal (Civil Division)</x:v>
      </x:c>
      <x:c r="I3156" s="9" t="str">
        <x:v>England and Wales</x:v>
      </x:c>
      <x:c r="J3156" s="9" t="str">
        <x:v>Commercial dispute; Misrepresentation; Damages; Disclaimers</x:v>
      </x:c>
      <x:c r="K3156" s="9" t="str">
        <x:v>-ew-cases-EWCA-Civ-2016-1262.xml</x:v>
      </x:c>
      <x:c r="L3156" s="9" t="str">
        <x:v>TBA</x:v>
      </x:c>
    </x:row>
    <x:row r="3157">
      <x:c r="A3157" t="str">
        <x:v>2fa37f7d-3000-4227-b9b2-369a5e16bbaa</x:v>
      </x:c>
      <x:c r="B3157" t="str">
        <x:v>2fb0cf69-6716-4532-8b1b-5557034c735f</x:v>
      </x:c>
      <x:c r="C3157" s="9" t="str">
        <x:v>Tabrizagh &amp; Ors, R (On the Application Of) v The Secretary of State for the Home Department [2014] EWCA Civ 1398</x:v>
      </x:c>
      <x:c r="D3157" s="9" t="str"/>
      <x:c r="E3157" s="9" t="str"/>
      <x:c r="F3157" s="13" t="str">
        <x:v>2014</x:v>
      </x:c>
      <x:c r="G3157" s="9" t="str">
        <x:v>England and Wales Court of Appeal (Civil Division)</x:v>
      </x:c>
      <x:c r="H3157" s="9" t="str">
        <x:v>Appellate</x:v>
      </x:c>
      <x:c r="I3157" s="9" t="str">
        <x:v>England and Wales</x:v>
      </x:c>
      <x:c r="J3157" s="9" t="str">
        <x:v>Administrative Law</x:v>
      </x:c>
      <x:c r="K3157" s="9" t="str">
        <x:v>-ew-cases-EWCA-Civ-2014-1398.xml</x:v>
      </x:c>
      <x:c r="L3157" s="9" t="str">
        <x:v>TBA</x:v>
      </x:c>
    </x:row>
    <x:row r="3158">
      <x:c r="A3158" t="str">
        <x:v>bc9424c1-9116-4ea8-9ca1-4de901fbf4a5</x:v>
      </x:c>
      <x:c r="B3158" t="str">
        <x:v>4f662928-b929-42cb-9871-43a3d813fcf0</x:v>
      </x:c>
      <x:c r="C3158" s="9" t="str">
        <x:v>Taiwo v Department for Education [2015] EWCA Civ 808</x:v>
      </x:c>
      <x:c r="D3158" s="9" t="str"/>
      <x:c r="E3158" s="9" t="str"/>
      <x:c r="F3158" s="13" t="str">
        <x:v>2015</x:v>
      </x:c>
      <x:c r="G3158" s="9" t="str">
        <x:v>England and Wales Court of Appeal (Civil Division)</x:v>
      </x:c>
      <x:c r="H3158" s="9" t="str">
        <x:v>appellate</x:v>
      </x:c>
      <x:c r="I3158" s="9" t="str">
        <x:v>England and Wales</x:v>
      </x:c>
      <x:c r="J3158" s="9" t="str">
        <x:v>Employment Law</x:v>
      </x:c>
      <x:c r="K3158" s="9" t="str">
        <x:v>-ew-cases-EWCA-Civ-2015-808.xml</x:v>
      </x:c>
      <x:c r="L3158" s="9" t="str">
        <x:v>TBA</x:v>
      </x:c>
    </x:row>
    <x:row r="3159">
      <x:c r="A3159" t="str">
        <x:v>afcdd71f-f00b-4eab-aee6-978cb483c4ee</x:v>
      </x:c>
      <x:c r="B3159" t="str">
        <x:v>d4b14ac9-e2d6-48b9-9573-fbbb2a4f3d17</x:v>
      </x:c>
      <x:c r="C3159" s="9" t="str">
        <x:v>Taj, R (On the Application Of) v The Secretary of State for the Home Department</x:v>
      </x:c>
      <x:c r="D3159" s="9" t="str"/>
      <x:c r="E3159" s="9" t="str"/>
      <x:c r="F3159" s="13" t="str">
        <x:v>2021</x:v>
      </x:c>
      <x:c r="G3159" s="9" t="str">
        <x:v>England and Wales Court of Appeal (Civil Division)</x:v>
      </x:c>
      <x:c r="H3159" s="9" t="str">
        <x:v>Appellate</x:v>
      </x:c>
      <x:c r="I3159" s="9" t="str">
        <x:v>England and Wales</x:v>
      </x:c>
      <x:c r="J3159" s="9" t="str">
        <x:v>Administrative Law</x:v>
      </x:c>
      <x:c r="K3159" s="9" t="str">
        <x:v>ew-cases-EWCA-Civ-2021-19.xml</x:v>
      </x:c>
      <x:c r="L3159" s="9" t="str">
        <x:v>TBA</x:v>
      </x:c>
    </x:row>
    <x:row r="3160">
      <x:c r="A3160" t="str">
        <x:v>d3a86e2b-ea5f-4d22-a26c-72e641a0911e</x:v>
      </x:c>
      <x:c r="B3160" t="str">
        <x:v>da99e66b-3499-4526-b8b8-071931f8c122</x:v>
      </x:c>
      <x:c r="C3160" s="9" t="str">
        <x:v>Takhar v Gracefield Developments Ltd &amp; Ors [2017] EWCA Civ 147</x:v>
      </x:c>
      <x:c r="D3160" s="9" t="str"/>
      <x:c r="E3160" s="9" t="str"/>
      <x:c r="F3160" s="13" t="str">
        <x:v>2017</x:v>
      </x:c>
      <x:c r="G3160" s="9" t="str">
        <x:v>England and Wales Court of Appeal (Civil Division)</x:v>
      </x:c>
      <x:c r="H3160" s="9" t="str">
        <x:v>Appellate</x:v>
      </x:c>
      <x:c r="I3160" s="9" t="str">
        <x:v>England and Wales</x:v>
      </x:c>
      <x:c r="J3160" s="9" t="str">
        <x:v>Civil Appeal</x:v>
      </x:c>
      <x:c r="K3160" s="9" t="str">
        <x:v>-ew-cases-EWCA-Civ-2017-147.xml</x:v>
      </x:c>
      <x:c r="L3160" s="9" t="str">
        <x:v>TBA</x:v>
      </x:c>
    </x:row>
    <x:row r="3161">
      <x:c r="A3161" t="str">
        <x:v>34a3a26d-a691-4fb5-9fb1-770ef507068e</x:v>
      </x:c>
      <x:c r="B3161" t="str">
        <x:v>9d51b963-a1a2-4610-99cb-980f89f1b13f</x:v>
      </x:c>
      <x:c r="C3161" s="9" t="str">
        <x:v>Tallington Lakes Ltd &amp; Ors v Larking Gowen [2014] EWCA Civ 959</x:v>
      </x:c>
      <x:c r="D3161" s="9" t="str"/>
      <x:c r="E3161" s="9" t="str"/>
      <x:c r="F3161" s="13" t="str">
        <x:v>2014</x:v>
      </x:c>
      <x:c r="G3161" s="9" t="str">
        <x:v>England and Wales Court of Appeal (Civil Division)</x:v>
      </x:c>
      <x:c r="H3161" s="9" t="str">
        <x:v>Appellate</x:v>
      </x:c>
      <x:c r="I3161" s="9" t="str">
        <x:v>England and Wales</x:v>
      </x:c>
      <x:c r="J3161" s="9" t="str">
        <x:v>Contract Dispute</x:v>
      </x:c>
      <x:c r="K3161" s="9" t="str">
        <x:v>-ew-cases-EWCA-Civ-2014-959.xml</x:v>
      </x:c>
      <x:c r="L3161" s="9" t="str">
        <x:v>TBA</x:v>
      </x:c>
    </x:row>
    <x:row r="3162">
      <x:c r="A3162" t="str">
        <x:v>7536d19b-55f3-48a7-aa4b-b07a42bcfe87</x:v>
      </x:c>
      <x:c r="B3162" t="str">
        <x:v>b3cfddcf-202e-4ad6-8a9c-9b57022b25ab</x:v>
      </x:c>
      <x:c r="C3162" s="9" t="str">
        <x:v>Tan Sri Dr Khoo Peng v Pauline Siew Phin Chai [2015] EWCA Civ 1312</x:v>
      </x:c>
      <x:c r="D3162" s="9" t="str"/>
      <x:c r="E3162" s="9" t="str"/>
      <x:c r="F3162" s="13" t="str">
        <x:v>2015</x:v>
      </x:c>
      <x:c r="G3162" s="9" t="str">
        <x:v>England and Wales Court of Appeal (Civil Division)</x:v>
      </x:c>
      <x:c r="H3162" s="9" t="str">
        <x:v>Appellate</x:v>
      </x:c>
      <x:c r="I3162" s="9" t="str">
        <x:v>England and Wales</x:v>
      </x:c>
      <x:c r="J3162" s="9" t="str">
        <x:v>Family Law</x:v>
      </x:c>
      <x:c r="K3162" s="9" t="str">
        <x:v>-ew-cases-EWCA-Civ-2015-1312.xml</x:v>
      </x:c>
      <x:c r="L3162" s="9" t="str">
        <x:v>TBA</x:v>
      </x:c>
    </x:row>
    <x:row r="3163">
      <x:c r="A3163" t="str">
        <x:v>6f3dae02-6e50-4d88-98c6-820cf09ecbc7</x:v>
      </x:c>
      <x:c r="B3163" t="str">
        <x:v>0c5d4231-70ed-4a19-9f49-12721480b47c</x:v>
      </x:c>
      <x:c r="C3163" s="9" t="str">
        <x:v>Tan v Choy [2014] EWCA Civ 251</x:v>
      </x:c>
      <x:c r="D3163" s="9" t="str"/>
      <x:c r="E3163" s="9" t="str"/>
      <x:c r="F3163" s="13" t="str">
        <x:v>2014</x:v>
      </x:c>
      <x:c r="G3163" s="9" t="str">
        <x:v>England and Wales Court of Appeal (Civil Division)</x:v>
      </x:c>
      <x:c r="H3163" s="9" t="str">
        <x:v>Appellate</x:v>
      </x:c>
      <x:c r="I3163" s="9" t="str">
        <x:v>England and Wales</x:v>
      </x:c>
      <x:c r="J3163" s="9" t="str">
        <x:v>Family Law</x:v>
      </x:c>
      <x:c r="K3163" s="9" t="str">
        <x:v>-ew-cases-EWCA-Civ-2014-251.xml</x:v>
      </x:c>
      <x:c r="L3163" s="9" t="str">
        <x:v>TBA</x:v>
      </x:c>
    </x:row>
    <x:row r="3164">
      <x:c r="A3164" t="str">
        <x:v>918f5767-7ef3-4a9a-a952-c5a998214dd4</x:v>
      </x:c>
      <x:c r="B3164" t="str">
        <x:v>5655aba1-1ebb-43ee-bf33-d0ec9141c233</x:v>
      </x:c>
      <x:c r="C3164" s="9" t="str">
        <x:v>Target Group Ltd v Her Majesty's Revenue And Customs [2021] EWCA Civ 1043</x:v>
      </x:c>
      <x:c r="D3164" s="9" t="str"/>
      <x:c r="E3164" s="9" t="str"/>
      <x:c r="F3164" s="13" t="str">
        <x:v>2021</x:v>
      </x:c>
      <x:c r="G3164" s="9" t="str">
        <x:v>England and Wales Court of Appeal (Civil Division)</x:v>
      </x:c>
      <x:c r="H3164" s="9" t="str">
        <x:v>Appellate</x:v>
      </x:c>
      <x:c r="I3164" s="9" t="str">
        <x:v>England and Wales</x:v>
      </x:c>
      <x:c r="J3164" s="9" t="str">
        <x:v>Tax Law</x:v>
      </x:c>
      <x:c r="K3164" s="9" t="str">
        <x:v>ew-cases-EWCA-Civ-2021-1043.xml</x:v>
      </x:c>
      <x:c r="L3164" s="9" t="str">
        <x:v>TBA</x:v>
      </x:c>
    </x:row>
    <x:row r="3165">
      <x:c r="A3165" t="str">
        <x:v>b874bb8f-c296-4cf7-b721-a5fe116ea2ee</x:v>
      </x:c>
      <x:c r="B3165" t="str">
        <x:v>fcc7b673-31f6-404a-9813-ec6bf8b75ae3</x:v>
      </x:c>
      <x:c r="C3165" s="9" t="str">
        <x:v>Tarmac Aggregates Ltd v The Secretary of State for Environment, Food and Rural Affairs</x:v>
      </x:c>
      <x:c r="D3165" s="9" t="str"/>
      <x:c r="E3165" s="9" t="str"/>
      <x:c r="F3165" s="13" t="str">
        <x:v>2015</x:v>
      </x:c>
      <x:c r="G3165" s="9" t="str">
        <x:v>England and Wales Court of Appeal (Civil Division)</x:v>
      </x:c>
      <x:c r="H3165" s="9" t="str">
        <x:v>Appellate</x:v>
      </x:c>
      <x:c r="I3165" s="9" t="str">
        <x:v>England and Wales</x:v>
      </x:c>
      <x:c r="J3165" s="9" t="str">
        <x:v>Administrative Law</x:v>
      </x:c>
      <x:c r="K3165" s="9" t="str">
        <x:v>-ew-cases-EWCA-Civ-2015-1149.xml</x:v>
      </x:c>
      <x:c r="L3165" s="9" t="str">
        <x:v>TBA</x:v>
      </x:c>
    </x:row>
    <x:row r="3166">
      <x:c r="A3166" t="str">
        <x:v>372cdd59-9f0a-4c7d-b1bc-9a51d94fa32e</x:v>
      </x:c>
      <x:c r="B3166" t="str">
        <x:v>76fbfe93-6cc4-4100-83e4-043115c90549</x:v>
      </x:c>
      <x:c r="C3166" s="9" t="str">
        <x:v>Tattersall v Tattersall [2016] EWCA Civ 486</x:v>
      </x:c>
      <x:c r="D3166" s="9" t="str"/>
      <x:c r="E3166" s="9" t="str"/>
      <x:c r="F3166" s="13" t="str">
        <x:v>2016</x:v>
      </x:c>
      <x:c r="G3166" s="9" t="str">
        <x:v>England and Wales Court of Appeal (Civil Division)</x:v>
      </x:c>
      <x:c r="H3166" s="9" t="str">
        <x:v>Court of Appeal (Civil Division)</x:v>
      </x:c>
      <x:c r="I3166" s="9" t="str">
        <x:v>England and Wales</x:v>
      </x:c>
      <x:c r="J3166" s="9" t="str">
        <x:v>Family Law – Financial Remedies</x:v>
      </x:c>
      <x:c r="K3166" s="9" t="str">
        <x:v>-ew-cases-EWCA-Civ-2016-486.xml</x:v>
      </x:c>
      <x:c r="L3166" s="9" t="str">
        <x:v>TBA</x:v>
      </x:c>
    </x:row>
    <x:row r="3167">
      <x:c r="A3167" t="str">
        <x:v>953fd863-bd0c-4d28-aae7-263b48302746</x:v>
      </x:c>
      <x:c r="B3167" t="str">
        <x:v>84fdd924-3ac3-43f3-8264-e661629e7f06</x:v>
      </x:c>
      <x:c r="C3167" s="9" t="str">
        <x:v>Taurus Petroleum Ltd v State Oil Company of the Ministry of Oil, Republic of Iraq</x:v>
      </x:c>
      <x:c r="D3167" s="9" t="str"/>
      <x:c r="E3167" s="9" t="str"/>
      <x:c r="F3167" s="13" t="str">
        <x:v>2015</x:v>
      </x:c>
      <x:c r="G3167" s="9" t="str">
        <x:v>England and Wales Court of Appeal (Civil Division)</x:v>
      </x:c>
      <x:c r="H3167" s="9" t="str">
        <x:v>Appellate</x:v>
      </x:c>
      <x:c r="I3167" s="9" t="str">
        <x:v>England and Wales</x:v>
      </x:c>
      <x:c r="J3167" s="9" t="str">
        <x:v>Commercial Law</x:v>
      </x:c>
      <x:c r="K3167" s="9" t="str">
        <x:v>-ew-cases-EWCA-Civ-2015-835.xml</x:v>
      </x:c>
      <x:c r="L3167" s="9" t="str">
        <x:v>TBA</x:v>
      </x:c>
    </x:row>
    <x:row r="3168">
      <x:c r="A3168" t="str">
        <x:v>1b7b6f58-88aa-4b0a-83aa-000328e26f44</x:v>
      </x:c>
      <x:c r="B3168" t="str">
        <x:v>1fd77f7c-1ca9-4342-9f6e-e9f8afe6785e</x:v>
      </x:c>
      <x:c r="C3168" s="9" t="str">
        <x:v>Taylor &amp; Anor v Over &amp; Anor [2014] EWCA Civ 858</x:v>
      </x:c>
      <x:c r="D3168" s="9" t="str"/>
      <x:c r="E3168" s="9" t="str"/>
      <x:c r="F3168" s="13" t="str">
        <x:v>2014</x:v>
      </x:c>
      <x:c r="G3168" s="9" t="str">
        <x:v>England and Wales Court of Appeal (Civil Division)</x:v>
      </x:c>
      <x:c r="H3168" s="9" t="str">
        <x:v>Appellate</x:v>
      </x:c>
      <x:c r="I3168" s="9" t="str">
        <x:v>England and Wales</x:v>
      </x:c>
      <x:c r="J3168" s="9" t="str">
        <x:v>Civil Appeal</x:v>
      </x:c>
      <x:c r="K3168" s="9" t="str">
        <x:v>-ew-cases-EWCA-Civ-2014-858.xml</x:v>
      </x:c>
      <x:c r="L3168" s="9" t="str">
        <x:v>TBA</x:v>
      </x:c>
    </x:row>
    <x:row r="3169">
      <x:c r="A3169" t="str">
        <x:v>b11b11e1-ab3f-40ce-870f-bf1406019c27</x:v>
      </x:c>
      <x:c r="B3169" t="str">
        <x:v>7d3016e4-7da2-4365-80c7-7c67b0222c27</x:v>
      </x:c>
      <x:c r="C3169" s="9" t="str">
        <x:v>Taylor &amp; Anor v Raspin [2022] EWCA Civ 1613</x:v>
      </x:c>
      <x:c r="D3169" s="9" t="str"/>
      <x:c r="E3169" s="9" t="str"/>
      <x:c r="F3169" s="13" t="str">
        <x:v>2022</x:v>
      </x:c>
      <x:c r="G3169" s="9" t="str">
        <x:v>England and Wales Court of Appeal (Civil Division)</x:v>
      </x:c>
      <x:c r="H3169" s="9" t="str">
        <x:v>Court of Appeal (Civil Division)</x:v>
      </x:c>
      <x:c r="I3169" s="9" t="str">
        <x:v>England and Wales</x:v>
      </x:c>
      <x:c r="J3169" s="9" t="str">
        <x:v>Civil Appeal</x:v>
      </x:c>
      <x:c r="K3169" s="9" t="str">
        <x:v>ew-cases-EWCA-Civ-2022-1613.xml</x:v>
      </x:c>
      <x:c r="L3169" s="9" t="str">
        <x:v>TBA</x:v>
      </x:c>
    </x:row>
    <x:row r="3170">
      <x:c r="A3170" t="str">
        <x:v>a9dee3f4-1a04-4194-8620-25d47dda1672</x:v>
      </x:c>
      <x:c r="B3170" t="str">
        <x:v>c0d2d0ef-05ce-450e-91a0-dbe94aca3b6c</x:v>
      </x:c>
      <x:c r="C3170" s="9" t="str">
        <x:v>Taylor Goodchild Ltd v Scott Taylor &amp; Anor</x:v>
      </x:c>
      <x:c r="D3170" s="9" t="str"/>
      <x:c r="E3170" s="9" t="str"/>
      <x:c r="F3170" s="13" t="str">
        <x:v>2021</x:v>
      </x:c>
      <x:c r="G3170" s="9" t="str">
        <x:v>England and Wales Court of Appeal (Civil Division)</x:v>
      </x:c>
      <x:c r="H3170" s="9" t="str">
        <x:v>Appellate</x:v>
      </x:c>
      <x:c r="I3170" s="9" t="str">
        <x:v>England and Wales</x:v>
      </x:c>
      <x:c r="J3170" s="9" t="str">
        <x:v>Civil Law</x:v>
      </x:c>
      <x:c r="K3170" s="9" t="str">
        <x:v>ew-cases-EWCA-Civ-2021-1135.xml</x:v>
      </x:c>
      <x:c r="L3170" s="9" t="str">
        <x:v>TBA</x:v>
      </x:c>
    </x:row>
    <x:row r="3171">
      <x:c r="A3171" t="str">
        <x:v>3d1dee7f-b6a0-44c2-b2ff-f844802be579</x:v>
      </x:c>
      <x:c r="B3171" t="str">
        <x:v>41da49dd-2737-476e-9de5-522b26609ef7</x:v>
      </x:c>
      <x:c r="C3171" s="9" t="str">
        <x:v>Taylor v Burton &amp; Anor [2014] EWCA Civ 21</x:v>
      </x:c>
      <x:c r="D3171" s="9" t="str"/>
      <x:c r="E3171" s="9" t="str"/>
      <x:c r="F3171" s="13" t="str">
        <x:v>2014</x:v>
      </x:c>
      <x:c r="G3171" s="9" t="str">
        <x:v>England and Wales Court of Appeal (Civil Division)</x:v>
      </x:c>
      <x:c r="H3171" s="9" t="str">
        <x:v>appellate</x:v>
      </x:c>
      <x:c r="I3171" s="9" t="str">
        <x:v>England and Wales</x:v>
      </x:c>
      <x:c r="J3171" s="9" t="str">
        <x:v>Property Law</x:v>
      </x:c>
      <x:c r="K3171" s="9" t="str">
        <x:v>-ew-cases-EWCA-Civ-2014-21.xml</x:v>
      </x:c>
      <x:c r="L3171" s="9" t="str">
        <x:v>TBA</x:v>
      </x:c>
    </x:row>
    <x:row r="3172">
      <x:c r="A3172" t="str">
        <x:v>fbe81cf3-469d-4b28-9957-a6aba0238ec9</x:v>
      </x:c>
      <x:c r="B3172" t="str">
        <x:v>8a045906-c88d-48ed-ac86-91e1fc1e4e26</x:v>
      </x:c>
      <x:c r="C3172" s="9" t="str">
        <x:v>Taylor v Burton &amp; Anor [2014] EWCA Civ 63</x:v>
      </x:c>
      <x:c r="D3172" s="9" t="str"/>
      <x:c r="E3172" s="9" t="str"/>
      <x:c r="F3172" s="13" t="str">
        <x:v>2014</x:v>
      </x:c>
      <x:c r="G3172" s="9" t="str">
        <x:v>England and Wales Court of Appeal (Civil Division)</x:v>
      </x:c>
      <x:c r="H3172" s="9" t="str">
        <x:v>Appellate</x:v>
      </x:c>
      <x:c r="I3172" s="9" t="str">
        <x:v>England and Wales</x:v>
      </x:c>
      <x:c r="J3172" s="9" t="str">
        <x:v>Civil Appeal</x:v>
      </x:c>
      <x:c r="K3172" s="9" t="str">
        <x:v>-ew-cases-EWCA-Civ-2014-63.xml</x:v>
      </x:c>
      <x:c r="L3172" s="9" t="str">
        <x:v>TBA</x:v>
      </x:c>
    </x:row>
    <x:row r="3173">
      <x:c r="A3173" t="str">
        <x:v>517e346f-9f55-4d87-9d40-18988e91ac27</x:v>
      </x:c>
      <x:c r="B3173" t="str">
        <x:v>cca799a2-4754-4359-b06d-601ee3439fcf</x:v>
      </x:c>
      <x:c r="C3173" s="9" t="str">
        <x:v>Taylor v Burton &amp; Anor [2015] EWCA Civ 142</x:v>
      </x:c>
      <x:c r="D3173" s="9" t="str"/>
      <x:c r="E3173" s="9" t="str"/>
      <x:c r="F3173" s="13" t="str">
        <x:v>2015</x:v>
      </x:c>
      <x:c r="G3173" s="9" t="str">
        <x:v>England and Wales Court of Appeal (Civil Division)</x:v>
      </x:c>
      <x:c r="H3173" s="9" t="str">
        <x:v>Appellate Court</x:v>
      </x:c>
      <x:c r="I3173" s="9" t="str">
        <x:v>England and Wales</x:v>
      </x:c>
      <x:c r="J3173" s="9" t="str">
        <x:v>Property Law</x:v>
      </x:c>
      <x:c r="K3173" s="9" t="str">
        <x:v>-ew-cases-EWCA-Civ-2015-142.xml</x:v>
      </x:c>
      <x:c r="L3173" s="9" t="str">
        <x:v>TBA</x:v>
      </x:c>
    </x:row>
    <x:row r="3174">
      <x:c r="A3174" t="str">
        <x:v>e534a06f-485a-4fb7-bbe1-7a6f5c65e466</x:v>
      </x:c>
      <x:c r="B3174" t="str">
        <x:v>6b22f452-5a22-4b6a-9ef4-65a1fc4c10bc</x:v>
      </x:c>
      <x:c r="C3174" s="9" t="str">
        <x:v>TBO Investments Limited v Mohun-Smith &amp; Anor [2016] EWCA Civ 403 (26 April 2016)</x:v>
      </x:c>
      <x:c r="D3174" s="9" t="str"/>
      <x:c r="E3174" s="9" t="str"/>
      <x:c r="F3174" s="13" t="str">
        <x:v>2016</x:v>
      </x:c>
      <x:c r="G3174" s="9" t="str">
        <x:v>England and Wales Court of Appeal (Civil Division)</x:v>
      </x:c>
      <x:c r="H3174" s="9" t="str">
        <x:v>Court of Appeal (Civil Division)</x:v>
      </x:c>
      <x:c r="I3174" s="9" t="str">
        <x:v>England and Wales</x:v>
      </x:c>
      <x:c r="J3174" s="9" t="str">
        <x:v>Civil Procedure; Professional Negligence; Appellate Jurisdiction</x:v>
      </x:c>
      <x:c r="K3174" s="9" t="str">
        <x:v>-ew-cases-EWCA-Civ-2016-403.xml</x:v>
      </x:c>
      <x:c r="L3174" s="9" t="str">
        <x:v>TBA</x:v>
      </x:c>
    </x:row>
    <x:row r="3175">
      <x:c r="A3175" t="str">
        <x:v>a2ec75bd-271a-4858-a9a6-ad75416de54f</x:v>
      </x:c>
      <x:c r="B3175" t="str">
        <x:v>9f703fd0-f018-492b-87f6-c27a8fa7c28b</x:v>
      </x:c>
      <x:c r="C3175" s="9" t="str">
        <x:v>Tchameni v Jones [2015] EWCA Civ 954</x:v>
      </x:c>
      <x:c r="D3175" s="9" t="str"/>
      <x:c r="E3175" s="9" t="str"/>
      <x:c r="F3175" s="13" t="str">
        <x:v>2015</x:v>
      </x:c>
      <x:c r="G3175" s="9" t="str">
        <x:v>England and Wales Court of Appeal (Civil Division)</x:v>
      </x:c>
      <x:c r="H3175" s="9" t="str">
        <x:v>Appellate</x:v>
      </x:c>
      <x:c r="I3175" s="9" t="str">
        <x:v>England and Wales</x:v>
      </x:c>
      <x:c r="J3175" s="9" t="str">
        <x:v>Family Law</x:v>
      </x:c>
      <x:c r="K3175" s="9" t="str">
        <x:v>-ew-cases-EWCA-Civ-2015-954.xml</x:v>
      </x:c>
      <x:c r="L3175" s="9" t="str">
        <x:v>TBA</x:v>
      </x:c>
    </x:row>
    <x:row r="3176">
      <x:c r="A3176" t="str">
        <x:v>da198391-2d00-4086-8996-ac3da45cd07a</x:v>
      </x:c>
      <x:c r="B3176" t="str">
        <x:v>5d08cd2c-2adf-4dbd-989e-0687a01ad479</x:v>
      </x:c>
      <x:c r="C3176" s="9" t="str">
        <x:v>Tchenguiz &amp; Ors v Kaupthing Bank HF &amp; Anor</x:v>
      </x:c>
      <x:c r="D3176" s="9" t="str"/>
      <x:c r="E3176" s="9" t="str"/>
      <x:c r="F3176" s="13" t="str">
        <x:v>2017</x:v>
      </x:c>
      <x:c r="G3176" s="9" t="str">
        <x:v>England and Wales Court of Appeal (Civil Division)</x:v>
      </x:c>
      <x:c r="H3176" s="9" t="str">
        <x:v>Appellate</x:v>
      </x:c>
      <x:c r="I3176" s="9" t="str">
        <x:v>England and Wales</x:v>
      </x:c>
      <x:c r="J3176" s="9" t="str">
        <x:v>Civil Procedure</x:v>
      </x:c>
      <x:c r="K3176" s="9" t="str">
        <x:v>-ew-cases-EWCA-Civ-2017-83.xml</x:v>
      </x:c>
      <x:c r="L3176" s="9" t="str">
        <x:v>TBA</x:v>
      </x:c>
    </x:row>
    <x:row r="3177">
      <x:c r="A3177" t="str">
        <x:v>7a178e0d-2cd6-417c-a904-2ccf699134f0</x:v>
      </x:c>
      <x:c r="B3177" t="str">
        <x:v>972c45e5-25da-4249-8a3c-89e79e55c74f</x:v>
      </x:c>
      <x:c r="C3177" s="9" t="str">
        <x:v>Tchenguiz v Director of the Serious Fraud Office [2014] EWCA Civ 472</x:v>
      </x:c>
      <x:c r="D3177" s="9" t="str"/>
      <x:c r="E3177" s="9" t="str"/>
      <x:c r="F3177" s="13" t="str">
        <x:v>2014</x:v>
      </x:c>
      <x:c r="G3177" s="9" t="str">
        <x:v>England and Wales Court of Appeal (Civil Division)</x:v>
      </x:c>
      <x:c r="H3177" s="9" t="str">
        <x:v>Appellate</x:v>
      </x:c>
      <x:c r="I3177" s="9" t="str">
        <x:v>England and Wales</x:v>
      </x:c>
      <x:c r="J3177" s="9" t="str">
        <x:v>Administrative Law</x:v>
      </x:c>
      <x:c r="K3177" s="9" t="str">
        <x:v>-ew-cases-EWCA-Civ-2014-472.xml</x:v>
      </x:c>
      <x:c r="L3177" s="9" t="str">
        <x:v>TBA</x:v>
      </x:c>
    </x:row>
    <x:row r="3178">
      <x:c r="A3178" t="str">
        <x:v>3cf5de22-3e69-488b-8f98-1210c52befea</x:v>
      </x:c>
      <x:c r="B3178" t="str">
        <x:v>540a3fe7-4a74-4138-9b8c-edd8fadd7fa1</x:v>
      </x:c>
      <x:c r="C3178" s="9" t="str">
        <x:v>Tchenguiz v Director of the Serious Fraud Office &amp; Anor [2014] EWCA Civ 1333</x:v>
      </x:c>
      <x:c r="D3178" s="9" t="str"/>
      <x:c r="E3178" s="9" t="str"/>
      <x:c r="F3178" s="13" t="str">
        <x:v>2014</x:v>
      </x:c>
      <x:c r="G3178" s="9" t="str">
        <x:v>England and Wales Court of Appeal (Civil Division)</x:v>
      </x:c>
      <x:c r="H3178" s="9" t="str">
        <x:v>Appellate</x:v>
      </x:c>
      <x:c r="I3178" s="9" t="str">
        <x:v>England and Wales</x:v>
      </x:c>
      <x:c r="J3178" s="9" t="str">
        <x:v>Civil Procedure</x:v>
      </x:c>
      <x:c r="K3178" s="9" t="str">
        <x:v>-ew-cases-EWCA-Civ-2014-1333.xml</x:v>
      </x:c>
      <x:c r="L3178" s="9" t="str">
        <x:v>TBA</x:v>
      </x:c>
    </x:row>
    <x:row r="3179">
      <x:c r="A3179" t="str">
        <x:v>5f013c90-9880-4a67-92ba-d6b05569c8e0</x:v>
      </x:c>
      <x:c r="B3179" t="str">
        <x:v>be09413b-8297-474d-bdd5-ab9232f3ae23</x:v>
      </x:c>
      <x:c r="C3179" s="9" t="str">
        <x:v>Tchenguiz v Director of the Serious Fraud Office &amp; Anor [2014] EWCA Civ 1409</x:v>
      </x:c>
      <x:c r="D3179" s="9" t="str"/>
      <x:c r="E3179" s="9" t="str"/>
      <x:c r="F3179" s="13" t="str">
        <x:v>2014</x:v>
      </x:c>
      <x:c r="G3179" s="9" t="str">
        <x:v>England and Wales Court of Appeal (Civil Division)</x:v>
      </x:c>
      <x:c r="H3179" s="9" t="str">
        <x:v>Appellate</x:v>
      </x:c>
      <x:c r="I3179" s="9" t="str">
        <x:v>England and Wales</x:v>
      </x:c>
      <x:c r="J3179" s="9" t="str">
        <x:v>Civil Appeal</x:v>
      </x:c>
      <x:c r="K3179" s="9" t="str">
        <x:v>-ew-cases-EWCA-Civ-2014-1409.xml</x:v>
      </x:c>
      <x:c r="L3179" s="9" t="str">
        <x:v>TBA</x:v>
      </x:c>
    </x:row>
    <x:row r="3180">
      <x:c r="A3180" t="str">
        <x:v>b6d14b1d-625f-45e7-8978-547fadf7b1b0</x:v>
      </x:c>
      <x:c r="B3180" t="str">
        <x:v>a0ccc321-54d1-4f02-be5b-6c2fdbde7e6d</x:v>
      </x:c>
      <x:c r="C3180" s="9" t="str">
        <x:v>Tchenguiz v Director of the Serious Fraud Office &amp; Ors [2014] EWCA Civ 1471</x:v>
      </x:c>
      <x:c r="D3180" s="9" t="str"/>
      <x:c r="E3180" s="9" t="str"/>
      <x:c r="F3180" s="13" t="str">
        <x:v>2014</x:v>
      </x:c>
      <x:c r="G3180" s="9" t="str">
        <x:v>England and Wales Court of Appeal (Civil Division)</x:v>
      </x:c>
      <x:c r="H3180" s="9" t="str">
        <x:v>Appellate</x:v>
      </x:c>
      <x:c r="I3180" s="9" t="str">
        <x:v>England and Wales</x:v>
      </x:c>
      <x:c r="J3180" s="9" t="str">
        <x:v>Civil Procedure</x:v>
      </x:c>
      <x:c r="K3180" s="9" t="str">
        <x:v>-ew-cases-EWCA-Civ-2014-1471.xml</x:v>
      </x:c>
      <x:c r="L3180" s="9" t="str">
        <x:v>TBA</x:v>
      </x:c>
    </x:row>
    <x:row r="3181">
      <x:c r="A3181" t="str">
        <x:v>8f947149-ad8f-42bf-80b6-e112d0c273ca</x:v>
      </x:c>
      <x:c r="B3181" t="str">
        <x:v>f5308cdc-c694-4460-967f-44a6cf7e109a</x:v>
      </x:c>
      <x:c r="C3181" s="9" t="str">
        <x:v>TD (Albania) v Secretary of State for the Home Department</x:v>
      </x:c>
      <x:c r="D3181" s="9" t="str"/>
      <x:c r="E3181" s="9" t="str"/>
      <x:c r="F3181" s="13" t="str">
        <x:v>2021</x:v>
      </x:c>
      <x:c r="G3181" s="9" t="str">
        <x:v>England and Wales Court of Appeal (Civil Division)</x:v>
      </x:c>
      <x:c r="H3181" s="9" t="str">
        <x:v>Court of Appeal</x:v>
      </x:c>
      <x:c r="I3181" s="9" t="str">
        <x:v>England and Wales</x:v>
      </x:c>
      <x:c r="J3181" s="9" t="str">
        <x:v>Immigration</x:v>
      </x:c>
      <x:c r="K3181" s="9" t="str">
        <x:v>ew-cases-EWCA-Civ-2021-619.xml</x:v>
      </x:c>
      <x:c r="L3181" s="9" t="str">
        <x:v>TBA</x:v>
      </x:c>
    </x:row>
    <x:row r="3182">
      <x:c r="A3182" t="str">
        <x:v>406dbc15-ad42-4d45-bacf-c54df233d9ee</x:v>
      </x:c>
      <x:c r="B3182" t="str">
        <x:v>7e7ca0bb-c5c6-4110-a900-c4e219c9a59e</x:v>
      </x:c>
      <x:c r="C3182" s="9" t="str">
        <x:v>TD, R (On the Application Of) v The Commissioner of Police of the Metropolis &amp; Anor</x:v>
      </x:c>
      <x:c r="D3182" s="9" t="str"/>
      <x:c r="E3182" s="9" t="str"/>
      <x:c r="F3182" s="13" t="str">
        <x:v>2014</x:v>
      </x:c>
      <x:c r="G3182" s="9" t="str">
        <x:v>England and Wales Court of Appeal (Civil Division)</x:v>
      </x:c>
      <x:c r="H3182" s="9" t="str">
        <x:v>Appellate</x:v>
      </x:c>
      <x:c r="I3182" s="9" t="str">
        <x:v>England and Wales</x:v>
      </x:c>
      <x:c r="J3182" s="9" t="str">
        <x:v>Administrative Law</x:v>
      </x:c>
      <x:c r="K3182" s="9" t="str">
        <x:v>-ew-cases-EWCA-Civ-2014-585.xml</x:v>
      </x:c>
      <x:c r="L3182" s="9" t="str">
        <x:v>TBA</x:v>
      </x:c>
    </x:row>
    <x:row r="3183">
      <x:c r="A3183" t="str">
        <x:v>87a9d632-cd47-426d-8cea-ea431334089c</x:v>
      </x:c>
      <x:c r="B3183" t="str">
        <x:v>04445230-6b9f-48ca-bbca-c6a019dc70cf</x:v>
      </x:c>
      <x:c r="C3183" s="9" t="str">
        <x:v>Ted Baker Plc &amp; Anor v Axa Insurance UK Plc &amp; Ors</x:v>
      </x:c>
      <x:c r="D3183" s="9" t="str"/>
      <x:c r="E3183" s="9" t="str"/>
      <x:c r="F3183" s="13" t="str">
        <x:v>2017</x:v>
      </x:c>
      <x:c r="G3183" s="9" t="str">
        <x:v>England and Wales Court of Appeal (Civil Division)</x:v>
      </x:c>
      <x:c r="H3183" s="9" t="str">
        <x:v>Appellate Court</x:v>
      </x:c>
      <x:c r="I3183" s="9" t="str">
        <x:v>England and Wales</x:v>
      </x:c>
      <x:c r="J3183" s="9" t="str">
        <x:v>Insurance</x:v>
      </x:c>
      <x:c r="K3183" s="9" t="str">
        <x:v>-ew-cases-EWCA-Civ-2017-4097.xml</x:v>
      </x:c>
      <x:c r="L3183" s="9" t="str">
        <x:v>TBA</x:v>
      </x:c>
    </x:row>
    <x:row r="3184">
      <x:c r="A3184" t="str">
        <x:v>6a90b637-fdde-4b69-8131-3b4ac704720d</x:v>
      </x:c>
      <x:c r="B3184" t="str">
        <x:v>638613f3-f321-4ccd-8055-aebfec6cec82</x:v>
      </x:c>
      <x:c r="C3184" s="9" t="str">
        <x:v>Ted Baker Plc &amp; Anor v Axa Insurance UK Plc &amp; Ors [2014] EWCA Civ 134</x:v>
      </x:c>
      <x:c r="D3184" s="9" t="str"/>
      <x:c r="E3184" s="9" t="str"/>
      <x:c r="F3184" s="13" t="str">
        <x:v>2014</x:v>
      </x:c>
      <x:c r="G3184" s="9" t="str">
        <x:v>England and Wales Court of Appeal (Civil Division)</x:v>
      </x:c>
      <x:c r="H3184" s="9" t="str">
        <x:v>Appellate</x:v>
      </x:c>
      <x:c r="I3184" s="9" t="str">
        <x:v>England and Wales</x:v>
      </x:c>
      <x:c r="J3184" s="9" t="str">
        <x:v>Insurance</x:v>
      </x:c>
      <x:c r="K3184" s="9" t="str">
        <x:v>-ew-cases-EWCA-Civ-2014-134.xml</x:v>
      </x:c>
      <x:c r="L3184" s="9" t="str">
        <x:v>TBA</x:v>
      </x:c>
    </x:row>
    <x:row r="3185">
      <x:c r="A3185" t="str">
        <x:v>e89c820d-19f7-457d-95cc-1bf60466275b</x:v>
      </x:c>
      <x:c r="B3185" t="str">
        <x:v>ce3d320c-48e0-47e9-8649-41f33cb14c2f</x:v>
      </x:c>
      <x:c r="C3185" s="9" t="str">
        <x:v>Teekay Tankers Ltd v STX Offshore &amp; Shipbuilding Co. Ltd [2017] EWHC 253 (Comm)</x:v>
      </x:c>
      <x:c r="D3185" s="9" t="str"/>
      <x:c r="E3185" s="9" t="str"/>
      <x:c r="F3185" s="13" t="str">
        <x:v>2017</x:v>
      </x:c>
      <x:c r="G3185" s="9" t="str">
        <x:v>England and Wales High Court (Commercial Court)</x:v>
      </x:c>
      <x:c r="H3185" s="9" t="str">
        <x:v>High Court</x:v>
      </x:c>
      <x:c r="I3185" s="9" t="str">
        <x:v>England and Wales</x:v>
      </x:c>
      <x:c r="J3185" s="9" t="str">
        <x:v>Contract Dispute</x:v>
      </x:c>
      <x:c r="K3185" s="9" t="str">
        <x:v>PT_EWHC-Comm_2017_253.xml</x:v>
      </x:c>
      <x:c r="L3185" s="9" t="str">
        <x:v>TBA</x:v>
      </x:c>
    </x:row>
    <x:row r="3186">
      <x:c r="A3186" t="str">
        <x:v>f55055f5-0a1a-42dd-a37c-70babca81123</x:v>
      </x:c>
      <x:c r="B3186" t="str">
        <x:v>5cbfcba5-99ba-485f-ab9a-1ca5d3825fa5</x:v>
      </x:c>
      <x:c r="C3186" s="9" t="str">
        <x:v>Temur v London Borough of Hackney [2014] EWCA Civ 877</x:v>
      </x:c>
      <x:c r="D3186" s="9" t="str"/>
      <x:c r="E3186" s="9" t="str"/>
      <x:c r="F3186" s="13" t="str">
        <x:v>2014</x:v>
      </x:c>
      <x:c r="G3186" s="9" t="str">
        <x:v>England and Wales Court of Appeal (Civil Division)</x:v>
      </x:c>
      <x:c r="H3186" s="9" t="str">
        <x:v>appellate</x:v>
      </x:c>
      <x:c r="I3186" s="9" t="str">
        <x:v>England and Wales</x:v>
      </x:c>
      <x:c r="J3186" s="9" t="str">
        <x:v>Housing Law</x:v>
      </x:c>
      <x:c r="K3186" s="9" t="str">
        <x:v>-ew-cases-EWCA-Civ-2014-877.xml</x:v>
      </x:c>
      <x:c r="L3186" s="9" t="str">
        <x:v>TBA</x:v>
      </x:c>
    </x:row>
    <x:row r="3187">
      <x:c r="A3187" t="str">
        <x:v>3c3b8f22-1592-4102-8b3e-8d5da3e8b7c5</x:v>
      </x:c>
      <x:c r="B3187" t="str">
        <x:v>ef641dbc-1816-4d59-908e-37f6138c54dc</x:v>
      </x:c>
      <x:c r="C3187" s="9" t="str">
        <x:v>Termhouse (Clarendon Court) Management Ltd v Al-Balhaa</x:v>
      </x:c>
      <x:c r="D3187" s="9" t="str"/>
      <x:c r="E3187" s="9" t="str"/>
      <x:c r="F3187" s="13" t="str">
        <x:v>2021</x:v>
      </x:c>
      <x:c r="G3187" s="9" t="str">
        <x:v>England and Wales Court of Appeal (Civil Division)</x:v>
      </x:c>
      <x:c r="H3187" s="9" t="str">
        <x:v>Appellate</x:v>
      </x:c>
      <x:c r="I3187" s="9" t="str">
        <x:v>England and Wales</x:v>
      </x:c>
      <x:c r="J3187" s="9" t="str">
        <x:v>Civil</x:v>
      </x:c>
      <x:c r="K3187" s="9" t="str">
        <x:v>ew-cases-EWCA-Civ-2021-1881.xml</x:v>
      </x:c>
      <x:c r="L3187" s="9" t="str">
        <x:v>TBA</x:v>
      </x:c>
    </x:row>
    <x:row r="3188">
      <x:c r="A3188" t="str">
        <x:v>d1badaa9-555c-477b-96c7-6fb78941b94d</x:v>
      </x:c>
      <x:c r="B3188" t="str">
        <x:v>8d10f639-afdd-4cee-893d-c3b4fbaefe7b</x:v>
      </x:c>
      <x:c r="C3188" s="9" t="str">
        <x:v>Tesco Stores Ltd v Forest of Dean District Council [2015] EWCA Civ 800</x:v>
      </x:c>
      <x:c r="D3188" s="9" t="str"/>
      <x:c r="E3188" s="9" t="str"/>
      <x:c r="F3188" s="13" t="str">
        <x:v>2015</x:v>
      </x:c>
      <x:c r="G3188" s="9" t="str">
        <x:v>England and Wales Court of Appeal (Civil Division)</x:v>
      </x:c>
      <x:c r="H3188" s="9" t="str">
        <x:v>Appellate</x:v>
      </x:c>
      <x:c r="I3188" s="9" t="str">
        <x:v>England and Wales</x:v>
      </x:c>
      <x:c r="J3188" s="9" t="str">
        <x:v>Planning Law</x:v>
      </x:c>
      <x:c r="K3188" s="9" t="str">
        <x:v>-ew-cases-EWCA-Civ-2015-800.xml</x:v>
      </x:c>
      <x:c r="L3188" s="9" t="str">
        <x:v>TBA</x:v>
      </x:c>
    </x:row>
    <x:row r="3189">
      <x:c r="A3189" t="str">
        <x:v>723fc59a-17f3-4934-ba44-e2dc9a119214</x:v>
      </x:c>
      <x:c r="B3189" t="str">
        <x:v>5ce5a5df-b1e5-4455-a66f-9bc220a44fd3</x:v>
      </x:c>
      <x:c r="C3189" s="9" t="str">
        <x:v>Tesfay &amp; Ors, R (on the application of) v Secretary of State for the Home Department [2016] EWCA Civ 415</x:v>
      </x:c>
      <x:c r="D3189" s="9" t="str"/>
      <x:c r="E3189" s="9" t="str"/>
      <x:c r="F3189" s="13" t="str">
        <x:v>2016</x:v>
      </x:c>
      <x:c r="G3189" s="9" t="str">
        <x:v>England and Wales Court of Appeal (Civil Division)</x:v>
      </x:c>
      <x:c r="H3189" s="9" t="str">
        <x:v>Court of Appeal (Civil Division)</x:v>
      </x:c>
      <x:c r="I3189" s="9" t="str">
        <x:v>England and Wales</x:v>
      </x:c>
      <x:c r="J3189" s="9" t="str">
        <x:v>Public Law / Immigration &amp; Administrative Law</x:v>
      </x:c>
      <x:c r="K3189" s="9" t="str">
        <x:v>-ew-cases-EWCA-Civ-2016-415.xml</x:v>
      </x:c>
      <x:c r="L3189" s="9" t="str">
        <x:v>TBA</x:v>
      </x:c>
    </x:row>
    <x:row r="3190">
      <x:c r="A3190" t="str">
        <x:v>d1c928fb-5de2-449b-b09e-3b404f4434b1</x:v>
      </x:c>
      <x:c r="B3190" t="str">
        <x:v>9f7144c3-0480-4650-8810-9ef33647231a</x:v>
      </x:c>
      <x:c r="C3190" s="9" t="str">
        <x:v>Tetteh, R (on the application of) v Secretary of State for the Home Department [2015] EWCA Civ 1046</x:v>
      </x:c>
      <x:c r="D3190" s="9" t="str"/>
      <x:c r="E3190" s="9" t="str"/>
      <x:c r="F3190" s="13" t="str">
        <x:v>2015</x:v>
      </x:c>
      <x:c r="G3190" s="9" t="str">
        <x:v>England and Wales Court of Appeal (Civil Division)</x:v>
      </x:c>
      <x:c r="H3190" s="9" t="str">
        <x:v>Appellate</x:v>
      </x:c>
      <x:c r="I3190" s="9" t="str">
        <x:v>England and Wales</x:v>
      </x:c>
      <x:c r="J3190" s="9" t="str">
        <x:v>Immigration Law</x:v>
      </x:c>
      <x:c r="K3190" s="9" t="str">
        <x:v>-ew-cases-EWCA-Civ-2015-1046.xml</x:v>
      </x:c>
      <x:c r="L3190" s="9" t="str">
        <x:v>TBA</x:v>
      </x:c>
    </x:row>
    <x:row r="3191">
      <x:c r="A3191" t="str">
        <x:v>7bd4bf1b-cd05-4312-a64e-159bac13d0ba</x:v>
      </x:c>
      <x:c r="B3191" t="str">
        <x:v>fa1d4c40-4801-4353-bbe8-f12765ee6f92</x:v>
      </x:c>
      <x:c r="C3191" s="9" t="str">
        <x:v>Teva Pharma - Produtos Farmaceuticos Lda &amp; Anor v AstraZeneca - Produtos Farmaceuticos Lda &amp; Anr [2017] EWCA Civ 2135</x:v>
      </x:c>
      <x:c r="D3191" s="9" t="str"/>
      <x:c r="E3191" s="9" t="str"/>
      <x:c r="F3191" s="13" t="str">
        <x:v>2017</x:v>
      </x:c>
      <x:c r="G3191" s="9" t="str">
        <x:v>England and Wales Court of Appeal (Civil Division)</x:v>
      </x:c>
      <x:c r="H3191" s="9" t="str">
        <x:v>Appellate</x:v>
      </x:c>
      <x:c r="I3191" s="9" t="str">
        <x:v>England and Wales</x:v>
      </x:c>
      <x:c r="J3191" s="9" t="str">
        <x:v>Intellectual Property</x:v>
      </x:c>
      <x:c r="K3191" s="9" t="str">
        <x:v>-ew-cases-EWCA-Civ-2017-2135.xml</x:v>
      </x:c>
      <x:c r="L3191" s="9" t="str">
        <x:v>TBA</x:v>
      </x:c>
    </x:row>
    <x:row r="3192">
      <x:c r="A3192" t="str">
        <x:v>d64d6235-31ec-4567-a701-296c0b5880fb</x:v>
      </x:c>
      <x:c r="B3192" t="str">
        <x:v>6ba97045-0b3f-40c9-b06f-d6c5cc32ad55</x:v>
      </x:c>
      <x:c r="C3192" s="9" t="str">
        <x:v>Teva UK Limited &amp; Teva Pharmaceutical Industries Limited v Novartis AG &amp; Novartis Pharmaceuticals UK Limited [2022] EWCA Civ 1617</x:v>
      </x:c>
      <x:c r="D3192" s="9" t="str"/>
      <x:c r="E3192" s="9" t="str"/>
      <x:c r="F3192" s="13" t="str">
        <x:v>2022</x:v>
      </x:c>
      <x:c r="G3192" s="9" t="str">
        <x:v>England and Wales Court of Appeal (Civil Division)</x:v>
      </x:c>
      <x:c r="H3192" s="9" t="str">
        <x:v>Court of Appeal (Civil Division)</x:v>
      </x:c>
      <x:c r="I3192" s="9" t="str">
        <x:v>United Kingdom (England and Wales)</x:v>
      </x:c>
      <x:c r="J3192" s="9" t="str">
        <x:v>Civil Procedure; Intellectual Property; Declaratory relief; Patent law</x:v>
      </x:c>
      <x:c r="K3192" s="9" t="str">
        <x:v>ew-cases-EWCA-Civ-2022-1617.xml</x:v>
      </x:c>
      <x:c r="L3192" s="9" t="str">
        <x:v>TBA</x:v>
      </x:c>
    </x:row>
    <x:row r="3193">
      <x:c r="A3193" t="str">
        <x:v>5f1ca750-9a61-416c-b079-4e317542177b</x:v>
      </x:c>
      <x:c r="B3193" t="str">
        <x:v>c19711c9-1a63-43a5-b855-7b938194803b</x:v>
      </x:c>
      <x:c r="C3193" s="9" t="str">
        <x:v>Teva UK Limited v Boehringer Ingelheim Pharma GmbH &amp; Co KG [2016] EWCA Civ 1296</x:v>
      </x:c>
      <x:c r="D3193" s="9" t="str"/>
      <x:c r="E3193" s="9" t="str"/>
      <x:c r="F3193" s="13" t="str">
        <x:v>2016</x:v>
      </x:c>
      <x:c r="G3193" s="9" t="str">
        <x:v>England and Wales Court of Appeal (Civil Division)</x:v>
      </x:c>
      <x:c r="H3193" s="9" t="str">
        <x:v>Court of Appeal (Civil Division)</x:v>
      </x:c>
      <x:c r="I3193" s="9" t="str">
        <x:v>England and Wales</x:v>
      </x:c>
      <x:c r="J3193" s="9" t="str">
        <x:v>Patent Law / Civil Appeals</x:v>
      </x:c>
      <x:c r="K3193" s="9" t="str">
        <x:v>-ew-cases-EWCA-Civ-2016-1296.xml</x:v>
      </x:c>
      <x:c r="L3193" s="9" t="str">
        <x:v>TBA</x:v>
      </x:c>
    </x:row>
    <x:row r="3194">
      <x:c r="A3194" t="str">
        <x:v>c5c1d9db-1c02-4844-b665-7becff9c1091</x:v>
      </x:c>
      <x:c r="B3194" t="str">
        <x:v>d866f629-88dd-4a6b-903a-a6a38b50859a</x:v>
      </x:c>
      <x:c r="C3194" s="9" t="str">
        <x:v>Teva UK Ltd v Leo Pharma A/S [2015] EWCA Civ 779</x:v>
      </x:c>
      <x:c r="D3194" s="9" t="str"/>
      <x:c r="E3194" s="9" t="str"/>
      <x:c r="F3194" s="13" t="str">
        <x:v>2015</x:v>
      </x:c>
      <x:c r="G3194" s="9" t="str">
        <x:v>England and Wales Court of Appeal (Civil Division)</x:v>
      </x:c>
      <x:c r="H3194" s="9" t="str">
        <x:v>Appellate</x:v>
      </x:c>
      <x:c r="I3194" s="9" t="str">
        <x:v>England and Wales</x:v>
      </x:c>
      <x:c r="J3194" s="9" t="str">
        <x:v>Patent Law</x:v>
      </x:c>
      <x:c r="K3194" s="9" t="str">
        <x:v>-ew-cases-EWCA-Civ-2015-779.xml</x:v>
      </x:c>
      <x:c r="L3194" s="9" t="str">
        <x:v>TBA</x:v>
      </x:c>
    </x:row>
    <x:row r="3195">
      <x:c r="A3195" t="str">
        <x:v>6d81668c-1cb2-4303-bf7f-67660bdca747</x:v>
      </x:c>
      <x:c r="B3195" t="str">
        <x:v>b1977a3f-d25d-4291-a7fb-9cd2237eae2c</x:v>
      </x:c>
      <x:c r="C3195" s="9" t="str">
        <x:v>TFS Stores Ltd v The Designer Retail Outlet Centres (Mansfield) General Partner Ltd &amp; Ors</x:v>
      </x:c>
      <x:c r="D3195" s="9" t="str"/>
      <x:c r="E3195" s="9" t="str"/>
      <x:c r="F3195" s="13" t="str">
        <x:v>2021</x:v>
      </x:c>
      <x:c r="G3195" s="9" t="str">
        <x:v>England and Wales Court of Appeal (Civil Division)</x:v>
      </x:c>
      <x:c r="H3195" s="9" t="str">
        <x:v>appellate</x:v>
      </x:c>
      <x:c r="I3195" s="9" t="str">
        <x:v>England and Wales</x:v>
      </x:c>
      <x:c r="J3195" s="9" t="str">
        <x:v>Property Law</x:v>
      </x:c>
      <x:c r="K3195" s="9" t="str">
        <x:v>ew-cases-EWCA-Civ-2021-688.xml</x:v>
      </x:c>
      <x:c r="L3195" s="9" t="str">
        <x:v>TBA</x:v>
      </x:c>
    </x:row>
    <x:row r="3196">
      <x:c r="A3196" t="str">
        <x:v>7620eef9-2718-4344-983b-a221310ee479</x:v>
      </x:c>
      <x:c r="B3196" t="str">
        <x:v>0868f854-f440-4c6d-b0af-d002b3663d74</x:v>
      </x:c>
      <x:c r="C3196" s="9" t="str">
        <x:v>TH (Bangladesh) &amp; Ors v Secretary of State for the Home Department [2016] EWCA Civ 815</x:v>
      </x:c>
      <x:c r="D3196" s="9" t="str"/>
      <x:c r="E3196" s="9" t="str"/>
      <x:c r="F3196" s="13" t="str">
        <x:v>2016</x:v>
      </x:c>
      <x:c r="G3196" s="9" t="str">
        <x:v>England and Wales Court of Appeal (Civil Division)</x:v>
      </x:c>
      <x:c r="H3196" s="9" t="str">
        <x:v>Court of Appeal (Civil Division)</x:v>
      </x:c>
      <x:c r="I3196" s="9" t="str">
        <x:v>England and Wales</x:v>
      </x:c>
      <x:c r="J3196" s="9" t="str">
        <x:v>Administrative Law; Immigration Law</x:v>
      </x:c>
      <x:c r="K3196" s="9" t="str">
        <x:v>-ew-cases-EWCA-Civ-2016-815.xml</x:v>
      </x:c>
      <x:c r="L3196" s="9" t="str">
        <x:v>TBA</x:v>
      </x:c>
    </x:row>
    <x:row r="3197">
      <x:c r="A3197" t="str">
        <x:v>dd05ba43-5e78-4626-8586-ad0faeb25875</x:v>
      </x:c>
      <x:c r="B3197" t="str">
        <x:v>aa9763e0-9907-4557-af4e-c4de7cdbe78a</x:v>
      </x:c>
      <x:c r="C3197" s="9" t="str">
        <x:v>TH (Eritrea) v Secretary of State for the Home Department [2015] EWCA Civ 723</x:v>
      </x:c>
      <x:c r="D3197" s="9" t="str"/>
      <x:c r="E3197" s="9" t="str"/>
      <x:c r="F3197" s="13" t="str">
        <x:v>2015</x:v>
      </x:c>
      <x:c r="G3197" s="9" t="str">
        <x:v>England and Wales Court of Appeal (Civil Division)</x:v>
      </x:c>
      <x:c r="H3197" s="9" t="str">
        <x:v>Appellate</x:v>
      </x:c>
      <x:c r="I3197" s="9" t="str">
        <x:v>England and Wales</x:v>
      </x:c>
      <x:c r="J3197" s="9" t="str">
        <x:v>Immigration Law</x:v>
      </x:c>
      <x:c r="K3197" s="9" t="str">
        <x:v>-ew-cases-EWCA-Civ-2015-723.xml</x:v>
      </x:c>
      <x:c r="L3197" s="9" t="str">
        <x:v>TBA</x:v>
      </x:c>
    </x:row>
    <x:row r="3198">
      <x:c r="A3198" t="str">
        <x:v>27107efc-efac-415e-bc87-64a960e4af81</x:v>
      </x:c>
      <x:c r="B3198" t="str">
        <x:v>a435973d-c9b8-41e4-ade2-cd34f1f148ff</x:v>
      </x:c>
      <x:c r="C3198" s="9" t="str">
        <x:v>TH (Pakistan) v Secretary of State for the Home Department [2015] EWCA Civ 956</x:v>
      </x:c>
      <x:c r="D3198" s="9" t="str"/>
      <x:c r="E3198" s="9" t="str"/>
      <x:c r="F3198" s="13" t="str">
        <x:v>2015</x:v>
      </x:c>
      <x:c r="G3198" s="9" t="str">
        <x:v>England and Wales Court of Appeal (Civil Division)</x:v>
      </x:c>
      <x:c r="H3198" s="9" t="str">
        <x:v>Appellate</x:v>
      </x:c>
      <x:c r="I3198" s="9" t="str">
        <x:v>England and Wales</x:v>
      </x:c>
      <x:c r="J3198" s="9" t="str">
        <x:v>Immigration</x:v>
      </x:c>
      <x:c r="K3198" s="9" t="str">
        <x:v>-ew-cases-EWCA-Civ-2015-956.xml</x:v>
      </x:c>
      <x:c r="L3198" s="9" t="str">
        <x:v>TBA</x:v>
      </x:c>
    </x:row>
    <x:row r="3199">
      <x:c r="A3199" t="str">
        <x:v>7ea1743b-a0cb-453f-bfce-c7d0b5e286fc</x:v>
      </x:c>
      <x:c r="B3199" t="str">
        <x:v>a733c05d-5346-4a94-ae6a-fc5fd00e12ff</x:v>
      </x:c>
      <x:c r="C3199" s="9" t="str">
        <x:v>Thaler v Comptroller General of Patents Trade Marks And Designs</x:v>
      </x:c>
      <x:c r="D3199" s="9" t="str"/>
      <x:c r="E3199" s="9" t="str"/>
      <x:c r="F3199" s="13" t="str">
        <x:v>2021</x:v>
      </x:c>
      <x:c r="G3199" s="9" t="str">
        <x:v>England and Wales Court of Appeal (Civil Division)</x:v>
      </x:c>
      <x:c r="H3199" s="9" t="str">
        <x:v>Appellate</x:v>
      </x:c>
      <x:c r="I3199" s="9" t="str">
        <x:v>England and Wales</x:v>
      </x:c>
      <x:c r="J3199" s="9" t="str">
        <x:v>Intellectual Property</x:v>
      </x:c>
      <x:c r="K3199" s="9" t="str">
        <x:v>ew-cases-EWCA-Civ-2021-1374.xml</x:v>
      </x:c>
      <x:c r="L3199" s="9" t="str">
        <x:v>TBA</x:v>
      </x:c>
    </x:row>
    <x:row r="3200">
      <x:c r="A3200" t="str">
        <x:v>1e4640e2-add8-41ee-99dd-6c1ac445c364</x:v>
      </x:c>
      <x:c r="B3200" t="str">
        <x:v>35b0fee6-530f-4f3d-bedc-e08c931d52f6</x:v>
      </x:c>
      <x:c r="C3200" s="9" t="str">
        <x:v>Thames Blue Green Economy Ltd v The Secretary of State for Environment, Food And Rural Affairs</x:v>
      </x:c>
      <x:c r="D3200" s="9" t="str"/>
      <x:c r="E3200" s="9" t="str"/>
      <x:c r="F3200" s="13" t="str">
        <x:v>2015</x:v>
      </x:c>
      <x:c r="G3200" s="9" t="str">
        <x:v>England and Wales Court of Appeal (Civil Division)</x:v>
      </x:c>
      <x:c r="H3200" s="9" t="str">
        <x:v>Appellate</x:v>
      </x:c>
      <x:c r="I3200" s="9" t="str">
        <x:v>England and Wales</x:v>
      </x:c>
      <x:c r="J3200" s="9" t="str">
        <x:v>Administrative Law</x:v>
      </x:c>
      <x:c r="K3200" s="9" t="str">
        <x:v>-ew-cases-EWCA-Civ-2015-876.xml</x:v>
      </x:c>
      <x:c r="L3200" s="9" t="str">
        <x:v>TBA</x:v>
      </x:c>
    </x:row>
    <x:row r="3201">
      <x:c r="A3201" t="str">
        <x:v>dc7337f9-9bf6-4bc2-96ad-cd48686d3e0d</x:v>
      </x:c>
      <x:c r="B3201" t="str">
        <x:v>bdf8ab06-1d4f-45cf-b865-d3e7b9fa3dbf</x:v>
      </x:c>
      <x:c r="C3201" s="9" t="str">
        <x:v>Thapar v Secretary of State for the Home Department [2016] EWCA Civ 716</x:v>
      </x:c>
      <x:c r="D3201" s="9" t="str"/>
      <x:c r="E3201" s="9" t="str"/>
      <x:c r="F3201" s="13" t="str">
        <x:v>2016</x:v>
      </x:c>
      <x:c r="G3201" s="9" t="str">
        <x:v>England and Wales Court of Appeal (Civil Division)</x:v>
      </x:c>
      <x:c r="H3201" s="9" t="str">
        <x:v>Court of Appeal (Civil Division)</x:v>
      </x:c>
      <x:c r="I3201" s="9" t="str">
        <x:v>England and Wales</x:v>
      </x:c>
      <x:c r="J3201" s="9" t="str">
        <x:v>Immigration / Administrative Law</x:v>
      </x:c>
      <x:c r="K3201" s="9" t="str">
        <x:v>-ew-cases-EWCA-Civ-2016-716.xml</x:v>
      </x:c>
      <x:c r="L3201" s="9" t="str">
        <x:v>TBA</x:v>
      </x:c>
    </x:row>
    <x:row r="3202">
      <x:c r="A3202" t="str">
        <x:v>741c2c7e-4b15-47eb-a633-d2676d254a75</x:v>
      </x:c>
      <x:c r="B3202" t="str">
        <x:v>0e6d2c3d-b048-49d0-ab10-e6886dd656bc</x:v>
      </x:c>
      <x:c r="C3202" s="9" t="str">
        <x:v>The Association of Independent Meat Suppliers &amp; Anor v The Food Standards Agency [2017] EWCA Civ 431</x:v>
      </x:c>
      <x:c r="D3202" s="9" t="str"/>
      <x:c r="E3202" s="9" t="str"/>
      <x:c r="F3202" s="13" t="str">
        <x:v>2017</x:v>
      </x:c>
      <x:c r="G3202" s="9" t="str">
        <x:v>England and Wales Court of Appeal (Civil Division)</x:v>
      </x:c>
      <x:c r="H3202" s="9" t="str">
        <x:v>Court of Appeal</x:v>
      </x:c>
      <x:c r="I3202" s="9" t="str">
        <x:v>England and Wales</x:v>
      </x:c>
      <x:c r="J3202" s="9" t="str">
        <x:v>Administrative Law</x:v>
      </x:c>
      <x:c r="K3202" s="9" t="str">
        <x:v>-ew-cases-EWCA-Civ-2017-431.xml</x:v>
      </x:c>
      <x:c r="L3202" s="9" t="str">
        <x:v>TBA</x:v>
      </x:c>
    </x:row>
    <x:row r="3203">
      <x:c r="A3203" t="str">
        <x:v>76061b95-19e1-4636-8acb-9f1fd62b3d08</x:v>
      </x:c>
      <x:c r="B3203" t="str">
        <x:v>945dbe9f-d118-4573-80e8-d215e61469e4</x:v>
      </x:c>
      <x:c r="C3203" s="9" t="str">
        <x:v>The British Medical Association, R (on the application of) v General Medical Council &amp; Or</x:v>
      </x:c>
      <x:c r="D3203" s="9" t="str"/>
      <x:c r="E3203" s="9" t="str"/>
      <x:c r="F3203" s="13" t="str">
        <x:v>2017</x:v>
      </x:c>
      <x:c r="G3203" s="9" t="str">
        <x:v>England and Wales Court of Appeal (Civil Division)</x:v>
      </x:c>
      <x:c r="H3203" s="9" t="str">
        <x:v>Appellate</x:v>
      </x:c>
      <x:c r="I3203" s="9" t="str">
        <x:v>England and Wales</x:v>
      </x:c>
      <x:c r="J3203" s="9" t="str">
        <x:v>Judicial Review</x:v>
      </x:c>
      <x:c r="K3203" s="9" t="str">
        <x:v>-ew-cases-EWCA-Civ-2017-2191.xml</x:v>
      </x:c>
      <x:c r="L3203" s="9" t="str">
        <x:v>TBA</x:v>
      </x:c>
    </x:row>
    <x:row r="3204">
      <x:c r="A3204" t="str">
        <x:v>962056b1-a9aa-45f8-b8fe-50668be98726</x:v>
      </x:c>
      <x:c r="B3204" t="str">
        <x:v>00f3952f-5803-44b1-9f19-8470e91a8a8e</x:v>
      </x:c>
      <x:c r="C3204" s="9" t="str">
        <x:v>The BT Pension Scheme (Trustees of) v HM Revenue and Customs</x:v>
      </x:c>
      <x:c r="D3204" s="9" t="str"/>
      <x:c r="E3204" s="9" t="str"/>
      <x:c r="F3204" s="13" t="str">
        <x:v>2015</x:v>
      </x:c>
      <x:c r="G3204" s="9" t="str">
        <x:v>England and Wales Court of Appeal (Civil Division)</x:v>
      </x:c>
      <x:c r="H3204" s="9" t="str">
        <x:v>Appellate</x:v>
      </x:c>
      <x:c r="I3204" s="9" t="str">
        <x:v>England and Wales</x:v>
      </x:c>
      <x:c r="J3204" s="9" t="str">
        <x:v>Tax Law</x:v>
      </x:c>
      <x:c r="K3204" s="9" t="str">
        <x:v>-ew-cases-EWCA-Civ-2015-713.xml</x:v>
      </x:c>
      <x:c r="L3204" s="9" t="str">
        <x:v>TBA</x:v>
      </x:c>
    </x:row>
    <x:row r="3205">
      <x:c r="A3205" t="str">
        <x:v>b7f72e20-20df-45cb-971e-c168326ffe8f</x:v>
      </x:c>
      <x:c r="B3205" t="str">
        <x:v>4f977444-ccac-4d7e-9884-b7b75680cfa6</x:v>
      </x:c>
      <x:c r="C3205" s="9" t="str">
        <x:v>The Civil Aviation Authority v Ryanair DAC [2022] EWCA Civ 76</x:v>
      </x:c>
      <x:c r="D3205" s="9" t="str"/>
      <x:c r="E3205" s="9" t="str"/>
      <x:c r="F3205" s="13" t="str">
        <x:v>2022</x:v>
      </x:c>
      <x:c r="G3205" s="9" t="str">
        <x:v>England and Wales Court of Appeal (Civil Division)</x:v>
      </x:c>
      <x:c r="H3205" s="9" t="str">
        <x:v>Court of Appeal (Civil Division)</x:v>
      </x:c>
      <x:c r="I3205" s="9" t="str">
        <x:v>England and Wales</x:v>
      </x:c>
      <x:c r="J3205" s="9" t="str">
        <x:v>Regulatory/Administrative Law</x:v>
      </x:c>
      <x:c r="K3205" s="9" t="str">
        <x:v>ew-cases-EWCA-Civ-2022-76.xml</x:v>
      </x:c>
      <x:c r="L3205" s="9" t="str">
        <x:v>TBA</x:v>
      </x:c>
    </x:row>
    <x:row r="3206">
      <x:c r="A3206" t="str">
        <x:v>84e26b3e-e5c9-4e3a-8155-bbc56e1d088d</x:v>
      </x:c>
      <x:c r="B3206" t="str">
        <x:v>0e927713-f760-4e9c-b4b8-8e4b34eb99a4</x:v>
      </x:c>
      <x:c r="C3206" s="9" t="str">
        <x:v>The Claimants in the Royal Mail Group Litigation v Royal Mail Group Ltd</x:v>
      </x:c>
      <x:c r="D3206" s="9" t="str"/>
      <x:c r="E3206" s="9" t="str"/>
      <x:c r="F3206" s="13" t="str">
        <x:v>2021</x:v>
      </x:c>
      <x:c r="G3206" s="9" t="str">
        <x:v>England and Wales Court of Appeal (Civil Division)</x:v>
      </x:c>
      <x:c r="H3206" s="9" t="str">
        <x:v>Appellate</x:v>
      </x:c>
      <x:c r="I3206" s="9" t="str">
        <x:v>England and Wales</x:v>
      </x:c>
      <x:c r="J3206" s="9" t="str">
        <x:v>Administrative Law</x:v>
      </x:c>
      <x:c r="K3206" s="9" t="str">
        <x:v>ew-cases-EWCA-Civ-2021-1173.xml</x:v>
      </x:c>
      <x:c r="L3206" s="9" t="str">
        <x:v>TBA</x:v>
      </x:c>
    </x:row>
    <x:row r="3207">
      <x:c r="A3207" t="str">
        <x:v>bdda9717-be8b-493e-8a64-8a2f51be6202</x:v>
      </x:c>
      <x:c r="B3207" t="str">
        <x:v>b029bbd2-fb88-485d-8fa2-40aed41be35c</x:v>
      </x:c>
      <x:c r="C3207" s="9" t="str">
        <x:v>The Claimants Listed In Schedule 1 To the Claim Form v Spence &amp; Ors [2022] EWCA Civ 500</x:v>
      </x:c>
      <x:c r="D3207" s="9" t="str"/>
      <x:c r="E3207" s="9" t="str"/>
      <x:c r="F3207" s="13" t="str">
        <x:v>2022</x:v>
      </x:c>
      <x:c r="G3207" s="9" t="str">
        <x:v>England and Wales Court of Appeal (Civil Division)</x:v>
      </x:c>
      <x:c r="H3207" s="9" t="str">
        <x:v>Court of Appeal (Civil Division)</x:v>
      </x:c>
      <x:c r="I3207" s="9" t="str">
        <x:v>England and Wales</x:v>
      </x:c>
      <x:c r="J3207" s="9" t="str">
        <x:v>Civil/Commercial Dispute</x:v>
      </x:c>
      <x:c r="K3207" s="9" t="str">
        <x:v>ew-cases-EWCA-Civ-2022-500.xml</x:v>
      </x:c>
      <x:c r="L3207" s="9" t="str">
        <x:v>TBA</x:v>
      </x:c>
    </x:row>
    <x:row r="3208">
      <x:c r="A3208" t="str">
        <x:v>bf99ed91-2997-480e-a989-fd52477864a1</x:v>
      </x:c>
      <x:c r="B3208" t="str">
        <x:v>4b416677-bebd-453a-a664-e77b00146ddb</x:v>
      </x:c>
      <x:c r="C3208" s="9" t="str">
        <x:v>The Commissioner of Police of the Metropolis v Abdulle &amp; Ors</x:v>
      </x:c>
      <x:c r="D3208" s="9" t="str"/>
      <x:c r="E3208" s="9" t="str"/>
      <x:c r="F3208" s="13" t="str">
        <x:v>2015</x:v>
      </x:c>
      <x:c r="G3208" s="9" t="str">
        <x:v>England and Wales Court of Appeal (Civil Division)</x:v>
      </x:c>
      <x:c r="H3208" s="9" t="str">
        <x:v>Appellate</x:v>
      </x:c>
      <x:c r="I3208" s="9" t="str">
        <x:v>England and Wales</x:v>
      </x:c>
      <x:c r="J3208" s="9" t="str">
        <x:v>Civil Rights</x:v>
      </x:c>
      <x:c r="K3208" s="9" t="str">
        <x:v>-ew-cases-EWCA-Civ-2015-1260.xml</x:v>
      </x:c>
      <x:c r="L3208" s="9" t="str">
        <x:v>TBA</x:v>
      </x:c>
    </x:row>
    <x:row r="3209">
      <x:c r="A3209" t="str">
        <x:v>a21d8860-fbbd-400e-8467-9f2e4e006620</x:v>
      </x:c>
      <x:c r="B3209" t="str">
        <x:v>e301644c-f153-4d39-93bd-7da66904c1b3</x:v>
      </x:c>
      <x:c r="C3209" s="9" t="str">
        <x:v>The Commissioner of Police of the Metropolis v DSD and NBV &amp; Ors [2015] EWCA Civ 646</x:v>
      </x:c>
      <x:c r="D3209" s="9" t="str"/>
      <x:c r="E3209" s="9" t="str"/>
      <x:c r="F3209" s="13" t="str">
        <x:v>2015</x:v>
      </x:c>
      <x:c r="G3209" s="9" t="str">
        <x:v>England and Wales Court of Appeal (Civil Division)</x:v>
      </x:c>
      <x:c r="H3209" s="9" t="str">
        <x:v>Appellate</x:v>
      </x:c>
      <x:c r="I3209" s="9" t="str">
        <x:v>England and Wales</x:v>
      </x:c>
      <x:c r="J3209" s="9" t="str">
        <x:v>Human Rights</x:v>
      </x:c>
      <x:c r="K3209" s="9" t="str">
        <x:v>-ew-cases-EWCA-Civ-2015-646.xml</x:v>
      </x:c>
      <x:c r="L3209" s="9" t="str">
        <x:v>TBA</x:v>
      </x:c>
    </x:row>
    <x:row r="3210">
      <x:c r="A3210" t="str">
        <x:v>6c192fbf-b8b6-4d58-9091-c4666eb65be5</x:v>
      </x:c>
      <x:c r="B3210" t="str">
        <x:v>631f9d8b-20d6-4c87-bcfd-4c2e48328f27</x:v>
      </x:c>
      <x:c r="C3210" s="9" t="str">
        <x:v>The Commissioners for Her Majesty's Revenue And Customs v British Telecommunications Plc [2014] EWCA Civ 433</x:v>
      </x:c>
      <x:c r="D3210" s="9" t="str"/>
      <x:c r="E3210" s="9" t="str"/>
      <x:c r="F3210" s="13" t="str">
        <x:v>2014</x:v>
      </x:c>
      <x:c r="G3210" s="9" t="str">
        <x:v>England and Wales Court of Appeal (Civil Division)</x:v>
      </x:c>
      <x:c r="H3210" s="9" t="str">
        <x:v>Appellate</x:v>
      </x:c>
      <x:c r="I3210" s="9" t="str">
        <x:v>England and Wales</x:v>
      </x:c>
      <x:c r="J3210" s="9" t="str">
        <x:v>Tax Law</x:v>
      </x:c>
      <x:c r="K3210" s="9" t="str">
        <x:v>-ew-cases-EWCA-Civ-2014-433.xml</x:v>
      </x:c>
      <x:c r="L3210" s="9" t="str">
        <x:v>TBA</x:v>
      </x:c>
    </x:row>
    <x:row r="3211">
      <x:c r="A3211" t="str">
        <x:v>53e449ec-3846-475e-9487-545723507829</x:v>
      </x:c>
      <x:c r="B3211" t="str">
        <x:v>84300d91-1276-432b-bd17-e4cac6fb6318</x:v>
      </x:c>
      <x:c r="C3211" s="9" t="str">
        <x:v>The Counsel General for Wales, R (On the Application Of) v The Secretary of State for Business, Energy and Industrial Strategy [2022] EWCA Civ 118</x:v>
      </x:c>
      <x:c r="D3211" s="9" t="str"/>
      <x:c r="E3211" s="9" t="str"/>
      <x:c r="F3211" s="13" t="str">
        <x:v>2022</x:v>
      </x:c>
      <x:c r="G3211" s="9" t="str">
        <x:v>England and Wales Court of Appeal (Civil Division)</x:v>
      </x:c>
      <x:c r="H3211" s="9" t="str">
        <x:v>Court of Appeal (Civil Division)</x:v>
      </x:c>
      <x:c r="I3211" s="9" t="str">
        <x:v>England and Wales</x:v>
      </x:c>
      <x:c r="J3211" s="9" t="str">
        <x:v>Constitutional Law / Administrative Law / Devolution</x:v>
      </x:c>
      <x:c r="K3211" s="9" t="str">
        <x:v>ew-cases-EWCA-Civ-2022-118.xml</x:v>
      </x:c>
      <x:c r="L3211" s="9" t="str">
        <x:v>TBA</x:v>
      </x:c>
    </x:row>
    <x:row r="3212">
      <x:c r="A3212" t="str">
        <x:v>8f98197c-9f6b-4abd-aa2f-b7b9b22a5ffe</x:v>
      </x:c>
      <x:c r="B3212" t="str">
        <x:v>0cf8df3c-4efa-4745-9687-bfd039788c6d</x:v>
      </x:c>
      <x:c r="C3212" s="9" t="str">
        <x:v>The Counsel General for Wales, R (On the Application Of) v The Secretary of State for Business, Energy and Industrial Strategy [2022] EWCA Civ 181</x:v>
      </x:c>
      <x:c r="D3212" s="9" t="str"/>
      <x:c r="E3212" s="9" t="str"/>
      <x:c r="F3212" s="13" t="str">
        <x:v>2022</x:v>
      </x:c>
      <x:c r="G3212" s="9" t="str">
        <x:v>England and Wales Court of Appeal (Civil Division)</x:v>
      </x:c>
      <x:c r="H3212" s="9" t="str">
        <x:v>Court of Appeal (Civil Division)</x:v>
      </x:c>
      <x:c r="I3212" s="9" t="str">
        <x:v>England and Wales</x:v>
      </x:c>
      <x:c r="J3212" s="9" t="str">
        <x:v>Civil Appeal / Administrative Law</x:v>
      </x:c>
      <x:c r="K3212" s="9" t="str">
        <x:v>ew-cases-EWCA-Civ-2022-181.xml</x:v>
      </x:c>
      <x:c r="L3212" s="9" t="str">
        <x:v>TBA</x:v>
      </x:c>
    </x:row>
    <x:row r="3213">
      <x:c r="A3213" t="str">
        <x:v>426506aa-790b-43bc-9ccb-fc3ee0b8dc22</x:v>
      </x:c>
      <x:c r="B3213" t="str">
        <x:v>ba1eaf31-6b54-4394-a5a9-4bf0bc9f4d39</x:v>
      </x:c>
      <x:c r="C3213" s="9" t="str">
        <x:v>The Department for Business, Energy and Industrial Strategy v The Information Commissioner &amp; Anor</x:v>
      </x:c>
      <x:c r="D3213" s="9" t="str"/>
      <x:c r="E3213" s="9" t="str"/>
      <x:c r="F3213" s="13" t="str">
        <x:v>2017</x:v>
      </x:c>
      <x:c r="G3213" s="9" t="str">
        <x:v>England and Wales Court of Appeal (Civil Division)</x:v>
      </x:c>
      <x:c r="H3213" s="9" t="str">
        <x:v>Appellate</x:v>
      </x:c>
      <x:c r="I3213" s="9" t="str">
        <x:v>England and Wales</x:v>
      </x:c>
      <x:c r="J3213" s="9" t="str">
        <x:v>Administrative Law</x:v>
      </x:c>
      <x:c r="K3213" s="9" t="str">
        <x:v>-ew-cases-EWCA-Civ-2017-844.xml</x:v>
      </x:c>
      <x:c r="L3213" s="9" t="str">
        <x:v>TBA</x:v>
      </x:c>
    </x:row>
    <x:row r="3214">
      <x:c r="A3214" t="str">
        <x:v>dfd65bc0-fc0d-4570-8446-22620fac60f2</x:v>
      </x:c>
      <x:c r="B3214" t="str">
        <x:v>c23ad941-7119-44c9-949b-cf9a03cb89a8</x:v>
      </x:c>
      <x:c r="C3214" s="9" t="str">
        <x:v>The Department for Communities And Local Government v Blackmore (Rev 1) [2017] EWCA Civ 1136</x:v>
      </x:c>
      <x:c r="D3214" s="9" t="str"/>
      <x:c r="E3214" s="9" t="str"/>
      <x:c r="F3214" s="13" t="str">
        <x:v>2017</x:v>
      </x:c>
      <x:c r="G3214" s="9" t="str">
        <x:v>England and Wales Court of Appeal (Civil Division)</x:v>
      </x:c>
      <x:c r="H3214" s="9" t="str">
        <x:v>Appellate</x:v>
      </x:c>
      <x:c r="I3214" s="9" t="str">
        <x:v>England and Wales</x:v>
      </x:c>
      <x:c r="J3214" s="9" t="str">
        <x:v>Tort</x:v>
      </x:c>
      <x:c r="K3214" s="9" t="str">
        <x:v>-ew-cases-EWCA-Civ-2017-1136.xml</x:v>
      </x:c>
      <x:c r="L3214" s="9" t="str">
        <x:v>TBA</x:v>
      </x:c>
    </x:row>
    <x:row r="3215">
      <x:c r="A3215" t="str">
        <x:v>6b99181c-8cf8-4da0-b371-9f2332924070</x:v>
      </x:c>
      <x:c r="B3215" t="str">
        <x:v>880198af-2af1-43cd-b49e-c432a481f782</x:v>
      </x:c>
      <x:c r="C3215" s="9" t="str">
        <x:v>The Department for Energy and Climate Change v Breyer Group Plc &amp; Ors</x:v>
      </x:c>
      <x:c r="D3215" s="9" t="str"/>
      <x:c r="E3215" s="9" t="str"/>
      <x:c r="F3215" s="13" t="str">
        <x:v>2015</x:v>
      </x:c>
      <x:c r="G3215" s="9" t="str">
        <x:v>England and Wales Court of Appeal (Civil Division)</x:v>
      </x:c>
      <x:c r="H3215" s="9" t="str">
        <x:v>Appellate</x:v>
      </x:c>
      <x:c r="I3215" s="9" t="str">
        <x:v>England and Wales</x:v>
      </x:c>
      <x:c r="J3215" s="9" t="str">
        <x:v>Administrative Law</x:v>
      </x:c>
      <x:c r="K3215" s="9" t="str">
        <x:v>-ew-cases-EWCA-Civ-2015-408.xml</x:v>
      </x:c>
      <x:c r="L3215" s="9" t="str">
        <x:v>TBA</x:v>
      </x:c>
    </x:row>
    <x:row r="3216">
      <x:c r="A3216" t="str">
        <x:v>f5e87044-6a54-4330-ac2a-ce877987f7b1</x:v>
      </x:c>
      <x:c r="B3216" t="str">
        <x:v>9b8a15f3-c250-4715-8dd6-201d01cbdc48</x:v>
      </x:c>
      <x:c r="C3216" s="9" t="str">
        <x:v>The Director of Legal Aid Casework &amp; Anor v IS [2016] EWCA Civ 464</x:v>
      </x:c>
      <x:c r="D3216" s="9" t="str"/>
      <x:c r="E3216" s="9" t="str"/>
      <x:c r="F3216" s="13" t="str">
        <x:v>2016</x:v>
      </x:c>
      <x:c r="G3216" s="9" t="str">
        <x:v>England and Wales Court of Appeal (Civil Division)</x:v>
      </x:c>
      <x:c r="H3216" s="9" t="str">
        <x:v>Court of Appeal (Civil Division)</x:v>
      </x:c>
      <x:c r="I3216" s="9" t="str">
        <x:v>England and Wales</x:v>
      </x:c>
      <x:c r="J3216" s="9" t="str">
        <x:v>Public Law; Administrative Law; Civil Procedure; Human Rights</x:v>
      </x:c>
      <x:c r="K3216" s="9" t="str">
        <x:v>-ew-cases-EWCA-Civ-2016-464.xml</x:v>
      </x:c>
      <x:c r="L3216" s="9" t="str">
        <x:v>TBA</x:v>
      </x:c>
    </x:row>
    <x:row r="3217">
      <x:c r="A3217" t="str">
        <x:v>6504ff6c-ecb4-417f-ad1f-71cf1bafcb16</x:v>
      </x:c>
      <x:c r="B3217" t="str">
        <x:v>8a3b04e0-f706-4430-9091-70e7ee8f7595</x:v>
      </x:c>
      <x:c r="C3217" s="9" t="str">
        <x:v>The Durham Company Limited v Durham County Council [2022] EWCA Civ 66</x:v>
      </x:c>
      <x:c r="D3217" s="9" t="str"/>
      <x:c r="E3217" s="9" t="str"/>
      <x:c r="F3217" s="13" t="str">
        <x:v>2022</x:v>
      </x:c>
      <x:c r="G3217" s="9" t="str">
        <x:v>England and Wales Court of Appeal (Civil Division)</x:v>
      </x:c>
      <x:c r="H3217" s="9" t="str">
        <x:v>Court of Appeal (Civil Division)</x:v>
      </x:c>
      <x:c r="I3217" s="9" t="str">
        <x:v>England and Wales</x:v>
      </x:c>
      <x:c r="J3217" s="9" t="str">
        <x:v>EU Law / State Aid / Public Law</x:v>
      </x:c>
      <x:c r="K3217" s="9" t="str">
        <x:v>ew-cases-EWCA-Civ-2022-66.xml</x:v>
      </x:c>
      <x:c r="L3217" s="9" t="str">
        <x:v>TBA</x:v>
      </x:c>
    </x:row>
    <x:row r="3218">
      <x:c r="A3218" t="str">
        <x:v>39afa711-7849-425e-81ed-1c01788a7322</x:v>
      </x:c>
      <x:c r="B3218" t="str">
        <x:v>c7cdd824-80c3-4805-8ef6-f6ff47f20715</x:v>
      </x:c>
      <x:c r="C3218" s="9" t="str">
        <x:v>The Electronic Collar Manufacturers Association &amp; Anor v The Secretary of State for the Environment, Food and Rural Affairs</x:v>
      </x:c>
      <x:c r="D3218" s="9" t="str"/>
      <x:c r="E3218" s="9" t="str"/>
      <x:c r="F3218" s="13" t="str">
        <x:v>2021</x:v>
      </x:c>
      <x:c r="G3218" s="9" t="str">
        <x:v>England and Wales Court of Appeal (Civil Division)</x:v>
      </x:c>
      <x:c r="H3218" s="9" t="str">
        <x:v>Appellate</x:v>
      </x:c>
      <x:c r="I3218" s="9" t="str">
        <x:v>England and Wales</x:v>
      </x:c>
      <x:c r="J3218" s="9" t="str">
        <x:v>Administrative Law</x:v>
      </x:c>
      <x:c r="K3218" s="9" t="str">
        <x:v>ew-cases-EWCA-Civ-2021-666.xml</x:v>
      </x:c>
      <x:c r="L3218" s="9" t="str">
        <x:v>TBA</x:v>
      </x:c>
    </x:row>
    <x:row r="3219">
      <x:c r="A3219" t="str">
        <x:v>6088377b-16b2-455f-8fbd-5cd12a5433c5</x:v>
      </x:c>
      <x:c r="B3219" t="str">
        <x:v>2d1804ff-839a-4b4e-8fd4-8953c2b085f5</x:v>
      </x:c>
      <x:c r="C3219" s="9" t="str">
        <x:v>The English Electric Company Limited v Alstom UK [2016] EWCA Civ 1314</x:v>
      </x:c>
      <x:c r="D3219" s="9" t="str"/>
      <x:c r="E3219" s="9" t="str"/>
      <x:c r="F3219" s="13" t="str">
        <x:v>2016</x:v>
      </x:c>
      <x:c r="G3219" s="9" t="str">
        <x:v>England and Wales Court of Appeal (Civil Division)</x:v>
      </x:c>
      <x:c r="H3219" s="9" t="str">
        <x:v>Court of Appeal (Civil Division)</x:v>
      </x:c>
      <x:c r="I3219" s="9" t="str">
        <x:v>England and Wales</x:v>
      </x:c>
      <x:c r="J3219" s="9" t="str">
        <x:v>Contract Interpretation / Indemnity within Corporate Group</x:v>
      </x:c>
      <x:c r="K3219" s="9" t="str">
        <x:v>-ew-cases-EWCA-Civ-2016-1314.xml</x:v>
      </x:c>
      <x:c r="L3219" s="9" t="str">
        <x:v>TBA</x:v>
      </x:c>
    </x:row>
    <x:row r="3220">
      <x:c r="A3220" t="str">
        <x:v>2cff2fa3-eafe-40aa-9392-9a186cb723fb</x:v>
      </x:c>
      <x:c r="B3220" t="str">
        <x:v>e3367bf1-963c-47c9-aea9-8dc4a1dc25bc</x:v>
      </x:c>
      <x:c r="C3220" s="9" t="str">
        <x:v>The Financial Conduct Authority v Capital Alternatives Ltd &amp; Ors</x:v>
      </x:c>
      <x:c r="D3220" s="9" t="str"/>
      <x:c r="E3220" s="9" t="str"/>
      <x:c r="F3220" s="13" t="str">
        <x:v>2015</x:v>
      </x:c>
      <x:c r="G3220" s="9" t="str">
        <x:v>England and Wales Court of Appeal (Civil Division)</x:v>
      </x:c>
      <x:c r="H3220" s="9" t="str">
        <x:v>Appellate</x:v>
      </x:c>
      <x:c r="I3220" s="9" t="str">
        <x:v>England and Wales</x:v>
      </x:c>
      <x:c r="J3220" s="9" t="str">
        <x:v>Financial Regulation</x:v>
      </x:c>
      <x:c r="K3220" s="9" t="str">
        <x:v>-ew-cases-EWCA-Civ-2015-284.xml</x:v>
      </x:c>
      <x:c r="L3220" s="9" t="str">
        <x:v>TBA</x:v>
      </x:c>
    </x:row>
    <x:row r="3221">
      <x:c r="A3221" t="str">
        <x:v>d70ec32f-660b-4d4f-88a0-c39e1b41268d</x:v>
      </x:c>
      <x:c r="B3221" t="str">
        <x:v>0c0d315b-921c-4764-bbf2-256f21063551</x:v>
      </x:c>
      <x:c r="C3221" s="9" t="str">
        <x:v>The Financial Conduct Authority v Ferreira [2022] EWCA Civ 397</x:v>
      </x:c>
      <x:c r="D3221" s="9" t="str"/>
      <x:c r="E3221" s="9" t="str"/>
      <x:c r="F3221" s="13" t="str">
        <x:v>2022</x:v>
      </x:c>
      <x:c r="G3221" s="9" t="str">
        <x:v>England and Wales Court of Appeal (Civil Division)</x:v>
      </x:c>
      <x:c r="H3221" s="9" t="str">
        <x:v>Court of Appeal (Civil Division)</x:v>
      </x:c>
      <x:c r="I3221" s="9" t="str">
        <x:v>England and Wales</x:v>
      </x:c>
      <x:c r="J3221" s="9" t="str">
        <x:v>Regulatory/Enforcement (FSMA)</x:v>
      </x:c>
      <x:c r="K3221" s="9" t="str">
        <x:v>ew-cases-EWCA-Civ-2022-397.xml</x:v>
      </x:c>
      <x:c r="L3221" s="9" t="str">
        <x:v>TBA</x:v>
      </x:c>
    </x:row>
    <x:row r="3222">
      <x:c r="A3222" t="str">
        <x:v>3f1e7ed4-86a2-4739-91f7-100ca4dab0a0</x:v>
      </x:c>
      <x:c r="B3222" t="str">
        <x:v>1a244569-1234-46aa-8e7d-57a6a32b758e</x:v>
      </x:c>
      <x:c r="C3222" s="9" t="str">
        <x:v>The Financial Conduct Authority v. Avacade Ltd &amp; Ors</x:v>
      </x:c>
      <x:c r="D3222" s="9" t="str"/>
      <x:c r="E3222" s="9" t="str"/>
      <x:c r="F3222" s="13" t="str">
        <x:v>2021</x:v>
      </x:c>
      <x:c r="G3222" s="9" t="str">
        <x:v>England and Wales Court of Appeal (Civil Division)</x:v>
      </x:c>
      <x:c r="H3222" s="9" t="str">
        <x:v>Appellate</x:v>
      </x:c>
      <x:c r="I3222" s="9" t="str">
        <x:v>England and Wales</x:v>
      </x:c>
      <x:c r="J3222" s="9" t="str">
        <x:v>Regulatory Enforcement</x:v>
      </x:c>
      <x:c r="K3222" s="9" t="str">
        <x:v>ew-cases-EWCA-Civ-2021-1206.xml</x:v>
      </x:c>
      <x:c r="L3222" s="9" t="str">
        <x:v>TBA</x:v>
      </x:c>
    </x:row>
    <x:row r="3223">
      <x:c r="A3223" t="str">
        <x:v>cfb3b886-3bbb-4c01-b00f-b3f7c43915c0</x:v>
      </x:c>
      <x:c r="B3223" t="str">
        <x:v>3b9b5d3a-a466-4fcf-ab20-74caa5bb4ec1</x:v>
      </x:c>
      <x:c r="C3223" s="9" t="str">
        <x:v>The Financial Conduct Authority v. Macris [2015] EWCA Civ 490</x:v>
      </x:c>
      <x:c r="D3223" s="9" t="str"/>
      <x:c r="E3223" s="9" t="str"/>
      <x:c r="F3223" s="13" t="str">
        <x:v>2015</x:v>
      </x:c>
      <x:c r="G3223" s="9" t="str">
        <x:v>England and Wales Court of Appeal (Civil Division)</x:v>
      </x:c>
      <x:c r="H3223" s="9" t="str">
        <x:v>Appellate</x:v>
      </x:c>
      <x:c r="I3223" s="9" t="str">
        <x:v>England and Wales</x:v>
      </x:c>
      <x:c r="J3223" s="9" t="str">
        <x:v>Regulatory Affairs</x:v>
      </x:c>
      <x:c r="K3223" s="9" t="str">
        <x:v>-ew-cases-EWCA-Civ-2015-490.xml</x:v>
      </x:c>
      <x:c r="L3223" s="9" t="str">
        <x:v>TBA</x:v>
      </x:c>
    </x:row>
    <x:row r="3224">
      <x:c r="A3224" t="str">
        <x:v>b11644fb-c83a-46f2-8e94-ee3a881d54ea</x:v>
      </x:c>
      <x:c r="B3224" t="str">
        <x:v>0132885c-3346-429a-840a-bc1ab6b0d129</x:v>
      </x:c>
      <x:c r="C3224" s="9" t="str">
        <x:v>The Football Association Premier League Ltd v Luxton [2016] EWCA Civ 1097</x:v>
      </x:c>
      <x:c r="D3224" s="9" t="str"/>
      <x:c r="E3224" s="9" t="str"/>
      <x:c r="F3224" s="13" t="str">
        <x:v>2016</x:v>
      </x:c>
      <x:c r="G3224" s="9" t="str">
        <x:v>England and Wales Court of Appeal (Civil Division)</x:v>
      </x:c>
      <x:c r="H3224" s="9" t="str">
        <x:v>Court of Appeal (Civil Division)</x:v>
      </x:c>
      <x:c r="I3224" s="9" t="str">
        <x:v>England and Wales</x:v>
      </x:c>
      <x:c r="J3224" s="9" t="str">
        <x:v>Copyright and EU competition law</x:v>
      </x:c>
      <x:c r="K3224" s="9" t="str">
        <x:v>-ew-cases-EWCA-Civ-2016-1097.xml</x:v>
      </x:c>
      <x:c r="L3224" s="9" t="str">
        <x:v>TBA</x:v>
      </x:c>
    </x:row>
    <x:row r="3225">
      <x:c r="A3225" t="str">
        <x:v>288b3061-35b2-4fa7-be86-32fbf02a0692</x:v>
      </x:c>
      <x:c r="B3225" t="str">
        <x:v>c8a20d9d-11b1-4fed-9d68-1f7fa5e94a97</x:v>
      </x:c>
      <x:c r="C3225" s="9" t="str">
        <x:v>The Football Association Premier League Ltd v Luxton &amp; Anor [2015] EWCA Civ 1069</x:v>
      </x:c>
      <x:c r="D3225" s="9" t="str"/>
      <x:c r="E3225" s="9" t="str"/>
      <x:c r="F3225" s="13" t="str">
        <x:v>2015</x:v>
      </x:c>
      <x:c r="G3225" s="9" t="str">
        <x:v>England and Wales Court of Appeal (Civil Division)</x:v>
      </x:c>
      <x:c r="H3225" s="9" t="str">
        <x:v>Appellate</x:v>
      </x:c>
      <x:c r="I3225" s="9" t="str">
        <x:v>England and Wales</x:v>
      </x:c>
      <x:c r="J3225" s="9" t="str">
        <x:v>Copyright Law</x:v>
      </x:c>
      <x:c r="K3225" s="9" t="str">
        <x:v>-ew-cases-EWCA-Civ-2015-1069.xml</x:v>
      </x:c>
      <x:c r="L3225" s="9" t="str">
        <x:v>TBA</x:v>
      </x:c>
    </x:row>
    <x:row r="3226">
      <x:c r="A3226" t="str">
        <x:v>edd5832a-f2c9-48c5-b44f-4ebb5101ae4d</x:v>
      </x:c>
      <x:c r="B3226" t="str">
        <x:v>d76e0166-0233-4495-b9c8-063db5698dd4</x:v>
      </x:c>
      <x:c r="C3226" s="9" t="str">
        <x:v>The Friends of Finsbury Park, R (on the application of) v Haringey London Borough Council &amp; Ors [2017] EWCA Civ 1831</x:v>
      </x:c>
      <x:c r="D3226" s="9" t="str"/>
      <x:c r="E3226" s="9" t="str"/>
      <x:c r="F3226" s="13" t="str">
        <x:v>2017</x:v>
      </x:c>
      <x:c r="G3226" s="9" t="str">
        <x:v>England and Wales Court of Appeal (Civil Division)</x:v>
      </x:c>
      <x:c r="H3226" s="9" t="str">
        <x:v>Appellate</x:v>
      </x:c>
      <x:c r="I3226" s="9" t="str">
        <x:v>England and Wales</x:v>
      </x:c>
      <x:c r="J3226" s="9" t="str">
        <x:v>Administrative Law</x:v>
      </x:c>
      <x:c r="K3226" s="9" t="str">
        <x:v>-ew-cases-EWCA-Civ-2017-1831.xml</x:v>
      </x:c>
      <x:c r="L3226" s="9" t="str">
        <x:v>TBA</x:v>
      </x:c>
    </x:row>
    <x:row r="3227">
      <x:c r="A3227" t="str">
        <x:v>e0421ec9-7751-40fb-96c3-2b3607a26682</x:v>
      </x:c>
      <x:c r="B3227" t="str">
        <x:v>72dead38-1e76-43cb-85dc-cf2e01aeb7ba</x:v>
      </x:c>
      <x:c r="C3227" s="9" t="str">
        <x:v>The Good Law Project v Secretary of State for Health and Social Care (Rev1) [2022] EWCA Civ 355</x:v>
      </x:c>
      <x:c r="D3227" s="9" t="str"/>
      <x:c r="E3227" s="9" t="str"/>
      <x:c r="F3227" s="13" t="str">
        <x:v>2022</x:v>
      </x:c>
      <x:c r="G3227" s="9" t="str">
        <x:v>England and Wales Court of Appeal (Civil Division)</x:v>
      </x:c>
      <x:c r="H3227" s="9" t="str">
        <x:v>Court of Appeal (Civil Division)</x:v>
      </x:c>
      <x:c r="I3227" s="9" t="str">
        <x:v>England and Wales</x:v>
      </x:c>
      <x:c r="J3227" s="9" t="str">
        <x:v>Judicial Review / Administrative Law</x:v>
      </x:c>
      <x:c r="K3227" s="9" t="str">
        <x:v>ew-cases-EWCA-Civ-2022-355.xml</x:v>
      </x:c>
      <x:c r="L3227" s="9" t="str">
        <x:v>TBA</x:v>
      </x:c>
    </x:row>
    <x:row r="3228">
      <x:c r="A3228" t="str">
        <x:v>81d42079-66d4-4d8c-a286-04730840357f</x:v>
      </x:c>
      <x:c r="B3228" t="str">
        <x:v>f157dc58-8d24-4561-9b20-3df67da80a73</x:v>
      </x:c>
      <x:c r="C3228" s="9" t="str">
        <x:v>The Good Law Project, R (On the Application Of) v Minister for the Cabinet Office [2022] EWCA Civ 21</x:v>
      </x:c>
      <x:c r="D3228" s="9" t="str"/>
      <x:c r="E3228" s="9" t="str"/>
      <x:c r="F3228" s="13" t="str">
        <x:v>2022</x:v>
      </x:c>
      <x:c r="G3228" s="9" t="str">
        <x:v>England and Wales Court of Appeal (Civil Division)</x:v>
      </x:c>
      <x:c r="H3228" s="9" t="str">
        <x:v>Court of Appeal (Civil Division)</x:v>
      </x:c>
      <x:c r="I3228" s="9" t="str">
        <x:v>England and Wales</x:v>
      </x:c>
      <x:c r="J3228" s="9" t="str">
        <x:v>Public Procurement / Administrative Law / Judicial Review</x:v>
      </x:c>
      <x:c r="K3228" s="9" t="str">
        <x:v>ew-cases-EWCA-Civ-2022-21.xml</x:v>
      </x:c>
      <x:c r="L3228" s="9" t="str">
        <x:v>TBA</x:v>
      </x:c>
    </x:row>
    <x:row r="3229">
      <x:c r="A3229" t="str">
        <x:v>dc7c8384-a94c-4aed-92e5-805659cc9d32</x:v>
      </x:c>
      <x:c r="B3229" t="str">
        <x:v>c112d9e6-ecc9-4651-99c4-ef21c37a732e</x:v>
      </x:c>
      <x:c r="C3229" s="9" t="str">
        <x:v>The Government of the Republic of France v The Royal Borough of Kensington and Chelsea &amp; Ors</x:v>
      </x:c>
      <x:c r="D3229" s="9" t="str"/>
      <x:c r="E3229" s="9" t="str"/>
      <x:c r="F3229" s="13" t="str">
        <x:v>2017</x:v>
      </x:c>
      <x:c r="G3229" s="9" t="str">
        <x:v>England and Wales Court of Appeal (Civil Division)</x:v>
      </x:c>
      <x:c r="H3229" s="9" t="str">
        <x:v>Appellate</x:v>
      </x:c>
      <x:c r="I3229" s="9" t="str">
        <x:v>England and Wales</x:v>
      </x:c>
      <x:c r="J3229" s="9" t="str">
        <x:v>Administrative Law</x:v>
      </x:c>
      <x:c r="K3229" s="9" t="str">
        <x:v>-ew-cases-EWCA-Civ-2017-429.xml</x:v>
      </x:c>
      <x:c r="L3229" s="9" t="str">
        <x:v>TBA</x:v>
      </x:c>
    </x:row>
    <x:row r="3230">
      <x:c r="A3230" t="str">
        <x:v>95cf9079-2939-4397-848b-e5cc85c31cb3</x:v>
      </x:c>
      <x:c r="B3230" t="str">
        <x:v>cafdc4e4-3e1e-4994-afdf-f2cd0952b6db</x:v>
      </x:c>
      <x:c r="C3230" s="9" t="str">
        <x:v>The Governor &amp; Company of the Bank of Ireland v Shah &amp; Anor [2015] EWCA Civ 1018</x:v>
      </x:c>
      <x:c r="D3230" s="9" t="str"/>
      <x:c r="E3230" s="9" t="str"/>
      <x:c r="F3230" s="13" t="str">
        <x:v>2015</x:v>
      </x:c>
      <x:c r="G3230" s="9" t="str">
        <x:v>England and Wales Court of Appeal (Civil Division)</x:v>
      </x:c>
      <x:c r="H3230" s="9" t="str">
        <x:v>Appellate</x:v>
      </x:c>
      <x:c r="I3230" s="9" t="str">
        <x:v>England and Wales</x:v>
      </x:c>
      <x:c r="J3230" s="9" t="str">
        <x:v>Contempt of Court</x:v>
      </x:c>
      <x:c r="K3230" s="9" t="str">
        <x:v>-ew-cases-EWCA-Civ-2015-1018.xml</x:v>
      </x:c>
      <x:c r="L3230" s="9" t="str">
        <x:v>TBA</x:v>
      </x:c>
    </x:row>
    <x:row r="3231">
      <x:c r="A3231" t="str">
        <x:v>5e6bc2aa-abb1-4d20-8952-a3030488445f</x:v>
      </x:c>
      <x:c r="B3231" t="str">
        <x:v>4c885c48-6a13-4bcc-80bc-0eb4f08657a6</x:v>
      </x:c>
      <x:c r="C3231" s="9" t="str">
        <x:v>The Gulf Agencies Limited v Ahmed [2016] EWCA Civ 44</x:v>
      </x:c>
      <x:c r="D3231" s="9" t="str"/>
      <x:c r="E3231" s="9" t="str"/>
      <x:c r="F3231" s="13" t="str">
        <x:v>2016</x:v>
      </x:c>
      <x:c r="G3231" s="9" t="str">
        <x:v>England and Wales Court of Appeal (Civil Division)</x:v>
      </x:c>
      <x:c r="H3231" s="9" t="str">
        <x:v>Court of Appeal (Civil Division)</x:v>
      </x:c>
      <x:c r="I3231" s="9" t="str">
        <x:v>England and Wales</x:v>
      </x:c>
      <x:c r="J3231" s="9" t="str">
        <x:v>Property Law / Landlord and Tenant</x:v>
      </x:c>
      <x:c r="K3231" s="9" t="str">
        <x:v>-ew-cases-EWCA-Civ-2016-44.xml</x:v>
      </x:c>
      <x:c r="L3231" s="9" t="str">
        <x:v>TBA</x:v>
      </x:c>
    </x:row>
    <x:row r="3232">
      <x:c r="A3232" t="str">
        <x:v>2c35dbfc-344a-4b17-aaa1-c022f6b4068e</x:v>
      </x:c>
      <x:c r="B3232" t="str">
        <x:v>d60a5323-796e-4110-a6de-012ec16860c1</x:v>
      </x:c>
      <x:c r="C3232" s="9" t="str">
        <x:v>The Howard League for Penal Reform and Prisoners' Advice Service v The Lord Chancellor</x:v>
      </x:c>
      <x:c r="D3232" s="9" t="str"/>
      <x:c r="E3232" s="9" t="str"/>
      <x:c r="F3232" s="13" t="str">
        <x:v>2015</x:v>
      </x:c>
      <x:c r="G3232" s="9" t="str">
        <x:v>England and Wales Court of Appeal (Civil Division)</x:v>
      </x:c>
      <x:c r="H3232" s="9" t="str">
        <x:v>Appellate</x:v>
      </x:c>
      <x:c r="I3232" s="9" t="str">
        <x:v>England and Wales</x:v>
      </x:c>
      <x:c r="J3232" s="9" t="str">
        <x:v>Administrative Law</x:v>
      </x:c>
      <x:c r="K3232" s="9" t="str">
        <x:v>-ew-cases-EWCA-Civ-2015-819.xml</x:v>
      </x:c>
      <x:c r="L3232" s="9" t="str">
        <x:v>TBA</x:v>
      </x:c>
    </x:row>
    <x:row r="3233">
      <x:c r="A3233" t="str">
        <x:v>0a634e91-b605-4821-bcde-793731d63a77</x:v>
      </x:c>
      <x:c r="B3233" t="str">
        <x:v>1c452712-13f1-4283-9a85-4eea725151cb</x:v>
      </x:c>
      <x:c r="C3233" s="9" t="str">
        <x:v>The Independent Parliamentary Standards Authority v The Information Commissioner &amp; Anor [2015] EWCA Civ 388</x:v>
      </x:c>
      <x:c r="D3233" s="9" t="str"/>
      <x:c r="E3233" s="9" t="str"/>
      <x:c r="F3233" s="13" t="str">
        <x:v>2015</x:v>
      </x:c>
      <x:c r="G3233" s="9" t="str">
        <x:v>England and Wales Court of Appeal (Civil Division)</x:v>
      </x:c>
      <x:c r="H3233" s="9" t="str">
        <x:v>Appellate</x:v>
      </x:c>
      <x:c r="I3233" s="9" t="str">
        <x:v>England and Wales</x:v>
      </x:c>
      <x:c r="J3233" s="9" t="str">
        <x:v>Administrative Law</x:v>
      </x:c>
      <x:c r="K3233" s="9" t="str">
        <x:v>-ew-cases-EWCA-Civ-2015-388.xml</x:v>
      </x:c>
      <x:c r="L3233" s="9" t="str">
        <x:v>TBA</x:v>
      </x:c>
    </x:row>
    <x:row r="3234">
      <x:c r="A3234" t="str">
        <x:v>e1fa368c-4959-4b5d-ab22-02030d763304</x:v>
      </x:c>
      <x:c r="B3234" t="str">
        <x:v>20955288-a329-49db-84b9-58bf35ff4ddd</x:v>
      </x:c>
      <x:c r="C3234" s="9" t="str">
        <x:v>The Independent Workers Union of Great Britain v The Central Arbitration Committee</x:v>
      </x:c>
      <x:c r="D3234" s="9" t="str"/>
      <x:c r="E3234" s="9" t="str"/>
      <x:c r="F3234" s="13" t="str">
        <x:v>2021</x:v>
      </x:c>
      <x:c r="G3234" s="9" t="str">
        <x:v>England and Wales Court of Appeal (Civil Division)</x:v>
      </x:c>
      <x:c r="H3234" s="9" t="str">
        <x:v>Court of Appeal (Civil Division)</x:v>
      </x:c>
      <x:c r="I3234" s="9" t="str">
        <x:v>England and Wales</x:v>
      </x:c>
      <x:c r="J3234" s="9" t="str">
        <x:v>Employment Law</x:v>
      </x:c>
      <x:c r="K3234" s="9" t="str">
        <x:v>ew-cases-EWCA-Civ-2021-952.xml</x:v>
      </x:c>
      <x:c r="L3234" s="9" t="str">
        <x:v>TBA</x:v>
      </x:c>
    </x:row>
    <x:row r="3235">
      <x:c r="A3235" t="str">
        <x:v>ecd49bc4-e391-46c3-bd09-c5f1b355d39c</x:v>
      </x:c>
      <x:c r="B3235" t="str">
        <x:v>2e3ae560-96e4-440a-b8a7-1a6c15a1dd05</x:v>
      </x:c>
      <x:c r="C3235" s="9" t="str">
        <x:v>The Joint Administrators of LB Holdings Intermediate 2 Ltd v Lehman Brothers Holdings Inc.</x:v>
      </x:c>
      <x:c r="D3235" s="9" t="str"/>
      <x:c r="E3235" s="9" t="str"/>
      <x:c r="F3235" s="13" t="str">
        <x:v>2015</x:v>
      </x:c>
      <x:c r="G3235" s="9" t="str">
        <x:v>England and Wales Court of Appeal (Civil Division)</x:v>
      </x:c>
      <x:c r="H3235" s="9" t="str">
        <x:v>Appellate</x:v>
      </x:c>
      <x:c r="I3235" s="9" t="str">
        <x:v>England and Wales</x:v>
      </x:c>
      <x:c r="J3235" s="9" t="str">
        <x:v>Insolvency</x:v>
      </x:c>
      <x:c r="K3235" s="9" t="str">
        <x:v>-ew-cases-EWCA-Civ-2015-485.xml</x:v>
      </x:c>
      <x:c r="L3235" s="9" t="str">
        <x:v>TBA</x:v>
      </x:c>
    </x:row>
    <x:row r="3236">
      <x:c r="A3236" t="str">
        <x:v>90075d0f-58d9-40e9-bd74-679b81a1f48b</x:v>
      </x:c>
      <x:c r="B3236" t="str">
        <x:v>bfdd234f-62f5-43ff-afee-559e34362309</x:v>
      </x:c>
      <x:c r="C3236" s="9" t="str">
        <x:v>The Law Society &amp; Ors v The Lord Chancellor: Judicial Review of Legal Aid Reforms [2015] EWCA Civ 230</x:v>
      </x:c>
      <x:c r="D3236" s="9" t="str"/>
      <x:c r="E3236" s="9" t="str"/>
      <x:c r="F3236" s="13" t="str">
        <x:v>2015</x:v>
      </x:c>
      <x:c r="G3236" s="9" t="str">
        <x:v>England and Wales Court of Appeal (Civil Division)</x:v>
      </x:c>
      <x:c r="H3236" s="9" t="str">
        <x:v>Appellate</x:v>
      </x:c>
      <x:c r="I3236" s="9" t="str">
        <x:v>England and Wales</x:v>
      </x:c>
      <x:c r="J3236" s="9" t="str">
        <x:v>Judicial Review</x:v>
      </x:c>
      <x:c r="K3236" s="9" t="str">
        <x:v>-ew-cases-EWCA-Civ-2015-230.xml</x:v>
      </x:c>
      <x:c r="L3236" s="9" t="str">
        <x:v>TBA</x:v>
      </x:c>
    </x:row>
    <x:row r="3237">
      <x:c r="A3237" t="str">
        <x:v>6a13c96c-113d-4599-8a69-fd0fa095512e</x:v>
      </x:c>
      <x:c r="B3237" t="str">
        <x:v>c4a822cc-6b52-4913-bf0d-44e5a274399e</x:v>
      </x:c>
      <x:c r="C3237" s="9" t="str">
        <x:v>The Law Society of England and Wales v Schubert Murphy (A Firm) [2017] EWCA Civ 1295</x:v>
      </x:c>
      <x:c r="D3237" s="9" t="str"/>
      <x:c r="E3237" s="9" t="str"/>
      <x:c r="F3237" s="13" t="str">
        <x:v>2017</x:v>
      </x:c>
      <x:c r="G3237" s="9" t="str">
        <x:v>England and Wales Court of Appeal (Civil Division)</x:v>
      </x:c>
      <x:c r="H3237" s="9" t="str">
        <x:v>Appellate</x:v>
      </x:c>
      <x:c r="I3237" s="9" t="str">
        <x:v>England and Wales</x:v>
      </x:c>
      <x:c r="J3237" s="9" t="str">
        <x:v>Tort Law</x:v>
      </x:c>
      <x:c r="K3237" s="9" t="str">
        <x:v>-ew-cases-EWCA-Civ-2017-1295.xml</x:v>
      </x:c>
      <x:c r="L3237" s="9" t="str">
        <x:v>TBA</x:v>
      </x:c>
    </x:row>
    <x:row r="3238">
      <x:c r="A3238" t="str">
        <x:v>df03dd77-c52a-4687-953d-2c2ed1a136be</x:v>
      </x:c>
      <x:c r="B3238" t="str">
        <x:v>6ac20547-ff86-4f7d-9bef-0b42a0b82bd4</x:v>
      </x:c>
      <x:c r="C3238" s="9" t="str">
        <x:v>The Law Society v Elsdon &amp; Ors [2016] EWCA Civ 306</x:v>
      </x:c>
      <x:c r="D3238" s="9" t="str"/>
      <x:c r="E3238" s="9" t="str"/>
      <x:c r="F3238" s="13" t="str">
        <x:v>2016</x:v>
      </x:c>
      <x:c r="G3238" s="9" t="str">
        <x:v>England and Wales Court of Appeal (Civil Division)</x:v>
      </x:c>
      <x:c r="H3238" s="9" t="str">
        <x:v>Court of Appeal (Civil Division)</x:v>
      </x:c>
      <x:c r="I3238" s="9" t="str">
        <x:v>England and Wales</x:v>
      </x:c>
      <x:c r="J3238" s="9" t="str">
        <x:v>Professional Regulation / Regulatory Appeal</x:v>
      </x:c>
      <x:c r="K3238" s="9" t="str">
        <x:v>-ew-cases-EWCA-Civ-2016-306.xml</x:v>
      </x:c>
      <x:c r="L3238" s="9" t="str">
        <x:v>TBA</x:v>
      </x:c>
    </x:row>
    <x:row r="3239">
      <x:c r="A3239" t="str">
        <x:v>a4686452-6821-4baa-818d-9e9d6dbe170a</x:v>
      </x:c>
      <x:c r="B3239" t="str">
        <x:v>9cd2d77a-b252-4722-b271-b33d6544b65a</x:v>
      </x:c>
      <x:c r="C3239" s="9" t="str">
        <x:v>The London Borough of Hillingdon Council v The Secretary of State for Transport &amp; Anor</x:v>
      </x:c>
      <x:c r="D3239" s="9" t="str"/>
      <x:c r="E3239" s="9" t="str"/>
      <x:c r="F3239" s="13" t="str">
        <x:v>2021</x:v>
      </x:c>
      <x:c r="G3239" s="9" t="str">
        <x:v>England and Wales Court of Appeal (Civil Division)</x:v>
      </x:c>
      <x:c r="H3239" s="9" t="str">
        <x:v>Appellate</x:v>
      </x:c>
      <x:c r="I3239" s="9" t="str">
        <x:v>England and Wales</x:v>
      </x:c>
      <x:c r="J3239" s="9" t="str">
        <x:v>Administrative Law</x:v>
      </x:c>
      <x:c r="K3239" s="9" t="str">
        <x:v>ew-cases-EWCA-Civ-2021-1501.xml</x:v>
      </x:c>
      <x:c r="L3239" s="9" t="str">
        <x:v>TBA</x:v>
      </x:c>
    </x:row>
    <x:row r="3240">
      <x:c r="A3240" t="str">
        <x:v>4329725c-3e81-4537-91e4-48a853f3d288</x:v>
      </x:c>
      <x:c r="B3240" t="str">
        <x:v>2d9532aa-6904-4527-bd10-84aa0e2de244</x:v>
      </x:c>
      <x:c r="C3240" s="9" t="str">
        <x:v>The London Borough of Hounslow v Waaler [2017] EWCA Civ 45</x:v>
      </x:c>
      <x:c r="D3240" s="9" t="str"/>
      <x:c r="E3240" s="9" t="str"/>
      <x:c r="F3240" s="13" t="str">
        <x:v>2017</x:v>
      </x:c>
      <x:c r="G3240" s="9" t="str">
        <x:v>England and Wales Court of Appeal (Civil Division)</x:v>
      </x:c>
      <x:c r="H3240" s="9" t="str">
        <x:v>Appellate</x:v>
      </x:c>
      <x:c r="I3240" s="9" t="str">
        <x:v>England</x:v>
      </x:c>
      <x:c r="J3240" s="9" t="str">
        <x:v>Civil</x:v>
      </x:c>
      <x:c r="K3240" s="9" t="str">
        <x:v>-ew-cases-EWCA-Civ-2017-45.xml</x:v>
      </x:c>
      <x:c r="L3240" s="9" t="str">
        <x:v>TBA</x:v>
      </x:c>
    </x:row>
    <x:row r="3241">
      <x:c r="A3241" t="str">
        <x:v>a61652bc-b7ad-435e-a694-0cba272e59d7</x:v>
      </x:c>
      <x:c r="B3241" t="str">
        <x:v>9d5c72e3-d471-4f4f-9e68-0cb67b76f0cb</x:v>
      </x:c>
      <x:c r="C3241" s="9" t="str">
        <x:v>The London Steam-Ship Owners' Mutual Insurance Association Limited v The Kingdom of Spain M/T "PRESTIGE" (No. 5) [2022] EWCA Civ 238</x:v>
      </x:c>
      <x:c r="D3241" s="9" t="str"/>
      <x:c r="E3241" s="9" t="str"/>
      <x:c r="F3241" s="13" t="str">
        <x:v>2022</x:v>
      </x:c>
      <x:c r="G3241" s="9" t="str">
        <x:v>England and Wales Court of Appeal (Civil Division)</x:v>
      </x:c>
      <x:c r="H3241" s="9" t="str">
        <x:v>Court of Appeal (Civil Division)</x:v>
      </x:c>
      <x:c r="I3241" s="9" t="str">
        <x:v>England and Wales</x:v>
      </x:c>
      <x:c r="J3241" s="9" t="str">
        <x:v>EU Law / Procedural Law</x:v>
      </x:c>
      <x:c r="K3241" s="9" t="str">
        <x:v>ew-cases-EWCA-Civ-2022-238.xml</x:v>
      </x:c>
      <x:c r="L3241" s="9" t="str">
        <x:v>TBA</x:v>
      </x:c>
    </x:row>
    <x:row r="3242">
      <x:c r="A3242" t="str">
        <x:v>d4fb9561-8e58-437b-afda-d9f2190b3966</x:v>
      </x:c>
      <x:c r="B3242" t="str">
        <x:v>d895d078-cb5f-4cc3-9c49-17fdde623b52</x:v>
      </x:c>
      <x:c r="C3242" s="9" t="str">
        <x:v>The London Steamship Owners' Mutual Insurance Association Ltd v The Kingdom of Spain &amp; Anor</x:v>
      </x:c>
      <x:c r="D3242" s="9" t="str"/>
      <x:c r="E3242" s="9" t="str"/>
      <x:c r="F3242" s="13" t="str">
        <x:v>2015</x:v>
      </x:c>
      <x:c r="G3242" s="9" t="str">
        <x:v>England and Wales Court of Appeal (Civil Division)</x:v>
      </x:c>
      <x:c r="H3242" s="9" t="str">
        <x:v>Appellate Court</x:v>
      </x:c>
      <x:c r="I3242" s="9" t="str">
        <x:v>England and Wales</x:v>
      </x:c>
      <x:c r="J3242" s="9" t="str">
        <x:v>Insurance and Arbitration</x:v>
      </x:c>
      <x:c r="K3242" s="9" t="str">
        <x:v>-ew-cases-EWCA-Civ-2015-333.xml</x:v>
      </x:c>
      <x:c r="L3242" s="9" t="str">
        <x:v>TBA</x:v>
      </x:c>
    </x:row>
    <x:row r="3243">
      <x:c r="A3243" t="str">
        <x:v>c6f89f3c-06ee-44a2-8bed-36c8f4a091bc</x:v>
      </x:c>
      <x:c r="B3243" t="str">
        <x:v>ec489fb6-b45c-4053-bbab-900da03d83e1</x:v>
      </x:c>
      <x:c r="C3243" s="9" t="str">
        <x:v>The London Taxi Corporation Ltd (t/a the London Taxi Company) v Frazer-Nash Research Ltd &amp; Anor</x:v>
      </x:c>
      <x:c r="D3243" s="9" t="str"/>
      <x:c r="E3243" s="9" t="str"/>
      <x:c r="F3243" s="13" t="str">
        <x:v>2017</x:v>
      </x:c>
      <x:c r="G3243" s="9" t="str">
        <x:v>England and Wales Court of Appeal (Civil Division)</x:v>
      </x:c>
      <x:c r="H3243" s="9" t="str">
        <x:v>Appellate</x:v>
      </x:c>
      <x:c r="I3243" s="9" t="str">
        <x:v>England and Wales</x:v>
      </x:c>
      <x:c r="J3243" s="9" t="str">
        <x:v>Intellectual Property</x:v>
      </x:c>
      <x:c r="K3243" s="9" t="str">
        <x:v>-ew-cases-EWCA-Civ-2017-1729.xml</x:v>
      </x:c>
      <x:c r="L3243" s="9" t="str">
        <x:v>TBA</x:v>
      </x:c>
    </x:row>
    <x:row r="3244">
      <x:c r="A3244" t="str">
        <x:v>f0044638-e330-43b6-bf97-728ff2717e09</x:v>
      </x:c>
      <x:c r="B3244" t="str">
        <x:v>87816e6a-cd90-4f61-998f-293481ecae05</x:v>
      </x:c>
      <x:c r="C3244" s="9" t="str">
        <x:v>The Lord Chancellor v Detention Action [2015] EWCA Civ 840</x:v>
      </x:c>
      <x:c r="D3244" s="9" t="str"/>
      <x:c r="E3244" s="9" t="str"/>
      <x:c r="F3244" s="13" t="str">
        <x:v>2015</x:v>
      </x:c>
      <x:c r="G3244" s="9" t="str">
        <x:v>England and Wales Court of Appeal (Civil Division)</x:v>
      </x:c>
      <x:c r="H3244" s="9" t="str">
        <x:v>Appeal</x:v>
      </x:c>
      <x:c r="I3244" s="9" t="str">
        <x:v>England and Wales</x:v>
      </x:c>
      <x:c r="J3244" s="9" t="str">
        <x:v>Administrative Law</x:v>
      </x:c>
      <x:c r="K3244" s="9" t="str">
        <x:v>-ew-cases-EWCA-Civ-2015-840.xml</x:v>
      </x:c>
      <x:c r="L3244" s="9" t="str">
        <x:v>TBA</x:v>
      </x:c>
    </x:row>
    <x:row r="3245">
      <x:c r="A3245" t="str">
        <x:v>89cf8490-26aa-4db0-b445-36d30265f5b8</x:v>
      </x:c>
      <x:c r="B3245" t="str">
        <x:v>65b9b501-8559-466a-93e9-fe5c0db575df</x:v>
      </x:c>
      <x:c r="C3245" s="9" t="str">
        <x:v>The Manchester Ship Canal Company Ltd v United Utilities Water Ltd</x:v>
      </x:c>
      <x:c r="D3245" s="9" t="str"/>
      <x:c r="E3245" s="9" t="str"/>
      <x:c r="F3245" s="13" t="str">
        <x:v>2022</x:v>
      </x:c>
      <x:c r="G3245" s="9" t="str">
        <x:v>England and Wales Court of Appeal (Civil Division)</x:v>
      </x:c>
      <x:c r="H3245" s="9" t="str">
        <x:v>Court of Appeal (Civil Division)</x:v>
      </x:c>
      <x:c r="I3245" s="9" t="str">
        <x:v>England and Wales</x:v>
      </x:c>
      <x:c r="J3245" s="9" t="str">
        <x:v>Private Law – Trespass/Nuisance and Statutory Drainage Regulation</x:v>
      </x:c>
      <x:c r="K3245" s="9" t="str">
        <x:v>ew-cases-EWCA-Civ-2022-852.xml</x:v>
      </x:c>
      <x:c r="L3245" s="9" t="str">
        <x:v>TBA</x:v>
      </x:c>
    </x:row>
    <x:row r="3246">
      <x:c r="A3246" t="str">
        <x:v>271b3fec-5e5e-4494-838c-1bccede64348</x:v>
      </x:c>
      <x:c r="B3246" t="str">
        <x:v>919e7677-8681-4119-8a33-42ed4f6c494d</x:v>
      </x:c>
      <x:c r="C3246" s="9" t="str">
        <x:v>The Motherhood Plan &amp; Anor v Her Majesty's Treasury</x:v>
      </x:c>
      <x:c r="D3246" s="9" t="str"/>
      <x:c r="E3246" s="9" t="str"/>
      <x:c r="F3246" s="13" t="str">
        <x:v>2021</x:v>
      </x:c>
      <x:c r="G3246" s="9" t="str">
        <x:v>England and Wales Court of Appeal (Civil Division)</x:v>
      </x:c>
      <x:c r="H3246" s="9" t="str">
        <x:v>Appellate</x:v>
      </x:c>
      <x:c r="I3246" s="9" t="str">
        <x:v>England and Wales</x:v>
      </x:c>
      <x:c r="J3246" s="9" t="str">
        <x:v>Constitutional Law</x:v>
      </x:c>
      <x:c r="K3246" s="9" t="str">
        <x:v>ew-cases-EWCA-Civ-2021-1703.xml</x:v>
      </x:c>
      <x:c r="L3246" s="9" t="str">
        <x:v>TBA</x:v>
      </x:c>
    </x:row>
    <x:row r="3247">
      <x:c r="A3247" t="str">
        <x:v>75791197-d7fa-4419-83c7-2db3f8ab02af</x:v>
      </x:c>
      <x:c r="B3247" t="str">
        <x:v>ea74bdea-e6b0-41f8-8bb1-512a09be8e1c</x:v>
      </x:c>
      <x:c r="C3247" s="9" t="str">
        <x:v>The National Crime Agency v N &amp; Anor</x:v>
      </x:c>
      <x:c r="D3247" s="9" t="str"/>
      <x:c r="E3247" s="9" t="str"/>
      <x:c r="F3247" s="13" t="str">
        <x:v>2017</x:v>
      </x:c>
      <x:c r="G3247" s="9" t="str">
        <x:v>England and Wales Court of Appeal (Civil Division)</x:v>
      </x:c>
      <x:c r="H3247" s="9" t="str">
        <x:v>Appellate</x:v>
      </x:c>
      <x:c r="I3247" s="9" t="str">
        <x:v>England and Wales</x:v>
      </x:c>
      <x:c r="J3247" s="9" t="str">
        <x:v>Civil Appeal</x:v>
      </x:c>
      <x:c r="K3247" s="9" t="str">
        <x:v>-ew-cases-EWCA-Civ-2017-253.xml</x:v>
      </x:c>
      <x:c r="L3247" s="9" t="str">
        <x:v>TBA</x:v>
      </x:c>
    </x:row>
    <x:row r="3248">
      <x:c r="A3248" t="str">
        <x:v>e3aada76-0e42-404c-a4a1-36997d5c6477</x:v>
      </x:c>
      <x:c r="B3248" t="str">
        <x:v>bf29f081-f7f0-4148-9088-d76b9c8cce53</x:v>
      </x:c>
      <x:c r="C3248" s="9" t="str">
        <x:v>The National Crime Agency v Namli &amp; Anor</x:v>
      </x:c>
      <x:c r="D3248" s="9" t="str"/>
      <x:c r="E3248" s="9" t="str"/>
      <x:c r="F3248" s="13" t="str">
        <x:v>2014</x:v>
      </x:c>
      <x:c r="G3248" s="9" t="str">
        <x:v>England and Wales Court of Appeal (Civil Division)</x:v>
      </x:c>
      <x:c r="H3248" s="9" t="str">
        <x:v>Appellate</x:v>
      </x:c>
      <x:c r="I3248" s="9" t="str">
        <x:v>England and Wales</x:v>
      </x:c>
      <x:c r="J3248" s="9" t="str">
        <x:v>Civil Recovery</x:v>
      </x:c>
      <x:c r="K3248" s="9" t="str">
        <x:v>-ew-cases-EWCA-Civ-2014-411.xml</x:v>
      </x:c>
      <x:c r="L3248" s="9" t="str">
        <x:v>TBA</x:v>
      </x:c>
    </x:row>
    <x:row r="3249">
      <x:c r="A3249" t="str">
        <x:v>9690b3a8-055b-4be8-8208-410769974071</x:v>
      </x:c>
      <x:c r="B3249" t="str">
        <x:v>c517af8b-ba1c-40e9-8164-a10271388f1f</x:v>
      </x:c>
      <x:c r="C3249" s="9" t="str">
        <x:v>The Northampton Regional Livestock Centre Company Ltd v Cowling &amp; Anor [2015] EWCA Civ 651</x:v>
      </x:c>
      <x:c r="D3249" s="9" t="str"/>
      <x:c r="E3249" s="9" t="str"/>
      <x:c r="F3249" s="13" t="str">
        <x:v>2015</x:v>
      </x:c>
      <x:c r="G3249" s="9" t="str">
        <x:v>England and Wales Court of Appeal (Civil Division)</x:v>
      </x:c>
      <x:c r="H3249" s="9" t="str">
        <x:v>Appellate</x:v>
      </x:c>
      <x:c r="I3249" s="9" t="str">
        <x:v>England</x:v>
      </x:c>
      <x:c r="J3249" s="9" t="str">
        <x:v>Civil Law</x:v>
      </x:c>
      <x:c r="K3249" s="9" t="str">
        <x:v>-ew-cases-EWCA-Civ-2015-651.xml</x:v>
      </x:c>
      <x:c r="L3249" s="9" t="str">
        <x:v>TBA</x:v>
      </x:c>
    </x:row>
    <x:row r="3250">
      <x:c r="A3250" t="str">
        <x:v>4838b79b-38f2-4aad-abce-3ef4d5b2d18c</x:v>
      </x:c>
      <x:c r="B3250" t="str">
        <x:v>054b5145-4f52-4a99-86c0-551bdc3d74d6</x:v>
      </x:c>
      <x:c r="C3250" s="9" t="str">
        <x:v>The Nursing and Midwifery Council v Daniels [2015] EWCA Civ 225</x:v>
      </x:c>
      <x:c r="D3250" s="9" t="str"/>
      <x:c r="E3250" s="9" t="str"/>
      <x:c r="F3250" s="13" t="str">
        <x:v>2015</x:v>
      </x:c>
      <x:c r="G3250" s="9" t="str">
        <x:v>England and Wales Court of Appeal (Civil Division)</x:v>
      </x:c>
      <x:c r="H3250" s="9" t="str">
        <x:v>Appellate</x:v>
      </x:c>
      <x:c r="I3250" s="9" t="str">
        <x:v>England and Wales</x:v>
      </x:c>
      <x:c r="J3250" s="9" t="str">
        <x:v>Administrative Law</x:v>
      </x:c>
      <x:c r="K3250" s="9" t="str">
        <x:v>-ew-cases-EWCA-Civ-2015-225.xml</x:v>
      </x:c>
      <x:c r="L3250" s="9" t="str">
        <x:v>TBA</x:v>
      </x:c>
    </x:row>
    <x:row r="3251">
      <x:c r="A3251" t="str">
        <x:v>f751adfd-727c-42e9-8e87-bfa951ad5291</x:v>
      </x:c>
      <x:c r="B3251" t="str">
        <x:v>b11dac16-4cbc-4088-b0ce-611229a8af81</x:v>
      </x:c>
      <x:c r="C3251" s="9" t="str">
        <x:v>The Office of Fair Trading v Somerfield Stores Ltd &amp; Anor</x:v>
      </x:c>
      <x:c r="D3251" s="9" t="str"/>
      <x:c r="E3251" s="9" t="str"/>
      <x:c r="F3251" s="13" t="str">
        <x:v>2014</x:v>
      </x:c>
      <x:c r="G3251" s="9" t="str">
        <x:v>England and Wales Court of Appeal (Civil Division)</x:v>
      </x:c>
      <x:c r="H3251" s="9" t="str">
        <x:v>Appellate</x:v>
      </x:c>
      <x:c r="I3251" s="9" t="str">
        <x:v>England and Wales</x:v>
      </x:c>
      <x:c r="J3251" s="9" t="str">
        <x:v>Competition Law</x:v>
      </x:c>
      <x:c r="K3251" s="9" t="str">
        <x:v>-ew-cases-EWCA-Civ-2014-400.xml</x:v>
      </x:c>
      <x:c r="L3251" s="9" t="str">
        <x:v>TBA</x:v>
      </x:c>
    </x:row>
    <x:row r="3252">
      <x:c r="A3252" t="str">
        <x:v>b80df29f-41d6-4a98-937d-d4eef8686d82</x:v>
      </x:c>
      <x:c r="B3252" t="str">
        <x:v>2af57f7d-ee9b-47df-8ac7-730b98ba4272</x:v>
      </x:c>
      <x:c r="C3252" s="9" t="str">
        <x:v>The Official Receiver v Shop Direct Finance Company Limited [2023] EWCA Civ 367 (05 April 2023)</x:v>
      </x:c>
      <x:c r="D3252" s="9" t="str"/>
      <x:c r="E3252" s="9" t="str"/>
      <x:c r="F3252" s="13" t="str">
        <x:v>2023</x:v>
      </x:c>
      <x:c r="G3252" s="9" t="str">
        <x:v>England and Wales Court of Appeal (Civil Division)</x:v>
      </x:c>
      <x:c r="H3252" s="9" t="str">
        <x:v>Court of Appeal (Civil Division)</x:v>
      </x:c>
      <x:c r="I3252" s="9" t="str">
        <x:v>England and Wales</x:v>
      </x:c>
      <x:c r="J3252" s="9" t="str">
        <x:v>Civil Procedure / Financial Services / Consumer Protection</x:v>
      </x:c>
      <x:c r="K3252" s="9" t="str">
        <x:v>ew-cases-EWCA-Civ-2023-367.xml</x:v>
      </x:c>
      <x:c r="L3252" s="9" t="str">
        <x:v>TBA</x:v>
      </x:c>
    </x:row>
    <x:row r="3253">
      <x:c r="A3253" t="str">
        <x:v>dbac72fa-3648-4345-b15c-ac2183ca5696</x:v>
      </x:c>
      <x:c r="B3253" t="str">
        <x:v>e1e338c3-b6dc-4e51-a39b-422579694f4f</x:v>
      </x:c>
      <x:c r="C3253" s="9" t="str">
        <x:v>The Open Rights Group &amp; Anor v The Secretary of State for the Home Department &amp; Anor</x:v>
      </x:c>
      <x:c r="D3253" s="9" t="str"/>
      <x:c r="E3253" s="9" t="str"/>
      <x:c r="F3253" s="13" t="str">
        <x:v>2021</x:v>
      </x:c>
      <x:c r="G3253" s="9" t="str">
        <x:v>England and Wales Court of Appeal (Civil Division)</x:v>
      </x:c>
      <x:c r="H3253" s="9" t="str">
        <x:v>Appellate</x:v>
      </x:c>
      <x:c r="I3253" s="9" t="str">
        <x:v>England and Wales</x:v>
      </x:c>
      <x:c r="J3253" s="9" t="str">
        <x:v>Administrative Law</x:v>
      </x:c>
      <x:c r="K3253" s="9" t="str">
        <x:v>ew-cases-EWCA-Civ-2021-800.xml</x:v>
      </x:c>
      <x:c r="L3253" s="9" t="str">
        <x:v>TBA</x:v>
      </x:c>
    </x:row>
    <x:row r="3254">
      <x:c r="A3254" t="str">
        <x:v>44300040-d494-4061-b907-26df8aef7e05</x:v>
      </x:c>
      <x:c r="B3254" t="str">
        <x:v>5344c340-f064-4580-8e7d-1fb379d32a09</x:v>
      </x:c>
      <x:c r="C3254" s="9" t="str">
        <x:v>The Pennine Acute Hospitals NHS Trust v De Meza</x:v>
      </x:c>
      <x:c r="D3254" s="9" t="str"/>
      <x:c r="E3254" s="9" t="str"/>
      <x:c r="F3254" s="13" t="str">
        <x:v>2017</x:v>
      </x:c>
      <x:c r="G3254" s="9" t="str">
        <x:v>England and Wales Court of Appeal (Civil Division)</x:v>
      </x:c>
      <x:c r="H3254" s="9" t="str">
        <x:v>Appellate</x:v>
      </x:c>
      <x:c r="I3254" s="9" t="str">
        <x:v>England and Wales</x:v>
      </x:c>
      <x:c r="J3254" s="9" t="str">
        <x:v>Personal Injury</x:v>
      </x:c>
      <x:c r="K3254" s="9" t="str">
        <x:v>-ew-cases-EWCA-Civ-2017-1711.xml</x:v>
      </x:c>
      <x:c r="L3254" s="9" t="str">
        <x:v>TBA</x:v>
      </x:c>
    </x:row>
    <x:row r="3255">
      <x:c r="A3255" t="str">
        <x:v>d3fc4929-92df-410a-b9de-f566d68a0d0e</x:v>
      </x:c>
      <x:c r="B3255" t="str">
        <x:v>a09d7233-ba00-499b-86e8-48c1c0dc1261</x:v>
      </x:c>
      <x:c r="C3255" s="9" t="str">
        <x:v>The Pharmacists' Defence Association Union v Secretary of State for Business Innovation and Skills</x:v>
      </x:c>
      <x:c r="D3255" s="9" t="str"/>
      <x:c r="E3255" s="9" t="str"/>
      <x:c r="F3255" s="13" t="str">
        <x:v>2017</x:v>
      </x:c>
      <x:c r="G3255" s="9" t="str">
        <x:v>England and Wales Court of Appeal (Civil Division)</x:v>
      </x:c>
      <x:c r="H3255" s="9" t="str">
        <x:v>Appellate</x:v>
      </x:c>
      <x:c r="I3255" s="9" t="str">
        <x:v>England and Wales</x:v>
      </x:c>
      <x:c r="J3255" s="9" t="str">
        <x:v>Employment Law</x:v>
      </x:c>
      <x:c r="K3255" s="9" t="str">
        <x:v>-ew-cases-EWCA-Civ-2017-66.xml</x:v>
      </x:c>
      <x:c r="L3255" s="9" t="str">
        <x:v>TBA</x:v>
      </x:c>
    </x:row>
    <x:row r="3256">
      <x:c r="A3256" t="str">
        <x:v>416cb23f-ba14-48fa-9628-df51b0a2c243</x:v>
      </x:c>
      <x:c r="B3256" t="str">
        <x:v>d4740d34-f03f-4700-8408-7439576f2e36</x:v>
      </x:c>
      <x:c r="C3256" s="9" t="str">
        <x:v>The Professional Standards Authority v The Health and Care Professions Council &amp; Anor [2017] EWCA Civ 319</x:v>
      </x:c>
      <x:c r="D3256" s="9" t="str"/>
      <x:c r="E3256" s="9" t="str"/>
      <x:c r="F3256" s="13" t="str">
        <x:v>2017</x:v>
      </x:c>
      <x:c r="G3256" s="9" t="str">
        <x:v>England and Wales Court of Appeal (Civil Division)</x:v>
      </x:c>
      <x:c r="H3256" s="9" t="str">
        <x:v>Appellate</x:v>
      </x:c>
      <x:c r="I3256" s="9" t="str">
        <x:v>England and Wales</x:v>
      </x:c>
      <x:c r="J3256" s="9" t="str">
        <x:v>Administrative Law</x:v>
      </x:c>
      <x:c r="K3256" s="9" t="str">
        <x:v>-ew-cases-EWCA-Civ-2017-319.xml</x:v>
      </x:c>
      <x:c r="L3256" s="9" t="str">
        <x:v>TBA</x:v>
      </x:c>
    </x:row>
    <x:row r="3257">
      <x:c r="A3257" t="str">
        <x:v>e9771a49-956a-4915-ac33-266ce242903b</x:v>
      </x:c>
      <x:c r="B3257" t="str">
        <x:v>22266eeb-429f-4bfb-806c-1f324f15797d</x:v>
      </x:c>
      <x:c r="C3257" s="9" t="str">
        <x:v>The Project Management Institute, R (On the Application Of) v The Minister for the Cabinet Office &amp; Ors [2016] EWCA Civ 21 (22 January 2016)</x:v>
      </x:c>
      <x:c r="D3257" s="9" t="str"/>
      <x:c r="E3257" s="9" t="str"/>
      <x:c r="F3257" s="13" t="str">
        <x:v>2016</x:v>
      </x:c>
      <x:c r="G3257" s="9" t="str">
        <x:v>England and Wales Court of Appeal (Civil Division)</x:v>
      </x:c>
      <x:c r="H3257" s="9" t="str">
        <x:v>Court of Appeal (Civil Division)</x:v>
      </x:c>
      <x:c r="I3257" s="9" t="str">
        <x:v>England and Wales</x:v>
      </x:c>
      <x:c r="J3257" s="9" t="str">
        <x:v>Administrative Law / Public Law</x:v>
      </x:c>
      <x:c r="K3257" s="9" t="str">
        <x:v>-ew-cases-EWCA-Civ-2016-21.xml</x:v>
      </x:c>
      <x:c r="L3257" s="9" t="str">
        <x:v>TBA</x:v>
      </x:c>
    </x:row>
    <x:row r="3258">
      <x:c r="A3258" t="str">
        <x:v>c29ff1f4-64ec-4280-9d5a-039ac604fbc6</x:v>
      </x:c>
      <x:c r="B3258" t="str">
        <x:v>e09331f5-d8f2-4aa5-81d5-0f480b96a2a8</x:v>
      </x:c>
      <x:c r="C3258" s="9" t="str">
        <x:v>The Prudential Assurance Company Limited v HM Revenue and Customs [2016] EWCA Civ 376</x:v>
      </x:c>
      <x:c r="D3258" s="9" t="str"/>
      <x:c r="E3258" s="9" t="str"/>
      <x:c r="F3258" s="13" t="str">
        <x:v>2016</x:v>
      </x:c>
      <x:c r="G3258" s="9" t="str">
        <x:v>England and Wales Court of Appeal (Civil Division)</x:v>
      </x:c>
      <x:c r="H3258" s="9" t="str">
        <x:v>Court of Appeal (Civil Division)</x:v>
      </x:c>
      <x:c r="I3258" s="9" t="str">
        <x:v>England and Wales</x:v>
      </x:c>
      <x:c r="J3258" s="9" t="str">
        <x:v>Tax Law / EU Law</x:v>
      </x:c>
      <x:c r="K3258" s="9" t="str">
        <x:v>-ew-cases-EWCA-Civ-2016-376.xml</x:v>
      </x:c>
      <x:c r="L3258" s="9" t="str">
        <x:v>TBA</x:v>
      </x:c>
    </x:row>
    <x:row r="3259">
      <x:c r="A3259" t="str">
        <x:v>c56e9e9b-75af-4a28-a306-fb7854eddd53</x:v>
      </x:c>
      <x:c r="B3259" t="str">
        <x:v>edcd9818-6eaa-4660-87bf-0d7ac4a0fd32</x:v>
      </x:c>
      <x:c r="C3259" s="9" t="str">
        <x:v>The Public Institution for Social Security v Banque Pictet &amp; Cie SA &amp; Ors [2022] EWCA Civ 29</x:v>
      </x:c>
      <x:c r="D3259" s="9" t="str"/>
      <x:c r="E3259" s="9" t="str"/>
      <x:c r="F3259" s="13" t="str">
        <x:v>2022</x:v>
      </x:c>
      <x:c r="G3259" s="9" t="str">
        <x:v>England and Wales Court of Appeal (Civil Division)</x:v>
      </x:c>
      <x:c r="H3259" s="9" t="str">
        <x:v>Court of Appeal (Civil Division)</x:v>
      </x:c>
      <x:c r="I3259" s="9" t="str">
        <x:v>England and Wales</x:v>
      </x:c>
      <x:c r="J3259" s="9" t="str">
        <x:v>Private International Law / Jurisdiction</x:v>
      </x:c>
      <x:c r="K3259" s="9" t="str">
        <x:v>ew-cases-EWCA-Civ-2022-29.xml</x:v>
      </x:c>
      <x:c r="L3259" s="9" t="str">
        <x:v>TBA</x:v>
      </x:c>
    </x:row>
    <x:row r="3260">
      <x:c r="A3260" t="str">
        <x:v>8b230175-4cde-45a0-b990-aa1a9d1f8906</x:v>
      </x:c>
      <x:c r="B3260" t="str">
        <x:v>3001b27e-cd5f-41ec-993d-edaae427c870</x:v>
      </x:c>
      <x:c r="C3260" s="9" t="str">
        <x:v>The Public Institution for Social Security v Banque Pictet &amp; Cie SA &amp; Ors [2022] EWCA Civ 368</x:v>
      </x:c>
      <x:c r="D3260" s="9" t="str"/>
      <x:c r="E3260" s="9" t="str"/>
      <x:c r="F3260" s="13" t="str">
        <x:v>2022</x:v>
      </x:c>
      <x:c r="G3260" s="9" t="str">
        <x:v>England and Wales Court of Appeal (Civil Division)</x:v>
      </x:c>
      <x:c r="H3260" s="9" t="str">
        <x:v>Court of Appeal (Civil Division)</x:v>
      </x:c>
      <x:c r="I3260" s="9" t="str">
        <x:v>England and Wales</x:v>
      </x:c>
      <x:c r="J3260" s="9" t="str">
        <x:v>Civil Appeal / Civil Procedure</x:v>
      </x:c>
      <x:c r="K3260" s="9" t="str">
        <x:v>ew-cases-EWCA-Civ-2022-368.xml</x:v>
      </x:c>
      <x:c r="L3260" s="9" t="str">
        <x:v>TBA</x:v>
      </x:c>
    </x:row>
    <x:row r="3261">
      <x:c r="A3261" t="str">
        <x:v>07ce5e0f-1d9b-427b-a127-7131816d7cf4</x:v>
      </x:c>
      <x:c r="B3261" t="str">
        <x:v>5b25beb1-95a1-4317-94f1-1f5c92582c27</x:v>
      </x:c>
      <x:c r="C3261" s="9" t="str">
        <x:v>The Queen on the Application of Autonomous Non-Profit Organisation TV-Novosti v The Office of Communications</x:v>
      </x:c>
      <x:c r="D3261" s="9" t="str"/>
      <x:c r="E3261" s="9" t="str"/>
      <x:c r="F3261" s="13" t="str">
        <x:v>2021</x:v>
      </x:c>
      <x:c r="G3261" s="9" t="str">
        <x:v>England and Wales Court of Appeal (Civil Division)</x:v>
      </x:c>
      <x:c r="H3261" s="9" t="str">
        <x:v>Appellate</x:v>
      </x:c>
      <x:c r="I3261" s="9" t="str">
        <x:v>England and Wales</x:v>
      </x:c>
      <x:c r="J3261" s="9" t="str">
        <x:v>Administrative Law</x:v>
      </x:c>
      <x:c r="K3261" s="9" t="str">
        <x:v>ew-cases-EWCA-Civ-2021-1534.xml</x:v>
      </x:c>
      <x:c r="L3261" s="9" t="str">
        <x:v>TBA</x:v>
      </x:c>
    </x:row>
    <x:row r="3262">
      <x:c r="A3262" t="str">
        <x:v>8736a293-89a3-49e2-8be3-db5ba2d0014d</x:v>
      </x:c>
      <x:c r="B3262" t="str">
        <x:v>53011b43-2d84-4830-953a-1b5b550f4f67</x:v>
      </x:c>
      <x:c r="C3262" s="9" t="str">
        <x:v>The Quentin Skinner 2015 Settlement L &amp; Ors v HM Revenue and Customs (Entrepeneurs' Relief) [2022] EWCA Civ 1222</x:v>
      </x:c>
      <x:c r="D3262" s="9" t="str"/>
      <x:c r="E3262" s="9" t="str"/>
      <x:c r="F3262" s="13" t="str">
        <x:v>2022</x:v>
      </x:c>
      <x:c r="G3262" s="9" t="str">
        <x:v>England and Wales Court of Appeal (Civil Division)</x:v>
      </x:c>
      <x:c r="H3262" s="9" t="str">
        <x:v>Court of Appeal (Civil Division)</x:v>
      </x:c>
      <x:c r="I3262" s="9" t="str">
        <x:v>England and Wales</x:v>
      </x:c>
      <x:c r="J3262" s="9" t="str">
        <x:v>Taxation / Trusts / Statutory Interpretation</x:v>
      </x:c>
      <x:c r="K3262" s="9" t="str">
        <x:v>ew-cases-EWCA-Civ-2022-1222.xml</x:v>
      </x:c>
      <x:c r="L3262" s="9" t="str">
        <x:v>TBA</x:v>
      </x:c>
    </x:row>
    <x:row r="3263">
      <x:c r="A3263" t="str">
        <x:v>728a4f35-80f6-4452-bf56-b70f37ad408c</x:v>
      </x:c>
      <x:c r="B3263" t="str">
        <x:v>ef9d54f4-75cc-4196-a10d-99b801d520d6</x:v>
      </x:c>
      <x:c r="C3263" s="9" t="str">
        <x:v>The Royal Society for the Protection of Birds v The Secretary of State for Environment Food And Rural Affairs &amp; Ors</x:v>
      </x:c>
      <x:c r="D3263" s="9" t="str"/>
      <x:c r="E3263" s="9" t="str"/>
      <x:c r="F3263" s="13" t="str">
        <x:v>2015</x:v>
      </x:c>
      <x:c r="G3263" s="9" t="str">
        <x:v>England and Wales Court of Appeal (Civil Division)</x:v>
      </x:c>
      <x:c r="H3263" s="9" t="str">
        <x:v>Appellate</x:v>
      </x:c>
      <x:c r="I3263" s="9" t="str">
        <x:v>England and Wales</x:v>
      </x:c>
      <x:c r="J3263" s="9" t="str">
        <x:v>Administrative Law</x:v>
      </x:c>
      <x:c r="K3263" s="9" t="str">
        <x:v>-ew-cases-EWCA-Civ-2015-227.xml</x:v>
      </x:c>
      <x:c r="L3263" s="9" t="str">
        <x:v>TBA</x:v>
      </x:c>
    </x:row>
    <x:row r="3264">
      <x:c r="A3264" t="str">
        <x:v>bd7b6201-353d-48fc-9669-24707befaad5</x:v>
      </x:c>
      <x:c r="B3264" t="str">
        <x:v>112a783b-c223-4786-a461-8185d23bbf7f</x:v>
      </x:c>
      <x:c r="C3264" s="9" t="str">
        <x:v>The Royal Society for the Protection of Birds, R (On the Application Of) v Natural England [2021] EWCA Civ 1637</x:v>
      </x:c>
      <x:c r="D3264" s="9" t="str"/>
      <x:c r="E3264" s="9" t="str"/>
      <x:c r="F3264" s="13" t="str">
        <x:v>2021</x:v>
      </x:c>
      <x:c r="G3264" s="9" t="str">
        <x:v>England and Wales Court of Appeal (Civil Division)</x:v>
      </x:c>
      <x:c r="H3264" s="9" t="str">
        <x:v>Appellate</x:v>
      </x:c>
      <x:c r="I3264" s="9" t="str">
        <x:v>England and Wales</x:v>
      </x:c>
      <x:c r="J3264" s="9" t="str">
        <x:v>Administrative Law</x:v>
      </x:c>
      <x:c r="K3264" s="9" t="str">
        <x:v>ew-cases-EWCA-Civ-2021-1637.xml</x:v>
      </x:c>
      <x:c r="L3264" s="9" t="str">
        <x:v>TBA</x:v>
      </x:c>
    </x:row>
    <x:row r="3265">
      <x:c r="A3265" t="str">
        <x:v>666d387c-bb55-4d26-ab26-dfdb0f6ae1dd</x:v>
      </x:c>
      <x:c r="B3265" t="str">
        <x:v>ffeda058-fa14-4d99-9bea-e7b3796627f8</x:v>
      </x:c>
      <x:c r="C3265" s="9" t="str">
        <x:v>The Secretary of State for Communities and Local Government v Venn</x:v>
      </x:c>
      <x:c r="D3265" s="9" t="str"/>
      <x:c r="E3265" s="9" t="str"/>
      <x:c r="F3265" s="13" t="str">
        <x:v>2014</x:v>
      </x:c>
      <x:c r="G3265" s="9" t="str">
        <x:v>England and Wales Court of Appeal (Civil Division)</x:v>
      </x:c>
      <x:c r="H3265" s="9" t="str">
        <x:v>Appellate</x:v>
      </x:c>
      <x:c r="I3265" s="9" t="str">
        <x:v>England and Wales</x:v>
      </x:c>
      <x:c r="J3265" s="9" t="str">
        <x:v>Administrative Law</x:v>
      </x:c>
      <x:c r="K3265" s="9" t="str">
        <x:v>-ew-cases-EWCA-Civ-2014-1539.xml</x:v>
      </x:c>
      <x:c r="L3265" s="9" t="str">
        <x:v>TBA</x:v>
      </x:c>
    </x:row>
    <x:row r="3266">
      <x:c r="A3266" t="str">
        <x:v>5c1c101c-e310-4037-b345-0d4d79781619</x:v>
      </x:c>
      <x:c r="B3266" t="str">
        <x:v>467be234-6738-4c03-a7a1-173a702d8e73</x:v>
      </x:c>
      <x:c r="C3266" s="9" t="str">
        <x:v>The Secretary of State for Health &amp; Anor v Servier Laboratories Ltd &amp; Ors [2023] EWCA Civ 763</x:v>
      </x:c>
      <x:c r="D3266" s="9" t="str"/>
      <x:c r="E3266" s="9" t="str"/>
      <x:c r="F3266" s="13" t="str">
        <x:v>2023</x:v>
      </x:c>
      <x:c r="G3266" s="9" t="str">
        <x:v>England and Wales Court of Appeal (Civil Division)</x:v>
      </x:c>
      <x:c r="H3266" s="9" t="str">
        <x:v>Court of Appeal (Civil Division)</x:v>
      </x:c>
      <x:c r="I3266" s="9" t="str">
        <x:v>England and Wales</x:v>
      </x:c>
      <x:c r="J3266" s="9" t="str">
        <x:v>Competition Law</x:v>
      </x:c>
      <x:c r="K3266" s="9" t="str">
        <x:v>ew-cases-EWCA-Civ-2023-763.xml</x:v>
      </x:c>
      <x:c r="L3266" s="9" t="str">
        <x:v>TBA</x:v>
      </x:c>
    </x:row>
    <x:row r="3267">
      <x:c r="A3267" t="str">
        <x:v>edc82792-a626-46c4-ae59-687c8cd0f775</x:v>
      </x:c>
      <x:c r="B3267" t="str">
        <x:v>a54a15c8-ea53-4175-8842-5143aa5d6a8d</x:v>
      </x:c>
      <x:c r="C3267" s="9" t="str">
        <x:v>The Secretary of State for Justice v MM [2017] EWCA Civ 194</x:v>
      </x:c>
      <x:c r="D3267" s="9" t="str"/>
      <x:c r="E3267" s="9" t="str"/>
      <x:c r="F3267" s="13" t="str">
        <x:v>2017</x:v>
      </x:c>
      <x:c r="G3267" s="9" t="str">
        <x:v>England and Wales Court of Appeal (Civil Division)</x:v>
      </x:c>
      <x:c r="H3267" s="9" t="str">
        <x:v>Appellate</x:v>
      </x:c>
      <x:c r="I3267" s="9" t="str">
        <x:v>England and Wales</x:v>
      </x:c>
      <x:c r="J3267" s="9" t="str">
        <x:v>Administrative Law</x:v>
      </x:c>
      <x:c r="K3267" s="9" t="str">
        <x:v>-ew-cases-EWCA-Civ-2017-194.xml</x:v>
      </x:c>
      <x:c r="L3267" s="9" t="str">
        <x:v>TBA</x:v>
      </x:c>
    </x:row>
    <x:row r="3268">
      <x:c r="A3268" t="str">
        <x:v>8f632446-eec3-48e9-93cd-8d020ce20aef</x:v>
      </x:c>
      <x:c r="B3268" t="str">
        <x:v>97f208a3-9925-460e-9e9c-2112f2bfbfb6</x:v>
      </x:c>
      <x:c r="C3268" s="9" t="str">
        <x:v>The Secretary of State for the Home Department v AJ (Angola)</x:v>
      </x:c>
      <x:c r="D3268" s="9" t="str"/>
      <x:c r="E3268" s="9" t="str"/>
      <x:c r="F3268" s="13" t="str">
        <x:v>2014</x:v>
      </x:c>
      <x:c r="G3268" s="9" t="str">
        <x:v>England and Wales Court of Appeal (Civil Division)</x:v>
      </x:c>
      <x:c r="H3268" s="9" t="str">
        <x:v>Appellate</x:v>
      </x:c>
      <x:c r="I3268" s="9" t="str">
        <x:v>England and Wales</x:v>
      </x:c>
      <x:c r="J3268" s="9" t="str">
        <x:v>Immigration Law</x:v>
      </x:c>
      <x:c r="K3268" s="9" t="str">
        <x:v>-ew-cases-EWCA-Civ-2014-1636.xml</x:v>
      </x:c>
      <x:c r="L3268" s="9" t="str">
        <x:v>TBA</x:v>
      </x:c>
    </x:row>
    <x:row r="3269">
      <x:c r="A3269" t="str">
        <x:v>89d5b49c-cfef-4fe6-9b92-c25eb3f84a14</x:v>
      </x:c>
      <x:c r="B3269" t="str">
        <x:v>27613b99-03ad-46be-b945-e9e18aa84997</x:v>
      </x:c>
      <x:c r="C3269" s="9" t="str">
        <x:v>The Secretary of State for the Home Department v AJ (Zimbabwe) and VH (Vietnam), Court of Appeal (Civil Division) decisions (2016) [2016] EWCA Civ 1012; [2017] Imm AR 442</x:v>
      </x:c>
      <x:c r="D3269" s="9" t="str"/>
      <x:c r="E3269" s="9" t="str"/>
      <x:c r="F3269" s="13" t="str">
        <x:v>2016</x:v>
      </x:c>
      <x:c r="G3269" s="9" t="str">
        <x:v>England and Wales Court of Appeal (Civil Division)</x:v>
      </x:c>
      <x:c r="H3269" s="9" t="str">
        <x:v>Court of Appeal (Civil Division)</x:v>
      </x:c>
      <x:c r="I3269" s="9" t="str">
        <x:v>England and Wales</x:v>
      </x:c>
      <x:c r="J3269" s="9" t="str">
        <x:v>Immigration Law; Deportation; Article 8 ECHR</x:v>
      </x:c>
      <x:c r="K3269" s="9" t="str">
        <x:v>-ew-cases-EWCA-Civ-2016-1012.xml</x:v>
      </x:c>
      <x:c r="L3269" s="9" t="str">
        <x:v>TBA</x:v>
      </x:c>
    </x:row>
    <x:row r="3270">
      <x:c r="A3270" t="str">
        <x:v>6c131df0-17de-4f85-8bc3-5b4d73834021</x:v>
      </x:c>
      <x:c r="B3270" t="str">
        <x:v>6787cf3b-3fd7-4069-ae23-d30ae0c8066b</x:v>
      </x:c>
      <x:c r="C3270" s="9" t="str">
        <x:v>The Secretary of State for the Home Department v Akter &amp; Ors [2022] EWCA Civ 741</x:v>
      </x:c>
      <x:c r="D3270" s="9" t="str"/>
      <x:c r="E3270" s="9" t="str"/>
      <x:c r="F3270" s="13" t="str">
        <x:v>2022</x:v>
      </x:c>
      <x:c r="G3270" s="9" t="str">
        <x:v>England and Wales Court of Appeal (Civil Division)</x:v>
      </x:c>
      <x:c r="H3270" s="9" t="str">
        <x:v>Court of Appeal (Civil Division)</x:v>
      </x:c>
      <x:c r="I3270" s="9" t="str">
        <x:v>England and Wales</x:v>
      </x:c>
      <x:c r="J3270" s="9" t="str">
        <x:v>Immigration Law</x:v>
      </x:c>
      <x:c r="K3270" s="9" t="str">
        <x:v>ew-cases-EWCA-Civ-2022-741.xml</x:v>
      </x:c>
      <x:c r="L3270" s="9" t="str">
        <x:v>TBA</x:v>
      </x:c>
    </x:row>
    <x:row r="3271">
      <x:c r="A3271" t="str">
        <x:v>18847b77-ef63-4690-99c9-59575fc7b955</x:v>
      </x:c>
      <x:c r="B3271" t="str">
        <x:v>2fb0055f-7009-41df-8b3a-bbeadc167197</x:v>
      </x:c>
      <x:c r="C3271" s="9" t="str">
        <x:v>The Secretary of State for the Home Department v Ali</x:v>
      </x:c>
      <x:c r="D3271" s="9" t="str"/>
      <x:c r="E3271" s="9" t="str"/>
      <x:c r="F3271" s="13" t="str">
        <x:v>2021</x:v>
      </x:c>
      <x:c r="G3271" s="9" t="str">
        <x:v>England and Wales Court of Appeal (Civil Division)</x:v>
      </x:c>
      <x:c r="H3271" s="9" t="str">
        <x:v>Appellate</x:v>
      </x:c>
      <x:c r="I3271" s="9" t="str">
        <x:v>United Kingdom</x:v>
      </x:c>
      <x:c r="J3271" s="9" t="str">
        <x:v>Immigration Law</x:v>
      </x:c>
      <x:c r="K3271" s="9" t="str">
        <x:v>ew-cases-EWCA-Civ-2021-1357.xml</x:v>
      </x:c>
      <x:c r="L3271" s="9" t="str">
        <x:v>TBA</x:v>
      </x:c>
    </x:row>
    <x:row r="3272">
      <x:c r="A3272" t="str">
        <x:v>58a3b638-377b-4714-9e97-e87786d3b2e2</x:v>
      </x:c>
      <x:c r="B3272" t="str">
        <x:v>fa87b5d2-bccf-48d6-82fb-b7a15d87f85a</x:v>
      </x:c>
      <x:c r="C3272" s="9" t="str">
        <x:v>The Secretary of State for the Home Department v AM (Jamaica)</x:v>
      </x:c>
      <x:c r="D3272" s="9" t="str"/>
      <x:c r="E3272" s="9" t="str"/>
      <x:c r="F3272" s="13" t="str">
        <x:v>2017</x:v>
      </x:c>
      <x:c r="G3272" s="9" t="str">
        <x:v>England and Wales Court of Appeal (Civil Division)</x:v>
      </x:c>
      <x:c r="H3272" s="9" t="str">
        <x:v>Appellate</x:v>
      </x:c>
      <x:c r="I3272" s="9" t="str">
        <x:v>England and Wales</x:v>
      </x:c>
      <x:c r="J3272" s="9" t="str">
        <x:v>Immigration Law</x:v>
      </x:c>
      <x:c r="K3272" s="9" t="str">
        <x:v>-ew-cases-EWCA-Civ-2017-1782.xml</x:v>
      </x:c>
      <x:c r="L3272" s="9" t="str">
        <x:v>TBA</x:v>
      </x:c>
    </x:row>
    <x:row r="3273">
      <x:c r="A3273" t="str">
        <x:v>fb90bcf4-5f82-40ba-9fd1-c03f96ed9fc8</x:v>
      </x:c>
      <x:c r="B3273" t="str">
        <x:v>51e0ec1d-41d4-4e27-ad85-2975a3b58dde</x:v>
      </x:c>
      <x:c r="C3273" s="9" t="str">
        <x:v>The Secretary of State for the Home Department v Begum [2016] EWCA Civ 122 (03 March 2016)</x:v>
      </x:c>
      <x:c r="D3273" s="9" t="str"/>
      <x:c r="E3273" s="9" t="str"/>
      <x:c r="F3273" s="13" t="str">
        <x:v>2016</x:v>
      </x:c>
      <x:c r="G3273" s="9" t="str">
        <x:v>England and Wales Court of Appeal (Civil Division)</x:v>
      </x:c>
      <x:c r="H3273" s="9" t="str">
        <x:v>Court of Appeal (Civil Division)</x:v>
      </x:c>
      <x:c r="I3273" s="9" t="str">
        <x:v>England and Wales</x:v>
      </x:c>
      <x:c r="J3273" s="9" t="str">
        <x:v>Civil Appeal / Public Law (Immigration)</x:v>
      </x:c>
      <x:c r="K3273" s="9" t="str">
        <x:v>-ew-cases-EWCA-Civ-2016-122.xml</x:v>
      </x:c>
      <x:c r="L3273" s="9" t="str">
        <x:v>TBA</x:v>
      </x:c>
    </x:row>
    <x:row r="3274">
      <x:c r="A3274" t="str">
        <x:v>6dc74d1a-22d8-4a13-8db1-035c4abf80c2</x:v>
      </x:c>
      <x:c r="B3274" t="str">
        <x:v>65489345-9731-4612-8d3e-49446b466ccc</x:v>
      </x:c>
      <x:c r="C3274" s="9" t="str">
        <x:v>The Secretary of State for the Home Department v Boyd [2015] EWCA Civ 1190</x:v>
      </x:c>
      <x:c r="D3274" s="9" t="str"/>
      <x:c r="E3274" s="9" t="str"/>
      <x:c r="F3274" s="13" t="str">
        <x:v>2015</x:v>
      </x:c>
      <x:c r="G3274" s="9" t="str">
        <x:v>England and Wales Court of Appeal (Civil Division)</x:v>
      </x:c>
      <x:c r="H3274" s="9" t="str">
        <x:v>Appellate</x:v>
      </x:c>
      <x:c r="I3274" s="9" t="str">
        <x:v>England and Wales</x:v>
      </x:c>
      <x:c r="J3274" s="9" t="str">
        <x:v>Immigration and Deportation</x:v>
      </x:c>
      <x:c r="K3274" s="9" t="str">
        <x:v>-ew-cases-EWCA-Civ-2015-1190.xml</x:v>
      </x:c>
      <x:c r="L3274" s="9" t="str">
        <x:v>TBA</x:v>
      </x:c>
    </x:row>
    <x:row r="3275">
      <x:c r="A3275" t="str">
        <x:v>83104d0a-fa39-4f17-ab22-2fa249f3ce21</x:v>
      </x:c>
      <x:c r="B3275" t="str">
        <x:v>22d72600-f788-4dec-816a-1bac44f0043d</x:v>
      </x:c>
      <x:c r="C3275" s="9" t="str">
        <x:v>The Secretary of State for the Home Department v CT (Vietnam) [2016] EWCA Civ 488</x:v>
      </x:c>
      <x:c r="D3275" s="9" t="str"/>
      <x:c r="E3275" s="9" t="str"/>
      <x:c r="F3275" s="13" t="str">
        <x:v>2016</x:v>
      </x:c>
      <x:c r="G3275" s="9" t="str">
        <x:v>England and Wales Court of Appeal (Civil Division)</x:v>
      </x:c>
      <x:c r="H3275" s="9" t="str">
        <x:v>Court of Appeal (Civil Division)</x:v>
      </x:c>
      <x:c r="I3275" s="9" t="str">
        <x:v>England and Wales</x:v>
      </x:c>
      <x:c r="J3275" s="9" t="str">
        <x:v>Immigration Law - Deportation</x:v>
      </x:c>
      <x:c r="K3275" s="9" t="str">
        <x:v>-ew-cases-EWCA-Civ-2016-488.xml</x:v>
      </x:c>
      <x:c r="L3275" s="9" t="str">
        <x:v>TBA</x:v>
      </x:c>
    </x:row>
    <x:row r="3276">
      <x:c r="A3276" t="str">
        <x:v>ff5e4fde-4ca1-4e33-80b6-6312376f0261</x:v>
      </x:c>
      <x:c r="B3276" t="str">
        <x:v>8fa1b0c8-5cf9-4579-ac19-2e3a3b5ee736</x:v>
      </x:c>
      <x:c r="C3276" s="9" t="str">
        <x:v>The Secretary of State for the Home Department v DB (Jamaica) [2017] EWCA Civ 440</x:v>
      </x:c>
      <x:c r="D3276" s="9" t="str"/>
      <x:c r="E3276" s="9" t="str"/>
      <x:c r="F3276" s="13" t="str">
        <x:v>2017</x:v>
      </x:c>
      <x:c r="G3276" s="9" t="str">
        <x:v>England and Wales Court of Appeal (Civil Division)</x:v>
      </x:c>
      <x:c r="H3276" s="9" t="str">
        <x:v>Appellate</x:v>
      </x:c>
      <x:c r="I3276" s="9" t="str">
        <x:v>England and Wales</x:v>
      </x:c>
      <x:c r="J3276" s="9" t="str">
        <x:v>Immigration</x:v>
      </x:c>
      <x:c r="K3276" s="9" t="str">
        <x:v>-ew-cases-EWCA-Civ-2017-440.xml</x:v>
      </x:c>
      <x:c r="L3276" s="9" t="str">
        <x:v>TBA</x:v>
      </x:c>
    </x:row>
    <x:row r="3277">
      <x:c r="A3277" t="str">
        <x:v>7966900d-1f18-4105-95d7-81395437f3f8</x:v>
      </x:c>
      <x:c r="B3277" t="str">
        <x:v>fef99d48-c0b9-4d02-a835-f070d0242a82</x:v>
      </x:c>
      <x:c r="C3277" s="9" t="str">
        <x:v>The Secretary of State for the Home Department v JM (Zimbabwe)</x:v>
      </x:c>
      <x:c r="D3277" s="9" t="str"/>
      <x:c r="E3277" s="9" t="str"/>
      <x:c r="F3277" s="13" t="str">
        <x:v>2017</x:v>
      </x:c>
      <x:c r="G3277" s="9" t="str">
        <x:v>England and Wales Court of Appeal (Civil Division)</x:v>
      </x:c>
      <x:c r="H3277" s="9" t="str">
        <x:v>Appellate</x:v>
      </x:c>
      <x:c r="I3277" s="9" t="str">
        <x:v>England and Wales</x:v>
      </x:c>
      <x:c r="J3277" s="9" t="str">
        <x:v>Administrative Law</x:v>
      </x:c>
      <x:c r="K3277" s="9" t="str">
        <x:v>-ew-cases-EWCA-Civ-2017-1669.xml</x:v>
      </x:c>
      <x:c r="L3277" s="9" t="str">
        <x:v>TBA</x:v>
      </x:c>
    </x:row>
    <x:row r="3278">
      <x:c r="A3278" t="str">
        <x:v>cef3e3ff-3061-4c9e-8596-53c845911c99</x:v>
      </x:c>
      <x:c r="B3278" t="str">
        <x:v>8e259e11-29cd-4422-95b0-dbaa21b2a488</x:v>
      </x:c>
      <x:c r="C3278" s="9" t="str">
        <x:v>The Secretary of State for the Home Department v JZ (Zambia) [2016] EWCA Civ 116</x:v>
      </x:c>
      <x:c r="D3278" s="9" t="str"/>
      <x:c r="E3278" s="9" t="str"/>
      <x:c r="F3278" s="13" t="str">
        <x:v>2016</x:v>
      </x:c>
      <x:c r="G3278" s="9" t="str">
        <x:v>England and Wales Court of Appeal (Civil Division)</x:v>
      </x:c>
      <x:c r="H3278" s="9" t="str">
        <x:v>Court of Appeal</x:v>
      </x:c>
      <x:c r="I3278" s="9" t="str">
        <x:v>England and Wales</x:v>
      </x:c>
      <x:c r="J3278" s="9" t="str">
        <x:v>Administrative Law; Immigration Law; Human Rights</x:v>
      </x:c>
      <x:c r="K3278" s="9" t="str">
        <x:v>-ew-cases-EWCA-Civ-2016-116.xml</x:v>
      </x:c>
      <x:c r="L3278" s="9" t="str">
        <x:v>TBA</x:v>
      </x:c>
    </x:row>
    <x:row r="3279">
      <x:c r="A3279" t="str">
        <x:v>d36d75e9-00b3-4891-8626-e42552527901</x:v>
      </x:c>
      <x:c r="B3279" t="str">
        <x:v>4f83952b-7f9e-4db4-b2e9-d7ec74614037</x:v>
      </x:c>
      <x:c r="C3279" s="9" t="str">
        <x:v>The Secretary of State for the Home Department v KE (Nigeria) [2017] EWCA Civ 1382</x:v>
      </x:c>
      <x:c r="D3279" s="9" t="str"/>
      <x:c r="E3279" s="9" t="str"/>
      <x:c r="F3279" s="13" t="str">
        <x:v>2017</x:v>
      </x:c>
      <x:c r="G3279" s="9" t="str">
        <x:v>England and Wales Court of Appeal (Civil Division)</x:v>
      </x:c>
      <x:c r="H3279" s="9" t="str">
        <x:v>Appellate</x:v>
      </x:c>
      <x:c r="I3279" s="9" t="str">
        <x:v>England and Wales</x:v>
      </x:c>
      <x:c r="J3279" s="9" t="str">
        <x:v>Immigration Law</x:v>
      </x:c>
      <x:c r="K3279" s="9" t="str">
        <x:v>-ew-cases-EWCA-Civ-2017-1382.xml</x:v>
      </x:c>
      <x:c r="L3279" s="9" t="str">
        <x:v>TBA</x:v>
      </x:c>
    </x:row>
    <x:row r="3280">
      <x:c r="A3280" t="str">
        <x:v>d9462348-076d-4bf1-b1cc-382341840792</x:v>
      </x:c>
      <x:c r="B3280" t="str">
        <x:v>7959912b-78a7-4c2f-bd7a-6f6f4c16add3</x:v>
      </x:c>
      <x:c r="C3280" s="9" t="str">
        <x:v>The Secretary of State for the Home Department v KG (India) [2016] EWCA Civ 477</x:v>
      </x:c>
      <x:c r="D3280" s="9" t="str"/>
      <x:c r="E3280" s="9" t="str"/>
      <x:c r="F3280" s="13" t="str">
        <x:v>2016</x:v>
      </x:c>
      <x:c r="G3280" s="9" t="str">
        <x:v>England and Wales Court of Appeal (Civil Division)</x:v>
      </x:c>
      <x:c r="H3280" s="9" t="str">
        <x:v>Court of Appeal (Civil Division)</x:v>
      </x:c>
      <x:c r="I3280" s="9" t="str">
        <x:v>England and Wales</x:v>
      </x:c>
      <x:c r="J3280" s="9" t="str">
        <x:v>Immigration Law</x:v>
      </x:c>
      <x:c r="K3280" s="9" t="str">
        <x:v>-ew-cases-EWCA-Civ-2016-477.xml</x:v>
      </x:c>
      <x:c r="L3280" s="9" t="str">
        <x:v>TBA</x:v>
      </x:c>
    </x:row>
    <x:row r="3281">
      <x:c r="A3281" t="str">
        <x:v>5a121d4e-1f64-4d37-b62d-02e5b5d1e870</x:v>
      </x:c>
      <x:c r="B3281" t="str">
        <x:v>59f6c8c3-0b53-4a75-bb4e-6b4c9479e5c4</x:v>
      </x:c>
      <x:c r="C3281" s="9" t="str">
        <x:v>The Secretary of State for the Home Department v Mandibaya</x:v>
      </x:c>
      <x:c r="D3281" s="9" t="str"/>
      <x:c r="E3281" s="9" t="str"/>
      <x:c r="F3281" s="13" t="str">
        <x:v>2017</x:v>
      </x:c>
      <x:c r="G3281" s="9" t="str">
        <x:v>England and Wales Court of Appeal (Civil Division)</x:v>
      </x:c>
      <x:c r="H3281" s="9" t="str">
        <x:v>Appellate</x:v>
      </x:c>
      <x:c r="I3281" s="9" t="str">
        <x:v>United Kingdom</x:v>
      </x:c>
      <x:c r="J3281" s="9" t="str">
        <x:v>Immigration Law</x:v>
      </x:c>
      <x:c r="K3281" s="9" t="str">
        <x:v>-ew-cases-EWCA-Civ-2017-1002.xml</x:v>
      </x:c>
      <x:c r="L3281" s="9" t="str">
        <x:v>TBA</x:v>
      </x:c>
    </x:row>
    <x:row r="3282">
      <x:c r="A3282" t="str">
        <x:v>e23b7c28-632e-494e-83eb-778421fa7526</x:v>
      </x:c>
      <x:c r="B3282" t="str">
        <x:v>ed5f42d2-41ba-44db-910f-0f45a403a616</x:v>
      </x:c>
      <x:c r="C3282" s="9" t="str">
        <x:v>The Secretary of State for the Home Department v MM (Zimbabwe) [2017] EWCA Civ 797</x:v>
      </x:c>
      <x:c r="D3282" s="9" t="str"/>
      <x:c r="E3282" s="9" t="str"/>
      <x:c r="F3282" s="13" t="str">
        <x:v>2017</x:v>
      </x:c>
      <x:c r="G3282" s="9" t="str">
        <x:v>England and Wales Court of Appeal (Civil Division)</x:v>
      </x:c>
      <x:c r="H3282" s="9" t="str">
        <x:v>Appellate</x:v>
      </x:c>
      <x:c r="I3282" s="9" t="str">
        <x:v>England and Wales</x:v>
      </x:c>
      <x:c r="J3282" s="9" t="str">
        <x:v>Immigration Law</x:v>
      </x:c>
      <x:c r="K3282" s="9" t="str">
        <x:v>-ew-cases-EWCA-Civ-2017-797.xml</x:v>
      </x:c>
      <x:c r="L3282" s="9" t="str">
        <x:v>TBA</x:v>
      </x:c>
    </x:row>
    <x:row r="3283">
      <x:c r="A3283" t="str">
        <x:v>da845fd5-b9e7-4243-844a-cc766fe329d2</x:v>
      </x:c>
      <x:c r="B3283" t="str">
        <x:v>9fd2d90b-2325-419f-8eb8-65c445af1ab1</x:v>
      </x:c>
      <x:c r="C3283" s="9" t="str">
        <x:v>The Secretary of State for the Home Department v Mosira</x:v>
      </x:c>
      <x:c r="D3283" s="9" t="str"/>
      <x:c r="E3283" s="9" t="str"/>
      <x:c r="F3283" s="13" t="str">
        <x:v>2017</x:v>
      </x:c>
      <x:c r="G3283" s="9" t="str">
        <x:v>England and Wales Court of Appeal (Civil Division)</x:v>
      </x:c>
      <x:c r="H3283" s="9" t="str">
        <x:v>Appellate</x:v>
      </x:c>
      <x:c r="I3283" s="9" t="str">
        <x:v>England &amp; Wales</x:v>
      </x:c>
      <x:c r="J3283" s="9" t="str">
        <x:v>Immigration Appeal</x:v>
      </x:c>
      <x:c r="K3283" s="9" t="str">
        <x:v>-ew-cases-EWCA-Civ-2017-407.xml</x:v>
      </x:c>
      <x:c r="L3283" s="9" t="str">
        <x:v>TBA</x:v>
      </x:c>
    </x:row>
    <x:row r="3284">
      <x:c r="A3284" t="str">
        <x:v>e25a102f-8750-4717-baeb-68c88a04fc9d</x:v>
      </x:c>
      <x:c r="B3284" t="str">
        <x:v>2311d018-6071-4257-894e-096fde7df089</x:v>
      </x:c>
      <x:c r="C3284" s="9" t="str">
        <x:v>The Secretary of State for the Home Department v RM (Pakistan) [2021] EWCA Civ 1754</x:v>
      </x:c>
      <x:c r="D3284" s="9" t="str"/>
      <x:c r="E3284" s="9" t="str"/>
      <x:c r="F3284" s="13" t="str">
        <x:v>2021</x:v>
      </x:c>
      <x:c r="G3284" s="9" t="str">
        <x:v>England and Wales Court of Appeal (Civil Division)</x:v>
      </x:c>
      <x:c r="H3284" s="9" t="str">
        <x:v>Appellate</x:v>
      </x:c>
      <x:c r="I3284" s="9" t="str">
        <x:v>England and Wales</x:v>
      </x:c>
      <x:c r="J3284" s="9" t="str">
        <x:v>Immigration Law</x:v>
      </x:c>
      <x:c r="K3284" s="9" t="str">
        <x:v>ew-cases-EWCA-Civ-2021-1754.xml</x:v>
      </x:c>
      <x:c r="L3284" s="9" t="str">
        <x:v>TBA</x:v>
      </x:c>
    </x:row>
    <x:row r="3285">
      <x:c r="A3285" t="str">
        <x:v>4dc146fc-bdb0-4d29-a22e-cff8367b66d0</x:v>
      </x:c>
      <x:c r="B3285" t="str">
        <x:v>bf494505-85a8-4740-a911-9f48446a79e1</x:v>
      </x:c>
      <x:c r="C3285" s="9" t="str">
        <x:v>The Secretary of State for the Home Department v SS (Congo) &amp; Ors</x:v>
      </x:c>
      <x:c r="D3285" s="9" t="str"/>
      <x:c r="E3285" s="9" t="str"/>
      <x:c r="F3285" s="13" t="str">
        <x:v>2015</x:v>
      </x:c>
      <x:c r="G3285" s="9" t="str">
        <x:v>England and Wales Court of Appeal (Civil Division)</x:v>
      </x:c>
      <x:c r="H3285" s="9" t="str">
        <x:v>Appellate</x:v>
      </x:c>
      <x:c r="I3285" s="9" t="str">
        <x:v>United Kingdom</x:v>
      </x:c>
      <x:c r="J3285" s="9" t="str">
        <x:v>Immigration Law</x:v>
      </x:c>
      <x:c r="K3285" s="9" t="str">
        <x:v>-ew-cases-EWCA-Civ-2015-387.xml</x:v>
      </x:c>
      <x:c r="L3285" s="9" t="str">
        <x:v>TBA</x:v>
      </x:c>
    </x:row>
    <x:row r="3286">
      <x:c r="A3286" t="str">
        <x:v>a60a2c43-f8a8-434b-a8ed-1b43b446ea5a</x:v>
      </x:c>
      <x:c r="B3286" t="str">
        <x:v>79daf86e-8c1a-4ed9-aaf4-7d8d917b0669</x:v>
      </x:c>
      <x:c r="C3286" s="9" t="str">
        <x:v>The Secretary of State for the Home Department v SU [2017] EWCA Civ 1069</x:v>
      </x:c>
      <x:c r="D3286" s="9" t="str"/>
      <x:c r="E3286" s="9" t="str"/>
      <x:c r="F3286" s="13" t="str">
        <x:v>2017</x:v>
      </x:c>
      <x:c r="G3286" s="9" t="str">
        <x:v>England and Wales Court of Appeal (Civil Division)</x:v>
      </x:c>
      <x:c r="H3286" s="9" t="str">
        <x:v>Appellate</x:v>
      </x:c>
      <x:c r="I3286" s="9" t="str">
        <x:v>England and Wales</x:v>
      </x:c>
      <x:c r="J3286" s="9" t="str">
        <x:v>Immigration Law</x:v>
      </x:c>
      <x:c r="K3286" s="9" t="str">
        <x:v>-ew-cases-EWCA-Civ-2017-1069.xml</x:v>
      </x:c>
      <x:c r="L3286" s="9" t="str">
        <x:v>TBA</x:v>
      </x:c>
    </x:row>
    <x:row r="3287">
      <x:c r="A3287" t="str">
        <x:v>0cc67a2e-7da0-416c-95f5-44b286081f45</x:v>
      </x:c>
      <x:c r="B3287" t="str">
        <x:v>24f085a5-06e1-4cd4-8c2d-f11d7a7e820d</x:v>
      </x:c>
      <x:c r="C3287" s="9" t="str">
        <x:v>The Secretary of State for the Home Department v Tariq [2021] EWCA Civ 378</x:v>
      </x:c>
      <x:c r="D3287" s="9" t="str"/>
      <x:c r="E3287" s="9" t="str"/>
      <x:c r="F3287" s="13" t="str">
        <x:v>2021</x:v>
      </x:c>
      <x:c r="G3287" s="9" t="str">
        <x:v>England and Wales Court of Appeal (Civil Division)</x:v>
      </x:c>
      <x:c r="H3287" s="9" t="str">
        <x:v>Appellate</x:v>
      </x:c>
      <x:c r="I3287" s="9" t="str">
        <x:v>England and Wales</x:v>
      </x:c>
      <x:c r="J3287" s="9" t="str">
        <x:v>Citizenship Law</x:v>
      </x:c>
      <x:c r="K3287" s="9" t="str">
        <x:v>ew-cases-EWCA-Civ-2021-378.xml</x:v>
      </x:c>
      <x:c r="L3287" s="9" t="str">
        <x:v>TBA</x:v>
      </x:c>
    </x:row>
    <x:row r="3288">
      <x:c r="A3288" t="str">
        <x:v>12d89616-4d22-49d4-8b64-011ab3b37193</x:v>
      </x:c>
      <x:c r="B3288" t="str">
        <x:v>0c4ece8b-03f9-41f4-ac8b-ff88b5c1f238</x:v>
      </x:c>
      <x:c r="C3288" s="9" t="str">
        <x:v>The Secretary of State for the Home Department v VC (Sri Lanka) [2017] EWCA Civ 1967</x:v>
      </x:c>
      <x:c r="D3288" s="9" t="str"/>
      <x:c r="E3288" s="9" t="str"/>
      <x:c r="F3288" s="13" t="str">
        <x:v>2017</x:v>
      </x:c>
      <x:c r="G3288" s="9" t="str">
        <x:v>England and Wales Court of Appeal (Civil Division)</x:v>
      </x:c>
      <x:c r="H3288" s="9" t="str">
        <x:v>Appellate</x:v>
      </x:c>
      <x:c r="I3288" s="9" t="str">
        <x:v>England and Wales</x:v>
      </x:c>
      <x:c r="J3288" s="9" t="str">
        <x:v>Immigration Law</x:v>
      </x:c>
      <x:c r="K3288" s="9" t="str">
        <x:v>-ew-cases-EWCA-Civ-2017-1967.xml</x:v>
      </x:c>
      <x:c r="L3288" s="9" t="str">
        <x:v>TBA</x:v>
      </x:c>
    </x:row>
    <x:row r="3289">
      <x:c r="A3289" t="str">
        <x:v>f7428f14-b5d7-4dcb-bedd-89466bf9408a</x:v>
      </x:c>
      <x:c r="B3289" t="str">
        <x:v>54834dfe-dcd9-457a-8f9c-474447a8d39b</x:v>
      </x:c>
      <x:c r="C3289" s="9" t="str">
        <x:v>The Secretary of State for the Home Department v ZP (India)</x:v>
      </x:c>
      <x:c r="D3289" s="9" t="str"/>
      <x:c r="E3289" s="9" t="str"/>
      <x:c r="F3289" s="13" t="str">
        <x:v>2015</x:v>
      </x:c>
      <x:c r="G3289" s="9" t="str">
        <x:v>England and Wales Court of Appeal (Civil Division)</x:v>
      </x:c>
      <x:c r="H3289" s="9" t="str">
        <x:v>Appellate</x:v>
      </x:c>
      <x:c r="I3289" s="9" t="str">
        <x:v>England and Wales</x:v>
      </x:c>
      <x:c r="J3289" s="9" t="str">
        <x:v>Civil Appeal</x:v>
      </x:c>
      <x:c r="K3289" s="9" t="str">
        <x:v>-ew-cases-EWCA-Civ-2015-1197.xml</x:v>
      </x:c>
      <x:c r="L3289" s="9" t="str">
        <x:v>TBA</x:v>
      </x:c>
    </x:row>
    <x:row r="3290">
      <x:c r="A3290" t="str">
        <x:v>c0063b94-6888-4058-84a2-769447b6e070</x:v>
      </x:c>
      <x:c r="B3290" t="str">
        <x:v>aeeec773-897a-43bf-a319-7d0c8a133974</x:v>
      </x:c>
      <x:c r="C3290" s="9" t="str">
        <x:v>The Secretary of State for Transport &amp; Anor v Cuciurean [2022] EWCA Civ 661</x:v>
      </x:c>
      <x:c r="D3290" s="9" t="str"/>
      <x:c r="E3290" s="9" t="str"/>
      <x:c r="F3290" s="13" t="str">
        <x:v>2022</x:v>
      </x:c>
      <x:c r="G3290" s="9" t="str">
        <x:v>England and Wales Court of Appeal (Civil Division)</x:v>
      </x:c>
      <x:c r="H3290" s="9" t="str">
        <x:v>Court of Appeal (Civil Division)</x:v>
      </x:c>
      <x:c r="I3290" s="9" t="str">
        <x:v>England and Wales</x:v>
      </x:c>
      <x:c r="J3290" s="9" t="str">
        <x:v>Civil Contempt and Costs in Contempt of Court</x:v>
      </x:c>
      <x:c r="K3290" s="9" t="str">
        <x:v>ew-cases-EWCA-Civ-2022-661.xml</x:v>
      </x:c>
      <x:c r="L3290" s="9" t="str">
        <x:v>TBA</x:v>
      </x:c>
    </x:row>
    <x:row r="3291">
      <x:c r="A3291" t="str">
        <x:v>9c246b8c-9873-4273-bdb8-ef51a39c1e28</x:v>
      </x:c>
      <x:c r="B3291" t="str">
        <x:v>8f9cc2d7-6878-4170-a18a-5142fa7e7bfa</x:v>
      </x:c>
      <x:c r="C3291" s="9" t="str">
        <x:v>The Secretary of State for Work And Pensions v Akhtar</x:v>
      </x:c>
      <x:c r="D3291" s="9" t="str"/>
      <x:c r="E3291" s="9" t="str"/>
      <x:c r="F3291" s="13" t="str">
        <x:v>2021</x:v>
      </x:c>
      <x:c r="G3291" s="9" t="str">
        <x:v>England and Wales Court of Appeal (Civil Division)</x:v>
      </x:c>
      <x:c r="H3291" s="9" t="str">
        <x:v>Appellate</x:v>
      </x:c>
      <x:c r="I3291" s="9" t="str">
        <x:v>England and Wales</x:v>
      </x:c>
      <x:c r="J3291" s="9" t="str">
        <x:v>Administrative Law</x:v>
      </x:c>
      <x:c r="K3291" s="9" t="str">
        <x:v>ew-cases-EWCA-Civ-2021-1353.xml</x:v>
      </x:c>
      <x:c r="L3291" s="9" t="str">
        <x:v>TBA</x:v>
      </x:c>
    </x:row>
    <x:row r="3292">
      <x:c r="A3292" t="str">
        <x:v>3e22b551-0af8-4e57-a011-195ef53fce96</x:v>
      </x:c>
      <x:c r="B3292" t="str">
        <x:v>f48cd510-82e8-4045-a96b-3f16988265aa</x:v>
      </x:c>
      <x:c r="C3292" s="9" t="str">
        <x:v>The Secretary of State for Work and Pensions v Fileccia</x:v>
      </x:c>
      <x:c r="D3292" s="9" t="str"/>
      <x:c r="E3292" s="9" t="str"/>
      <x:c r="F3292" s="13" t="str">
        <x:v>2017</x:v>
      </x:c>
      <x:c r="G3292" s="9" t="str">
        <x:v>England and Wales Court of Appeal (Civil Division)</x:v>
      </x:c>
      <x:c r="H3292" s="9" t="str">
        <x:v>Appellate</x:v>
      </x:c>
      <x:c r="I3292" s="9" t="str">
        <x:v>United Kingdom</x:v>
      </x:c>
      <x:c r="J3292" s="9" t="str">
        <x:v>Administrative Law</x:v>
      </x:c>
      <x:c r="K3292" s="9" t="str">
        <x:v>-ew-cases-EWCA-Civ-2017-1907.xml</x:v>
      </x:c>
      <x:c r="L3292" s="9" t="str">
        <x:v>TBA</x:v>
      </x:c>
    </x:row>
    <x:row r="3293">
      <x:c r="A3293" t="str">
        <x:v>ca6708e7-4521-4bcc-b284-a3ec48102b67</x:v>
      </x:c>
      <x:c r="B3293" t="str">
        <x:v>15cff72f-4eeb-4b1e-8b22-9b91b389f721</x:v>
      </x:c>
      <x:c r="C3293" s="9" t="str">
        <x:v>The Secretary of State for Work and Pensions v Garland [2014] EWCA Civ 1550</x:v>
      </x:c>
      <x:c r="D3293" s="9" t="str"/>
      <x:c r="E3293" s="9" t="str"/>
      <x:c r="F3293" s="13" t="str">
        <x:v>2014</x:v>
      </x:c>
      <x:c r="G3293" s="9" t="str">
        <x:v>England and Wales Court of Appeal (Civil Division)</x:v>
      </x:c>
      <x:c r="H3293" s="9" t="str">
        <x:v>Appellate</x:v>
      </x:c>
      <x:c r="I3293" s="9" t="str">
        <x:v>England and Wales</x:v>
      </x:c>
      <x:c r="J3293" s="9" t="str">
        <x:v>Pension Law</x:v>
      </x:c>
      <x:c r="K3293" s="9" t="str">
        <x:v>-ew-cases-EWCA-Civ-2014-1550.xml</x:v>
      </x:c>
      <x:c r="L3293" s="9" t="str">
        <x:v>TBA</x:v>
      </x:c>
    </x:row>
    <x:row r="3294">
      <x:c r="A3294" t="str">
        <x:v>5c454b56-6792-41af-a6cf-10647798fe1e</x:v>
      </x:c>
      <x:c r="B3294" t="str">
        <x:v>299f9264-4df4-4299-8053-2c4c7fc5cc90</x:v>
      </x:c>
      <x:c r="C3294" s="9" t="str">
        <x:v>The Secretary of State for Work and Pensions v Gubeladze</x:v>
      </x:c>
      <x:c r="D3294" s="9" t="str"/>
      <x:c r="E3294" s="9" t="str"/>
      <x:c r="F3294" s="13" t="str">
        <x:v>2017</x:v>
      </x:c>
      <x:c r="G3294" s="9" t="str">
        <x:v>England and Wales Court of Appeal (Civil Division)</x:v>
      </x:c>
      <x:c r="H3294" s="9" t="str">
        <x:v>Appellate</x:v>
      </x:c>
      <x:c r="I3294" s="9" t="str">
        <x:v>England and Wales</x:v>
      </x:c>
      <x:c r="J3294" s="9" t="str">
        <x:v>Administrative Law</x:v>
      </x:c>
      <x:c r="K3294" s="9" t="str">
        <x:v>-ew-cases-EWCA-Civ-2017-1751.xml</x:v>
      </x:c>
      <x:c r="L3294" s="9" t="str">
        <x:v>TBA</x:v>
      </x:c>
    </x:row>
    <x:row r="3295">
      <x:c r="A3295" t="str">
        <x:v>312aedb4-78fe-4264-82f7-d6ea3e009623</x:v>
      </x:c>
      <x:c r="B3295" t="str">
        <x:v>0c6c0283-f6eb-4899-994d-9f6c590ba5f1</x:v>
      </x:c>
      <x:c r="C3295" s="9" t="str">
        <x:v>The South West Strategic Health Authority v Bay Island Voyages [2015] EWCA Civ 708</x:v>
      </x:c>
      <x:c r="D3295" s="9" t="str"/>
      <x:c r="E3295" s="9" t="str"/>
      <x:c r="F3295" s="13" t="str">
        <x:v>2015</x:v>
      </x:c>
      <x:c r="G3295" s="9" t="str">
        <x:v>England and Wales Court of Appeal (Civil Division)</x:v>
      </x:c>
      <x:c r="H3295" s="9" t="str">
        <x:v>Appellate</x:v>
      </x:c>
      <x:c r="I3295" s="9" t="str">
        <x:v>England and Wales</x:v>
      </x:c>
      <x:c r="J3295" s="9" t="str">
        <x:v>Tort</x:v>
      </x:c>
      <x:c r="K3295" s="9" t="str">
        <x:v>-ew-cases-EWCA-Civ-2015-708.xml</x:v>
      </x:c>
      <x:c r="L3295" s="9" t="str">
        <x:v>TBA</x:v>
      </x:c>
    </x:row>
    <x:row r="3296">
      <x:c r="A3296" t="str">
        <x:v>1785fe55-b64c-46b0-9f3c-12f305970db0</x:v>
      </x:c>
      <x:c r="B3296" t="str">
        <x:v>ee5ed42e-d552-49f7-ae34-ee6ddf99593b</x:v>
      </x:c>
      <x:c r="C3296" s="9" t="str">
        <x:v>The United States of America v Nolan</x:v>
      </x:c>
      <x:c r="D3296" s="9" t="str"/>
      <x:c r="E3296" s="9" t="str"/>
      <x:c r="F3296" s="13" t="str">
        <x:v>2014</x:v>
      </x:c>
      <x:c r="G3296" s="9" t="str">
        <x:v>England and Wales Court of Appeal (Civil Division)</x:v>
      </x:c>
      <x:c r="H3296" s="9" t="str">
        <x:v>Appellate</x:v>
      </x:c>
      <x:c r="I3296" s="9" t="str">
        <x:v>England and Wales</x:v>
      </x:c>
      <x:c r="J3296" s="9" t="str">
        <x:v>Employment Law</x:v>
      </x:c>
      <x:c r="K3296" s="9" t="str">
        <x:v>-ew-cases-EWCA-Civ-2014-71.xml</x:v>
      </x:c>
      <x:c r="L3296" s="9" t="str">
        <x:v>TBA</x:v>
      </x:c>
    </x:row>
    <x:row r="3297">
      <x:c r="A3297" t="str">
        <x:v>77c6d5ca-c07d-49fc-9336-3a5827ff2de2</x:v>
      </x:c>
      <x:c r="B3297" t="str">
        <x:v>52a634fa-1c41-4d36-9288-db4b235cabfe</x:v>
      </x:c>
      <x:c r="C3297" s="9" t="str">
        <x:v>The Welsh Ministers v Price &amp; Anor</x:v>
      </x:c>
      <x:c r="D3297" s="9" t="str"/>
      <x:c r="E3297" s="9" t="str"/>
      <x:c r="F3297" s="13" t="str">
        <x:v>2017</x:v>
      </x:c>
      <x:c r="G3297" s="9" t="str">
        <x:v>England and Wales Court of Appeal (Civil Division)</x:v>
      </x:c>
      <x:c r="H3297" s="9" t="str">
        <x:v>Appellate</x:v>
      </x:c>
      <x:c r="I3297" s="9" t="str">
        <x:v>England and Wales</x:v>
      </x:c>
      <x:c r="J3297" s="9" t="str">
        <x:v>Corporate Law</x:v>
      </x:c>
      <x:c r="K3297" s="9" t="str">
        <x:v>-ew-cases-EWCA-Civ-2017-1768.xml</x:v>
      </x:c>
      <x:c r="L3297" s="9" t="str">
        <x:v>TBA</x:v>
      </x:c>
    </x:row>
    <x:row r="3298">
      <x:c r="A3298" t="str">
        <x:v>129755a7-0df1-42be-a726-64e9b2005aee</x:v>
      </x:c>
      <x:c r="B3298" t="str">
        <x:v>6a645e12-01cd-42f1-9ac8-b6050443b65b</x:v>
      </x:c>
      <x:c r="C3298" s="9" t="str">
        <x:v>The White Lion Hotel (A Partnership) v James [2021] EWCA Civ 31</x:v>
      </x:c>
      <x:c r="D3298" s="9" t="str"/>
      <x:c r="E3298" s="9" t="str"/>
      <x:c r="F3298" s="13" t="str">
        <x:v>2021</x:v>
      </x:c>
      <x:c r="G3298" s="9" t="str">
        <x:v>England and Wales Court of Appeal (Civil Division)</x:v>
      </x:c>
      <x:c r="H3298" s="9" t="str">
        <x:v>Appellate</x:v>
      </x:c>
      <x:c r="I3298" s="9" t="str">
        <x:v>England and Wales</x:v>
      </x:c>
      <x:c r="J3298" s="9" t="str">
        <x:v>Tort Law</x:v>
      </x:c>
      <x:c r="K3298" s="9" t="str">
        <x:v>ew-cases-EWCA-Civ-2021-31.xml</x:v>
      </x:c>
      <x:c r="L3298" s="9" t="str">
        <x:v>TBA</x:v>
      </x:c>
    </x:row>
    <x:row r="3299">
      <x:c r="A3299" t="str">
        <x:v>cc8b660b-801c-4ff7-9e66-69680acbe487</x:v>
      </x:c>
      <x:c r="B3299" t="str">
        <x:v>4b3413ea-c05c-4c9a-ba49-5de119e53959</x:v>
      </x:c>
      <x:c r="C3299" s="9" t="str">
        <x:v>The Woodland Trust v Loring &amp; Ors [2014] EWCA Civ 1314</x:v>
      </x:c>
      <x:c r="D3299" s="9" t="str"/>
      <x:c r="E3299" s="9" t="str"/>
      <x:c r="F3299" s="13" t="str">
        <x:v>2014</x:v>
      </x:c>
      <x:c r="G3299" s="9" t="str">
        <x:v>England and Wales Court of Appeal (Civil Division)</x:v>
      </x:c>
      <x:c r="H3299" s="9" t="str">
        <x:v>appellate</x:v>
      </x:c>
      <x:c r="I3299" s="9" t="str">
        <x:v>England and Wales</x:v>
      </x:c>
      <x:c r="J3299" s="9" t="str">
        <x:v>Estate Planning</x:v>
      </x:c>
      <x:c r="K3299" s="9" t="str">
        <x:v>-ew-cases-EWCA-Civ-2014-1314.xml</x:v>
      </x:c>
      <x:c r="L3299" s="9" t="str">
        <x:v>TBA</x:v>
      </x:c>
    </x:row>
    <x:row r="3300">
      <x:c r="A3300" t="str">
        <x:v>46b72e9b-adae-484e-9e69-4840289a951f</x:v>
      </x:c>
      <x:c r="B3300" t="str">
        <x:v>6e35844c-05e2-4652-bcd8-3f18adba3893</x:v>
      </x:c>
      <x:c r="C3300" s="9" t="str">
        <x:v>Theodossiades v Smith &amp; Ors [2015] EWCA Civ 566</x:v>
      </x:c>
      <x:c r="D3300" s="9" t="str"/>
      <x:c r="E3300" s="9" t="str"/>
      <x:c r="F3300" s="13" t="str">
        <x:v>2015</x:v>
      </x:c>
      <x:c r="G3300" s="9" t="str">
        <x:v>England and Wales Court of Appeal (Civil Division)</x:v>
      </x:c>
      <x:c r="H3300" s="9" t="str">
        <x:v>Appellate</x:v>
      </x:c>
      <x:c r="I3300" s="9" t="str">
        <x:v>England and Wales</x:v>
      </x:c>
      <x:c r="J3300" s="9" t="str">
        <x:v>Property Law</x:v>
      </x:c>
      <x:c r="K3300" s="9" t="str">
        <x:v>-ew-cases-EWCA-Civ-2015-566.xml</x:v>
      </x:c>
      <x:c r="L3300" s="9" t="str">
        <x:v>TBA</x:v>
      </x:c>
    </x:row>
    <x:row r="3301">
      <x:c r="A3301" t="str">
        <x:v>72cb0015-0391-445c-ba9d-823ba0f3fbc6</x:v>
      </x:c>
      <x:c r="B3301" t="str">
        <x:v>99c5b445-c3dc-43af-8ad1-ff4a81f96de5</x:v>
      </x:c>
      <x:c r="C3301" s="9" t="str">
        <x:v>Thevarajah v Riordan &amp; Ors [2014] EWCA Civ 14</x:v>
      </x:c>
      <x:c r="D3301" s="9" t="str"/>
      <x:c r="E3301" s="9" t="str"/>
      <x:c r="F3301" s="13" t="str">
        <x:v>2014</x:v>
      </x:c>
      <x:c r="G3301" s="9" t="str">
        <x:v>England and Wales Court of Appeal (Civil Division)</x:v>
      </x:c>
      <x:c r="H3301" s="9" t="str">
        <x:v>Appellate</x:v>
      </x:c>
      <x:c r="I3301" s="9" t="str">
        <x:v>England and Wales</x:v>
      </x:c>
      <x:c r="J3301" s="9" t="str">
        <x:v>Civil Procedure</x:v>
      </x:c>
      <x:c r="K3301" s="9" t="str">
        <x:v>-ew-cases-EWCA-Civ-2014-14.xml</x:v>
      </x:c>
      <x:c r="L3301" s="9" t="str">
        <x:v>TBA</x:v>
      </x:c>
    </x:row>
    <x:row r="3302">
      <x:c r="A3302" t="str">
        <x:v>e35954c0-c7cb-4e68-a430-b92d2a8c8841</x:v>
      </x:c>
      <x:c r="B3302" t="str">
        <x:v>be5b4e91-38ef-4caa-ae4f-eb81c3f7b722</x:v>
      </x:c>
      <x:c r="C3302" s="9" t="str">
        <x:v>Thevarajah v Riordan &amp; Ors [2015] EWCA Civ 41</x:v>
      </x:c>
      <x:c r="D3302" s="9" t="str"/>
      <x:c r="E3302" s="9" t="str"/>
      <x:c r="F3302" s="13" t="str">
        <x:v>2015</x:v>
      </x:c>
      <x:c r="G3302" s="9" t="str">
        <x:v>England and Wales Court of Appeal (Civil Division)</x:v>
      </x:c>
      <x:c r="H3302" s="9" t="str">
        <x:v>Appellate</x:v>
      </x:c>
      <x:c r="I3302" s="9" t="str">
        <x:v>England and Wales</x:v>
      </x:c>
      <x:c r="J3302" s="9" t="str">
        <x:v>Contract Dispute</x:v>
      </x:c>
      <x:c r="K3302" s="9" t="str">
        <x:v>-ew-cases-EWCA-Civ-2015-41.xml</x:v>
      </x:c>
      <x:c r="L3302" s="9" t="str">
        <x:v>TBA</x:v>
      </x:c>
    </x:row>
    <x:row r="3303">
      <x:c r="A3303" t="str">
        <x:v>fad87b50-0101-490d-93fc-694e5ce241bc</x:v>
      </x:c>
      <x:c r="B3303" t="str">
        <x:v>1ab7bd75-9b27-4ec3-917b-1bcaa53fe6a8</x:v>
      </x:c>
      <x:c r="C3303" s="9" t="str">
        <x:v>Thomas Newall Limited v Lancaster City Council [2016] EWCA Civ 31</x:v>
      </x:c>
      <x:c r="D3303" s="9" t="str"/>
      <x:c r="E3303" s="9" t="str"/>
      <x:c r="F3303" s="13" t="str">
        <x:v>2016</x:v>
      </x:c>
      <x:c r="G3303" s="9" t="str">
        <x:v>England and Wales Court of Appeal (Civil Division)</x:v>
      </x:c>
      <x:c r="H3303" s="9" t="str">
        <x:v>Court of Appeal (Civil Division)</x:v>
      </x:c>
      <x:c r="I3303" s="9" t="str">
        <x:v>England and Wales</x:v>
      </x:c>
      <x:c r="J3303" s="9" t="str">
        <x:v>Property/Compulsory Purchase</x:v>
      </x:c>
      <x:c r="K3303" s="9" t="str">
        <x:v>-ew-cases-EWCA-Civ-2016-31.xml</x:v>
      </x:c>
      <x:c r="L3303" s="9" t="str">
        <x:v>TBA</x:v>
      </x:c>
    </x:row>
    <x:row r="3304">
      <x:c r="A3304" t="str">
        <x:v>2d7cce4f-03ff-4df5-88b4-756a83e89146</x:v>
      </x:c>
      <x:c r="B3304" t="str">
        <x:v>a793d84a-001d-4173-9b9c-113d1d13494a</x:v>
      </x:c>
      <x:c r="C3304" s="9" t="str">
        <x:v>Thomas v Dawson &amp; Anor [2015] EWCA Civ 706</x:v>
      </x:c>
      <x:c r="D3304" s="9" t="str"/>
      <x:c r="E3304" s="9" t="str"/>
      <x:c r="F3304" s="13" t="str">
        <x:v>2015</x:v>
      </x:c>
      <x:c r="G3304" s="9" t="str">
        <x:v>England and Wales Court of Appeal (Civil Division)</x:v>
      </x:c>
      <x:c r="H3304" s="9" t="str">
        <x:v>Appellate</x:v>
      </x:c>
      <x:c r="I3304" s="9" t="str">
        <x:v>England and Wales</x:v>
      </x:c>
      <x:c r="J3304" s="9" t="str">
        <x:v>Company Law</x:v>
      </x:c>
      <x:c r="K3304" s="9" t="str">
        <x:v>-ew-cases-EWCA-Civ-2015-706.xml</x:v>
      </x:c>
      <x:c r="L3304" s="9" t="str">
        <x:v>TBA</x:v>
      </x:c>
    </x:row>
    <x:row r="3305">
      <x:c r="A3305" t="str">
        <x:v>8b65a78e-cea1-4aca-a978-3de12786d023</x:v>
      </x:c>
      <x:c r="B3305" t="str">
        <x:v>0c23fc23-4a82-438e-8579-7c9774beb588</x:v>
      </x:c>
      <x:c r="C3305" s="9" t="str">
        <x:v>Thomas v Hugh James Ford Simey Solicitors [2017] EWCA Civ 1303</x:v>
      </x:c>
      <x:c r="D3305" s="9" t="str"/>
      <x:c r="E3305" s="9" t="str"/>
      <x:c r="F3305" s="13" t="str">
        <x:v>2017</x:v>
      </x:c>
      <x:c r="G3305" s="9" t="str">
        <x:v>England and Wales Court of Appeal (Civil Division)</x:v>
      </x:c>
      <x:c r="H3305" s="9" t="str">
        <x:v>Appellate</x:v>
      </x:c>
      <x:c r="I3305" s="9" t="str">
        <x:v>England and Wales</x:v>
      </x:c>
      <x:c r="J3305" s="9" t="str">
        <x:v>Professional Negligence</x:v>
      </x:c>
      <x:c r="K3305" s="9" t="str">
        <x:v>-ew-cases-EWCA-Civ-2017-1303.xml</x:v>
      </x:c>
      <x:c r="L3305" s="9" t="str">
        <x:v>TBA</x:v>
      </x:c>
    </x:row>
    <x:row r="3306">
      <x:c r="A3306" t="str">
        <x:v>96e1b03c-a0e3-4184-9e1c-833e1567d360</x:v>
      </x:c>
      <x:c r="B3306" t="str">
        <x:v>2570d70a-6c09-4d61-80b1-fdccbe06f568</x:v>
      </x:c>
      <x:c r="C3306" s="9" t="str">
        <x:v>Thomas v Luv One Luv All Promotions Ltd &amp; Anor [2021] EWCA Civ 732</x:v>
      </x:c>
      <x:c r="D3306" s="9" t="str"/>
      <x:c r="E3306" s="9" t="str"/>
      <x:c r="F3306" s="13" t="str">
        <x:v>2021</x:v>
      </x:c>
      <x:c r="G3306" s="9" t="str">
        <x:v>England and Wales Court of Appeal (Civil Division)</x:v>
      </x:c>
      <x:c r="H3306" s="9" t="str">
        <x:v>Appellate</x:v>
      </x:c>
      <x:c r="I3306" s="9" t="str">
        <x:v>England and Wales</x:v>
      </x:c>
      <x:c r="J3306" s="9" t="str">
        <x:v>Intellectual Property</x:v>
      </x:c>
      <x:c r="K3306" s="9" t="str">
        <x:v>ew-cases-EWCA-Civ-2021-732.xml</x:v>
      </x:c>
      <x:c r="L3306" s="9" t="str">
        <x:v>TBA</x:v>
      </x:c>
    </x:row>
    <x:row r="3307">
      <x:c r="A3307" t="str">
        <x:v>c817e921-207f-4a1b-9e5e-d5a50a2d837c</x:v>
      </x:c>
      <x:c r="B3307" t="str">
        <x:v>4b00f2f2-f830-47f2-83ba-bab6f303d861</x:v>
      </x:c>
      <x:c r="C3307" s="9" t="str">
        <x:v>Thomas v Secretary of State for the Home Department</x:v>
      </x:c>
      <x:c r="D3307" s="9" t="str"/>
      <x:c r="E3307" s="9" t="str"/>
      <x:c r="F3307" s="13" t="str">
        <x:v>2015</x:v>
      </x:c>
      <x:c r="G3307" s="9" t="str">
        <x:v>England and Wales Court of Appeal (Civil Division)</x:v>
      </x:c>
      <x:c r="H3307" s="9" t="str">
        <x:v>Appellate</x:v>
      </x:c>
      <x:c r="I3307" s="9" t="str">
        <x:v>England and Wales</x:v>
      </x:c>
      <x:c r="J3307" s="9" t="str">
        <x:v>Immigration Law</x:v>
      </x:c>
      <x:c r="K3307" s="9" t="str">
        <x:v>-ew-cases-EWCA-Civ-2015-856.xml</x:v>
      </x:c>
      <x:c r="L3307" s="9" t="str">
        <x:v>TBA</x:v>
      </x:c>
    </x:row>
    <x:row r="3308">
      <x:c r="A3308" t="str">
        <x:v>e05b8c20-60d5-4c67-9340-1500b97924b2</x:v>
      </x:c>
      <x:c r="B3308" t="str">
        <x:v>1c2abf10-4c77-473e-8f47-6f5f638e78e1</x:v>
      </x:c>
      <x:c r="C3308" s="9" t="str">
        <x:v>Thompson v James [2014] EWCA Civ 600</x:v>
      </x:c>
      <x:c r="D3308" s="9" t="str"/>
      <x:c r="E3308" s="9" t="str"/>
      <x:c r="F3308" s="13" t="str">
        <x:v>2014</x:v>
      </x:c>
      <x:c r="G3308" s="9" t="str">
        <x:v>England and Wales Court of Appeal (Civil Division)</x:v>
      </x:c>
      <x:c r="H3308" s="9" t="str">
        <x:v>Appellate</x:v>
      </x:c>
      <x:c r="I3308" s="9" t="str">
        <x:v>United Kingdom</x:v>
      </x:c>
      <x:c r="J3308" s="9" t="str">
        <x:v>Defamation</x:v>
      </x:c>
      <x:c r="K3308" s="9" t="str">
        <x:v>-ew-cases-EWCA-Civ-2014-600.xml</x:v>
      </x:c>
      <x:c r="L3308" s="9" t="str">
        <x:v>TBA</x:v>
      </x:c>
    </x:row>
    <x:row r="3309">
      <x:c r="A3309" t="str">
        <x:v>5185dea0-1d1e-4921-a445-a623c56079c9</x:v>
      </x:c>
      <x:c r="B3309" t="str">
        <x:v>566d6d6f-50c4-4af7-944b-9a4c9bcc269d</x:v>
      </x:c>
      <x:c r="C3309" s="9" t="str">
        <x:v>Thompson v The Renwick Group Plc</x:v>
      </x:c>
      <x:c r="D3309" s="9" t="str"/>
      <x:c r="E3309" s="9" t="str"/>
      <x:c r="F3309" s="13" t="str">
        <x:v>2014</x:v>
      </x:c>
      <x:c r="G3309" s="9" t="str">
        <x:v>England and Wales Court of Appeal (Civil Division)</x:v>
      </x:c>
      <x:c r="H3309" s="9" t="str">
        <x:v>Appellate</x:v>
      </x:c>
      <x:c r="I3309" s="9" t="str">
        <x:v>England and Wales</x:v>
      </x:c>
      <x:c r="J3309" s="9" t="str">
        <x:v>Tort</x:v>
      </x:c>
      <x:c r="K3309" s="9" t="str">
        <x:v>-ew-cases-EWCA-Civ-2014-635.xml</x:v>
      </x:c>
      <x:c r="L3309" s="9" t="str">
        <x:v>TBA</x:v>
      </x:c>
    </x:row>
    <x:row r="3310">
      <x:c r="A3310" t="str">
        <x:v>c3a999ab-3c94-4a07-9749-740767dbc2d7</x:v>
      </x:c>
      <x:c r="B3310" t="str">
        <x:v>e49dc831-4142-4181-82ed-1ebfb1029b4a</x:v>
      </x:c>
      <x:c r="C3310" s="9" t="str">
        <x:v>Thorney Park Golf Ltd (t/a Laleham Golf Club) v Myers Catering Ltd [2015] EWCA Civ 19</x:v>
      </x:c>
      <x:c r="D3310" s="9" t="str"/>
      <x:c r="E3310" s="9" t="str"/>
      <x:c r="F3310" s="13" t="str">
        <x:v>2015</x:v>
      </x:c>
      <x:c r="G3310" s="9" t="str">
        <x:v>England and Wales Court of Appeal (Civil Division)</x:v>
      </x:c>
      <x:c r="H3310" s="9" t="str">
        <x:v>Appellate</x:v>
      </x:c>
      <x:c r="I3310" s="9" t="str">
        <x:v>England and Wales</x:v>
      </x:c>
      <x:c r="J3310" s="9" t="str">
        <x:v>Contract Dispute</x:v>
      </x:c>
      <x:c r="K3310" s="9" t="str">
        <x:v>-ew-cases-EWCA-Civ-2015-19.xml</x:v>
      </x:c>
      <x:c r="L3310" s="9" t="str">
        <x:v>TBA</x:v>
      </x:c>
    </x:row>
    <x:row r="3311">
      <x:c r="A3311" t="str">
        <x:v>b4c250f5-f6df-40fd-8b89-6d4202a74c30</x:v>
      </x:c>
      <x:c r="B3311" t="str">
        <x:v>cfdb261b-f20b-47f0-bfed-b11e313cbfd7</x:v>
      </x:c>
      <x:c r="C3311" s="9" t="str">
        <x:v>Thornhill v Cambridge City Council &amp; Anor [2015] EWCA Civ 340</x:v>
      </x:c>
      <x:c r="D3311" s="9" t="str"/>
      <x:c r="E3311" s="9" t="str"/>
      <x:c r="F3311" s="13" t="str">
        <x:v>2015</x:v>
      </x:c>
      <x:c r="G3311" s="9" t="str">
        <x:v>England and Wales Court of Appeal (Civil Division)</x:v>
      </x:c>
      <x:c r="H3311" s="9" t="str">
        <x:v>Appellate</x:v>
      </x:c>
      <x:c r="I3311" s="9" t="str">
        <x:v>England and Wales</x:v>
      </x:c>
      <x:c r="J3311" s="9" t="str">
        <x:v>Administrative Law</x:v>
      </x:c>
      <x:c r="K3311" s="9" t="str">
        <x:v>-ew-cases-EWCA-Civ-2015-340.xml</x:v>
      </x:c>
      <x:c r="L3311" s="9" t="str">
        <x:v>TBA</x:v>
      </x:c>
    </x:row>
    <x:row r="3312">
      <x:c r="A3312" t="str">
        <x:v>a90bdb2b-694a-4514-bbe0-8b19e85142f0</x:v>
      </x:c>
      <x:c r="B3312" t="str">
        <x:v>9034c8de-ac8c-45a1-9a63-569c390554ca</x:v>
      </x:c>
      <x:c r="C3312" s="9" t="str">
        <x:v>Thurston Parish Council, R (On the Application Of) v Mid Suffolk District Council &amp; Anor [2022] EWCA Civ 1417</x:v>
      </x:c>
      <x:c r="D3312" s="9" t="str"/>
      <x:c r="E3312" s="9" t="str"/>
      <x:c r="F3312" s="13" t="str">
        <x:v>2022</x:v>
      </x:c>
      <x:c r="G3312" s="9" t="str">
        <x:v>England and Wales Court of Appeal (Civil Division)</x:v>
      </x:c>
      <x:c r="H3312" s="9" t="str">
        <x:v>Court of Appeal (Civil Division)</x:v>
      </x:c>
      <x:c r="I3312" s="9" t="str">
        <x:v>England and Wales</x:v>
      </x:c>
      <x:c r="J3312" s="9" t="str">
        <x:v>Administrative Law / Planning and Development - Judicial Review</x:v>
      </x:c>
      <x:c r="K3312" s="9" t="str">
        <x:v>ew-cases-EWCA-Civ-2022-1417.xml</x:v>
      </x:c>
      <x:c r="L3312" s="9" t="str">
        <x:v>TBA</x:v>
      </x:c>
    </x:row>
    <x:row r="3313">
      <x:c r="A3313" t="str">
        <x:v>e54d42fd-bc6a-4262-93d7-944824b30e1f</x:v>
      </x:c>
      <x:c r="B3313" t="str">
        <x:v>7079fc72-6050-4668-ac32-14c3ce1d3b5c</x:v>
      </x:c>
      <x:c r="C3313" s="9" t="str">
        <x:v>Tibber v Buckley &amp; Anor [2015] EWCA Civ 1294</x:v>
      </x:c>
      <x:c r="D3313" s="9" t="str"/>
      <x:c r="E3313" s="9" t="str"/>
      <x:c r="F3313" s="13" t="str">
        <x:v>2015</x:v>
      </x:c>
      <x:c r="G3313" s="9" t="str">
        <x:v>England and Wales Court of Appeal (Civil Division)</x:v>
      </x:c>
      <x:c r="H3313" s="9" t="str">
        <x:v>Appellate</x:v>
      </x:c>
      <x:c r="I3313" s="9" t="str">
        <x:v>England and Wales</x:v>
      </x:c>
      <x:c r="J3313" s="9" t="str">
        <x:v>Property Law</x:v>
      </x:c>
      <x:c r="K3313" s="9" t="str">
        <x:v>-ew-cases-EWCA-Civ-2015-1294.xml</x:v>
      </x:c>
      <x:c r="L3313" s="9" t="str">
        <x:v>TBA</x:v>
      </x:c>
    </x:row>
    <x:row r="3314">
      <x:c r="A3314" t="str">
        <x:v>eb45953d-3a3b-4e16-b25d-5024a7acc461</x:v>
      </x:c>
      <x:c r="B3314" t="str">
        <x:v>e049f499-a569-49e1-96f9-8398b9364160</x:v>
      </x:c>
      <x:c r="C3314" s="9" t="str">
        <x:v>Tidal Energy Ltd v Bank of Scotland Plc</x:v>
      </x:c>
      <x:c r="D3314" s="9" t="str"/>
      <x:c r="E3314" s="9" t="str"/>
      <x:c r="F3314" s="13" t="str">
        <x:v>2014</x:v>
      </x:c>
      <x:c r="G3314" s="9" t="str">
        <x:v>England and Wales Court of Appeal (Civil Division)</x:v>
      </x:c>
      <x:c r="H3314" s="9" t="str">
        <x:v>Appellate</x:v>
      </x:c>
      <x:c r="I3314" s="9" t="str">
        <x:v>England and Wales</x:v>
      </x:c>
      <x:c r="J3314" s="9" t="str">
        <x:v>Contract Dispute</x:v>
      </x:c>
      <x:c r="K3314" s="9" t="str">
        <x:v>-ew-cases-EWCA-Civ-2014-1107.xml</x:v>
      </x:c>
      <x:c r="L3314" s="9" t="str">
        <x:v>TBA</x:v>
      </x:c>
    </x:row>
    <x:row r="3315">
      <x:c r="A3315" t="str">
        <x:v>1f5bd14e-4967-4327-973d-99115dab49a1</x:v>
      </x:c>
      <x:c r="B3315" t="str">
        <x:v>7096df92-bfaa-4604-a4a2-a6993eeb733b</x:v>
      </x:c>
      <x:c r="C3315" s="9" t="str">
        <x:v>Tidal Energy Ltd v Bank of Scotland Plc [2014] EWCA Civ 847</x:v>
      </x:c>
      <x:c r="D3315" s="9" t="str"/>
      <x:c r="E3315" s="9" t="str"/>
      <x:c r="F3315" s="13" t="str">
        <x:v>2014</x:v>
      </x:c>
      <x:c r="G3315" s="9" t="str">
        <x:v>England and Wales Court of Appeal (Civil Division)</x:v>
      </x:c>
      <x:c r="H3315" s="9" t="str">
        <x:v>Appellate</x:v>
      </x:c>
      <x:c r="I3315" s="9" t="str">
        <x:v>England and Wales</x:v>
      </x:c>
      <x:c r="J3315" s="9" t="str">
        <x:v>Civil Procedure</x:v>
      </x:c>
      <x:c r="K3315" s="9" t="str">
        <x:v>-ew-cases-EWCA-Civ-2014-847.xml</x:v>
      </x:c>
      <x:c r="L3315" s="9" t="str">
        <x:v>TBA</x:v>
      </x:c>
    </x:row>
    <x:row r="3316">
      <x:c r="A3316" t="str">
        <x:v>ce2cad11-5021-4103-8453-8782bbb31b85</x:v>
      </x:c>
      <x:c r="B3316" t="str">
        <x:v>909cf366-1cfb-4517-a3b4-e7951f8d1dfb</x:v>
      </x:c>
      <x:c r="C3316" s="9" t="str">
        <x:v>Tidal Lagoon (Swansea Bay) PLC v Secretary of State for Business, Energy and Industrial Strategy &amp; Ors [2022] EWCA Civ 1579</x:v>
      </x:c>
      <x:c r="D3316" s="9" t="str"/>
      <x:c r="E3316" s="9" t="str"/>
      <x:c r="F3316" s="13" t="str">
        <x:v>2022</x:v>
      </x:c>
      <x:c r="G3316" s="9" t="str">
        <x:v>England and Wales Court of Appeal (Civil Division)</x:v>
      </x:c>
      <x:c r="H3316" s="9" t="str">
        <x:v>Court of Appeal (Civil Division)</x:v>
      </x:c>
      <x:c r="I3316" s="9" t="str">
        <x:v>England and Wales</x:v>
      </x:c>
      <x:c r="J3316" s="9" t="str">
        <x:v>Administrative Law / Planning and Environmental Law</x:v>
      </x:c>
      <x:c r="K3316" s="9" t="str">
        <x:v>ew-cases-EWCA-Civ-2022-1579.xml</x:v>
      </x:c>
      <x:c r="L3316" s="9" t="str">
        <x:v>TBA</x:v>
      </x:c>
    </x:row>
    <x:row r="3317">
      <x:c r="A3317" t="str">
        <x:v>a8455f83-b0bb-423d-b8a8-b78cb43daf89</x:v>
      </x:c>
      <x:c r="B3317" t="str">
        <x:v>a5a9698a-8c12-4e58-9573-875fa6d1a045</x:v>
      </x:c>
      <x:c r="C3317" s="9" t="str">
        <x:v>Tiernan &amp; Ors v National Farmers Union &amp; Ors [2015] EWCA Civ 1419</x:v>
      </x:c>
      <x:c r="D3317" s="9" t="str"/>
      <x:c r="E3317" s="9" t="str"/>
      <x:c r="F3317" s="13" t="str">
        <x:v>2015</x:v>
      </x:c>
      <x:c r="G3317" s="9" t="str">
        <x:v>England and Wales Court of Appeal (Civil Division)</x:v>
      </x:c>
      <x:c r="H3317" s="9" t="str">
        <x:v>Appellate</x:v>
      </x:c>
      <x:c r="I3317" s="9" t="str">
        <x:v>England and Wales</x:v>
      </x:c>
      <x:c r="J3317" s="9" t="str">
        <x:v>Civil Contempt</x:v>
      </x:c>
      <x:c r="K3317" s="9" t="str">
        <x:v>-ew-cases-EWCA-Civ-2015-1419.xml</x:v>
      </x:c>
      <x:c r="L3317" s="9" t="str">
        <x:v>TBA</x:v>
      </x:c>
    </x:row>
    <x:row r="3318">
      <x:c r="A3318" t="str">
        <x:v>01af5be2-168b-41d7-a50e-f548877b36fe</x:v>
      </x:c>
      <x:c r="B3318" t="str">
        <x:v>02409749-c305-4c56-ad34-3447c9c2371b</x:v>
      </x:c>
      <x:c r="C3318" s="9" t="str">
        <x:v>Tigere, R (On the Application Of) v Secretary of State for Business, Innovation And Skills</x:v>
      </x:c>
      <x:c r="D3318" s="9" t="str"/>
      <x:c r="E3318" s="9" t="str"/>
      <x:c r="F3318" s="13" t="str">
        <x:v>2014</x:v>
      </x:c>
      <x:c r="G3318" s="9" t="str">
        <x:v>England and Wales Court of Appeal (Civil Division)</x:v>
      </x:c>
      <x:c r="H3318" s="9" t="str">
        <x:v>Appellate</x:v>
      </x:c>
      <x:c r="I3318" s="9" t="str">
        <x:v>England and Wales</x:v>
      </x:c>
      <x:c r="J3318" s="9" t="str">
        <x:v>Administrative Law</x:v>
      </x:c>
      <x:c r="K3318" s="9" t="str">
        <x:v>-ew-cases-EWCA-Civ-2014-1216.xml</x:v>
      </x:c>
      <x:c r="L3318" s="9" t="str">
        <x:v>TBA</x:v>
      </x:c>
    </x:row>
    <x:row r="3319">
      <x:c r="A3319" t="str">
        <x:v>c7230ceb-868f-44da-b973-3f3699f05ef9</x:v>
      </x:c>
      <x:c r="B3319" t="str">
        <x:v>f9f87baa-bd88-43a9-8ece-657fcf61b3db</x:v>
      </x:c>
      <x:c r="C3319" s="9" t="str">
        <x:v>Tigris International NV v China Southern Airlines Company Ltd &amp; Anor [2014] EWCA Civ 1649</x:v>
      </x:c>
      <x:c r="D3319" s="9" t="str"/>
      <x:c r="E3319" s="9" t="str"/>
      <x:c r="F3319" s="13" t="str">
        <x:v>2014</x:v>
      </x:c>
      <x:c r="G3319" s="9" t="str">
        <x:v>England and Wales Court of Appeal (Civil Division)</x:v>
      </x:c>
      <x:c r="H3319" s="9" t="str">
        <x:v>Appellate Court</x:v>
      </x:c>
      <x:c r="I3319" s="9" t="str">
        <x:v>England and Wales</x:v>
      </x:c>
      <x:c r="J3319" s="9" t="str">
        <x:v>Contract Dispute</x:v>
      </x:c>
      <x:c r="K3319" s="9" t="str">
        <x:v>-ew-cases-EWCA-Civ-2014-1649.xml</x:v>
      </x:c>
      <x:c r="L3319" s="9" t="str">
        <x:v>TBA</x:v>
      </x:c>
    </x:row>
    <x:row r="3320">
      <x:c r="A3320" t="str">
        <x:v>021941b1-ceea-41e6-b148-6232e1e55f77</x:v>
      </x:c>
      <x:c r="B3320" t="str">
        <x:v>b8de63a1-be7b-4764-8d72-2b529e7812b8</x:v>
      </x:c>
      <x:c r="C3320" s="9" t="str">
        <x:v>Tillman v Egon Zehnder Ltd [2017] EWCA Civ 1054</x:v>
      </x:c>
      <x:c r="D3320" s="9" t="str"/>
      <x:c r="E3320" s="9" t="str"/>
      <x:c r="F3320" s="13" t="str">
        <x:v>2017</x:v>
      </x:c>
      <x:c r="G3320" s="9" t="str">
        <x:v>England and Wales Court of Appeal (Civil Division)</x:v>
      </x:c>
      <x:c r="H3320" s="9" t="str">
        <x:v>Appellate</x:v>
      </x:c>
      <x:c r="I3320" s="9" t="str">
        <x:v>England and Wales</x:v>
      </x:c>
      <x:c r="J3320" s="9" t="str">
        <x:v>Employment Law</x:v>
      </x:c>
      <x:c r="K3320" s="9" t="str">
        <x:v>-ew-cases-EWCA-Civ-2017-1054.xml</x:v>
      </x:c>
      <x:c r="L3320" s="9" t="str">
        <x:v>TBA</x:v>
      </x:c>
    </x:row>
    <x:row r="3321">
      <x:c r="A3321" t="str">
        <x:v>c1149062-eee4-4b7f-9e76-f37d9487f948</x:v>
      </x:c>
      <x:c r="B3321" t="str">
        <x:v>192003fb-deff-4323-9938-ab13b305c4f2</x:v>
      </x:c>
      <x:c r="C3321" s="9" t="str">
        <x:v>Times Newspapers Ltd v Flood [2014] EWCA Civ 1574</x:v>
      </x:c>
      <x:c r="D3321" s="9" t="str"/>
      <x:c r="E3321" s="9" t="str"/>
      <x:c r="F3321" s="13" t="str">
        <x:v>2014</x:v>
      </x:c>
      <x:c r="G3321" s="9" t="str">
        <x:v>England and Wales Court of Appeal (Civil Division)</x:v>
      </x:c>
      <x:c r="H3321" s="9" t="str">
        <x:v>Appellate</x:v>
      </x:c>
      <x:c r="I3321" s="9" t="str">
        <x:v>England and Wales</x:v>
      </x:c>
      <x:c r="J3321" s="9" t="str">
        <x:v>Civil Appeals</x:v>
      </x:c>
      <x:c r="K3321" s="9" t="str">
        <x:v>-ew-cases-EWCA-Civ-2014-1574.xml</x:v>
      </x:c>
      <x:c r="L3321" s="9" t="str">
        <x:v>TBA</x:v>
      </x:c>
    </x:row>
    <x:row r="3322">
      <x:c r="A3322" t="str">
        <x:v>b7f87378-2fef-4716-8db5-a878098dc7bb</x:v>
      </x:c>
      <x:c r="B3322" t="str">
        <x:v>87c10863-d865-4659-a935-9c17544b4a47</x:v>
      </x:c>
      <x:c r="C3322" s="9" t="str">
        <x:v>Times Travel (UK) Ltd &amp; Nottingham Travel Ltd v Pakistan International Airlines Corporation [2022] EWCA Civ 415</x:v>
      </x:c>
      <x:c r="D3322" s="9" t="str"/>
      <x:c r="E3322" s="9" t="str"/>
      <x:c r="F3322" s="13" t="str">
        <x:v>2022</x:v>
      </x:c>
      <x:c r="G3322" s="9" t="str">
        <x:v>England and Wales Court of Appeal (Civil Division)</x:v>
      </x:c>
      <x:c r="H3322" s="9" t="str">
        <x:v>Court of Appeal (Civil Division)</x:v>
      </x:c>
      <x:c r="I3322" s="9" t="str">
        <x:v>England and Wales</x:v>
      </x:c>
      <x:c r="J3322" s="9" t="str">
        <x:v>Civil Appeal; Commercial/Contractual Accounting; Aviation-related dispute</x:v>
      </x:c>
      <x:c r="K3322" s="9" t="str">
        <x:v>ew-cases-EWCA-Civ-2022-415.xml</x:v>
      </x:c>
      <x:c r="L3322" s="9" t="str">
        <x:v>TBA</x:v>
      </x:c>
    </x:row>
    <x:row r="3323">
      <x:c r="A3323" t="str">
        <x:v>55b3c163-f05f-4dc2-897b-b28efe0ea6de</x:v>
      </x:c>
      <x:c r="B3323" t="str">
        <x:v>de1fbbf5-969d-4b68-8d61-3f7d72334886</x:v>
      </x:c>
      <x:c r="C3323" s="9" t="str">
        <x:v>Timmins &amp; Anor, R (On the Application Of) v Gelding Borough Council</x:v>
      </x:c>
      <x:c r="D3323" s="9" t="str"/>
      <x:c r="E3323" s="9" t="str"/>
      <x:c r="F3323" s="13" t="str">
        <x:v>2015</x:v>
      </x:c>
      <x:c r="G3323" s="9" t="str">
        <x:v>England and Wales Court of Appeal (Civil Division)</x:v>
      </x:c>
      <x:c r="H3323" s="9" t="str">
        <x:v>Appellate</x:v>
      </x:c>
      <x:c r="I3323" s="9" t="str">
        <x:v>England and Wales</x:v>
      </x:c>
      <x:c r="J3323" s="9" t="str">
        <x:v>Administrative Law</x:v>
      </x:c>
      <x:c r="K3323" s="9" t="str">
        <x:v>-ew-cases-EWCA-Civ-2015-10.xml</x:v>
      </x:c>
      <x:c r="L3323" s="9" t="str">
        <x:v>TBA</x:v>
      </x:c>
    </x:row>
    <x:row r="3324">
      <x:c r="A3324" t="str">
        <x:v>fc0b8da7-413f-407f-b215-4db75d36ed9c</x:v>
      </x:c>
      <x:c r="B3324" t="str">
        <x:v>5f4e1aff-8332-4cd7-b93e-592d2b2af385</x:v>
      </x:c>
      <x:c r="C3324" s="9" t="str">
        <x:v>Timson, R (On the Application Of) v Secretary of State for Work and Pensions [2023] EWCA Civ 656</x:v>
      </x:c>
      <x:c r="D3324" s="9" t="str"/>
      <x:c r="E3324" s="9" t="str"/>
      <x:c r="F3324" s="13" t="str">
        <x:v>2023</x:v>
      </x:c>
      <x:c r="G3324" s="9" t="str">
        <x:v>England and Wales Court of Appeal (Civil Division)</x:v>
      </x:c>
      <x:c r="H3324" s="9" t="str">
        <x:v>Court of Appeal (Civil Division)</x:v>
      </x:c>
      <x:c r="I3324" s="9" t="str">
        <x:v>England and Wales</x:v>
      </x:c>
      <x:c r="J3324" s="9" t="str">
        <x:v>Administrative Law / Public Law</x:v>
      </x:c>
      <x:c r="K3324" s="9" t="str">
        <x:v>ew-cases-EWCA-Civ-2023-656.xml</x:v>
      </x:c>
      <x:c r="L3324" s="9" t="str">
        <x:v>TBA</x:v>
      </x:c>
    </x:row>
    <x:row r="3325">
      <x:c r="A3325" t="str">
        <x:v>185c6630-00f5-4b85-bfd7-b1fa88255151</x:v>
      </x:c>
      <x:c r="B3325" t="str">
        <x:v>4685ad0e-87e7-4f59-8991-823ab27d9393</x:v>
      </x:c>
      <x:c r="C3325" s="9" t="str">
        <x:v>Tindall &amp; Anor v Chief Constable of Thames Valley Police &amp; Anor [2022] EWCA Civ 25</x:v>
      </x:c>
      <x:c r="D3325" s="9" t="str"/>
      <x:c r="E3325" s="9" t="str"/>
      <x:c r="F3325" s="13" t="str">
        <x:v>2022</x:v>
      </x:c>
      <x:c r="G3325" s="9" t="str">
        <x:v>England and Wales Court of Appeal (Civil Division)</x:v>
      </x:c>
      <x:c r="H3325" s="9" t="str">
        <x:v>Court of Appeal (Civil Division)</x:v>
      </x:c>
      <x:c r="I3325" s="9" t="str">
        <x:v>England and Wales</x:v>
      </x:c>
      <x:c r="J3325" s="9" t="str">
        <x:v>Tort - Negligence</x:v>
      </x:c>
      <x:c r="K3325" s="9" t="str">
        <x:v>ew-cases-EWCA-Civ-2022-25.xml</x:v>
      </x:c>
      <x:c r="L3325" s="9" t="str">
        <x:v>TBA</x:v>
      </x:c>
    </x:row>
    <x:row r="3326">
      <x:c r="A3326" t="str">
        <x:v>6e67ba18-9e17-416f-a71b-c92aef00573c</x:v>
      </x:c>
      <x:c r="B3326" t="str">
        <x:v>6fd8a5d6-c522-4ae5-b1e3-25d4dc861e8f</x:v>
      </x:c>
      <x:c r="C3326" s="9" t="str">
        <x:v>Tindall Cobham 1 Ltd &amp; Ors v Adda Hotels (An Unlimited Company) &amp; Ors [2014] EWCA Civ 1215</x:v>
      </x:c>
      <x:c r="D3326" s="9" t="str"/>
      <x:c r="E3326" s="9" t="str"/>
      <x:c r="F3326" s="13" t="str">
        <x:v>2014</x:v>
      </x:c>
      <x:c r="G3326" s="9" t="str">
        <x:v>England and Wales Court of Appeal (Civil Division)</x:v>
      </x:c>
      <x:c r="H3326" s="9" t="str">
        <x:v>Appellate</x:v>
      </x:c>
      <x:c r="I3326" s="9" t="str">
        <x:v>England and Wales</x:v>
      </x:c>
      <x:c r="J3326" s="9" t="str">
        <x:v>Contract Dispute</x:v>
      </x:c>
      <x:c r="K3326" s="9" t="str">
        <x:v>-ew-cases-EWCA-Civ-2014-1215.xml</x:v>
      </x:c>
      <x:c r="L3326" s="9" t="str">
        <x:v>TBA</x:v>
      </x:c>
    </x:row>
    <x:row r="3327">
      <x:c r="A3327" t="str">
        <x:v>13554b53-6500-4e26-9bdc-d221d89bf811</x:v>
      </x:c>
      <x:c r="B3327" t="str">
        <x:v>a45be703-30f7-4b19-98f8-1c4ce18811a6</x:v>
      </x:c>
      <x:c r="C3327" s="9" t="str">
        <x:v>Tinkler &amp; Anor v Elliott [2014] EWCA Civ 564</x:v>
      </x:c>
      <x:c r="D3327" s="9" t="str"/>
      <x:c r="E3327" s="9" t="str"/>
      <x:c r="F3327" s="13" t="str">
        <x:v>2014</x:v>
      </x:c>
      <x:c r="G3327" s="9" t="str">
        <x:v>England and Wales Court of Appeal (Civil Division)</x:v>
      </x:c>
      <x:c r="H3327" s="9" t="str">
        <x:v>Appellate</x:v>
      </x:c>
      <x:c r="I3327" s="9" t="str">
        <x:v>England and Wales</x:v>
      </x:c>
      <x:c r="J3327" s="9" t="str">
        <x:v>Civil Appeal</x:v>
      </x:c>
      <x:c r="K3327" s="9" t="str">
        <x:v>-ew-cases-EWCA-Civ-2014-564.xml</x:v>
      </x:c>
      <x:c r="L3327" s="9" t="str">
        <x:v>TBA</x:v>
      </x:c>
    </x:row>
    <x:row r="3328">
      <x:c r="A3328" t="str">
        <x:v>6b0d0010-a4b0-4289-ad08-0b1fc9bd846f</x:v>
      </x:c>
      <x:c r="B3328" t="str">
        <x:v>39e6e25f-1e2d-4e33-9116-11e321c8fb5f</x:v>
      </x:c>
      <x:c r="C3328" s="9" t="str">
        <x:v>Tinkler v Esken Limited (formerly Stobart Group Limited) [2023] EWCA Civ 655</x:v>
      </x:c>
      <x:c r="D3328" s="9" t="str"/>
      <x:c r="E3328" s="9" t="str"/>
      <x:c r="F3328" s="13" t="str">
        <x:v>2023</x:v>
      </x:c>
      <x:c r="G3328" s="9" t="str">
        <x:v>England and Wales Court of Appeal (Civil Division)</x:v>
      </x:c>
      <x:c r="H3328" s="9" t="str">
        <x:v>Court of Appeal (Civil Division)</x:v>
      </x:c>
      <x:c r="I3328" s="9" t="str">
        <x:v>England and Wales</x:v>
      </x:c>
      <x:c r="J3328" s="9" t="str">
        <x:v>Civil Procedure; Fraud on the Court; Setting Aside Judgments</x:v>
      </x:c>
      <x:c r="K3328" s="9" t="str">
        <x:v>ew-cases-EWCA-Civ-2023-655.xml</x:v>
      </x:c>
      <x:c r="L3328" s="9" t="str">
        <x:v>TBA</x:v>
      </x:c>
    </x:row>
    <x:row r="3329">
      <x:c r="A3329" t="str">
        <x:v>38910689-35d0-478c-98a5-c2852c9de01c</x:v>
      </x:c>
      <x:c r="B3329" t="str">
        <x:v>1b9c4fd1-cef2-452e-9dd8-eca29d1d5f47</x:v>
      </x:c>
      <x:c r="C3329" s="9" t="str">
        <x:v>Tinkler v Ferguson &amp; Ors [2021] EWCA Civ 18</x:v>
      </x:c>
      <x:c r="D3329" s="9" t="str"/>
      <x:c r="E3329" s="9" t="str"/>
      <x:c r="F3329" s="13" t="str">
        <x:v>2021</x:v>
      </x:c>
      <x:c r="G3329" s="9" t="str">
        <x:v>England and Wales Court of Appeal (Civil Division)</x:v>
      </x:c>
      <x:c r="H3329" s="9" t="str">
        <x:v>Appellate</x:v>
      </x:c>
      <x:c r="I3329" s="9" t="str">
        <x:v>England and Wales</x:v>
      </x:c>
      <x:c r="J3329" s="9" t="str">
        <x:v>Civil Appeals</x:v>
      </x:c>
      <x:c r="K3329" s="9" t="str">
        <x:v>ew-cases-EWCA-Civ-2021-18.xml</x:v>
      </x:c>
      <x:c r="L3329" s="9" t="str">
        <x:v>TBA</x:v>
      </x:c>
    </x:row>
    <x:row r="3330">
      <x:c r="A3330" t="str">
        <x:v>d36b0a08-8940-4caa-bc3b-bd45ce901ab5</x:v>
      </x:c>
      <x:c r="B3330" t="str">
        <x:v>3f0bad2b-cb8e-4b00-95f7-e5214454f9ac</x:v>
      </x:c>
      <x:c r="C3330" s="9" t="str">
        <x:v>Tinsley v Manchester City Council &amp; Ors [2017] EWCA Civ 1704</x:v>
      </x:c>
      <x:c r="D3330" s="9" t="str"/>
      <x:c r="E3330" s="9" t="str"/>
      <x:c r="F3330" s="13" t="str">
        <x:v>2017</x:v>
      </x:c>
      <x:c r="G3330" s="9" t="str">
        <x:v>England and Wales Court of Appeal (Civil Division)</x:v>
      </x:c>
      <x:c r="H3330" s="9" t="str">
        <x:v>Appellate</x:v>
      </x:c>
      <x:c r="I3330" s="9" t="str">
        <x:v>England and Wales</x:v>
      </x:c>
      <x:c r="J3330" s="9" t="str">
        <x:v>Administrative Law</x:v>
      </x:c>
      <x:c r="K3330" s="9" t="str">
        <x:v>-ew-cases-EWCA-Civ-2017-1704.xml</x:v>
      </x:c>
      <x:c r="L3330" s="9" t="str">
        <x:v>TBA</x:v>
      </x:c>
    </x:row>
    <x:row r="3331">
      <x:c r="A3331" t="str">
        <x:v>cdb6c234-8a85-4e8f-af22-2ef04016279c</x:v>
      </x:c>
      <x:c r="B3331" t="str">
        <x:v>9a46d7a8-e9ec-444f-ba3e-1148cc2f2675</x:v>
      </x:c>
      <x:c r="C3331" s="9" t="str">
        <x:v>Titan Europe 2006-3 Plc v Colliers International UK Plc</x:v>
      </x:c>
      <x:c r="D3331" s="9" t="str"/>
      <x:c r="E3331" s="9" t="str"/>
      <x:c r="F3331" s="13" t="str">
        <x:v>2015</x:v>
      </x:c>
      <x:c r="G3331" s="9" t="str">
        <x:v>England and Wales Court of Appeal (Civil Division)</x:v>
      </x:c>
      <x:c r="H3331" s="9" t="str">
        <x:v>Appellate</x:v>
      </x:c>
      <x:c r="I3331" s="9" t="str">
        <x:v>England and Wales</x:v>
      </x:c>
      <x:c r="J3331" s="9" t="str">
        <x:v>Negligence</x:v>
      </x:c>
      <x:c r="K3331" s="9" t="str">
        <x:v>-ew-cases-EWCA-Civ-2015-1083.xml</x:v>
      </x:c>
      <x:c r="L3331" s="9" t="str">
        <x:v>TBA</x:v>
      </x:c>
    </x:row>
    <x:row r="3332">
      <x:c r="A3332" t="str">
        <x:v>13aaef07-c1f5-4dc6-890c-10896f19ad0d</x:v>
      </x:c>
      <x:c r="B3332" t="str">
        <x:v>037a3032-4175-4c5a-ac8b-8539c01f6c5f</x:v>
      </x:c>
      <x:c r="C3332" s="9" t="str">
        <x:v>Tiuta International Ltd (in liquidation) v De Villiers Surveyors Ltd [2016] EWCA Civ 661</x:v>
      </x:c>
      <x:c r="D3332" s="9" t="str"/>
      <x:c r="E3332" s="9" t="str"/>
      <x:c r="F3332" s="13" t="str">
        <x:v>2016</x:v>
      </x:c>
      <x:c r="G3332" s="9" t="str">
        <x:v>England and Wales Court of Appeal (Civil Division)</x:v>
      </x:c>
      <x:c r="H3332" s="9" t="str">
        <x:v>Court of Appeal (Civil Division)</x:v>
      </x:c>
      <x:c r="I3332" s="9" t="str">
        <x:v>England and Wales</x:v>
      </x:c>
      <x:c r="J3332" s="9" t="str">
        <x:v>Tort; Professional negligence</x:v>
      </x:c>
      <x:c r="K3332" s="9" t="str">
        <x:v>-ew-cases-EWCA-Civ-2016-661.xml</x:v>
      </x:c>
      <x:c r="L3332" s="9" t="str">
        <x:v>TBA</x:v>
      </x:c>
    </x:row>
    <x:row r="3333">
      <x:c r="A3333" t="str">
        <x:v>e47fcff8-68cb-42bd-a11e-cf558d860f41</x:v>
      </x:c>
      <x:c r="B3333" t="str">
        <x:v>82e80ba1-3036-445d-847d-ee32403a256e</x:v>
      </x:c>
      <x:c r="C3333" s="9" t="str">
        <x:v>TJH And Sons Consultancy Ltd v CPP Group Plc [2017] EWCA Civ 46</x:v>
      </x:c>
      <x:c r="D3333" s="9" t="str"/>
      <x:c r="E3333" s="9" t="str"/>
      <x:c r="F3333" s="13" t="str">
        <x:v>2017</x:v>
      </x:c>
      <x:c r="G3333" s="9" t="str">
        <x:v>England and Wales Court of Appeal (Civil Division)</x:v>
      </x:c>
      <x:c r="H3333" s="9" t="str">
        <x:v>Appellate</x:v>
      </x:c>
      <x:c r="I3333" s="9" t="str">
        <x:v>England and Wales</x:v>
      </x:c>
      <x:c r="J3333" s="9" t="str">
        <x:v>Contract Dispute</x:v>
      </x:c>
      <x:c r="K3333" s="9" t="str">
        <x:v>-ew-cases-EWCA-Civ-2017-46.xml</x:v>
      </x:c>
      <x:c r="L3333" s="9" t="str">
        <x:v>TBA</x:v>
      </x:c>
    </x:row>
    <x:row r="3334">
      <x:c r="A3334" t="str">
        <x:v>62ed0c17-2549-4dcb-9304-867cb5410981</x:v>
      </x:c>
      <x:c r="B3334" t="str">
        <x:v>a139fa5f-50f0-4e8b-ba29-8ed417fa6f9a</x:v>
      </x:c>
      <x:c r="C3334" s="9" t="str">
        <x:v>TMO Renewables Limited (In Liquidation) v Yeo &amp; Ors [2022] EWCA Civ 1409</x:v>
      </x:c>
      <x:c r="D3334" s="9" t="str"/>
      <x:c r="E3334" s="9" t="str"/>
      <x:c r="F3334" s="13" t="str">
        <x:v>2022</x:v>
      </x:c>
      <x:c r="G3334" s="9" t="str">
        <x:v>England and Wales Court of Appeal (Civil Division)</x:v>
      </x:c>
      <x:c r="H3334" s="9" t="str">
        <x:v>Court of Appeal (Civil Division)</x:v>
      </x:c>
      <x:c r="I3334" s="9" t="str">
        <x:v>England and Wales</x:v>
      </x:c>
      <x:c r="J3334" s="9" t="str">
        <x:v>Civil Procedure - Costs; Fiduciary Duty; Corporate Governance</x:v>
      </x:c>
      <x:c r="K3334" s="9" t="str">
        <x:v>ew-cases-EWCA-Civ-2022-1409.xml</x:v>
      </x:c>
      <x:c r="L3334" s="9" t="str">
        <x:v>TBA</x:v>
      </x:c>
    </x:row>
    <x:row r="3335">
      <x:c r="A3335" t="str">
        <x:v>df585ffb-e2cb-4082-9368-d4c179829ad8</x:v>
      </x:c>
      <x:c r="B3335" t="str">
        <x:v>ddf6e3b2-8747-4412-8949-df0771d48d10</x:v>
      </x:c>
      <x:c r="C3335" s="9" t="str">
        <x:v>TN (Iraq) &amp; Ors v Secretary of State for the Home Department</x:v>
      </x:c>
      <x:c r="D3335" s="9" t="str"/>
      <x:c r="E3335" s="9" t="str"/>
      <x:c r="F3335" s="13" t="str">
        <x:v>2015</x:v>
      </x:c>
      <x:c r="G3335" s="9" t="str">
        <x:v>England and Wales Court of Appeal (Civil Division)</x:v>
      </x:c>
      <x:c r="H3335" s="9" t="str">
        <x:v>Appellate</x:v>
      </x:c>
      <x:c r="I3335" s="9" t="str">
        <x:v>England and Wales</x:v>
      </x:c>
      <x:c r="J3335" s="9" t="str">
        <x:v>Immigration Law</x:v>
      </x:c>
      <x:c r="K3335" s="9" t="str">
        <x:v>-ew-cases-EWCA-Civ-2015-852.xml</x:v>
      </x:c>
      <x:c r="L3335" s="9" t="str">
        <x:v>TBA</x:v>
      </x:c>
    </x:row>
    <x:row r="3336">
      <x:c r="A3336" t="str">
        <x:v>cf34b9b1-50de-4d63-b4ed-d5b29c3a8c5f</x:v>
      </x:c>
      <x:c r="B3336" t="str">
        <x:v>b6cd195e-3e27-493e-9ce3-bfe3a7ad39f2</x:v>
      </x:c>
      <x:c r="C3336" s="9" t="str">
        <x:v>TO &amp; OO (Nigeria) v Secretary of State for the Home Department</x:v>
      </x:c>
      <x:c r="D3336" s="9" t="str"/>
      <x:c r="E3336" s="9" t="str"/>
      <x:c r="F3336" s="13" t="str">
        <x:v>2015</x:v>
      </x:c>
      <x:c r="G3336" s="9" t="str">
        <x:v>England and Wales Court of Appeal (Civil Division)</x:v>
      </x:c>
      <x:c r="H3336" s="9" t="str">
        <x:v>Appellate</x:v>
      </x:c>
      <x:c r="I3336" s="9" t="str">
        <x:v>England and Wales</x:v>
      </x:c>
      <x:c r="J3336" s="9" t="str">
        <x:v>Immigration</x:v>
      </x:c>
      <x:c r="K3336" s="9" t="str">
        <x:v>-ew-cases-EWCA-Civ-2015-1219.xml</x:v>
      </x:c>
      <x:c r="L3336" s="9" t="str">
        <x:v>TBA</x:v>
      </x:c>
    </x:row>
    <x:row r="3337">
      <x:c r="A3337" t="str">
        <x:v>93ab281a-4028-433e-bf2b-15f647da909e</x:v>
      </x:c>
      <x:c r="B3337" t="str">
        <x:v>ef848a3c-16a6-4557-8ff1-3023953d88b4</x:v>
      </x:c>
      <x:c r="C3337" s="9" t="str">
        <x:v>Tomanovic &amp; Ors v Foreign and Commonwealth Office [2021] EWCA Civ 117</x:v>
      </x:c>
      <x:c r="D3337" s="9" t="str"/>
      <x:c r="E3337" s="9" t="str"/>
      <x:c r="F3337" s="13" t="str">
        <x:v>2021</x:v>
      </x:c>
      <x:c r="G3337" s="9" t="str">
        <x:v>England and Wales Court of Appeal (Civil Division)</x:v>
      </x:c>
      <x:c r="H3337" s="9" t="str">
        <x:v>Appellate</x:v>
      </x:c>
      <x:c r="I3337" s="9" t="str">
        <x:v>England and Wales</x:v>
      </x:c>
      <x:c r="J3337" s="9" t="str">
        <x:v>Human Rights</x:v>
      </x:c>
      <x:c r="K3337" s="9" t="str">
        <x:v>ew-cases-EWCA-Civ-2021-117.xml</x:v>
      </x:c>
      <x:c r="L3337" s="9" t="str">
        <x:v>TBA</x:v>
      </x:c>
    </x:row>
    <x:row r="3338">
      <x:c r="A3338" t="str">
        <x:v>9d068c9b-0ffd-4728-ad52-1ecea95d4db3</x:v>
      </x:c>
      <x:c r="B3338" t="str">
        <x:v>80914ce4-69c8-4f8d-9777-b3dbad050824</x:v>
      </x:c>
      <x:c r="C3338" s="9" t="str">
        <x:v>Tomlinson v. Congleton Borough Council &amp; Ors</x:v>
      </x:c>
      <x:c r="D3338" s="9" t="str"/>
      <x:c r="E3338" s="9" t="str"/>
      <x:c r="F3338" s="13" t="str">
        <x:v>2003</x:v>
      </x:c>
      <x:c r="G3338" s="9" t="str">
        <x:v>United Kingdom House of Lords</x:v>
      </x:c>
      <x:c r="H3338" s="9" t="str">
        <x:v>House of Lords</x:v>
      </x:c>
      <x:c r="I3338" s="9" t="str">
        <x:v>United Kingdom</x:v>
      </x:c>
      <x:c r="J3338" s="9" t="str">
        <x:v>Tort (Occupier's Liability)</x:v>
      </x:c>
      <x:c r="K3338" s="9" t="str">
        <x:v>PT_UKHL_2003_47.xml</x:v>
      </x:c>
      <x:c r="L3338" s="9" t="str">
        <x:v>TBA</x:v>
      </x:c>
    </x:row>
    <x:row r="3339">
      <x:c r="A3339" t="str">
        <x:v>f363dca9-9734-4ca6-a814-8771d1cd5851</x:v>
      </x:c>
      <x:c r="B3339" t="str">
        <x:v>29a6a960-f98b-489c-82d9-4cfaac52b322</x:v>
      </x:c>
      <x:c r="C3339" s="9" t="str">
        <x:v>Top Brands &amp; Anor v Sharma [2014] EWCA Civ 761</x:v>
      </x:c>
      <x:c r="D3339" s="9" t="str"/>
      <x:c r="E3339" s="9" t="str"/>
      <x:c r="F3339" s="13" t="str">
        <x:v>2014</x:v>
      </x:c>
      <x:c r="G3339" s="9" t="str">
        <x:v>England and Wales Court of Appeal (Civil Division)</x:v>
      </x:c>
      <x:c r="H3339" s="9" t="str">
        <x:v>Appellate</x:v>
      </x:c>
      <x:c r="I3339" s="9" t="str">
        <x:v>England and Wales</x:v>
      </x:c>
      <x:c r="J3339" s="9" t="str">
        <x:v>Insolvency</x:v>
      </x:c>
      <x:c r="K3339" s="9" t="str">
        <x:v>-ew-cases-EWCA-Civ-2014-761.xml</x:v>
      </x:c>
      <x:c r="L3339" s="9" t="str">
        <x:v>TBA</x:v>
      </x:c>
    </x:row>
    <x:row r="3340">
      <x:c r="A3340" t="str">
        <x:v>e6c70e6d-de50-43e9-84e2-ec3a8e93cce4</x:v>
      </x:c>
      <x:c r="B3340" t="str">
        <x:v>b8f5594c-ac32-4dd3-804a-fd0c938c4401</x:v>
      </x:c>
      <x:c r="C3340" s="9" t="str">
        <x:v>Topland Portfolio No 1 Ltd v Smiths News Trading Ltd [2014] EWCA Civ 18</x:v>
      </x:c>
      <x:c r="D3340" s="9" t="str"/>
      <x:c r="E3340" s="9" t="str"/>
      <x:c r="F3340" s="13" t="str">
        <x:v>2014</x:v>
      </x:c>
      <x:c r="G3340" s="9" t="str">
        <x:v>England and Wales Court of Appeal (Civil Division)</x:v>
      </x:c>
      <x:c r="H3340" s="9" t="str">
        <x:v>Appellate</x:v>
      </x:c>
      <x:c r="I3340" s="9" t="str">
        <x:v>England and Wales</x:v>
      </x:c>
      <x:c r="J3340" s="9" t="str">
        <x:v>Contract Law</x:v>
      </x:c>
      <x:c r="K3340" s="9" t="str">
        <x:v>-ew-cases-EWCA-Civ-2014-18.xml</x:v>
      </x:c>
      <x:c r="L3340" s="9" t="str">
        <x:v>TBA</x:v>
      </x:c>
    </x:row>
    <x:row r="3341">
      <x:c r="A3341" t="str">
        <x:v>7bd42911-3132-4365-80af-322775b08073</x:v>
      </x:c>
      <x:c r="B3341" t="str">
        <x:v>c42ac4c8-4630-4f83-8b40-7cff59e33b34</x:v>
      </x:c>
      <x:c r="C3341" s="9" t="str">
        <x:v>Torbay Council v Torbay Quality Care Forum Ltd</x:v>
      </x:c>
      <x:c r="D3341" s="9" t="str"/>
      <x:c r="E3341" s="9" t="str"/>
      <x:c r="F3341" s="13" t="str">
        <x:v>2017</x:v>
      </x:c>
      <x:c r="G3341" s="9" t="str">
        <x:v>England and Wales Court of Appeal (Civil Division)</x:v>
      </x:c>
      <x:c r="H3341" s="9" t="str">
        <x:v>Appellate</x:v>
      </x:c>
      <x:c r="I3341" s="9" t="str">
        <x:v>England and Wales</x:v>
      </x:c>
      <x:c r="J3341" s="9" t="str">
        <x:v>Administrative Law</x:v>
      </x:c>
      <x:c r="K3341" s="9" t="str">
        <x:v>-ew-cases-EWCA-Civ-2017-1605.xml</x:v>
      </x:c>
      <x:c r="L3341" s="9" t="str">
        <x:v>TBA</x:v>
      </x:c>
    </x:row>
    <x:row r="3342">
      <x:c r="A3342" t="str">
        <x:v>85ea3b18-173e-4127-9d53-e1d80ae69ea0</x:v>
      </x:c>
      <x:c r="B3342" t="str">
        <x:v>2f2ce488-73d0-4422-abcd-2b014a9e52d1</x:v>
      </x:c>
      <x:c r="C3342" s="9" t="str">
        <x:v>Totel Limited v HM Revenue and Customs [2016] EWCA Civ 1310</x:v>
      </x:c>
      <x:c r="D3342" s="9" t="str"/>
      <x:c r="E3342" s="9" t="str"/>
      <x:c r="F3342" s="13" t="str">
        <x:v>2016</x:v>
      </x:c>
      <x:c r="G3342" s="9" t="str">
        <x:v>England and Wales Court of Appeal (Civil Division)</x:v>
      </x:c>
      <x:c r="H3342" s="9" t="str">
        <x:v>Court of Appeal (Civil Division)</x:v>
      </x:c>
      <x:c r="I3342" s="9" t="str">
        <x:v>England and Wales</x:v>
      </x:c>
      <x:c r="J3342" s="9" t="str">
        <x:v>Tax Law</x:v>
      </x:c>
      <x:c r="K3342" s="9" t="str">
        <x:v>-ew-cases-EWCA-Civ-2016-1310.xml</x:v>
      </x:c>
      <x:c r="L3342" s="9" t="str">
        <x:v>TBA</x:v>
      </x:c>
    </x:row>
    <x:row r="3343">
      <x:c r="A3343" t="str">
        <x:v>75ff7688-91e3-47dd-bde9-c91ac21e4166</x:v>
      </x:c>
      <x:c r="B3343" t="str">
        <x:v>52d1be75-0d9f-4b51-b6fc-183cfce77220</x:v>
      </x:c>
      <x:c r="C3343" s="9" t="str">
        <x:v>Tower Bridge GP Ltd v Revenue And Customs [2022] EWCA Civ 998 (18 July 2022)</x:v>
      </x:c>
      <x:c r="D3343" s="9" t="str"/>
      <x:c r="E3343" s="9" t="str"/>
      <x:c r="F3343" s="13" t="str">
        <x:v>2022</x:v>
      </x:c>
      <x:c r="G3343" s="9" t="str">
        <x:v>England and Wales Court of Appeal (Civil Division)</x:v>
      </x:c>
      <x:c r="H3343" s="9" t="str">
        <x:v>Court of Appeal (Civil Division)</x:v>
      </x:c>
      <x:c r="I3343" s="9" t="str">
        <x:v>UK (retained EU law) / EU law</x:v>
      </x:c>
      <x:c r="J3343" s="9" t="str">
        <x:v>Tax Law - VAT</x:v>
      </x:c>
      <x:c r="K3343" s="9" t="str">
        <x:v>ew-cases-EWCA-Civ-2022-998.xml</x:v>
      </x:c>
      <x:c r="L3343" s="9" t="str">
        <x:v>TBA</x:v>
      </x:c>
    </x:row>
    <x:row r="3344">
      <x:c r="A3344" t="str">
        <x:v>64d305cc-ee7e-42f7-b0df-27c47299c32a</x:v>
      </x:c>
      <x:c r="B3344" t="str">
        <x:v>8653a6b1-387f-4824-bd69-118292bf8202</x:v>
      </x:c>
      <x:c r="C3344" s="9" t="str">
        <x:v>Towry EJ Ltd v Bennett &amp; Ors [2012] EWHC 224 (QB)</x:v>
      </x:c>
      <x:c r="D3344" s="9" t="str"/>
      <x:c r="E3344" s="9" t="str"/>
      <x:c r="F3344" s="13" t="str">
        <x:v>2012</x:v>
      </x:c>
      <x:c r="G3344" s="9" t="str">
        <x:v>England and Wales High Court (Queen's Bench Division)</x:v>
      </x:c>
      <x:c r="H3344" s="9" t="str">
        <x:v>High Court</x:v>
      </x:c>
      <x:c r="I3344" s="9" t="str">
        <x:v>England and Wales</x:v>
      </x:c>
      <x:c r="J3344" s="9" t="str">
        <x:v>Employment Law</x:v>
      </x:c>
      <x:c r="K3344" s="9" t="str">
        <x:v>PT_EWHC-QB_2012_224.xml</x:v>
      </x:c>
      <x:c r="L3344" s="9" t="str">
        <x:v>TBA</x:v>
      </x:c>
    </x:row>
    <x:row r="3345">
      <x:c r="A3345" t="str">
        <x:v>ee11b1ca-6a28-48ed-808f-c9b1fcfdd98e</x:v>
      </x:c>
      <x:c r="B3345" t="str">
        <x:v>3ea749eb-07ab-40b8-b0db-232556cc2d45</x:v>
      </x:c>
      <x:c r="C3345" s="9" t="str">
        <x:v>TR (Pakistan) v Secretary of State for the Home Department</x:v>
      </x:c>
      <x:c r="D3345" s="9" t="str"/>
      <x:c r="E3345" s="9" t="str"/>
      <x:c r="F3345" s="13" t="str">
        <x:v>2015</x:v>
      </x:c>
      <x:c r="G3345" s="9" t="str">
        <x:v>England and Wales Court of Appeal (Civil Division)</x:v>
      </x:c>
      <x:c r="H3345" s="9" t="str">
        <x:v>Appellate</x:v>
      </x:c>
      <x:c r="I3345" s="9" t="str">
        <x:v>United Kingdom</x:v>
      </x:c>
      <x:c r="J3345" s="9" t="str">
        <x:v>Immigration Law</x:v>
      </x:c>
      <x:c r="K3345" s="9" t="str">
        <x:v>-ew-cases-EWCA-Civ-2015-1412.xml</x:v>
      </x:c>
      <x:c r="L3345" s="9" t="str">
        <x:v>TBA</x:v>
      </x:c>
    </x:row>
    <x:row r="3346">
      <x:c r="A3346" t="str">
        <x:v>57692941-317a-40df-bf29-25de2abceddb</x:v>
      </x:c>
      <x:c r="B3346" t="str">
        <x:v>96f70b64-8493-4844-8221-72252f64afaf</x:v>
      </x:c>
      <x:c r="C3346" s="9" t="str">
        <x:v>Tracey v Cambridge University Hospitals NHS Foundation Trust</x:v>
      </x:c>
      <x:c r="D3346" s="9" t="str"/>
      <x:c r="E3346" s="9" t="str"/>
      <x:c r="F3346" s="13" t="str">
        <x:v>2014</x:v>
      </x:c>
      <x:c r="G3346" s="9" t="str">
        <x:v>England and Wales Court of Appeal (Civil Division)</x:v>
      </x:c>
      <x:c r="H3346" s="9" t="str">
        <x:v>Appellate</x:v>
      </x:c>
      <x:c r="I3346" s="9" t="str">
        <x:v>England and Wales</x:v>
      </x:c>
      <x:c r="J3346" s="9" t="str">
        <x:v>Healthcare Law</x:v>
      </x:c>
      <x:c r="K3346" s="9" t="str">
        <x:v>-ew-cases-EWCA-Civ-2014-822.xml</x:v>
      </x:c>
      <x:c r="L3346" s="9" t="str">
        <x:v>TBA</x:v>
      </x:c>
    </x:row>
    <x:row r="3347">
      <x:c r="A3347" t="str">
        <x:v>48aab364-a36f-453e-9908-a0e718e79ce7</x:v>
      </x:c>
      <x:c r="B3347" t="str">
        <x:v>12a03639-3bd2-45ca-bc09-d181f7de5ce2</x:v>
      </x:c>
      <x:c r="C3347" s="9" t="str">
        <x:v>Tracey, R (on the application of) v Cambridge University Hospitals NHS Foundation Trust &amp; Anor</x:v>
      </x:c>
      <x:c r="D3347" s="9" t="str"/>
      <x:c r="E3347" s="9" t="str"/>
      <x:c r="F3347" s="13" t="str">
        <x:v>2014</x:v>
      </x:c>
      <x:c r="G3347" s="9" t="str">
        <x:v>England and Wales Court of Appeal (Civil Division)</x:v>
      </x:c>
      <x:c r="H3347" s="9" t="str">
        <x:v>Appellate</x:v>
      </x:c>
      <x:c r="I3347" s="9" t="str">
        <x:v>England and Wales</x:v>
      </x:c>
      <x:c r="J3347" s="9" t="str">
        <x:v>Administrative Law</x:v>
      </x:c>
      <x:c r="K3347" s="9" t="str">
        <x:v>-ew-cases-EWCA-Civ-2014-33.xml</x:v>
      </x:c>
      <x:c r="L3347" s="9" t="str">
        <x:v>TBA</x:v>
      </x:c>
    </x:row>
    <x:row r="3348">
      <x:c r="A3348" t="str">
        <x:v>83b8f767-de78-419d-b50e-971a1f120527</x:v>
      </x:c>
      <x:c r="B3348" t="str">
        <x:v>117a5dd0-c5de-45bb-8ed9-c6607b849b3a</x:v>
      </x:c>
      <x:c r="C3348" s="9" t="str">
        <x:v>Tradition Financial Services Ltd v Bilta (UK) Ltd &amp; Ors [2023] EWCA Civ 112</x:v>
      </x:c>
      <x:c r="D3348" s="9" t="str"/>
      <x:c r="E3348" s="9" t="str"/>
      <x:c r="F3348" s="13" t="str">
        <x:v>2023</x:v>
      </x:c>
      <x:c r="G3348" s="9" t="str">
        <x:v>England and Wales Court of Appeal (Civil Division)</x:v>
      </x:c>
      <x:c r="H3348" s="9" t="str">
        <x:v>Court of Appeal (Civil Division)</x:v>
      </x:c>
      <x:c r="I3348" s="9" t="str">
        <x:v>England and Wales</x:v>
      </x:c>
      <x:c r="J3348" s="9" t="str">
        <x:v>Civil – Insolvency / Fraud / Company Law</x:v>
      </x:c>
      <x:c r="K3348" s="9" t="str">
        <x:v>ew-cases-EWCA-Civ-2023-112.xml</x:v>
      </x:c>
      <x:c r="L3348" s="9" t="str">
        <x:v>TBA</x:v>
      </x:c>
    </x:row>
    <x:row r="3349">
      <x:c r="A3349" t="str">
        <x:v>b1278508-7201-4ea5-874d-fb27c789706f</x:v>
      </x:c>
      <x:c r="B3349" t="str">
        <x:v>d6ffc4c4-54ce-4271-a579-bc9c1ab46cb6</x:v>
      </x:c>
      <x:c r="C3349" s="9" t="str">
        <x:v>Trafalgar Multi Asset Trading Company Limited (in liquidation) v Hadley &amp; Ors [2022] EWCA Civ 1639</x:v>
      </x:c>
      <x:c r="D3349" s="9" t="str"/>
      <x:c r="E3349" s="9" t="str"/>
      <x:c r="F3349" s="13" t="str">
        <x:v>2022</x:v>
      </x:c>
      <x:c r="G3349" s="9" t="str">
        <x:v>England and Wales Court of Appeal (Civil Division)</x:v>
      </x:c>
      <x:c r="H3349" s="9" t="str">
        <x:v>Court of Appeal (Civil Division)</x:v>
      </x:c>
      <x:c r="I3349" s="9" t="str">
        <x:v>England and Wales</x:v>
      </x:c>
      <x:c r="J3349" s="9" t="str">
        <x:v>Civil Appeal; Civil Fraud/Bribery; Corporate fiduciary duties; Conflict of interest; Commercial litigation</x:v>
      </x:c>
      <x:c r="K3349" s="9" t="str">
        <x:v>ew-cases-EWCA-Civ-2022-1639.xml</x:v>
      </x:c>
      <x:c r="L3349" s="9" t="str">
        <x:v>TBA</x:v>
      </x:c>
    </x:row>
    <x:row r="3350">
      <x:c r="A3350" t="str">
        <x:v>43426f18-d135-4b98-9f4b-0bbc23d5a6b0</x:v>
      </x:c>
      <x:c r="B3350" t="str">
        <x:v>97101102-bb65-4250-a099-8b78612a0e06</x:v>
      </x:c>
      <x:c r="C3350" s="9" t="str">
        <x:v>Trafigura Beheer BV v Navigazione Montanari SPA [2015] EWCA Civ 91</x:v>
      </x:c>
      <x:c r="D3350" s="9" t="str"/>
      <x:c r="E3350" s="9" t="str"/>
      <x:c r="F3350" s="13" t="str">
        <x:v>2015</x:v>
      </x:c>
      <x:c r="G3350" s="9" t="str">
        <x:v>England and Wales Court of Appeal (Civil Division)</x:v>
      </x:c>
      <x:c r="H3350" s="9" t="str">
        <x:v>Appellate</x:v>
      </x:c>
      <x:c r="I3350" s="9" t="str">
        <x:v>England and Wales</x:v>
      </x:c>
      <x:c r="J3350" s="9" t="str">
        <x:v>Maritime Law</x:v>
      </x:c>
      <x:c r="K3350" s="9" t="str">
        <x:v>-ew-cases-EWCA-Civ-2015-91.xml</x:v>
      </x:c>
      <x:c r="L3350" s="9" t="str">
        <x:v>TBA</x:v>
      </x:c>
    </x:row>
    <x:row r="3351">
      <x:c r="A3351" t="str">
        <x:v>8a02cf3b-1a40-4737-bcb5-3a62f28f6f08</x:v>
      </x:c>
      <x:c r="B3351" t="str">
        <x:v>f1b7d92c-3699-4908-88fa-907cb8e9df8f</x:v>
      </x:c>
      <x:c r="C3351" s="9" t="str">
        <x:v>Tran v Secretary of State for the Home Department</x:v>
      </x:c>
      <x:c r="D3351" s="9" t="str"/>
      <x:c r="E3351" s="9" t="str"/>
      <x:c r="F3351" s="13" t="str">
        <x:v>2015</x:v>
      </x:c>
      <x:c r="G3351" s="9" t="str">
        <x:v>England and Wales Court of Appeal (Civil Division)</x:v>
      </x:c>
      <x:c r="H3351" s="9" t="str">
        <x:v>appellate</x:v>
      </x:c>
      <x:c r="I3351" s="9" t="str">
        <x:v>England and Wales</x:v>
      </x:c>
      <x:c r="J3351" s="9" t="str">
        <x:v>Immigration Law</x:v>
      </x:c>
      <x:c r="K3351" s="9" t="str">
        <x:v>-ew-cases-EWCA-Civ-2015-694.xml</x:v>
      </x:c>
      <x:c r="L3351" s="9" t="str">
        <x:v>TBA</x:v>
      </x:c>
    </x:row>
    <x:row r="3352">
      <x:c r="A3352" t="str">
        <x:v>2e832201-6897-46fe-946a-901f28e5a5f9</x:v>
      </x:c>
      <x:c r="B3352" t="str">
        <x:v>4252e360-4bd0-4f5d-a3cf-ef487fb37eac</x:v>
      </x:c>
      <x:c r="C3352" s="9" t="str">
        <x:v>Transgrain Shipping (Singapore) Pte Ltd v Yangtze Navigation (Hong Kong) Co Ltd</x:v>
      </x:c>
      <x:c r="D3352" s="9" t="str"/>
      <x:c r="E3352" s="9" t="str"/>
      <x:c r="F3352" s="13" t="str">
        <x:v>2017</x:v>
      </x:c>
      <x:c r="G3352" s="9" t="str">
        <x:v>England and Wales Court of Appeal (Civil Division)</x:v>
      </x:c>
      <x:c r="H3352" s="9" t="str">
        <x:v>Appellate</x:v>
      </x:c>
      <x:c r="I3352" s="9" t="str">
        <x:v>England and Wales</x:v>
      </x:c>
      <x:c r="J3352" s="9" t="str">
        <x:v>Contract Dispute</x:v>
      </x:c>
      <x:c r="K3352" s="9" t="str">
        <x:v>-ew-cases-EWCA-Civ-2017-2107.xml</x:v>
      </x:c>
      <x:c r="L3352" s="9" t="str">
        <x:v>TBA</x:v>
      </x:c>
    </x:row>
    <x:row r="3353">
      <x:c r="A3353" t="str">
        <x:v>6463ac92-5c1b-4bf9-a8e9-8f9594153d17</x:v>
      </x:c>
      <x:c r="B3353" t="str">
        <x:v>2f55d6fc-d021-46d3-babd-7424b10b0d23</x:v>
      </x:c>
      <x:c r="C3353" s="9" t="str">
        <x:v>Transocean Drilling U.K. Ltd v Providence Resources Plc [2016] EWCA Civ 372</x:v>
      </x:c>
      <x:c r="D3353" s="9" t="str"/>
      <x:c r="E3353" s="9" t="str"/>
      <x:c r="F3353" s="13" t="str">
        <x:v>2016</x:v>
      </x:c>
      <x:c r="G3353" s="9" t="str">
        <x:v>England and Wales Court of Appeal (Civil Division)</x:v>
      </x:c>
      <x:c r="H3353" s="9" t="str">
        <x:v>Court of Appeal (Civil Division)</x:v>
      </x:c>
      <x:c r="I3353" s="9" t="str">
        <x:v>England and Wales</x:v>
      </x:c>
      <x:c r="J3353" s="9" t="str">
        <x:v>Contract Dispute</x:v>
      </x:c>
      <x:c r="K3353" s="9" t="str">
        <x:v>-ew-cases-EWCA-Civ-2016-372.xml</x:v>
      </x:c>
      <x:c r="L3353" s="9" t="str">
        <x:v>TBA</x:v>
      </x:c>
    </x:row>
    <x:row r="3354">
      <x:c r="A3354" t="str">
        <x:v>798d214a-701c-460c-9985-ac3fd222b5d6</x:v>
      </x:c>
      <x:c r="B3354" t="str">
        <x:v>7111d693-e960-4450-b94c-057520511361</x:v>
      </x:c>
      <x:c r="C3354" s="9" t="str">
        <x:v>Travel Counsellors Ltd v Trailfinders Ltd [2021] EWCA Civ 38</x:v>
      </x:c>
      <x:c r="D3354" s="9" t="str"/>
      <x:c r="E3354" s="9" t="str"/>
      <x:c r="F3354" s="13" t="str">
        <x:v>2021</x:v>
      </x:c>
      <x:c r="G3354" s="9" t="str">
        <x:v>England and Wales Court of Appeal (Civil Division)</x:v>
      </x:c>
      <x:c r="H3354" s="9" t="str">
        <x:v>appellate</x:v>
      </x:c>
      <x:c r="I3354" s="9" t="str">
        <x:v>England and Wales</x:v>
      </x:c>
      <x:c r="J3354" s="9" t="str">
        <x:v>Intellectual Property</x:v>
      </x:c>
      <x:c r="K3354" s="9" t="str">
        <x:v>ew-cases-EWCA-Civ-2021-38.xml</x:v>
      </x:c>
      <x:c r="L3354" s="9" t="str">
        <x:v>TBA</x:v>
      </x:c>
    </x:row>
    <x:row r="3355">
      <x:c r="A3355" t="str">
        <x:v>2791e581-e80d-4866-b84f-a89eca869ed7</x:v>
      </x:c>
      <x:c r="B3355" t="str">
        <x:v>9ccc40cd-b4fc-4130-b7b2-abe622a93c7e</x:v>
      </x:c>
      <x:c r="C3355" s="9" t="str">
        <x:v>Travelers Insurance Company Ltd v Armstrong &amp; Anor</x:v>
      </x:c>
      <x:c r="D3355" s="9" t="str"/>
      <x:c r="E3355" s="9" t="str"/>
      <x:c r="F3355" s="13" t="str">
        <x:v>2021</x:v>
      </x:c>
      <x:c r="G3355" s="9" t="str">
        <x:v>England and Wales Court of Appeal (Civil Division)</x:v>
      </x:c>
      <x:c r="H3355" s="9" t="str">
        <x:v>Appellate</x:v>
      </x:c>
      <x:c r="I3355" s="9" t="str">
        <x:v>England and Wales</x:v>
      </x:c>
      <x:c r="J3355" s="9" t="str">
        <x:v>Civil Appeal</x:v>
      </x:c>
      <x:c r="K3355" s="9" t="str">
        <x:v>ew-cases-EWCA-Civ-2021-978.xml</x:v>
      </x:c>
      <x:c r="L3355" s="9" t="str">
        <x:v>TBA</x:v>
      </x:c>
    </x:row>
    <x:row r="3356">
      <x:c r="A3356" t="str">
        <x:v>419d7205-66fd-4152-b2b5-90cff0137b89</x:v>
      </x:c>
      <x:c r="B3356" t="str">
        <x:v>e831f040-f659-42a4-890a-b248996b9603</x:v>
      </x:c>
      <x:c r="C3356" s="9" t="str">
        <x:v>Treatt Plc v Barratt &amp; Ors [2015] EWCA Civ 116</x:v>
      </x:c>
      <x:c r="D3356" s="9" t="str"/>
      <x:c r="E3356" s="9" t="str"/>
      <x:c r="F3356" s="13" t="str">
        <x:v>2015</x:v>
      </x:c>
      <x:c r="G3356" s="9" t="str">
        <x:v>England and Wales Court of Appeal (Civil Division)</x:v>
      </x:c>
      <x:c r="H3356" s="9" t="str">
        <x:v>Appellate</x:v>
      </x:c>
      <x:c r="I3356" s="9" t="str">
        <x:v>England and Wales</x:v>
      </x:c>
      <x:c r="J3356" s="9" t="str">
        <x:v>Contractual Dispute</x:v>
      </x:c>
      <x:c r="K3356" s="9" t="str">
        <x:v>-ew-cases-EWCA-Civ-2015-116.xml</x:v>
      </x:c>
      <x:c r="L3356" s="9" t="str">
        <x:v>TBA</x:v>
      </x:c>
    </x:row>
    <x:row r="3357">
      <x:c r="A3357" t="str">
        <x:v>fb800aa0-2f01-4d78-94fe-83dee9fd1d8b</x:v>
      </x:c>
      <x:c r="B3357" t="str">
        <x:v>4545e167-5c67-4864-8f74-4b1fadfc6976</x:v>
      </x:c>
      <x:c r="C3357" s="9" t="str">
        <x:v>Trindade v London Borough of Hackney</x:v>
      </x:c>
      <x:c r="D3357" s="9" t="str"/>
      <x:c r="E3357" s="9" t="str"/>
      <x:c r="F3357" s="13" t="str">
        <x:v>2017</x:v>
      </x:c>
      <x:c r="G3357" s="9" t="str">
        <x:v>England and Wales Court of Appeal (Civil Division)</x:v>
      </x:c>
      <x:c r="H3357" s="9" t="str">
        <x:v>Appellate</x:v>
      </x:c>
      <x:c r="I3357" s="9" t="str">
        <x:v>England and Wales</x:v>
      </x:c>
      <x:c r="J3357" s="9" t="str">
        <x:v>Housing Law</x:v>
      </x:c>
      <x:c r="K3357" s="9" t="str">
        <x:v>-ew-cases-EWCA-Civ-2017-942.xml</x:v>
      </x:c>
      <x:c r="L3357" s="9" t="str">
        <x:v>TBA</x:v>
      </x:c>
    </x:row>
    <x:row r="3358">
      <x:c r="A3358" t="str">
        <x:v>b0223306-45d4-4fc8-9594-b0e4cbe5e5a1</x:v>
      </x:c>
      <x:c r="B3358" t="str">
        <x:v>c445b911-c7cc-4a6d-97f8-1be0949d9c0c</x:v>
      </x:c>
      <x:c r="C3358" s="9" t="str">
        <x:v>Triplerose Ltd v Ninety Broomfield Road RTM Co Ltd</x:v>
      </x:c>
      <x:c r="D3358" s="9" t="str"/>
      <x:c r="E3358" s="9" t="str"/>
      <x:c r="F3358" s="13" t="str">
        <x:v>2015</x:v>
      </x:c>
      <x:c r="G3358" s="9" t="str">
        <x:v>England and Wales Court of Appeal (Civil Division)</x:v>
      </x:c>
      <x:c r="H3358" s="9" t="str">
        <x:v>Appellate</x:v>
      </x:c>
      <x:c r="I3358" s="9" t="str">
        <x:v>England and Wales</x:v>
      </x:c>
      <x:c r="J3358" s="9" t="str">
        <x:v>Property Law</x:v>
      </x:c>
      <x:c r="K3358" s="9" t="str">
        <x:v>-ew-cases-EWCA-Civ-2015-282.xml</x:v>
      </x:c>
      <x:c r="L3358" s="9" t="str">
        <x:v>TBA</x:v>
      </x:c>
    </x:row>
    <x:row r="3359">
      <x:c r="A3359" t="str">
        <x:v>953835ae-df84-4e83-a8ec-7294d0a67122</x:v>
      </x:c>
      <x:c r="B3359" t="str">
        <x:v>adbfae0c-b473-4f94-9e74-30a2382d20ba</x:v>
      </x:c>
      <x:c r="C3359" s="9" t="str">
        <x:v>Trust Risk Group SPA v AmTrust Europe Ltd [2015] EWCA Civ 437</x:v>
      </x:c>
      <x:c r="D3359" s="9" t="str"/>
      <x:c r="E3359" s="9" t="str"/>
      <x:c r="F3359" s="13" t="str">
        <x:v>2015</x:v>
      </x:c>
      <x:c r="G3359" s="9" t="str">
        <x:v>England and Wales Court of Appeal (Civil Division)</x:v>
      </x:c>
      <x:c r="H3359" s="9" t="str">
        <x:v>Appellate</x:v>
      </x:c>
      <x:c r="I3359" s="9" t="str">
        <x:v>England and Wales</x:v>
      </x:c>
      <x:c r="J3359" s="9" t="str">
        <x:v>Contract Dispute</x:v>
      </x:c>
      <x:c r="K3359" s="9" t="str">
        <x:v>-ew-cases-EWCA-Civ-2015-437.xml</x:v>
      </x:c>
      <x:c r="L3359" s="9" t="str">
        <x:v>TBA</x:v>
      </x:c>
    </x:row>
    <x:row r="3360">
      <x:c r="A3360" t="str">
        <x:v>947d1299-8c08-4c1b-8b26-d912f3c47c2e</x:v>
      </x:c>
      <x:c r="B3360" t="str">
        <x:v>35822ddc-2333-4d36-b574-0b755cabd224</x:v>
      </x:c>
      <x:c r="C3360" s="9" t="str">
        <x:v>TRW Ltd v Panasonic Industry Europe GmbH &amp; Anor [2021] EWCA Civ 1558</x:v>
      </x:c>
      <x:c r="D3360" s="9" t="str"/>
      <x:c r="E3360" s="9" t="str"/>
      <x:c r="F3360" s="13" t="str">
        <x:v>2021</x:v>
      </x:c>
      <x:c r="G3360" s="9" t="str">
        <x:v>England and Wales Court of Appeal (Civil Division)</x:v>
      </x:c>
      <x:c r="H3360" s="9" t="str">
        <x:v>Appellate</x:v>
      </x:c>
      <x:c r="I3360" s="9" t="str">
        <x:v>England and Wales</x:v>
      </x:c>
      <x:c r="J3360" s="9" t="str">
        <x:v>Civil Jurisdiction Dispute</x:v>
      </x:c>
      <x:c r="K3360" s="9" t="str">
        <x:v>ew-cases-EWCA-Civ-2021-1558.xml</x:v>
      </x:c>
      <x:c r="L3360" s="9" t="str">
        <x:v>TBA</x:v>
      </x:c>
    </x:row>
    <x:row r="3361">
      <x:c r="A3361" t="str">
        <x:v>0964551d-3f5a-4869-97fd-261948659574</x:v>
      </x:c>
      <x:c r="B3361" t="str">
        <x:v>dbb2cb5e-2c42-4fce-b087-f5bb4a221bc8</x:v>
      </x:c>
      <x:c r="C3361" s="9" t="str">
        <x:v>TS (Pakistan) v Secretary of State for the Home Department</x:v>
      </x:c>
      <x:c r="D3361" s="9" t="str"/>
      <x:c r="E3361" s="9" t="str"/>
      <x:c r="F3361" s="13" t="str">
        <x:v>2015</x:v>
      </x:c>
      <x:c r="G3361" s="9" t="str">
        <x:v>England and Wales Court of Appeal (Civil Division)</x:v>
      </x:c>
      <x:c r="H3361" s="9" t="str">
        <x:v>Appellate</x:v>
      </x:c>
      <x:c r="I3361" s="9" t="str">
        <x:v>England and Wales</x:v>
      </x:c>
      <x:c r="J3361" s="9" t="str">
        <x:v>Immigration Law</x:v>
      </x:c>
      <x:c r="K3361" s="9" t="str">
        <x:v>-ew-cases-EWCA-Civ-2015-698.xml</x:v>
      </x:c>
      <x:c r="L3361" s="9" t="str">
        <x:v>TBA</x:v>
      </x:c>
    </x:row>
    <x:row r="3362">
      <x:c r="A3362" t="str">
        <x:v>25d051b0-f246-4021-be1a-1fd842f81dcc</x:v>
      </x:c>
      <x:c r="B3362" t="str">
        <x:v>beb4c0af-13b9-4358-9d43-49f74a7d4ff7</x:v>
      </x:c>
      <x:c r="C3362" s="9" t="str">
        <x:v>TT (Children) [2021] EWCA Civ 742 - Discharge of Care Order Appeal</x:v>
      </x:c>
      <x:c r="D3362" s="9" t="str"/>
      <x:c r="E3362" s="9" t="str"/>
      <x:c r="F3362" s="13" t="str">
        <x:v>2021</x:v>
      </x:c>
      <x:c r="G3362" s="9" t="str">
        <x:v>England and Wales Court of Appeal (Civil Division)</x:v>
      </x:c>
      <x:c r="H3362" s="9" t="str">
        <x:v>Appellate</x:v>
      </x:c>
      <x:c r="I3362" s="9" t="str">
        <x:v>England and Wales</x:v>
      </x:c>
      <x:c r="J3362" s="9" t="str">
        <x:v>Family Law</x:v>
      </x:c>
      <x:c r="K3362" s="9" t="str">
        <x:v>ew-cases-EWCA-Civ-2021-742.xml</x:v>
      </x:c>
      <x:c r="L3362" s="9" t="str">
        <x:v>TBA</x:v>
      </x:c>
    </x:row>
    <x:row r="3363">
      <x:c r="A3363" t="str">
        <x:v>7194db2d-7b50-438b-b586-1988afcd0d83</x:v>
      </x:c>
      <x:c r="B3363" t="str">
        <x:v>551ece49-cad8-4b5e-930b-7ca116fb4399</x:v>
      </x:c>
      <x:c r="C3363" s="9" t="str">
        <x:v>Tuke v Hood [2022] EWCA Civ 23</x:v>
      </x:c>
      <x:c r="D3363" s="9" t="str"/>
      <x:c r="E3363" s="9" t="str"/>
      <x:c r="F3363" s="13" t="str">
        <x:v>2022</x:v>
      </x:c>
      <x:c r="G3363" s="9" t="str">
        <x:v>England and Wales Court of Appeal (Civil Division)</x:v>
      </x:c>
      <x:c r="H3363" s="9" t="str">
        <x:v>Court of Appeal (Civil Division)</x:v>
      </x:c>
      <x:c r="I3363" s="9" t="str">
        <x:v>England and Wales</x:v>
      </x:c>
      <x:c r="J3363" s="9" t="str">
        <x:v>Tort / Fraud (Deceit) and Equity</x:v>
      </x:c>
      <x:c r="K3363" s="9" t="str">
        <x:v>ew-cases-EWCA-Civ-2022-23.xml</x:v>
      </x:c>
      <x:c r="L3363" s="9" t="str">
        <x:v>TBA</x:v>
      </x:c>
    </x:row>
    <x:row r="3364">
      <x:c r="A3364" t="str">
        <x:v>2790b29a-5f50-48a9-b241-94ccf0796517</x:v>
      </x:c>
      <x:c r="B3364" t="str">
        <x:v>10b0903d-d396-4e60-9a82-03d842d5c59b</x:v>
      </x:c>
      <x:c r="C3364" s="9" t="str">
        <x:v>Tulip Trading Limited (A Seychelles Company) v Bitcoin Association For BSV &amp; Ors [2023] EWCA Civ 83 (03 February 2023)</x:v>
      </x:c>
      <x:c r="D3364" s="9" t="str"/>
      <x:c r="E3364" s="9" t="str"/>
      <x:c r="F3364" s="13" t="str">
        <x:v>2023</x:v>
      </x:c>
      <x:c r="G3364" s="9" t="str">
        <x:v>England and Wales Court of Appeal (Civil Division)</x:v>
      </x:c>
      <x:c r="H3364" s="9" t="str">
        <x:v>Court of Appeal (Civil Division)</x:v>
      </x:c>
      <x:c r="I3364" s="9" t="str">
        <x:v>England and Wales</x:v>
      </x:c>
      <x:c r="J3364" s="9" t="str">
        <x:v>Tort and Fiduciary Duty / Digital Assets</x:v>
      </x:c>
      <x:c r="K3364" s="9" t="str">
        <x:v>ew-cases-EWCA-Civ-2023-83.xml</x:v>
      </x:c>
      <x:c r="L3364" s="9" t="str">
        <x:v>TBA</x:v>
      </x:c>
    </x:row>
    <x:row r="3365">
      <x:c r="A3365" t="str">
        <x:v>a4b383a1-3552-4270-99be-538443b0ae9d</x:v>
      </x:c>
      <x:c r="B3365" t="str">
        <x:v>487b93ce-f29b-46a3-a396-ca4acc6406e7</x:v>
      </x:c>
      <x:c r="C3365" s="9" t="str">
        <x:v>TuneIn Inc v Warner Music UK Ltd &amp; Anor [2021] EWCA Civ 441</x:v>
      </x:c>
      <x:c r="D3365" s="9" t="str"/>
      <x:c r="E3365" s="9" t="str"/>
      <x:c r="F3365" s="13" t="str">
        <x:v>2021</x:v>
      </x:c>
      <x:c r="G3365" s="9" t="str">
        <x:v>England and Wales Court of Appeal (Civil Division)</x:v>
      </x:c>
      <x:c r="H3365" s="9" t="str">
        <x:v>Appellate</x:v>
      </x:c>
      <x:c r="I3365" s="9" t="str">
        <x:v>United Kingdom</x:v>
      </x:c>
      <x:c r="J3365" s="9" t="str">
        <x:v>Intellectual Property</x:v>
      </x:c>
      <x:c r="K3365" s="9" t="str">
        <x:v>ew-cases-EWCA-Civ-2021-441.xml</x:v>
      </x:c>
      <x:c r="L3365" s="9" t="str">
        <x:v>TBA</x:v>
      </x:c>
    </x:row>
    <x:row r="3366">
      <x:c r="A3366" t="str">
        <x:v>4524ed5e-0cbf-4430-b365-cec7dbf7da7d</x:v>
      </x:c>
      <x:c r="B3366" t="str">
        <x:v>e6a0c769-f2c2-4097-867a-9be34d7413cb</x:v>
      </x:c>
      <x:c r="C3366" s="9" t="str">
        <x:v>Tunnel Tech Ltd v Reeves (Valuation Officer) [2015] EWCA Civ 718</x:v>
      </x:c>
      <x:c r="D3366" s="9" t="str"/>
      <x:c r="E3366" s="9" t="str"/>
      <x:c r="F3366" s="13" t="str">
        <x:v>2015</x:v>
      </x:c>
      <x:c r="G3366" s="9" t="str">
        <x:v>England and Wales Court of Appeal (Civil Division)</x:v>
      </x:c>
      <x:c r="H3366" s="9" t="str">
        <x:v>Appellate</x:v>
      </x:c>
      <x:c r="I3366" s="9" t="str">
        <x:v>England and Wales</x:v>
      </x:c>
      <x:c r="J3366" s="9" t="str">
        <x:v>Taxation</x:v>
      </x:c>
      <x:c r="K3366" s="9" t="str">
        <x:v>-ew-cases-EWCA-Civ-2015-718.xml</x:v>
      </x:c>
      <x:c r="L3366" s="9" t="str">
        <x:v>TBA</x:v>
      </x:c>
    </x:row>
    <x:row r="3367">
      <x:c r="A3367" t="str">
        <x:v>12321f54-49c2-4118-ae55-8e528d4e36a8</x:v>
      </x:c>
      <x:c r="B3367" t="str">
        <x:v>be3e081b-db95-4167-a80d-64d010444112</x:v>
      </x:c>
      <x:c r="C3367" s="9" t="str">
        <x:v>Turani &amp; Anor v Secretary of State for the Home Department</x:v>
      </x:c>
      <x:c r="D3367" s="9" t="str"/>
      <x:c r="E3367" s="9" t="str"/>
      <x:c r="F3367" s="13" t="str">
        <x:v>2021</x:v>
      </x:c>
      <x:c r="G3367" s="9" t="str">
        <x:v>England and Wales Court of Appeal (Civil Division)</x:v>
      </x:c>
      <x:c r="H3367" s="9" t="str">
        <x:v>Appellate</x:v>
      </x:c>
      <x:c r="I3367" s="9" t="str">
        <x:v>England and Wales</x:v>
      </x:c>
      <x:c r="J3367" s="9" t="str">
        <x:v>Administrative Law</x:v>
      </x:c>
      <x:c r="K3367" s="9" t="str">
        <x:v>ew-cases-EWCA-Civ-2021-348.xml</x:v>
      </x:c>
      <x:c r="L3367" s="9" t="str">
        <x:v>TBA</x:v>
      </x:c>
    </x:row>
    <x:row r="3368">
      <x:c r="A3368" t="str">
        <x:v>9b01f310-a294-451e-acf2-d981120164a0</x:v>
      </x:c>
      <x:c r="B3368" t="str">
        <x:v>6fa3d0da-7143-471b-a26b-908ca5e65b60</x:v>
      </x:c>
      <x:c r="C3368" s="9" t="str">
        <x:v>Turley v London Borough of Wandsworth &amp; Anor [2017] EWCA Civ 189</x:v>
      </x:c>
      <x:c r="D3368" s="9" t="str"/>
      <x:c r="E3368" s="9" t="str"/>
      <x:c r="F3368" s="13" t="str">
        <x:v>2017</x:v>
      </x:c>
      <x:c r="G3368" s="9" t="str">
        <x:v>England and Wales Court of Appeal (Civil Division)</x:v>
      </x:c>
      <x:c r="H3368" s="9" t="str">
        <x:v>Appellate</x:v>
      </x:c>
      <x:c r="I3368" s="9" t="str">
        <x:v>England and Wales</x:v>
      </x:c>
      <x:c r="J3368" s="9" t="str">
        <x:v>Housing Law</x:v>
      </x:c>
      <x:c r="K3368" s="9" t="str">
        <x:v>-ew-cases-EWCA-Civ-2017-189.xml</x:v>
      </x:c>
      <x:c r="L3368" s="9" t="str">
        <x:v>TBA</x:v>
      </x:c>
    </x:row>
    <x:row r="3369">
      <x:c r="A3369" t="str">
        <x:v>9e8f5b0b-4bc8-438a-aecf-6f7aa099de1b</x:v>
      </x:c>
      <x:c r="B3369" t="str">
        <x:v>ff8249ad-0379-459a-b0a0-1c9351065731</x:v>
      </x:c>
      <x:c r="C3369" s="9" t="str">
        <x:v>Turner v Secretary of State for Communities and Local Government &amp; Anor [2016] EWCA Civ 466</x:v>
      </x:c>
      <x:c r="D3369" s="9" t="str"/>
      <x:c r="E3369" s="9" t="str"/>
      <x:c r="F3369" s="13" t="str">
        <x:v>2016</x:v>
      </x:c>
      <x:c r="G3369" s="9" t="str">
        <x:v>England and Wales Court of Appeal (Civil Division)</x:v>
      </x:c>
      <x:c r="H3369" s="9" t="str">
        <x:v>Court of Appeal (Civil Division)</x:v>
      </x:c>
      <x:c r="I3369" s="9" t="str">
        <x:v>England and Wales</x:v>
      </x:c>
      <x:c r="J3369" s="9" t="str">
        <x:v>Planning Law</x:v>
      </x:c>
      <x:c r="K3369" s="9" t="str">
        <x:v>-ew-cases-EWCA-Civ-2016-466.xml</x:v>
      </x:c>
      <x:c r="L3369" s="9" t="str">
        <x:v>TBA</x:v>
      </x:c>
    </x:row>
    <x:row r="3370">
      <x:c r="A3370" t="str">
        <x:v>ea9a9e36-59cd-49bd-bc04-91571f6a0135</x:v>
      </x:c>
      <x:c r="B3370" t="str">
        <x:v>dd5eabef-d08c-46c0-8b63-f85fa0c36671</x:v>
      </x:c>
      <x:c r="C3370" s="9" t="str">
        <x:v>Turner v The Secretary of State for Communities and Local Government &amp; Ors</x:v>
      </x:c>
      <x:c r="D3370" s="9" t="str"/>
      <x:c r="E3370" s="9" t="str"/>
      <x:c r="F3370" s="13" t="str">
        <x:v>2015</x:v>
      </x:c>
      <x:c r="G3370" s="9" t="str">
        <x:v>England and Wales Court of Appeal (Civil Division)</x:v>
      </x:c>
      <x:c r="H3370" s="9" t="str">
        <x:v>Appellate</x:v>
      </x:c>
      <x:c r="I3370" s="9" t="str">
        <x:v>England and Wales</x:v>
      </x:c>
      <x:c r="J3370" s="9" t="str">
        <x:v>Administrative Law</x:v>
      </x:c>
      <x:c r="K3370" s="9" t="str">
        <x:v>-ew-cases-EWCA-Civ-2015-582.xml</x:v>
      </x:c>
      <x:c r="L3370" s="9" t="str">
        <x:v>TBA</x:v>
      </x:c>
    </x:row>
    <x:row r="3371">
      <x:c r="A3371" t="str">
        <x:v>03c344e1-00a6-4d6f-8d36-43ef4b94da31</x:v>
      </x:c>
      <x:c r="B3371" t="str">
        <x:v>8613f1c8-8aa0-499f-896d-6edab284fe8b</x:v>
      </x:c>
      <x:c r="C3371" s="9" t="str">
        <x:v>Turvill v Bird &amp; Ors [2016] EWCA Civ 703</x:v>
      </x:c>
      <x:c r="D3371" s="9" t="str"/>
      <x:c r="E3371" s="9" t="str"/>
      <x:c r="F3371" s="13" t="str">
        <x:v>2016</x:v>
      </x:c>
      <x:c r="G3371" s="9" t="str">
        <x:v>England and Wales Court of Appeal (Civil Division)</x:v>
      </x:c>
      <x:c r="H3371" s="9" t="str">
        <x:v>Court of Appeal (Civil Division)</x:v>
      </x:c>
      <x:c r="I3371" s="9" t="str">
        <x:v>England and Wales</x:v>
      </x:c>
      <x:c r="J3371" s="9" t="str">
        <x:v>Civil Procedure / Costs</x:v>
      </x:c>
      <x:c r="K3371" s="9" t="str">
        <x:v>-ew-cases-EWCA-Civ-2016-703.xml</x:v>
      </x:c>
      <x:c r="L3371" s="9" t="str">
        <x:v>TBA</x:v>
      </x:c>
    </x:row>
    <x:row r="3372">
      <x:c r="A3372" t="str">
        <x:v>68e04f79-2c3e-4ff6-93ea-555a2dea86f9</x:v>
      </x:c>
      <x:c r="B3372" t="str">
        <x:v>482afd96-030c-4870-a985-5bfa14253804</x:v>
      </x:c>
      <x:c r="C3372" s="9" t="str">
        <x:v>TW v Enfield Borough Council: Appeal concerning unlawful detention pursuant to Mental Health Act 1983</x:v>
      </x:c>
      <x:c r="D3372" s="9" t="str"/>
      <x:c r="E3372" s="9" t="str"/>
      <x:c r="F3372" s="13" t="str">
        <x:v>2014</x:v>
      </x:c>
      <x:c r="G3372" s="9" t="str">
        <x:v>England and Wales Court of Appeal (Civil Division)</x:v>
      </x:c>
      <x:c r="H3372" s="9" t="str">
        <x:v>Appellate</x:v>
      </x:c>
      <x:c r="I3372" s="9" t="str">
        <x:v>England and Wales</x:v>
      </x:c>
      <x:c r="J3372" s="9" t="str">
        <x:v>Administrative Law</x:v>
      </x:c>
      <x:c r="K3372" s="9" t="str">
        <x:v>-ew-cases-EWCA-Civ-2014-362.xml</x:v>
      </x:c>
      <x:c r="L3372" s="9" t="str">
        <x:v>TBA</x:v>
      </x:c>
    </x:row>
    <x:row r="3373">
      <x:c r="A3373" t="str">
        <x:v>a40e1454-a984-4d19-aeea-5f6c836c6969</x:v>
      </x:c>
      <x:c r="B3373" t="str">
        <x:v>86498db4-2460-474e-aec5-f1044b306ad6</x:v>
      </x:c>
      <x:c r="C3373" s="9" t="str">
        <x:v>TY (Sri Lanka) v The Secretary of State for the Home Department</x:v>
      </x:c>
      <x:c r="D3373" s="9" t="str"/>
      <x:c r="E3373" s="9" t="str"/>
      <x:c r="F3373" s="13" t="str">
        <x:v>2015</x:v>
      </x:c>
      <x:c r="G3373" s="9" t="str">
        <x:v>England and Wales Court of Appeal (Civil Division)</x:v>
      </x:c>
      <x:c r="H3373" s="9" t="str">
        <x:v>Appellate Division</x:v>
      </x:c>
      <x:c r="I3373" s="9" t="str">
        <x:v>England and Wales</x:v>
      </x:c>
      <x:c r="J3373" s="9" t="str">
        <x:v>Immigration Law</x:v>
      </x:c>
      <x:c r="K3373" s="9" t="str">
        <x:v>-ew-cases-EWCA-Civ-2015-1233.xml</x:v>
      </x:c>
      <x:c r="L3373" s="9" t="str">
        <x:v>TBA</x:v>
      </x:c>
    </x:row>
    <x:row r="3374">
      <x:c r="A3374" t="str">
        <x:v>3c4d37f1-783d-4769-aa31-8c8e1ce1ccef</x:v>
      </x:c>
      <x:c r="B3374" t="str">
        <x:v>dd1fb906-0a37-4792-a4fa-7bf180ef6926</x:v>
      </x:c>
      <x:c r="C3374" s="9" t="str">
        <x:v>Tyne and Wear Passenger Transport Executive (trading as Nexus) v National Union of Rail, Maritime and Transport Workers &amp; Unite the Union [2022] EWCA Civ 1408</x:v>
      </x:c>
      <x:c r="D3374" s="9" t="str"/>
      <x:c r="E3374" s="9" t="str"/>
      <x:c r="F3374" s="13" t="str">
        <x:v>2022</x:v>
      </x:c>
      <x:c r="G3374" s="9" t="str">
        <x:v>England and Wales Court of Appeal (Civil Division)</x:v>
      </x:c>
      <x:c r="H3374" s="9" t="str">
        <x:v>Court of Appeal (Civil Division)</x:v>
      </x:c>
      <x:c r="I3374" s="9" t="str">
        <x:v>England and Wales</x:v>
      </x:c>
      <x:c r="J3374" s="9" t="str">
        <x:v>Contract/Employment Law – Rectification of Collective Agreement</x:v>
      </x:c>
      <x:c r="K3374" s="9" t="str">
        <x:v>ew-cases-EWCA-Civ-2022-1408.xml</x:v>
      </x:c>
      <x:c r="L3374" s="9" t="str">
        <x:v>TBA</x:v>
      </x:c>
    </x:row>
    <x:row r="3375">
      <x:c r="A3375" t="str">
        <x:v>0f8c2422-9ae5-4e48-8e35-e49bc5d2543f</x:v>
      </x:c>
      <x:c r="B3375" t="str">
        <x:v>3e7aac4d-08fe-4086-9edf-38fec8c26332</x:v>
      </x:c>
      <x:c r="C3375" s="9" t="str">
        <x:v>U (Children : Residence order) [2016] EWCA Civ 1332 (20 October 2016)</x:v>
      </x:c>
      <x:c r="D3375" s="9" t="str"/>
      <x:c r="E3375" s="9" t="str"/>
      <x:c r="F3375" s="13" t="str">
        <x:v>2016</x:v>
      </x:c>
      <x:c r="G3375" s="9" t="str">
        <x:v>England and Wales Court of Appeal (Civil Division)</x:v>
      </x:c>
      <x:c r="H3375" s="9" t="str">
        <x:v>Court of Appeal (Civil Division)</x:v>
      </x:c>
      <x:c r="I3375" s="9" t="str">
        <x:v>England and Wales</x:v>
      </x:c>
      <x:c r="J3375" s="9" t="str">
        <x:v>Private Family Law / Welfare</x:v>
      </x:c>
      <x:c r="K3375" s="9" t="str">
        <x:v>-ew-cases-EWCA-Civ-2016-1332.xml</x:v>
      </x:c>
      <x:c r="L3375" s="9" t="str">
        <x:v>TBA</x:v>
      </x:c>
    </x:row>
    <x:row r="3376">
      <x:c r="A3376" t="str">
        <x:v>4fa74ccf-08eb-4145-a3fe-b7b90c704fb4</x:v>
      </x:c>
      <x:c r="B3376" t="str">
        <x:v>3c461599-681b-42b0-9877-a6d9ee8c314c</x:v>
      </x:c>
      <x:c r="C3376" s="9" t="str">
        <x:v>U (Children) [2015] EWCA Civ 334</x:v>
      </x:c>
      <x:c r="D3376" s="9" t="str"/>
      <x:c r="E3376" s="9" t="str"/>
      <x:c r="F3376" s="13" t="str">
        <x:v>2015</x:v>
      </x:c>
      <x:c r="G3376" s="9" t="str">
        <x:v>England and Wales Court of Appeal (Civil Division)</x:v>
      </x:c>
      <x:c r="H3376" s="9" t="str">
        <x:v>Appellate</x:v>
      </x:c>
      <x:c r="I3376" s="9" t="str">
        <x:v>England and Wales</x:v>
      </x:c>
      <x:c r="J3376" s="9" t="str">
        <x:v>Family Law</x:v>
      </x:c>
      <x:c r="K3376" s="9" t="str">
        <x:v>-ew-cases-EWCA-Civ-2015-334.xml</x:v>
      </x:c>
      <x:c r="L3376" s="9" t="str">
        <x:v>TBA</x:v>
      </x:c>
    </x:row>
    <x:row r="3377">
      <x:c r="A3377" t="str">
        <x:v>4b6e957a-404d-4da1-bccb-3a96cfef0312</x:v>
      </x:c>
      <x:c r="B3377" t="str">
        <x:v>b9629042-26f0-4e89-a8d3-228eb502e502</x:v>
      </x:c>
      <x:c r="C3377" s="9" t="str">
        <x:v>U-B (A Child) [2015] EWCA Civ 60</x:v>
      </x:c>
      <x:c r="D3377" s="9" t="str"/>
      <x:c r="E3377" s="9" t="str"/>
      <x:c r="F3377" s="13" t="str">
        <x:v>2015</x:v>
      </x:c>
      <x:c r="G3377" s="9" t="str">
        <x:v>England and Wales Court of Appeal (Civil Division)</x:v>
      </x:c>
      <x:c r="H3377" s="9" t="str">
        <x:v>Court of Appeal</x:v>
      </x:c>
      <x:c r="I3377" s="9" t="str">
        <x:v>England and Wales</x:v>
      </x:c>
      <x:c r="J3377" s="9" t="str">
        <x:v>Family Law</x:v>
      </x:c>
      <x:c r="K3377" s="9" t="str">
        <x:v>-ew-cases-EWCA-Civ-2015-60.xml</x:v>
      </x:c>
      <x:c r="L3377" s="9" t="str">
        <x:v>TBA</x:v>
      </x:c>
    </x:row>
    <x:row r="3378">
      <x:c r="A3378" t="str">
        <x:v>937e7094-cdef-4a0b-8f05-f51287a0a4f7</x:v>
      </x:c>
      <x:c r="B3378" t="str">
        <x:v>80f1df4e-b805-4fcd-bb2f-b4b5dd8f518f</x:v>
      </x:c>
      <x:c r="C3378" s="9" t="str">
        <x:v>UB (Sri Lanka) v Secretary of State for the Home Department</x:v>
      </x:c>
      <x:c r="D3378" s="9" t="str"/>
      <x:c r="E3378" s="9" t="str"/>
      <x:c r="F3378" s="13" t="str">
        <x:v>2017</x:v>
      </x:c>
      <x:c r="G3378" s="9" t="str">
        <x:v>England and Wales Court of Appeal (Civil Division)</x:v>
      </x:c>
      <x:c r="H3378" s="9" t="str">
        <x:v>Appellate</x:v>
      </x:c>
      <x:c r="I3378" s="9" t="str">
        <x:v>England and Wales</x:v>
      </x:c>
      <x:c r="J3378" s="9" t="str">
        <x:v>Immigration and Asylum Law</x:v>
      </x:c>
      <x:c r="K3378" s="9" t="str">
        <x:v>-ew-cases-EWCA-Civ-2017-85.xml</x:v>
      </x:c>
      <x:c r="L3378" s="9" t="str">
        <x:v>TBA</x:v>
      </x:c>
    </x:row>
    <x:row r="3379">
      <x:c r="A3379" t="str">
        <x:v>370d7740-718c-4309-87f5-9f05cde8c093</x:v>
      </x:c>
      <x:c r="B3379" t="str">
        <x:v>e705449f-702f-4a4f-89c1-2e030995b8e7</x:v>
      </x:c>
      <x:c r="C3379" s="9" t="str">
        <x:v>UBS AG (London Branch) &amp; Anor v Kommunale Wasserwerke Leipzig GmbH [2017] EWCA Civ 1567</x:v>
      </x:c>
      <x:c r="D3379" s="9" t="str"/>
      <x:c r="E3379" s="9" t="str"/>
      <x:c r="F3379" s="13" t="str">
        <x:v>2017</x:v>
      </x:c>
      <x:c r="G3379" s="9" t="str">
        <x:v>England and Wales Court of Appeal (Civil Division)</x:v>
      </x:c>
      <x:c r="H3379" s="9" t="str">
        <x:v>Appellate</x:v>
      </x:c>
      <x:c r="I3379" s="9" t="str">
        <x:v>England and Wales</x:v>
      </x:c>
      <x:c r="J3379" s="9" t="str">
        <x:v>Contract Dispute</x:v>
      </x:c>
      <x:c r="K3379" s="9" t="str">
        <x:v>-ew-cases-EWCA-Civ-2017-1567.xml</x:v>
      </x:c>
      <x:c r="L3379" s="9" t="str">
        <x:v>TBA</x:v>
      </x:c>
    </x:row>
    <x:row r="3380">
      <x:c r="A3380" t="str">
        <x:v>d3304d65-a696-4419-834a-a176ce2b5a1e</x:v>
      </x:c>
      <x:c r="B3380" t="str">
        <x:v>e30671ed-833b-476e-8ed9-1e26b77f1a83</x:v>
      </x:c>
      <x:c r="C3380" s="9" t="str">
        <x:v>UCP Plc v Nectrus Ltd [2022] EWCA Civ 949 (Court of Appeal) – Recusal, CPR Part 52.30, and re-opening of PTA decisions</x:v>
      </x:c>
      <x:c r="D3380" s="9" t="str"/>
      <x:c r="E3380" s="9" t="str"/>
      <x:c r="F3380" s="13" t="str">
        <x:v>2022</x:v>
      </x:c>
      <x:c r="G3380" s="9" t="str">
        <x:v>England and Wales Court of Appeal (Civil Division)</x:v>
      </x:c>
      <x:c r="H3380" s="9" t="str">
        <x:v>Court of Appeal (Civil Division)</x:v>
      </x:c>
      <x:c r="I3380" s="9" t="str">
        <x:v>England and Wales</x:v>
      </x:c>
      <x:c r="J3380" s="9" t="str">
        <x:v>Civil Procedure / Appeals</x:v>
      </x:c>
      <x:c r="K3380" s="9" t="str">
        <x:v>ew-cases-EWCA-Civ-2022-949.xml</x:v>
      </x:c>
      <x:c r="L3380" s="9" t="str">
        <x:v>TBA</x:v>
      </x:c>
    </x:row>
    <x:row r="3381">
      <x:c r="A3381" t="str">
        <x:v>698d9909-9f95-4958-8885-14bb617365ea</x:v>
      </x:c>
      <x:c r="B3381" t="str">
        <x:v>d6083298-233c-449d-9fb3-27dfca3e6411</x:v>
      </x:c>
      <x:c r="C3381" s="9" t="str">
        <x:v>UD v DN (Schedule 1, Children Act 1989; Capital Provision) [2021] EWCA Civ 1947</x:v>
      </x:c>
      <x:c r="D3381" s="9" t="str"/>
      <x:c r="E3381" s="9" t="str"/>
      <x:c r="F3381" s="13" t="str">
        <x:v>2021</x:v>
      </x:c>
      <x:c r="G3381" s="9" t="str">
        <x:v>England and Wales Court of Appeal (Civil Division)</x:v>
      </x:c>
      <x:c r="H3381" s="9" t="str">
        <x:v>Appellate</x:v>
      </x:c>
      <x:c r="I3381" s="9" t="str">
        <x:v>England and Wales</x:v>
      </x:c>
      <x:c r="J3381" s="9" t="str">
        <x:v>Family Law</x:v>
      </x:c>
      <x:c r="K3381" s="9" t="str">
        <x:v>ew-cases-EWCA-Civ-2021-1947.xml</x:v>
      </x:c>
      <x:c r="L3381" s="9" t="str">
        <x:v>TBA</x:v>
      </x:c>
    </x:row>
    <x:row r="3382">
      <x:c r="A3382" t="str">
        <x:v>14a17907-5888-4189-80e8-e6fcad27d4bf</x:v>
      </x:c>
      <x:c r="B3382" t="str">
        <x:v>4518c127-742b-4c3e-9bf0-9ffc698fe253</x:v>
      </x:c>
      <x:c r="C3382" s="9" t="str">
        <x:v>Uddin &amp; Anor v London Borough of Islington</x:v>
      </x:c>
      <x:c r="D3382" s="9" t="str"/>
      <x:c r="E3382" s="9" t="str"/>
      <x:c r="F3382" s="13" t="str">
        <x:v>2015</x:v>
      </x:c>
      <x:c r="G3382" s="9" t="str">
        <x:v>England and Wales Court of Appeal (Civil Division)</x:v>
      </x:c>
      <x:c r="H3382" s="9" t="str">
        <x:v>appellate</x:v>
      </x:c>
      <x:c r="I3382" s="9" t="str">
        <x:v>England and Wales</x:v>
      </x:c>
      <x:c r="J3382" s="9" t="str">
        <x:v>Tort</x:v>
      </x:c>
      <x:c r="K3382" s="9" t="str">
        <x:v>-ew-cases-EWCA-Civ-2015-369.xml</x:v>
      </x:c>
      <x:c r="L3382" s="9" t="str">
        <x:v>TBA</x:v>
      </x:c>
    </x:row>
    <x:row r="3383">
      <x:c r="A3383" t="str">
        <x:v>b6e1088f-8475-4a48-8fed-21ea4ccdbc9a</x:v>
      </x:c>
      <x:c r="B3383" t="str">
        <x:v>074364f4-323b-4cf8-8e30-06f5f84f35b4</x:v>
      </x:c>
      <x:c r="C3383" s="9" t="str">
        <x:v>Ufot, R (On the Application Of) v Secretary of State for the Home Department [2016] EWCA Civ 298 (10 February 2016)</x:v>
      </x:c>
      <x:c r="D3383" s="9" t="str"/>
      <x:c r="E3383" s="9" t="str"/>
      <x:c r="F3383" s="13" t="str">
        <x:v>2016</x:v>
      </x:c>
      <x:c r="G3383" s="9" t="str">
        <x:v>England and Wales Court of Appeal (Civil Division)</x:v>
      </x:c>
      <x:c r="H3383" s="9" t="str">
        <x:v>Court of Appeal (Civil Division)</x:v>
      </x:c>
      <x:c r="I3383" s="9" t="str">
        <x:v>England and Wales</x:v>
      </x:c>
      <x:c r="J3383" s="9" t="str">
        <x:v>Immigration Law</x:v>
      </x:c>
      <x:c r="K3383" s="9" t="str">
        <x:v>-ew-cases-EWCA-Civ-2016-298.xml</x:v>
      </x:c>
      <x:c r="L3383" s="9" t="str">
        <x:v>TBA</x:v>
      </x:c>
    </x:row>
    <x:row r="3384">
      <x:c r="A3384" t="str">
        <x:v>5750e12e-0a06-4b23-89cf-511a33e5f87a</x:v>
      </x:c>
      <x:c r="B3384" t="str">
        <x:v>be2d4867-5623-47df-a292-2fa07ab5ad52</x:v>
      </x:c>
      <x:c r="C3384" s="9" t="str">
        <x:v>UI (Nigeria) &amp; Ors v Secretary of State for the Home Department [2016] EWCA Civ 420</x:v>
      </x:c>
      <x:c r="D3384" s="9" t="str"/>
      <x:c r="E3384" s="9" t="str"/>
      <x:c r="F3384" s="13" t="str">
        <x:v>2016</x:v>
      </x:c>
      <x:c r="G3384" s="9" t="str">
        <x:v>England and Wales Court of Appeal (Civil Division)</x:v>
      </x:c>
      <x:c r="H3384" s="9" t="str">
        <x:v>Court of Appeal (Civil Division)</x:v>
      </x:c>
      <x:c r="I3384" s="9" t="str">
        <x:v>England and Wales</x:v>
      </x:c>
      <x:c r="J3384" s="9" t="str">
        <x:v>Immigration/Administrative Law</x:v>
      </x:c>
      <x:c r="K3384" s="9" t="str">
        <x:v>-ew-cases-EWCA-Civ-2016-420.xml</x:v>
      </x:c>
      <x:c r="L3384" s="9" t="str">
        <x:v>TBA</x:v>
      </x:c>
    </x:row>
    <x:row r="3385">
      <x:c r="A3385" t="str">
        <x:v>36e2c9dd-f9ff-4339-bf00-19b5909c5a45</x:v>
      </x:c>
      <x:c r="B3385" t="str">
        <x:v>83232884-a49e-4146-9351-8acee9ee71ab</x:v>
      </x:c>
      <x:c r="C3385" s="9" t="str">
        <x:v>UK Gymnastics Ltd &amp; Ors v British Amateur Gymnastics Association [2021] EWCA Civ 425</x:v>
      </x:c>
      <x:c r="D3385" s="9" t="str"/>
      <x:c r="E3385" s="9" t="str"/>
      <x:c r="F3385" s="13" t="str">
        <x:v>2021</x:v>
      </x:c>
      <x:c r="G3385" s="9" t="str">
        <x:v>England and Wales Court of Appeal (Civil Division)</x:v>
      </x:c>
      <x:c r="H3385" s="9" t="str">
        <x:v>appellate</x:v>
      </x:c>
      <x:c r="I3385" s="9" t="str">
        <x:v>England and Wales</x:v>
      </x:c>
      <x:c r="J3385" s="9" t="str">
        <x:v>Administrative Law</x:v>
      </x:c>
      <x:c r="K3385" s="9" t="str">
        <x:v>ew-cases-EWCA-Civ-2021-425.xml</x:v>
      </x:c>
      <x:c r="L3385" s="9" t="str">
        <x:v>TBA</x:v>
      </x:c>
    </x:row>
    <x:row r="3386">
      <x:c r="A3386" t="str">
        <x:v>5f3cd7ae-24ea-4b5b-8e77-bd5908390fc1</x:v>
      </x:c>
      <x:c r="B3386" t="str">
        <x:v>5d91896c-fcb7-4b32-a640-3a49ead08b73</x:v>
      </x:c>
      <x:c r="C3386" s="9" t="str">
        <x:v>UK Insurance Ltd v R&amp;S Pilling (t/a Phoenix Engineering) [2017] EWCA Civ 259</x:v>
      </x:c>
      <x:c r="D3386" s="9" t="str"/>
      <x:c r="E3386" s="9" t="str"/>
      <x:c r="F3386" s="13" t="str">
        <x:v>2017</x:v>
      </x:c>
      <x:c r="G3386" s="9" t="str">
        <x:v>England and Wales Court of Appeal (Civil Division)</x:v>
      </x:c>
      <x:c r="H3386" s="9" t="str">
        <x:v>Appellate</x:v>
      </x:c>
      <x:c r="I3386" s="9" t="str">
        <x:v>England and Wales</x:v>
      </x:c>
      <x:c r="J3386" s="9" t="str">
        <x:v>Insurance Law</x:v>
      </x:c>
      <x:c r="K3386" s="9" t="str">
        <x:v>-ew-cases-EWCA-Civ-2017-259.xml</x:v>
      </x:c>
      <x:c r="L3386" s="9" t="str">
        <x:v>TBA</x:v>
      </x:c>
    </x:row>
    <x:row r="3387">
      <x:c r="A3387" t="str">
        <x:v>c3dc3777-735e-458a-ab0a-3b5923036dc4</x:v>
      </x:c>
      <x:c r="B3387" t="str">
        <x:v>43c57ff6-c88e-4222-b69a-04a4ab9db640</x:v>
      </x:c>
      <x:c r="C3387" s="9" t="str">
        <x:v>Ukegheson v London Borough of Haringey [2017] EWCA Civ 1140</x:v>
      </x:c>
      <x:c r="D3387" s="9" t="str"/>
      <x:c r="E3387" s="9" t="str"/>
      <x:c r="F3387" s="13" t="str">
        <x:v>2017</x:v>
      </x:c>
      <x:c r="G3387" s="9" t="str">
        <x:v>England and Wales Court of Appeal (Civil Division)</x:v>
      </x:c>
      <x:c r="H3387" s="9" t="str">
        <x:v>Appellate</x:v>
      </x:c>
      <x:c r="I3387" s="9" t="str">
        <x:v>England and Wales</x:v>
      </x:c>
      <x:c r="J3387" s="9" t="str">
        <x:v>Employment Dispute</x:v>
      </x:c>
      <x:c r="K3387" s="9" t="str">
        <x:v>-ew-cases-EWCA-Civ-2017-1140.xml</x:v>
      </x:c>
      <x:c r="L3387" s="9" t="str">
        <x:v>TBA</x:v>
      </x:c>
    </x:row>
    <x:row r="3388">
      <x:c r="A3388" t="str">
        <x:v>46a9d880-4724-44d0-b239-4fa9825d3474</x:v>
      </x:c>
      <x:c r="B3388" t="str">
        <x:v>bca8a82c-8719-4dc6-9a56-8abd40a6eb43</x:v>
      </x:c>
      <x:c r="C3388" s="9" t="str">
        <x:v>UKI (Kingsway) Ltd v Westminster City Council [2017] EWCA Civ 430</x:v>
      </x:c>
      <x:c r="D3388" s="9" t="str"/>
      <x:c r="E3388" s="9" t="str"/>
      <x:c r="F3388" s="13" t="str">
        <x:v>2017</x:v>
      </x:c>
      <x:c r="G3388" s="9" t="str">
        <x:v>England and Wales Court of Appeal (Civil Division)</x:v>
      </x:c>
      <x:c r="H3388" s="9" t="str">
        <x:v>Appellate</x:v>
      </x:c>
      <x:c r="I3388" s="9" t="str">
        <x:v>England and Wales</x:v>
      </x:c>
      <x:c r="J3388" s="9" t="str">
        <x:v>Property Law</x:v>
      </x:c>
      <x:c r="K3388" s="9" t="str">
        <x:v>-ew-cases-EWCA-Civ-2017-430.xml</x:v>
      </x:c>
      <x:c r="L3388" s="9" t="str">
        <x:v>TBA</x:v>
      </x:c>
    </x:row>
    <x:row r="3389">
      <x:c r="A3389" t="str">
        <x:v>b2409ea8-305f-4f33-a673-d2a8f1a3070c</x:v>
      </x:c>
      <x:c r="B3389" t="str">
        <x:v>193c8a13-0b86-4253-b94c-cbfc41bea1d0</x:v>
      </x:c>
      <x:c r="C3389" s="9" t="str">
        <x:v>Ullah &amp; Ors v Secretary of State for the Home Department [2022] EWCA Civ 550</x:v>
      </x:c>
      <x:c r="D3389" s="9" t="str"/>
      <x:c r="E3389" s="9" t="str"/>
      <x:c r="F3389" s="13" t="str">
        <x:v>2022</x:v>
      </x:c>
      <x:c r="G3389" s="9" t="str">
        <x:v>England and Wales Court of Appeal (Civil Division)</x:v>
      </x:c>
      <x:c r="H3389" s="9" t="str">
        <x:v>Court of Appeal (Civil Division)</x:v>
      </x:c>
      <x:c r="I3389" s="9" t="str">
        <x:v>England and Wales</x:v>
      </x:c>
      <x:c r="J3389" s="9" t="str">
        <x:v>Administrative Law / Immigration</x:v>
      </x:c>
      <x:c r="K3389" s="9" t="str">
        <x:v>ew-cases-EWCA-Civ-2022-550.xml</x:v>
      </x:c>
      <x:c r="L3389" s="9" t="str">
        <x:v>TBA</x:v>
      </x:c>
    </x:row>
    <x:row r="3390">
      <x:c r="A3390" t="str">
        <x:v>983115c8-0a1e-40f7-bb41-0be834735005</x:v>
      </x:c>
      <x:c r="B3390" t="str">
        <x:v>d4cf72a0-ddb2-4ce2-9413-a48273090d2c</x:v>
      </x:c>
      <x:c r="C3390" s="9" t="str">
        <x:v>Underwood &amp; Anor v Mayers &amp; Anor [2014] EWCA Civ 406</x:v>
      </x:c>
      <x:c r="D3390" s="9" t="str"/>
      <x:c r="E3390" s="9" t="str"/>
      <x:c r="F3390" s="13" t="str">
        <x:v>2014</x:v>
      </x:c>
      <x:c r="G3390" s="9" t="str">
        <x:v>England and Wales Court of Appeal (Civil Division)</x:v>
      </x:c>
      <x:c r="H3390" s="9" t="str">
        <x:v>Appellate</x:v>
      </x:c>
      <x:c r="I3390" s="9" t="str">
        <x:v>England and Wales</x:v>
      </x:c>
      <x:c r="J3390" s="9" t="str">
        <x:v>Property Law</x:v>
      </x:c>
      <x:c r="K3390" s="9" t="str">
        <x:v>-ew-cases-EWCA-Civ-2014-406.xml</x:v>
      </x:c>
      <x:c r="L3390" s="9" t="str">
        <x:v>TBA</x:v>
      </x:c>
    </x:row>
    <x:row r="3391">
      <x:c r="A3391" t="str">
        <x:v>702f26ed-7e6c-492a-95c1-9ca6f1eb56bc</x:v>
      </x:c>
      <x:c r="B3391" t="str">
        <x:v>eb6c2c42-b644-48ac-8147-c253be9245a2</x:v>
      </x:c>
      <x:c r="C3391" s="9" t="str">
        <x:v>Unicredit Bank A.G. v Euronav N.V [2023] EWCA Civ 471</x:v>
      </x:c>
      <x:c r="D3391" s="9" t="str"/>
      <x:c r="E3391" s="9" t="str"/>
      <x:c r="F3391" s="13" t="str">
        <x:v>2023</x:v>
      </x:c>
      <x:c r="G3391" s="9" t="str">
        <x:v>England and Wales Court of Appeal (Civil Division)</x:v>
      </x:c>
      <x:c r="H3391" s="9" t="str">
        <x:v>Court of Appeal (Civil Division)</x:v>
      </x:c>
      <x:c r="I3391" s="9" t="str">
        <x:v>England and Wales</x:v>
      </x:c>
      <x:c r="J3391" s="9" t="str">
        <x:v>Contract Dispute; Maritime Law</x:v>
      </x:c>
      <x:c r="K3391" s="9" t="str">
        <x:v>ew-cases-EWCA-Civ-2023-471.xml</x:v>
      </x:c>
      <x:c r="L3391" s="9" t="str">
        <x:v>TBA</x:v>
      </x:c>
    </x:row>
    <x:row r="3392">
      <x:c r="A3392" t="str">
        <x:v>889d4589-035a-4563-893e-2c8bca64ef5a</x:v>
      </x:c>
      <x:c r="B3392" t="str">
        <x:v>0b68440b-eaa6-453d-9881-6087e26cb5e9</x:v>
      </x:c>
      <x:c r="C3392" s="9" t="str">
        <x:v>Union Marine Classification Services v Government of the Union of the Comoros [2016] EWCA Civ 239</x:v>
      </x:c>
      <x:c r="D3392" s="9" t="str"/>
      <x:c r="E3392" s="9" t="str"/>
      <x:c r="F3392" s="13" t="str">
        <x:v>2016</x:v>
      </x:c>
      <x:c r="G3392" s="9" t="str">
        <x:v>England and Wales Court of Appeal (Civil Division)</x:v>
      </x:c>
      <x:c r="H3392" s="9" t="str">
        <x:v>Court of Appeal (Civil Division)</x:v>
      </x:c>
      <x:c r="I3392" s="9" t="str">
        <x:v>England and Wales</x:v>
      </x:c>
      <x:c r="J3392" s="9" t="str">
        <x:v>Contract/Commercial Arbitration</x:v>
      </x:c>
      <x:c r="K3392" s="9" t="str">
        <x:v>-ew-cases-EWCA-Civ-2016-239.xml</x:v>
      </x:c>
      <x:c r="L3392" s="9" t="str">
        <x:v>TBA</x:v>
      </x:c>
    </x:row>
    <x:row r="3393">
      <x:c r="A3393" t="str">
        <x:v>9929ef14-1cf6-4609-aff3-e3bf49cd4fc5</x:v>
      </x:c>
      <x:c r="B3393" t="str">
        <x:v>54d149f2-2e02-477e-8541-b2bf222578d6</x:v>
      </x:c>
      <x:c r="C3393" s="9" t="str">
        <x:v>Union of Shop, Distributive and Allied Workers &amp; Ors v Tesco Stores Ltd (2022) EWCA Civ 978</x:v>
      </x:c>
      <x:c r="D3393" s="9" t="str"/>
      <x:c r="E3393" s="9" t="str"/>
      <x:c r="F3393" s="13" t="str">
        <x:v>2022</x:v>
      </x:c>
      <x:c r="G3393" s="9" t="str">
        <x:v>England and Wales Court of Appeal (Civil Division)</x:v>
      </x:c>
      <x:c r="H3393" s="9" t="str">
        <x:v>Court of Appeal (Civil Division)</x:v>
      </x:c>
      <x:c r="I3393" s="9" t="str">
        <x:v>England and Wales</x:v>
      </x:c>
      <x:c r="J3393" s="9" t="str">
        <x:v>Contract and Employment Law</x:v>
      </x:c>
      <x:c r="K3393" s="9" t="str">
        <x:v>ew-cases-EWCA-Civ-2022-978.xml</x:v>
      </x:c>
      <x:c r="L3393" s="9" t="str">
        <x:v>TBA</x:v>
      </x:c>
    </x:row>
    <x:row r="3394">
      <x:c r="A3394" t="str">
        <x:v>1a4f0f51-13c3-4ac8-bf06-2b251fdf5179</x:v>
      </x:c>
      <x:c r="B3394" t="str">
        <x:v>76356342-2ef0-4371-9b0c-441e62c6c270</x:v>
      </x:c>
      <x:c r="C3394" s="9" t="str">
        <x:v>Unique Pub Properties Ltd v Gregarious Ltd</x:v>
      </x:c>
      <x:c r="D3394" s="9" t="str"/>
      <x:c r="E3394" s="9" t="str"/>
      <x:c r="F3394" s="13" t="str">
        <x:v>2015</x:v>
      </x:c>
      <x:c r="G3394" s="9" t="str">
        <x:v>England and Wales Court of Appeal (Civil Division)</x:v>
      </x:c>
      <x:c r="H3394" s="9" t="str">
        <x:v>Appellate</x:v>
      </x:c>
      <x:c r="I3394" s="9" t="str">
        <x:v>England and Wales</x:v>
      </x:c>
      <x:c r="J3394" s="9" t="str">
        <x:v>Civil Procedure</x:v>
      </x:c>
      <x:c r="K3394" s="9" t="str">
        <x:v>-ew-cases-EWCA-Civ-2015-1218.xml</x:v>
      </x:c>
      <x:c r="L3394" s="9" t="str">
        <x:v>TBA</x:v>
      </x:c>
    </x:row>
    <x:row r="3395">
      <x:c r="A3395" t="str">
        <x:v>4733ee6d-87b7-44b0-b1b7-46c5a4b61e12</x:v>
      </x:c>
      <x:c r="B3395" t="str">
        <x:v>01024db6-688d-42da-bdbf-02dd0fa80e82</x:v>
      </x:c>
      <x:c r="C3395" s="9" t="str">
        <x:v>Unison, R (On the Application Of) v The Lord Chancellor [2015] EWCA Civ 935</x:v>
      </x:c>
      <x:c r="D3395" s="9" t="str"/>
      <x:c r="E3395" s="9" t="str"/>
      <x:c r="F3395" s="13" t="str">
        <x:v>2015</x:v>
      </x:c>
      <x:c r="G3395" s="9" t="str">
        <x:v>England and Wales Court of Appeal (Civil Division)</x:v>
      </x:c>
      <x:c r="H3395" s="9" t="str">
        <x:v>appellate</x:v>
      </x:c>
      <x:c r="I3395" s="9" t="str">
        <x:v>England and Wales</x:v>
      </x:c>
      <x:c r="J3395" s="9" t="str">
        <x:v>Administrative Law</x:v>
      </x:c>
      <x:c r="K3395" s="9" t="str">
        <x:v>-ew-cases-EWCA-Civ-2015-935.xml</x:v>
      </x:c>
      <x:c r="L3395" s="9" t="str">
        <x:v>TBA</x:v>
      </x:c>
    </x:row>
    <x:row r="3396">
      <x:c r="A3396" t="str">
        <x:v>6fce6b2c-7908-4350-b20b-98e9294bb381</x:v>
      </x:c>
      <x:c r="B3396" t="str">
        <x:v>06e7539c-cdc3-41ca-8c95-588b3b16c62c</x:v>
      </x:c>
      <x:c r="C3396" s="9" t="str">
        <x:v>Unite the Union v Alec McFadden [2021] EWCA Civ 199</x:v>
      </x:c>
      <x:c r="D3396" s="9" t="str"/>
      <x:c r="E3396" s="9" t="str"/>
      <x:c r="F3396" s="13" t="str">
        <x:v>2021</x:v>
      </x:c>
      <x:c r="G3396" s="9" t="str">
        <x:v>England and Wales Court of Appeal (Civil Division)</x:v>
      </x:c>
      <x:c r="H3396" s="9" t="str">
        <x:v>Appellate</x:v>
      </x:c>
      <x:c r="I3396" s="9" t="str">
        <x:v>England and Wales</x:v>
      </x:c>
      <x:c r="J3396" s="9" t="str">
        <x:v>Employment Law</x:v>
      </x:c>
      <x:c r="K3396" s="9" t="str">
        <x:v>ew-cases-EWCA-Civ-2021-199.xml</x:v>
      </x:c>
      <x:c r="L3396" s="9" t="str">
        <x:v>TBA</x:v>
      </x:c>
    </x:row>
    <x:row r="3397">
      <x:c r="A3397" t="str">
        <x:v>1afc9590-aace-4660-bbee-92215f8dd6f8</x:v>
      </x:c>
      <x:c r="B3397" t="str">
        <x:v>e5d256f1-4fbd-419b-891e-3a39417be5d5</x:v>
      </x:c>
      <x:c r="C3397" s="9" t="str">
        <x:v>Unite the Union v Liverpool Victoria Banking Services Ltd &amp; Ors [2015] EWCA Civ 285</x:v>
      </x:c>
      <x:c r="D3397" s="9" t="str"/>
      <x:c r="E3397" s="9" t="str"/>
      <x:c r="F3397" s="13" t="str">
        <x:v>2015</x:v>
      </x:c>
      <x:c r="G3397" s="9" t="str">
        <x:v>England and Wales Court of Appeal (Civil Division)</x:v>
      </x:c>
      <x:c r="H3397" s="9" t="str">
        <x:v>Appellate</x:v>
      </x:c>
      <x:c r="I3397" s="9" t="str">
        <x:v>England and Wales</x:v>
      </x:c>
      <x:c r="J3397" s="9" t="str">
        <x:v>Contract Dispute</x:v>
      </x:c>
      <x:c r="K3397" s="9" t="str">
        <x:v>-ew-cases-EWCA-Civ-2015-285.xml</x:v>
      </x:c>
      <x:c r="L3397" s="9" t="str">
        <x:v>TBA</x:v>
      </x:c>
    </x:row>
    <x:row r="3398">
      <x:c r="A3398" t="str">
        <x:v>9a3460a9-1f8e-4e75-95a3-cfc746df49b7</x:v>
      </x:c>
      <x:c r="B3398" t="str">
        <x:v>8bf0737f-249f-44b2-b1b6-9599663471bf</x:v>
      </x:c>
      <x:c r="C3398" s="9" t="str">
        <x:v>United Cabbies Group (London) Ltd v Westminster Magistrates' Court [2019] EWHC 409 (Admin)</x:v>
      </x:c>
      <x:c r="D3398" s="9" t="str"/>
      <x:c r="E3398" s="9" t="str"/>
      <x:c r="F3398" s="13" t="str">
        <x:v>2019</x:v>
      </x:c>
      <x:c r="G3398" s="9" t="str">
        <x:v>England and Wales High Court (Administrative Court)</x:v>
      </x:c>
      <x:c r="H3398" s="9" t="str">
        <x:v>High Court</x:v>
      </x:c>
      <x:c r="I3398" s="9" t="str">
        <x:v>England and Wales</x:v>
      </x:c>
      <x:c r="J3398" s="9" t="str">
        <x:v>Administrative Law</x:v>
      </x:c>
      <x:c r="K3398" s="9" t="str">
        <x:v>PT_EWHC-Admin_2019_409.xml</x:v>
      </x:c>
      <x:c r="L3398" s="9" t="str">
        <x:v>TBA</x:v>
      </x:c>
    </x:row>
    <x:row r="3399">
      <x:c r="A3399" t="str">
        <x:v>3ff765cf-cc3b-4bd7-a2cd-e90582c632e7</x:v>
      </x:c>
      <x:c r="B3399" t="str">
        <x:v>6d61255d-47b5-4dd9-aed3-4fb7eaed4d29</x:v>
      </x:c>
      <x:c r="C3399" s="9" t="str">
        <x:v>United Company Rusal Plc, R (on the application of) v The London Metal Exchange</x:v>
      </x:c>
      <x:c r="D3399" s="9" t="str"/>
      <x:c r="E3399" s="9" t="str"/>
      <x:c r="F3399" s="13" t="str">
        <x:v>2014</x:v>
      </x:c>
      <x:c r="G3399" s="9" t="str">
        <x:v>England and Wales Court of Appeal (Civil Division)</x:v>
      </x:c>
      <x:c r="H3399" s="9" t="str">
        <x:v>Appellate</x:v>
      </x:c>
      <x:c r="I3399" s="9" t="str">
        <x:v>England and Wales</x:v>
      </x:c>
      <x:c r="J3399" s="9" t="str">
        <x:v>Administrative Law</x:v>
      </x:c>
      <x:c r="K3399" s="9" t="str">
        <x:v>-ew-cases-EWCA-Civ-2014-1271.xml</x:v>
      </x:c>
      <x:c r="L3399" s="9" t="str">
        <x:v>TBA</x:v>
      </x:c>
    </x:row>
    <x:row r="3400">
      <x:c r="A3400" t="str">
        <x:v>7f280c81-03ce-423a-a29e-49d977ef3c8c</x:v>
      </x:c>
      <x:c r="B3400" t="str">
        <x:v>45e73bc0-a09a-45a8-9058-6272a305fcb7</x:v>
      </x:c>
      <x:c r="C3400" s="9" t="str">
        <x:v>United Trade Action Group Ltd &amp; Anor v Transport for London &amp; Anor</x:v>
      </x:c>
      <x:c r="D3400" s="9" t="str"/>
      <x:c r="E3400" s="9" t="str"/>
      <x:c r="F3400" s="13" t="str">
        <x:v>2021</x:v>
      </x:c>
      <x:c r="G3400" s="9" t="str">
        <x:v>England and Wales Court of Appeal (Civil Division)</x:v>
      </x:c>
      <x:c r="H3400" s="9" t="str">
        <x:v>appellate</x:v>
      </x:c>
      <x:c r="I3400" s="9" t="str">
        <x:v>England and Wales</x:v>
      </x:c>
      <x:c r="J3400" s="9" t="str">
        <x:v>Administrative Law</x:v>
      </x:c>
      <x:c r="K3400" s="9" t="str">
        <x:v>ew-cases-EWCA-Civ-2021-1197.xml</x:v>
      </x:c>
      <x:c r="L3400" s="9" t="str">
        <x:v>TBA</x:v>
      </x:c>
    </x:row>
    <x:row r="3401">
      <x:c r="A3401" t="str">
        <x:v>9d5a2e32-d862-4452-a45a-7b7361d781d4</x:v>
      </x:c>
      <x:c r="B3401" t="str">
        <x:v>03c76b75-b3b8-4fa2-b966-e9db6b34dc4d</x:v>
      </x:c>
      <x:c r="C3401" s="9" t="str">
        <x:v>United Trade Action Group Ltd, R (On the Application Of) v Transport for London &amp; Anor [2022] EWCA Civ 1026</x:v>
      </x:c>
      <x:c r="D3401" s="9" t="str"/>
      <x:c r="E3401" s="9" t="str"/>
      <x:c r="F3401" s="13" t="str">
        <x:v>2022</x:v>
      </x:c>
      <x:c r="G3401" s="9" t="str">
        <x:v>England and Wales Court of Appeal (Civil Division)</x:v>
      </x:c>
      <x:c r="H3401" s="9" t="str">
        <x:v>Court of Appeal (Civil Division)</x:v>
      </x:c>
      <x:c r="I3401" s="9" t="str">
        <x:v>England and Wales</x:v>
      </x:c>
      <x:c r="J3401" s="9" t="str">
        <x:v>Public Law / Administrative Law</x:v>
      </x:c>
      <x:c r="K3401" s="9" t="str">
        <x:v>ew-cases-EWCA-Civ-2022-1026.xml</x:v>
      </x:c>
      <x:c r="L3401" s="9" t="str">
        <x:v>TBA</x:v>
      </x:c>
    </x:row>
    <x:row r="3402">
      <x:c r="A3402" t="str">
        <x:v>759dc76f-c641-41ba-a040-f40c36bb0889</x:v>
      </x:c>
      <x:c r="B3402" t="str">
        <x:v>d984aecc-e05e-455a-b821-2bb1ce319d6b</x:v>
      </x:c>
      <x:c r="C3402" s="9" t="str">
        <x:v>University Hospitals of Derby &amp; Burton NHS Foundation Trust v Harrison [2022] EWCA Civ 1660</x:v>
      </x:c>
      <x:c r="D3402" s="9" t="str"/>
      <x:c r="E3402" s="9" t="str"/>
      <x:c r="F3402" s="13" t="str">
        <x:v>2022</x:v>
      </x:c>
      <x:c r="G3402" s="9" t="str">
        <x:v>England and Wales Court of Appeal (Civil Division)</x:v>
      </x:c>
      <x:c r="H3402" s="9" t="str">
        <x:v>Court of Appeal (Civil Division)</x:v>
      </x:c>
      <x:c r="I3402" s="9" t="str">
        <x:v>England and Wales</x:v>
      </x:c>
      <x:c r="J3402" s="9" t="str">
        <x:v>Procedural Law; Costs; Personal Injury Funding</x:v>
      </x:c>
      <x:c r="K3402" s="9" t="str">
        <x:v>ew-cases-EWCA-Civ-2022-1660.xml</x:v>
      </x:c>
      <x:c r="L3402" s="9" t="str">
        <x:v>TBA</x:v>
      </x:c>
    </x:row>
    <x:row r="3403">
      <x:c r="A3403" t="str">
        <x:v>5e63e85a-7c43-417e-a5f7-9cf32a906854</x:v>
      </x:c>
      <x:c r="B3403" t="str">
        <x:v>3d0c1d2a-8c23-4f19-a7ba-587826b75f45</x:v>
      </x:c>
      <x:c r="C3403" s="9" t="str">
        <x:v>University of Huddersfield Higher Education Corporation v HM Revenue and Customs</x:v>
      </x:c>
      <x:c r="D3403" s="9" t="str"/>
      <x:c r="E3403" s="9" t="str"/>
      <x:c r="F3403" s="13" t="str">
        <x:v>2016</x:v>
      </x:c>
      <x:c r="G3403" s="9" t="str">
        <x:v>England and Wales Court of Appeal (Civil Division)</x:v>
      </x:c>
      <x:c r="H3403" s="9" t="str">
        <x:v>Court of Appeal (Civil Division)</x:v>
      </x:c>
      <x:c r="I3403" s="9" t="str">
        <x:v>England and Wales</x:v>
      </x:c>
      <x:c r="J3403" s="9" t="str">
        <x:v>Tax Law; VAT; Abuse of Rights; EU Law</x:v>
      </x:c>
      <x:c r="K3403" s="9" t="str">
        <x:v>-ew-cases-EWCA-Civ-2016-440.xml</x:v>
      </x:c>
      <x:c r="L3403" s="9" t="str">
        <x:v>TBA</x:v>
      </x:c>
    </x:row>
    <x:row r="3404">
      <x:c r="A3404" t="str">
        <x:v>57ca09ea-fb96-4908-ae58-a4f314fce455</x:v>
      </x:c>
      <x:c r="B3404" t="str">
        <x:v>bca7b5ba-0e68-4b6c-be0d-04a352b1d14a</x:v>
      </x:c>
      <x:c r="C3404" s="9" t="str">
        <x:v>University of Wales v London College of Business Ltd [2016] EWCA Civ 251</x:v>
      </x:c>
      <x:c r="D3404" s="9" t="str"/>
      <x:c r="E3404" s="9" t="str"/>
      <x:c r="F3404" s="13" t="str">
        <x:v>2016</x:v>
      </x:c>
      <x:c r="G3404" s="9" t="str">
        <x:v>England and Wales Court of Appeal (Civil Division)</x:v>
      </x:c>
      <x:c r="H3404" s="9" t="str">
        <x:v>Court of Appeal (Civil Division)</x:v>
      </x:c>
      <x:c r="I3404" s="9" t="str">
        <x:v>England and Wales</x:v>
      </x:c>
      <x:c r="J3404" s="9" t="str">
        <x:v>Contract Dispute</x:v>
      </x:c>
      <x:c r="K3404" s="9" t="str">
        <x:v>-ew-cases-EWCA-Civ-2016-251.xml</x:v>
      </x:c>
      <x:c r="L3404" s="9" t="str">
        <x:v>TBA</x:v>
      </x:c>
    </x:row>
    <x:row r="3405">
      <x:c r="A3405" t="str">
        <x:v>a4832b21-d3a5-4d72-8a12-f30356c5f916</x:v>
      </x:c>
      <x:c r="B3405" t="str">
        <x:v>59a43df1-425f-4d7e-9ade-568aa957c1ad</x:v>
      </x:c>
      <x:c r="C3405" s="9" t="str">
        <x:v>Unwired Planet International Ltd v Huawei Technologies Co Ltd &amp; Ors</x:v>
      </x:c>
      <x:c r="D3405" s="9" t="str"/>
      <x:c r="E3405" s="9" t="str"/>
      <x:c r="F3405" s="13" t="str">
        <x:v>2017</x:v>
      </x:c>
      <x:c r="G3405" s="9" t="str">
        <x:v>England and Wales Court of Appeal (Civil Division)</x:v>
      </x:c>
      <x:c r="H3405" s="9" t="str">
        <x:v>Appellate</x:v>
      </x:c>
      <x:c r="I3405" s="9" t="str">
        <x:v>England and Wales</x:v>
      </x:c>
      <x:c r="J3405" s="9" t="str">
        <x:v>Intellectual Property</x:v>
      </x:c>
      <x:c r="K3405" s="9" t="str">
        <x:v>-ew-cases-EWCA-Civ-2017-266.xml</x:v>
      </x:c>
      <x:c r="L3405" s="9" t="str">
        <x:v>TBA</x:v>
      </x:c>
    </x:row>
    <x:row r="3406">
      <x:c r="A3406" t="str">
        <x:v>1d7b9f60-95d7-4ab9-8bfe-79b9dfafce1a</x:v>
      </x:c>
      <x:c r="B3406" t="str">
        <x:v>0f4fb528-b6b4-4189-872c-a24a50ac8b5d</x:v>
      </x:c>
      <x:c r="C3406" s="9" t="str">
        <x:v>Urban Ventures Ltd v Thomas &amp; ors [2016] EWCA Civ 30</x:v>
      </x:c>
      <x:c r="D3406" s="9" t="str"/>
      <x:c r="E3406" s="9" t="str"/>
      <x:c r="F3406" s="13" t="str">
        <x:v>2016</x:v>
      </x:c>
      <x:c r="G3406" s="9" t="str">
        <x:v>England and Wales Court of Appeal (Civil Division)</x:v>
      </x:c>
      <x:c r="H3406" s="9" t="str">
        <x:v>Court of Appeal (Civil Division)</x:v>
      </x:c>
      <x:c r="I3406" s="9" t="str">
        <x:v>England and Wales</x:v>
      </x:c>
      <x:c r="J3406" s="9" t="str">
        <x:v>Property law; secured transactions; charging and tacking</x:v>
      </x:c>
      <x:c r="K3406" s="9" t="str">
        <x:v>-ew-cases-EWCA-Civ-2016-30.xml</x:v>
      </x:c>
      <x:c r="L3406" s="9" t="str">
        <x:v>TBA</x:v>
      </x:c>
    </x:row>
    <x:row r="3407">
      <x:c r="A3407" t="str">
        <x:v>083299bf-228f-476c-b368-2442d2bd6890</x:v>
      </x:c>
      <x:c r="B3407" t="str">
        <x:v>4fcc865d-d7ab-48ca-a8c6-b8e21a9c005f</x:v>
      </x:c>
      <x:c r="C3407" s="9" t="str">
        <x:v>Urenco Chemplants Limited &amp; Anor v Commissioners for HM Revenue and Customs [2022] EWCA Civ 1587 (1 December 2022)</x:v>
      </x:c>
      <x:c r="D3407" s="9" t="str"/>
      <x:c r="E3407" s="9" t="str"/>
      <x:c r="F3407" s="13" t="str">
        <x:v>2022</x:v>
      </x:c>
      <x:c r="G3407" s="9" t="str">
        <x:v>England and Wales Court of Appeal (Civil Division)</x:v>
      </x:c>
      <x:c r="H3407" s="9" t="str">
        <x:v>Court of Appeal (Civil Division)</x:v>
      </x:c>
      <x:c r="I3407" s="9" t="str">
        <x:v>England and Wales</x:v>
      </x:c>
      <x:c r="J3407" s="9" t="str">
        <x:v>Tax Law; Capital Allowances; Plant or Premises distinction</x:v>
      </x:c>
      <x:c r="K3407" s="9" t="str">
        <x:v>ew-cases-EWCA-Civ-2022-1587.xml</x:v>
      </x:c>
      <x:c r="L3407" s="9" t="str">
        <x:v>TBA</x:v>
      </x:c>
    </x:row>
    <x:row r="3408">
      <x:c r="A3408" t="str">
        <x:v>fdf2df7c-1efc-4592-866c-b82ec59d3176</x:v>
      </x:c>
      <x:c r="B3408" t="str">
        <x:v>de6a53c9-c698-4f10-bef4-cf4544410c0e</x:v>
      </x:c>
      <x:c r="C3408" s="9" t="str">
        <x:v>URS Corporation Limited v BDW Trading Limited (Rev1) [2023] EWCA Civ 189</x:v>
      </x:c>
      <x:c r="D3408" s="9" t="str"/>
      <x:c r="E3408" s="9" t="str"/>
      <x:c r="F3408" s="13" t="str">
        <x:v>2023</x:v>
      </x:c>
      <x:c r="G3408" s="9" t="str">
        <x:v>England and Wales Court of Appeal (Civil Division)</x:v>
      </x:c>
      <x:c r="H3408" s="9" t="str">
        <x:v>Court of Appeal (Civil Division)</x:v>
      </x:c>
      <x:c r="I3408" s="9" t="str">
        <x:v>England and Wales</x:v>
      </x:c>
      <x:c r="J3408" s="9" t="str">
        <x:v>Civil Appeal / Construction Law</x:v>
      </x:c>
      <x:c r="K3408" s="9" t="str">
        <x:v>ew-cases-EWCA-Civ-2023-189.xml</x:v>
      </x:c>
      <x:c r="L3408" s="9" t="str">
        <x:v>TBA</x:v>
      </x:c>
    </x:row>
    <x:row r="3409">
      <x:c r="A3409" t="str">
        <x:v>eca088fb-1522-4d44-b84b-75e50be4ef47</x:v>
      </x:c>
      <x:c r="B3409" t="str">
        <x:v>376baa6f-7d99-4b58-ab2f-fe77756ec219</x:v>
      </x:c>
      <x:c r="C3409" s="9" t="str">
        <x:v>URS Corporation Limited v BDW Trading Limited [2023] EWCA Civ 772</x:v>
      </x:c>
      <x:c r="D3409" s="9" t="str"/>
      <x:c r="E3409" s="9" t="str"/>
      <x:c r="F3409" s="13" t="str">
        <x:v>2023</x:v>
      </x:c>
      <x:c r="G3409" s="9" t="str">
        <x:v>England and Wales Court of Appeal (Civil Division)</x:v>
      </x:c>
      <x:c r="H3409" s="9" t="str">
        <x:v>Court of Appeal (Civil Division)</x:v>
      </x:c>
      <x:c r="I3409" s="9" t="str">
        <x:v>England and Wales</x:v>
      </x:c>
      <x:c r="J3409" s="9" t="str">
        <x:v>Tort / Construction Law</x:v>
      </x:c>
      <x:c r="K3409" s="9" t="str">
        <x:v>ew-cases-EWCA-Civ-2023-772.xml</x:v>
      </x:c>
      <x:c r="L3409" s="9" t="str">
        <x:v>TBA</x:v>
      </x:c>
    </x:row>
    <x:row r="3410">
      <x:c r="A3410" t="str">
        <x:v>e415ef6e-88dc-4d6c-87ab-02dca0203f61</x:v>
      </x:c>
      <x:c r="B3410" t="str">
        <x:v>50ce7545-c37e-4409-a823-c4992bccde9b</x:v>
      </x:c>
      <x:c r="C3410" s="9" t="str">
        <x:v>US (Pakistan) v Secretary of State for the Home Department [2015] EWCA Civ 1086</x:v>
      </x:c>
      <x:c r="D3410" s="9" t="str"/>
      <x:c r="E3410" s="9" t="str"/>
      <x:c r="F3410" s="13" t="str">
        <x:v>2015</x:v>
      </x:c>
      <x:c r="G3410" s="9" t="str">
        <x:v>England and Wales Court of Appeal (Civil Division)</x:v>
      </x:c>
      <x:c r="H3410" s="9" t="str">
        <x:v>Appellate</x:v>
      </x:c>
      <x:c r="I3410" s="9" t="str">
        <x:v>England and Wales</x:v>
      </x:c>
      <x:c r="J3410" s="9" t="str">
        <x:v>Immigration</x:v>
      </x:c>
      <x:c r="K3410" s="9" t="str">
        <x:v>-ew-cases-EWCA-Civ-2015-1086.xml</x:v>
      </x:c>
      <x:c r="L3410" s="9" t="str">
        <x:v>TBA</x:v>
      </x:c>
    </x:row>
    <x:row r="3411">
      <x:c r="A3411" t="str">
        <x:v>aa804f54-38b7-4147-b412-5620db6fedae</x:v>
      </x:c>
      <x:c r="B3411" t="str">
        <x:v>51220f27-a70d-4edb-8c78-366c57e49e77</x:v>
      </x:c>
      <x:c r="C3411" s="9" t="str">
        <x:v>Usdaw &amp; Anor v Ethel Austin Ltd &amp; Ors</x:v>
      </x:c>
      <x:c r="D3411" s="9" t="str"/>
      <x:c r="E3411" s="9" t="str"/>
      <x:c r="F3411" s="13" t="str">
        <x:v>2014</x:v>
      </x:c>
      <x:c r="G3411" s="9" t="str">
        <x:v>England and Wales Court of Appeal (Civil Division)</x:v>
      </x:c>
      <x:c r="H3411" s="9" t="str">
        <x:v>Appellate</x:v>
      </x:c>
      <x:c r="I3411" s="9" t="str">
        <x:v>England and Wales</x:v>
      </x:c>
      <x:c r="J3411" s="9" t="str">
        <x:v>Labour Law</x:v>
      </x:c>
      <x:c r="K3411" s="9" t="str">
        <x:v>-ew-cases-EWCA-Civ-2014-142.xml</x:v>
      </x:c>
      <x:c r="L3411" s="9" t="str">
        <x:v>TBA</x:v>
      </x:c>
    </x:row>
    <x:row r="3412">
      <x:c r="A3412" t="str">
        <x:v>5b7d0a85-9315-4c54-a8d5-4516f3733327</x:v>
      </x:c>
      <x:c r="B3412" t="str">
        <x:v>b15fdd53-0222-49df-98a5-84e25904f9fd</x:v>
      </x:c>
      <x:c r="C3412" s="9" t="str">
        <x:v>Use of Languages in Education in Belgium</x:v>
      </x:c>
      <x:c r="D3412" s="9" t="str"/>
      <x:c r="E3412" s="9" t="str"/>
      <x:c r="F3412" s="13" t="str">
        <x:v>1968</x:v>
      </x:c>
      <x:c r="G3412" s="9" t="str">
        <x:v>European Court of Human Rights (Plenary)</x:v>
      </x:c>
      <x:c r="H3412" s="9" t="str">
        <x:v>International Court</x:v>
      </x:c>
      <x:c r="I3412" s="9" t="str">
        <x:v>European Union</x:v>
      </x:c>
      <x:c r="J3412" s="9" t="str">
        <x:v>Human Rights</x:v>
      </x:c>
      <x:c r="K3412" s="9" t="str">
        <x:v>Belgian_Linguistic_Case_A6(1).xml</x:v>
      </x:c>
      <x:c r="L3412" s="9" t="str">
        <x:v>TBA</x:v>
      </x:c>
    </x:row>
    <x:row r="3413">
      <x:c r="A3413" t="str">
        <x:v>524b648b-e85e-425f-92bb-3ece7849ba2f</x:v>
      </x:c>
      <x:c r="B3413" t="str">
        <x:v>73a9f309-ada6-43de-9bae-d0245d12aeca</x:v>
      </x:c>
      <x:c r="C3413" s="9" t="str">
        <x:v>UZ (Pakistan) v Secretary of State for the Home Department [2014] EWCA Civ 1319</x:v>
      </x:c>
      <x:c r="D3413" s="9" t="str"/>
      <x:c r="E3413" s="9" t="str"/>
      <x:c r="F3413" s="13" t="str">
        <x:v>2014</x:v>
      </x:c>
      <x:c r="G3413" s="9" t="str">
        <x:v>England and Wales Court of Appeal (Civil Division)</x:v>
      </x:c>
      <x:c r="H3413" s="9" t="str">
        <x:v>Appellate</x:v>
      </x:c>
      <x:c r="I3413" s="9" t="str">
        <x:v>England and Wales</x:v>
      </x:c>
      <x:c r="J3413" s="9" t="str">
        <x:v>Immigration and Asylum</x:v>
      </x:c>
      <x:c r="K3413" s="9" t="str">
        <x:v>-ew-cases-EWCA-Civ-2014-1319.xml</x:v>
      </x:c>
      <x:c r="L3413" s="9" t="str">
        <x:v>TBA</x:v>
      </x:c>
    </x:row>
    <x:row r="3414">
      <x:c r="A3414" t="str">
        <x:v>0428598e-fddf-4c9c-b4fc-948f6f46a0ef</x:v>
      </x:c>
      <x:c r="B3414" t="str">
        <x:v>3c9f3dd9-e96f-40ba-a9ea-655e1e94f485</x:v>
      </x:c>
      <x:c r="C3414" s="9" t="str">
        <x:v>V (A Child), Re [2015] EWCA Civ 274</x:v>
      </x:c>
      <x:c r="D3414" s="9" t="str"/>
      <x:c r="E3414" s="9" t="str"/>
      <x:c r="F3414" s="13" t="str">
        <x:v>2015</x:v>
      </x:c>
      <x:c r="G3414" s="9" t="str">
        <x:v>England and Wales Court of Appeal (Civil Division)</x:v>
      </x:c>
      <x:c r="H3414" s="9" t="str">
        <x:v>appellate</x:v>
      </x:c>
      <x:c r="I3414" s="9" t="str">
        <x:v>England and Wales</x:v>
      </x:c>
      <x:c r="J3414" s="9" t="str">
        <x:v>Family Law</x:v>
      </x:c>
      <x:c r="K3414" s="9" t="str">
        <x:v>-ew-cases-EWCA-Civ-2015-274.xml</x:v>
      </x:c>
      <x:c r="L3414" s="9" t="str">
        <x:v>TBA</x:v>
      </x:c>
    </x:row>
    <x:row r="3415">
      <x:c r="A3415" t="str">
        <x:v>04025000-b88f-4edd-a2a1-c775fcd0e891</x:v>
      </x:c>
      <x:c r="B3415" t="str">
        <x:v>2f9dc6ce-2180-4614-a514-205adcda1f4d</x:v>
      </x:c>
      <x:c r="C3415" s="9" t="str">
        <x:v>V-Z (Children), Re [2016] EWCA Civ 475 (25 May 2016)</x:v>
      </x:c>
      <x:c r="D3415" s="9" t="str"/>
      <x:c r="E3415" s="9" t="str"/>
      <x:c r="F3415" s="13" t="str">
        <x:v>2016</x:v>
      </x:c>
      <x:c r="G3415" s="9" t="str">
        <x:v>England and Wales Court of Appeal (Civil Division)</x:v>
      </x:c>
      <x:c r="H3415" s="9" t="str">
        <x:v>Court of Appeal (Civil Division)</x:v>
      </x:c>
      <x:c r="I3415" s="9" t="str">
        <x:v>England and Wales</x:v>
      </x:c>
      <x:c r="J3415" s="9" t="str">
        <x:v>Care and Placement Orders (Family Law)</x:v>
      </x:c>
      <x:c r="K3415" s="9" t="str">
        <x:v>-ew-cases-EWCA-Civ-2016-475.xml</x:v>
      </x:c>
      <x:c r="L3415" s="9" t="str">
        <x:v>TBA</x:v>
      </x:c>
    </x:row>
    <x:row r="3416">
      <x:c r="A3416" t="str">
        <x:v>295334d3-167c-4a8b-a8b6-c1ccd65cad2a</x:v>
      </x:c>
      <x:c r="B3416" t="str">
        <x:v>488eb48d-0894-4d27-b1f7-dc52925caa6a</x:v>
      </x:c>
      <x:c r="C3416" s="9" t="str">
        <x:v>Valbonne Estates Ltd v Cityvalue Estates Ltd &amp; Anor [2021] EWCA Civ 973</x:v>
      </x:c>
      <x:c r="D3416" s="9" t="str"/>
      <x:c r="E3416" s="9" t="str"/>
      <x:c r="F3416" s="13" t="str">
        <x:v>2021</x:v>
      </x:c>
      <x:c r="G3416" s="9" t="str">
        <x:v>England and Wales Court of Appeal (Civil Division)</x:v>
      </x:c>
      <x:c r="H3416" s="9" t="str">
        <x:v>Appellate</x:v>
      </x:c>
      <x:c r="I3416" s="9" t="str">
        <x:v>England and Wales</x:v>
      </x:c>
      <x:c r="J3416" s="9" t="str">
        <x:v>Civil Procedure</x:v>
      </x:c>
      <x:c r="K3416" s="9" t="str">
        <x:v>ew-cases-EWCA-Civ-2021-973.xml</x:v>
      </x:c>
      <x:c r="L3416" s="9" t="str">
        <x:v>TBA</x:v>
      </x:c>
    </x:row>
    <x:row r="3417">
      <x:c r="A3417" t="str">
        <x:v>726a979e-523e-4756-8a8d-385733722f09</x:v>
      </x:c>
      <x:c r="B3417" t="str">
        <x:v>e54ce8ea-8313-45a3-9901-43818c64770a</x:v>
      </x:c>
      <x:c r="C3417" s="9" t="str">
        <x:v>Vale S.A. &amp; Ors v Steinmetz &amp; Ors</x:v>
      </x:c>
      <x:c r="D3417" s="9" t="str"/>
      <x:c r="E3417" s="9" t="str"/>
      <x:c r="F3417" s="13" t="str">
        <x:v>2021</x:v>
      </x:c>
      <x:c r="G3417" s="9" t="str">
        <x:v>England and Wales Court of Appeal (Civil Division)</x:v>
      </x:c>
      <x:c r="H3417" s="9" t="str">
        <x:v>Appellate</x:v>
      </x:c>
      <x:c r="I3417" s="9" t="str">
        <x:v>England</x:v>
      </x:c>
      <x:c r="J3417" s="9" t="str">
        <x:v>Contract Dispute</x:v>
      </x:c>
      <x:c r="K3417" s="9" t="str">
        <x:v>ew-cases-EWCA-Civ-2021-1087.xml</x:v>
      </x:c>
      <x:c r="L3417" s="9" t="str">
        <x:v>TBA</x:v>
      </x:c>
    </x:row>
    <x:row r="3418">
      <x:c r="A3418" t="str">
        <x:v>875fa68d-b796-42e1-a247-0e5fe9522559</x:v>
      </x:c>
      <x:c r="B3418" t="str">
        <x:v>2fdfa3b6-3d1a-4644-b9e6-2f97f850a87f</x:v>
      </x:c>
      <x:c r="C3418" s="9" t="str">
        <x:v>Valilas v Januzaj [2014] EWCA Civ 436</x:v>
      </x:c>
      <x:c r="D3418" s="9" t="str"/>
      <x:c r="E3418" s="9" t="str"/>
      <x:c r="F3418" s="13" t="str">
        <x:v>2014</x:v>
      </x:c>
      <x:c r="G3418" s="9" t="str">
        <x:v>England and Wales Court of Appeal (Civil Division)</x:v>
      </x:c>
      <x:c r="H3418" s="9" t="str">
        <x:v>Appellate</x:v>
      </x:c>
      <x:c r="I3418" s="9" t="str">
        <x:v>England and Wales</x:v>
      </x:c>
      <x:c r="J3418" s="9" t="str">
        <x:v>Contractual Dispute</x:v>
      </x:c>
      <x:c r="K3418" s="9" t="str">
        <x:v>-ew-cases-EWCA-Civ-2014-436.xml</x:v>
      </x:c>
      <x:c r="L3418" s="9" t="str">
        <x:v>TBA</x:v>
      </x:c>
    </x:row>
    <x:row r="3419">
      <x:c r="A3419" t="str">
        <x:v>fff6056d-b5b6-473a-8337-fe01b074df93</x:v>
      </x:c>
      <x:c r="B3419" t="str">
        <x:v>3442f142-d5de-41c5-a2c5-4c0c085ed8d0</x:v>
      </x:c>
      <x:c r="C3419" s="9" t="str">
        <x:v>Vanden Recycling Ltd v Kras Recycling BV [2017] EWCA Civ 354</x:v>
      </x:c>
      <x:c r="D3419" s="9" t="str"/>
      <x:c r="E3419" s="9" t="str"/>
      <x:c r="F3419" s="13" t="str">
        <x:v>2017</x:v>
      </x:c>
      <x:c r="G3419" s="9" t="str">
        <x:v>England and Wales Court of Appeal (Civil Division)</x:v>
      </x:c>
      <x:c r="H3419" s="9" t="str">
        <x:v>Appellate</x:v>
      </x:c>
      <x:c r="I3419" s="9" t="str">
        <x:v>England and Wales</x:v>
      </x:c>
      <x:c r="J3419" s="9" t="str">
        <x:v>Civil Appeal</x:v>
      </x:c>
      <x:c r="K3419" s="9" t="str">
        <x:v>-ew-cases-EWCA-Civ-2017-354.xml</x:v>
      </x:c>
      <x:c r="L3419" s="9" t="str">
        <x:v>TBA</x:v>
      </x:c>
    </x:row>
    <x:row r="3420">
      <x:c r="A3420" t="str">
        <x:v>c7ab967a-3e66-4833-89fe-6b27a4451510</x:v>
      </x:c>
      <x:c r="B3420" t="str">
        <x:v>abc88167-90f9-4d9a-b6a0-8d4adaaf3242</x:v>
      </x:c>
      <x:c r="C3420" s="9" t="str">
        <x:v>Vann &amp; Ors v Ocidental - Companhia De Seguros SA [2015] EWCA Civ 572</x:v>
      </x:c>
      <x:c r="D3420" s="9" t="str"/>
      <x:c r="E3420" s="9" t="str"/>
      <x:c r="F3420" s="13" t="str">
        <x:v>2015</x:v>
      </x:c>
      <x:c r="G3420" s="9" t="str">
        <x:v>England and Wales Court of Appeal (Civil Division)</x:v>
      </x:c>
      <x:c r="H3420" s="9" t="str">
        <x:v>Appellate</x:v>
      </x:c>
      <x:c r="I3420" s="9" t="str">
        <x:v>England and Wales</x:v>
      </x:c>
      <x:c r="J3420" s="9" t="str">
        <x:v>Tort</x:v>
      </x:c>
      <x:c r="K3420" s="9" t="str">
        <x:v>-ew-cases-EWCA-Civ-2015-572.xml</x:v>
      </x:c>
      <x:c r="L3420" s="9" t="str">
        <x:v>TBA</x:v>
      </x:c>
    </x:row>
    <x:row r="3421">
      <x:c r="A3421" t="str">
        <x:v>286b8464-70e5-4daa-abdf-ddfe36122b84</x:v>
      </x:c>
      <x:c r="B3421" t="str">
        <x:v>604335ba-4ce6-42a5-a6bb-61ecc3b46c1c</x:v>
      </x:c>
      <x:c r="C3421" s="9" t="str">
        <x:v>Vatish v Crown Prosecution Service [2015] EWCA Civ 853</x:v>
      </x:c>
      <x:c r="D3421" s="9" t="str"/>
      <x:c r="E3421" s="9" t="str"/>
      <x:c r="F3421" s="13" t="str">
        <x:v>2015</x:v>
      </x:c>
      <x:c r="G3421" s="9" t="str">
        <x:v>England and Wales Court of Appeal (Civil Division)</x:v>
      </x:c>
      <x:c r="H3421" s="9" t="str">
        <x:v>Appellate</x:v>
      </x:c>
      <x:c r="I3421" s="9" t="str">
        <x:v>England and Wales</x:v>
      </x:c>
      <x:c r="J3421" s="9" t="str">
        <x:v>Employment Law</x:v>
      </x:c>
      <x:c r="K3421" s="9" t="str">
        <x:v>-ew-cases-EWCA-Civ-2015-853.xml</x:v>
      </x:c>
      <x:c r="L3421" s="9" t="str">
        <x:v>TBA</x:v>
      </x:c>
    </x:row>
    <x:row r="3422">
      <x:c r="A3422" t="str">
        <x:v>be8ffc8e-94d3-4af9-9aed-617de6ce6dd0</x:v>
      </x:c>
      <x:c r="B3422" t="str">
        <x:v>9b0ee0c9-c809-45d2-aabb-389c9f4c41bd</x:v>
      </x:c>
      <x:c r="C3422" s="9" t="str">
        <x:v>Velaj v Secretary of State for the Home Department [2022] EWCA Civ 767</x:v>
      </x:c>
      <x:c r="D3422" s="9" t="str"/>
      <x:c r="E3422" s="9" t="str"/>
      <x:c r="F3422" s="13" t="str">
        <x:v>2022</x:v>
      </x:c>
      <x:c r="G3422" s="9" t="str">
        <x:v>England and Wales Court of Appeal (Civil Division)</x:v>
      </x:c>
      <x:c r="H3422" s="9" t="str">
        <x:v>Court of Appeal (Civil Division)</x:v>
      </x:c>
      <x:c r="I3422" s="9" t="str">
        <x:v>England and Wales</x:v>
      </x:c>
      <x:c r="J3422" s="9" t="str">
        <x:v>Immigration Law / Administrative Law</x:v>
      </x:c>
      <x:c r="K3422" s="9" t="str">
        <x:v>ew-cases-EWCA-Civ-2022-767.xml</x:v>
      </x:c>
      <x:c r="L3422" s="9" t="str">
        <x:v>TBA</x:v>
      </x:c>
    </x:row>
    <x:row r="3423">
      <x:c r="A3423" t="str">
        <x:v>1427de5c-4643-4f0f-89fb-ad3a85dc2821</x:v>
      </x:c>
      <x:c r="B3423" t="str">
        <x:v>5b7011e5-3772-49e1-b544-acee27bd96c4</x:v>
      </x:c>
      <x:c r="C3423" s="9" t="str">
        <x:v>Velasquez Taylor v Secretary of State for the Home Department</x:v>
      </x:c>
      <x:c r="D3423" s="9" t="str"/>
      <x:c r="E3423" s="9" t="str"/>
      <x:c r="F3423" s="13" t="str">
        <x:v>2015</x:v>
      </x:c>
      <x:c r="G3423" s="9" t="str">
        <x:v>England and Wales Court of Appeal (Civil Division)</x:v>
      </x:c>
      <x:c r="H3423" s="9" t="str">
        <x:v>appellate</x:v>
      </x:c>
      <x:c r="I3423" s="9" t="str">
        <x:v>England and Wales</x:v>
      </x:c>
      <x:c r="J3423" s="9" t="str">
        <x:v>Immigration Law / Deportation</x:v>
      </x:c>
      <x:c r="K3423" s="9" t="str">
        <x:v>-ew-cases-EWCA-Civ-2015-845.xml</x:v>
      </x:c>
      <x:c r="L3423" s="9" t="str">
        <x:v>TBA</x:v>
      </x:c>
    </x:row>
    <x:row r="3424">
      <x:c r="A3424" t="str">
        <x:v>7ff3ddbb-883d-4d29-8632-1b6fc93dda47</x:v>
      </x:c>
      <x:c r="B3424" t="str">
        <x:v>dfa97e6e-7e32-4c80-9f6f-5e4f398f9d82</x:v>
      </x:c>
      <x:c r="C3424" s="9" t="str">
        <x:v>Velyo Velev v. Bulgaria (Application No. 16032/07)</x:v>
      </x:c>
      <x:c r="D3424" s="9" t="str"/>
      <x:c r="E3424" s="9" t="str"/>
      <x:c r="F3424" s="13" t="str">
        <x:v>2014</x:v>
      </x:c>
      <x:c r="G3424" s="9" t="str">
        <x:v>European Court of Human Rights (Fourth Section)</x:v>
      </x:c>
      <x:c r="H3424" s="9" t="str">
        <x:v>International court</x:v>
      </x:c>
      <x:c r="I3424" s="9" t="str">
        <x:v>International</x:v>
      </x:c>
      <x:c r="J3424" s="9" t="str">
        <x:v>Human Rights</x:v>
      </x:c>
      <x:c r="K3424" s="9" t="str">
        <x:v>Velev_v_Bulgaria_16032_07(1).xml</x:v>
      </x:c>
      <x:c r="L3424" s="9" t="str">
        <x:v>TBA</x:v>
      </x:c>
    </x:row>
    <x:row r="3425">
      <x:c r="A3425" t="str">
        <x:v>bb5a5a7a-5cff-4b4a-b782-229132f4deef</x:v>
      </x:c>
      <x:c r="B3425" t="str">
        <x:v>86f6a64f-a064-43dd-8a02-eee49714ba59</x:v>
      </x:c>
      <x:c r="C3425" s="9" t="str">
        <x:v>Veolia ES Landfill Ltd &amp; Ors v HM Revenue and Customs</x:v>
      </x:c>
      <x:c r="D3425" s="9" t="str"/>
      <x:c r="E3425" s="9" t="str"/>
      <x:c r="F3425" s="13" t="str">
        <x:v>2015</x:v>
      </x:c>
      <x:c r="G3425" s="9" t="str">
        <x:v>England and Wales Court of Appeal (Civil Division)</x:v>
      </x:c>
      <x:c r="H3425" s="9" t="str">
        <x:v>Appellate</x:v>
      </x:c>
      <x:c r="I3425" s="9" t="str">
        <x:v>England and Wales</x:v>
      </x:c>
      <x:c r="J3425" s="9" t="str">
        <x:v>Administrative Law</x:v>
      </x:c>
      <x:c r="K3425" s="9" t="str">
        <x:v>-ew-cases-EWCA-Civ-2015-747.xml</x:v>
      </x:c>
      <x:c r="L3425" s="9" t="str">
        <x:v>TBA</x:v>
      </x:c>
    </x:row>
    <x:row r="3426">
      <x:c r="A3426" t="str">
        <x:v>5705b30d-d329-4ebe-bb59-d10888ca35dc</x:v>
      </x:c>
      <x:c r="B3426" t="str">
        <x:v>9b104a0b-0f68-42d9-a5c4-e7111bd55fdf</x:v>
      </x:c>
      <x:c r="C3426" s="9" t="str">
        <x:v>Verition Advisors (UK Partners) LLP v Jump Trading International Limited [2023] EWCA Civ 701</x:v>
      </x:c>
      <x:c r="D3426" s="9" t="str"/>
      <x:c r="E3426" s="9" t="str"/>
      <x:c r="F3426" s="13" t="str">
        <x:v>2023</x:v>
      </x:c>
      <x:c r="G3426" s="9" t="str">
        <x:v>England and Wales Court of Appeal (Civil Division)</x:v>
      </x:c>
      <x:c r="H3426" s="9" t="str">
        <x:v>Court of Appeal (Civil Division)</x:v>
      </x:c>
      <x:c r="I3426" s="9" t="str">
        <x:v>England and Wales</x:v>
      </x:c>
      <x:c r="J3426" s="9" t="str">
        <x:v>Civil Appeal / Contract Law</x:v>
      </x:c>
      <x:c r="K3426" s="9" t="str">
        <x:v>ew-cases-EWCA-Civ-2023-701.xml</x:v>
      </x:c>
      <x:c r="L3426" s="9" t="str">
        <x:v>TBA</x:v>
      </x:c>
    </x:row>
    <x:row r="3427">
      <x:c r="A3427" t="str">
        <x:v>7c348b72-7047-44ec-a5d0-907cea9b6b41</x:v>
      </x:c>
      <x:c r="B3427" t="str">
        <x:v>426ca317-9dae-45bd-99cb-deb7de4b7766</x:v>
      </x:c>
      <x:c r="C3427" s="9" t="str">
        <x:v>Versloot Dredging BV &amp; Anor v HDI Gerling Industrie Versicherung AG &amp; Ors</x:v>
      </x:c>
      <x:c r="D3427" s="9" t="str"/>
      <x:c r="E3427" s="9" t="str"/>
      <x:c r="F3427" s="13" t="str">
        <x:v>2014</x:v>
      </x:c>
      <x:c r="G3427" s="9" t="str">
        <x:v>England and Wales Court of Appeal (Civil Division)</x:v>
      </x:c>
      <x:c r="H3427" s="9" t="str">
        <x:v>Appellate</x:v>
      </x:c>
      <x:c r="I3427" s="9" t="str">
        <x:v>England and Wales</x:v>
      </x:c>
      <x:c r="J3427" s="9" t="str">
        <x:v>Insurance Law</x:v>
      </x:c>
      <x:c r="K3427" s="9" t="str">
        <x:v>-ew-cases-EWCA-Civ-2014-1349.xml</x:v>
      </x:c>
      <x:c r="L3427" s="9" t="str">
        <x:v>TBA</x:v>
      </x:c>
    </x:row>
    <x:row r="3428">
      <x:c r="A3428" t="str">
        <x:v>8169275b-88c2-4de6-9333-55a7a31fba47</x:v>
      </x:c>
      <x:c r="B3428" t="str">
        <x:v>9f920875-17d9-4aac-a868-2d7c00ade136</x:v>
      </x:c>
      <x:c r="C3428" s="9" t="str">
        <x:v>Vestel Elektronik Sanayi Ve Ticaret A.S. &amp; Anor v Access Advance LLC &amp; Anor</x:v>
      </x:c>
      <x:c r="D3428" s="9" t="str"/>
      <x:c r="E3428" s="9" t="str"/>
      <x:c r="F3428" s="13" t="str">
        <x:v>2021</x:v>
      </x:c>
      <x:c r="G3428" s="9" t="str">
        <x:v>England and Wales Court of Appeal (Civil Division)</x:v>
      </x:c>
      <x:c r="H3428" s="9" t="str">
        <x:v>Appellate</x:v>
      </x:c>
      <x:c r="I3428" s="9" t="str">
        <x:v>England and Wales</x:v>
      </x:c>
      <x:c r="J3428" s="9" t="str">
        <x:v>Patent Law</x:v>
      </x:c>
      <x:c r="K3428" s="9" t="str">
        <x:v>ew-cases-EWCA-Civ-2021-440.xml</x:v>
      </x:c>
      <x:c r="L3428" s="9" t="str">
        <x:v>TBA</x:v>
      </x:c>
    </x:row>
    <x:row r="3429">
      <x:c r="A3429" t="str">
        <x:v>2ff265c7-ee74-4921-b79f-be314f0e6156</x:v>
      </x:c>
      <x:c r="B3429" t="str">
        <x:v>3ff34419-ffbc-40f9-a087-a1cb1371d0e1</x:v>
      </x:c>
      <x:c r="C3429" s="9" t="str">
        <x:v>Vicente &amp; Anor v Secretary of State for Communities and Local Government &amp; Anor [2014] EWCA Civ 1555</x:v>
      </x:c>
      <x:c r="D3429" s="9" t="str"/>
      <x:c r="E3429" s="9" t="str"/>
      <x:c r="F3429" s="13" t="str">
        <x:v>2014</x:v>
      </x:c>
      <x:c r="G3429" s="9" t="str">
        <x:v>England and Wales Court of Appeal (Civil Division)</x:v>
      </x:c>
      <x:c r="H3429" s="9" t="str">
        <x:v>Appellate</x:v>
      </x:c>
      <x:c r="I3429" s="9" t="str">
        <x:v>England and Wales</x:v>
      </x:c>
      <x:c r="J3429" s="9" t="str">
        <x:v>Administrative Law</x:v>
      </x:c>
      <x:c r="K3429" s="9" t="str">
        <x:v>-ew-cases-EWCA-Civ-2014-1555.xml</x:v>
      </x:c>
      <x:c r="L3429" s="9" t="str">
        <x:v>TBA</x:v>
      </x:c>
    </x:row>
    <x:row r="3430">
      <x:c r="A3430" t="str">
        <x:v>260daa6a-4d8e-4858-b7be-9ad207f158dc</x:v>
      </x:c>
      <x:c r="B3430" t="str">
        <x:v>03a65de4-a6b7-4e56-9e0a-bc069be0c3c6</x:v>
      </x:c>
      <x:c r="C3430" s="9" t="str">
        <x:v>Victorygame Ltd &amp; Anor v Ahuja Investments Ltd [2021] EWCA Civ 993</x:v>
      </x:c>
      <x:c r="D3430" s="9" t="str"/>
      <x:c r="E3430" s="9" t="str"/>
      <x:c r="F3430" s="13" t="str">
        <x:v>2021</x:v>
      </x:c>
      <x:c r="G3430" s="9" t="str">
        <x:v>England and Wales Court of Appeal (Civil Division)</x:v>
      </x:c>
      <x:c r="H3430" s="9" t="str">
        <x:v>Appellate</x:v>
      </x:c>
      <x:c r="I3430" s="9" t="str">
        <x:v>England and Wales</x:v>
      </x:c>
      <x:c r="J3430" s="9" t="str">
        <x:v>Civil Appeal</x:v>
      </x:c>
      <x:c r="K3430" s="9" t="str">
        <x:v>ew-cases-EWCA-Civ-2021-993.xml</x:v>
      </x:c>
      <x:c r="L3430" s="9" t="str">
        <x:v>TBA</x:v>
      </x:c>
    </x:row>
    <x:row r="3431">
      <x:c r="A3431" t="str">
        <x:v>0e92915f-16ad-436c-bbc6-724d0913a79b</x:v>
      </x:c>
      <x:c r="B3431" t="str">
        <x:v>42359b10-d4b2-4980-ad57-4b961f36054b</x:v>
      </x:c>
      <x:c r="C3431" s="9" t="str">
        <x:v>Videocon Global Ltd v Goldman Sachs International [2016] EWCA Civ 130</x:v>
      </x:c>
      <x:c r="D3431" s="9" t="str"/>
      <x:c r="E3431" s="9" t="str"/>
      <x:c r="F3431" s="13" t="str">
        <x:v>2016</x:v>
      </x:c>
      <x:c r="G3431" s="9" t="str">
        <x:v>England and Wales Court of Appeal (Civil Division)</x:v>
      </x:c>
      <x:c r="H3431" s="9" t="str">
        <x:v>Court of Appeal (Civil Division)</x:v>
      </x:c>
      <x:c r="I3431" s="9" t="str">
        <x:v>England and Wales</x:v>
      </x:c>
      <x:c r="J3431" s="9" t="str">
        <x:v>Contract Dispute</x:v>
      </x:c>
      <x:c r="K3431" s="9" t="str">
        <x:v>-ew-cases-EWCA-Civ-2016-130.xml</x:v>
      </x:c>
      <x:c r="L3431" s="9" t="str">
        <x:v>TBA</x:v>
      </x:c>
    </x:row>
    <x:row r="3432">
      <x:c r="A3432" t="str">
        <x:v>7afe285e-4f2b-4f7c-89b4-999b9080d631</x:v>
      </x:c>
      <x:c r="B3432" t="str">
        <x:v>ca126179-731e-4ab6-b9a0-ff7104ff0bcb</x:v>
      </x:c>
      <x:c r="C3432" s="9" t="str">
        <x:v>Villiers v Villiers (Rev2) [2022] EWCA Civ 772</x:v>
      </x:c>
      <x:c r="D3432" s="9" t="str"/>
      <x:c r="E3432" s="9" t="str"/>
      <x:c r="F3432" s="13" t="str">
        <x:v>2022</x:v>
      </x:c>
      <x:c r="G3432" s="9" t="str">
        <x:v>England and Wales Court of Appeal (Civil Division)</x:v>
      </x:c>
      <x:c r="H3432" s="9" t="str">
        <x:v>Court of Appeal (Civil Division)</x:v>
      </x:c>
      <x:c r="I3432" s="9" t="str">
        <x:v>England and Wales</x:v>
      </x:c>
      <x:c r="J3432" s="9" t="str">
        <x:v>Matrimonial Financial Remedies</x:v>
      </x:c>
      <x:c r="K3432" s="9" t="str">
        <x:v>ew-cases-EWCA-Civ-2022-772.xml</x:v>
      </x:c>
      <x:c r="L3432" s="9" t="str">
        <x:v>TBA</x:v>
      </x:c>
    </x:row>
    <x:row r="3433">
      <x:c r="A3433" t="str">
        <x:v>d4c4ee22-f635-42c2-9949-279369fc34e2</x:v>
      </x:c>
      <x:c r="B3433" t="str">
        <x:v>f4d648d1-547f-4675-87d0-3d5bb2bb93b4</x:v>
      </x:c>
      <x:c r="C3433" s="9" t="str">
        <x:v>Vinayagamoorthy, R (on the application of) v NHS North London Enfield Primary Care Trust [2014] EWCA Civ 757</x:v>
      </x:c>
      <x:c r="D3433" s="9" t="str"/>
      <x:c r="E3433" s="9" t="str"/>
      <x:c r="F3433" s="13" t="str">
        <x:v>2014</x:v>
      </x:c>
      <x:c r="G3433" s="9" t="str">
        <x:v>England and Wales Court of Appeal (Civil Division)</x:v>
      </x:c>
      <x:c r="H3433" s="9" t="str">
        <x:v>Appellate</x:v>
      </x:c>
      <x:c r="I3433" s="9" t="str">
        <x:v>England and Wales</x:v>
      </x:c>
      <x:c r="J3433" s="9" t="str">
        <x:v>Administrative Law</x:v>
      </x:c>
      <x:c r="K3433" s="9" t="str">
        <x:v>-ew-cases-EWCA-Civ-2014-757.xml</x:v>
      </x:c>
      <x:c r="L3433" s="9" t="str">
        <x:v>TBA</x:v>
      </x:c>
    </x:row>
    <x:row r="3434">
      <x:c r="A3434" t="str">
        <x:v>e28c52cc-7d26-4f5c-a5fa-e39af50b1e84</x:v>
      </x:c>
      <x:c r="B3434" t="str">
        <x:v>7ebe446f-f92d-4a1c-9bb1-3a15dfc2675a</x:v>
      </x:c>
      <x:c r="C3434" s="9" t="str">
        <x:v>Vining v London Borough of Wandsworth [2017] EWCA Civ 1092</x:v>
      </x:c>
      <x:c r="D3434" s="9" t="str"/>
      <x:c r="E3434" s="9" t="str"/>
      <x:c r="F3434" s="13" t="str">
        <x:v>2017</x:v>
      </x:c>
      <x:c r="G3434" s="9" t="str">
        <x:v>England and Wales Court of Appeal (Civil Division)</x:v>
      </x:c>
      <x:c r="H3434" s="9" t="str">
        <x:v>Appellate</x:v>
      </x:c>
      <x:c r="I3434" s="9" t="str">
        <x:v>England and Wales</x:v>
      </x:c>
      <x:c r="J3434" s="9" t="str">
        <x:v>Employment Law</x:v>
      </x:c>
      <x:c r="K3434" s="9" t="str">
        <x:v>-ew-cases-EWCA-Civ-2017-1092.xml</x:v>
      </x:c>
      <x:c r="L3434" s="9" t="str">
        <x:v>TBA</x:v>
      </x:c>
    </x:row>
    <x:row r="3435">
      <x:c r="A3435" t="str">
        <x:v>42ef9a96-5ff1-4d81-aa62-55042f43228b</x:v>
      </x:c>
      <x:c r="B3435" t="str">
        <x:v>773a6348-425c-4dc4-83f6-5f1fc3b9c1b3</x:v>
      </x:c>
      <x:c r="C3435" s="9" t="str">
        <x:v>VIS Trading Co Ltd v Nazarov &amp; Anor [2014] EWCA Civ 313</x:v>
      </x:c>
      <x:c r="D3435" s="9" t="str"/>
      <x:c r="E3435" s="9" t="str"/>
      <x:c r="F3435" s="13" t="str">
        <x:v>2014</x:v>
      </x:c>
      <x:c r="G3435" s="9" t="str">
        <x:v>England and Wales Court of Appeal (Civil Division)</x:v>
      </x:c>
      <x:c r="H3435" s="9" t="str">
        <x:v>Appellate</x:v>
      </x:c>
      <x:c r="I3435" s="9" t="str">
        <x:v>England and Wales</x:v>
      </x:c>
      <x:c r="J3435" s="9" t="str">
        <x:v>Contract Dispute</x:v>
      </x:c>
      <x:c r="K3435" s="9" t="str">
        <x:v>-ew-cases-EWCA-Civ-2014-313.xml</x:v>
      </x:c>
      <x:c r="L3435" s="9" t="str">
        <x:v>TBA</x:v>
      </x:c>
    </x:row>
    <x:row r="3436">
      <x:c r="A3436" t="str">
        <x:v>5746f22d-5340-4f21-83a4-693f6f316862</x:v>
      </x:c>
      <x:c r="B3436" t="str">
        <x:v>f43dfca6-7970-45a7-8628-c39ffb9a9141</x:v>
      </x:c>
      <x:c r="C3436" s="9" t="str">
        <x:v>Visa Joy Ltd &amp; Anor v Office of the Immigration Services Commissioner [2017] EWCA Civ 1473</x:v>
      </x:c>
      <x:c r="D3436" s="9" t="str"/>
      <x:c r="E3436" s="9" t="str"/>
      <x:c r="F3436" s="13" t="str">
        <x:v>2017</x:v>
      </x:c>
      <x:c r="G3436" s="9" t="str">
        <x:v>England and Wales Court of Appeal (Civil Division)</x:v>
      </x:c>
      <x:c r="H3436" s="9" t="str">
        <x:v>Appellate</x:v>
      </x:c>
      <x:c r="I3436" s="9" t="str">
        <x:v>England and Wales</x:v>
      </x:c>
      <x:c r="J3436" s="9" t="str">
        <x:v>Administrative Law</x:v>
      </x:c>
      <x:c r="K3436" s="9" t="str">
        <x:v>-ew-cases-EWCA-Civ-2017-1473.xml</x:v>
      </x:c>
      <x:c r="L3436" s="9" t="str">
        <x:v>TBA</x:v>
      </x:c>
    </x:row>
    <x:row r="3437">
      <x:c r="A3437" t="str">
        <x:v>016e55e0-9087-49eb-b3a5-75ecc9cb60f4</x:v>
      </x:c>
      <x:c r="B3437" t="str">
        <x:v>d197fb9f-5e6f-426c-9977-2fd0e051eecf</x:v>
      </x:c>
      <x:c r="C3437" s="9" t="str">
        <x:v>Vlad v Judicial Appointments And Conduct Ombudsman [2016] EWCA Civ 951</x:v>
      </x:c>
      <x:c r="D3437" s="9" t="str"/>
      <x:c r="E3437" s="9" t="str"/>
      <x:c r="F3437" s="13" t="str">
        <x:v>2016</x:v>
      </x:c>
      <x:c r="G3437" s="9" t="str">
        <x:v>England and Wales Court of Appeal (Civil Division)</x:v>
      </x:c>
      <x:c r="H3437" s="9" t="str">
        <x:v>Court of Appeal</x:v>
      </x:c>
      <x:c r="I3437" s="9" t="str">
        <x:v>England and Wales</x:v>
      </x:c>
      <x:c r="J3437" s="9" t="str">
        <x:v>Administrative Law / Judicial Review / Ombudsman Procedures</x:v>
      </x:c>
      <x:c r="K3437" s="9" t="str">
        <x:v>-ew-cases-EWCA-Civ-2016-951.xml</x:v>
      </x:c>
      <x:c r="L3437" s="9" t="str">
        <x:v>TBA</x:v>
      </x:c>
    </x:row>
    <x:row r="3438">
      <x:c r="A3438" t="str">
        <x:v>63752086-9516-4aec-8417-840a2a068d1e</x:v>
      </x:c>
      <x:c r="B3438" t="str">
        <x:v>fd9dadf8-3aeb-4b6b-bcb1-ac068deb826c</x:v>
      </x:c>
      <x:c r="C3438" s="9" t="str">
        <x:v>Vneshprombank LLC v Bedzhamov [2022] EWCA Civ 854</x:v>
      </x:c>
      <x:c r="D3438" s="9" t="str"/>
      <x:c r="E3438" s="9" t="str"/>
      <x:c r="F3438" s="13" t="str">
        <x:v>2022</x:v>
      </x:c>
      <x:c r="G3438" s="9" t="str">
        <x:v>England and Wales Court of Appeal (Civil Division)</x:v>
      </x:c>
      <x:c r="H3438" s="9" t="str">
        <x:v>Court of Appeal (Civil Division)</x:v>
      </x:c>
      <x:c r="I3438" s="9" t="str">
        <x:v>England and Wales</x:v>
      </x:c>
      <x:c r="J3438" s="9" t="str">
        <x:v>Civil Procedure / Contract Interpretation / Sanctions</x:v>
      </x:c>
      <x:c r="K3438" s="9" t="str">
        <x:v>ew-cases-EWCA-Civ-2022-854.xml</x:v>
      </x:c>
      <x:c r="L3438" s="9" t="str">
        <x:v>TBA</x:v>
      </x:c>
    </x:row>
    <x:row r="3439">
      <x:c r="A3439" t="str">
        <x:v>6c93971e-c71f-48a8-8ca8-707f1821528e</x:v>
      </x:c>
      <x:c r="B3439" t="str">
        <x:v>e1e70d13-b6b5-4ee5-9c9e-5577824f0318</x:v>
      </x:c>
      <x:c r="C3439" s="9" t="str">
        <x:v>Vocalspruce Ltd v The Commissioners for HMRC</x:v>
      </x:c>
      <x:c r="D3439" s="9" t="str"/>
      <x:c r="E3439" s="9" t="str"/>
      <x:c r="F3439" s="13" t="str">
        <x:v>2014</x:v>
      </x:c>
      <x:c r="G3439" s="9" t="str">
        <x:v>England and Wales Court of Appeal (Civil Division)</x:v>
      </x:c>
      <x:c r="H3439" s="9" t="str">
        <x:v>Appellate</x:v>
      </x:c>
      <x:c r="I3439" s="9" t="str">
        <x:v>England and Wales</x:v>
      </x:c>
      <x:c r="J3439" s="9" t="str">
        <x:v>Tax Law</x:v>
      </x:c>
      <x:c r="K3439" s="9" t="str">
        <x:v>-ew-cases-EWCA-Civ-2014-1302.xml</x:v>
      </x:c>
      <x:c r="L3439" s="9" t="str">
        <x:v>TBA</x:v>
      </x:c>
    </x:row>
    <x:row r="3440">
      <x:c r="A3440" t="str">
        <x:v>57fb7955-f126-443c-adeb-fe2bd980b530</x:v>
      </x:c>
      <x:c r="B3440" t="str">
        <x:v>c4f7d418-b36f-485a-ba12-6621d93a3244</x:v>
      </x:c>
      <x:c r="C3440" s="9" t="str">
        <x:v>Vodafone Group plc &amp; Ors v IPCom GmbH &amp; Co KG [2023] EWCA Civ 113</x:v>
      </x:c>
      <x:c r="D3440" s="9" t="str"/>
      <x:c r="E3440" s="9" t="str"/>
      <x:c r="F3440" s="13" t="str">
        <x:v>2023</x:v>
      </x:c>
      <x:c r="G3440" s="9" t="str">
        <x:v>England and Wales Court of Appeal (Civil Division)</x:v>
      </x:c>
      <x:c r="H3440" s="9" t="str">
        <x:v>Court of Appeal (Civil Division)</x:v>
      </x:c>
      <x:c r="I3440" s="9" t="str">
        <x:v>England and Wales</x:v>
      </x:c>
      <x:c r="J3440" s="9" t="str">
        <x:v>Civil Procedure / Intellectual Property</x:v>
      </x:c>
      <x:c r="K3440" s="9" t="str">
        <x:v>ew-cases-EWCA-Civ-2023-113.xml</x:v>
      </x:c>
      <x:c r="L3440" s="9" t="str">
        <x:v>TBA</x:v>
      </x:c>
    </x:row>
    <x:row r="3441">
      <x:c r="A3441" t="str">
        <x:v>0f9a07da-9f46-41bb-be1e-862340eed393</x:v>
      </x:c>
      <x:c r="B3441" t="str">
        <x:v>794e2a8a-41a9-4839-a6c9-7ce1e812f4f1</x:v>
      </x:c>
      <x:c r="C3441" s="9" t="str">
        <x:v>Volcafe Ltd &amp; Ors v Compania Sud Americana De Vapores SA (t/a CSAV) [2016] EWCA Civ 1103</x:v>
      </x:c>
      <x:c r="D3441" s="9" t="str"/>
      <x:c r="E3441" s="9" t="str"/>
      <x:c r="F3441" s="13" t="str">
        <x:v>2016</x:v>
      </x:c>
      <x:c r="G3441" s="9" t="str">
        <x:v>England and Wales Court of Appeal (Civil Division)</x:v>
      </x:c>
      <x:c r="H3441" s="9" t="str">
        <x:v>Court of Appeal (Civil Division)</x:v>
      </x:c>
      <x:c r="I3441" s="9" t="str">
        <x:v>England and Wales</x:v>
      </x:c>
      <x:c r="J3441" s="9" t="str">
        <x:v>Contract/Carriage by Sea</x:v>
      </x:c>
      <x:c r="K3441" s="9" t="str">
        <x:v>-ew-cases-EWCA-Civ-2016-1103.xml</x:v>
      </x:c>
      <x:c r="L3441" s="9" t="str">
        <x:v>TBA</x:v>
      </x:c>
    </x:row>
    <x:row r="3442">
      <x:c r="A3442" t="str">
        <x:v>1ac90742-d683-4441-b7e7-6e5595bcd0f1</x:v>
      </x:c>
      <x:c r="B3442" t="str">
        <x:v>9c9b344f-0010-4488-974f-bfc7a06766a5</x:v>
      </x:c>
      <x:c r="C3442" s="9" t="str">
        <x:v>VolkerRail Plant Ltd &amp; Ors v HMRC [2023] EWCA Civ 210</x:v>
      </x:c>
      <x:c r="D3442" s="9" t="str"/>
      <x:c r="E3442" s="9" t="str"/>
      <x:c r="F3442" s="13" t="str">
        <x:v>2023</x:v>
      </x:c>
      <x:c r="G3442" s="9" t="str">
        <x:v>England and Wales Court of Appeal (Civil Division)</x:v>
      </x:c>
      <x:c r="H3442" s="9" t="str">
        <x:v>Court of Appeal (Civil Division)</x:v>
      </x:c>
      <x:c r="I3442" s="9" t="str">
        <x:v>United Kingdom (Court of Appeal, Civil Division)</x:v>
      </x:c>
      <x:c r="J3442" s="9" t="str">
        <x:v>Tax Law; EU Law</x:v>
      </x:c>
      <x:c r="K3442" s="9" t="str">
        <x:v>ew-cases-EWCA-Civ-2023-210.xml</x:v>
      </x:c>
      <x:c r="L3442" s="9" t="str">
        <x:v>TBA</x:v>
      </x:c>
    </x:row>
    <x:row r="3443">
      <x:c r="A3443" t="str">
        <x:v>6ced4f33-f324-482c-8230-cc188eefda6c</x:v>
      </x:c>
      <x:c r="B3443" t="str">
        <x:v>b9498527-3250-49cd-9d8e-ed7c0dda200e</x:v>
      </x:c>
      <x:c r="C3443" s="9" t="str">
        <x:v>Volkswagen Financial Services (UK) Ltd v HM Revenue &amp; Customs</x:v>
      </x:c>
      <x:c r="D3443" s="9" t="str"/>
      <x:c r="E3443" s="9" t="str"/>
      <x:c r="F3443" s="13" t="str">
        <x:v>2015</x:v>
      </x:c>
      <x:c r="G3443" s="9" t="str">
        <x:v>England and Wales Court of Appeal (Civil Division)</x:v>
      </x:c>
      <x:c r="H3443" s="9" t="str">
        <x:v>appellate</x:v>
      </x:c>
      <x:c r="I3443" s="9" t="str">
        <x:v>England and Wales</x:v>
      </x:c>
      <x:c r="J3443" s="9" t="str">
        <x:v>Taxation</x:v>
      </x:c>
      <x:c r="K3443" s="9" t="str">
        <x:v>-ew-cases-EWCA-Civ-2015-832.xml</x:v>
      </x:c>
      <x:c r="L3443" s="9" t="str">
        <x:v>TBA</x:v>
      </x:c>
    </x:row>
    <x:row r="3444">
      <x:c r="A3444" t="str">
        <x:v>7ecea61b-07b0-4643-a927-b1d42093d16a</x:v>
      </x:c>
      <x:c r="B3444" t="str">
        <x:v>2e2ee360-fd87-4689-987e-d3d9b24aa4f3</x:v>
      </x:c>
      <x:c r="C3444" s="9" t="str">
        <x:v>Volpi &amp; Anor v Volpi [2022] EWCA Civ 464</x:v>
      </x:c>
      <x:c r="D3444" s="9" t="str"/>
      <x:c r="E3444" s="9" t="str"/>
      <x:c r="F3444" s="13" t="str">
        <x:v>2022</x:v>
      </x:c>
      <x:c r="G3444" s="9" t="str">
        <x:v>England and Wales Court of Appeal (Civil Division)</x:v>
      </x:c>
      <x:c r="H3444" s="9" t="str">
        <x:v>Court of Appeal (Civil Division)</x:v>
      </x:c>
      <x:c r="I3444" s="9" t="str">
        <x:v>England and Wales</x:v>
      </x:c>
      <x:c r="J3444" s="9" t="str">
        <x:v>Civil Appeal; Trusts and Property</x:v>
      </x:c>
      <x:c r="K3444" s="9" t="str">
        <x:v>ew-cases-EWCA-Civ-2022-464.xml</x:v>
      </x:c>
      <x:c r="L3444" s="9" t="str">
        <x:v>TBA</x:v>
      </x:c>
    </x:row>
    <x:row r="3445">
      <x:c r="A3445" t="str">
        <x:v>6c823262-f8d9-4fa8-ba33-668c83f35817</x:v>
      </x:c>
      <x:c r="B3445" t="str">
        <x:v>273a92bb-d47a-4f36-933e-93a273e1847d</x:v>
      </x:c>
      <x:c r="C3445" s="9" t="str">
        <x:v>VP (Sri Lanka) v Secretary of State for the Home Department [2016] EWCA Civ 260</x:v>
      </x:c>
      <x:c r="D3445" s="9" t="str"/>
      <x:c r="E3445" s="9" t="str"/>
      <x:c r="F3445" s="13" t="str">
        <x:v>2016</x:v>
      </x:c>
      <x:c r="G3445" s="9" t="str">
        <x:v>England and Wales Court of Appeal (Civil Division)</x:v>
      </x:c>
      <x:c r="H3445" s="9" t="str">
        <x:v>Court of Appeal (Civil Division)</x:v>
      </x:c>
      <x:c r="I3445" s="9" t="str">
        <x:v>England and Wales</x:v>
      </x:c>
      <x:c r="J3445" s="9" t="str">
        <x:v>Immigration/Asylum - Appeals Procedure</x:v>
      </x:c>
      <x:c r="K3445" s="9" t="str">
        <x:v>-ew-cases-EWCA-Civ-2016-260.xml</x:v>
      </x:c>
      <x:c r="L3445" s="9" t="str">
        <x:v>TBA</x:v>
      </x:c>
    </x:row>
    <x:row r="3446">
      <x:c r="A3446" t="str">
        <x:v>4008a28c-c8e5-420a-9c49-4259e504b71f</x:v>
      </x:c>
      <x:c r="B3446" t="str">
        <x:v>bf67b6e7-82b3-43a3-b5df-7967ae893f2e</x:v>
      </x:c>
      <x:c r="C3446" s="9" t="str">
        <x:v>VT (India) v Secretary of State for the Home Department [2016] EWCA Civ 421</x:v>
      </x:c>
      <x:c r="D3446" s="9" t="str"/>
      <x:c r="E3446" s="9" t="str"/>
      <x:c r="F3446" s="13" t="str">
        <x:v>2016</x:v>
      </x:c>
      <x:c r="G3446" s="9" t="str">
        <x:v>England and Wales Court of Appeal (Civil Division)</x:v>
      </x:c>
      <x:c r="H3446" s="9" t="str">
        <x:v>Court of Appeal (Civil Division)</x:v>
      </x:c>
      <x:c r="I3446" s="9" t="str">
        <x:v>England and Wales</x:v>
      </x:c>
      <x:c r="J3446" s="9" t="str">
        <x:v>Immigration Law</x:v>
      </x:c>
      <x:c r="K3446" s="9" t="str">
        <x:v>-ew-cases-EWCA-Civ-2016-421.xml</x:v>
      </x:c>
      <x:c r="L3446" s="9" t="str">
        <x:v>TBA</x:v>
      </x:c>
    </x:row>
    <x:row r="3447">
      <x:c r="A3447" t="str">
        <x:v>62825107-c246-4565-a59f-2ee012eb6cfe</x:v>
      </x:c>
      <x:c r="B3447" t="str">
        <x:v>415ceac2-d04c-4273-aae0-e691e4e87307</x:v>
      </x:c>
      <x:c r="C3447" s="9" t="str">
        <x:v>VW (Nigeria) v Secretary of State for the Home Department [2015] EWCA Civ 1089</x:v>
      </x:c>
      <x:c r="D3447" s="9" t="str"/>
      <x:c r="E3447" s="9" t="str"/>
      <x:c r="F3447" s="13" t="str">
        <x:v>2015</x:v>
      </x:c>
      <x:c r="G3447" s="9" t="str">
        <x:v>England and Wales Court of Appeal (Civil Division)</x:v>
      </x:c>
      <x:c r="H3447" s="9" t="str">
        <x:v>Appellate</x:v>
      </x:c>
      <x:c r="I3447" s="9" t="str">
        <x:v>England and Wales</x:v>
      </x:c>
      <x:c r="J3447" s="9" t="str">
        <x:v>Immigration</x:v>
      </x:c>
      <x:c r="K3447" s="9" t="str">
        <x:v>-ew-cases-EWCA-Civ-2015-1089.xml</x:v>
      </x:c>
      <x:c r="L3447" s="9" t="str">
        <x:v>TBA</x:v>
      </x:c>
    </x:row>
    <x:row r="3448">
      <x:c r="A3448" t="str">
        <x:v>bcb942f0-ad8c-4e1b-aa31-adacc1be9045</x:v>
      </x:c>
      <x:c r="B3448" t="str">
        <x:v>ff700fcc-8177-4438-9d8e-7dba6270fe93</x:v>
      </x:c>
      <x:c r="C3448" s="9" t="str">
        <x:v>Vyas &amp; Anor v Goraya (t/a Taj Construction Roofing) [2016] EWCA Civ 1095 (Court of Appeal, Civil Division)</x:v>
      </x:c>
      <x:c r="D3448" s="9" t="str"/>
      <x:c r="E3448" s="9" t="str"/>
      <x:c r="F3448" s="13" t="str">
        <x:v>2016</x:v>
      </x:c>
      <x:c r="G3448" s="9" t="str">
        <x:v>England and Wales Court of Appeal (Civil Division)</x:v>
      </x:c>
      <x:c r="H3448" s="9" t="str">
        <x:v>Court of Appeal (Civil Division)</x:v>
      </x:c>
      <x:c r="I3448" s="9" t="str">
        <x:v>England and Wales</x:v>
      </x:c>
      <x:c r="J3448" s="9" t="str">
        <x:v>Contract Dispute; Construction/Repair Contract; Damages (Quantum)</x:v>
      </x:c>
      <x:c r="K3448" s="9" t="str">
        <x:v>-ew-cases-EWCA-Civ-2016-1095.xml</x:v>
      </x:c>
      <x:c r="L3448" s="9" t="str">
        <x:v>TBA</x:v>
      </x:c>
    </x:row>
    <x:row r="3449">
      <x:c r="A3449" t="str">
        <x:v>b2285983-ba53-417d-874d-6ec7830f6c11</x:v>
      </x:c>
      <x:c r="B3449" t="str">
        <x:v>fde549a1-f92d-413f-b465-f19599089f6f</x:v>
      </x:c>
      <x:c r="C3449" s="9" t="str">
        <x:v>Vyas &amp; Anor v Goraya, (t/a Taj Construction Roofing) [2016] EWCA Civ 1304</x:v>
      </x:c>
      <x:c r="D3449" s="9" t="str"/>
      <x:c r="E3449" s="9" t="str"/>
      <x:c r="F3449" s="13" t="str">
        <x:v>2016</x:v>
      </x:c>
      <x:c r="G3449" s="9" t="str">
        <x:v>England and Wales Court of Appeal (Civil Division)</x:v>
      </x:c>
      <x:c r="H3449" s="9" t="str">
        <x:v>Court of Appeal (Civil Division)</x:v>
      </x:c>
      <x:c r="I3449" s="9" t="str">
        <x:v>England and Wales</x:v>
      </x:c>
      <x:c r="J3449" s="9" t="str">
        <x:v>Costs in Civil Appeals</x:v>
      </x:c>
      <x:c r="K3449" s="9" t="str">
        <x:v>-ew-cases-EWCA-Civ-2016-1304.xml</x:v>
      </x:c>
      <x:c r="L3449" s="9" t="str">
        <x:v>TBA</x:v>
      </x:c>
    </x:row>
    <x:row r="3450">
      <x:c r="A3450" t="str">
        <x:v>de0bb870-7bee-4d6d-bbed-cf413f932204</x:v>
      </x:c>
      <x:c r="B3450" t="str">
        <x:v>2db12e51-9607-4a71-bb08-7987f24921f2</x:v>
      </x:c>
      <x:c r="C3450" s="9" t="str">
        <x:v>Vylegzhanin v Secretary of State for the Home Department [2015] EWCA Civ 817</x:v>
      </x:c>
      <x:c r="D3450" s="9" t="str"/>
      <x:c r="E3450" s="9" t="str"/>
      <x:c r="F3450" s="13" t="str">
        <x:v>2015</x:v>
      </x:c>
      <x:c r="G3450" s="9" t="str">
        <x:v>England and Wales Court of Appeal (Civil Division)</x:v>
      </x:c>
      <x:c r="H3450" s="9" t="str">
        <x:v>Appellate</x:v>
      </x:c>
      <x:c r="I3450" s="9" t="str">
        <x:v>England and Wales</x:v>
      </x:c>
      <x:c r="J3450" s="9" t="str">
        <x:v>Immigration Law</x:v>
      </x:c>
      <x:c r="K3450" s="9" t="str">
        <x:v>-ew-cases-EWCA-Civ-2015-817.xml</x:v>
      </x:c>
      <x:c r="L3450" s="9" t="str">
        <x:v>TBA</x:v>
      </x:c>
    </x:row>
    <x:row r="3451">
      <x:c r="A3451" t="str">
        <x:v>077c8541-2b78-41bd-a358-6877e2ab0a9e</x:v>
      </x:c>
      <x:c r="B3451" t="str">
        <x:v>1e6bf624-8c5e-4da2-9802-5a4ec70f7259</x:v>
      </x:c>
      <x:c r="C3451" s="9" t="str">
        <x:v>W - C (Children) [2017] EWCA Civ 250</x:v>
      </x:c>
      <x:c r="D3451" s="9" t="str"/>
      <x:c r="E3451" s="9" t="str"/>
      <x:c r="F3451" s="13" t="str">
        <x:v>2017</x:v>
      </x:c>
      <x:c r="G3451" s="9" t="str">
        <x:v>England and Wales Court of Appeal (Civil Division)</x:v>
      </x:c>
      <x:c r="H3451" s="9" t="str">
        <x:v>Appellate</x:v>
      </x:c>
      <x:c r="I3451" s="9" t="str">
        <x:v>England and Wales</x:v>
      </x:c>
      <x:c r="J3451" s="9" t="str">
        <x:v>Family Law</x:v>
      </x:c>
      <x:c r="K3451" s="9" t="str">
        <x:v>-ew-cases-EWCA-Civ-2017-250.xml</x:v>
      </x:c>
      <x:c r="L3451" s="9" t="str">
        <x:v>TBA</x:v>
      </x:c>
    </x:row>
    <x:row r="3452">
      <x:c r="A3452" t="str">
        <x:v>5ec8056d-7bd2-4aac-a2a9-e2bce3861e68</x:v>
      </x:c>
      <x:c r="B3452" t="str">
        <x:v>5f9d60ae-fc5d-4343-8035-296d3cb90593</x:v>
      </x:c>
      <x:c r="C3452" s="9" t="str">
        <x:v>W (A Child: Designation of Local Authority) [2016] EWCA Civ 366</x:v>
      </x:c>
      <x:c r="D3452" s="9" t="str"/>
      <x:c r="E3452" s="9" t="str"/>
      <x:c r="F3452" s="13" t="str">
        <x:v>2016</x:v>
      </x:c>
      <x:c r="G3452" s="9" t="str">
        <x:v>England and Wales Court of Appeal (Civil Division)</x:v>
      </x:c>
      <x:c r="H3452" s="9" t="str">
        <x:v>Court of Appeal (Civil Division)</x:v>
      </x:c>
      <x:c r="I3452" s="9" t="str">
        <x:v>England and Wales</x:v>
      </x:c>
      <x:c r="J3452" s="9" t="str">
        <x:v>Public Law - Family Law - Care Proceedings</x:v>
      </x:c>
      <x:c r="K3452" s="9" t="str">
        <x:v>-ew-cases-EWCA-Civ-2016-366.xml</x:v>
      </x:c>
      <x:c r="L3452" s="9" t="str">
        <x:v>TBA</x:v>
      </x:c>
    </x:row>
    <x:row r="3453">
      <x:c r="A3453" t="str">
        <x:v>995863e9-6ff2-4f10-b649-0c4da1bcbeff</x:v>
      </x:c>
      <x:c r="B3453" t="str">
        <x:v>2550d8a3-d3cd-4ba4-a36b-8c9e093317fb</x:v>
      </x:c>
      <x:c r="C3453" s="9" t="str">
        <x:v>W (A Child) [2014] EWCA Civ 772: Appeal Against Interim Care Order</x:v>
      </x:c>
      <x:c r="D3453" s="9" t="str"/>
      <x:c r="E3453" s="9" t="str"/>
      <x:c r="F3453" s="13" t="str">
        <x:v>2014</x:v>
      </x:c>
      <x:c r="G3453" s="9" t="str">
        <x:v>England and Wales Court of Appeal (Civil Division)</x:v>
      </x:c>
      <x:c r="H3453" s="9" t="str">
        <x:v>Appellate</x:v>
      </x:c>
      <x:c r="I3453" s="9" t="str">
        <x:v>England and Wales</x:v>
      </x:c>
      <x:c r="J3453" s="9" t="str">
        <x:v>Family Law</x:v>
      </x:c>
      <x:c r="K3453" s="9" t="str">
        <x:v>-ew-cases-EWCA-Civ-2014-772.xml</x:v>
      </x:c>
      <x:c r="L3453" s="9" t="str">
        <x:v>TBA</x:v>
      </x:c>
    </x:row>
    <x:row r="3454">
      <x:c r="A3454" t="str">
        <x:v>87f78d13-0afe-47f1-b811-7052553a5d5b</x:v>
      </x:c>
      <x:c r="B3454" t="str">
        <x:v>0a033e29-2237-4d7f-917c-dc416370adfa</x:v>
      </x:c>
      <x:c r="C3454" s="9" t="str">
        <x:v>W (A Child) [2016] EWCA Civ 1051</x:v>
      </x:c>
      <x:c r="D3454" s="9" t="str"/>
      <x:c r="E3454" s="9" t="str"/>
      <x:c r="F3454" s="13" t="str">
        <x:v>2016</x:v>
      </x:c>
      <x:c r="G3454" s="9" t="str">
        <x:v>England and Wales Court of Appeal (Civil Division)</x:v>
      </x:c>
      <x:c r="H3454" s="9" t="str">
        <x:v>Court of Appeal (Civil Division)</x:v>
      </x:c>
      <x:c r="I3454" s="9" t="str">
        <x:v>England and Wales</x:v>
      </x:c>
      <x:c r="J3454" s="9" t="str">
        <x:v>Public Law - Family</x:v>
      </x:c>
      <x:c r="K3454" s="9" t="str">
        <x:v>-ew-cases-EWCA-Civ-2016-1051.xml</x:v>
      </x:c>
      <x:c r="L3454" s="9" t="str">
        <x:v>TBA</x:v>
      </x:c>
    </x:row>
    <x:row r="3455">
      <x:c r="A3455" t="str">
        <x:v>5cb0fe27-6ebc-442b-977b-cb910e3609c5</x:v>
      </x:c>
      <x:c r="B3455" t="str">
        <x:v>cf511957-8c19-4ec0-9c61-38560a6b9457</x:v>
      </x:c>
      <x:c r="C3455" s="9" t="str">
        <x:v>W (A Child) [2016] EWCA Civ 793 (Court of Appeal, Civil Division) – Adoption vs Special Guardianship and the proper application of nothing else will do</x:v>
      </x:c>
      <x:c r="D3455" s="9" t="str"/>
      <x:c r="E3455" s="9" t="str"/>
      <x:c r="F3455" s="13" t="str">
        <x:v>2016</x:v>
      </x:c>
      <x:c r="G3455" s="9" t="str">
        <x:v>England and Wales Court of Appeal (Civil Division)</x:v>
      </x:c>
      <x:c r="H3455" s="9" t="str">
        <x:v>Court of Appeal (Civil Division)</x:v>
      </x:c>
      <x:c r="I3455" s="9" t="str">
        <x:v>England and Wales</x:v>
      </x:c>
      <x:c r="J3455" s="9" t="str">
        <x:v>Family Law / Public Law Adoptions</x:v>
      </x:c>
      <x:c r="K3455" s="9" t="str">
        <x:v>-ew-cases-EWCA-Civ-2016-793.xml</x:v>
      </x:c>
      <x:c r="L3455" s="9" t="str">
        <x:v>TBA</x:v>
      </x:c>
    </x:row>
    <x:row r="3456">
      <x:c r="A3456" t="str">
        <x:v>16e47736-46f4-44d4-b82b-498cd59785e1</x:v>
      </x:c>
      <x:c r="B3456" t="str">
        <x:v>f5b0f827-a871-4311-90f4-b4fe072d04de</x:v>
      </x:c>
      <x:c r="C3456" s="9" t="str">
        <x:v>W (A Child), Re [2016] EWCA Civ 1140</x:v>
      </x:c>
      <x:c r="D3456" s="9" t="str"/>
      <x:c r="E3456" s="9" t="str"/>
      <x:c r="F3456" s="13" t="str">
        <x:v>2016</x:v>
      </x:c>
      <x:c r="G3456" s="9" t="str">
        <x:v>England and Wales Court of Appeal (Civil Division)</x:v>
      </x:c>
      <x:c r="H3456" s="9" t="str">
        <x:v>Court of Appeal (Civil Division)</x:v>
      </x:c>
      <x:c r="I3456" s="9" t="str">
        <x:v>England and Wales</x:v>
      </x:c>
      <x:c r="J3456" s="9" t="str">
        <x:v>Civil/Family Law; Appellate Procedure; Human Rights</x:v>
      </x:c>
      <x:c r="K3456" s="9" t="str">
        <x:v>-ew-cases-EWCA-Civ-2016-1140.xml</x:v>
      </x:c>
      <x:c r="L3456" s="9" t="str">
        <x:v>TBA</x:v>
      </x:c>
    </x:row>
    <x:row r="3457">
      <x:c r="A3457" t="str">
        <x:v>8eb670f3-f8d2-4858-86b5-2a81f75559f1</x:v>
      </x:c>
      <x:c r="B3457" t="str">
        <x:v>4706def8-7928-4362-9b8b-9e242eb7d69b</x:v>
      </x:c>
      <x:c r="C3457" s="9" t="str">
        <x:v>W (A Child), Re [2016] EWCA Civ 542</x:v>
      </x:c>
      <x:c r="D3457" s="9" t="str"/>
      <x:c r="E3457" s="9" t="str"/>
      <x:c r="F3457" s="13" t="str">
        <x:v>2016</x:v>
      </x:c>
      <x:c r="G3457" s="9" t="str">
        <x:v>England and Wales Court of Appeal (Civil Division)</x:v>
      </x:c>
      <x:c r="H3457" s="9" t="str">
        <x:v>Court of Appeal (Civil Division)</x:v>
      </x:c>
      <x:c r="I3457" s="9" t="str">
        <x:v>England and Wales</x:v>
      </x:c>
      <x:c r="J3457" s="9" t="str">
        <x:v>Family Law - Welfare and Child Protection</x:v>
      </x:c>
      <x:c r="K3457" s="9" t="str">
        <x:v>-ew-cases-EWCA-Civ-2016-542.xml</x:v>
      </x:c>
      <x:c r="L3457" s="9" t="str">
        <x:v>TBA</x:v>
      </x:c>
    </x:row>
    <x:row r="3458">
      <x:c r="A3458" t="str">
        <x:v>6caaa5d2-d571-417f-813f-2ac8dfc24bc5</x:v>
      </x:c>
      <x:c r="B3458" t="str">
        <x:v>e5390731-24bc-40a8-9267-8b8bfbe6abe7</x:v>
      </x:c>
      <x:c r="C3458" s="9" t="str">
        <x:v>W (A Child), Re [2016] EWCA Civ 804 (2016)</x:v>
      </x:c>
      <x:c r="D3458" s="9" t="str"/>
      <x:c r="E3458" s="9" t="str"/>
      <x:c r="F3458" s="13" t="str">
        <x:v>2016</x:v>
      </x:c>
      <x:c r="G3458" s="9" t="str">
        <x:v>England and Wales Court of Appeal (Civil Division)</x:v>
      </x:c>
      <x:c r="H3458" s="9" t="str">
        <x:v>Court of Appeal (Civil Division)</x:v>
      </x:c>
      <x:c r="I3458" s="9" t="str">
        <x:v>England and Wales</x:v>
      </x:c>
      <x:c r="J3458" s="9" t="str">
        <x:v>Family Law – Children Act 1989</x:v>
      </x:c>
      <x:c r="K3458" s="9" t="str">
        <x:v>-ew-cases-EWCA-Civ-2016-804.xml</x:v>
      </x:c>
      <x:c r="L3458" s="9" t="str">
        <x:v>TBA</x:v>
      </x:c>
    </x:row>
    <x:row r="3459">
      <x:c r="A3459" t="str">
        <x:v>99e68ff6-ad2f-400a-ad3e-868e4de9e108</x:v>
      </x:c>
      <x:c r="B3459" t="str">
        <x:v>c53eb822-83c1-4be7-b1f8-3090d78abce4</x:v>
      </x:c>
      <x:c r="C3459" s="9" t="str">
        <x:v>W (Children) (Contact Dispute) (No. 2) [2014] EWCA Civ 401</x:v>
      </x:c>
      <x:c r="D3459" s="9" t="str"/>
      <x:c r="E3459" s="9" t="str"/>
      <x:c r="F3459" s="13" t="str">
        <x:v>2014</x:v>
      </x:c>
      <x:c r="G3459" s="9" t="str">
        <x:v>England and Wales Court of Appeal (Civil Division)</x:v>
      </x:c>
      <x:c r="H3459" s="9" t="str">
        <x:v>Appellate</x:v>
      </x:c>
      <x:c r="I3459" s="9" t="str">
        <x:v>England and Wales</x:v>
      </x:c>
      <x:c r="J3459" s="9" t="str">
        <x:v>Family Law</x:v>
      </x:c>
      <x:c r="K3459" s="9" t="str">
        <x:v>-ew-cases-EWCA-Civ-2014-401.xml</x:v>
      </x:c>
      <x:c r="L3459" s="9" t="str">
        <x:v>TBA</x:v>
      </x:c>
    </x:row>
    <x:row r="3460">
      <x:c r="A3460" t="str">
        <x:v>b3891212-ab3b-41b5-8353-cabdc59b4001</x:v>
      </x:c>
      <x:c r="B3460" t="str">
        <x:v>318d698e-d9f2-4484-8c71-9ca408e07ea8</x:v>
      </x:c>
      <x:c r="C3460" s="9" t="str">
        <x:v>W (Children) [2014] EWCA Civ 1065: Appeal Against Residence Order</x:v>
      </x:c>
      <x:c r="D3460" s="9" t="str"/>
      <x:c r="E3460" s="9" t="str"/>
      <x:c r="F3460" s="13" t="str">
        <x:v>2014</x:v>
      </x:c>
      <x:c r="G3460" s="9" t="str">
        <x:v>England and Wales Court of Appeal (Civil Division)</x:v>
      </x:c>
      <x:c r="H3460" s="9" t="str">
        <x:v>Appellate</x:v>
      </x:c>
      <x:c r="I3460" s="9" t="str">
        <x:v>England and Wales</x:v>
      </x:c>
      <x:c r="J3460" s="9" t="str">
        <x:v>Family Law</x:v>
      </x:c>
      <x:c r="K3460" s="9" t="str">
        <x:v>-ew-cases-EWCA-Civ-2014-1065.xml</x:v>
      </x:c>
      <x:c r="L3460" s="9" t="str">
        <x:v>TBA</x:v>
      </x:c>
    </x:row>
    <x:row r="3461">
      <x:c r="A3461" t="str">
        <x:v>8a41280b-57e9-47bf-9380-decd57387cfa</x:v>
      </x:c>
      <x:c r="B3461" t="str">
        <x:v>0cd70fc1-f82d-410d-abd8-9e1192311714</x:v>
      </x:c>
      <x:c r="C3461" s="9" t="str">
        <x:v>W (Children) [2014] EWCA Civ 1492</x:v>
      </x:c>
      <x:c r="D3461" s="9" t="str"/>
      <x:c r="E3461" s="9" t="str"/>
      <x:c r="F3461" s="13" t="str">
        <x:v>2014</x:v>
      </x:c>
      <x:c r="G3461" s="9" t="str">
        <x:v>England and Wales Court of Appeal (Civil Division)</x:v>
      </x:c>
      <x:c r="H3461" s="9" t="str">
        <x:v>Appellate</x:v>
      </x:c>
      <x:c r="I3461" s="9" t="str">
        <x:v>England and Wales</x:v>
      </x:c>
      <x:c r="J3461" s="9" t="str">
        <x:v>Family Law</x:v>
      </x:c>
      <x:c r="K3461" s="9" t="str">
        <x:v>-ew-cases-EWCA-Civ-2014-1492.xml</x:v>
      </x:c>
      <x:c r="L3461" s="9" t="str">
        <x:v>TBA</x:v>
      </x:c>
    </x:row>
    <x:row r="3462">
      <x:c r="A3462" t="str">
        <x:v>74a834ca-3704-4148-8667-1e9dd7fe8883</x:v>
      </x:c>
      <x:c r="B3462" t="str">
        <x:v>08c8c8fa-2fd0-45c1-8172-8a71ec45e547</x:v>
      </x:c>
      <x:c r="C3462" s="9" t="str">
        <x:v>W (Children) [2016] EWCA Civ 113 – Court of Appeal (Civil Division) decision on publicity in care proceedings (Poppi Worthington)</x:v>
      </x:c>
      <x:c r="D3462" s="9" t="str"/>
      <x:c r="E3462" s="9" t="str"/>
      <x:c r="F3462" s="13" t="str">
        <x:v>2016</x:v>
      </x:c>
      <x:c r="G3462" s="9" t="str">
        <x:v>England and Wales Court of Appeal (Civil Division)</x:v>
      </x:c>
      <x:c r="H3462" s="9" t="str">
        <x:v>Court of Appeal (Civil Division)</x:v>
      </x:c>
      <x:c r="I3462" s="9" t="str">
        <x:v>England and Wales</x:v>
      </x:c>
      <x:c r="J3462" s="9" t="str">
        <x:v>Public Law / Family Law – Care Proceedings</x:v>
      </x:c>
      <x:c r="K3462" s="9" t="str">
        <x:v>-ew-cases-EWCA-Civ-2016-113.xml</x:v>
      </x:c>
      <x:c r="L3462" s="9" t="str">
        <x:v>TBA</x:v>
      </x:c>
    </x:row>
    <x:row r="3463">
      <x:c r="A3463" t="str">
        <x:v>58e516c8-9a69-44f0-802b-09ad468535d8</x:v>
      </x:c>
      <x:c r="B3463" t="str">
        <x:v>c92ffe78-045a-4e60-b071-6fd268c428d2</x:v>
      </x:c>
      <x:c r="C3463" s="9" t="str">
        <x:v>W (Children), Re [2015] EWCA Civ 403</x:v>
      </x:c>
      <x:c r="D3463" s="9" t="str"/>
      <x:c r="E3463" s="9" t="str"/>
      <x:c r="F3463" s="13" t="str">
        <x:v>2015</x:v>
      </x:c>
      <x:c r="G3463" s="9" t="str">
        <x:v>England and Wales Court of Appeal (Civil Division)</x:v>
      </x:c>
      <x:c r="H3463" s="9" t="str">
        <x:v>Appellate</x:v>
      </x:c>
      <x:c r="I3463" s="9" t="str">
        <x:v>England and Wales</x:v>
      </x:c>
      <x:c r="J3463" s="9" t="str">
        <x:v>Family Law</x:v>
      </x:c>
      <x:c r="K3463" s="9" t="str">
        <x:v>-ew-cases-EWCA-Civ-2015-403.xml</x:v>
      </x:c>
      <x:c r="L3463" s="9" t="str">
        <x:v>TBA</x:v>
      </x:c>
    </x:row>
    <x:row r="3464">
      <x:c r="A3464" t="str">
        <x:v>6f0b0427-4e30-4b6e-a1d9-d970e4f73f70</x:v>
      </x:c>
      <x:c r="B3464" t="str">
        <x:v>53316948-b794-4159-9b47-a6e3827a9eea</x:v>
      </x:c>
      <x:c r="C3464" s="9" t="str">
        <x:v>W H Smith Travel Holdings Ltd v Twentieth Century Fox Home Entertainment Ltd</x:v>
      </x:c>
      <x:c r="D3464" s="9" t="str"/>
      <x:c r="E3464" s="9" t="str"/>
      <x:c r="F3464" s="13" t="str">
        <x:v>2015</x:v>
      </x:c>
      <x:c r="G3464" s="9" t="str">
        <x:v>England and Wales Court of Appeal (Civil Division)</x:v>
      </x:c>
      <x:c r="H3464" s="9" t="str">
        <x:v>Appellate</x:v>
      </x:c>
      <x:c r="I3464" s="9" t="str">
        <x:v>England and Wales</x:v>
      </x:c>
      <x:c r="J3464" s="9" t="str">
        <x:v>Contract Dispute</x:v>
      </x:c>
      <x:c r="K3464" s="9" t="str">
        <x:v>-ew-cases-EWCA-Civ-2015-1188.xml</x:v>
      </x:c>
      <x:c r="L3464" s="9" t="str">
        <x:v>TBA</x:v>
      </x:c>
    </x:row>
    <x:row r="3465">
      <x:c r="A3465" t="str">
        <x:v>094f20ae-432f-4261-8fb7-f077a9cdb586</x:v>
      </x:c>
      <x:c r="B3465" t="str">
        <x:v>b9d892af-9c42-4794-a3e7-173d4f587f18</x:v>
      </x:c>
      <x:c r="C3465" s="9" t="str">
        <x:v>W Portsmouth and Company Ltd v Lowin</x:v>
      </x:c>
      <x:c r="D3465" s="9" t="str"/>
      <x:c r="E3465" s="9" t="str"/>
      <x:c r="F3465" s="13" t="str">
        <x:v>2017</x:v>
      </x:c>
      <x:c r="G3465" s="9" t="str">
        <x:v>England and Wales Court of Appeal (Civil Division)</x:v>
      </x:c>
      <x:c r="H3465" s="9" t="str">
        <x:v>Appellate</x:v>
      </x:c>
      <x:c r="I3465" s="9" t="str">
        <x:v>England and Wales</x:v>
      </x:c>
      <x:c r="J3465" s="9" t="str">
        <x:v>Contract Dispute</x:v>
      </x:c>
      <x:c r="K3465" s="9" t="str">
        <x:v>-ew-cases-EWCA-Civ-2017-2172.xml</x:v>
      </x:c>
      <x:c r="L3465" s="9" t="str">
        <x:v>TBA</x:v>
      </x:c>
    </x:row>
    <x:row r="3466">
      <x:c r="A3466" t="str">
        <x:v>0907c515-4f2b-43ff-9580-a557902f0a26</x:v>
      </x:c>
      <x:c r="B3466" t="str">
        <x:v>0ecfc6c2-efde-41e8-88f6-752980ffe78d</x:v>
      </x:c>
      <x:c r="C3466" s="9" t="str">
        <x:v>W v W [2015] EWCA Civ 201: Variation of Spousal Maintenance</x:v>
      </x:c>
      <x:c r="D3466" s="9" t="str"/>
      <x:c r="E3466" s="9" t="str"/>
      <x:c r="F3466" s="13" t="str">
        <x:v>2015</x:v>
      </x:c>
      <x:c r="G3466" s="9" t="str">
        <x:v>England and Wales Court of Appeal (Civil Division)</x:v>
      </x:c>
      <x:c r="H3466" s="9" t="str">
        <x:v>Appellate</x:v>
      </x:c>
      <x:c r="I3466" s="9" t="str">
        <x:v>England and Wales</x:v>
      </x:c>
      <x:c r="J3466" s="9" t="str">
        <x:v>Family Law</x:v>
      </x:c>
      <x:c r="K3466" s="9" t="str">
        <x:v>-ew-cases-EWCA-Civ-2015-201.xml</x:v>
      </x:c>
      <x:c r="L3466" s="9" t="str">
        <x:v>TBA</x:v>
      </x:c>
    </x:row>
    <x:row r="3467">
      <x:c r="A3467" t="str">
        <x:v>f58dbc85-0cdd-4735-89ad-e464aa150092</x:v>
      </x:c>
      <x:c r="B3467" t="str">
        <x:v>2029f4f5-92c4-4e2b-a353-3c077359d4cc</x:v>
      </x:c>
      <x:c r="C3467" s="9" t="str">
        <x:v>W-A (Children: Foreign Conviction) [2022] EWCA Civ 1118</x:v>
      </x:c>
      <x:c r="D3467" s="9" t="str"/>
      <x:c r="E3467" s="9" t="str"/>
      <x:c r="F3467" s="13" t="str">
        <x:v>2022</x:v>
      </x:c>
      <x:c r="G3467" s="9" t="str">
        <x:v>England and Wales Court of Appeal (Civil Division)</x:v>
      </x:c>
      <x:c r="H3467" s="9" t="str">
        <x:v>Court of Appeal (Civil Division)</x:v>
      </x:c>
      <x:c r="I3467" s="9" t="str">
        <x:v>England and Wales</x:v>
      </x:c>
      <x:c r="J3467" s="9" t="str">
        <x:v>Family Law - Care Proceedings</x:v>
      </x:c>
      <x:c r="K3467" s="9" t="str">
        <x:v>ew-cases-EWCA-Civ-2022-1118.xml</x:v>
      </x:c>
      <x:c r="L3467" s="9" t="str">
        <x:v>TBA</x:v>
      </x:c>
    </x:row>
    <x:row r="3468">
      <x:c r="A3468" t="str">
        <x:v>bd07b404-8aa7-451a-8270-d9c78a59dc91</x:v>
      </x:c>
      <x:c r="B3468" t="str">
        <x:v>4e410876-707a-4a56-99c5-68a2084c37a4</x:v>
      </x:c>
      <x:c r="C3468" s="9" t="str">
        <x:v>W-J (Children), Re [2015] EWCA Civ 788</x:v>
      </x:c>
      <x:c r="D3468" s="9" t="str"/>
      <x:c r="E3468" s="9" t="str"/>
      <x:c r="F3468" s="13" t="str">
        <x:v>2015</x:v>
      </x:c>
      <x:c r="G3468" s="9" t="str">
        <x:v>England and Wales Court of Appeal (Civil Division)</x:v>
      </x:c>
      <x:c r="H3468" s="9" t="str">
        <x:v>Appellate</x:v>
      </x:c>
      <x:c r="I3468" s="9" t="str">
        <x:v>England and Wales</x:v>
      </x:c>
      <x:c r="J3468" s="9" t="str">
        <x:v>Family Law</x:v>
      </x:c>
      <x:c r="K3468" s="9" t="str">
        <x:v>-ew-cases-EWCA-Civ-2015-788.xml</x:v>
      </x:c>
      <x:c r="L3468" s="9" t="str">
        <x:v>TBA</x:v>
      </x:c>
    </x:row>
    <x:row r="3469">
      <x:c r="A3469" t="str">
        <x:v>6049baa7-fbbc-4e4d-96ea-9ead0d28c80d</x:v>
      </x:c>
      <x:c r="B3469" t="str">
        <x:v>970f7b44-64a0-461a-b30f-b814c242a1db</x:v>
      </x:c>
      <x:c r="C3469" s="9" t="str">
        <x:v>W-L (A Child) [2017] EWCA Civ 2690</x:v>
      </x:c>
      <x:c r="D3469" s="9" t="str"/>
      <x:c r="E3469" s="9" t="str"/>
      <x:c r="F3469" s="13" t="str">
        <x:v>2017</x:v>
      </x:c>
      <x:c r="G3469" s="9" t="str">
        <x:v>England and Wales Court of Appeal (Civil Division)</x:v>
      </x:c>
      <x:c r="H3469" s="9" t="str">
        <x:v>Appellate</x:v>
      </x:c>
      <x:c r="I3469" s="9" t="str">
        <x:v>England and Wales</x:v>
      </x:c>
      <x:c r="J3469" s="9" t="str">
        <x:v>Family Law</x:v>
      </x:c>
      <x:c r="K3469" s="9" t="str">
        <x:v>-ew-cases-EWCA-Civ-2017-2690.xml</x:v>
      </x:c>
      <x:c r="L3469" s="9" t="str">
        <x:v>TBA</x:v>
      </x:c>
    </x:row>
    <x:row r="3470">
      <x:c r="A3470" t="str">
        <x:v>a4413020-bf31-413b-808f-3cec9758d862</x:v>
      </x:c>
      <x:c r="B3470" t="str">
        <x:v>d815a9c0-6f94-42df-b124-7c7156e5e307</x:v>
      </x:c>
      <x:c r="C3470" s="9" t="str">
        <x:v>W-M, Re, (Children) [2015] EWCA Civ 1201 - Appeal on Child Arrangements Order</x:v>
      </x:c>
      <x:c r="D3470" s="9" t="str"/>
      <x:c r="E3470" s="9" t="str"/>
      <x:c r="F3470" s="13" t="str">
        <x:v>2015</x:v>
      </x:c>
      <x:c r="G3470" s="9" t="str">
        <x:v>England and Wales Court of Appeal (Civil Division)</x:v>
      </x:c>
      <x:c r="H3470" s="9" t="str">
        <x:v>Appellate</x:v>
      </x:c>
      <x:c r="I3470" s="9" t="str">
        <x:v>England and Wales</x:v>
      </x:c>
      <x:c r="J3470" s="9" t="str">
        <x:v>Family Law</x:v>
      </x:c>
      <x:c r="K3470" s="9" t="str">
        <x:v>-ew-cases-EWCA-Civ-2015-1201.xml</x:v>
      </x:c>
      <x:c r="L3470" s="9" t="str">
        <x:v>TBA</x:v>
      </x:c>
    </x:row>
    <x:row r="3471">
      <x:c r="A3471" t="str">
        <x:v>73cd387b-6948-4d6a-a8e4-9d3b103bc8c0</x:v>
      </x:c>
      <x:c r="B3471" t="str">
        <x:v>b1960fec-2516-4877-a836-ab1becd231a4</x:v>
      </x:c>
      <x:c r="C3471" s="9" t="str">
        <x:v>W, X, Y And Z, R (on the application of) v The Secretary of State for Health &amp; Ors</x:v>
      </x:c>
      <x:c r="D3471" s="9" t="str"/>
      <x:c r="E3471" s="9" t="str"/>
      <x:c r="F3471" s="13" t="str">
        <x:v>2015</x:v>
      </x:c>
      <x:c r="G3471" s="9" t="str">
        <x:v>England and Wales Court of Appeal (Civil Division)</x:v>
      </x:c>
      <x:c r="H3471" s="9" t="str">
        <x:v>Appellate</x:v>
      </x:c>
      <x:c r="I3471" s="9" t="str">
        <x:v>England and Wales</x:v>
      </x:c>
      <x:c r="J3471" s="9" t="str">
        <x:v>Administrative Law</x:v>
      </x:c>
      <x:c r="K3471" s="9" t="str">
        <x:v>-ew-cases-EWCA-Civ-2015-1034.xml</x:v>
      </x:c>
      <x:c r="L3471" s="9" t="str">
        <x:v>TBA</x:v>
      </x:c>
    </x:row>
    <x:row r="3472">
      <x:c r="A3472" t="str">
        <x:v>24271253-1de8-48c5-9389-dd85540422ad</x:v>
      </x:c>
      <x:c r="B3472" t="str">
        <x:v>5b6ea0c4-a855-401a-88f6-2ed77787a7dd</x:v>
      </x:c>
      <x:c r="C3472" s="9" t="str">
        <x:v>WA (Pakistan) &amp; Ors v Secretary of State for the Home Department</x:v>
      </x:c>
      <x:c r="D3472" s="9" t="str"/>
      <x:c r="E3472" s="9" t="str"/>
      <x:c r="F3472" s="13" t="str">
        <x:v>2015</x:v>
      </x:c>
      <x:c r="G3472" s="9" t="str">
        <x:v>England and Wales Court of Appeal (Civil Division)</x:v>
      </x:c>
      <x:c r="H3472" s="9" t="str">
        <x:v>Appellate</x:v>
      </x:c>
      <x:c r="I3472" s="9" t="str">
        <x:v>England and Wales</x:v>
      </x:c>
      <x:c r="J3472" s="9" t="str">
        <x:v>Immigration Law</x:v>
      </x:c>
      <x:c r="K3472" s="9" t="str">
        <x:v>-ew-cases-EWCA-Civ-2015-1113.xml</x:v>
      </x:c>
      <x:c r="L3472" s="9" t="str">
        <x:v>TBA</x:v>
      </x:c>
    </x:row>
    <x:row r="3473">
      <x:c r="A3473" t="str">
        <x:v>62b8419a-3182-4c50-a7da-68e7a155ed6e</x:v>
      </x:c>
      <x:c r="B3473" t="str">
        <x:v>e428cc25-0cb5-4b07-8620-2cbcd7a74f78</x:v>
      </x:c>
      <x:c r="C3473" s="9" t="str">
        <x:v>WA (Palestinian Territories) v The Secretary of State for the Home Department</x:v>
      </x:c>
      <x:c r="D3473" s="9" t="str"/>
      <x:c r="E3473" s="9" t="str"/>
      <x:c r="F3473" s="13" t="str">
        <x:v>2021</x:v>
      </x:c>
      <x:c r="G3473" s="9" t="str">
        <x:v>England and Wales Court of Appeal (Civil Division)</x:v>
      </x:c>
      <x:c r="H3473" s="9" t="str">
        <x:v>Appellate</x:v>
      </x:c>
      <x:c r="I3473" s="9" t="str">
        <x:v>England and Wales</x:v>
      </x:c>
      <x:c r="J3473" s="9" t="str">
        <x:v>Human Rights</x:v>
      </x:c>
      <x:c r="K3473" s="9" t="str">
        <x:v>ew-cases-EWCA-Civ-2021-12.xml</x:v>
      </x:c>
      <x:c r="L3473" s="9" t="str">
        <x:v>TBA</x:v>
      </x:c>
    </x:row>
    <x:row r="3474">
      <x:c r="A3474" t="str">
        <x:v>c64f44d7-025c-4937-b3c5-cdcaec3b84f1</x:v>
      </x:c>
      <x:c r="B3474" t="str">
        <x:v>9a069a62-4ed3-4ecf-91eb-a5f3652dda30</x:v>
      </x:c>
      <x:c r="C3474" s="9" t="str">
        <x:v>Wade &amp; Anor v British Sky Broadcasting Limited [2016] EWCA Civ 1214</x:v>
      </x:c>
      <x:c r="D3474" s="9" t="str"/>
      <x:c r="E3474" s="9" t="str"/>
      <x:c r="F3474" s="13" t="str">
        <x:v>2016</x:v>
      </x:c>
      <x:c r="G3474" s="9" t="str">
        <x:v>England and Wales Court of Appeal (Civil Division)</x:v>
      </x:c>
      <x:c r="H3474" s="9" t="str">
        <x:v>Court of Appeal</x:v>
      </x:c>
      <x:c r="I3474" s="9" t="str">
        <x:v>England and Wales</x:v>
      </x:c>
      <x:c r="J3474" s="9" t="str">
        <x:v>Intellectual Property / Breach of Confidence (Confidential Information)</x:v>
      </x:c>
      <x:c r="K3474" s="9" t="str">
        <x:v>-ew-cases-EWCA-Civ-2016-1214.xml</x:v>
      </x:c>
      <x:c r="L3474" s="9" t="str">
        <x:v>TBA</x:v>
      </x:c>
    </x:row>
    <x:row r="3475">
      <x:c r="A3475" t="str">
        <x:v>35ada42e-aed6-4d09-b593-f087e3e484e5</x:v>
      </x:c>
      <x:c r="B3475" t="str">
        <x:v>10740c81-5751-47ed-be62-0d3414074afd</x:v>
      </x:c>
      <x:c r="C3475" s="9" t="str">
        <x:v>Wagenaar v Weekend Travel Ltd [2014] EWCA Civ 1105</x:v>
      </x:c>
      <x:c r="D3475" s="9" t="str"/>
      <x:c r="E3475" s="9" t="str"/>
      <x:c r="F3475" s="13" t="str">
        <x:v>2014</x:v>
      </x:c>
      <x:c r="G3475" s="9" t="str">
        <x:v>England and Wales Court of Appeal (Civil Division)</x:v>
      </x:c>
      <x:c r="H3475" s="9" t="str">
        <x:v>Appellate</x:v>
      </x:c>
      <x:c r="I3475" s="9" t="str">
        <x:v>England and Wales</x:v>
      </x:c>
      <x:c r="J3475" s="9" t="str">
        <x:v>Civil Procedure</x:v>
      </x:c>
      <x:c r="K3475" s="9" t="str">
        <x:v>-ew-cases-EWCA-Civ-2014-1105.xml</x:v>
      </x:c>
      <x:c r="L3475" s="9" t="str">
        <x:v>TBA</x:v>
      </x:c>
    </x:row>
    <x:row r="3476">
      <x:c r="A3476" t="str">
        <x:v>6a733c01-77e0-4994-bfd7-6e99598f9055</x:v>
      </x:c>
      <x:c r="B3476" t="str">
        <x:v>08ec79c4-3ad3-48d7-a2dd-e25963222b3c</x:v>
      </x:c>
      <x:c r="C3476" s="9" t="str">
        <x:v>Wahid, R (On the Application Of) v Entry Clearance Officer</x:v>
      </x:c>
      <x:c r="D3476" s="9" t="str"/>
      <x:c r="E3476" s="9" t="str"/>
      <x:c r="F3476" s="13" t="str">
        <x:v>2021</x:v>
      </x:c>
      <x:c r="G3476" s="9" t="str">
        <x:v>England and Wales Court of Appeal (Civil Division)</x:v>
      </x:c>
      <x:c r="H3476" s="9" t="str">
        <x:v>Appellate</x:v>
      </x:c>
      <x:c r="I3476" s="9" t="str">
        <x:v>England and Wales</x:v>
      </x:c>
      <x:c r="J3476" s="9" t="str">
        <x:v>Immigration Law</x:v>
      </x:c>
      <x:c r="K3476" s="9" t="str">
        <x:v>ew-cases-EWCA-Civ-2021-346.xml</x:v>
      </x:c>
      <x:c r="L3476" s="9" t="str">
        <x:v>TBA</x:v>
      </x:c>
    </x:row>
    <x:row r="3477">
      <x:c r="A3477" t="str">
        <x:v>8bb8dbd8-405b-43f1-9f53-573ab2e88e9a</x:v>
      </x:c>
      <x:c r="B3477" t="str">
        <x:v>2d2cfe26-dd91-4e37-92ab-591d155fb5ab</x:v>
      </x:c>
      <x:c r="C3477" s="9" t="str">
        <x:v>Walford v Worcestershire County Council [2015] EWCA Civ 22</x:v>
      </x:c>
      <x:c r="D3477" s="9" t="str"/>
      <x:c r="E3477" s="9" t="str"/>
      <x:c r="F3477" s="13" t="str">
        <x:v>2015</x:v>
      </x:c>
      <x:c r="G3477" s="9" t="str">
        <x:v>England and Wales Court of Appeal (Civil Division)</x:v>
      </x:c>
      <x:c r="H3477" s="9" t="str">
        <x:v>Appellate</x:v>
      </x:c>
      <x:c r="I3477" s="9" t="str">
        <x:v>United Kingdom</x:v>
      </x:c>
      <x:c r="J3477" s="9" t="str">
        <x:v>Administrative Law</x:v>
      </x:c>
      <x:c r="K3477" s="9" t="str">
        <x:v>-ew-cases-EWCA-Civ-2015-22.xml</x:v>
      </x:c>
      <x:c r="L3477" s="9" t="str">
        <x:v>TBA</x:v>
      </x:c>
    </x:row>
    <x:row r="3478">
      <x:c r="A3478" t="str">
        <x:v>10c07133-d7d3-4e1a-bd44-f19e21bc473a</x:v>
      </x:c>
      <x:c r="B3478" t="str">
        <x:v>160542f2-e4d6-409f-a4c3-fd1e63cc788b</x:v>
      </x:c>
      <x:c r="C3478" s="9" t="str">
        <x:v>Walker Construction (UK) Ltd v Quayside Homes Ltd &amp; Or [2014] EWCA Civ 93</x:v>
      </x:c>
      <x:c r="D3478" s="9" t="str"/>
      <x:c r="E3478" s="9" t="str"/>
      <x:c r="F3478" s="13" t="str">
        <x:v>2014</x:v>
      </x:c>
      <x:c r="G3478" s="9" t="str">
        <x:v>England and Wales Court of Appeal (Civil Division)</x:v>
      </x:c>
      <x:c r="H3478" s="9" t="str">
        <x:v>Appellate</x:v>
      </x:c>
      <x:c r="I3478" s="9" t="str">
        <x:v>England and Wales</x:v>
      </x:c>
      <x:c r="J3478" s="9" t="str">
        <x:v>Contract Dispute</x:v>
      </x:c>
      <x:c r="K3478" s="9" t="str">
        <x:v>-ew-cases-EWCA-Civ-2014-93.xml</x:v>
      </x:c>
      <x:c r="L3478" s="9" t="str">
        <x:v>TBA</x:v>
      </x:c>
    </x:row>
    <x:row r="3479">
      <x:c r="A3479" t="str">
        <x:v>0dedd715-903b-4371-bfef-12d256a0d30c</x:v>
      </x:c>
      <x:c r="B3479" t="str">
        <x:v>060ee4aa-6be5-4292-9e19-0e28ef2896a7</x:v>
      </x:c>
      <x:c r="C3479" s="9" t="str">
        <x:v>Walker v The Commissioner of the Police of the Metropolis</x:v>
      </x:c>
      <x:c r="D3479" s="9" t="str"/>
      <x:c r="E3479" s="9" t="str"/>
      <x:c r="F3479" s="13" t="str">
        <x:v>2014</x:v>
      </x:c>
      <x:c r="G3479" s="9" t="str">
        <x:v>England and Wales Court of Appeal (Civil Division)</x:v>
      </x:c>
      <x:c r="H3479" s="9" t="str">
        <x:v>Appellate</x:v>
      </x:c>
      <x:c r="I3479" s="9" t="str">
        <x:v>England and Wales</x:v>
      </x:c>
      <x:c r="J3479" s="9" t="str">
        <x:v>Tort</x:v>
      </x:c>
      <x:c r="K3479" s="9" t="str">
        <x:v>-ew-cases-EWCA-Civ-2014-897.xml</x:v>
      </x:c>
      <x:c r="L3479" s="9" t="str">
        <x:v>TBA</x:v>
      </x:c>
    </x:row>
    <x:row r="3480">
      <x:c r="A3480" t="str">
        <x:v>976a84f0-08ae-4303-95c8-fed865d58bfb</x:v>
      </x:c>
      <x:c r="B3480" t="str">
        <x:v>b9ec9b6d-684d-430b-a532-9891f93ad579</x:v>
      </x:c>
      <x:c r="C3480" s="9" t="str">
        <x:v>Wall &amp; Ors v Winchester City Council &amp; Anor [2015] EWCA Civ 563</x:v>
      </x:c>
      <x:c r="D3480" s="9" t="str"/>
      <x:c r="E3480" s="9" t="str"/>
      <x:c r="F3480" s="13" t="str">
        <x:v>2015</x:v>
      </x:c>
      <x:c r="G3480" s="9" t="str">
        <x:v>England and Wales Court of Appeal (Civil Division)</x:v>
      </x:c>
      <x:c r="H3480" s="9" t="str">
        <x:v>Appellate</x:v>
      </x:c>
      <x:c r="I3480" s="9" t="str">
        <x:v>England and Wales</x:v>
      </x:c>
      <x:c r="J3480" s="9" t="str">
        <x:v>Planning Law</x:v>
      </x:c>
      <x:c r="K3480" s="9" t="str">
        <x:v>-ew-cases-EWCA-Civ-2015-563.xml</x:v>
      </x:c>
      <x:c r="L3480" s="9" t="str">
        <x:v>TBA</x:v>
      </x:c>
    </x:row>
    <x:row r="3481">
      <x:c r="A3481" t="str">
        <x:v>435a35ec-21fd-49aa-b12a-ac4419f8a1a5</x:v>
      </x:c>
      <x:c r="B3481" t="str">
        <x:v>491ca82b-f4bc-4e1a-8bb1-34b9dee6af6e</x:v>
      </x:c>
      <x:c r="C3481" s="9" t="str">
        <x:v>Wall v Mutuelle De Poitiers Assurances</x:v>
      </x:c>
      <x:c r="D3481" s="9" t="str"/>
      <x:c r="E3481" s="9" t="str"/>
      <x:c r="F3481" s="13" t="str">
        <x:v>2014</x:v>
      </x:c>
      <x:c r="G3481" s="9" t="str">
        <x:v>England and Wales Court of Appeal (Civil Division)</x:v>
      </x:c>
      <x:c r="H3481" s="9" t="str">
        <x:v>Appellate</x:v>
      </x:c>
      <x:c r="I3481" s="9" t="str">
        <x:v>England and Wales</x:v>
      </x:c>
      <x:c r="J3481" s="9" t="str">
        <x:v>Personal Injury</x:v>
      </x:c>
      <x:c r="K3481" s="9" t="str">
        <x:v>-ew-cases-EWCA-Civ-2014-138.xml</x:v>
      </x:c>
      <x:c r="L3481" s="9" t="str">
        <x:v>TBA</x:v>
      </x:c>
    </x:row>
    <x:row r="3482">
      <x:c r="A3482" t="str">
        <x:v>bed1a258-aa63-464f-aee8-6aa5b802c70b</x:v>
      </x:c>
      <x:c r="B3482" t="str">
        <x:v>487479d1-e93f-4567-a2dc-723d0e0330e9</x:v>
      </x:c>
      <x:c r="C3482" s="9" t="str">
        <x:v>Walsham Chalet Park Ltd v Tallington Lakes Ltd</x:v>
      </x:c>
      <x:c r="D3482" s="9" t="str"/>
      <x:c r="E3482" s="9" t="str"/>
      <x:c r="F3482" s="13" t="str">
        <x:v>2014</x:v>
      </x:c>
      <x:c r="G3482" s="9" t="str">
        <x:v>England and Wales Court of Appeal (Civil Division)</x:v>
      </x:c>
      <x:c r="H3482" s="9" t="str">
        <x:v>Appeal</x:v>
      </x:c>
      <x:c r="I3482" s="9" t="str">
        <x:v>England and Wales</x:v>
      </x:c>
      <x:c r="J3482" s="9" t="str">
        <x:v>Contract Dispute</x:v>
      </x:c>
      <x:c r="K3482" s="9" t="str">
        <x:v>-ew-cases-EWCA-Civ-2014-1607.xml</x:v>
      </x:c>
      <x:c r="L3482" s="9" t="str">
        <x:v>TBA</x:v>
      </x:c>
    </x:row>
    <x:row r="3483">
      <x:c r="A3483" t="str">
        <x:v>f8eefc7c-42cf-4a84-9ae1-50af743e4250</x:v>
      </x:c>
      <x:c r="B3483" t="str">
        <x:v>fed0fa36-3696-437b-a44e-f60cabfaef59</x:v>
      </x:c>
      <x:c r="C3483" s="9" t="str">
        <x:v>Waltham Forest London Borough Council v Hussain &amp; Ors [2023] EWCA Civ 733</x:v>
      </x:c>
      <x:c r="D3483" s="9" t="str"/>
      <x:c r="E3483" s="9" t="str"/>
      <x:c r="F3483" s="13" t="str">
        <x:v>2023</x:v>
      </x:c>
      <x:c r="G3483" s="9" t="str">
        <x:v>England and Wales Court of Appeal (Civil Division)</x:v>
      </x:c>
      <x:c r="H3483" s="9" t="str">
        <x:v>Court of Appeal (Civil Division)</x:v>
      </x:c>
      <x:c r="I3483" s="9" t="str">
        <x:v>England and Wales</x:v>
      </x:c>
      <x:c r="J3483" s="9" t="str">
        <x:v>Administrative Law; Housing/Licensing; Court of Appeal</x:v>
      </x:c>
      <x:c r="K3483" s="9" t="str">
        <x:v>ew-cases-EWCA-Civ-2023-733.xml</x:v>
      </x:c>
      <x:c r="L3483" s="9" t="str">
        <x:v>TBA</x:v>
      </x:c>
    </x:row>
    <x:row r="3484">
      <x:c r="A3484" t="str">
        <x:v>a275d3a7-86d1-4384-ab92-dfbce622904e</x:v>
      </x:c>
      <x:c r="B3484" t="str">
        <x:v>9dc69cf9-1af4-4b7c-bd29-f554dbf0af3d</x:v>
      </x:c>
      <x:c r="C3484" s="9" t="str">
        <x:v>Walton v Pickerings Solicitors &amp; Anor [2023] EWCA Civ 602</x:v>
      </x:c>
      <x:c r="D3484" s="9" t="str"/>
      <x:c r="E3484" s="9" t="str"/>
      <x:c r="F3484" s="13" t="str">
        <x:v>2023</x:v>
      </x:c>
      <x:c r="G3484" s="9" t="str">
        <x:v>England and Wales Court of Appeal (Civil Division)</x:v>
      </x:c>
      <x:c r="H3484" s="9" t="str">
        <x:v>Court of Appeal (Civil Division)</x:v>
      </x:c>
      <x:c r="I3484" s="9" t="str">
        <x:v>England and Wales</x:v>
      </x:c>
      <x:c r="J3484" s="9" t="str">
        <x:v>Civil Procedure / Appellate</x:v>
      </x:c>
      <x:c r="K3484" s="9" t="str">
        <x:v>ew-cases-EWCA-Civ-2023-602.xml</x:v>
      </x:c>
      <x:c r="L3484" s="9" t="str">
        <x:v>TBA</x:v>
      </x:c>
    </x:row>
    <x:row r="3485">
      <x:c r="A3485" t="str">
        <x:v>fc054a87-17cc-4da1-9a5e-8c8121815d62</x:v>
      </x:c>
      <x:c r="B3485" t="str">
        <x:v>503c2f21-164b-4bc8-8360-bb0c2c78bced</x:v>
      </x:c>
      <x:c r="C3485" s="9" t="str">
        <x:v>Wamala, R v The Secretary of State for the Home Department [2017] EWCA Civ 363</x:v>
      </x:c>
      <x:c r="D3485" s="9" t="str"/>
      <x:c r="E3485" s="9" t="str"/>
      <x:c r="F3485" s="13" t="str">
        <x:v>2017</x:v>
      </x:c>
      <x:c r="G3485" s="9" t="str">
        <x:v>England and Wales Court of Appeal (Civil Division)</x:v>
      </x:c>
      <x:c r="H3485" s="9" t="str">
        <x:v>Appellate</x:v>
      </x:c>
      <x:c r="I3485" s="9" t="str">
        <x:v>England and Wales</x:v>
      </x:c>
      <x:c r="J3485" s="9" t="str">
        <x:v>Administrative Law</x:v>
      </x:c>
      <x:c r="K3485" s="9" t="str">
        <x:v>-ew-cases-EWCA-Civ-2017-363.xml</x:v>
      </x:c>
      <x:c r="L3485" s="9" t="str">
        <x:v>TBA</x:v>
      </x:c>
    </x:row>
    <x:row r="3486">
      <x:c r="A3486" t="str">
        <x:v>c74a000f-b809-4c81-92e3-118a51fe2652</x:v>
      </x:c>
      <x:c r="B3486" t="str">
        <x:v>e8d3a8c1-09a0-45ef-8224-dd5f52ff663f</x:v>
      </x:c>
      <x:c r="C3486" s="9" t="str">
        <x:v>Wang &amp; Anor, R (On the Application Of) v Secretary of State for the Home Department</x:v>
      </x:c>
      <x:c r="D3486" s="9" t="str"/>
      <x:c r="E3486" s="9" t="str"/>
      <x:c r="F3486" s="13" t="str">
        <x:v>2021</x:v>
      </x:c>
      <x:c r="G3486" s="9" t="str">
        <x:v>England and Wales Court of Appeal (Civil Division)</x:v>
      </x:c>
      <x:c r="H3486" s="9" t="str">
        <x:v>Appellate</x:v>
      </x:c>
      <x:c r="I3486" s="9" t="str">
        <x:v>England</x:v>
      </x:c>
      <x:c r="J3486" s="9" t="str">
        <x:v>Immigration</x:v>
      </x:c>
      <x:c r="K3486" s="9" t="str">
        <x:v>ew-cases-EWCA-Civ-2021-679.xml</x:v>
      </x:c>
      <x:c r="L3486" s="9" t="str">
        <x:v>TBA</x:v>
      </x:c>
    </x:row>
    <x:row r="3487">
      <x:c r="A3487" t="str">
        <x:v>98430181-5408-40f0-87d9-89882162a73a</x:v>
      </x:c>
      <x:c r="B3487" t="str">
        <x:v>98bb2700-87bb-49bb-9130-22b530a8db0e</x:v>
      </x:c>
      <x:c r="C3487" s="9" t="str">
        <x:v>Wann &amp; Ors v Birkinshaw &amp; Ors [2017] EWCA Civ 84</x:v>
      </x:c>
      <x:c r="D3487" s="9" t="str"/>
      <x:c r="E3487" s="9" t="str"/>
      <x:c r="F3487" s="13" t="str">
        <x:v>2017</x:v>
      </x:c>
      <x:c r="G3487" s="9" t="str">
        <x:v>England and Wales Court of Appeal (Civil Division)</x:v>
      </x:c>
      <x:c r="H3487" s="9" t="str">
        <x:v>Appellate</x:v>
      </x:c>
      <x:c r="I3487" s="9" t="str">
        <x:v>England and Wales</x:v>
      </x:c>
      <x:c r="J3487" s="9" t="str">
        <x:v>Corporate Law</x:v>
      </x:c>
      <x:c r="K3487" s="9" t="str">
        <x:v>-ew-cases-EWCA-Civ-2017-84.xml</x:v>
      </x:c>
      <x:c r="L3487" s="9" t="str">
        <x:v>TBA</x:v>
      </x:c>
    </x:row>
    <x:row r="3488">
      <x:c r="A3488" t="str">
        <x:v>a879b09c-d8ae-4dd1-909d-62caad4f275d</x:v>
      </x:c>
      <x:c r="B3488" t="str">
        <x:v>977a0750-aaac-4e49-a8c3-fc83199ab89c</x:v>
      </x:c>
      <x:c r="C3488" s="9" t="str">
        <x:v>Warburton v Chief Constable of Avon and Somerset Constabulary [2023] EWCA Civ 209</x:v>
      </x:c>
      <x:c r="D3488" s="9" t="str"/>
      <x:c r="E3488" s="9" t="str"/>
      <x:c r="F3488" s="13" t="str">
        <x:v>2023</x:v>
      </x:c>
      <x:c r="G3488" s="9" t="str">
        <x:v>England and Wales Court of Appeal (Civil Division)</x:v>
      </x:c>
      <x:c r="H3488" s="9" t="str">
        <x:v>Court of Appeal (Civil Division)</x:v>
      </x:c>
      <x:c r="I3488" s="9" t="str">
        <x:v>England and Wales</x:v>
      </x:c>
      <x:c r="J3488" s="9" t="str">
        <x:v>Civil Dispute - Data Protection / Court Procedure</x:v>
      </x:c>
      <x:c r="K3488" s="9" t="str">
        <x:v>ew-cases-EWCA-Civ-2023-209.xml</x:v>
      </x:c>
      <x:c r="L3488" s="9" t="str">
        <x:v>TBA</x:v>
      </x:c>
    </x:row>
    <x:row r="3489">
      <x:c r="A3489" t="str">
        <x:v>5b9332e7-3678-42b1-8174-15ae4caf0192</x:v>
      </x:c>
      <x:c r="B3489" t="str">
        <x:v>cb8c8a45-aef5-4216-9a7b-d3b254e3b53a</x:v>
      </x:c>
      <x:c r="C3489" s="9" t="str">
        <x:v>Warner-Lambert Company LLC v Generics (UK) Ltd (t/a Mylan) &amp; Ors [2016] EWCA Civ 1006</x:v>
      </x:c>
      <x:c r="D3489" s="9" t="str"/>
      <x:c r="E3489" s="9" t="str"/>
      <x:c r="F3489" s="13" t="str">
        <x:v>2016</x:v>
      </x:c>
      <x:c r="G3489" s="9" t="str">
        <x:v>England and Wales Court of Appeal (Civil Division)</x:v>
      </x:c>
      <x:c r="H3489" s="9" t="str">
        <x:v>Court of Appeal (Civil Division)</x:v>
      </x:c>
      <x:c r="I3489" s="9" t="str">
        <x:v>England and Wales</x:v>
      </x:c>
      <x:c r="J3489" s="9" t="str">
        <x:v>Intellectual Property; Patent Law; Pharmaceutical Patents</x:v>
      </x:c>
      <x:c r="K3489" s="9" t="str">
        <x:v>-ew-cases-EWCA-Civ-2016-1006.xml</x:v>
      </x:c>
      <x:c r="L3489" s="9" t="str">
        <x:v>TBA</x:v>
      </x:c>
    </x:row>
    <x:row r="3490">
      <x:c r="A3490" t="str">
        <x:v>715476f4-e999-4ac7-bf97-01ab60d028ab</x:v>
      </x:c>
      <x:c r="B3490" t="str">
        <x:v>4d61560d-ecf9-4ce9-a7f2-63d5c1787b6e</x:v>
      </x:c>
      <x:c r="C3490" s="9" t="str">
        <x:v>Warner-Lambert Company, LLC v Actavis Group Ptc EHF &amp; Ors</x:v>
      </x:c>
      <x:c r="D3490" s="9" t="str"/>
      <x:c r="E3490" s="9" t="str"/>
      <x:c r="F3490" s="13" t="str">
        <x:v>2015</x:v>
      </x:c>
      <x:c r="G3490" s="9" t="str">
        <x:v>England and Wales Court of Appeal (Civil Division)</x:v>
      </x:c>
      <x:c r="H3490" s="9" t="str">
        <x:v>Appellate</x:v>
      </x:c>
      <x:c r="I3490" s="9" t="str">
        <x:v>England and Wales</x:v>
      </x:c>
      <x:c r="J3490" s="9" t="str">
        <x:v>Intellectual Property</x:v>
      </x:c>
      <x:c r="K3490" s="9" t="str">
        <x:v>-ew-cases-EWCA-Civ-2015-556.xml</x:v>
      </x:c>
      <x:c r="L3490" s="9" t="str">
        <x:v>TBA</x:v>
      </x:c>
    </x:row>
    <x:row r="3491">
      <x:c r="A3491" t="str">
        <x:v>7c88af7a-d747-4e8c-a58f-21744b5e54b4</x:v>
      </x:c>
      <x:c r="B3491" t="str">
        <x:v>39f33e21-8685-4155-9d7e-00139d029457</x:v>
      </x:c>
      <x:c r="C3491" s="9" t="str">
        <x:v>Warners Retail (Moreton) Ltd v Cotswold District Council &amp; Ors [2016] EWCA Civ 606</x:v>
      </x:c>
      <x:c r="D3491" s="9" t="str"/>
      <x:c r="E3491" s="9" t="str"/>
      <x:c r="F3491" s="13" t="str">
        <x:v>2016</x:v>
      </x:c>
      <x:c r="G3491" s="9" t="str">
        <x:v>England and Wales Court of Appeal (Civil Division)</x:v>
      </x:c>
      <x:c r="H3491" s="9" t="str">
        <x:v>Court of Appeal (Civil Division)</x:v>
      </x:c>
      <x:c r="I3491" s="9" t="str">
        <x:v>England and Wales</x:v>
      </x:c>
      <x:c r="J3491" s="9" t="str">
        <x:v>Planning Law / Administrative Law</x:v>
      </x:c>
      <x:c r="K3491" s="9" t="str">
        <x:v>-ew-cases-EWCA-Civ-2016-606.xml</x:v>
      </x:c>
      <x:c r="L3491" s="9" t="str">
        <x:v>TBA</x:v>
      </x:c>
    </x:row>
    <x:row r="3492">
      <x:c r="A3492" t="str">
        <x:v>bddd9d06-1ae1-4e52-932d-e9b1027cccef</x:v>
      </x:c>
      <x:c r="B3492" t="str">
        <x:v>aec7fcb5-9138-4058-b3cc-5c14379896e3</x:v>
      </x:c>
      <x:c r="C3492" s="9" t="str">
        <x:v>Warren v Drukkerij Flach B.V.</x:v>
      </x:c>
      <x:c r="D3492" s="9" t="str"/>
      <x:c r="E3492" s="9" t="str"/>
      <x:c r="F3492" s="13" t="str">
        <x:v>2014</x:v>
      </x:c>
      <x:c r="G3492" s="9" t="str">
        <x:v>England and Wales Court of Appeal (Civil Division)</x:v>
      </x:c>
      <x:c r="H3492" s="9" t="str">
        <x:v>Appellate</x:v>
      </x:c>
      <x:c r="I3492" s="9" t="str">
        <x:v>England and Wales</x:v>
      </x:c>
      <x:c r="J3492" s="9" t="str">
        <x:v>Commercial Law</x:v>
      </x:c>
      <x:c r="K3492" s="9" t="str">
        <x:v>-ew-cases-EWCA-Civ-2014-993.xml</x:v>
      </x:c>
      <x:c r="L3492" s="9" t="str">
        <x:v>TBA</x:v>
      </x:c>
    </x:row>
    <x:row r="3493">
      <x:c r="A3493" t="str">
        <x:v>28f4d59d-0fc2-41ae-b5c3-94203e3eb76e</x:v>
      </x:c>
      <x:c r="B3493" t="str">
        <x:v>0122ac0b-f4df-406a-9bae-f6fee53fdbaf</x:v>
      </x:c>
      <x:c r="C3493" s="9" t="str">
        <x:v>Warsame v The Secretary of State for the Home Department [2016] EWCA Civ 16</x:v>
      </x:c>
      <x:c r="D3493" s="9" t="str"/>
      <x:c r="E3493" s="9" t="str"/>
      <x:c r="F3493" s="13" t="str">
        <x:v>2016</x:v>
      </x:c>
      <x:c r="G3493" s="9" t="str">
        <x:v>England and Wales Court of Appeal (Civil Division)</x:v>
      </x:c>
      <x:c r="H3493" s="9" t="str">
        <x:v>Court of Appeal (Civil Division)</x:v>
      </x:c>
      <x:c r="I3493" s="9" t="str">
        <x:v>England and Wales</x:v>
      </x:c>
      <x:c r="J3493" s="9" t="str">
        <x:v>Immigration Law (EU Law)</x:v>
      </x:c>
      <x:c r="K3493" s="9" t="str">
        <x:v>-ew-cases-EWCA-Civ-2016-16.xml</x:v>
      </x:c>
      <x:c r="L3493" s="9" t="str">
        <x:v>TBA</x:v>
      </x:c>
    </x:row>
    <x:row r="3494">
      <x:c r="A3494" t="str">
        <x:v>eed64c71-a3a5-48cc-953b-2185a5322e6a</x:v>
      </x:c>
      <x:c r="B3494" t="str">
        <x:v>9acbd17f-5860-4073-8863-8f271497e17b</x:v>
      </x:c>
      <x:c r="C3494" s="9" t="str">
        <x:v>Wasif v The Secretary of State for the Home Department [2016] EWCA Civ 82</x:v>
      </x:c>
      <x:c r="D3494" s="9" t="str"/>
      <x:c r="E3494" s="9" t="str"/>
      <x:c r="F3494" s="13" t="str">
        <x:v>2016</x:v>
      </x:c>
      <x:c r="G3494" s="9" t="str">
        <x:v>England and Wales Court of Appeal (Civil Division)</x:v>
      </x:c>
      <x:c r="H3494" s="9" t="str">
        <x:v>Court of Appeal (Civil Division)</x:v>
      </x:c>
      <x:c r="I3494" s="9" t="str">
        <x:v>England and Wales</x:v>
      </x:c>
      <x:c r="J3494" s="9" t="str">
        <x:v>Administrative Law / Judicial Review</x:v>
      </x:c>
      <x:c r="K3494" s="9" t="str">
        <x:v>-ew-cases-EWCA-Civ-2016-82.xml</x:v>
      </x:c>
      <x:c r="L3494" s="9" t="str">
        <x:v>TBA</x:v>
      </x:c>
    </x:row>
    <x:row r="3495">
      <x:c r="A3495" t="str">
        <x:v>6a20b6bc-0b10-4a67-899d-f47cadd2f7c9</x:v>
      </x:c>
      <x:c r="B3495" t="str">
        <x:v>1ae58913-2963-4c97-b4f8-74cc6bf3cac1</x:v>
      </x:c>
      <x:c r="C3495" s="9" t="str">
        <x:v>Watch Tower Bible &amp; Tract Society of Britain &amp; Others v The Charity Commission [2016] EWCA Civ 154</x:v>
      </x:c>
      <x:c r="D3495" s="9" t="str"/>
      <x:c r="E3495" s="9" t="str"/>
      <x:c r="F3495" s="13" t="str">
        <x:v>2016</x:v>
      </x:c>
      <x:c r="G3495" s="9" t="str">
        <x:v>England and Wales Court of Appeal (Civil Division)</x:v>
      </x:c>
      <x:c r="H3495" s="9" t="str">
        <x:v>Court of Appeal (Civil Division)</x:v>
      </x:c>
      <x:c r="I3495" s="9" t="str">
        <x:v>England and Wales</x:v>
      </x:c>
      <x:c r="J3495" s="9" t="str">
        <x:v>Judicial Review / Administrative Law (Charity Regulation)</x:v>
      </x:c>
      <x:c r="K3495" s="9" t="str">
        <x:v>-ew-cases-EWCA-Civ-2016-154.xml</x:v>
      </x:c>
      <x:c r="L3495" s="9" t="str">
        <x:v>TBA</x:v>
      </x:c>
    </x:row>
    <x:row r="3496">
      <x:c r="A3496" t="str">
        <x:v>0ebc2bba-f6a9-4268-b598-c71117258eea</x:v>
      </x:c>
      <x:c r="B3496" t="str">
        <x:v>56b39c8e-0a5d-4942-885b-92740f53be29</x:v>
      </x:c>
      <x:c r="C3496" s="9" t="str">
        <x:v>Watermead Parish Council v Aylesbury Vale District Council</x:v>
      </x:c>
      <x:c r="D3496" s="9" t="str"/>
      <x:c r="E3496" s="9" t="str"/>
      <x:c r="F3496" s="13" t="str">
        <x:v>2017</x:v>
      </x:c>
      <x:c r="G3496" s="9" t="str">
        <x:v>England and Wales Court of Appeal (Civil Division)</x:v>
      </x:c>
      <x:c r="H3496" s="9" t="str">
        <x:v>Appellate</x:v>
      </x:c>
      <x:c r="I3496" s="9" t="str">
        <x:v>England and Wales</x:v>
      </x:c>
      <x:c r="J3496" s="9" t="str">
        <x:v>Administrative Law</x:v>
      </x:c>
      <x:c r="K3496" s="9" t="str">
        <x:v>-ew-cases-EWCA-Civ-2017-152.xml</x:v>
      </x:c>
      <x:c r="L3496" s="9" t="str">
        <x:v>TBA</x:v>
      </x:c>
    </x:row>
    <x:row r="3497">
      <x:c r="A3497" t="str">
        <x:v>0a75269b-b8cd-4fcc-ab94-6e737b0b0f65</x:v>
      </x:c>
      <x:c r="B3497" t="str">
        <x:v>ced2eb40-e718-49f4-bf1b-8a43ba79ae87</x:v>
      </x:c>
      <x:c r="C3497" s="9" t="str">
        <x:v>Watson &amp; Anor v Jones &amp; Anor [2015] EWCA Civ 1093</x:v>
      </x:c>
      <x:c r="D3497" s="9" t="str"/>
      <x:c r="E3497" s="9" t="str"/>
      <x:c r="F3497" s="13" t="str">
        <x:v>2015</x:v>
      </x:c>
      <x:c r="G3497" s="9" t="str">
        <x:v>England and Wales Court of Appeal (Civil Division)</x:v>
      </x:c>
      <x:c r="H3497" s="9" t="str">
        <x:v>Appellate</x:v>
      </x:c>
      <x:c r="I3497" s="9" t="str">
        <x:v>England and Wales</x:v>
      </x:c>
      <x:c r="J3497" s="9" t="str">
        <x:v>Contract Dispute</x:v>
      </x:c>
      <x:c r="K3497" s="9" t="str">
        <x:v>-ew-cases-EWCA-Civ-2015-1093.xml</x:v>
      </x:c>
      <x:c r="L3497" s="9" t="str">
        <x:v>TBA</x:v>
      </x:c>
    </x:row>
    <x:row r="3498">
      <x:c r="A3498" t="str">
        <x:v>1538af7a-52a3-46d8-8e73-18fae6809d02</x:v>
      </x:c>
      <x:c r="B3498" t="str">
        <x:v>a95c38a6-976a-4d35-a1bc-ccbc2a65b561</x:v>
      </x:c>
      <x:c r="C3498" s="9" t="str">
        <x:v>Watson Farley and Williams (a firm) v Ostrovizky [2015] EWCA Civ 457</x:v>
      </x:c>
      <x:c r="D3498" s="9" t="str"/>
      <x:c r="E3498" s="9" t="str"/>
      <x:c r="F3498" s="13" t="str">
        <x:v>2015</x:v>
      </x:c>
      <x:c r="G3498" s="9" t="str">
        <x:v>England and Wales Court of Appeal (Civil Division)</x:v>
      </x:c>
      <x:c r="H3498" s="9" t="str">
        <x:v>Appellate</x:v>
      </x:c>
      <x:c r="I3498" s="9" t="str">
        <x:v>England and Wales</x:v>
      </x:c>
      <x:c r="J3498" s="9" t="str">
        <x:v>Tort</x:v>
      </x:c>
      <x:c r="K3498" s="9" t="str">
        <x:v>-ew-cases-EWCA-Civ-2015-457.xml</x:v>
      </x:c>
      <x:c r="L3498" s="9" t="str">
        <x:v>TBA</x:v>
      </x:c>
    </x:row>
    <x:row r="3499">
      <x:c r="A3499" t="str">
        <x:v>6ef39c9e-bde4-4b59-85c9-b2a481fc9a7c</x:v>
      </x:c>
      <x:c r="B3499" t="str">
        <x:v>814361bf-d8aa-48a0-964c-addf2f4c65bc</x:v>
      </x:c>
      <x:c r="C3499" s="9" t="str">
        <x:v>Watt v Dignan &amp; Ors [2017] EWCA Civ 1390</x:v>
      </x:c>
      <x:c r="D3499" s="9" t="str"/>
      <x:c r="E3499" s="9" t="str"/>
      <x:c r="F3499" s="13" t="str">
        <x:v>2017</x:v>
      </x:c>
      <x:c r="G3499" s="9" t="str">
        <x:v>England and Wales Court of Appeal (Civil Division)</x:v>
      </x:c>
      <x:c r="H3499" s="9" t="str">
        <x:v>Appellate</x:v>
      </x:c>
      <x:c r="I3499" s="9" t="str">
        <x:v>England and Wales</x:v>
      </x:c>
      <x:c r="J3499" s="9" t="str">
        <x:v>Property Law</x:v>
      </x:c>
      <x:c r="K3499" s="9" t="str">
        <x:v>-ew-cases-EWCA-Civ-2017-1390.xml</x:v>
      </x:c>
      <x:c r="L3499" s="9" t="str">
        <x:v>TBA</x:v>
      </x:c>
    </x:row>
    <x:row r="3500">
      <x:c r="A3500" t="str">
        <x:v>8596ad2d-f14b-4888-b209-688870333311</x:v>
      </x:c>
      <x:c r="B3500" t="str">
        <x:v>d34db962-c7f4-46f4-9a77-df6d760ca7c4</x:v>
      </x:c>
      <x:c r="C3500" s="9" t="str">
        <x:v>Watts v Stewart &amp; Ors [2016] EWCA Civ 1247</x:v>
      </x:c>
      <x:c r="D3500" s="9" t="str"/>
      <x:c r="E3500" s="9" t="str"/>
      <x:c r="F3500" s="13" t="str">
        <x:v>2016</x:v>
      </x:c>
      <x:c r="G3500" s="9" t="str">
        <x:v>England and Wales Court of Appeal (Civil Division)</x:v>
      </x:c>
      <x:c r="H3500" s="9" t="str">
        <x:v>Court of Appeal (Civil Division)</x:v>
      </x:c>
      <x:c r="I3500" s="9" t="str">
        <x:v>England and Wales</x:v>
      </x:c>
      <x:c r="J3500" s="9" t="str">
        <x:v>Charities and Property Law; Almshouse Governance; Housing and Human Rights</x:v>
      </x:c>
      <x:c r="K3500" s="9" t="str">
        <x:v>-ew-cases-EWCA-Civ-2016-1247.xml</x:v>
      </x:c>
      <x:c r="L3500" s="9" t="str">
        <x:v>TBA</x:v>
      </x:c>
    </x:row>
    <x:row r="3501">
      <x:c r="A3501" t="str">
        <x:v>780d8ffa-970e-4ef3-b7c6-5d43ee3feebb</x:v>
      </x:c>
      <x:c r="B3501" t="str">
        <x:v>9d20eefa-76c9-40b8-9529-bfcf668f1981</x:v>
      </x:c>
      <x:c r="C3501" s="9" t="str">
        <x:v>Watts v Watts [2015] EWCA Civ 1297</x:v>
      </x:c>
      <x:c r="D3501" s="9" t="str"/>
      <x:c r="E3501" s="9" t="str"/>
      <x:c r="F3501" s="13" t="str">
        <x:v>2015</x:v>
      </x:c>
      <x:c r="G3501" s="9" t="str">
        <x:v>England and Wales Court of Appeal (Civil Division)</x:v>
      </x:c>
      <x:c r="H3501" s="9" t="str">
        <x:v>Appellate</x:v>
      </x:c>
      <x:c r="I3501" s="9" t="str">
        <x:v>England and Wales</x:v>
      </x:c>
      <x:c r="J3501" s="9" t="str">
        <x:v>Probate</x:v>
      </x:c>
      <x:c r="K3501" s="9" t="str">
        <x:v>-ew-cases-EWCA-Civ-2015-1297.xml</x:v>
      </x:c>
      <x:c r="L3501" s="9" t="str">
        <x:v>TBA</x:v>
      </x:c>
    </x:row>
    <x:row r="3502">
      <x:c r="A3502" t="str">
        <x:v>4339afe3-1be5-46f9-a29d-a7b65f6b6704</x:v>
      </x:c>
      <x:c r="B3502" t="str">
        <x:v>f55ad4c2-2be5-4151-b578-c66a5b927046</x:v>
      </x:c>
      <x:c r="C3502" s="9" t="str">
        <x:v>Way v Spectrum Property Care Ltd [2015] EWCA Civ 381</x:v>
      </x:c>
      <x:c r="D3502" s="9" t="str"/>
      <x:c r="E3502" s="9" t="str"/>
      <x:c r="F3502" s="13" t="str">
        <x:v>2015</x:v>
      </x:c>
      <x:c r="G3502" s="9" t="str">
        <x:v>England and Wales Court of Appeal (Civil Division)</x:v>
      </x:c>
      <x:c r="H3502" s="9" t="str">
        <x:v>Appellate</x:v>
      </x:c>
      <x:c r="I3502" s="9" t="str">
        <x:v>England and Wales</x:v>
      </x:c>
      <x:c r="J3502" s="9" t="str">
        <x:v>Employment Law</x:v>
      </x:c>
      <x:c r="K3502" s="9" t="str">
        <x:v>-ew-cases-EWCA-Civ-2015-381.xml</x:v>
      </x:c>
      <x:c r="L3502" s="9" t="str">
        <x:v>TBA</x:v>
      </x:c>
    </x:row>
    <x:row r="3503">
      <x:c r="A3503" t="str">
        <x:v>f3bc4bcc-2e5f-4399-832d-25a460777de4</x:v>
      </x:c>
      <x:c r="B3503" t="str">
        <x:v>0ae86dd6-5deb-4db7-95fb-0f0d55c69fa7</x:v>
      </x:c>
      <x:c r="C3503" s="9" t="str">
        <x:v>Wearn (t/a Jonathan Wearn Productions) v HNH International Holdings Ltd &amp; Anor</x:v>
      </x:c>
      <x:c r="D3503" s="9" t="str"/>
      <x:c r="E3503" s="9" t="str"/>
      <x:c r="F3503" s="13" t="str">
        <x:v>2015</x:v>
      </x:c>
      <x:c r="G3503" s="9" t="str">
        <x:v>England and Wales Court of Appeal (Civil Division)</x:v>
      </x:c>
      <x:c r="H3503" s="9" t="str">
        <x:v>Appellate</x:v>
      </x:c>
      <x:c r="I3503" s="9" t="str">
        <x:v>England and Wales</x:v>
      </x:c>
      <x:c r="J3503" s="9" t="str">
        <x:v>Contract Dispute</x:v>
      </x:c>
      <x:c r="K3503" s="9" t="str">
        <x:v>-ew-cases-EWCA-Civ-2015-704.xml</x:v>
      </x:c>
      <x:c r="L3503" s="9" t="str">
        <x:v>TBA</x:v>
      </x:c>
    </x:row>
    <x:row r="3504">
      <x:c r="A3504" t="str">
        <x:v>a9e1fabd-9cb8-488d-aabb-7764595ae75d</x:v>
      </x:c>
      <x:c r="B3504" t="str">
        <x:v>2906156a-6566-4d81-876e-6fc3aa9737c8</x:v>
      </x:c>
      <x:c r="C3504" s="9" t="str">
        <x:v>Webb v Liverpool Women's NHS Foundation Trust [2016] EWCA Civ 365</x:v>
      </x:c>
      <x:c r="D3504" s="9" t="str"/>
      <x:c r="E3504" s="9" t="str"/>
      <x:c r="F3504" s="13" t="str">
        <x:v>2016</x:v>
      </x:c>
      <x:c r="G3504" s="9" t="str">
        <x:v>England and Wales Court of Appeal (Civil Division)</x:v>
      </x:c>
      <x:c r="H3504" s="9" t="str">
        <x:v>Court of Appeal (Civil Division)</x:v>
      </x:c>
      <x:c r="I3504" s="9" t="str">
        <x:v>England and Wales</x:v>
      </x:c>
      <x:c r="J3504" s="9" t="str">
        <x:v>Costs - Civil Procedure - Part 36</x:v>
      </x:c>
      <x:c r="K3504" s="9" t="str">
        <x:v>-ew-cases-EWCA-Civ-2016-365.xml</x:v>
      </x:c>
      <x:c r="L3504" s="9" t="str">
        <x:v>TBA</x:v>
      </x:c>
    </x:row>
    <x:row r="3505">
      <x:c r="A3505" t="str">
        <x:v>7588a434-d225-48ec-869c-f24cc02ace85</x:v>
      </x:c>
      <x:c r="B3505" t="str">
        <x:v>540055c7-a5e6-402e-ae62-6e113c2fc60c</x:v>
      </x:c>
      <x:c r="C3505" s="9" t="str">
        <x:v>Webster (A Child) v Burton Hospitals NHS Foundation Trust</x:v>
      </x:c>
      <x:c r="D3505" s="9" t="str"/>
      <x:c r="E3505" s="9" t="str"/>
      <x:c r="F3505" s="13" t="str">
        <x:v>2017</x:v>
      </x:c>
      <x:c r="G3505" s="9" t="str">
        <x:v>England and Wales Court of Appeal (Civil Division)</x:v>
      </x:c>
      <x:c r="H3505" s="9" t="str">
        <x:v>Appellate</x:v>
      </x:c>
      <x:c r="I3505" s="9" t="str">
        <x:v>England and Wales</x:v>
      </x:c>
      <x:c r="J3505" s="9" t="str">
        <x:v>Medical Negligence</x:v>
      </x:c>
      <x:c r="K3505" s="9" t="str">
        <x:v>-ew-cases-EWCA-Civ-2017-62.xml</x:v>
      </x:c>
      <x:c r="L3505" s="9" t="str">
        <x:v>TBA</x:v>
      </x:c>
    </x:row>
    <x:row r="3506">
      <x:c r="A3506" t="str">
        <x:v>35700715-9e1c-4c2b-b2e3-907e40adc144</x:v>
      </x:c>
      <x:c r="B3506" t="str">
        <x:v>084e2cef-06e7-42ec-842e-8c01bf70943c</x:v>
      </x:c>
      <x:c r="C3506" s="9" t="str">
        <x:v>Webster &amp; Ors v Mark Liddington &amp; Ors [2014] EWCA Civ 560</x:v>
      </x:c>
      <x:c r="D3506" s="9" t="str"/>
      <x:c r="E3506" s="9" t="str"/>
      <x:c r="F3506" s="13" t="str">
        <x:v>2014</x:v>
      </x:c>
      <x:c r="G3506" s="9" t="str">
        <x:v>England and Wales Court of Appeal (Civil Division)</x:v>
      </x:c>
      <x:c r="H3506" s="9" t="str">
        <x:v>Appellate</x:v>
      </x:c>
      <x:c r="I3506" s="9" t="str">
        <x:v>England and Wales</x:v>
      </x:c>
      <x:c r="J3506" s="9" t="str">
        <x:v>Tort</x:v>
      </x:c>
      <x:c r="K3506" s="9" t="str">
        <x:v>-ew-cases-EWCA-Civ-2014-560.xml</x:v>
      </x:c>
      <x:c r="L3506" s="9" t="str">
        <x:v>TBA</x:v>
      </x:c>
    </x:row>
    <x:row r="3507">
      <x:c r="A3507" t="str">
        <x:v>44964195-642a-4167-8fa6-df7b261d1e13</x:v>
      </x:c>
      <x:c r="B3507" t="str">
        <x:v>c066ef44-4f35-4783-b873-cc31294394b1</x:v>
      </x:c>
      <x:c r="C3507" s="9" t="str">
        <x:v>Webster v Lord Chancellor [2015] EWCA Civ 742</x:v>
      </x:c>
      <x:c r="D3507" s="9" t="str"/>
      <x:c r="E3507" s="9" t="str"/>
      <x:c r="F3507" s="13" t="str">
        <x:v>2015</x:v>
      </x:c>
      <x:c r="G3507" s="9" t="str">
        <x:v>England and Wales Court of Appeal (Civil Division)</x:v>
      </x:c>
      <x:c r="H3507" s="9" t="str">
        <x:v>Appellate</x:v>
      </x:c>
      <x:c r="I3507" s="9" t="str">
        <x:v>England and Wales</x:v>
      </x:c>
      <x:c r="J3507" s="9" t="str">
        <x:v>Tort/Personal Injury</x:v>
      </x:c>
      <x:c r="K3507" s="9" t="str">
        <x:v>-ew-cases-EWCA-Civ-2015-742.xml</x:v>
      </x:c>
      <x:c r="L3507" s="9" t="str">
        <x:v>TBA</x:v>
      </x:c>
    </x:row>
    <x:row r="3508">
      <x:c r="A3508" t="str">
        <x:v>11c0d756-99e1-405f-9a30-62788c4cefcc</x:v>
      </x:c>
      <x:c r="B3508" t="str">
        <x:v>9cd8bb4c-43ff-49b2-8bc4-b8df5f3727d6</x:v>
      </x:c>
      <x:c r="C3508" s="9" t="str">
        <x:v>Weddle (R on the application of) v The Secretary of State for Justice [2016] EWCA Civ 38 (Court of Appeal, Civil Division)</x:v>
      </x:c>
      <x:c r="D3508" s="9" t="str"/>
      <x:c r="E3508" s="9" t="str"/>
      <x:c r="F3508" s="13" t="str">
        <x:v>2016</x:v>
      </x:c>
      <x:c r="G3508" s="9" t="str">
        <x:v>England and Wales Court of Appeal (Civil Division)</x:v>
      </x:c>
      <x:c r="H3508" s="9" t="str">
        <x:v>Court of Appeal (Civil Division)</x:v>
      </x:c>
      <x:c r="I3508" s="9" t="str">
        <x:v>England and Wales</x:v>
      </x:c>
      <x:c r="J3508" s="9" t="str">
        <x:v>Public Law; Administrative Law; Human Rights</x:v>
      </x:c>
      <x:c r="K3508" s="9" t="str">
        <x:v>-ew-cases-EWCA-Civ-2016-38.xml</x:v>
      </x:c>
      <x:c r="L3508" s="9" t="str">
        <x:v>TBA</x:v>
      </x:c>
    </x:row>
    <x:row r="3509">
      <x:c r="A3509" t="str">
        <x:v>f27e6e27-d3a7-460a-a6ea-5631302e7b3f</x:v>
      </x:c>
      <x:c r="B3509" t="str">
        <x:v>a28ede61-5aa8-4574-8f0a-f501580f3262</x:v>
      </x:c>
      <x:c r="C3509" s="9" t="str">
        <x:v>Welch v Waterworth [2015] EWCA Civ 11</x:v>
      </x:c>
      <x:c r="D3509" s="9" t="str"/>
      <x:c r="E3509" s="9" t="str"/>
      <x:c r="F3509" s="13" t="str">
        <x:v>2015</x:v>
      </x:c>
      <x:c r="G3509" s="9" t="str">
        <x:v>England and Wales Court of Appeal (Civil Division)</x:v>
      </x:c>
      <x:c r="H3509" s="9" t="str">
        <x:v>Appellate</x:v>
      </x:c>
      <x:c r="I3509" s="9" t="str">
        <x:v>England and Wales</x:v>
      </x:c>
      <x:c r="J3509" s="9" t="str">
        <x:v>Negligence</x:v>
      </x:c>
      <x:c r="K3509" s="9" t="str">
        <x:v>-ew-cases-EWCA-Civ-2015-11.xml</x:v>
      </x:c>
      <x:c r="L3509" s="9" t="str">
        <x:v>TBA</x:v>
      </x:c>
    </x:row>
    <x:row r="3510">
      <x:c r="A3510" t="str">
        <x:v>4ffae840-7eba-497f-bc36-c6fecc82135c</x:v>
      </x:c>
      <x:c r="B3510" t="str">
        <x:v>71cc5cd3-6916-4f1c-9842-f70f7e1c31b3</x:v>
      </x:c>
      <x:c r="C3510" s="9" t="str">
        <x:v>Welch v Welch [2015] EWCA Civ 1407</x:v>
      </x:c>
      <x:c r="D3510" s="9" t="str"/>
      <x:c r="E3510" s="9" t="str"/>
      <x:c r="F3510" s="13" t="str">
        <x:v>2015</x:v>
      </x:c>
      <x:c r="G3510" s="9" t="str">
        <x:v>England and Wales Court of Appeal (Civil Division)</x:v>
      </x:c>
      <x:c r="H3510" s="9" t="str">
        <x:v>Appellate</x:v>
      </x:c>
      <x:c r="I3510" s="9" t="str">
        <x:v>England and Wales</x:v>
      </x:c>
      <x:c r="J3510" s="9" t="str">
        <x:v>Family Law</x:v>
      </x:c>
      <x:c r="K3510" s="9" t="str">
        <x:v>-ew-cases-EWCA-Civ-2015-1407.xml</x:v>
      </x:c>
      <x:c r="L3510" s="9" t="str">
        <x:v>TBA</x:v>
      </x:c>
    </x:row>
    <x:row r="3511">
      <x:c r="A3511" t="str">
        <x:v>a0a485ec-ed11-4f6c-a86a-86e32054aafc</x:v>
      </x:c>
      <x:c r="B3511" t="str">
        <x:v>fee6f962-bb84-4b58-b991-2773e4befdf9</x:v>
      </x:c>
      <x:c r="C3511" s="9" t="str">
        <x:v>Weller &amp; Ors v Associated Newspapers Ltd</x:v>
      </x:c>
      <x:c r="D3511" s="9" t="str"/>
      <x:c r="E3511" s="9" t="str"/>
      <x:c r="F3511" s="13" t="str">
        <x:v>2015</x:v>
      </x:c>
      <x:c r="G3511" s="9" t="str">
        <x:v>England and Wales Court of Appeal (Civil Division)</x:v>
      </x:c>
      <x:c r="H3511" s="9" t="str">
        <x:v>Appellate</x:v>
      </x:c>
      <x:c r="I3511" s="9" t="str">
        <x:v>England and Wales</x:v>
      </x:c>
      <x:c r="J3511" s="9" t="str">
        <x:v>Privacy Law and Intellectual Property</x:v>
      </x:c>
      <x:c r="K3511" s="9" t="str">
        <x:v>-ew-cases-EWCA-Civ-2015-1176.xml</x:v>
      </x:c>
      <x:c r="L3511" s="9" t="str">
        <x:v>TBA</x:v>
      </x:c>
    </x:row>
    <x:row r="3512">
      <x:c r="A3512" t="str">
        <x:v>6dac9746-8bd4-4fd7-af30-41f7158752fb</x:v>
      </x:c>
      <x:c r="B3512" t="str">
        <x:v>5bbb3770-46d1-41af-b347-aa54ea9834ba</x:v>
      </x:c>
      <x:c r="C3512" s="9" t="str">
        <x:v>Wellesley Partners LLP v Withers LLP [2015] EWCA Civ 1146</x:v>
      </x:c>
      <x:c r="D3512" s="9" t="str"/>
      <x:c r="E3512" s="9" t="str"/>
      <x:c r="F3512" s="13" t="str">
        <x:v>2015</x:v>
      </x:c>
      <x:c r="G3512" s="9" t="str">
        <x:v>England and Wales Court of Appeal (Civil Division)</x:v>
      </x:c>
      <x:c r="H3512" s="9" t="str">
        <x:v>Appellate</x:v>
      </x:c>
      <x:c r="I3512" s="9" t="str">
        <x:v>England and Wales</x:v>
      </x:c>
      <x:c r="J3512" s="9" t="str">
        <x:v>Professional Negligence</x:v>
      </x:c>
      <x:c r="K3512" s="9" t="str">
        <x:v>-ew-cases-EWCA-Civ-2015-1146.xml</x:v>
      </x:c>
      <x:c r="L3512" s="9" t="str">
        <x:v>TBA</x:v>
      </x:c>
    </x:row>
    <x:row r="3513">
      <x:c r="A3513" t="str">
        <x:v>7e37408d-93da-47be-b4f1-fcf96a32d464</x:v>
      </x:c>
      <x:c r="B3513" t="str">
        <x:v>34ce28a5-b21f-4e2d-826c-0d665a5e1b4d</x:v>
      </x:c>
      <x:c r="C3513" s="9" t="str">
        <x:v>Wells v Devani [2016] EWCA Civ 1106</x:v>
      </x:c>
      <x:c r="D3513" s="9" t="str"/>
      <x:c r="E3513" s="9" t="str"/>
      <x:c r="F3513" s="13" t="str">
        <x:v>2016</x:v>
      </x:c>
      <x:c r="G3513" s="9" t="str">
        <x:v>England and Wales Court of Appeal (Civil Division)</x:v>
      </x:c>
      <x:c r="H3513" s="9" t="str">
        <x:v>Court of Appeal (Civil Division)</x:v>
      </x:c>
      <x:c r="I3513" s="9" t="str">
        <x:v>England and Wales</x:v>
      </x:c>
      <x:c r="J3513" s="9" t="str">
        <x:v>Contract Law – Agency / Real Property</x:v>
      </x:c>
      <x:c r="K3513" s="9" t="str">
        <x:v>-ew-cases-EWCA-Civ-2016-1106.xml</x:v>
      </x:c>
      <x:c r="L3513" s="9" t="str">
        <x:v>TBA</x:v>
      </x:c>
    </x:row>
    <x:row r="3514">
      <x:c r="A3514" t="str">
        <x:v>f07b47bf-e3c8-4783-a0e5-1f7abf3c6dbc</x:v>
      </x:c>
      <x:c r="B3514" t="str">
        <x:v>ff756e17-2829-4e6e-afd9-ed9c3c447a11</x:v>
      </x:c>
      <x:c r="C3514" s="9" t="str">
        <x:v>West &amp; Anor v Ian Finlay &amp; Associates (a firm) [2014] EWCA Civ 316</x:v>
      </x:c>
      <x:c r="D3514" s="9" t="str"/>
      <x:c r="E3514" s="9" t="str"/>
      <x:c r="F3514" s="13" t="str">
        <x:v>2014</x:v>
      </x:c>
      <x:c r="G3514" s="9" t="str">
        <x:v>England and Wales Court of Appeal (Civil Division)</x:v>
      </x:c>
      <x:c r="H3514" s="9" t="str">
        <x:v>appellate</x:v>
      </x:c>
      <x:c r="I3514" s="9" t="str">
        <x:v>England and Wales</x:v>
      </x:c>
      <x:c r="J3514" s="9" t="str">
        <x:v>Contract Dispute</x:v>
      </x:c>
      <x:c r="K3514" s="9" t="str">
        <x:v>-ew-cases-EWCA-Civ-2014-316.xml</x:v>
      </x:c>
      <x:c r="L3514" s="9" t="str">
        <x:v>TBA</x:v>
      </x:c>
    </x:row>
    <x:row r="3515">
      <x:c r="A3515" t="str">
        <x:v>94c56fcf-31db-45c5-a311-90db56a4312d</x:v>
      </x:c>
      <x:c r="B3515" t="str">
        <x:v>fdb3e1ee-1239-4617-9890-1d2faf8b3847</x:v>
      </x:c>
      <x:c r="C3515" s="9" t="str">
        <x:v>West Midlands Police v Wright &amp; Anor [2022] EWCA Civ 1105</x:v>
      </x:c>
      <x:c r="D3515" s="9" t="str"/>
      <x:c r="E3515" s="9" t="str"/>
      <x:c r="F3515" s="13" t="str">
        <x:v>2022</x:v>
      </x:c>
      <x:c r="G3515" s="9" t="str">
        <x:v>England and Wales Court of Appeal (Civil Division)</x:v>
      </x:c>
      <x:c r="H3515" s="9" t="str">
        <x:v>Court of Appeal (Civil Division)</x:v>
      </x:c>
      <x:c r="I3515" s="9" t="str">
        <x:v>England and Wales</x:v>
      </x:c>
      <x:c r="J3515" s="9" t="str">
        <x:v>Civil Procedure / Injunctions</x:v>
      </x:c>
      <x:c r="K3515" s="9" t="str">
        <x:v>ew-cases-EWCA-Civ-2022-1105.xml</x:v>
      </x:c>
      <x:c r="L3515" s="9" t="str">
        <x:v>TBA</x:v>
      </x:c>
    </x:row>
    <x:row r="3516">
      <x:c r="A3516" t="str">
        <x:v>38ba6a1c-c2b2-4b56-be02-2de573c3fc9c</x:v>
      </x:c>
      <x:c r="B3516" t="str">
        <x:v>a5877c73-7050-4a2c-872c-8a8160a908aa</x:v>
      </x:c>
      <x:c r="C3516" s="9" t="str">
        <x:v>West Sussex County Council v Fuller [2015] EWCA Civ 189</x:v>
      </x:c>
      <x:c r="D3516" s="9" t="str"/>
      <x:c r="E3516" s="9" t="str"/>
      <x:c r="F3516" s="13" t="str">
        <x:v>2015</x:v>
      </x:c>
      <x:c r="G3516" s="9" t="str">
        <x:v>England and Wales Court of Appeal (Civil Division)</x:v>
      </x:c>
      <x:c r="H3516" s="9" t="str">
        <x:v>Appellate</x:v>
      </x:c>
      <x:c r="I3516" s="9" t="str">
        <x:v>England and Wales</x:v>
      </x:c>
      <x:c r="J3516" s="9" t="str">
        <x:v>Employment Law</x:v>
      </x:c>
      <x:c r="K3516" s="9" t="str">
        <x:v>-ew-cases-EWCA-Civ-2015-189.xml</x:v>
      </x:c>
      <x:c r="L3516" s="9" t="str">
        <x:v>TBA</x:v>
      </x:c>
    </x:row>
    <x:row r="3517">
      <x:c r="A3517" t="str">
        <x:v>fc90ca54-4b76-490b-9fbd-6ca973bd20fb</x:v>
      </x:c>
      <x:c r="B3517" t="str">
        <x:v>336ddda5-1de7-47fa-a887-39e29620a7c8</x:v>
      </x:c>
      <x:c r="C3517" s="9" t="str">
        <x:v>West v Burton [2021] EWCA Civ 1005</x:v>
      </x:c>
      <x:c r="D3517" s="9" t="str"/>
      <x:c r="E3517" s="9" t="str"/>
      <x:c r="F3517" s="13" t="str">
        <x:v>2021</x:v>
      </x:c>
      <x:c r="G3517" s="9" t="str">
        <x:v>England and Wales Court of Appeal (Civil Division)</x:v>
      </x:c>
      <x:c r="H3517" s="9" t="str">
        <x:v>Appellate</x:v>
      </x:c>
      <x:c r="I3517" s="9" t="str">
        <x:v>England and Wales</x:v>
      </x:c>
      <x:c r="J3517" s="9" t="str">
        <x:v>Civil Procedure</x:v>
      </x:c>
      <x:c r="K3517" s="9" t="str">
        <x:v>ew-cases-EWCA-Civ-2021-1005.xml</x:v>
      </x:c>
      <x:c r="L3517" s="9" t="str">
        <x:v>TBA</x:v>
      </x:c>
    </x:row>
    <x:row r="3518">
      <x:c r="A3518" t="str">
        <x:v>602c0bd9-1094-4805-aa7c-84f1bf239298</x:v>
      </x:c>
      <x:c r="B3518" t="str">
        <x:v>6c287b48-59ea-4666-952b-7407b335966a</x:v>
      </x:c>
      <x:c r="C3518" s="9" t="str">
        <x:v>West Yorkshire Police, R (on the application of) v Independent Police Complaints Commission &amp; Ors</x:v>
      </x:c>
      <x:c r="D3518" s="9" t="str"/>
      <x:c r="E3518" s="9" t="str"/>
      <x:c r="F3518" s="13" t="str">
        <x:v>2014</x:v>
      </x:c>
      <x:c r="G3518" s="9" t="str">
        <x:v>England and Wales Court of Appeal (Civil Division)</x:v>
      </x:c>
      <x:c r="H3518" s="9" t="str">
        <x:v>Appellate</x:v>
      </x:c>
      <x:c r="I3518" s="9" t="str">
        <x:v>England and Wales</x:v>
      </x:c>
      <x:c r="J3518" s="9" t="str">
        <x:v>Administrative Law</x:v>
      </x:c>
      <x:c r="K3518" s="9" t="str">
        <x:v>-ew-cases-EWCA-Civ-2014-1367.xml</x:v>
      </x:c>
      <x:c r="L3518" s="9" t="str">
        <x:v>TBA</x:v>
      </x:c>
    </x:row>
    <x:row r="3519">
      <x:c r="A3519" t="str">
        <x:v>d56aa53e-3124-4aad-b1ef-bbab2798c35d</x:v>
      </x:c>
      <x:c r="B3519" t="str">
        <x:v>b3aa6343-7e44-4513-a1b4-8af1edf64432</x:v>
      </x:c>
      <x:c r="C3519" s="9" t="str">
        <x:v>Westminster City Council v Secretary of State for Communities and Local Government &amp; Anor</x:v>
      </x:c>
      <x:c r="D3519" s="9" t="str"/>
      <x:c r="E3519" s="9" t="str"/>
      <x:c r="F3519" s="13" t="str">
        <x:v>2015</x:v>
      </x:c>
      <x:c r="G3519" s="9" t="str">
        <x:v>England and Wales Court of Appeal (Civil Division)</x:v>
      </x:c>
      <x:c r="H3519" s="9" t="str">
        <x:v>Appellate</x:v>
      </x:c>
      <x:c r="I3519" s="9" t="str">
        <x:v>England and Wales</x:v>
      </x:c>
      <x:c r="J3519" s="9" t="str">
        <x:v>Administrative Law</x:v>
      </x:c>
      <x:c r="K3519" s="9" t="str">
        <x:v>-ew-cases-EWCA-Civ-2015-482.xml</x:v>
      </x:c>
      <x:c r="L3519" s="9" t="str">
        <x:v>TBA</x:v>
      </x:c>
    </x:row>
    <x:row r="3520">
      <x:c r="A3520" t="str">
        <x:v>d5487f34-568e-4092-95ca-57a54511e30e</x:v>
      </x:c>
      <x:c r="B3520" t="str">
        <x:v>b94ea4b6-6905-4f37-afea-a2e8a4e50fa8</x:v>
      </x:c>
      <x:c r="C3520" s="9" t="str">
        <x:v>Weymont &amp; Anor v Place [2015] EWCA Civ 289</x:v>
      </x:c>
      <x:c r="D3520" s="9" t="str"/>
      <x:c r="E3520" s="9" t="str"/>
      <x:c r="F3520" s="13" t="str">
        <x:v>2015</x:v>
      </x:c>
      <x:c r="G3520" s="9" t="str">
        <x:v>England and Wales Court of Appeal (Civil Division)</x:v>
      </x:c>
      <x:c r="H3520" s="9" t="str">
        <x:v>Appellate</x:v>
      </x:c>
      <x:c r="I3520" s="9" t="str">
        <x:v>England and Wales</x:v>
      </x:c>
      <x:c r="J3520" s="9" t="str">
        <x:v>Property Law</x:v>
      </x:c>
      <x:c r="K3520" s="9" t="str">
        <x:v>-ew-cases-EWCA-Civ-2015-289.xml</x:v>
      </x:c>
      <x:c r="L3520" s="9" t="str">
        <x:v>TBA</x:v>
      </x:c>
    </x:row>
    <x:row r="3521">
      <x:c r="A3521" t="str">
        <x:v>70c44d16-07a4-40ea-a10c-381d332c1df8</x:v>
      </x:c>
      <x:c r="B3521" t="str">
        <x:v>f0d9a615-9616-4c81-9c87-fe32822d3fa4</x:v>
      </x:c>
      <x:c r="C3521" s="9" t="str">
        <x:v>WH Newson Holding Limited and Others v IMI plc and Anor [2016] EWCA Civ 773 (Court of Appeal, Civil Division)</x:v>
      </x:c>
      <x:c r="D3521" s="9" t="str"/>
      <x:c r="E3521" s="9" t="str"/>
      <x:c r="F3521" s="13" t="str">
        <x:v>2016</x:v>
      </x:c>
      <x:c r="G3521" s="9" t="str">
        <x:v>England and Wales Court of Appeal (Civil Division)</x:v>
      </x:c>
      <x:c r="H3521" s="9" t="str">
        <x:v>Court of Appeal (Civil Division)</x:v>
      </x:c>
      <x:c r="I3521" s="9" t="str">
        <x:v>England and Wales</x:v>
      </x:c>
      <x:c r="J3521" s="9" t="str">
        <x:v>Civil Law – Statutory interpretation and contribution under the Civil Liability (Contribution) Act 1978; Appellate decision; Limitation law</x:v>
      </x:c>
      <x:c r="K3521" s="9" t="str">
        <x:v>-ew-cases-EWCA-Civ-2016-773.xml</x:v>
      </x:c>
      <x:c r="L3521" s="9" t="str">
        <x:v>TBA</x:v>
      </x:c>
    </x:row>
    <x:row r="3522">
      <x:c r="A3522" t="str">
        <x:v>109f1727-7f10-47c1-b3c7-4b271d2c0141</x:v>
      </x:c>
      <x:c r="B3522" t="str">
        <x:v>6750396f-23b7-4764-8206-421da14e6258</x:v>
      </x:c>
      <x:c r="C3522" s="9" t="str">
        <x:v>Whaleys (Bradford) Limited v Bennett &amp; Anor [2017] EWCA Civ 2143</x:v>
      </x:c>
      <x:c r="D3522" s="9" t="str"/>
      <x:c r="E3522" s="9" t="str"/>
      <x:c r="F3522" s="13" t="str">
        <x:v>2017</x:v>
      </x:c>
      <x:c r="G3522" s="9" t="str">
        <x:v>England and Wales Court of Appeal (Civil Division)</x:v>
      </x:c>
      <x:c r="H3522" s="9" t="str">
        <x:v>Appellate</x:v>
      </x:c>
      <x:c r="I3522" s="9" t="str">
        <x:v>England and Wales</x:v>
      </x:c>
      <x:c r="J3522" s="9" t="str">
        <x:v>Civil Procedure</x:v>
      </x:c>
      <x:c r="K3522" s="9" t="str">
        <x:v>-ew-cases-EWCA-Civ-2017-2143.xml</x:v>
      </x:c>
      <x:c r="L3522" s="9" t="str">
        <x:v>TBA</x:v>
      </x:c>
    </x:row>
    <x:row r="3523">
      <x:c r="A3523" t="str">
        <x:v>bb36ada3-b08d-4ced-ab10-8665cafa80ab</x:v>
      </x:c>
      <x:c r="B3523" t="str">
        <x:v>6b469cae-92fb-40bb-b757-51824d87bfc1</x:v>
      </x:c>
      <x:c r="C3523" s="9" t="str">
        <x:v>Whapples, R (on the application of) v Birmingham Crosscity Clinical Commissioning Group &amp; Anor</x:v>
      </x:c>
      <x:c r="D3523" s="9" t="str"/>
      <x:c r="E3523" s="9" t="str"/>
      <x:c r="F3523" s="13" t="str">
        <x:v>2015</x:v>
      </x:c>
      <x:c r="G3523" s="9" t="str">
        <x:v>England and Wales Court of Appeal (Civil Division)</x:v>
      </x:c>
      <x:c r="H3523" s="9" t="str">
        <x:v>Appellate</x:v>
      </x:c>
      <x:c r="I3523" s="9" t="str">
        <x:v>England and Wales</x:v>
      </x:c>
      <x:c r="J3523" s="9" t="str">
        <x:v>Administrative Law</x:v>
      </x:c>
      <x:c r="K3523" s="9" t="str">
        <x:v>-ew-cases-EWCA-Civ-2015-435.xml</x:v>
      </x:c>
      <x:c r="L3523" s="9" t="str">
        <x:v>TBA</x:v>
      </x:c>
    </x:row>
    <x:row r="3524">
      <x:c r="A3524" t="str">
        <x:v>77e410bd-4b4c-4e41-afbe-bed9ca5c73dc</x:v>
      </x:c>
      <x:c r="B3524" t="str">
        <x:v>9a50f57d-5eac-452b-b61c-352ab3521030</x:v>
      </x:c>
      <x:c r="C3524" s="9" t="str">
        <x:v>Whitby v Secretary for Transport &amp; Ors [2016] EWCA Civ 444</x:v>
      </x:c>
      <x:c r="D3524" s="9" t="str"/>
      <x:c r="E3524" s="9" t="str"/>
      <x:c r="F3524" s="13" t="str">
        <x:v>2016</x:v>
      </x:c>
      <x:c r="G3524" s="9" t="str">
        <x:v>England and Wales Court of Appeal (Civil Division)</x:v>
      </x:c>
      <x:c r="H3524" s="9" t="str">
        <x:v>Court of Appeal (Civil Division)</x:v>
      </x:c>
      <x:c r="I3524" s="9" t="str">
        <x:v>England</x:v>
      </x:c>
      <x:c r="J3524" s="9" t="str">
        <x:v>Public Law / Planning and Heritage</x:v>
      </x:c>
      <x:c r="K3524" s="9" t="str">
        <x:v>-ew-cases-EWCA-Civ-2016-444.xml</x:v>
      </x:c>
      <x:c r="L3524" s="9" t="str">
        <x:v>TBA</x:v>
      </x:c>
    </x:row>
    <x:row r="3525">
      <x:c r="A3525" t="str">
        <x:v>57161cd5-adf0-4f83-a5b9-b96fbdaf0898</x:v>
      </x:c>
      <x:c r="B3525" t="str">
        <x:v>34dfb3bd-01bb-45bf-b18a-fce4ecb24b45</x:v>
      </x:c>
      <x:c r="C3525" s="9" t="str">
        <x:v>White &amp; Anor v Amirtharaja &amp; Anor [2022] EWCA Civ 11</x:v>
      </x:c>
      <x:c r="D3525" s="9" t="str"/>
      <x:c r="E3525" s="9" t="str"/>
      <x:c r="F3525" s="13" t="str">
        <x:v>2022</x:v>
      </x:c>
      <x:c r="G3525" s="9" t="str">
        <x:v>England and Wales Court of Appeal (Civil Division)</x:v>
      </x:c>
      <x:c r="H3525" s="9" t="str">
        <x:v>Court of Appeal (Civil Division)</x:v>
      </x:c>
      <x:c r="I3525" s="9" t="str">
        <x:v>England and Wales</x:v>
      </x:c>
      <x:c r="J3525" s="9" t="str">
        <x:v>Property Law / Land Registration</x:v>
      </x:c>
      <x:c r="K3525" s="9" t="str">
        <x:v>ew-cases-EWCA-Civ-2022-11.xml</x:v>
      </x:c>
      <x:c r="L3525" s="9" t="str">
        <x:v>TBA</x:v>
      </x:c>
    </x:row>
    <x:row r="3526">
      <x:c r="A3526" t="str">
        <x:v>07cb9b55-814b-47dd-8e1f-820bb022ff30</x:v>
      </x:c>
      <x:c r="B3526" t="str">
        <x:v>1f4a0cfb-5359-49da-93e8-89cbb817ebca</x:v>
      </x:c>
      <x:c r="C3526" s="9" t="str">
        <x:v>Whitley Parish Council, R (On the Application Of) v North Yorkshire County Council &amp; Anor [2023] EWCA Civ 92</x:v>
      </x:c>
      <x:c r="D3526" s="9" t="str"/>
      <x:c r="E3526" s="9" t="str"/>
      <x:c r="F3526" s="13" t="str">
        <x:v>2023</x:v>
      </x:c>
      <x:c r="G3526" s="9" t="str">
        <x:v>England and Wales Court of Appeal (Civil Division)</x:v>
      </x:c>
      <x:c r="H3526" s="9" t="str">
        <x:v>Court of Appeal (Civil Division)</x:v>
      </x:c>
      <x:c r="I3526" s="9" t="str">
        <x:v>England and Wales</x:v>
      </x:c>
      <x:c r="J3526" s="9" t="str">
        <x:v>Planning and Administrative Law</x:v>
      </x:c>
      <x:c r="K3526" s="9" t="str">
        <x:v>ew-cases-EWCA-Civ-2023-92.xml</x:v>
      </x:c>
      <x:c r="L3526" s="9" t="str">
        <x:v>TBA</x:v>
      </x:c>
    </x:row>
    <x:row r="3527">
      <x:c r="A3527" t="str">
        <x:v>05e0a1ac-c335-42d4-988e-389b79573ce9</x:v>
      </x:c>
      <x:c r="B3527" t="str">
        <x:v>cbffe961-f5de-4a55-8c6c-e6ea85350390</x:v>
      </x:c>
      <x:c r="C3527" s="9" t="str">
        <x:v>Whittall v Hampshire Police [2015] EWCA Civ 1229</x:v>
      </x:c>
      <x:c r="D3527" s="9" t="str"/>
      <x:c r="E3527" s="9" t="str"/>
      <x:c r="F3527" s="13" t="str">
        <x:v>2015</x:v>
      </x:c>
      <x:c r="G3527" s="9" t="str">
        <x:v>England and Wales Court of Appeal (Civil Division)</x:v>
      </x:c>
      <x:c r="H3527" s="9" t="str">
        <x:v>Appellate</x:v>
      </x:c>
      <x:c r="I3527" s="9" t="str">
        <x:v>England and Wales</x:v>
      </x:c>
      <x:c r="J3527" s="9" t="str">
        <x:v>Administrative Law</x:v>
      </x:c>
      <x:c r="K3527" s="9" t="str">
        <x:v>-ew-cases-EWCA-Civ-2015-1229.xml</x:v>
      </x:c>
      <x:c r="L3527" s="9" t="str">
        <x:v>TBA</x:v>
      </x:c>
    </x:row>
    <x:row r="3528">
      <x:c r="A3528" t="str">
        <x:v>2870bb20-d55a-4e1c-b23a-4c3d601f2953</x:v>
      </x:c>
      <x:c r="B3528" t="str">
        <x:v>ffa2a492-896e-4955-9166-e7164788d06e</x:v>
      </x:c>
      <x:c r="C3528" s="9" t="str">
        <x:v>Wiemer v Redstone Mortgages [2014] EWCA Civ 81</x:v>
      </x:c>
      <x:c r="D3528" s="9" t="str"/>
      <x:c r="E3528" s="9" t="str"/>
      <x:c r="F3528" s="13" t="str">
        <x:v>2014</x:v>
      </x:c>
      <x:c r="G3528" s="9" t="str">
        <x:v>England and Wales Court of Appeal (Civil Division)</x:v>
      </x:c>
      <x:c r="H3528" s="9" t="str">
        <x:v>Appellate</x:v>
      </x:c>
      <x:c r="I3528" s="9" t="str">
        <x:v>England and Wales</x:v>
      </x:c>
      <x:c r="J3528" s="9" t="str">
        <x:v>Contractual Dispute</x:v>
      </x:c>
      <x:c r="K3528" s="9" t="str">
        <x:v>-ew-cases-EWCA-Civ-2014-81.xml</x:v>
      </x:c>
      <x:c r="L3528" s="9" t="str">
        <x:v>TBA</x:v>
      </x:c>
    </x:row>
    <x:row r="3529">
      <x:c r="A3529" t="str">
        <x:v>76ddb820-247c-4a21-b71b-9422fd263c5b</x:v>
      </x:c>
      <x:c r="B3529" t="str">
        <x:v>7386498f-1194-4c44-9a81-48be43fa245c</x:v>
      </x:c>
      <x:c r="C3529" s="9" t="str">
        <x:v>Wigley-Foster v Wilson &amp; Anor [2016] EWCA Civ 454</x:v>
      </x:c>
      <x:c r="D3529" s="9" t="str"/>
      <x:c r="E3529" s="9" t="str"/>
      <x:c r="F3529" s="13" t="str">
        <x:v>2016</x:v>
      </x:c>
      <x:c r="G3529" s="9" t="str">
        <x:v>England and Wales Court of Appeal (Civil Division)</x:v>
      </x:c>
      <x:c r="H3529" s="9" t="str">
        <x:v>Court of Appeal (Civil Division)</x:v>
      </x:c>
      <x:c r="I3529" s="9" t="str">
        <x:v>England and Wales</x:v>
      </x:c>
      <x:c r="J3529" s="9" t="str">
        <x:v>Civil Law / EU Law / Insurance / Cross-border Claims</x:v>
      </x:c>
      <x:c r="K3529" s="9" t="str">
        <x:v>-ew-cases-EWCA-Civ-2016-454.xml</x:v>
      </x:c>
      <x:c r="L3529" s="9" t="str">
        <x:v>TBA</x:v>
      </x:c>
    </x:row>
    <x:row r="3530">
      <x:c r="A3530" t="str">
        <x:v>2085c67a-d25e-477c-98e7-2edc30c4d931</x:v>
      </x:c>
      <x:c r="B3530" t="str">
        <x:v>d40ebc49-3d8f-4768-a8c7-802da89d925a</x:v>
      </x:c>
      <x:c r="C3530" s="9" t="str">
        <x:v>Wild Justice, R (On the Application Of) v The Water Services Regulation Authority [2023] EWCA Civ 28</x:v>
      </x:c>
      <x:c r="D3530" s="9" t="str"/>
      <x:c r="E3530" s="9" t="str"/>
      <x:c r="F3530" s="13" t="str">
        <x:v>2023</x:v>
      </x:c>
      <x:c r="G3530" s="9" t="str">
        <x:v>England and Wales Court of Appeal (Civil Division)</x:v>
      </x:c>
      <x:c r="H3530" s="9" t="str">
        <x:v>Court of Appeal (Civil Division)</x:v>
      </x:c>
      <x:c r="I3530" s="9" t="str">
        <x:v>England and Wales</x:v>
      </x:c>
      <x:c r="J3530" s="9" t="str">
        <x:v>Administrative Law / Environmental Regulation</x:v>
      </x:c>
      <x:c r="K3530" s="9" t="str">
        <x:v>ew-cases-EWCA-Civ-2023-28.xml</x:v>
      </x:c>
      <x:c r="L3530" s="9" t="str">
        <x:v>TBA</x:v>
      </x:c>
    </x:row>
    <x:row r="3531">
      <x:c r="A3531" t="str">
        <x:v>d3185604-a4b3-41fc-97d8-0b225e095577</x:v>
      </x:c>
      <x:c r="B3531" t="str">
        <x:v>924d1a0a-2a61-4041-ae17-3baa1d399ab3</x:v>
      </x:c>
      <x:c r="C3531" s="9" t="str">
        <x:v>Wildin v Forest of Dean District Council [2021] EWCA Civ 1610</x:v>
      </x:c>
      <x:c r="D3531" s="9" t="str"/>
      <x:c r="E3531" s="9" t="str"/>
      <x:c r="F3531" s="13" t="str">
        <x:v>2021</x:v>
      </x:c>
      <x:c r="G3531" s="9" t="str">
        <x:v>England and Wales Court of Appeal (Civil Division)</x:v>
      </x:c>
      <x:c r="H3531" s="9" t="str">
        <x:v>Appellate</x:v>
      </x:c>
      <x:c r="I3531" s="9" t="str">
        <x:v>England and Wales</x:v>
      </x:c>
      <x:c r="J3531" s="9" t="str">
        <x:v>Administrative Law</x:v>
      </x:c>
      <x:c r="K3531" s="9" t="str">
        <x:v>ew-cases-EWCA-Civ-2021-1610.xml</x:v>
      </x:c>
      <x:c r="L3531" s="9" t="str">
        <x:v>TBA</x:v>
      </x:c>
    </x:row>
    <x:row r="3532">
      <x:c r="A3532" t="str">
        <x:v>669b4da6-fb11-4e1c-b470-a4330589651a</x:v>
      </x:c>
      <x:c r="B3532" t="str">
        <x:v>b789288d-4454-4c5c-95ba-3a6b2b310322</x:v>
      </x:c>
      <x:c r="C3532" s="9" t="str">
        <x:v>Wildin v Forest of Dean District Council [2023] EWCA Civ 366</x:v>
      </x:c>
      <x:c r="D3532" s="9" t="str"/>
      <x:c r="E3532" s="9" t="str"/>
      <x:c r="F3532" s="13" t="str">
        <x:v>2023</x:v>
      </x:c>
      <x:c r="G3532" s="9" t="str">
        <x:v>England and Wales Court of Appeal (Civil Division)</x:v>
      </x:c>
      <x:c r="H3532" s="9" t="str">
        <x:v>Court of Appeal (Civil Division)</x:v>
      </x:c>
      <x:c r="I3532" s="9" t="str">
        <x:v>England and Wales</x:v>
      </x:c>
      <x:c r="J3532" s="9" t="str">
        <x:v>Civil Contempt / Enforcement of Court Orders</x:v>
      </x:c>
      <x:c r="K3532" s="9" t="str">
        <x:v>ew-cases-EWCA-Civ-2023-366.xml</x:v>
      </x:c>
      <x:c r="L3532" s="9" t="str">
        <x:v>TBA</x:v>
      </x:c>
    </x:row>
    <x:row r="3533">
      <x:c r="A3533" t="str">
        <x:v>a5f4afbf-c942-4a14-b0b5-e4ecdb23b8af</x:v>
      </x:c>
      <x:c r="B3533" t="str">
        <x:v>a01023c5-c3f7-4474-b50b-b4e9f4534b7a</x:v>
      </x:c>
      <x:c r="C3533" s="9" t="str">
        <x:v>Williams v Devon County Council [2016] EWCA Civ 419</x:v>
      </x:c>
      <x:c r="D3533" s="9" t="str"/>
      <x:c r="E3533" s="9" t="str"/>
      <x:c r="F3533" s="13" t="str">
        <x:v>2016</x:v>
      </x:c>
      <x:c r="G3533" s="9" t="str">
        <x:v>England and Wales Court of Appeal (Civil Division)</x:v>
      </x:c>
      <x:c r="H3533" s="9" t="str">
        <x:v>Court of Appeal (Civil Division)</x:v>
      </x:c>
      <x:c r="I3533" s="9" t="str">
        <x:v>England and Wales</x:v>
      </x:c>
      <x:c r="J3533" s="9" t="str">
        <x:v>Public Law / Administrative Law (Local Government / Traffic Regulation Orders)</x:v>
      </x:c>
      <x:c r="K3533" s="9" t="str">
        <x:v>-ew-cases-EWCA-Civ-2016-419.xml</x:v>
      </x:c>
      <x:c r="L3533" s="9" t="str">
        <x:v>TBA</x:v>
      </x:c>
    </x:row>
    <x:row r="3534">
      <x:c r="A3534" t="str">
        <x:v>f72ff944-8e1a-4ebb-b893-8918982a3de2</x:v>
      </x:c>
      <x:c r="B3534" t="str">
        <x:v>2292d679-91d6-4a6e-abda-8938fe451a51</x:v>
      </x:c>
      <x:c r="C3534" s="9" t="str">
        <x:v>Williams v Hawkes [2017] EWCA Civ 1846</x:v>
      </x:c>
      <x:c r="D3534" s="9" t="str"/>
      <x:c r="E3534" s="9" t="str"/>
      <x:c r="F3534" s="13" t="str">
        <x:v>2017</x:v>
      </x:c>
      <x:c r="G3534" s="9" t="str">
        <x:v>England and Wales Court of Appeal (Civil Division)</x:v>
      </x:c>
      <x:c r="H3534" s="9" t="str">
        <x:v>Appellate</x:v>
      </x:c>
      <x:c r="I3534" s="9" t="str">
        <x:v>England and Wales</x:v>
      </x:c>
      <x:c r="J3534" s="9" t="str">
        <x:v>Tort Law</x:v>
      </x:c>
      <x:c r="K3534" s="9" t="str">
        <x:v>-ew-cases-EWCA-Civ-2017-1846.xml</x:v>
      </x:c>
      <x:c r="L3534" s="9" t="str">
        <x:v>TBA</x:v>
      </x:c>
    </x:row>
    <x:row r="3535">
      <x:c r="A3535" t="str">
        <x:v>9e305ddb-9945-47b6-923e-d49402490fb3</x:v>
      </x:c>
      <x:c r="B3535" t="str">
        <x:v>7e44ec5d-d98d-4290-a103-a0197b4210ca</x:v>
      </x:c>
      <x:c r="C3535" s="9" t="str">
        <x:v>Williams v Powys County Council</x:v>
      </x:c>
      <x:c r="D3535" s="9" t="str"/>
      <x:c r="E3535" s="9" t="str"/>
      <x:c r="F3535" s="13" t="str">
        <x:v>2017</x:v>
      </x:c>
      <x:c r="G3535" s="9" t="str">
        <x:v>England and Wales Court of Appeal (Civil Division)</x:v>
      </x:c>
      <x:c r="H3535" s="9" t="str">
        <x:v>Appellate</x:v>
      </x:c>
      <x:c r="I3535" s="9" t="str">
        <x:v>England and Wales</x:v>
      </x:c>
      <x:c r="J3535" s="9" t="str">
        <x:v>Administrative Law</x:v>
      </x:c>
      <x:c r="K3535" s="9" t="str">
        <x:v>-ew-cases-EWCA-Civ-2017-427.xml</x:v>
      </x:c>
      <x:c r="L3535" s="9" t="str">
        <x:v>TBA</x:v>
      </x:c>
    </x:row>
    <x:row r="3536">
      <x:c r="A3536" t="str">
        <x:v>5b0e3daa-c0a9-4e77-a542-63880fa5d08b</x:v>
      </x:c>
      <x:c r="B3536" t="str">
        <x:v>05427f60-6e53-43e7-8f7d-78c46d787b0d</x:v>
      </x:c>
      <x:c r="C3536" s="9" t="str">
        <x:v>Williams v Secretary of State for the Home Department [2015] EWCA Civ 1590</x:v>
      </x:c>
      <x:c r="D3536" s="9" t="str"/>
      <x:c r="E3536" s="9" t="str"/>
      <x:c r="F3536" s="13" t="str">
        <x:v>2015</x:v>
      </x:c>
      <x:c r="G3536" s="9" t="str">
        <x:v>England and Wales Court of Appeal (Civil Division)</x:v>
      </x:c>
      <x:c r="H3536" s="9" t="str">
        <x:v>Appellate</x:v>
      </x:c>
      <x:c r="I3536" s="9" t="str">
        <x:v>England and Wales</x:v>
      </x:c>
      <x:c r="J3536" s="9" t="str">
        <x:v>Immigration Law</x:v>
      </x:c>
      <x:c r="K3536" s="9" t="str">
        <x:v>-ew-cases-EWCA-Civ-2015-1590.xml</x:v>
      </x:c>
      <x:c r="L3536" s="9" t="str">
        <x:v>TBA</x:v>
      </x:c>
    </x:row>
    <x:row r="3537">
      <x:c r="A3537" t="str">
        <x:v>9a648fd6-71fe-4a1a-a167-ccb6ee2cc636</x:v>
      </x:c>
      <x:c r="B3537" t="str">
        <x:v>fdf1047f-88af-4625-bbf6-2c53fbe18f53</x:v>
      </x:c>
      <x:c r="C3537" s="9" t="str">
        <x:v>Williams v The Secretary of State for the Home Department</x:v>
      </x:c>
      <x:c r="D3537" s="9" t="str"/>
      <x:c r="E3537" s="9" t="str"/>
      <x:c r="F3537" s="13" t="str">
        <x:v>2017</x:v>
      </x:c>
      <x:c r="G3537" s="9" t="str">
        <x:v>England and Wales Court of Appeal (Civil Division)</x:v>
      </x:c>
      <x:c r="H3537" s="9" t="str">
        <x:v>Appellate</x:v>
      </x:c>
      <x:c r="I3537" s="9" t="str">
        <x:v>England and Wales</x:v>
      </x:c>
      <x:c r="J3537" s="9" t="str">
        <x:v>Administrative Law</x:v>
      </x:c>
      <x:c r="K3537" s="9" t="str">
        <x:v>-ew-cases-EWCA-Civ-2017-98.xml</x:v>
      </x:c>
      <x:c r="L3537" s="9" t="str">
        <x:v>TBA</x:v>
      </x:c>
    </x:row>
    <x:row r="3538">
      <x:c r="A3538" t="str">
        <x:v>369acbe3-78de-4f59-b178-ff3c1fcaaff9</x:v>
      </x:c>
      <x:c r="B3538" t="str">
        <x:v>700ee8c7-2be1-4d9c-8dda-af7221be191f</x:v>
      </x:c>
      <x:c r="C3538" s="9" t="str">
        <x:v>Williams v The Trustees of Swansea University Pension &amp; Assurance Scheme &amp; Anor</x:v>
      </x:c>
      <x:c r="D3538" s="9" t="str"/>
      <x:c r="E3538" s="9" t="str"/>
      <x:c r="F3538" s="13" t="str">
        <x:v>2017</x:v>
      </x:c>
      <x:c r="G3538" s="9" t="str">
        <x:v>England and Wales Court of Appeal (Civil Division)</x:v>
      </x:c>
      <x:c r="H3538" s="9" t="str">
        <x:v>Appellate</x:v>
      </x:c>
      <x:c r="I3538" s="9" t="str">
        <x:v>England and Wales</x:v>
      </x:c>
      <x:c r="J3538" s="9" t="str">
        <x:v>Employment Law</x:v>
      </x:c>
      <x:c r="K3538" s="9" t="str">
        <x:v>-ew-cases-EWCA-Civ-2017-1008.xml</x:v>
      </x:c>
      <x:c r="L3538" s="9" t="str">
        <x:v>TBA</x:v>
      </x:c>
    </x:row>
    <x:row r="3539">
      <x:c r="A3539" t="str">
        <x:v>0c8ff08b-e14e-4ebf-91e2-39f27a66eb0f</x:v>
      </x:c>
      <x:c r="B3539" t="str">
        <x:v>27b350ef-351d-4d81-8c75-7a59e002689d</x:v>
      </x:c>
      <x:c r="C3539" s="9" t="str">
        <x:v>Williamson v The Bishop of London &amp; Ors [2023] EWCA Civ 379</x:v>
      </x:c>
      <x:c r="D3539" s="9" t="str"/>
      <x:c r="E3539" s="9" t="str"/>
      <x:c r="F3539" s="13" t="str">
        <x:v>2023</x:v>
      </x:c>
      <x:c r="G3539" s="9" t="str">
        <x:v>England and Wales Court of Appeal (Civil Division)</x:v>
      </x:c>
      <x:c r="H3539" s="9" t="str">
        <x:v>Court of Appeal (Civil Division)</x:v>
      </x:c>
      <x:c r="I3539" s="9" t="str">
        <x:v>England and Wales</x:v>
      </x:c>
      <x:c r="J3539" s="9" t="str">
        <x:v>Civil Procedure; vexatious litigants; leave to commence proceedings; employment tribunal context; discrimination law</x:v>
      </x:c>
      <x:c r="K3539" s="9" t="str">
        <x:v>ew-cases-EWCA-Civ-2023-379.xml</x:v>
      </x:c>
      <x:c r="L3539" s="9" t="str">
        <x:v>TBA</x:v>
      </x:c>
    </x:row>
    <x:row r="3540">
      <x:c r="A3540" t="str">
        <x:v>a4e34bb4-ff9f-4c10-b771-d3dbd11d3db6</x:v>
      </x:c>
      <x:c r="B3540" t="str">
        <x:v>71827a03-10ab-4368-893e-5d9beb3f62f9</x:v>
      </x:c>
      <x:c r="C3540" s="9" t="str">
        <x:v>Willis Ltd &amp; Anor v Jardine Lloyd Thompson Group Plc &amp; Ors [2015] EWCA Civ 450</x:v>
      </x:c>
      <x:c r="D3540" s="9" t="str"/>
      <x:c r="E3540" s="9" t="str"/>
      <x:c r="F3540" s="13" t="str">
        <x:v>2015</x:v>
      </x:c>
      <x:c r="G3540" s="9" t="str">
        <x:v>England and Wales Court of Appeal (Civil Division)</x:v>
      </x:c>
      <x:c r="H3540" s="9" t="str">
        <x:v>Appellate</x:v>
      </x:c>
      <x:c r="I3540" s="9" t="str">
        <x:v>England</x:v>
      </x:c>
      <x:c r="J3540" s="9" t="str">
        <x:v>Commercial Law</x:v>
      </x:c>
      <x:c r="K3540" s="9" t="str">
        <x:v>-ew-cases-EWCA-Civ-2015-450.xml</x:v>
      </x:c>
      <x:c r="L3540" s="9" t="str">
        <x:v>TBA</x:v>
      </x:c>
    </x:row>
    <x:row r="3541">
      <x:c r="A3541" t="str">
        <x:v>0ca4e3f0-83b7-4d41-985a-6699b7e8e82e</x:v>
      </x:c>
      <x:c r="B3541" t="str">
        <x:v>e908c2f9-78b1-409b-8f5a-e37e22fbdacf</x:v>
      </x:c>
      <x:c r="C3541" s="9" t="str">
        <x:v>Willmott v The Rotherham NHS Foundation Trust: Appeal on Negligent Medical Treatment</x:v>
      </x:c>
      <x:c r="D3541" s="9" t="str"/>
      <x:c r="E3541" s="9" t="str"/>
      <x:c r="F3541" s="13" t="str">
        <x:v>2017</x:v>
      </x:c>
      <x:c r="G3541" s="9" t="str">
        <x:v>England and Wales Court of Appeal (Civil Division)</x:v>
      </x:c>
      <x:c r="H3541" s="9" t="str">
        <x:v>Appellate</x:v>
      </x:c>
      <x:c r="I3541" s="9" t="str">
        <x:v>England and Wales</x:v>
      </x:c>
      <x:c r="J3541" s="9" t="str">
        <x:v>Medical Negligence</x:v>
      </x:c>
      <x:c r="K3541" s="9" t="str">
        <x:v>-ew-cases-EWCA-Civ-2017-181.xml</x:v>
      </x:c>
      <x:c r="L3541" s="9" t="str">
        <x:v>TBA</x:v>
      </x:c>
    </x:row>
    <x:row r="3542">
      <x:c r="A3542" t="str">
        <x:v>c70a669a-831d-434b-a69c-4bdcb04ed375</x:v>
      </x:c>
      <x:c r="B3542" t="str">
        <x:v>087408db-1da4-4528-b44c-17555c686e6f</x:v>
      </x:c>
      <x:c r="C3542" s="9" t="str">
        <x:v>Willow v The Information Commissioner Ministry of Justice</x:v>
      </x:c>
      <x:c r="D3542" s="9" t="str"/>
      <x:c r="E3542" s="9" t="str"/>
      <x:c r="F3542" s="13" t="str">
        <x:v>2017</x:v>
      </x:c>
      <x:c r="G3542" s="9" t="str">
        <x:v>England and Wales Court of Appeal (Civil Division)</x:v>
      </x:c>
      <x:c r="H3542" s="9" t="str">
        <x:v>Appellate</x:v>
      </x:c>
      <x:c r="I3542" s="9" t="str">
        <x:v>England and Wales</x:v>
      </x:c>
      <x:c r="J3542" s="9" t="str">
        <x:v>Administrative Law</x:v>
      </x:c>
      <x:c r="K3542" s="9" t="str">
        <x:v>-ew-cases-EWCA-Civ-2017-1876.xml</x:v>
      </x:c>
      <x:c r="L3542" s="9" t="str">
        <x:v>TBA</x:v>
      </x:c>
    </x:row>
    <x:row r="3543">
      <x:c r="A3543" t="str">
        <x:v>9d0606b6-4a01-4c40-8201-3c96e8d9edd3</x:v>
      </x:c>
      <x:c r="B3543" t="str">
        <x:v>0145d706-feda-4c57-a3b5-71f287c49550</x:v>
      </x:c>
      <x:c r="C3543" s="9" t="str">
        <x:v>Wilmot v Maughan [2017] EWCA Civ 1668 - Appeal on Email Service Validity</x:v>
      </x:c>
      <x:c r="D3543" s="9" t="str"/>
      <x:c r="E3543" s="9" t="str"/>
      <x:c r="F3543" s="13" t="str">
        <x:v>2017</x:v>
      </x:c>
      <x:c r="G3543" s="9" t="str">
        <x:v>England and Wales Court of Appeal (Civil Division)</x:v>
      </x:c>
      <x:c r="H3543" s="9" t="str">
        <x:v>Appellate</x:v>
      </x:c>
      <x:c r="I3543" s="9" t="str">
        <x:v>England and Wales</x:v>
      </x:c>
      <x:c r="J3543" s="9" t="str">
        <x:v>Family Law</x:v>
      </x:c>
      <x:c r="K3543" s="9" t="str">
        <x:v>-ew-cases-EWCA-Civ-2017-1668.xml</x:v>
      </x:c>
      <x:c r="L3543" s="9" t="str">
        <x:v>TBA</x:v>
      </x:c>
    </x:row>
    <x:row r="3544">
      <x:c r="A3544" t="str">
        <x:v>af2aa3d0-db46-4377-968a-812f383f61d1</x:v>
      </x:c>
      <x:c r="B3544" t="str">
        <x:v>92c28e93-6a2c-4d51-b596-7201d58fd11a</x:v>
      </x:c>
      <x:c r="C3544" s="9" t="str">
        <x:v>Wilson &amp; Anor v McNamara [2023] EWCA Civ 20</x:v>
      </x:c>
      <x:c r="D3544" s="9" t="str"/>
      <x:c r="E3544" s="9" t="str"/>
      <x:c r="F3544" s="13" t="str">
        <x:v>2023</x:v>
      </x:c>
      <x:c r="G3544" s="9" t="str">
        <x:v>England and Wales Court of Appeal (Civil Division)</x:v>
      </x:c>
      <x:c r="H3544" s="9" t="str">
        <x:v>Court of Appeal (Civil Division)</x:v>
      </x:c>
      <x:c r="I3544" s="9" t="str">
        <x:v>England and Wales</x:v>
      </x:c>
      <x:c r="J3544" s="9" t="str">
        <x:v>Insolvency and Bankruptcy; EU Law; Pension Law; Cross-border/Irish Law; Procedural Law</x:v>
      </x:c>
      <x:c r="K3544" s="9" t="str">
        <x:v>ew-cases-EWCA-Civ-2023-20.xml</x:v>
      </x:c>
      <x:c r="L3544" s="9" t="str">
        <x:v>TBA</x:v>
      </x:c>
    </x:row>
    <x:row r="3545">
      <x:c r="A3545" t="str">
        <x:v>732d4295-1b4a-44c0-927d-1c13d8b95bae</x:v>
      </x:c>
      <x:c r="B3545" t="str">
        <x:v>5a0c68e4-1bf9-4380-825f-6c86695b71e9</x:v>
      </x:c>
      <x:c r="C3545" s="9" t="str">
        <x:v>Wilson and Sharp Investments Ltd v Harbour View Developments Ltd [2015] EWCA Civ 1030</x:v>
      </x:c>
      <x:c r="D3545" s="9" t="str"/>
      <x:c r="E3545" s="9" t="str"/>
      <x:c r="F3545" s="13" t="str">
        <x:v>2015</x:v>
      </x:c>
      <x:c r="G3545" s="9" t="str">
        <x:v>England and Wales Court of Appeal (Civil Division)</x:v>
      </x:c>
      <x:c r="H3545" s="9" t="str">
        <x:v>Appellate</x:v>
      </x:c>
      <x:c r="I3545" s="9" t="str">
        <x:v>England and Wales</x:v>
      </x:c>
      <x:c r="J3545" s="9" t="str">
        <x:v>Civil Appeal</x:v>
      </x:c>
      <x:c r="K3545" s="9" t="str">
        <x:v>-ew-cases-EWCA-Civ-2015-1030.xml</x:v>
      </x:c>
      <x:c r="L3545" s="9" t="str">
        <x:v>TBA</x:v>
      </x:c>
    </x:row>
    <x:row r="3546">
      <x:c r="A3546" t="str">
        <x:v>0113babb-adf6-43b2-8251-b6d8d4f8acd1</x:v>
      </x:c>
      <x:c r="B3546" t="str">
        <x:v>ec4f689e-a11c-49b2-bad1-b8f5f7c7011a</x:v>
      </x:c>
      <x:c r="C3546" s="9" t="str">
        <x:v>Wilsons Solicitors LLP v Bentine &amp; Anor [2015] EWCA Civ 1168</x:v>
      </x:c>
      <x:c r="D3546" s="9" t="str"/>
      <x:c r="E3546" s="9" t="str"/>
      <x:c r="F3546" s="13" t="str">
        <x:v>2015</x:v>
      </x:c>
      <x:c r="G3546" s="9" t="str">
        <x:v>England and Wales Court of Appeal (Civil Division)</x:v>
      </x:c>
      <x:c r="H3546" s="9" t="str">
        <x:v>Appellate</x:v>
      </x:c>
      <x:c r="I3546" s="9" t="str">
        <x:v>England and Wales</x:v>
      </x:c>
      <x:c r="J3546" s="9" t="str">
        <x:v>Civil Procedure</x:v>
      </x:c>
      <x:c r="K3546" s="9" t="str">
        <x:v>-ew-cases-EWCA-Civ-2015-1168.xml</x:v>
      </x:c>
      <x:c r="L3546" s="9" t="str">
        <x:v>TBA</x:v>
      </x:c>
    </x:row>
    <x:row r="3547">
      <x:c r="A3547" t="str">
        <x:v>bfd22ef8-7f88-467f-8af8-46f017395b95</x:v>
      </x:c>
      <x:c r="B3547" t="str">
        <x:v>89f10ddb-8465-46ea-85b0-7a9e8fc3a7dc</x:v>
      </x:c>
      <x:c r="C3547" s="9" t="str">
        <x:v>Wiltonpark Ltd &amp; Ors v Revenue &amp; Customs [2016] EWCA Civ 1294</x:v>
      </x:c>
      <x:c r="D3547" s="9" t="str"/>
      <x:c r="E3547" s="9" t="str"/>
      <x:c r="F3547" s="13" t="str">
        <x:v>2016</x:v>
      </x:c>
      <x:c r="G3547" s="9" t="str">
        <x:v>England and Wales Court of Appeal (Civil Division)</x:v>
      </x:c>
      <x:c r="H3547" s="9" t="str">
        <x:v>Court of Appeal (Civil Division)</x:v>
      </x:c>
      <x:c r="I3547" s="9" t="str">
        <x:v>England and Wales</x:v>
      </x:c>
      <x:c r="J3547" s="9" t="str">
        <x:v>Tax / Indirect Tax (VAT) / Supply of services</x:v>
      </x:c>
      <x:c r="K3547" s="9" t="str">
        <x:v>-ew-cases-EWCA-Civ-2016-1294.xml</x:v>
      </x:c>
      <x:c r="L3547" s="9" t="str">
        <x:v>TBA</x:v>
      </x:c>
    </x:row>
    <x:row r="3548">
      <x:c r="A3548" t="str">
        <x:v>4aeec5a2-54f7-4c00-a239-490dc000bba9</x:v>
      </x:c>
      <x:c r="B3548" t="str">
        <x:v>75c3584c-539b-49d8-bbc0-8dbe5fb06479</x:v>
      </x:c>
      <x:c r="C3548" s="9" t="str">
        <x:v>Wiltshire Council v Secretary of State for Communities and Local Government &amp; Ors [2015] EWCA Civ 1068</x:v>
      </x:c>
      <x:c r="D3548" s="9" t="str"/>
      <x:c r="E3548" s="9" t="str"/>
      <x:c r="F3548" s="13" t="str">
        <x:v>2015</x:v>
      </x:c>
      <x:c r="G3548" s="9" t="str">
        <x:v>England and Wales Court of Appeal (Civil Division)</x:v>
      </x:c>
      <x:c r="H3548" s="9" t="str">
        <x:v>Appellate</x:v>
      </x:c>
      <x:c r="I3548" s="9" t="str">
        <x:v>United Kingdom</x:v>
      </x:c>
      <x:c r="J3548" s="9" t="str">
        <x:v>Administrative Law</x:v>
      </x:c>
      <x:c r="K3548" s="9" t="str">
        <x:v>-ew-cases-EWCA-Civ-2015-1068.xml</x:v>
      </x:c>
      <x:c r="L3548" s="9" t="str">
        <x:v>TBA</x:v>
      </x:c>
    </x:row>
    <x:row r="3549">
      <x:c r="A3549" t="str">
        <x:v>0c11c7e4-5f80-4599-bd26-5532a856e5e4</x:v>
      </x:c>
      <x:c r="B3549" t="str">
        <x:v>0c30a558-b5e6-4ed2-89b8-66aa5c84ffa2</x:v>
      </x:c>
      <x:c r="C3549" s="9" t="str">
        <x:v>Wiltshire Council, R (On the Application Of) v Hertfordshire County Council</x:v>
      </x:c>
      <x:c r="D3549" s="9" t="str"/>
      <x:c r="E3549" s="9" t="str"/>
      <x:c r="F3549" s="13" t="str">
        <x:v>2014</x:v>
      </x:c>
      <x:c r="G3549" s="9" t="str">
        <x:v>England and Wales Court of Appeal (Civil Division)</x:v>
      </x:c>
      <x:c r="H3549" s="9" t="str">
        <x:v>Appellate</x:v>
      </x:c>
      <x:c r="I3549" s="9" t="str">
        <x:v>England and Wales</x:v>
      </x:c>
      <x:c r="J3549" s="9" t="str">
        <x:v>Administrative Law</x:v>
      </x:c>
      <x:c r="K3549" s="9" t="str">
        <x:v>-ew-cases-EWCA-Civ-2014-712.xml</x:v>
      </x:c>
      <x:c r="L3549" s="9" t="str">
        <x:v>TBA</x:v>
      </x:c>
    </x:row>
    <x:row r="3550">
      <x:c r="A3550" t="str">
        <x:v>bed427e1-d540-488b-9587-e4cd75fcc1d1</x:v>
      </x:c>
      <x:c r="B3550" t="str">
        <x:v>f7610f00-05f1-42a2-a8fc-c275840ccf6c</x:v>
      </x:c>
      <x:c r="C3550" s="9" t="str">
        <x:v>Windhorst v Levy [2021] EWCA Civ 1802</x:v>
      </x:c>
      <x:c r="D3550" s="9" t="str"/>
      <x:c r="E3550" s="9" t="str"/>
      <x:c r="F3550" s="13" t="str">
        <x:v>2021</x:v>
      </x:c>
      <x:c r="G3550" s="9" t="str">
        <x:v>England and Wales Court of Appeal (Civil Division)</x:v>
      </x:c>
      <x:c r="H3550" s="9" t="str">
        <x:v>Appellate</x:v>
      </x:c>
      <x:c r="I3550" s="9" t="str">
        <x:v>England and Wales</x:v>
      </x:c>
      <x:c r="J3550" s="9" t="str">
        <x:v>Civil Enforcement</x:v>
      </x:c>
      <x:c r="K3550" s="9" t="str">
        <x:v>ew-cases-EWCA-Civ-2021-1802.xml</x:v>
      </x:c>
      <x:c r="L3550" s="9" t="str">
        <x:v>TBA</x:v>
      </x:c>
    </x:row>
    <x:row r="3551">
      <x:c r="A3551" t="str">
        <x:v>e758c57b-a3d2-4a1e-a593-53f01e963148</x:v>
      </x:c>
      <x:c r="B3551" t="str">
        <x:v>bb93594c-f69d-4c0e-a339-98475afd036f</x:v>
      </x:c>
      <x:c r="C3551" s="9" t="str">
        <x:v>Winsor v Vale [2014] EWCA Civ 1125</x:v>
      </x:c>
      <x:c r="D3551" s="9" t="str"/>
      <x:c r="E3551" s="9" t="str"/>
      <x:c r="F3551" s="13" t="str">
        <x:v>2014</x:v>
      </x:c>
      <x:c r="G3551" s="9" t="str">
        <x:v>England and Wales Court of Appeal (Civil Division)</x:v>
      </x:c>
      <x:c r="H3551" s="9" t="str">
        <x:v>Appellate</x:v>
      </x:c>
      <x:c r="I3551" s="9" t="str">
        <x:v>England and Wales</x:v>
      </x:c>
      <x:c r="J3551" s="9" t="str">
        <x:v>Civil Procedure</x:v>
      </x:c>
      <x:c r="K3551" s="9" t="str">
        <x:v>-ew-cases-EWCA-Civ-2014-1125.xml</x:v>
      </x:c>
      <x:c r="L3551" s="9" t="str">
        <x:v>TBA</x:v>
      </x:c>
    </x:row>
    <x:row r="3552">
      <x:c r="A3552" t="str">
        <x:v>bc661207-acc3-4ede-a300-df0a5dbff408</x:v>
      </x:c>
      <x:c r="B3552" t="str">
        <x:v>2cadaad6-f368-42cc-a4b4-c16cc9dbc926</x:v>
      </x:c>
      <x:c r="C3552" s="9" t="str">
        <x:v>Winterburn &amp; Anor v Bennett &amp; Anor (Winterburn v Bennett) [2016] EWCA Civ 482 (Court of Appeal, Civil Division) – Prescription by Lost Modern Grant and the Effect of Signs on Contentious Use</x:v>
      </x:c>
      <x:c r="D3552" s="9" t="str"/>
      <x:c r="E3552" s="9" t="str"/>
      <x:c r="F3552" s="13" t="str">
        <x:v>2016</x:v>
      </x:c>
      <x:c r="G3552" s="9" t="str">
        <x:v>England and Wales Court of Appeal (Civil Division)</x:v>
      </x:c>
      <x:c r="H3552" s="9" t="str">
        <x:v>Court of Appeal (Civil Division)</x:v>
      </x:c>
      <x:c r="I3552" s="9" t="str">
        <x:v>England and Wales</x:v>
      </x:c>
      <x:c r="J3552" s="9" t="str">
        <x:v>Property Law / Easements and Prescription</x:v>
      </x:c>
      <x:c r="K3552" s="9" t="str">
        <x:v>-ew-cases-EWCA-Civ-2016-482.xml</x:v>
      </x:c>
      <x:c r="L3552" s="9" t="str">
        <x:v>TBA</x:v>
      </x:c>
    </x:row>
    <x:row r="3553">
      <x:c r="A3553" t="str">
        <x:v>4c9d1e6c-4b9f-4c42-8061-624508cc27af</x:v>
      </x:c>
      <x:c r="B3553" t="str">
        <x:v>dd922a79-51a4-4d6e-b4b3-998d7ea5f18a</x:v>
      </x:c>
      <x:c r="C3553" s="9" t="str">
        <x:v>Wisbey v Commissioner of the City of London Police &amp; Anr</x:v>
      </x:c>
      <x:c r="D3553" s="9" t="str"/>
      <x:c r="E3553" s="9" t="str"/>
      <x:c r="F3553" s="13" t="str">
        <x:v>2021</x:v>
      </x:c>
      <x:c r="G3553" s="9" t="str">
        <x:v>England and Wales Court of Appeal (Civil Division)</x:v>
      </x:c>
      <x:c r="H3553" s="9" t="str">
        <x:v>Appellate</x:v>
      </x:c>
      <x:c r="I3553" s="9" t="str">
        <x:v>England and Wales</x:v>
      </x:c>
      <x:c r="J3553" s="9" t="str">
        <x:v>Employment Law</x:v>
      </x:c>
      <x:c r="K3553" s="9" t="str">
        <x:v>ew-cases-EWCA-Civ-2021-650.xml</x:v>
      </x:c>
      <x:c r="L3553" s="9" t="str">
        <x:v>TBA</x:v>
      </x:c>
    </x:row>
    <x:row r="3554">
      <x:c r="A3554" t="str">
        <x:v>b7b6c7dc-57e4-41d4-b854-f702d8e3894c</x:v>
      </x:c>
      <x:c r="B3554" t="str">
        <x:v>04fcfc54-1338-428c-a536-6120f563fc0f</x:v>
      </x:c>
      <x:c r="C3554" s="9" t="str">
        <x:v>Wishart v Credit &amp; Mercantile Plc [2015] EWCA Civ 655</x:v>
      </x:c>
      <x:c r="D3554" s="9" t="str"/>
      <x:c r="E3554" s="9" t="str"/>
      <x:c r="F3554" s="13" t="str">
        <x:v>2015</x:v>
      </x:c>
      <x:c r="G3554" s="9" t="str">
        <x:v>England and Wales Court of Appeal (Civil Division)</x:v>
      </x:c>
      <x:c r="H3554" s="9" t="str">
        <x:v>Appellate</x:v>
      </x:c>
      <x:c r="I3554" s="9" t="str">
        <x:v>England and Wales</x:v>
      </x:c>
      <x:c r="J3554" s="9" t="str">
        <x:v>Property Law</x:v>
      </x:c>
      <x:c r="K3554" s="9" t="str">
        <x:v>-ew-cases-EWCA-Civ-2015-655.xml</x:v>
      </x:c>
      <x:c r="L3554" s="9" t="str">
        <x:v>TBA</x:v>
      </x:c>
    </x:row>
    <x:row r="3555">
      <x:c r="A3555" t="str">
        <x:v>f3f8b341-dc53-463e-af66-0d7cd42009af</x:v>
      </x:c>
      <x:c r="B3555" t="str">
        <x:v>94837061-7ab7-41f5-8940-0d3cd5d2909e</x:v>
      </x:c>
      <x:c r="C3555" s="9" t="str">
        <x:v>Witcomb v J. Keith Park Solicitors [2023] EWCA Civ 326</x:v>
      </x:c>
      <x:c r="D3555" s="9" t="str"/>
      <x:c r="E3555" s="9" t="str"/>
      <x:c r="F3555" s="13" t="str">
        <x:v>2023</x:v>
      </x:c>
      <x:c r="G3555" s="9" t="str">
        <x:v>England and Wales Court of Appeal (Civil Division)</x:v>
      </x:c>
      <x:c r="H3555" s="9" t="str">
        <x:v>Court of Appeal (Civil Division)</x:v>
      </x:c>
      <x:c r="I3555" s="9" t="str">
        <x:v>England and Wales</x:v>
      </x:c>
      <x:c r="J3555" s="9" t="str">
        <x:v>Tort - Negligence</x:v>
      </x:c>
      <x:c r="K3555" s="9" t="str">
        <x:v>ew-cases-EWCA-Civ-2023-326.xml</x:v>
      </x:c>
      <x:c r="L3555" s="9" t="str">
        <x:v>TBA</x:v>
      </x:c>
    </x:row>
    <x:row r="3556">
      <x:c r="A3556" t="str">
        <x:v>2c19abe9-b248-4cbc-970f-fce7f84fc884</x:v>
      </x:c>
      <x:c r="B3556" t="str">
        <x:v>2863de3b-1e09-41c1-95d8-3a7a64ef8114</x:v>
      </x:c>
      <x:c r="C3556" s="9" t="str">
        <x:v>Wodzicki v Wodzicki [2017] EWCA Civ 95</x:v>
      </x:c>
      <x:c r="D3556" s="9" t="str"/>
      <x:c r="E3556" s="9" t="str"/>
      <x:c r="F3556" s="13" t="str">
        <x:v>2017</x:v>
      </x:c>
      <x:c r="G3556" s="9" t="str">
        <x:v>England and Wales Court of Appeal (Civil Division)</x:v>
      </x:c>
      <x:c r="H3556" s="9" t="str">
        <x:v>Appellate</x:v>
      </x:c>
      <x:c r="I3556" s="9" t="str">
        <x:v>England and Wales</x:v>
      </x:c>
      <x:c r="J3556" s="9" t="str">
        <x:v>Property Law</x:v>
      </x:c>
      <x:c r="K3556" s="9" t="str">
        <x:v>-ew-cases-EWCA-Civ-2017-95.xml</x:v>
      </x:c>
      <x:c r="L3556" s="9" t="str">
        <x:v>TBA</x:v>
      </x:c>
    </x:row>
    <x:row r="3557">
      <x:c r="A3557" t="str">
        <x:v>109392d4-2411-47c5-b99f-6c498324ebaf</x:v>
      </x:c>
      <x:c r="B3557" t="str">
        <x:v>40c868f9-316f-45f4-a191-902e726809ab</x:v>
      </x:c>
      <x:c r="C3557" s="9" t="str">
        <x:v>Wokingham Borough Council v Dunn &amp; Anor [2014] EWCA Civ 633</x:v>
      </x:c>
      <x:c r="D3557" s="9" t="str"/>
      <x:c r="E3557" s="9" t="str"/>
      <x:c r="F3557" s="13" t="str">
        <x:v>2014</x:v>
      </x:c>
      <x:c r="G3557" s="9" t="str">
        <x:v>England and Wales Court of Appeal (Civil Division)</x:v>
      </x:c>
      <x:c r="H3557" s="9" t="str">
        <x:v>Appellate</x:v>
      </x:c>
      <x:c r="I3557" s="9" t="str">
        <x:v>England and Wales</x:v>
      </x:c>
      <x:c r="J3557" s="9" t="str">
        <x:v>Contempt of Court</x:v>
      </x:c>
      <x:c r="K3557" s="9" t="str">
        <x:v>-ew-cases-EWCA-Civ-2014-633.xml</x:v>
      </x:c>
      <x:c r="L3557" s="9" t="str">
        <x:v>TBA</x:v>
      </x:c>
    </x:row>
    <x:row r="3558">
      <x:c r="A3558" t="str">
        <x:v>59fd4941-f879-42ca-986e-a9318b1958d2</x:v>
      </x:c>
      <x:c r="B3558" t="str">
        <x:v>c6cfbd93-ba5e-470f-ac2a-95cfa9e901ef</x:v>
      </x:c>
      <x:c r="C3558" s="9" t="str">
        <x:v>Wombwell v James [2015] EWCA Civ 1182</x:v>
      </x:c>
      <x:c r="D3558" s="9" t="str"/>
      <x:c r="E3558" s="9" t="str"/>
      <x:c r="F3558" s="13" t="str">
        <x:v>2015</x:v>
      </x:c>
      <x:c r="G3558" s="9" t="str">
        <x:v>England and Wales Court of Appeal (Civil Division)</x:v>
      </x:c>
      <x:c r="H3558" s="9" t="str">
        <x:v>Appellate</x:v>
      </x:c>
      <x:c r="I3558" s="9" t="str">
        <x:v>England and Wales</x:v>
      </x:c>
      <x:c r="J3558" s="9" t="str">
        <x:v>Proprietary Estoppel</x:v>
      </x:c>
      <x:c r="K3558" s="9" t="str">
        <x:v>-ew-cases-EWCA-Civ-2015-1182.xml</x:v>
      </x:c>
      <x:c r="L3558" s="9" t="str">
        <x:v>TBA</x:v>
      </x:c>
    </x:row>
    <x:row r="3559">
      <x:c r="A3559" t="str">
        <x:v>77d42d8a-3c08-4b3f-b01f-62ab711f5bfe</x:v>
      </x:c>
      <x:c r="B3559" t="str">
        <x:v>e9331369-fb78-4a8a-8011-b7e917fc0096</x:v>
      </x:c>
      <x:c r="C3559" s="9" t="str">
        <x:v>Wood &amp; Anor v Waddington [2015] EWCA Civ 538</x:v>
      </x:c>
      <x:c r="D3559" s="9" t="str"/>
      <x:c r="E3559" s="9" t="str"/>
      <x:c r="F3559" s="13" t="str">
        <x:v>2015</x:v>
      </x:c>
      <x:c r="G3559" s="9" t="str">
        <x:v>England and Wales Court of Appeal (Civil Division)</x:v>
      </x:c>
      <x:c r="H3559" s="9" t="str">
        <x:v>Appellate</x:v>
      </x:c>
      <x:c r="I3559" s="9" t="str">
        <x:v>England and Wales</x:v>
      </x:c>
      <x:c r="J3559" s="9" t="str">
        <x:v>Property Law</x:v>
      </x:c>
      <x:c r="K3559" s="9" t="str">
        <x:v>-ew-cases-EWCA-Civ-2015-538.xml</x:v>
      </x:c>
      <x:c r="L3559" s="9" t="str">
        <x:v>TBA</x:v>
      </x:c>
    </x:row>
    <x:row r="3560">
      <x:c r="A3560" t="str">
        <x:v>f784ba5a-99ed-4317-bc14-6dc756d9d867</x:v>
      </x:c>
      <x:c r="B3560" t="str">
        <x:v>7326ea9d-e544-4864-8e4a-8eeae76e44fd</x:v>
      </x:c>
      <x:c r="C3560" s="9" t="str">
        <x:v>Wood v Capita Insurance Services Ltd [2017] UKSC 24</x:v>
      </x:c>
      <x:c r="D3560" s="9" t="str"/>
      <x:c r="E3560" s="9" t="str"/>
      <x:c r="F3560" s="13" t="str">
        <x:v>2017</x:v>
      </x:c>
      <x:c r="G3560" s="9" t="str">
        <x:v>United Kingdom Supreme Court</x:v>
      </x:c>
      <x:c r="H3560" s="9" t="str">
        <x:v>Supreme Court</x:v>
      </x:c>
      <x:c r="I3560" s="9" t="str">
        <x:v>United Kingdom</x:v>
      </x:c>
      <x:c r="J3560" s="9" t="str">
        <x:v>Contractual Interpretation</x:v>
      </x:c>
      <x:c r="K3560" s="9" t="str">
        <x:v>PT_UKSC_2017_24.xml</x:v>
      </x:c>
      <x:c r="L3560" s="9" t="str">
        <x:v>TBA</x:v>
      </x:c>
    </x:row>
    <x:row r="3561">
      <x:c r="A3561" t="str">
        <x:v>5ed3d114-ae95-4ca4-9e36-fc488ec93262</x:v>
      </x:c>
      <x:c r="B3561" t="str">
        <x:v>05933f0b-5273-4041-92f9-f21c4fcfbdad</x:v>
      </x:c>
      <x:c r="C3561" s="9" t="str">
        <x:v>Wood v Capital Bridging Finance Ltd [2015] EWCA Civ 451</x:v>
      </x:c>
      <x:c r="D3561" s="9" t="str"/>
      <x:c r="E3561" s="9" t="str"/>
      <x:c r="F3561" s="13" t="str">
        <x:v>2015</x:v>
      </x:c>
      <x:c r="G3561" s="9" t="str">
        <x:v>England and Wales Court of Appeal (Civil Division)</x:v>
      </x:c>
      <x:c r="H3561" s="9" t="str">
        <x:v>Appellate</x:v>
      </x:c>
      <x:c r="I3561" s="9" t="str">
        <x:v>England and Wales</x:v>
      </x:c>
      <x:c r="J3561" s="9" t="str">
        <x:v>Consumer Credit</x:v>
      </x:c>
      <x:c r="K3561" s="9" t="str">
        <x:v>-ew-cases-EWCA-Civ-2015-451.xml</x:v>
      </x:c>
      <x:c r="L3561" s="9" t="str">
        <x:v>TBA</x:v>
      </x:c>
    </x:row>
    <x:row r="3562">
      <x:c r="A3562" t="str">
        <x:v>cc6ae5e6-ebf9-4af7-9311-989ea19288de</x:v>
      </x:c>
      <x:c r="B3562" t="str">
        <x:v>f0022e90-d6b2-4255-aa84-750a85644748</x:v>
      </x:c>
      <x:c r="C3562" s="9" t="str">
        <x:v>Wood v Commercial First Business Ltd &amp; Ors</x:v>
      </x:c>
      <x:c r="D3562" s="9" t="str"/>
      <x:c r="E3562" s="9" t="str"/>
      <x:c r="F3562" s="13" t="str">
        <x:v>2021</x:v>
      </x:c>
      <x:c r="G3562" s="9" t="str">
        <x:v>England and Wales Court of Appeal (Civil Division)</x:v>
      </x:c>
      <x:c r="H3562" s="9" t="str">
        <x:v>Appellate</x:v>
      </x:c>
      <x:c r="I3562" s="9" t="str">
        <x:v>England and Wales</x:v>
      </x:c>
      <x:c r="J3562" s="9" t="str">
        <x:v>Contract Dispute</x:v>
      </x:c>
      <x:c r="K3562" s="9" t="str">
        <x:v>ew-cases-EWCA-Civ-2021-471.xml</x:v>
      </x:c>
      <x:c r="L3562" s="9" t="str">
        <x:v>TBA</x:v>
      </x:c>
    </x:row>
    <x:row r="3563">
      <x:c r="A3563" t="str">
        <x:v>79cae92b-cd5e-4727-a06f-07e17f79ec23</x:v>
      </x:c>
      <x:c r="B3563" t="str">
        <x:v>d6cb3f3d-37b2-4042-b5fe-2731942d197b</x:v>
      </x:c>
      <x:c r="C3563" s="9" t="str">
        <x:v>Wood v Days Healthcare UK Ltd &amp; Ors [2017] EWCA Civ 2097</x:v>
      </x:c>
      <x:c r="D3563" s="9" t="str"/>
      <x:c r="E3563" s="9" t="str"/>
      <x:c r="F3563" s="13" t="str">
        <x:v>2017</x:v>
      </x:c>
      <x:c r="G3563" s="9" t="str">
        <x:v>England and Wales Court of Appeal (Civil Division)</x:v>
      </x:c>
      <x:c r="H3563" s="9" t="str">
        <x:v>Appellate</x:v>
      </x:c>
      <x:c r="I3563" s="9" t="str">
        <x:v>England and Wales</x:v>
      </x:c>
      <x:c r="J3563" s="9" t="str">
        <x:v>Personal Injury</x:v>
      </x:c>
      <x:c r="K3563" s="9" t="str">
        <x:v>-ew-cases-EWCA-Civ-2017-2097.xml</x:v>
      </x:c>
      <x:c r="L3563" s="9" t="str">
        <x:v>TBA</x:v>
      </x:c>
    </x:row>
    <x:row r="3564">
      <x:c r="A3564" t="str">
        <x:v>4417d519-c07b-48dd-aa77-4249c6a8086d</x:v>
      </x:c>
      <x:c r="B3564" t="str">
        <x:v>0f034a0c-8a72-4663-bb94-f9a051d397bc</x:v>
      </x:c>
      <x:c r="C3564" s="9" t="str">
        <x:v>Wood v Kingston Upon Hull City Council</x:v>
      </x:c>
      <x:c r="D3564" s="9" t="str"/>
      <x:c r="E3564" s="9" t="str"/>
      <x:c r="F3564" s="13" t="str">
        <x:v>2017</x:v>
      </x:c>
      <x:c r="G3564" s="9" t="str">
        <x:v>England and Wales Court of Appeal (Civil Division)</x:v>
      </x:c>
      <x:c r="H3564" s="9" t="str">
        <x:v>Appellate</x:v>
      </x:c>
      <x:c r="I3564" s="9" t="str">
        <x:v>England and Wales</x:v>
      </x:c>
      <x:c r="J3564" s="9" t="str">
        <x:v>Administrative Law</x:v>
      </x:c>
      <x:c r="K3564" s="9" t="str">
        <x:v>-ew-cases-EWCA-Civ-2017-364.xml</x:v>
      </x:c>
      <x:c r="L3564" s="9" t="str">
        <x:v>TBA</x:v>
      </x:c>
    </x:row>
    <x:row r="3565">
      <x:c r="A3565" t="str">
        <x:v>982dcaa5-7746-46e4-9ef4-a80ce99dbbc9</x:v>
      </x:c>
      <x:c r="B3565" t="str">
        <x:v>7c86e754-3a92-4ef7-acde-0d7174f7210e</x:v>
      </x:c>
      <x:c r="C3565" s="9" t="str">
        <x:v>Wood v Secretary of State for Communities and Local Government [2015] EWCA Civ 195</x:v>
      </x:c>
      <x:c r="D3565" s="9" t="str"/>
      <x:c r="E3565" s="9" t="str"/>
      <x:c r="F3565" s="13" t="str">
        <x:v>2015</x:v>
      </x:c>
      <x:c r="G3565" s="9" t="str">
        <x:v>England and Wales Court of Appeal (Civil Division)</x:v>
      </x:c>
      <x:c r="H3565" s="9" t="str">
        <x:v>Appellate</x:v>
      </x:c>
      <x:c r="I3565" s="9" t="str">
        <x:v>England and Wales</x:v>
      </x:c>
      <x:c r="J3565" s="9" t="str">
        <x:v>Administrative Law</x:v>
      </x:c>
      <x:c r="K3565" s="9" t="str">
        <x:v>-ew-cases-EWCA-Civ-2015-195.xml</x:v>
      </x:c>
      <x:c r="L3565" s="9" t="str">
        <x:v>TBA</x:v>
      </x:c>
    </x:row>
    <x:row r="3566">
      <x:c r="A3566" t="str">
        <x:v>5c6a0a95-034d-4785-8346-af50f64f0dc8</x:v>
      </x:c>
      <x:c r="B3566" t="str">
        <x:v>fcbf3975-3755-45fa-9124-191d1a392003</x:v>
      </x:c>
      <x:c r="C3566" s="9" t="str">
        <x:v>Wood v Sureterm Direct Ltd &amp; Capita Insurance Services Ltd [2015] EWCA Civ 839</x:v>
      </x:c>
      <x:c r="D3566" s="9" t="str"/>
      <x:c r="E3566" s="9" t="str"/>
      <x:c r="F3566" s="13" t="str">
        <x:v>2015</x:v>
      </x:c>
      <x:c r="G3566" s="9" t="str">
        <x:v>England and Wales Court of Appeal (Civil Division)</x:v>
      </x:c>
      <x:c r="H3566" s="9" t="str">
        <x:v>Appellate</x:v>
      </x:c>
      <x:c r="I3566" s="9" t="str">
        <x:v>England and Wales</x:v>
      </x:c>
      <x:c r="J3566" s="9" t="str">
        <x:v>Contract Dispute</x:v>
      </x:c>
      <x:c r="K3566" s="9" t="str">
        <x:v>-ew-cases-EWCA-Civ-2015-839.xml</x:v>
      </x:c>
      <x:c r="L3566" s="9" t="str">
        <x:v>TBA</x:v>
      </x:c>
    </x:row>
    <x:row r="3567">
      <x:c r="A3567" t="str">
        <x:v>ededb5da-ea19-4aa8-95d1-adf2fe8575d1</x:v>
      </x:c>
      <x:c r="B3567" t="str">
        <x:v>672929c1-ebb0-48a3-9b72-1175a3781534</x:v>
      </x:c>
      <x:c r="C3567" s="9" t="str">
        <x:v>Woodfield v J.J. Gallagher Ltd &amp; Ors [2016] EWCA Civ 1007</x:v>
      </x:c>
      <x:c r="D3567" s="9" t="str"/>
      <x:c r="E3567" s="9" t="str"/>
      <x:c r="F3567" s="13" t="str">
        <x:v>2016</x:v>
      </x:c>
      <x:c r="G3567" s="9" t="str">
        <x:v>England and Wales Court of Appeal (Civil Division)</x:v>
      </x:c>
      <x:c r="H3567" s="9" t="str">
        <x:v>Court of Appeal (Civil Division)</x:v>
      </x:c>
      <x:c r="I3567" s="9" t="str">
        <x:v>England and Wales</x:v>
      </x:c>
      <x:c r="J3567" s="9" t="str">
        <x:v>Planning and Administrative Law</x:v>
      </x:c>
      <x:c r="K3567" s="9" t="str">
        <x:v>-ew-cases-EWCA-Civ-2016-1007.xml</x:v>
      </x:c>
      <x:c r="L3567" s="9" t="str">
        <x:v>TBA</x:v>
      </x:c>
    </x:row>
    <x:row r="3568">
      <x:c r="A3568" t="str">
        <x:v>fdcb1eb7-71c2-4aea-b81d-180d0911b423</x:v>
      </x:c>
      <x:c r="B3568" t="str">
        <x:v>1004d73f-cf54-4226-8e62-96375c01a304</x:v>
      </x:c>
      <x:c r="C3568" s="9" t="str">
        <x:v>Worcestershire County Council v Secretary of State for Health and Social Care [2021] EWCA Civ 1957</x:v>
      </x:c>
      <x:c r="D3568" s="9" t="str"/>
      <x:c r="E3568" s="9" t="str"/>
      <x:c r="F3568" s="13" t="str">
        <x:v>2021</x:v>
      </x:c>
      <x:c r="G3568" s="9" t="str">
        <x:v>England and Wales Court of Appeal (Civil Division)</x:v>
      </x:c>
      <x:c r="H3568" s="9" t="str">
        <x:v>Appellate</x:v>
      </x:c>
      <x:c r="I3568" s="9" t="str">
        <x:v>England and Wales</x:v>
      </x:c>
      <x:c r="J3568" s="9" t="str">
        <x:v>Administrative Law</x:v>
      </x:c>
      <x:c r="K3568" s="9" t="str">
        <x:v>ew-cases-EWCA-Civ-2021-1957.xml</x:v>
      </x:c>
      <x:c r="L3568" s="9" t="str">
        <x:v>TBA</x:v>
      </x:c>
    </x:row>
    <x:row r="3569">
      <x:c r="A3569" t="str">
        <x:v>18d4eaa3-a25a-407a-94ae-25e317a48dec</x:v>
      </x:c>
      <x:c r="B3569" t="str">
        <x:v>dfe52548-9caf-41b5-ac97-58616d071ea7</x:v>
      </x:c>
      <x:c r="C3569" s="9" t="str">
        <x:v>Work v Gray [2016] EWCA Civ 286</x:v>
      </x:c>
      <x:c r="D3569" s="9" t="str"/>
      <x:c r="E3569" s="9" t="str"/>
      <x:c r="F3569" s="13" t="str">
        <x:v>2016</x:v>
      </x:c>
      <x:c r="G3569" s="9" t="str">
        <x:v>England and Wales Court of Appeal (Civil Division)</x:v>
      </x:c>
      <x:c r="H3569" s="9" t="str">
        <x:v>Court of Appeal (Civil Division)</x:v>
      </x:c>
      <x:c r="I3569" s="9" t="str">
        <x:v>England and Wales</x:v>
      </x:c>
      <x:c r="J3569" s="9" t="str">
        <x:v>Family Law</x:v>
      </x:c>
      <x:c r="K3569" s="9" t="str">
        <x:v>-ew-cases-EWCA-Civ-2016-286.xml</x:v>
      </x:c>
      <x:c r="L3569" s="9" t="str">
        <x:v>TBA</x:v>
      </x:c>
    </x:row>
    <x:row r="3570">
      <x:c r="A3570" t="str">
        <x:v>3ab5e07d-5721-4ae6-9ce0-5f6d64675c3a</x:v>
      </x:c>
      <x:c r="B3570" t="str">
        <x:v>84072b2e-ff76-478d-974d-8420ec22e33a</x:v>
      </x:c>
      <x:c r="C3570" s="9" t="str">
        <x:v>Work v Gray [2017] EWCA Civ 270</x:v>
      </x:c>
      <x:c r="D3570" s="9" t="str"/>
      <x:c r="E3570" s="9" t="str"/>
      <x:c r="F3570" s="13" t="str">
        <x:v>2017</x:v>
      </x:c>
      <x:c r="G3570" s="9" t="str">
        <x:v>England and Wales Court of Appeal (Civil Division)</x:v>
      </x:c>
      <x:c r="H3570" s="9" t="str">
        <x:v>Appellate</x:v>
      </x:c>
      <x:c r="I3570" s="9" t="str">
        <x:v>England and Wales</x:v>
      </x:c>
      <x:c r="J3570" s="9" t="str">
        <x:v>Family Law</x:v>
      </x:c>
      <x:c r="K3570" s="9" t="str">
        <x:v>-ew-cases-EWCA-Civ-2017-270.xml</x:v>
      </x:c>
      <x:c r="L3570" s="9" t="str">
        <x:v>TBA</x:v>
      </x:c>
    </x:row>
    <x:row r="3571">
      <x:c r="A3571" t="str">
        <x:v>7870aa5d-8021-4550-8a89-5cce531c19aa</x:v>
      </x:c>
      <x:c r="B3571" t="str">
        <x:v>11d5cb60-a024-4cbc-8dee-8023de3f14e7</x:v>
      </x:c>
      <x:c r="C3571" s="9" t="str">
        <x:v>Workman v Forrester &amp; Ors [2017] EWCA Civ 73</x:v>
      </x:c>
      <x:c r="D3571" s="9" t="str"/>
      <x:c r="E3571" s="9" t="str"/>
      <x:c r="F3571" s="13" t="str">
        <x:v>2017</x:v>
      </x:c>
      <x:c r="G3571" s="9" t="str">
        <x:v>England and Wales Court of Appeal (Civil Division)</x:v>
      </x:c>
      <x:c r="H3571" s="9" t="str">
        <x:v>Appellate</x:v>
      </x:c>
      <x:c r="I3571" s="9" t="str">
        <x:v>England and Wales</x:v>
      </x:c>
      <x:c r="J3571" s="9" t="str">
        <x:v>Civil Procedure</x:v>
      </x:c>
      <x:c r="K3571" s="9" t="str">
        <x:v>-ew-cases-EWCA-Civ-2017-73.xml</x:v>
      </x:c>
      <x:c r="L3571" s="9" t="str">
        <x:v>TBA</x:v>
      </x:c>
    </x:row>
    <x:row r="3572">
      <x:c r="A3572" t="str">
        <x:v>b83cf244-5615-49b4-b6bf-91c250aebd29</x:v>
      </x:c>
      <x:c r="B3572" t="str">
        <x:v>57ed79e4-5dca-4c78-9013-80a866deaa50</x:v>
      </x:c>
      <x:c r="C3572" s="9" t="str">
        <x:v>Worldspreads v Foley [2015] EWCA Civ 697</x:v>
      </x:c>
      <x:c r="D3572" s="9" t="str"/>
      <x:c r="E3572" s="9" t="str"/>
      <x:c r="F3572" s="13" t="str">
        <x:v>2015</x:v>
      </x:c>
      <x:c r="G3572" s="9" t="str">
        <x:v>England and Wales Court of Appeal (Civil Division)</x:v>
      </x:c>
      <x:c r="H3572" s="9" t="str">
        <x:v>Appellate</x:v>
      </x:c>
      <x:c r="I3572" s="9" t="str">
        <x:v>England and Wales</x:v>
      </x:c>
      <x:c r="J3572" s="9" t="str">
        <x:v>Commercial Law</x:v>
      </x:c>
      <x:c r="K3572" s="9" t="str">
        <x:v>-ew-cases-EWCA-Civ-2015-697.xml</x:v>
      </x:c>
      <x:c r="L3572" s="9" t="str">
        <x:v>TBA</x:v>
      </x:c>
    </x:row>
    <x:row r="3573">
      <x:c r="A3573" t="str">
        <x:v>c4bdb4ee-806f-4ba9-9a83-e136dd3f6fdc</x:v>
      </x:c>
      <x:c r="B3573" t="str">
        <x:v>6c956002-60ab-482d-bce9-914febd99213</x:v>
      </x:c>
      <x:c r="C3573" s="9" t="str">
        <x:v>Worrall v Antoniadou [2016] EWCA Civ 1219</x:v>
      </x:c>
      <x:c r="D3573" s="9" t="str"/>
      <x:c r="E3573" s="9" t="str"/>
      <x:c r="F3573" s="13" t="str">
        <x:v>2016</x:v>
      </x:c>
      <x:c r="G3573" s="9" t="str">
        <x:v>England and Wales Court of Appeal (Civil Division)</x:v>
      </x:c>
      <x:c r="H3573" s="9" t="str">
        <x:v>Court of Appeal (Civil Division)</x:v>
      </x:c>
      <x:c r="I3573" s="9" t="str">
        <x:v>England and Wales</x:v>
      </x:c>
      <x:c r="J3573" s="9" t="str">
        <x:v>Medical Negligence</x:v>
      </x:c>
      <x:c r="K3573" s="9" t="str">
        <x:v>-ew-cases-EWCA-Civ-2016-1219.xml</x:v>
      </x:c>
      <x:c r="L3573" s="9" t="str">
        <x:v>TBA</x:v>
      </x:c>
    </x:row>
    <x:row r="3574">
      <x:c r="A3574" t="str">
        <x:v>0968d1af-22fd-4455-b9d8-7cd25fe79004</x:v>
      </x:c>
      <x:c r="B3574" t="str">
        <x:v>d3e3ff13-b437-49e6-8a83-48cc2b7c2483</x:v>
      </x:c>
      <x:c r="C3574" s="9" t="str">
        <x:v>Wray v General Osteopathic Council [2021] EWCA Civ 1940</x:v>
      </x:c>
      <x:c r="D3574" s="9" t="str"/>
      <x:c r="E3574" s="9" t="str"/>
      <x:c r="F3574" s="13" t="str">
        <x:v>2021</x:v>
      </x:c>
      <x:c r="G3574" s="9" t="str">
        <x:v>England and Wales Court of Appeal (Civil Division)</x:v>
      </x:c>
      <x:c r="H3574" s="9" t="str">
        <x:v>Appellate</x:v>
      </x:c>
      <x:c r="I3574" s="9" t="str">
        <x:v>England and Wales</x:v>
      </x:c>
      <x:c r="J3574" s="9" t="str">
        <x:v>Administrative Law</x:v>
      </x:c>
      <x:c r="K3574" s="9" t="str">
        <x:v>ew-cases-EWCA-Civ-2021-1940.xml</x:v>
      </x:c>
      <x:c r="L3574" s="9" t="str">
        <x:v>TBA</x:v>
      </x:c>
    </x:row>
    <x:row r="3575">
      <x:c r="A3575" t="str">
        <x:v>6f8b05b6-6e60-4b1c-800c-bc59304e27a5</x:v>
      </x:c>
      <x:c r="B3575" t="str">
        <x:v>6f2f4fa0-88be-4a4c-8ae0-f56ea0308a69</x:v>
      </x:c>
      <x:c r="C3575" s="9" t="str">
        <x:v>Wright v Forest of Dean District Council Resilient Energy Severndale Ltd [2017] EWCA Civ 2102</x:v>
      </x:c>
      <x:c r="D3575" s="9" t="str"/>
      <x:c r="E3575" s="9" t="str"/>
      <x:c r="F3575" s="13" t="str">
        <x:v>2017</x:v>
      </x:c>
      <x:c r="G3575" s="9" t="str">
        <x:v>England and Wales Court of Appeal (Civil Division)</x:v>
      </x:c>
      <x:c r="H3575" s="9" t="str">
        <x:v>Appellate</x:v>
      </x:c>
      <x:c r="I3575" s="9" t="str">
        <x:v>England and Wales</x:v>
      </x:c>
      <x:c r="J3575" s="9" t="str">
        <x:v>Administrative Law</x:v>
      </x:c>
      <x:c r="K3575" s="9" t="str">
        <x:v>-ew-cases-EWCA-Civ-2017-2102.xml</x:v>
      </x:c>
      <x:c r="L3575" s="9" t="str">
        <x:v>TBA</x:v>
      </x:c>
    </x:row>
    <x:row r="3576">
      <x:c r="A3576" t="str">
        <x:v>d1c98b21-b56b-47be-a596-517c0a126e23</x:v>
      </x:c>
      <x:c r="B3576" t="str">
        <x:v>d71d3bfe-0dc8-4d5a-a937-bdbfea2a15b9</x:v>
      </x:c>
      <x:c r="C3576" s="9" t="str">
        <x:v>Wright v Granath [2021] EWCA Civ 28</x:v>
      </x:c>
      <x:c r="D3576" s="9" t="str"/>
      <x:c r="E3576" s="9" t="str"/>
      <x:c r="F3576" s="13" t="str">
        <x:v>2021</x:v>
      </x:c>
      <x:c r="G3576" s="9" t="str">
        <x:v>England and Wales Court of Appeal (Civil Division)</x:v>
      </x:c>
      <x:c r="H3576" s="9" t="str">
        <x:v>Appellate</x:v>
      </x:c>
      <x:c r="I3576" s="9" t="str">
        <x:v>England and Wales</x:v>
      </x:c>
      <x:c r="J3576" s="9" t="str">
        <x:v>Defamation</x:v>
      </x:c>
      <x:c r="K3576" s="9" t="str">
        <x:v>ew-cases-EWCA-Civ-2021-28.xml</x:v>
      </x:c>
      <x:c r="L3576" s="9" t="str">
        <x:v>TBA</x:v>
      </x:c>
    </x:row>
    <x:row r="3577">
      <x:c r="A3577" t="str">
        <x:v>353cc34e-5399-49d5-8fea-7933a63fde51</x:v>
      </x:c>
      <x:c r="B3577" t="str">
        <x:v>dc0465e2-5090-40fe-9030-021cb0677329</x:v>
      </x:c>
      <x:c r="C3577" s="9" t="str">
        <x:v>Wright v Lewis Silkin LLP [2016] EWCA Civ 1308</x:v>
      </x:c>
      <x:c r="D3577" s="9" t="str"/>
      <x:c r="E3577" s="9" t="str"/>
      <x:c r="F3577" s="13" t="str">
        <x:v>2016</x:v>
      </x:c>
      <x:c r="G3577" s="9" t="str">
        <x:v>England and Wales Court of Appeal (Civil Division)</x:v>
      </x:c>
      <x:c r="H3577" s="9" t="str">
        <x:v>Court of Appeal</x:v>
      </x:c>
      <x:c r="I3577" s="9" t="str">
        <x:v>England and Wales</x:v>
      </x:c>
      <x:c r="J3577" s="9" t="str">
        <x:v>Civil Litigation; Professional Negligence (Solicitors); Contract/Jurisdiction</x:v>
      </x:c>
      <x:c r="K3577" s="9" t="str">
        <x:v>-ew-cases-EWCA-Civ-2016-1308.xml</x:v>
      </x:c>
      <x:c r="L3577" s="9" t="str">
        <x:v>TBA</x:v>
      </x:c>
    </x:row>
    <x:row r="3578">
      <x:c r="A3578" t="str">
        <x:v>bee8dca6-c9d1-4a82-a126-550fbc844a8f</x:v>
      </x:c>
      <x:c r="B3578" t="str">
        <x:v>9da99cec-3c57-44bb-acb9-38d26763b524</x:v>
      </x:c>
      <x:c r="C3578" s="9" t="str">
        <x:v>Wright v Rogers [2022] EWCA Civ 1658</x:v>
      </x:c>
      <x:c r="D3578" s="9" t="str"/>
      <x:c r="E3578" s="9" t="str"/>
      <x:c r="F3578" s="13" t="str">
        <x:v>2022</x:v>
      </x:c>
      <x:c r="G3578" s="9" t="str">
        <x:v>England and Wales Court of Appeal (Civil Division)</x:v>
      </x:c>
      <x:c r="H3578" s="9" t="str">
        <x:v>Court of Appeal (Civil Division)</x:v>
      </x:c>
      <x:c r="I3578" s="9" t="str">
        <x:v>England and Wales</x:v>
      </x:c>
      <x:c r="J3578" s="9" t="str">
        <x:v>Civil Procedure; Contempt of Court; Injunction Enforcement; Property/Right of Way</x:v>
      </x:c>
      <x:c r="K3578" s="9" t="str">
        <x:v>ew-cases-EWCA-Civ-2022-1658.xml</x:v>
      </x:c>
      <x:c r="L3578" s="9" t="str">
        <x:v>TBA</x:v>
      </x:c>
    </x:row>
    <x:row r="3579">
      <x:c r="A3579" t="str">
        <x:v>4a002e70-a05e-400d-8723-e15c7b6cd89d</x:v>
      </x:c>
      <x:c r="B3579" t="str">
        <x:v>654f582e-b904-4a96-b66f-e073434aac2c</x:v>
      </x:c>
      <x:c r="C3579" s="9" t="str">
        <x:v>WW (Jamaica) v Secretary of State for the Home Department [2016] EWCA Civ 648</x:v>
      </x:c>
      <x:c r="D3579" s="9" t="str"/>
      <x:c r="E3579" s="9" t="str"/>
      <x:c r="F3579" s="13" t="str">
        <x:v>2016</x:v>
      </x:c>
      <x:c r="G3579" s="9" t="str">
        <x:v>England and Wales Court of Appeal (Civil Division)</x:v>
      </x:c>
      <x:c r="H3579" s="9" t="str">
        <x:v>Court of Appeal (Civil Division)</x:v>
      </x:c>
      <x:c r="I3579" s="9" t="str">
        <x:v>England and Wales</x:v>
      </x:c>
      <x:c r="J3579" s="9" t="str">
        <x:v>Immigration Law (Administrative Law)</x:v>
      </x:c>
      <x:c r="K3579" s="9" t="str">
        <x:v>-ew-cases-EWCA-Civ-2016-648.xml</x:v>
      </x:c>
      <x:c r="L3579" s="9" t="str">
        <x:v>TBA</x:v>
      </x:c>
    </x:row>
    <x:row r="3580">
      <x:c r="A3580" t="str">
        <x:v>1e9e588c-7036-4c32-b2fc-dd63bb5546e0</x:v>
      </x:c>
      <x:c r="B3580" t="str">
        <x:v>4bab60a4-405b-418a-b7ed-7995d0a7b4d5</x:v>
      </x:c>
      <x:c r="C3580" s="9" t="str">
        <x:v>WW Property Investments Ltd v National Westminster Bank Plc [2016] EWCA Civ 1142 (Court of Appeal, Civil Division)</x:v>
      </x:c>
      <x:c r="D3580" s="9" t="str"/>
      <x:c r="E3580" s="9" t="str"/>
      <x:c r="F3580" s="13" t="str">
        <x:v>2016</x:v>
      </x:c>
      <x:c r="G3580" s="9" t="str">
        <x:v>England and Wales Court of Appeal (Civil Division)</x:v>
      </x:c>
      <x:c r="H3580" s="9" t="str">
        <x:v>Court of Appeal (Civil Division)</x:v>
      </x:c>
      <x:c r="I3580" s="9" t="str">
        <x:v>England and Wales</x:v>
      </x:c>
      <x:c r="J3580" s="9" t="str">
        <x:v>Contract and Financial Regulation - wagering contracts, hedging products, and regulatory framework</x:v>
      </x:c>
      <x:c r="K3580" s="9" t="str">
        <x:v>-ew-cases-EWCA-Civ-2016-1142.xml</x:v>
      </x:c>
      <x:c r="L3580" s="9" t="str">
        <x:v>TBA</x:v>
      </x:c>
    </x:row>
    <x:row r="3581">
      <x:c r="A3581" t="str">
        <x:v>aca939a7-563b-4957-9754-1f7d98f62586</x:v>
      </x:c>
      <x:c r="B3581" t="str">
        <x:v>1d957476-2c0d-4578-8a43-679ec600e382</x:v>
      </x:c>
      <x:c r="C3581" s="9" t="str">
        <x:v>Wyatt v Fareham Borough Council (Rev1) [2022] EWCA Civ 983</x:v>
      </x:c>
      <x:c r="D3581" s="9" t="str"/>
      <x:c r="E3581" s="9" t="str"/>
      <x:c r="F3581" s="13" t="str">
        <x:v>2022</x:v>
      </x:c>
      <x:c r="G3581" s="9" t="str">
        <x:v>England and Wales Court of Appeal (Civil Division)</x:v>
      </x:c>
      <x:c r="H3581" s="9" t="str">
        <x:v>Court of Appeal (Civil Division)</x:v>
      </x:c>
      <x:c r="I3581" s="9" t="str">
        <x:v>England and Wales</x:v>
      </x:c>
      <x:c r="J3581" s="9" t="str">
        <x:v>Judicial Review / Planning &amp; Environmental Law</x:v>
      </x:c>
      <x:c r="K3581" s="9" t="str">
        <x:v>ew-cases-EWCA-Civ-2022-983.xml</x:v>
      </x:c>
      <x:c r="L3581" s="9" t="str">
        <x:v>TBA</x:v>
      </x:c>
    </x:row>
    <x:row r="3582">
      <x:c r="A3582" t="str">
        <x:v>ce0c76c5-ceea-4b0f-8969-b257e9c3c4cd</x:v>
      </x:c>
      <x:c r="B3582" t="str">
        <x:v>7f67ea05-f66e-4ab8-ade1-0c8877ae1d92</x:v>
      </x:c>
      <x:c r="C3582" s="9" t="str">
        <x:v>Wyeth LLC v Merck Sharp &amp; Dohme (UK) Ltd [2021] EWCA Civ 1099</x:v>
      </x:c>
      <x:c r="D3582" s="9" t="str"/>
      <x:c r="E3582" s="9" t="str"/>
      <x:c r="F3582" s="13" t="str">
        <x:v>2021</x:v>
      </x:c>
      <x:c r="G3582" s="9" t="str">
        <x:v>England and Wales Court of Appeal (Civil Division)</x:v>
      </x:c>
      <x:c r="H3582" s="9" t="str">
        <x:v>Appellate</x:v>
      </x:c>
      <x:c r="I3582" s="9" t="str">
        <x:v>England and Wales</x:v>
      </x:c>
      <x:c r="J3582" s="9" t="str">
        <x:v>Intellectual Property</x:v>
      </x:c>
      <x:c r="K3582" s="9" t="str">
        <x:v>ew-cases-EWCA-Civ-2021-1099.xml</x:v>
      </x:c>
      <x:c r="L3582" s="9" t="str">
        <x:v>TBA</x:v>
      </x:c>
    </x:row>
    <x:row r="3583">
      <x:c r="A3583" t="str">
        <x:v>dd7c9e28-3359-49ec-89df-5f6214150ff1</x:v>
      </x:c>
      <x:c r="B3583" t="str">
        <x:v>1d7bf494-29b4-418a-b97f-1a42bf752608</x:v>
      </x:c>
      <x:c r="C3583" s="9" t="str">
        <x:v>Wynne-Finch &amp; Ors v Natural Resources Body for Wales</x:v>
      </x:c>
      <x:c r="D3583" s="9" t="str"/>
      <x:c r="E3583" s="9" t="str"/>
      <x:c r="F3583" s="13" t="str">
        <x:v>2021</x:v>
      </x:c>
      <x:c r="G3583" s="9" t="str">
        <x:v>England and Wales Court of Appeal (Civil Division)</x:v>
      </x:c>
      <x:c r="H3583" s="9" t="str">
        <x:v>appellate</x:v>
      </x:c>
      <x:c r="I3583" s="9" t="str">
        <x:v>England and Wales</x:v>
      </x:c>
      <x:c r="J3583" s="9" t="str">
        <x:v>Property Law</x:v>
      </x:c>
      <x:c r="K3583" s="9" t="str">
        <x:v>ew-cases-EWCA-Civ-2021-1473.xml</x:v>
      </x:c>
      <x:c r="L3583" s="9" t="str">
        <x:v>TBA</x:v>
      </x:c>
    </x:row>
    <x:row r="3584">
      <x:c r="A3584" t="str">
        <x:v>a2f96fe4-d66b-4b3d-8659-ddc2716490d2</x:v>
      </x:c>
      <x:c r="B3584" t="str">
        <x:v>8e158e76-1f88-4d24-a199-9b674ff2cbab</x:v>
      </x:c>
      <x:c r="C3584" s="9" t="str">
        <x:v>WZ (China) v The Secretary of State for the Home Department [2017] EWCA Civ 795</x:v>
      </x:c>
      <x:c r="D3584" s="9" t="str"/>
      <x:c r="E3584" s="9" t="str"/>
      <x:c r="F3584" s="13" t="str">
        <x:v>2017</x:v>
      </x:c>
      <x:c r="G3584" s="9" t="str">
        <x:v>England and Wales Court of Appeal (Civil Division)</x:v>
      </x:c>
      <x:c r="H3584" s="9" t="str">
        <x:v>Appellate</x:v>
      </x:c>
      <x:c r="I3584" s="9" t="str">
        <x:v>England and Wales</x:v>
      </x:c>
      <x:c r="J3584" s="9" t="str">
        <x:v>Immigration Law</x:v>
      </x:c>
      <x:c r="K3584" s="9" t="str">
        <x:v>-ew-cases-EWCA-Civ-2017-795.xml</x:v>
      </x:c>
      <x:c r="L3584" s="9" t="str">
        <x:v>TBA</x:v>
      </x:c>
    </x:row>
    <x:row r="3585">
      <x:c r="A3585" t="str">
        <x:v>49abfec9-2835-44c0-9651-7d3e3cf988da</x:v>
      </x:c>
      <x:c r="B3585" t="str">
        <x:v>3c21dae7-ea43-4313-805f-7e6b80127c70</x:v>
      </x:c>
      <x:c r="C3585" s="9" t="str">
        <x:v>X (Child Abduction: Habitual Residence) [2022] EWCA Civ 1423</x:v>
      </x:c>
      <x:c r="D3585" s="9" t="str"/>
      <x:c r="E3585" s="9" t="str"/>
      <x:c r="F3585" s="13" t="str">
        <x:v>2022</x:v>
      </x:c>
      <x:c r="G3585" s="9" t="str">
        <x:v>England and Wales Court of Appeal (Civil Division)</x:v>
      </x:c>
      <x:c r="H3585" s="9" t="str">
        <x:v>Court of Appeal (Civil Division)</x:v>
      </x:c>
      <x:c r="I3585" s="9" t="str">
        <x:v>England and Wales</x:v>
      </x:c>
      <x:c r="J3585" s="9" t="str">
        <x:v>International Family Law / Hague Child Abduction Convention</x:v>
      </x:c>
      <x:c r="K3585" s="9" t="str">
        <x:v>ew-cases-EWCA-Civ-2022-1423.xml</x:v>
      </x:c>
      <x:c r="L3585" s="9" t="str">
        <x:v>TBA</x:v>
      </x:c>
    </x:row>
    <x:row r="3586">
      <x:c r="A3586" t="str">
        <x:v>97ee653e-fefc-4402-bb55-9ac816959eb4</x:v>
      </x:c>
      <x:c r="B3586" t="str">
        <x:v>5afb98ad-313f-48dd-b98f-dd546dc3d952</x:v>
      </x:c>
      <x:c r="C3586" s="9" t="str">
        <x:v>X (Children) (Article 61 BIIa) [2021] EWCA Civ 1305</x:v>
      </x:c>
      <x:c r="D3586" s="9" t="str"/>
      <x:c r="E3586" s="9" t="str"/>
      <x:c r="F3586" s="13" t="str">
        <x:v>2021</x:v>
      </x:c>
      <x:c r="G3586" s="9" t="str">
        <x:v>England and Wales Court of Appeal (Civil Division)</x:v>
      </x:c>
      <x:c r="H3586" s="9" t="str">
        <x:v>appellate</x:v>
      </x:c>
      <x:c r="I3586" s="9" t="str">
        <x:v>England and Wales</x:v>
      </x:c>
      <x:c r="J3586" s="9" t="str">
        <x:v>Family Law</x:v>
      </x:c>
      <x:c r="K3586" s="9" t="str">
        <x:v>ew-cases-EWCA-Civ-2021-1305.xml</x:v>
      </x:c>
      <x:c r="L3586" s="9" t="str">
        <x:v>TBA</x:v>
      </x:c>
    </x:row>
    <x:row r="3587">
      <x:c r="A3587" t="str">
        <x:v>c1eab6ac-4502-4058-8374-ff60a242bca7</x:v>
      </x:c>
      <x:c r="B3587" t="str">
        <x:v>4c361b4b-0e20-483b-8cd3-b6edbb9bc3e4</x:v>
      </x:c>
      <x:c r="C3587" s="9" t="str">
        <x:v>X (Children) [2022] EWCA Civ 1167</x:v>
      </x:c>
      <x:c r="D3587" s="9" t="str"/>
      <x:c r="E3587" s="9" t="str"/>
      <x:c r="F3587" s="13" t="str">
        <x:v>2022</x:v>
      </x:c>
      <x:c r="G3587" s="9" t="str">
        <x:v>England and Wales Court of Appeal (Civil Division)</x:v>
      </x:c>
      <x:c r="H3587" s="9" t="str">
        <x:v>Court of Appeal (Civil Division)</x:v>
      </x:c>
      <x:c r="I3587" s="9" t="str">
        <x:v>England and Wales</x:v>
      </x:c>
      <x:c r="J3587" s="9" t="str">
        <x:v>Family Law – Children; International jurisdiction and cross-border parenting</x:v>
      </x:c>
      <x:c r="K3587" s="9" t="str">
        <x:v>ew-cases-EWCA-Civ-2022-1167.xml</x:v>
      </x:c>
      <x:c r="L3587" s="9" t="str">
        <x:v>TBA</x:v>
      </x:c>
    </x:row>
    <x:row r="3588">
      <x:c r="A3588" t="str">
        <x:v>b2e8b65b-15e2-4c83-96bb-f2a160088fdf</x:v>
      </x:c>
      <x:c r="B3588" t="str">
        <x:v>76e293c9-0c08-4024-88d8-e80389d1c0f3</x:v>
      </x:c>
      <x:c r="C3588" s="9" t="str">
        <x:v>X &amp; Anor v Z (Children) &amp; Anor [2015] EWCA Civ 34: Use of DNA Profiles in Family Proceedings</x:v>
      </x:c>
      <x:c r="D3588" s="9" t="str"/>
      <x:c r="E3588" s="9" t="str"/>
      <x:c r="F3588" s="13" t="str">
        <x:v>2015</x:v>
      </x:c>
      <x:c r="G3588" s="9" t="str">
        <x:v>England and Wales Court of Appeal (Civil Division)</x:v>
      </x:c>
      <x:c r="H3588" s="9" t="str">
        <x:v>Appellate</x:v>
      </x:c>
      <x:c r="I3588" s="9" t="str">
        <x:v>England and Wales</x:v>
      </x:c>
      <x:c r="J3588" s="9" t="str">
        <x:v>Family Law</x:v>
      </x:c>
      <x:c r="K3588" s="9" t="str">
        <x:v>-ew-cases-EWCA-Civ-2015-34.xml</x:v>
      </x:c>
      <x:c r="L3588" s="9" t="str">
        <x:v>TBA</x:v>
      </x:c>
    </x:row>
    <x:row r="3589">
      <x:c r="A3589" t="str">
        <x:v>42f5386b-763f-46de-a9bb-569c40fa30c6</x:v>
      </x:c>
      <x:c r="B3589" t="str">
        <x:v>d68201b1-3416-4c24-9e20-e18494befe1c</x:v>
      </x:c>
      <x:c r="C3589" s="9" t="str">
        <x:v>X &amp; Ors, R (On the Application Of) v The Secretary of State for the Home Department</x:v>
      </x:c>
      <x:c r="D3589" s="9" t="str"/>
      <x:c r="E3589" s="9" t="str"/>
      <x:c r="F3589" s="13" t="str">
        <x:v>2021</x:v>
      </x:c>
      <x:c r="G3589" s="9" t="str">
        <x:v>England and Wales Court of Appeal (Civil Division)</x:v>
      </x:c>
      <x:c r="H3589" s="9" t="str">
        <x:v>Appellate</x:v>
      </x:c>
      <x:c r="I3589" s="9" t="str">
        <x:v>England and Wales</x:v>
      </x:c>
      <x:c r="J3589" s="9" t="str">
        <x:v>Immigration Law</x:v>
      </x:c>
      <x:c r="K3589" s="9" t="str">
        <x:v>ew-cases-EWCA-Civ-2021-1480.xml</x:v>
      </x:c>
      <x:c r="L3589" s="9" t="str">
        <x:v>TBA</x:v>
      </x:c>
    </x:row>
    <x:row r="3590">
      <x:c r="A3590" t="str">
        <x:v>41639342-8337-4ab1-aeb3-a0d63051067b</x:v>
      </x:c>
      <x:c r="B3590" t="str">
        <x:v>680b5046-8d79-4dae-b85d-4a6b5f772200</x:v>
      </x:c>
      <x:c r="C3590" s="9" t="str">
        <x:v>X v Y [2014] EWCA Civ 1465: Appeal for Permission to Intervene in Family Ancillary Relief Proceedings</x:v>
      </x:c>
      <x:c r="D3590" s="9" t="str"/>
      <x:c r="E3590" s="9" t="str"/>
      <x:c r="F3590" s="13" t="str">
        <x:v>2014</x:v>
      </x:c>
      <x:c r="G3590" s="9" t="str">
        <x:v>England and Wales Court of Appeal (Civil Division)</x:v>
      </x:c>
      <x:c r="H3590" s="9" t="str">
        <x:v>Appellate</x:v>
      </x:c>
      <x:c r="I3590" s="9" t="str">
        <x:v>England and Wales</x:v>
      </x:c>
      <x:c r="J3590" s="9" t="str">
        <x:v>Family Law</x:v>
      </x:c>
      <x:c r="K3590" s="9" t="str">
        <x:v>-ew-cases-EWCA-Civ-2014-1465.xml</x:v>
      </x:c>
      <x:c r="L3590" s="9" t="str">
        <x:v>TBA</x:v>
      </x:c>
    </x:row>
    <x:row r="3591">
      <x:c r="A3591" t="str">
        <x:v>815835e6-44c4-4e7a-b57c-790a5e7c69f0</x:v>
      </x:c>
      <x:c r="B3591" t="str">
        <x:v>00f4d73a-59b4-40bd-a40b-4dd5dfb0916b</x:v>
      </x:c>
      <x:c r="C3591" s="9" t="str">
        <x:v>X-N (A Child), Re [2014] EWCA Civ 1775</x:v>
      </x:c>
      <x:c r="D3591" s="9" t="str"/>
      <x:c r="E3591" s="9" t="str"/>
      <x:c r="F3591" s="13" t="str">
        <x:v>2014</x:v>
      </x:c>
      <x:c r="G3591" s="9" t="str">
        <x:v>England and Wales Court of Appeal (Civil Division)</x:v>
      </x:c>
      <x:c r="H3591" s="9" t="str">
        <x:v>Appellate</x:v>
      </x:c>
      <x:c r="I3591" s="9" t="str">
        <x:v>England and Wales</x:v>
      </x:c>
      <x:c r="J3591" s="9" t="str">
        <x:v>Family Law</x:v>
      </x:c>
      <x:c r="K3591" s="9" t="str">
        <x:v>-ew-cases-EWCA-Civ-2014-1775.xml</x:v>
      </x:c>
      <x:c r="L3591" s="9" t="str">
        <x:v>TBA</x:v>
      </x:c>
    </x:row>
    <x:row r="3592">
      <x:c r="A3592" t="str">
        <x:v>77aa48f6-69d1-4794-b4d6-1153f8c0f1ad</x:v>
      </x:c>
      <x:c r="B3592" t="str">
        <x:v>d6938848-6263-4913-8294-68c6e5aca496</x:v>
      </x:c>
      <x:c r="C3592" s="9" t="str">
        <x:v>Xerox (UK) Ltd &amp; Ors v Zeb [2017] EWCA Civ 2137</x:v>
      </x:c>
      <x:c r="D3592" s="9" t="str"/>
      <x:c r="E3592" s="9" t="str"/>
      <x:c r="F3592" s="13" t="str">
        <x:v>2017</x:v>
      </x:c>
      <x:c r="G3592" s="9" t="str">
        <x:v>England and Wales Court of Appeal (Civil Division)</x:v>
      </x:c>
      <x:c r="H3592" s="9" t="str">
        <x:v>appellate</x:v>
      </x:c>
      <x:c r="I3592" s="9" t="str">
        <x:v>England and Wales</x:v>
      </x:c>
      <x:c r="J3592" s="9" t="str">
        <x:v>Employment Law</x:v>
      </x:c>
      <x:c r="K3592" s="9" t="str">
        <x:v>-ew-cases-EWCA-Civ-2017-2137.xml</x:v>
      </x:c>
      <x:c r="L3592" s="9" t="str">
        <x:v>TBA</x:v>
      </x:c>
    </x:row>
    <x:row r="3593">
      <x:c r="A3593" t="str">
        <x:v>5c2cf017-ebdb-4591-ab1f-2f15cb7db796</x:v>
      </x:c>
      <x:c r="B3593" t="str">
        <x:v>e957afed-ac22-41af-9250-7230a93454d1</x:v>
      </x:c>
      <x:c r="C3593" s="9" t="str">
        <x:v>XPL Ltd, R (On the Application Of) v Harlow Council [2016] EWCA Civ 378</x:v>
      </x:c>
      <x:c r="D3593" s="9" t="str"/>
      <x:c r="E3593" s="9" t="str"/>
      <x:c r="F3593" s="13" t="str">
        <x:v>2016</x:v>
      </x:c>
      <x:c r="G3593" s="9" t="str">
        <x:v>England and Wales Court of Appeal (Civil Division)</x:v>
      </x:c>
      <x:c r="H3593" s="9" t="str">
        <x:v>Court of Appeal (Civil Division)</x:v>
      </x:c>
      <x:c r="I3593" s="9" t="str">
        <x:v>England and Wales</x:v>
      </x:c>
      <x:c r="J3593" s="9" t="str">
        <x:v>Planning and Administrative Law</x:v>
      </x:c>
      <x:c r="K3593" s="9" t="str">
        <x:v>-ew-cases-EWCA-Civ-2016-378.xml</x:v>
      </x:c>
      <x:c r="L3593" s="9" t="str">
        <x:v>TBA</x:v>
      </x:c>
    </x:row>
    <x:row r="3594">
      <x:c r="A3594" t="str">
        <x:v>9af0027c-3be9-4a35-a5ca-56d77d0a6d4e</x:v>
      </x:c>
      <x:c r="B3594" t="str">
        <x:v>792fc27c-8b1e-4c22-a85d-5f899c0ca065</x:v>
      </x:c>
      <x:c r="C3594" s="9" t="str">
        <x:v>Y (Children), Re [2014] EWCA Civ 1287</x:v>
      </x:c>
      <x:c r="D3594" s="9" t="str"/>
      <x:c r="E3594" s="9" t="str"/>
      <x:c r="F3594" s="13" t="str">
        <x:v>2014</x:v>
      </x:c>
      <x:c r="G3594" s="9" t="str">
        <x:v>England and Wales Court of Appeal (Civil Division)</x:v>
      </x:c>
      <x:c r="H3594" s="9" t="str">
        <x:v>Appellate</x:v>
      </x:c>
      <x:c r="I3594" s="9" t="str">
        <x:v>England and Wales</x:v>
      </x:c>
      <x:c r="J3594" s="9" t="str">
        <x:v>Family Law</x:v>
      </x:c>
      <x:c r="K3594" s="9" t="str">
        <x:v>-ew-cases-EWCA-Civ-2014-1287.xml</x:v>
      </x:c>
      <x:c r="L3594" s="9" t="str">
        <x:v>TBA</x:v>
      </x:c>
    </x:row>
    <x:row r="3595">
      <x:c r="A3595" t="str">
        <x:v>c7379f9e-83fe-4cc3-aecc-36b9440cfd1f</x:v>
      </x:c>
      <x:c r="B3595" t="str">
        <x:v>9639a7d2-d3e8-4dbe-b724-d84c36208bbd</x:v>
      </x:c>
      <x:c r="C3595" s="9" t="str">
        <x:v>Y (Children), Re [2016] EWCA Civ 1091 (08 November 2016)</x:v>
      </x:c>
      <x:c r="D3595" s="9" t="str"/>
      <x:c r="E3595" s="9" t="str"/>
      <x:c r="F3595" s="13" t="str">
        <x:v>2016</x:v>
      </x:c>
      <x:c r="G3595" s="9" t="str">
        <x:v>England and Wales Court of Appeal (Civil Division)</x:v>
      </x:c>
      <x:c r="H3595" s="9" t="str">
        <x:v>Court of Appeal (Civil Division)</x:v>
      </x:c>
      <x:c r="I3595" s="9" t="str">
        <x:v>England and Wales</x:v>
      </x:c>
      <x:c r="J3595" s="9" t="str">
        <x:v>Family Law - Care Proceedings and Adoption</x:v>
      </x:c>
      <x:c r="K3595" s="9" t="str">
        <x:v>-ew-cases-EWCA-Civ-2016-1091.xml</x:v>
      </x:c>
      <x:c r="L3595" s="9" t="str">
        <x:v>TBA</x:v>
      </x:c>
    </x:row>
    <x:row r="3596">
      <x:c r="A3596" t="str">
        <x:v>d9d061d9-7dc9-4f9c-bbc8-facc4da1506b</x:v>
      </x:c>
      <x:c r="B3596" t="str">
        <x:v>e0750cee-652e-4677-bbd5-834410ae06d2</x:v>
      </x:c>
      <x:c r="C3596" s="9" t="str">
        <x:v>Yadly Marketing Company Limited v Secretary of State for the Home Department</x:v>
      </x:c>
      <x:c r="D3596" s="9" t="str"/>
      <x:c r="E3596" s="9" t="str"/>
      <x:c r="F3596" s="13" t="str">
        <x:v>2016</x:v>
      </x:c>
      <x:c r="G3596" s="9" t="str">
        <x:v>England and Wales Court of Appeal (Civil Division)</x:v>
      </x:c>
      <x:c r="H3596" s="9" t="str">
        <x:v>Court of Appeal (Civil Division)</x:v>
      </x:c>
      <x:c r="I3596" s="9" t="str">
        <x:v>England and Wales</x:v>
      </x:c>
      <x:c r="J3596" s="9" t="str">
        <x:v>Administrative Law</x:v>
      </x:c>
      <x:c r="K3596" s="9" t="str">
        <x:v>-ew-cases-EWCA-Civ-2016-1143.xml</x:v>
      </x:c>
      <x:c r="L3596" s="9" t="str">
        <x:v>TBA</x:v>
      </x:c>
    </x:row>
    <x:row r="3597">
      <x:c r="A3597" t="str">
        <x:v>7b29b5e8-2e2d-4773-b4d8-4c663b0134ab</x:v>
      </x:c>
      <x:c r="B3597" t="str">
        <x:v>fd6cc9fd-2a86-49b6-ac15-4e1f5f3533ba</x:v>
      </x:c>
      <x:c r="C3597" s="9" t="str">
        <x:v>Yang v The Official Receiver [2017] EWCA Civ 1465</x:v>
      </x:c>
      <x:c r="D3597" s="9" t="str"/>
      <x:c r="E3597" s="9" t="str"/>
      <x:c r="F3597" s="13" t="str">
        <x:v>2017</x:v>
      </x:c>
      <x:c r="G3597" s="9" t="str">
        <x:v>England and Wales Court of Appeal (Civil Division)</x:v>
      </x:c>
      <x:c r="H3597" s="9" t="str">
        <x:v>Appellate</x:v>
      </x:c>
      <x:c r="I3597" s="9" t="str">
        <x:v>England and Wales</x:v>
      </x:c>
      <x:c r="J3597" s="9" t="str">
        <x:v>Insolvency</x:v>
      </x:c>
      <x:c r="K3597" s="9" t="str">
        <x:v>-ew-cases-EWCA-Civ-2017-1465.xml</x:v>
      </x:c>
      <x:c r="L3597" s="9" t="str">
        <x:v>TBA</x:v>
      </x:c>
    </x:row>
    <x:row r="3598">
      <x:c r="A3598" t="str">
        <x:v>381e5e44-0fe1-43fc-bd6f-a7ab4e4234e0</x:v>
      </x:c>
      <x:c r="B3598" t="str">
        <x:v>53e4e4d6-7fe9-4d97-a56c-d55311748151</x:v>
      </x:c>
      <x:c r="C3598" s="9" t="str">
        <x:v>Yapp v Foreign and Commonwealth Office</x:v>
      </x:c>
      <x:c r="D3598" s="9" t="str"/>
      <x:c r="E3598" s="9" t="str"/>
      <x:c r="F3598" s="13" t="str">
        <x:v>2014</x:v>
      </x:c>
      <x:c r="G3598" s="9" t="str">
        <x:v>England and Wales Court of Appeal (Civil Division)</x:v>
      </x:c>
      <x:c r="H3598" s="9" t="str">
        <x:v>Appellate</x:v>
      </x:c>
      <x:c r="I3598" s="9" t="str">
        <x:v>England and Wales</x:v>
      </x:c>
      <x:c r="J3598" s="9" t="str">
        <x:v>Employment Law</x:v>
      </x:c>
      <x:c r="K3598" s="9" t="str">
        <x:v>-ew-cases-EWCA-Civ-2014-1512.xml</x:v>
      </x:c>
      <x:c r="L3598" s="9" t="str">
        <x:v>TBA</x:v>
      </x:c>
    </x:row>
    <x:row r="3599">
      <x:c r="A3599" t="str">
        <x:v>6d737b04-8492-4dc3-bb42-a02eae198b32</x:v>
      </x:c>
      <x:c r="B3599" t="str">
        <x:v>a68c8606-fca8-4775-8a58-b4f31608bb24</x:v>
      </x:c>
      <x:c r="C3599" s="9" t="str">
        <x:v>Yates &amp; Anor v Great Ormond Street Hospital For Children NHS Foundation Trust &amp; Anor</x:v>
      </x:c>
      <x:c r="D3599" s="9" t="str"/>
      <x:c r="E3599" s="9" t="str"/>
      <x:c r="F3599" s="13" t="str">
        <x:v>2017</x:v>
      </x:c>
      <x:c r="G3599" s="9" t="str">
        <x:v>England and Wales Court of Appeal (Civil Division)</x:v>
      </x:c>
      <x:c r="H3599" s="9" t="str">
        <x:v>appellate</x:v>
      </x:c>
      <x:c r="I3599" s="9" t="str">
        <x:v>England and Wales</x:v>
      </x:c>
      <x:c r="J3599" s="9" t="str">
        <x:v>Medical Ethics and Child Welfare</x:v>
      </x:c>
      <x:c r="K3599" s="9" t="str">
        <x:v>-ew-cases-EWCA-Civ-2017-410.xml</x:v>
      </x:c>
      <x:c r="L3599" s="9" t="str">
        <x:v>TBA</x:v>
      </x:c>
    </x:row>
    <x:row r="3600">
      <x:c r="A3600" t="str">
        <x:v>cc33d93d-19e3-4b2f-8e80-f102b30115fe</x:v>
      </x:c>
      <x:c r="B3600" t="str">
        <x:v>e33a97b5-a041-412b-8069-3cf22ac2edee</x:v>
      </x:c>
      <x:c r="C3600" s="9" t="str">
        <x:v>Yegiazaryan v Smagin [2016] EWCA Civ 1290</x:v>
      </x:c>
      <x:c r="D3600" s="9" t="str"/>
      <x:c r="E3600" s="9" t="str"/>
      <x:c r="F3600" s="13" t="str">
        <x:v>2016</x:v>
      </x:c>
      <x:c r="G3600" s="9" t="str">
        <x:v>England and Wales Court of Appeal (Civil Division)</x:v>
      </x:c>
      <x:c r="H3600" s="9" t="str">
        <x:v>Court of Appeal (Civil Division)</x:v>
      </x:c>
      <x:c r="I3600" s="9" t="str">
        <x:v>England and Wales</x:v>
      </x:c>
      <x:c r="J3600" s="9" t="str">
        <x:v>Arbitration / Contract</x:v>
      </x:c>
      <x:c r="K3600" s="9" t="str">
        <x:v>-ew-cases-EWCA-Civ-2016-1290.xml</x:v>
      </x:c>
      <x:c r="L3600" s="9" t="str">
        <x:v>TBA</x:v>
      </x:c>
    </x:row>
    <x:row r="3601">
      <x:c r="A3601" t="str">
        <x:v>44b9722c-eae0-492e-8ded-8f3f75f3784c</x:v>
      </x:c>
      <x:c r="B3601" t="str">
        <x:v>ed632e73-6a2e-42ef-bbe8-e3a34627622f</x:v>
      </x:c>
      <x:c r="C3601" s="9" t="str">
        <x:v>Yemgas FZCO &amp; Ors v Superior Pescadores S.A. [2016] EWCA Civ 101</x:v>
      </x:c>
      <x:c r="D3601" s="9" t="str"/>
      <x:c r="E3601" s="9" t="str"/>
      <x:c r="F3601" s="13" t="str">
        <x:v>2016</x:v>
      </x:c>
      <x:c r="G3601" s="9" t="str">
        <x:v>England and Wales Court of Appeal (Civil Division)</x:v>
      </x:c>
      <x:c r="H3601" s="9" t="str">
        <x:v>Court of Appeal (Civil Division)</x:v>
      </x:c>
      <x:c r="I3601" s="9" t="str">
        <x:v>England and Wales</x:v>
      </x:c>
      <x:c r="J3601" s="9" t="str">
        <x:v>Contract/Commercial Maritime Law</x:v>
      </x:c>
      <x:c r="K3601" s="9" t="str">
        <x:v>-ew-cases-EWCA-Civ-2016-101.xml</x:v>
      </x:c>
      <x:c r="L3601" s="9" t="str">
        <x:v>TBA</x:v>
      </x:c>
    </x:row>
    <x:row r="3602">
      <x:c r="A3602" t="str">
        <x:v>06599c12-8903-467b-9991-1ab855157b7f</x:v>
      </x:c>
      <x:c r="B3602" t="str">
        <x:v>8d1cabb8-781d-4ede-be84-b5532b881f0f</x:v>
      </x:c>
      <x:c r="C3602" s="9" t="str">
        <x:v>Yentob v MGN Ltd [2015] EWCA Civ 1292</x:v>
      </x:c>
      <x:c r="D3602" s="9" t="str"/>
      <x:c r="E3602" s="9" t="str"/>
      <x:c r="F3602" s="13" t="str">
        <x:v>2015</x:v>
      </x:c>
      <x:c r="G3602" s="9" t="str">
        <x:v>England and Wales Court of Appeal (Civil Division)</x:v>
      </x:c>
      <x:c r="H3602" s="9" t="str">
        <x:v>Appellate</x:v>
      </x:c>
      <x:c r="I3602" s="9" t="str">
        <x:v>England and Wales</x:v>
      </x:c>
      <x:c r="J3602" s="9" t="str">
        <x:v>Civil Appeal</x:v>
      </x:c>
      <x:c r="K3602" s="9" t="str">
        <x:v>-ew-cases-EWCA-Civ-2015-1292.xml</x:v>
      </x:c>
      <x:c r="L3602" s="9" t="str">
        <x:v>TBA</x:v>
      </x:c>
    </x:row>
    <x:row r="3603">
      <x:c r="A3603" t="str">
        <x:v>f6bbfd17-ee3e-4fcf-ad39-f9b81eea21af</x:v>
      </x:c>
      <x:c r="B3603" t="str">
        <x:v>5a42b4bc-fe8f-47be-9b13-869933b2ddff</x:v>
      </x:c>
      <x:c r="C3603" s="9" t="str">
        <x:v>Yetkin v London Borough of Newham ([2010] EWCA Civ 776)</x:v>
      </x:c>
      <x:c r="D3603" s="9" t="str"/>
      <x:c r="E3603" s="9" t="str"/>
      <x:c r="F3603" s="13" t="str">
        <x:v>2010</x:v>
      </x:c>
      <x:c r="G3603" s="9" t="str">
        <x:v>England and Wales Court of Appeal (Civil Division)</x:v>
      </x:c>
      <x:c r="H3603" s="9" t="str">
        <x:v>Appellate</x:v>
      </x:c>
      <x:c r="I3603" s="9" t="str">
        <x:v>England and Wales</x:v>
      </x:c>
      <x:c r="J3603" s="9" t="str">
        <x:v>Tort</x:v>
      </x:c>
      <x:c r="K3603" s="9" t="str">
        <x:v>PT_EWCA-Civ_2010_776.xml</x:v>
      </x:c>
      <x:c r="L3603" s="9" t="str">
        <x:v>TBA</x:v>
      </x:c>
    </x:row>
    <x:row r="3604">
      <x:c r="A3604" t="str">
        <x:v>126b4f9a-b4f5-43a6-9a9d-19fe184b7e26</x:v>
      </x:c>
      <x:c r="B3604" t="str">
        <x:v>6731c2a8-92b0-4e08-8743-87237e133e21</x:v>
      </x:c>
      <x:c r="C3604" s="9" t="str">
        <x:v>Yeung v Potel &amp; Anor [2014] EWCA Civ 481</x:v>
      </x:c>
      <x:c r="D3604" s="9" t="str"/>
      <x:c r="E3604" s="9" t="str"/>
      <x:c r="F3604" s="13" t="str">
        <x:v>2014</x:v>
      </x:c>
      <x:c r="G3604" s="9" t="str">
        <x:v>England and Wales Court of Appeal (Civil Division)</x:v>
      </x:c>
      <x:c r="H3604" s="9" t="str">
        <x:v>Appellate</x:v>
      </x:c>
      <x:c r="I3604" s="9" t="str">
        <x:v>England and Wales</x:v>
      </x:c>
      <x:c r="J3604" s="9" t="str">
        <x:v>Property Law</x:v>
      </x:c>
      <x:c r="K3604" s="9" t="str">
        <x:v>-ew-cases-EWCA-Civ-2014-481.xml</x:v>
      </x:c>
      <x:c r="L3604" s="9" t="str">
        <x:v>TBA</x:v>
      </x:c>
    </x:row>
    <x:row r="3605">
      <x:c r="A3605" t="str">
        <x:v>ce0deee3-5548-43c4-a8d1-4bb5798ad39d</x:v>
      </x:c>
      <x:c r="B3605" t="str">
        <x:v>f907f7e1-d393-468b-8b8f-9ef35c5375c1</x:v>
      </x:c>
      <x:c r="C3605" s="9" t="str">
        <x:v>Yilmaz &amp; Anor v Secretary of State for the Home Department [2022] EWCA Civ 300</x:v>
      </x:c>
      <x:c r="D3605" s="9" t="str"/>
      <x:c r="E3605" s="9" t="str"/>
      <x:c r="F3605" s="13" t="str">
        <x:v>2022</x:v>
      </x:c>
      <x:c r="G3605" s="9" t="str">
        <x:v>England and Wales Court of Appeal (Civil Division)</x:v>
      </x:c>
      <x:c r="H3605" s="9" t="str">
        <x:v>Court of Appeal (Civil Division)</x:v>
      </x:c>
      <x:c r="I3605" s="9" t="str">
        <x:v>England and Wales</x:v>
      </x:c>
      <x:c r="J3605" s="9" t="str">
        <x:v>Judicial Review / Administrative Law; Human Rights / Deportation</x:v>
      </x:c>
      <x:c r="K3605" s="9" t="str">
        <x:v>ew-cases-EWCA-Civ-2022-300.xml</x:v>
      </x:c>
      <x:c r="L3605" s="9" t="str">
        <x:v>TBA</x:v>
      </x:c>
    </x:row>
    <x:row r="3606">
      <x:c r="A3606" t="str">
        <x:v>d818f714-52a7-42f2-930f-78fd1b88407b</x:v>
      </x:c>
      <x:c r="B3606" t="str">
        <x:v>19465201-6315-4b1f-b640-b478dcfa3698</x:v>
      </x:c>
      <x:c r="C3606" s="9" t="str">
        <x:v>Yin &amp; Ors v 174 Law Solicitors Limited [2023] EWCA Civ 13</x:v>
      </x:c>
      <x:c r="D3606" s="9" t="str"/>
      <x:c r="E3606" s="9" t="str"/>
      <x:c r="F3606" s="13" t="str">
        <x:v>2023</x:v>
      </x:c>
      <x:c r="G3606" s="9" t="str">
        <x:v>England and Wales Court of Appeal (Civil Division)</x:v>
      </x:c>
      <x:c r="H3606" s="9" t="str">
        <x:v>Court of Appeal (Civil Division)</x:v>
      </x:c>
      <x:c r="I3606" s="9" t="str">
        <x:v>England and Wales</x:v>
      </x:c>
      <x:c r="J3606" s="9" t="str">
        <x:v>Contract and Trust Law in the context of property development; Stakeholder deposits; Construction financing</x:v>
      </x:c>
      <x:c r="K3606" s="9" t="str">
        <x:v>ew-cases-EWCA-Civ-2023-13.xml</x:v>
      </x:c>
      <x:c r="L3606" s="9" t="str">
        <x:v>TBA</x:v>
      </x:c>
    </x:row>
    <x:row r="3607">
      <x:c r="A3607" t="str">
        <x:v>7fef2808-d2bf-45e9-918e-7d6e6e2b0021</x:v>
      </x:c>
      <x:c r="B3607" t="str">
        <x:v>7cdda619-4abd-449d-ab38-3a8b81f21f8c</x:v>
      </x:c>
      <x:c r="C3607" s="9" t="str">
        <x:v>YM (Uganda) v Secretary of State for the Home Department</x:v>
      </x:c>
      <x:c r="D3607" s="9" t="str"/>
      <x:c r="E3607" s="9" t="str"/>
      <x:c r="F3607" s="13" t="str">
        <x:v>2014</x:v>
      </x:c>
      <x:c r="G3607" s="9" t="str">
        <x:v>England and Wales Court of Appeal (Civil Division)</x:v>
      </x:c>
      <x:c r="H3607" s="9" t="str">
        <x:v>Appellate</x:v>
      </x:c>
      <x:c r="I3607" s="9" t="str">
        <x:v>England and Wales</x:v>
      </x:c>
      <x:c r="J3607" s="9" t="str">
        <x:v>Immigration Law</x:v>
      </x:c>
      <x:c r="K3607" s="9" t="str">
        <x:v>-ew-cases-EWCA-Civ-2014-1292.xml</x:v>
      </x:c>
      <x:c r="L3607" s="9" t="str">
        <x:v>TBA</x:v>
      </x:c>
    </x:row>
    <x:row r="3608">
      <x:c r="A3608" t="str">
        <x:v>b51c8309-b17c-402f-9963-daf5887b508b</x:v>
      </x:c>
      <x:c r="B3608" t="str">
        <x:v>f9d0491b-eda1-493d-a944-28c8891bb87a</x:v>
      </x:c>
      <x:c r="C3608" s="9" t="str">
        <x:v>Yoo Design Services Ltd v Iliv Realty PTE Ltd</x:v>
      </x:c>
      <x:c r="D3608" s="9" t="str"/>
      <x:c r="E3608" s="9" t="str"/>
      <x:c r="F3608" s="13" t="str">
        <x:v>2021</x:v>
      </x:c>
      <x:c r="G3608" s="9" t="str">
        <x:v>England and Wales Court of Appeal (Civil Division)</x:v>
      </x:c>
      <x:c r="H3608" s="9" t="str">
        <x:v>Appellate</x:v>
      </x:c>
      <x:c r="I3608" s="9" t="str">
        <x:v>England and Wales</x:v>
      </x:c>
      <x:c r="J3608" s="9" t="str">
        <x:v>Contract Dispute</x:v>
      </x:c>
      <x:c r="K3608" s="9" t="str">
        <x:v>ew-cases-EWCA-Civ-2021-560.xml</x:v>
      </x:c>
      <x:c r="L3608" s="9" t="str">
        <x:v>TBA</x:v>
      </x:c>
    </x:row>
    <x:row r="3609">
      <x:c r="A3609" t="str">
        <x:v>6dab37ef-3594-495e-a834-ba9f4ff2f387</x:v>
      </x:c>
      <x:c r="B3609" t="str">
        <x:v>6cf773c1-5b67-4073-956f-031ee8f2d52c</x:v>
      </x:c>
      <x:c r="C3609" s="9" t="str">
        <x:v>Young v Anglo American South Africa Ltd &amp; Ors</x:v>
      </x:c>
      <x:c r="D3609" s="9" t="str"/>
      <x:c r="E3609" s="9" t="str"/>
      <x:c r="F3609" s="13" t="str">
        <x:v>2014</x:v>
      </x:c>
      <x:c r="G3609" s="9" t="str">
        <x:v>England and Wales Court of Appeal (Civil Division)</x:v>
      </x:c>
      <x:c r="H3609" s="9" t="str">
        <x:v>Appellate</x:v>
      </x:c>
      <x:c r="I3609" s="9" t="str">
        <x:v>England and Wales</x:v>
      </x:c>
      <x:c r="J3609" s="9" t="str">
        <x:v>Jurisdiction Dispute</x:v>
      </x:c>
      <x:c r="K3609" s="9" t="str">
        <x:v>-ew-cases-EWCA-Civ-2014-1130.xml</x:v>
      </x:c>
      <x:c r="L3609" s="9" t="str">
        <x:v>TBA</x:v>
      </x:c>
    </x:row>
    <x:row r="3610">
      <x:c r="A3610" t="str">
        <x:v>073628f5-5b0a-4064-a1f6-05f0712b2496</x:v>
      </x:c>
      <x:c r="B3610" t="str">
        <x:v>f8c639fc-214e-478f-ab7b-cbfab921eced</x:v>
      </x:c>
      <x:c r="C3610" s="9" t="str">
        <x:v>Your Response Ltd v Datateam Business Media Ltd</x:v>
      </x:c>
      <x:c r="D3610" s="9" t="str"/>
      <x:c r="E3610" s="9" t="str"/>
      <x:c r="F3610" s="13" t="str">
        <x:v>2014</x:v>
      </x:c>
      <x:c r="G3610" s="9" t="str">
        <x:v>England and Wales Court of Appeal (Civil Division)</x:v>
      </x:c>
      <x:c r="H3610" s="9" t="str">
        <x:v>appellate</x:v>
      </x:c>
      <x:c r="I3610" s="9" t="str">
        <x:v>England and Wales</x:v>
      </x:c>
      <x:c r="J3610" s="9" t="str">
        <x:v>Contract Dispute</x:v>
      </x:c>
      <x:c r="K3610" s="9" t="str">
        <x:v>-ew-cases-EWCA-Civ-2014-281.xml</x:v>
      </x:c>
      <x:c r="L3610" s="9" t="str">
        <x:v>TBA</x:v>
      </x:c>
    </x:row>
    <x:row r="3611">
      <x:c r="A3611" t="str">
        <x:v>4955e016-4d52-44f0-ac44-57dc6dfab9fc</x:v>
      </x:c>
      <x:c r="B3611" t="str">
        <x:v>5d7e29e9-b296-4cdc-92f3-ddaa50e8b1c5</x:v>
      </x:c>
      <x:c r="C3611" s="9" t="str">
        <x:v>Yousif v Commissioner of Police for the Metropolis [2016] EWCA Civ 364</x:v>
      </x:c>
      <x:c r="D3611" s="9" t="str"/>
      <x:c r="E3611" s="9" t="str"/>
      <x:c r="F3611" s="13" t="str">
        <x:v>2016</x:v>
      </x:c>
      <x:c r="G3611" s="9" t="str">
        <x:v>England and Wales Court of Appeal (Civil Division)</x:v>
      </x:c>
      <x:c r="H3611" s="9" t="str">
        <x:v>Court of Appeal (Civil Division)</x:v>
      </x:c>
      <x:c r="I3611" s="9" t="str">
        <x:v>England and Wales</x:v>
      </x:c>
      <x:c r="J3611" s="9" t="str">
        <x:v>Civil Appeal</x:v>
      </x:c>
      <x:c r="K3611" s="9" t="str">
        <x:v>-ew-cases-EWCA-Civ-2016-364.xml</x:v>
      </x:c>
      <x:c r="L3611" s="9" t="str">
        <x:v>TBA</x:v>
      </x:c>
    </x:row>
    <x:row r="3612">
      <x:c r="A3612" t="str">
        <x:v>2ac1cf4d-9d8f-43d6-96a7-56f13cf941e9</x:v>
      </x:c>
      <x:c r="B3612" t="str">
        <x:v>263eee40-14b4-40aa-8b6d-47da6b0fa9b3</x:v>
      </x:c>
      <x:c r="C3612" s="9" t="str">
        <x:v>Youssefi v Mussellwhite [2014] EWCA Civ 885</x:v>
      </x:c>
      <x:c r="D3612" s="9" t="str"/>
      <x:c r="E3612" s="9" t="str"/>
      <x:c r="F3612" s="13" t="str">
        <x:v>2014</x:v>
      </x:c>
      <x:c r="G3612" s="9" t="str">
        <x:v>England and Wales Court of Appeal (Civil Division)</x:v>
      </x:c>
      <x:c r="H3612" s="9" t="str">
        <x:v>Appellate</x:v>
      </x:c>
      <x:c r="I3612" s="9" t="str">
        <x:v>England and Wales</x:v>
      </x:c>
      <x:c r="J3612" s="9" t="str">
        <x:v>Property Law</x:v>
      </x:c>
      <x:c r="K3612" s="9" t="str">
        <x:v>-ew-cases-EWCA-Civ-2014-885.xml</x:v>
      </x:c>
      <x:c r="L3612" s="9" t="str">
        <x:v>TBA</x:v>
      </x:c>
    </x:row>
    <x:row r="3613">
      <x:c r="A3613" t="str">
        <x:v>63a9fcad-429e-4bd7-a751-fefe4f3fc980</x:v>
      </x:c>
      <x:c r="B3613" t="str">
        <x:v>21ced00c-6780-422f-a26b-d8a6b98f3fd3</x:v>
      </x:c>
      <x:c r="C3613" s="9" t="str">
        <x:v>YP (Sri Lanka) v Secretary of State for the Home Department</x:v>
      </x:c>
      <x:c r="D3613" s="9" t="str"/>
      <x:c r="E3613" s="9" t="str"/>
      <x:c r="F3613" s="13" t="str">
        <x:v>2015</x:v>
      </x:c>
      <x:c r="G3613" s="9" t="str">
        <x:v>England and Wales Court of Appeal (Civil Division)</x:v>
      </x:c>
      <x:c r="H3613" s="9" t="str">
        <x:v>Appellate</x:v>
      </x:c>
      <x:c r="I3613" s="9" t="str">
        <x:v>England and Wales</x:v>
      </x:c>
      <x:c r="J3613" s="9" t="str">
        <x:v>Immigration Law</x:v>
      </x:c>
      <x:c r="K3613" s="9" t="str">
        <x:v>-ew-cases-EWCA-Civ-2015-1565.xml</x:v>
      </x:c>
      <x:c r="L3613" s="9" t="str">
        <x:v>TBA</x:v>
      </x:c>
    </x:row>
    <x:row r="3614">
      <x:c r="A3614" t="str">
        <x:v>3c286485-fbb3-419e-b686-6a8f730a5945</x:v>
      </x:c>
      <x:c r="B3614" t="str">
        <x:v>b1dec999-2f7b-4a23-bed7-7a46a8166746</x:v>
      </x:c>
      <x:c r="C3614" s="9" t="str">
        <x:v>Yusuf v London Borough of Lewisham [2015] EWCA Civ 1604</x:v>
      </x:c>
      <x:c r="D3614" s="9" t="str"/>
      <x:c r="E3614" s="9" t="str"/>
      <x:c r="F3614" s="13" t="str">
        <x:v>2015</x:v>
      </x:c>
      <x:c r="G3614" s="9" t="str">
        <x:v>England and Wales Court of Appeal (Civil Division)</x:v>
      </x:c>
      <x:c r="H3614" s="9" t="str">
        <x:v>Appellate</x:v>
      </x:c>
      <x:c r="I3614" s="9" t="str">
        <x:v>England and Wales</x:v>
      </x:c>
      <x:c r="J3614" s="9" t="str">
        <x:v>Housing Dispute</x:v>
      </x:c>
      <x:c r="K3614" s="9" t="str">
        <x:v>-ew-cases-EWCA-Civ-2015-1604.xml</x:v>
      </x:c>
      <x:c r="L3614" s="9" t="str">
        <x:v>TBA</x:v>
      </x:c>
    </x:row>
    <x:row r="3615">
      <x:c r="A3615" t="str">
        <x:v>403b565b-fdc3-4aa9-9ab0-0f7a68eb3ba3</x:v>
      </x:c>
      <x:c r="B3615" t="str">
        <x:v>44f8983a-4a55-473d-8d53-80ec61551120</x:v>
      </x:c>
      <x:c r="C3615" s="9" t="str">
        <x:v>YW (A Child)(Adequacy of Reasons) (Rev1) [2021] EWCA Civ 1174</x:v>
      </x:c>
      <x:c r="D3615" s="9" t="str"/>
      <x:c r="E3615" s="9" t="str"/>
      <x:c r="F3615" s="13" t="str">
        <x:v>2021</x:v>
      </x:c>
      <x:c r="G3615" s="9" t="str">
        <x:v>England and Wales Court of Appeal (Civil Division)</x:v>
      </x:c>
      <x:c r="H3615" s="9" t="str">
        <x:v>Appellate Division</x:v>
      </x:c>
      <x:c r="I3615" s="9" t="str">
        <x:v>England and Wales</x:v>
      </x:c>
      <x:c r="J3615" s="9" t="str">
        <x:v>Family Law</x:v>
      </x:c>
      <x:c r="K3615" s="9" t="str">
        <x:v>ew-cases-EWCA-Civ-2021-1174.xml</x:v>
      </x:c>
      <x:c r="L3615" s="9" t="str">
        <x:v>TBA</x:v>
      </x:c>
    </x:row>
    <x:row r="3616">
      <x:c r="A3616" t="str">
        <x:v>877e82e1-f857-433c-94b2-ebf2088a0efb</x:v>
      </x:c>
      <x:c r="B3616" t="str">
        <x:v>3a179ef6-662e-4069-97c7-e5daae179b0b</x:v>
      </x:c>
      <x:c r="C3616" s="9" t="str">
        <x:v>YZ v Chief Constable of South Wales Police [2022] EWCA Civ 683</x:v>
      </x:c>
      <x:c r="D3616" s="9" t="str"/>
      <x:c r="E3616" s="9" t="str"/>
      <x:c r="F3616" s="13" t="str">
        <x:v>2022</x:v>
      </x:c>
      <x:c r="G3616" s="9" t="str">
        <x:v>England and Wales Court of Appeal (Civil Division)</x:v>
      </x:c>
      <x:c r="H3616" s="9" t="str">
        <x:v>Court of Appeal (Civil Division)</x:v>
      </x:c>
      <x:c r="I3616" s="9" t="str">
        <x:v>England and Wales</x:v>
      </x:c>
      <x:c r="J3616" s="9" t="str">
        <x:v>Administrative Law / Judicial Review</x:v>
      </x:c>
      <x:c r="K3616" s="9" t="str">
        <x:v>ew-cases-EWCA-Civ-2022-683.xml</x:v>
      </x:c>
      <x:c r="L3616" s="9" t="str">
        <x:v>TBA</x:v>
      </x:c>
    </x:row>
    <x:row r="3617">
      <x:c r="A3617" t="str">
        <x:v>6ff16e5d-dc1e-4102-b192-b4d87d991333</x:v>
      </x:c>
      <x:c r="B3617" t="str">
        <x:v>e65e5a8b-f0bc-4a5a-92e0-35effa196aad</x:v>
      </x:c>
      <x:c r="C3617" s="9" t="str">
        <x:v>YZ v Oxleas NHS Foundation Trust &amp; Anor [2017] EWCA Civ 203</x:v>
      </x:c>
      <x:c r="D3617" s="9" t="str"/>
      <x:c r="E3617" s="9" t="str"/>
      <x:c r="F3617" s="13" t="str">
        <x:v>2017</x:v>
      </x:c>
      <x:c r="G3617" s="9" t="str">
        <x:v>England and Wales Court of Appeal (Civil Division)</x:v>
      </x:c>
      <x:c r="H3617" s="9" t="str">
        <x:v>Appellate</x:v>
      </x:c>
      <x:c r="I3617" s="9" t="str">
        <x:v>England and Wales</x:v>
      </x:c>
      <x:c r="J3617" s="9" t="str">
        <x:v>Administrative Law</x:v>
      </x:c>
      <x:c r="K3617" s="9" t="str">
        <x:v>-ew-cases-EWCA-Civ-2017-203.xml</x:v>
      </x:c>
      <x:c r="L3617" s="9" t="str">
        <x:v>TBA</x:v>
      </x:c>
    </x:row>
    <x:row r="3618">
      <x:c r="A3618" t="str">
        <x:v>45976d2d-aaac-4790-85d6-2230ceb977e3</x:v>
      </x:c>
      <x:c r="B3618" t="str">
        <x:v>6b3704b7-e2ee-4857-bfac-03f846e974f7</x:v>
      </x:c>
      <x:c r="C3618" s="9" t="str">
        <x:v>Z (A Child) [2017] EWCA Civ 157: Costs of Translation in Family Proceedings</x:v>
      </x:c>
      <x:c r="D3618" s="9" t="str"/>
      <x:c r="E3618" s="9" t="str"/>
      <x:c r="F3618" s="13" t="str">
        <x:v>2017</x:v>
      </x:c>
      <x:c r="G3618" s="9" t="str">
        <x:v>England and Wales Court of Appeal (Civil Division)</x:v>
      </x:c>
      <x:c r="H3618" s="9" t="str">
        <x:v>Appellate</x:v>
      </x:c>
      <x:c r="I3618" s="9" t="str">
        <x:v>England and Wales</x:v>
      </x:c>
      <x:c r="J3618" s="9" t="str">
        <x:v>Family Law</x:v>
      </x:c>
      <x:c r="K3618" s="9" t="str">
        <x:v>-ew-cases-EWCA-Civ-2017-157.xml</x:v>
      </x:c>
      <x:c r="L3618" s="9" t="str">
        <x:v>TBA</x:v>
      </x:c>
    </x:row>
    <x:row r="3619">
      <x:c r="A3619" t="str">
        <x:v>58869f23-8acb-4214-a488-ac7371f11d03</x:v>
      </x:c>
      <x:c r="B3619" t="str">
        <x:v>9e60dfcf-3073-43ec-89e1-d950564d77ad</x:v>
      </x:c>
      <x:c r="C3619" s="9" t="str">
        <x:v>Z v University Hospitals Plymouth NHS Trust (NO 2)</x:v>
      </x:c>
      <x:c r="D3619" s="9" t="str"/>
      <x:c r="E3619" s="9" t="str"/>
      <x:c r="F3619" s="13" t="str">
        <x:v>2021</x:v>
      </x:c>
      <x:c r="G3619" s="9" t="str">
        <x:v>England and Wales Court of Appeal (Civil Division)</x:v>
      </x:c>
      <x:c r="H3619" s="9" t="str">
        <x:v>Appellate</x:v>
      </x:c>
      <x:c r="I3619" s="9" t="str">
        <x:v>England and Wales</x:v>
      </x:c>
      <x:c r="J3619" s="9" t="str">
        <x:v>Civil Law</x:v>
      </x:c>
      <x:c r="K3619" s="9" t="str">
        <x:v>ew-cases-EWCA-Civ-2021-22.xml</x:v>
      </x:c>
      <x:c r="L3619" s="9" t="str">
        <x:v>TBA</x:v>
      </x:c>
    </x:row>
    <x:row r="3620">
      <x:c r="A3620" t="str">
        <x:v>c7c1cdf8-c58d-4356-b55e-5d58a1772438</x:v>
      </x:c>
      <x:c r="B3620" t="str">
        <x:v>d061df0a-f978-4ccf-88dc-44d37e13b1cc</x:v>
      </x:c>
      <x:c r="C3620" s="9" t="str">
        <x:v>Z-O'C (Children), Re [2014] EWCA Civ 1808</x:v>
      </x:c>
      <x:c r="D3620" s="9" t="str"/>
      <x:c r="E3620" s="9" t="str"/>
      <x:c r="F3620" s="13" t="str">
        <x:v>2014</x:v>
      </x:c>
      <x:c r="G3620" s="9" t="str">
        <x:v>England and Wales Court of Appeal (Civil Division)</x:v>
      </x:c>
      <x:c r="H3620" s="9" t="str">
        <x:v>Appellate</x:v>
      </x:c>
      <x:c r="I3620" s="9" t="str">
        <x:v>England and Wales</x:v>
      </x:c>
      <x:c r="J3620" s="9" t="str">
        <x:v>Family Law</x:v>
      </x:c>
      <x:c r="K3620" s="9" t="str">
        <x:v>-ew-cases-EWCA-Civ-2014-1808.xml</x:v>
      </x:c>
      <x:c r="L3620" s="9" t="str">
        <x:v>TBA</x:v>
      </x:c>
    </x:row>
    <x:row r="3621">
      <x:c r="A3621" t="str">
        <x:v>85a950e2-1038-4169-8c5c-aff2b6137c90</x:v>
      </x:c>
      <x:c r="B3621" t="str">
        <x:v>b32e2e16-7287-4951-9540-4563768c08ca</x:v>
      </x:c>
      <x:c r="C3621" s="9" t="str">
        <x:v>ZA (Iraq), R (on the Application of) v Secretary of State for the Home Department</x:v>
      </x:c>
      <x:c r="D3621" s="9" t="str"/>
      <x:c r="E3621" s="9" t="str"/>
      <x:c r="F3621" s="13" t="str">
        <x:v>2015</x:v>
      </x:c>
      <x:c r="G3621" s="9" t="str">
        <x:v>England and Wales Court of Appeal (Civil Division)</x:v>
      </x:c>
      <x:c r="H3621" s="9" t="str">
        <x:v>Appellate</x:v>
      </x:c>
      <x:c r="I3621" s="9" t="str">
        <x:v>England and Wales</x:v>
      </x:c>
      <x:c r="J3621" s="9" t="str">
        <x:v>Immigration Law</x:v>
      </x:c>
      <x:c r="K3621" s="9" t="str">
        <x:v>-ew-cases-EWCA-Civ-2015-168.xml</x:v>
      </x:c>
      <x:c r="L3621" s="9" t="str">
        <x:v>TBA</x:v>
      </x:c>
    </x:row>
    <x:row r="3622">
      <x:c r="A3622" t="str">
        <x:v>c574beb9-beae-4b45-90f0-2088066858aa</x:v>
      </x:c>
      <x:c r="B3622" t="str">
        <x:v>fd38f8f6-927b-4cd2-acfb-6fe040f547ac</x:v>
      </x:c>
      <x:c r="C3622" s="9" t="str">
        <x:v>Zai Corporate Finance Ltd v AIM Disciplinary Committee of the London Stock Exchange Plc &amp; Anor</x:v>
      </x:c>
      <x:c r="D3622" s="9" t="str"/>
      <x:c r="E3622" s="9" t="str"/>
      <x:c r="F3622" s="13" t="str">
        <x:v>2017</x:v>
      </x:c>
      <x:c r="G3622" s="9" t="str">
        <x:v>England and Wales Court of Appeal (Civil Division)</x:v>
      </x:c>
      <x:c r="H3622" s="9" t="str">
        <x:v>Appellate</x:v>
      </x:c>
      <x:c r="I3622" s="9" t="str">
        <x:v>England and Wales</x:v>
      </x:c>
      <x:c r="J3622" s="9" t="str">
        <x:v>Administrative Law</x:v>
      </x:c>
      <x:c r="K3622" s="9" t="str">
        <x:v>-ew-cases-EWCA-Civ-2017-1294.xml</x:v>
      </x:c>
      <x:c r="L3622" s="9" t="str">
        <x:v>TBA</x:v>
      </x:c>
    </x:row>
    <x:row r="3623">
      <x:c r="A3623" t="str">
        <x:v>cfb5f1b0-33cc-4ab4-980e-79d06d5fc4df</x:v>
      </x:c>
      <x:c r="B3623" t="str">
        <x:v>d006f450-9599-4f75-941d-259fea7c32ce</x:v>
      </x:c>
      <x:c r="C3623" s="9" t="str">
        <x:v>Zaman v London Borough of Waltham Forest [2023] EWCA Civ 322</x:v>
      </x:c>
      <x:c r="D3623" s="9" t="str"/>
      <x:c r="E3623" s="9" t="str"/>
      <x:c r="F3623" s="13" t="str">
        <x:v>2023</x:v>
      </x:c>
      <x:c r="G3623" s="9" t="str">
        <x:v>England and Wales Court of Appeal (Civil Division)</x:v>
      </x:c>
      <x:c r="H3623" s="9" t="str">
        <x:v>Court of Appeal (Civil Division)</x:v>
      </x:c>
      <x:c r="I3623" s="9" t="str">
        <x:v>England and Wales</x:v>
      </x:c>
      <x:c r="J3623" s="9" t="str">
        <x:v>Public Law / Housing</x:v>
      </x:c>
      <x:c r="K3623" s="9" t="str">
        <x:v>ew-cases-EWCA-Civ-2023-322.xml</x:v>
      </x:c>
      <x:c r="L3623" s="9" t="str">
        <x:v>TBA</x:v>
      </x:c>
    </x:row>
    <x:row r="3624">
      <x:c r="A3624" t="str">
        <x:v>81ea77d1-da80-4495-bdf6-039915af04e5</x:v>
      </x:c>
      <x:c r="B3624" t="str">
        <x:v>0163e3f3-97cd-4829-b9a7-e697a71ad123</x:v>
      </x:c>
      <x:c r="C3624" s="9" t="str">
        <x:v>Zaman v Saleem [2015] EWCA Civ 640</x:v>
      </x:c>
      <x:c r="D3624" s="9" t="str"/>
      <x:c r="E3624" s="9" t="str"/>
      <x:c r="F3624" s="13" t="str">
        <x:v>2015</x:v>
      </x:c>
      <x:c r="G3624" s="9" t="str">
        <x:v>England and Wales Court of Appeal (Civil Division)</x:v>
      </x:c>
      <x:c r="H3624" s="9" t="str">
        <x:v>Appellate</x:v>
      </x:c>
      <x:c r="I3624" s="9" t="str">
        <x:v>England and Wales</x:v>
      </x:c>
      <x:c r="J3624" s="9" t="str">
        <x:v>Contractual Dispute</x:v>
      </x:c>
      <x:c r="K3624" s="9" t="str">
        <x:v>-ew-cases-EWCA-Civ-2015-640.xml</x:v>
      </x:c>
      <x:c r="L3624" s="9" t="str">
        <x:v>TBA</x:v>
      </x:c>
    </x:row>
    <x:row r="3625">
      <x:c r="A3625" t="str">
        <x:v>8c14d15b-9dfa-4782-b16f-6ebc5930b45e</x:v>
      </x:c>
      <x:c r="B3625" t="str">
        <x:v>1c01aa97-1ef0-4909-a107-c6318dd6e2e3</x:v>
      </x:c>
      <x:c r="C3625" s="9" t="str">
        <x:v>Zanatta v Metroline Travel Limited [2023] EWCA Civ 224 (Court of Appeal, Civil Division)</x:v>
      </x:c>
      <x:c r="D3625" s="9" t="str"/>
      <x:c r="E3625" s="9" t="str"/>
      <x:c r="F3625" s="13" t="str">
        <x:v>2023</x:v>
      </x:c>
      <x:c r="G3625" s="9" t="str">
        <x:v>England and Wales Court of Appeal (Civil Division)</x:v>
      </x:c>
      <x:c r="H3625" s="9" t="str">
        <x:v>Court of Appeal (Civil Division)</x:v>
      </x:c>
      <x:c r="I3625" s="9" t="str">
        <x:v>England and Wales</x:v>
      </x:c>
      <x:c r="J3625" s="9" t="str">
        <x:v>Tort / Negligence (Road Traffic Collision)</x:v>
      </x:c>
      <x:c r="K3625" s="9" t="str">
        <x:v>ew-cases-EWCA-Civ-2023-224.xml</x:v>
      </x:c>
      <x:c r="L3625" s="9" t="str">
        <x:v>TBA</x:v>
      </x:c>
    </x:row>
    <x:row r="3626">
      <x:c r="A3626" t="str">
        <x:v>be2a0b29-5005-4d4b-8ecb-095ba44f6985</x:v>
      </x:c>
      <x:c r="B3626" t="str">
        <x:v>a1e59a81-698a-42be-b288-f1a971fdd882</x:v>
      </x:c>
      <x:c r="C3626" s="9" t="str">
        <x:v>Zarbafi v Zarbafi &amp; Ors [2014] EWCA Civ 1267</x:v>
      </x:c>
      <x:c r="D3626" s="9" t="str"/>
      <x:c r="E3626" s="9" t="str"/>
      <x:c r="F3626" s="13" t="str">
        <x:v>2014</x:v>
      </x:c>
      <x:c r="G3626" s="9" t="str">
        <x:v>England and Wales Court of Appeal (Civil Division)</x:v>
      </x:c>
      <x:c r="H3626" s="9" t="str">
        <x:v>Appellate</x:v>
      </x:c>
      <x:c r="I3626" s="9" t="str">
        <x:v>England and Wales</x:v>
      </x:c>
      <x:c r="J3626" s="9" t="str">
        <x:v>Property Dispute</x:v>
      </x:c>
      <x:c r="K3626" s="9" t="str">
        <x:v>-ew-cases-EWCA-Civ-2014-1267.xml</x:v>
      </x:c>
      <x:c r="L3626" s="9" t="str">
        <x:v>TBA</x:v>
      </x:c>
    </x:row>
    <x:row r="3627">
      <x:c r="A3627" t="str">
        <x:v>6c1d906d-aaf3-4598-a72a-0123531a7f8f</x:v>
      </x:c>
      <x:c r="B3627" t="str">
        <x:v>06b6d8de-2fc6-4e3e-b533-8490ff51aaad</x:v>
      </x:c>
      <x:c r="C3627" s="9" t="str">
        <x:v>Zas Ventures Ltd v Forkner [2016] EWCA Civ 1062</x:v>
      </x:c>
      <x:c r="D3627" s="9" t="str"/>
      <x:c r="E3627" s="9" t="str"/>
      <x:c r="F3627" s="13" t="str">
        <x:v>2016</x:v>
      </x:c>
      <x:c r="G3627" s="9" t="str">
        <x:v>England and Wales Court of Appeal (Civil Division)</x:v>
      </x:c>
      <x:c r="H3627" s="9" t="str">
        <x:v>Court of Appeal (Civil Division)</x:v>
      </x:c>
      <x:c r="I3627" s="9" t="str">
        <x:v>England and Wales</x:v>
      </x:c>
      <x:c r="J3627" s="9" t="str">
        <x:v>Property Law; Occupancy Rights; Equity/Contract interpretation</x:v>
      </x:c>
      <x:c r="K3627" s="9" t="str">
        <x:v>-ew-cases-EWCA-Civ-2016-1062.xml</x:v>
      </x:c>
      <x:c r="L3627" s="9" t="str">
        <x:v>TBA</x:v>
      </x:c>
    </x:row>
    <x:row r="3628">
      <x:c r="A3628" t="str">
        <x:v>6eed0d3a-b10f-4285-af79-dafaeb0d02b3</x:v>
      </x:c>
      <x:c r="B3628" t="str">
        <x:v>ac68b555-3902-4594-849b-9ea09c41aad9</x:v>
      </x:c>
      <x:c r="C3628" s="9" t="str">
        <x:v>Zavarco Plc v Nasir [2021] EWCA Civ 1217</x:v>
      </x:c>
      <x:c r="D3628" s="9" t="str"/>
      <x:c r="E3628" s="9" t="str"/>
      <x:c r="F3628" s="13" t="str">
        <x:v>2021</x:v>
      </x:c>
      <x:c r="G3628" s="9" t="str">
        <x:v>England and Wales Court of Appeal (Civil Division)</x:v>
      </x:c>
      <x:c r="H3628" s="9" t="str">
        <x:v>Appellate</x:v>
      </x:c>
      <x:c r="I3628" s="9" t="str">
        <x:v>England</x:v>
      </x:c>
      <x:c r="J3628" s="9" t="str">
        <x:v>Civil Law</x:v>
      </x:c>
      <x:c r="K3628" s="9" t="str">
        <x:v>ew-cases-EWCA-Civ-2021-1217.xml</x:v>
      </x:c>
      <x:c r="L3628" s="9" t="str">
        <x:v>TBA</x:v>
      </x:c>
    </x:row>
    <x:row r="3629">
      <x:c r="A3629" t="str">
        <x:v>268909c2-9d1c-4fa7-ad87-fd5bb275eb8a</x:v>
      </x:c>
      <x:c r="B3629" t="str">
        <x:v>2e165112-723e-4e35-82a3-a3f0f4373e7f</x:v>
      </x:c>
      <x:c r="C3629" s="9" t="str">
        <x:v>Zavarco PLC v Sidhu [2022] EWCA Civ 1040 (Court of Appeal, Civil Division)</x:v>
      </x:c>
      <x:c r="D3629" s="9" t="str"/>
      <x:c r="E3629" s="9" t="str"/>
      <x:c r="F3629" s="13" t="str">
        <x:v>2022</x:v>
      </x:c>
      <x:c r="G3629" s="9" t="str">
        <x:v>England and Wales Court of Appeal (Civil Division)</x:v>
      </x:c>
      <x:c r="H3629" s="9" t="str">
        <x:v>Court of Appeal (Civil Division)</x:v>
      </x:c>
      <x:c r="I3629" s="9" t="str">
        <x:v>England and Wales</x:v>
      </x:c>
      <x:c r="J3629" s="9" t="str">
        <x:v>Contract/Corporate Law; Company Law; Share Capital and Subscriber Liability</x:v>
      </x:c>
      <x:c r="K3629" s="9" t="str">
        <x:v>ew-cases-EWCA-Civ-2022-1040.xml</x:v>
      </x:c>
      <x:c r="L3629" s="9" t="str">
        <x:v>TBA</x:v>
      </x:c>
    </x:row>
    <x:row r="3630">
      <x:c r="A3630" t="str">
        <x:v>2cbdce7d-9029-413b-9739-35a93d227f09</x:v>
      </x:c>
      <x:c r="B3630" t="str">
        <x:v>25e81c48-dd00-4a8b-98ff-b6b233f2c1f1</x:v>
      </x:c>
      <x:c r="C3630" s="9" t="str">
        <x:v>Zedra Trust Company (Jersey) Ltd v The Hut Group Ltd &amp; Ors</x:v>
      </x:c>
      <x:c r="D3630" s="9" t="str"/>
      <x:c r="E3630" s="9" t="str"/>
      <x:c r="F3630" s="13" t="str">
        <x:v>2021</x:v>
      </x:c>
      <x:c r="G3630" s="9" t="str">
        <x:v>England and Wales Court of Appeal (Civil Division)</x:v>
      </x:c>
      <x:c r="H3630" s="9" t="str">
        <x:v>Appellate</x:v>
      </x:c>
      <x:c r="I3630" s="9" t="str">
        <x:v>England and Wales</x:v>
      </x:c>
      <x:c r="J3630" s="9" t="str">
        <x:v>Corporate Law</x:v>
      </x:c>
      <x:c r="K3630" s="9" t="str">
        <x:v>ew-cases-EWCA-Civ-2021-904.xml</x:v>
      </x:c>
      <x:c r="L3630" s="9" t="str">
        <x:v>TBA</x:v>
      </x:c>
    </x:row>
    <x:row r="3631">
      <x:c r="A3631" t="str">
        <x:v>fdf36da1-1a3d-4040-9fb4-d8863c058ff7</x:v>
      </x:c>
      <x:c r="B3631" t="str">
        <x:v>1824a2e2-858b-4b54-b4fd-6580a8062660</x:v>
      </x:c>
      <x:c r="C3631" s="9" t="str">
        <x:v>Zee Entertainment Enterprises Ltd &amp; Ors v Zeebox Ltd [2014] EWCA Civ 82</x:v>
      </x:c>
      <x:c r="D3631" s="9" t="str"/>
      <x:c r="E3631" s="9" t="str"/>
      <x:c r="F3631" s="13" t="str">
        <x:v>2014</x:v>
      </x:c>
      <x:c r="G3631" s="9" t="str">
        <x:v>England and Wales Court of Appeal (Civil Division)</x:v>
      </x:c>
      <x:c r="H3631" s="9" t="str">
        <x:v>Appellate</x:v>
      </x:c>
      <x:c r="I3631" s="9" t="str">
        <x:v>England and Wales</x:v>
      </x:c>
      <x:c r="J3631" s="9" t="str">
        <x:v>Intellectual Property</x:v>
      </x:c>
      <x:c r="K3631" s="9" t="str">
        <x:v>-ew-cases-EWCA-Civ-2014-82.xml</x:v>
      </x:c>
      <x:c r="L3631" s="9" t="str">
        <x:v>TBA</x:v>
      </x:c>
    </x:row>
    <x:row r="3632">
      <x:c r="A3632" t="str">
        <x:v>75359f63-ae87-4dae-9856-aacedcf6d842</x:v>
      </x:c>
      <x:c r="B3632" t="str">
        <x:v>7e8929e7-4b3c-4492-b8b5-e01b9ccfcf2c</x:v>
      </x:c>
      <x:c r="C3632" s="9" t="str">
        <x:v>Zenati v Police of the Metropolis &amp; Anor [2015] EWCA Civ 80</x:v>
      </x:c>
      <x:c r="D3632" s="9" t="str"/>
      <x:c r="E3632" s="9" t="str"/>
      <x:c r="F3632" s="13" t="str">
        <x:v>2015</x:v>
      </x:c>
      <x:c r="G3632" s="9" t="str">
        <x:v>England and Wales Court of Appeal (Civil Division)</x:v>
      </x:c>
      <x:c r="H3632" s="9" t="str">
        <x:v>Appellate</x:v>
      </x:c>
      <x:c r="I3632" s="9" t="str">
        <x:v>England and Wales</x:v>
      </x:c>
      <x:c r="J3632" s="9" t="str">
        <x:v>Human Rights</x:v>
      </x:c>
      <x:c r="K3632" s="9" t="str">
        <x:v>-ew-cases-EWCA-Civ-2015-80.xml</x:v>
      </x:c>
      <x:c r="L3632" s="9" t="str">
        <x:v>TBA</x:v>
      </x:c>
    </x:row>
    <x:row r="3633">
      <x:c r="A3633" t="str">
        <x:v>a15ffdd5-2f83-44fd-a32c-67316e277052</x:v>
      </x:c>
      <x:c r="B3633" t="str">
        <x:v>144b89b8-e198-4578-bb59-f23644e6c7e1</x:v>
      </x:c>
      <x:c r="C3633" s="9" t="str">
        <x:v>ZG (Afghanistan) v Secretary of State for the Home Department [2015] EWCA Civ 866</x:v>
      </x:c>
      <x:c r="D3633" s="9" t="str"/>
      <x:c r="E3633" s="9" t="str"/>
      <x:c r="F3633" s="13" t="str">
        <x:v>2015</x:v>
      </x:c>
      <x:c r="G3633" s="9" t="str">
        <x:v>England and Wales Court of Appeal (Civil Division)</x:v>
      </x:c>
      <x:c r="H3633" s="9" t="str">
        <x:v>Appellate</x:v>
      </x:c>
      <x:c r="I3633" s="9" t="str">
        <x:v>England and Wales</x:v>
      </x:c>
      <x:c r="J3633" s="9" t="str">
        <x:v>Administrative Law - Immigration</x:v>
      </x:c>
      <x:c r="K3633" s="9" t="str">
        <x:v>-ew-cases-EWCA-Civ-2015-866.xml</x:v>
      </x:c>
      <x:c r="L3633" s="9" t="str">
        <x:v>TBA</x:v>
      </x:c>
    </x:row>
    <x:row r="3634">
      <x:c r="A3634" t="str">
        <x:v>8774cb21-e888-4f09-9531-4bddd30ef476</x:v>
      </x:c>
      <x:c r="B3634" t="str">
        <x:v>add64395-7ec5-485c-a034-fab4787d04ae</x:v>
      </x:c>
      <x:c r="C3634" s="9" t="str">
        <x:v>ZI (Bangladesh) &amp; Ors v Secretary of State for the Home Department</x:v>
      </x:c>
      <x:c r="D3634" s="9" t="str"/>
      <x:c r="E3634" s="9" t="str"/>
      <x:c r="F3634" s="13" t="str">
        <x:v>2014</x:v>
      </x:c>
      <x:c r="G3634" s="9" t="str">
        <x:v>England and Wales Court of Appeal (Civil Division)</x:v>
      </x:c>
      <x:c r="H3634" s="9" t="str">
        <x:v>Appellate</x:v>
      </x:c>
      <x:c r="I3634" s="9" t="str">
        <x:v>England and Wales</x:v>
      </x:c>
      <x:c r="J3634" s="9" t="str">
        <x:v>Immigration Law</x:v>
      </x:c>
      <x:c r="K3634" s="9" t="str">
        <x:v>-ew-cases-EWCA-Civ-2014-98.xml</x:v>
      </x:c>
      <x:c r="L3634" s="9" t="str">
        <x:v>TBA</x:v>
      </x:c>
    </x:row>
    <x:row r="3635">
      <x:c r="A3635" t="str">
        <x:v>44e1fa9a-cd87-4fb2-87b5-b8b3d5f3c1d5</x:v>
      </x:c>
      <x:c r="B3635" t="str">
        <x:v>3281afc3-4858-4103-820a-3ac1a2839eb4</x:v>
      </x:c>
      <x:c r="C3635" s="9" t="str">
        <x:v>Zimina v Zimin [2017] EWCA Civ 1429</x:v>
      </x:c>
      <x:c r="D3635" s="9" t="str"/>
      <x:c r="E3635" s="9" t="str"/>
      <x:c r="F3635" s="13" t="str">
        <x:v>2017</x:v>
      </x:c>
      <x:c r="G3635" s="9" t="str">
        <x:v>England and Wales Court of Appeal (Civil Division)</x:v>
      </x:c>
      <x:c r="H3635" s="9" t="str">
        <x:v>Appellate</x:v>
      </x:c>
      <x:c r="I3635" s="9" t="str">
        <x:v>England and Wales</x:v>
      </x:c>
      <x:c r="J3635" s="9" t="str">
        <x:v>Family Law</x:v>
      </x:c>
      <x:c r="K3635" s="9" t="str">
        <x:v>-ew-cases-EWCA-Civ-2017-1429.xml</x:v>
      </x:c>
      <x:c r="L3635" s="9" t="str">
        <x:v>TBA</x:v>
      </x:c>
    </x:row>
    <x:row r="3636">
      <x:c r="A3636" t="str">
        <x:v>88ab6c51-9423-4c35-8e8a-3c49559ac780</x:v>
      </x:c>
      <x:c r="B3636" t="str">
        <x:v>8e22be86-6834-4521-897f-23c948a08b39</x:v>
      </x:c>
      <x:c r="C3636" s="9" t="str">
        <x:v>Zinda v Ark School</x:v>
      </x:c>
      <x:c r="D3636" s="9" t="str"/>
      <x:c r="E3636" s="9" t="str"/>
      <x:c r="F3636" s="13" t="str">
        <x:v>2015</x:v>
      </x:c>
      <x:c r="G3636" s="9" t="str">
        <x:v>England and Wales Court of Appeal (Civil Division)</x:v>
      </x:c>
      <x:c r="H3636" s="9" t="str">
        <x:v>Appellate</x:v>
      </x:c>
      <x:c r="I3636" s="9" t="str">
        <x:v>England and Wales</x:v>
      </x:c>
      <x:c r="J3636" s="9" t="str">
        <x:v>Employment Law</x:v>
      </x:c>
      <x:c r="K3636" s="9" t="str">
        <x:v>-ew-cases-EWCA-Civ-2015-1596.xml</x:v>
      </x:c>
      <x:c r="L3636" s="9" t="str">
        <x:v>TBA</x:v>
      </x:c>
    </x:row>
    <x:row r="3637">
      <x:c r="A3637" t="str">
        <x:v>f08968eb-bdcf-45a1-9b4f-9afa4414514a</x:v>
      </x:c>
      <x:c r="B3637" t="str">
        <x:v>93adf351-2bba-4aba-b301-67a507c67954</x:v>
      </x:c>
      <x:c r="C3637" s="9" t="str">
        <x:v>ZLL, R (On the Application Of) v Secretary of State for Levelling Up, Housing and Communities [2022] EWCA Civ 1059</x:v>
      </x:c>
      <x:c r="D3637" s="9" t="str"/>
      <x:c r="E3637" s="9" t="str"/>
      <x:c r="F3637" s="13" t="str">
        <x:v>2022</x:v>
      </x:c>
      <x:c r="G3637" s="9" t="str">
        <x:v>England and Wales Court of Appeal (Civil Division)</x:v>
      </x:c>
      <x:c r="H3637" s="9" t="str">
        <x:v>Court of Appeal (Civil Division)</x:v>
      </x:c>
      <x:c r="I3637" s="9" t="str">
        <x:v>England and Wales</x:v>
      </x:c>
      <x:c r="J3637" s="9" t="str">
        <x:v>Public Law / Judicial Review</x:v>
      </x:c>
      <x:c r="K3637" s="9" t="str">
        <x:v>ew-cases-EWCA-Civ-2022-1059.xml</x:v>
      </x:c>
      <x:c r="L3637" s="9" t="str">
        <x:v>TBA</x:v>
      </x:c>
    </x:row>
    <x:row r="3638">
      <x:c r="A3638" t="str">
        <x:v>23110bc3-a151-4761-98f3-55b9f5573e52</x:v>
      </x:c>
      <x:c r="B3638" t="str">
        <x:v>5a0f63fc-c184-41df-9b59-035b7f81a63e</x:v>
      </x:c>
      <x:c r="C3638" s="9" t="str">
        <x:v>ZN (Afghanistan) v Secretary of State for the Home Department</x:v>
      </x:c>
      <x:c r="D3638" s="9" t="str"/>
      <x:c r="E3638" s="9" t="str"/>
      <x:c r="F3638" s="13" t="str">
        <x:v>2014</x:v>
      </x:c>
      <x:c r="G3638" s="9" t="str">
        <x:v>England and Wales Court of Appeal (Civil Division)</x:v>
      </x:c>
      <x:c r="H3638" s="9" t="str">
        <x:v>Appellate</x:v>
      </x:c>
      <x:c r="I3638" s="9" t="str">
        <x:v>England and Wales</x:v>
      </x:c>
      <x:c r="J3638" s="9" t="str">
        <x:v>Immigration</x:v>
      </x:c>
      <x:c r="K3638" s="9" t="str">
        <x:v>-ew-cases-EWCA-Civ-2014-735.xml</x:v>
      </x:c>
      <x:c r="L3638" s="9" t="str">
        <x:v>TBA</x:v>
      </x:c>
    </x:row>
    <x:row r="3639">
      <x:c r="A3639" t="str">
        <x:v>ec50928d-2be1-4914-bea2-96993cad077a</x:v>
      </x:c>
      <x:c r="B3639" t="str">
        <x:v>70a9bd5c-3b53-4d19-80e8-5fbe204b53d3</x:v>
      </x:c>
      <x:c r="C3639" s="9" t="str">
        <x:v>ZP (South Africa) v Secretary of State for the Home Department</x:v>
      </x:c>
      <x:c r="D3639" s="9" t="str"/>
      <x:c r="E3639" s="9" t="str"/>
      <x:c r="F3639" s="13" t="str">
        <x:v>2015</x:v>
      </x:c>
      <x:c r="G3639" s="9" t="str">
        <x:v>England and Wales Court of Appeal (Civil Division)</x:v>
      </x:c>
      <x:c r="H3639" s="9" t="str">
        <x:v>appellate</x:v>
      </x:c>
      <x:c r="I3639" s="9" t="str">
        <x:v>England and Wales</x:v>
      </x:c>
      <x:c r="J3639" s="9" t="str">
        <x:v>Immigration Law</x:v>
      </x:c>
      <x:c r="K3639" s="9" t="str">
        <x:v>-ew-cases-EWCA-Civ-2015-1273.xml</x:v>
      </x:c>
      <x:c r="L3639" s="9" t="str">
        <x:v>TBA</x:v>
      </x:c>
    </x:row>
    <x:row r="3640">
      <x:c r="A3640" t="str">
        <x:v>5a615194-c761-4bd9-9fea-118a4bc6dc5f</x:v>
      </x:c>
      <x:c r="B3640" t="str">
        <x:v>55e57db0-d2ec-4da0-8b92-5216bc0d556b</x:v>
      </x:c>
      <x:c r="C3640" s="9" t="str">
        <x:v>ZS (Afghanistan) v Secretary of State for the Home Department</x:v>
      </x:c>
      <x:c r="D3640" s="9" t="str"/>
      <x:c r="E3640" s="9" t="str"/>
      <x:c r="F3640" s="13" t="str">
        <x:v>2015</x:v>
      </x:c>
      <x:c r="G3640" s="9" t="str">
        <x:v>England and Wales Court of Appeal (Civil Division)</x:v>
      </x:c>
      <x:c r="H3640" s="9" t="str">
        <x:v>Appellate</x:v>
      </x:c>
      <x:c r="I3640" s="9" t="str">
        <x:v>England and Wales</x:v>
      </x:c>
      <x:c r="J3640" s="9" t="str">
        <x:v>Judicial Review</x:v>
      </x:c>
      <x:c r="K3640" s="9" t="str">
        <x:v>-ew-cases-EWCA-Civ-2015-1137.xml</x:v>
      </x:c>
      <x:c r="L3640" s="9" t="str">
        <x:v>TBA</x:v>
      </x:c>
    </x:row>
    <x:row r="3641">
      <x:c r="A3641" t="str">
        <x:v>603d6088-4970-455a-be55-2156c794f29a</x:v>
      </x:c>
      <x:c r="B3641" t="str">
        <x:v>dc6a89ac-eff1-4627-99c5-c435894b34bf</x:v>
      </x:c>
      <x:c r="C3641" s="9" t="str">
        <x:v>ZS (Afghanistan), R (On the Application Of) v The Secretary of State for the Home Department [2016] EWCA Civ 312</x:v>
      </x:c>
      <x:c r="D3641" s="9" t="str"/>
      <x:c r="E3641" s="9" t="str"/>
      <x:c r="F3641" s="13" t="str">
        <x:v>2016</x:v>
      </x:c>
      <x:c r="G3641" s="9" t="str">
        <x:v>England and Wales Court of Appeal (Civil Division)</x:v>
      </x:c>
      <x:c r="H3641" s="9" t="str">
        <x:v>Court of Appeal (Civil Division)</x:v>
      </x:c>
      <x:c r="I3641" s="9" t="str">
        <x:v>England and Wales</x:v>
      </x:c>
      <x:c r="J3641" s="9" t="str">
        <x:v>Administrative Law - Immigration/Judicial Review</x:v>
      </x:c>
      <x:c r="K3641" s="9" t="str">
        <x:v>-ew-cases-EWCA-Civ-2016-312.xml</x:v>
      </x:c>
      <x:c r="L3641" s="9" t="str">
        <x:v>TBA</x:v>
      </x:c>
    </x:row>
    <x:row r="3642">
      <x:c r="A3642" t="str">
        <x:v>adc5d2a8-91c4-455f-9c7b-6e4a3ace4cea</x:v>
      </x:c>
      <x:c r="B3642" t="str">
        <x:v>f867230d-587a-4c73-ba9b-3ab93ed9d9d7</x:v>
      </x:c>
      <x:c r="C3642" s="9" t="str">
        <x:v>Zubaydah v Foreign and Commonwealth Office &amp; Ors [2022] EWCA Civ 334 (Court of Appeal, Civil Division)</x:v>
      </x:c>
      <x:c r="D3642" s="9" t="str"/>
      <x:c r="E3642" s="9" t="str"/>
      <x:c r="F3642" s="13" t="str">
        <x:v>2022</x:v>
      </x:c>
      <x:c r="G3642" s="9" t="str">
        <x:v>England and Wales Court of Appeal (Civil Division)</x:v>
      </x:c>
      <x:c r="H3642" s="9" t="str">
        <x:v>Court of Appeal (Civil Division)</x:v>
      </x:c>
      <x:c r="I3642" s="9" t="str">
        <x:v>England and Wales</x:v>
      </x:c>
      <x:c r="J3642" s="9" t="str">
        <x:v>Private International Law; Tort; Conflict of Laws</x:v>
      </x:c>
      <x:c r="K3642" s="9" t="str">
        <x:v>ew-cases-EWCA-Civ-2022-334.xml</x:v>
      </x:c>
      <x:c r="L3642" s="9" t="str">
        <x:v>TBA</x:v>
      </x:c>
    </x:row>
    <x:row r="3643">
      <x:c r="A3643" t="str">
        <x:v>e3f5a1de-1dbd-4c3a-920a-914172d20630</x:v>
      </x:c>
      <x:c r="B3643" t="str">
        <x:v>a5994165-c327-4034-a3d2-cc0aaf64e3ec</x:v>
      </x:c>
      <x:c r="C3643" s="9" t="str">
        <x:v>Zuberi v Lexlaw Ltd [2021] EWCA Civ 16: Interpretation of Damages-Based Agreements</x:v>
      </x:c>
      <x:c r="D3643" s="9" t="str"/>
      <x:c r="E3643" s="9" t="str"/>
      <x:c r="F3643" s="13" t="str">
        <x:v>2021</x:v>
      </x:c>
      <x:c r="G3643" s="9" t="str">
        <x:v>England and Wales Court of Appeal (Civil Division)</x:v>
      </x:c>
      <x:c r="H3643" s="9" t="str">
        <x:v>Appellate</x:v>
      </x:c>
      <x:c r="I3643" s="9" t="str">
        <x:v>England and Wales</x:v>
      </x:c>
      <x:c r="J3643" s="9" t="str">
        <x:v>Contract Dispute</x:v>
      </x:c>
      <x:c r="K3643" s="9" t="str">
        <x:v>ew-cases-EWCA-Civ-2021-16.xml</x:v>
      </x:c>
      <x:c r="L3643" s="9" t="str">
        <x:v>TBA</x:v>
      </x:c>
    </x:row>
    <x:row r="3644">
      <x:c r="A3644" t="str">
        <x:v>595aefbf-366d-46cf-badb-73e367b758ba</x:v>
      </x:c>
      <x:c r="B3644" t="str">
        <x:v>45588b10-b49c-42ea-9954-0468a59a1ed0</x:v>
      </x:c>
      <x:c r="C3644" s="9" t="str">
        <x:v>Zulfiqar v Secretary of State for the Home Department [2022] EWCA Civ 492</x:v>
      </x:c>
      <x:c r="D3644" s="9" t="str"/>
      <x:c r="E3644" s="9" t="str"/>
      <x:c r="F3644" s="13" t="str">
        <x:v>2022</x:v>
      </x:c>
      <x:c r="G3644" s="9" t="str">
        <x:v>England and Wales Court of Appeal (Civil Division)</x:v>
      </x:c>
      <x:c r="H3644" s="9" t="str">
        <x:v>Court of Appeal (Civil Division)</x:v>
      </x:c>
      <x:c r="I3644" s="9" t="str">
        <x:v>England and Wales</x:v>
      </x:c>
      <x:c r="J3644" s="9" t="str">
        <x:v>Immigration Law / Public Law - Deportation and Article 8 ECHR</x:v>
      </x:c>
      <x:c r="K3644" s="9" t="str">
        <x:v>ew-cases-EWCA-Civ-2022-492.xml</x:v>
      </x:c>
      <x:c r="L3644" s="9" t="str">
        <x:v>TBA</x:v>
      </x:c>
    </x:row>
    <x:row r="3645">
      <x:c r="A3645" t="str">
        <x:v>990fcdc7-c99d-4977-9481-b66d95eab278</x:v>
      </x:c>
      <x:c r="B3645" t="str">
        <x:v>5da92288-1430-4969-a0b4-c741183ef090</x:v>
      </x:c>
      <x:c r="C3645" s="9" t="str">
        <x:v>Zuma's Choice Pet Products Ltd &amp; Anor v Azumi Ltd &amp; Ors</x:v>
      </x:c>
      <x:c r="D3645" s="9" t="str"/>
      <x:c r="E3645" s="9" t="str"/>
      <x:c r="F3645" s="13" t="str">
        <x:v>2017</x:v>
      </x:c>
      <x:c r="G3645" s="9" t="str">
        <x:v>England and Wales Court of Appeal (Civil Division)</x:v>
      </x:c>
      <x:c r="H3645" s="9" t="str">
        <x:v>appellate</x:v>
      </x:c>
      <x:c r="I3645" s="9" t="str">
        <x:v>England and Wales</x:v>
      </x:c>
      <x:c r="J3645" s="9" t="str">
        <x:v>Intellectual Property</x:v>
      </x:c>
      <x:c r="K3645" s="9" t="str">
        <x:v>-ew-cases-EWCA-Civ-2017-2133.xml</x:v>
      </x:c>
      <x:c r="L3645" s="9" t="str">
        <x:v>TBA</x:v>
      </x:c>
    </x:row>
    <x:row r="3646">
      <x:c r="A3646" t="str">
        <x:v>31660ea7-2989-4319-ae3d-a3925462673f</x:v>
      </x:c>
      <x:c r="B3646" t="str">
        <x:v>a3082f0f-a7fb-4a23-9ef9-9b8b31ef9b98</x:v>
      </x:c>
      <x:c r="C3646" s="9" t="str">
        <x:v>Zumax Nigeria Limited v First City Monument Bank plc (Court of Appeal, Civil Division) [2016] EWCA Civ 567</x:v>
      </x:c>
      <x:c r="D3646" s="9" t="str"/>
      <x:c r="E3646" s="9" t="str"/>
      <x:c r="F3646" s="13" t="str">
        <x:v>2016</x:v>
      </x:c>
      <x:c r="G3646" s="9" t="str">
        <x:v>England and Wales Court of Appeal (Civil Division)</x:v>
      </x:c>
      <x:c r="H3646" s="9" t="str">
        <x:v>Court of Appeal (Civil Division)</x:v>
      </x:c>
      <x:c r="I3646" s="9" t="str">
        <x:v>England and Wales</x:v>
      </x:c>
      <x:c r="J3646" s="9" t="str">
        <x:v>Civil Procedure / Jurisdiction and Cross-Border Claims</x:v>
      </x:c>
      <x:c r="K3646" s="9" t="str">
        <x:v>-ew-cases-EWCA-Civ-2016-567.xml</x:v>
      </x:c>
      <x:c r="L3646" s="9" t="str">
        <x:v>TBA</x:v>
      </x:c>
    </x:row>
    <x:row r="3647">
      <x:c r="A3647" t="str">
        <x:v>f13318c9-4e8f-456d-9cc9-d8fe2a2d7ed9</x:v>
      </x:c>
      <x:c r="B3647" t="str">
        <x:v>d9827969-3ff6-4f39-a6cf-6b164ca04e35</x:v>
      </x:c>
      <x:c r="C3647" s="9" t="str">
        <x:v>Zurich Insurance PLC v Maccaferri Ltd [2016] EWCA Civ 1302</x:v>
      </x:c>
      <x:c r="D3647" s="9" t="str"/>
      <x:c r="E3647" s="9" t="str"/>
      <x:c r="F3647" s="13" t="str">
        <x:v>2016</x:v>
      </x:c>
      <x:c r="G3647" s="9" t="str">
        <x:v>England and Wales Court of Appeal (Civil Division)</x:v>
      </x:c>
      <x:c r="H3647" s="9" t="str">
        <x:v>Court of Appeal (Civil Division)</x:v>
      </x:c>
      <x:c r="I3647" s="9" t="str">
        <x:v>England and Wales</x:v>
      </x:c>
      <x:c r="J3647" s="9" t="str">
        <x:v>Insurance law / Contract interpretation</x:v>
      </x:c>
      <x:c r="K3647" s="9" t="str">
        <x:v>-ew-cases-EWCA-Civ-2016-1302.xml</x:v>
      </x:c>
      <x:c r="L3647" s="9" t="str">
        <x:v>TBA</x:v>
      </x:c>
    </x:row>
    <x:row r="3648">
      <x:c r="A3648" t="str">
        <x:v>f5a38852-9751-414a-8a9f-22af646bd61c</x:v>
      </x:c>
      <x:c r="B3648" t="str">
        <x:v>d28743ce-ff97-49e6-9349-40f0dab33acb</x:v>
      </x:c>
      <x:c r="C3648" s="9" t="str">
        <x:v>Zurich Insurance PLC v Niramax Group Ltd [2021] EWCA Civ 590</x:v>
      </x:c>
      <x:c r="D3648" s="9" t="str"/>
      <x:c r="E3648" s="9" t="str"/>
      <x:c r="F3648" s="13" t="str">
        <x:v>2021</x:v>
      </x:c>
      <x:c r="G3648" s="9" t="str">
        <x:v>England and Wales Court of Appeal (Civil Division)</x:v>
      </x:c>
      <x:c r="H3648" s="9" t="str">
        <x:v>Appellate</x:v>
      </x:c>
      <x:c r="I3648" s="9" t="str">
        <x:v>England and Wales</x:v>
      </x:c>
      <x:c r="J3648" s="9" t="str">
        <x:v>Insurance Law</x:v>
      </x:c>
      <x:c r="K3648" s="9" t="str">
        <x:v>ew-cases-EWCA-Civ-2021-590.xml</x:v>
      </x:c>
      <x:c r="L3648" s="9" t="str">
        <x:v>TBA</x:v>
      </x:c>
    </x:row>
    <x:row r="3649">
      <x:c r="A3649" t="str">
        <x:v>3d819160-8f6c-44db-92ce-bba542bc1c12</x:v>
      </x:c>
      <x:c r="B3649" t="str">
        <x:v>be9bcc4d-5c3a-4bd0-9690-e1a2c5060010</x:v>
      </x:c>
      <x:c r="C3649" s="9" t="str">
        <x:v>Zurich Insurance Plc v Umerji [2014] EWCA Civ 357</x:v>
      </x:c>
      <x:c r="D3649" s="9" t="str"/>
      <x:c r="E3649" s="9" t="str"/>
      <x:c r="F3649" s="13" t="str">
        <x:v>2014</x:v>
      </x:c>
      <x:c r="G3649" s="9" t="str">
        <x:v>England and Wales Court of Appeal (Civil Division)</x:v>
      </x:c>
      <x:c r="H3649" s="9" t="str">
        <x:v>Appellate</x:v>
      </x:c>
      <x:c r="I3649" s="9" t="str">
        <x:v>England and Wales</x:v>
      </x:c>
      <x:c r="J3649" s="9" t="str">
        <x:v>Tort</x:v>
      </x:c>
      <x:c r="K3649" s="9" t="str">
        <x:v>-ew-cases-EWCA-Civ-2014-357.xml</x:v>
      </x:c>
      <x:c r="L3649" s="9" t="str">
        <x:v>TBA</x:v>
      </x:c>
    </x:row>
    <x:row r="3650">
      <x:c r="A3650" t="str">
        <x:v>e434bd4c-5c79-4655-ab70-3c534569a5dd</x:v>
      </x:c>
      <x:c r="B3650" t="str">
        <x:v>4303657f-c1c2-43d3-afad-3fde7d3b3b20</x:v>
      </x:c>
      <x:c r="C3650" s="9" t="str">
        <x:v>ZV (Lithuania) v Secretary of State for the Home Department [2021] EWCA Civ 1196</x:v>
      </x:c>
      <x:c r="D3650" s="9" t="str"/>
      <x:c r="E3650" s="9" t="str"/>
      <x:c r="F3650" s="13" t="str">
        <x:v>2021</x:v>
      </x:c>
      <x:c r="G3650" s="9" t="str">
        <x:v>England and Wales Court of Appeal (Civil Division)</x:v>
      </x:c>
      <x:c r="H3650" s="9" t="str">
        <x:v>Appellate</x:v>
      </x:c>
      <x:c r="I3650" s="9" t="str">
        <x:v>England and Wales</x:v>
      </x:c>
      <x:c r="J3650" s="9" t="str">
        <x:v>Administrative Law</x:v>
      </x:c>
      <x:c r="K3650" s="9" t="str">
        <x:v>ew-cases-EWCA-Civ-2021-1196.xml</x:v>
      </x:c>
      <x:c r="L3650" s="9" t="str">
        <x:v>TBA</x:v>
      </x:c>
    </x:row>
    <x:row r="3651">
      <x:c r="A3651" t="str">
        <x:v>d6db6b53-6d41-4d4b-beae-5b423e23e3b2</x:v>
      </x:c>
      <x:c r="B3651" t="str">
        <x:v>946184cb-e171-4f94-bb0b-a9cfd9bdbe1c</x:v>
      </x:c>
      <x:c r="C3651" s="9" t="str">
        <x:v>ZX v The Secretary of State for Justice [2017] EWCA Civ 155</x:v>
      </x:c>
      <x:c r="D3651" s="9" t="str"/>
      <x:c r="E3651" s="9" t="str"/>
      <x:c r="F3651" s="13" t="str">
        <x:v>2017</x:v>
      </x:c>
      <x:c r="G3651" s="9" t="str">
        <x:v>England and Wales Court of Appeal (Civil Division)</x:v>
      </x:c>
      <x:c r="H3651" s="9" t="str">
        <x:v>Appellate</x:v>
      </x:c>
      <x:c r="I3651" s="9" t="str">
        <x:v>England and Wales</x:v>
      </x:c>
      <x:c r="J3651" s="9" t="str">
        <x:v>Criminal</x:v>
      </x:c>
      <x:c r="K3651" s="9" t="str">
        <x:v>-ew-cases-EWCA-Civ-2017-155.xml</x:v>
      </x:c>
      <x:c r="L3651" s="9" t="str">
        <x:v>TBA</x:v>
      </x:c>
    </x:row>
    <x:row r="3652">
      <x:c r="A3652" t="str">
        <x:v>3b90bfd1-cc16-4a32-a998-9269d3b5fb4c</x:v>
      </x:c>
      <x:c r="B3652" t="str">
        <x:v>481bab6a-1b92-467d-9838-15c341ee5a8c</x:v>
      </x:c>
      <x:c r="C3652" s="9" t="str">
        <x:v>Zymurgorium Ltd v Hammonds of Knutsford Plc [2023] EWCA Civ 52</x:v>
      </x:c>
      <x:c r="D3652" s="9" t="str"/>
      <x:c r="E3652" s="9" t="str"/>
      <x:c r="F3652" s="13" t="str">
        <x:v>2023</x:v>
      </x:c>
      <x:c r="G3652" s="9" t="str">
        <x:v>England and Wales Court of Appeal (Civil Division)</x:v>
      </x:c>
      <x:c r="H3652" s="9" t="str">
        <x:v>Court of Appeal (Civil Division)</x:v>
      </x:c>
      <x:c r="I3652" s="9" t="str">
        <x:v>England and Wales</x:v>
      </x:c>
      <x:c r="J3652" s="9" t="str">
        <x:v>Contract Law / Commercial Dispute</x:v>
      </x:c>
      <x:c r="K3652" s="9" t="str">
        <x:v>ew-cases-EWCA-Civ-2023-52.xml</x:v>
      </x:c>
      <x:c r="L3652" s="9" t="str">
        <x:v>TBA</x:v>
      </x:c>
    </x:row>
    <x:row r="3653">
      <x:c r="A3653" t="str">
        <x:v>15e16082-64d0-43e5-9f00-0829876f1250</x:v>
      </x:c>
      <x:c r="B3653" t="str">
        <x:v>0e931888-ce6a-4e2b-9e0a-03b10d223587</x:v>
      </x:c>
      <x:c r="C3653" s="9" t="str">
        <x:v>ZZ (Tanzania) v The Secretary of State for the Home Department [2014] EWCA Civ 1404</x:v>
      </x:c>
      <x:c r="D3653" s="9" t="str"/>
      <x:c r="E3653" s="9" t="str"/>
      <x:c r="F3653" s="13" t="str">
        <x:v>2014</x:v>
      </x:c>
      <x:c r="G3653" s="9" t="str">
        <x:v>England and Wales Court of Appeal (Civil Division)</x:v>
      </x:c>
      <x:c r="H3653" s="9" t="str">
        <x:v>Appellate</x:v>
      </x:c>
      <x:c r="I3653" s="9" t="str">
        <x:v>England and Wales</x:v>
      </x:c>
      <x:c r="J3653" s="9" t="str">
        <x:v>Immigration</x:v>
      </x:c>
      <x:c r="K3653" s="9" t="str">
        <x:v>-ew-cases-EWCA-Civ-2014-1404.xml</x:v>
      </x:c>
      <x:c r="L3653" s="9" t="str">
        <x:v>TBA</x:v>
      </x:c>
    </x:row>
    <x:row r="3654">
      <x:c r="A3654" t="str">
        <x:v>8cc34b95-ccb8-4549-9d6c-3144fe966586</x:v>
      </x:c>
      <x:c r="B3654" t="str">
        <x:v>95e37899-0a03-44d6-af63-acf0de54c69f</x:v>
      </x:c>
      <x:c r="C3654" s="9" t="str">
        <x:v>ZZ v Secretary of State for the Home Department</x:v>
      </x:c>
      <x:c r="D3654" s="9" t="str"/>
      <x:c r="E3654" s="9" t="str"/>
      <x:c r="F3654" s="13" t="str">
        <x:v>2017</x:v>
      </x:c>
      <x:c r="G3654" s="9" t="str">
        <x:v>England and Wales Court of Appeal (Civil Division)</x:v>
      </x:c>
      <x:c r="H3654" s="9" t="str">
        <x:v>Appellate</x:v>
      </x:c>
      <x:c r="I3654" s="9" t="str">
        <x:v>England and Wales</x:v>
      </x:c>
      <x:c r="J3654" s="9" t="str">
        <x:v>Immigration Law</x:v>
      </x:c>
      <x:c r="K3654" s="9" t="str">
        <x:v>-ew-cases-EWCA-Civ-2017-133.xml</x:v>
      </x:c>
      <x:c r="L3654" s="9" t="str">
        <x:v>TBA</x:v>
      </x:c>
    </x:row>
    <x:row r="3655">
      <x:c r="A3655" t="str">
        <x:v>d4c083f7-e86d-413a-a65e-b157ee681c0a</x:v>
      </x:c>
      <x:c r="B3655" t="str">
        <x:v>65471d05-3881-45fa-b027-cc62179ae86b</x:v>
      </x:c>
      <x:c r="C3655" s="9" t="str">
        <x:v>ZZ v Secretary of State for the Home Department</x:v>
      </x:c>
      <x:c r="D3655" s="9" t="str"/>
      <x:c r="E3655" s="9" t="str"/>
      <x:c r="F3655" s="13" t="str">
        <x:v>2014</x:v>
      </x:c>
      <x:c r="G3655" s="9" t="str">
        <x:v>England and Wales Court of Appeal (Civil Division)</x:v>
      </x:c>
      <x:c r="H3655" s="9" t="str">
        <x:v>Appellate</x:v>
      </x:c>
      <x:c r="I3655" s="9" t="str">
        <x:v>England and Wales</x:v>
      </x:c>
      <x:c r="J3655" s="9" t="str">
        <x:v>Immigration Law</x:v>
      </x:c>
      <x:c r="K3655" s="9" t="str">
        <x:v>-ew-cases-EWCA-Civ-2014-7.xml</x:v>
      </x:c>
      <x:c r="L3655" s="9" t="str">
        <x:v>TBA</x:v>
      </x:c>
    </x:row>
  </x:sheetData>
  <x:pageMargins left="0.7" right="0.7" top="0.75" bottom="0.75" header="0.3" footer="0.3"/>
  <x:tableParts count="1">
    <x:tablePart xmlns:r="http://schemas.openxmlformats.org/officeDocument/2006/relationships" r:id="Rf59e5be8db0747e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91.11000061035156" hidden="0" customWidth="1"/>
  </x:cols>
  <x:sheetData>
    <x:row r="1">
      <x:c r="A1" t="str">
        <x:v>Field</x:v>
      </x:c>
      <x:c r="B1" t="str">
        <x:v>Method</x:v>
      </x:c>
    </x:row>
    <x:row r="2" ht="31.5" customHeight="1">
      <x:c r="A2" s="9" t="str">
        <x:v>Evaluation set</x:v>
      </x:c>
      <x:c r="B2" s="9" t="str">
        <x:v>The 86 unique case-authority pairs classified as not retrieved in the primary citation-retrieval audit.</x:v>
      </x:c>
    </x:row>
    <x:row r="3" ht="31.5" customHeight="1">
      <x:c r="A3" s="9" t="str">
        <x:v>Corpus source</x:v>
      </x:c>
      <x:c r="B3" s="9" t="str">
        <x:v>One metadata_summary point per case exported from the Qdrant legal_cases collection on 2026-08-14.</x:v>
      </x:c>
    </x:row>
    <x:row r="4" ht="31.5" customHeight="1">
      <x:c r="A4" s="9" t="str">
        <x:v>Definitive match</x:v>
      </x:c>
      <x:c r="B4" s="9" t="str">
        <x:v>Cited case ID equals the corpus case_id or Qdrant point ID.</x:v>
      </x:c>
    </x:row>
    <x:row r="5" ht="31.5" customHeight="1">
      <x:c r="A5" s="9" t="str">
        <x:v>High-confidence match</x:v>
      </x:c>
      <x:c r="B5" s="9" t="str">
        <x:v>Exact neutral/report citation (including citation reconstructed from source filename), exact normalized title, or conservative title containment.</x:v>
      </x:c>
    </x:row>
    <x:row r="6" ht="31.5" customHeight="1">
      <x:c r="A6" s="9" t="str">
        <x:v>Probable match</x:v>
      </x:c>
      <x:c r="B6" s="9" t="str">
        <x:v>Strong but non-identical title evidence: alias-normalized unordered tokens, year-consistent title coverage, or Jaccard overlap of at least 0.80. Manual verification is required.</x:v>
      </x:c>
    </x:row>
    <x:row r="7" ht="31.5" customHeight="1">
      <x:c r="A7" s="9" t="str">
        <x:v>Not found</x:v>
      </x:c>
      <x:c r="B7" s="9" t="str">
        <x:v>No accepted exact, citation, title or probable-token match in the exported metadata registry.</x:v>
      </x:c>
    </x:row>
    <x:row r="8" ht="31.5" customHeight="1">
      <x:c r="A8" s="9" t="str">
        <x:v>Retrieval-negative but corpus-present</x:v>
      </x:c>
      <x:c r="B8" s="9" t="str">
        <x:v>The authority exists as its own corpus case record but the linked search did not return it as a top-level result.</x:v>
      </x:c>
    </x:row>
    <x:row r="9" ht="31.5" customHeight="1">
      <x:c r="A9" s="9" t="str">
        <x:v>Indirect mention</x:v>
      </x:c>
      <x:c r="B9" s="9" t="str">
        <x:v>A cited name appeared inside another retrieved record's cited_cases metadata; this was not counted as top-level retrieval.</x:v>
      </x:c>
    </x:row>
    <x:row r="10" ht="31.5" customHeight="1">
      <x:c r="A10" s="9" t="str">
        <x:v>Important limitation</x:v>
      </x:c>
      <x:c r="B10" s="9" t="str">
        <x:v>Not found in this registry does not establish hallucination or legal non-existence.</x:v>
      </x:c>
    </x:row>
    <x:row r="11" ht="31.5" customHeight="1">
      <x:c r="A11" s="9" t="str">
        <x:v>External legal verification</x:v>
      </x:c>
      <x:c r="B11" s="9" t="str">
        <x:v>The 28 distinct registry-negative or probable authority keys were checked against primary judgments, official case registries, official government references, or reputable legal report databases.</x:v>
      </x:c>
    </x:row>
    <x:row r="12" ht="31.5" customHeight="1">
      <x:c r="A12" s="9" t="str">
        <x:v>External result</x:v>
      </x:c>
      <x:c r="B12" s="9" t="str">
        <x:v>All 28 authority keys were verified as referring to real cases. This does not establish that each authority was relevant or correctly applied in the generated judgment.</x:v>
      </x:c>
    </x:row>
    <x:row r="13" ht="31.5" customHeight="1">
      <x:c r="A13" s="9" t="str">
        <x:v>Reproducibility</x:v>
      </x:c>
      <x:c r="B13" s="9" t="str">
        <x:v>Raw corpus rows are included unchanged in the Corpus registry sheet; transformation and matching rules are documented here.</x:v>
      </x:c>
    </x:row>
    <x:row r="14" ht="31.5" customHeight="1">
      <x:c r="A14" s="9" t="str">
        <x:v>Final corpus matches</x:v>
      </x:c>
      <x:c r="B14" s="9" t="str">
        <x:v>Three probable matches were manually accepted: Burkett, Volkswagen Financial Services, and R (Johnson). Final corpus-present but non-retrieved pairs: 40.</x:v>
      </x:c>
    </x:row>
    <x:row r="15" ht="31.5" customHeight="1">
      <x:c r="A15" s="9" t="str">
        <x:v>Corpus-aware retrieval recall</x:v>
      </x:c>
      <x:c r="B15" s="9" t="str">
        <x:v>Previously retrieved confirmed pairs divided by all confirmed corpus-available pairs: 171 / (171 + 40) = 81.0%.</x:v>
      </x:c>
    </x:row>
  </x:sheetData>
  <x:pageMargins left="0.7" right="0.7" top="0.75" bottom="0.75" header="0.3" footer="0.3"/>
  <x:tableParts count="1">
    <x:tablePart xmlns:r="http://schemas.openxmlformats.org/officeDocument/2006/relationships" r:id="R8c9cdba1ad9e4ebe"/>
  </x:tableParts>
</x:worksheet>
</file>