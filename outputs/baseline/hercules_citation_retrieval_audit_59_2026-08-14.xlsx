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2d2196504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9378d84d934598"/>
    <x:sheet xmlns:r="http://schemas.openxmlformats.org/officeDocument/2006/relationships" name="Judgment links" sheetId="2" r:id="R1ec084c8197547d7"/>
    <x:sheet xmlns:r="http://schemas.openxmlformats.org/officeDocument/2006/relationships" name="Citation matches" sheetId="3" r:id="Ra392e275225f45ec"/>
    <x:sheet xmlns:r="http://schemas.openxmlformats.org/officeDocument/2006/relationships" name="Retrieved results" sheetId="4" r:id="Rdec1fcc6e0a94589"/>
    <x:sheet xmlns:r="http://schemas.openxmlformats.org/officeDocument/2006/relationships" name="Ambiguous links" sheetId="5" r:id="R40f3d76eebde4cd9"/>
    <x:sheet xmlns:r="http://schemas.openxmlformats.org/officeDocument/2006/relationships" name="Method" sheetId="6" r:id="Raffaba8c4f34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 hh:mm:ss"/>
    <x:numFmt numFmtId="203" formatCode="0.0000"/>
  </x:numFmts>
  <x:fonts count="5">
    <x:font>
      <x:sz val="11"/>
      <x:name val="Carlito"/>
    </x:font>
    <x:font>
      <x:sz val="9"/>
      <x:name val="Aptos"/>
    </x:font>
    <x:font>
      <x:b/>
      <x:sz val="9"/>
      <x:color rgb="FFFFFFFF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f2b1eb6154855" /><Relationship Type="http://schemas.openxmlformats.org/officeDocument/2006/relationships/theme" Target="/xl/theme/theme1.xml" Id="R1761690b52f44070" /><Relationship Type="http://schemas.openxmlformats.org/officeDocument/2006/relationships/sharedStrings" Target="/xl/sharedStrings.xml" Id="Rce57860f5c1848ed" /><Relationship Type="http://schemas.openxmlformats.org/officeDocument/2006/relationships/worksheet" Target="/xl/worksheets/sheet1.xml" Id="R509378d84d934598" /><Relationship Type="http://schemas.openxmlformats.org/officeDocument/2006/relationships/worksheet" Target="/xl/worksheets/sheet2.xml" Id="R1ec084c8197547d7" /><Relationship Type="http://schemas.openxmlformats.org/officeDocument/2006/relationships/worksheet" Target="/xl/worksheets/sheet3.xml" Id="Ra392e275225f45ec" /><Relationship Type="http://schemas.openxmlformats.org/officeDocument/2006/relationships/worksheet" Target="/xl/worksheets/sheet4.xml" Id="Rdec1fcc6e0a94589" /><Relationship Type="http://schemas.openxmlformats.org/officeDocument/2006/relationships/worksheet" Target="/xl/worksheets/sheet5.xml" Id="R40f3d76eebde4cd9" /><Relationship Type="http://schemas.openxmlformats.org/officeDocument/2006/relationships/worksheet" Target="/xl/worksheets/sheet6.xml" Id="Raffaba8c4f344529" /></Relationships>
</file>

<file path=xl/tables/table1.xml><?xml version="1.0" encoding="utf-8"?>
<x:table xmlns:x="http://schemas.openxmlformats.org/spreadsheetml/2006/main" id="1" name="JudgmentLinksTable" displayName="JudgmentLinksTable" ref="A1:P60" headerRowCount="1" totalsRowCount="0" totalsRowShown="0">
  <x:tableColumns count="16">
    <x:tableColumn id="1" name="draft_id"/>
    <x:tableColumn id="2" name="skeleton_arguments_id"/>
    <x:tableColumn id="3" name="case_doc_id"/>
    <x:tableColumn id="4" name="input_type"/>
    <x:tableColumn id="5" name="case_title"/>
    <x:tableColumn id="6" name="generated_at"/>
    <x:tableColumn id="7" name="search_id"/>
    <x:tableColumn id="8" name="searched_at"/>
    <x:tableColumn id="9" name="gap_seconds"/>
    <x:tableColumn id="10" name="search_link_status"/>
    <x:tableColumn id="11" name="total_results"/>
    <x:tableColumn id="12" name="unique_case_citations"/>
    <x:tableColumn id="13" name="retrieved_yes"/>
    <x:tableColumn id="14" name="retrieved_probable"/>
    <x:tableColumn id="15" name="not_retrieved"/>
    <x:tableColumn id="16" name="indirect_men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ationMatchesTable" displayName="CitationMatchesTable" ref="A1:AA279" headerRowCount="1" totalsRowCount="0" totalsRowShown="0">
  <x:tableColumns count="27">
    <x:tableColumn id="1" name="unique_id"/>
    <x:tableColumn id="2" name="draft_id"/>
    <x:tableColumn id="3" name="case_doc_id"/>
    <x:tableColumn id="4" name="input_type"/>
    <x:tableColumn id="5" name="case_title"/>
    <x:tableColumn id="6" name="authority_key"/>
    <x:tableColumn id="7" name="authority_name"/>
    <x:tableColumn id="8" name="citation_raw"/>
    <x:tableColumn id="9" name="cited_case_id"/>
    <x:tableColumn id="10" name="occurrence_count"/>
    <x:tableColumn id="11" name="source_paths"/>
    <x:tableColumn id="12" name="search_id"/>
    <x:tableColumn id="13" name="search_link_status"/>
    <x:tableColumn id="14" name="search_gap_seconds"/>
    <x:tableColumn id="15" name="usable_for_primary_metric"/>
    <x:tableColumn id="16" name="top_level_retrieved"/>
    <x:tableColumn id="17" name="match_method"/>
    <x:tableColumn id="18" name="match_confidence"/>
    <x:tableColumn id="19" name="retrieval_rank"/>
    <x:tableColumn id="20" name="retrieved_case_id"/>
    <x:tableColumn id="21" name="retrieved_title"/>
    <x:tableColumn id="22" name="retrieved_similarity_score"/>
    <x:tableColumn id="23" name="indirect_mention_in_chunks"/>
    <x:tableColumn id="24" name="indirect_mention_text"/>
    <x:tableColumn id="25" name="indirect_retrieved_rank"/>
    <x:tableColumn id="26" name="indirect_retrieved_title"/>
    <x:tableColumn id="27" name="primary_metric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trievedResultsTable" displayName="RetrievedResultsTable" ref="A1:N1161" headerRowCount="1" totalsRowCount="0" totalsRowShown="0">
  <x:tableColumns count="14">
    <x:tableColumn id="1" name="search_id"/>
    <x:tableColumn id="2" name="skeleton_arguments_id"/>
    <x:tableColumn id="3" name="source_case_id"/>
    <x:tableColumn id="4" name="searched_at"/>
    <x:tableColumn id="5" name="linked_as_nearest"/>
    <x:tableColumn id="6" name="linked_draft_ids"/>
    <x:tableColumn id="7" name="retrieval_rank"/>
    <x:tableColumn id="8" name="retrieved_case_id"/>
    <x:tableColumn id="9" name="retrieved_title"/>
    <x:tableColumn id="10" name="retrieved_court"/>
    <x:tableColumn id="11" name="retrieved_year"/>
    <x:tableColumn id="12" name="similarity_score"/>
    <x:tableColumn id="13" name="matching_chunks_count"/>
    <x:tableColumn id="14" name="cited_cases_in_chun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mbiguousLinksTable" displayName="AmbiguousLinksTable" ref="A1:J6" headerRowCount="1" totalsRowCount="0" totalsRowShown="0">
  <x:tableColumns count="10">
    <x:tableColumn id="1" name="draft_id"/>
    <x:tableColumn id="2" name="case_doc_id"/>
    <x:tableColumn id="3" name="input_type"/>
    <x:tableColumn id="4" name="case_title"/>
    <x:tableColumn id="5" name="generated_at"/>
    <x:tableColumn id="6" name="candidate_search_id"/>
    <x:tableColumn id="7" name="searched_at"/>
    <x:tableColumn id="8" name="gap_seconds"/>
    <x:tableColumn id="9" name="status"/>
    <x:tableColumn id="10" name="treat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trievalMethodTable" displayName="RetrievalMethodTable" ref="A1:B11" headerRowCount="1" totalsRowCount="0" totalsRowShown="0">
  <x:tableColumns count="2">
    <x:tableColumn id="1" name="Field"/>
    <x:tableColumn id="2" name="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94fdf27dfd4a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590356da5343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ed1f40929b42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f146401c7e48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f1f7571e6d4e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7.779998779296875" hidden="0" customWidth="1"/>
    <x:col min="4" max="4" width="12.220000267028809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1.670000076293945" hidden="0" customWidth="1"/>
  </x:cols>
  <x:sheetData>
    <x:row r="1">
      <x:c r="A1" s="7" t="str">
        <x:v>Hercules citation-retrieval audit</x:v>
      </x:c>
      <x:c r="B1" s="7" t="str">
        <x:v>Value</x:v>
      </x:c>
      <x:c r="D1" s="8" t="str">
        <x:v>Input type</x:v>
      </x:c>
      <x:c r="E1" s="8" t="str">
        <x:v>Eligible citations</x:v>
      </x:c>
      <x:c r="F1" s="8" t="str">
        <x:v>Retrieved</x:v>
      </x:c>
      <x:c r="G1" s="8" t="str">
        <x:v>Probable</x:v>
      </x:c>
      <x:c r="H1" s="8" t="str">
        <x:v>Not retrieved</x:v>
      </x:c>
    </x:row>
    <x:row r="2">
      <x:c r="A2" t="str">
        <x:v>Judgments</x:v>
      </x:c>
      <x:c r="B2" s="10" t="n">
        <x:f>COUNTA('Judgment links'!$A$2:$A$60)</x:f>
        <x:v>59</x:v>
      </x:c>
      <x:c r="D2" t="str">
        <x:v>real</x:v>
      </x:c>
      <x:c r="E2" t="n">
        <x:f>COUNTIFS('Citation matches'!$D$2:$D$279,D2,'Citation matches'!$O$2:$O$279,"yes")</x:f>
        <x:v>147</x:v>
      </x:c>
      <x:c r="F2" t="n">
        <x:f>COUNTIFS('Citation matches'!$D$2:$D$279,D2,'Citation matches'!$AA$2:$AA$279,"yes")</x:f>
        <x:v>101</x:v>
      </x:c>
      <x:c r="G2" t="n">
        <x:f>COUNTIFS('Citation matches'!$D$2:$D$279,D2,'Citation matches'!$AA$2:$AA$279,"probable_manual_review")</x:f>
        <x:v>0</x:v>
      </x:c>
      <x:c r="H2" t="n">
        <x:f>COUNTIFS('Citation matches'!$D$2:$D$279,D2,'Citation matches'!$AA$2:$AA$279,"no")</x:f>
        <x:v>46</x:v>
      </x:c>
    </x:row>
    <x:row r="3">
      <x:c r="A3" t="str">
        <x:v>Retrieval events</x:v>
      </x:c>
      <x:c r="B3" s="10" t="n">
        <x:f>66</x:f>
        <x:v>66</x:v>
      </x:c>
      <x:c r="D3" t="str">
        <x:v>synthetic</x:v>
      </x:c>
      <x:c r="E3" t="n">
        <x:f>COUNTIFS('Citation matches'!$D$2:$D$279,D3,'Citation matches'!$O$2:$O$279,"yes")</x:f>
        <x:v>110</x:v>
      </x:c>
      <x:c r="F3" t="n">
        <x:f>COUNTIFS('Citation matches'!$D$2:$D$279,D3,'Citation matches'!$AA$2:$AA$279,"yes")</x:f>
        <x:v>70</x:v>
      </x:c>
      <x:c r="G3" t="n">
        <x:f>COUNTIFS('Citation matches'!$D$2:$D$279,D3,'Citation matches'!$AA$2:$AA$279,"probable_manual_review")</x:f>
        <x:v>0</x:v>
      </x:c>
      <x:c r="H3" t="n">
        <x:f>COUNTIFS('Citation matches'!$D$2:$D$279,D3,'Citation matches'!$AA$2:$AA$279,"no")</x:f>
        <x:v>40</x:v>
      </x:c>
    </x:row>
    <x:row r="4">
      <x:c r="A4" t="str">
        <x:v>Retrieved result rows</x:v>
      </x:c>
      <x:c r="B4" s="10" t="n">
        <x:f>COUNTA('Retrieved results'!$A$2:$A$1161)</x:f>
        <x:v>1160</x:v>
      </x:c>
      <x:c r="D4" t="str">
        <x:v>all</x:v>
      </x:c>
      <x:c r="E4" t="n">
        <x:f>SUM(E2:E3)</x:f>
        <x:v>257</x:v>
      </x:c>
      <x:c r="F4" t="n">
        <x:f>SUM(F2:F3)</x:f>
        <x:v>171</x:v>
      </x:c>
      <x:c r="G4" t="n">
        <x:f>SUM(G2:G3)</x:f>
        <x:v>0</x:v>
      </x:c>
      <x:c r="H4" t="n">
        <x:f>SUM(H2:H3)</x:f>
        <x:v>86</x:v>
      </x:c>
    </x:row>
    <x:row r="5">
      <x:c r="A5" t="str">
        <x:v>Confirmed judgment-search links (≤10 min)</x:v>
      </x:c>
      <x:c r="B5" s="10" t="n">
        <x:f>COUNTIF('Judgment links'!$J$2:$J$60,"confirmed_within_10m")</x:f>
        <x:v>54</x:v>
      </x:c>
    </x:row>
    <x:row r="6">
      <x:c r="A6" t="str">
        <x:v>Ambiguous judgment-search links (&gt;10 min)</x:v>
      </x:c>
      <x:c r="B6" s="10" t="n">
        <x:f>COUNTIF('Judgment links'!$J$2:$J$60,"ambiguous_gap_gt_10m")</x:f>
        <x:v>5</x:v>
      </x:c>
    </x:row>
    <x:row r="7">
      <x:c r="A7" t="str">
        <x:v>Unique case citation pairs</x:v>
      </x:c>
      <x:c r="B7" s="10" t="n">
        <x:f>COUNTA('Citation matches'!$A$2:$A$279)</x:f>
        <x:v>278</x:v>
      </x:c>
    </x:row>
    <x:row r="8">
      <x:c r="A8" t="str">
        <x:v>Primary metric: top-level retrieved</x:v>
      </x:c>
      <x:c r="B8" s="10" t="n">
        <x:f>COUNTIF('Citation matches'!$AA$2:$AA$279,"yes")</x:f>
        <x:v>171</x:v>
      </x:c>
    </x:row>
    <x:row r="9">
      <x:c r="A9" t="str">
        <x:v>Primary metric: probable/manual review</x:v>
      </x:c>
      <x:c r="B9" s="10" t="n">
        <x:f>COUNTIF('Citation matches'!$AA$2:$AA$279,"probable_manual_review")</x:f>
        <x:v>0</x:v>
      </x:c>
    </x:row>
    <x:row r="10">
      <x:c r="A10" t="str">
        <x:v>Primary metric: not retrieved</x:v>
      </x:c>
      <x:c r="B10" s="10" t="n">
        <x:f>COUNTIF('Citation matches'!$AA$2:$AA$279,"no")</x:f>
        <x:v>86</x:v>
      </x:c>
    </x:row>
    <x:row r="11">
      <x:c r="A11" t="str">
        <x:v>Primary top-level retrieval rate</x:v>
      </x:c>
      <x:c r="B11" s="11" t="n">
        <x:f>IFERROR(B8/(B8+B9+B10),0)</x:f>
        <x:v>0.6653696498054474</x:v>
      </x:c>
    </x:row>
    <x:row r="12">
      <x:c r="A12" t="str">
        <x:v>Excluded case citations due to ambiguous links</x:v>
      </x:c>
      <x:c r="B12" s="10" t="n">
        <x:f>COUNTIF('Citation matches'!$AA$2:$AA$279,"excluded_ambiguous_link")</x:f>
        <x:v>21</x:v>
      </x:c>
    </x:row>
    <x:row r="13">
      <x:c r="A13" t="str">
        <x:v>Indirect mentions among non-retrieved cases</x:v>
      </x:c>
      <x:c r="B13" s="10" t="n">
        <x:f>COUNTIFS('Citation matches'!$AA$2:$AA$279,"no",'Citation matches'!$W$2:$W$279,"yes")</x:f>
        <x:v>8</x:v>
      </x:c>
    </x:row>
    <x:row r="14">
      <x:c r="A14"/>
      <x:c r="B14"/>
    </x:row>
    <x:row r="15" ht="36" customHeight="1">
      <x:c r="A15" s="9" t="str">
        <x:v>Interpretation</x:v>
      </x:c>
      <x:c r="B15" s="9" t="str">
        <x:v>A citation is counted as retrieved only when the cited authority itself matches a top-level similar_cases result.</x:v>
      </x:c>
    </x:row>
    <x:row r="16" ht="36" customHeight="1">
      <x:c r="A16" s="9" t="str">
        <x:v>Indirect mentions</x:v>
      </x:c>
      <x:c r="B16" s="9" t="str">
        <x:v>A cited name appearing only inside a retrieved record's cited_cases metadata is reported separately and is not counted as retrieval of that authority.</x:v>
      </x:c>
    </x:row>
    <x:row r="17" ht="36" customHeight="1">
      <x:c r="A17" s="9" t="str">
        <x:v>Timing rule</x:v>
      </x:c>
      <x:c r="B17" s="9" t="str">
        <x:v>Primary metrics include only judgment-search links within 10 minutes; five longer-gap judgments are excluded pending manual review.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21.670000076293945" hidden="0" customWidth="1"/>
    <x:col min="3" max="3" width="32.220001220703125" hidden="0" customWidth="1"/>
    <x:col min="4" max="4" width="9.4399995803833" hidden="0" customWidth="1"/>
    <x:col min="5" max="5" width="34.439998626708984" hidden="0" customWidth="1"/>
    <x:col min="6" max="6" width="16.110000610351562" hidden="0" customWidth="1"/>
    <x:col min="7" max="7" width="21.670000076293945" hidden="0" customWidth="1"/>
    <x:col min="8" max="8" width="16.110000610351562" hidden="0" customWidth="1"/>
    <x:col min="9" max="9" width="11.109999656677246" hidden="0" customWidth="1"/>
    <x:col min="10" max="10" width="18.889999389648438" hidden="0" customWidth="1"/>
    <x:col min="11" max="11" width="10" hidden="0" customWidth="1"/>
    <x:col min="12" max="12" width="12.220000267028809" hidden="0" customWidth="1"/>
    <x:col min="13" max="13" width="11.109999656677246" hidden="0" customWidth="1"/>
    <x:col min="14" max="14" width="12.220000267028809" hidden="0" customWidth="1"/>
    <x:col min="15" max="15" width="11.670000076293945" hidden="0" customWidth="1"/>
    <x:col min="16" max="16" width="12.220000267028809" hidden="0" customWidth="1"/>
  </x:cols>
  <x:sheetData>
    <x:row r="1">
      <x:c r="A1" s="5" t="str">
        <x:v>draft_id</x:v>
      </x:c>
      <x:c r="B1" s="5" t="str">
        <x:v>skeleton_arguments_id</x:v>
      </x:c>
      <x:c r="C1" s="5" t="str">
        <x:v>case_doc_id</x:v>
      </x:c>
      <x:c r="D1" s="5" t="str">
        <x:v>input_type</x:v>
      </x:c>
      <x:c r="E1" s="5" t="str">
        <x:v>case_title</x:v>
      </x:c>
      <x:c r="F1" s="5" t="str">
        <x:v>generated_at</x:v>
      </x:c>
      <x:c r="G1" s="5" t="str">
        <x:v>search_id</x:v>
      </x:c>
      <x:c r="H1" s="5" t="str">
        <x:v>searched_at</x:v>
      </x:c>
      <x:c r="I1" s="5" t="str">
        <x:v>gap_seconds</x:v>
      </x:c>
      <x:c r="J1" s="5" t="str">
        <x:v>search_link_status</x:v>
      </x:c>
      <x:c r="K1" s="5" t="str">
        <x:v>total_results</x:v>
      </x:c>
      <x:c r="L1" s="5" t="str">
        <x:v>unique_case_citations</x:v>
      </x:c>
      <x:c r="M1" s="5" t="str">
        <x:v>retrieved_yes</x:v>
      </x:c>
      <x:c r="N1" s="5" t="str">
        <x:v>retrieved_probable</x:v>
      </x:c>
      <x:c r="O1" s="5" t="str">
        <x:v>not_retrieved</x:v>
      </x:c>
      <x:c r="P1" s="5" t="str">
        <x:v>indirect_mentions</x:v>
      </x:c>
    </x:row>
    <x:row r="2">
      <x:c r="A2" s="1" t="str">
        <x:v>cmlzpblc7000304jv62ixuvp8</x:v>
      </x:c>
      <x:c r="B2" s="1" t="str">
        <x:v>cmlzon435000504jsyulxanb5</x:v>
      </x:c>
      <x:c r="C2" s="1" t="str">
        <x:v>skeleton-args-ca2022002088-9a827e5fc9cfa270</x:v>
      </x:c>
      <x:c r="D2" s="1" t="str">
        <x:v>synthetic</x:v>
      </x:c>
      <x:c r="E2" s="1" t="str">
        <x:v>HMRC v Dolphin Drilling Ltd</x:v>
      </x:c>
      <x:c r="F2" s="12" t="n">
        <x:v>46076.9037800463</x:v>
      </x:c>
      <x:c r="G2" s="12" t="str">
        <x:v>cmlzp9luh000304l29ip4sjki</x:v>
      </x:c>
      <x:c r="H2" s="12" t="n">
        <x:v>46076.90270637732</x:v>
      </x:c>
      <x:c r="I2" s="1" t="n">
        <x:v>92.765</x:v>
      </x:c>
      <x:c r="J2" s="1" t="str">
        <x:v>confirmed_within_10m</x:v>
      </x:c>
      <x:c r="K2" s="1" t="n">
        <x:v>10</x:v>
      </x:c>
      <x:c r="L2" s="1" t="n">
        <x:f>COUNTIF('Citation matches'!$B$2:$B$279,A2)</x:f>
        <x:v>5</x:v>
      </x:c>
      <x:c r="M2" s="1" t="n">
        <x:f>COUNTIFS('Citation matches'!$B$2:$B$279,A2,'Citation matches'!$P$2:$P$279,"yes")</x:f>
        <x:v>3</x:v>
      </x:c>
      <x:c r="N2" s="1" t="n">
        <x:f>COUNTIFS('Citation matches'!$B$2:$B$279,A2,'Citation matches'!$P$2:$P$279,"probable_manual_review")</x:f>
        <x:v>0</x:v>
      </x:c>
      <x:c r="O2" s="1" t="n">
        <x:f>COUNTIFS('Citation matches'!$B$2:$B$279,A2,'Citation matches'!$P$2:$P$279,"no")</x:f>
        <x:v>2</x:v>
      </x:c>
      <x:c r="P2" s="1" t="n">
        <x:f>COUNTIFS('Citation matches'!$B$2:$B$279,A2,'Citation matches'!$W$2:$W$279,"yes")</x:f>
        <x:v>0</x:v>
      </x:c>
    </x:row>
    <x:row r="3">
      <x:c r="A3" s="1" t="str">
        <x:v>cmlzphr57000h04jtqrwbfiyf</x:v>
      </x:c>
      <x:c r="B3" s="1" t="str">
        <x:v>cmlzo9g9l000204l26mhyhchv</x:v>
      </x:c>
      <x:c r="C3" s="1" t="str">
        <x:v>skeleton-args-ca2022008247-6c5b4a1058f7a82b</x:v>
      </x:c>
      <x:c r="D3" s="1" t="str">
        <x:v>synthetic</x:v>
      </x:c>
      <x:c r="E3" s="1" t="str">
        <x:v>Aldridge v Crawford</x:v>
      </x:c>
      <x:c r="F3" s="12" t="n">
        <x:v>46076.9071071412</x:v>
      </x:c>
      <x:c r="G3" s="12" t="str">
        <x:v>cmlzpfjvk000b04jtl1v4uh8a</x:v>
      </x:c>
      <x:c r="H3" s="12" t="n">
        <x:v>46076.90591712963</x:v>
      </x:c>
      <x:c r="I3" s="1" t="n">
        <x:v>102.817</x:v>
      </x:c>
      <x:c r="J3" s="1" t="str">
        <x:v>confirmed_within_10m</x:v>
      </x:c>
      <x:c r="K3" s="1" t="n">
        <x:v>10</x:v>
      </x:c>
      <x:c r="L3" s="1" t="n">
        <x:f>COUNTIF('Citation matches'!$B$2:$B$279,A3)</x:f>
        <x:v>5</x:v>
      </x:c>
      <x:c r="M3" s="1" t="n">
        <x:f>COUNTIFS('Citation matches'!$B$2:$B$279,A3,'Citation matches'!$P$2:$P$279,"yes")</x:f>
        <x:v>3</x:v>
      </x:c>
      <x:c r="N3" s="1" t="n">
        <x:f>COUNTIFS('Citation matches'!$B$2:$B$279,A3,'Citation matches'!$P$2:$P$279,"probable_manual_review")</x:f>
        <x:v>0</x:v>
      </x:c>
      <x:c r="O3" s="1" t="n">
        <x:f>COUNTIFS('Citation matches'!$B$2:$B$279,A3,'Citation matches'!$P$2:$P$279,"no")</x:f>
        <x:v>2</x:v>
      </x:c>
      <x:c r="P3" s="1" t="n">
        <x:f>COUNTIFS('Citation matches'!$B$2:$B$279,A3,'Citation matches'!$W$2:$W$279,"yes")</x:f>
        <x:v>0</x:v>
      </x:c>
    </x:row>
    <x:row r="4">
      <x:c r="A4" s="1" t="str">
        <x:v>cmlzrzxca000304l2qk1vevzx</x:v>
      </x:c>
      <x:c r="B4" s="1" t="str">
        <x:v>cmlzrw1vp000204latdth8ikx</x:v>
      </x:c>
      <x:c r="C4" s="1" t="str">
        <x:v>skeleton-args-ca2023002207-ce0aafdf6d7e5716</x:v>
      </x:c>
      <x:c r="D4" s="1" t="str">
        <x:v>synthetic</x:v>
      </x:c>
      <x:c r="E4" s="1" t="str">
        <x:v>Karpasitis v Hertfordshire County Council</x:v>
      </x:c>
      <x:c r="F4" s="12" t="n">
        <x:v>46076.95580008102</x:v>
      </x:c>
      <x:c r="G4" s="12" t="str">
        <x:v>cmlzry90i000b04laxzwy3gcm</x:v>
      </x:c>
      <x:c r="H4" s="12" t="n">
        <x:v>46076.954894201386</x:v>
      </x:c>
      <x:c r="I4" s="1" t="n">
        <x:v>78.268</x:v>
      </x:c>
      <x:c r="J4" s="1" t="str">
        <x:v>confirmed_within_10m</x:v>
      </x:c>
      <x:c r="K4" s="1" t="n">
        <x:v>10</x:v>
      </x:c>
      <x:c r="L4" s="1" t="n">
        <x:f>COUNTIF('Citation matches'!$B$2:$B$279,A4)</x:f>
        <x:v>4</x:v>
      </x:c>
      <x:c r="M4" s="1" t="n">
        <x:f>COUNTIFS('Citation matches'!$B$2:$B$279,A4,'Citation matches'!$P$2:$P$279,"yes")</x:f>
        <x:v>3</x:v>
      </x:c>
      <x:c r="N4" s="1" t="n">
        <x:f>COUNTIFS('Citation matches'!$B$2:$B$279,A4,'Citation matches'!$P$2:$P$279,"probable_manual_review")</x:f>
        <x:v>0</x:v>
      </x:c>
      <x:c r="O4" s="1" t="n">
        <x:f>COUNTIFS('Citation matches'!$B$2:$B$279,A4,'Citation matches'!$P$2:$P$279,"no")</x:f>
        <x:v>1</x:v>
      </x:c>
      <x:c r="P4" s="1" t="n">
        <x:f>COUNTIFS('Citation matches'!$B$2:$B$279,A4,'Citation matches'!$W$2:$W$279,"yes")</x:f>
        <x:v>1</x:v>
      </x:c>
    </x:row>
    <x:row r="5">
      <x:c r="A5" s="1" t="str">
        <x:v>cmlzy9ss300fz04i80p2yfbg1</x:v>
      </x:c>
      <x:c r="B5" s="1" t="str">
        <x:v>cmlzy4fu700fk04i8kn66k5jp</x:v>
      </x:c>
      <x:c r="C5" s="1" t="str">
        <x:v>skeleton-args-ca2024001234-346b2d683b5c2099</x:v>
      </x:c>
      <x:c r="D5" s="1" t="str">
        <x:v>synthetic</x:v>
      </x:c>
      <x:c r="E5" s="1" t="str">
        <x:v>Transport Action Network Limited v Secretary of State for Transport</x:v>
      </x:c>
      <x:c r="F5" s="12" t="n">
        <x:v>46077.07777166666</x:v>
      </x:c>
      <x:c r="G5" s="12" t="str">
        <x:v>cmlzy6by600ft04i8cpz0rrjt</x:v>
      </x:c>
      <x:c r="H5" s="12" t="n">
        <x:v>46077.07589825232</x:v>
      </x:c>
      <x:c r="I5" s="1" t="n">
        <x:v>161.863</x:v>
      </x:c>
      <x:c r="J5" s="1" t="str">
        <x:v>confirmed_within_10m</x:v>
      </x:c>
      <x:c r="K5" s="1" t="n">
        <x:v>10</x:v>
      </x:c>
      <x:c r="L5" s="1" t="n">
        <x:f>COUNTIF('Citation matches'!$B$2:$B$279,A5)</x:f>
        <x:v>5</x:v>
      </x:c>
      <x:c r="M5" s="1" t="n">
        <x:f>COUNTIFS('Citation matches'!$B$2:$B$279,A5,'Citation matches'!$P$2:$P$279,"yes")</x:f>
        <x:v>3</x:v>
      </x:c>
      <x:c r="N5" s="1" t="n">
        <x:f>COUNTIFS('Citation matches'!$B$2:$B$279,A5,'Citation matches'!$P$2:$P$279,"probable_manual_review")</x:f>
        <x:v>0</x:v>
      </x:c>
      <x:c r="O5" s="1" t="n">
        <x:f>COUNTIFS('Citation matches'!$B$2:$B$279,A5,'Citation matches'!$P$2:$P$279,"no")</x:f>
        <x:v>2</x:v>
      </x:c>
      <x:c r="P5" s="1" t="n">
        <x:f>COUNTIFS('Citation matches'!$B$2:$B$279,A5,'Citation matches'!$W$2:$W$279,"yes")</x:f>
        <x:v>0</x:v>
      </x:c>
    </x:row>
    <x:row r="6">
      <x:c r="A6" s="1" t="str">
        <x:v>cmm0bebet000404jvmcxyqo4x</x:v>
      </x:c>
      <x:c r="B6" s="1" t="str">
        <x:v>cmm0b5xup000504ibqdrxvam6</x:v>
      </x:c>
      <x:c r="C6" s="1" t="str">
        <x:v>skeleton-args-ca2016009836-d5eefd60a70a11d6</x:v>
      </x:c>
      <x:c r="D6" s="1" t="str">
        <x:v>synthetic</x:v>
      </x:c>
      <x:c r="E6" s="1" t="str">
        <x:v>Beacon Manufacturing Ltd v Alliance Insurance Plc</x:v>
      </x:c>
      <x:c r="F6" s="12" t="n">
        <x:v>46077.33293114584</x:v>
      </x:c>
      <x:c r="G6" s="12" t="str">
        <x:v>cmm0b91t5000e04ibf7gf6ujr</x:v>
      </x:c>
      <x:c r="H6" s="12" t="n">
        <x:v>46077.330086145834</x:v>
      </x:c>
      <x:c r="I6" s="1" t="n">
        <x:v>245.808</x:v>
      </x:c>
      <x:c r="J6" s="1" t="str">
        <x:v>confirmed_within_10m</x:v>
      </x:c>
      <x:c r="K6" s="1" t="n">
        <x:v>10</x:v>
      </x:c>
      <x:c r="L6" s="1" t="n">
        <x:f>COUNTIF('Citation matches'!$B$2:$B$279,A6)</x:f>
        <x:v>3</x:v>
      </x:c>
      <x:c r="M6" s="1" t="n">
        <x:f>COUNTIFS('Citation matches'!$B$2:$B$279,A6,'Citation matches'!$P$2:$P$279,"yes")</x:f>
        <x:v>2</x:v>
      </x:c>
      <x:c r="N6" s="1" t="n">
        <x:f>COUNTIFS('Citation matches'!$B$2:$B$279,A6,'Citation matches'!$P$2:$P$279,"probable_manual_review")</x:f>
        <x:v>0</x:v>
      </x:c>
      <x:c r="O6" s="1" t="n">
        <x:f>COUNTIFS('Citation matches'!$B$2:$B$279,A6,'Citation matches'!$P$2:$P$279,"no")</x:f>
        <x:v>1</x:v>
      </x:c>
      <x:c r="P6" s="1" t="n">
        <x:f>COUNTIFS('Citation matches'!$B$2:$B$279,A6,'Citation matches'!$W$2:$W$279,"yes")</x:f>
        <x:v>0</x:v>
      </x:c>
    </x:row>
    <x:row r="7">
      <x:c r="A7" s="1" t="str">
        <x:v>cmm0ckscr000t04i312fc6edg</x:v>
      </x:c>
      <x:c r="B7" s="1" t="str">
        <x:v>cmlzojkzd000204l5u8akkk6q</x:v>
      </x:c>
      <x:c r="C7" s="1" t="str">
        <x:v>skeleton-args-ca2018006090-aa90566cb5f6b5de</x:v>
      </x:c>
      <x:c r="D7" s="1" t="str">
        <x:v>synthetic</x:v>
      </x:c>
      <x:c r="E7" s="1" t="str">
        <x:v>Blackwood v Blackwood</x:v>
      </x:c>
      <x:c r="F7" s="12" t="n">
        <x:v>46077.355865300924</x:v>
      </x:c>
      <x:c r="G7" s="12" t="str">
        <x:v>cmm0chr9w000n04i37bx1uiqp</x:v>
      </x:c>
      <x:c r="H7" s="12" t="n">
        <x:v>46077.354228159726</x:v>
      </x:c>
      <x:c r="I7" s="1" t="n">
        <x:v>141.449</x:v>
      </x:c>
      <x:c r="J7" s="1" t="str">
        <x:v>confirmed_within_10m</x:v>
      </x:c>
      <x:c r="K7" s="1" t="n">
        <x:v>10</x:v>
      </x:c>
      <x:c r="L7" s="1" t="n">
        <x:f>COUNTIF('Citation matches'!$B$2:$B$279,A7)</x:f>
        <x:v>4</x:v>
      </x:c>
      <x:c r="M7" s="1" t="n">
        <x:f>COUNTIFS('Citation matches'!$B$2:$B$279,A7,'Citation matches'!$P$2:$P$279,"yes")</x:f>
        <x:v>2</x:v>
      </x:c>
      <x:c r="N7" s="1" t="n">
        <x:f>COUNTIFS('Citation matches'!$B$2:$B$279,A7,'Citation matches'!$P$2:$P$279,"probable_manual_review")</x:f>
        <x:v>0</x:v>
      </x:c>
      <x:c r="O7" s="1" t="n">
        <x:f>COUNTIFS('Citation matches'!$B$2:$B$279,A7,'Citation matches'!$P$2:$P$279,"no")</x:f>
        <x:v>2</x:v>
      </x:c>
      <x:c r="P7" s="1" t="n">
        <x:f>COUNTIFS('Citation matches'!$B$2:$B$279,A7,'Citation matches'!$W$2:$W$279,"yes")</x:f>
        <x:v>2</x:v>
      </x:c>
    </x:row>
    <x:row r="8">
      <x:c r="A8" s="1" t="str">
        <x:v>cmm0ct5sl001504i3x6g18pvd</x:v>
      </x:c>
      <x:c r="B8" s="1" t="str">
        <x:v>cmlzojkzd000204l5u8akkk6q</x:v>
      </x:c>
      <x:c r="C8" s="1" t="str">
        <x:v>skeleton-args-ca2018006090-aa90566cb5f6b5de</x:v>
      </x:c>
      <x:c r="D8" s="1" t="str">
        <x:v>synthetic</x:v>
      </x:c>
      <x:c r="E8" s="1" t="str">
        <x:v>Blackwood v Blackwood</x:v>
      </x:c>
      <x:c r="F8" s="12" t="n">
        <x:v>46077.36038689815</x:v>
      </x:c>
      <x:c r="G8" s="12" t="str">
        <x:v>cmm0cqleo000z04i321gtuvf1</x:v>
      </x:c>
      <x:c r="H8" s="12" t="n">
        <x:v>46077.35900015046</x:v>
      </x:c>
      <x:c r="I8" s="1" t="n">
        <x:v>119.815</x:v>
      </x:c>
      <x:c r="J8" s="1" t="str">
        <x:v>confirmed_within_10m</x:v>
      </x:c>
      <x:c r="K8" s="1" t="n">
        <x:v>10</x:v>
      </x:c>
      <x:c r="L8" s="1" t="n">
        <x:f>COUNTIF('Citation matches'!$B$2:$B$279,A8)</x:f>
        <x:v>4</x:v>
      </x:c>
      <x:c r="M8" s="1" t="n">
        <x:f>COUNTIFS('Citation matches'!$B$2:$B$279,A8,'Citation matches'!$P$2:$P$279,"yes")</x:f>
        <x:v>2</x:v>
      </x:c>
      <x:c r="N8" s="1" t="n">
        <x:f>COUNTIFS('Citation matches'!$B$2:$B$279,A8,'Citation matches'!$P$2:$P$279,"probable_manual_review")</x:f>
        <x:v>0</x:v>
      </x:c>
      <x:c r="O8" s="1" t="n">
        <x:f>COUNTIFS('Citation matches'!$B$2:$B$279,A8,'Citation matches'!$P$2:$P$279,"no")</x:f>
        <x:v>2</x:v>
      </x:c>
      <x:c r="P8" s="1" t="n">
        <x:f>COUNTIFS('Citation matches'!$B$2:$B$279,A8,'Citation matches'!$W$2:$W$279,"yes")</x:f>
        <x:v>0</x:v>
      </x:c>
    </x:row>
    <x:row r="9">
      <x:c r="A9" s="1" t="str">
        <x:v>cmm0k3nj8000h04l412ruhfxj</x:v>
      </x:c>
      <x:c r="B9" s="1" t="str">
        <x:v>cmlzy4fu700fk04i8kn66k5jp</x:v>
      </x:c>
      <x:c r="C9" s="1" t="str">
        <x:v>skeleton-args-ca2024001234-346b2d683b5c2099</x:v>
      </x:c>
      <x:c r="D9" s="1" t="str">
        <x:v>synthetic</x:v>
      </x:c>
      <x:c r="E9" s="1" t="str">
        <x:v>Transport Action Network Limited v Secretary of State for Transport</x:v>
      </x:c>
      <x:c r="F9" s="12" t="n">
        <x:v>46077.50213298611</x:v>
      </x:c>
      <x:c r="G9" s="12" t="str">
        <x:v>cmm0k0854000b04l440eijrw0</x:v>
      </x:c>
      <x:c r="H9" s="12" t="n">
        <x:v>46077.50028112269</x:v>
      </x:c>
      <x:c r="I9" s="1" t="n">
        <x:v>160.001</x:v>
      </x:c>
      <x:c r="J9" s="1" t="str">
        <x:v>confirmed_within_10m</x:v>
      </x:c>
      <x:c r="K9" s="1" t="n">
        <x:v>10</x:v>
      </x:c>
      <x:c r="L9" s="1" t="n">
        <x:f>COUNTIF('Citation matches'!$B$2:$B$279,A9)</x:f>
        <x:v>4</x:v>
      </x:c>
      <x:c r="M9" s="1" t="n">
        <x:f>COUNTIFS('Citation matches'!$B$2:$B$279,A9,'Citation matches'!$P$2:$P$279,"yes")</x:f>
        <x:v>3</x:v>
      </x:c>
      <x:c r="N9" s="1" t="n">
        <x:f>COUNTIFS('Citation matches'!$B$2:$B$279,A9,'Citation matches'!$P$2:$P$279,"probable_manual_review")</x:f>
        <x:v>0</x:v>
      </x:c>
      <x:c r="O9" s="1" t="n">
        <x:f>COUNTIFS('Citation matches'!$B$2:$B$279,A9,'Citation matches'!$P$2:$P$279,"no")</x:f>
        <x:v>1</x:v>
      </x:c>
      <x:c r="P9" s="1" t="n">
        <x:f>COUNTIFS('Citation matches'!$B$2:$B$279,A9,'Citation matches'!$W$2:$W$279,"yes")</x:f>
        <x:v>0</x:v>
      </x:c>
    </x:row>
    <x:row r="10">
      <x:c r="A10" s="1" t="str">
        <x:v>cmm3b1g6j000j04jt8w2u9z6w</x:v>
      </x:c>
      <x:c r="B10" s="1" t="str">
        <x:v>cmm3awy72000404jtfbucs83q</x:v>
      </x:c>
      <x:c r="C10" s="1" t="str">
        <x:v>skeleton-args-ca2025000412-e17d5e10793fe216</x:v>
      </x:c>
      <x:c r="D10" s="1" t="str">
        <x:v>synthetic</x:v>
      </x:c>
      <x:c r="E10" s="1" t="str">
        <x:v>R (Harrison) v Secretary of State for Justice</x:v>
      </x:c>
      <x:c r="F10" s="12" t="n">
        <x:v>46079.42550269676</x:v>
      </x:c>
      <x:c r="G10" s="12" t="str">
        <x:v>cmm3azb8t000d04jtx7he2awl</x:v>
      </x:c>
      <x:c r="H10" s="12" t="n">
        <x:v>46079.42434765046</x:v>
      </x:c>
      <x:c r="I10" s="1" t="n">
        <x:v>99.796</x:v>
      </x:c>
      <x:c r="J10" s="1" t="str">
        <x:v>confirmed_within_10m</x:v>
      </x:c>
      <x:c r="K10" s="1" t="n">
        <x:v>10</x:v>
      </x:c>
      <x:c r="L10" s="1" t="n">
        <x:f>COUNTIF('Citation matches'!$B$2:$B$279,A10)</x:f>
        <x:v>5</x:v>
      </x:c>
      <x:c r="M10" s="1" t="n">
        <x:f>COUNTIFS('Citation matches'!$B$2:$B$279,A10,'Citation matches'!$P$2:$P$279,"yes")</x:f>
        <x:v>3</x:v>
      </x:c>
      <x:c r="N10" s="1" t="n">
        <x:f>COUNTIFS('Citation matches'!$B$2:$B$279,A10,'Citation matches'!$P$2:$P$279,"probable_manual_review")</x:f>
        <x:v>0</x:v>
      </x:c>
      <x:c r="O10" s="1" t="n">
        <x:f>COUNTIFS('Citation matches'!$B$2:$B$279,A10,'Citation matches'!$P$2:$P$279,"no")</x:f>
        <x:v>2</x:v>
      </x:c>
      <x:c r="P10" s="1" t="n">
        <x:f>COUNTIFS('Citation matches'!$B$2:$B$279,A10,'Citation matches'!$W$2:$W$279,"yes")</x:f>
        <x:v>0</x:v>
      </x:c>
    </x:row>
    <x:row r="11">
      <x:c r="A11" s="1" t="str">
        <x:v>cmm920v38000b04ib8ug7hazg</x:v>
      </x:c>
      <x:c r="B11" s="1" t="str">
        <x:v>cmlzojkzd000204l5u8akkk6q</x:v>
      </x:c>
      <x:c r="C11" s="1" t="str">
        <x:v>skeleton-args-ca2018006090-aa90566cb5f6b5de</x:v>
      </x:c>
      <x:c r="D11" s="1" t="str">
        <x:v>synthetic</x:v>
      </x:c>
      <x:c r="E11" s="1" t="str">
        <x:v>Blackwood v Blackwood</x:v>
      </x:c>
      <x:c r="F11" s="12" t="n">
        <x:v>46083.44926630787</x:v>
      </x:c>
      <x:c r="G11" s="12" t="str">
        <x:v>cmm0cqleo000z04i321gtuvf1</x:v>
      </x:c>
      <x:c r="H11" s="12" t="n">
        <x:v>46077.35900015046</x:v>
      </x:c>
      <x:c r="I11" s="1" t="n">
        <x:v>526198.996</x:v>
      </x:c>
      <x:c r="J11" s="1" t="str">
        <x:v>ambiguous_gap_gt_10m</x:v>
      </x:c>
      <x:c r="K11" s="1" t="n">
        <x:v>10</x:v>
      </x:c>
      <x:c r="L11" s="1" t="n">
        <x:f>COUNTIF('Citation matches'!$B$2:$B$279,A11)</x:f>
        <x:v>4</x:v>
      </x:c>
      <x:c r="M11" s="1" t="n">
        <x:f>COUNTIFS('Citation matches'!$B$2:$B$279,A11,'Citation matches'!$P$2:$P$279,"yes")</x:f>
        <x:v>2</x:v>
      </x:c>
      <x:c r="N11" s="1" t="n">
        <x:f>COUNTIFS('Citation matches'!$B$2:$B$279,A11,'Citation matches'!$P$2:$P$279,"probable_manual_review")</x:f>
        <x:v>0</x:v>
      </x:c>
      <x:c r="O11" s="1" t="n">
        <x:f>COUNTIFS('Citation matches'!$B$2:$B$279,A11,'Citation matches'!$P$2:$P$279,"no")</x:f>
        <x:v>2</x:v>
      </x:c>
      <x:c r="P11" s="1" t="n">
        <x:f>COUNTIFS('Citation matches'!$B$2:$B$279,A11,'Citation matches'!$W$2:$W$279,"yes")</x:f>
        <x:v>0</x:v>
      </x:c>
    </x:row>
    <x:row r="12">
      <x:c r="A12" s="1" t="str">
        <x:v>cmm927sxp000304jp8fpwf2ew</x:v>
      </x:c>
      <x:c r="B12" s="1" t="str">
        <x:v>cmlzojkzd000204l5u8akkk6q</x:v>
      </x:c>
      <x:c r="C12" s="1" t="str">
        <x:v>skeleton-args-ca2018006090-aa90566cb5f6b5de</x:v>
      </x:c>
      <x:c r="D12" s="1" t="str">
        <x:v>synthetic</x:v>
      </x:c>
      <x:c r="E12" s="1" t="str">
        <x:v>Blackwood v Blackwood</x:v>
      </x:c>
      <x:c r="F12" s="12" t="n">
        <x:v>46083.45301398148</x:v>
      </x:c>
      <x:c r="G12" s="12" t="str">
        <x:v>cmm0cqleo000z04i321gtuvf1</x:v>
      </x:c>
      <x:c r="H12" s="12" t="n">
        <x:v>46077.35900015046</x:v>
      </x:c>
      <x:c r="I12" s="1" t="n">
        <x:v>526522.795</x:v>
      </x:c>
      <x:c r="J12" s="1" t="str">
        <x:v>ambiguous_gap_gt_10m</x:v>
      </x:c>
      <x:c r="K12" s="1" t="n">
        <x:v>10</x:v>
      </x:c>
      <x:c r="L12" s="1" t="n">
        <x:f>COUNTIF('Citation matches'!$B$2:$B$279,A12)</x:f>
        <x:v>5</x:v>
      </x:c>
      <x:c r="M12" s="1" t="n">
        <x:f>COUNTIFS('Citation matches'!$B$2:$B$279,A12,'Citation matches'!$P$2:$P$279,"yes")</x:f>
        <x:v>3</x:v>
      </x:c>
      <x:c r="N12" s="1" t="n">
        <x:f>COUNTIFS('Citation matches'!$B$2:$B$279,A12,'Citation matches'!$P$2:$P$279,"probable_manual_review")</x:f>
        <x:v>0</x:v>
      </x:c>
      <x:c r="O12" s="1" t="n">
        <x:f>COUNTIFS('Citation matches'!$B$2:$B$279,A12,'Citation matches'!$P$2:$P$279,"no")</x:f>
        <x:v>2</x:v>
      </x:c>
      <x:c r="P12" s="1" t="n">
        <x:f>COUNTIFS('Citation matches'!$B$2:$B$279,A12,'Citation matches'!$W$2:$W$279,"yes")</x:f>
        <x:v>0</x:v>
      </x:c>
    </x:row>
    <x:row r="13">
      <x:c r="A13" s="1" t="str">
        <x:v>cmm93eoww000904l4jttzk880</x:v>
      </x:c>
      <x:c r="B13" s="1" t="str">
        <x:v>cmm91vpkv000204ibt9h7gspj</x:v>
      </x:c>
      <x:c r="C13" s="1" t="str">
        <x:v>skeleton-args-ca2019004792-59f1ed0831f20944</x:v>
      </x:c>
      <x:c r="D13" s="1" t="str">
        <x:v>synthetic</x:v>
      </x:c>
      <x:c r="E13" s="1" t="str">
        <x:v>Collins v North Thames NHS Foundation Trust</x:v>
      </x:c>
      <x:c r="F13" s="12" t="n">
        <x:v>46083.47617366898</x:v>
      </x:c>
      <x:c r="G13" s="12" t="str">
        <x:v>cmm93cs0n000304l46op6ul80</x:v>
      </x:c>
      <x:c r="H13" s="12" t="n">
        <x:v>46083.47513857639</x:v>
      </x:c>
      <x:c r="I13" s="1" t="n">
        <x:v>89.432</x:v>
      </x:c>
      <x:c r="J13" s="1" t="str">
        <x:v>confirmed_within_10m</x:v>
      </x:c>
      <x:c r="K13" s="1" t="n">
        <x:v>10</x:v>
      </x:c>
      <x:c r="L13" s="1" t="n">
        <x:f>COUNTIF('Citation matches'!$B$2:$B$279,A13)</x:f>
        <x:v>2</x:v>
      </x:c>
      <x:c r="M13" s="1" t="n">
        <x:f>COUNTIFS('Citation matches'!$B$2:$B$279,A13,'Citation matches'!$P$2:$P$279,"yes")</x:f>
        <x:v>0</x:v>
      </x:c>
      <x:c r="N13" s="1" t="n">
        <x:f>COUNTIFS('Citation matches'!$B$2:$B$279,A13,'Citation matches'!$P$2:$P$279,"probable_manual_review")</x:f>
        <x:v>0</x:v>
      </x:c>
      <x:c r="O13" s="1" t="n">
        <x:f>COUNTIFS('Citation matches'!$B$2:$B$279,A13,'Citation matches'!$P$2:$P$279,"no")</x:f>
        <x:v>2</x:v>
      </x:c>
      <x:c r="P13" s="1" t="n">
        <x:f>COUNTIFS('Citation matches'!$B$2:$B$279,A13,'Citation matches'!$W$2:$W$279,"yes")</x:f>
        <x:v>0</x:v>
      </x:c>
    </x:row>
    <x:row r="14">
      <x:c r="A14" s="1" t="str">
        <x:v>cmmafut12000904l4kjskwky4</x:v>
      </x:c>
      <x:c r="B14" s="1" t="str">
        <x:v>cmm3awy72000404jtfbucs83q</x:v>
      </x:c>
      <x:c r="C14" s="1" t="str">
        <x:v>skeleton-args-ca2025000412-e17d5e10793fe216</x:v>
      </x:c>
      <x:c r="D14" s="1" t="str">
        <x:v>synthetic</x:v>
      </x:c>
      <x:c r="E14" s="1" t="str">
        <x:v>R (Harrison) v Secretary of State for Justice</x:v>
      </x:c>
      <x:c r="F14" s="12" t="n">
        <x:v>46084.41799541667</x:v>
      </x:c>
      <x:c r="G14" s="12" t="str">
        <x:v>cmmafsf07000304l4huaorple</x:v>
      </x:c>
      <x:c r="H14" s="12" t="n">
        <x:v>46084.41670378472</x:v>
      </x:c>
      <x:c r="I14" s="1" t="n">
        <x:v>111.597</x:v>
      </x:c>
      <x:c r="J14" s="1" t="str">
        <x:v>confirmed_within_10m</x:v>
      </x:c>
      <x:c r="K14" s="1" t="n">
        <x:v>10</x:v>
      </x:c>
      <x:c r="L14" s="1" t="n">
        <x:f>COUNTIF('Citation matches'!$B$2:$B$279,A14)</x:f>
        <x:v>5</x:v>
      </x:c>
      <x:c r="M14" s="1" t="n">
        <x:f>COUNTIFS('Citation matches'!$B$2:$B$279,A14,'Citation matches'!$P$2:$P$279,"yes")</x:f>
        <x:v>3</x:v>
      </x:c>
      <x:c r="N14" s="1" t="n">
        <x:f>COUNTIFS('Citation matches'!$B$2:$B$279,A14,'Citation matches'!$P$2:$P$279,"probable_manual_review")</x:f>
        <x:v>0</x:v>
      </x:c>
      <x:c r="O14" s="1" t="n">
        <x:f>COUNTIFS('Citation matches'!$B$2:$B$279,A14,'Citation matches'!$P$2:$P$279,"no")</x:f>
        <x:v>2</x:v>
      </x:c>
      <x:c r="P14" s="1" t="n">
        <x:f>COUNTIFS('Citation matches'!$B$2:$B$279,A14,'Citation matches'!$W$2:$W$279,"yes")</x:f>
        <x:v>0</x:v>
      </x:c>
    </x:row>
    <x:row r="15">
      <x:c r="A15" s="1" t="str">
        <x:v>cmmc2zaji000h04l23a3cp61p</x:v>
      </x:c>
      <x:c r="B15" s="1" t="str">
        <x:v>cmlzon435000504jsyulxanb5</x:v>
      </x:c>
      <x:c r="C15" s="1" t="str">
        <x:v>skeleton-args-ca2022002088-9a827e5fc9cfa270</x:v>
      </x:c>
      <x:c r="D15" s="1" t="str">
        <x:v>synthetic</x:v>
      </x:c>
      <x:c r="E15" s="1" t="str">
        <x:v>HMRC v Dolphin Drilling Ltd</x:v>
      </x:c>
      <x:c r="F15" s="12" t="n">
        <x:v>46085.56737810185</x:v>
      </x:c>
      <x:c r="G15" s="12" t="str">
        <x:v>cmmc2vi4u000b04l2jn766kai</x:v>
      </x:c>
      <x:c r="H15" s="12" t="n">
        <x:v>46085.56533094907</x:v>
      </x:c>
      <x:c r="I15" s="1" t="n">
        <x:v>176.874</x:v>
      </x:c>
      <x:c r="J15" s="1" t="str">
        <x:v>confirmed_within_10m</x:v>
      </x:c>
      <x:c r="K15" s="1" t="n">
        <x:v>10</x:v>
      </x:c>
      <x:c r="L15" s="1" t="n">
        <x:f>COUNTIF('Citation matches'!$B$2:$B$279,A15)</x:f>
        <x:v>4</x:v>
      </x:c>
      <x:c r="M15" s="1" t="n">
        <x:f>COUNTIFS('Citation matches'!$B$2:$B$279,A15,'Citation matches'!$P$2:$P$279,"yes")</x:f>
        <x:v>2</x:v>
      </x:c>
      <x:c r="N15" s="1" t="n">
        <x:f>COUNTIFS('Citation matches'!$B$2:$B$279,A15,'Citation matches'!$P$2:$P$279,"probable_manual_review")</x:f>
        <x:v>0</x:v>
      </x:c>
      <x:c r="O15" s="1" t="n">
        <x:f>COUNTIFS('Citation matches'!$B$2:$B$279,A15,'Citation matches'!$P$2:$P$279,"no")</x:f>
        <x:v>2</x:v>
      </x:c>
      <x:c r="P15" s="1" t="n">
        <x:f>COUNTIFS('Citation matches'!$B$2:$B$279,A15,'Citation matches'!$W$2:$W$279,"yes")</x:f>
        <x:v>0</x:v>
      </x:c>
    </x:row>
    <x:row r="16">
      <x:c r="A16" s="1" t="str">
        <x:v>cmmc4a8zu000h04jx2w3r0hzo</x:v>
      </x:c>
      <x:c r="B16" s="1" t="str">
        <x:v>cmmc45761000204jx6bd5kxqk</x:v>
      </x:c>
      <x:c r="C16" s="1" t="str">
        <x:v>ca-2024-000255-ellis-v-ssj-appellant-skeleton</x:v>
      </x:c>
      <x:c r="D16" s="1" t="str">
        <x:v>real</x:v>
      </x:c>
      <x:c r="E16" s="1" t="str">
        <x:v>R (Fajr Ellis) v Secretary of State for Justice</x:v>
      </x:c>
      <x:c r="F16" s="12" t="n">
        <x:v>46085.592734907405</x:v>
      </x:c>
      <x:c r="G16" s="12" t="str">
        <x:v>cmmc48b4h000b04jxrxrp3idf</x:v>
      </x:c>
      <x:c r="H16" s="12" t="n">
        <x:v>46085.59168572917</x:v>
      </x:c>
      <x:c r="I16" s="1" t="n">
        <x:v>90.649</x:v>
      </x:c>
      <x:c r="J16" s="1" t="str">
        <x:v>confirmed_within_10m</x:v>
      </x:c>
      <x:c r="K16" s="1" t="n">
        <x:v>10</x:v>
      </x:c>
      <x:c r="L16" s="1" t="n">
        <x:f>COUNTIF('Citation matches'!$B$2:$B$279,A16)</x:f>
        <x:v>5</x:v>
      </x:c>
      <x:c r="M16" s="1" t="n">
        <x:f>COUNTIFS('Citation matches'!$B$2:$B$279,A16,'Citation matches'!$P$2:$P$279,"yes")</x:f>
        <x:v>3</x:v>
      </x:c>
      <x:c r="N16" s="1" t="n">
        <x:f>COUNTIFS('Citation matches'!$B$2:$B$279,A16,'Citation matches'!$P$2:$P$279,"probable_manual_review")</x:f>
        <x:v>0</x:v>
      </x:c>
      <x:c r="O16" s="1" t="n">
        <x:f>COUNTIFS('Citation matches'!$B$2:$B$279,A16,'Citation matches'!$P$2:$P$279,"no")</x:f>
        <x:v>2</x:v>
      </x:c>
      <x:c r="P16" s="1" t="n">
        <x:f>COUNTIFS('Citation matches'!$B$2:$B$279,A16,'Citation matches'!$W$2:$W$279,"yes")</x:f>
        <x:v>0</x:v>
      </x:c>
    </x:row>
    <x:row r="17">
      <x:c r="A17" s="1" t="str">
        <x:v>cmmcal70d000h04k3e11w997v</x:v>
      </x:c>
      <x:c r="B17" s="1" t="str">
        <x:v>cmmcafz4s000204k31uew4nq3</x:v>
      </x:c>
      <x:c r="C17" s="1" t="str">
        <x:v>ew-cases-EWCA-Civ-2024-1110</x:v>
      </x:c>
      <x:c r="D17" s="1" t="str">
        <x:v>synthetic</x:v>
      </x:c>
      <x:c r="E17" s="1" t="str">
        <x:v>UnipolSai Assicurazioni S.p.A. v Covéa Insurance Plc</x:v>
      </x:c>
      <x:c r="F17" s="12" t="n">
        <x:v>46085.71528512731</x:v>
      </x:c>
      <x:c r="G17" s="12" t="str">
        <x:v>cmmcaho67000b04k3d50f98in</x:v>
      </x:c>
      <x:c r="H17" s="12" t="n">
        <x:v>46085.71338134259</x:v>
      </x:c>
      <x:c r="I17" s="1" t="n">
        <x:v>164.487</x:v>
      </x:c>
      <x:c r="J17" s="1" t="str">
        <x:v>confirmed_within_10m</x:v>
      </x:c>
      <x:c r="K17" s="1" t="n">
        <x:v>20</x:v>
      </x:c>
      <x:c r="L17" s="1" t="n">
        <x:f>COUNTIF('Citation matches'!$B$2:$B$279,A17)</x:f>
        <x:v>4</x:v>
      </x:c>
      <x:c r="M17" s="1" t="n">
        <x:f>COUNTIFS('Citation matches'!$B$2:$B$279,A17,'Citation matches'!$P$2:$P$279,"yes")</x:f>
        <x:v>2</x:v>
      </x:c>
      <x:c r="N17" s="1" t="n">
        <x:f>COUNTIFS('Citation matches'!$B$2:$B$279,A17,'Citation matches'!$P$2:$P$279,"probable_manual_review")</x:f>
        <x:v>0</x:v>
      </x:c>
      <x:c r="O17" s="1" t="n">
        <x:f>COUNTIFS('Citation matches'!$B$2:$B$279,A17,'Citation matches'!$P$2:$P$279,"no")</x:f>
        <x:v>2</x:v>
      </x:c>
      <x:c r="P17" s="1" t="n">
        <x:f>COUNTIFS('Citation matches'!$B$2:$B$279,A17,'Citation matches'!$W$2:$W$279,"yes")</x:f>
        <x:v>1</x:v>
      </x:c>
    </x:row>
    <x:row r="18">
      <x:c r="A18" s="1" t="str">
        <x:v>cmmdjqxh3000304kvs37yorn3</x:v>
      </x:c>
      <x:c r="B18" s="1" t="str">
        <x:v>cmmdjkfi7000204jsunevvuvv</x:v>
      </x:c>
      <x:c r="C18" s="1" t="str">
        <x:v>skeleton-args-ca2023004634-299a4a730fe1f43a</x:v>
      </x:c>
      <x:c r="D18" s="1" t="str">
        <x:v>synthetic</x:v>
      </x:c>
      <x:c r="E18" s="1" t="str">
        <x:v>Metropolitan Property Holdings Ltd v Artisan Coffee Co Ltd</x:v>
      </x:c>
      <x:c r="F18" s="12" t="n">
        <x:v>46086.59318206018</x:v>
      </x:c>
      <x:c r="G18" s="12" t="str">
        <x:v>cmmdjmbqo000b04js13axm03c</x:v>
      </x:c>
      <x:c r="H18" s="12" t="n">
        <x:v>46086.59069491898</x:v>
      </x:c>
      <x:c r="I18" s="1" t="n">
        <x:v>214.889</x:v>
      </x:c>
      <x:c r="J18" s="1" t="str">
        <x:v>confirmed_within_10m</x:v>
      </x:c>
      <x:c r="K18" s="1" t="n">
        <x:v>20</x:v>
      </x:c>
      <x:c r="L18" s="1" t="n">
        <x:f>COUNTIF('Citation matches'!$B$2:$B$279,A18)</x:f>
        <x:v>6</x:v>
      </x:c>
      <x:c r="M18" s="1" t="n">
        <x:f>COUNTIFS('Citation matches'!$B$2:$B$279,A18,'Citation matches'!$P$2:$P$279,"yes")</x:f>
        <x:v>4</x:v>
      </x:c>
      <x:c r="N18" s="1" t="n">
        <x:f>COUNTIFS('Citation matches'!$B$2:$B$279,A18,'Citation matches'!$P$2:$P$279,"probable_manual_review")</x:f>
        <x:v>0</x:v>
      </x:c>
      <x:c r="O18" s="1" t="n">
        <x:f>COUNTIFS('Citation matches'!$B$2:$B$279,A18,'Citation matches'!$P$2:$P$279,"no")</x:f>
        <x:v>2</x:v>
      </x:c>
      <x:c r="P18" s="1" t="n">
        <x:f>COUNTIFS('Citation matches'!$B$2:$B$279,A18,'Citation matches'!$W$2:$W$279,"yes")</x:f>
        <x:v>0</x:v>
      </x:c>
    </x:row>
    <x:row r="19">
      <x:c r="A19" s="1" t="str">
        <x:v>cmmdkjytd000304jl24cdxqvp</x:v>
      </x:c>
      <x:c r="B19" s="1" t="str">
        <x:v>cmmdjkfi7000204jsunevvuvv</x:v>
      </x:c>
      <x:c r="C19" s="1" t="str">
        <x:v>skeleton-args-ca2023004634-299a4a730fe1f43a</x:v>
      </x:c>
      <x:c r="D19" s="1" t="str">
        <x:v>synthetic</x:v>
      </x:c>
      <x:c r="E19" s="1" t="str">
        <x:v>Metropolitan Property Holdings Ltd v Artisan Coffee Co Ltd</x:v>
      </x:c>
      <x:c r="F19" s="12" t="n">
        <x:v>46086.60886219907</x:v>
      </x:c>
      <x:c r="G19" s="12" t="str">
        <x:v>cmmdjmbqo000b04js13axm03c</x:v>
      </x:c>
      <x:c r="H19" s="12" t="n">
        <x:v>46086.59069491898</x:v>
      </x:c>
      <x:c r="I19" s="1" t="n">
        <x:v>1569.653</x:v>
      </x:c>
      <x:c r="J19" s="1" t="str">
        <x:v>ambiguous_gap_gt_10m</x:v>
      </x:c>
      <x:c r="K19" s="1" t="n">
        <x:v>20</x:v>
      </x:c>
      <x:c r="L19" s="1" t="n">
        <x:f>COUNTIF('Citation matches'!$B$2:$B$279,A19)</x:f>
        <x:v>4</x:v>
      </x:c>
      <x:c r="M19" s="1" t="n">
        <x:f>COUNTIFS('Citation matches'!$B$2:$B$279,A19,'Citation matches'!$P$2:$P$279,"yes")</x:f>
        <x:v>2</x:v>
      </x:c>
      <x:c r="N19" s="1" t="n">
        <x:f>COUNTIFS('Citation matches'!$B$2:$B$279,A19,'Citation matches'!$P$2:$P$279,"probable_manual_review")</x:f>
        <x:v>0</x:v>
      </x:c>
      <x:c r="O19" s="1" t="n">
        <x:f>COUNTIFS('Citation matches'!$B$2:$B$279,A19,'Citation matches'!$P$2:$P$279,"no")</x:f>
        <x:v>2</x:v>
      </x:c>
      <x:c r="P19" s="1" t="n">
        <x:f>COUNTIFS('Citation matches'!$B$2:$B$279,A19,'Citation matches'!$W$2:$W$279,"yes")</x:f>
        <x:v>0</x:v>
      </x:c>
    </x:row>
    <x:row r="20">
      <x:c r="A20" s="1" t="str">
        <x:v>cmmf22axa000h04jxcpnnecs0</x:v>
      </x:c>
      <x:c r="B20" s="1" t="str">
        <x:v>cmlzne5ed000204ju2xa40q49</x:v>
      </x:c>
      <x:c r="C20" s="1" t="str">
        <x:v>ew-cases-EWCA-Civ-2024-1</x:v>
      </x:c>
      <x:c r="D20" s="1" t="str">
        <x:v>synthetic</x:v>
      </x:c>
      <x:c r="E20" s="1" t="str">
        <x:v>HMRC v Dolphin Drilling Ltd</x:v>
      </x:c>
      <x:c r="F20" s="12" t="n">
        <x:v>46087.649083854165</x:v>
      </x:c>
      <x:c r="G20" s="12" t="str">
        <x:v>cmmf20sg7000b04jxh5i54iyz</x:v>
      </x:c>
      <x:c r="H20" s="12" t="n">
        <x:v>46087.64826565972</x:v>
      </x:c>
      <x:c r="I20" s="1" t="n">
        <x:v>70.692</x:v>
      </x:c>
      <x:c r="J20" s="1" t="str">
        <x:v>confirmed_within_10m</x:v>
      </x:c>
      <x:c r="K20" s="1" t="n">
        <x:v>20</x:v>
      </x:c>
      <x:c r="L20" s="1" t="n">
        <x:f>COUNTIF('Citation matches'!$B$2:$B$279,A20)</x:f>
        <x:v>4</x:v>
      </x:c>
      <x:c r="M20" s="1" t="n">
        <x:f>COUNTIFS('Citation matches'!$B$2:$B$279,A20,'Citation matches'!$P$2:$P$279,"yes")</x:f>
        <x:v>3</x:v>
      </x:c>
      <x:c r="N20" s="1" t="n">
        <x:f>COUNTIFS('Citation matches'!$B$2:$B$279,A20,'Citation matches'!$P$2:$P$279,"probable_manual_review")</x:f>
        <x:v>0</x:v>
      </x:c>
      <x:c r="O20" s="1" t="n">
        <x:f>COUNTIFS('Citation matches'!$B$2:$B$279,A20,'Citation matches'!$P$2:$P$279,"no")</x:f>
        <x:v>1</x:v>
      </x:c>
      <x:c r="P20" s="1" t="n">
        <x:f>COUNTIFS('Citation matches'!$B$2:$B$279,A20,'Citation matches'!$W$2:$W$279,"yes")</x:f>
        <x:v>0</x:v>
      </x:c>
    </x:row>
    <x:row r="21">
      <x:c r="A21" s="1" t="str">
        <x:v>cmmjsmua2000q04jstd4i8p7c</x:v>
      </x:c>
      <x:c r="B21" s="1" t="str">
        <x:v>cmmc45761000204jx6bd5kxqk</x:v>
      </x:c>
      <x:c r="C21" s="1" t="str">
        <x:v>ca-2024-000255-ellis-v-ssj-appellant-skeleton</x:v>
      </x:c>
      <x:c r="D21" s="1" t="str">
        <x:v>real</x:v>
      </x:c>
      <x:c r="E21" s="1" t="str">
        <x:v>R (Fajr Ellis) v Secretary of State for Justice</x:v>
      </x:c>
      <x:c r="F21" s="12" t="n">
        <x:v>46090.96497417824</x:v>
      </x:c>
      <x:c r="G21" s="12" t="str">
        <x:v>cmmjsjnvz000k04js5ptftolc</x:v>
      </x:c>
      <x:c r="H21" s="12" t="n">
        <x:v>46090.963257233794</x:v>
      </x:c>
      <x:c r="I21" s="1" t="n">
        <x:v>148.344</x:v>
      </x:c>
      <x:c r="J21" s="1" t="str">
        <x:v>confirmed_within_10m</x:v>
      </x:c>
      <x:c r="K21" s="1" t="n">
        <x:v>20</x:v>
      </x:c>
      <x:c r="L21" s="1" t="n">
        <x:f>COUNTIF('Citation matches'!$B$2:$B$279,A21)</x:f>
        <x:v>6</x:v>
      </x:c>
      <x:c r="M21" s="1" t="n">
        <x:f>COUNTIFS('Citation matches'!$B$2:$B$279,A21,'Citation matches'!$P$2:$P$279,"yes")</x:f>
        <x:v>3</x:v>
      </x:c>
      <x:c r="N21" s="1" t="n">
        <x:f>COUNTIFS('Citation matches'!$B$2:$B$279,A21,'Citation matches'!$P$2:$P$279,"probable_manual_review")</x:f>
        <x:v>0</x:v>
      </x:c>
      <x:c r="O21" s="1" t="n">
        <x:f>COUNTIFS('Citation matches'!$B$2:$B$279,A21,'Citation matches'!$P$2:$P$279,"no")</x:f>
        <x:v>3</x:v>
      </x:c>
      <x:c r="P21" s="1" t="n">
        <x:f>COUNTIFS('Citation matches'!$B$2:$B$279,A21,'Citation matches'!$W$2:$W$279,"yes")</x:f>
        <x:v>0</x:v>
      </x:c>
    </x:row>
    <x:row r="22">
      <x:c r="A22" s="1" t="str">
        <x:v>cmmjtnsdx000904l4vhap8xwc</x:v>
      </x:c>
      <x:c r="B22" s="1" t="str">
        <x:v>cmmc45761000204jx6bd5kxqk</x:v>
      </x:c>
      <x:c r="C22" s="1" t="str">
        <x:v>ca-2024-000255-ellis-v-ssj-appellant-skeleton</x:v>
      </x:c>
      <x:c r="D22" s="1" t="str">
        <x:v>real</x:v>
      </x:c>
      <x:c r="E22" s="1" t="str">
        <x:v>R (Fajr Ellis) v Secretary of State for Justice</x:v>
      </x:c>
      <x:c r="F22" s="12" t="n">
        <x:v>46090.98492577546</x:v>
      </x:c>
      <x:c r="G22" s="12" t="str">
        <x:v>cmmjtjuc3000304l46doynpvf</x:v>
      </x:c>
      <x:c r="H22" s="12" t="n">
        <x:v>46090.98279354167</x:v>
      </x:c>
      <x:c r="I22" s="1" t="n">
        <x:v>184.225</x:v>
      </x:c>
      <x:c r="J22" s="1" t="str">
        <x:v>confirmed_within_10m</x:v>
      </x:c>
      <x:c r="K22" s="1" t="n">
        <x:v>20</x:v>
      </x:c>
      <x:c r="L22" s="1" t="n">
        <x:f>COUNTIF('Citation matches'!$B$2:$B$279,A22)</x:f>
        <x:v>5</x:v>
      </x:c>
      <x:c r="M22" s="1" t="n">
        <x:f>COUNTIFS('Citation matches'!$B$2:$B$279,A22,'Citation matches'!$P$2:$P$279,"yes")</x:f>
        <x:v>3</x:v>
      </x:c>
      <x:c r="N22" s="1" t="n">
        <x:f>COUNTIFS('Citation matches'!$B$2:$B$279,A22,'Citation matches'!$P$2:$P$279,"probable_manual_review")</x:f>
        <x:v>0</x:v>
      </x:c>
      <x:c r="O22" s="1" t="n">
        <x:f>COUNTIFS('Citation matches'!$B$2:$B$279,A22,'Citation matches'!$P$2:$P$279,"no")</x:f>
        <x:v>2</x:v>
      </x:c>
      <x:c r="P22" s="1" t="n">
        <x:f>COUNTIFS('Citation matches'!$B$2:$B$279,A22,'Citation matches'!$W$2:$W$279,"yes")</x:f>
        <x:v>0</x:v>
      </x:c>
    </x:row>
    <x:row r="23">
      <x:c r="A23" s="1" t="str">
        <x:v>cmmls2r93000304jme0bpsul9</x:v>
      </x:c>
      <x:c r="B23" s="1" t="str">
        <x:v>cmmdjkfi7000204jsunevvuvv</x:v>
      </x:c>
      <x:c r="C23" s="1" t="str">
        <x:v>skeleton-args-ca2023004634-299a4a730fe1f43a</x:v>
      </x:c>
      <x:c r="D23" s="1" t="str">
        <x:v>synthetic</x:v>
      </x:c>
      <x:c r="E23" s="1" t="str">
        <x:v>Metropolitan Property Holdings Ltd v Artisan Coffee Co Ltd</x:v>
      </x:c>
      <x:c r="F23" s="12" t="n">
        <x:v>46092.35380873843</x:v>
      </x:c>
      <x:c r="G23" s="12" t="str">
        <x:v>cmmlryf16000304l5d3mrnfu5</x:v>
      </x:c>
      <x:c r="H23" s="12" t="n">
        <x:v>46092.3514637037</x:v>
      </x:c>
      <x:c r="I23" s="1" t="n">
        <x:v>202.611</x:v>
      </x:c>
      <x:c r="J23" s="1" t="str">
        <x:v>confirmed_within_10m</x:v>
      </x:c>
      <x:c r="K23" s="1" t="n">
        <x:v>20</x:v>
      </x:c>
      <x:c r="L23" s="1" t="n">
        <x:f>COUNTIF('Citation matches'!$B$2:$B$279,A23)</x:f>
        <x:v>8</x:v>
      </x:c>
      <x:c r="M23" s="1" t="n">
        <x:f>COUNTIFS('Citation matches'!$B$2:$B$279,A23,'Citation matches'!$P$2:$P$279,"yes")</x:f>
        <x:v>7</x:v>
      </x:c>
      <x:c r="N23" s="1" t="n">
        <x:f>COUNTIFS('Citation matches'!$B$2:$B$279,A23,'Citation matches'!$P$2:$P$279,"probable_manual_review")</x:f>
        <x:v>0</x:v>
      </x:c>
      <x:c r="O23" s="1" t="n">
        <x:f>COUNTIFS('Citation matches'!$B$2:$B$279,A23,'Citation matches'!$P$2:$P$279,"no")</x:f>
        <x:v>1</x:v>
      </x:c>
      <x:c r="P23" s="1" t="n">
        <x:f>COUNTIFS('Citation matches'!$B$2:$B$279,A23,'Citation matches'!$W$2:$W$279,"yes")</x:f>
        <x:v>0</x:v>
      </x:c>
    </x:row>
    <x:row r="24">
      <x:c r="A24" s="1" t="str">
        <x:v>cmmmudwct000304kzc6d15a3r</x:v>
      </x:c>
      <x:c r="B24" s="1" t="str">
        <x:v>cmmmua3z1000204l47czkacss</x:v>
      </x:c>
      <x:c r="C24" s="1" t="str">
        <x:v>skeleton-args-ca2021006069-a7200646d94c4a22</x:v>
      </x:c>
      <x:c r="D24" s="1" t="str">
        <x:v>synthetic</x:v>
      </x:c>
      <x:c r="E24" s="1" t="str">
        <x:v>Sunrise Hospitality Group Ltd v Grant Morrison &amp; Co LLP</x:v>
      </x:c>
      <x:c r="F24" s="12" t="n">
        <x:v>46093.09854530093</x:v>
      </x:c>
      <x:c r="G24" s="12" t="str">
        <x:v>cmmmucao8000b04l4jyq8av83</x:v>
      </x:c>
      <x:c r="H24" s="12" t="n">
        <x:v>46093.097679004626</x:v>
      </x:c>
      <x:c r="I24" s="1" t="n">
        <x:v>74.848</x:v>
      </x:c>
      <x:c r="J24" s="1" t="str">
        <x:v>confirmed_within_10m</x:v>
      </x:c>
      <x:c r="K24" s="1" t="n">
        <x:v>20</x:v>
      </x:c>
      <x:c r="L24" s="1" t="n">
        <x:f>COUNTIF('Citation matches'!$B$2:$B$279,A24)</x:f>
        <x:v>6</x:v>
      </x:c>
      <x:c r="M24" s="1" t="n">
        <x:f>COUNTIFS('Citation matches'!$B$2:$B$279,A24,'Citation matches'!$P$2:$P$279,"yes")</x:f>
        <x:v>3</x:v>
      </x:c>
      <x:c r="N24" s="1" t="n">
        <x:f>COUNTIFS('Citation matches'!$B$2:$B$279,A24,'Citation matches'!$P$2:$P$279,"probable_manual_review")</x:f>
        <x:v>0</x:v>
      </x:c>
      <x:c r="O24" s="1" t="n">
        <x:f>COUNTIFS('Citation matches'!$B$2:$B$279,A24,'Citation matches'!$P$2:$P$279,"no")</x:f>
        <x:v>3</x:v>
      </x:c>
      <x:c r="P24" s="1" t="n">
        <x:f>COUNTIFS('Citation matches'!$B$2:$B$279,A24,'Citation matches'!$W$2:$W$279,"yes")</x:f>
        <x:v>2</x:v>
      </x:c>
    </x:row>
    <x:row r="25">
      <x:c r="A25" s="1" t="str">
        <x:v>cmmrr64va000h04jvzuquhz2y</x:v>
      </x:c>
      <x:c r="B25" s="1" t="str">
        <x:v>cmmc45761000204jx6bd5kxqk</x:v>
      </x:c>
      <x:c r="C25" s="1" t="str">
        <x:v>ca-2024-000255-ellis-v-ssj-appellant-skeleton</x:v>
      </x:c>
      <x:c r="D25" s="1" t="str">
        <x:v>real</x:v>
      </x:c>
      <x:c r="E25" s="1" t="str">
        <x:v>R (Fajr Ellis) v Secretary of State for Justice</x:v>
      </x:c>
      <x:c r="F25" s="12" t="n">
        <x:v>46096.53523300926</x:v>
      </x:c>
      <x:c r="G25" s="12" t="str">
        <x:v>cmmrr3vbb000b04jvglqzb8az</x:v>
      </x:c>
      <x:c r="H25" s="12" t="n">
        <x:v>46096.53400847222</x:v>
      </x:c>
      <x:c r="I25" s="1" t="n">
        <x:v>105.8</x:v>
      </x:c>
      <x:c r="J25" s="1" t="str">
        <x:v>confirmed_within_10m</x:v>
      </x:c>
      <x:c r="K25" s="1" t="n">
        <x:v>20</x:v>
      </x:c>
      <x:c r="L25" s="1" t="n">
        <x:f>COUNTIF('Citation matches'!$B$2:$B$279,A25)</x:f>
        <x:v>3</x:v>
      </x:c>
      <x:c r="M25" s="1" t="n">
        <x:f>COUNTIFS('Citation matches'!$B$2:$B$279,A25,'Citation matches'!$P$2:$P$279,"yes")</x:f>
        <x:v>2</x:v>
      </x:c>
      <x:c r="N25" s="1" t="n">
        <x:f>COUNTIFS('Citation matches'!$B$2:$B$279,A25,'Citation matches'!$P$2:$P$279,"probable_manual_review")</x:f>
        <x:v>0</x:v>
      </x:c>
      <x:c r="O25" s="1" t="n">
        <x:f>COUNTIFS('Citation matches'!$B$2:$B$279,A25,'Citation matches'!$P$2:$P$279,"no")</x:f>
        <x:v>1</x:v>
      </x:c>
      <x:c r="P25" s="1" t="n">
        <x:f>COUNTIFS('Citation matches'!$B$2:$B$279,A25,'Citation matches'!$W$2:$W$279,"yes")</x:f>
        <x:v>0</x:v>
      </x:c>
    </x:row>
    <x:row r="26">
      <x:c r="A26" s="1" t="str">
        <x:v>cmmsi1xqb000h04jsef3v6skf</x:v>
      </x:c>
      <x:c r="B26" s="1" t="str">
        <x:v>cmmshtbz8000204jsdrli49qe</x:v>
      </x:c>
      <x:c r="C26" s="1" t="str">
        <x:v>karpasitis-v-hertfordshire-county-council</x:v>
      </x:c>
      <x:c r="D26" s="1" t="str">
        <x:v>real</x:v>
      </x:c>
      <x:c r="E26" s="1" t="str">
        <x:v>Karpasitis v Hertfordshire County Council</x:v>
      </x:c>
      <x:c r="F26" s="12" t="n">
        <x:v>46097.0578459375</x:v>
      </x:c>
      <x:c r="G26" s="12" t="str">
        <x:v>cmmshur54000b04jsgyo6bz98</x:v>
      </x:c>
      <x:c r="H26" s="12" t="n">
        <x:v>46097.053965983796</x:v>
      </x:c>
      <x:c r="I26" s="1" t="n">
        <x:v>335.228</x:v>
      </x:c>
      <x:c r="J26" s="1" t="str">
        <x:v>confirmed_within_10m</x:v>
      </x:c>
      <x:c r="K26" s="1" t="n">
        <x:v>20</x:v>
      </x:c>
      <x:c r="L26" s="1" t="n">
        <x:f>COUNTIF('Citation matches'!$B$2:$B$279,A26)</x:f>
        <x:v>6</x:v>
      </x:c>
      <x:c r="M26" s="1" t="n">
        <x:f>COUNTIFS('Citation matches'!$B$2:$B$279,A26,'Citation matches'!$P$2:$P$279,"yes")</x:f>
        <x:v>4</x:v>
      </x:c>
      <x:c r="N26" s="1" t="n">
        <x:f>COUNTIFS('Citation matches'!$B$2:$B$279,A26,'Citation matches'!$P$2:$P$279,"probable_manual_review")</x:f>
        <x:v>0</x:v>
      </x:c>
      <x:c r="O26" s="1" t="n">
        <x:f>COUNTIFS('Citation matches'!$B$2:$B$279,A26,'Citation matches'!$P$2:$P$279,"no")</x:f>
        <x:v>2</x:v>
      </x:c>
      <x:c r="P26" s="1" t="n">
        <x:f>COUNTIFS('Citation matches'!$B$2:$B$279,A26,'Citation matches'!$W$2:$W$279,"yes")</x:f>
        <x:v>0</x:v>
      </x:c>
    </x:row>
    <x:row r="27">
      <x:c r="A27" s="1" t="str">
        <x:v>cmmsiews2000304lgc3ooyg67</x:v>
      </x:c>
      <x:c r="B27" s="1" t="str">
        <x:v>cmmshtbz8000204jsdrli49qe</x:v>
      </x:c>
      <x:c r="C27" s="1" t="str">
        <x:v>karpasitis-v-hertfordshire-county-council</x:v>
      </x:c>
      <x:c r="D27" s="1" t="str">
        <x:v>real</x:v>
      </x:c>
      <x:c r="E27" s="1" t="str">
        <x:v>Karpasitis v Hertfordshire County Council</x:v>
      </x:c>
      <x:c r="F27" s="12" t="n">
        <x:v>46097.06485164352</x:v>
      </x:c>
      <x:c r="G27" s="12" t="str">
        <x:v>cmmshur54000b04jsgyo6bz98</x:v>
      </x:c>
      <x:c r="H27" s="12" t="n">
        <x:v>46097.053965983796</x:v>
      </x:c>
      <x:c r="I27" s="1" t="n">
        <x:v>940.521</x:v>
      </x:c>
      <x:c r="J27" s="1" t="str">
        <x:v>ambiguous_gap_gt_10m</x:v>
      </x:c>
      <x:c r="K27" s="1" t="n">
        <x:v>20</x:v>
      </x:c>
      <x:c r="L27" s="1" t="n">
        <x:f>COUNTIF('Citation matches'!$B$2:$B$279,A27)</x:f>
        <x:v>4</x:v>
      </x:c>
      <x:c r="M27" s="1" t="n">
        <x:f>COUNTIFS('Citation matches'!$B$2:$B$279,A27,'Citation matches'!$P$2:$P$279,"yes")</x:f>
        <x:v>2</x:v>
      </x:c>
      <x:c r="N27" s="1" t="n">
        <x:f>COUNTIFS('Citation matches'!$B$2:$B$279,A27,'Citation matches'!$P$2:$P$279,"probable_manual_review")</x:f>
        <x:v>0</x:v>
      </x:c>
      <x:c r="O27" s="1" t="n">
        <x:f>COUNTIFS('Citation matches'!$B$2:$B$279,A27,'Citation matches'!$P$2:$P$279,"no")</x:f>
        <x:v>2</x:v>
      </x:c>
      <x:c r="P27" s="1" t="n">
        <x:f>COUNTIFS('Citation matches'!$B$2:$B$279,A27,'Citation matches'!$W$2:$W$279,"yes")</x:f>
        <x:v>0</x:v>
      </x:c>
    </x:row>
    <x:row r="28">
      <x:c r="A28" s="1" t="str">
        <x:v>cmmxgyd9z000h04kttryogau2</x:v>
      </x:c>
      <x:c r="B28" s="1" t="str">
        <x:v>cmmshtbz8000204jsdrli49qe</x:v>
      </x:c>
      <x:c r="C28" s="1" t="str">
        <x:v>karpasitis-v-hertfordshire-county-council</x:v>
      </x:c>
      <x:c r="D28" s="1" t="str">
        <x:v>real</x:v>
      </x:c>
      <x:c r="E28" s="1" t="str">
        <x:v>Karpasitis v Hertfordshire County Council</x:v>
      </x:c>
      <x:c r="F28" s="12" t="n">
        <x:v>46100.53567913194</x:v>
      </x:c>
      <x:c r="G28" s="12" t="str">
        <x:v>cmmxgv6n0000b04kt94o7km5w</x:v>
      </x:c>
      <x:c r="H28" s="12" t="n">
        <x:v>46100.53395853009</x:v>
      </x:c>
      <x:c r="I28" s="1" t="n">
        <x:v>148.66</x:v>
      </x:c>
      <x:c r="J28" s="1" t="str">
        <x:v>confirmed_within_10m</x:v>
      </x:c>
      <x:c r="K28" s="1" t="n">
        <x:v>20</x:v>
      </x:c>
      <x:c r="L28" s="1" t="n">
        <x:f>COUNTIF('Citation matches'!$B$2:$B$279,A28)</x:f>
        <x:v>5</x:v>
      </x:c>
      <x:c r="M28" s="1" t="n">
        <x:f>COUNTIFS('Citation matches'!$B$2:$B$279,A28,'Citation matches'!$P$2:$P$279,"yes")</x:f>
        <x:v>4</x:v>
      </x:c>
      <x:c r="N28" s="1" t="n">
        <x:f>COUNTIFS('Citation matches'!$B$2:$B$279,A28,'Citation matches'!$P$2:$P$279,"probable_manual_review")</x:f>
        <x:v>0</x:v>
      </x:c>
      <x:c r="O28" s="1" t="n">
        <x:f>COUNTIFS('Citation matches'!$B$2:$B$279,A28,'Citation matches'!$P$2:$P$279,"no")</x:f>
        <x:v>1</x:v>
      </x:c>
      <x:c r="P28" s="1" t="n">
        <x:f>COUNTIFS('Citation matches'!$B$2:$B$279,A28,'Citation matches'!$W$2:$W$279,"yes")</x:f>
        <x:v>0</x:v>
      </x:c>
    </x:row>
    <x:row r="29">
      <x:c r="A29" s="1" t="str">
        <x:v>cmmxi2xkc000t04l8hsscxyvl</x:v>
      </x:c>
      <x:c r="B29" s="1" t="str">
        <x:v>cmmxhx487000e04l8w5bketmq</x:v>
      </x:c>
      <x:c r="C29" s="1" t="str">
        <x:v>ksy-juice-blends-uk-limited-v-citrosuco-gmbh</x:v>
      </x:c>
      <x:c r="D29" s="1" t="str">
        <x:v>real</x:v>
      </x:c>
      <x:c r="E29" s="1" t="str">
        <x:v>KSY Juice Blends UK Limited v Citrosuco GmbH</x:v>
      </x:c>
      <x:c r="F29" s="12" t="n">
        <x:v>46100.55758346065</x:v>
      </x:c>
      <x:c r="G29" s="12" t="str">
        <x:v>cmmxi0nl9000n04l8myv0bd76</x:v>
      </x:c>
      <x:c r="H29" s="12" t="n">
        <x:v>46100.55635273148</x:v>
      </x:c>
      <x:c r="I29" s="1" t="n">
        <x:v>106.335</x:v>
      </x:c>
      <x:c r="J29" s="1" t="str">
        <x:v>confirmed_within_10m</x:v>
      </x:c>
      <x:c r="K29" s="1" t="n">
        <x:v>20</x:v>
      </x:c>
      <x:c r="L29" s="1" t="n">
        <x:f>COUNTIF('Citation matches'!$B$2:$B$279,A29)</x:f>
        <x:v>4</x:v>
      </x:c>
      <x:c r="M29" s="1" t="n">
        <x:f>COUNTIFS('Citation matches'!$B$2:$B$279,A29,'Citation matches'!$P$2:$P$279,"yes")</x:f>
        <x:v>3</x:v>
      </x:c>
      <x:c r="N29" s="1" t="n">
        <x:f>COUNTIFS('Citation matches'!$B$2:$B$279,A29,'Citation matches'!$P$2:$P$279,"probable_manual_review")</x:f>
        <x:v>0</x:v>
      </x:c>
      <x:c r="O29" s="1" t="n">
        <x:f>COUNTIFS('Citation matches'!$B$2:$B$279,A29,'Citation matches'!$P$2:$P$279,"no")</x:f>
        <x:v>1</x:v>
      </x:c>
      <x:c r="P29" s="1" t="n">
        <x:f>COUNTIFS('Citation matches'!$B$2:$B$279,A29,'Citation matches'!$W$2:$W$279,"yes")</x:f>
        <x:v>0</x:v>
      </x:c>
    </x:row>
    <x:row r="30">
      <x:c r="A30" s="1" t="str">
        <x:v>cmmxktfx8000904johoqmmfkm</x:v>
      </x:c>
      <x:c r="B30" s="1" t="str">
        <x:v>cmmshtbz8000204jsdrli49qe</x:v>
      </x:c>
      <x:c r="C30" s="1" t="str">
        <x:v>karpasitis-v-hertfordshire-county-council</x:v>
      </x:c>
      <x:c r="D30" s="1" t="str">
        <x:v>real</x:v>
      </x:c>
      <x:c r="E30" s="1" t="str">
        <x:v>Karpasitis v Hertfordshire County Council</x:v>
      </x:c>
      <x:c r="F30" s="12" t="n">
        <x:v>46100.61077880787</x:v>
      </x:c>
      <x:c r="G30" s="12" t="str">
        <x:v>cmmxkq28b000304jo5eard9id</x:v>
      </x:c>
      <x:c r="H30" s="12" t="n">
        <x:v>46100.608952395836</x:v>
      </x:c>
      <x:c r="I30" s="1" t="n">
        <x:v>157.802</x:v>
      </x:c>
      <x:c r="J30" s="1" t="str">
        <x:v>confirmed_within_10m</x:v>
      </x:c>
      <x:c r="K30" s="1" t="n">
        <x:v>20</x:v>
      </x:c>
      <x:c r="L30" s="1" t="n">
        <x:f>COUNTIF('Citation matches'!$B$2:$B$279,A30)</x:f>
        <x:v>7</x:v>
      </x:c>
      <x:c r="M30" s="1" t="n">
        <x:f>COUNTIFS('Citation matches'!$B$2:$B$279,A30,'Citation matches'!$P$2:$P$279,"yes")</x:f>
        <x:v>5</x:v>
      </x:c>
      <x:c r="N30" s="1" t="n">
        <x:f>COUNTIFS('Citation matches'!$B$2:$B$279,A30,'Citation matches'!$P$2:$P$279,"probable_manual_review")</x:f>
        <x:v>0</x:v>
      </x:c>
      <x:c r="O30" s="1" t="n">
        <x:f>COUNTIFS('Citation matches'!$B$2:$B$279,A30,'Citation matches'!$P$2:$P$279,"no")</x:f>
        <x:v>2</x:v>
      </x:c>
      <x:c r="P30" s="1" t="n">
        <x:f>COUNTIFS('Citation matches'!$B$2:$B$279,A30,'Citation matches'!$W$2:$W$279,"yes")</x:f>
        <x:v>0</x:v>
      </x:c>
    </x:row>
    <x:row r="31">
      <x:c r="A31" s="1" t="str">
        <x:v>cmmxpdot1000h04i8q3aleh7a</x:v>
      </x:c>
      <x:c r="B31" s="1" t="str">
        <x:v>cmmshtbz8000204jsdrli49qe</x:v>
      </x:c>
      <x:c r="C31" s="1" t="str">
        <x:v>karpasitis-v-hertfordshire-county-council</x:v>
      </x:c>
      <x:c r="D31" s="1" t="str">
        <x:v>real</x:v>
      </x:c>
      <x:c r="E31" s="1" t="str">
        <x:v>Karpasitis v Hertfordshire County Council</x:v>
      </x:c>
      <x:c r="F31" s="12" t="n">
        <x:v>46100.69947208333</x:v>
      </x:c>
      <x:c r="G31" s="12" t="str">
        <x:v>cmmxp9veu000b04i838upwih8</x:v>
      </x:c>
      <x:c r="H31" s="12" t="n">
        <x:v>46100.697409849534</x:v>
      </x:c>
      <x:c r="I31" s="1" t="n">
        <x:v>178.177</x:v>
      </x:c>
      <x:c r="J31" s="1" t="str">
        <x:v>confirmed_within_10m</x:v>
      </x:c>
      <x:c r="K31" s="1" t="n">
        <x:v>20</x:v>
      </x:c>
      <x:c r="L31" s="1" t="n">
        <x:f>COUNTIF('Citation matches'!$B$2:$B$279,A31)</x:f>
        <x:v>3</x:v>
      </x:c>
      <x:c r="M31" s="1" t="n">
        <x:f>COUNTIFS('Citation matches'!$B$2:$B$279,A31,'Citation matches'!$P$2:$P$279,"yes")</x:f>
        <x:v>2</x:v>
      </x:c>
      <x:c r="N31" s="1" t="n">
        <x:f>COUNTIFS('Citation matches'!$B$2:$B$279,A31,'Citation matches'!$P$2:$P$279,"probable_manual_review")</x:f>
        <x:v>0</x:v>
      </x:c>
      <x:c r="O31" s="1" t="n">
        <x:f>COUNTIFS('Citation matches'!$B$2:$B$279,A31,'Citation matches'!$P$2:$P$279,"no")</x:f>
        <x:v>1</x:v>
      </x:c>
      <x:c r="P31" s="1" t="n">
        <x:f>COUNTIFS('Citation matches'!$B$2:$B$279,A31,'Citation matches'!$W$2:$W$279,"yes")</x:f>
        <x:v>0</x:v>
      </x:c>
    </x:row>
    <x:row r="32">
      <x:c r="A32" s="1" t="str">
        <x:v>cmmxsk5kn000h04ldd570wr09</x:v>
      </x:c>
      <x:c r="B32" s="1" t="str">
        <x:v>cmmxhmaji000604l8iyhbwnn1</x:v>
      </x:c>
      <x:c r="C32" s="1" t="str">
        <x:v>greenfields--iow--limited-v-isle-of-wight-council---westridge-village-limited</x:v>
      </x:c>
      <x:c r="D32" s="1" t="str">
        <x:v>real</x:v>
      </x:c>
      <x:c r="E32" s="1" t="str">
        <x:v>Greenfields (IOW) Limited v Isle of Wight Council &amp; Westridge Village Limited</x:v>
      </x:c>
      <x:c r="F32" s="12" t="n">
        <x:v>46100.76128357639</x:v>
      </x:c>
      <x:c r="G32" s="12" t="str">
        <x:v>cmmxsgyjb000b04ld1tvzyr07</x:v>
      </x:c>
      <x:c r="H32" s="12" t="n">
        <x:v>46100.75955699074</x:v>
      </x:c>
      <x:c r="I32" s="1" t="n">
        <x:v>149.177</x:v>
      </x:c>
      <x:c r="J32" s="1" t="str">
        <x:v>confirmed_within_10m</x:v>
      </x:c>
      <x:c r="K32" s="1" t="n">
        <x:v>20</x:v>
      </x:c>
      <x:c r="L32" s="1" t="n">
        <x:f>COUNTIF('Citation matches'!$B$2:$B$279,A32)</x:f>
        <x:v>3</x:v>
      </x:c>
      <x:c r="M32" s="1" t="n">
        <x:f>COUNTIFS('Citation matches'!$B$2:$B$279,A32,'Citation matches'!$P$2:$P$279,"yes")</x:f>
        <x:v>2</x:v>
      </x:c>
      <x:c r="N32" s="1" t="n">
        <x:f>COUNTIFS('Citation matches'!$B$2:$B$279,A32,'Citation matches'!$P$2:$P$279,"probable_manual_review")</x:f>
        <x:v>0</x:v>
      </x:c>
      <x:c r="O32" s="1" t="n">
        <x:f>COUNTIFS('Citation matches'!$B$2:$B$279,A32,'Citation matches'!$P$2:$P$279,"no")</x:f>
        <x:v>1</x:v>
      </x:c>
      <x:c r="P32" s="1" t="n">
        <x:f>COUNTIFS('Citation matches'!$B$2:$B$279,A32,'Citation matches'!$W$2:$W$279,"yes")</x:f>
        <x:v>0</x:v>
      </x:c>
    </x:row>
    <x:row r="33">
      <x:c r="A33" s="1" t="str">
        <x:v>cmmxtzd4o000904jrjc2hdwrx</x:v>
      </x:c>
      <x:c r="B33" s="1" t="str">
        <x:v>cmmxhmaji000604l8iyhbwnn1</x:v>
      </x:c>
      <x:c r="C33" s="1" t="str">
        <x:v>greenfields--iow--limited-v-isle-of-wight-council---westridge-village-limited</x:v>
      </x:c>
      <x:c r="D33" s="1" t="str">
        <x:v>real</x:v>
      </x:c>
      <x:c r="E33" s="1" t="str">
        <x:v>Greenfields (IOW) Limited v Isle of Wight Council &amp; Westridge Village Limited</x:v>
      </x:c>
      <x:c r="F33" s="12" t="n">
        <x:v>46100.78893692129</x:v>
      </x:c>
      <x:c r="G33" s="12" t="str">
        <x:v>cmmxtwenv000304jr7vxcmpae</x:v>
      </x:c>
      <x:c r="H33" s="12" t="n">
        <x:v>46100.78733847222</x:v>
      </x:c>
      <x:c r="I33" s="1" t="n">
        <x:v>138.106</x:v>
      </x:c>
      <x:c r="J33" s="1" t="str">
        <x:v>confirmed_within_10m</x:v>
      </x:c>
      <x:c r="K33" s="1" t="n">
        <x:v>20</x:v>
      </x:c>
      <x:c r="L33" s="1" t="n">
        <x:f>COUNTIF('Citation matches'!$B$2:$B$279,A33)</x:f>
        <x:v>3</x:v>
      </x:c>
      <x:c r="M33" s="1" t="n">
        <x:f>COUNTIFS('Citation matches'!$B$2:$B$279,A33,'Citation matches'!$P$2:$P$279,"yes")</x:f>
        <x:v>2</x:v>
      </x:c>
      <x:c r="N33" s="1" t="n">
        <x:f>COUNTIFS('Citation matches'!$B$2:$B$279,A33,'Citation matches'!$P$2:$P$279,"probable_manual_review")</x:f>
        <x:v>0</x:v>
      </x:c>
      <x:c r="O33" s="1" t="n">
        <x:f>COUNTIFS('Citation matches'!$B$2:$B$279,A33,'Citation matches'!$P$2:$P$279,"no")</x:f>
        <x:v>1</x:v>
      </x:c>
      <x:c r="P33" s="1" t="n">
        <x:f>COUNTIFS('Citation matches'!$B$2:$B$279,A33,'Citation matches'!$W$2:$W$279,"yes")</x:f>
        <x:v>0</x:v>
      </x:c>
    </x:row>
    <x:row r="34">
      <x:c r="A34" s="1" t="str">
        <x:v>cmomnx9nj000304jkyxxg2b0k</x:v>
      </x:c>
      <x:c r="B34" s="1" t="str">
        <x:v>cmmxhmaji000604l8iyhbwnn1</x:v>
      </x:c>
      <x:c r="C34" s="1" t="str">
        <x:v>greenfields--iow--limited-v-isle-of-wight-council---westridge-village-limited</x:v>
      </x:c>
      <x:c r="D34" s="1" t="str">
        <x:v>real</x:v>
      </x:c>
      <x:c r="E34" s="1" t="str">
        <x:v>Greenfields (IOW) Limited v Isle of Wight Council &amp; Westridge Village Limited</x:v>
      </x:c>
      <x:c r="F34" s="12" t="n">
        <x:v>46143.36140475694</x:v>
      </x:c>
      <x:c r="G34" s="12" t="str">
        <x:v>cmmxtwenv000304jr7vxcmpae</x:v>
      </x:c>
      <x:c r="H34" s="12" t="n">
        <x:v>46100.78733847222</x:v>
      </x:c>
      <x:c r="I34" s="1" t="n">
        <x:v>3678399.327</x:v>
      </x:c>
      <x:c r="J34" s="1" t="str">
        <x:v>ambiguous_gap_gt_10m</x:v>
      </x:c>
      <x:c r="K34" s="1" t="n">
        <x:v>20</x:v>
      </x:c>
      <x:c r="L34" s="1" t="n">
        <x:f>COUNTIF('Citation matches'!$B$2:$B$279,A34)</x:f>
        <x:v>4</x:v>
      </x:c>
      <x:c r="M34" s="1" t="n">
        <x:f>COUNTIFS('Citation matches'!$B$2:$B$279,A34,'Citation matches'!$P$2:$P$279,"yes")</x:f>
        <x:v>1</x:v>
      </x:c>
      <x:c r="N34" s="1" t="n">
        <x:f>COUNTIFS('Citation matches'!$B$2:$B$279,A34,'Citation matches'!$P$2:$P$279,"probable_manual_review")</x:f>
        <x:v>0</x:v>
      </x:c>
      <x:c r="O34" s="1" t="n">
        <x:f>COUNTIFS('Citation matches'!$B$2:$B$279,A34,'Citation matches'!$P$2:$P$279,"no")</x:f>
        <x:v>3</x:v>
      </x:c>
      <x:c r="P34" s="1" t="n">
        <x:f>COUNTIFS('Citation matches'!$B$2:$B$279,A34,'Citation matches'!$W$2:$W$279,"yes")</x:f>
        <x:v>0</x:v>
      </x:c>
    </x:row>
    <x:row r="35">
      <x:c r="A35" s="1" t="str">
        <x:v>cms1ps00j000j04jsbxrn9wrj</x:v>
      </x:c>
      <x:c r="B35" s="1" t="str">
        <x:v>cms1pp04x000404jswgoarvrt</x:v>
      </x:c>
      <x:c r="C35" s="1" t="str">
        <x:v>ca-2024-001541-the-king-on-the-application-of-respondent-skeleton</x:v>
      </x:c>
      <x:c r="D35" s="1" t="str">
        <x:v>real</x:v>
      </x:c>
      <x:c r="E35" s="1" t="str">
        <x:v>The King (on the application of Transport Action Network Limited) v Secretary of State for Transport</x:v>
      </x:c>
      <x:c r="F35" s="12" t="n">
        <x:v>46229.47776018518</x:v>
      </x:c>
      <x:c r="G35" s="12" t="str">
        <x:v>cms1pq4rm000d04js91x46eaf</x:v>
      </x:c>
      <x:c r="H35" s="12" t="n">
        <x:v>46229.476750277776</x:v>
      </x:c>
      <x:c r="I35" s="1" t="n">
        <x:v>87.256</x:v>
      </x:c>
      <x:c r="J35" s="1" t="str">
        <x:v>confirmed_within_10m</x:v>
      </x:c>
      <x:c r="K35" s="1" t="n">
        <x:v>20</x:v>
      </x:c>
      <x:c r="L35" s="1" t="n">
        <x:f>COUNTIF('Citation matches'!$B$2:$B$279,A35)</x:f>
        <x:v>7</x:v>
      </x:c>
      <x:c r="M35" s="1" t="n">
        <x:f>COUNTIFS('Citation matches'!$B$2:$B$279,A35,'Citation matches'!$P$2:$P$279,"yes")</x:f>
        <x:v>5</x:v>
      </x:c>
      <x:c r="N35" s="1" t="n">
        <x:f>COUNTIFS('Citation matches'!$B$2:$B$279,A35,'Citation matches'!$P$2:$P$279,"probable_manual_review")</x:f>
        <x:v>0</x:v>
      </x:c>
      <x:c r="O35" s="1" t="n">
        <x:f>COUNTIFS('Citation matches'!$B$2:$B$279,A35,'Citation matches'!$P$2:$P$279,"no")</x:f>
        <x:v>2</x:v>
      </x:c>
      <x:c r="P35" s="1" t="n">
        <x:f>COUNTIFS('Citation matches'!$B$2:$B$279,A35,'Citation matches'!$W$2:$W$279,"yes")</x:f>
        <x:v>0</x:v>
      </x:c>
    </x:row>
    <x:row r="36">
      <x:c r="A36" s="1" t="str">
        <x:v>cms1u865i000904jxu5huyjg5</x:v>
      </x:c>
      <x:c r="B36" s="1" t="str">
        <x:v>cms1pp04x000404jswgoarvrt</x:v>
      </x:c>
      <x:c r="C36" s="1" t="str">
        <x:v>ca-2024-001541-the-king-on-the-application-of-respondent-skeleton</x:v>
      </x:c>
      <x:c r="D36" s="1" t="str">
        <x:v>real</x:v>
      </x:c>
      <x:c r="E36" s="1" t="str">
        <x:v>The King (on the application of Transport Action Network Limited) v Secretary of State for Transport</x:v>
      </x:c>
      <x:c r="F36" s="12" t="n">
        <x:v>46229.564252268516</x:v>
      </x:c>
      <x:c r="G36" s="12" t="str">
        <x:v>cms1u714o000304jxq0x5fnl6</x:v>
      </x:c>
      <x:c r="H36" s="12" t="n">
        <x:v>46229.56363547454</x:v>
      </x:c>
      <x:c r="I36" s="1" t="n">
        <x:v>53.291</x:v>
      </x:c>
      <x:c r="J36" s="1" t="str">
        <x:v>confirmed_within_10m</x:v>
      </x:c>
      <x:c r="K36" s="1" t="n">
        <x:v>20</x:v>
      </x:c>
      <x:c r="L36" s="1" t="n">
        <x:f>COUNTIF('Citation matches'!$B$2:$B$279,A36)</x:f>
        <x:v>5</x:v>
      </x:c>
      <x:c r="M36" s="1" t="n">
        <x:f>COUNTIFS('Citation matches'!$B$2:$B$279,A36,'Citation matches'!$P$2:$P$279,"yes")</x:f>
        <x:v>4</x:v>
      </x:c>
      <x:c r="N36" s="1" t="n">
        <x:f>COUNTIFS('Citation matches'!$B$2:$B$279,A36,'Citation matches'!$P$2:$P$279,"probable_manual_review")</x:f>
        <x:v>0</x:v>
      </x:c>
      <x:c r="O36" s="1" t="n">
        <x:f>COUNTIFS('Citation matches'!$B$2:$B$279,A36,'Citation matches'!$P$2:$P$279,"no")</x:f>
        <x:v>1</x:v>
      </x:c>
      <x:c r="P36" s="1" t="n">
        <x:f>COUNTIFS('Citation matches'!$B$2:$B$279,A36,'Citation matches'!$W$2:$W$279,"yes")</x:f>
        <x:v>0</x:v>
      </x:c>
    </x:row>
    <x:row r="37">
      <x:c r="A37" s="1" t="str">
        <x:v>cmsbj40n7000h04jwpx41ia5n</x:v>
      </x:c>
      <x:c r="B37" s="1" t="str">
        <x:v>cms1pp04x000404jswgoarvrt</x:v>
      </x:c>
      <x:c r="C37" s="1" t="str">
        <x:v>ca-2024-001541-the-king-on-the-application-of-respondent-skeleton</x:v>
      </x:c>
      <x:c r="D37" s="1" t="str">
        <x:v>real</x:v>
      </x:c>
      <x:c r="E37" s="1" t="str">
        <x:v>The King (on the application of Transport Action Network Limited) v Secretary of State for Transport</x:v>
      </x:c>
      <x:c r="F37" s="12" t="n">
        <x:v>46236.3465696412</x:v>
      </x:c>
      <x:c r="G37" s="12" t="str">
        <x:v>cmsbj2peo000b04jw4kua4pz9</x:v>
      </x:c>
      <x:c r="H37" s="12" t="n">
        <x:v>46236.34585987269</x:v>
      </x:c>
      <x:c r="I37" s="1" t="n">
        <x:v>61.324</x:v>
      </x:c>
      <x:c r="J37" s="1" t="str">
        <x:v>confirmed_within_10m</x:v>
      </x:c>
      <x:c r="K37" s="1" t="n">
        <x:v>20</x:v>
      </x:c>
      <x:c r="L37" s="1" t="n">
        <x:f>COUNTIF('Citation matches'!$B$2:$B$279,A37)</x:f>
        <x:v>4</x:v>
      </x:c>
      <x:c r="M37" s="1" t="n">
        <x:f>COUNTIFS('Citation matches'!$B$2:$B$279,A37,'Citation matches'!$P$2:$P$279,"yes")</x:f>
        <x:v>2</x:v>
      </x:c>
      <x:c r="N37" s="1" t="n">
        <x:f>COUNTIFS('Citation matches'!$B$2:$B$279,A37,'Citation matches'!$P$2:$P$279,"probable_manual_review")</x:f>
        <x:v>0</x:v>
      </x:c>
      <x:c r="O37" s="1" t="n">
        <x:f>COUNTIFS('Citation matches'!$B$2:$B$279,A37,'Citation matches'!$P$2:$P$279,"no")</x:f>
        <x:v>2</x:v>
      </x:c>
      <x:c r="P37" s="1" t="n">
        <x:f>COUNTIFS('Citation matches'!$B$2:$B$279,A37,'Citation matches'!$W$2:$W$279,"yes")</x:f>
        <x:v>0</x:v>
      </x:c>
    </x:row>
    <x:row r="38">
      <x:c r="A38" s="1" t="str">
        <x:v>cmsbqvqsj000h04jnb8tn656h</x:v>
      </x:c>
      <x:c r="B38" s="1" t="str">
        <x:v>cmsbqtxwq000204jnp11i99l8</x:v>
      </x:c>
      <x:c r="C38" s="1" t="str">
        <x:v>ca-2024-000255-the-king-on-the-application-of-appellant-skeleton</x:v>
      </x:c>
      <x:c r="D38" s="1" t="str">
        <x:v>real</x:v>
      </x:c>
      <x:c r="E38" s="1" t="str">
        <x:v>The King, on the application of Fajr Ellis v (1) The Secretary of State for Education and (2) The Secretary of State for Justice</x:v>
      </x:c>
      <x:c r="F38" s="12" t="n">
        <x:v>46236.497621863426</x:v>
      </x:c>
      <x:c r="G38" s="12" t="str">
        <x:v>cmsbquoo1000b04jnq0yxkb5g</x:v>
      </x:c>
      <x:c r="H38" s="12" t="n">
        <x:v>46236.49704892361</x:v>
      </x:c>
      <x:c r="I38" s="1" t="n">
        <x:v>49.502</x:v>
      </x:c>
      <x:c r="J38" s="1" t="str">
        <x:v>confirmed_within_10m</x:v>
      </x:c>
      <x:c r="K38" s="1" t="n">
        <x:v>20</x:v>
      </x:c>
      <x:c r="L38" s="1" t="n">
        <x:f>COUNTIF('Citation matches'!$B$2:$B$279,A38)</x:f>
        <x:v>6</x:v>
      </x:c>
      <x:c r="M38" s="1" t="n">
        <x:f>COUNTIFS('Citation matches'!$B$2:$B$279,A38,'Citation matches'!$P$2:$P$279,"yes")</x:f>
        <x:v>4</x:v>
      </x:c>
      <x:c r="N38" s="1" t="n">
        <x:f>COUNTIFS('Citation matches'!$B$2:$B$279,A38,'Citation matches'!$P$2:$P$279,"probable_manual_review")</x:f>
        <x:v>0</x:v>
      </x:c>
      <x:c r="O38" s="1" t="n">
        <x:f>COUNTIFS('Citation matches'!$B$2:$B$279,A38,'Citation matches'!$P$2:$P$279,"no")</x:f>
        <x:v>2</x:v>
      </x:c>
      <x:c r="P38" s="1" t="n">
        <x:f>COUNTIFS('Citation matches'!$B$2:$B$279,A38,'Citation matches'!$W$2:$W$279,"yes")</x:f>
        <x:v>0</x:v>
      </x:c>
    </x:row>
    <x:row r="39">
      <x:c r="A39" s="1" t="str">
        <x:v>cmsbr021t001104jndbjo02xo</x:v>
      </x:c>
      <x:c r="B39" s="1" t="str">
        <x:v>cmsbqxnek000m04jn4kqpqi6q</x:v>
      </x:c>
      <x:c r="C39" s="1" t="str">
        <x:v>ca-2024-002003-greenfields-iow-limited-v-isle-of-appellant-skeleton</x:v>
      </x:c>
      <x:c r="D39" s="1" t="str">
        <x:v>real</x:v>
      </x:c>
      <x:c r="E39" s="1" t="str">
        <x:v>Greenfields (IOW) Limited v Isle of Wight Council &amp; Westridge Village Limited</x:v>
      </x:c>
      <x:c r="F39" s="12" t="n">
        <x:v>46236.49995074074</x:v>
      </x:c>
      <x:c r="G39" s="12" t="str">
        <x:v>cmsbqyu3t000v04jnza4ym1n9</x:v>
      </x:c>
      <x:c r="H39" s="12" t="n">
        <x:v>46236.499290625</x:v>
      </x:c>
      <x:c r="I39" s="1" t="n">
        <x:v>57.034</x:v>
      </x:c>
      <x:c r="J39" s="1" t="str">
        <x:v>confirmed_within_10m</x:v>
      </x:c>
      <x:c r="K39" s="1" t="n">
        <x:v>20</x:v>
      </x:c>
      <x:c r="L39" s="1" t="n">
        <x:f>COUNTIF('Citation matches'!$B$2:$B$279,A39)</x:f>
        <x:v>6</x:v>
      </x:c>
      <x:c r="M39" s="1" t="n">
        <x:f>COUNTIFS('Citation matches'!$B$2:$B$279,A39,'Citation matches'!$P$2:$P$279,"yes")</x:f>
        <x:v>4</x:v>
      </x:c>
      <x:c r="N39" s="1" t="n">
        <x:f>COUNTIFS('Citation matches'!$B$2:$B$279,A39,'Citation matches'!$P$2:$P$279,"probable_manual_review")</x:f>
        <x:v>0</x:v>
      </x:c>
      <x:c r="O39" s="1" t="n">
        <x:f>COUNTIFS('Citation matches'!$B$2:$B$279,A39,'Citation matches'!$P$2:$P$279,"no")</x:f>
        <x:v>2</x:v>
      </x:c>
      <x:c r="P39" s="1" t="n">
        <x:f>COUNTIFS('Citation matches'!$B$2:$B$279,A39,'Citation matches'!$W$2:$W$279,"yes")</x:f>
        <x:v>0</x:v>
      </x:c>
    </x:row>
    <x:row r="40">
      <x:c r="A40" s="1" t="str">
        <x:v>cmsbr3045000j04l4tkps7ymp</x:v>
      </x:c>
      <x:c r="B40" s="1" t="str">
        <x:v>cmsbr0keh000404l4bbqhy2a0</x:v>
      </x:c>
      <x:c r="C40" s="1" t="str">
        <x:v>ca-2024-000806-hippodrome-casino-ltd-v-hmrc-appellant-skeleton</x:v>
      </x:c>
      <x:c r="D40" s="1" t="str">
        <x:v>real</x:v>
      </x:c>
      <x:c r="E40" s="1" t="str">
        <x:v>Hippodrome Casino Ltd v HMRC</x:v>
      </x:c>
      <x:c r="F40" s="12" t="n">
        <x:v>46236.501541701386</x:v>
      </x:c>
      <x:c r="G40" s="12" t="str">
        <x:v>cmsbr1xgb000d04l4kki35x9j</x:v>
      </x:c>
      <x:c r="H40" s="12" t="n">
        <x:v>46236.50096064815</x:v>
      </x:c>
      <x:c r="I40" s="1" t="n">
        <x:v>50.203</x:v>
      </x:c>
      <x:c r="J40" s="1" t="str">
        <x:v>confirmed_within_10m</x:v>
      </x:c>
      <x:c r="K40" s="1" t="n">
        <x:v>20</x:v>
      </x:c>
      <x:c r="L40" s="1" t="n">
        <x:f>COUNTIF('Citation matches'!$B$2:$B$279,A40)</x:f>
        <x:v>7</x:v>
      </x:c>
      <x:c r="M40" s="1" t="n">
        <x:f>COUNTIFS('Citation matches'!$B$2:$B$279,A40,'Citation matches'!$P$2:$P$279,"yes")</x:f>
        <x:v>4</x:v>
      </x:c>
      <x:c r="N40" s="1" t="n">
        <x:f>COUNTIFS('Citation matches'!$B$2:$B$279,A40,'Citation matches'!$P$2:$P$279,"probable_manual_review")</x:f>
        <x:v>0</x:v>
      </x:c>
      <x:c r="O40" s="1" t="n">
        <x:f>COUNTIFS('Citation matches'!$B$2:$B$279,A40,'Citation matches'!$P$2:$P$279,"no")</x:f>
        <x:v>3</x:v>
      </x:c>
      <x:c r="P40" s="1" t="n">
        <x:f>COUNTIFS('Citation matches'!$B$2:$B$279,A40,'Citation matches'!$W$2:$W$279,"yes")</x:f>
        <x:v>0</x:v>
      </x:c>
    </x:row>
    <x:row r="41">
      <x:c r="A41" s="1" t="str">
        <x:v>cmsbr4fhb000v04l4mgwtz5x1</x:v>
      </x:c>
      <x:c r="B41" s="1" t="str">
        <x:v>cmsbr0keh000404l4bbqhy2a0</x:v>
      </x:c>
      <x:c r="C41" s="1" t="str">
        <x:v>ca-2024-000806-hippodrome-casino-ltd-v-hmrc-appellant-skeleton</x:v>
      </x:c>
      <x:c r="D41" s="1" t="str">
        <x:v>real</x:v>
      </x:c>
      <x:c r="E41" s="1" t="str">
        <x:v>Hippodrome Casino Ltd v HMRC</x:v>
      </x:c>
      <x:c r="F41" s="12" t="n">
        <x:v>46236.502312199074</x:v>
      </x:c>
      <x:c r="G41" s="12" t="str">
        <x:v>cmsbr3gmj000p04l4jzoye2ph</x:v>
      </x:c>
      <x:c r="H41" s="12" t="n">
        <x:v>46236.501788368056</x:v>
      </x:c>
      <x:c r="I41" s="1" t="n">
        <x:v>45.259</x:v>
      </x:c>
      <x:c r="J41" s="1" t="str">
        <x:v>confirmed_within_10m</x:v>
      </x:c>
      <x:c r="K41" s="1" t="n">
        <x:v>20</x:v>
      </x:c>
      <x:c r="L41" s="1" t="n">
        <x:f>COUNTIF('Citation matches'!$B$2:$B$279,A41)</x:f>
        <x:v>6</x:v>
      </x:c>
      <x:c r="M41" s="1" t="n">
        <x:f>COUNTIFS('Citation matches'!$B$2:$B$279,A41,'Citation matches'!$P$2:$P$279,"yes")</x:f>
        <x:v>5</x:v>
      </x:c>
      <x:c r="N41" s="1" t="n">
        <x:f>COUNTIFS('Citation matches'!$B$2:$B$279,A41,'Citation matches'!$P$2:$P$279,"probable_manual_review")</x:f>
        <x:v>0</x:v>
      </x:c>
      <x:c r="O41" s="1" t="n">
        <x:f>COUNTIFS('Citation matches'!$B$2:$B$279,A41,'Citation matches'!$P$2:$P$279,"no")</x:f>
        <x:v>1</x:v>
      </x:c>
      <x:c r="P41" s="1" t="n">
        <x:f>COUNTIFS('Citation matches'!$B$2:$B$279,A41,'Citation matches'!$W$2:$W$279,"yes")</x:f>
        <x:v>0</x:v>
      </x:c>
    </x:row>
    <x:row r="42">
      <x:c r="A42" s="1" t="str">
        <x:v>cmsbr6p4p001704l4z7u6108h</x:v>
      </x:c>
      <x:c r="B42" s="1" t="str">
        <x:v>cmsbr0keh000404l4bbqhy2a0</x:v>
      </x:c>
      <x:c r="C42" s="1" t="str">
        <x:v>ca-2024-000806-hippodrome-casino-ltd-v-hmrc-appellant-skeleton</x:v>
      </x:c>
      <x:c r="D42" s="1" t="str">
        <x:v>real</x:v>
      </x:c>
      <x:c r="E42" s="1" t="str">
        <x:v>Hippodrome Casino Ltd v HMRC</x:v>
      </x:c>
      <x:c r="F42" s="12" t="n">
        <x:v>46236.503536944445</x:v>
      </x:c>
      <x:c r="G42" s="12" t="str">
        <x:v>cmsbr5rlu001104l45rnkob9p</x:v>
      </x:c>
      <x:c r="H42" s="12" t="n">
        <x:v>46236.50303309028</x:v>
      </x:c>
      <x:c r="I42" s="1" t="n">
        <x:v>43.533</x:v>
      </x:c>
      <x:c r="J42" s="1" t="str">
        <x:v>confirmed_within_10m</x:v>
      </x:c>
      <x:c r="K42" s="1" t="n">
        <x:v>20</x:v>
      </x:c>
      <x:c r="L42" s="1" t="n">
        <x:f>COUNTIF('Citation matches'!$B$2:$B$279,A42)</x:f>
        <x:v>4</x:v>
      </x:c>
      <x:c r="M42" s="1" t="n">
        <x:f>COUNTIFS('Citation matches'!$B$2:$B$279,A42,'Citation matches'!$P$2:$P$279,"yes")</x:f>
        <x:v>3</x:v>
      </x:c>
      <x:c r="N42" s="1" t="n">
        <x:f>COUNTIFS('Citation matches'!$B$2:$B$279,A42,'Citation matches'!$P$2:$P$279,"probable_manual_review")</x:f>
        <x:v>0</x:v>
      </x:c>
      <x:c r="O42" s="1" t="n">
        <x:f>COUNTIFS('Citation matches'!$B$2:$B$279,A42,'Citation matches'!$P$2:$P$279,"no")</x:f>
        <x:v>1</x:v>
      </x:c>
      <x:c r="P42" s="1" t="n">
        <x:f>COUNTIFS('Citation matches'!$B$2:$B$279,A42,'Citation matches'!$W$2:$W$279,"yes")</x:f>
        <x:v>0</x:v>
      </x:c>
    </x:row>
    <x:row r="43">
      <x:c r="A43" s="1" t="str">
        <x:v>cmsbracw1001r04l4az8ukhd1</x:v>
      </x:c>
      <x:c r="B43" s="1" t="str">
        <x:v>cmsbr7e7h001c04l4kn40wun3</x:v>
      </x:c>
      <x:c r="C43" s="1" t="str">
        <x:v>ca-2023-002207-mr-demetrios-karpasitis-v-hertfordshire-county-appellant-skeleton</x:v>
      </x:c>
      <x:c r="D43" s="1" t="str">
        <x:v>real</x:v>
      </x:c>
      <x:c r="E43" s="1" t="str">
        <x:v>Mr Demetrios Karpasitis v Hertfordshire County Council</x:v>
      </x:c>
      <x:c r="F43" s="12" t="n">
        <x:v>46236.50551333333</x:v>
      </x:c>
      <x:c r="G43" s="12" t="str">
        <x:v>cmsbr997n001l04l4etg0c8qb</x:v>
      </x:c>
      <x:c r="H43" s="12" t="n">
        <x:v>46236.5049171875</x:v>
      </x:c>
      <x:c r="I43" s="1" t="n">
        <x:v>51.507</x:v>
      </x:c>
      <x:c r="J43" s="1" t="str">
        <x:v>confirmed_within_10m</x:v>
      </x:c>
      <x:c r="K43" s="1" t="n">
        <x:v>20</x:v>
      </x:c>
      <x:c r="L43" s="1" t="n">
        <x:f>COUNTIF('Citation matches'!$B$2:$B$279,A43)</x:f>
        <x:v>6</x:v>
      </x:c>
      <x:c r="M43" s="1" t="n">
        <x:f>COUNTIFS('Citation matches'!$B$2:$B$279,A43,'Citation matches'!$P$2:$P$279,"yes")</x:f>
        <x:v>6</x:v>
      </x:c>
      <x:c r="N43" s="1" t="n">
        <x:f>COUNTIFS('Citation matches'!$B$2:$B$279,A43,'Citation matches'!$P$2:$P$279,"probable_manual_review")</x:f>
        <x:v>0</x:v>
      </x:c>
      <x:c r="O43" s="1" t="n">
        <x:f>COUNTIFS('Citation matches'!$B$2:$B$279,A43,'Citation matches'!$P$2:$P$279,"no")</x:f>
        <x:v>0</x:v>
      </x:c>
      <x:c r="P43" s="1" t="n">
        <x:f>COUNTIFS('Citation matches'!$B$2:$B$279,A43,'Citation matches'!$W$2:$W$279,"yes")</x:f>
        <x:v>0</x:v>
      </x:c>
    </x:row>
    <x:row r="44">
      <x:c r="A44" s="1" t="str">
        <x:v>cmsbrc37v001x04l4t7r77h89</x:v>
      </x:c>
      <x:c r="B44" s="1" t="str">
        <x:v>cmsbr7e7h001c04l4kn40wun3</x:v>
      </x:c>
      <x:c r="C44" s="1" t="str">
        <x:v>ca-2023-002207-mr-demetrios-karpasitis-v-hertfordshire-county-appellant-skeleton</x:v>
      </x:c>
      <x:c r="D44" s="1" t="str">
        <x:v>real</x:v>
      </x:c>
      <x:c r="E44" s="1" t="str">
        <x:v>Mr Demetrios Karpasitis v Hertfordshire County Council</x:v>
      </x:c>
      <x:c r="F44" s="12" t="n">
        <x:v>46236.506448252316</x:v>
      </x:c>
      <x:c r="G44" s="12" t="str">
        <x:v>cmsbr997n001l04l4etg0c8qb</x:v>
      </x:c>
      <x:c r="H44" s="12" t="n">
        <x:v>46236.5049171875</x:v>
      </x:c>
      <x:c r="I44" s="1" t="n">
        <x:v>132.284</x:v>
      </x:c>
      <x:c r="J44" s="1" t="str">
        <x:v>confirmed_within_10m</x:v>
      </x:c>
      <x:c r="K44" s="1" t="n">
        <x:v>20</x:v>
      </x:c>
      <x:c r="L44" s="1" t="n">
        <x:f>COUNTIF('Citation matches'!$B$2:$B$279,A44)</x:f>
        <x:v>5</x:v>
      </x:c>
      <x:c r="M44" s="1" t="n">
        <x:f>COUNTIFS('Citation matches'!$B$2:$B$279,A44,'Citation matches'!$P$2:$P$279,"yes")</x:f>
        <x:v>4</x:v>
      </x:c>
      <x:c r="N44" s="1" t="n">
        <x:f>COUNTIFS('Citation matches'!$B$2:$B$279,A44,'Citation matches'!$P$2:$P$279,"probable_manual_review")</x:f>
        <x:v>0</x:v>
      </x:c>
      <x:c r="O44" s="1" t="n">
        <x:f>COUNTIFS('Citation matches'!$B$2:$B$279,A44,'Citation matches'!$P$2:$P$279,"no")</x:f>
        <x:v>1</x:v>
      </x:c>
      <x:c r="P44" s="1" t="n">
        <x:f>COUNTIFS('Citation matches'!$B$2:$B$279,A44,'Citation matches'!$W$2:$W$279,"yes")</x:f>
        <x:v>0</x:v>
      </x:c>
    </x:row>
    <x:row r="45">
      <x:c r="A45" s="1" t="str">
        <x:v>cmsbrqmhv000j04jp78i2n3gf</x:v>
      </x:c>
      <x:c r="B45" s="1" t="str">
        <x:v>cmsbrohcb000404jpvqnmrx27</x:v>
      </x:c>
      <x:c r="C45" s="1" t="str">
        <x:v>ca-2024-001951-ksy-juice-blends-uk-limited-v-skeleton</x:v>
      </x:c>
      <x:c r="D45" s="1" t="str">
        <x:v>real</x:v>
      </x:c>
      <x:c r="E45" s="1" t="str">
        <x:v>KSY Juice Blends UK Limited v Citrusuco GmbH</x:v>
      </x:c>
      <x:c r="F45" s="12" t="n">
        <x:v>46236.51429741898</x:v>
      </x:c>
      <x:c r="G45" s="12" t="str">
        <x:v>cmsbrpoz0000d04jp4gktumzo</x:v>
      </x:c>
      <x:c r="H45" s="12" t="n">
        <x:v>46236.51379346065</x:v>
      </x:c>
      <x:c r="I45" s="1" t="n">
        <x:v>43.542</x:v>
      </x:c>
      <x:c r="J45" s="1" t="str">
        <x:v>confirmed_within_10m</x:v>
      </x:c>
      <x:c r="K45" s="1" t="n">
        <x:v>20</x:v>
      </x:c>
      <x:c r="L45" s="1" t="n">
        <x:f>COUNTIF('Citation matches'!$B$2:$B$279,A45)</x:f>
        <x:v>6</x:v>
      </x:c>
      <x:c r="M45" s="1" t="n">
        <x:f>COUNTIFS('Citation matches'!$B$2:$B$279,A45,'Citation matches'!$P$2:$P$279,"yes")</x:f>
        <x:v>4</x:v>
      </x:c>
      <x:c r="N45" s="1" t="n">
        <x:f>COUNTIFS('Citation matches'!$B$2:$B$279,A45,'Citation matches'!$P$2:$P$279,"probable_manual_review")</x:f>
        <x:v>0</x:v>
      </x:c>
      <x:c r="O45" s="1" t="n">
        <x:f>COUNTIFS('Citation matches'!$B$2:$B$279,A45,'Citation matches'!$P$2:$P$279,"no")</x:f>
        <x:v>2</x:v>
      </x:c>
      <x:c r="P45" s="1" t="n">
        <x:f>COUNTIFS('Citation matches'!$B$2:$B$279,A45,'Citation matches'!$W$2:$W$279,"yes")</x:f>
        <x:v>0</x:v>
      </x:c>
    </x:row>
    <x:row r="46">
      <x:c r="A46" s="1" t="str">
        <x:v>cmsbrvtc4001304jp5e4691on</x:v>
      </x:c>
      <x:c r="B46" s="1" t="str">
        <x:v>cmsbru14c000o04jpyaa0uar7</x:v>
      </x:c>
      <x:c r="C46" s="1" t="str">
        <x:v>2023-002546-ryanair-dac-v-jason-lutz-appellant-skeleton</x:v>
      </x:c>
      <x:c r="D46" s="1" t="str">
        <x:v>real</x:v>
      </x:c>
      <x:c r="E46" s="1" t="str">
        <x:v>Ryanair DAC &amp; Storm Global Limited v Jason Lutz</x:v>
      </x:c>
      <x:c r="F46" s="12" t="n">
        <x:v>46236.517100034725</x:v>
      </x:c>
      <x:c r="G46" s="12" t="str">
        <x:v>cmsbrv0ui000x04jpfm1qjd05</x:v>
      </x:c>
      <x:c r="H46" s="12" t="n">
        <x:v>46236.51667172454</x:v>
      </x:c>
      <x:c r="I46" s="1" t="n">
        <x:v>37.006</x:v>
      </x:c>
      <x:c r="J46" s="1" t="str">
        <x:v>confirmed_within_10m</x:v>
      </x:c>
      <x:c r="K46" s="1" t="n">
        <x:v>20</x:v>
      </x:c>
      <x:c r="L46" s="1" t="n">
        <x:f>COUNTIF('Citation matches'!$B$2:$B$279,A46)</x:f>
        <x:v>6</x:v>
      </x:c>
      <x:c r="M46" s="1" t="n">
        <x:f>COUNTIFS('Citation matches'!$B$2:$B$279,A46,'Citation matches'!$P$2:$P$279,"yes")</x:f>
        <x:v>4</x:v>
      </x:c>
      <x:c r="N46" s="1" t="n">
        <x:f>COUNTIFS('Citation matches'!$B$2:$B$279,A46,'Citation matches'!$P$2:$P$279,"probable_manual_review")</x:f>
        <x:v>0</x:v>
      </x:c>
      <x:c r="O46" s="1" t="n">
        <x:f>COUNTIFS('Citation matches'!$B$2:$B$279,A46,'Citation matches'!$P$2:$P$279,"no")</x:f>
        <x:v>2</x:v>
      </x:c>
      <x:c r="P46" s="1" t="n">
        <x:f>COUNTIFS('Citation matches'!$B$2:$B$279,A46,'Citation matches'!$W$2:$W$279,"yes")</x:f>
        <x:v>0</x:v>
      </x:c>
    </x:row>
    <x:row r="47">
      <x:c r="A47" s="1" t="str">
        <x:v>cmsbskr86000h04ji5a4thcht</x:v>
      </x:c>
      <x:c r="B47" s="1" t="str">
        <x:v>cmsbsfl20000204jilg9k8ism</x:v>
      </x:c>
      <x:c r="C47" s="1" t="str">
        <x:v>ca-2023-002537-storm-global-limited-v-jason-lutz-appellant-skeleton</x:v>
      </x:c>
      <x:c r="D47" s="1" t="str">
        <x:v>real</x:v>
      </x:c>
      <x:c r="E47" s="1" t="str">
        <x:v>Storm Global Limited v Jason Lutz</x:v>
      </x:c>
      <x:c r="F47" s="12" t="n">
        <x:v>46236.53056837963</x:v>
      </x:c>
      <x:c r="G47" s="12" t="str">
        <x:v>cmsbsjzo7000b04ji6xjyj7y5</x:v>
      </x:c>
      <x:c r="H47" s="12" t="n">
        <x:v>46236.53015385417</x:v>
      </x:c>
      <x:c r="I47" s="1" t="n">
        <x:v>35.815</x:v>
      </x:c>
      <x:c r="J47" s="1" t="str">
        <x:v>confirmed_within_10m</x:v>
      </x:c>
      <x:c r="K47" s="1" t="n">
        <x:v>20</x:v>
      </x:c>
      <x:c r="L47" s="1" t="n">
        <x:f>COUNTIF('Citation matches'!$B$2:$B$279,A47)</x:f>
        <x:v>4</x:v>
      </x:c>
      <x:c r="M47" s="1" t="n">
        <x:f>COUNTIFS('Citation matches'!$B$2:$B$279,A47,'Citation matches'!$P$2:$P$279,"yes")</x:f>
        <x:v>2</x:v>
      </x:c>
      <x:c r="N47" s="1" t="n">
        <x:f>COUNTIFS('Citation matches'!$B$2:$B$279,A47,'Citation matches'!$P$2:$P$279,"probable_manual_review")</x:f>
        <x:v>0</x:v>
      </x:c>
      <x:c r="O47" s="1" t="n">
        <x:f>COUNTIFS('Citation matches'!$B$2:$B$279,A47,'Citation matches'!$P$2:$P$279,"no")</x:f>
        <x:v>2</x:v>
      </x:c>
      <x:c r="P47" s="1" t="n">
        <x:f>COUNTIFS('Citation matches'!$B$2:$B$279,A47,'Citation matches'!$W$2:$W$279,"yes")</x:f>
        <x:v>0</x:v>
      </x:c>
    </x:row>
    <x:row r="48">
      <x:c r="A48" s="1" t="str">
        <x:v>cmsbsp3em001104ji2u62id7q</x:v>
      </x:c>
      <x:c r="B48" s="1" t="str">
        <x:v>cmsbsln8v000m04jihjbo4vud</x:v>
      </x:c>
      <x:c r="C48" s="1" t="str">
        <x:v>ca-2024-000624 and ca-2024-000625-the-royal-embassy-of-saudi-arabia-appellant-skeleton</x:v>
      </x:c>
      <x:c r="D48" s="1" t="str">
        <x:v>real</x:v>
      </x:c>
      <x:c r="E48" s="1" t="str">
        <x:v>The Royal Embassy of Saudi Arabia (Cultural Bureau) v Abir Alhayali</x:v>
      </x:c>
      <x:c r="F48" s="12" t="n">
        <x:v>46236.53291107639</x:v>
      </x:c>
      <x:c r="G48" s="12" t="str">
        <x:v>cmsbso1ez000v04jiujckeft7</x:v>
      </x:c>
      <x:c r="H48" s="12" t="n">
        <x:v>46236.532340046295</x:v>
      </x:c>
      <x:c r="I48" s="1" t="n">
        <x:v>49.337</x:v>
      </x:c>
      <x:c r="J48" s="1" t="str">
        <x:v>confirmed_within_10m</x:v>
      </x:c>
      <x:c r="K48" s="1" t="n">
        <x:v>20</x:v>
      </x:c>
      <x:c r="L48" s="1" t="n">
        <x:f>COUNTIF('Citation matches'!$B$2:$B$279,A48)</x:f>
        <x:v>4</x:v>
      </x:c>
      <x:c r="M48" s="1" t="n">
        <x:f>COUNTIFS('Citation matches'!$B$2:$B$279,A48,'Citation matches'!$P$2:$P$279,"yes")</x:f>
        <x:v>3</x:v>
      </x:c>
      <x:c r="N48" s="1" t="n">
        <x:f>COUNTIFS('Citation matches'!$B$2:$B$279,A48,'Citation matches'!$P$2:$P$279,"probable_manual_review")</x:f>
        <x:v>0</x:v>
      </x:c>
      <x:c r="O48" s="1" t="n">
        <x:f>COUNTIFS('Citation matches'!$B$2:$B$279,A48,'Citation matches'!$P$2:$P$279,"no")</x:f>
        <x:v>1</x:v>
      </x:c>
      <x:c r="P48" s="1" t="n">
        <x:f>COUNTIFS('Citation matches'!$B$2:$B$279,A48,'Citation matches'!$W$2:$W$279,"yes")</x:f>
        <x:v>0</x:v>
      </x:c>
    </x:row>
    <x:row r="49">
      <x:c r="A49" s="1" t="str">
        <x:v>cmsbsqcqm001d04ji3ses9ih9</x:v>
      </x:c>
      <x:c r="B49" s="1" t="str">
        <x:v>cmsbsln8v000m04jihjbo4vud</x:v>
      </x:c>
      <x:c r="C49" s="1" t="str">
        <x:v>ca-2024-000624 and ca-2024-000625-the-royal-embassy-of-saudi-arabia-appellant-skeleton</x:v>
      </x:c>
      <x:c r="D49" s="1" t="str">
        <x:v>real</x:v>
      </x:c>
      <x:c r="E49" s="1" t="str">
        <x:v>The Royal Embassy of Saudi Arabia (Cultural Bureau) v Abir Alhayali</x:v>
      </x:c>
      <x:c r="F49" s="12" t="n">
        <x:v>46236.53359107639</x:v>
      </x:c>
      <x:c r="G49" s="12" t="str">
        <x:v>cmsbsp6wa001704jitdvkybp9</x:v>
      </x:c>
      <x:c r="H49" s="12" t="n">
        <x:v>46236.53296240741</x:v>
      </x:c>
      <x:c r="I49" s="1" t="n">
        <x:v>54.317</x:v>
      </x:c>
      <x:c r="J49" s="1" t="str">
        <x:v>confirmed_within_10m</x:v>
      </x:c>
      <x:c r="K49" s="1" t="n">
        <x:v>20</x:v>
      </x:c>
      <x:c r="L49" s="1" t="n">
        <x:f>COUNTIF('Citation matches'!$B$2:$B$279,A49)</x:f>
        <x:v>5</x:v>
      </x:c>
      <x:c r="M49" s="1" t="n">
        <x:f>COUNTIFS('Citation matches'!$B$2:$B$279,A49,'Citation matches'!$P$2:$P$279,"yes")</x:f>
        <x:v>5</x:v>
      </x:c>
      <x:c r="N49" s="1" t="n">
        <x:f>COUNTIFS('Citation matches'!$B$2:$B$279,A49,'Citation matches'!$P$2:$P$279,"probable_manual_review")</x:f>
        <x:v>0</x:v>
      </x:c>
      <x:c r="O49" s="1" t="n">
        <x:f>COUNTIFS('Citation matches'!$B$2:$B$279,A49,'Citation matches'!$P$2:$P$279,"no")</x:f>
        <x:v>0</x:v>
      </x:c>
      <x:c r="P49" s="1" t="n">
        <x:f>COUNTIFS('Citation matches'!$B$2:$B$279,A49,'Citation matches'!$W$2:$W$279,"yes")</x:f>
        <x:v>0</x:v>
      </x:c>
    </x:row>
    <x:row r="50">
      <x:c r="A50" s="1" t="str">
        <x:v>cmsbsvvmu001x04jittsrlhz0</x:v>
      </x:c>
      <x:c r="B50" s="1" t="str">
        <x:v>cmsbsrsen001i04jiiqlepl3x</x:v>
      </x:c>
      <x:c r="C50" s="1" t="str">
        <x:v>ca-2024-0023525 &amp; ca-2024-002295-modernatx-inc-v-pfizer-limited-others-respondent-skeleton</x:v>
      </x:c>
      <x:c r="D50" s="1" t="str">
        <x:v>real</x:v>
      </x:c>
      <x:c r="E50" s="1" t="str">
        <x:v>Modernatx, Inc. v Pfizer Limited &amp; Others</x:v>
      </x:c>
      <x:c r="F50" s="12" t="n">
        <x:v>46236.536574502315</x:v>
      </x:c>
      <x:c r="G50" s="12" t="str">
        <x:v>cmsbsuhsv001r04jiv19ukl8u</x:v>
      </x:c>
      <x:c r="H50" s="12" t="n">
        <x:v>46236.53582599537</x:v>
      </x:c>
      <x:c r="I50" s="1" t="n">
        <x:v>64.671</x:v>
      </x:c>
      <x:c r="J50" s="1" t="str">
        <x:v>confirmed_within_10m</x:v>
      </x:c>
      <x:c r="K50" s="1" t="n">
        <x:v>20</x:v>
      </x:c>
      <x:c r="L50" s="1" t="n">
        <x:f>COUNTIF('Citation matches'!$B$2:$B$279,A50)</x:f>
        <x:v>4</x:v>
      </x:c>
      <x:c r="M50" s="1" t="n">
        <x:f>COUNTIFS('Citation matches'!$B$2:$B$279,A50,'Citation matches'!$P$2:$P$279,"yes")</x:f>
        <x:v>3</x:v>
      </x:c>
      <x:c r="N50" s="1" t="n">
        <x:f>COUNTIFS('Citation matches'!$B$2:$B$279,A50,'Citation matches'!$P$2:$P$279,"probable_manual_review")</x:f>
        <x:v>0</x:v>
      </x:c>
      <x:c r="O50" s="1" t="n">
        <x:f>COUNTIFS('Citation matches'!$B$2:$B$279,A50,'Citation matches'!$P$2:$P$279,"no")</x:f>
        <x:v>1</x:v>
      </x:c>
      <x:c r="P50" s="1" t="n">
        <x:f>COUNTIFS('Citation matches'!$B$2:$B$279,A50,'Citation matches'!$W$2:$W$279,"yes")</x:f>
        <x:v>0</x:v>
      </x:c>
    </x:row>
    <x:row r="51">
      <x:c r="A51" s="1" t="str">
        <x:v>cmsbszs77002304ji6ldkbjce</x:v>
      </x:c>
      <x:c r="B51" s="1" t="str">
        <x:v>cmsbsrsen001i04jiiqlepl3x</x:v>
      </x:c>
      <x:c r="C51" s="1" t="str">
        <x:v>ca-2024-0023525 &amp; ca-2024-002295-modernatx-inc-v-pfizer-limited-others-respondent-skeleton</x:v>
      </x:c>
      <x:c r="D51" s="1" t="str">
        <x:v>real</x:v>
      </x:c>
      <x:c r="E51" s="1" t="str">
        <x:v>Modernatx, Inc. v Pfizer Limited &amp; Others</x:v>
      </x:c>
      <x:c r="F51" s="12" t="n">
        <x:v>46236.53868298611</x:v>
      </x:c>
      <x:c r="G51" s="12" t="str">
        <x:v>cmsbsuhsv001r04jiv19ukl8u</x:v>
      </x:c>
      <x:c r="H51" s="12" t="n">
        <x:v>46236.53582599537</x:v>
      </x:c>
      <x:c r="I51" s="1" t="n">
        <x:v>246.844</x:v>
      </x:c>
      <x:c r="J51" s="1" t="str">
        <x:v>confirmed_within_10m</x:v>
      </x:c>
      <x:c r="K51" s="1" t="n">
        <x:v>20</x:v>
      </x:c>
      <x:c r="L51" s="1" t="n">
        <x:f>COUNTIF('Citation matches'!$B$2:$B$279,A51)</x:f>
        <x:v>3</x:v>
      </x:c>
      <x:c r="M51" s="1" t="n">
        <x:f>COUNTIFS('Citation matches'!$B$2:$B$279,A51,'Citation matches'!$P$2:$P$279,"yes")</x:f>
        <x:v>1</x:v>
      </x:c>
      <x:c r="N51" s="1" t="n">
        <x:f>COUNTIFS('Citation matches'!$B$2:$B$279,A51,'Citation matches'!$P$2:$P$279,"probable_manual_review")</x:f>
        <x:v>0</x:v>
      </x:c>
      <x:c r="O51" s="1" t="n">
        <x:f>COUNTIFS('Citation matches'!$B$2:$B$279,A51,'Citation matches'!$P$2:$P$279,"no")</x:f>
        <x:v>2</x:v>
      </x:c>
      <x:c r="P51" s="1" t="n">
        <x:f>COUNTIFS('Citation matches'!$B$2:$B$279,A51,'Citation matches'!$W$2:$W$279,"yes")</x:f>
        <x:v>0</x:v>
      </x:c>
    </x:row>
    <x:row r="52">
      <x:c r="A52" s="1" t="str">
        <x:v>cmsbt3hfa002904ji8k6b026n</x:v>
      </x:c>
      <x:c r="B52" s="1" t="str">
        <x:v>cmsbsrsen001i04jiiqlepl3x</x:v>
      </x:c>
      <x:c r="C52" s="1" t="str">
        <x:v>ca-2024-0023525 &amp; ca-2024-002295-modernatx-inc-v-pfizer-limited-others-respondent-skeleton</x:v>
      </x:c>
      <x:c r="D52" s="1" t="str">
        <x:v>real</x:v>
      </x:c>
      <x:c r="E52" s="1" t="str">
        <x:v>Modernatx, Inc. v Pfizer Limited &amp; Others</x:v>
      </x:c>
      <x:c r="F52" s="12" t="n">
        <x:v>46236.54068135416</x:v>
      </x:c>
      <x:c r="G52" s="12" t="str">
        <x:v>cmsbsuhsv001r04jiv19ukl8u</x:v>
      </x:c>
      <x:c r="H52" s="12" t="n">
        <x:v>46236.53582599537</x:v>
      </x:c>
      <x:c r="I52" s="1" t="n">
        <x:v>419.503</x:v>
      </x:c>
      <x:c r="J52" s="1" t="str">
        <x:v>confirmed_within_10m</x:v>
      </x:c>
      <x:c r="K52" s="1" t="n">
        <x:v>20</x:v>
      </x:c>
      <x:c r="L52" s="1" t="n">
        <x:f>COUNTIF('Citation matches'!$B$2:$B$279,A52)</x:f>
        <x:v>4</x:v>
      </x:c>
      <x:c r="M52" s="1" t="n">
        <x:f>COUNTIFS('Citation matches'!$B$2:$B$279,A52,'Citation matches'!$P$2:$P$279,"yes")</x:f>
        <x:v>1</x:v>
      </x:c>
      <x:c r="N52" s="1" t="n">
        <x:f>COUNTIFS('Citation matches'!$B$2:$B$279,A52,'Citation matches'!$P$2:$P$279,"probable_manual_review")</x:f>
        <x:v>0</x:v>
      </x:c>
      <x:c r="O52" s="1" t="n">
        <x:f>COUNTIFS('Citation matches'!$B$2:$B$279,A52,'Citation matches'!$P$2:$P$279,"no")</x:f>
        <x:v>3</x:v>
      </x:c>
      <x:c r="P52" s="1" t="n">
        <x:f>COUNTIFS('Citation matches'!$B$2:$B$279,A52,'Citation matches'!$W$2:$W$279,"yes")</x:f>
        <x:v>1</x:v>
      </x:c>
    </x:row>
    <x:row r="53">
      <x:c r="A53" s="1" t="str">
        <x:v>cmsbtbxft002t04jic4baeo3l</x:v>
      </x:c>
      <x:c r="B53" s="1" t="str">
        <x:v>cmsbt9u2q002e04ji2397j8fe</x:v>
      </x:c>
      <x:c r="C53" s="1" t="str">
        <x:v>ca-2024-002325 &amp; ca-2024-002295-modernatx-inc-v-pfizer-limited-others-appellant-skeleton</x:v>
      </x:c>
      <x:c r="D53" s="1" t="str">
        <x:v>real</x:v>
      </x:c>
      <x:c r="E53" s="1" t="str">
        <x:v>Modernatx, Inc. v Pfizer Limited &amp; Others</x:v>
      </x:c>
      <x:c r="F53" s="12" t="n">
        <x:v>46236.54524157407</x:v>
      </x:c>
      <x:c r="G53" s="12" t="str">
        <x:v>cmsbtb7sw002n04jipbuqxu0i</x:v>
      </x:c>
      <x:c r="H53" s="12" t="n">
        <x:v>46236.54485604167</x:v>
      </x:c>
      <x:c r="I53" s="1" t="n">
        <x:v>33.31</x:v>
      </x:c>
      <x:c r="J53" s="1" t="str">
        <x:v>confirmed_within_10m</x:v>
      </x:c>
      <x:c r="K53" s="1" t="n">
        <x:v>20</x:v>
      </x:c>
      <x:c r="L53" s="1" t="n">
        <x:f>COUNTIF('Citation matches'!$B$2:$B$279,A53)</x:f>
        <x:v>5</x:v>
      </x:c>
      <x:c r="M53" s="1" t="n">
        <x:f>COUNTIFS('Citation matches'!$B$2:$B$279,A53,'Citation matches'!$P$2:$P$279,"yes")</x:f>
        <x:v>4</x:v>
      </x:c>
      <x:c r="N53" s="1" t="n">
        <x:f>COUNTIFS('Citation matches'!$B$2:$B$279,A53,'Citation matches'!$P$2:$P$279,"probable_manual_review")</x:f>
        <x:v>0</x:v>
      </x:c>
      <x:c r="O53" s="1" t="n">
        <x:f>COUNTIFS('Citation matches'!$B$2:$B$279,A53,'Citation matches'!$P$2:$P$279,"no")</x:f>
        <x:v>1</x:v>
      </x:c>
      <x:c r="P53" s="1" t="n">
        <x:f>COUNTIFS('Citation matches'!$B$2:$B$279,A53,'Citation matches'!$W$2:$W$279,"yes")</x:f>
        <x:v>0</x:v>
      </x:c>
    </x:row>
    <x:row r="54">
      <x:c r="A54" s="1" t="str">
        <x:v>cmst419ew000k04ladhs06s0r</x:v>
      </x:c>
      <x:c r="B54" s="1" t="str">
        <x:v>cmst3ysl5000504lad87fig4n</x:v>
      </x:c>
      <x:c r="C54" s="1" t="str">
        <x:v>skeleton-args-ca2015000120-c8bbd9c0f403a8f6</x:v>
      </x:c>
      <x:c r="D54" s="1" t="str">
        <x:v>synthetic</x:v>
      </x:c>
      <x:c r="E54" s="1" t="str">
        <x:v>Sharma v Meridian Financial Services Ltd</x:v>
      </x:c>
      <x:c r="F54" s="12" t="n">
        <x:v>46248.650601180554</x:v>
      </x:c>
      <x:c r="G54" s="12" t="str">
        <x:v>cmst3ztkq000e04labxjacu4p</x:v>
      </x:c>
      <x:c r="H54" s="12" t="n">
        <x:v>46248.649822569445</x:v>
      </x:c>
      <x:c r="I54" s="1" t="n">
        <x:v>67.272</x:v>
      </x:c>
      <x:c r="J54" s="1" t="str">
        <x:v>confirmed_within_10m</x:v>
      </x:c>
      <x:c r="K54" s="1" t="n">
        <x:v>20</x:v>
      </x:c>
      <x:c r="L54" s="1" t="n">
        <x:f>COUNTIF('Citation matches'!$B$2:$B$279,A54)</x:f>
        <x:v>5</x:v>
      </x:c>
      <x:c r="M54" s="1" t="n">
        <x:f>COUNTIFS('Citation matches'!$B$2:$B$279,A54,'Citation matches'!$P$2:$P$279,"yes")</x:f>
        <x:v>3</x:v>
      </x:c>
      <x:c r="N54" s="1" t="n">
        <x:f>COUNTIFS('Citation matches'!$B$2:$B$279,A54,'Citation matches'!$P$2:$P$279,"probable_manual_review")</x:f>
        <x:v>0</x:v>
      </x:c>
      <x:c r="O54" s="1" t="n">
        <x:f>COUNTIFS('Citation matches'!$B$2:$B$279,A54,'Citation matches'!$P$2:$P$279,"no")</x:f>
        <x:v>2</x:v>
      </x:c>
      <x:c r="P54" s="1" t="n">
        <x:f>COUNTIFS('Citation matches'!$B$2:$B$279,A54,'Citation matches'!$W$2:$W$279,"yes")</x:f>
        <x:v>1</x:v>
      </x:c>
    </x:row>
    <x:row r="55">
      <x:c r="A55" s="1" t="str">
        <x:v>cmst45vlc000h04l7f6nlqawg</x:v>
      </x:c>
      <x:c r="B55" s="1" t="str">
        <x:v>cmst42n0r000204l7soxe8xnj</x:v>
      </x:c>
      <x:c r="C55" s="1" t="str">
        <x:v>skeleton-args-ca2015008373-db13b0c8e36da3c2</x:v>
      </x:c>
      <x:c r="D55" s="1" t="str">
        <x:v>synthetic</x:v>
      </x:c>
      <x:c r="E55" s="1" t="str">
        <x:v>Crossfield Trading Ltd v Northern Commercial Bank Plc</x:v>
      </x:c>
      <x:c r="F55" s="12" t="n">
        <x:v>46248.65309386574</x:v>
      </x:c>
      <x:c r="G55" s="12" t="str">
        <x:v>cmst43r4x000b04l747yntyz2</x:v>
      </x:c>
      <x:c r="H55" s="12" t="n">
        <x:v>46248.65194600695</x:v>
      </x:c>
      <x:c r="I55" s="1" t="n">
        <x:v>99.175</x:v>
      </x:c>
      <x:c r="J55" s="1" t="str">
        <x:v>confirmed_within_10m</x:v>
      </x:c>
      <x:c r="K55" s="1" t="n">
        <x:v>20</x:v>
      </x:c>
      <x:c r="L55" s="1" t="n">
        <x:f>COUNTIF('Citation matches'!$B$2:$B$279,A55)</x:f>
        <x:v>3</x:v>
      </x:c>
      <x:c r="M55" s="1" t="n">
        <x:f>COUNTIFS('Citation matches'!$B$2:$B$279,A55,'Citation matches'!$P$2:$P$279,"yes")</x:f>
        <x:v>3</x:v>
      </x:c>
      <x:c r="N55" s="1" t="n">
        <x:f>COUNTIFS('Citation matches'!$B$2:$B$279,A55,'Citation matches'!$P$2:$P$279,"probable_manual_review")</x:f>
        <x:v>0</x:v>
      </x:c>
      <x:c r="O55" s="1" t="n">
        <x:f>COUNTIFS('Citation matches'!$B$2:$B$279,A55,'Citation matches'!$P$2:$P$279,"no")</x:f>
        <x:v>0</x:v>
      </x:c>
      <x:c r="P55" s="1" t="n">
        <x:f>COUNTIFS('Citation matches'!$B$2:$B$279,A55,'Citation matches'!$W$2:$W$279,"yes")</x:f>
        <x:v>0</x:v>
      </x:c>
    </x:row>
    <x:row r="56">
      <x:c r="A56" s="1" t="str">
        <x:v>cmst49zw4001104l7neqlaa0v</x:v>
      </x:c>
      <x:c r="B56" s="1" t="str">
        <x:v>cmst475c6000m04l77l2dz6nu</x:v>
      </x:c>
      <x:c r="C56" s="1" t="str">
        <x:v>skeleton-args-ca2024009268-0b828a88e0027426</x:v>
      </x:c>
      <x:c r="D56" s="1" t="str">
        <x:v>synthetic</x:v>
      </x:c>
      <x:c r="E56" s="1" t="str">
        <x:v>Webb v Ashworth &amp; Partners</x:v>
      </x:c>
      <x:c r="F56" s="12" t="n">
        <x:v>46248.65531836806</x:v>
      </x:c>
      <x:c r="G56" s="12" t="str">
        <x:v>cmst47zkn000v04l7hdoa66wv</x:v>
      </x:c>
      <x:c r="H56" s="12" t="n">
        <x:v>46248.65423260417</x:v>
      </x:c>
      <x:c r="I56" s="1" t="n">
        <x:v>93.81</x:v>
      </x:c>
      <x:c r="J56" s="1" t="str">
        <x:v>confirmed_within_10m</x:v>
      </x:c>
      <x:c r="K56" s="1" t="n">
        <x:v>20</x:v>
      </x:c>
      <x:c r="L56" s="1" t="n">
        <x:f>COUNTIF('Citation matches'!$B$2:$B$279,A56)</x:f>
        <x:v>5</x:v>
      </x:c>
      <x:c r="M56" s="1" t="n">
        <x:f>COUNTIFS('Citation matches'!$B$2:$B$279,A56,'Citation matches'!$P$2:$P$279,"yes")</x:f>
        <x:v>4</x:v>
      </x:c>
      <x:c r="N56" s="1" t="n">
        <x:f>COUNTIFS('Citation matches'!$B$2:$B$279,A56,'Citation matches'!$P$2:$P$279,"probable_manual_review")</x:f>
        <x:v>0</x:v>
      </x:c>
      <x:c r="O56" s="1" t="n">
        <x:f>COUNTIFS('Citation matches'!$B$2:$B$279,A56,'Citation matches'!$P$2:$P$279,"no")</x:f>
        <x:v>1</x:v>
      </x:c>
      <x:c r="P56" s="1" t="n">
        <x:f>COUNTIFS('Citation matches'!$B$2:$B$279,A56,'Citation matches'!$W$2:$W$279,"yes")</x:f>
        <x:v>0</x:v>
      </x:c>
    </x:row>
    <x:row r="57">
      <x:c r="A57" s="1" t="str">
        <x:v>cmst4fdgx001l04l7p4wrw7w7</x:v>
      </x:c>
      <x:c r="B57" s="1" t="str">
        <x:v>cmst4aoqq001604l74y839y4f</x:v>
      </x:c>
      <x:c r="C57" s="1" t="str">
        <x:v>skeleton-args-ca2025001247-4e7222cd1e12236a</x:v>
      </x:c>
      <x:c r="D57" s="1" t="str">
        <x:v>synthetic</x:v>
      </x:c>
      <x:c r="E57" s="1" t="str">
        <x:v>Thornton v GlobalTech Solutions Ltd</x:v>
      </x:c>
      <x:c r="F57" s="12" t="n">
        <x:v>46248.658222025464</x:v>
      </x:c>
      <x:c r="G57" s="12" t="str">
        <x:v>cmst4drgk001f04l70ut5a3k0</x:v>
      </x:c>
      <x:c r="H57" s="12" t="n">
        <x:v>46248.65735086805</x:v>
      </x:c>
      <x:c r="I57" s="1" t="n">
        <x:v>75.268</x:v>
      </x:c>
      <x:c r="J57" s="1" t="str">
        <x:v>confirmed_within_10m</x:v>
      </x:c>
      <x:c r="K57" s="1" t="n">
        <x:v>20</x:v>
      </x:c>
      <x:c r="L57" s="1" t="n">
        <x:f>COUNTIF('Citation matches'!$B$2:$B$279,A57)</x:f>
        <x:v>5</x:v>
      </x:c>
      <x:c r="M57" s="1" t="n">
        <x:f>COUNTIFS('Citation matches'!$B$2:$B$279,A57,'Citation matches'!$P$2:$P$279,"yes")</x:f>
        <x:v>5</x:v>
      </x:c>
      <x:c r="N57" s="1" t="n">
        <x:f>COUNTIFS('Citation matches'!$B$2:$B$279,A57,'Citation matches'!$P$2:$P$279,"probable_manual_review")</x:f>
        <x:v>0</x:v>
      </x:c>
      <x:c r="O57" s="1" t="n">
        <x:f>COUNTIFS('Citation matches'!$B$2:$B$279,A57,'Citation matches'!$P$2:$P$279,"no")</x:f>
        <x:v>0</x:v>
      </x:c>
      <x:c r="P57" s="1" t="n">
        <x:f>COUNTIFS('Citation matches'!$B$2:$B$279,A57,'Citation matches'!$W$2:$W$279,"yes")</x:f>
        <x:v>0</x:v>
      </x:c>
    </x:row>
    <x:row r="58">
      <x:c r="A58" s="1" t="str">
        <x:v>cmst4kl1t000h04js7g8j67zy</x:v>
      </x:c>
      <x:c r="B58" s="1" t="str">
        <x:v>cmst4gypt000204jslfhbfuuf</x:v>
      </x:c>
      <x:c r="C58" s="1" t="str">
        <x:v>skeleton-args-ca2019005474-f7265b45a4e3f0ae</x:v>
      </x:c>
      <x:c r="D58" s="1" t="str">
        <x:v>synthetic</x:v>
      </x:c>
      <x:c r="E58" s="1" t="str">
        <x:v>Heritage Brewing Company Ltd v Traditional Ales Holdings Plc</x:v>
      </x:c>
      <x:c r="F58" s="12" t="n">
        <x:v>46248.661035729165</x:v>
      </x:c>
      <x:c r="G58" s="12" t="str">
        <x:v>cmst4iu9u000b04jsb3vxyexj</x:v>
      </x:c>
      <x:c r="H58" s="12" t="n">
        <x:v>46248.660092962964</x:v>
      </x:c>
      <x:c r="I58" s="1" t="n">
        <x:v>81.455</x:v>
      </x:c>
      <x:c r="J58" s="1" t="str">
        <x:v>confirmed_within_10m</x:v>
      </x:c>
      <x:c r="K58" s="1" t="n">
        <x:v>20</x:v>
      </x:c>
      <x:c r="L58" s="1" t="n">
        <x:f>COUNTIF('Citation matches'!$B$2:$B$279,A58)</x:f>
        <x:v>4</x:v>
      </x:c>
      <x:c r="M58" s="1" t="n">
        <x:f>COUNTIFS('Citation matches'!$B$2:$B$279,A58,'Citation matches'!$P$2:$P$279,"yes")</x:f>
        <x:v>2</x:v>
      </x:c>
      <x:c r="N58" s="1" t="n">
        <x:f>COUNTIFS('Citation matches'!$B$2:$B$279,A58,'Citation matches'!$P$2:$P$279,"probable_manual_review")</x:f>
        <x:v>0</x:v>
      </x:c>
      <x:c r="O58" s="1" t="n">
        <x:f>COUNTIFS('Citation matches'!$B$2:$B$279,A58,'Citation matches'!$P$2:$P$279,"no")</x:f>
        <x:v>2</x:v>
      </x:c>
      <x:c r="P58" s="1" t="n">
        <x:f>COUNTIFS('Citation matches'!$B$2:$B$279,A58,'Citation matches'!$W$2:$W$279,"yes")</x:f>
        <x:v>0</x:v>
      </x:c>
    </x:row>
    <x:row r="59">
      <x:c r="A59" s="1" t="str">
        <x:v>cmst7uoeu00d804l5ayb3b9q8</x:v>
      </x:c>
      <x:c r="B59" s="1" t="str">
        <x:v>cmst7mv8q00ct04l5l58ijl5a</x:v>
      </x:c>
      <x:c r="C59" s="1" t="str">
        <x:v>skeleton-args-ca2022000651-1294462417e10289</x:v>
      </x:c>
      <x:c r="D59" s="1" t="str">
        <x:v>synthetic</x:v>
      </x:c>
      <x:c r="E59" s="1" t="str">
        <x:v>Sterling Investments Ltd v Blackwood Capital Partners LLP</x:v>
      </x:c>
      <x:c r="F59" s="12" t="n">
        <x:v>46248.72480615741</x:v>
      </x:c>
      <x:c r="G59" s="12" t="str">
        <x:v>cmst7t5an00d204l5jrwmz7m1</x:v>
      </x:c>
      <x:c r="H59" s="12" t="n">
        <x:v>46248.723978344904</x:v>
      </x:c>
      <x:c r="I59" s="1" t="n">
        <x:v>71.523</x:v>
      </x:c>
      <x:c r="J59" s="1" t="str">
        <x:v>confirmed_within_10m</x:v>
      </x:c>
      <x:c r="K59" s="1" t="n">
        <x:v>20</x:v>
      </x:c>
      <x:c r="L59" s="1" t="n">
        <x:f>COUNTIF('Citation matches'!$B$2:$B$279,A59)</x:f>
        <x:v>7</x:v>
      </x:c>
      <x:c r="M59" s="1" t="n">
        <x:f>COUNTIFS('Citation matches'!$B$2:$B$279,A59,'Citation matches'!$P$2:$P$279,"yes")</x:f>
        <x:v>3</x:v>
      </x:c>
      <x:c r="N59" s="1" t="n">
        <x:f>COUNTIFS('Citation matches'!$B$2:$B$279,A59,'Citation matches'!$P$2:$P$279,"probable_manual_review")</x:f>
        <x:v>0</x:v>
      </x:c>
      <x:c r="O59" s="1" t="n">
        <x:f>COUNTIFS('Citation matches'!$B$2:$B$279,A59,'Citation matches'!$P$2:$P$279,"no")</x:f>
        <x:v>4</x:v>
      </x:c>
      <x:c r="P59" s="1" t="n">
        <x:f>COUNTIFS('Citation matches'!$B$2:$B$279,A59,'Citation matches'!$W$2:$W$279,"yes")</x:f>
        <x:v>0</x:v>
      </x:c>
    </x:row>
    <x:row r="60">
      <x:c r="A60" s="1" t="str">
        <x:v>cmst80ckg000h04i9rasplurj</x:v>
      </x:c>
      <x:c r="B60" s="1" t="str">
        <x:v>cmst7xl0r000204i9bv14oc5k</x:v>
      </x:c>
      <x:c r="C60" s="1" t="str">
        <x:v>skeleton-args-ca2022004921-cb64a3102cee5019</x:v>
      </x:c>
      <x:c r="D60" s="1" t="str">
        <x:v>synthetic</x:v>
      </x:c>
      <x:c r="E60" s="1" t="str">
        <x:v>Thompson v Clearview Credit Services Ltd</x:v>
      </x:c>
      <x:c r="F60" s="12" t="n">
        <x:v>46248.727868483795</x:v>
      </x:c>
      <x:c r="G60" s="12" t="str">
        <x:v>cmst7yrwi000b04i90ncdwp78</x:v>
      </x:c>
      <x:c r="H60" s="12" t="n">
        <x:v>46248.72701747685</x:v>
      </x:c>
      <x:c r="I60" s="1" t="n">
        <x:v>73.527</x:v>
      </x:c>
      <x:c r="J60" s="1" t="str">
        <x:v>confirmed_within_10m</x:v>
      </x:c>
      <x:c r="K60" s="1" t="n">
        <x:v>20</x:v>
      </x:c>
      <x:c r="L60" s="1" t="n">
        <x:f>COUNTIF('Citation matches'!$B$2:$B$279,A60)</x:f>
        <x:v>3</x:v>
      </x:c>
      <x:c r="M60" s="1" t="n">
        <x:f>COUNTIFS('Citation matches'!$B$2:$B$279,A60,'Citation matches'!$P$2:$P$279,"yes")</x:f>
        <x:v>2</x:v>
      </x:c>
      <x:c r="N60" s="1" t="n">
        <x:f>COUNTIFS('Citation matches'!$B$2:$B$279,A60,'Citation matches'!$P$2:$P$279,"probable_manual_review")</x:f>
        <x:v>0</x:v>
      </x:c>
      <x:c r="O60" s="1" t="n">
        <x:f>COUNTIFS('Citation matches'!$B$2:$B$279,A60,'Citation matches'!$P$2:$P$279,"no")</x:f>
        <x:v>1</x:v>
      </x:c>
      <x:c r="P60" s="1" t="n">
        <x:f>COUNTIFS('Citation matches'!$B$2:$B$279,A60,'Citation matches'!$W$2:$W$279,"yes")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94fdf27dfd4a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21.110000610351562" hidden="0" customWidth="1"/>
    <x:col min="3" max="3" width="32.220001220703125" hidden="0" customWidth="1"/>
    <x:col min="4" max="4" width="8.890000343322754" hidden="0" customWidth="1"/>
    <x:col min="5" max="5" width="31.110000610351562" hidden="0" customWidth="1"/>
    <x:col min="6" max="6" width="30" hidden="0" customWidth="1"/>
    <x:col min="7" max="7" width="33.33000183105469" hidden="0" customWidth="1"/>
    <x:col min="8" max="8" width="33.33000183105469" hidden="0" customWidth="1"/>
    <x:col min="9" max="9" width="27.219999313354492" hidden="0" customWidth="1"/>
    <x:col min="10" max="10" width="10.5600004196167" hidden="0" customWidth="1"/>
    <x:col min="11" max="11" width="40" hidden="0" customWidth="1"/>
    <x:col min="12" max="12" width="21.110000610351562" hidden="0" customWidth="1"/>
    <x:col min="13" max="13" width="18.889999389648438" hidden="0" customWidth="1"/>
    <x:col min="14" max="14" width="11.670000076293945" hidden="0" customWidth="1"/>
    <x:col min="15" max="15" width="13.329999923706055" hidden="0" customWidth="1"/>
    <x:col min="16" max="16" width="13.890000343322754" hidden="0" customWidth="1"/>
    <x:col min="17" max="17" width="18.329999923706055" hidden="0" customWidth="1"/>
    <x:col min="18" max="18" width="12.220000267028809" hidden="0" customWidth="1"/>
    <x:col min="19" max="19" width="10.5600004196167" hidden="0" customWidth="1"/>
    <x:col min="20" max="20" width="27.219999313354492" hidden="0" customWidth="1"/>
    <x:col min="21" max="21" width="36.66999816894531" hidden="0" customWidth="1"/>
    <x:col min="22" max="22" width="12.220000267028809" hidden="0" customWidth="1"/>
    <x:col min="23" max="23" width="14.4399995803833" hidden="0" customWidth="1"/>
    <x:col min="24" max="24" width="27.780000686645508" hidden="0" customWidth="1"/>
    <x:col min="25" max="25" width="12.779999732971191" hidden="0" customWidth="1"/>
    <x:col min="26" max="26" width="36.66999816894531" hidden="0" customWidth="1"/>
    <x:col min="27" max="27" width="18.889999389648438" hidden="0" customWidth="1"/>
  </x:cols>
  <x:sheetData>
    <x:row r="1">
      <x:c r="A1" s="5" t="str">
        <x:v>unique_id</x:v>
      </x:c>
      <x:c r="B1" s="5" t="str">
        <x:v>draft_id</x:v>
      </x:c>
      <x:c r="C1" s="5" t="str">
        <x:v>case_doc_id</x:v>
      </x:c>
      <x:c r="D1" s="5" t="str">
        <x:v>input_type</x:v>
      </x:c>
      <x:c r="E1" s="5" t="str">
        <x:v>case_title</x:v>
      </x:c>
      <x:c r="F1" s="5" t="str">
        <x:v>authority_key</x:v>
      </x:c>
      <x:c r="G1" s="5" t="str">
        <x:v>authority_name</x:v>
      </x:c>
      <x:c r="H1" s="5" t="str">
        <x:v>citation_raw</x:v>
      </x:c>
      <x:c r="I1" s="5" t="str">
        <x:v>cited_case_id</x:v>
      </x:c>
      <x:c r="J1" s="5" t="str">
        <x:v>occurrence_count</x:v>
      </x:c>
      <x:c r="K1" s="5" t="str">
        <x:v>source_paths</x:v>
      </x:c>
      <x:c r="L1" s="5" t="str">
        <x:v>search_id</x:v>
      </x:c>
      <x:c r="M1" s="5" t="str">
        <x:v>search_link_status</x:v>
      </x:c>
      <x:c r="N1" s="5" t="str">
        <x:v>search_gap_seconds</x:v>
      </x:c>
      <x:c r="O1" s="5" t="str">
        <x:v>usable_for_primary_metric</x:v>
      </x:c>
      <x:c r="P1" s="5" t="str">
        <x:v>top_level_retrieved</x:v>
      </x:c>
      <x:c r="Q1" s="5" t="str">
        <x:v>match_method</x:v>
      </x:c>
      <x:c r="R1" s="5" t="str">
        <x:v>match_confidence</x:v>
      </x:c>
      <x:c r="S1" s="5" t="str">
        <x:v>retrieval_rank</x:v>
      </x:c>
      <x:c r="T1" s="5" t="str">
        <x:v>retrieved_case_id</x:v>
      </x:c>
      <x:c r="U1" s="5" t="str">
        <x:v>retrieved_title</x:v>
      </x:c>
      <x:c r="V1" s="5" t="str">
        <x:v>retrieved_similarity_score</x:v>
      </x:c>
      <x:c r="W1" s="5" t="str">
        <x:v>indirect_mention_in_chunks</x:v>
      </x:c>
      <x:c r="X1" s="5" t="str">
        <x:v>indirect_mention_text</x:v>
      </x:c>
      <x:c r="Y1" s="5" t="str">
        <x:v>indirect_retrieved_rank</x:v>
      </x:c>
      <x:c r="Z1" s="5" t="str">
        <x:v>indirect_retrieved_title</x:v>
      </x:c>
      <x:c r="AA1" s="5" t="str">
        <x:v>primary_metric_status</x:v>
      </x:c>
    </x:row>
    <x:row r="2">
      <x:c r="A2" s="1" t="str">
        <x:v>U0001</x:v>
      </x:c>
      <x:c r="B2" s="1" t="str">
        <x:v>cmlzpblc7000304jv62ixuvp8</x:v>
      </x:c>
      <x:c r="C2" s="1" t="str">
        <x:v>skeleton-args-ca2022002088-9a827e5fc9cfa270</x:v>
      </x:c>
      <x:c r="D2" s="1" t="str">
        <x:v>synthetic</x:v>
      </x:c>
      <x:c r="E2" s="14" t="str">
        <x:v>HMRC v Dolphin Drilling Ltd</x:v>
      </x:c>
      <x:c r="F2" s="14" t="str">
        <x:v>case:2000 1 wlr 377</x:v>
      </x:c>
      <x:c r="G2" s="14" t="str">
        <x:v>Flannery v Halifax Estate Agencies Ltd [2000] 1 WLR 377</x:v>
      </x:c>
      <x:c r="H2" s="14" t="str">
        <x:v>Flannery v Halifax Estate Agencies Ltd [2000] 1 WLR 377</x:v>
      </x:c>
      <x:c r="I2" s="14" t="str"/>
      <x:c r="J2" s="14" t="n">
        <x:v>1</x:v>
      </x:c>
      <x:c r="K2" s="14" t="str">
        <x:v>legalFramework.precedentCitations[1]</x:v>
      </x:c>
      <x:c r="L2" s="14" t="str">
        <x:v>cmlzp9luh000304l29ip4sjki</x:v>
      </x:c>
      <x:c r="M2" s="14" t="str">
        <x:v>confirmed_within_10m</x:v>
      </x:c>
      <x:c r="N2" s="14" t="n">
        <x:v>92.765</x:v>
      </x:c>
      <x:c r="O2" s="14" t="str">
        <x:v>yes</x:v>
      </x:c>
      <x:c r="P2" s="14" t="str">
        <x:v>no</x:v>
      </x:c>
      <x:c r="Q2" s="14" t="str">
        <x:v>none</x:v>
      </x:c>
      <x:c r="R2" s="14" t="str">
        <x:v>none</x:v>
      </x:c>
      <x:c r="S2" s="14" t="str"/>
      <x:c r="T2" s="14" t="str"/>
      <x:c r="U2" s="14" t="str"/>
      <x:c r="V2" s="15" t="str"/>
      <x:c r="W2" s="14" t="str">
        <x:v>no</x:v>
      </x:c>
      <x:c r="X2" s="14" t="str"/>
      <x:c r="Y2" s="14" t="str"/>
      <x:c r="Z2" s="14" t="str"/>
      <x:c r="AA2" s="14" t="str">
        <x:v>no</x:v>
      </x:c>
    </x:row>
    <x:row r="3">
      <x:c r="A3" s="1" t="str">
        <x:v>U0002</x:v>
      </x:c>
      <x:c r="B3" s="1" t="str">
        <x:v>cmlzpblc7000304jv62ixuvp8</x:v>
      </x:c>
      <x:c r="C3" s="1" t="str">
        <x:v>skeleton-args-ca2022002088-9a827e5fc9cfa270</x:v>
      </x:c>
      <x:c r="D3" s="1" t="str">
        <x:v>synthetic</x:v>
      </x:c>
      <x:c r="E3" s="14" t="str">
        <x:v>HMRC v Dolphin Drilling Ltd</x:v>
      </x:c>
      <x:c r="F3" s="14" t="str">
        <x:v>case:2002 ewca civ 605</x:v>
      </x:c>
      <x:c r="G3" s="14" t="str">
        <x:v>English v Emery Reimbold &amp; Strick Ltd [2002] EWCA Civ 605</x:v>
      </x:c>
      <x:c r="H3" s="14" t="str">
        <x:v>English v Emery Reimbold &amp; Strick Ltd [2002] EWCA Civ 605</x:v>
      </x:c>
      <x:c r="I3" s="14" t="str"/>
      <x:c r="J3" s="14" t="n">
        <x:v>1</x:v>
      </x:c>
      <x:c r="K3" s="14" t="str">
        <x:v>legalFramework.precedentCitations[0]</x:v>
      </x:c>
      <x:c r="L3" s="14" t="str">
        <x:v>cmlzp9luh000304l29ip4sjki</x:v>
      </x:c>
      <x:c r="M3" s="14" t="str">
        <x:v>confirmed_within_10m</x:v>
      </x:c>
      <x:c r="N3" s="14" t="n">
        <x:v>92.765</x:v>
      </x:c>
      <x:c r="O3" s="14" t="str">
        <x:v>yes</x:v>
      </x:c>
      <x:c r="P3" s="14" t="str">
        <x:v>no</x:v>
      </x:c>
      <x:c r="Q3" s="14" t="str">
        <x:v>none</x:v>
      </x:c>
      <x:c r="R3" s="14" t="str">
        <x:v>none</x:v>
      </x:c>
      <x:c r="S3" s="14" t="str"/>
      <x:c r="T3" s="14" t="str"/>
      <x:c r="U3" s="14" t="str"/>
      <x:c r="V3" s="15" t="str"/>
      <x:c r="W3" s="14" t="str">
        <x:v>no</x:v>
      </x:c>
      <x:c r="X3" s="14" t="str"/>
      <x:c r="Y3" s="14" t="str"/>
      <x:c r="Z3" s="14" t="str"/>
      <x:c r="AA3" s="14" t="str">
        <x:v>no</x:v>
      </x:c>
    </x:row>
    <x:row r="4">
      <x:c r="A4" s="1" t="str">
        <x:v>U0003</x:v>
      </x:c>
      <x:c r="B4" s="1" t="str">
        <x:v>cmlzpblc7000304jv62ixuvp8</x:v>
      </x:c>
      <x:c r="C4" s="1" t="str">
        <x:v>skeleton-args-ca2022002088-9a827e5fc9cfa270</x:v>
      </x:c>
      <x:c r="D4" s="1" t="str">
        <x:v>synthetic</x:v>
      </x:c>
      <x:c r="E4" s="14" t="str">
        <x:v>HMRC v Dolphin Drilling Ltd</x:v>
      </x:c>
      <x:c r="F4" s="14" t="str">
        <x:v>case:2016 ewca civ 121</x:v>
      </x:c>
      <x:c r="G4" s="14" t="str">
        <x:v>BPP Holdings v Revenue And Customs</x:v>
      </x:c>
      <x:c r="H4" s="14" t="str">
        <x:v>[2016] EWCA Civ 121</x:v>
      </x:c>
      <x:c r="I4" s="14" t="str">
        <x:v>16f61521-59b6-4c57-8af3-c654be05eab0</x:v>
      </x:c>
      <x:c r="J4" s="14" t="n">
        <x:v>1</x:v>
      </x:c>
      <x:c r="K4" s="14" t="str">
        <x:v>issuesForDetermination.issueMatrix[0].sourceCases[0]</x:v>
      </x:c>
      <x:c r="L4" s="14" t="str">
        <x:v>cmlzp9luh000304l29ip4sjki</x:v>
      </x:c>
      <x:c r="M4" s="14" t="str">
        <x:v>confirmed_within_10m</x:v>
      </x:c>
      <x:c r="N4" s="14" t="n">
        <x:v>92.765</x:v>
      </x:c>
      <x:c r="O4" s="14" t="str">
        <x:v>yes</x:v>
      </x:c>
      <x:c r="P4" s="14" t="str">
        <x:v>yes</x:v>
      </x:c>
      <x:c r="Q4" s="14" t="str">
        <x:v>exact_case_id</x:v>
      </x:c>
      <x:c r="R4" s="14" t="str">
        <x:v>definitive</x:v>
      </x:c>
      <x:c r="S4" s="14" t="n">
        <x:v>2</x:v>
      </x:c>
      <x:c r="T4" s="14" t="str">
        <x:v>16f61521-59b6-4c57-8af3-c654be05eab0</x:v>
      </x:c>
      <x:c r="U4" s="14" t="str">
        <x:v>BPP Holdings v Revenue And Customs [2016] EWCA Civ 121</x:v>
      </x:c>
      <x:c r="V4" s="15" t="n">
        <x:v>0.67462647</x:v>
      </x:c>
      <x:c r="W4" s="14" t="str">
        <x:v>no</x:v>
      </x:c>
      <x:c r="X4" s="14" t="str"/>
      <x:c r="Y4" s="14" t="str"/>
      <x:c r="Z4" s="14" t="str"/>
      <x:c r="AA4" s="14" t="str">
        <x:v>yes</x:v>
      </x:c>
    </x:row>
    <x:row r="5">
      <x:c r="A5" s="1" t="str">
        <x:v>U0004</x:v>
      </x:c>
      <x:c r="B5" s="1" t="str">
        <x:v>cmlzpblc7000304jv62ixuvp8</x:v>
      </x:c>
      <x:c r="C5" s="1" t="str">
        <x:v>skeleton-args-ca2022002088-9a827e5fc9cfa270</x:v>
      </x:c>
      <x:c r="D5" s="1" t="str">
        <x:v>synthetic</x:v>
      </x:c>
      <x:c r="E5" s="14" t="str">
        <x:v>HMRC v Dolphin Drilling Ltd</x:v>
      </x:c>
      <x:c r="F5" s="14" t="str">
        <x:v>case:2016 ewca civ 1310</x:v>
      </x:c>
      <x:c r="G5" s="14" t="str">
        <x:v>Totel Limited v HM Revenue and Customs</x:v>
      </x:c>
      <x:c r="H5" s="14" t="str">
        <x:v>[2016] EWCA Civ 1310</x:v>
      </x:c>
      <x:c r="I5" s="14" t="str">
        <x:v>2f2ce488-73d0-4422-abcd-2b014a9e52d1</x:v>
      </x:c>
      <x:c r="J5" s="14" t="n">
        <x:v>2</x:v>
      </x:c>
      <x:c r="K5" s="14" t="str">
        <x:v>factualFindings.contestedFacts[1].sourceCases[0] | issuesForDetermination.issueMatrix[1].sourceCases[0]</x:v>
      </x:c>
      <x:c r="L5" s="14" t="str">
        <x:v>cmlzp9luh000304l29ip4sjki</x:v>
      </x:c>
      <x:c r="M5" s="14" t="str">
        <x:v>confirmed_within_10m</x:v>
      </x:c>
      <x:c r="N5" s="14" t="n">
        <x:v>92.765</x:v>
      </x:c>
      <x:c r="O5" s="14" t="str">
        <x:v>yes</x:v>
      </x:c>
      <x:c r="P5" s="14" t="str">
        <x:v>yes</x:v>
      </x:c>
      <x:c r="Q5" s="14" t="str">
        <x:v>exact_case_id</x:v>
      </x:c>
      <x:c r="R5" s="14" t="str">
        <x:v>definitive</x:v>
      </x:c>
      <x:c r="S5" s="14" t="n">
        <x:v>3</x:v>
      </x:c>
      <x:c r="T5" s="14" t="str">
        <x:v>2f2ce488-73d0-4422-abcd-2b014a9e52d1</x:v>
      </x:c>
      <x:c r="U5" s="14" t="str">
        <x:v>Totel Limited v HM Revenue and Customs [2016] EWCA Civ 1310</x:v>
      </x:c>
      <x:c r="V5" s="15" t="n">
        <x:v>0.67187154</x:v>
      </x:c>
      <x:c r="W5" s="14" t="str">
        <x:v>no</x:v>
      </x:c>
      <x:c r="X5" s="14" t="str"/>
      <x:c r="Y5" s="14" t="str"/>
      <x:c r="Z5" s="14" t="str"/>
      <x:c r="AA5" s="14" t="str">
        <x:v>yes</x:v>
      </x:c>
    </x:row>
    <x:row r="6">
      <x:c r="A6" s="1" t="str">
        <x:v>U0005</x:v>
      </x:c>
      <x:c r="B6" s="1" t="str">
        <x:v>cmlzpblc7000304jv62ixuvp8</x:v>
      </x:c>
      <x:c r="C6" s="1" t="str">
        <x:v>skeleton-args-ca2022002088-9a827e5fc9cfa270</x:v>
      </x:c>
      <x:c r="D6" s="1" t="str">
        <x:v>synthetic</x:v>
      </x:c>
      <x:c r="E6" s="14" t="str">
        <x:v>HMRC v Dolphin Drilling Ltd</x:v>
      </x:c>
      <x:c r="F6" s="14" t="str">
        <x:v>case:2023 ewca civ 474</x:v>
      </x:c>
      <x:c r="G6" s="14" t="str">
        <x:v>Altrad Services Ltd &amp; Anor v Commissioners for HMRC</x:v>
      </x:c>
      <x:c r="H6" s="14" t="str">
        <x:v>[2023] EWCA Civ 474</x:v>
      </x:c>
      <x:c r="I6" s="14" t="str">
        <x:v>d23d9f9f-4d0a-455a-bab1-0ce1a023b722</x:v>
      </x:c>
      <x:c r="J6" s="14" t="n">
        <x:v>2</x:v>
      </x:c>
      <x:c r="K6" s="14" t="str">
        <x:v>factualFindings.contestedFacts[0].sourceCases[0] | reasoningStructure[0].sourceCases[0]</x:v>
      </x:c>
      <x:c r="L6" s="14" t="str">
        <x:v>cmlzp9luh000304l29ip4sjki</x:v>
      </x:c>
      <x:c r="M6" s="14" t="str">
        <x:v>confirmed_within_10m</x:v>
      </x:c>
      <x:c r="N6" s="14" t="n">
        <x:v>92.765</x:v>
      </x:c>
      <x:c r="O6" s="14" t="str">
        <x:v>yes</x:v>
      </x:c>
      <x:c r="P6" s="14" t="str">
        <x:v>yes</x:v>
      </x:c>
      <x:c r="Q6" s="14" t="str">
        <x:v>exact_case_id</x:v>
      </x:c>
      <x:c r="R6" s="14" t="str">
        <x:v>definitive</x:v>
      </x:c>
      <x:c r="S6" s="14" t="n">
        <x:v>1</x:v>
      </x:c>
      <x:c r="T6" s="14" t="str">
        <x:v>d23d9f9f-4d0a-455a-bab1-0ce1a023b722</x:v>
      </x:c>
      <x:c r="U6" s="14" t="str">
        <x:v>Altrad Services Ltd &amp; Anor v Commissioners for HMRC [2023] EWCA Civ 474 (03 May 2023)</x:v>
      </x:c>
      <x:c r="V6" s="15" t="n">
        <x:v>0.68272364</x:v>
      </x:c>
      <x:c r="W6" s="14" t="str">
        <x:v>no</x:v>
      </x:c>
      <x:c r="X6" s="14" t="str"/>
      <x:c r="Y6" s="14" t="str"/>
      <x:c r="Z6" s="14" t="str"/>
      <x:c r="AA6" s="14" t="str">
        <x:v>yes</x:v>
      </x:c>
    </x:row>
    <x:row r="7">
      <x:c r="A7" s="1" t="str">
        <x:v>U0009</x:v>
      </x:c>
      <x:c r="B7" s="1" t="str">
        <x:v>cmlzphr57000h04jtqrwbfiyf</x:v>
      </x:c>
      <x:c r="C7" s="1" t="str">
        <x:v>skeleton-args-ca2022008247-6c5b4a1058f7a82b</x:v>
      </x:c>
      <x:c r="D7" s="1" t="str">
        <x:v>synthetic</x:v>
      </x:c>
      <x:c r="E7" s="14" t="str">
        <x:v>Aldridge v Crawford</x:v>
      </x:c>
      <x:c r="F7" s="14" t="str">
        <x:v>case:2002 ukhl 30</x:v>
      </x:c>
      <x:c r="G7" s="14" t="str">
        <x:v>J A Pye (Oxford) Ltd v. Graham [2002] UKHL 30</x:v>
      </x:c>
      <x:c r="H7" s="14" t="str">
        <x:v>J A Pye (Oxford) Ltd v. Graham [2002] UKHL 30</x:v>
      </x:c>
      <x:c r="I7" s="14" t="str"/>
      <x:c r="J7" s="14" t="n">
        <x:v>1</x:v>
      </x:c>
      <x:c r="K7" s="14" t="str">
        <x:v>legalFramework.precedentCitations[1]</x:v>
      </x:c>
      <x:c r="L7" s="14" t="str">
        <x:v>cmlzpfjvk000b04jtl1v4uh8a</x:v>
      </x:c>
      <x:c r="M7" s="14" t="str">
        <x:v>confirmed_within_10m</x:v>
      </x:c>
      <x:c r="N7" s="14" t="n">
        <x:v>102.817</x:v>
      </x:c>
      <x:c r="O7" s="14" t="str">
        <x:v>yes</x:v>
      </x:c>
      <x:c r="P7" s="14" t="str">
        <x:v>no</x:v>
      </x:c>
      <x:c r="Q7" s="14" t="str">
        <x:v>none</x:v>
      </x:c>
      <x:c r="R7" s="14" t="str">
        <x:v>none</x:v>
      </x:c>
      <x:c r="S7" s="14" t="str"/>
      <x:c r="T7" s="14" t="str"/>
      <x:c r="U7" s="14" t="str"/>
      <x:c r="V7" s="15" t="str"/>
      <x:c r="W7" s="14" t="str">
        <x:v>no</x:v>
      </x:c>
      <x:c r="X7" s="14" t="str"/>
      <x:c r="Y7" s="14" t="str"/>
      <x:c r="Z7" s="14" t="str"/>
      <x:c r="AA7" s="14" t="str">
        <x:v>no</x:v>
      </x:c>
    </x:row>
    <x:row r="8">
      <x:c r="A8" s="1" t="str">
        <x:v>U0010</x:v>
      </x:c>
      <x:c r="B8" s="1" t="str">
        <x:v>cmlzphr57000h04jtqrwbfiyf</x:v>
      </x:c>
      <x:c r="C8" s="1" t="str">
        <x:v>skeleton-args-ca2022008247-6c5b4a1058f7a82b</x:v>
      </x:c>
      <x:c r="D8" s="1" t="str">
        <x:v>synthetic</x:v>
      </x:c>
      <x:c r="E8" s="14" t="str">
        <x:v>Aldridge v Crawford</x:v>
      </x:c>
      <x:c r="F8" s="14" t="str">
        <x:v>case:2016 ewca civ 689</x:v>
      </x:c>
      <x:c r="G8" s="14" t="str">
        <x:v>Heaney v Kirkby</x:v>
      </x:c>
      <x:c r="H8" s="14" t="str">
        <x:v>[2016] EWCA Civ 689</x:v>
      </x:c>
      <x:c r="I8" s="14" t="str">
        <x:v>4fb69c0f-f93b-4540-a62b-7db9f10a32aa</x:v>
      </x:c>
      <x:c r="J8" s="14" t="n">
        <x:v>2</x:v>
      </x:c>
      <x:c r="K8" s="14" t="str">
        <x:v>legalFramework.statutoryProvisions[0].sourceCases[0] | reasoningStructure[0].sourceCases[0]</x:v>
      </x:c>
      <x:c r="L8" s="14" t="str">
        <x:v>cmlzpfjvk000b04jtl1v4uh8a</x:v>
      </x:c>
      <x:c r="M8" s="14" t="str">
        <x:v>confirmed_within_10m</x:v>
      </x:c>
      <x:c r="N8" s="14" t="n">
        <x:v>102.817</x:v>
      </x:c>
      <x:c r="O8" s="14" t="str">
        <x:v>yes</x:v>
      </x:c>
      <x:c r="P8" s="14" t="str">
        <x:v>yes</x:v>
      </x:c>
      <x:c r="Q8" s="14" t="str">
        <x:v>exact_case_id</x:v>
      </x:c>
      <x:c r="R8" s="14" t="str">
        <x:v>definitive</x:v>
      </x:c>
      <x:c r="S8" s="14" t="n">
        <x:v>4</x:v>
      </x:c>
      <x:c r="T8" s="14" t="str">
        <x:v>4fb69c0f-f93b-4540-a62b-7db9f10a32aa</x:v>
      </x:c>
      <x:c r="U8" s="14" t="str">
        <x:v>Heaney v Kirkby [2016] EWCA Civ 689</x:v>
      </x:c>
      <x:c r="V8" s="15" t="n">
        <x:v>0.6361747</x:v>
      </x:c>
      <x:c r="W8" s="14" t="str">
        <x:v>no</x:v>
      </x:c>
      <x:c r="X8" s="14" t="str"/>
      <x:c r="Y8" s="14" t="str"/>
      <x:c r="Z8" s="14" t="str"/>
      <x:c r="AA8" s="14" t="str">
        <x:v>yes</x:v>
      </x:c>
    </x:row>
    <x:row r="9">
      <x:c r="A9" s="1" t="str">
        <x:v>U0011</x:v>
      </x:c>
      <x:c r="B9" s="1" t="str">
        <x:v>cmlzphr57000h04jtqrwbfiyf</x:v>
      </x:c>
      <x:c r="C9" s="1" t="str">
        <x:v>skeleton-args-ca2022008247-6c5b4a1058f7a82b</x:v>
      </x:c>
      <x:c r="D9" s="1" t="str">
        <x:v>synthetic</x:v>
      </x:c>
      <x:c r="E9" s="14" t="str">
        <x:v>Aldridge v Crawford</x:v>
      </x:c>
      <x:c r="F9" s="14" t="str">
        <x:v>case:2023 ewca civ 549</x:v>
      </x:c>
      <x:c r="G9" s="14" t="str">
        <x:v>Healey v Fraine &amp; Ors</x:v>
      </x:c>
      <x:c r="H9" s="14" t="str">
        <x:v>[2023] EWCA Civ 549</x:v>
      </x:c>
      <x:c r="I9" s="14" t="str">
        <x:v>f4d639ad-f27c-47ba-a62c-bfc0c4c9430e</x:v>
      </x:c>
      <x:c r="J9" s="14" t="n">
        <x:v>1</x:v>
      </x:c>
      <x:c r="K9" s="14" t="str">
        <x:v>factualFindings.contestedFacts[0].sourceCases[0]</x:v>
      </x:c>
      <x:c r="L9" s="14" t="str">
        <x:v>cmlzpfjvk000b04jtl1v4uh8a</x:v>
      </x:c>
      <x:c r="M9" s="14" t="str">
        <x:v>confirmed_within_10m</x:v>
      </x:c>
      <x:c r="N9" s="14" t="n">
        <x:v>102.817</x:v>
      </x:c>
      <x:c r="O9" s="14" t="str">
        <x:v>yes</x:v>
      </x:c>
      <x:c r="P9" s="14" t="str">
        <x:v>yes</x:v>
      </x:c>
      <x:c r="Q9" s="14" t="str">
        <x:v>exact_case_id</x:v>
      </x:c>
      <x:c r="R9" s="14" t="str">
        <x:v>definitive</x:v>
      </x:c>
      <x:c r="S9" s="14" t="n">
        <x:v>2</x:v>
      </x:c>
      <x:c r="T9" s="14" t="str">
        <x:v>f4d639ad-f27c-47ba-a62c-bfc0c4c9430e</x:v>
      </x:c>
      <x:c r="U9" s="14" t="str">
        <x:v>Healey v Fraine &amp; Ors [2023] EWCA Civ 549</x:v>
      </x:c>
      <x:c r="V9" s="15" t="n">
        <x:v>0.6543503</x:v>
      </x:c>
      <x:c r="W9" s="14" t="str">
        <x:v>no</x:v>
      </x:c>
      <x:c r="X9" s="14" t="str"/>
      <x:c r="Y9" s="14" t="str"/>
      <x:c r="Z9" s="14" t="str"/>
      <x:c r="AA9" s="14" t="str">
        <x:v>yes</x:v>
      </x:c>
    </x:row>
    <x:row r="10">
      <x:c r="A10" s="1" t="str">
        <x:v>U0012</x:v>
      </x:c>
      <x:c r="B10" s="1" t="str">
        <x:v>cmlzphr57000h04jtqrwbfiyf</x:v>
      </x:c>
      <x:c r="C10" s="1" t="str">
        <x:v>skeleton-args-ca2022008247-6c5b4a1058f7a82b</x:v>
      </x:c>
      <x:c r="D10" s="1" t="str">
        <x:v>synthetic</x:v>
      </x:c>
      <x:c r="E10" s="14" t="str">
        <x:v>Aldridge v Crawford</x:v>
      </x:c>
      <x:c r="F10" s="14" t="str">
        <x:v>case:2023 ewca civ 551</x:v>
      </x:c>
      <x:c r="G10" s="14" t="str">
        <x:v>Secretary of State for the Home Department v Cox &amp; Ors</x:v>
      </x:c>
      <x:c r="H10" s="14" t="str">
        <x:v>[2023] EWCA Civ 551</x:v>
      </x:c>
      <x:c r="I10" s="14" t="str">
        <x:v>6e8e988c-074c-4ab1-9e37-5c84673b441b</x:v>
      </x:c>
      <x:c r="J10" s="14" t="n">
        <x:v>2</x:v>
      </x:c>
      <x:c r="K10" s="14" t="str">
        <x:v>issuesForDetermination.issueMatrix[0].sourceCases[0] | legalFramework.precedentCitations[1].sourceCases[0]</x:v>
      </x:c>
      <x:c r="L10" s="14" t="str">
        <x:v>cmlzpfjvk000b04jtl1v4uh8a</x:v>
      </x:c>
      <x:c r="M10" s="14" t="str">
        <x:v>confirmed_within_10m</x:v>
      </x:c>
      <x:c r="N10" s="14" t="n">
        <x:v>102.817</x:v>
      </x:c>
      <x:c r="O10" s="14" t="str">
        <x:v>yes</x:v>
      </x:c>
      <x:c r="P10" s="14" t="str">
        <x:v>yes</x:v>
      </x:c>
      <x:c r="Q10" s="14" t="str">
        <x:v>exact_case_id</x:v>
      </x:c>
      <x:c r="R10" s="14" t="str">
        <x:v>definitive</x:v>
      </x:c>
      <x:c r="S10" s="14" t="n">
        <x:v>3</x:v>
      </x:c>
      <x:c r="T10" s="14" t="str">
        <x:v>6e8e988c-074c-4ab1-9e37-5c84673b441b</x:v>
      </x:c>
      <x:c r="U10" s="14" t="str">
        <x:v>Secretary of State for the Home Department v Cox &amp; Ors [2023] EWCA Civ 551 (19 May 2023)</x:v>
      </x:c>
      <x:c r="V10" s="15" t="n">
        <x:v>0.63672197</x:v>
      </x:c>
      <x:c r="W10" s="14" t="str">
        <x:v>no</x:v>
      </x:c>
      <x:c r="X10" s="14" t="str"/>
      <x:c r="Y10" s="14" t="str"/>
      <x:c r="Z10" s="14" t="str"/>
      <x:c r="AA10" s="14" t="str">
        <x:v>yes</x:v>
      </x:c>
    </x:row>
    <x:row r="11">
      <x:c r="A11" s="1" t="str">
        <x:v>U0013</x:v>
      </x:c>
      <x:c r="B11" s="1" t="str">
        <x:v>cmlzphr57000h04jtqrwbfiyf</x:v>
      </x:c>
      <x:c r="C11" s="1" t="str">
        <x:v>skeleton-args-ca2022008247-6c5b4a1058f7a82b</x:v>
      </x:c>
      <x:c r="D11" s="1" t="str">
        <x:v>synthetic</x:v>
      </x:c>
      <x:c r="E11" s="14" t="str">
        <x:v>Aldridge v Crawford</x:v>
      </x:c>
      <x:c r="F11" s="14" t="str">
        <x:v>case:neilson v poole 1969 20 p&amp;cr 909</x:v>
      </x:c>
      <x:c r="G11" s="14" t="str">
        <x:v>Neilson v. Poole [1969] 20 P&amp;CR 909</x:v>
      </x:c>
      <x:c r="H11" s="14" t="str">
        <x:v>Neilson v. Poole [1969] 20 P&amp;CR 909</x:v>
      </x:c>
      <x:c r="I11" s="14" t="str"/>
      <x:c r="J11" s="14" t="n">
        <x:v>1</x:v>
      </x:c>
      <x:c r="K11" s="14" t="str">
        <x:v>legalFramework.precedentCitations[0]</x:v>
      </x:c>
      <x:c r="L11" s="14" t="str">
        <x:v>cmlzpfjvk000b04jtl1v4uh8a</x:v>
      </x:c>
      <x:c r="M11" s="14" t="str">
        <x:v>confirmed_within_10m</x:v>
      </x:c>
      <x:c r="N11" s="14" t="n">
        <x:v>102.817</x:v>
      </x:c>
      <x:c r="O11" s="14" t="str">
        <x:v>yes</x:v>
      </x:c>
      <x:c r="P11" s="14" t="str">
        <x:v>no</x:v>
      </x:c>
      <x:c r="Q11" s="14" t="str">
        <x:v>none</x:v>
      </x:c>
      <x:c r="R11" s="14" t="str">
        <x:v>none</x:v>
      </x:c>
      <x:c r="S11" s="14" t="str"/>
      <x:c r="T11" s="14" t="str"/>
      <x:c r="U11" s="14" t="str"/>
      <x:c r="V11" s="15" t="str"/>
      <x:c r="W11" s="14" t="str">
        <x:v>no</x:v>
      </x:c>
      <x:c r="X11" s="14" t="str"/>
      <x:c r="Y11" s="14" t="str"/>
      <x:c r="Z11" s="14" t="str"/>
      <x:c r="AA11" s="14" t="str">
        <x:v>no</x:v>
      </x:c>
    </x:row>
    <x:row r="12">
      <x:c r="A12" s="1" t="str">
        <x:v>U0017</x:v>
      </x:c>
      <x:c r="B12" s="1" t="str">
        <x:v>cmlzrzxca000304l2qk1vevzx</x:v>
      </x:c>
      <x:c r="C12" s="1" t="str">
        <x:v>skeleton-args-ca2023002207-ce0aafdf6d7e5716</x:v>
      </x:c>
      <x:c r="D12" s="1" t="str">
        <x:v>synthetic</x:v>
      </x:c>
      <x:c r="E12" s="14" t="str">
        <x:v>Karpasitis v Hertfordshire County Council</x:v>
      </x:c>
      <x:c r="F12" s="14" t="str">
        <x:v>case:2015 uksc 5</x:v>
      </x:c>
      <x:c r="G12" s="14" t="str">
        <x:v>[2015] UKSC 5</x:v>
      </x:c>
      <x:c r="H12" s="14" t="str">
        <x:v>[2015] UKSC 5</x:v>
      </x:c>
      <x:c r="I12" s="14" t="str"/>
      <x:c r="J12" s="14" t="n">
        <x:v>1</x:v>
      </x:c>
      <x:c r="K12" s="14" t="str">
        <x:v>legalFramework.precedentCitations[1]</x:v>
      </x:c>
      <x:c r="L12" s="14" t="str">
        <x:v>cmlzry90i000b04laxzwy3gcm</x:v>
      </x:c>
      <x:c r="M12" s="14" t="str">
        <x:v>confirmed_within_10m</x:v>
      </x:c>
      <x:c r="N12" s="14" t="n">
        <x:v>78.268</x:v>
      </x:c>
      <x:c r="O12" s="14" t="str">
        <x:v>yes</x:v>
      </x:c>
      <x:c r="P12" s="14" t="str">
        <x:v>no</x:v>
      </x:c>
      <x:c r="Q12" s="14" t="str">
        <x:v>none</x:v>
      </x:c>
      <x:c r="R12" s="14" t="str">
        <x:v>none</x:v>
      </x:c>
      <x:c r="S12" s="14" t="str"/>
      <x:c r="T12" s="14" t="str"/>
      <x:c r="U12" s="14" t="str"/>
      <x:c r="V12" s="15" t="str"/>
      <x:c r="W12" s="14" t="str">
        <x:v>yes</x:v>
      </x:c>
      <x:c r="X12" s="14" t="str">
        <x:v>Jackson v Murray [2015] UKSC 5</x:v>
      </x:c>
      <x:c r="Y12" s="14" t="n">
        <x:v>8</x:v>
      </x:c>
      <x:c r="Z12" s="14" t="str">
        <x:v>English Heritage v Taylor [2016] EWCA Civ 448</x:v>
      </x:c>
      <x:c r="AA12" s="14" t="str">
        <x:v>no</x:v>
      </x:c>
    </x:row>
    <x:row r="13">
      <x:c r="A13" s="1" t="str">
        <x:v>U0018</x:v>
      </x:c>
      <x:c r="B13" s="1" t="str">
        <x:v>cmlzrzxca000304l2qk1vevzx</x:v>
      </x:c>
      <x:c r="C13" s="1" t="str">
        <x:v>skeleton-args-ca2023002207-ce0aafdf6d7e5716</x:v>
      </x:c>
      <x:c r="D13" s="1" t="str">
        <x:v>synthetic</x:v>
      </x:c>
      <x:c r="E13" s="14" t="str">
        <x:v>Karpasitis v Hertfordshire County Council</x:v>
      </x:c>
      <x:c r="F13" s="14" t="str">
        <x:v>case:brown &amp; ors v south west lakes trust &amp; ors</x:v>
      </x:c>
      <x:c r="G13" s="14" t="str">
        <x:v>Brown &amp; Ors v South West Lakes Trust &amp; Ors</x:v>
      </x:c>
      <x:c r="H13" s="14" t="str">
        <x:v>N/A</x:v>
      </x:c>
      <x:c r="I13" s="14" t="str">
        <x:v>70d43223-0ec6-458b-b052-bdc295e0d6ec</x:v>
      </x:c>
      <x:c r="J13" s="14" t="n">
        <x:v>4</x:v>
      </x:c>
      <x:c r="K13" s="14" t="str">
        <x:v>factualFindings.contestedFacts[0].sourceCases[0] | issuesForDetermination.issueMatrix[0].sourceCases[0] | legalFramework.precedentCitations[0].sourceCases[0] | reasoningStructure[0].sourceCases[0]</x:v>
      </x:c>
      <x:c r="L13" s="14" t="str">
        <x:v>cmlzry90i000b04laxzwy3gcm</x:v>
      </x:c>
      <x:c r="M13" s="14" t="str">
        <x:v>confirmed_within_10m</x:v>
      </x:c>
      <x:c r="N13" s="14" t="n">
        <x:v>78.268</x:v>
      </x:c>
      <x:c r="O13" s="14" t="str">
        <x:v>yes</x:v>
      </x:c>
      <x:c r="P13" s="14" t="str">
        <x:v>yes</x:v>
      </x:c>
      <x:c r="Q13" s="14" t="str">
        <x:v>exact_case_id</x:v>
      </x:c>
      <x:c r="R13" s="14" t="str">
        <x:v>definitive</x:v>
      </x:c>
      <x:c r="S13" s="14" t="n">
        <x:v>1</x:v>
      </x:c>
      <x:c r="T13" s="14" t="str">
        <x:v>70d43223-0ec6-458b-b052-bdc295e0d6ec</x:v>
      </x:c>
      <x:c r="U13" s="14" t="str">
        <x:v>Brown &amp; Ors v South West Lakes Trust &amp; Ors [2022] EWCA Civ 18</x:v>
      </x:c>
      <x:c r="V13" s="15" t="n">
        <x:v>0.6996171</x:v>
      </x:c>
      <x:c r="W13" s="14" t="str">
        <x:v>no</x:v>
      </x:c>
      <x:c r="X13" s="14" t="str"/>
      <x:c r="Y13" s="14" t="str"/>
      <x:c r="Z13" s="14" t="str"/>
      <x:c r="AA13" s="14" t="str">
        <x:v>yes</x:v>
      </x:c>
    </x:row>
    <x:row r="14">
      <x:c r="A14" s="1" t="str">
        <x:v>U0019</x:v>
      </x:c>
      <x:c r="B14" s="1" t="str">
        <x:v>cmlzrzxca000304l2qk1vevzx</x:v>
      </x:c>
      <x:c r="C14" s="1" t="str">
        <x:v>skeleton-args-ca2023002207-ce0aafdf6d7e5716</x:v>
      </x:c>
      <x:c r="D14" s="1" t="str">
        <x:v>synthetic</x:v>
      </x:c>
      <x:c r="E14" s="14" t="str">
        <x:v>Karpasitis v Hertfordshire County Council</x:v>
      </x:c>
      <x:c r="F14" s="14" t="str">
        <x:v>case:humphrey v aegis defence services ltd &amp; anor</x:v>
      </x:c>
      <x:c r="G14" s="14" t="str">
        <x:v>Humphrey v Aegis Defence Services Ltd &amp; Anor</x:v>
      </x:c>
      <x:c r="H14" s="14" t="str">
        <x:v>N/A</x:v>
      </x:c>
      <x:c r="I14" s="14" t="str">
        <x:v>3b14442e-37b0-455c-a24f-a53a55c9f700</x:v>
      </x:c>
      <x:c r="J14" s="14" t="n">
        <x:v>5</x:v>
      </x:c>
      <x:c r="K14" s="14" t="str">
        <x:v>factualFindings.contestedFacts[1].sourceCases[0] | issuesForDetermination.issueMatrix[1].sourceCases[0] | legalFramework.precedentCitations[1].sourceCases[0] | legalFramework.statutoryProvisions[0].sourceCases[0] | reasoningStructure[1].sourceCases[0]</x:v>
      </x:c>
      <x:c r="L14" s="14" t="str">
        <x:v>cmlzry90i000b04laxzwy3gcm</x:v>
      </x:c>
      <x:c r="M14" s="14" t="str">
        <x:v>confirmed_within_10m</x:v>
      </x:c>
      <x:c r="N14" s="14" t="n">
        <x:v>78.268</x:v>
      </x:c>
      <x:c r="O14" s="14" t="str">
        <x:v>yes</x:v>
      </x:c>
      <x:c r="P14" s="14" t="str">
        <x:v>yes</x:v>
      </x:c>
      <x:c r="Q14" s="14" t="str">
        <x:v>exact_case_id</x:v>
      </x:c>
      <x:c r="R14" s="14" t="str">
        <x:v>definitive</x:v>
      </x:c>
      <x:c r="S14" s="14" t="n">
        <x:v>2</x:v>
      </x:c>
      <x:c r="T14" s="14" t="str">
        <x:v>3b14442e-37b0-455c-a24f-a53a55c9f700</x:v>
      </x:c>
      <x:c r="U14" s="14" t="str">
        <x:v>Humphrey v Aegis Defence Services Ltd &amp; Anor [2016] EWCA Civ 11</x:v>
      </x:c>
      <x:c r="V14" s="15" t="n">
        <x:v>0.6941479</x:v>
      </x:c>
      <x:c r="W14" s="14" t="str">
        <x:v>no</x:v>
      </x:c>
      <x:c r="X14" s="14" t="str"/>
      <x:c r="Y14" s="14" t="str"/>
      <x:c r="Z14" s="14" t="str"/>
      <x:c r="AA14" s="14" t="str">
        <x:v>yes</x:v>
      </x:c>
    </x:row>
    <x:row r="15">
      <x:c r="A15" s="1" t="str">
        <x:v>U0020</x:v>
      </x:c>
      <x:c r="B15" s="1" t="str">
        <x:v>cmlzrzxca000304l2qk1vevzx</x:v>
      </x:c>
      <x:c r="C15" s="1" t="str">
        <x:v>skeleton-args-ca2023002207-ce0aafdf6d7e5716</x:v>
      </x:c>
      <x:c r="D15" s="1" t="str">
        <x:v>synthetic</x:v>
      </x:c>
      <x:c r="E15" s="14" t="str">
        <x:v>Karpasitis v Hertfordshire County Council</x:v>
      </x:c>
      <x:c r="F15" s="14" t="str">
        <x:v>case:tindall &amp; anor v chief constable of thames valley police &amp; anor</x:v>
      </x:c>
      <x:c r="G15" s="14" t="str">
        <x:v>Tindall &amp; Anor v Chief Constable of Thames Valley Police &amp; Anor</x:v>
      </x:c>
      <x:c r="H15" s="14" t="str">
        <x:v>N/A</x:v>
      </x:c>
      <x:c r="I15" s="14" t="str">
        <x:v>4685ad0e-87e7-4f59-8991-823ab27d9393</x:v>
      </x:c>
      <x:c r="J15" s="14" t="n">
        <x:v>1</x:v>
      </x:c>
      <x:c r="K15" s="14" t="str">
        <x:v>factualFindings.chronology[1].sourceCases[0]</x:v>
      </x:c>
      <x:c r="L15" s="14" t="str">
        <x:v>cmlzry90i000b04laxzwy3gcm</x:v>
      </x:c>
      <x:c r="M15" s="14" t="str">
        <x:v>confirmed_within_10m</x:v>
      </x:c>
      <x:c r="N15" s="14" t="n">
        <x:v>78.268</x:v>
      </x:c>
      <x:c r="O15" s="14" t="str">
        <x:v>yes</x:v>
      </x:c>
      <x:c r="P15" s="14" t="str">
        <x:v>yes</x:v>
      </x:c>
      <x:c r="Q15" s="14" t="str">
        <x:v>exact_case_id</x:v>
      </x:c>
      <x:c r="R15" s="14" t="str">
        <x:v>definitive</x:v>
      </x:c>
      <x:c r="S15" s="14" t="n">
        <x:v>3</x:v>
      </x:c>
      <x:c r="T15" s="14" t="str">
        <x:v>4685ad0e-87e7-4f59-8991-823ab27d9393</x:v>
      </x:c>
      <x:c r="U15" s="14" t="str">
        <x:v>Tindall &amp; Anor v Chief Constable of Thames Valley Police &amp; Anor [2022] EWCA Civ 25</x:v>
      </x:c>
      <x:c r="V15" s="15" t="n">
        <x:v>0.68254423</x:v>
      </x:c>
      <x:c r="W15" s="14" t="str">
        <x:v>no</x:v>
      </x:c>
      <x:c r="X15" s="14" t="str"/>
      <x:c r="Y15" s="14" t="str"/>
      <x:c r="Z15" s="14" t="str"/>
      <x:c r="AA15" s="14" t="str">
        <x:v>yes</x:v>
      </x:c>
    </x:row>
    <x:row r="16">
      <x:c r="A16" s="1" t="str">
        <x:v>U0026</x:v>
      </x:c>
      <x:c r="B16" s="1" t="str">
        <x:v>cmlzy9ss300fz04i80p2yfbg1</x:v>
      </x:c>
      <x:c r="C16" s="1" t="str">
        <x:v>skeleton-args-ca2024001234-346b2d683b5c2099</x:v>
      </x:c>
      <x:c r="D16" s="1" t="str">
        <x:v>synthetic</x:v>
      </x:c>
      <x:c r="E16" s="14" t="str">
        <x:v>Transport Action Network Limited v Secretary of State for Transport</x:v>
      </x:c>
      <x:c r="F16" s="14" t="str">
        <x:v>case:2000 1 wlr 377</x:v>
      </x:c>
      <x:c r="G16" s="14" t="str">
        <x:v>Flannery v Halifax Estate Agencies Ltd [2000] 1 WLR 377</x:v>
      </x:c>
      <x:c r="H16" s="14" t="str">
        <x:v>Flannery v Halifax Estate Agencies Ltd [2000] 1 WLR 377</x:v>
      </x:c>
      <x:c r="I16" s="14" t="str"/>
      <x:c r="J16" s="14" t="n">
        <x:v>1</x:v>
      </x:c>
      <x:c r="K16" s="14" t="str">
        <x:v>legalFramework.precedentCitations[1]</x:v>
      </x:c>
      <x:c r="L16" s="14" t="str">
        <x:v>cmlzy6by600ft04i8cpz0rrjt</x:v>
      </x:c>
      <x:c r="M16" s="14" t="str">
        <x:v>confirmed_within_10m</x:v>
      </x:c>
      <x:c r="N16" s="14" t="n">
        <x:v>161.863</x:v>
      </x:c>
      <x:c r="O16" s="14" t="str">
        <x:v>yes</x:v>
      </x:c>
      <x:c r="P16" s="14" t="str">
        <x:v>no</x:v>
      </x:c>
      <x:c r="Q16" s="14" t="str">
        <x:v>none</x:v>
      </x:c>
      <x:c r="R16" s="14" t="str">
        <x:v>none</x:v>
      </x:c>
      <x:c r="S16" s="14" t="str"/>
      <x:c r="T16" s="14" t="str"/>
      <x:c r="U16" s="14" t="str"/>
      <x:c r="V16" s="15" t="str"/>
      <x:c r="W16" s="14" t="str">
        <x:v>no</x:v>
      </x:c>
      <x:c r="X16" s="14" t="str"/>
      <x:c r="Y16" s="14" t="str"/>
      <x:c r="Z16" s="14" t="str"/>
      <x:c r="AA16" s="14" t="str">
        <x:v>no</x:v>
      </x:c>
    </x:row>
    <x:row r="17">
      <x:c r="A17" s="1" t="str">
        <x:v>U0027</x:v>
      </x:c>
      <x:c r="B17" s="1" t="str">
        <x:v>cmlzy9ss300fz04i80p2yfbg1</x:v>
      </x:c>
      <x:c r="C17" s="1" t="str">
        <x:v>skeleton-args-ca2024001234-346b2d683b5c2099</x:v>
      </x:c>
      <x:c r="D17" s="1" t="str">
        <x:v>synthetic</x:v>
      </x:c>
      <x:c r="E17" s="14" t="str">
        <x:v>Transport Action Network Limited v Secretary of State for Transport</x:v>
      </x:c>
      <x:c r="F17" s="14" t="str">
        <x:v>case:2002 ewca civ 605</x:v>
      </x:c>
      <x:c r="G17" s="14" t="str">
        <x:v>English v Emery Reimbold &amp; Strick Ltd [2002] EWCA Civ 605</x:v>
      </x:c>
      <x:c r="H17" s="14" t="str">
        <x:v>English v Emery Reimbold &amp; Strick Ltd [2002] EWCA Civ 605</x:v>
      </x:c>
      <x:c r="I17" s="14" t="str"/>
      <x:c r="J17" s="14" t="n">
        <x:v>1</x:v>
      </x:c>
      <x:c r="K17" s="14" t="str">
        <x:v>legalFramework.precedentCitations[0]</x:v>
      </x:c>
      <x:c r="L17" s="14" t="str">
        <x:v>cmlzy6by600ft04i8cpz0rrjt</x:v>
      </x:c>
      <x:c r="M17" s="14" t="str">
        <x:v>confirmed_within_10m</x:v>
      </x:c>
      <x:c r="N17" s="14" t="n">
        <x:v>161.863</x:v>
      </x:c>
      <x:c r="O17" s="14" t="str">
        <x:v>yes</x:v>
      </x:c>
      <x:c r="P17" s="14" t="str">
        <x:v>no</x:v>
      </x:c>
      <x:c r="Q17" s="14" t="str">
        <x:v>none</x:v>
      </x:c>
      <x:c r="R17" s="14" t="str">
        <x:v>none</x:v>
      </x:c>
      <x:c r="S17" s="14" t="str"/>
      <x:c r="T17" s="14" t="str"/>
      <x:c r="U17" s="14" t="str"/>
      <x:c r="V17" s="15" t="str"/>
      <x:c r="W17" s="14" t="str">
        <x:v>no</x:v>
      </x:c>
      <x:c r="X17" s="14" t="str"/>
      <x:c r="Y17" s="14" t="str"/>
      <x:c r="Z17" s="14" t="str"/>
      <x:c r="AA17" s="14" t="str">
        <x:v>no</x:v>
      </x:c>
    </x:row>
    <x:row r="18">
      <x:c r="A18" s="1" t="str">
        <x:v>U0028</x:v>
      </x:c>
      <x:c r="B18" s="1" t="str">
        <x:v>cmlzy9ss300fz04i80p2yfbg1</x:v>
      </x:c>
      <x:c r="C18" s="1" t="str">
        <x:v>skeleton-args-ca2024001234-346b2d683b5c2099</x:v>
      </x:c>
      <x:c r="D18" s="1" t="str">
        <x:v>synthetic</x:v>
      </x:c>
      <x:c r="E18" s="14" t="str">
        <x:v>Transport Action Network Limited v Secretary of State for Transport</x:v>
      </x:c>
      <x:c r="F18" s="14" t="str">
        <x:v>case:2016 ewca civ 480</x:v>
      </x:c>
      <x:c r="G18" s="14" t="str">
        <x:v>London Borough of Enfield, R (on the application of) v Secretary of State for Transport &amp; Ors</x:v>
      </x:c>
      <x:c r="H18" s="14" t="str">
        <x:v>[2016] EWCA Civ 480</x:v>
      </x:c>
      <x:c r="I18" s="14" t="str">
        <x:v>f5a5b44e-fcf0-40c0-9bf9-69f026b1b438</x:v>
      </x:c>
      <x:c r="J18" s="14" t="n">
        <x:v>3</x:v>
      </x:c>
      <x:c r="K18" s="14" t="str">
        <x:v>factualFindings.contestedFacts[2].sourceCases[0] | issuesForDetermination.issueMatrix[2].sourceCases[0] | reasoningStructure[2].sourceCases[0]</x:v>
      </x:c>
      <x:c r="L18" s="14" t="str">
        <x:v>cmlzy6by600ft04i8cpz0rrjt</x:v>
      </x:c>
      <x:c r="M18" s="14" t="str">
        <x:v>confirmed_within_10m</x:v>
      </x:c>
      <x:c r="N18" s="14" t="n">
        <x:v>161.863</x:v>
      </x:c>
      <x:c r="O18" s="14" t="str">
        <x:v>yes</x:v>
      </x:c>
      <x:c r="P18" s="14" t="str">
        <x:v>yes</x:v>
      </x:c>
      <x:c r="Q18" s="14" t="str">
        <x:v>exact_case_id</x:v>
      </x:c>
      <x:c r="R18" s="14" t="str">
        <x:v>definitive</x:v>
      </x:c>
      <x:c r="S18" s="14" t="n">
        <x:v>3</x:v>
      </x:c>
      <x:c r="T18" s="14" t="str">
        <x:v>f5a5b44e-fcf0-40c0-9bf9-69f026b1b438</x:v>
      </x:c>
      <x:c r="U18" s="14" t="str">
        <x:v>London Borough of Enfield, R (on the application of) v Secretary of State for Transport &amp; Ors [2016] EWCA Civ 480</x:v>
      </x:c>
      <x:c r="V18" s="15" t="n">
        <x:v>0.68071216</x:v>
      </x:c>
      <x:c r="W18" s="14" t="str">
        <x:v>no</x:v>
      </x:c>
      <x:c r="X18" s="14" t="str"/>
      <x:c r="Y18" s="14" t="str"/>
      <x:c r="Z18" s="14" t="str"/>
      <x:c r="AA18" s="14" t="str">
        <x:v>yes</x:v>
      </x:c>
    </x:row>
    <x:row r="19">
      <x:c r="A19" s="1" t="str">
        <x:v>U0029</x:v>
      </x:c>
      <x:c r="B19" s="1" t="str">
        <x:v>cmlzy9ss300fz04i80p2yfbg1</x:v>
      </x:c>
      <x:c r="C19" s="1" t="str">
        <x:v>skeleton-args-ca2024001234-346b2d683b5c2099</x:v>
      </x:c>
      <x:c r="D19" s="1" t="str">
        <x:v>synthetic</x:v>
      </x:c>
      <x:c r="E19" s="14" t="str">
        <x:v>Transport Action Network Limited v Secretary of State for Transport</x:v>
      </x:c>
      <x:c r="F19" s="14" t="str">
        <x:v>case:2022 ewca civ 187</x:v>
      </x:c>
      <x:c r="G19" s="14" t="str">
        <x:v>Finch On Behalf of the Weald Action Group, R (On the Application Of) v Surrey County Council &amp; Ors</x:v>
      </x:c>
      <x:c r="H19" s="14" t="str">
        <x:v>[2022] EWCA Civ 187</x:v>
      </x:c>
      <x:c r="I19" s="14" t="str">
        <x:v>968e5c88-1f2c-4da8-9290-4111f416ec6e</x:v>
      </x:c>
      <x:c r="J19" s="14" t="n">
        <x:v>3</x:v>
      </x:c>
      <x:c r="K19" s="14" t="str">
        <x:v>factualFindings.contestedFacts[0].sourceCases[0] | issuesForDetermination.issueMatrix[0].sourceCases[0] | reasoningStructure[0].sourceCases[0]</x:v>
      </x:c>
      <x:c r="L19" s="14" t="str">
        <x:v>cmlzy6by600ft04i8cpz0rrjt</x:v>
      </x:c>
      <x:c r="M19" s="14" t="str">
        <x:v>confirmed_within_10m</x:v>
      </x:c>
      <x:c r="N19" s="14" t="n">
        <x:v>161.863</x:v>
      </x:c>
      <x:c r="O19" s="14" t="str">
        <x:v>yes</x:v>
      </x:c>
      <x:c r="P19" s="14" t="str">
        <x:v>yes</x:v>
      </x:c>
      <x:c r="Q19" s="14" t="str">
        <x:v>exact_case_id</x:v>
      </x:c>
      <x:c r="R19" s="14" t="str">
        <x:v>definitive</x:v>
      </x:c>
      <x:c r="S19" s="14" t="n">
        <x:v>1</x:v>
      </x:c>
      <x:c r="T19" s="14" t="str">
        <x:v>968e5c88-1f2c-4da8-9290-4111f416ec6e</x:v>
      </x:c>
      <x:c r="U19" s="14" t="str">
        <x:v>Finch On Behalf of the Weald Action Group, R (On the Application Of) v Surrey County Council &amp; Ors [2022] EWCA Civ 187</x:v>
      </x:c>
      <x:c r="V19" s="15" t="n">
        <x:v>0.73531765</x:v>
      </x:c>
      <x:c r="W19" s="14" t="str">
        <x:v>no</x:v>
      </x:c>
      <x:c r="X19" s="14" t="str"/>
      <x:c r="Y19" s="14" t="str"/>
      <x:c r="Z19" s="14" t="str"/>
      <x:c r="AA19" s="14" t="str">
        <x:v>yes</x:v>
      </x:c>
    </x:row>
    <x:row r="20">
      <x:c r="A20" s="1" t="str">
        <x:v>U0030</x:v>
      </x:c>
      <x:c r="B20" s="1" t="str">
        <x:v>cmlzy9ss300fz04i80p2yfbg1</x:v>
      </x:c>
      <x:c r="C20" s="1" t="str">
        <x:v>skeleton-args-ca2024001234-346b2d683b5c2099</x:v>
      </x:c>
      <x:c r="D20" s="1" t="str">
        <x:v>synthetic</x:v>
      </x:c>
      <x:c r="E20" s="14" t="str">
        <x:v>Transport Action Network Limited v Secretary of State for Transport</x:v>
      </x:c>
      <x:c r="F20" s="14" t="str">
        <x:v>case:2022 ewca civ 983</x:v>
      </x:c>
      <x:c r="G20" s="14" t="str">
        <x:v>Wyatt v Fareham Borough Council (Rev1)</x:v>
      </x:c>
      <x:c r="H20" s="14" t="str">
        <x:v>[2022] EWCA Civ 983</x:v>
      </x:c>
      <x:c r="I20" s="14" t="str">
        <x:v>1d957476-2c0d-4578-8a43-679ec600e382</x:v>
      </x:c>
      <x:c r="J20" s="14" t="n">
        <x:v>3</x:v>
      </x:c>
      <x:c r="K20" s="14" t="str">
        <x:v>factualFindings.contestedFacts[1].sourceCases[0] | issuesForDetermination.issueMatrix[1].sourceCases[0] | reasoningStructure[1].sourceCases[0]</x:v>
      </x:c>
      <x:c r="L20" s="14" t="str">
        <x:v>cmlzy6by600ft04i8cpz0rrjt</x:v>
      </x:c>
      <x:c r="M20" s="14" t="str">
        <x:v>confirmed_within_10m</x:v>
      </x:c>
      <x:c r="N20" s="14" t="n">
        <x:v>161.863</x:v>
      </x:c>
      <x:c r="O20" s="14" t="str">
        <x:v>yes</x:v>
      </x:c>
      <x:c r="P20" s="14" t="str">
        <x:v>yes</x:v>
      </x:c>
      <x:c r="Q20" s="14" t="str">
        <x:v>exact_case_id</x:v>
      </x:c>
      <x:c r="R20" s="14" t="str">
        <x:v>definitive</x:v>
      </x:c>
      <x:c r="S20" s="14" t="n">
        <x:v>2</x:v>
      </x:c>
      <x:c r="T20" s="14" t="str">
        <x:v>1d957476-2c0d-4578-8a43-679ec600e382</x:v>
      </x:c>
      <x:c r="U20" s="14" t="str">
        <x:v>Wyatt v Fareham Borough Council (Rev1) [2022] EWCA Civ 983</x:v>
      </x:c>
      <x:c r="V20" s="15" t="n">
        <x:v>0.6896279</x:v>
      </x:c>
      <x:c r="W20" s="14" t="str">
        <x:v>no</x:v>
      </x:c>
      <x:c r="X20" s="14" t="str"/>
      <x:c r="Y20" s="14" t="str"/>
      <x:c r="Z20" s="14" t="str"/>
      <x:c r="AA20" s="14" t="str">
        <x:v>yes</x:v>
      </x:c>
    </x:row>
    <x:row r="21">
      <x:c r="A21" s="1" t="str">
        <x:v>U0038</x:v>
      </x:c>
      <x:c r="B21" s="1" t="str">
        <x:v>cmm0bebet000404jvmcxyqo4x</x:v>
      </x:c>
      <x:c r="C21" s="1" t="str">
        <x:v>skeleton-args-ca2016009836-d5eefd60a70a11d6</x:v>
      </x:c>
      <x:c r="D21" s="1" t="str">
        <x:v>synthetic</x:v>
      </x:c>
      <x:c r="E21" s="14" t="str">
        <x:v>Beacon Manufacturing Ltd v Alliance Insurance Plc</x:v>
      </x:c>
      <x:c r="F21" s="14" t="str">
        <x:v>case:2002 ewca civ 605</x:v>
      </x:c>
      <x:c r="G21" s="14" t="str">
        <x:v>[2002] EWCA Civ 605</x:v>
      </x:c>
      <x:c r="H21" s="14" t="str">
        <x:v>[2002] EWCA Civ 605</x:v>
      </x:c>
      <x:c r="I21" s="14" t="str"/>
      <x:c r="J21" s="14" t="n">
        <x:v>1</x:v>
      </x:c>
      <x:c r="K21" s="14" t="str">
        <x:v>legalFramework.precedentCitations[0]</x:v>
      </x:c>
      <x:c r="L21" s="14" t="str">
        <x:v>cmm0b91t5000e04ibf7gf6ujr</x:v>
      </x:c>
      <x:c r="M21" s="14" t="str">
        <x:v>confirmed_within_10m</x:v>
      </x:c>
      <x:c r="N21" s="14" t="n">
        <x:v>245.808</x:v>
      </x:c>
      <x:c r="O21" s="14" t="str">
        <x:v>yes</x:v>
      </x:c>
      <x:c r="P21" s="14" t="str">
        <x:v>no</x:v>
      </x:c>
      <x:c r="Q21" s="14" t="str">
        <x:v>none</x:v>
      </x:c>
      <x:c r="R21" s="14" t="str">
        <x:v>none</x:v>
      </x:c>
      <x:c r="S21" s="14" t="str"/>
      <x:c r="T21" s="14" t="str"/>
      <x:c r="U21" s="14" t="str"/>
      <x:c r="V21" s="15" t="str"/>
      <x:c r="W21" s="14" t="str">
        <x:v>no</x:v>
      </x:c>
      <x:c r="X21" s="14" t="str"/>
      <x:c r="Y21" s="14" t="str"/>
      <x:c r="Z21" s="14" t="str"/>
      <x:c r="AA21" s="14" t="str">
        <x:v>no</x:v>
      </x:c>
    </x:row>
    <x:row r="22">
      <x:c r="A22" s="1" t="str">
        <x:v>U0039</x:v>
      </x:c>
      <x:c r="B22" s="1" t="str">
        <x:v>cmm0bebet000404jvmcxyqo4x</x:v>
      </x:c>
      <x:c r="C22" s="1" t="str">
        <x:v>skeleton-args-ca2016009836-d5eefd60a70a11d6</x:v>
      </x:c>
      <x:c r="D22" s="1" t="str">
        <x:v>synthetic</x:v>
      </x:c>
      <x:c r="E22" s="14" t="str">
        <x:v>Beacon Manufacturing Ltd v Alliance Insurance Plc</x:v>
      </x:c>
      <x:c r="F22" s="14" t="str">
        <x:v>case:2016 ewca civ 1003</x:v>
      </x:c>
      <x:c r="G22" s="14" t="str">
        <x:v>Great Lakes Reinsurance (UK) SE v Western Trading Ltd</x:v>
      </x:c>
      <x:c r="H22" s="14" t="str">
        <x:v>[2016] EWCA Civ 1003</x:v>
      </x:c>
      <x:c r="I22" s="14" t="str">
        <x:v>e050e594-d197-45f1-ba15-7d110c0d93c4</x:v>
      </x:c>
      <x:c r="J22" s="14" t="n">
        <x:v>4</x:v>
      </x:c>
      <x:c r="K22" s="14" t="str">
        <x:v>factualFindings.contestedFacts[0].sourceCases[0] | issuesForDetermination.issueMatrix[0].sourceCases[0] | legalFramework.statutoryProvisions[0].sourceCases[0] | reasoningStructure[0].sourceCases[0]</x:v>
      </x:c>
      <x:c r="L22" s="14" t="str">
        <x:v>cmm0b91t5000e04ibf7gf6ujr</x:v>
      </x:c>
      <x:c r="M22" s="14" t="str">
        <x:v>confirmed_within_10m</x:v>
      </x:c>
      <x:c r="N22" s="14" t="n">
        <x:v>245.808</x:v>
      </x:c>
      <x:c r="O22" s="14" t="str">
        <x:v>yes</x:v>
      </x:c>
      <x:c r="P22" s="14" t="str">
        <x:v>yes</x:v>
      </x:c>
      <x:c r="Q22" s="14" t="str">
        <x:v>exact_case_id</x:v>
      </x:c>
      <x:c r="R22" s="14" t="str">
        <x:v>definitive</x:v>
      </x:c>
      <x:c r="S22" s="14" t="n">
        <x:v>1</x:v>
      </x:c>
      <x:c r="T22" s="14" t="str">
        <x:v>e050e594-d197-45f1-ba15-7d110c0d93c4</x:v>
      </x:c>
      <x:c r="U22" s="14" t="str">
        <x:v>Great Lakes Reinsurance (UK) SE v Western Trading Ltd [2016] EWCA Civ 1003 (11 October 2016)</x:v>
      </x:c>
      <x:c r="V22" s="15" t="n">
        <x:v>0.72396386</x:v>
      </x:c>
      <x:c r="W22" s="14" t="str">
        <x:v>no</x:v>
      </x:c>
      <x:c r="X22" s="14" t="str"/>
      <x:c r="Y22" s="14" t="str"/>
      <x:c r="Z22" s="14" t="str"/>
      <x:c r="AA22" s="14" t="str">
        <x:v>yes</x:v>
      </x:c>
    </x:row>
    <x:row r="23">
      <x:c r="A23" s="1" t="str">
        <x:v>U0040</x:v>
      </x:c>
      <x:c r="B23" s="1" t="str">
        <x:v>cmm0bebet000404jvmcxyqo4x</x:v>
      </x:c>
      <x:c r="C23" s="1" t="str">
        <x:v>skeleton-args-ca2016009836-d5eefd60a70a11d6</x:v>
      </x:c>
      <x:c r="D23" s="1" t="str">
        <x:v>synthetic</x:v>
      </x:c>
      <x:c r="E23" s="14" t="str">
        <x:v>Beacon Manufacturing Ltd v Alliance Insurance Plc</x:v>
      </x:c>
      <x:c r="F23" s="14" t="str">
        <x:v>case:2016 uksc 45</x:v>
      </x:c>
      <x:c r="G23" s="14" t="str">
        <x:v>Versloot Dredging BV v HDI Gerling Industrie Versicherung AG</x:v>
      </x:c>
      <x:c r="H23" s="14" t="str">
        <x:v>[2016] UKSC 45</x:v>
      </x:c>
      <x:c r="I23" s="14" t="str">
        <x:v>426ca317-9dae-45bd-99cb-deb7de4b7766</x:v>
      </x:c>
      <x:c r="J23" s="14" t="n">
        <x:v>4</x:v>
      </x:c>
      <x:c r="K23" s="14" t="str">
        <x:v>factualFindings.contestedFacts[1].sourceCases[0] | issuesForDetermination.issueMatrix[1].sourceCases[0] | legalFramework.statutoryProvisions[1].sourceCases[0] | reasoningStructure[1].sourceCases[0]</x:v>
      </x:c>
      <x:c r="L23" s="14" t="str">
        <x:v>cmm0b91t5000e04ibf7gf6ujr</x:v>
      </x:c>
      <x:c r="M23" s="14" t="str">
        <x:v>confirmed_within_10m</x:v>
      </x:c>
      <x:c r="N23" s="14" t="n">
        <x:v>245.808</x:v>
      </x:c>
      <x:c r="O23" s="14" t="str">
        <x:v>yes</x:v>
      </x:c>
      <x:c r="P23" s="14" t="str">
        <x:v>yes</x:v>
      </x:c>
      <x:c r="Q23" s="14" t="str">
        <x:v>exact_case_id</x:v>
      </x:c>
      <x:c r="R23" s="14" t="str">
        <x:v>definitive</x:v>
      </x:c>
      <x:c r="S23" s="14" t="n">
        <x:v>5</x:v>
      </x:c>
      <x:c r="T23" s="14" t="str">
        <x:v>426ca317-9dae-45bd-99cb-deb7de4b7766</x:v>
      </x:c>
      <x:c r="U23" s="14" t="str">
        <x:v>Versloot Dredging BV &amp; Anor v HDI Gerling Industrie Versicherung AG &amp; Ors</x:v>
      </x:c>
      <x:c r="V23" s="15" t="n">
        <x:v>0.67543715</x:v>
      </x:c>
      <x:c r="W23" s="14" t="str">
        <x:v>no</x:v>
      </x:c>
      <x:c r="X23" s="14" t="str"/>
      <x:c r="Y23" s="14" t="str"/>
      <x:c r="Z23" s="14" t="str"/>
      <x:c r="AA23" s="14" t="str">
        <x:v>yes</x:v>
      </x:c>
    </x:row>
    <x:row r="24">
      <x:c r="A24" s="1" t="str">
        <x:v>U0044</x:v>
      </x:c>
      <x:c r="B24" s="1" t="str">
        <x:v>cmm0ckscr000t04i312fc6edg</x:v>
      </x:c>
      <x:c r="C24" s="1" t="str">
        <x:v>skeleton-args-ca2018006090-aa90566cb5f6b5de</x:v>
      </x:c>
      <x:c r="D24" s="1" t="str">
        <x:v>synthetic</x:v>
      </x:c>
      <x:c r="E24" s="14" t="str">
        <x:v>Blackwood v Blackwood</x:v>
      </x:c>
      <x:c r="F24" s="14" t="str">
        <x:v>case:2011 ukpc 13</x:v>
      </x:c>
      <x:c r="G24" s="14" t="str">
        <x:v>Spread Trustee Co Ltd v Hutcheson [2011] UKPC 13</x:v>
      </x:c>
      <x:c r="H24" s="14" t="str">
        <x:v>Spread Trustee Co Ltd v Hutcheson [2011] UKPC 13</x:v>
      </x:c>
      <x:c r="I24" s="14" t="str"/>
      <x:c r="J24" s="14" t="n">
        <x:v>1</x:v>
      </x:c>
      <x:c r="K24" s="14" t="str">
        <x:v>legalFramework.precedentCitations[1]</x:v>
      </x:c>
      <x:c r="L24" s="14" t="str">
        <x:v>cmm0chr9w000n04i37bx1uiqp</x:v>
      </x:c>
      <x:c r="M24" s="14" t="str">
        <x:v>confirmed_within_10m</x:v>
      </x:c>
      <x:c r="N24" s="14" t="n">
        <x:v>141.449</x:v>
      </x:c>
      <x:c r="O24" s="14" t="str">
        <x:v>yes</x:v>
      </x:c>
      <x:c r="P24" s="14" t="str">
        <x:v>no</x:v>
      </x:c>
      <x:c r="Q24" s="14" t="str">
        <x:v>none</x:v>
      </x:c>
      <x:c r="R24" s="14" t="str">
        <x:v>none</x:v>
      </x:c>
      <x:c r="S24" s="14" t="str"/>
      <x:c r="T24" s="14" t="str"/>
      <x:c r="U24" s="14" t="str"/>
      <x:c r="V24" s="15" t="str"/>
      <x:c r="W24" s="14" t="str">
        <x:v>yes</x:v>
      </x:c>
      <x:c r="X24" s="14" t="str">
        <x:v>Spread Trustee Co Ltd v Hutcheson</x:v>
      </x:c>
      <x:c r="Y24" s="14" t="n">
        <x:v>10</x:v>
      </x:c>
      <x:c r="Z24" s="14" t="str">
        <x:v>Barnsley &amp; Ors v Noble (Rev1) [2016] EWCA Civ 799 (Court of Appeal, Civil Division)</x:v>
      </x:c>
      <x:c r="AA24" s="14" t="str">
        <x:v>no</x:v>
      </x:c>
    </x:row>
    <x:row r="25">
      <x:c r="A25" s="1" t="str">
        <x:v>U0045</x:v>
      </x:c>
      <x:c r="B25" s="1" t="str">
        <x:v>cmm0ckscr000t04i312fc6edg</x:v>
      </x:c>
      <x:c r="C25" s="1" t="str">
        <x:v>skeleton-args-ca2018006090-aa90566cb5f6b5de</x:v>
      </x:c>
      <x:c r="D25" s="1" t="str">
        <x:v>synthetic</x:v>
      </x:c>
      <x:c r="E25" s="14" t="str">
        <x:v>Blackwood v Blackwood</x:v>
      </x:c>
      <x:c r="F25" s="14" t="str">
        <x:v>case:2014 ewca civ 183</x:v>
      </x:c>
      <x:c r="G25" s="14" t="str">
        <x:v>Santander UK Plc v R.A. Legal Solicitors</x:v>
      </x:c>
      <x:c r="H25" s="14" t="str">
        <x:v>[2014] EWCA Civ 183</x:v>
      </x:c>
      <x:c r="I25" s="14" t="str">
        <x:v>af98350e-e553-4a58-8a45-9d7b2067b530</x:v>
      </x:c>
      <x:c r="J25" s="14" t="n">
        <x:v>1</x:v>
      </x:c>
      <x:c r="K25" s="14" t="str">
        <x:v>reasoningStructure[2].sourceCases[0]</x:v>
      </x:c>
      <x:c r="L25" s="14" t="str">
        <x:v>cmm0chr9w000n04i37bx1uiqp</x:v>
      </x:c>
      <x:c r="M25" s="14" t="str">
        <x:v>confirmed_within_10m</x:v>
      </x:c>
      <x:c r="N25" s="14" t="n">
        <x:v>141.449</x:v>
      </x:c>
      <x:c r="O25" s="14" t="str">
        <x:v>yes</x:v>
      </x:c>
      <x:c r="P25" s="14" t="str">
        <x:v>yes</x:v>
      </x:c>
      <x:c r="Q25" s="14" t="str">
        <x:v>exact_case_id</x:v>
      </x:c>
      <x:c r="R25" s="14" t="str">
        <x:v>definitive</x:v>
      </x:c>
      <x:c r="S25" s="14" t="n">
        <x:v>3</x:v>
      </x:c>
      <x:c r="T25" s="14" t="str">
        <x:v>af98350e-e553-4a58-8a45-9d7b2067b530</x:v>
      </x:c>
      <x:c r="U25" s="14" t="str">
        <x:v>Santander UK Plc v R.A. Legal Solicitors [2014] EWCA Civ 183</x:v>
      </x:c>
      <x:c r="V25" s="15" t="n">
        <x:v>0.6768787</x:v>
      </x:c>
      <x:c r="W25" s="14" t="str">
        <x:v>no</x:v>
      </x:c>
      <x:c r="X25" s="14" t="str"/>
      <x:c r="Y25" s="14" t="str"/>
      <x:c r="Z25" s="14" t="str"/>
      <x:c r="AA25" s="14" t="str">
        <x:v>yes</x:v>
      </x:c>
    </x:row>
    <x:row r="26">
      <x:c r="A26" s="1" t="str">
        <x:v>U0046</x:v>
      </x:c>
      <x:c r="B26" s="1" t="str">
        <x:v>cmm0ckscr000t04i312fc6edg</x:v>
      </x:c>
      <x:c r="C26" s="1" t="str">
        <x:v>skeleton-args-ca2018006090-aa90566cb5f6b5de</x:v>
      </x:c>
      <x:c r="D26" s="1" t="str">
        <x:v>synthetic</x:v>
      </x:c>
      <x:c r="E26" s="14" t="str">
        <x:v>Blackwood v Blackwood</x:v>
      </x:c>
      <x:c r="F26" s="14" t="str">
        <x:v>case:2016 ewca civ 1004</x:v>
      </x:c>
      <x:c r="G26" s="14" t="str">
        <x:v>Creggy v Barnett &amp; Anor</x:v>
      </x:c>
      <x:c r="H26" s="14" t="str">
        <x:v>[2016] EWCA Civ 1004</x:v>
      </x:c>
      <x:c r="I26" s="14" t="str">
        <x:v>4f894b7c-50f6-46f4-b08a-7d5f549411bb</x:v>
      </x:c>
      <x:c r="J26" s="14" t="n">
        <x:v>5</x:v>
      </x:c>
      <x:c r="K26" s="14" t="str">
        <x:v>factualFindings.chronology[1].sourceCases[0] | factualFindings.contestedFacts[0].sourceCases[0] | issuesForDetermination.issueMatrix[0].sourceCases[0] | legalFramework.statutoryProvisions[0].sourceCases[0] | reasoningStructure[0].sourceCases[0]</x:v>
      </x:c>
      <x:c r="L26" s="14" t="str">
        <x:v>cmm0chr9w000n04i37bx1uiqp</x:v>
      </x:c>
      <x:c r="M26" s="14" t="str">
        <x:v>confirmed_within_10m</x:v>
      </x:c>
      <x:c r="N26" s="14" t="n">
        <x:v>141.449</x:v>
      </x:c>
      <x:c r="O26" s="14" t="str">
        <x:v>yes</x:v>
      </x:c>
      <x:c r="P26" s="14" t="str">
        <x:v>yes</x:v>
      </x:c>
      <x:c r="Q26" s="14" t="str">
        <x:v>exact_case_id</x:v>
      </x:c>
      <x:c r="R26" s="14" t="str">
        <x:v>definitive</x:v>
      </x:c>
      <x:c r="S26" s="14" t="n">
        <x:v>1</x:v>
      </x:c>
      <x:c r="T26" s="14" t="str">
        <x:v>4f894b7c-50f6-46f4-b08a-7d5f549411bb</x:v>
      </x:c>
      <x:c r="U26" s="14" t="str">
        <x:v>Creggy v Barnett &amp; Anor [2016] EWCA Civ 1004 (Court of Appeal (Civil Division))</x:v>
      </x:c>
      <x:c r="V26" s="15" t="n">
        <x:v>0.6911485</x:v>
      </x:c>
      <x:c r="W26" s="14" t="str">
        <x:v>no</x:v>
      </x:c>
      <x:c r="X26" s="14" t="str"/>
      <x:c r="Y26" s="14" t="str"/>
      <x:c r="Z26" s="14" t="str"/>
      <x:c r="AA26" s="14" t="str">
        <x:v>yes</x:v>
      </x:c>
    </x:row>
    <x:row r="27">
      <x:c r="A27" s="1" t="str">
        <x:v>U0047</x:v>
      </x:c>
      <x:c r="B27" s="1" t="str">
        <x:v>cmm0ckscr000t04i312fc6edg</x:v>
      </x:c>
      <x:c r="C27" s="1" t="str">
        <x:v>skeleton-args-ca2018006090-aa90566cb5f6b5de</x:v>
      </x:c>
      <x:c r="D27" s="1" t="str">
        <x:v>synthetic</x:v>
      </x:c>
      <x:c r="E27" s="14" t="str">
        <x:v>Blackwood v Blackwood</x:v>
      </x:c>
      <x:c r="F27" s="14" t="str">
        <x:v>case:armitage v nurse 1998 ch 241</x:v>
      </x:c>
      <x:c r="G27" s="14" t="str">
        <x:v>Armitage v Nurse [1998] Ch 241</x:v>
      </x:c>
      <x:c r="H27" s="14" t="str">
        <x:v>Armitage v Nurse [1998] Ch 241</x:v>
      </x:c>
      <x:c r="I27" s="14" t="str"/>
      <x:c r="J27" s="14" t="n">
        <x:v>1</x:v>
      </x:c>
      <x:c r="K27" s="14" t="str">
        <x:v>legalFramework.precedentCitations[0]</x:v>
      </x:c>
      <x:c r="L27" s="14" t="str">
        <x:v>cmm0chr9w000n04i37bx1uiqp</x:v>
      </x:c>
      <x:c r="M27" s="14" t="str">
        <x:v>confirmed_within_10m</x:v>
      </x:c>
      <x:c r="N27" s="14" t="n">
        <x:v>141.449</x:v>
      </x:c>
      <x:c r="O27" s="14" t="str">
        <x:v>yes</x:v>
      </x:c>
      <x:c r="P27" s="14" t="str">
        <x:v>no</x:v>
      </x:c>
      <x:c r="Q27" s="14" t="str">
        <x:v>none</x:v>
      </x:c>
      <x:c r="R27" s="14" t="str">
        <x:v>none</x:v>
      </x:c>
      <x:c r="S27" s="14" t="str"/>
      <x:c r="T27" s="14" t="str"/>
      <x:c r="U27" s="14" t="str"/>
      <x:c r="V27" s="15" t="str"/>
      <x:c r="W27" s="14" t="str">
        <x:v>yes</x:v>
      </x:c>
      <x:c r="X27" s="14" t="str">
        <x:v>Armitage v Nurse</x:v>
      </x:c>
      <x:c r="Y27" s="14" t="n">
        <x:v>10</x:v>
      </x:c>
      <x:c r="Z27" s="14" t="str">
        <x:v>Barnsley &amp; Ors v Noble (Rev1) [2016] EWCA Civ 799 (Court of Appeal, Civil Division)</x:v>
      </x:c>
      <x:c r="AA27" s="14" t="str">
        <x:v>no</x:v>
      </x:c>
    </x:row>
    <x:row r="28">
      <x:c r="A28" s="1" t="str">
        <x:v>U0053</x:v>
      </x:c>
      <x:c r="B28" s="1" t="str">
        <x:v>cmm0ct5sl001504i3x6g18pvd</x:v>
      </x:c>
      <x:c r="C28" s="1" t="str">
        <x:v>skeleton-args-ca2018006090-aa90566cb5f6b5de</x:v>
      </x:c>
      <x:c r="D28" s="1" t="str">
        <x:v>synthetic</x:v>
      </x:c>
      <x:c r="E28" s="14" t="str">
        <x:v>Blackwood v Blackwood</x:v>
      </x:c>
      <x:c r="F28" s="14" t="str">
        <x:v>case:2011 ukpc 13</x:v>
      </x:c>
      <x:c r="G28" s="14" t="str">
        <x:v>Spread Trustee Co Ltd v Hutcheson [2011] UKPC 13</x:v>
      </x:c>
      <x:c r="H28" s="14" t="str">
        <x:v>Spread Trustee Co Ltd v Hutcheson [2011] UKPC 13</x:v>
      </x:c>
      <x:c r="I28" s="14" t="str"/>
      <x:c r="J28" s="14" t="n">
        <x:v>1</x:v>
      </x:c>
      <x:c r="K28" s="14" t="str">
        <x:v>legalFramework.precedentCitations[1]</x:v>
      </x:c>
      <x:c r="L28" s="14" t="str">
        <x:v>cmm0cqleo000z04i321gtuvf1</x:v>
      </x:c>
      <x:c r="M28" s="14" t="str">
        <x:v>confirmed_within_10m</x:v>
      </x:c>
      <x:c r="N28" s="14" t="n">
        <x:v>119.815</x:v>
      </x:c>
      <x:c r="O28" s="14" t="str">
        <x:v>yes</x:v>
      </x:c>
      <x:c r="P28" s="14" t="str">
        <x:v>no</x:v>
      </x:c>
      <x:c r="Q28" s="14" t="str">
        <x:v>none</x:v>
      </x:c>
      <x:c r="R28" s="14" t="str">
        <x:v>none</x:v>
      </x:c>
      <x:c r="S28" s="14" t="str"/>
      <x:c r="T28" s="14" t="str"/>
      <x:c r="U28" s="14" t="str"/>
      <x:c r="V28" s="15" t="str"/>
      <x:c r="W28" s="14" t="str">
        <x:v>no</x:v>
      </x:c>
      <x:c r="X28" s="14" t="str"/>
      <x:c r="Y28" s="14" t="str"/>
      <x:c r="Z28" s="14" t="str"/>
      <x:c r="AA28" s="14" t="str">
        <x:v>no</x:v>
      </x:c>
    </x:row>
    <x:row r="29">
      <x:c r="A29" s="1" t="str">
        <x:v>U0054</x:v>
      </x:c>
      <x:c r="B29" s="1" t="str">
        <x:v>cmm0ct5sl001504i3x6g18pvd</x:v>
      </x:c>
      <x:c r="C29" s="1" t="str">
        <x:v>skeleton-args-ca2018006090-aa90566cb5f6b5de</x:v>
      </x:c>
      <x:c r="D29" s="1" t="str">
        <x:v>synthetic</x:v>
      </x:c>
      <x:c r="E29" s="14" t="str">
        <x:v>Blackwood v Blackwood</x:v>
      </x:c>
      <x:c r="F29" s="14" t="str">
        <x:v>case:2016 ewca civ 1004</x:v>
      </x:c>
      <x:c r="G29" s="14" t="str">
        <x:v>Creggy v Barnett &amp; Anor</x:v>
      </x:c>
      <x:c r="H29" s="14" t="str">
        <x:v>[2016] EWCA Civ 1004</x:v>
      </x:c>
      <x:c r="I29" s="14" t="str">
        <x:v>4f894b7c-50f6-46f4-b08a-7d5f549411bb</x:v>
      </x:c>
      <x:c r="J29" s="14" t="n">
        <x:v>4</x:v>
      </x:c>
      <x:c r="K29" s="14" t="str">
        <x:v>factualFindings.chronology[1].sourceCases[0] | factualFindings.contestedFacts[0].sourceCases[0] | issuesForDetermination.issueMatrix[0].sourceCases[0] | reasoningStructure[0].sourceCases[0]</x:v>
      </x:c>
      <x:c r="L29" s="14" t="str">
        <x:v>cmm0cqleo000z04i321gtuvf1</x:v>
      </x:c>
      <x:c r="M29" s="14" t="str">
        <x:v>confirmed_within_10m</x:v>
      </x:c>
      <x:c r="N29" s="14" t="n">
        <x:v>119.815</x:v>
      </x:c>
      <x:c r="O29" s="14" t="str">
        <x:v>yes</x:v>
      </x:c>
      <x:c r="P29" s="14" t="str">
        <x:v>yes</x:v>
      </x:c>
      <x:c r="Q29" s="14" t="str">
        <x:v>exact_case_id</x:v>
      </x:c>
      <x:c r="R29" s="14" t="str">
        <x:v>definitive</x:v>
      </x:c>
      <x:c r="S29" s="14" t="n">
        <x:v>1</x:v>
      </x:c>
      <x:c r="T29" s="14" t="str">
        <x:v>4f894b7c-50f6-46f4-b08a-7d5f549411bb</x:v>
      </x:c>
      <x:c r="U29" s="14" t="str">
        <x:v>Creggy v Barnett &amp; Anor [2016] EWCA Civ 1004 (Court of Appeal (Civil Division))</x:v>
      </x:c>
      <x:c r="V29" s="15" t="n">
        <x:v>0.6911303</x:v>
      </x:c>
      <x:c r="W29" s="14" t="str">
        <x:v>no</x:v>
      </x:c>
      <x:c r="X29" s="14" t="str"/>
      <x:c r="Y29" s="14" t="str"/>
      <x:c r="Z29" s="14" t="str"/>
      <x:c r="AA29" s="14" t="str">
        <x:v>yes</x:v>
      </x:c>
    </x:row>
    <x:row r="30">
      <x:c r="A30" s="1" t="str">
        <x:v>U0055</x:v>
      </x:c>
      <x:c r="B30" s="1" t="str">
        <x:v>cmm0ct5sl001504i3x6g18pvd</x:v>
      </x:c>
      <x:c r="C30" s="1" t="str">
        <x:v>skeleton-args-ca2018006090-aa90566cb5f6b5de</x:v>
      </x:c>
      <x:c r="D30" s="1" t="str">
        <x:v>synthetic</x:v>
      </x:c>
      <x:c r="E30" s="14" t="str">
        <x:v>Blackwood v Blackwood</x:v>
      </x:c>
      <x:c r="F30" s="14" t="str">
        <x:v>case:2023 ewca civ 440</x:v>
      </x:c>
      <x:c r="G30" s="14" t="str">
        <x:v>Floreat Investment Management Ltd v Churchill &amp; Ors</x:v>
      </x:c>
      <x:c r="H30" s="14" t="str">
        <x:v>[2023] EWCA Civ 440</x:v>
      </x:c>
      <x:c r="I30" s="14" t="str">
        <x:v>cfb9db03-44c0-4604-926a-a76e01575d88</x:v>
      </x:c>
      <x:c r="J30" s="14" t="n">
        <x:v>3</x:v>
      </x:c>
      <x:c r="K30" s="14" t="str">
        <x:v>factualFindings.contestedFacts[1].sourceCases[0] | issuesForDetermination.issueMatrix[1].sourceCases[0] | reasoningStructure[1].sourceCases[0]</x:v>
      </x:c>
      <x:c r="L30" s="14" t="str">
        <x:v>cmm0cqleo000z04i321gtuvf1</x:v>
      </x:c>
      <x:c r="M30" s="14" t="str">
        <x:v>confirmed_within_10m</x:v>
      </x:c>
      <x:c r="N30" s="14" t="n">
        <x:v>119.815</x:v>
      </x:c>
      <x:c r="O30" s="14" t="str">
        <x:v>yes</x:v>
      </x:c>
      <x:c r="P30" s="14" t="str">
        <x:v>yes</x:v>
      </x:c>
      <x:c r="Q30" s="14" t="str">
        <x:v>exact_case_id</x:v>
      </x:c>
      <x:c r="R30" s="14" t="str">
        <x:v>definitive</x:v>
      </x:c>
      <x:c r="S30" s="14" t="n">
        <x:v>9</x:v>
      </x:c>
      <x:c r="T30" s="14" t="str">
        <x:v>cfb9db03-44c0-4604-926a-a76e01575d88</x:v>
      </x:c>
      <x:c r="U30" s="14" t="str">
        <x:v>Floreat Investment Management Ltd v Churchill &amp; Ors [2023] EWCA Civ 440</x:v>
      </x:c>
      <x:c r="V30" s="15" t="n">
        <x:v>0.672137</x:v>
      </x:c>
      <x:c r="W30" s="14" t="str">
        <x:v>no</x:v>
      </x:c>
      <x:c r="X30" s="14" t="str"/>
      <x:c r="Y30" s="14" t="str"/>
      <x:c r="Z30" s="14" t="str"/>
      <x:c r="AA30" s="14" t="str">
        <x:v>yes</x:v>
      </x:c>
    </x:row>
    <x:row r="31">
      <x:c r="A31" s="1" t="str">
        <x:v>U0056</x:v>
      </x:c>
      <x:c r="B31" s="1" t="str">
        <x:v>cmm0ct5sl001504i3x6g18pvd</x:v>
      </x:c>
      <x:c r="C31" s="1" t="str">
        <x:v>skeleton-args-ca2018006090-aa90566cb5f6b5de</x:v>
      </x:c>
      <x:c r="D31" s="1" t="str">
        <x:v>synthetic</x:v>
      </x:c>
      <x:c r="E31" s="14" t="str">
        <x:v>Blackwood v Blackwood</x:v>
      </x:c>
      <x:c r="F31" s="14" t="str">
        <x:v>case:armitage v nurse 1998 ch 241</x:v>
      </x:c>
      <x:c r="G31" s="14" t="str">
        <x:v>Armitage v Nurse [1998] Ch 241</x:v>
      </x:c>
      <x:c r="H31" s="14" t="str">
        <x:v>Armitage v Nurse [1998] Ch 241</x:v>
      </x:c>
      <x:c r="I31" s="14" t="str"/>
      <x:c r="J31" s="14" t="n">
        <x:v>1</x:v>
      </x:c>
      <x:c r="K31" s="14" t="str">
        <x:v>legalFramework.precedentCitations[0]</x:v>
      </x:c>
      <x:c r="L31" s="14" t="str">
        <x:v>cmm0cqleo000z04i321gtuvf1</x:v>
      </x:c>
      <x:c r="M31" s="14" t="str">
        <x:v>confirmed_within_10m</x:v>
      </x:c>
      <x:c r="N31" s="14" t="n">
        <x:v>119.815</x:v>
      </x:c>
      <x:c r="O31" s="14" t="str">
        <x:v>yes</x:v>
      </x:c>
      <x:c r="P31" s="14" t="str">
        <x:v>no</x:v>
      </x:c>
      <x:c r="Q31" s="14" t="str">
        <x:v>none</x:v>
      </x:c>
      <x:c r="R31" s="14" t="str">
        <x:v>none</x:v>
      </x:c>
      <x:c r="S31" s="14" t="str"/>
      <x:c r="T31" s="14" t="str"/>
      <x:c r="U31" s="14" t="str"/>
      <x:c r="V31" s="15" t="str"/>
      <x:c r="W31" s="14" t="str">
        <x:v>no</x:v>
      </x:c>
      <x:c r="X31" s="14" t="str"/>
      <x:c r="Y31" s="14" t="str"/>
      <x:c r="Z31" s="14" t="str"/>
      <x:c r="AA31" s="14" t="str">
        <x:v>no</x:v>
      </x:c>
    </x:row>
    <x:row r="32">
      <x:c r="A32" s="1" t="str">
        <x:v>U0060</x:v>
      </x:c>
      <x:c r="B32" s="1" t="str">
        <x:v>cmm0k3nj8000h04l412ruhfxj</x:v>
      </x:c>
      <x:c r="C32" s="1" t="str">
        <x:v>skeleton-args-ca2024001234-346b2d683b5c2099</x:v>
      </x:c>
      <x:c r="D32" s="1" t="str">
        <x:v>synthetic</x:v>
      </x:c>
      <x:c r="E32" s="14" t="str">
        <x:v>Transport Action Network Limited v Secretary of State for Transport</x:v>
      </x:c>
      <x:c r="F32" s="14" t="str">
        <x:v>case:2002 ewca civ 605</x:v>
      </x:c>
      <x:c r="G32" s="14" t="str">
        <x:v>[2002] EWCA Civ 605</x:v>
      </x:c>
      <x:c r="H32" s="14" t="str">
        <x:v>[2002] EWCA Civ 605</x:v>
      </x:c>
      <x:c r="I32" s="14" t="str"/>
      <x:c r="J32" s="14" t="n">
        <x:v>1</x:v>
      </x:c>
      <x:c r="K32" s="14" t="str">
        <x:v>legalFramework.precedentCitations[0]</x:v>
      </x:c>
      <x:c r="L32" s="14" t="str">
        <x:v>cmm0k0854000b04l440eijrw0</x:v>
      </x:c>
      <x:c r="M32" s="14" t="str">
        <x:v>confirmed_within_10m</x:v>
      </x:c>
      <x:c r="N32" s="14" t="n">
        <x:v>160.001</x:v>
      </x:c>
      <x:c r="O32" s="14" t="str">
        <x:v>yes</x:v>
      </x:c>
      <x:c r="P32" s="14" t="str">
        <x:v>no</x:v>
      </x:c>
      <x:c r="Q32" s="14" t="str">
        <x:v>none</x:v>
      </x:c>
      <x:c r="R32" s="14" t="str">
        <x:v>none</x:v>
      </x:c>
      <x:c r="S32" s="14" t="str"/>
      <x:c r="T32" s="14" t="str"/>
      <x:c r="U32" s="14" t="str"/>
      <x:c r="V32" s="15" t="str"/>
      <x:c r="W32" s="14" t="str">
        <x:v>no</x:v>
      </x:c>
      <x:c r="X32" s="14" t="str"/>
      <x:c r="Y32" s="14" t="str"/>
      <x:c r="Z32" s="14" t="str"/>
      <x:c r="AA32" s="14" t="str">
        <x:v>no</x:v>
      </x:c>
    </x:row>
    <x:row r="33">
      <x:c r="A33" s="1" t="str">
        <x:v>U0061</x:v>
      </x:c>
      <x:c r="B33" s="1" t="str">
        <x:v>cmm0k3nj8000h04l412ruhfxj</x:v>
      </x:c>
      <x:c r="C33" s="1" t="str">
        <x:v>skeleton-args-ca2024001234-346b2d683b5c2099</x:v>
      </x:c>
      <x:c r="D33" s="1" t="str">
        <x:v>synthetic</x:v>
      </x:c>
      <x:c r="E33" s="14" t="str">
        <x:v>Transport Action Network Limited v Secretary of State for Transport</x:v>
      </x:c>
      <x:c r="F33" s="14" t="str">
        <x:v>case:2016 ewca civ 117</x:v>
      </x:c>
      <x:c r="G33" s="14" t="str">
        <x:v>Solar Century Holdings Ltd &amp; Ors v Secretary of State for Energy and Climate Change</x:v>
      </x:c>
      <x:c r="H33" s="14" t="str">
        <x:v>[2016] EWCA Civ 117</x:v>
      </x:c>
      <x:c r="I33" s="14" t="str">
        <x:v>774ce56b-3a21-4d9a-be0f-2e4cd8924a73</x:v>
      </x:c>
      <x:c r="J33" s="14" t="n">
        <x:v>1</x:v>
      </x:c>
      <x:c r="K33" s="14" t="str">
        <x:v>reasoningStructure[0].sourceCases[0]</x:v>
      </x:c>
      <x:c r="L33" s="14" t="str">
        <x:v>cmm0k0854000b04l440eijrw0</x:v>
      </x:c>
      <x:c r="M33" s="14" t="str">
        <x:v>confirmed_within_10m</x:v>
      </x:c>
      <x:c r="N33" s="14" t="n">
        <x:v>160.001</x:v>
      </x:c>
      <x:c r="O33" s="14" t="str">
        <x:v>yes</x:v>
      </x:c>
      <x:c r="P33" s="14" t="str">
        <x:v>yes</x:v>
      </x:c>
      <x:c r="Q33" s="14" t="str">
        <x:v>exact_case_id</x:v>
      </x:c>
      <x:c r="R33" s="14" t="str">
        <x:v>definitive</x:v>
      </x:c>
      <x:c r="S33" s="14" t="n">
        <x:v>3</x:v>
      </x:c>
      <x:c r="T33" s="14" t="str">
        <x:v>774ce56b-3a21-4d9a-be0f-2e4cd8924a73</x:v>
      </x:c>
      <x:c r="U33" s="14" t="str">
        <x:v>Solar Century Holdings Ltd &amp; Ors v Secretary of State for Energy and Climate Change [2016] EWCA Civ 117</x:v>
      </x:c>
      <x:c r="V33" s="15" t="n">
        <x:v>0.6880834</x:v>
      </x:c>
      <x:c r="W33" s="14" t="str">
        <x:v>no</x:v>
      </x:c>
      <x:c r="X33" s="14" t="str"/>
      <x:c r="Y33" s="14" t="str"/>
      <x:c r="Z33" s="14" t="str"/>
      <x:c r="AA33" s="14" t="str">
        <x:v>yes</x:v>
      </x:c>
    </x:row>
    <x:row r="34">
      <x:c r="A34" s="1" t="str">
        <x:v>U0062</x:v>
      </x:c>
      <x:c r="B34" s="1" t="str">
        <x:v>cmm0k3nj8000h04l412ruhfxj</x:v>
      </x:c>
      <x:c r="C34" s="1" t="str">
        <x:v>skeleton-args-ca2024001234-346b2d683b5c2099</x:v>
      </x:c>
      <x:c r="D34" s="1" t="str">
        <x:v>synthetic</x:v>
      </x:c>
      <x:c r="E34" s="14" t="str">
        <x:v>Transport Action Network Limited v Secretary of State for Transport</x:v>
      </x:c>
      <x:c r="F34" s="14" t="str">
        <x:v>case:2022 ewca civ 187</x:v>
      </x:c>
      <x:c r="G34" s="14" t="str">
        <x:v>Finch On Behalf of the Weald Action Group, R (On the Application Of) v Surrey County Council &amp; Ors</x:v>
      </x:c>
      <x:c r="H34" s="14" t="str">
        <x:v>[2022] EWCA Civ 187</x:v>
      </x:c>
      <x:c r="I34" s="14" t="str">
        <x:v>968e5c88-1f2c-4da8-9290-4111f416ec6e</x:v>
      </x:c>
      <x:c r="J34" s="14" t="n">
        <x:v>1</x:v>
      </x:c>
      <x:c r="K34" s="14" t="str">
        <x:v>factualFindings.contestedFacts[0].sourceCases[0]</x:v>
      </x:c>
      <x:c r="L34" s="14" t="str">
        <x:v>cmm0k0854000b04l440eijrw0</x:v>
      </x:c>
      <x:c r="M34" s="14" t="str">
        <x:v>confirmed_within_10m</x:v>
      </x:c>
      <x:c r="N34" s="14" t="n">
        <x:v>160.001</x:v>
      </x:c>
      <x:c r="O34" s="14" t="str">
        <x:v>yes</x:v>
      </x:c>
      <x:c r="P34" s="14" t="str">
        <x:v>yes</x:v>
      </x:c>
      <x:c r="Q34" s="14" t="str">
        <x:v>exact_case_id</x:v>
      </x:c>
      <x:c r="R34" s="14" t="str">
        <x:v>definitive</x:v>
      </x:c>
      <x:c r="S34" s="14" t="n">
        <x:v>1</x:v>
      </x:c>
      <x:c r="T34" s="14" t="str">
        <x:v>968e5c88-1f2c-4da8-9290-4111f416ec6e</x:v>
      </x:c>
      <x:c r="U34" s="14" t="str">
        <x:v>Finch On Behalf of the Weald Action Group, R (On the Application Of) v Surrey County Council &amp; Ors [2022] EWCA Civ 187</x:v>
      </x:c>
      <x:c r="V34" s="15" t="n">
        <x:v>0.72719336</x:v>
      </x:c>
      <x:c r="W34" s="14" t="str">
        <x:v>no</x:v>
      </x:c>
      <x:c r="X34" s="14" t="str"/>
      <x:c r="Y34" s="14" t="str"/>
      <x:c r="Z34" s="14" t="str"/>
      <x:c r="AA34" s="14" t="str">
        <x:v>yes</x:v>
      </x:c>
    </x:row>
    <x:row r="35">
      <x:c r="A35" s="1" t="str">
        <x:v>U0063</x:v>
      </x:c>
      <x:c r="B35" s="1" t="str">
        <x:v>cmm0k3nj8000h04l412ruhfxj</x:v>
      </x:c>
      <x:c r="C35" s="1" t="str">
        <x:v>skeleton-args-ca2024001234-346b2d683b5c2099</x:v>
      </x:c>
      <x:c r="D35" s="1" t="str">
        <x:v>synthetic</x:v>
      </x:c>
      <x:c r="E35" s="14" t="str">
        <x:v>Transport Action Network Limited v Secretary of State for Transport</x:v>
      </x:c>
      <x:c r="F35" s="14" t="str">
        <x:v>case:2023 ewca civ 14</x:v>
      </x:c>
      <x:c r="G35" s="14" t="str">
        <x:v>Friends of the Earth Limited v Secretary of State for International Trade/UK Export Finance (UKEF) &amp; Anor (Rev1)</x:v>
      </x:c>
      <x:c r="H35" s="14" t="str">
        <x:v>[2023] EWCA Civ 14</x:v>
      </x:c>
      <x:c r="I35" s="14" t="str">
        <x:v>d5d573a1-ee1c-4a42-99b1-728063f8ced3</x:v>
      </x:c>
      <x:c r="J35" s="14" t="n">
        <x:v>1</x:v>
      </x:c>
      <x:c r="K35" s="14" t="str">
        <x:v>issuesForDetermination.issueMatrix[0].sourceCases[0]</x:v>
      </x:c>
      <x:c r="L35" s="14" t="str">
        <x:v>cmm0k0854000b04l440eijrw0</x:v>
      </x:c>
      <x:c r="M35" s="14" t="str">
        <x:v>confirmed_within_10m</x:v>
      </x:c>
      <x:c r="N35" s="14" t="n">
        <x:v>160.001</x:v>
      </x:c>
      <x:c r="O35" s="14" t="str">
        <x:v>yes</x:v>
      </x:c>
      <x:c r="P35" s="14" t="str">
        <x:v>yes</x:v>
      </x:c>
      <x:c r="Q35" s="14" t="str">
        <x:v>exact_case_id</x:v>
      </x:c>
      <x:c r="R35" s="14" t="str">
        <x:v>definitive</x:v>
      </x:c>
      <x:c r="S35" s="14" t="n">
        <x:v>2</x:v>
      </x:c>
      <x:c r="T35" s="14" t="str">
        <x:v>d5d573a1-ee1c-4a42-99b1-728063f8ced3</x:v>
      </x:c>
      <x:c r="U35" s="14" t="str">
        <x:v>Friends of the Earth Limited v Secretary of State for International Trade/UK Export Finance (UKEF) &amp; Anor (Rev1) [2023] EWCA Civ 14</x:v>
      </x:c>
      <x:c r="V35" s="15" t="n">
        <x:v>0.69989425</x:v>
      </x:c>
      <x:c r="W35" s="14" t="str">
        <x:v>no</x:v>
      </x:c>
      <x:c r="X35" s="14" t="str"/>
      <x:c r="Y35" s="14" t="str"/>
      <x:c r="Z35" s="14" t="str"/>
      <x:c r="AA35" s="14" t="str">
        <x:v>yes</x:v>
      </x:c>
    </x:row>
    <x:row r="36">
      <x:c r="A36" s="1" t="str">
        <x:v>U0069</x:v>
      </x:c>
      <x:c r="B36" s="1" t="str">
        <x:v>cmm3b1g6j000j04jt8w2u9z6w</x:v>
      </x:c>
      <x:c r="C36" s="1" t="str">
        <x:v>skeleton-args-ca2025000412-e17d5e10793fe216</x:v>
      </x:c>
      <x:c r="D36" s="1" t="str">
        <x:v>synthetic</x:v>
      </x:c>
      <x:c r="E36" s="14" t="str">
        <x:v>R (Harrison) v Secretary of State for Justice</x:v>
      </x:c>
      <x:c r="F36" s="14" t="str">
        <x:v>case:2000 1 wlr 377</x:v>
      </x:c>
      <x:c r="G36" s="14" t="str">
        <x:v>Flannery v Halifax Estate Agencies Ltd [2000] 1 WLR 377</x:v>
      </x:c>
      <x:c r="H36" s="14" t="str">
        <x:v>Flannery v Halifax Estate Agencies Ltd [2000] 1 WLR 377</x:v>
      </x:c>
      <x:c r="I36" s="14" t="str"/>
      <x:c r="J36" s="14" t="n">
        <x:v>1</x:v>
      </x:c>
      <x:c r="K36" s="14" t="str">
        <x:v>legalFramework.precedentCitations[0]</x:v>
      </x:c>
      <x:c r="L36" s="14" t="str">
        <x:v>cmm3azb8t000d04jtx7he2awl</x:v>
      </x:c>
      <x:c r="M36" s="14" t="str">
        <x:v>confirmed_within_10m</x:v>
      </x:c>
      <x:c r="N36" s="14" t="n">
        <x:v>99.796</x:v>
      </x:c>
      <x:c r="O36" s="14" t="str">
        <x:v>yes</x:v>
      </x:c>
      <x:c r="P36" s="14" t="str">
        <x:v>no</x:v>
      </x:c>
      <x:c r="Q36" s="14" t="str">
        <x:v>none</x:v>
      </x:c>
      <x:c r="R36" s="14" t="str">
        <x:v>none</x:v>
      </x:c>
      <x:c r="S36" s="14" t="str"/>
      <x:c r="T36" s="14" t="str"/>
      <x:c r="U36" s="14" t="str"/>
      <x:c r="V36" s="15" t="str"/>
      <x:c r="W36" s="14" t="str">
        <x:v>no</x:v>
      </x:c>
      <x:c r="X36" s="14" t="str"/>
      <x:c r="Y36" s="14" t="str"/>
      <x:c r="Z36" s="14" t="str"/>
      <x:c r="AA36" s="14" t="str">
        <x:v>no</x:v>
      </x:c>
    </x:row>
    <x:row r="37">
      <x:c r="A37" s="1" t="str">
        <x:v>U0070</x:v>
      </x:c>
      <x:c r="B37" s="1" t="str">
        <x:v>cmm3b1g6j000j04jt8w2u9z6w</x:v>
      </x:c>
      <x:c r="C37" s="1" t="str">
        <x:v>skeleton-args-ca2025000412-e17d5e10793fe216</x:v>
      </x:c>
      <x:c r="D37" s="1" t="str">
        <x:v>synthetic</x:v>
      </x:c>
      <x:c r="E37" s="14" t="str">
        <x:v>R (Harrison) v Secretary of State for Justice</x:v>
      </x:c>
      <x:c r="F37" s="14" t="str">
        <x:v>case:2002 ewca civ 605</x:v>
      </x:c>
      <x:c r="G37" s="14" t="str">
        <x:v>English v Emery Reimbold &amp; Strick Ltd [2002] EWCA Civ 605</x:v>
      </x:c>
      <x:c r="H37" s="14" t="str">
        <x:v>English v Emery Reimbold &amp; Strick Ltd [2002] EWCA Civ 605</x:v>
      </x:c>
      <x:c r="I37" s="14" t="str"/>
      <x:c r="J37" s="14" t="n">
        <x:v>1</x:v>
      </x:c>
      <x:c r="K37" s="14" t="str">
        <x:v>legalFramework.precedentCitations[1]</x:v>
      </x:c>
      <x:c r="L37" s="14" t="str">
        <x:v>cmm3azb8t000d04jtx7he2awl</x:v>
      </x:c>
      <x:c r="M37" s="14" t="str">
        <x:v>confirmed_within_10m</x:v>
      </x:c>
      <x:c r="N37" s="14" t="n">
        <x:v>99.796</x:v>
      </x:c>
      <x:c r="O37" s="14" t="str">
        <x:v>yes</x:v>
      </x:c>
      <x:c r="P37" s="14" t="str">
        <x:v>no</x:v>
      </x:c>
      <x:c r="Q37" s="14" t="str">
        <x:v>none</x:v>
      </x:c>
      <x:c r="R37" s="14" t="str">
        <x:v>none</x:v>
      </x:c>
      <x:c r="S37" s="14" t="str"/>
      <x:c r="T37" s="14" t="str"/>
      <x:c r="U37" s="14" t="str"/>
      <x:c r="V37" s="15" t="str"/>
      <x:c r="W37" s="14" t="str">
        <x:v>no</x:v>
      </x:c>
      <x:c r="X37" s="14" t="str"/>
      <x:c r="Y37" s="14" t="str"/>
      <x:c r="Z37" s="14" t="str"/>
      <x:c r="AA37" s="14" t="str">
        <x:v>no</x:v>
      </x:c>
    </x:row>
    <x:row r="38">
      <x:c r="A38" s="1" t="str">
        <x:v>U0071</x:v>
      </x:c>
      <x:c r="B38" s="1" t="str">
        <x:v>cmm3b1g6j000j04jt8w2u9z6w</x:v>
      </x:c>
      <x:c r="C38" s="1" t="str">
        <x:v>skeleton-args-ca2025000412-e17d5e10793fe216</x:v>
      </x:c>
      <x:c r="D38" s="1" t="str">
        <x:v>synthetic</x:v>
      </x:c>
      <x:c r="E38" s="14" t="str">
        <x:v>R (Harrison) v Secretary of State for Justice</x:v>
      </x:c>
      <x:c r="F38" s="14" t="str">
        <x:v>case:2016 ewca civ 1033</x:v>
      </x:c>
      <x:c r="G38" s="14" t="str">
        <x:v>Brooks, R (on the application of) v The Independent Adjudicator &amp; Anor</x:v>
      </x:c>
      <x:c r="H38" s="14" t="str">
        <x:v>[2016] EWCA Civ 1033</x:v>
      </x:c>
      <x:c r="I38" s="14" t="str">
        <x:v>250a2de0-32f3-4ce2-8b1f-ee964131ee78</x:v>
      </x:c>
      <x:c r="J38" s="14" t="n">
        <x:v>1</x:v>
      </x:c>
      <x:c r="K38" s="14" t="str">
        <x:v>reasoningStructure[0].sourceCases[0]</x:v>
      </x:c>
      <x:c r="L38" s="14" t="str">
        <x:v>cmm3azb8t000d04jtx7he2awl</x:v>
      </x:c>
      <x:c r="M38" s="14" t="str">
        <x:v>confirmed_within_10m</x:v>
      </x:c>
      <x:c r="N38" s="14" t="n">
        <x:v>99.796</x:v>
      </x:c>
      <x:c r="O38" s="14" t="str">
        <x:v>yes</x:v>
      </x:c>
      <x:c r="P38" s="14" t="str">
        <x:v>yes</x:v>
      </x:c>
      <x:c r="Q38" s="14" t="str">
        <x:v>exact_case_id</x:v>
      </x:c>
      <x:c r="R38" s="14" t="str">
        <x:v>definitive</x:v>
      </x:c>
      <x:c r="S38" s="14" t="n">
        <x:v>3</x:v>
      </x:c>
      <x:c r="T38" s="14" t="str">
        <x:v>250a2de0-32f3-4ce2-8b1f-ee964131ee78</x:v>
      </x:c>
      <x:c r="U38" s="14" t="str">
        <x:v>Brooks, R (on the application of) v The Independent Adjudicator &amp; Anor [2016] EWCA Civ 1033</x:v>
      </x:c>
      <x:c r="V38" s="15" t="n">
        <x:v>0.6451936</x:v>
      </x:c>
      <x:c r="W38" s="14" t="str">
        <x:v>no</x:v>
      </x:c>
      <x:c r="X38" s="14" t="str"/>
      <x:c r="Y38" s="14" t="str"/>
      <x:c r="Z38" s="14" t="str"/>
      <x:c r="AA38" s="14" t="str">
        <x:v>yes</x:v>
      </x:c>
    </x:row>
    <x:row r="39">
      <x:c r="A39" s="1" t="str">
        <x:v>U0072</x:v>
      </x:c>
      <x:c r="B39" s="1" t="str">
        <x:v>cmm3b1g6j000j04jt8w2u9z6w</x:v>
      </x:c>
      <x:c r="C39" s="1" t="str">
        <x:v>skeleton-args-ca2025000412-e17d5e10793fe216</x:v>
      </x:c>
      <x:c r="D39" s="1" t="str">
        <x:v>synthetic</x:v>
      </x:c>
      <x:c r="E39" s="14" t="str">
        <x:v>R (Harrison) v Secretary of State for Justice</x:v>
      </x:c>
      <x:c r="F39" s="14" t="str">
        <x:v>case:2023 ewca civ 27</x:v>
      </x:c>
      <x:c r="G39" s="14" t="str">
        <x:v>Rowan, R (On the Application Of) v Governor of His Majesty's Prison Berwyn &amp; Anor</x:v>
      </x:c>
      <x:c r="H39" s="14" t="str">
        <x:v>[2023] EWCA Civ 27</x:v>
      </x:c>
      <x:c r="I39" s="14" t="str">
        <x:v>7614b7b3-9102-4127-baa4-ed60bb7a82ed</x:v>
      </x:c>
      <x:c r="J39" s="14" t="n">
        <x:v>1</x:v>
      </x:c>
      <x:c r="K39" s="14" t="str">
        <x:v>issuesForDetermination.issueMatrix[0].sourceCases[0]</x:v>
      </x:c>
      <x:c r="L39" s="14" t="str">
        <x:v>cmm3azb8t000d04jtx7he2awl</x:v>
      </x:c>
      <x:c r="M39" s="14" t="str">
        <x:v>confirmed_within_10m</x:v>
      </x:c>
      <x:c r="N39" s="14" t="n">
        <x:v>99.796</x:v>
      </x:c>
      <x:c r="O39" s="14" t="str">
        <x:v>yes</x:v>
      </x:c>
      <x:c r="P39" s="14" t="str">
        <x:v>yes</x:v>
      </x:c>
      <x:c r="Q39" s="14" t="str">
        <x:v>exact_case_id</x:v>
      </x:c>
      <x:c r="R39" s="14" t="str">
        <x:v>definitive</x:v>
      </x:c>
      <x:c r="S39" s="14" t="n">
        <x:v>2</x:v>
      </x:c>
      <x:c r="T39" s="14" t="str">
        <x:v>7614b7b3-9102-4127-baa4-ed60bb7a82ed</x:v>
      </x:c>
      <x:c r="U39" s="14" t="str">
        <x:v>Rowan, R (On the Application Of) v Governor of His Majesty's Prison Berwyn &amp; Anor [2023] EWCA Civ 27</x:v>
      </x:c>
      <x:c r="V39" s="15" t="n">
        <x:v>0.6526506</x:v>
      </x:c>
      <x:c r="W39" s="14" t="str">
        <x:v>no</x:v>
      </x:c>
      <x:c r="X39" s="14" t="str"/>
      <x:c r="Y39" s="14" t="str"/>
      <x:c r="Z39" s="14" t="str"/>
      <x:c r="AA39" s="14" t="str">
        <x:v>yes</x:v>
      </x:c>
    </x:row>
    <x:row r="40">
      <x:c r="A40" s="1" t="str">
        <x:v>U0073</x:v>
      </x:c>
      <x:c r="B40" s="1" t="str">
        <x:v>cmm3b1g6j000j04jt8w2u9z6w</x:v>
      </x:c>
      <x:c r="C40" s="1" t="str">
        <x:v>skeleton-args-ca2025000412-e17d5e10793fe216</x:v>
      </x:c>
      <x:c r="D40" s="1" t="str">
        <x:v>synthetic</x:v>
      </x:c>
      <x:c r="E40" s="14" t="str">
        <x:v>R (Harrison) v Secretary of State for Justice</x:v>
      </x:c>
      <x:c r="F40" s="14" t="str">
        <x:v>case:tigere r on the application of v secretary of state for business innovation and skills</x:v>
      </x:c>
      <x:c r="G40" s="14" t="str">
        <x:v>Tigere, R (On the Application Of) v Secretary of State for Business, Innovation And Skills</x:v>
      </x:c>
      <x:c r="H40" s="14" t="str">
        <x:v>N/A</x:v>
      </x:c>
      <x:c r="I40" s="14" t="str">
        <x:v>02409749-c305-4c56-ad34-3447c9c2371b</x:v>
      </x:c>
      <x:c r="J40" s="14" t="n">
        <x:v>1</x:v>
      </x:c>
      <x:c r="K40" s="14" t="str">
        <x:v>factualFindings.contestedFacts[0].sourceCases[0]</x:v>
      </x:c>
      <x:c r="L40" s="14" t="str">
        <x:v>cmm3azb8t000d04jtx7he2awl</x:v>
      </x:c>
      <x:c r="M40" s="14" t="str">
        <x:v>confirmed_within_10m</x:v>
      </x:c>
      <x:c r="N40" s="14" t="n">
        <x:v>99.796</x:v>
      </x:c>
      <x:c r="O40" s="14" t="str">
        <x:v>yes</x:v>
      </x:c>
      <x:c r="P40" s="14" t="str">
        <x:v>yes</x:v>
      </x:c>
      <x:c r="Q40" s="14" t="str">
        <x:v>exact_case_id</x:v>
      </x:c>
      <x:c r="R40" s="14" t="str">
        <x:v>definitive</x:v>
      </x:c>
      <x:c r="S40" s="14" t="n">
        <x:v>1</x:v>
      </x:c>
      <x:c r="T40" s="14" t="str">
        <x:v>02409749-c305-4c56-ad34-3447c9c2371b</x:v>
      </x:c>
      <x:c r="U40" s="14" t="str">
        <x:v>Tigere, R (On the Application Of) v Secretary of State for Business, Innovation And Skills</x:v>
      </x:c>
      <x:c r="V40" s="15" t="n">
        <x:v>0.66142374</x:v>
      </x:c>
      <x:c r="W40" s="14" t="str">
        <x:v>no</x:v>
      </x:c>
      <x:c r="X40" s="14" t="str"/>
      <x:c r="Y40" s="14" t="str"/>
      <x:c r="Z40" s="14" t="str"/>
      <x:c r="AA40" s="14" t="str">
        <x:v>yes</x:v>
      </x:c>
    </x:row>
    <x:row r="41">
      <x:c r="A41" s="1" t="str">
        <x:v>U0077</x:v>
      </x:c>
      <x:c r="B41" s="1" t="str">
        <x:v>cmm920v38000b04ib8ug7hazg</x:v>
      </x:c>
      <x:c r="C41" s="1" t="str">
        <x:v>skeleton-args-ca2018006090-aa90566cb5f6b5de</x:v>
      </x:c>
      <x:c r="D41" s="1" t="str">
        <x:v>synthetic</x:v>
      </x:c>
      <x:c r="E41" s="14" t="str">
        <x:v>Blackwood v Blackwood</x:v>
      </x:c>
      <x:c r="F41" s="14" t="str">
        <x:v>case:2011 ukpc 13</x:v>
      </x:c>
      <x:c r="G41" s="14" t="str">
        <x:v>Spread Trustee Co Ltd v Hutcheson [2011] UKPC 13</x:v>
      </x:c>
      <x:c r="H41" s="14" t="str">
        <x:v>Spread Trustee Co Ltd v Hutcheson [2011] UKPC 13</x:v>
      </x:c>
      <x:c r="I41" s="14" t="str"/>
      <x:c r="J41" s="14" t="n">
        <x:v>1</x:v>
      </x:c>
      <x:c r="K41" s="14" t="str">
        <x:v>legalFramework.precedentCitations[1]</x:v>
      </x:c>
      <x:c r="L41" s="14" t="str">
        <x:v>cmm0cqleo000z04i321gtuvf1</x:v>
      </x:c>
      <x:c r="M41" s="14" t="str">
        <x:v>ambiguous_gap_gt_10m</x:v>
      </x:c>
      <x:c r="N41" s="14" t="n">
        <x:v>526198.996</x:v>
      </x:c>
      <x:c r="O41" s="14" t="str">
        <x:v>no</x:v>
      </x:c>
      <x:c r="P41" s="14" t="str">
        <x:v>no</x:v>
      </x:c>
      <x:c r="Q41" s="14" t="str">
        <x:v>none</x:v>
      </x:c>
      <x:c r="R41" s="14" t="str">
        <x:v>none</x:v>
      </x:c>
      <x:c r="S41" s="14" t="str"/>
      <x:c r="T41" s="14" t="str"/>
      <x:c r="U41" s="14" t="str"/>
      <x:c r="V41" s="15" t="str"/>
      <x:c r="W41" s="14" t="str">
        <x:v>no</x:v>
      </x:c>
      <x:c r="X41" s="14" t="str"/>
      <x:c r="Y41" s="14" t="str"/>
      <x:c r="Z41" s="14" t="str"/>
      <x:c r="AA41" s="14" t="str">
        <x:v>excluded_ambiguous_link</x:v>
      </x:c>
    </x:row>
    <x:row r="42">
      <x:c r="A42" s="1" t="str">
        <x:v>U0078</x:v>
      </x:c>
      <x:c r="B42" s="1" t="str">
        <x:v>cmm920v38000b04ib8ug7hazg</x:v>
      </x:c>
      <x:c r="C42" s="1" t="str">
        <x:v>skeleton-args-ca2018006090-aa90566cb5f6b5de</x:v>
      </x:c>
      <x:c r="D42" s="1" t="str">
        <x:v>synthetic</x:v>
      </x:c>
      <x:c r="E42" s="14" t="str">
        <x:v>Blackwood v Blackwood</x:v>
      </x:c>
      <x:c r="F42" s="14" t="str">
        <x:v>case:armitage v nurse 1998 ch 241</x:v>
      </x:c>
      <x:c r="G42" s="14" t="str">
        <x:v>Armitage v Nurse [1998] Ch 241</x:v>
      </x:c>
      <x:c r="H42" s="14" t="str">
        <x:v>Armitage v Nurse [1998] Ch 241</x:v>
      </x:c>
      <x:c r="I42" s="14" t="str"/>
      <x:c r="J42" s="14" t="n">
        <x:v>1</x:v>
      </x:c>
      <x:c r="K42" s="14" t="str">
        <x:v>legalFramework.precedentCitations[0]</x:v>
      </x:c>
      <x:c r="L42" s="14" t="str">
        <x:v>cmm0cqleo000z04i321gtuvf1</x:v>
      </x:c>
      <x:c r="M42" s="14" t="str">
        <x:v>ambiguous_gap_gt_10m</x:v>
      </x:c>
      <x:c r="N42" s="14" t="n">
        <x:v>526198.996</x:v>
      </x:c>
      <x:c r="O42" s="14" t="str">
        <x:v>no</x:v>
      </x:c>
      <x:c r="P42" s="14" t="str">
        <x:v>no</x:v>
      </x:c>
      <x:c r="Q42" s="14" t="str">
        <x:v>none</x:v>
      </x:c>
      <x:c r="R42" s="14" t="str">
        <x:v>none</x:v>
      </x:c>
      <x:c r="S42" s="14" t="str"/>
      <x:c r="T42" s="14" t="str"/>
      <x:c r="U42" s="14" t="str"/>
      <x:c r="V42" s="15" t="str"/>
      <x:c r="W42" s="14" t="str">
        <x:v>no</x:v>
      </x:c>
      <x:c r="X42" s="14" t="str"/>
      <x:c r="Y42" s="14" t="str"/>
      <x:c r="Z42" s="14" t="str"/>
      <x:c r="AA42" s="14" t="str">
        <x:v>excluded_ambiguous_link</x:v>
      </x:c>
    </x:row>
    <x:row r="43">
      <x:c r="A43" s="1" t="str">
        <x:v>U0079</x:v>
      </x:c>
      <x:c r="B43" s="1" t="str">
        <x:v>cmm920v38000b04ib8ug7hazg</x:v>
      </x:c>
      <x:c r="C43" s="1" t="str">
        <x:v>skeleton-args-ca2018006090-aa90566cb5f6b5de</x:v>
      </x:c>
      <x:c r="D43" s="1" t="str">
        <x:v>synthetic</x:v>
      </x:c>
      <x:c r="E43" s="14" t="str">
        <x:v>Blackwood v Blackwood</x:v>
      </x:c>
      <x:c r="F43" s="14" t="str">
        <x:v>case:creggy v barnett &amp; anor</x:v>
      </x:c>
      <x:c r="G43" s="14" t="str">
        <x:v>Creggy v Barnett &amp; Anor</x:v>
      </x:c>
      <x:c r="H43" s="14" t="str"/>
      <x:c r="I43" s="14" t="str">
        <x:v>4f894b7c-50f6-46f4-b08a-7d5f549411bb</x:v>
      </x:c>
      <x:c r="J43" s="14" t="n">
        <x:v>3</x:v>
      </x:c>
      <x:c r="K43" s="14" t="str">
        <x:v>factualFindings.contestedFacts[0].sourceCases[0] | issuesForDetermination.issueMatrix[0].sourceCases[0] | reasoningStructure[0].sourceCases[0]</x:v>
      </x:c>
      <x:c r="L43" s="14" t="str">
        <x:v>cmm0cqleo000z04i321gtuvf1</x:v>
      </x:c>
      <x:c r="M43" s="14" t="str">
        <x:v>ambiguous_gap_gt_10m</x:v>
      </x:c>
      <x:c r="N43" s="14" t="n">
        <x:v>526198.996</x:v>
      </x:c>
      <x:c r="O43" s="14" t="str">
        <x:v>no</x:v>
      </x:c>
      <x:c r="P43" s="14" t="str">
        <x:v>yes</x:v>
      </x:c>
      <x:c r="Q43" s="14" t="str">
        <x:v>exact_case_id</x:v>
      </x:c>
      <x:c r="R43" s="14" t="str">
        <x:v>definitive</x:v>
      </x:c>
      <x:c r="S43" s="14" t="n">
        <x:v>1</x:v>
      </x:c>
      <x:c r="T43" s="14" t="str">
        <x:v>4f894b7c-50f6-46f4-b08a-7d5f549411bb</x:v>
      </x:c>
      <x:c r="U43" s="14" t="str">
        <x:v>Creggy v Barnett &amp; Anor [2016] EWCA Civ 1004 (Court of Appeal (Civil Division))</x:v>
      </x:c>
      <x:c r="V43" s="15" t="n">
        <x:v>0.6911303</x:v>
      </x:c>
      <x:c r="W43" s="14" t="str">
        <x:v>no</x:v>
      </x:c>
      <x:c r="X43" s="14" t="str"/>
      <x:c r="Y43" s="14" t="str"/>
      <x:c r="Z43" s="14" t="str"/>
      <x:c r="AA43" s="14" t="str">
        <x:v>excluded_ambiguous_link</x:v>
      </x:c>
    </x:row>
    <x:row r="44">
      <x:c r="A44" s="1" t="str">
        <x:v>U0080</x:v>
      </x:c>
      <x:c r="B44" s="1" t="str">
        <x:v>cmm920v38000b04ib8ug7hazg</x:v>
      </x:c>
      <x:c r="C44" s="1" t="str">
        <x:v>skeleton-args-ca2018006090-aa90566cb5f6b5de</x:v>
      </x:c>
      <x:c r="D44" s="1" t="str">
        <x:v>synthetic</x:v>
      </x:c>
      <x:c r="E44" s="14" t="str">
        <x:v>Blackwood v Blackwood</x:v>
      </x:c>
      <x:c r="F44" s="14" t="str">
        <x:v>case:floreat investment management ltd v churchill &amp; ors</x:v>
      </x:c>
      <x:c r="G44" s="14" t="str">
        <x:v>Floreat Investment Management Ltd v Churchill &amp; Ors</x:v>
      </x:c>
      <x:c r="H44" s="14" t="str"/>
      <x:c r="I44" s="14" t="str">
        <x:v>cfb9db03-44c0-4604-926a-a76e01575d88</x:v>
      </x:c>
      <x:c r="J44" s="14" t="n">
        <x:v>3</x:v>
      </x:c>
      <x:c r="K44" s="14" t="str">
        <x:v>factualFindings.contestedFacts[1].sourceCases[0] | issuesForDetermination.issueMatrix[1].sourceCases[0] | reasoningStructure[1].sourceCases[0]</x:v>
      </x:c>
      <x:c r="L44" s="14" t="str">
        <x:v>cmm0cqleo000z04i321gtuvf1</x:v>
      </x:c>
      <x:c r="M44" s="14" t="str">
        <x:v>ambiguous_gap_gt_10m</x:v>
      </x:c>
      <x:c r="N44" s="14" t="n">
        <x:v>526198.996</x:v>
      </x:c>
      <x:c r="O44" s="14" t="str">
        <x:v>no</x:v>
      </x:c>
      <x:c r="P44" s="14" t="str">
        <x:v>yes</x:v>
      </x:c>
      <x:c r="Q44" s="14" t="str">
        <x:v>exact_case_id</x:v>
      </x:c>
      <x:c r="R44" s="14" t="str">
        <x:v>definitive</x:v>
      </x:c>
      <x:c r="S44" s="14" t="n">
        <x:v>9</x:v>
      </x:c>
      <x:c r="T44" s="14" t="str">
        <x:v>cfb9db03-44c0-4604-926a-a76e01575d88</x:v>
      </x:c>
      <x:c r="U44" s="14" t="str">
        <x:v>Floreat Investment Management Ltd v Churchill &amp; Ors [2023] EWCA Civ 440</x:v>
      </x:c>
      <x:c r="V44" s="15" t="n">
        <x:v>0.672137</x:v>
      </x:c>
      <x:c r="W44" s="14" t="str">
        <x:v>no</x:v>
      </x:c>
      <x:c r="X44" s="14" t="str"/>
      <x:c r="Y44" s="14" t="str"/>
      <x:c r="Z44" s="14" t="str"/>
      <x:c r="AA44" s="14" t="str">
        <x:v>excluded_ambiguous_link</x:v>
      </x:c>
    </x:row>
    <x:row r="45">
      <x:c r="A45" s="1" t="str">
        <x:v>U0084</x:v>
      </x:c>
      <x:c r="B45" s="1" t="str">
        <x:v>cmm927sxp000304jp8fpwf2ew</x:v>
      </x:c>
      <x:c r="C45" s="1" t="str">
        <x:v>skeleton-args-ca2018006090-aa90566cb5f6b5de</x:v>
      </x:c>
      <x:c r="D45" s="1" t="str">
        <x:v>synthetic</x:v>
      </x:c>
      <x:c r="E45" s="14" t="str">
        <x:v>Blackwood v Blackwood</x:v>
      </x:c>
      <x:c r="F45" s="14" t="str">
        <x:v>case:2000 1 wlr 377</x:v>
      </x:c>
      <x:c r="G45" s="14" t="str">
        <x:v>Flannery v Halifax Estate Agencies Ltd [2000] 1 WLR 377</x:v>
      </x:c>
      <x:c r="H45" s="14" t="str">
        <x:v>Flannery v Halifax Estate Agencies Ltd [2000] 1 WLR 377</x:v>
      </x:c>
      <x:c r="I45" s="14" t="str"/>
      <x:c r="J45" s="14" t="n">
        <x:v>1</x:v>
      </x:c>
      <x:c r="K45" s="14" t="str">
        <x:v>legalFramework.precedentCitations[1]</x:v>
      </x:c>
      <x:c r="L45" s="14" t="str">
        <x:v>cmm0cqleo000z04i321gtuvf1</x:v>
      </x:c>
      <x:c r="M45" s="14" t="str">
        <x:v>ambiguous_gap_gt_10m</x:v>
      </x:c>
      <x:c r="N45" s="14" t="n">
        <x:v>526522.795</x:v>
      </x:c>
      <x:c r="O45" s="14" t="str">
        <x:v>no</x:v>
      </x:c>
      <x:c r="P45" s="14" t="str">
        <x:v>no</x:v>
      </x:c>
      <x:c r="Q45" s="14" t="str">
        <x:v>none</x:v>
      </x:c>
      <x:c r="R45" s="14" t="str">
        <x:v>none</x:v>
      </x:c>
      <x:c r="S45" s="14" t="str"/>
      <x:c r="T45" s="14" t="str"/>
      <x:c r="U45" s="14" t="str"/>
      <x:c r="V45" s="15" t="str"/>
      <x:c r="W45" s="14" t="str">
        <x:v>no</x:v>
      </x:c>
      <x:c r="X45" s="14" t="str"/>
      <x:c r="Y45" s="14" t="str"/>
      <x:c r="Z45" s="14" t="str"/>
      <x:c r="AA45" s="14" t="str">
        <x:v>excluded_ambiguous_link</x:v>
      </x:c>
    </x:row>
    <x:row r="46">
      <x:c r="A46" s="1" t="str">
        <x:v>U0085</x:v>
      </x:c>
      <x:c r="B46" s="1" t="str">
        <x:v>cmm927sxp000304jp8fpwf2ew</x:v>
      </x:c>
      <x:c r="C46" s="1" t="str">
        <x:v>skeleton-args-ca2018006090-aa90566cb5f6b5de</x:v>
      </x:c>
      <x:c r="D46" s="1" t="str">
        <x:v>synthetic</x:v>
      </x:c>
      <x:c r="E46" s="14" t="str">
        <x:v>Blackwood v Blackwood</x:v>
      </x:c>
      <x:c r="F46" s="14" t="str">
        <x:v>case:2016 ewca civ 1004</x:v>
      </x:c>
      <x:c r="G46" s="14" t="str">
        <x:v>Creggy v Barnett &amp; Anor</x:v>
      </x:c>
      <x:c r="H46" s="14" t="str">
        <x:v>[2016] EWCA Civ 1004</x:v>
      </x:c>
      <x:c r="I46" s="14" t="str">
        <x:v>4f894b7c-50f6-46f4-b08a-7d5f549411bb</x:v>
      </x:c>
      <x:c r="J46" s="14" t="n">
        <x:v>7</x:v>
      </x:c>
      <x:c r="K46" s="14" t="str">
        <x:v>factualFindings.chronology[1].sourceCases[0] | factualFindings.contestedFacts[0].sourceCases[0] | factualFindings.contestedFacts[1].sourceCases[0] | issuesForDetermination.issueMatrix[0].sourceCases[0] | issuesForDetermination.issueMatrix[1].sourceCases[0] | reasoningStructure[0].sourceCases[0] | reasoningStructure[1].sourceCases[0]</x:v>
      </x:c>
      <x:c r="L46" s="14" t="str">
        <x:v>cmm0cqleo000z04i321gtuvf1</x:v>
      </x:c>
      <x:c r="M46" s="14" t="str">
        <x:v>ambiguous_gap_gt_10m</x:v>
      </x:c>
      <x:c r="N46" s="14" t="n">
        <x:v>526522.795</x:v>
      </x:c>
      <x:c r="O46" s="14" t="str">
        <x:v>no</x:v>
      </x:c>
      <x:c r="P46" s="14" t="str">
        <x:v>yes</x:v>
      </x:c>
      <x:c r="Q46" s="14" t="str">
        <x:v>exact_case_id</x:v>
      </x:c>
      <x:c r="R46" s="14" t="str">
        <x:v>definitive</x:v>
      </x:c>
      <x:c r="S46" s="14" t="n">
        <x:v>1</x:v>
      </x:c>
      <x:c r="T46" s="14" t="str">
        <x:v>4f894b7c-50f6-46f4-b08a-7d5f549411bb</x:v>
      </x:c>
      <x:c r="U46" s="14" t="str">
        <x:v>Creggy v Barnett &amp; Anor [2016] EWCA Civ 1004 (Court of Appeal (Civil Division))</x:v>
      </x:c>
      <x:c r="V46" s="15" t="n">
        <x:v>0.6911303</x:v>
      </x:c>
      <x:c r="W46" s="14" t="str">
        <x:v>no</x:v>
      </x:c>
      <x:c r="X46" s="14" t="str"/>
      <x:c r="Y46" s="14" t="str"/>
      <x:c r="Z46" s="14" t="str"/>
      <x:c r="AA46" s="14" t="str">
        <x:v>excluded_ambiguous_link</x:v>
      </x:c>
    </x:row>
    <x:row r="47">
      <x:c r="A47" s="1" t="str">
        <x:v>U0086</x:v>
      </x:c>
      <x:c r="B47" s="1" t="str">
        <x:v>cmm927sxp000304jp8fpwf2ew</x:v>
      </x:c>
      <x:c r="C47" s="1" t="str">
        <x:v>skeleton-args-ca2018006090-aa90566cb5f6b5de</x:v>
      </x:c>
      <x:c r="D47" s="1" t="str">
        <x:v>synthetic</x:v>
      </x:c>
      <x:c r="E47" s="14" t="str">
        <x:v>Blackwood v Blackwood</x:v>
      </x:c>
      <x:c r="F47" s="14" t="str">
        <x:v>case:2023 ewca civ 440</x:v>
      </x:c>
      <x:c r="G47" s="14" t="str">
        <x:v>Floreat Investment Management Ltd v Churchill &amp; Ors</x:v>
      </x:c>
      <x:c r="H47" s="14" t="str">
        <x:v>[2023] EWCA Civ 440</x:v>
      </x:c>
      <x:c r="I47" s="14" t="str">
        <x:v>cfb9db03-44c0-4604-926a-a76e01575d88</x:v>
      </x:c>
      <x:c r="J47" s="14" t="n">
        <x:v>3</x:v>
      </x:c>
      <x:c r="K47" s="14" t="str">
        <x:v>factualFindings.contestedFacts[0].sourceCases[1] | issuesForDetermination.issueMatrix[0].sourceCases[1] | reasoningStructure[0].sourceCases[1]</x:v>
      </x:c>
      <x:c r="L47" s="14" t="str">
        <x:v>cmm0cqleo000z04i321gtuvf1</x:v>
      </x:c>
      <x:c r="M47" s="14" t="str">
        <x:v>ambiguous_gap_gt_10m</x:v>
      </x:c>
      <x:c r="N47" s="14" t="n">
        <x:v>526522.795</x:v>
      </x:c>
      <x:c r="O47" s="14" t="str">
        <x:v>no</x:v>
      </x:c>
      <x:c r="P47" s="14" t="str">
        <x:v>yes</x:v>
      </x:c>
      <x:c r="Q47" s="14" t="str">
        <x:v>exact_case_id</x:v>
      </x:c>
      <x:c r="R47" s="14" t="str">
        <x:v>definitive</x:v>
      </x:c>
      <x:c r="S47" s="14" t="n">
        <x:v>9</x:v>
      </x:c>
      <x:c r="T47" s="14" t="str">
        <x:v>cfb9db03-44c0-4604-926a-a76e01575d88</x:v>
      </x:c>
      <x:c r="U47" s="14" t="str">
        <x:v>Floreat Investment Management Ltd v Churchill &amp; Ors [2023] EWCA Civ 440</x:v>
      </x:c>
      <x:c r="V47" s="15" t="n">
        <x:v>0.672137</x:v>
      </x:c>
      <x:c r="W47" s="14" t="str">
        <x:v>no</x:v>
      </x:c>
      <x:c r="X47" s="14" t="str"/>
      <x:c r="Y47" s="14" t="str"/>
      <x:c r="Z47" s="14" t="str"/>
      <x:c r="AA47" s="14" t="str">
        <x:v>excluded_ambiguous_link</x:v>
      </x:c>
    </x:row>
    <x:row r="48">
      <x:c r="A48" s="1" t="str">
        <x:v>U0087</x:v>
      </x:c>
      <x:c r="B48" s="1" t="str">
        <x:v>cmm927sxp000304jp8fpwf2ew</x:v>
      </x:c>
      <x:c r="C48" s="1" t="str">
        <x:v>skeleton-args-ca2018006090-aa90566cb5f6b5de</x:v>
      </x:c>
      <x:c r="D48" s="1" t="str">
        <x:v>synthetic</x:v>
      </x:c>
      <x:c r="E48" s="14" t="str">
        <x:v>Blackwood v Blackwood</x:v>
      </x:c>
      <x:c r="F48" s="14" t="str">
        <x:v>case:armitage v nurse 1998 ch 241</x:v>
      </x:c>
      <x:c r="G48" s="14" t="str">
        <x:v>Armitage v Nurse [1998] Ch 241</x:v>
      </x:c>
      <x:c r="H48" s="14" t="str">
        <x:v>Armitage v Nurse [1998] Ch 241</x:v>
      </x:c>
      <x:c r="I48" s="14" t="str"/>
      <x:c r="J48" s="14" t="n">
        <x:v>1</x:v>
      </x:c>
      <x:c r="K48" s="14" t="str">
        <x:v>legalFramework.precedentCitations[0]</x:v>
      </x:c>
      <x:c r="L48" s="14" t="str">
        <x:v>cmm0cqleo000z04i321gtuvf1</x:v>
      </x:c>
      <x:c r="M48" s="14" t="str">
        <x:v>ambiguous_gap_gt_10m</x:v>
      </x:c>
      <x:c r="N48" s="14" t="n">
        <x:v>526522.795</x:v>
      </x:c>
      <x:c r="O48" s="14" t="str">
        <x:v>no</x:v>
      </x:c>
      <x:c r="P48" s="14" t="str">
        <x:v>no</x:v>
      </x:c>
      <x:c r="Q48" s="14" t="str">
        <x:v>none</x:v>
      </x:c>
      <x:c r="R48" s="14" t="str">
        <x:v>none</x:v>
      </x:c>
      <x:c r="S48" s="14" t="str"/>
      <x:c r="T48" s="14" t="str"/>
      <x:c r="U48" s="14" t="str"/>
      <x:c r="V48" s="15" t="str"/>
      <x:c r="W48" s="14" t="str">
        <x:v>no</x:v>
      </x:c>
      <x:c r="X48" s="14" t="str"/>
      <x:c r="Y48" s="14" t="str"/>
      <x:c r="Z48" s="14" t="str"/>
      <x:c r="AA48" s="14" t="str">
        <x:v>excluded_ambiguous_link</x:v>
      </x:c>
    </x:row>
    <x:row r="49">
      <x:c r="A49" s="1" t="str">
        <x:v>U0088</x:v>
      </x:c>
      <x:c r="B49" s="1" t="str">
        <x:v>cmm927sxp000304jp8fpwf2ew</x:v>
      </x:c>
      <x:c r="C49" s="1" t="str">
        <x:v>skeleton-args-ca2018006090-aa90566cb5f6b5de</x:v>
      </x:c>
      <x:c r="D49" s="1" t="str">
        <x:v>synthetic</x:v>
      </x:c>
      <x:c r="E49" s="14" t="str">
        <x:v>Blackwood v Blackwood</x:v>
      </x:c>
      <x:c r="F49" s="14" t="str">
        <x:v>case:creggy v barnett &amp; anor</x:v>
      </x:c>
      <x:c r="G49" s="14" t="str">
        <x:v>Creggy v Barnett &amp; Anor</x:v>
      </x:c>
      <x:c r="H49" s="14" t="str">
        <x:v>Creggy v Barnett &amp; Anor</x:v>
      </x:c>
      <x:c r="I49" s="14" t="str"/>
      <x:c r="J49" s="14" t="n">
        <x:v>1</x:v>
      </x:c>
      <x:c r="K49" s="14" t="str">
        <x:v>legalFramework.legalTestSummaries[0].sourceAuthority</x:v>
      </x:c>
      <x:c r="L49" s="14" t="str">
        <x:v>cmm0cqleo000z04i321gtuvf1</x:v>
      </x:c>
      <x:c r="M49" s="14" t="str">
        <x:v>ambiguous_gap_gt_10m</x:v>
      </x:c>
      <x:c r="N49" s="14" t="n">
        <x:v>526522.795</x:v>
      </x:c>
      <x:c r="O49" s="14" t="str">
        <x:v>no</x:v>
      </x:c>
      <x:c r="P49" s="14" t="str">
        <x:v>yes</x:v>
      </x:c>
      <x:c r="Q49" s="14" t="str">
        <x:v>title_containment</x:v>
      </x:c>
      <x:c r="R49" s="14" t="str">
        <x:v>high</x:v>
      </x:c>
      <x:c r="S49" s="14" t="n">
        <x:v>1</x:v>
      </x:c>
      <x:c r="T49" s="14" t="str">
        <x:v>4f894b7c-50f6-46f4-b08a-7d5f549411bb</x:v>
      </x:c>
      <x:c r="U49" s="14" t="str">
        <x:v>Creggy v Barnett &amp; Anor [2016] EWCA Civ 1004 (Court of Appeal (Civil Division))</x:v>
      </x:c>
      <x:c r="V49" s="15" t="n">
        <x:v>0.6911303</x:v>
      </x:c>
      <x:c r="W49" s="14" t="str">
        <x:v>no</x:v>
      </x:c>
      <x:c r="X49" s="14" t="str"/>
      <x:c r="Y49" s="14" t="str"/>
      <x:c r="Z49" s="14" t="str"/>
      <x:c r="AA49" s="14" t="str">
        <x:v>excluded_ambiguous_link</x:v>
      </x:c>
    </x:row>
    <x:row r="50">
      <x:c r="A50" s="1" t="str">
        <x:v>U0093</x:v>
      </x:c>
      <x:c r="B50" s="1" t="str">
        <x:v>cmm93eoww000904l4jttzk880</x:v>
      </x:c>
      <x:c r="C50" s="1" t="str">
        <x:v>skeleton-args-ca2019004792-59f1ed0831f20944</x:v>
      </x:c>
      <x:c r="D50" s="1" t="str">
        <x:v>synthetic</x:v>
      </x:c>
      <x:c r="E50" s="14" t="str">
        <x:v>Collins v North Thames NHS Foundation Trust</x:v>
      </x:c>
      <x:c r="F50" s="14" t="str">
        <x:v>case:2002 ewca civ 605</x:v>
      </x:c>
      <x:c r="G50" s="14" t="str">
        <x:v>[2002] EWCA Civ 605</x:v>
      </x:c>
      <x:c r="H50" s="14" t="str">
        <x:v>[2002] EWCA Civ 605</x:v>
      </x:c>
      <x:c r="I50" s="14" t="str"/>
      <x:c r="J50" s="14" t="n">
        <x:v>1</x:v>
      </x:c>
      <x:c r="K50" s="14" t="str">
        <x:v>legalFramework.precedentCitations[0]</x:v>
      </x:c>
      <x:c r="L50" s="14" t="str">
        <x:v>cmm93cs0n000304l46op6ul80</x:v>
      </x:c>
      <x:c r="M50" s="14" t="str">
        <x:v>confirmed_within_10m</x:v>
      </x:c>
      <x:c r="N50" s="14" t="n">
        <x:v>89.432</x:v>
      </x:c>
      <x:c r="O50" s="14" t="str">
        <x:v>yes</x:v>
      </x:c>
      <x:c r="P50" s="14" t="str">
        <x:v>no</x:v>
      </x:c>
      <x:c r="Q50" s="14" t="str">
        <x:v>none</x:v>
      </x:c>
      <x:c r="R50" s="14" t="str">
        <x:v>none</x:v>
      </x:c>
      <x:c r="S50" s="14" t="str"/>
      <x:c r="T50" s="14" t="str"/>
      <x:c r="U50" s="14" t="str"/>
      <x:c r="V50" s="15" t="str"/>
      <x:c r="W50" s="14" t="str">
        <x:v>no</x:v>
      </x:c>
      <x:c r="X50" s="14" t="str"/>
      <x:c r="Y50" s="14" t="str"/>
      <x:c r="Z50" s="14" t="str"/>
      <x:c r="AA50" s="14" t="str">
        <x:v>no</x:v>
      </x:c>
    </x:row>
    <x:row r="51">
      <x:c r="A51" s="1" t="str">
        <x:v>U0094</x:v>
      </x:c>
      <x:c r="B51" s="1" t="str">
        <x:v>cmm93eoww000904l4jttzk880</x:v>
      </x:c>
      <x:c r="C51" s="1" t="str">
        <x:v>skeleton-args-ca2019004792-59f1ed0831f20944</x:v>
      </x:c>
      <x:c r="D51" s="1" t="str">
        <x:v>synthetic</x:v>
      </x:c>
      <x:c r="E51" s="14" t="str">
        <x:v>Collins v North Thames NHS Foundation Trust</x:v>
      </x:c>
      <x:c r="F51" s="14" t="str">
        <x:v>case:2015 uksc 11</x:v>
      </x:c>
      <x:c r="G51" s="14" t="str">
        <x:v>[2015] UKSC 11</x:v>
      </x:c>
      <x:c r="H51" s="14" t="str">
        <x:v>[2015] UKSC 11</x:v>
      </x:c>
      <x:c r="I51" s="14" t="str"/>
      <x:c r="J51" s="14" t="n">
        <x:v>1</x:v>
      </x:c>
      <x:c r="K51" s="14" t="str">
        <x:v>legalFramework.precedentCitations[2]</x:v>
      </x:c>
      <x:c r="L51" s="14" t="str">
        <x:v>cmm93cs0n000304l46op6ul80</x:v>
      </x:c>
      <x:c r="M51" s="14" t="str">
        <x:v>confirmed_within_10m</x:v>
      </x:c>
      <x:c r="N51" s="14" t="n">
        <x:v>89.432</x:v>
      </x:c>
      <x:c r="O51" s="14" t="str">
        <x:v>yes</x:v>
      </x:c>
      <x:c r="P51" s="14" t="str">
        <x:v>no</x:v>
      </x:c>
      <x:c r="Q51" s="14" t="str">
        <x:v>none</x:v>
      </x:c>
      <x:c r="R51" s="14" t="str">
        <x:v>none</x:v>
      </x:c>
      <x:c r="S51" s="14" t="str"/>
      <x:c r="T51" s="14" t="str"/>
      <x:c r="U51" s="14" t="str"/>
      <x:c r="V51" s="15" t="str"/>
      <x:c r="W51" s="14" t="str">
        <x:v>no</x:v>
      </x:c>
      <x:c r="X51" s="14" t="str"/>
      <x:c r="Y51" s="14" t="str"/>
      <x:c r="Z51" s="14" t="str"/>
      <x:c r="AA51" s="14" t="str">
        <x:v>no</x:v>
      </x:c>
    </x:row>
    <x:row r="52">
      <x:c r="A52" s="1" t="str">
        <x:v>U0099</x:v>
      </x:c>
      <x:c r="B52" s="1" t="str">
        <x:v>cmmafut12000904l4kjskwky4</x:v>
      </x:c>
      <x:c r="C52" s="1" t="str">
        <x:v>skeleton-args-ca2025000412-e17d5e10793fe216</x:v>
      </x:c>
      <x:c r="D52" s="1" t="str">
        <x:v>synthetic</x:v>
      </x:c>
      <x:c r="E52" s="14" t="str">
        <x:v>R (Harrison) v Secretary of State for Justice</x:v>
      </x:c>
      <x:c r="F52" s="14" t="str">
        <x:v>case:2002 ewca civ 605</x:v>
      </x:c>
      <x:c r="G52" s="14" t="str">
        <x:v>English v Emery Reimbold &amp; Strick Ltd [2002] EWCA Civ 605</x:v>
      </x:c>
      <x:c r="H52" s="14" t="str">
        <x:v>English v Emery Reimbold &amp; Strick Ltd [2002] EWCA Civ 605</x:v>
      </x:c>
      <x:c r="I52" s="14" t="str"/>
      <x:c r="J52" s="14" t="n">
        <x:v>1</x:v>
      </x:c>
      <x:c r="K52" s="14" t="str">
        <x:v>legalFramework.precedentCitations[0]</x:v>
      </x:c>
      <x:c r="L52" s="14" t="str">
        <x:v>cmmafsf07000304l4huaorple</x:v>
      </x:c>
      <x:c r="M52" s="14" t="str">
        <x:v>confirmed_within_10m</x:v>
      </x:c>
      <x:c r="N52" s="14" t="n">
        <x:v>111.597</x:v>
      </x:c>
      <x:c r="O52" s="14" t="str">
        <x:v>yes</x:v>
      </x:c>
      <x:c r="P52" s="14" t="str">
        <x:v>no</x:v>
      </x:c>
      <x:c r="Q52" s="14" t="str">
        <x:v>none</x:v>
      </x:c>
      <x:c r="R52" s="14" t="str">
        <x:v>none</x:v>
      </x:c>
      <x:c r="S52" s="14" t="str"/>
      <x:c r="T52" s="14" t="str"/>
      <x:c r="U52" s="14" t="str"/>
      <x:c r="V52" s="15" t="str"/>
      <x:c r="W52" s="14" t="str">
        <x:v>no</x:v>
      </x:c>
      <x:c r="X52" s="14" t="str"/>
      <x:c r="Y52" s="14" t="str"/>
      <x:c r="Z52" s="14" t="str"/>
      <x:c r="AA52" s="14" t="str">
        <x:v>no</x:v>
      </x:c>
    </x:row>
    <x:row r="53">
      <x:c r="A53" s="1" t="str">
        <x:v>U0100</x:v>
      </x:c>
      <x:c r="B53" s="1" t="str">
        <x:v>cmmafut12000904l4kjskwky4</x:v>
      </x:c>
      <x:c r="C53" s="1" t="str">
        <x:v>skeleton-args-ca2025000412-e17d5e10793fe216</x:v>
      </x:c>
      <x:c r="D53" s="1" t="str">
        <x:v>synthetic</x:v>
      </x:c>
      <x:c r="E53" s="14" t="str">
        <x:v>R (Harrison) v Secretary of State for Justice</x:v>
      </x:c>
      <x:c r="F53" s="14" t="str">
        <x:v>case:2015 ewca civ 1170</x:v>
      </x:c>
      <x:c r="G53" s="14" t="str">
        <x:v>Bristow v The Secretary of State for Justice &amp; Anor</x:v>
      </x:c>
      <x:c r="H53" s="14" t="str">
        <x:v>[2015] EWCA Civ 1170</x:v>
      </x:c>
      <x:c r="I53" s="14" t="str">
        <x:v>1dbb4242-42ac-456f-989f-5098066d87ca</x:v>
      </x:c>
      <x:c r="J53" s="14" t="n">
        <x:v>1</x:v>
      </x:c>
      <x:c r="K53" s="14" t="str">
        <x:v>issuesForDetermination.issueMatrix[0].sourceCases[0]</x:v>
      </x:c>
      <x:c r="L53" s="14" t="str">
        <x:v>cmmafsf07000304l4huaorple</x:v>
      </x:c>
      <x:c r="M53" s="14" t="str">
        <x:v>confirmed_within_10m</x:v>
      </x:c>
      <x:c r="N53" s="14" t="n">
        <x:v>111.597</x:v>
      </x:c>
      <x:c r="O53" s="14" t="str">
        <x:v>yes</x:v>
      </x:c>
      <x:c r="P53" s="14" t="str">
        <x:v>yes</x:v>
      </x:c>
      <x:c r="Q53" s="14" t="str">
        <x:v>exact_case_id</x:v>
      </x:c>
      <x:c r="R53" s="14" t="str">
        <x:v>definitive</x:v>
      </x:c>
      <x:c r="S53" s="14" t="n">
        <x:v>5</x:v>
      </x:c>
      <x:c r="T53" s="14" t="str">
        <x:v>1dbb4242-42ac-456f-989f-5098066d87ca</x:v>
      </x:c>
      <x:c r="U53" s="14" t="str">
        <x:v>Bristow v The Secretary of State for Justice &amp; Anor [2015] EWCA Civ 1170</x:v>
      </x:c>
      <x:c r="V53" s="15" t="n">
        <x:v>0.64963126</x:v>
      </x:c>
      <x:c r="W53" s="14" t="str">
        <x:v>no</x:v>
      </x:c>
      <x:c r="X53" s="14" t="str"/>
      <x:c r="Y53" s="14" t="str"/>
      <x:c r="Z53" s="14" t="str"/>
      <x:c r="AA53" s="14" t="str">
        <x:v>yes</x:v>
      </x:c>
    </x:row>
    <x:row r="54">
      <x:c r="A54" s="1" t="str">
        <x:v>U0101</x:v>
      </x:c>
      <x:c r="B54" s="1" t="str">
        <x:v>cmmafut12000904l4kjskwky4</x:v>
      </x:c>
      <x:c r="C54" s="1" t="str">
        <x:v>skeleton-args-ca2025000412-e17d5e10793fe216</x:v>
      </x:c>
      <x:c r="D54" s="1" t="str">
        <x:v>synthetic</x:v>
      </x:c>
      <x:c r="E54" s="14" t="str">
        <x:v>R (Harrison) v Secretary of State for Justice</x:v>
      </x:c>
      <x:c r="F54" s="14" t="str">
        <x:v>case:james v hm prison birmingham judicial review on committal for civil contempt</x:v>
      </x:c>
      <x:c r="G54" s="14" t="str">
        <x:v>James v HM Prison Birmingham: Judicial Review on Committal for Civil Contempt</x:v>
      </x:c>
      <x:c r="H54" s="14" t="str">
        <x:v>N/A</x:v>
      </x:c>
      <x:c r="I54" s="14" t="str">
        <x:v>47c9c661-fe50-444e-8eb2-faf3fa2b12ba</x:v>
      </x:c>
      <x:c r="J54" s="14" t="n">
        <x:v>1</x:v>
      </x:c>
      <x:c r="K54" s="14" t="str">
        <x:v>reasoningStructure[0].sourceCases[0]</x:v>
      </x:c>
      <x:c r="L54" s="14" t="str">
        <x:v>cmmafsf07000304l4huaorple</x:v>
      </x:c>
      <x:c r="M54" s="14" t="str">
        <x:v>confirmed_within_10m</x:v>
      </x:c>
      <x:c r="N54" s="14" t="n">
        <x:v>111.597</x:v>
      </x:c>
      <x:c r="O54" s="14" t="str">
        <x:v>yes</x:v>
      </x:c>
      <x:c r="P54" s="14" t="str">
        <x:v>yes</x:v>
      </x:c>
      <x:c r="Q54" s="14" t="str">
        <x:v>exact_case_id</x:v>
      </x:c>
      <x:c r="R54" s="14" t="str">
        <x:v>definitive</x:v>
      </x:c>
      <x:c r="S54" s="14" t="n">
        <x:v>3</x:v>
      </x:c>
      <x:c r="T54" s="14" t="str">
        <x:v>47c9c661-fe50-444e-8eb2-faf3fa2b12ba</x:v>
      </x:c>
      <x:c r="U54" s="14" t="str">
        <x:v>James v HM Prison Birmingham: Judicial Review on Committal for Civil Contempt</x:v>
      </x:c>
      <x:c r="V54" s="15" t="n">
        <x:v>0.652738</x:v>
      </x:c>
      <x:c r="W54" s="14" t="str">
        <x:v>no</x:v>
      </x:c>
      <x:c r="X54" s="14" t="str"/>
      <x:c r="Y54" s="14" t="str"/>
      <x:c r="Z54" s="14" t="str"/>
      <x:c r="AA54" s="14" t="str">
        <x:v>yes</x:v>
      </x:c>
    </x:row>
    <x:row r="55">
      <x:c r="A55" s="1" t="str">
        <x:v>U0102</x:v>
      </x:c>
      <x:c r="B55" s="1" t="str">
        <x:v>cmmafut12000904l4kjskwky4</x:v>
      </x:c>
      <x:c r="C55" s="1" t="str">
        <x:v>skeleton-args-ca2025000412-e17d5e10793fe216</x:v>
      </x:c>
      <x:c r="D55" s="1" t="str">
        <x:v>synthetic</x:v>
      </x:c>
      <x:c r="E55" s="14" t="str">
        <x:v>R (Harrison) v Secretary of State for Justice</x:v>
      </x:c>
      <x:c r="F55" s="14" t="str">
        <x:v>case:the howard league for penal reform and prisoners advice service v the lord chancellor</x:v>
      </x:c>
      <x:c r="G55" s="14" t="str">
        <x:v>The Howard League for Penal Reform and Prisoners' Advice Service v The Lord Chancellor</x:v>
      </x:c>
      <x:c r="H55" s="14" t="str">
        <x:v>N/A</x:v>
      </x:c>
      <x:c r="I55" s="14" t="str">
        <x:v>d60a5323-796e-4110-a6de-012ec16860c1</x:v>
      </x:c>
      <x:c r="J55" s="14" t="n">
        <x:v>1</x:v>
      </x:c>
      <x:c r="K55" s="14" t="str">
        <x:v>factualFindings.contestedFacts[0].sourceCases[0]</x:v>
      </x:c>
      <x:c r="L55" s="14" t="str">
        <x:v>cmmafsf07000304l4huaorple</x:v>
      </x:c>
      <x:c r="M55" s="14" t="str">
        <x:v>confirmed_within_10m</x:v>
      </x:c>
      <x:c r="N55" s="14" t="n">
        <x:v>111.597</x:v>
      </x:c>
      <x:c r="O55" s="14" t="str">
        <x:v>yes</x:v>
      </x:c>
      <x:c r="P55" s="14" t="str">
        <x:v>yes</x:v>
      </x:c>
      <x:c r="Q55" s="14" t="str">
        <x:v>exact_case_id</x:v>
      </x:c>
      <x:c r="R55" s="14" t="str">
        <x:v>definitive</x:v>
      </x:c>
      <x:c r="S55" s="14" t="n">
        <x:v>1</x:v>
      </x:c>
      <x:c r="T55" s="14" t="str">
        <x:v>d60a5323-796e-4110-a6de-012ec16860c1</x:v>
      </x:c>
      <x:c r="U55" s="14" t="str">
        <x:v>The Howard League for Penal Reform and Prisoners' Advice Service v The Lord Chancellor</x:v>
      </x:c>
      <x:c r="V55" s="15" t="n">
        <x:v>0.67327136</x:v>
      </x:c>
      <x:c r="W55" s="14" t="str">
        <x:v>no</x:v>
      </x:c>
      <x:c r="X55" s="14" t="str"/>
      <x:c r="Y55" s="14" t="str"/>
      <x:c r="Z55" s="14" t="str"/>
      <x:c r="AA55" s="14" t="str">
        <x:v>yes</x:v>
      </x:c>
    </x:row>
    <x:row r="56">
      <x:c r="A56" s="1" t="str">
        <x:v>U0103</x:v>
      </x:c>
      <x:c r="B56" s="1" t="str">
        <x:v>cmmafut12000904l4kjskwky4</x:v>
      </x:c>
      <x:c r="C56" s="1" t="str">
        <x:v>skeleton-args-ca2025000412-e17d5e10793fe216</x:v>
      </x:c>
      <x:c r="D56" s="1" t="str">
        <x:v>synthetic</x:v>
      </x:c>
      <x:c r="E56" s="14" t="str">
        <x:v>R (Harrison) v Secretary of State for Justice</x:v>
      </x:c>
      <x:c r="F56" s="14" t="str">
        <x:v>case:velyo velev v bulgaria app no 16032 07 echr 27 may 2014</x:v>
      </x:c>
      <x:c r="G56" s="14" t="str">
        <x:v>Velyo Velev v Bulgaria (App No 16032/07) ECHR 27 May 2014</x:v>
      </x:c>
      <x:c r="H56" s="14" t="str">
        <x:v>Velyo Velev v Bulgaria (App No 16032/07) ECHR 27 May 2014</x:v>
      </x:c>
      <x:c r="I56" s="14" t="str"/>
      <x:c r="J56" s="14" t="n">
        <x:v>1</x:v>
      </x:c>
      <x:c r="K56" s="14" t="str">
        <x:v>legalFramework.legalTestSummaries[0].sourceAuthority</x:v>
      </x:c>
      <x:c r="L56" s="14" t="str">
        <x:v>cmmafsf07000304l4huaorple</x:v>
      </x:c>
      <x:c r="M56" s="14" t="str">
        <x:v>confirmed_within_10m</x:v>
      </x:c>
      <x:c r="N56" s="14" t="n">
        <x:v>111.597</x:v>
      </x:c>
      <x:c r="O56" s="14" t="str">
        <x:v>yes</x:v>
      </x:c>
      <x:c r="P56" s="14" t="str">
        <x:v>no</x:v>
      </x:c>
      <x:c r="Q56" s="14" t="str">
        <x:v>none</x:v>
      </x:c>
      <x:c r="R56" s="14" t="str">
        <x:v>none</x:v>
      </x:c>
      <x:c r="S56" s="14" t="str"/>
      <x:c r="T56" s="14" t="str"/>
      <x:c r="U56" s="14" t="str"/>
      <x:c r="V56" s="15" t="str"/>
      <x:c r="W56" s="14" t="str">
        <x:v>no</x:v>
      </x:c>
      <x:c r="X56" s="14" t="str"/>
      <x:c r="Y56" s="14" t="str"/>
      <x:c r="Z56" s="14" t="str"/>
      <x:c r="AA56" s="14" t="str">
        <x:v>no</x:v>
      </x:c>
    </x:row>
    <x:row r="57">
      <x:c r="A57" s="1" t="str">
        <x:v>U0105</x:v>
      </x:c>
      <x:c r="B57" s="1" t="str">
        <x:v>cmmc2zaji000h04l23a3cp61p</x:v>
      </x:c>
      <x:c r="C57" s="1" t="str">
        <x:v>skeleton-args-ca2022002088-9a827e5fc9cfa270</x:v>
      </x:c>
      <x:c r="D57" s="1" t="str">
        <x:v>synthetic</x:v>
      </x:c>
      <x:c r="E57" s="14" t="str">
        <x:v>HMRC v Dolphin Drilling Ltd</x:v>
      </x:c>
      <x:c r="F57" s="14" t="str">
        <x:v>case:2000 1 wlr 377</x:v>
      </x:c>
      <x:c r="G57" s="14" t="str">
        <x:v>Flannery v Halifax Estate Agencies Ltd [2000] 1 WLR 377</x:v>
      </x:c>
      <x:c r="H57" s="14" t="str">
        <x:v>Flannery v Halifax Estate Agencies Ltd [2000] 1 WLR 377</x:v>
      </x:c>
      <x:c r="I57" s="14" t="str"/>
      <x:c r="J57" s="14" t="n">
        <x:v>1</x:v>
      </x:c>
      <x:c r="K57" s="14" t="str">
        <x:v>legalFramework.precedentCitations[1]</x:v>
      </x:c>
      <x:c r="L57" s="14" t="str">
        <x:v>cmmc2vi4u000b04l2jn766kai</x:v>
      </x:c>
      <x:c r="M57" s="14" t="str">
        <x:v>confirmed_within_10m</x:v>
      </x:c>
      <x:c r="N57" s="14" t="n">
        <x:v>176.874</x:v>
      </x:c>
      <x:c r="O57" s="14" t="str">
        <x:v>yes</x:v>
      </x:c>
      <x:c r="P57" s="14" t="str">
        <x:v>no</x:v>
      </x:c>
      <x:c r="Q57" s="14" t="str">
        <x:v>none</x:v>
      </x:c>
      <x:c r="R57" s="14" t="str">
        <x:v>none</x:v>
      </x:c>
      <x:c r="S57" s="14" t="str"/>
      <x:c r="T57" s="14" t="str"/>
      <x:c r="U57" s="14" t="str"/>
      <x:c r="V57" s="15" t="str"/>
      <x:c r="W57" s="14" t="str">
        <x:v>no</x:v>
      </x:c>
      <x:c r="X57" s="14" t="str"/>
      <x:c r="Y57" s="14" t="str"/>
      <x:c r="Z57" s="14" t="str"/>
      <x:c r="AA57" s="14" t="str">
        <x:v>no</x:v>
      </x:c>
    </x:row>
    <x:row r="58">
      <x:c r="A58" s="1" t="str">
        <x:v>U0106</x:v>
      </x:c>
      <x:c r="B58" s="1" t="str">
        <x:v>cmmc2zaji000h04l23a3cp61p</x:v>
      </x:c>
      <x:c r="C58" s="1" t="str">
        <x:v>skeleton-args-ca2022002088-9a827e5fc9cfa270</x:v>
      </x:c>
      <x:c r="D58" s="1" t="str">
        <x:v>synthetic</x:v>
      </x:c>
      <x:c r="E58" s="14" t="str">
        <x:v>HMRC v Dolphin Drilling Ltd</x:v>
      </x:c>
      <x:c r="F58" s="14" t="str">
        <x:v>case:2002 ewca civ 605</x:v>
      </x:c>
      <x:c r="G58" s="14" t="str">
        <x:v>English v Emery Reimbold &amp; Strick Ltd [2002] EWCA Civ 605</x:v>
      </x:c>
      <x:c r="H58" s="14" t="str">
        <x:v>English v Emery Reimbold &amp; Strick Ltd [2002] EWCA Civ 605</x:v>
      </x:c>
      <x:c r="I58" s="14" t="str"/>
      <x:c r="J58" s="14" t="n">
        <x:v>1</x:v>
      </x:c>
      <x:c r="K58" s="14" t="str">
        <x:v>legalFramework.precedentCitations[0]</x:v>
      </x:c>
      <x:c r="L58" s="14" t="str">
        <x:v>cmmc2vi4u000b04l2jn766kai</x:v>
      </x:c>
      <x:c r="M58" s="14" t="str">
        <x:v>confirmed_within_10m</x:v>
      </x:c>
      <x:c r="N58" s="14" t="n">
        <x:v>176.874</x:v>
      </x:c>
      <x:c r="O58" s="14" t="str">
        <x:v>yes</x:v>
      </x:c>
      <x:c r="P58" s="14" t="str">
        <x:v>no</x:v>
      </x:c>
      <x:c r="Q58" s="14" t="str">
        <x:v>none</x:v>
      </x:c>
      <x:c r="R58" s="14" t="str">
        <x:v>none</x:v>
      </x:c>
      <x:c r="S58" s="14" t="str"/>
      <x:c r="T58" s="14" t="str"/>
      <x:c r="U58" s="14" t="str"/>
      <x:c r="V58" s="15" t="str"/>
      <x:c r="W58" s="14" t="str">
        <x:v>no</x:v>
      </x:c>
      <x:c r="X58" s="14" t="str"/>
      <x:c r="Y58" s="14" t="str"/>
      <x:c r="Z58" s="14" t="str"/>
      <x:c r="AA58" s="14" t="str">
        <x:v>no</x:v>
      </x:c>
    </x:row>
    <x:row r="59">
      <x:c r="A59" s="1" t="str">
        <x:v>U0107</x:v>
      </x:c>
      <x:c r="B59" s="1" t="str">
        <x:v>cmmc2zaji000h04l23a3cp61p</x:v>
      </x:c>
      <x:c r="C59" s="1" t="str">
        <x:v>skeleton-args-ca2022002088-9a827e5fc9cfa270</x:v>
      </x:c>
      <x:c r="D59" s="1" t="str">
        <x:v>synthetic</x:v>
      </x:c>
      <x:c r="E59" s="14" t="str">
        <x:v>HMRC v Dolphin Drilling Ltd</x:v>
      </x:c>
      <x:c r="F59" s="14" t="str">
        <x:v>case:2014 ewca civ 1062</x:v>
      </x:c>
      <x:c r="G59" s="14" t="str">
        <x:v>Revenue and Customs v Lloyds TSB Equipment Leasing (No 1) Ltd</x:v>
      </x:c>
      <x:c r="H59" s="14" t="str">
        <x:v>[2014] EWCA Civ 1062</x:v>
      </x:c>
      <x:c r="I59" s="14" t="str">
        <x:v>43ef5de1-aec0-41aa-83ef-7f2ecf54e8b8</x:v>
      </x:c>
      <x:c r="J59" s="14" t="n">
        <x:v>4</x:v>
      </x:c>
      <x:c r="K59" s="14" t="str">
        <x:v>factualFindings.contestedFacts[1].sourceCases[0] | issuesForDetermination.issueMatrix[1].sourceCases[0] | legalFramework.statutoryProvisions[0].sourceCases[1] | reasoningStructure[1].sourceCases[0]</x:v>
      </x:c>
      <x:c r="L59" s="14" t="str">
        <x:v>cmmc2vi4u000b04l2jn766kai</x:v>
      </x:c>
      <x:c r="M59" s="14" t="str">
        <x:v>confirmed_within_10m</x:v>
      </x:c>
      <x:c r="N59" s="14" t="n">
        <x:v>176.874</x:v>
      </x:c>
      <x:c r="O59" s="14" t="str">
        <x:v>yes</x:v>
      </x:c>
      <x:c r="P59" s="14" t="str">
        <x:v>yes</x:v>
      </x:c>
      <x:c r="Q59" s="14" t="str">
        <x:v>exact_case_id</x:v>
      </x:c>
      <x:c r="R59" s="14" t="str">
        <x:v>definitive</x:v>
      </x:c>
      <x:c r="S59" s="14" t="n">
        <x:v>1</x:v>
      </x:c>
      <x:c r="T59" s="14" t="str">
        <x:v>43ef5de1-aec0-41aa-83ef-7f2ecf54e8b8</x:v>
      </x:c>
      <x:c r="U59" s="14" t="str">
        <x:v>Revenue and Customs v Lloyds TSB Equipment Leasing (No 1) Ltd [2014] EWCA Civ 1062</x:v>
      </x:c>
      <x:c r="V59" s="15" t="n">
        <x:v>0.6938728</x:v>
      </x:c>
      <x:c r="W59" s="14" t="str">
        <x:v>no</x:v>
      </x:c>
      <x:c r="X59" s="14" t="str"/>
      <x:c r="Y59" s="14" t="str"/>
      <x:c r="Z59" s="14" t="str"/>
      <x:c r="AA59" s="14" t="str">
        <x:v>yes</x:v>
      </x:c>
    </x:row>
    <x:row r="60">
      <x:c r="A60" s="1" t="str">
        <x:v>U0108</x:v>
      </x:c>
      <x:c r="B60" s="1" t="str">
        <x:v>cmmc2zaji000h04l23a3cp61p</x:v>
      </x:c>
      <x:c r="C60" s="1" t="str">
        <x:v>skeleton-args-ca2022002088-9a827e5fc9cfa270</x:v>
      </x:c>
      <x:c r="D60" s="1" t="str">
        <x:v>synthetic</x:v>
      </x:c>
      <x:c r="E60" s="14" t="str">
        <x:v>HMRC v Dolphin Drilling Ltd</x:v>
      </x:c>
      <x:c r="F60" s="14" t="str">
        <x:v>case:2022 ewca civ 1422</x:v>
      </x:c>
      <x:c r="G60" s="14" t="str">
        <x:v>Cobalt Data Centre 2 LLP &amp; Anor v HM Revenue &amp; Customs</x:v>
      </x:c>
      <x:c r="H60" s="14" t="str">
        <x:v>[2022] EWCA Civ 1422</x:v>
      </x:c>
      <x:c r="I60" s="14" t="str">
        <x:v>3b5f0b35-9abc-4644-bd76-178e4ddaa226</x:v>
      </x:c>
      <x:c r="J60" s="14" t="n">
        <x:v>4</x:v>
      </x:c>
      <x:c r="K60" s="14" t="str">
        <x:v>factualFindings.contestedFacts[0].sourceCases[0] | issuesForDetermination.issueMatrix[0].sourceCases[0] | legalFramework.statutoryProvisions[0].sourceCases[0] | reasoningStructure[0].sourceCases[0]</x:v>
      </x:c>
      <x:c r="L60" s="14" t="str">
        <x:v>cmmc2vi4u000b04l2jn766kai</x:v>
      </x:c>
      <x:c r="M60" s="14" t="str">
        <x:v>confirmed_within_10m</x:v>
      </x:c>
      <x:c r="N60" s="14" t="n">
        <x:v>176.874</x:v>
      </x:c>
      <x:c r="O60" s="14" t="str">
        <x:v>yes</x:v>
      </x:c>
      <x:c r="P60" s="14" t="str">
        <x:v>yes</x:v>
      </x:c>
      <x:c r="Q60" s="14" t="str">
        <x:v>exact_case_id</x:v>
      </x:c>
      <x:c r="R60" s="14" t="str">
        <x:v>definitive</x:v>
      </x:c>
      <x:c r="S60" s="14" t="n">
        <x:v>9</x:v>
      </x:c>
      <x:c r="T60" s="14" t="str">
        <x:v>3b5f0b35-9abc-4644-bd76-178e4ddaa226</x:v>
      </x:c>
      <x:c r="U60" s="14" t="str">
        <x:v>Cobalt Data Centre 2 LLP &amp; Anor v HM Revenue &amp; Customs [2022] EWCA Civ 1422</x:v>
      </x:c>
      <x:c r="V60" s="15" t="n">
        <x:v>0.61968213</x:v>
      </x:c>
      <x:c r="W60" s="14" t="str">
        <x:v>no</x:v>
      </x:c>
      <x:c r="X60" s="14" t="str"/>
      <x:c r="Y60" s="14" t="str"/>
      <x:c r="Z60" s="14" t="str"/>
      <x:c r="AA60" s="14" t="str">
        <x:v>yes</x:v>
      </x:c>
    </x:row>
    <x:row r="61">
      <x:c r="A61" s="1" t="str">
        <x:v>U0113</x:v>
      </x:c>
      <x:c r="B61" s="1" t="str">
        <x:v>cmmc4a8zu000h04jx2w3r0hzo</x:v>
      </x:c>
      <x:c r="C61" s="1" t="str">
        <x:v>ca-2024-000255-ellis-v-ssj-appellant-skeleton</x:v>
      </x:c>
      <x:c r="D61" s="1" t="str">
        <x:v>real</x:v>
      </x:c>
      <x:c r="E61" s="14" t="str">
        <x:v>R (Fajr Ellis) v Secretary of State for Justice</x:v>
      </x:c>
      <x:c r="F61" s="14" t="str">
        <x:v>case:2015 ewca civ 1170</x:v>
      </x:c>
      <x:c r="G61" s="14" t="str">
        <x:v>Bristow v The Secretary of State for Justice &amp; Anor</x:v>
      </x:c>
      <x:c r="H61" s="14" t="str">
        <x:v>[2015] EWCA Civ 1170</x:v>
      </x:c>
      <x:c r="I61" s="14" t="str">
        <x:v>1dbb4242-42ac-456f-989f-5098066d87ca</x:v>
      </x:c>
      <x:c r="J61" s="14" t="n">
        <x:v>3</x:v>
      </x:c>
      <x:c r="K61" s="14" t="str">
        <x:v>factualFindings.contestedFacts[0].sourceCases[0] | issuesForDetermination.issueMatrix[0].sourceCases[0] | reasoningStructure[0].sourceCases[0]</x:v>
      </x:c>
      <x:c r="L61" s="14" t="str">
        <x:v>cmmc48b4h000b04jxrxrp3idf</x:v>
      </x:c>
      <x:c r="M61" s="14" t="str">
        <x:v>confirmed_within_10m</x:v>
      </x:c>
      <x:c r="N61" s="14" t="n">
        <x:v>90.649</x:v>
      </x:c>
      <x:c r="O61" s="14" t="str">
        <x:v>yes</x:v>
      </x:c>
      <x:c r="P61" s="14" t="str">
        <x:v>yes</x:v>
      </x:c>
      <x:c r="Q61" s="14" t="str">
        <x:v>exact_case_id</x:v>
      </x:c>
      <x:c r="R61" s="14" t="str">
        <x:v>definitive</x:v>
      </x:c>
      <x:c r="S61" s="14" t="n">
        <x:v>1</x:v>
      </x:c>
      <x:c r="T61" s="14" t="str">
        <x:v>1dbb4242-42ac-456f-989f-5098066d87ca</x:v>
      </x:c>
      <x:c r="U61" s="14" t="str">
        <x:v>Bristow v The Secretary of State for Justice &amp; Anor [2015] EWCA Civ 1170</x:v>
      </x:c>
      <x:c r="V61" s="15" t="n">
        <x:v>0.69676626</x:v>
      </x:c>
      <x:c r="W61" s="14" t="str">
        <x:v>no</x:v>
      </x:c>
      <x:c r="X61" s="14" t="str"/>
      <x:c r="Y61" s="14" t="str"/>
      <x:c r="Z61" s="14" t="str"/>
      <x:c r="AA61" s="14" t="str">
        <x:v>yes</x:v>
      </x:c>
    </x:row>
    <x:row r="62">
      <x:c r="A62" s="1" t="str">
        <x:v>U0114</x:v>
      </x:c>
      <x:c r="B62" s="1" t="str">
        <x:v>cmmc4a8zu000h04jx2w3r0hzo</x:v>
      </x:c>
      <x:c r="C62" s="1" t="str">
        <x:v>ca-2024-000255-ellis-v-ssj-appellant-skeleton</x:v>
      </x:c>
      <x:c r="D62" s="1" t="str">
        <x:v>real</x:v>
      </x:c>
      <x:c r="E62" s="14" t="str">
        <x:v>R (Fajr Ellis) v Secretary of State for Justice</x:v>
      </x:c>
      <x:c r="F62" s="14" t="str">
        <x:v>case:2022 ewca civ 4</x:v>
      </x:c>
      <x:c r="G62" s="14" t="str">
        <x:v>Pearce, R (On the Application Of) v Parole Board of England and Wales &amp; Anor</x:v>
      </x:c>
      <x:c r="H62" s="14" t="str">
        <x:v>[2022] EWCA Civ 4</x:v>
      </x:c>
      <x:c r="I62" s="14" t="str">
        <x:v>6704e94e-e6b0-4dfe-b4c9-c5d695bdc6aa</x:v>
      </x:c>
      <x:c r="J62" s="14" t="n">
        <x:v>1</x:v>
      </x:c>
      <x:c r="K62" s="14" t="str">
        <x:v>factualFindings.chronology[1].sourceCases[0]</x:v>
      </x:c>
      <x:c r="L62" s="14" t="str">
        <x:v>cmmc48b4h000b04jxrxrp3idf</x:v>
      </x:c>
      <x:c r="M62" s="14" t="str">
        <x:v>confirmed_within_10m</x:v>
      </x:c>
      <x:c r="N62" s="14" t="n">
        <x:v>90.649</x:v>
      </x:c>
      <x:c r="O62" s="14" t="str">
        <x:v>yes</x:v>
      </x:c>
      <x:c r="P62" s="14" t="str">
        <x:v>yes</x:v>
      </x:c>
      <x:c r="Q62" s="14" t="str">
        <x:v>exact_case_id</x:v>
      </x:c>
      <x:c r="R62" s="14" t="str">
        <x:v>definitive</x:v>
      </x:c>
      <x:c r="S62" s="14" t="n">
        <x:v>3</x:v>
      </x:c>
      <x:c r="T62" s="14" t="str">
        <x:v>6704e94e-e6b0-4dfe-b4c9-c5d695bdc6aa</x:v>
      </x:c>
      <x:c r="U62" s="14" t="str">
        <x:v>Pearce, R (On the Application Of) v Parole Board of England and Wales &amp; Anor [2022] EWCA Civ 4</x:v>
      </x:c>
      <x:c r="V62" s="15" t="n">
        <x:v>0.6906532</x:v>
      </x:c>
      <x:c r="W62" s="14" t="str">
        <x:v>no</x:v>
      </x:c>
      <x:c r="X62" s="14" t="str"/>
      <x:c r="Y62" s="14" t="str"/>
      <x:c r="Z62" s="14" t="str"/>
      <x:c r="AA62" s="14" t="str">
        <x:v>yes</x:v>
      </x:c>
    </x:row>
    <x:row r="63">
      <x:c r="A63" s="1" t="str">
        <x:v>U0115</x:v>
      </x:c>
      <x:c r="B63" s="1" t="str">
        <x:v>cmmc4a8zu000h04jx2w3r0hzo</x:v>
      </x:c>
      <x:c r="C63" s="1" t="str">
        <x:v>ca-2024-000255-ellis-v-ssj-appellant-skeleton</x:v>
      </x:c>
      <x:c r="D63" s="1" t="str">
        <x:v>real</x:v>
      </x:c>
      <x:c r="E63" s="14" t="str">
        <x:v>R (Fajr Ellis) v Secretary of State for Justice</x:v>
      </x:c>
      <x:c r="F63" s="14" t="str">
        <x:v>case:flannery v halifax estate agencies ltd</x:v>
      </x:c>
      <x:c r="G63" s="14" t="str">
        <x:v>Flannery v Halifax Estate Agencies Ltd</x:v>
      </x:c>
      <x:c r="H63" s="14" t="str">
        <x:v>Flannery v Halifax Estate Agencies Ltd</x:v>
      </x:c>
      <x:c r="I63" s="14" t="str"/>
      <x:c r="J63" s="14" t="n">
        <x:v>1</x:v>
      </x:c>
      <x:c r="K63" s="14" t="str">
        <x:v>legalFramework.precedentCitations[1]</x:v>
      </x:c>
      <x:c r="L63" s="14" t="str">
        <x:v>cmmc48b4h000b04jxrxrp3idf</x:v>
      </x:c>
      <x:c r="M63" s="14" t="str">
        <x:v>confirmed_within_10m</x:v>
      </x:c>
      <x:c r="N63" s="14" t="n">
        <x:v>90.649</x:v>
      </x:c>
      <x:c r="O63" s="14" t="str">
        <x:v>yes</x:v>
      </x:c>
      <x:c r="P63" s="14" t="str">
        <x:v>no</x:v>
      </x:c>
      <x:c r="Q63" s="14" t="str">
        <x:v>none</x:v>
      </x:c>
      <x:c r="R63" s="14" t="str">
        <x:v>none</x:v>
      </x:c>
      <x:c r="S63" s="14" t="str"/>
      <x:c r="T63" s="14" t="str"/>
      <x:c r="U63" s="14" t="str"/>
      <x:c r="V63" s="15" t="str"/>
      <x:c r="W63" s="14" t="str">
        <x:v>no</x:v>
      </x:c>
      <x:c r="X63" s="14" t="str"/>
      <x:c r="Y63" s="14" t="str"/>
      <x:c r="Z63" s="14" t="str"/>
      <x:c r="AA63" s="14" t="str">
        <x:v>no</x:v>
      </x:c>
    </x:row>
    <x:row r="64">
      <x:c r="A64" s="1" t="str">
        <x:v>U0116</x:v>
      </x:c>
      <x:c r="B64" s="1" t="str">
        <x:v>cmmc4a8zu000h04jx2w3r0hzo</x:v>
      </x:c>
      <x:c r="C64" s="1" t="str">
        <x:v>ca-2024-000255-ellis-v-ssj-appellant-skeleton</x:v>
      </x:c>
      <x:c r="D64" s="1" t="str">
        <x:v>real</x:v>
      </x:c>
      <x:c r="E64" s="14" t="str">
        <x:v>R (Fajr Ellis) v Secretary of State for Justice</x:v>
      </x:c>
      <x:c r="F64" s="14" t="str">
        <x:v>case:r johnson v sshd</x:v>
      </x:c>
      <x:c r="G64" s="14" t="str">
        <x:v>R (Johnson) v SSHD</x:v>
      </x:c>
      <x:c r="H64" s="14" t="str">
        <x:v>R (Johnson) v SSHD</x:v>
      </x:c>
      <x:c r="I64" s="14" t="str"/>
      <x:c r="J64" s="14" t="n">
        <x:v>1</x:v>
      </x:c>
      <x:c r="K64" s="14" t="str">
        <x:v>legalFramework.precedentCitations[0]</x:v>
      </x:c>
      <x:c r="L64" s="14" t="str">
        <x:v>cmmc48b4h000b04jxrxrp3idf</x:v>
      </x:c>
      <x:c r="M64" s="14" t="str">
        <x:v>confirmed_within_10m</x:v>
      </x:c>
      <x:c r="N64" s="14" t="n">
        <x:v>90.649</x:v>
      </x:c>
      <x:c r="O64" s="14" t="str">
        <x:v>yes</x:v>
      </x:c>
      <x:c r="P64" s="14" t="str">
        <x:v>no</x:v>
      </x:c>
      <x:c r="Q64" s="14" t="str">
        <x:v>none</x:v>
      </x:c>
      <x:c r="R64" s="14" t="str">
        <x:v>none</x:v>
      </x:c>
      <x:c r="S64" s="14" t="str"/>
      <x:c r="T64" s="14" t="str"/>
      <x:c r="U64" s="14" t="str"/>
      <x:c r="V64" s="15" t="str"/>
      <x:c r="W64" s="14" t="str">
        <x:v>no</x:v>
      </x:c>
      <x:c r="X64" s="14" t="str"/>
      <x:c r="Y64" s="14" t="str"/>
      <x:c r="Z64" s="14" t="str"/>
      <x:c r="AA64" s="14" t="str">
        <x:v>no</x:v>
      </x:c>
    </x:row>
    <x:row r="65">
      <x:c r="A65" s="1" t="str">
        <x:v>U0117</x:v>
      </x:c>
      <x:c r="B65" s="1" t="str">
        <x:v>cmmc4a8zu000h04jx2w3r0hzo</x:v>
      </x:c>
      <x:c r="C65" s="1" t="str">
        <x:v>ca-2024-000255-ellis-v-ssj-appellant-skeleton</x:v>
      </x:c>
      <x:c r="D65" s="1" t="str">
        <x:v>real</x:v>
      </x:c>
      <x:c r="E65" s="14" t="str">
        <x:v>R (Fajr Ellis) v Secretary of State for Justice</x:v>
      </x:c>
      <x:c r="F65" s="14" t="str">
        <x:v>case:the howard league for penal reform and prisoners advice service v the lord chancellor</x:v>
      </x:c>
      <x:c r="G65" s="14" t="str">
        <x:v>The Howard League for Penal Reform and Prisoners' Advice Service v The Lord Chancellor</x:v>
      </x:c>
      <x:c r="H65" s="14" t="str">
        <x:v>N/A</x:v>
      </x:c>
      <x:c r="I65" s="14" t="str">
        <x:v>d60a5323-796e-4110-a6de-012ec16860c1</x:v>
      </x:c>
      <x:c r="J65" s="14" t="n">
        <x:v>3</x:v>
      </x:c>
      <x:c r="K65" s="14" t="str">
        <x:v>factualFindings.contestedFacts[1].sourceCases[0] | issuesForDetermination.issueMatrix[1].sourceCases[0] | reasoningStructure[1].sourceCases[0]</x:v>
      </x:c>
      <x:c r="L65" s="14" t="str">
        <x:v>cmmc48b4h000b04jxrxrp3idf</x:v>
      </x:c>
      <x:c r="M65" s="14" t="str">
        <x:v>confirmed_within_10m</x:v>
      </x:c>
      <x:c r="N65" s="14" t="n">
        <x:v>90.649</x:v>
      </x:c>
      <x:c r="O65" s="14" t="str">
        <x:v>yes</x:v>
      </x:c>
      <x:c r="P65" s="14" t="str">
        <x:v>yes</x:v>
      </x:c>
      <x:c r="Q65" s="14" t="str">
        <x:v>exact_case_id</x:v>
      </x:c>
      <x:c r="R65" s="14" t="str">
        <x:v>definitive</x:v>
      </x:c>
      <x:c r="S65" s="14" t="n">
        <x:v>2</x:v>
      </x:c>
      <x:c r="T65" s="14" t="str">
        <x:v>d60a5323-796e-4110-a6de-012ec16860c1</x:v>
      </x:c>
      <x:c r="U65" s="14" t="str">
        <x:v>The Howard League for Penal Reform and Prisoners' Advice Service v The Lord Chancellor</x:v>
      </x:c>
      <x:c r="V65" s="15" t="n">
        <x:v>0.69558805</x:v>
      </x:c>
      <x:c r="W65" s="14" t="str">
        <x:v>no</x:v>
      </x:c>
      <x:c r="X65" s="14" t="str"/>
      <x:c r="Y65" s="14" t="str"/>
      <x:c r="Z65" s="14" t="str"/>
      <x:c r="AA65" s="14" t="str">
        <x:v>yes</x:v>
      </x:c>
    </x:row>
    <x:row r="66">
      <x:c r="A66" s="1" t="str">
        <x:v>U0123</x:v>
      </x:c>
      <x:c r="B66" s="1" t="str">
        <x:v>cmmcal70d000h04k3e11w997v</x:v>
      </x:c>
      <x:c r="C66" s="1" t="str">
        <x:v>ew-cases-EWCA-Civ-2024-1110</x:v>
      </x:c>
      <x:c r="D66" s="1" t="str">
        <x:v>synthetic</x:v>
      </x:c>
      <x:c r="E66" s="14" t="str">
        <x:v>UnipolSai Assicurazioni S.p.A. v Covéa Insurance Plc</x:v>
      </x:c>
      <x:c r="F66" s="14" t="str">
        <x:v>case:2002 ewca civ 605</x:v>
      </x:c>
      <x:c r="G66" s="14" t="str">
        <x:v>[2002] EWCA Civ 605</x:v>
      </x:c>
      <x:c r="H66" s="14" t="str">
        <x:v>[2002] EWCA Civ 605</x:v>
      </x:c>
      <x:c r="I66" s="14" t="str"/>
      <x:c r="J66" s="14" t="n">
        <x:v>1</x:v>
      </x:c>
      <x:c r="K66" s="14" t="str">
        <x:v>legalFramework.precedentCitations[0]</x:v>
      </x:c>
      <x:c r="L66" s="14" t="str">
        <x:v>cmmcaho67000b04k3d50f98in</x:v>
      </x:c>
      <x:c r="M66" s="14" t="str">
        <x:v>confirmed_within_10m</x:v>
      </x:c>
      <x:c r="N66" s="14" t="n">
        <x:v>164.487</x:v>
      </x:c>
      <x:c r="O66" s="14" t="str">
        <x:v>yes</x:v>
      </x:c>
      <x:c r="P66" s="14" t="str">
        <x:v>no</x:v>
      </x:c>
      <x:c r="Q66" s="14" t="str">
        <x:v>none</x:v>
      </x:c>
      <x:c r="R66" s="14" t="str">
        <x:v>none</x:v>
      </x:c>
      <x:c r="S66" s="14" t="str"/>
      <x:c r="T66" s="14" t="str"/>
      <x:c r="U66" s="14" t="str"/>
      <x:c r="V66" s="15" t="str"/>
      <x:c r="W66" s="14" t="str">
        <x:v>no</x:v>
      </x:c>
      <x:c r="X66" s="14" t="str"/>
      <x:c r="Y66" s="14" t="str"/>
      <x:c r="Z66" s="14" t="str"/>
      <x:c r="AA66" s="14" t="str">
        <x:v>no</x:v>
      </x:c>
    </x:row>
    <x:row r="67">
      <x:c r="A67" s="1" t="str">
        <x:v>U0124</x:v>
      </x:c>
      <x:c r="B67" s="1" t="str">
        <x:v>cmmcal70d000h04k3e11w997v</x:v>
      </x:c>
      <x:c r="C67" s="1" t="str">
        <x:v>ew-cases-EWCA-Civ-2024-1110</x:v>
      </x:c>
      <x:c r="D67" s="1" t="str">
        <x:v>synthetic</x:v>
      </x:c>
      <x:c r="E67" s="14" t="str">
        <x:v>UnipolSai Assicurazioni S.p.A. v Covéa Insurance Plc</x:v>
      </x:c>
      <x:c r="F67" s="14" t="str">
        <x:v>case:2021 uksc 1</x:v>
      </x:c>
      <x:c r="G67" s="14" t="str">
        <x:v>FCA v Arch Insurance (UK) Ltd [2021] UKSC 1</x:v>
      </x:c>
      <x:c r="H67" s="14" t="str">
        <x:v>FCA v Arch Insurance (UK) Ltd [2021] UKSC 1</x:v>
      </x:c>
      <x:c r="I67" s="14" t="str"/>
      <x:c r="J67" s="14" t="n">
        <x:v>1</x:v>
      </x:c>
      <x:c r="K67" s="14" t="str">
        <x:v>legalFramework.legalTestSummaries[0].sourceAuthority</x:v>
      </x:c>
      <x:c r="L67" s="14" t="str">
        <x:v>cmmcaho67000b04k3d50f98in</x:v>
      </x:c>
      <x:c r="M67" s="14" t="str">
        <x:v>confirmed_within_10m</x:v>
      </x:c>
      <x:c r="N67" s="14" t="n">
        <x:v>164.487</x:v>
      </x:c>
      <x:c r="O67" s="14" t="str">
        <x:v>yes</x:v>
      </x:c>
      <x:c r="P67" s="14" t="str">
        <x:v>no</x:v>
      </x:c>
      <x:c r="Q67" s="14" t="str">
        <x:v>none</x:v>
      </x:c>
      <x:c r="R67" s="14" t="str">
        <x:v>none</x:v>
      </x:c>
      <x:c r="S67" s="14" t="str"/>
      <x:c r="T67" s="14" t="str"/>
      <x:c r="U67" s="14" t="str"/>
      <x:c r="V67" s="15" t="str"/>
      <x:c r="W67" s="14" t="str">
        <x:v>yes</x:v>
      </x:c>
      <x:c r="X67" s="14" t="str">
        <x:v>Financial Conduct Authority v Arch Insurance [2021] UKSC 1</x:v>
      </x:c>
      <x:c r="Y67" s="14" t="n">
        <x:v>4</x:v>
      </x:c>
      <x:c r="Z67" s="14" t="str">
        <x:v>Bank of New York Mellon (International) Limited v Cine-UK Limited [2022] EWCA Civ 1021</x:v>
      </x:c>
      <x:c r="AA67" s="14" t="str">
        <x:v>no</x:v>
      </x:c>
    </x:row>
    <x:row r="68">
      <x:c r="A68" s="1" t="str">
        <x:v>U0125</x:v>
      </x:c>
      <x:c r="B68" s="1" t="str">
        <x:v>cmmcal70d000h04k3e11w997v</x:v>
      </x:c>
      <x:c r="C68" s="1" t="str">
        <x:v>ew-cases-EWCA-Civ-2024-1110</x:v>
      </x:c>
      <x:c r="D68" s="1" t="str">
        <x:v>synthetic</x:v>
      </x:c>
      <x:c r="E68" s="14" t="str">
        <x:v>UnipolSai Assicurazioni S.p.A. v Covéa Insurance Plc</x:v>
      </x:c>
      <x:c r="F68" s="14" t="str">
        <x:v>case:2022 ewca civ 15</x:v>
      </x:c>
      <x:c r="G68" s="14" t="str">
        <x:v>Aviva Insurance Limited and Swiss Reinsurance Company Limited v Secretary of State for Work and Pensions [2022] EWCA Civ 15</x:v>
      </x:c>
      <x:c r="H68" s="14" t="str">
        <x:v>Aviva Insurance Limited and Swiss Reinsurance Company Limited v Secretary of State for Work and Pensions [2022] EWCA Civ 15</x:v>
      </x:c>
      <x:c r="I68" s="14" t="str">
        <x:v>8bf594df-88d1-4791-89f3-b2699310ed7a</x:v>
      </x:c>
      <x:c r="J68" s="14" t="n">
        <x:v>4</x:v>
      </x:c>
      <x:c r="K68" s="14" t="str">
        <x:v>factualFindings.contestedFacts[1].sourceCases[0] | issuesForDetermination.issueMatrix[1].sourceCases[0] | legalFramework.legalTestSummaries[1].sourceAuthority | reasoningStructure[1].sourceCases[0]</x:v>
      </x:c>
      <x:c r="L68" s="14" t="str">
        <x:v>cmmcaho67000b04k3d50f98in</x:v>
      </x:c>
      <x:c r="M68" s="14" t="str">
        <x:v>confirmed_within_10m</x:v>
      </x:c>
      <x:c r="N68" s="14" t="n">
        <x:v>164.487</x:v>
      </x:c>
      <x:c r="O68" s="14" t="str">
        <x:v>yes</x:v>
      </x:c>
      <x:c r="P68" s="14" t="str">
        <x:v>yes</x:v>
      </x:c>
      <x:c r="Q68" s="14" t="str">
        <x:v>exact_case_id</x:v>
      </x:c>
      <x:c r="R68" s="14" t="str">
        <x:v>definitive</x:v>
      </x:c>
      <x:c r="S68" s="14" t="n">
        <x:v>20</x:v>
      </x:c>
      <x:c r="T68" s="14" t="str">
        <x:v>8bf594df-88d1-4791-89f3-b2699310ed7a</x:v>
      </x:c>
      <x:c r="U68" s="14" t="str">
        <x:v>Aviva Insurance Limited and Swiss Reinsurance Company Limited v Secretary of State for Work and Pensions [2022] EWCA Civ 15</x:v>
      </x:c>
      <x:c r="V68" s="15" t="n">
        <x:v>0.6415988</x:v>
      </x:c>
      <x:c r="W68" s="14" t="str">
        <x:v>no</x:v>
      </x:c>
      <x:c r="X68" s="14" t="str"/>
      <x:c r="Y68" s="14" t="str"/>
      <x:c r="Z68" s="14" t="str"/>
      <x:c r="AA68" s="14" t="str">
        <x:v>yes</x:v>
      </x:c>
    </x:row>
    <x:row r="69">
      <x:c r="A69" s="1" t="str">
        <x:v>U0126</x:v>
      </x:c>
      <x:c r="B69" s="1" t="str">
        <x:v>cmmcal70d000h04k3e11w997v</x:v>
      </x:c>
      <x:c r="C69" s="1" t="str">
        <x:v>ew-cases-EWCA-Civ-2024-1110</x:v>
      </x:c>
      <x:c r="D69" s="1" t="str">
        <x:v>synthetic</x:v>
      </x:c>
      <x:c r="E69" s="14" t="str">
        <x:v>UnipolSai Assicurazioni S.p.A. v Covéa Insurance Plc</x:v>
      </x:c>
      <x:c r="F69" s="14" t="str">
        <x:v>case:soteria insurance ltd v ibm united kingdom ltd</x:v>
      </x:c>
      <x:c r="G69" s="14" t="str">
        <x:v>Soteria Insurance Ltd v IBM United Kingdom Ltd</x:v>
      </x:c>
      <x:c r="H69" s="14" t="str">
        <x:v>N/A</x:v>
      </x:c>
      <x:c r="I69" s="14" t="str">
        <x:v>81d53202-31ed-492b-a22e-15e4f280610b</x:v>
      </x:c>
      <x:c r="J69" s="14" t="n">
        <x:v>3</x:v>
      </x:c>
      <x:c r="K69" s="14" t="str">
        <x:v>factualFindings.contestedFacts[0].sourceCases[0] | issuesForDetermination.issueMatrix[0].sourceCases[0] | reasoningStructure[0].sourceCases[0]</x:v>
      </x:c>
      <x:c r="L69" s="14" t="str">
        <x:v>cmmcaho67000b04k3d50f98in</x:v>
      </x:c>
      <x:c r="M69" s="14" t="str">
        <x:v>confirmed_within_10m</x:v>
      </x:c>
      <x:c r="N69" s="14" t="n">
        <x:v>164.487</x:v>
      </x:c>
      <x:c r="O69" s="14" t="str">
        <x:v>yes</x:v>
      </x:c>
      <x:c r="P69" s="14" t="str">
        <x:v>yes</x:v>
      </x:c>
      <x:c r="Q69" s="14" t="str">
        <x:v>exact_case_id</x:v>
      </x:c>
      <x:c r="R69" s="14" t="str">
        <x:v>definitive</x:v>
      </x:c>
      <x:c r="S69" s="14" t="n">
        <x:v>18</x:v>
      </x:c>
      <x:c r="T69" s="14" t="str">
        <x:v>81d53202-31ed-492b-a22e-15e4f280610b</x:v>
      </x:c>
      <x:c r="U69" s="14" t="str">
        <x:v>Soteria Insurance Ltd v IBM United Kingdom Ltd [2022] EWCA Civ 440</x:v>
      </x:c>
      <x:c r="V69" s="15" t="n">
        <x:v>0.64461255</x:v>
      </x:c>
      <x:c r="W69" s="14" t="str">
        <x:v>no</x:v>
      </x:c>
      <x:c r="X69" s="14" t="str"/>
      <x:c r="Y69" s="14" t="str"/>
      <x:c r="Z69" s="14" t="str"/>
      <x:c r="AA69" s="14" t="str">
        <x:v>yes</x:v>
      </x:c>
    </x:row>
    <x:row r="70">
      <x:c r="A70" s="1" t="str">
        <x:v>U0130</x:v>
      </x:c>
      <x:c r="B70" s="1" t="str">
        <x:v>cmmdjqxh3000304kvs37yorn3</x:v>
      </x:c>
      <x:c r="C70" s="1" t="str">
        <x:v>skeleton-args-ca2023004634-299a4a730fe1f43a</x:v>
      </x:c>
      <x:c r="D70" s="1" t="str">
        <x:v>synthetic</x:v>
      </x:c>
      <x:c r="E70" s="14" t="str">
        <x:v>Metropolitan Property Holdings Ltd v Artisan Coffee Co Ltd</x:v>
      </x:c>
      <x:c r="F70" s="14" t="str">
        <x:v>case:2000 1 wlr 377</x:v>
      </x:c>
      <x:c r="G70" s="14" t="str">
        <x:v>Flannery v Halifax Estate Agencies Ltd [2000] 1 WLR 377</x:v>
      </x:c>
      <x:c r="H70" s="14" t="str">
        <x:v>Flannery v Halifax Estate Agencies Ltd [2000] 1 WLR 377</x:v>
      </x:c>
      <x:c r="I70" s="14" t="str"/>
      <x:c r="J70" s="14" t="n">
        <x:v>1</x:v>
      </x:c>
      <x:c r="K70" s="14" t="str">
        <x:v>legalFramework.precedentCitations[1]</x:v>
      </x:c>
      <x:c r="L70" s="14" t="str">
        <x:v>cmmdjmbqo000b04js13axm03c</x:v>
      </x:c>
      <x:c r="M70" s="14" t="str">
        <x:v>confirmed_within_10m</x:v>
      </x:c>
      <x:c r="N70" s="14" t="n">
        <x:v>214.889</x:v>
      </x:c>
      <x:c r="O70" s="14" t="str">
        <x:v>yes</x:v>
      </x:c>
      <x:c r="P70" s="14" t="str">
        <x:v>no</x:v>
      </x:c>
      <x:c r="Q70" s="14" t="str">
        <x:v>none</x:v>
      </x:c>
      <x:c r="R70" s="14" t="str">
        <x:v>none</x:v>
      </x:c>
      <x:c r="S70" s="14" t="str"/>
      <x:c r="T70" s="14" t="str"/>
      <x:c r="U70" s="14" t="str"/>
      <x:c r="V70" s="15" t="str"/>
      <x:c r="W70" s="14" t="str">
        <x:v>no</x:v>
      </x:c>
      <x:c r="X70" s="14" t="str"/>
      <x:c r="Y70" s="14" t="str"/>
      <x:c r="Z70" s="14" t="str"/>
      <x:c r="AA70" s="14" t="str">
        <x:v>no</x:v>
      </x:c>
    </x:row>
    <x:row r="71">
      <x:c r="A71" s="1" t="str">
        <x:v>U0131</x:v>
      </x:c>
      <x:c r="B71" s="1" t="str">
        <x:v>cmmdjqxh3000304kvs37yorn3</x:v>
      </x:c>
      <x:c r="C71" s="1" t="str">
        <x:v>skeleton-args-ca2023004634-299a4a730fe1f43a</x:v>
      </x:c>
      <x:c r="D71" s="1" t="str">
        <x:v>synthetic</x:v>
      </x:c>
      <x:c r="E71" s="14" t="str">
        <x:v>Metropolitan Property Holdings Ltd v Artisan Coffee Co Ltd</x:v>
      </x:c>
      <x:c r="F71" s="14" t="str">
        <x:v>case:2002 ewca civ 605</x:v>
      </x:c>
      <x:c r="G71" s="14" t="str">
        <x:v>English v Emery Reimbold &amp; Strick Ltd [2002] EWCA Civ 605</x:v>
      </x:c>
      <x:c r="H71" s="14" t="str">
        <x:v>English v Emery Reimbold &amp; Strick Ltd [2002] EWCA Civ 605</x:v>
      </x:c>
      <x:c r="I71" s="14" t="str"/>
      <x:c r="J71" s="14" t="n">
        <x:v>1</x:v>
      </x:c>
      <x:c r="K71" s="14" t="str">
        <x:v>legalFramework.precedentCitations[0]</x:v>
      </x:c>
      <x:c r="L71" s="14" t="str">
        <x:v>cmmdjmbqo000b04js13axm03c</x:v>
      </x:c>
      <x:c r="M71" s="14" t="str">
        <x:v>confirmed_within_10m</x:v>
      </x:c>
      <x:c r="N71" s="14" t="n">
        <x:v>214.889</x:v>
      </x:c>
      <x:c r="O71" s="14" t="str">
        <x:v>yes</x:v>
      </x:c>
      <x:c r="P71" s="14" t="str">
        <x:v>no</x:v>
      </x:c>
      <x:c r="Q71" s="14" t="str">
        <x:v>none</x:v>
      </x:c>
      <x:c r="R71" s="14" t="str">
        <x:v>none</x:v>
      </x:c>
      <x:c r="S71" s="14" t="str"/>
      <x:c r="T71" s="14" t="str"/>
      <x:c r="U71" s="14" t="str"/>
      <x:c r="V71" s="15" t="str"/>
      <x:c r="W71" s="14" t="str">
        <x:v>no</x:v>
      </x:c>
      <x:c r="X71" s="14" t="str"/>
      <x:c r="Y71" s="14" t="str"/>
      <x:c r="Z71" s="14" t="str"/>
      <x:c r="AA71" s="14" t="str">
        <x:v>no</x:v>
      </x:c>
    </x:row>
    <x:row r="72">
      <x:c r="A72" s="1" t="str">
        <x:v>U0132</x:v>
      </x:c>
      <x:c r="B72" s="1" t="str">
        <x:v>cmmdjqxh3000304kvs37yorn3</x:v>
      </x:c>
      <x:c r="C72" s="1" t="str">
        <x:v>skeleton-args-ca2023004634-299a4a730fe1f43a</x:v>
      </x:c>
      <x:c r="D72" s="1" t="str">
        <x:v>synthetic</x:v>
      </x:c>
      <x:c r="E72" s="14" t="str">
        <x:v>Metropolitan Property Holdings Ltd v Artisan Coffee Co Ltd</x:v>
      </x:c>
      <x:c r="F72" s="14" t="str">
        <x:v>case:2014 ewca civ 18</x:v>
      </x:c>
      <x:c r="G72" s="14" t="str">
        <x:v>Topland Portfolio No 1 Ltd v Smiths News Trading Ltd</x:v>
      </x:c>
      <x:c r="H72" s="14" t="str">
        <x:v>[2014] EWCA Civ 18</x:v>
      </x:c>
      <x:c r="I72" s="14" t="str">
        <x:v>b8f5594c-ac32-4dd3-804a-fd0c938c4401</x:v>
      </x:c>
      <x:c r="J72" s="14" t="n">
        <x:v>1</x:v>
      </x:c>
      <x:c r="K72" s="14" t="str">
        <x:v>factualFindings.contestedFacts[0].sourceCases[0]</x:v>
      </x:c>
      <x:c r="L72" s="14" t="str">
        <x:v>cmmdjmbqo000b04js13axm03c</x:v>
      </x:c>
      <x:c r="M72" s="14" t="str">
        <x:v>confirmed_within_10m</x:v>
      </x:c>
      <x:c r="N72" s="14" t="n">
        <x:v>214.889</x:v>
      </x:c>
      <x:c r="O72" s="14" t="str">
        <x:v>yes</x:v>
      </x:c>
      <x:c r="P72" s="14" t="str">
        <x:v>yes</x:v>
      </x:c>
      <x:c r="Q72" s="14" t="str">
        <x:v>exact_case_id</x:v>
      </x:c>
      <x:c r="R72" s="14" t="str">
        <x:v>definitive</x:v>
      </x:c>
      <x:c r="S72" s="14" t="n">
        <x:v>3</x:v>
      </x:c>
      <x:c r="T72" s="14" t="str">
        <x:v>b8f5594c-ac32-4dd3-804a-fd0c938c4401</x:v>
      </x:c>
      <x:c r="U72" s="14" t="str">
        <x:v>Topland Portfolio No 1 Ltd v Smiths News Trading Ltd [2014] EWCA Civ 18</x:v>
      </x:c>
      <x:c r="V72" s="15" t="n">
        <x:v>0.7268903</x:v>
      </x:c>
      <x:c r="W72" s="14" t="str">
        <x:v>no</x:v>
      </x:c>
      <x:c r="X72" s="14" t="str"/>
      <x:c r="Y72" s="14" t="str"/>
      <x:c r="Z72" s="14" t="str"/>
      <x:c r="AA72" s="14" t="str">
        <x:v>yes</x:v>
      </x:c>
    </x:row>
    <x:row r="73">
      <x:c r="A73" s="1" t="str">
        <x:v>U0133</x:v>
      </x:c>
      <x:c r="B73" s="1" t="str">
        <x:v>cmmdjqxh3000304kvs37yorn3</x:v>
      </x:c>
      <x:c r="C73" s="1" t="str">
        <x:v>skeleton-args-ca2023004634-299a4a730fe1f43a</x:v>
      </x:c>
      <x:c r="D73" s="1" t="str">
        <x:v>synthetic</x:v>
      </x:c>
      <x:c r="E73" s="14" t="str">
        <x:v>Metropolitan Property Holdings Ltd v Artisan Coffee Co Ltd</x:v>
      </x:c>
      <x:c r="F73" s="14" t="str">
        <x:v>case:2015 ewca civ 224</x:v>
      </x:c>
      <x:c r="G73" s="14" t="str">
        <x:v>Magnic Ltd v Ul-Hassan &amp; Anor</x:v>
      </x:c>
      <x:c r="H73" s="14" t="str">
        <x:v>[2015] EWCA Civ 224</x:v>
      </x:c>
      <x:c r="I73" s="14" t="str">
        <x:v>1b3f1357-0731-4894-9c17-a958eecd366a</x:v>
      </x:c>
      <x:c r="J73" s="14" t="n">
        <x:v>2</x:v>
      </x:c>
      <x:c r="K73" s="14" t="str">
        <x:v>issuesForDetermination.issueMatrix[1].sourceCases[0] | reasoningStructure[1].sourceCases[0]</x:v>
      </x:c>
      <x:c r="L73" s="14" t="str">
        <x:v>cmmdjmbqo000b04js13axm03c</x:v>
      </x:c>
      <x:c r="M73" s="14" t="str">
        <x:v>confirmed_within_10m</x:v>
      </x:c>
      <x:c r="N73" s="14" t="n">
        <x:v>214.889</x:v>
      </x:c>
      <x:c r="O73" s="14" t="str">
        <x:v>yes</x:v>
      </x:c>
      <x:c r="P73" s="14" t="str">
        <x:v>yes</x:v>
      </x:c>
      <x:c r="Q73" s="14" t="str">
        <x:v>exact_case_id</x:v>
      </x:c>
      <x:c r="R73" s="14" t="str">
        <x:v>definitive</x:v>
      </x:c>
      <x:c r="S73" s="14" t="n">
        <x:v>12</x:v>
      </x:c>
      <x:c r="T73" s="14" t="str">
        <x:v>1b3f1357-0731-4894-9c17-a958eecd366a</x:v>
      </x:c>
      <x:c r="U73" s="14" t="str">
        <x:v>Magnic Ltd v Ul-Hassan &amp; Anor [2015] EWCA Civ 224</x:v>
      </x:c>
      <x:c r="V73" s="15" t="n">
        <x:v>0.71463615</x:v>
      </x:c>
      <x:c r="W73" s="14" t="str">
        <x:v>no</x:v>
      </x:c>
      <x:c r="X73" s="14" t="str"/>
      <x:c r="Y73" s="14" t="str"/>
      <x:c r="Z73" s="14" t="str"/>
      <x:c r="AA73" s="14" t="str">
        <x:v>yes</x:v>
      </x:c>
    </x:row>
    <x:row r="74">
      <x:c r="A74" s="1" t="str">
        <x:v>U0134</x:v>
      </x:c>
      <x:c r="B74" s="1" t="str">
        <x:v>cmmdjqxh3000304kvs37yorn3</x:v>
      </x:c>
      <x:c r="C74" s="1" t="str">
        <x:v>skeleton-args-ca2023004634-299a4a730fe1f43a</x:v>
      </x:c>
      <x:c r="D74" s="1" t="str">
        <x:v>synthetic</x:v>
      </x:c>
      <x:c r="E74" s="14" t="str">
        <x:v>Metropolitan Property Holdings Ltd v Artisan Coffee Co Ltd</x:v>
      </x:c>
      <x:c r="F74" s="14" t="str">
        <x:v>case:2015 ewca civ 632</x:v>
      </x:c>
      <x:c r="G74" s="14" t="str">
        <x:v>Nizami v Dezyanian</x:v>
      </x:c>
      <x:c r="H74" s="14" t="str">
        <x:v>[2015] EWCA Civ 632</x:v>
      </x:c>
      <x:c r="I74" s="14" t="str">
        <x:v>39df6304-6d5c-4744-8f1a-adcd4015ef46</x:v>
      </x:c>
      <x:c r="J74" s="14" t="n">
        <x:v>2</x:v>
      </x:c>
      <x:c r="K74" s="14" t="str">
        <x:v>factualFindings.chronology[2].sourceCases[0] | legalFramework.statutoryProvisions[1].sourceCases[0]</x:v>
      </x:c>
      <x:c r="L74" s="14" t="str">
        <x:v>cmmdjmbqo000b04js13axm03c</x:v>
      </x:c>
      <x:c r="M74" s="14" t="str">
        <x:v>confirmed_within_10m</x:v>
      </x:c>
      <x:c r="N74" s="14" t="n">
        <x:v>214.889</x:v>
      </x:c>
      <x:c r="O74" s="14" t="str">
        <x:v>yes</x:v>
      </x:c>
      <x:c r="P74" s="14" t="str">
        <x:v>yes</x:v>
      </x:c>
      <x:c r="Q74" s="14" t="str">
        <x:v>exact_case_id</x:v>
      </x:c>
      <x:c r="R74" s="14" t="str">
        <x:v>definitive</x:v>
      </x:c>
      <x:c r="S74" s="14" t="n">
        <x:v>4</x:v>
      </x:c>
      <x:c r="T74" s="14" t="str">
        <x:v>39df6304-6d5c-4744-8f1a-adcd4015ef46</x:v>
      </x:c>
      <x:c r="U74" s="14" t="str">
        <x:v>Nizami v Dezyanian [2015] EWCA Civ 632</x:v>
      </x:c>
      <x:c r="V74" s="15" t="n">
        <x:v>0.7255647</x:v>
      </x:c>
      <x:c r="W74" s="14" t="str">
        <x:v>no</x:v>
      </x:c>
      <x:c r="X74" s="14" t="str"/>
      <x:c r="Y74" s="14" t="str"/>
      <x:c r="Z74" s="14" t="str"/>
      <x:c r="AA74" s="14" t="str">
        <x:v>yes</x:v>
      </x:c>
    </x:row>
    <x:row r="75">
      <x:c r="A75" s="1" t="str">
        <x:v>U0135</x:v>
      </x:c>
      <x:c r="B75" s="1" t="str">
        <x:v>cmmdjqxh3000304kvs37yorn3</x:v>
      </x:c>
      <x:c r="C75" s="1" t="str">
        <x:v>skeleton-args-ca2023004634-299a4a730fe1f43a</x:v>
      </x:c>
      <x:c r="D75" s="1" t="str">
        <x:v>synthetic</x:v>
      </x:c>
      <x:c r="E75" s="14" t="str">
        <x:v>Metropolitan Property Holdings Ltd v Artisan Coffee Co Ltd</x:v>
      </x:c>
      <x:c r="F75" s="14" t="str">
        <x:v>case:2015 ewca civ 806</x:v>
      </x:c>
      <x:c r="G75" s="14" t="str">
        <x:v>Freifeld &amp; Anor v West Kensington Court Ltd</x:v>
      </x:c>
      <x:c r="H75" s="14" t="str">
        <x:v>[2015] EWCA Civ 806</x:v>
      </x:c>
      <x:c r="I75" s="14" t="str">
        <x:v>7fbb47eb-e7af-4898-89f6-50b1a29b5939</x:v>
      </x:c>
      <x:c r="J75" s="14" t="n">
        <x:v>2</x:v>
      </x:c>
      <x:c r="K75" s="14" t="str">
        <x:v>issuesForDetermination.issueMatrix[0].sourceCases[0] | reasoningStructure[0].sourceCases[0]</x:v>
      </x:c>
      <x:c r="L75" s="14" t="str">
        <x:v>cmmdjmbqo000b04js13axm03c</x:v>
      </x:c>
      <x:c r="M75" s="14" t="str">
        <x:v>confirmed_within_10m</x:v>
      </x:c>
      <x:c r="N75" s="14" t="n">
        <x:v>214.889</x:v>
      </x:c>
      <x:c r="O75" s="14" t="str">
        <x:v>yes</x:v>
      </x:c>
      <x:c r="P75" s="14" t="str">
        <x:v>yes</x:v>
      </x:c>
      <x:c r="Q75" s="14" t="str">
        <x:v>exact_citation</x:v>
      </x:c>
      <x:c r="R75" s="14" t="str">
        <x:v>high</x:v>
      </x:c>
      <x:c r="S75" s="14" t="n">
        <x:v>1</x:v>
      </x:c>
      <x:c r="T75" s="14" t="str">
        <x:v>18a014eb-e365-4420-b07a-dfdd42f053ec</x:v>
      </x:c>
      <x:c r="U75" s="14" t="str">
        <x:v>Freifeld &amp; Anor v West Kensington Court Ltd [2015] EWCA Civ 806</x:v>
      </x:c>
      <x:c r="V75" s="15" t="n">
        <x:v>0.73170173</x:v>
      </x:c>
      <x:c r="W75" s="14" t="str">
        <x:v>no</x:v>
      </x:c>
      <x:c r="X75" s="14" t="str"/>
      <x:c r="Y75" s="14" t="str"/>
      <x:c r="Z75" s="14" t="str"/>
      <x:c r="AA75" s="14" t="str">
        <x:v>yes</x:v>
      </x:c>
    </x:row>
    <x:row r="76">
      <x:c r="A76" s="1" t="str">
        <x:v>U0139</x:v>
      </x:c>
      <x:c r="B76" s="1" t="str">
        <x:v>cmmdkjytd000304jl24cdxqvp</x:v>
      </x:c>
      <x:c r="C76" s="1" t="str">
        <x:v>skeleton-args-ca2023004634-299a4a730fe1f43a</x:v>
      </x:c>
      <x:c r="D76" s="1" t="str">
        <x:v>synthetic</x:v>
      </x:c>
      <x:c r="E76" s="14" t="str">
        <x:v>Metropolitan Property Holdings Ltd v Artisan Coffee Co Ltd</x:v>
      </x:c>
      <x:c r="F76" s="14" t="str">
        <x:v>case:2000 1 wlr 377</x:v>
      </x:c>
      <x:c r="G76" s="14" t="str">
        <x:v>Flannery v Halifax Estate Agencies Ltd [2000] 1 WLR 377</x:v>
      </x:c>
      <x:c r="H76" s="14" t="str">
        <x:v>Flannery v Halifax Estate Agencies Ltd [2000] 1 WLR 377</x:v>
      </x:c>
      <x:c r="I76" s="14" t="str"/>
      <x:c r="J76" s="14" t="n">
        <x:v>1</x:v>
      </x:c>
      <x:c r="K76" s="14" t="str">
        <x:v>legalFramework.precedentCitations[1]</x:v>
      </x:c>
      <x:c r="L76" s="14" t="str">
        <x:v>cmmdjmbqo000b04js13axm03c</x:v>
      </x:c>
      <x:c r="M76" s="14" t="str">
        <x:v>ambiguous_gap_gt_10m</x:v>
      </x:c>
      <x:c r="N76" s="14" t="n">
        <x:v>1569.653</x:v>
      </x:c>
      <x:c r="O76" s="14" t="str">
        <x:v>no</x:v>
      </x:c>
      <x:c r="P76" s="14" t="str">
        <x:v>no</x:v>
      </x:c>
      <x:c r="Q76" s="14" t="str">
        <x:v>none</x:v>
      </x:c>
      <x:c r="R76" s="14" t="str">
        <x:v>none</x:v>
      </x:c>
      <x:c r="S76" s="14" t="str"/>
      <x:c r="T76" s="14" t="str"/>
      <x:c r="U76" s="14" t="str"/>
      <x:c r="V76" s="15" t="str"/>
      <x:c r="W76" s="14" t="str">
        <x:v>no</x:v>
      </x:c>
      <x:c r="X76" s="14" t="str"/>
      <x:c r="Y76" s="14" t="str"/>
      <x:c r="Z76" s="14" t="str"/>
      <x:c r="AA76" s="14" t="str">
        <x:v>excluded_ambiguous_link</x:v>
      </x:c>
    </x:row>
    <x:row r="77">
      <x:c r="A77" s="1" t="str">
        <x:v>U0140</x:v>
      </x:c>
      <x:c r="B77" s="1" t="str">
        <x:v>cmmdkjytd000304jl24cdxqvp</x:v>
      </x:c>
      <x:c r="C77" s="1" t="str">
        <x:v>skeleton-args-ca2023004634-299a4a730fe1f43a</x:v>
      </x:c>
      <x:c r="D77" s="1" t="str">
        <x:v>synthetic</x:v>
      </x:c>
      <x:c r="E77" s="14" t="str">
        <x:v>Metropolitan Property Holdings Ltd v Artisan Coffee Co Ltd</x:v>
      </x:c>
      <x:c r="F77" s="14" t="str">
        <x:v>case:2002 ewca civ 605</x:v>
      </x:c>
      <x:c r="G77" s="14" t="str">
        <x:v>English v Emery Reimbold &amp; Strick Ltd [2002] EWCA Civ 605</x:v>
      </x:c>
      <x:c r="H77" s="14" t="str">
        <x:v>English v Emery Reimbold &amp; Strick Ltd [2002] EWCA Civ 605</x:v>
      </x:c>
      <x:c r="I77" s="14" t="str"/>
      <x:c r="J77" s="14" t="n">
        <x:v>1</x:v>
      </x:c>
      <x:c r="K77" s="14" t="str">
        <x:v>legalFramework.precedentCitations[0]</x:v>
      </x:c>
      <x:c r="L77" s="14" t="str">
        <x:v>cmmdjmbqo000b04js13axm03c</x:v>
      </x:c>
      <x:c r="M77" s="14" t="str">
        <x:v>ambiguous_gap_gt_10m</x:v>
      </x:c>
      <x:c r="N77" s="14" t="n">
        <x:v>1569.653</x:v>
      </x:c>
      <x:c r="O77" s="14" t="str">
        <x:v>no</x:v>
      </x:c>
      <x:c r="P77" s="14" t="str">
        <x:v>no</x:v>
      </x:c>
      <x:c r="Q77" s="14" t="str">
        <x:v>none</x:v>
      </x:c>
      <x:c r="R77" s="14" t="str">
        <x:v>none</x:v>
      </x:c>
      <x:c r="S77" s="14" t="str"/>
      <x:c r="T77" s="14" t="str"/>
      <x:c r="U77" s="14" t="str"/>
      <x:c r="V77" s="15" t="str"/>
      <x:c r="W77" s="14" t="str">
        <x:v>no</x:v>
      </x:c>
      <x:c r="X77" s="14" t="str"/>
      <x:c r="Y77" s="14" t="str"/>
      <x:c r="Z77" s="14" t="str"/>
      <x:c r="AA77" s="14" t="str">
        <x:v>excluded_ambiguous_link</x:v>
      </x:c>
    </x:row>
    <x:row r="78">
      <x:c r="A78" s="1" t="str">
        <x:v>U0141</x:v>
      </x:c>
      <x:c r="B78" s="1" t="str">
        <x:v>cmmdkjytd000304jl24cdxqvp</x:v>
      </x:c>
      <x:c r="C78" s="1" t="str">
        <x:v>skeleton-args-ca2023004634-299a4a730fe1f43a</x:v>
      </x:c>
      <x:c r="D78" s="1" t="str">
        <x:v>synthetic</x:v>
      </x:c>
      <x:c r="E78" s="14" t="str">
        <x:v>Metropolitan Property Holdings Ltd v Artisan Coffee Co Ltd</x:v>
      </x:c>
      <x:c r="F78" s="14" t="str">
        <x:v>case:2022 ewca civ 1021</x:v>
      </x:c>
      <x:c r="G78" s="14" t="str">
        <x:v>Bank of New York Mellon (International) Limited v Cine-UK Limited</x:v>
      </x:c>
      <x:c r="H78" s="14" t="str">
        <x:v>[2022] EWCA Civ 1021</x:v>
      </x:c>
      <x:c r="I78" s="14" t="str">
        <x:v>00167e1d-845c-4a1d-b17c-1c91c10b2c37</x:v>
      </x:c>
      <x:c r="J78" s="14" t="n">
        <x:v>1</x:v>
      </x:c>
      <x:c r="K78" s="14" t="str">
        <x:v>issuesForDetermination.issueMatrix[0].sourceCases[0]</x:v>
      </x:c>
      <x:c r="L78" s="14" t="str">
        <x:v>cmmdjmbqo000b04js13axm03c</x:v>
      </x:c>
      <x:c r="M78" s="14" t="str">
        <x:v>ambiguous_gap_gt_10m</x:v>
      </x:c>
      <x:c r="N78" s="14" t="n">
        <x:v>1569.653</x:v>
      </x:c>
      <x:c r="O78" s="14" t="str">
        <x:v>no</x:v>
      </x:c>
      <x:c r="P78" s="14" t="str">
        <x:v>yes</x:v>
      </x:c>
      <x:c r="Q78" s="14" t="str">
        <x:v>exact_case_id</x:v>
      </x:c>
      <x:c r="R78" s="14" t="str">
        <x:v>definitive</x:v>
      </x:c>
      <x:c r="S78" s="14" t="n">
        <x:v>2</x:v>
      </x:c>
      <x:c r="T78" s="14" t="str">
        <x:v>00167e1d-845c-4a1d-b17c-1c91c10b2c37</x:v>
      </x:c>
      <x:c r="U78" s="14" t="str">
        <x:v>Bank of New York Mellon (International) Limited v Cine-UK Limited [2022] EWCA Civ 1021</x:v>
      </x:c>
      <x:c r="V78" s="15" t="n">
        <x:v>0.72841835</x:v>
      </x:c>
      <x:c r="W78" s="14" t="str">
        <x:v>no</x:v>
      </x:c>
      <x:c r="X78" s="14" t="str"/>
      <x:c r="Y78" s="14" t="str"/>
      <x:c r="Z78" s="14" t="str"/>
      <x:c r="AA78" s="14" t="str">
        <x:v>excluded_ambiguous_link</x:v>
      </x:c>
    </x:row>
    <x:row r="79">
      <x:c r="A79" s="1" t="str">
        <x:v>U0142</x:v>
      </x:c>
      <x:c r="B79" s="1" t="str">
        <x:v>cmmdkjytd000304jl24cdxqvp</x:v>
      </x:c>
      <x:c r="C79" s="1" t="str">
        <x:v>skeleton-args-ca2023004634-299a4a730fe1f43a</x:v>
      </x:c>
      <x:c r="D79" s="1" t="str">
        <x:v>synthetic</x:v>
      </x:c>
      <x:c r="E79" s="14" t="str">
        <x:v>Metropolitan Property Holdings Ltd v Artisan Coffee Co Ltd</x:v>
      </x:c>
      <x:c r="F79" s="14" t="str">
        <x:v>case:freifeld &amp; anor v west kensington court ltd</x:v>
      </x:c>
      <x:c r="G79" s="14" t="str">
        <x:v>Freifeld &amp; Anor v West Kensington Court Ltd</x:v>
      </x:c>
      <x:c r="H79" s="14" t="str">
        <x:v>N/A</x:v>
      </x:c>
      <x:c r="I79" s="14" t="str">
        <x:v>18a014eb-e365-4420-b07a-dfdd42f053ec</x:v>
      </x:c>
      <x:c r="J79" s="14" t="n">
        <x:v>2</x:v>
      </x:c>
      <x:c r="K79" s="14" t="str">
        <x:v>factualFindings.contestedFacts[0].sourceCases[0] | issuesForDetermination.issueMatrix[1].sourceCases[0]</x:v>
      </x:c>
      <x:c r="L79" s="14" t="str">
        <x:v>cmmdjmbqo000b04js13axm03c</x:v>
      </x:c>
      <x:c r="M79" s="14" t="str">
        <x:v>ambiguous_gap_gt_10m</x:v>
      </x:c>
      <x:c r="N79" s="14" t="n">
        <x:v>1569.653</x:v>
      </x:c>
      <x:c r="O79" s="14" t="str">
        <x:v>no</x:v>
      </x:c>
      <x:c r="P79" s="14" t="str">
        <x:v>yes</x:v>
      </x:c>
      <x:c r="Q79" s="14" t="str">
        <x:v>exact_case_id</x:v>
      </x:c>
      <x:c r="R79" s="14" t="str">
        <x:v>definitive</x:v>
      </x:c>
      <x:c r="S79" s="14" t="n">
        <x:v>1</x:v>
      </x:c>
      <x:c r="T79" s="14" t="str">
        <x:v>18a014eb-e365-4420-b07a-dfdd42f053ec</x:v>
      </x:c>
      <x:c r="U79" s="14" t="str">
        <x:v>Freifeld &amp; Anor v West Kensington Court Ltd [2015] EWCA Civ 806</x:v>
      </x:c>
      <x:c r="V79" s="15" t="n">
        <x:v>0.73170173</x:v>
      </x:c>
      <x:c r="W79" s="14" t="str">
        <x:v>no</x:v>
      </x:c>
      <x:c r="X79" s="14" t="str"/>
      <x:c r="Y79" s="14" t="str"/>
      <x:c r="Z79" s="14" t="str"/>
      <x:c r="AA79" s="14" t="str">
        <x:v>excluded_ambiguous_link</x:v>
      </x:c>
    </x:row>
    <x:row r="80">
      <x:c r="A80" s="1" t="str">
        <x:v>U0147</x:v>
      </x:c>
      <x:c r="B80" s="1" t="str">
        <x:v>cmmf22axa000h04jxcpnnecs0</x:v>
      </x:c>
      <x:c r="C80" s="1" t="str">
        <x:v>ew-cases-EWCA-Civ-2024-1</x:v>
      </x:c>
      <x:c r="D80" s="1" t="str">
        <x:v>synthetic</x:v>
      </x:c>
      <x:c r="E80" s="14" t="str">
        <x:v>HMRC v Dolphin Drilling Ltd</x:v>
      </x:c>
      <x:c r="F80" s="14" t="str">
        <x:v>case:2002 ewca civ 605</x:v>
      </x:c>
      <x:c r="G80" s="14" t="str">
        <x:v>English v Emery Reimbold &amp; Strick Ltd [2002] EWCA Civ 605</x:v>
      </x:c>
      <x:c r="H80" s="14" t="str">
        <x:v>English v Emery Reimbold &amp; Strick Ltd [2002] EWCA Civ 605</x:v>
      </x:c>
      <x:c r="I80" s="14" t="str"/>
      <x:c r="J80" s="14" t="n">
        <x:v>1</x:v>
      </x:c>
      <x:c r="K80" s="14" t="str">
        <x:v>legalFramework.precedentCitations[0]</x:v>
      </x:c>
      <x:c r="L80" s="14" t="str">
        <x:v>cmmf20sg7000b04jxh5i54iyz</x:v>
      </x:c>
      <x:c r="M80" s="14" t="str">
        <x:v>confirmed_within_10m</x:v>
      </x:c>
      <x:c r="N80" s="14" t="n">
        <x:v>70.692</x:v>
      </x:c>
      <x:c r="O80" s="14" t="str">
        <x:v>yes</x:v>
      </x:c>
      <x:c r="P80" s="14" t="str">
        <x:v>no</x:v>
      </x:c>
      <x:c r="Q80" s="14" t="str">
        <x:v>none</x:v>
      </x:c>
      <x:c r="R80" s="14" t="str">
        <x:v>none</x:v>
      </x:c>
      <x:c r="S80" s="14" t="str"/>
      <x:c r="T80" s="14" t="str"/>
      <x:c r="U80" s="14" t="str"/>
      <x:c r="V80" s="15" t="str"/>
      <x:c r="W80" s="14" t="str">
        <x:v>no</x:v>
      </x:c>
      <x:c r="X80" s="14" t="str"/>
      <x:c r="Y80" s="14" t="str"/>
      <x:c r="Z80" s="14" t="str"/>
      <x:c r="AA80" s="14" t="str">
        <x:v>no</x:v>
      </x:c>
    </x:row>
    <x:row r="81">
      <x:c r="A81" s="1" t="str">
        <x:v>U0148</x:v>
      </x:c>
      <x:c r="B81" s="1" t="str">
        <x:v>cmmf22axa000h04jxcpnnecs0</x:v>
      </x:c>
      <x:c r="C81" s="1" t="str">
        <x:v>ew-cases-EWCA-Civ-2024-1</x:v>
      </x:c>
      <x:c r="D81" s="1" t="str">
        <x:v>synthetic</x:v>
      </x:c>
      <x:c r="E81" s="14" t="str">
        <x:v>HMRC v Dolphin Drilling Ltd</x:v>
      </x:c>
      <x:c r="F81" s="14" t="str">
        <x:v>case:2016 ewca civ 782</x:v>
      </x:c>
      <x:c r="G81" s="14" t="str">
        <x:v>Greene King plc &amp; Anor v Revenue and Customs</x:v>
      </x:c>
      <x:c r="H81" s="14" t="str">
        <x:v>[2016] EWCA Civ 782</x:v>
      </x:c>
      <x:c r="I81" s="14" t="str">
        <x:v>24f747de-4a9b-43b6-90ad-0cce710f5bf8</x:v>
      </x:c>
      <x:c r="J81" s="14" t="n">
        <x:v>1</x:v>
      </x:c>
      <x:c r="K81" s="14" t="str">
        <x:v>factualFindings.contestedFacts[1].sourceCases[0]</x:v>
      </x:c>
      <x:c r="L81" s="14" t="str">
        <x:v>cmmf20sg7000b04jxh5i54iyz</x:v>
      </x:c>
      <x:c r="M81" s="14" t="str">
        <x:v>confirmed_within_10m</x:v>
      </x:c>
      <x:c r="N81" s="14" t="n">
        <x:v>70.692</x:v>
      </x:c>
      <x:c r="O81" s="14" t="str">
        <x:v>yes</x:v>
      </x:c>
      <x:c r="P81" s="14" t="str">
        <x:v>yes</x:v>
      </x:c>
      <x:c r="Q81" s="14" t="str">
        <x:v>exact_case_id</x:v>
      </x:c>
      <x:c r="R81" s="14" t="str">
        <x:v>definitive</x:v>
      </x:c>
      <x:c r="S81" s="14" t="n">
        <x:v>20</x:v>
      </x:c>
      <x:c r="T81" s="14" t="str">
        <x:v>24f747de-4a9b-43b6-90ad-0cce710f5bf8</x:v>
      </x:c>
      <x:c r="U81" s="14" t="str">
        <x:v>Greene King plc &amp; Anor v Revenue and Customs [2016] EWCA Civ 782</x:v>
      </x:c>
      <x:c r="V81" s="15" t="n">
        <x:v>0.6159506</x:v>
      </x:c>
      <x:c r="W81" s="14" t="str">
        <x:v>no</x:v>
      </x:c>
      <x:c r="X81" s="14" t="str"/>
      <x:c r="Y81" s="14" t="str"/>
      <x:c r="Z81" s="14" t="str"/>
      <x:c r="AA81" s="14" t="str">
        <x:v>yes</x:v>
      </x:c>
    </x:row>
    <x:row r="82">
      <x:c r="A82" s="1" t="str">
        <x:v>U0149</x:v>
      </x:c>
      <x:c r="B82" s="1" t="str">
        <x:v>cmmf22axa000h04jxcpnnecs0</x:v>
      </x:c>
      <x:c r="C82" s="1" t="str">
        <x:v>ew-cases-EWCA-Civ-2024-1</x:v>
      </x:c>
      <x:c r="D82" s="1" t="str">
        <x:v>synthetic</x:v>
      </x:c>
      <x:c r="E82" s="14" t="str">
        <x:v>HMRC v Dolphin Drilling Ltd</x:v>
      </x:c>
      <x:c r="F82" s="14" t="str">
        <x:v>case:2016 ewca civ 938</x:v>
      </x:c>
      <x:c r="G82" s="14" t="str">
        <x:v>Routier &amp; Anor v Revenue &amp; Customs</x:v>
      </x:c>
      <x:c r="H82" s="14" t="str">
        <x:v>[2016] EWCA Civ 938</x:v>
      </x:c>
      <x:c r="I82" s="14" t="str">
        <x:v>49a7af4c-0d11-408e-8d84-2238f7e8f04a</x:v>
      </x:c>
      <x:c r="J82" s="14" t="n">
        <x:v>2</x:v>
      </x:c>
      <x:c r="K82" s="14" t="str">
        <x:v>issuesForDetermination.issueMatrix[1].sourceCases[0] | reasoningStructure[1].sourceCases[1]</x:v>
      </x:c>
      <x:c r="L82" s="14" t="str">
        <x:v>cmmf20sg7000b04jxh5i54iyz</x:v>
      </x:c>
      <x:c r="M82" s="14" t="str">
        <x:v>confirmed_within_10m</x:v>
      </x:c>
      <x:c r="N82" s="14" t="n">
        <x:v>70.692</x:v>
      </x:c>
      <x:c r="O82" s="14" t="str">
        <x:v>yes</x:v>
      </x:c>
      <x:c r="P82" s="14" t="str">
        <x:v>yes</x:v>
      </x:c>
      <x:c r="Q82" s="14" t="str">
        <x:v>exact_case_id</x:v>
      </x:c>
      <x:c r="R82" s="14" t="str">
        <x:v>definitive</x:v>
      </x:c>
      <x:c r="S82" s="14" t="n">
        <x:v>19</x:v>
      </x:c>
      <x:c r="T82" s="14" t="str">
        <x:v>49a7af4c-0d11-408e-8d84-2238f7e8f04a</x:v>
      </x:c>
      <x:c r="U82" s="14" t="str">
        <x:v>Routier &amp; Anor v Revenue &amp; Customs [2016] EWCA Civ 938 (Court of Appeal, Civil Division)</x:v>
      </x:c>
      <x:c r="V82" s="15" t="n">
        <x:v>0.6206119</x:v>
      </x:c>
      <x:c r="W82" s="14" t="str">
        <x:v>no</x:v>
      </x:c>
      <x:c r="X82" s="14" t="str"/>
      <x:c r="Y82" s="14" t="str"/>
      <x:c r="Z82" s="14" t="str"/>
      <x:c r="AA82" s="14" t="str">
        <x:v>yes</x:v>
      </x:c>
    </x:row>
    <x:row r="83">
      <x:c r="A83" s="1" t="str">
        <x:v>U0150</x:v>
      </x:c>
      <x:c r="B83" s="1" t="str">
        <x:v>cmmf22axa000h04jxcpnnecs0</x:v>
      </x:c>
      <x:c r="C83" s="1" t="str">
        <x:v>ew-cases-EWCA-Civ-2024-1</x:v>
      </x:c>
      <x:c r="D83" s="1" t="str">
        <x:v>synthetic</x:v>
      </x:c>
      <x:c r="E83" s="14" t="str">
        <x:v>HMRC v Dolphin Drilling Ltd</x:v>
      </x:c>
      <x:c r="F83" s="14" t="str">
        <x:v>case:2022 ewca civ 305</x:v>
      </x:c>
      <x:c r="G83" s="14" t="str">
        <x:v>Cheshire Cavity Storage 1 Limited v HM Revenue &amp; Customs</x:v>
      </x:c>
      <x:c r="H83" s="14" t="str">
        <x:v>[2022] EWCA Civ 305</x:v>
      </x:c>
      <x:c r="I83" s="14" t="str">
        <x:v>321f1eb3-a7ee-452d-a5d1-e08732d9ac84</x:v>
      </x:c>
      <x:c r="J83" s="14" t="n">
        <x:v>2</x:v>
      </x:c>
      <x:c r="K83" s="14" t="str">
        <x:v>factualFindings.contestedFacts[0].sourceCases[0] | reasoningStructure[1].sourceCases[0]</x:v>
      </x:c>
      <x:c r="L83" s="14" t="str">
        <x:v>cmmf20sg7000b04jxh5i54iyz</x:v>
      </x:c>
      <x:c r="M83" s="14" t="str">
        <x:v>confirmed_within_10m</x:v>
      </x:c>
      <x:c r="N83" s="14" t="n">
        <x:v>70.692</x:v>
      </x:c>
      <x:c r="O83" s="14" t="str">
        <x:v>yes</x:v>
      </x:c>
      <x:c r="P83" s="14" t="str">
        <x:v>yes</x:v>
      </x:c>
      <x:c r="Q83" s="14" t="str">
        <x:v>exact_case_id</x:v>
      </x:c>
      <x:c r="R83" s="14" t="str">
        <x:v>definitive</x:v>
      </x:c>
      <x:c r="S83" s="14" t="n">
        <x:v>18</x:v>
      </x:c>
      <x:c r="T83" s="14" t="str">
        <x:v>321f1eb3-a7ee-452d-a5d1-e08732d9ac84</x:v>
      </x:c>
      <x:c r="U83" s="14" t="str">
        <x:v>Cheshire Cavity Storage 1 Limited v HM Revenue &amp; Customs [2022] EWCA Civ 305</x:v>
      </x:c>
      <x:c r="V83" s="15" t="n">
        <x:v>0.62086844</x:v>
      </x:c>
      <x:c r="W83" s="14" t="str">
        <x:v>no</x:v>
      </x:c>
      <x:c r="X83" s="14" t="str"/>
      <x:c r="Y83" s="14" t="str"/>
      <x:c r="Z83" s="14" t="str"/>
      <x:c r="AA83" s="14" t="str">
        <x:v>yes</x:v>
      </x:c>
    </x:row>
    <x:row r="84">
      <x:c r="A84" s="1" t="str">
        <x:v>U0152</x:v>
      </x:c>
      <x:c r="B84" s="1" t="str">
        <x:v>cmmjsmua2000q04jstd4i8p7c</x:v>
      </x:c>
      <x:c r="C84" s="1" t="str">
        <x:v>ca-2024-000255-ellis-v-ssj-appellant-skeleton</x:v>
      </x:c>
      <x:c r="D84" s="1" t="str">
        <x:v>real</x:v>
      </x:c>
      <x:c r="E84" s="14" t="str">
        <x:v>R (Fajr Ellis) v Secretary of State for Justice</x:v>
      </x:c>
      <x:c r="F84" s="14" t="str">
        <x:v>case:2002 ewca civ 605</x:v>
      </x:c>
      <x:c r="G84" s="14" t="str">
        <x:v>English v Emery Reimbold &amp; Strick Ltd [2002] EWCA Civ 605</x:v>
      </x:c>
      <x:c r="H84" s="14" t="str">
        <x:v>English v Emery Reimbold &amp; Strick Ltd [2002] EWCA Civ 605</x:v>
      </x:c>
      <x:c r="I84" s="14" t="str"/>
      <x:c r="J84" s="14" t="n">
        <x:v>1</x:v>
      </x:c>
      <x:c r="K84" s="14" t="str">
        <x:v>legalFramework.precedentCitations[0]</x:v>
      </x:c>
      <x:c r="L84" s="14" t="str">
        <x:v>cmmjsjnvz000k04js5ptftolc</x:v>
      </x:c>
      <x:c r="M84" s="14" t="str">
        <x:v>confirmed_within_10m</x:v>
      </x:c>
      <x:c r="N84" s="14" t="n">
        <x:v>148.344</x:v>
      </x:c>
      <x:c r="O84" s="14" t="str">
        <x:v>yes</x:v>
      </x:c>
      <x:c r="P84" s="14" t="str">
        <x:v>no</x:v>
      </x:c>
      <x:c r="Q84" s="14" t="str">
        <x:v>none</x:v>
      </x:c>
      <x:c r="R84" s="14" t="str">
        <x:v>none</x:v>
      </x:c>
      <x:c r="S84" s="14" t="str"/>
      <x:c r="T84" s="14" t="str"/>
      <x:c r="U84" s="14" t="str"/>
      <x:c r="V84" s="15" t="str"/>
      <x:c r="W84" s="14" t="str">
        <x:v>no</x:v>
      </x:c>
      <x:c r="X84" s="14" t="str"/>
      <x:c r="Y84" s="14" t="str"/>
      <x:c r="Z84" s="14" t="str"/>
      <x:c r="AA84" s="14" t="str">
        <x:v>no</x:v>
      </x:c>
    </x:row>
    <x:row r="85">
      <x:c r="A85" s="1" t="str">
        <x:v>U0153</x:v>
      </x:c>
      <x:c r="B85" s="1" t="str">
        <x:v>cmmjsmua2000q04jstd4i8p7c</x:v>
      </x:c>
      <x:c r="C85" s="1" t="str">
        <x:v>ca-2024-000255-ellis-v-ssj-appellant-skeleton</x:v>
      </x:c>
      <x:c r="D85" s="1" t="str">
        <x:v>real</x:v>
      </x:c>
      <x:c r="E85" s="14" t="str">
        <x:v>R (Fajr Ellis) v Secretary of State for Justice</x:v>
      </x:c>
      <x:c r="F85" s="14" t="str">
        <x:v>case:catan and others v moldova and russia</x:v>
      </x:c>
      <x:c r="G85" s="14" t="str">
        <x:v>Catan and Others v. Moldova and Russia</x:v>
      </x:c>
      <x:c r="H85" s="14" t="str">
        <x:v>N/A</x:v>
      </x:c>
      <x:c r="I85" s="14" t="str">
        <x:v>522b4f69-32d0-44e3-9bb5-92859e5efde0</x:v>
      </x:c>
      <x:c r="J85" s="14" t="n">
        <x:v>1</x:v>
      </x:c>
      <x:c r="K85" s="14" t="str">
        <x:v>factualFindings.chronology[0].sourceCases[0]</x:v>
      </x:c>
      <x:c r="L85" s="14" t="str">
        <x:v>cmmjsjnvz000k04js5ptftolc</x:v>
      </x:c>
      <x:c r="M85" s="14" t="str">
        <x:v>confirmed_within_10m</x:v>
      </x:c>
      <x:c r="N85" s="14" t="n">
        <x:v>148.344</x:v>
      </x:c>
      <x:c r="O85" s="14" t="str">
        <x:v>yes</x:v>
      </x:c>
      <x:c r="P85" s="14" t="str">
        <x:v>yes</x:v>
      </x:c>
      <x:c r="Q85" s="14" t="str">
        <x:v>exact_case_id</x:v>
      </x:c>
      <x:c r="R85" s="14" t="str">
        <x:v>definitive</x:v>
      </x:c>
      <x:c r="S85" s="14" t="n">
        <x:v>15</x:v>
      </x:c>
      <x:c r="T85" s="14" t="str">
        <x:v>522b4f69-32d0-44e3-9bb5-92859e5efde0</x:v>
      </x:c>
      <x:c r="U85" s="14" t="str">
        <x:v>Catan and Others v. Moldova and Russia</x:v>
      </x:c>
      <x:c r="V85" s="15" t="n">
        <x:v>0.7055875</x:v>
      </x:c>
      <x:c r="W85" s="14" t="str">
        <x:v>no</x:v>
      </x:c>
      <x:c r="X85" s="14" t="str"/>
      <x:c r="Y85" s="14" t="str"/>
      <x:c r="Z85" s="14" t="str"/>
      <x:c r="AA85" s="14" t="str">
        <x:v>yes</x:v>
      </x:c>
    </x:row>
    <x:row r="86">
      <x:c r="A86" s="1" t="str">
        <x:v>U0154</x:v>
      </x:c>
      <x:c r="B86" s="1" t="str">
        <x:v>cmmjsmua2000q04jstd4i8p7c</x:v>
      </x:c>
      <x:c r="C86" s="1" t="str">
        <x:v>ca-2024-000255-ellis-v-ssj-appellant-skeleton</x:v>
      </x:c>
      <x:c r="D86" s="1" t="str">
        <x:v>real</x:v>
      </x:c>
      <x:c r="E86" s="14" t="str">
        <x:v>R (Fajr Ellis) v Secretary of State for Justice</x:v>
      </x:c>
      <x:c r="F86" s="14" t="str">
        <x:v>case:kalda v estonia</x:v>
      </x:c>
      <x:c r="G86" s="14" t="str">
        <x:v>Kalda v. Estonia</x:v>
      </x:c>
      <x:c r="H86" s="14" t="str">
        <x:v>Kalda v. Estonia</x:v>
      </x:c>
      <x:c r="I86" s="14" t="str"/>
      <x:c r="J86" s="14" t="n">
        <x:v>1</x:v>
      </x:c>
      <x:c r="K86" s="14" t="str">
        <x:v>legalFramework.legalTestSummaries[0].sourceAuthority</x:v>
      </x:c>
      <x:c r="L86" s="14" t="str">
        <x:v>cmmjsjnvz000k04js5ptftolc</x:v>
      </x:c>
      <x:c r="M86" s="14" t="str">
        <x:v>confirmed_within_10m</x:v>
      </x:c>
      <x:c r="N86" s="14" t="n">
        <x:v>148.344</x:v>
      </x:c>
      <x:c r="O86" s="14" t="str">
        <x:v>yes</x:v>
      </x:c>
      <x:c r="P86" s="14" t="str">
        <x:v>no</x:v>
      </x:c>
      <x:c r="Q86" s="14" t="str">
        <x:v>none</x:v>
      </x:c>
      <x:c r="R86" s="14" t="str">
        <x:v>none</x:v>
      </x:c>
      <x:c r="S86" s="14" t="str"/>
      <x:c r="T86" s="14" t="str"/>
      <x:c r="U86" s="14" t="str"/>
      <x:c r="V86" s="15" t="str"/>
      <x:c r="W86" s="14" t="str">
        <x:v>no</x:v>
      </x:c>
      <x:c r="X86" s="14" t="str"/>
      <x:c r="Y86" s="14" t="str"/>
      <x:c r="Z86" s="14" t="str"/>
      <x:c r="AA86" s="14" t="str">
        <x:v>no</x:v>
      </x:c>
    </x:row>
    <x:row r="87">
      <x:c r="A87" s="1" t="str">
        <x:v>U0155</x:v>
      </x:c>
      <x:c r="B87" s="1" t="str">
        <x:v>cmmjsmua2000q04jstd4i8p7c</x:v>
      </x:c>
      <x:c r="C87" s="1" t="str">
        <x:v>ca-2024-000255-ellis-v-ssj-appellant-skeleton</x:v>
      </x:c>
      <x:c r="D87" s="1" t="str">
        <x:v>real</x:v>
      </x:c>
      <x:c r="E87" s="14" t="str">
        <x:v>R (Fajr Ellis) v Secretary of State for Justice</x:v>
      </x:c>
      <x:c r="F87" s="14" t="str">
        <x:v>case:kalda v estonia access to information rights for prisoners</x:v>
      </x:c>
      <x:c r="G87" s="14" t="str">
        <x:v>Kalda v. Estonia - Access to Information Rights for Prisoners</x:v>
      </x:c>
      <x:c r="H87" s="14" t="str">
        <x:v>N/A</x:v>
      </x:c>
      <x:c r="I87" s="14" t="str">
        <x:v>facdee26-7310-4355-9ef5-1fd21f107f72</x:v>
      </x:c>
      <x:c r="J87" s="14" t="n">
        <x:v>3</x:v>
      </x:c>
      <x:c r="K87" s="14" t="str">
        <x:v>factualFindings.contestedFacts[1].sourceCases[0] | issuesForDetermination.issueMatrix[1].sourceCases[0] | reasoningStructure[1].sourceCases[0]</x:v>
      </x:c>
      <x:c r="L87" s="14" t="str">
        <x:v>cmmjsjnvz000k04js5ptftolc</x:v>
      </x:c>
      <x:c r="M87" s="14" t="str">
        <x:v>confirmed_within_10m</x:v>
      </x:c>
      <x:c r="N87" s="14" t="n">
        <x:v>148.344</x:v>
      </x:c>
      <x:c r="O87" s="14" t="str">
        <x:v>yes</x:v>
      </x:c>
      <x:c r="P87" s="14" t="str">
        <x:v>yes</x:v>
      </x:c>
      <x:c r="Q87" s="14" t="str">
        <x:v>exact_case_id</x:v>
      </x:c>
      <x:c r="R87" s="14" t="str">
        <x:v>definitive</x:v>
      </x:c>
      <x:c r="S87" s="14" t="n">
        <x:v>3</x:v>
      </x:c>
      <x:c r="T87" s="14" t="str">
        <x:v>facdee26-7310-4355-9ef5-1fd21f107f72</x:v>
      </x:c>
      <x:c r="U87" s="14" t="str">
        <x:v>Kalda v. Estonia - Access to Information Rights for Prisoners</x:v>
      </x:c>
      <x:c r="V87" s="15" t="n">
        <x:v>0.746072</x:v>
      </x:c>
      <x:c r="W87" s="14" t="str">
        <x:v>no</x:v>
      </x:c>
      <x:c r="X87" s="14" t="str"/>
      <x:c r="Y87" s="14" t="str"/>
      <x:c r="Z87" s="14" t="str"/>
      <x:c r="AA87" s="14" t="str">
        <x:v>yes</x:v>
      </x:c>
    </x:row>
    <x:row r="88">
      <x:c r="A88" s="1" t="str">
        <x:v>U0156</x:v>
      </x:c>
      <x:c r="B88" s="1" t="str">
        <x:v>cmmjsmua2000q04jstd4i8p7c</x:v>
      </x:c>
      <x:c r="C88" s="1" t="str">
        <x:v>ca-2024-000255-ellis-v-ssj-appellant-skeleton</x:v>
      </x:c>
      <x:c r="D88" s="1" t="str">
        <x:v>real</x:v>
      </x:c>
      <x:c r="E88" s="14" t="str">
        <x:v>R (Fajr Ellis) v Secretary of State for Justice</x:v>
      </x:c>
      <x:c r="F88" s="14" t="str">
        <x:v>case:mehmet arslan and orhan bingol v turkey</x:v>
      </x:c>
      <x:c r="G88" s="14" t="str">
        <x:v>Mehmet Arslan and Orhan Bingol v Turkey</x:v>
      </x:c>
      <x:c r="H88" s="14" t="str">
        <x:v>Mehmet Arslan and Orhan Bingol v Turkey</x:v>
      </x:c>
      <x:c r="I88" s="14" t="str"/>
      <x:c r="J88" s="14" t="n">
        <x:v>1</x:v>
      </x:c>
      <x:c r="K88" s="14" t="str">
        <x:v>legalFramework.legalTestSummaries[1].sourceAuthority</x:v>
      </x:c>
      <x:c r="L88" s="14" t="str">
        <x:v>cmmjsjnvz000k04js5ptftolc</x:v>
      </x:c>
      <x:c r="M88" s="14" t="str">
        <x:v>confirmed_within_10m</x:v>
      </x:c>
      <x:c r="N88" s="14" t="n">
        <x:v>148.344</x:v>
      </x:c>
      <x:c r="O88" s="14" t="str">
        <x:v>yes</x:v>
      </x:c>
      <x:c r="P88" s="14" t="str">
        <x:v>no</x:v>
      </x:c>
      <x:c r="Q88" s="14" t="str">
        <x:v>none</x:v>
      </x:c>
      <x:c r="R88" s="14" t="str">
        <x:v>none</x:v>
      </x:c>
      <x:c r="S88" s="14" t="str"/>
      <x:c r="T88" s="14" t="str"/>
      <x:c r="U88" s="14" t="str"/>
      <x:c r="V88" s="15" t="str"/>
      <x:c r="W88" s="14" t="str">
        <x:v>no</x:v>
      </x:c>
      <x:c r="X88" s="14" t="str"/>
      <x:c r="Y88" s="14" t="str"/>
      <x:c r="Z88" s="14" t="str"/>
      <x:c r="AA88" s="14" t="str">
        <x:v>no</x:v>
      </x:c>
    </x:row>
    <x:row r="89">
      <x:c r="A89" s="1" t="str">
        <x:v>U0157</x:v>
      </x:c>
      <x:c r="B89" s="1" t="str">
        <x:v>cmmjsmua2000q04jstd4i8p7c</x:v>
      </x:c>
      <x:c r="C89" s="1" t="str">
        <x:v>ca-2024-000255-ellis-v-ssj-appellant-skeleton</x:v>
      </x:c>
      <x:c r="D89" s="1" t="str">
        <x:v>real</x:v>
      </x:c>
      <x:c r="E89" s="14" t="str">
        <x:v>R (Fajr Ellis) v Secretary of State for Justice</x:v>
      </x:c>
      <x:c r="F89" s="14" t="str">
        <x:v>case:velyo velev v bulgaria</x:v>
      </x:c>
      <x:c r="G89" s="14" t="str">
        <x:v>Velyo Velev v. Bulgaria</x:v>
      </x:c>
      <x:c r="H89" s="14" t="str">
        <x:v>N/A</x:v>
      </x:c>
      <x:c r="I89" s="14" t="str">
        <x:v>dfa97e6e-7e32-4c80-9f6f-5e4f398f9d82</x:v>
      </x:c>
      <x:c r="J89" s="14" t="n">
        <x:v>3</x:v>
      </x:c>
      <x:c r="K89" s="14" t="str">
        <x:v>factualFindings.contestedFacts[0].sourceCases[0] | issuesForDetermination.issueMatrix[0].sourceCases[0] | reasoningStructure[0].sourceCases[0]</x:v>
      </x:c>
      <x:c r="L89" s="14" t="str">
        <x:v>cmmjsjnvz000k04js5ptftolc</x:v>
      </x:c>
      <x:c r="M89" s="14" t="str">
        <x:v>confirmed_within_10m</x:v>
      </x:c>
      <x:c r="N89" s="14" t="n">
        <x:v>148.344</x:v>
      </x:c>
      <x:c r="O89" s="14" t="str">
        <x:v>yes</x:v>
      </x:c>
      <x:c r="P89" s="14" t="str">
        <x:v>yes</x:v>
      </x:c>
      <x:c r="Q89" s="14" t="str">
        <x:v>exact_case_id</x:v>
      </x:c>
      <x:c r="R89" s="14" t="str">
        <x:v>definitive</x:v>
      </x:c>
      <x:c r="S89" s="14" t="n">
        <x:v>1</x:v>
      </x:c>
      <x:c r="T89" s="14" t="str">
        <x:v>dfa97e6e-7e32-4c80-9f6f-5e4f398f9d82</x:v>
      </x:c>
      <x:c r="U89" s="14" t="str">
        <x:v>Velyo Velev v. Bulgaria (Application No. 16032/07)</x:v>
      </x:c>
      <x:c r="V89" s="15" t="n">
        <x:v>0.7950101</x:v>
      </x:c>
      <x:c r="W89" s="14" t="str">
        <x:v>no</x:v>
      </x:c>
      <x:c r="X89" s="14" t="str"/>
      <x:c r="Y89" s="14" t="str"/>
      <x:c r="Z89" s="14" t="str"/>
      <x:c r="AA89" s="14" t="str">
        <x:v>yes</x:v>
      </x:c>
    </x:row>
    <x:row r="90">
      <x:c r="A90" s="1" t="str">
        <x:v>U0161</x:v>
      </x:c>
      <x:c r="B90" s="1" t="str">
        <x:v>cmmjtnsdx000904l4vhap8xwc</x:v>
      </x:c>
      <x:c r="C90" s="1" t="str">
        <x:v>ca-2024-000255-ellis-v-ssj-appellant-skeleton</x:v>
      </x:c>
      <x:c r="D90" s="1" t="str">
        <x:v>real</x:v>
      </x:c>
      <x:c r="E90" s="14" t="str">
        <x:v>R (Fajr Ellis) v Secretary of State for Justice</x:v>
      </x:c>
      <x:c r="F90" s="14" t="str">
        <x:v>case:2000 1 wlr 377</x:v>
      </x:c>
      <x:c r="G90" s="14" t="str">
        <x:v>Flannery v Halifax Estate Agencies Ltd [2000] 1 WLR 377</x:v>
      </x:c>
      <x:c r="H90" s="14" t="str">
        <x:v>Flannery v Halifax Estate Agencies Ltd [2000] 1 WLR 377</x:v>
      </x:c>
      <x:c r="I90" s="14" t="str"/>
      <x:c r="J90" s="14" t="n">
        <x:v>1</x:v>
      </x:c>
      <x:c r="K90" s="14" t="str">
        <x:v>legalFramework.precedentCitations[1]</x:v>
      </x:c>
      <x:c r="L90" s="14" t="str">
        <x:v>cmmjtjuc3000304l46doynpvf</x:v>
      </x:c>
      <x:c r="M90" s="14" t="str">
        <x:v>confirmed_within_10m</x:v>
      </x:c>
      <x:c r="N90" s="14" t="n">
        <x:v>184.225</x:v>
      </x:c>
      <x:c r="O90" s="14" t="str">
        <x:v>yes</x:v>
      </x:c>
      <x:c r="P90" s="14" t="str">
        <x:v>no</x:v>
      </x:c>
      <x:c r="Q90" s="14" t="str">
        <x:v>none</x:v>
      </x:c>
      <x:c r="R90" s="14" t="str">
        <x:v>none</x:v>
      </x:c>
      <x:c r="S90" s="14" t="str"/>
      <x:c r="T90" s="14" t="str"/>
      <x:c r="U90" s="14" t="str"/>
      <x:c r="V90" s="15" t="str"/>
      <x:c r="W90" s="14" t="str">
        <x:v>no</x:v>
      </x:c>
      <x:c r="X90" s="14" t="str"/>
      <x:c r="Y90" s="14" t="str"/>
      <x:c r="Z90" s="14" t="str"/>
      <x:c r="AA90" s="14" t="str">
        <x:v>no</x:v>
      </x:c>
    </x:row>
    <x:row r="91">
      <x:c r="A91" s="1" t="str">
        <x:v>U0162</x:v>
      </x:c>
      <x:c r="B91" s="1" t="str">
        <x:v>cmmjtnsdx000904l4vhap8xwc</x:v>
      </x:c>
      <x:c r="C91" s="1" t="str">
        <x:v>ca-2024-000255-ellis-v-ssj-appellant-skeleton</x:v>
      </x:c>
      <x:c r="D91" s="1" t="str">
        <x:v>real</x:v>
      </x:c>
      <x:c r="E91" s="14" t="str">
        <x:v>R (Fajr Ellis) v Secretary of State for Justice</x:v>
      </x:c>
      <x:c r="F91" s="14" t="str">
        <x:v>case:2002 ewca civ 605</x:v>
      </x:c>
      <x:c r="G91" s="14" t="str">
        <x:v>English v Emery Reimbold &amp; Strick Ltd [2002] EWCA Civ 605</x:v>
      </x:c>
      <x:c r="H91" s="14" t="str">
        <x:v>English v Emery Reimbold &amp; Strick Ltd [2002] EWCA Civ 605</x:v>
      </x:c>
      <x:c r="I91" s="14" t="str"/>
      <x:c r="J91" s="14" t="n">
        <x:v>1</x:v>
      </x:c>
      <x:c r="K91" s="14" t="str">
        <x:v>legalFramework.precedentCitations[0]</x:v>
      </x:c>
      <x:c r="L91" s="14" t="str">
        <x:v>cmmjtjuc3000304l46doynpvf</x:v>
      </x:c>
      <x:c r="M91" s="14" t="str">
        <x:v>confirmed_within_10m</x:v>
      </x:c>
      <x:c r="N91" s="14" t="n">
        <x:v>184.225</x:v>
      </x:c>
      <x:c r="O91" s="14" t="str">
        <x:v>yes</x:v>
      </x:c>
      <x:c r="P91" s="14" t="str">
        <x:v>no</x:v>
      </x:c>
      <x:c r="Q91" s="14" t="str">
        <x:v>none</x:v>
      </x:c>
      <x:c r="R91" s="14" t="str">
        <x:v>none</x:v>
      </x:c>
      <x:c r="S91" s="14" t="str"/>
      <x:c r="T91" s="14" t="str"/>
      <x:c r="U91" s="14" t="str"/>
      <x:c r="V91" s="15" t="str"/>
      <x:c r="W91" s="14" t="str">
        <x:v>no</x:v>
      </x:c>
      <x:c r="X91" s="14" t="str"/>
      <x:c r="Y91" s="14" t="str"/>
      <x:c r="Z91" s="14" t="str"/>
      <x:c r="AA91" s="14" t="str">
        <x:v>no</x:v>
      </x:c>
    </x:row>
    <x:row r="92">
      <x:c r="A92" s="1" t="str">
        <x:v>U0163</x:v>
      </x:c>
      <x:c r="B92" s="1" t="str">
        <x:v>cmmjtnsdx000904l4vhap8xwc</x:v>
      </x:c>
      <x:c r="C92" s="1" t="str">
        <x:v>ca-2024-000255-ellis-v-ssj-appellant-skeleton</x:v>
      </x:c>
      <x:c r="D92" s="1" t="str">
        <x:v>real</x:v>
      </x:c>
      <x:c r="E92" s="14" t="str">
        <x:v>R (Fajr Ellis) v Secretary of State for Justice</x:v>
      </x:c>
      <x:c r="F92" s="14" t="str">
        <x:v>case:2015 ewca civ 1187</x:v>
      </x:c>
      <x:c r="G92" s="14" t="str">
        <x:v>Idira, R (On the Application Of) v The Secretary of State for the Home Department (Rev 1)</x:v>
      </x:c>
      <x:c r="H92" s="14" t="str">
        <x:v>[2015] EWCA Civ 1187</x:v>
      </x:c>
      <x:c r="I92" s="14" t="str">
        <x:v>80701211-fe03-4dc0-972a-b2e5467876b9</x:v>
      </x:c>
      <x:c r="J92" s="14" t="n">
        <x:v>1</x:v>
      </x:c>
      <x:c r="K92" s="14" t="str">
        <x:v>issuesForDetermination.issueMatrix[0].sourceCases[0]</x:v>
      </x:c>
      <x:c r="L92" s="14" t="str">
        <x:v>cmmjtjuc3000304l46doynpvf</x:v>
      </x:c>
      <x:c r="M92" s="14" t="str">
        <x:v>confirmed_within_10m</x:v>
      </x:c>
      <x:c r="N92" s="14" t="n">
        <x:v>184.225</x:v>
      </x:c>
      <x:c r="O92" s="14" t="str">
        <x:v>yes</x:v>
      </x:c>
      <x:c r="P92" s="14" t="str">
        <x:v>yes</x:v>
      </x:c>
      <x:c r="Q92" s="14" t="str">
        <x:v>exact_case_id</x:v>
      </x:c>
      <x:c r="R92" s="14" t="str">
        <x:v>definitive</x:v>
      </x:c>
      <x:c r="S92" s="14" t="n">
        <x:v>11</x:v>
      </x:c>
      <x:c r="T92" s="14" t="str">
        <x:v>80701211-fe03-4dc0-972a-b2e5467876b9</x:v>
      </x:c>
      <x:c r="U92" s="14" t="str">
        <x:v>Idira, R (On the Application Of) v The Secretary of State for the Home Department (Rev 1) [2015] EWCA Civ 1187</x:v>
      </x:c>
      <x:c r="V92" s="15" t="n">
        <x:v>0.7166909</x:v>
      </x:c>
      <x:c r="W92" s="14" t="str">
        <x:v>no</x:v>
      </x:c>
      <x:c r="X92" s="14" t="str"/>
      <x:c r="Y92" s="14" t="str"/>
      <x:c r="Z92" s="14" t="str"/>
      <x:c r="AA92" s="14" t="str">
        <x:v>yes</x:v>
      </x:c>
    </x:row>
    <x:row r="93">
      <x:c r="A93" s="1" t="str">
        <x:v>U0164</x:v>
      </x:c>
      <x:c r="B93" s="1" t="str">
        <x:v>cmmjtnsdx000904l4vhap8xwc</x:v>
      </x:c>
      <x:c r="C93" s="1" t="str">
        <x:v>ca-2024-000255-ellis-v-ssj-appellant-skeleton</x:v>
      </x:c>
      <x:c r="D93" s="1" t="str">
        <x:v>real</x:v>
      </x:c>
      <x:c r="E93" s="14" t="str">
        <x:v>R (Fajr Ellis) v Secretary of State for Justice</x:v>
      </x:c>
      <x:c r="F93" s="14" t="str">
        <x:v>case:the howard league for penal reform and prisoners advice service v the lord chancellor</x:v>
      </x:c>
      <x:c r="G93" s="14" t="str">
        <x:v>The Howard League for Penal Reform and Prisoners' Advice Service v The Lord Chancellor</x:v>
      </x:c>
      <x:c r="H93" s="14" t="str">
        <x:v>N/A</x:v>
      </x:c>
      <x:c r="I93" s="14" t="str">
        <x:v>d60a5323-796e-4110-a6de-012ec16860c1</x:v>
      </x:c>
      <x:c r="J93" s="14" t="n">
        <x:v>1</x:v>
      </x:c>
      <x:c r="K93" s="14" t="str">
        <x:v>factualFindings.contestedFacts[0].sourceCases[0]</x:v>
      </x:c>
      <x:c r="L93" s="14" t="str">
        <x:v>cmmjtjuc3000304l46doynpvf</x:v>
      </x:c>
      <x:c r="M93" s="14" t="str">
        <x:v>confirmed_within_10m</x:v>
      </x:c>
      <x:c r="N93" s="14" t="n">
        <x:v>184.225</x:v>
      </x:c>
      <x:c r="O93" s="14" t="str">
        <x:v>yes</x:v>
      </x:c>
      <x:c r="P93" s="14" t="str">
        <x:v>yes</x:v>
      </x:c>
      <x:c r="Q93" s="14" t="str">
        <x:v>exact_case_id</x:v>
      </x:c>
      <x:c r="R93" s="14" t="str">
        <x:v>definitive</x:v>
      </x:c>
      <x:c r="S93" s="14" t="n">
        <x:v>2</x:v>
      </x:c>
      <x:c r="T93" s="14" t="str">
        <x:v>d60a5323-796e-4110-a6de-012ec16860c1</x:v>
      </x:c>
      <x:c r="U93" s="14" t="str">
        <x:v>The Howard League for Penal Reform and Prisoners' Advice Service v The Lord Chancellor</x:v>
      </x:c>
      <x:c r="V93" s="15" t="n">
        <x:v>0.76321787</x:v>
      </x:c>
      <x:c r="W93" s="14" t="str">
        <x:v>no</x:v>
      </x:c>
      <x:c r="X93" s="14" t="str"/>
      <x:c r="Y93" s="14" t="str"/>
      <x:c r="Z93" s="14" t="str"/>
      <x:c r="AA93" s="14" t="str">
        <x:v>yes</x:v>
      </x:c>
    </x:row>
    <x:row r="94">
      <x:c r="A94" s="1" t="str">
        <x:v>U0165</x:v>
      </x:c>
      <x:c r="B94" s="1" t="str">
        <x:v>cmmjtnsdx000904l4vhap8xwc</x:v>
      </x:c>
      <x:c r="C94" s="1" t="str">
        <x:v>ca-2024-000255-ellis-v-ssj-appellant-skeleton</x:v>
      </x:c>
      <x:c r="D94" s="1" t="str">
        <x:v>real</x:v>
      </x:c>
      <x:c r="E94" s="14" t="str">
        <x:v>R (Fajr Ellis) v Secretary of State for Justice</x:v>
      </x:c>
      <x:c r="F94" s="14" t="str">
        <x:v>case:use of languages in education in belgium</x:v>
      </x:c>
      <x:c r="G94" s="14" t="str">
        <x:v>Use of Languages in Education in Belgium</x:v>
      </x:c>
      <x:c r="H94" s="14" t="str">
        <x:v>N/A</x:v>
      </x:c>
      <x:c r="I94" s="14" t="str">
        <x:v>b15fdd53-0222-49df-98a5-84e25904f9fd</x:v>
      </x:c>
      <x:c r="J94" s="14" t="n">
        <x:v>1</x:v>
      </x:c>
      <x:c r="K94" s="14" t="str">
        <x:v>issuesForDetermination.issueMatrix[1].sourceCases[0]</x:v>
      </x:c>
      <x:c r="L94" s="14" t="str">
        <x:v>cmmjtjuc3000304l46doynpvf</x:v>
      </x:c>
      <x:c r="M94" s="14" t="str">
        <x:v>confirmed_within_10m</x:v>
      </x:c>
      <x:c r="N94" s="14" t="n">
        <x:v>184.225</x:v>
      </x:c>
      <x:c r="O94" s="14" t="str">
        <x:v>yes</x:v>
      </x:c>
      <x:c r="P94" s="14" t="str">
        <x:v>yes</x:v>
      </x:c>
      <x:c r="Q94" s="14" t="str">
        <x:v>exact_case_id</x:v>
      </x:c>
      <x:c r="R94" s="14" t="str">
        <x:v>definitive</x:v>
      </x:c>
      <x:c r="S94" s="14" t="n">
        <x:v>10</x:v>
      </x:c>
      <x:c r="T94" s="14" t="str">
        <x:v>b15fdd53-0222-49df-98a5-84e25904f9fd</x:v>
      </x:c>
      <x:c r="U94" s="14" t="str">
        <x:v>Use of Languages in Education in Belgium</x:v>
      </x:c>
      <x:c r="V94" s="15" t="n">
        <x:v>0.7170517</x:v>
      </x:c>
      <x:c r="W94" s="14" t="str">
        <x:v>no</x:v>
      </x:c>
      <x:c r="X94" s="14" t="str"/>
      <x:c r="Y94" s="14" t="str"/>
      <x:c r="Z94" s="14" t="str"/>
      <x:c r="AA94" s="14" t="str">
        <x:v>yes</x:v>
      </x:c>
    </x:row>
    <x:row r="95">
      <x:c r="A95" s="1" t="str">
        <x:v>U0171</x:v>
      </x:c>
      <x:c r="B95" s="1" t="str">
        <x:v>cmmls2r93000304jme0bpsul9</x:v>
      </x:c>
      <x:c r="C95" s="1" t="str">
        <x:v>skeleton-args-ca2023004634-299a4a730fe1f43a</x:v>
      </x:c>
      <x:c r="D95" s="1" t="str">
        <x:v>synthetic</x:v>
      </x:c>
      <x:c r="E95" s="14" t="str">
        <x:v>Metropolitan Property Holdings Ltd v Artisan Coffee Co Ltd</x:v>
      </x:c>
      <x:c r="F95" s="14" t="str">
        <x:v>case:2002 ewca civ 605</x:v>
      </x:c>
      <x:c r="G95" s="14" t="str">
        <x:v>[2002] EWCA Civ 605</x:v>
      </x:c>
      <x:c r="H95" s="14" t="str">
        <x:v>[2002] EWCA Civ 605</x:v>
      </x:c>
      <x:c r="I95" s="14" t="str"/>
      <x:c r="J95" s="14" t="n">
        <x:v>1</x:v>
      </x:c>
      <x:c r="K95" s="14" t="str">
        <x:v>legalFramework.precedentCitations[0]</x:v>
      </x:c>
      <x:c r="L95" s="14" t="str">
        <x:v>cmmlryf16000304l5d3mrnfu5</x:v>
      </x:c>
      <x:c r="M95" s="14" t="str">
        <x:v>confirmed_within_10m</x:v>
      </x:c>
      <x:c r="N95" s="14" t="n">
        <x:v>202.611</x:v>
      </x:c>
      <x:c r="O95" s="14" t="str">
        <x:v>yes</x:v>
      </x:c>
      <x:c r="P95" s="14" t="str">
        <x:v>no</x:v>
      </x:c>
      <x:c r="Q95" s="14" t="str">
        <x:v>none</x:v>
      </x:c>
      <x:c r="R95" s="14" t="str">
        <x:v>none</x:v>
      </x:c>
      <x:c r="S95" s="14" t="str"/>
      <x:c r="T95" s="14" t="str"/>
      <x:c r="U95" s="14" t="str"/>
      <x:c r="V95" s="15" t="str"/>
      <x:c r="W95" s="14" t="str">
        <x:v>no</x:v>
      </x:c>
      <x:c r="X95" s="14" t="str"/>
      <x:c r="Y95" s="14" t="str"/>
      <x:c r="Z95" s="14" t="str"/>
      <x:c r="AA95" s="14" t="str">
        <x:v>no</x:v>
      </x:c>
    </x:row>
    <x:row r="96">
      <x:c r="A96" s="1" t="str">
        <x:v>U0172</x:v>
      </x:c>
      <x:c r="B96" s="1" t="str">
        <x:v>cmmls2r93000304jme0bpsul9</x:v>
      </x:c>
      <x:c r="C96" s="1" t="str">
        <x:v>skeleton-args-ca2023004634-299a4a730fe1f43a</x:v>
      </x:c>
      <x:c r="D96" s="1" t="str">
        <x:v>synthetic</x:v>
      </x:c>
      <x:c r="E96" s="14" t="str">
        <x:v>Metropolitan Property Holdings Ltd v Artisan Coffee Co Ltd</x:v>
      </x:c>
      <x:c r="F96" s="14" t="str">
        <x:v>case:bank of new york mellon international limited v cine uk limited</x:v>
      </x:c>
      <x:c r="G96" s="14" t="str">
        <x:v>Bank of New York Mellon (International) Limited v Cine-UK Limited</x:v>
      </x:c>
      <x:c r="H96" s="14" t="str">
        <x:v>N/A</x:v>
      </x:c>
      <x:c r="I96" s="14" t="str">
        <x:v>00167e1d-845c-4a1d-b17c-1c91c10b2c37</x:v>
      </x:c>
      <x:c r="J96" s="14" t="n">
        <x:v>1</x:v>
      </x:c>
      <x:c r="K96" s="14" t="str">
        <x:v>factualFindings.contestedFacts[1].sourceCases[0]</x:v>
      </x:c>
      <x:c r="L96" s="14" t="str">
        <x:v>cmmlryf16000304l5d3mrnfu5</x:v>
      </x:c>
      <x:c r="M96" s="14" t="str">
        <x:v>confirmed_within_10m</x:v>
      </x:c>
      <x:c r="N96" s="14" t="n">
        <x:v>202.611</x:v>
      </x:c>
      <x:c r="O96" s="14" t="str">
        <x:v>yes</x:v>
      </x:c>
      <x:c r="P96" s="14" t="str">
        <x:v>yes</x:v>
      </x:c>
      <x:c r="Q96" s="14" t="str">
        <x:v>exact_case_id</x:v>
      </x:c>
      <x:c r="R96" s="14" t="str">
        <x:v>definitive</x:v>
      </x:c>
      <x:c r="S96" s="14" t="n">
        <x:v>2</x:v>
      </x:c>
      <x:c r="T96" s="14" t="str">
        <x:v>00167e1d-845c-4a1d-b17c-1c91c10b2c37</x:v>
      </x:c>
      <x:c r="U96" s="14" t="str">
        <x:v>Bank of New York Mellon (International) Limited v Cine-UK Limited [2022] EWCA Civ 1021</x:v>
      </x:c>
      <x:c r="V96" s="15" t="n">
        <x:v>0.72841835</x:v>
      </x:c>
      <x:c r="W96" s="14" t="str">
        <x:v>no</x:v>
      </x:c>
      <x:c r="X96" s="14" t="str"/>
      <x:c r="Y96" s="14" t="str"/>
      <x:c r="Z96" s="14" t="str"/>
      <x:c r="AA96" s="14" t="str">
        <x:v>yes</x:v>
      </x:c>
    </x:row>
    <x:row r="97">
      <x:c r="A97" s="1" t="str">
        <x:v>U0173</x:v>
      </x:c>
      <x:c r="B97" s="1" t="str">
        <x:v>cmmls2r93000304jme0bpsul9</x:v>
      </x:c>
      <x:c r="C97" s="1" t="str">
        <x:v>skeleton-args-ca2023004634-299a4a730fe1f43a</x:v>
      </x:c>
      <x:c r="D97" s="1" t="str">
        <x:v>synthetic</x:v>
      </x:c>
      <x:c r="E97" s="14" t="str">
        <x:v>Metropolitan Property Holdings Ltd v Artisan Coffee Co Ltd</x:v>
      </x:c>
      <x:c r="F97" s="14" t="str">
        <x:v>case:bishop v chhokar</x:v>
      </x:c>
      <x:c r="G97" s="14" t="str">
        <x:v>Bishop v Chhokar</x:v>
      </x:c>
      <x:c r="H97" s="14" t="str">
        <x:v>N/A</x:v>
      </x:c>
      <x:c r="I97" s="14" t="str">
        <x:v>945cd74c-6126-4ef5-ae71-7c0099a28f2b</x:v>
      </x:c>
      <x:c r="J97" s="14" t="n">
        <x:v>1</x:v>
      </x:c>
      <x:c r="K97" s="14" t="str">
        <x:v>reasoningStructure[0].sourceCases[0]</x:v>
      </x:c>
      <x:c r="L97" s="14" t="str">
        <x:v>cmmlryf16000304l5d3mrnfu5</x:v>
      </x:c>
      <x:c r="M97" s="14" t="str">
        <x:v>confirmed_within_10m</x:v>
      </x:c>
      <x:c r="N97" s="14" t="n">
        <x:v>202.611</x:v>
      </x:c>
      <x:c r="O97" s="14" t="str">
        <x:v>yes</x:v>
      </x:c>
      <x:c r="P97" s="14" t="str">
        <x:v>yes</x:v>
      </x:c>
      <x:c r="Q97" s="14" t="str">
        <x:v>exact_case_id</x:v>
      </x:c>
      <x:c r="R97" s="14" t="str">
        <x:v>definitive</x:v>
      </x:c>
      <x:c r="S97" s="14" t="n">
        <x:v>5</x:v>
      </x:c>
      <x:c r="T97" s="14" t="str">
        <x:v>945cd74c-6126-4ef5-ae71-7c0099a28f2b</x:v>
      </x:c>
      <x:c r="U97" s="14" t="str">
        <x:v>Bishop v Chhokar [2015] EWCA Civ 24</x:v>
      </x:c>
      <x:c r="V97" s="15" t="n">
        <x:v>0.72506535</x:v>
      </x:c>
      <x:c r="W97" s="14" t="str">
        <x:v>no</x:v>
      </x:c>
      <x:c r="X97" s="14" t="str"/>
      <x:c r="Y97" s="14" t="str"/>
      <x:c r="Z97" s="14" t="str"/>
      <x:c r="AA97" s="14" t="str">
        <x:v>yes</x:v>
      </x:c>
    </x:row>
    <x:row r="98">
      <x:c r="A98" s="1" t="str">
        <x:v>U0174</x:v>
      </x:c>
      <x:c r="B98" s="1" t="str">
        <x:v>cmmls2r93000304jme0bpsul9</x:v>
      </x:c>
      <x:c r="C98" s="1" t="str">
        <x:v>skeleton-args-ca2023004634-299a4a730fe1f43a</x:v>
      </x:c>
      <x:c r="D98" s="1" t="str">
        <x:v>synthetic</x:v>
      </x:c>
      <x:c r="E98" s="14" t="str">
        <x:v>Metropolitan Property Holdings Ltd v Artisan Coffee Co Ltd</x:v>
      </x:c>
      <x:c r="F98" s="14" t="str">
        <x:v>case:freifeld &amp; anor v west kensington court ltd</x:v>
      </x:c>
      <x:c r="G98" s="14" t="str">
        <x:v>Freifeld &amp; Anor v West Kensington Court Ltd</x:v>
      </x:c>
      <x:c r="H98" s="14" t="str">
        <x:v>N/A</x:v>
      </x:c>
      <x:c r="I98" s="14" t="str">
        <x:v>18a014eb-e365-4420-b07a-dfdd42f053ec</x:v>
      </x:c>
      <x:c r="J98" s="14" t="n">
        <x:v>1</x:v>
      </x:c>
      <x:c r="K98" s="14" t="str">
        <x:v>factualFindings.contestedFacts[0].sourceCases[0]</x:v>
      </x:c>
      <x:c r="L98" s="14" t="str">
        <x:v>cmmlryf16000304l5d3mrnfu5</x:v>
      </x:c>
      <x:c r="M98" s="14" t="str">
        <x:v>confirmed_within_10m</x:v>
      </x:c>
      <x:c r="N98" s="14" t="n">
        <x:v>202.611</x:v>
      </x:c>
      <x:c r="O98" s="14" t="str">
        <x:v>yes</x:v>
      </x:c>
      <x:c r="P98" s="14" t="str">
        <x:v>yes</x:v>
      </x:c>
      <x:c r="Q98" s="14" t="str">
        <x:v>exact_case_id</x:v>
      </x:c>
      <x:c r="R98" s="14" t="str">
        <x:v>definitive</x:v>
      </x:c>
      <x:c r="S98" s="14" t="n">
        <x:v>1</x:v>
      </x:c>
      <x:c r="T98" s="14" t="str">
        <x:v>18a014eb-e365-4420-b07a-dfdd42f053ec</x:v>
      </x:c>
      <x:c r="U98" s="14" t="str">
        <x:v>Freifeld &amp; Anor v West Kensington Court Ltd [2015] EWCA Civ 806</x:v>
      </x:c>
      <x:c r="V98" s="15" t="n">
        <x:v>0.73170173</x:v>
      </x:c>
      <x:c r="W98" s="14" t="str">
        <x:v>no</x:v>
      </x:c>
      <x:c r="X98" s="14" t="str"/>
      <x:c r="Y98" s="14" t="str"/>
      <x:c r="Z98" s="14" t="str"/>
      <x:c r="AA98" s="14" t="str">
        <x:v>yes</x:v>
      </x:c>
    </x:row>
    <x:row r="99">
      <x:c r="A99" s="1" t="str">
        <x:v>U0175</x:v>
      </x:c>
      <x:c r="B99" s="1" t="str">
        <x:v>cmmls2r93000304jme0bpsul9</x:v>
      </x:c>
      <x:c r="C99" s="1" t="str">
        <x:v>skeleton-args-ca2023004634-299a4a730fe1f43a</x:v>
      </x:c>
      <x:c r="D99" s="1" t="str">
        <x:v>synthetic</x:v>
      </x:c>
      <x:c r="E99" s="14" t="str">
        <x:v>Metropolitan Property Holdings Ltd v Artisan Coffee Co Ltd</x:v>
      </x:c>
      <x:c r="F99" s="14" t="str">
        <x:v>case:hough v greathall ltd</x:v>
      </x:c>
      <x:c r="G99" s="14" t="str">
        <x:v>Hough v Greathall Ltd</x:v>
      </x:c>
      <x:c r="H99" s="14" t="str">
        <x:v>N/A</x:v>
      </x:c>
      <x:c r="I99" s="14" t="str">
        <x:v>093c1223-0ae8-4284-9849-0aa54158efc1</x:v>
      </x:c>
      <x:c r="J99" s="14" t="n">
        <x:v>1</x:v>
      </x:c>
      <x:c r="K99" s="14" t="str">
        <x:v>reasoningStructure[1].sourceCases[0]</x:v>
      </x:c>
      <x:c r="L99" s="14" t="str">
        <x:v>cmmlryf16000304l5d3mrnfu5</x:v>
      </x:c>
      <x:c r="M99" s="14" t="str">
        <x:v>confirmed_within_10m</x:v>
      </x:c>
      <x:c r="N99" s="14" t="n">
        <x:v>202.611</x:v>
      </x:c>
      <x:c r="O99" s="14" t="str">
        <x:v>yes</x:v>
      </x:c>
      <x:c r="P99" s="14" t="str">
        <x:v>yes</x:v>
      </x:c>
      <x:c r="Q99" s="14" t="str">
        <x:v>exact_case_id</x:v>
      </x:c>
      <x:c r="R99" s="14" t="str">
        <x:v>definitive</x:v>
      </x:c>
      <x:c r="S99" s="14" t="n">
        <x:v>6</x:v>
      </x:c>
      <x:c r="T99" s="14" t="str">
        <x:v>093c1223-0ae8-4284-9849-0aa54158efc1</x:v>
      </x:c>
      <x:c r="U99" s="14" t="str">
        <x:v>Hough v Greathall Ltd [2015] EWCA Civ 23</x:v>
      </x:c>
      <x:c r="V99" s="15" t="n">
        <x:v>0.7240748</x:v>
      </x:c>
      <x:c r="W99" s="14" t="str">
        <x:v>no</x:v>
      </x:c>
      <x:c r="X99" s="14" t="str"/>
      <x:c r="Y99" s="14" t="str"/>
      <x:c r="Z99" s="14" t="str"/>
      <x:c r="AA99" s="14" t="str">
        <x:v>yes</x:v>
      </x:c>
    </x:row>
    <x:row r="100">
      <x:c r="A100" s="1" t="str">
        <x:v>U0176</x:v>
      </x:c>
      <x:c r="B100" s="1" t="str">
        <x:v>cmmls2r93000304jme0bpsul9</x:v>
      </x:c>
      <x:c r="C100" s="1" t="str">
        <x:v>skeleton-args-ca2023004634-299a4a730fe1f43a</x:v>
      </x:c>
      <x:c r="D100" s="1" t="str">
        <x:v>synthetic</x:v>
      </x:c>
      <x:c r="E100" s="14" t="str">
        <x:v>Metropolitan Property Holdings Ltd v Artisan Coffee Co Ltd</x:v>
      </x:c>
      <x:c r="F100" s="14" t="str">
        <x:v>case:nizami v dezyanian</x:v>
      </x:c>
      <x:c r="G100" s="14" t="str">
        <x:v>Nizami v Dezyanian</x:v>
      </x:c>
      <x:c r="H100" s="14" t="str">
        <x:v>N/A</x:v>
      </x:c>
      <x:c r="I100" s="14" t="str">
        <x:v>39df6304-6d5c-4744-8f1a-adcd4015ef46</x:v>
      </x:c>
      <x:c r="J100" s="14" t="n">
        <x:v>1</x:v>
      </x:c>
      <x:c r="K100" s="14" t="str">
        <x:v>issuesForDetermination.issueMatrix[0].sourceCases[0]</x:v>
      </x:c>
      <x:c r="L100" s="14" t="str">
        <x:v>cmmlryf16000304l5d3mrnfu5</x:v>
      </x:c>
      <x:c r="M100" s="14" t="str">
        <x:v>confirmed_within_10m</x:v>
      </x:c>
      <x:c r="N100" s="14" t="n">
        <x:v>202.611</x:v>
      </x:c>
      <x:c r="O100" s="14" t="str">
        <x:v>yes</x:v>
      </x:c>
      <x:c r="P100" s="14" t="str">
        <x:v>yes</x:v>
      </x:c>
      <x:c r="Q100" s="14" t="str">
        <x:v>exact_case_id</x:v>
      </x:c>
      <x:c r="R100" s="14" t="str">
        <x:v>definitive</x:v>
      </x:c>
      <x:c r="S100" s="14" t="n">
        <x:v>4</x:v>
      </x:c>
      <x:c r="T100" s="14" t="str">
        <x:v>39df6304-6d5c-4744-8f1a-adcd4015ef46</x:v>
      </x:c>
      <x:c r="U100" s="14" t="str">
        <x:v>Nizami v Dezyanian [2015] EWCA Civ 632</x:v>
      </x:c>
      <x:c r="V100" s="15" t="n">
        <x:v>0.7255647</x:v>
      </x:c>
      <x:c r="W100" s="14" t="str">
        <x:v>no</x:v>
      </x:c>
      <x:c r="X100" s="14" t="str"/>
      <x:c r="Y100" s="14" t="str"/>
      <x:c r="Z100" s="14" t="str"/>
      <x:c r="AA100" s="14" t="str">
        <x:v>yes</x:v>
      </x:c>
    </x:row>
    <x:row r="101">
      <x:c r="A101" s="1" t="str">
        <x:v>U0177</x:v>
      </x:c>
      <x:c r="B101" s="1" t="str">
        <x:v>cmmls2r93000304jme0bpsul9</x:v>
      </x:c>
      <x:c r="C101" s="1" t="str">
        <x:v>skeleton-args-ca2023004634-299a4a730fe1f43a</x:v>
      </x:c>
      <x:c r="D101" s="1" t="str">
        <x:v>synthetic</x:v>
      </x:c>
      <x:c r="E101" s="14" t="str">
        <x:v>Metropolitan Property Holdings Ltd v Artisan Coffee Co Ltd</x:v>
      </x:c>
      <x:c r="F101" s="14" t="str">
        <x:v>case:topland portfolio no 1 ltd v smiths news trading ltd</x:v>
      </x:c>
      <x:c r="G101" s="14" t="str">
        <x:v>Topland Portfolio No 1 Ltd v Smiths News Trading Ltd</x:v>
      </x:c>
      <x:c r="H101" s="14" t="str">
        <x:v>N/A</x:v>
      </x:c>
      <x:c r="I101" s="14" t="str">
        <x:v>b8f5594c-ac32-4dd3-804a-fd0c938c4401</x:v>
      </x:c>
      <x:c r="J101" s="14" t="n">
        <x:v>1</x:v>
      </x:c>
      <x:c r="K101" s="14" t="str">
        <x:v>factualFindings.chronology[1].sourceCases[0]</x:v>
      </x:c>
      <x:c r="L101" s="14" t="str">
        <x:v>cmmlryf16000304l5d3mrnfu5</x:v>
      </x:c>
      <x:c r="M101" s="14" t="str">
        <x:v>confirmed_within_10m</x:v>
      </x:c>
      <x:c r="N101" s="14" t="n">
        <x:v>202.611</x:v>
      </x:c>
      <x:c r="O101" s="14" t="str">
        <x:v>yes</x:v>
      </x:c>
      <x:c r="P101" s="14" t="str">
        <x:v>yes</x:v>
      </x:c>
      <x:c r="Q101" s="14" t="str">
        <x:v>exact_case_id</x:v>
      </x:c>
      <x:c r="R101" s="14" t="str">
        <x:v>definitive</x:v>
      </x:c>
      <x:c r="S101" s="14" t="n">
        <x:v>3</x:v>
      </x:c>
      <x:c r="T101" s="14" t="str">
        <x:v>b8f5594c-ac32-4dd3-804a-fd0c938c4401</x:v>
      </x:c>
      <x:c r="U101" s="14" t="str">
        <x:v>Topland Portfolio No 1 Ltd v Smiths News Trading Ltd [2014] EWCA Civ 18</x:v>
      </x:c>
      <x:c r="V101" s="15" t="n">
        <x:v>0.7268903</x:v>
      </x:c>
      <x:c r="W101" s="14" t="str">
        <x:v>no</x:v>
      </x:c>
      <x:c r="X101" s="14" t="str"/>
      <x:c r="Y101" s="14" t="str"/>
      <x:c r="Z101" s="14" t="str"/>
      <x:c r="AA101" s="14" t="str">
        <x:v>yes</x:v>
      </x:c>
    </x:row>
    <x:row r="102">
      <x:c r="A102" s="1" t="str">
        <x:v>U0178</x:v>
      </x:c>
      <x:c r="B102" s="1" t="str">
        <x:v>cmmls2r93000304jme0bpsul9</x:v>
      </x:c>
      <x:c r="C102" s="1" t="str">
        <x:v>skeleton-args-ca2023004634-299a4a730fe1f43a</x:v>
      </x:c>
      <x:c r="D102" s="1" t="str">
        <x:v>synthetic</x:v>
      </x:c>
      <x:c r="E102" s="14" t="str">
        <x:v>Metropolitan Property Holdings Ltd v Artisan Coffee Co Ltd</x:v>
      </x:c>
      <x:c r="F102" s="14" t="str">
        <x:v>case:youssefi v mussellwhite</x:v>
      </x:c>
      <x:c r="G102" s="14" t="str">
        <x:v>Youssefi v Mussellwhite</x:v>
      </x:c>
      <x:c r="H102" s="14" t="str">
        <x:v>N/A</x:v>
      </x:c>
      <x:c r="I102" s="14" t="str">
        <x:v>263eee40-14b4-40aa-8b6d-47da6b0fa9b3</x:v>
      </x:c>
      <x:c r="J102" s="14" t="n">
        <x:v>1</x:v>
      </x:c>
      <x:c r="K102" s="14" t="str">
        <x:v>issuesForDetermination.issueMatrix[1].sourceCases[0]</x:v>
      </x:c>
      <x:c r="L102" s="14" t="str">
        <x:v>cmmlryf16000304l5d3mrnfu5</x:v>
      </x:c>
      <x:c r="M102" s="14" t="str">
        <x:v>confirmed_within_10m</x:v>
      </x:c>
      <x:c r="N102" s="14" t="n">
        <x:v>202.611</x:v>
      </x:c>
      <x:c r="O102" s="14" t="str">
        <x:v>yes</x:v>
      </x:c>
      <x:c r="P102" s="14" t="str">
        <x:v>yes</x:v>
      </x:c>
      <x:c r="Q102" s="14" t="str">
        <x:v>exact_case_id</x:v>
      </x:c>
      <x:c r="R102" s="14" t="str">
        <x:v>definitive</x:v>
      </x:c>
      <x:c r="S102" s="14" t="n">
        <x:v>7</x:v>
      </x:c>
      <x:c r="T102" s="14" t="str">
        <x:v>263eee40-14b4-40aa-8b6d-47da6b0fa9b3</x:v>
      </x:c>
      <x:c r="U102" s="14" t="str">
        <x:v>Youssefi v Mussellwhite [2014] EWCA Civ 885</x:v>
      </x:c>
      <x:c r="V102" s="15" t="n">
        <x:v>0.72133756</x:v>
      </x:c>
      <x:c r="W102" s="14" t="str">
        <x:v>no</x:v>
      </x:c>
      <x:c r="X102" s="14" t="str"/>
      <x:c r="Y102" s="14" t="str"/>
      <x:c r="Z102" s="14" t="str"/>
      <x:c r="AA102" s="14" t="str">
        <x:v>yes</x:v>
      </x:c>
    </x:row>
    <x:row r="103">
      <x:c r="A103" s="1" t="str">
        <x:v>U0181</x:v>
      </x:c>
      <x:c r="B103" s="1" t="str">
        <x:v>cmmmudwct000304kzc6d15a3r</x:v>
      </x:c>
      <x:c r="C103" s="1" t="str">
        <x:v>skeleton-args-ca2021006069-a7200646d94c4a22</x:v>
      </x:c>
      <x:c r="D103" s="1" t="str">
        <x:v>synthetic</x:v>
      </x:c>
      <x:c r="E103" s="14" t="str">
        <x:v>Sunrise Hospitality Group Ltd v Grant Morrison &amp; Co LLP</x:v>
      </x:c>
      <x:c r="F103" s="14" t="str">
        <x:v>case:1990 2 ac 605</x:v>
      </x:c>
      <x:c r="G103" s="14" t="str">
        <x:v>Caparo Industries Plc v Dickman [1990] 2 AC 605</x:v>
      </x:c>
      <x:c r="H103" s="14" t="str">
        <x:v>Caparo Industries Plc v Dickman [1990] 2 AC 605</x:v>
      </x:c>
      <x:c r="I103" s="14" t="str"/>
      <x:c r="J103" s="14" t="n">
        <x:v>1</x:v>
      </x:c>
      <x:c r="K103" s="14" t="str">
        <x:v>legalFramework.precedentCitations[0]</x:v>
      </x:c>
      <x:c r="L103" s="14" t="str">
        <x:v>cmmmucao8000b04l4jyq8av83</x:v>
      </x:c>
      <x:c r="M103" s="14" t="str">
        <x:v>confirmed_within_10m</x:v>
      </x:c>
      <x:c r="N103" s="14" t="n">
        <x:v>74.848</x:v>
      </x:c>
      <x:c r="O103" s="14" t="str">
        <x:v>yes</x:v>
      </x:c>
      <x:c r="P103" s="14" t="str">
        <x:v>no</x:v>
      </x:c>
      <x:c r="Q103" s="14" t="str">
        <x:v>none</x:v>
      </x:c>
      <x:c r="R103" s="14" t="str">
        <x:v>none</x:v>
      </x:c>
      <x:c r="S103" s="14" t="str"/>
      <x:c r="T103" s="14" t="str"/>
      <x:c r="U103" s="14" t="str"/>
      <x:c r="V103" s="15" t="str"/>
      <x:c r="W103" s="14" t="str">
        <x:v>yes</x:v>
      </x:c>
      <x:c r="X103" s="14" t="str">
        <x:v>Caparo Industries plc v Dickman</x:v>
      </x:c>
      <x:c r="Y103" s="14" t="n">
        <x:v>19</x:v>
      </x:c>
      <x:c r="Z103" s="14" t="str">
        <x:v>Benyatov v Credit Suisse (Securities) Europe Ltd [2023] EWCA Civ 140</x:v>
      </x:c>
      <x:c r="AA103" s="14" t="str">
        <x:v>no</x:v>
      </x:c>
    </x:row>
    <x:row r="104">
      <x:c r="A104" s="1" t="str">
        <x:v>U0182</x:v>
      </x:c>
      <x:c r="B104" s="1" t="str">
        <x:v>cmmmudwct000304kzc6d15a3r</x:v>
      </x:c>
      <x:c r="C104" s="1" t="str">
        <x:v>skeleton-args-ca2021006069-a7200646d94c4a22</x:v>
      </x:c>
      <x:c r="D104" s="1" t="str">
        <x:v>synthetic</x:v>
      </x:c>
      <x:c r="E104" s="14" t="str">
        <x:v>Sunrise Hospitality Group Ltd v Grant Morrison &amp; Co LLP</x:v>
      </x:c>
      <x:c r="F104" s="14" t="str">
        <x:v>case:2009 ukhl 39</x:v>
      </x:c>
      <x:c r="G104" s="14" t="str">
        <x:v>Moore Stephens (a firm) v Stone Rolls Ltd [2009] UKHL 39</x:v>
      </x:c>
      <x:c r="H104" s="14" t="str">
        <x:v>Moore Stephens (a firm) v Stone Rolls Ltd [2009] UKHL 39</x:v>
      </x:c>
      <x:c r="I104" s="14" t="str"/>
      <x:c r="J104" s="14" t="n">
        <x:v>1</x:v>
      </x:c>
      <x:c r="K104" s="14" t="str">
        <x:v>legalFramework.precedentCitations[1]</x:v>
      </x:c>
      <x:c r="L104" s="14" t="str">
        <x:v>cmmmucao8000b04l4jyq8av83</x:v>
      </x:c>
      <x:c r="M104" s="14" t="str">
        <x:v>confirmed_within_10m</x:v>
      </x:c>
      <x:c r="N104" s="14" t="n">
        <x:v>74.848</x:v>
      </x:c>
      <x:c r="O104" s="14" t="str">
        <x:v>yes</x:v>
      </x:c>
      <x:c r="P104" s="14" t="str">
        <x:v>no</x:v>
      </x:c>
      <x:c r="Q104" s="14" t="str">
        <x:v>none</x:v>
      </x:c>
      <x:c r="R104" s="14" t="str">
        <x:v>none</x:v>
      </x:c>
      <x:c r="S104" s="14" t="str"/>
      <x:c r="T104" s="14" t="str"/>
      <x:c r="U104" s="14" t="str"/>
      <x:c r="V104" s="15" t="str"/>
      <x:c r="W104" s="14" t="str">
        <x:v>no</x:v>
      </x:c>
      <x:c r="X104" s="14" t="str"/>
      <x:c r="Y104" s="14" t="str"/>
      <x:c r="Z104" s="14" t="str"/>
      <x:c r="AA104" s="14" t="str">
        <x:v>no</x:v>
      </x:c>
    </x:row>
    <x:row r="105">
      <x:c r="A105" s="1" t="str">
        <x:v>U0183</x:v>
      </x:c>
      <x:c r="B105" s="1" t="str">
        <x:v>cmmmudwct000304kzc6d15a3r</x:v>
      </x:c>
      <x:c r="C105" s="1" t="str">
        <x:v>skeleton-args-ca2021006069-a7200646d94c4a22</x:v>
      </x:c>
      <x:c r="D105" s="1" t="str">
        <x:v>synthetic</x:v>
      </x:c>
      <x:c r="E105" s="14" t="str">
        <x:v>Sunrise Hospitality Group Ltd v Grant Morrison &amp; Co LLP</x:v>
      </x:c>
      <x:c r="F105" s="14" t="str">
        <x:v>case:2023 ewca civ 551</x:v>
      </x:c>
      <x:c r="G105" s="14" t="str">
        <x:v>Secretary of State for the Home Department v Cox &amp; Ors</x:v>
      </x:c>
      <x:c r="H105" s="14" t="str">
        <x:v>[2023] EWCA Civ 551</x:v>
      </x:c>
      <x:c r="I105" s="14" t="str">
        <x:v>6e8e988c-074c-4ab1-9e37-5c84673b441b</x:v>
      </x:c>
      <x:c r="J105" s="14" t="n">
        <x:v>1</x:v>
      </x:c>
      <x:c r="K105" s="14" t="str">
        <x:v>factualFindings.chronology[1].sourceCases[0]</x:v>
      </x:c>
      <x:c r="L105" s="14" t="str">
        <x:v>cmmmucao8000b04l4jyq8av83</x:v>
      </x:c>
      <x:c r="M105" s="14" t="str">
        <x:v>confirmed_within_10m</x:v>
      </x:c>
      <x:c r="N105" s="14" t="n">
        <x:v>74.848</x:v>
      </x:c>
      <x:c r="O105" s="14" t="str">
        <x:v>yes</x:v>
      </x:c>
      <x:c r="P105" s="14" t="str">
        <x:v>yes</x:v>
      </x:c>
      <x:c r="Q105" s="14" t="str">
        <x:v>exact_case_id</x:v>
      </x:c>
      <x:c r="R105" s="14" t="str">
        <x:v>definitive</x:v>
      </x:c>
      <x:c r="S105" s="14" t="n">
        <x:v>3</x:v>
      </x:c>
      <x:c r="T105" s="14" t="str">
        <x:v>6e8e988c-074c-4ab1-9e37-5c84673b441b</x:v>
      </x:c>
      <x:c r="U105" s="14" t="str">
        <x:v>Secretary of State for the Home Department v Cox &amp; Ors [2023] EWCA Civ 551 (19 May 2023)</x:v>
      </x:c>
      <x:c r="V105" s="15" t="n">
        <x:v>0.6887593</x:v>
      </x:c>
      <x:c r="W105" s="14" t="str">
        <x:v>no</x:v>
      </x:c>
      <x:c r="X105" s="14" t="str"/>
      <x:c r="Y105" s="14" t="str"/>
      <x:c r="Z105" s="14" t="str"/>
      <x:c r="AA105" s="14" t="str">
        <x:v>yes</x:v>
      </x:c>
    </x:row>
    <x:row r="106">
      <x:c r="A106" s="1" t="str">
        <x:v>U0184</x:v>
      </x:c>
      <x:c r="B106" s="1" t="str">
        <x:v>cmmmudwct000304kzc6d15a3r</x:v>
      </x:c>
      <x:c r="C106" s="1" t="str">
        <x:v>skeleton-args-ca2021006069-a7200646d94c4a22</x:v>
      </x:c>
      <x:c r="D106" s="1" t="str">
        <x:v>synthetic</x:v>
      </x:c>
      <x:c r="E106" s="14" t="str">
        <x:v>Sunrise Hospitality Group Ltd v Grant Morrison &amp; Co LLP</x:v>
      </x:c>
      <x:c r="F106" s="14" t="str">
        <x:v>case:caparo industries plc v dickman</x:v>
      </x:c>
      <x:c r="G106" s="14" t="str">
        <x:v>Caparo Industries Plc v Dickman</x:v>
      </x:c>
      <x:c r="H106" s="14" t="str">
        <x:v>Caparo Industries Plc v Dickman</x:v>
      </x:c>
      <x:c r="I106" s="14" t="str"/>
      <x:c r="J106" s="14" t="n">
        <x:v>1</x:v>
      </x:c>
      <x:c r="K106" s="14" t="str">
        <x:v>legalFramework.legalTestSummaries[0].sourceAuthority</x:v>
      </x:c>
      <x:c r="L106" s="14" t="str">
        <x:v>cmmmucao8000b04l4jyq8av83</x:v>
      </x:c>
      <x:c r="M106" s="14" t="str">
        <x:v>confirmed_within_10m</x:v>
      </x:c>
      <x:c r="N106" s="14" t="n">
        <x:v>74.848</x:v>
      </x:c>
      <x:c r="O106" s="14" t="str">
        <x:v>yes</x:v>
      </x:c>
      <x:c r="P106" s="14" t="str">
        <x:v>no</x:v>
      </x:c>
      <x:c r="Q106" s="14" t="str">
        <x:v>none</x:v>
      </x:c>
      <x:c r="R106" s="14" t="str">
        <x:v>none</x:v>
      </x:c>
      <x:c r="S106" s="14" t="str"/>
      <x:c r="T106" s="14" t="str"/>
      <x:c r="U106" s="14" t="str"/>
      <x:c r="V106" s="15" t="str"/>
      <x:c r="W106" s="14" t="str">
        <x:v>yes</x:v>
      </x:c>
      <x:c r="X106" s="14" t="str">
        <x:v>Caparo Industries plc v Dickman</x:v>
      </x:c>
      <x:c r="Y106" s="14" t="n">
        <x:v>19</x:v>
      </x:c>
      <x:c r="Z106" s="14" t="str">
        <x:v>Benyatov v Credit Suisse (Securities) Europe Ltd [2023] EWCA Civ 140</x:v>
      </x:c>
      <x:c r="AA106" s="14" t="str">
        <x:v>no</x:v>
      </x:c>
    </x:row>
    <x:row r="107">
      <x:c r="A107" s="1" t="str">
        <x:v>U0185</x:v>
      </x:c>
      <x:c r="B107" s="1" t="str">
        <x:v>cmmmudwct000304kzc6d15a3r</x:v>
      </x:c>
      <x:c r="C107" s="1" t="str">
        <x:v>skeleton-args-ca2021006069-a7200646d94c4a22</x:v>
      </x:c>
      <x:c r="D107" s="1" t="str">
        <x:v>synthetic</x:v>
      </x:c>
      <x:c r="E107" s="14" t="str">
        <x:v>Sunrise Hospitality Group Ltd v Grant Morrison &amp; Co LLP</x:v>
      </x:c>
      <x:c r="F107" s="14" t="str">
        <x:v>case:dowling v griffin</x:v>
      </x:c>
      <x:c r="G107" s="14" t="str">
        <x:v>Dowling v Griffin</x:v>
      </x:c>
      <x:c r="H107" s="14" t="str">
        <x:v>N/A</x:v>
      </x:c>
      <x:c r="I107" s="14" t="str">
        <x:v>3f8f64bf-8917-45f1-ac4e-d5c0890c76e6</x:v>
      </x:c>
      <x:c r="J107" s="14" t="n">
        <x:v>3</x:v>
      </x:c>
      <x:c r="K107" s="14" t="str">
        <x:v>factualFindings.contestedFacts[0].sourceCases[0] | issuesForDetermination.issueMatrix[0].sourceCases[0] | reasoningStructure[0].sourceCases[0]</x:v>
      </x:c>
      <x:c r="L107" s="14" t="str">
        <x:v>cmmmucao8000b04l4jyq8av83</x:v>
      </x:c>
      <x:c r="M107" s="14" t="str">
        <x:v>confirmed_within_10m</x:v>
      </x:c>
      <x:c r="N107" s="14" t="n">
        <x:v>74.848</x:v>
      </x:c>
      <x:c r="O107" s="14" t="str">
        <x:v>yes</x:v>
      </x:c>
      <x:c r="P107" s="14" t="str">
        <x:v>yes</x:v>
      </x:c>
      <x:c r="Q107" s="14" t="str">
        <x:v>exact_case_id</x:v>
      </x:c>
      <x:c r="R107" s="14" t="str">
        <x:v>definitive</x:v>
      </x:c>
      <x:c r="S107" s="14" t="n">
        <x:v>1</x:v>
      </x:c>
      <x:c r="T107" s="14" t="str">
        <x:v>3f8f64bf-8917-45f1-ac4e-d5c0890c76e6</x:v>
      </x:c>
      <x:c r="U107" s="14" t="str">
        <x:v>Dowling v Griffin [2014] EWCA Civ 1545</x:v>
      </x:c>
      <x:c r="V107" s="15" t="n">
        <x:v>0.6984235</x:v>
      </x:c>
      <x:c r="W107" s="14" t="str">
        <x:v>no</x:v>
      </x:c>
      <x:c r="X107" s="14" t="str"/>
      <x:c r="Y107" s="14" t="str"/>
      <x:c r="Z107" s="14" t="str"/>
      <x:c r="AA107" s="14" t="str">
        <x:v>yes</x:v>
      </x:c>
    </x:row>
    <x:row r="108">
      <x:c r="A108" s="1" t="str">
        <x:v>U0186</x:v>
      </x:c>
      <x:c r="B108" s="1" t="str">
        <x:v>cmmmudwct000304kzc6d15a3r</x:v>
      </x:c>
      <x:c r="C108" s="1" t="str">
        <x:v>skeleton-args-ca2021006069-a7200646d94c4a22</x:v>
      </x:c>
      <x:c r="D108" s="1" t="str">
        <x:v>synthetic</x:v>
      </x:c>
      <x:c r="E108" s="14" t="str">
        <x:v>Sunrise Hospitality Group Ltd v Grant Morrison &amp; Co LLP</x:v>
      </x:c>
      <x:c r="F108" s="14" t="str">
        <x:v>case:wellesley partners llp v withers llp</x:v>
      </x:c>
      <x:c r="G108" s="14" t="str">
        <x:v>Wellesley Partners LLP v Withers LLP</x:v>
      </x:c>
      <x:c r="H108" s="14" t="str">
        <x:v>N/A</x:v>
      </x:c>
      <x:c r="I108" s="14" t="str">
        <x:v>5bbb3770-46d1-41af-b347-aa54ea9834ba</x:v>
      </x:c>
      <x:c r="J108" s="14" t="n">
        <x:v>3</x:v>
      </x:c>
      <x:c r="K108" s="14" t="str">
        <x:v>factualFindings.contestedFacts[1].sourceCases[0] | issuesForDetermination.issueMatrix[1].sourceCases[0] | reasoningStructure[1].sourceCases[0]</x:v>
      </x:c>
      <x:c r="L108" s="14" t="str">
        <x:v>cmmmucao8000b04l4jyq8av83</x:v>
      </x:c>
      <x:c r="M108" s="14" t="str">
        <x:v>confirmed_within_10m</x:v>
      </x:c>
      <x:c r="N108" s="14" t="n">
        <x:v>74.848</x:v>
      </x:c>
      <x:c r="O108" s="14" t="str">
        <x:v>yes</x:v>
      </x:c>
      <x:c r="P108" s="14" t="str">
        <x:v>yes</x:v>
      </x:c>
      <x:c r="Q108" s="14" t="str">
        <x:v>exact_case_id</x:v>
      </x:c>
      <x:c r="R108" s="14" t="str">
        <x:v>definitive</x:v>
      </x:c>
      <x:c r="S108" s="14" t="n">
        <x:v>2</x:v>
      </x:c>
      <x:c r="T108" s="14" t="str">
        <x:v>5bbb3770-46d1-41af-b347-aa54ea9834ba</x:v>
      </x:c>
      <x:c r="U108" s="14" t="str">
        <x:v>Wellesley Partners LLP v Withers LLP [2015] EWCA Civ 1146</x:v>
      </x:c>
      <x:c r="V108" s="15" t="n">
        <x:v>0.69834554</x:v>
      </x:c>
      <x:c r="W108" s="14" t="str">
        <x:v>no</x:v>
      </x:c>
      <x:c r="X108" s="14" t="str"/>
      <x:c r="Y108" s="14" t="str"/>
      <x:c r="Z108" s="14" t="str"/>
      <x:c r="AA108" s="14" t="str">
        <x:v>yes</x:v>
      </x:c>
    </x:row>
    <x:row r="109">
      <x:c r="A109" s="1" t="str">
        <x:v>U0189</x:v>
      </x:c>
      <x:c r="B109" s="1" t="str">
        <x:v>cmmrr64va000h04jvzuquhz2y</x:v>
      </x:c>
      <x:c r="C109" s="1" t="str">
        <x:v>ca-2024-000255-ellis-v-ssj-appellant-skeleton</x:v>
      </x:c>
      <x:c r="D109" s="1" t="str">
        <x:v>real</x:v>
      </x:c>
      <x:c r="E109" s="14" t="str">
        <x:v>R (Fajr Ellis) v Secretary of State for Justice</x:v>
      </x:c>
      <x:c r="F109" s="14" t="str">
        <x:v>case:2002 ewca civ 605</x:v>
      </x:c>
      <x:c r="G109" s="14" t="str">
        <x:v>[2002] EWCA Civ 605</x:v>
      </x:c>
      <x:c r="H109" s="14" t="str">
        <x:v>[2002] EWCA Civ 605</x:v>
      </x:c>
      <x:c r="I109" s="14" t="str"/>
      <x:c r="J109" s="14" t="n">
        <x:v>1</x:v>
      </x:c>
      <x:c r="K109" s="14" t="str">
        <x:v>legalFramework.precedentCitations[0]</x:v>
      </x:c>
      <x:c r="L109" s="14" t="str">
        <x:v>cmmrr3vbb000b04jvglqzb8az</x:v>
      </x:c>
      <x:c r="M109" s="14" t="str">
        <x:v>confirmed_within_10m</x:v>
      </x:c>
      <x:c r="N109" s="14" t="n">
        <x:v>105.8</x:v>
      </x:c>
      <x:c r="O109" s="14" t="str">
        <x:v>yes</x:v>
      </x:c>
      <x:c r="P109" s="14" t="str">
        <x:v>no</x:v>
      </x:c>
      <x:c r="Q109" s="14" t="str">
        <x:v>none</x:v>
      </x:c>
      <x:c r="R109" s="14" t="str">
        <x:v>none</x:v>
      </x:c>
      <x:c r="S109" s="14" t="str"/>
      <x:c r="T109" s="14" t="str"/>
      <x:c r="U109" s="14" t="str"/>
      <x:c r="V109" s="15" t="str"/>
      <x:c r="W109" s="14" t="str">
        <x:v>no</x:v>
      </x:c>
      <x:c r="X109" s="14" t="str"/>
      <x:c r="Y109" s="14" t="str"/>
      <x:c r="Z109" s="14" t="str"/>
      <x:c r="AA109" s="14" t="str">
        <x:v>no</x:v>
      </x:c>
    </x:row>
    <x:row r="110">
      <x:c r="A110" s="1" t="str">
        <x:v>U0190</x:v>
      </x:c>
      <x:c r="B110" s="1" t="str">
        <x:v>cmmrr64va000h04jvzuquhz2y</x:v>
      </x:c>
      <x:c r="C110" s="1" t="str">
        <x:v>ca-2024-000255-ellis-v-ssj-appellant-skeleton</x:v>
      </x:c>
      <x:c r="D110" s="1" t="str">
        <x:v>real</x:v>
      </x:c>
      <x:c r="E110" s="14" t="str">
        <x:v>R (Fajr Ellis) v Secretary of State for Justice</x:v>
      </x:c>
      <x:c r="F110" s="14" t="str">
        <x:v>case:bright &amp; anor v the secretary of state for justice</x:v>
      </x:c>
      <x:c r="G110" s="14" t="str">
        <x:v>Bright &amp; Anor v The Secretary of State for Justice</x:v>
      </x:c>
      <x:c r="H110" s="14" t="str">
        <x:v>N/A</x:v>
      </x:c>
      <x:c r="I110" s="14" t="str">
        <x:v>da4b6be7-2b22-4bd1-af6b-a68873f0af8d</x:v>
      </x:c>
      <x:c r="J110" s="14" t="n">
        <x:v>4</x:v>
      </x:c>
      <x:c r="K110" s="14" t="str">
        <x:v>factualFindings.contestedFacts[1].sourceCases[0] | issuesForDetermination.issueMatrix[1].sourceCases[0] | legalFramework.statutoryProvisions[1].sourceCases[0] | reasoningStructure[1].sourceCases[0]</x:v>
      </x:c>
      <x:c r="L110" s="14" t="str">
        <x:v>cmmrr3vbb000b04jvglqzb8az</x:v>
      </x:c>
      <x:c r="M110" s="14" t="str">
        <x:v>confirmed_within_10m</x:v>
      </x:c>
      <x:c r="N110" s="14" t="n">
        <x:v>105.8</x:v>
      </x:c>
      <x:c r="O110" s="14" t="str">
        <x:v>yes</x:v>
      </x:c>
      <x:c r="P110" s="14" t="str">
        <x:v>yes</x:v>
      </x:c>
      <x:c r="Q110" s="14" t="str">
        <x:v>exact_case_id</x:v>
      </x:c>
      <x:c r="R110" s="14" t="str">
        <x:v>definitive</x:v>
      </x:c>
      <x:c r="S110" s="14" t="n">
        <x:v>3</x:v>
      </x:c>
      <x:c r="T110" s="14" t="str">
        <x:v>da4b6be7-2b22-4bd1-af6b-a68873f0af8d</x:v>
      </x:c>
      <x:c r="U110" s="14" t="str">
        <x:v>Bright &amp; Anor v The Secretary of State for Justice</x:v>
      </x:c>
      <x:c r="V110" s="15" t="n">
        <x:v>0.71165085</x:v>
      </x:c>
      <x:c r="W110" s="14" t="str">
        <x:v>no</x:v>
      </x:c>
      <x:c r="X110" s="14" t="str"/>
      <x:c r="Y110" s="14" t="str"/>
      <x:c r="Z110" s="14" t="str"/>
      <x:c r="AA110" s="14" t="str">
        <x:v>yes</x:v>
      </x:c>
    </x:row>
    <x:row r="111">
      <x:c r="A111" s="1" t="str">
        <x:v>U0191</x:v>
      </x:c>
      <x:c r="B111" s="1" t="str">
        <x:v>cmmrr64va000h04jvzuquhz2y</x:v>
      </x:c>
      <x:c r="C111" s="1" t="str">
        <x:v>ca-2024-000255-ellis-v-ssj-appellant-skeleton</x:v>
      </x:c>
      <x:c r="D111" s="1" t="str">
        <x:v>real</x:v>
      </x:c>
      <x:c r="E111" s="14" t="str">
        <x:v>R (Fajr Ellis) v Secretary of State for Justice</x:v>
      </x:c>
      <x:c r="F111" s="14" t="str">
        <x:v>case:bristow v the secretary of state for justice &amp; anor</x:v>
      </x:c>
      <x:c r="G111" s="14" t="str">
        <x:v>Bristow v The Secretary of State for Justice &amp; Anor</x:v>
      </x:c>
      <x:c r="H111" s="14" t="str">
        <x:v>N/A</x:v>
      </x:c>
      <x:c r="I111" s="14" t="str">
        <x:v>1dbb4242-42ac-456f-989f-5098066d87ca</x:v>
      </x:c>
      <x:c r="J111" s="14" t="n">
        <x:v>4</x:v>
      </x:c>
      <x:c r="K111" s="14" t="str">
        <x:v>factualFindings.contestedFacts[0].sourceCases[0] | issuesForDetermination.issueMatrix[0].sourceCases[0] | legalFramework.statutoryProvisions[0].sourceCases[0] | reasoningStructure[0].sourceCases[0]</x:v>
      </x:c>
      <x:c r="L111" s="14" t="str">
        <x:v>cmmrr3vbb000b04jvglqzb8az</x:v>
      </x:c>
      <x:c r="M111" s="14" t="str">
        <x:v>confirmed_within_10m</x:v>
      </x:c>
      <x:c r="N111" s="14" t="n">
        <x:v>105.8</x:v>
      </x:c>
      <x:c r="O111" s="14" t="str">
        <x:v>yes</x:v>
      </x:c>
      <x:c r="P111" s="14" t="str">
        <x:v>yes</x:v>
      </x:c>
      <x:c r="Q111" s="14" t="str">
        <x:v>exact_case_id</x:v>
      </x:c>
      <x:c r="R111" s="14" t="str">
        <x:v>definitive</x:v>
      </x:c>
      <x:c r="S111" s="14" t="n">
        <x:v>1</x:v>
      </x:c>
      <x:c r="T111" s="14" t="str">
        <x:v>1dbb4242-42ac-456f-989f-5098066d87ca</x:v>
      </x:c>
      <x:c r="U111" s="14" t="str">
        <x:v>Bristow v The Secretary of State for Justice &amp; Anor [2015] EWCA Civ 1170</x:v>
      </x:c>
      <x:c r="V111" s="15" t="n">
        <x:v>0.7348778</x:v>
      </x:c>
      <x:c r="W111" s="14" t="str">
        <x:v>no</x:v>
      </x:c>
      <x:c r="X111" s="14" t="str"/>
      <x:c r="Y111" s="14" t="str"/>
      <x:c r="Z111" s="14" t="str"/>
      <x:c r="AA111" s="14" t="str">
        <x:v>yes</x:v>
      </x:c>
    </x:row>
    <x:row r="112">
      <x:c r="A112" s="1" t="str">
        <x:v>U0196</x:v>
      </x:c>
      <x:c r="B112" s="1" t="str">
        <x:v>cmmsi1xqb000h04jsef3v6skf</x:v>
      </x:c>
      <x:c r="C112" s="1" t="str">
        <x:v>karpasitis-v-hertfordshire-county-council</x:v>
      </x:c>
      <x:c r="D112" s="1" t="str">
        <x:v>real</x:v>
      </x:c>
      <x:c r="E112" s="14" t="str">
        <x:v>Karpasitis v Hertfordshire County Council</x:v>
      </x:c>
      <x:c r="F112" s="14" t="str">
        <x:v>case:2000 1 wlr 377</x:v>
      </x:c>
      <x:c r="G112" s="14" t="str">
        <x:v>Flannery v Halifax Estate Agencies Ltd [2000] 1 WLR 377</x:v>
      </x:c>
      <x:c r="H112" s="14" t="str">
        <x:v>Flannery v Halifax Estate Agencies Ltd [2000] 1 WLR 377</x:v>
      </x:c>
      <x:c r="I112" s="14" t="str"/>
      <x:c r="J112" s="14" t="n">
        <x:v>1</x:v>
      </x:c>
      <x:c r="K112" s="14" t="str">
        <x:v>legalFramework.precedentCitations[1]</x:v>
      </x:c>
      <x:c r="L112" s="14" t="str">
        <x:v>cmmshur54000b04jsgyo6bz98</x:v>
      </x:c>
      <x:c r="M112" s="14" t="str">
        <x:v>confirmed_within_10m</x:v>
      </x:c>
      <x:c r="N112" s="14" t="n">
        <x:v>335.228</x:v>
      </x:c>
      <x:c r="O112" s="14" t="str">
        <x:v>yes</x:v>
      </x:c>
      <x:c r="P112" s="14" t="str">
        <x:v>no</x:v>
      </x:c>
      <x:c r="Q112" s="14" t="str">
        <x:v>none</x:v>
      </x:c>
      <x:c r="R112" s="14" t="str">
        <x:v>none</x:v>
      </x:c>
      <x:c r="S112" s="14" t="str"/>
      <x:c r="T112" s="14" t="str"/>
      <x:c r="U112" s="14" t="str"/>
      <x:c r="V112" s="15" t="str"/>
      <x:c r="W112" s="14" t="str">
        <x:v>no</x:v>
      </x:c>
      <x:c r="X112" s="14" t="str"/>
      <x:c r="Y112" s="14" t="str"/>
      <x:c r="Z112" s="14" t="str"/>
      <x:c r="AA112" s="14" t="str">
        <x:v>no</x:v>
      </x:c>
    </x:row>
    <x:row r="113">
      <x:c r="A113" s="1" t="str">
        <x:v>U0197</x:v>
      </x:c>
      <x:c r="B113" s="1" t="str">
        <x:v>cmmsi1xqb000h04jsef3v6skf</x:v>
      </x:c>
      <x:c r="C113" s="1" t="str">
        <x:v>karpasitis-v-hertfordshire-county-council</x:v>
      </x:c>
      <x:c r="D113" s="1" t="str">
        <x:v>real</x:v>
      </x:c>
      <x:c r="E113" s="14" t="str">
        <x:v>Karpasitis v Hertfordshire County Council</x:v>
      </x:c>
      <x:c r="F113" s="14" t="str">
        <x:v>case:2002 ewca civ 605</x:v>
      </x:c>
      <x:c r="G113" s="14" t="str">
        <x:v>English v Emery Reimbold &amp; Strick Ltd [2002] EWCA Civ 605</x:v>
      </x:c>
      <x:c r="H113" s="14" t="str">
        <x:v>English v Emery Reimbold &amp; Strick Ltd [2002] EWCA Civ 605</x:v>
      </x:c>
      <x:c r="I113" s="14" t="str"/>
      <x:c r="J113" s="14" t="n">
        <x:v>1</x:v>
      </x:c>
      <x:c r="K113" s="14" t="str">
        <x:v>legalFramework.precedentCitations[0]</x:v>
      </x:c>
      <x:c r="L113" s="14" t="str">
        <x:v>cmmshur54000b04jsgyo6bz98</x:v>
      </x:c>
      <x:c r="M113" s="14" t="str">
        <x:v>confirmed_within_10m</x:v>
      </x:c>
      <x:c r="N113" s="14" t="n">
        <x:v>335.228</x:v>
      </x:c>
      <x:c r="O113" s="14" t="str">
        <x:v>yes</x:v>
      </x:c>
      <x:c r="P113" s="14" t="str">
        <x:v>no</x:v>
      </x:c>
      <x:c r="Q113" s="14" t="str">
        <x:v>none</x:v>
      </x:c>
      <x:c r="R113" s="14" t="str">
        <x:v>none</x:v>
      </x:c>
      <x:c r="S113" s="14" t="str"/>
      <x:c r="T113" s="14" t="str"/>
      <x:c r="U113" s="14" t="str"/>
      <x:c r="V113" s="15" t="str"/>
      <x:c r="W113" s="14" t="str">
        <x:v>no</x:v>
      </x:c>
      <x:c r="X113" s="14" t="str"/>
      <x:c r="Y113" s="14" t="str"/>
      <x:c r="Z113" s="14" t="str"/>
      <x:c r="AA113" s="14" t="str">
        <x:v>no</x:v>
      </x:c>
    </x:row>
    <x:row r="114">
      <x:c r="A114" s="1" t="str">
        <x:v>U0198</x:v>
      </x:c>
      <x:c r="B114" s="1" t="str">
        <x:v>cmmsi1xqb000h04jsef3v6skf</x:v>
      </x:c>
      <x:c r="C114" s="1" t="str">
        <x:v>karpasitis-v-hertfordshire-county-council</x:v>
      </x:c>
      <x:c r="D114" s="1" t="str">
        <x:v>real</x:v>
      </x:c>
      <x:c r="E114" s="14" t="str">
        <x:v>Karpasitis v Hertfordshire County Council</x:v>
      </x:c>
      <x:c r="F114" s="14" t="str">
        <x:v>case:2010 ewca civ 776</x:v>
      </x:c>
      <x:c r="G114" s="14" t="str">
        <x:v>Yetkin v London Borough of Newham</x:v>
      </x:c>
      <x:c r="H114" s="14" t="str">
        <x:v>[2010] EWCA Civ 776</x:v>
      </x:c>
      <x:c r="I114" s="14" t="str">
        <x:v>5a42b4bc-fe8f-47be-9b13-869933b2ddff</x:v>
      </x:c>
      <x:c r="J114" s="14" t="n">
        <x:v>1</x:v>
      </x:c>
      <x:c r="K114" s="14" t="str">
        <x:v>factualFindings.chronology[1].sourceCases[0]</x:v>
      </x:c>
      <x:c r="L114" s="14" t="str">
        <x:v>cmmshur54000b04jsgyo6bz98</x:v>
      </x:c>
      <x:c r="M114" s="14" t="str">
        <x:v>confirmed_within_10m</x:v>
      </x:c>
      <x:c r="N114" s="14" t="n">
        <x:v>335.228</x:v>
      </x:c>
      <x:c r="O114" s="14" t="str">
        <x:v>yes</x:v>
      </x:c>
      <x:c r="P114" s="14" t="str">
        <x:v>yes</x:v>
      </x:c>
      <x:c r="Q114" s="14" t="str">
        <x:v>exact_case_id</x:v>
      </x:c>
      <x:c r="R114" s="14" t="str">
        <x:v>definitive</x:v>
      </x:c>
      <x:c r="S114" s="14" t="n">
        <x:v>9</x:v>
      </x:c>
      <x:c r="T114" s="14" t="str">
        <x:v>5a42b4bc-fe8f-47be-9b13-869933b2ddff</x:v>
      </x:c>
      <x:c r="U114" s="14" t="str">
        <x:v>Yetkin v London Borough of Newham ([2010] EWCA Civ 776)</x:v>
      </x:c>
      <x:c r="V114" s="15" t="n">
        <x:v>0.67497915</x:v>
      </x:c>
      <x:c r="W114" s="14" t="str">
        <x:v>no</x:v>
      </x:c>
      <x:c r="X114" s="14" t="str"/>
      <x:c r="Y114" s="14" t="str"/>
      <x:c r="Z114" s="14" t="str"/>
      <x:c r="AA114" s="14" t="str">
        <x:v>yes</x:v>
      </x:c>
    </x:row>
    <x:row r="115">
      <x:c r="A115" s="1" t="str">
        <x:v>U0199</x:v>
      </x:c>
      <x:c r="B115" s="1" t="str">
        <x:v>cmmsi1xqb000h04jsef3v6skf</x:v>
      </x:c>
      <x:c r="C115" s="1" t="str">
        <x:v>karpasitis-v-hertfordshire-county-council</x:v>
      </x:c>
      <x:c r="D115" s="1" t="str">
        <x:v>real</x:v>
      </x:c>
      <x:c r="E115" s="14" t="str">
        <x:v>Karpasitis v Hertfordshire County Council</x:v>
      </x:c>
      <x:c r="F115" s="14" t="str">
        <x:v>case:2016 ewhc 1767 qb</x:v>
      </x:c>
      <x:c r="G115" s="14" t="str">
        <x:v>King Lifting Ltd v Oxfordshire County Council</x:v>
      </x:c>
      <x:c r="H115" s="14" t="str">
        <x:v>[2016] EWHC 1767 (QB)</x:v>
      </x:c>
      <x:c r="I115" s="14" t="str">
        <x:v>52d20bb9-6964-44a6-9c32-d191ef76297c</x:v>
      </x:c>
      <x:c r="J115" s="14" t="n">
        <x:v>1</x:v>
      </x:c>
      <x:c r="K115" s="14" t="str">
        <x:v>factualFindings.chronology[0].sourceCases[0]</x:v>
      </x:c>
      <x:c r="L115" s="14" t="str">
        <x:v>cmmshur54000b04jsgyo6bz98</x:v>
      </x:c>
      <x:c r="M115" s="14" t="str">
        <x:v>confirmed_within_10m</x:v>
      </x:c>
      <x:c r="N115" s="14" t="n">
        <x:v>335.228</x:v>
      </x:c>
      <x:c r="O115" s="14" t="str">
        <x:v>yes</x:v>
      </x:c>
      <x:c r="P115" s="14" t="str">
        <x:v>yes</x:v>
      </x:c>
      <x:c r="Q115" s="14" t="str">
        <x:v>exact_case_id</x:v>
      </x:c>
      <x:c r="R115" s="14" t="str">
        <x:v>definitive</x:v>
      </x:c>
      <x:c r="S115" s="14" t="n">
        <x:v>4</x:v>
      </x:c>
      <x:c r="T115" s="14" t="str">
        <x:v>52d20bb9-6964-44a6-9c32-d191ef76297c</x:v>
      </x:c>
      <x:c r="U115" s="14" t="str">
        <x:v>King Lifting Ltd v Oxfordshire County Council [2016] EWHC 1767 (QB)</x:v>
      </x:c>
      <x:c r="V115" s="15" t="n">
        <x:v>0.70050514</x:v>
      </x:c>
      <x:c r="W115" s="14" t="str">
        <x:v>no</x:v>
      </x:c>
      <x:c r="X115" s="14" t="str"/>
      <x:c r="Y115" s="14" t="str"/>
      <x:c r="Z115" s="14" t="str"/>
      <x:c r="AA115" s="14" t="str">
        <x:v>yes</x:v>
      </x:c>
    </x:row>
    <x:row r="116">
      <x:c r="A116" s="1" t="str">
        <x:v>U0200</x:v>
      </x:c>
      <x:c r="B116" s="1" t="str">
        <x:v>cmmsi1xqb000h04jsef3v6skf</x:v>
      </x:c>
      <x:c r="C116" s="1" t="str">
        <x:v>karpasitis-v-hertfordshire-county-council</x:v>
      </x:c>
      <x:c r="D116" s="1" t="str">
        <x:v>real</x:v>
      </x:c>
      <x:c r="E116" s="14" t="str">
        <x:v>Karpasitis v Hertfordshire County Council</x:v>
      </x:c>
      <x:c r="F116" s="14" t="str">
        <x:v>case:gorringe v calderdale metropolitan borough council</x:v>
      </x:c>
      <x:c r="G116" s="14" t="str">
        <x:v>Gorringe v. Calderdale Metropolitan Borough Council</x:v>
      </x:c>
      <x:c r="H116" s="14" t="str">
        <x:v>N/A</x:v>
      </x:c>
      <x:c r="I116" s="14" t="str">
        <x:v>bc30491e-9ae6-48da-90d0-71d8a8069b22</x:v>
      </x:c>
      <x:c r="J116" s="14" t="n">
        <x:v>4</x:v>
      </x:c>
      <x:c r="K116" s="14" t="str">
        <x:v>factualFindings.contestedFacts[0].sourceCases[0] | issuesForDetermination.issueMatrix[0].sourceCases[0] | legalFramework.statutoryProvisions[0].sourceCases[0] | reasoningStructure[0].sourceCases[0]</x:v>
      </x:c>
      <x:c r="L116" s="14" t="str">
        <x:v>cmmshur54000b04jsgyo6bz98</x:v>
      </x:c>
      <x:c r="M116" s="14" t="str">
        <x:v>confirmed_within_10m</x:v>
      </x:c>
      <x:c r="N116" s="14" t="n">
        <x:v>335.228</x:v>
      </x:c>
      <x:c r="O116" s="14" t="str">
        <x:v>yes</x:v>
      </x:c>
      <x:c r="P116" s="14" t="str">
        <x:v>yes</x:v>
      </x:c>
      <x:c r="Q116" s="14" t="str">
        <x:v>exact_case_id</x:v>
      </x:c>
      <x:c r="R116" s="14" t="str">
        <x:v>definitive</x:v>
      </x:c>
      <x:c r="S116" s="14" t="n">
        <x:v>1</x:v>
      </x:c>
      <x:c r="T116" s="14" t="str">
        <x:v>bc30491e-9ae6-48da-90d0-71d8a8069b22</x:v>
      </x:c>
      <x:c r="U116" s="14" t="str">
        <x:v>Gorringe v. Calderdale Metropolitan Borough Council</x:v>
      </x:c>
      <x:c r="V116" s="15" t="n">
        <x:v>0.74852216</x:v>
      </x:c>
      <x:c r="W116" s="14" t="str">
        <x:v>no</x:v>
      </x:c>
      <x:c r="X116" s="14" t="str"/>
      <x:c r="Y116" s="14" t="str"/>
      <x:c r="Z116" s="14" t="str"/>
      <x:c r="AA116" s="14" t="str">
        <x:v>yes</x:v>
      </x:c>
    </x:row>
    <x:row r="117">
      <x:c r="A117" s="1" t="str">
        <x:v>U0201</x:v>
      </x:c>
      <x:c r="B117" s="1" t="str">
        <x:v>cmmsi1xqb000h04jsef3v6skf</x:v>
      </x:c>
      <x:c r="C117" s="1" t="str">
        <x:v>karpasitis-v-hertfordshire-county-council</x:v>
      </x:c>
      <x:c r="D117" s="1" t="str">
        <x:v>real</x:v>
      </x:c>
      <x:c r="E117" s="14" t="str">
        <x:v>Karpasitis v Hertfordshire County Council</x:v>
      </x:c>
      <x:c r="F117" s="14" t="str">
        <x:v>case:griffiths v gwynedd county council</x:v>
      </x:c>
      <x:c r="G117" s="14" t="str">
        <x:v>Griffiths v Gwynedd County Council</x:v>
      </x:c>
      <x:c r="H117" s="14" t="str">
        <x:v>N/A</x:v>
      </x:c>
      <x:c r="I117" s="14" t="str">
        <x:v>70c75405-8cba-40e2-92ff-8302ea4f6789</x:v>
      </x:c>
      <x:c r="J117" s="14" t="n">
        <x:v>4</x:v>
      </x:c>
      <x:c r="K117" s="14" t="str">
        <x:v>factualFindings.contestedFacts[1].sourceCases[0] | issuesForDetermination.issueMatrix[1].sourceCases[0] | legalFramework.statutoryProvisions[0].sourceCases[1] | reasoningStructure[1].sourceCases[0]</x:v>
      </x:c>
      <x:c r="L117" s="14" t="str">
        <x:v>cmmshur54000b04jsgyo6bz98</x:v>
      </x:c>
      <x:c r="M117" s="14" t="str">
        <x:v>confirmed_within_10m</x:v>
      </x:c>
      <x:c r="N117" s="14" t="n">
        <x:v>335.228</x:v>
      </x:c>
      <x:c r="O117" s="14" t="str">
        <x:v>yes</x:v>
      </x:c>
      <x:c r="P117" s="14" t="str">
        <x:v>yes</x:v>
      </x:c>
      <x:c r="Q117" s="14" t="str">
        <x:v>exact_case_id</x:v>
      </x:c>
      <x:c r="R117" s="14" t="str">
        <x:v>definitive</x:v>
      </x:c>
      <x:c r="S117" s="14" t="n">
        <x:v>2</x:v>
      </x:c>
      <x:c r="T117" s="14" t="str">
        <x:v>70c75405-8cba-40e2-92ff-8302ea4f6789</x:v>
      </x:c>
      <x:c r="U117" s="14" t="str">
        <x:v>Griffiths v Gwynedd County Council [2015] EWCA Civ 1440</x:v>
      </x:c>
      <x:c r="V117" s="15" t="n">
        <x:v>0.7043708</x:v>
      </x:c>
      <x:c r="W117" s="14" t="str">
        <x:v>no</x:v>
      </x:c>
      <x:c r="X117" s="14" t="str"/>
      <x:c r="Y117" s="14" t="str"/>
      <x:c r="Z117" s="14" t="str"/>
      <x:c r="AA117" s="14" t="str">
        <x:v>yes</x:v>
      </x:c>
    </x:row>
    <x:row r="118">
      <x:c r="A118" s="1" t="str">
        <x:v>U0207</x:v>
      </x:c>
      <x:c r="B118" s="1" t="str">
        <x:v>cmmsiews2000304lgc3ooyg67</x:v>
      </x:c>
      <x:c r="C118" s="1" t="str">
        <x:v>karpasitis-v-hertfordshire-county-council</x:v>
      </x:c>
      <x:c r="D118" s="1" t="str">
        <x:v>real</x:v>
      </x:c>
      <x:c r="E118" s="14" t="str">
        <x:v>Karpasitis v Hertfordshire County Council</x:v>
      </x:c>
      <x:c r="F118" s="14" t="str">
        <x:v>case:2000 1 wlr 377</x:v>
      </x:c>
      <x:c r="G118" s="14" t="str">
        <x:v>Flannery v Halifax Estate Agencies Ltd [2000] 1 WLR 377</x:v>
      </x:c>
      <x:c r="H118" s="14" t="str">
        <x:v>Flannery v Halifax Estate Agencies Ltd [2000] 1 WLR 377</x:v>
      </x:c>
      <x:c r="I118" s="14" t="str"/>
      <x:c r="J118" s="14" t="n">
        <x:v>1</x:v>
      </x:c>
      <x:c r="K118" s="14" t="str">
        <x:v>legalFramework.precedentCitations[1]</x:v>
      </x:c>
      <x:c r="L118" s="14" t="str">
        <x:v>cmmshur54000b04jsgyo6bz98</x:v>
      </x:c>
      <x:c r="M118" s="14" t="str">
        <x:v>ambiguous_gap_gt_10m</x:v>
      </x:c>
      <x:c r="N118" s="14" t="n">
        <x:v>940.521</x:v>
      </x:c>
      <x:c r="O118" s="14" t="str">
        <x:v>no</x:v>
      </x:c>
      <x:c r="P118" s="14" t="str">
        <x:v>no</x:v>
      </x:c>
      <x:c r="Q118" s="14" t="str">
        <x:v>none</x:v>
      </x:c>
      <x:c r="R118" s="14" t="str">
        <x:v>none</x:v>
      </x:c>
      <x:c r="S118" s="14" t="str"/>
      <x:c r="T118" s="14" t="str"/>
      <x:c r="U118" s="14" t="str"/>
      <x:c r="V118" s="15" t="str"/>
      <x:c r="W118" s="14" t="str">
        <x:v>no</x:v>
      </x:c>
      <x:c r="X118" s="14" t="str"/>
      <x:c r="Y118" s="14" t="str"/>
      <x:c r="Z118" s="14" t="str"/>
      <x:c r="AA118" s="14" t="str">
        <x:v>excluded_ambiguous_link</x:v>
      </x:c>
    </x:row>
    <x:row r="119">
      <x:c r="A119" s="1" t="str">
        <x:v>U0208</x:v>
      </x:c>
      <x:c r="B119" s="1" t="str">
        <x:v>cmmsiews2000304lgc3ooyg67</x:v>
      </x:c>
      <x:c r="C119" s="1" t="str">
        <x:v>karpasitis-v-hertfordshire-county-council</x:v>
      </x:c>
      <x:c r="D119" s="1" t="str">
        <x:v>real</x:v>
      </x:c>
      <x:c r="E119" s="14" t="str">
        <x:v>Karpasitis v Hertfordshire County Council</x:v>
      </x:c>
      <x:c r="F119" s="14" t="str">
        <x:v>case:2023 ewhc 1290 kb</x:v>
      </x:c>
      <x:c r="G119" s="14" t="str">
        <x:v>Chapman v. Mid and South Sussex NHS Foundation Trust [2023] EWHC 1290 (KB)</x:v>
      </x:c>
      <x:c r="H119" s="14" t="str">
        <x:v>Chapman v. Mid and South Sussex NHS Foundation Trust [2023] EWHC 1290 (KB)</x:v>
      </x:c>
      <x:c r="I119" s="14" t="str"/>
      <x:c r="J119" s="14" t="n">
        <x:v>1</x:v>
      </x:c>
      <x:c r="K119" s="14" t="str">
        <x:v>legalFramework.precedentCitations[0]</x:v>
      </x:c>
      <x:c r="L119" s="14" t="str">
        <x:v>cmmshur54000b04jsgyo6bz98</x:v>
      </x:c>
      <x:c r="M119" s="14" t="str">
        <x:v>ambiguous_gap_gt_10m</x:v>
      </x:c>
      <x:c r="N119" s="14" t="n">
        <x:v>940.521</x:v>
      </x:c>
      <x:c r="O119" s="14" t="str">
        <x:v>no</x:v>
      </x:c>
      <x:c r="P119" s="14" t="str">
        <x:v>no</x:v>
      </x:c>
      <x:c r="Q119" s="14" t="str">
        <x:v>none</x:v>
      </x:c>
      <x:c r="R119" s="14" t="str">
        <x:v>none</x:v>
      </x:c>
      <x:c r="S119" s="14" t="str"/>
      <x:c r="T119" s="14" t="str"/>
      <x:c r="U119" s="14" t="str"/>
      <x:c r="V119" s="15" t="str"/>
      <x:c r="W119" s="14" t="str">
        <x:v>no</x:v>
      </x:c>
      <x:c r="X119" s="14" t="str"/>
      <x:c r="Y119" s="14" t="str"/>
      <x:c r="Z119" s="14" t="str"/>
      <x:c r="AA119" s="14" t="str">
        <x:v>excluded_ambiguous_link</x:v>
      </x:c>
    </x:row>
    <x:row r="120">
      <x:c r="A120" s="1" t="str">
        <x:v>U0209</x:v>
      </x:c>
      <x:c r="B120" s="1" t="str">
        <x:v>cmmsiews2000304lgc3ooyg67</x:v>
      </x:c>
      <x:c r="C120" s="1" t="str">
        <x:v>karpasitis-v-hertfordshire-county-council</x:v>
      </x:c>
      <x:c r="D120" s="1" t="str">
        <x:v>real</x:v>
      </x:c>
      <x:c r="E120" s="14" t="str">
        <x:v>Karpasitis v Hertfordshire County Council</x:v>
      </x:c>
      <x:c r="F120" s="14" t="str">
        <x:v>case:griffiths v gwynedd county council</x:v>
      </x:c>
      <x:c r="G120" s="14" t="str">
        <x:v>Griffiths v Gwynedd County Council</x:v>
      </x:c>
      <x:c r="H120" s="14" t="str">
        <x:v>N/A</x:v>
      </x:c>
      <x:c r="I120" s="14" t="str">
        <x:v>70c75405-8cba-40e2-92ff-8302ea4f6789</x:v>
      </x:c>
      <x:c r="J120" s="14" t="n">
        <x:v>3</x:v>
      </x:c>
      <x:c r="K120" s="14" t="str">
        <x:v>factualFindings.contestedFacts[0].sourceCases[0] | issuesForDetermination.issueMatrix[0].sourceCases[0] | reasoningStructure[0].sourceCases[0]</x:v>
      </x:c>
      <x:c r="L120" s="14" t="str">
        <x:v>cmmshur54000b04jsgyo6bz98</x:v>
      </x:c>
      <x:c r="M120" s="14" t="str">
        <x:v>ambiguous_gap_gt_10m</x:v>
      </x:c>
      <x:c r="N120" s="14" t="n">
        <x:v>940.521</x:v>
      </x:c>
      <x:c r="O120" s="14" t="str">
        <x:v>no</x:v>
      </x:c>
      <x:c r="P120" s="14" t="str">
        <x:v>yes</x:v>
      </x:c>
      <x:c r="Q120" s="14" t="str">
        <x:v>exact_case_id</x:v>
      </x:c>
      <x:c r="R120" s="14" t="str">
        <x:v>definitive</x:v>
      </x:c>
      <x:c r="S120" s="14" t="n">
        <x:v>2</x:v>
      </x:c>
      <x:c r="T120" s="14" t="str">
        <x:v>70c75405-8cba-40e2-92ff-8302ea4f6789</x:v>
      </x:c>
      <x:c r="U120" s="14" t="str">
        <x:v>Griffiths v Gwynedd County Council [2015] EWCA Civ 1440</x:v>
      </x:c>
      <x:c r="V120" s="15" t="n">
        <x:v>0.7043708</x:v>
      </x:c>
      <x:c r="W120" s="14" t="str">
        <x:v>no</x:v>
      </x:c>
      <x:c r="X120" s="14" t="str"/>
      <x:c r="Y120" s="14" t="str"/>
      <x:c r="Z120" s="14" t="str"/>
      <x:c r="AA120" s="14" t="str">
        <x:v>excluded_ambiguous_link</x:v>
      </x:c>
    </x:row>
    <x:row r="121">
      <x:c r="A121" s="1" t="str">
        <x:v>U0210</x:v>
      </x:c>
      <x:c r="B121" s="1" t="str">
        <x:v>cmmsiews2000304lgc3ooyg67</x:v>
      </x:c>
      <x:c r="C121" s="1" t="str">
        <x:v>karpasitis-v-hertfordshire-county-council</x:v>
      </x:c>
      <x:c r="D121" s="1" t="str">
        <x:v>real</x:v>
      </x:c>
      <x:c r="E121" s="14" t="str">
        <x:v>Karpasitis v Hertfordshire County Council</x:v>
      </x:c>
      <x:c r="F121" s="14" t="str">
        <x:v>case:the secretary of state for transport &amp; anor v cuciurean</x:v>
      </x:c>
      <x:c r="G121" s="14" t="str">
        <x:v>The Secretary of State for Transport &amp; Anor v Cuciurean</x:v>
      </x:c>
      <x:c r="H121" s="14" t="str">
        <x:v>N/A</x:v>
      </x:c>
      <x:c r="I121" s="14" t="str">
        <x:v>aeeec773-897a-43bf-a319-7d0c8a133974</x:v>
      </x:c>
      <x:c r="J121" s="14" t="n">
        <x:v>3</x:v>
      </x:c>
      <x:c r="K121" s="14" t="str">
        <x:v>factualFindings.contestedFacts[1].sourceCases[0] | issuesForDetermination.issueMatrix[1].sourceCases[0] | reasoningStructure[1].sourceCases[0]</x:v>
      </x:c>
      <x:c r="L121" s="14" t="str">
        <x:v>cmmshur54000b04jsgyo6bz98</x:v>
      </x:c>
      <x:c r="M121" s="14" t="str">
        <x:v>ambiguous_gap_gt_10m</x:v>
      </x:c>
      <x:c r="N121" s="14" t="n">
        <x:v>940.521</x:v>
      </x:c>
      <x:c r="O121" s="14" t="str">
        <x:v>no</x:v>
      </x:c>
      <x:c r="P121" s="14" t="str">
        <x:v>yes</x:v>
      </x:c>
      <x:c r="Q121" s="14" t="str">
        <x:v>exact_case_id</x:v>
      </x:c>
      <x:c r="R121" s="14" t="str">
        <x:v>definitive</x:v>
      </x:c>
      <x:c r="S121" s="14" t="n">
        <x:v>3</x:v>
      </x:c>
      <x:c r="T121" s="14" t="str">
        <x:v>aeeec773-897a-43bf-a319-7d0c8a133974</x:v>
      </x:c>
      <x:c r="U121" s="14" t="str">
        <x:v>The Secretary of State for Transport &amp; Anor v Cuciurean [2022] EWCA Civ 661</x:v>
      </x:c>
      <x:c r="V121" s="15" t="n">
        <x:v>0.7015322</x:v>
      </x:c>
      <x:c r="W121" s="14" t="str">
        <x:v>no</x:v>
      </x:c>
      <x:c r="X121" s="14" t="str"/>
      <x:c r="Y121" s="14" t="str"/>
      <x:c r="Z121" s="14" t="str"/>
      <x:c r="AA121" s="14" t="str">
        <x:v>excluded_ambiguous_link</x:v>
      </x:c>
    </x:row>
    <x:row r="122">
      <x:c r="A122" s="1" t="str">
        <x:v>U0214</x:v>
      </x:c>
      <x:c r="B122" s="1" t="str">
        <x:v>cmmxgyd9z000h04kttryogau2</x:v>
      </x:c>
      <x:c r="C122" s="1" t="str">
        <x:v>karpasitis-v-hertfordshire-county-council</x:v>
      </x:c>
      <x:c r="D122" s="1" t="str">
        <x:v>real</x:v>
      </x:c>
      <x:c r="E122" s="14" t="str">
        <x:v>Karpasitis v Hertfordshire County Council</x:v>
      </x:c>
      <x:c r="F122" s="14" t="str">
        <x:v>case:2002 ewca civ 605</x:v>
      </x:c>
      <x:c r="G122" s="14" t="str">
        <x:v>[2002] EWCA Civ 605</x:v>
      </x:c>
      <x:c r="H122" s="14" t="str">
        <x:v>[2002] EWCA Civ 605</x:v>
      </x:c>
      <x:c r="I122" s="14" t="str"/>
      <x:c r="J122" s="14" t="n">
        <x:v>1</x:v>
      </x:c>
      <x:c r="K122" s="14" t="str">
        <x:v>legalFramework.precedentCitations[0]</x:v>
      </x:c>
      <x:c r="L122" s="14" t="str">
        <x:v>cmmxgv6n0000b04kt94o7km5w</x:v>
      </x:c>
      <x:c r="M122" s="14" t="str">
        <x:v>confirmed_within_10m</x:v>
      </x:c>
      <x:c r="N122" s="14" t="n">
        <x:v>148.66</x:v>
      </x:c>
      <x:c r="O122" s="14" t="str">
        <x:v>yes</x:v>
      </x:c>
      <x:c r="P122" s="14" t="str">
        <x:v>no</x:v>
      </x:c>
      <x:c r="Q122" s="14" t="str">
        <x:v>none</x:v>
      </x:c>
      <x:c r="R122" s="14" t="str">
        <x:v>none</x:v>
      </x:c>
      <x:c r="S122" s="14" t="str"/>
      <x:c r="T122" s="14" t="str"/>
      <x:c r="U122" s="14" t="str"/>
      <x:c r="V122" s="15" t="str"/>
      <x:c r="W122" s="14" t="str">
        <x:v>no</x:v>
      </x:c>
      <x:c r="X122" s="14" t="str"/>
      <x:c r="Y122" s="14" t="str"/>
      <x:c r="Z122" s="14" t="str"/>
      <x:c r="AA122" s="14" t="str">
        <x:v>no</x:v>
      </x:c>
    </x:row>
    <x:row r="123">
      <x:c r="A123" s="1" t="str">
        <x:v>U0215</x:v>
      </x:c>
      <x:c r="B123" s="1" t="str">
        <x:v>cmmxgyd9z000h04kttryogau2</x:v>
      </x:c>
      <x:c r="C123" s="1" t="str">
        <x:v>karpasitis-v-hertfordshire-county-council</x:v>
      </x:c>
      <x:c r="D123" s="1" t="str">
        <x:v>real</x:v>
      </x:c>
      <x:c r="E123" s="14" t="str">
        <x:v>Karpasitis v Hertfordshire County Council</x:v>
      </x:c>
      <x:c r="F123" s="14" t="str">
        <x:v>case:2022 ewca civ 18</x:v>
      </x:c>
      <x:c r="G123" s="14" t="str">
        <x:v>Brown &amp; Ors v South West Lakes Trust &amp; Ors</x:v>
      </x:c>
      <x:c r="H123" s="14" t="str">
        <x:v>[2022] EWCA Civ 18</x:v>
      </x:c>
      <x:c r="I123" s="14" t="str">
        <x:v>70d43223-0ec6-458b-b052-bdc295e0d6ec</x:v>
      </x:c>
      <x:c r="J123" s="14" t="n">
        <x:v>3</x:v>
      </x:c>
      <x:c r="K123" s="14" t="str">
        <x:v>factualFindings.contestedFacts[1].sourceCases[0] | issuesForDetermination.issueMatrix[1].sourceCases[0] | reasoningStructure[1].sourceCases[0]</x:v>
      </x:c>
      <x:c r="L123" s="14" t="str">
        <x:v>cmmxgv6n0000b04kt94o7km5w</x:v>
      </x:c>
      <x:c r="M123" s="14" t="str">
        <x:v>confirmed_within_10m</x:v>
      </x:c>
      <x:c r="N123" s="14" t="n">
        <x:v>148.66</x:v>
      </x:c>
      <x:c r="O123" s="14" t="str">
        <x:v>yes</x:v>
      </x:c>
      <x:c r="P123" s="14" t="str">
        <x:v>yes</x:v>
      </x:c>
      <x:c r="Q123" s="14" t="str">
        <x:v>exact_case_id</x:v>
      </x:c>
      <x:c r="R123" s="14" t="str">
        <x:v>definitive</x:v>
      </x:c>
      <x:c r="S123" s="14" t="n">
        <x:v>3</x:v>
      </x:c>
      <x:c r="T123" s="14" t="str">
        <x:v>70d43223-0ec6-458b-b052-bdc295e0d6ec</x:v>
      </x:c>
      <x:c r="U123" s="14" t="str">
        <x:v>Brown &amp; Ors v South West Lakes Trust &amp; Ors [2022] EWCA Civ 18</x:v>
      </x:c>
      <x:c r="V123" s="15" t="n">
        <x:v>0.6891316</x:v>
      </x:c>
      <x:c r="W123" s="14" t="str">
        <x:v>no</x:v>
      </x:c>
      <x:c r="X123" s="14" t="str"/>
      <x:c r="Y123" s="14" t="str"/>
      <x:c r="Z123" s="14" t="str"/>
      <x:c r="AA123" s="14" t="str">
        <x:v>yes</x:v>
      </x:c>
    </x:row>
    <x:row r="124">
      <x:c r="A124" s="1" t="str">
        <x:v>U0216</x:v>
      </x:c>
      <x:c r="B124" s="1" t="str">
        <x:v>cmmxgyd9z000h04kttryogau2</x:v>
      </x:c>
      <x:c r="C124" s="1" t="str">
        <x:v>karpasitis-v-hertfordshire-county-council</x:v>
      </x:c>
      <x:c r="D124" s="1" t="str">
        <x:v>real</x:v>
      </x:c>
      <x:c r="E124" s="14" t="str">
        <x:v>Karpasitis v Hertfordshire County Council</x:v>
      </x:c>
      <x:c r="F124" s="14" t="str">
        <x:v>case:2022 ewca civ 25</x:v>
      </x:c>
      <x:c r="G124" s="14" t="str">
        <x:v>Tindall &amp; Anor v Chief Constable of Thames Valley Police &amp; Anor</x:v>
      </x:c>
      <x:c r="H124" s="14" t="str">
        <x:v>[2022] EWCA Civ 25</x:v>
      </x:c>
      <x:c r="I124" s="14" t="str">
        <x:v>4685ad0e-87e7-4f59-8991-823ab27d9393</x:v>
      </x:c>
      <x:c r="J124" s="14" t="n">
        <x:v>1</x:v>
      </x:c>
      <x:c r="K124" s="14" t="str">
        <x:v>factualFindings.chronology[0].sourceCases[0]</x:v>
      </x:c>
      <x:c r="L124" s="14" t="str">
        <x:v>cmmxgv6n0000b04kt94o7km5w</x:v>
      </x:c>
      <x:c r="M124" s="14" t="str">
        <x:v>confirmed_within_10m</x:v>
      </x:c>
      <x:c r="N124" s="14" t="n">
        <x:v>148.66</x:v>
      </x:c>
      <x:c r="O124" s="14" t="str">
        <x:v>yes</x:v>
      </x:c>
      <x:c r="P124" s="14" t="str">
        <x:v>yes</x:v>
      </x:c>
      <x:c r="Q124" s="14" t="str">
        <x:v>exact_case_id</x:v>
      </x:c>
      <x:c r="R124" s="14" t="str">
        <x:v>definitive</x:v>
      </x:c>
      <x:c r="S124" s="14" t="n">
        <x:v>4</x:v>
      </x:c>
      <x:c r="T124" s="14" t="str">
        <x:v>4685ad0e-87e7-4f59-8991-823ab27d9393</x:v>
      </x:c>
      <x:c r="U124" s="14" t="str">
        <x:v>Tindall &amp; Anor v Chief Constable of Thames Valley Police &amp; Anor [2022] EWCA Civ 25</x:v>
      </x:c>
      <x:c r="V124" s="15" t="n">
        <x:v>0.67946213</x:v>
      </x:c>
      <x:c r="W124" s="14" t="str">
        <x:v>no</x:v>
      </x:c>
      <x:c r="X124" s="14" t="str"/>
      <x:c r="Y124" s="14" t="str"/>
      <x:c r="Z124" s="14" t="str"/>
      <x:c r="AA124" s="14" t="str">
        <x:v>yes</x:v>
      </x:c>
    </x:row>
    <x:row r="125">
      <x:c r="A125" s="1" t="str">
        <x:v>U0217</x:v>
      </x:c>
      <x:c r="B125" s="1" t="str">
        <x:v>cmmxgyd9z000h04kttryogau2</x:v>
      </x:c>
      <x:c r="C125" s="1" t="str">
        <x:v>karpasitis-v-hertfordshire-county-council</x:v>
      </x:c>
      <x:c r="D125" s="1" t="str">
        <x:v>real</x:v>
      </x:c>
      <x:c r="E125" s="14" t="str">
        <x:v>Karpasitis v Hertfordshire County Council</x:v>
      </x:c>
      <x:c r="F125" s="14" t="str">
        <x:v>case:gorringe v calderdale metropolitan borough council</x:v>
      </x:c>
      <x:c r="G125" s="14" t="str">
        <x:v>Gorringe v. Calderdale Metropolitan Borough Council</x:v>
      </x:c>
      <x:c r="H125" s="14" t="str">
        <x:v>N/A</x:v>
      </x:c>
      <x:c r="I125" s="14" t="str">
        <x:v>bc30491e-9ae6-48da-90d0-71d8a8069b22</x:v>
      </x:c>
      <x:c r="J125" s="14" t="n">
        <x:v>4</x:v>
      </x:c>
      <x:c r="K125" s="14" t="str">
        <x:v>factualFindings.contestedFacts[0].sourceCases[0] | issuesForDetermination.issueMatrix[0].sourceCases[0] | legalFramework.precedentCitations[1].sourceCases[0] | reasoningStructure[0].sourceCases[0]</x:v>
      </x:c>
      <x:c r="L125" s="14" t="str">
        <x:v>cmmxgv6n0000b04kt94o7km5w</x:v>
      </x:c>
      <x:c r="M125" s="14" t="str">
        <x:v>confirmed_within_10m</x:v>
      </x:c>
      <x:c r="N125" s="14" t="n">
        <x:v>148.66</x:v>
      </x:c>
      <x:c r="O125" s="14" t="str">
        <x:v>yes</x:v>
      </x:c>
      <x:c r="P125" s="14" t="str">
        <x:v>yes</x:v>
      </x:c>
      <x:c r="Q125" s="14" t="str">
        <x:v>exact_case_id</x:v>
      </x:c>
      <x:c r="R125" s="14" t="str">
        <x:v>definitive</x:v>
      </x:c>
      <x:c r="S125" s="14" t="n">
        <x:v>1</x:v>
      </x:c>
      <x:c r="T125" s="14" t="str">
        <x:v>bc30491e-9ae6-48da-90d0-71d8a8069b22</x:v>
      </x:c>
      <x:c r="U125" s="14" t="str">
        <x:v>Gorringe v. Calderdale Metropolitan Borough Council</x:v>
      </x:c>
      <x:c r="V125" s="15" t="n">
        <x:v>0.71467984</x:v>
      </x:c>
      <x:c r="W125" s="14" t="str">
        <x:v>no</x:v>
      </x:c>
      <x:c r="X125" s="14" t="str"/>
      <x:c r="Y125" s="14" t="str"/>
      <x:c r="Z125" s="14" t="str"/>
      <x:c r="AA125" s="14" t="str">
        <x:v>yes</x:v>
      </x:c>
    </x:row>
    <x:row r="126">
      <x:c r="A126" s="1" t="str">
        <x:v>U0218</x:v>
      </x:c>
      <x:c r="B126" s="1" t="str">
        <x:v>cmmxgyd9z000h04kttryogau2</x:v>
      </x:c>
      <x:c r="C126" s="1" t="str">
        <x:v>karpasitis-v-hertfordshire-county-council</x:v>
      </x:c>
      <x:c r="D126" s="1" t="str">
        <x:v>real</x:v>
      </x:c>
      <x:c r="E126" s="14" t="str">
        <x:v>Karpasitis v Hertfordshire County Council</x:v>
      </x:c>
      <x:c r="F126" s="14" t="str">
        <x:v>case:king lifting ltd v oxfordshire county council</x:v>
      </x:c>
      <x:c r="G126" s="14" t="str">
        <x:v>King Lifting Ltd v Oxfordshire County Council</x:v>
      </x:c>
      <x:c r="H126" s="14" t="str">
        <x:v>[2016] EWHC 1767</x:v>
      </x:c>
      <x:c r="I126" s="14" t="str">
        <x:v>52d20bb9-6964-44a6-9c32-d191ef76297c</x:v>
      </x:c>
      <x:c r="J126" s="14" t="n">
        <x:v>1</x:v>
      </x:c>
      <x:c r="K126" s="14" t="str">
        <x:v>legalFramework.precedentCitations[3].sourceCases[0]</x:v>
      </x:c>
      <x:c r="L126" s="14" t="str">
        <x:v>cmmxgv6n0000b04kt94o7km5w</x:v>
      </x:c>
      <x:c r="M126" s="14" t="str">
        <x:v>confirmed_within_10m</x:v>
      </x:c>
      <x:c r="N126" s="14" t="n">
        <x:v>148.66</x:v>
      </x:c>
      <x:c r="O126" s="14" t="str">
        <x:v>yes</x:v>
      </x:c>
      <x:c r="P126" s="14" t="str">
        <x:v>yes</x:v>
      </x:c>
      <x:c r="Q126" s="14" t="str">
        <x:v>exact_case_id</x:v>
      </x:c>
      <x:c r="R126" s="14" t="str">
        <x:v>definitive</x:v>
      </x:c>
      <x:c r="S126" s="14" t="n">
        <x:v>5</x:v>
      </x:c>
      <x:c r="T126" s="14" t="str">
        <x:v>52d20bb9-6964-44a6-9c32-d191ef76297c</x:v>
      </x:c>
      <x:c r="U126" s="14" t="str">
        <x:v>King Lifting Ltd v Oxfordshire County Council [2016] EWHC 1767 (QB)</x:v>
      </x:c>
      <x:c r="V126" s="15" t="n">
        <x:v>0.679442</x:v>
      </x:c>
      <x:c r="W126" s="14" t="str">
        <x:v>no</x:v>
      </x:c>
      <x:c r="X126" s="14" t="str"/>
      <x:c r="Y126" s="14" t="str"/>
      <x:c r="Z126" s="14" t="str"/>
      <x:c r="AA126" s="14" t="str">
        <x:v>yes</x:v>
      </x:c>
    </x:row>
    <x:row r="127">
      <x:c r="A127" s="1" t="str">
        <x:v>U0225</x:v>
      </x:c>
      <x:c r="B127" s="1" t="str">
        <x:v>cmmxi2xkc000t04l8hsscxyvl</x:v>
      </x:c>
      <x:c r="C127" s="1" t="str">
        <x:v>ksy-juice-blends-uk-limited-v-citrosuco-gmbh</x:v>
      </x:c>
      <x:c r="D127" s="1" t="str">
        <x:v>real</x:v>
      </x:c>
      <x:c r="E127" s="14" t="str">
        <x:v>KSY Juice Blends UK Limited v Citrosuco GmbH</x:v>
      </x:c>
      <x:c r="F127" s="14" t="str">
        <x:v>case:2001 2 lloyd s rep 76</x:v>
      </x:c>
      <x:c r="G127" s="14" t="str">
        <x:v>Mamidoil v Okta [2001] 2 Lloyd's Rep 76</x:v>
      </x:c>
      <x:c r="H127" s="14" t="str">
        <x:v>Mamidoil v Okta [2001] 2 Lloyd's Rep 76</x:v>
      </x:c>
      <x:c r="I127" s="14" t="str"/>
      <x:c r="J127" s="14" t="n">
        <x:v>1</x:v>
      </x:c>
      <x:c r="K127" s="14" t="str">
        <x:v>legalFramework.precedentCitations[0]</x:v>
      </x:c>
      <x:c r="L127" s="14" t="str">
        <x:v>cmmxi0nl9000n04l8myv0bd76</x:v>
      </x:c>
      <x:c r="M127" s="14" t="str">
        <x:v>confirmed_within_10m</x:v>
      </x:c>
      <x:c r="N127" s="14" t="n">
        <x:v>106.335</x:v>
      </x:c>
      <x:c r="O127" s="14" t="str">
        <x:v>yes</x:v>
      </x:c>
      <x:c r="P127" s="14" t="str">
        <x:v>no</x:v>
      </x:c>
      <x:c r="Q127" s="14" t="str">
        <x:v>none</x:v>
      </x:c>
      <x:c r="R127" s="14" t="str">
        <x:v>none</x:v>
      </x:c>
      <x:c r="S127" s="14" t="str"/>
      <x:c r="T127" s="14" t="str"/>
      <x:c r="U127" s="14" t="str"/>
      <x:c r="V127" s="15" t="str"/>
      <x:c r="W127" s="14" t="str">
        <x:v>no</x:v>
      </x:c>
      <x:c r="X127" s="14" t="str"/>
      <x:c r="Y127" s="14" t="str"/>
      <x:c r="Z127" s="14" t="str"/>
      <x:c r="AA127" s="14" t="str">
        <x:v>no</x:v>
      </x:c>
    </x:row>
    <x:row r="128">
      <x:c r="A128" s="1" t="str">
        <x:v>U0226</x:v>
      </x:c>
      <x:c r="B128" s="1" t="str">
        <x:v>cmmxi2xkc000t04l8hsscxyvl</x:v>
      </x:c>
      <x:c r="C128" s="1" t="str">
        <x:v>ksy-juice-blends-uk-limited-v-citrosuco-gmbh</x:v>
      </x:c>
      <x:c r="D128" s="1" t="str">
        <x:v>real</x:v>
      </x:c>
      <x:c r="E128" s="14" t="str">
        <x:v>KSY Juice Blends UK Limited v Citrosuco GmbH</x:v>
      </x:c>
      <x:c r="F128" s="14" t="str">
        <x:v>case:2009 ukhl 38</x:v>
      </x:c>
      <x:c r="G128" s="14" t="str">
        <x:v>Chartbrook Ltd v Persimmon Homes Ltd [2009] UKHL 38</x:v>
      </x:c>
      <x:c r="H128" s="14" t="str">
        <x:v>Chartbrook Ltd v Persimmon Homes Ltd [2009] UKHL 38</x:v>
      </x:c>
      <x:c r="I128" s="14" t="str">
        <x:v>2d2f67c0-33b8-47de-ade5-124c90fc1a95</x:v>
      </x:c>
      <x:c r="J128" s="14" t="n">
        <x:v>6</x:v>
      </x:c>
      <x:c r="K128" s="14" t="str">
        <x:v>factualFindings.contestedFacts[1].sourceCases[0] | issuesForDetermination.issueMatrix[1].sourceCases[0] | legalFramework.precedentCitations[1] | legalFramework.precedentCitations[1].sourceCases[0] | legalFramework.statutoryProvisions[0].sourceCases[0] | reasoningStructure[1].sourceCases[0]</x:v>
      </x:c>
      <x:c r="L128" s="14" t="str">
        <x:v>cmmxi0nl9000n04l8myv0bd76</x:v>
      </x:c>
      <x:c r="M128" s="14" t="str">
        <x:v>confirmed_within_10m</x:v>
      </x:c>
      <x:c r="N128" s="14" t="n">
        <x:v>106.335</x:v>
      </x:c>
      <x:c r="O128" s="14" t="str">
        <x:v>yes</x:v>
      </x:c>
      <x:c r="P128" s="14" t="str">
        <x:v>yes</x:v>
      </x:c>
      <x:c r="Q128" s="14" t="str">
        <x:v>exact_case_id</x:v>
      </x:c>
      <x:c r="R128" s="14" t="str">
        <x:v>definitive</x:v>
      </x:c>
      <x:c r="S128" s="14" t="n">
        <x:v>3</x:v>
      </x:c>
      <x:c r="T128" s="14" t="str">
        <x:v>2d2f67c0-33b8-47de-ade5-124c90fc1a95</x:v>
      </x:c>
      <x:c r="U128" s="14" t="str">
        <x:v>Chartbrook Ltd v Persimmon Homes Ltd &amp; Ors [2009] UKHL 38</x:v>
      </x:c>
      <x:c r="V128" s="15" t="n">
        <x:v>0.7455511</x:v>
      </x:c>
      <x:c r="W128" s="14" t="str">
        <x:v>no</x:v>
      </x:c>
      <x:c r="X128" s="14" t="str"/>
      <x:c r="Y128" s="14" t="str"/>
      <x:c r="Z128" s="14" t="str"/>
      <x:c r="AA128" s="14" t="str">
        <x:v>yes</x:v>
      </x:c>
    </x:row>
    <x:row r="129">
      <x:c r="A129" s="1" t="str">
        <x:v>U0227</x:v>
      </x:c>
      <x:c r="B129" s="1" t="str">
        <x:v>cmmxi2xkc000t04l8hsscxyvl</x:v>
      </x:c>
      <x:c r="C129" s="1" t="str">
        <x:v>ksy-juice-blends-uk-limited-v-citrosuco-gmbh</x:v>
      </x:c>
      <x:c r="D129" s="1" t="str">
        <x:v>real</x:v>
      </x:c>
      <x:c r="E129" s="14" t="str">
        <x:v>KSY Juice Blends UK Limited v Citrosuco GmbH</x:v>
      </x:c>
      <x:c r="F129" s="14" t="str">
        <x:v>case:cornelius v dubai islamic bank pjsc</x:v>
      </x:c>
      <x:c r="G129" s="14" t="str">
        <x:v>Cornelius v Dubai Islamic Bank PJSC</x:v>
      </x:c>
      <x:c r="H129" s="14" t="str"/>
      <x:c r="I129" s="14" t="str">
        <x:v>89eec5b0-6a53-4135-8ab9-17e062417bff</x:v>
      </x:c>
      <x:c r="J129" s="14" t="n">
        <x:v>1</x:v>
      </x:c>
      <x:c r="K129" s="14" t="str">
        <x:v>factualFindings.chronology[1].sourceCases[0]</x:v>
      </x:c>
      <x:c r="L129" s="14" t="str">
        <x:v>cmmxi0nl9000n04l8myv0bd76</x:v>
      </x:c>
      <x:c r="M129" s="14" t="str">
        <x:v>confirmed_within_10m</x:v>
      </x:c>
      <x:c r="N129" s="14" t="n">
        <x:v>106.335</x:v>
      </x:c>
      <x:c r="O129" s="14" t="str">
        <x:v>yes</x:v>
      </x:c>
      <x:c r="P129" s="14" t="str">
        <x:v>yes</x:v>
      </x:c>
      <x:c r="Q129" s="14" t="str">
        <x:v>exact_case_id</x:v>
      </x:c>
      <x:c r="R129" s="14" t="str">
        <x:v>definitive</x:v>
      </x:c>
      <x:c r="S129" s="14" t="n">
        <x:v>4</x:v>
      </x:c>
      <x:c r="T129" s="14" t="str">
        <x:v>89eec5b0-6a53-4135-8ab9-17e062417bff</x:v>
      </x:c>
      <x:c r="U129" s="14" t="str">
        <x:v>Cornelius v Dubai Islamic Bank PJSC</x:v>
      </x:c>
      <x:c r="V129" s="15" t="n">
        <x:v>0.73689675</x:v>
      </x:c>
      <x:c r="W129" s="14" t="str">
        <x:v>no</x:v>
      </x:c>
      <x:c r="X129" s="14" t="str"/>
      <x:c r="Y129" s="14" t="str"/>
      <x:c r="Z129" s="14" t="str"/>
      <x:c r="AA129" s="14" t="str">
        <x:v>yes</x:v>
      </x:c>
    </x:row>
    <x:row r="130">
      <x:c r="A130" s="1" t="str">
        <x:v>U0228</x:v>
      </x:c>
      <x:c r="B130" s="1" t="str">
        <x:v>cmmxi2xkc000t04l8hsscxyvl</x:v>
      </x:c>
      <x:c r="C130" s="1" t="str">
        <x:v>ksy-juice-blends-uk-limited-v-citrosuco-gmbh</x:v>
      </x:c>
      <x:c r="D130" s="1" t="str">
        <x:v>real</x:v>
      </x:c>
      <x:c r="E130" s="14" t="str">
        <x:v>KSY Juice Blends UK Limited v Citrosuco GmbH</x:v>
      </x:c>
      <x:c r="F130" s="14" t="str">
        <x:v>case:proforce recruit ltd v the rugby group ltd</x:v>
      </x:c>
      <x:c r="G130" s="14" t="str">
        <x:v>Proforce Recruit Ltd v The Rugby Group Ltd</x:v>
      </x:c>
      <x:c r="H130" s="14" t="str"/>
      <x:c r="I130" s="14" t="str">
        <x:v>66a2adb7-bddd-44b0-98f8-695142e21b39</x:v>
      </x:c>
      <x:c r="J130" s="14" t="n">
        <x:v>3</x:v>
      </x:c>
      <x:c r="K130" s="14" t="str">
        <x:v>factualFindings.contestedFacts[0].sourceCases[0] | issuesForDetermination.issueMatrix[0].sourceCases[0] | reasoningStructure[0].sourceCases[0]</x:v>
      </x:c>
      <x:c r="L130" s="14" t="str">
        <x:v>cmmxi0nl9000n04l8myv0bd76</x:v>
      </x:c>
      <x:c r="M130" s="14" t="str">
        <x:v>confirmed_within_10m</x:v>
      </x:c>
      <x:c r="N130" s="14" t="n">
        <x:v>106.335</x:v>
      </x:c>
      <x:c r="O130" s="14" t="str">
        <x:v>yes</x:v>
      </x:c>
      <x:c r="P130" s="14" t="str">
        <x:v>yes</x:v>
      </x:c>
      <x:c r="Q130" s="14" t="str">
        <x:v>exact_case_id</x:v>
      </x:c>
      <x:c r="R130" s="14" t="str">
        <x:v>definitive</x:v>
      </x:c>
      <x:c r="S130" s="14" t="n">
        <x:v>1</x:v>
      </x:c>
      <x:c r="T130" s="14" t="str">
        <x:v>66a2adb7-bddd-44b0-98f8-695142e21b39</x:v>
      </x:c>
      <x:c r="U130" s="14" t="str">
        <x:v>Proforce Recruit Ltd v The Rugby Group Ltd [2006] EWCA Civ 69</x:v>
      </x:c>
      <x:c r="V130" s="15" t="n">
        <x:v>0.7630894</x:v>
      </x:c>
      <x:c r="W130" s="14" t="str">
        <x:v>no</x:v>
      </x:c>
      <x:c r="X130" s="14" t="str"/>
      <x:c r="Y130" s="14" t="str"/>
      <x:c r="Z130" s="14" t="str"/>
      <x:c r="AA130" s="14" t="str">
        <x:v>yes</x:v>
      </x:c>
    </x:row>
    <x:row r="131">
      <x:c r="A131" s="1" t="str">
        <x:v>U0231</x:v>
      </x:c>
      <x:c r="B131" s="1" t="str">
        <x:v>cmmxktfx8000904johoqmmfkm</x:v>
      </x:c>
      <x:c r="C131" s="1" t="str">
        <x:v>karpasitis-v-hertfordshire-county-council</x:v>
      </x:c>
      <x:c r="D131" s="1" t="str">
        <x:v>real</x:v>
      </x:c>
      <x:c r="E131" s="14" t="str">
        <x:v>Karpasitis v Hertfordshire County Council</x:v>
      </x:c>
      <x:c r="F131" s="14" t="str">
        <x:v>case:2000 1 wlr 377</x:v>
      </x:c>
      <x:c r="G131" s="14" t="str">
        <x:v>Flannery v Halifax Estate Agencies Ltd [2000] 1 WLR 377</x:v>
      </x:c>
      <x:c r="H131" s="14" t="str">
        <x:v>Flannery v Halifax Estate Agencies Ltd [2000] 1 WLR 377</x:v>
      </x:c>
      <x:c r="I131" s="14" t="str"/>
      <x:c r="J131" s="14" t="n">
        <x:v>1</x:v>
      </x:c>
      <x:c r="K131" s="14" t="str">
        <x:v>legalFramework.precedentCitations[1]</x:v>
      </x:c>
      <x:c r="L131" s="14" t="str">
        <x:v>cmmxkq28b000304jo5eard9id</x:v>
      </x:c>
      <x:c r="M131" s="14" t="str">
        <x:v>confirmed_within_10m</x:v>
      </x:c>
      <x:c r="N131" s="14" t="n">
        <x:v>157.802</x:v>
      </x:c>
      <x:c r="O131" s="14" t="str">
        <x:v>yes</x:v>
      </x:c>
      <x:c r="P131" s="14" t="str">
        <x:v>no</x:v>
      </x:c>
      <x:c r="Q131" s="14" t="str">
        <x:v>none</x:v>
      </x:c>
      <x:c r="R131" s="14" t="str">
        <x:v>none</x:v>
      </x:c>
      <x:c r="S131" s="14" t="str"/>
      <x:c r="T131" s="14" t="str"/>
      <x:c r="U131" s="14" t="str"/>
      <x:c r="V131" s="15" t="str"/>
      <x:c r="W131" s="14" t="str">
        <x:v>no</x:v>
      </x:c>
      <x:c r="X131" s="14" t="str"/>
      <x:c r="Y131" s="14" t="str"/>
      <x:c r="Z131" s="14" t="str"/>
      <x:c r="AA131" s="14" t="str">
        <x:v>no</x:v>
      </x:c>
    </x:row>
    <x:row r="132">
      <x:c r="A132" s="1" t="str">
        <x:v>U0232</x:v>
      </x:c>
      <x:c r="B132" s="1" t="str">
        <x:v>cmmxktfx8000904johoqmmfkm</x:v>
      </x:c>
      <x:c r="C132" s="1" t="str">
        <x:v>karpasitis-v-hertfordshire-county-council</x:v>
      </x:c>
      <x:c r="D132" s="1" t="str">
        <x:v>real</x:v>
      </x:c>
      <x:c r="E132" s="14" t="str">
        <x:v>Karpasitis v Hertfordshire County Council</x:v>
      </x:c>
      <x:c r="F132" s="14" t="str">
        <x:v>case:2002 ewca civ 605</x:v>
      </x:c>
      <x:c r="G132" s="14" t="str">
        <x:v>English v Emery Reimbold &amp; Strick Ltd [2002] EWCA Civ 605</x:v>
      </x:c>
      <x:c r="H132" s="14" t="str">
        <x:v>English v Emery Reimbold &amp; Strick Ltd [2002] EWCA Civ 605</x:v>
      </x:c>
      <x:c r="I132" s="14" t="str"/>
      <x:c r="J132" s="14" t="n">
        <x:v>1</x:v>
      </x:c>
      <x:c r="K132" s="14" t="str">
        <x:v>legalFramework.precedentCitations[0]</x:v>
      </x:c>
      <x:c r="L132" s="14" t="str">
        <x:v>cmmxkq28b000304jo5eard9id</x:v>
      </x:c>
      <x:c r="M132" s="14" t="str">
        <x:v>confirmed_within_10m</x:v>
      </x:c>
      <x:c r="N132" s="14" t="n">
        <x:v>157.802</x:v>
      </x:c>
      <x:c r="O132" s="14" t="str">
        <x:v>yes</x:v>
      </x:c>
      <x:c r="P132" s="14" t="str">
        <x:v>no</x:v>
      </x:c>
      <x:c r="Q132" s="14" t="str">
        <x:v>none</x:v>
      </x:c>
      <x:c r="R132" s="14" t="str">
        <x:v>none</x:v>
      </x:c>
      <x:c r="S132" s="14" t="str"/>
      <x:c r="T132" s="14" t="str"/>
      <x:c r="U132" s="14" t="str"/>
      <x:c r="V132" s="15" t="str"/>
      <x:c r="W132" s="14" t="str">
        <x:v>no</x:v>
      </x:c>
      <x:c r="X132" s="14" t="str"/>
      <x:c r="Y132" s="14" t="str"/>
      <x:c r="Z132" s="14" t="str"/>
      <x:c r="AA132" s="14" t="str">
        <x:v>no</x:v>
      </x:c>
    </x:row>
    <x:row r="133">
      <x:c r="A133" s="1" t="str">
        <x:v>U0233</x:v>
      </x:c>
      <x:c r="B133" s="1" t="str">
        <x:v>cmmxktfx8000904johoqmmfkm</x:v>
      </x:c>
      <x:c r="C133" s="1" t="str">
        <x:v>karpasitis-v-hertfordshire-county-council</x:v>
      </x:c>
      <x:c r="D133" s="1" t="str">
        <x:v>real</x:v>
      </x:c>
      <x:c r="E133" s="14" t="str">
        <x:v>Karpasitis v Hertfordshire County Council</x:v>
      </x:c>
      <x:c r="F133" s="14" t="str">
        <x:v>case:2010 ewca civ 776</x:v>
      </x:c>
      <x:c r="G133" s="14" t="str">
        <x:v>Yetkin v London Borough of Newham</x:v>
      </x:c>
      <x:c r="H133" s="14" t="str">
        <x:v>[2010] EWCA Civ 776</x:v>
      </x:c>
      <x:c r="I133" s="14" t="str">
        <x:v>5a42b4bc-fe8f-47be-9b13-869933b2ddff</x:v>
      </x:c>
      <x:c r="J133" s="14" t="n">
        <x:v>1</x:v>
      </x:c>
      <x:c r="K133" s="14" t="str">
        <x:v>legalFramework.statutoryProvisions[0].sourceCases[0]</x:v>
      </x:c>
      <x:c r="L133" s="14" t="str">
        <x:v>cmmxkq28b000304jo5eard9id</x:v>
      </x:c>
      <x:c r="M133" s="14" t="str">
        <x:v>confirmed_within_10m</x:v>
      </x:c>
      <x:c r="N133" s="14" t="n">
        <x:v>157.802</x:v>
      </x:c>
      <x:c r="O133" s="14" t="str">
        <x:v>yes</x:v>
      </x:c>
      <x:c r="P133" s="14" t="str">
        <x:v>yes</x:v>
      </x:c>
      <x:c r="Q133" s="14" t="str">
        <x:v>exact_case_id</x:v>
      </x:c>
      <x:c r="R133" s="14" t="str">
        <x:v>definitive</x:v>
      </x:c>
      <x:c r="S133" s="14" t="n">
        <x:v>2</x:v>
      </x:c>
      <x:c r="T133" s="14" t="str">
        <x:v>5a42b4bc-fe8f-47be-9b13-869933b2ddff</x:v>
      </x:c>
      <x:c r="U133" s="14" t="str">
        <x:v>Yetkin v London Borough of Newham ([2010] EWCA Civ 776)</x:v>
      </x:c>
      <x:c r="V133" s="15" t="n">
        <x:v>0.7040856</x:v>
      </x:c>
      <x:c r="W133" s="14" t="str">
        <x:v>no</x:v>
      </x:c>
      <x:c r="X133" s="14" t="str"/>
      <x:c r="Y133" s="14" t="str"/>
      <x:c r="Z133" s="14" t="str"/>
      <x:c r="AA133" s="14" t="str">
        <x:v>yes</x:v>
      </x:c>
    </x:row>
    <x:row r="134">
      <x:c r="A134" s="1" t="str">
        <x:v>U0234</x:v>
      </x:c>
      <x:c r="B134" s="1" t="str">
        <x:v>cmmxktfx8000904johoqmmfkm</x:v>
      </x:c>
      <x:c r="C134" s="1" t="str">
        <x:v>karpasitis-v-hertfordshire-county-council</x:v>
      </x:c>
      <x:c r="D134" s="1" t="str">
        <x:v>real</x:v>
      </x:c>
      <x:c r="E134" s="14" t="str">
        <x:v>Karpasitis v Hertfordshire County Council</x:v>
      </x:c>
      <x:c r="F134" s="14" t="str">
        <x:v>case:2015 ewca civ 1440</x:v>
      </x:c>
      <x:c r="G134" s="14" t="str">
        <x:v>Griffiths v Gwynedd County Council</x:v>
      </x:c>
      <x:c r="H134" s="14" t="str">
        <x:v>[2015] EWCA Civ 1440</x:v>
      </x:c>
      <x:c r="I134" s="14" t="str">
        <x:v>70c75405-8cba-40e2-92ff-8302ea4f6789</x:v>
      </x:c>
      <x:c r="J134" s="14" t="n">
        <x:v>3</x:v>
      </x:c>
      <x:c r="K134" s="14" t="str">
        <x:v>factualFindings.contestedFacts[1].sourceCases[0] | issuesForDetermination.issueMatrix[1].sourceCases[0] | reasoningStructure[1].sourceCases[0]</x:v>
      </x:c>
      <x:c r="L134" s="14" t="str">
        <x:v>cmmxkq28b000304jo5eard9id</x:v>
      </x:c>
      <x:c r="M134" s="14" t="str">
        <x:v>confirmed_within_10m</x:v>
      </x:c>
      <x:c r="N134" s="14" t="n">
        <x:v>157.802</x:v>
      </x:c>
      <x:c r="O134" s="14" t="str">
        <x:v>yes</x:v>
      </x:c>
      <x:c r="P134" s="14" t="str">
        <x:v>yes</x:v>
      </x:c>
      <x:c r="Q134" s="14" t="str">
        <x:v>exact_case_id</x:v>
      </x:c>
      <x:c r="R134" s="14" t="str">
        <x:v>definitive</x:v>
      </x:c>
      <x:c r="S134" s="14" t="n">
        <x:v>3</x:v>
      </x:c>
      <x:c r="T134" s="14" t="str">
        <x:v>70c75405-8cba-40e2-92ff-8302ea4f6789</x:v>
      </x:c>
      <x:c r="U134" s="14" t="str">
        <x:v>Griffiths v Gwynedd County Council [2015] EWCA Civ 1440</x:v>
      </x:c>
      <x:c r="V134" s="15" t="n">
        <x:v>0.69194084</x:v>
      </x:c>
      <x:c r="W134" s="14" t="str">
        <x:v>no</x:v>
      </x:c>
      <x:c r="X134" s="14" t="str"/>
      <x:c r="Y134" s="14" t="str"/>
      <x:c r="Z134" s="14" t="str"/>
      <x:c r="AA134" s="14" t="str">
        <x:v>yes</x:v>
      </x:c>
    </x:row>
    <x:row r="135">
      <x:c r="A135" s="1" t="str">
        <x:v>U0235</x:v>
      </x:c>
      <x:c r="B135" s="1" t="str">
        <x:v>cmmxktfx8000904johoqmmfkm</x:v>
      </x:c>
      <x:c r="C135" s="1" t="str">
        <x:v>karpasitis-v-hertfordshire-county-council</x:v>
      </x:c>
      <x:c r="D135" s="1" t="str">
        <x:v>real</x:v>
      </x:c>
      <x:c r="E135" s="14" t="str">
        <x:v>Karpasitis v Hertfordshire County Council</x:v>
      </x:c>
      <x:c r="F135" s="14" t="str">
        <x:v>case:2016 ewhc 1767 qb</x:v>
      </x:c>
      <x:c r="G135" s="14" t="str">
        <x:v>King Lifting Ltd v Oxfordshire County Council</x:v>
      </x:c>
      <x:c r="H135" s="14" t="str">
        <x:v>[2016] EWHC 1767 (QB)</x:v>
      </x:c>
      <x:c r="I135" s="14" t="str">
        <x:v>52d20bb9-6964-44a6-9c32-d191ef76297c</x:v>
      </x:c>
      <x:c r="J135" s="14" t="n">
        <x:v>1</x:v>
      </x:c>
      <x:c r="K135" s="14" t="str">
        <x:v>factualFindings.chronology[0].sourceCases[0]</x:v>
      </x:c>
      <x:c r="L135" s="14" t="str">
        <x:v>cmmxkq28b000304jo5eard9id</x:v>
      </x:c>
      <x:c r="M135" s="14" t="str">
        <x:v>confirmed_within_10m</x:v>
      </x:c>
      <x:c r="N135" s="14" t="n">
        <x:v>157.802</x:v>
      </x:c>
      <x:c r="O135" s="14" t="str">
        <x:v>yes</x:v>
      </x:c>
      <x:c r="P135" s="14" t="str">
        <x:v>yes</x:v>
      </x:c>
      <x:c r="Q135" s="14" t="str">
        <x:v>exact_case_id</x:v>
      </x:c>
      <x:c r="R135" s="14" t="str">
        <x:v>definitive</x:v>
      </x:c>
      <x:c r="S135" s="14" t="n">
        <x:v>4</x:v>
      </x:c>
      <x:c r="T135" s="14" t="str">
        <x:v>52d20bb9-6964-44a6-9c32-d191ef76297c</x:v>
      </x:c>
      <x:c r="U135" s="14" t="str">
        <x:v>King Lifting Ltd v Oxfordshire County Council [2016] EWHC 1767 (QB)</x:v>
      </x:c>
      <x:c r="V135" s="15" t="n">
        <x:v>0.69070077</x:v>
      </x:c>
      <x:c r="W135" s="14" t="str">
        <x:v>no</x:v>
      </x:c>
      <x:c r="X135" s="14" t="str"/>
      <x:c r="Y135" s="14" t="str"/>
      <x:c r="Z135" s="14" t="str"/>
      <x:c r="AA135" s="14" t="str">
        <x:v>yes</x:v>
      </x:c>
    </x:row>
    <x:row r="136">
      <x:c r="A136" s="1" t="str">
        <x:v>U0236</x:v>
      </x:c>
      <x:c r="B136" s="1" t="str">
        <x:v>cmmxktfx8000904johoqmmfkm</x:v>
      </x:c>
      <x:c r="C136" s="1" t="str">
        <x:v>karpasitis-v-hertfordshire-county-council</x:v>
      </x:c>
      <x:c r="D136" s="1" t="str">
        <x:v>real</x:v>
      </x:c>
      <x:c r="E136" s="14" t="str">
        <x:v>Karpasitis v Hertfordshire County Council</x:v>
      </x:c>
      <x:c r="F136" s="14" t="str">
        <x:v>case:2022 ewca civ 18</x:v>
      </x:c>
      <x:c r="G136" s="14" t="str">
        <x:v>Brown &amp; Ors v South West Lakes Trust &amp; Ors</x:v>
      </x:c>
      <x:c r="H136" s="14" t="str">
        <x:v>[2022] EWCA Civ 18</x:v>
      </x:c>
      <x:c r="I136" s="14" t="str">
        <x:v>70d43223-0ec6-458b-b052-bdc295e0d6ec</x:v>
      </x:c>
      <x:c r="J136" s="14" t="n">
        <x:v>2</x:v>
      </x:c>
      <x:c r="K136" s="14" t="str">
        <x:v>factualFindings.chronology[1].sourceCases[0] | legalFramework.statutoryProvisions[3].sourceCases[0]</x:v>
      </x:c>
      <x:c r="L136" s="14" t="str">
        <x:v>cmmxkq28b000304jo5eard9id</x:v>
      </x:c>
      <x:c r="M136" s="14" t="str">
        <x:v>confirmed_within_10m</x:v>
      </x:c>
      <x:c r="N136" s="14" t="n">
        <x:v>157.802</x:v>
      </x:c>
      <x:c r="O136" s="14" t="str">
        <x:v>yes</x:v>
      </x:c>
      <x:c r="P136" s="14" t="str">
        <x:v>yes</x:v>
      </x:c>
      <x:c r="Q136" s="14" t="str">
        <x:v>exact_case_id</x:v>
      </x:c>
      <x:c r="R136" s="14" t="str">
        <x:v>definitive</x:v>
      </x:c>
      <x:c r="S136" s="14" t="n">
        <x:v>5</x:v>
      </x:c>
      <x:c r="T136" s="14" t="str">
        <x:v>70d43223-0ec6-458b-b052-bdc295e0d6ec</x:v>
      </x:c>
      <x:c r="U136" s="14" t="str">
        <x:v>Brown &amp; Ors v South West Lakes Trust &amp; Ors [2022] EWCA Civ 18</x:v>
      </x:c>
      <x:c r="V136" s="15" t="n">
        <x:v>0.6877404</x:v>
      </x:c>
      <x:c r="W136" s="14" t="str">
        <x:v>no</x:v>
      </x:c>
      <x:c r="X136" s="14" t="str"/>
      <x:c r="Y136" s="14" t="str"/>
      <x:c r="Z136" s="14" t="str"/>
      <x:c r="AA136" s="14" t="str">
        <x:v>yes</x:v>
      </x:c>
    </x:row>
    <x:row r="137">
      <x:c r="A137" s="1" t="str">
        <x:v>U0237</x:v>
      </x:c>
      <x:c r="B137" s="1" t="str">
        <x:v>cmmxktfx8000904johoqmmfkm</x:v>
      </x:c>
      <x:c r="C137" s="1" t="str">
        <x:v>karpasitis-v-hertfordshire-county-council</x:v>
      </x:c>
      <x:c r="D137" s="1" t="str">
        <x:v>real</x:v>
      </x:c>
      <x:c r="E137" s="14" t="str">
        <x:v>Karpasitis v Hertfordshire County Council</x:v>
      </x:c>
      <x:c r="F137" s="14" t="str">
        <x:v>case:gorringe v calderdale metropolitan borough council</x:v>
      </x:c>
      <x:c r="G137" s="14" t="str">
        <x:v>Gorringe v. Calderdale Metropolitan Borough Council</x:v>
      </x:c>
      <x:c r="H137" s="14" t="str">
        <x:v>N/A</x:v>
      </x:c>
      <x:c r="I137" s="14" t="str">
        <x:v>bc30491e-9ae6-48da-90d0-71d8a8069b22</x:v>
      </x:c>
      <x:c r="J137" s="14" t="n">
        <x:v>3</x:v>
      </x:c>
      <x:c r="K137" s="14" t="str">
        <x:v>factualFindings.contestedFacts[0].sourceCases[0] | issuesForDetermination.issueMatrix[0].sourceCases[0] | reasoningStructure[0].sourceCases[0]</x:v>
      </x:c>
      <x:c r="L137" s="14" t="str">
        <x:v>cmmxkq28b000304jo5eard9id</x:v>
      </x:c>
      <x:c r="M137" s="14" t="str">
        <x:v>confirmed_within_10m</x:v>
      </x:c>
      <x:c r="N137" s="14" t="n">
        <x:v>157.802</x:v>
      </x:c>
      <x:c r="O137" s="14" t="str">
        <x:v>yes</x:v>
      </x:c>
      <x:c r="P137" s="14" t="str">
        <x:v>yes</x:v>
      </x:c>
      <x:c r="Q137" s="14" t="str">
        <x:v>exact_case_id</x:v>
      </x:c>
      <x:c r="R137" s="14" t="str">
        <x:v>definitive</x:v>
      </x:c>
      <x:c r="S137" s="14" t="n">
        <x:v>1</x:v>
      </x:c>
      <x:c r="T137" s="14" t="str">
        <x:v>bc30491e-9ae6-48da-90d0-71d8a8069b22</x:v>
      </x:c>
      <x:c r="U137" s="14" t="str">
        <x:v>Gorringe v. Calderdale Metropolitan Borough Council</x:v>
      </x:c>
      <x:c r="V137" s="15" t="n">
        <x:v>0.7616693</x:v>
      </x:c>
      <x:c r="W137" s="14" t="str">
        <x:v>no</x:v>
      </x:c>
      <x:c r="X137" s="14" t="str"/>
      <x:c r="Y137" s="14" t="str"/>
      <x:c r="Z137" s="14" t="str"/>
      <x:c r="AA137" s="14" t="str">
        <x:v>yes</x:v>
      </x:c>
    </x:row>
    <x:row r="138">
      <x:c r="A138" s="1" t="str">
        <x:v>U0242</x:v>
      </x:c>
      <x:c r="B138" s="1" t="str">
        <x:v>cmmxpdot1000h04i8q3aleh7a</x:v>
      </x:c>
      <x:c r="C138" s="1" t="str">
        <x:v>karpasitis-v-hertfordshire-county-council</x:v>
      </x:c>
      <x:c r="D138" s="1" t="str">
        <x:v>real</x:v>
      </x:c>
      <x:c r="E138" s="14" t="str">
        <x:v>Karpasitis v Hertfordshire County Council</x:v>
      </x:c>
      <x:c r="F138" s="14" t="str">
        <x:v>case:2002 ewca civ 605</x:v>
      </x:c>
      <x:c r="G138" s="14" t="str">
        <x:v>English v Emery Reimbold &amp; Strick Ltd [2002] EWCA Civ 605</x:v>
      </x:c>
      <x:c r="H138" s="14" t="str">
        <x:v>English v Emery Reimbold &amp; Strick Ltd [2002] EWCA Civ 605</x:v>
      </x:c>
      <x:c r="I138" s="14" t="str"/>
      <x:c r="J138" s="14" t="n">
        <x:v>1</x:v>
      </x:c>
      <x:c r="K138" s="14" t="str">
        <x:v>legalFramework.precedentCitations[0]</x:v>
      </x:c>
      <x:c r="L138" s="14" t="str">
        <x:v>cmmxp9veu000b04i838upwih8</x:v>
      </x:c>
      <x:c r="M138" s="14" t="str">
        <x:v>confirmed_within_10m</x:v>
      </x:c>
      <x:c r="N138" s="14" t="n">
        <x:v>178.177</x:v>
      </x:c>
      <x:c r="O138" s="14" t="str">
        <x:v>yes</x:v>
      </x:c>
      <x:c r="P138" s="14" t="str">
        <x:v>no</x:v>
      </x:c>
      <x:c r="Q138" s="14" t="str">
        <x:v>none</x:v>
      </x:c>
      <x:c r="R138" s="14" t="str">
        <x:v>none</x:v>
      </x:c>
      <x:c r="S138" s="14" t="str"/>
      <x:c r="T138" s="14" t="str"/>
      <x:c r="U138" s="14" t="str"/>
      <x:c r="V138" s="15" t="str"/>
      <x:c r="W138" s="14" t="str">
        <x:v>no</x:v>
      </x:c>
      <x:c r="X138" s="14" t="str"/>
      <x:c r="Y138" s="14" t="str"/>
      <x:c r="Z138" s="14" t="str"/>
      <x:c r="AA138" s="14" t="str">
        <x:v>no</x:v>
      </x:c>
    </x:row>
    <x:row r="139">
      <x:c r="A139" s="1" t="str">
        <x:v>U0243</x:v>
      </x:c>
      <x:c r="B139" s="1" t="str">
        <x:v>cmmxpdot1000h04i8q3aleh7a</x:v>
      </x:c>
      <x:c r="C139" s="1" t="str">
        <x:v>karpasitis-v-hertfordshire-county-council</x:v>
      </x:c>
      <x:c r="D139" s="1" t="str">
        <x:v>real</x:v>
      </x:c>
      <x:c r="E139" s="14" t="str">
        <x:v>Karpasitis v Hertfordshire County Council</x:v>
      </x:c>
      <x:c r="F139" s="14" t="str">
        <x:v>case:2016 ewhc 1767 qb</x:v>
      </x:c>
      <x:c r="G139" s="14" t="str">
        <x:v>King Lifting Ltd v Oxfordshire County Council</x:v>
      </x:c>
      <x:c r="H139" s="14" t="str">
        <x:v>[2016] EWHC 1767 (QB)</x:v>
      </x:c>
      <x:c r="I139" s="14" t="str">
        <x:v>52d20bb9-6964-44a6-9c32-d191ef76297c</x:v>
      </x:c>
      <x:c r="J139" s="14" t="n">
        <x:v>3</x:v>
      </x:c>
      <x:c r="K139" s="14" t="str">
        <x:v>factualFindings.contestedFacts[0].sourceCases[0] | issuesForDetermination.issueMatrix[0].sourceCases[0] | reasoningStructure[0].sourceCases[0]</x:v>
      </x:c>
      <x:c r="L139" s="14" t="str">
        <x:v>cmmxp9veu000b04i838upwih8</x:v>
      </x:c>
      <x:c r="M139" s="14" t="str">
        <x:v>confirmed_within_10m</x:v>
      </x:c>
      <x:c r="N139" s="14" t="n">
        <x:v>178.177</x:v>
      </x:c>
      <x:c r="O139" s="14" t="str">
        <x:v>yes</x:v>
      </x:c>
      <x:c r="P139" s="14" t="str">
        <x:v>yes</x:v>
      </x:c>
      <x:c r="Q139" s="14" t="str">
        <x:v>exact_case_id</x:v>
      </x:c>
      <x:c r="R139" s="14" t="str">
        <x:v>definitive</x:v>
      </x:c>
      <x:c r="S139" s="14" t="n">
        <x:v>2</x:v>
      </x:c>
      <x:c r="T139" s="14" t="str">
        <x:v>52d20bb9-6964-44a6-9c32-d191ef76297c</x:v>
      </x:c>
      <x:c r="U139" s="14" t="str">
        <x:v>King Lifting Ltd v Oxfordshire County Council [2016] EWHC 1767 (QB)</x:v>
      </x:c>
      <x:c r="V139" s="15" t="n">
        <x:v>0.7100979</x:v>
      </x:c>
      <x:c r="W139" s="14" t="str">
        <x:v>no</x:v>
      </x:c>
      <x:c r="X139" s="14" t="str"/>
      <x:c r="Y139" s="14" t="str"/>
      <x:c r="Z139" s="14" t="str"/>
      <x:c r="AA139" s="14" t="str">
        <x:v>yes</x:v>
      </x:c>
    </x:row>
    <x:row r="140">
      <x:c r="A140" s="1" t="str">
        <x:v>U0244</x:v>
      </x:c>
      <x:c r="B140" s="1" t="str">
        <x:v>cmmxpdot1000h04i8q3aleh7a</x:v>
      </x:c>
      <x:c r="C140" s="1" t="str">
        <x:v>karpasitis-v-hertfordshire-county-council</x:v>
      </x:c>
      <x:c r="D140" s="1" t="str">
        <x:v>real</x:v>
      </x:c>
      <x:c r="E140" s="14" t="str">
        <x:v>Karpasitis v Hertfordshire County Council</x:v>
      </x:c>
      <x:c r="F140" s="14" t="str">
        <x:v>case:gorringe v calderdale metropolitan borough council</x:v>
      </x:c>
      <x:c r="G140" s="14" t="str">
        <x:v>Gorringe v. Calderdale Metropolitan Borough Council</x:v>
      </x:c>
      <x:c r="H140" s="14" t="str">
        <x:v>N/A</x:v>
      </x:c>
      <x:c r="I140" s="14" t="str">
        <x:v>bc30491e-9ae6-48da-90d0-71d8a8069b22</x:v>
      </x:c>
      <x:c r="J140" s="14" t="n">
        <x:v>3</x:v>
      </x:c>
      <x:c r="K140" s="14" t="str">
        <x:v>factualFindings.contestedFacts[1].sourceCases[0] | issuesForDetermination.issueMatrix[1].sourceCases[0] | reasoningStructure[1].sourceCases[0]</x:v>
      </x:c>
      <x:c r="L140" s="14" t="str">
        <x:v>cmmxp9veu000b04i838upwih8</x:v>
      </x:c>
      <x:c r="M140" s="14" t="str">
        <x:v>confirmed_within_10m</x:v>
      </x:c>
      <x:c r="N140" s="14" t="n">
        <x:v>178.177</x:v>
      </x:c>
      <x:c r="O140" s="14" t="str">
        <x:v>yes</x:v>
      </x:c>
      <x:c r="P140" s="14" t="str">
        <x:v>yes</x:v>
      </x:c>
      <x:c r="Q140" s="14" t="str">
        <x:v>exact_case_id</x:v>
      </x:c>
      <x:c r="R140" s="14" t="str">
        <x:v>definitive</x:v>
      </x:c>
      <x:c r="S140" s="14" t="n">
        <x:v>1</x:v>
      </x:c>
      <x:c r="T140" s="14" t="str">
        <x:v>bc30491e-9ae6-48da-90d0-71d8a8069b22</x:v>
      </x:c>
      <x:c r="U140" s="14" t="str">
        <x:v>Gorringe v. Calderdale Metropolitan Borough Council</x:v>
      </x:c>
      <x:c r="V140" s="15" t="n">
        <x:v>0.74885756</x:v>
      </x:c>
      <x:c r="W140" s="14" t="str">
        <x:v>no</x:v>
      </x:c>
      <x:c r="X140" s="14" t="str"/>
      <x:c r="Y140" s="14" t="str"/>
      <x:c r="Z140" s="14" t="str"/>
      <x:c r="AA140" s="14" t="str">
        <x:v>yes</x:v>
      </x:c>
    </x:row>
    <x:row r="141">
      <x:c r="A141" s="1" t="str">
        <x:v>U0248</x:v>
      </x:c>
      <x:c r="B141" s="1" t="str">
        <x:v>cmmxsk5kn000h04ldd570wr09</x:v>
      </x:c>
      <x:c r="C141" s="1" t="str">
        <x:v>greenfields--iow--limited-v-isle-of-wight-council---westridge-village-limited</x:v>
      </x:c>
      <x:c r="D141" s="1" t="str">
        <x:v>real</x:v>
      </x:c>
      <x:c r="E141" s="14" t="str">
        <x:v>Greenfields (IOW) Limited v Isle of Wight Council &amp; Westridge Village Limited</x:v>
      </x:c>
      <x:c r="F141" s="14" t="str">
        <x:v>case:2002 1 wlr 1593</x:v>
      </x:c>
      <x:c r="G141" s="14" t="str">
        <x:v>R (Burkett) v Hammersmith LBC [2002] 1 WLR 1593</x:v>
      </x:c>
      <x:c r="H141" s="14" t="str">
        <x:v>R (Burkett) v Hammersmith LBC [2002] 1 WLR 1593</x:v>
      </x:c>
      <x:c r="I141" s="14" t="str"/>
      <x:c r="J141" s="14" t="n">
        <x:v>1</x:v>
      </x:c>
      <x:c r="K141" s="14" t="str">
        <x:v>legalFramework.precedentCitations[0]</x:v>
      </x:c>
      <x:c r="L141" s="14" t="str">
        <x:v>cmmxsgyjb000b04ld1tvzyr07</x:v>
      </x:c>
      <x:c r="M141" s="14" t="str">
        <x:v>confirmed_within_10m</x:v>
      </x:c>
      <x:c r="N141" s="14" t="n">
        <x:v>149.177</x:v>
      </x:c>
      <x:c r="O141" s="14" t="str">
        <x:v>yes</x:v>
      </x:c>
      <x:c r="P141" s="14" t="str">
        <x:v>no</x:v>
      </x:c>
      <x:c r="Q141" s="14" t="str">
        <x:v>none</x:v>
      </x:c>
      <x:c r="R141" s="14" t="str">
        <x:v>none</x:v>
      </x:c>
      <x:c r="S141" s="14" t="str"/>
      <x:c r="T141" s="14" t="str"/>
      <x:c r="U141" s="14" t="str"/>
      <x:c r="V141" s="15" t="str"/>
      <x:c r="W141" s="14" t="str">
        <x:v>no</x:v>
      </x:c>
      <x:c r="X141" s="14" t="str"/>
      <x:c r="Y141" s="14" t="str"/>
      <x:c r="Z141" s="14" t="str"/>
      <x:c r="AA141" s="14" t="str">
        <x:v>no</x:v>
      </x:c>
    </x:row>
    <x:row r="142">
      <x:c r="A142" s="1" t="str">
        <x:v>U0249</x:v>
      </x:c>
      <x:c r="B142" s="1" t="str">
        <x:v>cmmxsk5kn000h04ldd570wr09</x:v>
      </x:c>
      <x:c r="C142" s="1" t="str">
        <x:v>greenfields--iow--limited-v-isle-of-wight-council---westridge-village-limited</x:v>
      </x:c>
      <x:c r="D142" s="1" t="str">
        <x:v>real</x:v>
      </x:c>
      <x:c r="E142" s="14" t="str">
        <x:v>Greenfields (IOW) Limited v Isle of Wight Council &amp; Westridge Village Limited</x:v>
      </x:c>
      <x:c r="F142" s="14" t="str">
        <x:v>case:2004 ewhc 779 admin</x:v>
      </x:c>
      <x:c r="G142" s="14" t="str">
        <x:v>Georgiou v London Borough of Enfield &amp; Ors</x:v>
      </x:c>
      <x:c r="H142" s="14" t="str">
        <x:v>[2004] EWHC 779 (Admin)</x:v>
      </x:c>
      <x:c r="I142" s="14" t="str">
        <x:v>f36914c7-32ec-4f23-9909-c4ece2be9d33</x:v>
      </x:c>
      <x:c r="J142" s="14" t="n">
        <x:v>2</x:v>
      </x:c>
      <x:c r="K142" s="14" t="str">
        <x:v>factualFindings.contestedFacts[1].sourceCases[0] | issuesForDetermination.issueMatrix[1].sourceCases[0]</x:v>
      </x:c>
      <x:c r="L142" s="14" t="str">
        <x:v>cmmxsgyjb000b04ld1tvzyr07</x:v>
      </x:c>
      <x:c r="M142" s="14" t="str">
        <x:v>confirmed_within_10m</x:v>
      </x:c>
      <x:c r="N142" s="14" t="n">
        <x:v>149.177</x:v>
      </x:c>
      <x:c r="O142" s="14" t="str">
        <x:v>yes</x:v>
      </x:c>
      <x:c r="P142" s="14" t="str">
        <x:v>yes</x:v>
      </x:c>
      <x:c r="Q142" s="14" t="str">
        <x:v>exact_case_id</x:v>
      </x:c>
      <x:c r="R142" s="14" t="str">
        <x:v>definitive</x:v>
      </x:c>
      <x:c r="S142" s="14" t="n">
        <x:v>3</x:v>
      </x:c>
      <x:c r="T142" s="14" t="str">
        <x:v>f36914c7-32ec-4f23-9909-c4ece2be9d33</x:v>
      </x:c>
      <x:c r="U142" s="14" t="str">
        <x:v>Georgiou v London Borough of Enfield &amp; Ors [2004] EWHC 779 (Admin)</x:v>
      </x:c>
      <x:c r="V142" s="15" t="n">
        <x:v>0.72872436</x:v>
      </x:c>
      <x:c r="W142" s="14" t="str">
        <x:v>no</x:v>
      </x:c>
      <x:c r="X142" s="14" t="str"/>
      <x:c r="Y142" s="14" t="str"/>
      <x:c r="Z142" s="14" t="str"/>
      <x:c r="AA142" s="14" t="str">
        <x:v>yes</x:v>
      </x:c>
    </x:row>
    <x:row r="143">
      <x:c r="A143" s="1" t="str">
        <x:v>U0250</x:v>
      </x:c>
      <x:c r="B143" s="1" t="str">
        <x:v>cmmxsk5kn000h04ldd570wr09</x:v>
      </x:c>
      <x:c r="C143" s="1" t="str">
        <x:v>greenfields--iow--limited-v-isle-of-wight-council---westridge-village-limited</x:v>
      </x:c>
      <x:c r="D143" s="1" t="str">
        <x:v>real</x:v>
      </x:c>
      <x:c r="E143" s="14" t="str">
        <x:v>Greenfields (IOW) Limited v Isle of Wight Council &amp; Westridge Village Limited</x:v>
      </x:c>
      <x:c r="F143" s="14" t="str">
        <x:v>case:2014 ewca civ 1555</x:v>
      </x:c>
      <x:c r="G143" s="14" t="str">
        <x:v>Vicente &amp; Anor v Secretary of State for Communities and Local Government &amp; Anor</x:v>
      </x:c>
      <x:c r="H143" s="14" t="str">
        <x:v>[2014] EWCA Civ 1555</x:v>
      </x:c>
      <x:c r="I143" s="14" t="str">
        <x:v>3ff34419-ffbc-40f9-a087-a1cb1371d0e1</x:v>
      </x:c>
      <x:c r="J143" s="14" t="n">
        <x:v>2</x:v>
      </x:c>
      <x:c r="K143" s="14" t="str">
        <x:v>factualFindings.contestedFacts[0].sourceCases[0] | issuesForDetermination.issueMatrix[0].sourceCases[0]</x:v>
      </x:c>
      <x:c r="L143" s="14" t="str">
        <x:v>cmmxsgyjb000b04ld1tvzyr07</x:v>
      </x:c>
      <x:c r="M143" s="14" t="str">
        <x:v>confirmed_within_10m</x:v>
      </x:c>
      <x:c r="N143" s="14" t="n">
        <x:v>149.177</x:v>
      </x:c>
      <x:c r="O143" s="14" t="str">
        <x:v>yes</x:v>
      </x:c>
      <x:c r="P143" s="14" t="str">
        <x:v>yes</x:v>
      </x:c>
      <x:c r="Q143" s="14" t="str">
        <x:v>exact_case_id</x:v>
      </x:c>
      <x:c r="R143" s="14" t="str">
        <x:v>definitive</x:v>
      </x:c>
      <x:c r="S143" s="14" t="n">
        <x:v>2</x:v>
      </x:c>
      <x:c r="T143" s="14" t="str">
        <x:v>3ff34419-ffbc-40f9-a087-a1cb1371d0e1</x:v>
      </x:c>
      <x:c r="U143" s="14" t="str">
        <x:v>Vicente &amp; Anor v Secretary of State for Communities and Local Government &amp; Anor [2014] EWCA Civ 1555</x:v>
      </x:c>
      <x:c r="V143" s="15" t="n">
        <x:v>0.73175097</x:v>
      </x:c>
      <x:c r="W143" s="14" t="str">
        <x:v>no</x:v>
      </x:c>
      <x:c r="X143" s="14" t="str"/>
      <x:c r="Y143" s="14" t="str"/>
      <x:c r="Z143" s="14" t="str"/>
      <x:c r="AA143" s="14" t="str">
        <x:v>yes</x:v>
      </x:c>
    </x:row>
    <x:row r="144">
      <x:c r="A144" s="1" t="str">
        <x:v>U0253</x:v>
      </x:c>
      <x:c r="B144" s="1" t="str">
        <x:v>cmmxtzd4o000904jrjc2hdwrx</x:v>
      </x:c>
      <x:c r="C144" s="1" t="str">
        <x:v>greenfields--iow--limited-v-isle-of-wight-council---westridge-village-limited</x:v>
      </x:c>
      <x:c r="D144" s="1" t="str">
        <x:v>real</x:v>
      </x:c>
      <x:c r="E144" s="14" t="str">
        <x:v>Greenfields (IOW) Limited v Isle of Wight Council &amp; Westridge Village Limited</x:v>
      </x:c>
      <x:c r="F144" s="14" t="str">
        <x:v>case:2002 ukhl 23</x:v>
      </x:c>
      <x:c r="G144" s="14" t="str">
        <x:v>Regina v. London Borough of Hammersmith and Fulham (Burkett) [2002] UKHL 23</x:v>
      </x:c>
      <x:c r="H144" s="14" t="str">
        <x:v>Regina v. London Borough of Hammersmith and Fulham (Burkett) [2002] UKHL 23</x:v>
      </x:c>
      <x:c r="I144" s="14" t="str">
        <x:v>379d4f20-62f5-403b-a082-fa36b82fe1c1</x:v>
      </x:c>
      <x:c r="J144" s="14" t="n">
        <x:v>5</x:v>
      </x:c>
      <x:c r="K144" s="14" t="str">
        <x:v>factualFindings.contestedFacts[0].sourceCases[0] | issuesForDetermination.issueMatrix[0].sourceCases[0] | legalFramework.legalTestSummaries[0].sourceAuthority | legalFramework.precedentCitations[0] | reasoningStructure[0].sourceCases[0]</x:v>
      </x:c>
      <x:c r="L144" s="14" t="str">
        <x:v>cmmxtwenv000304jr7vxcmpae</x:v>
      </x:c>
      <x:c r="M144" s="14" t="str">
        <x:v>confirmed_within_10m</x:v>
      </x:c>
      <x:c r="N144" s="14" t="n">
        <x:v>138.106</x:v>
      </x:c>
      <x:c r="O144" s="14" t="str">
        <x:v>yes</x:v>
      </x:c>
      <x:c r="P144" s="14" t="str">
        <x:v>yes</x:v>
      </x:c>
      <x:c r="Q144" s="14" t="str">
        <x:v>exact_case_id</x:v>
      </x:c>
      <x:c r="R144" s="14" t="str">
        <x:v>definitive</x:v>
      </x:c>
      <x:c r="S144" s="14" t="n">
        <x:v>1</x:v>
      </x:c>
      <x:c r="T144" s="14" t="str">
        <x:v>379d4f20-62f5-403b-a082-fa36b82fe1c1</x:v>
      </x:c>
      <x:c r="U144" s="14" t="str">
        <x:v>Regina v. London Borough of Hammersmith and Fulham (Burkett) [2002] UKHL 23</x:v>
      </x:c>
      <x:c r="V144" s="15" t="n">
        <x:v>0.76098335</x:v>
      </x:c>
      <x:c r="W144" s="14" t="str">
        <x:v>no</x:v>
      </x:c>
      <x:c r="X144" s="14" t="str"/>
      <x:c r="Y144" s="14" t="str"/>
      <x:c r="Z144" s="14" t="str"/>
      <x:c r="AA144" s="14" t="str">
        <x:v>yes</x:v>
      </x:c>
    </x:row>
    <x:row r="145">
      <x:c r="A145" s="1" t="str">
        <x:v>U0254</x:v>
      </x:c>
      <x:c r="B145" s="1" t="str">
        <x:v>cmmxtzd4o000904jrjc2hdwrx</x:v>
      </x:c>
      <x:c r="C145" s="1" t="str">
        <x:v>greenfields--iow--limited-v-isle-of-wight-council---westridge-village-limited</x:v>
      </x:c>
      <x:c r="D145" s="1" t="str">
        <x:v>real</x:v>
      </x:c>
      <x:c r="E145" s="14" t="str">
        <x:v>Greenfields (IOW) Limited v Isle of Wight Council &amp; Westridge Village Limited</x:v>
      </x:c>
      <x:c r="F145" s="14" t="str">
        <x:v>case:2023 ewhc 1995 admin</x:v>
      </x:c>
      <x:c r="G145" s="14" t="str">
        <x:v>R (Worcestershire Acute Hospitals NHS Trust) v Malvern Hills District Council [2023] EWHC 1995 (Admin)</x:v>
      </x:c>
      <x:c r="H145" s="14" t="str">
        <x:v>R (Worcestershire Acute Hospitals NHS Trust) v Malvern Hills District Council [2023] EWHC 1995 (Admin)</x:v>
      </x:c>
      <x:c r="I145" s="14" t="str"/>
      <x:c r="J145" s="14" t="n">
        <x:v>2</x:v>
      </x:c>
      <x:c r="K145" s="14" t="str">
        <x:v>legalFramework.legalTestSummaries[1].sourceAuthority | legalFramework.precedentCitations[1]</x:v>
      </x:c>
      <x:c r="L145" s="14" t="str">
        <x:v>cmmxtwenv000304jr7vxcmpae</x:v>
      </x:c>
      <x:c r="M145" s="14" t="str">
        <x:v>confirmed_within_10m</x:v>
      </x:c>
      <x:c r="N145" s="14" t="n">
        <x:v>138.106</x:v>
      </x:c>
      <x:c r="O145" s="14" t="str">
        <x:v>yes</x:v>
      </x:c>
      <x:c r="P145" s="14" t="str">
        <x:v>no</x:v>
      </x:c>
      <x:c r="Q145" s="14" t="str">
        <x:v>none</x:v>
      </x:c>
      <x:c r="R145" s="14" t="str">
        <x:v>none</x:v>
      </x:c>
      <x:c r="S145" s="14" t="str"/>
      <x:c r="T145" s="14" t="str"/>
      <x:c r="U145" s="14" t="str"/>
      <x:c r="V145" s="15" t="str"/>
      <x:c r="W145" s="14" t="str">
        <x:v>no</x:v>
      </x:c>
      <x:c r="X145" s="14" t="str"/>
      <x:c r="Y145" s="14" t="str"/>
      <x:c r="Z145" s="14" t="str"/>
      <x:c r="AA145" s="14" t="str">
        <x:v>no</x:v>
      </x:c>
    </x:row>
    <x:row r="146">
      <x:c r="A146" s="1" t="str">
        <x:v>U0255</x:v>
      </x:c>
      <x:c r="B146" s="1" t="str">
        <x:v>cmmxtzd4o000904jrjc2hdwrx</x:v>
      </x:c>
      <x:c r="C146" s="1" t="str">
        <x:v>greenfields--iow--limited-v-isle-of-wight-council---westridge-village-limited</x:v>
      </x:c>
      <x:c r="D146" s="1" t="str">
        <x:v>real</x:v>
      </x:c>
      <x:c r="E146" s="14" t="str">
        <x:v>Greenfields (IOW) Limited v Isle of Wight Council &amp; Westridge Village Limited</x:v>
      </x:c>
      <x:c r="F146" s="14" t="str">
        <x:v>case:cherkley campaign ltd r on the application of v mole valley district council &amp; anor</x:v>
      </x:c>
      <x:c r="G146" s="14" t="str">
        <x:v>Cherkley Campaign Ltd, R (on the application of) v Mole Valley District Council &amp; Anor</x:v>
      </x:c>
      <x:c r="H146" s="14" t="str">
        <x:v>N/A</x:v>
      </x:c>
      <x:c r="I146" s="14" t="str">
        <x:v>f42492fd-8832-4f70-b315-d7597c15a5ef</x:v>
      </x:c>
      <x:c r="J146" s="14" t="n">
        <x:v>4</x:v>
      </x:c>
      <x:c r="K146" s="14" t="str">
        <x:v>factualFindings.contestedFacts[1].sourceCases[0] | issuesForDetermination.issueMatrix[1].sourceCases[0] | legalFramework.statutoryProvisions[0].sourceCases[0] | reasoningStructure[1].sourceCases[0]</x:v>
      </x:c>
      <x:c r="L146" s="14" t="str">
        <x:v>cmmxtwenv000304jr7vxcmpae</x:v>
      </x:c>
      <x:c r="M146" s="14" t="str">
        <x:v>confirmed_within_10m</x:v>
      </x:c>
      <x:c r="N146" s="14" t="n">
        <x:v>138.106</x:v>
      </x:c>
      <x:c r="O146" s="14" t="str">
        <x:v>yes</x:v>
      </x:c>
      <x:c r="P146" s="14" t="str">
        <x:v>yes</x:v>
      </x:c>
      <x:c r="Q146" s="14" t="str">
        <x:v>exact_case_id</x:v>
      </x:c>
      <x:c r="R146" s="14" t="str">
        <x:v>definitive</x:v>
      </x:c>
      <x:c r="S146" s="14" t="n">
        <x:v>3</x:v>
      </x:c>
      <x:c r="T146" s="14" t="str">
        <x:v>f42492fd-8832-4f70-b315-d7597c15a5ef</x:v>
      </x:c>
      <x:c r="U146" s="14" t="str">
        <x:v>Cherkley Campaign Ltd, R (on the application of) v Mole Valley District Council &amp; Anor</x:v>
      </x:c>
      <x:c r="V146" s="15" t="n">
        <x:v>0.7367103</x:v>
      </x:c>
      <x:c r="W146" s="14" t="str">
        <x:v>no</x:v>
      </x:c>
      <x:c r="X146" s="14" t="str"/>
      <x:c r="Y146" s="14" t="str"/>
      <x:c r="Z146" s="14" t="str"/>
      <x:c r="AA146" s="14" t="str">
        <x:v>yes</x:v>
      </x:c>
    </x:row>
    <x:row r="147">
      <x:c r="A147" s="1" t="str">
        <x:v>U0258</x:v>
      </x:c>
      <x:c r="B147" s="1" t="str">
        <x:v>cmomnx9nj000304jkyxxg2b0k</x:v>
      </x:c>
      <x:c r="C147" s="1" t="str">
        <x:v>greenfields--iow--limited-v-isle-of-wight-council---westridge-village-limited</x:v>
      </x:c>
      <x:c r="D147" s="1" t="str">
        <x:v>real</x:v>
      </x:c>
      <x:c r="E147" s="14" t="str">
        <x:v>Greenfields (IOW) Limited v Isle of Wight Council &amp; Westridge Village Limited</x:v>
      </x:c>
      <x:c r="F147" s="14" t="str">
        <x:v>case:2000 1 wlr 377</x:v>
      </x:c>
      <x:c r="G147" s="14" t="str">
        <x:v>Flannery v Halifax Estate Agencies Ltd [2000] 1 WLR 377</x:v>
      </x:c>
      <x:c r="H147" s="14" t="str">
        <x:v>Flannery v Halifax Estate Agencies Ltd [2000] 1 WLR 377</x:v>
      </x:c>
      <x:c r="I147" s="14" t="str"/>
      <x:c r="J147" s="14" t="n">
        <x:v>1</x:v>
      </x:c>
      <x:c r="K147" s="14" t="str">
        <x:v>legalFramework.precedentCitations[1]</x:v>
      </x:c>
      <x:c r="L147" s="14" t="str">
        <x:v>cmmxtwenv000304jr7vxcmpae</x:v>
      </x:c>
      <x:c r="M147" s="14" t="str">
        <x:v>ambiguous_gap_gt_10m</x:v>
      </x:c>
      <x:c r="N147" s="14" t="n">
        <x:v>3678399.327</x:v>
      </x:c>
      <x:c r="O147" s="14" t="str">
        <x:v>no</x:v>
      </x:c>
      <x:c r="P147" s="14" t="str">
        <x:v>no</x:v>
      </x:c>
      <x:c r="Q147" s="14" t="str">
        <x:v>none</x:v>
      </x:c>
      <x:c r="R147" s="14" t="str">
        <x:v>none</x:v>
      </x:c>
      <x:c r="S147" s="14" t="str"/>
      <x:c r="T147" s="14" t="str"/>
      <x:c r="U147" s="14" t="str"/>
      <x:c r="V147" s="15" t="str"/>
      <x:c r="W147" s="14" t="str">
        <x:v>no</x:v>
      </x:c>
      <x:c r="X147" s="14" t="str"/>
      <x:c r="Y147" s="14" t="str"/>
      <x:c r="Z147" s="14" t="str"/>
      <x:c r="AA147" s="14" t="str">
        <x:v>excluded_ambiguous_link</x:v>
      </x:c>
    </x:row>
    <x:row r="148">
      <x:c r="A148" s="1" t="str">
        <x:v>U0259</x:v>
      </x:c>
      <x:c r="B148" s="1" t="str">
        <x:v>cmomnx9nj000304jkyxxg2b0k</x:v>
      </x:c>
      <x:c r="C148" s="1" t="str">
        <x:v>greenfields--iow--limited-v-isle-of-wight-council---westridge-village-limited</x:v>
      </x:c>
      <x:c r="D148" s="1" t="str">
        <x:v>real</x:v>
      </x:c>
      <x:c r="E148" s="14" t="str">
        <x:v>Greenfields (IOW) Limited v Isle of Wight Council &amp; Westridge Village Limited</x:v>
      </x:c>
      <x:c r="F148" s="14" t="str">
        <x:v>case:2002 1 wlr 1593</x:v>
      </x:c>
      <x:c r="G148" s="14" t="str">
        <x:v>R (Burkett) v Hammersmith LBC [2002] 1 WLR 1593</x:v>
      </x:c>
      <x:c r="H148" s="14" t="str">
        <x:v>R (Burkett) v Hammersmith LBC [2002] 1 WLR 1593</x:v>
      </x:c>
      <x:c r="I148" s="14" t="str"/>
      <x:c r="J148" s="14" t="n">
        <x:v>1</x:v>
      </x:c>
      <x:c r="K148" s="14" t="str">
        <x:v>legalFramework.precedentCitations[0]</x:v>
      </x:c>
      <x:c r="L148" s="14" t="str">
        <x:v>cmmxtwenv000304jr7vxcmpae</x:v>
      </x:c>
      <x:c r="M148" s="14" t="str">
        <x:v>ambiguous_gap_gt_10m</x:v>
      </x:c>
      <x:c r="N148" s="14" t="n">
        <x:v>3678399.327</x:v>
      </x:c>
      <x:c r="O148" s="14" t="str">
        <x:v>no</x:v>
      </x:c>
      <x:c r="P148" s="14" t="str">
        <x:v>no</x:v>
      </x:c>
      <x:c r="Q148" s="14" t="str">
        <x:v>none</x:v>
      </x:c>
      <x:c r="R148" s="14" t="str">
        <x:v>none</x:v>
      </x:c>
      <x:c r="S148" s="14" t="str"/>
      <x:c r="T148" s="14" t="str"/>
      <x:c r="U148" s="14" t="str"/>
      <x:c r="V148" s="15" t="str"/>
      <x:c r="W148" s="14" t="str">
        <x:v>no</x:v>
      </x:c>
      <x:c r="X148" s="14" t="str"/>
      <x:c r="Y148" s="14" t="str"/>
      <x:c r="Z148" s="14" t="str"/>
      <x:c r="AA148" s="14" t="str">
        <x:v>excluded_ambiguous_link</x:v>
      </x:c>
    </x:row>
    <x:row r="149">
      <x:c r="A149" s="1" t="str">
        <x:v>U0260</x:v>
      </x:c>
      <x:c r="B149" s="1" t="str">
        <x:v>cmomnx9nj000304jkyxxg2b0k</x:v>
      </x:c>
      <x:c r="C149" s="1" t="str">
        <x:v>greenfields--iow--limited-v-isle-of-wight-council---westridge-village-limited</x:v>
      </x:c>
      <x:c r="D149" s="1" t="str">
        <x:v>real</x:v>
      </x:c>
      <x:c r="E149" s="14" t="str">
        <x:v>Greenfields (IOW) Limited v Isle of Wight Council &amp; Westridge Village Limited</x:v>
      </x:c>
      <x:c r="F149" s="14" t="str">
        <x:v>case:2004 ewhc 779 admin</x:v>
      </x:c>
      <x:c r="G149" s="14" t="str">
        <x:v>Georgiou v London Borough of Enfield &amp; Ors</x:v>
      </x:c>
      <x:c r="H149" s="14" t="str">
        <x:v>[2004] EWHC 779 (Admin)</x:v>
      </x:c>
      <x:c r="I149" s="14" t="str">
        <x:v>f36914c7-32ec-4f23-9909-c4ece2be9d33</x:v>
      </x:c>
      <x:c r="J149" s="14" t="n">
        <x:v>3</x:v>
      </x:c>
      <x:c r="K149" s="14" t="str">
        <x:v>factualFindings.contestedFacts[1].sourceCases[0] | issuesForDetermination.issueMatrix[1].sourceCases[0] | reasoningStructure[1].sourceCases[0]</x:v>
      </x:c>
      <x:c r="L149" s="14" t="str">
        <x:v>cmmxtwenv000304jr7vxcmpae</x:v>
      </x:c>
      <x:c r="M149" s="14" t="str">
        <x:v>ambiguous_gap_gt_10m</x:v>
      </x:c>
      <x:c r="N149" s="14" t="n">
        <x:v>3678399.327</x:v>
      </x:c>
      <x:c r="O149" s="14" t="str">
        <x:v>no</x:v>
      </x:c>
      <x:c r="P149" s="14" t="str">
        <x:v>no</x:v>
      </x:c>
      <x:c r="Q149" s="14" t="str">
        <x:v>none</x:v>
      </x:c>
      <x:c r="R149" s="14" t="str">
        <x:v>none</x:v>
      </x:c>
      <x:c r="S149" s="14" t="str"/>
      <x:c r="T149" s="14" t="str"/>
      <x:c r="U149" s="14" t="str"/>
      <x:c r="V149" s="15" t="str"/>
      <x:c r="W149" s="14" t="str">
        <x:v>no</x:v>
      </x:c>
      <x:c r="X149" s="14" t="str"/>
      <x:c r="Y149" s="14" t="str"/>
      <x:c r="Z149" s="14" t="str"/>
      <x:c r="AA149" s="14" t="str">
        <x:v>excluded_ambiguous_link</x:v>
      </x:c>
    </x:row>
    <x:row r="150">
      <x:c r="A150" s="1" t="str">
        <x:v>U0261</x:v>
      </x:c>
      <x:c r="B150" s="1" t="str">
        <x:v>cmomnx9nj000304jkyxxg2b0k</x:v>
      </x:c>
      <x:c r="C150" s="1" t="str">
        <x:v>greenfields--iow--limited-v-isle-of-wight-council---westridge-village-limited</x:v>
      </x:c>
      <x:c r="D150" s="1" t="str">
        <x:v>real</x:v>
      </x:c>
      <x:c r="E150" s="14" t="str">
        <x:v>Greenfields (IOW) Limited v Isle of Wight Council &amp; Westridge Village Limited</x:v>
      </x:c>
      <x:c r="F150" s="14" t="str">
        <x:v>case:2014 ewca civ 1555</x:v>
      </x:c>
      <x:c r="G150" s="14" t="str">
        <x:v>Vicente &amp; Anor v Secretary of State for Communities and Local Government &amp; Anor</x:v>
      </x:c>
      <x:c r="H150" s="14" t="str">
        <x:v>[2014] EWCA Civ 1555</x:v>
      </x:c>
      <x:c r="I150" s="14" t="str">
        <x:v>3ff34419-ffbc-40f9-a087-a1cb1371d0e1</x:v>
      </x:c>
      <x:c r="J150" s="14" t="n">
        <x:v>3</x:v>
      </x:c>
      <x:c r="K150" s="14" t="str">
        <x:v>factualFindings.contestedFacts[0].sourceCases[0] | issuesForDetermination.issueMatrix[0].sourceCases[0] | reasoningStructure[0].sourceCases[0]</x:v>
      </x:c>
      <x:c r="L150" s="14" t="str">
        <x:v>cmmxtwenv000304jr7vxcmpae</x:v>
      </x:c>
      <x:c r="M150" s="14" t="str">
        <x:v>ambiguous_gap_gt_10m</x:v>
      </x:c>
      <x:c r="N150" s="14" t="n">
        <x:v>3678399.327</x:v>
      </x:c>
      <x:c r="O150" s="14" t="str">
        <x:v>no</x:v>
      </x:c>
      <x:c r="P150" s="14" t="str">
        <x:v>yes</x:v>
      </x:c>
      <x:c r="Q150" s="14" t="str">
        <x:v>exact_case_id</x:v>
      </x:c>
      <x:c r="R150" s="14" t="str">
        <x:v>definitive</x:v>
      </x:c>
      <x:c r="S150" s="14" t="n">
        <x:v>17</x:v>
      </x:c>
      <x:c r="T150" s="14" t="str">
        <x:v>3ff34419-ffbc-40f9-a087-a1cb1371d0e1</x:v>
      </x:c>
      <x:c r="U150" s="14" t="str">
        <x:v>Vicente &amp; Anor v Secretary of State for Communities and Local Government &amp; Anor [2014] EWCA Civ 1555</x:v>
      </x:c>
      <x:c r="V150" s="15" t="n">
        <x:v>0.7194757</x:v>
      </x:c>
      <x:c r="W150" s="14" t="str">
        <x:v>no</x:v>
      </x:c>
      <x:c r="X150" s="14" t="str"/>
      <x:c r="Y150" s="14" t="str"/>
      <x:c r="Z150" s="14" t="str"/>
      <x:c r="AA150" s="14" t="str">
        <x:v>excluded_ambiguous_link</x:v>
      </x:c>
    </x:row>
    <x:row r="151">
      <x:c r="A151" s="1" t="str">
        <x:v>U0264</x:v>
      </x:c>
      <x:c r="B151" s="1" t="str">
        <x:v>cms1ps00j000j04jsbxrn9wrj</x:v>
      </x:c>
      <x:c r="C151" s="1" t="str">
        <x:v>ca-2024-001541-the-king-on-the-application-of-respondent-skeleton</x:v>
      </x:c>
      <x:c r="D151" s="1" t="str">
        <x:v>real</x:v>
      </x:c>
      <x:c r="E151" s="14" t="str">
        <x:v>The King (on the application of Transport Action Network Limited) v Secretary of State for Transport</x:v>
      </x:c>
      <x:c r="F151" s="14" t="str">
        <x:v>case:2000 1 wlr 377</x:v>
      </x:c>
      <x:c r="G151" s="14" t="str">
        <x:v>Flannery v Halifax Estate Agencies Ltd [2000] 1 WLR 377</x:v>
      </x:c>
      <x:c r="H151" s="14" t="str">
        <x:v>Flannery v Halifax Estate Agencies Ltd [2000] 1 WLR 377</x:v>
      </x:c>
      <x:c r="I151" s="14" t="str"/>
      <x:c r="J151" s="14" t="n">
        <x:v>1</x:v>
      </x:c>
      <x:c r="K151" s="14" t="str">
        <x:v>legalFramework.precedentCitations[1]</x:v>
      </x:c>
      <x:c r="L151" s="14" t="str">
        <x:v>cms1pq4rm000d04js91x46eaf</x:v>
      </x:c>
      <x:c r="M151" s="14" t="str">
        <x:v>confirmed_within_10m</x:v>
      </x:c>
      <x:c r="N151" s="14" t="n">
        <x:v>87.256</x:v>
      </x:c>
      <x:c r="O151" s="14" t="str">
        <x:v>yes</x:v>
      </x:c>
      <x:c r="P151" s="14" t="str">
        <x:v>no</x:v>
      </x:c>
      <x:c r="Q151" s="14" t="str">
        <x:v>none</x:v>
      </x:c>
      <x:c r="R151" s="14" t="str">
        <x:v>none</x:v>
      </x:c>
      <x:c r="S151" s="14" t="str"/>
      <x:c r="T151" s="14" t="str"/>
      <x:c r="U151" s="14" t="str"/>
      <x:c r="V151" s="15" t="str"/>
      <x:c r="W151" s="14" t="str">
        <x:v>no</x:v>
      </x:c>
      <x:c r="X151" s="14" t="str"/>
      <x:c r="Y151" s="14" t="str"/>
      <x:c r="Z151" s="14" t="str"/>
      <x:c r="AA151" s="14" t="str">
        <x:v>no</x:v>
      </x:c>
    </x:row>
    <x:row r="152">
      <x:c r="A152" s="1" t="str">
        <x:v>U0265</x:v>
      </x:c>
      <x:c r="B152" s="1" t="str">
        <x:v>cms1ps00j000j04jsbxrn9wrj</x:v>
      </x:c>
      <x:c r="C152" s="1" t="str">
        <x:v>ca-2024-001541-the-king-on-the-application-of-respondent-skeleton</x:v>
      </x:c>
      <x:c r="D152" s="1" t="str">
        <x:v>real</x:v>
      </x:c>
      <x:c r="E152" s="14" t="str">
        <x:v>The King (on the application of Transport Action Network Limited) v Secretary of State for Transport</x:v>
      </x:c>
      <x:c r="F152" s="14" t="str">
        <x:v>case:2002 ewca civ 605</x:v>
      </x:c>
      <x:c r="G152" s="14" t="str">
        <x:v>English v Emery Reimbold &amp; Strick Ltd [2002] EWCA Civ 605</x:v>
      </x:c>
      <x:c r="H152" s="14" t="str">
        <x:v>English v Emery Reimbold &amp; Strick Ltd [2002] EWCA Civ 605</x:v>
      </x:c>
      <x:c r="I152" s="14" t="str"/>
      <x:c r="J152" s="14" t="n">
        <x:v>2</x:v>
      </x:c>
      <x:c r="K152" s="14" t="str">
        <x:v>legalFramework.legalTestSummaries[1].sourceAuthority | legalFramework.precedentCitations[0]</x:v>
      </x:c>
      <x:c r="L152" s="14" t="str">
        <x:v>cms1pq4rm000d04js91x46eaf</x:v>
      </x:c>
      <x:c r="M152" s="14" t="str">
        <x:v>confirmed_within_10m</x:v>
      </x:c>
      <x:c r="N152" s="14" t="n">
        <x:v>87.256</x:v>
      </x:c>
      <x:c r="O152" s="14" t="str">
        <x:v>yes</x:v>
      </x:c>
      <x:c r="P152" s="14" t="str">
        <x:v>no</x:v>
      </x:c>
      <x:c r="Q152" s="14" t="str">
        <x:v>none</x:v>
      </x:c>
      <x:c r="R152" s="14" t="str">
        <x:v>none</x:v>
      </x:c>
      <x:c r="S152" s="14" t="str"/>
      <x:c r="T152" s="14" t="str"/>
      <x:c r="U152" s="14" t="str"/>
      <x:c r="V152" s="15" t="str"/>
      <x:c r="W152" s="14" t="str">
        <x:v>no</x:v>
      </x:c>
      <x:c r="X152" s="14" t="str"/>
      <x:c r="Y152" s="14" t="str"/>
      <x:c r="Z152" s="14" t="str"/>
      <x:c r="AA152" s="14" t="str">
        <x:v>no</x:v>
      </x:c>
    </x:row>
    <x:row r="153">
      <x:c r="A153" s="1" t="str">
        <x:v>U0266</x:v>
      </x:c>
      <x:c r="B153" s="1" t="str">
        <x:v>cms1ps00j000j04jsbxrn9wrj</x:v>
      </x:c>
      <x:c r="C153" s="1" t="str">
        <x:v>ca-2024-001541-the-king-on-the-application-of-respondent-skeleton</x:v>
      </x:c>
      <x:c r="D153" s="1" t="str">
        <x:v>real</x:v>
      </x:c>
      <x:c r="E153" s="14" t="str">
        <x:v>The King (on the application of Transport Action Network Limited) v Secretary of State for Transport</x:v>
      </x:c>
      <x:c r="F153" s="14" t="str">
        <x:v>case:2016 ewca civ 441</x:v>
      </x:c>
      <x:c r="G153" s="14" t="str">
        <x:v>Secretary of State for Communities and Local Government v West Berkshire District Council &amp; Anor</x:v>
      </x:c>
      <x:c r="H153" s="14" t="str">
        <x:v>[2016] EWCA Civ 441</x:v>
      </x:c>
      <x:c r="I153" s="14" t="str">
        <x:v>beff2d5f-922f-42e5-9aaa-8b70d7179f71</x:v>
      </x:c>
      <x:c r="J153" s="14" t="n">
        <x:v>1</x:v>
      </x:c>
      <x:c r="K153" s="14" t="str">
        <x:v>factualFindings.chronology[1].sourceCases[0]</x:v>
      </x:c>
      <x:c r="L153" s="14" t="str">
        <x:v>cms1pq4rm000d04js91x46eaf</x:v>
      </x:c>
      <x:c r="M153" s="14" t="str">
        <x:v>confirmed_within_10m</x:v>
      </x:c>
      <x:c r="N153" s="14" t="n">
        <x:v>87.256</x:v>
      </x:c>
      <x:c r="O153" s="14" t="str">
        <x:v>yes</x:v>
      </x:c>
      <x:c r="P153" s="14" t="str">
        <x:v>yes</x:v>
      </x:c>
      <x:c r="Q153" s="14" t="str">
        <x:v>exact_case_id</x:v>
      </x:c>
      <x:c r="R153" s="14" t="str">
        <x:v>definitive</x:v>
      </x:c>
      <x:c r="S153" s="14" t="n">
        <x:v>4</x:v>
      </x:c>
      <x:c r="T153" s="14" t="str">
        <x:v>beff2d5f-922f-42e5-9aaa-8b70d7179f71</x:v>
      </x:c>
      <x:c r="U153" s="14" t="str">
        <x:v>Secretary of State for Communities and Local Government v West Berkshire District Council &amp; Anor [2016] EWCA Civ 441 (11 May 2016)</x:v>
      </x:c>
      <x:c r="V153" s="15" t="n">
        <x:v>0.6359899</x:v>
      </x:c>
      <x:c r="W153" s="14" t="str">
        <x:v>no</x:v>
      </x:c>
      <x:c r="X153" s="14" t="str"/>
      <x:c r="Y153" s="14" t="str"/>
      <x:c r="Z153" s="14" t="str"/>
      <x:c r="AA153" s="14" t="str">
        <x:v>yes</x:v>
      </x:c>
    </x:row>
    <x:row r="154">
      <x:c r="A154" s="1" t="str">
        <x:v>U0267</x:v>
      </x:c>
      <x:c r="B154" s="1" t="str">
        <x:v>cms1ps00j000j04jsbxrn9wrj</x:v>
      </x:c>
      <x:c r="C154" s="1" t="str">
        <x:v>ca-2024-001541-the-king-on-the-application-of-respondent-skeleton</x:v>
      </x:c>
      <x:c r="D154" s="1" t="str">
        <x:v>real</x:v>
      </x:c>
      <x:c r="E154" s="14" t="str">
        <x:v>The King (on the application of Transport Action Network Limited) v Secretary of State for Transport</x:v>
      </x:c>
      <x:c r="F154" s="14" t="str">
        <x:v>case:2022 ewca civ 21</x:v>
      </x:c>
      <x:c r="G154" s="14" t="str">
        <x:v>The Good Law Project, R (On the Application Of) v Minister for the Cabinet Office</x:v>
      </x:c>
      <x:c r="H154" s="14" t="str">
        <x:v>[2022] EWCA Civ 21</x:v>
      </x:c>
      <x:c r="I154" s="14" t="str">
        <x:v>f157dc58-8d24-4561-9b20-3df67da80a73</x:v>
      </x:c>
      <x:c r="J154" s="14" t="n">
        <x:v>1</x:v>
      </x:c>
      <x:c r="K154" s="14" t="str">
        <x:v>factualFindings.contestedFacts[1].sourceCases[0]</x:v>
      </x:c>
      <x:c r="L154" s="14" t="str">
        <x:v>cms1pq4rm000d04js91x46eaf</x:v>
      </x:c>
      <x:c r="M154" s="14" t="str">
        <x:v>confirmed_within_10m</x:v>
      </x:c>
      <x:c r="N154" s="14" t="n">
        <x:v>87.256</x:v>
      </x:c>
      <x:c r="O154" s="14" t="str">
        <x:v>yes</x:v>
      </x:c>
      <x:c r="P154" s="14" t="str">
        <x:v>yes</x:v>
      </x:c>
      <x:c r="Q154" s="14" t="str">
        <x:v>exact_case_id</x:v>
      </x:c>
      <x:c r="R154" s="14" t="str">
        <x:v>definitive</x:v>
      </x:c>
      <x:c r="S154" s="14" t="n">
        <x:v>5</x:v>
      </x:c>
      <x:c r="T154" s="14" t="str">
        <x:v>f157dc58-8d24-4561-9b20-3df67da80a73</x:v>
      </x:c>
      <x:c r="U154" s="14" t="str">
        <x:v>The Good Law Project, R (On the Application Of) v Minister for the Cabinet Office [2022] EWCA Civ 21</x:v>
      </x:c>
      <x:c r="V154" s="15" t="n">
        <x:v>0.63378596</x:v>
      </x:c>
      <x:c r="W154" s="14" t="str">
        <x:v>no</x:v>
      </x:c>
      <x:c r="X154" s="14" t="str"/>
      <x:c r="Y154" s="14" t="str"/>
      <x:c r="Z154" s="14" t="str"/>
      <x:c r="AA154" s="14" t="str">
        <x:v>yes</x:v>
      </x:c>
    </x:row>
    <x:row r="155">
      <x:c r="A155" s="1" t="str">
        <x:v>U0268</x:v>
      </x:c>
      <x:c r="B155" s="1" t="str">
        <x:v>cms1ps00j000j04jsbxrn9wrj</x:v>
      </x:c>
      <x:c r="C155" s="1" t="str">
        <x:v>ca-2024-001541-the-king-on-the-application-of-respondent-skeleton</x:v>
      </x:c>
      <x:c r="D155" s="1" t="str">
        <x:v>real</x:v>
      </x:c>
      <x:c r="E155" s="14" t="str">
        <x:v>The King (on the application of Transport Action Network Limited) v Secretary of State for Transport</x:v>
      </x:c>
      <x:c r="F155" s="14" t="str">
        <x:v>case:london borough of enfield r on the application of v secretary of state for transport &amp; ors</x:v>
      </x:c>
      <x:c r="G155" s="14" t="str">
        <x:v>London Borough of Enfield, R (on the application of) v Secretary of State for Transport &amp; Ors</x:v>
      </x:c>
      <x:c r="H155" s="14" t="str">
        <x:v>N/A</x:v>
      </x:c>
      <x:c r="I155" s="14" t="str">
        <x:v>f5a5b44e-fcf0-40c0-9bf9-69f026b1b438</x:v>
      </x:c>
      <x:c r="J155" s="14" t="n">
        <x:v>4</x:v>
      </x:c>
      <x:c r="K155" s="14" t="str">
        <x:v>factualFindings.contestedFacts[0].sourceCases[0] | issuesForDetermination.issueMatrix[1].sourceCases[0] | legalFramework.precedentCitations[1].sourceCases[0] | reasoningStructure[1].sourceCases[0]</x:v>
      </x:c>
      <x:c r="L155" s="14" t="str">
        <x:v>cms1pq4rm000d04js91x46eaf</x:v>
      </x:c>
      <x:c r="M155" s="14" t="str">
        <x:v>confirmed_within_10m</x:v>
      </x:c>
      <x:c r="N155" s="14" t="n">
        <x:v>87.256</x:v>
      </x:c>
      <x:c r="O155" s="14" t="str">
        <x:v>yes</x:v>
      </x:c>
      <x:c r="P155" s="14" t="str">
        <x:v>yes</x:v>
      </x:c>
      <x:c r="Q155" s="14" t="str">
        <x:v>exact_case_id</x:v>
      </x:c>
      <x:c r="R155" s="14" t="str">
        <x:v>definitive</x:v>
      </x:c>
      <x:c r="S155" s="14" t="n">
        <x:v>1</x:v>
      </x:c>
      <x:c r="T155" s="14" t="str">
        <x:v>f5a5b44e-fcf0-40c0-9bf9-69f026b1b438</x:v>
      </x:c>
      <x:c r="U155" s="14" t="str">
        <x:v>London Borough of Enfield, R (on the application of) v Secretary of State for Transport &amp; Ors [2016] EWCA Civ 480</x:v>
      </x:c>
      <x:c r="V155" s="15" t="n">
        <x:v>0.65307784</x:v>
      </x:c>
      <x:c r="W155" s="14" t="str">
        <x:v>no</x:v>
      </x:c>
      <x:c r="X155" s="14" t="str"/>
      <x:c r="Y155" s="14" t="str"/>
      <x:c r="Z155" s="14" t="str"/>
      <x:c r="AA155" s="14" t="str">
        <x:v>yes</x:v>
      </x:c>
    </x:row>
    <x:row r="156">
      <x:c r="A156" s="1" t="str">
        <x:v>U0269</x:v>
      </x:c>
      <x:c r="B156" s="1" t="str">
        <x:v>cms1ps00j000j04jsbxrn9wrj</x:v>
      </x:c>
      <x:c r="C156" s="1" t="str">
        <x:v>ca-2024-001541-the-king-on-the-application-of-respondent-skeleton</x:v>
      </x:c>
      <x:c r="D156" s="1" t="str">
        <x:v>real</x:v>
      </x:c>
      <x:c r="E156" s="14" t="str">
        <x:v>The King (on the application of Transport Action Network Limited) v Secretary of State for Transport</x:v>
      </x:c>
      <x:c r="F156" s="14" t="str">
        <x:v>case:national aids trust v national health service commissioning board nhs england &amp; ors</x:v>
      </x:c>
      <x:c r="G156" s="14" t="str">
        <x:v>National AIDS Trust v National Health Service Commissioning Board (NHS England) &amp; Ors</x:v>
      </x:c>
      <x:c r="H156" s="14" t="str">
        <x:v>N/A</x:v>
      </x:c>
      <x:c r="I156" s="14" t="str">
        <x:v>ed07cee8-284a-4c88-9681-37d30f80d1a1</x:v>
      </x:c>
      <x:c r="J156" s="14" t="n">
        <x:v>1</x:v>
      </x:c>
      <x:c r="K156" s="14" t="str">
        <x:v>factualFindings.chronology[0].sourceCases[0]</x:v>
      </x:c>
      <x:c r="L156" s="14" t="str">
        <x:v>cms1pq4rm000d04js91x46eaf</x:v>
      </x:c>
      <x:c r="M156" s="14" t="str">
        <x:v>confirmed_within_10m</x:v>
      </x:c>
      <x:c r="N156" s="14" t="n">
        <x:v>87.256</x:v>
      </x:c>
      <x:c r="O156" s="14" t="str">
        <x:v>yes</x:v>
      </x:c>
      <x:c r="P156" s="14" t="str">
        <x:v>yes</x:v>
      </x:c>
      <x:c r="Q156" s="14" t="str">
        <x:v>exact_case_id</x:v>
      </x:c>
      <x:c r="R156" s="14" t="str">
        <x:v>definitive</x:v>
      </x:c>
      <x:c r="S156" s="14" t="n">
        <x:v>2</x:v>
      </x:c>
      <x:c r="T156" s="14" t="str">
        <x:v>ed07cee8-284a-4c88-9681-37d30f80d1a1</x:v>
      </x:c>
      <x:c r="U156" s="14" t="str">
        <x:v>National AIDS Trust v National Health Service Commissioning Board (NHS England) &amp; Ors (EWCA Civ 1100) – PrEP and NHS England power to commission preventive HIV treatment</x:v>
      </x:c>
      <x:c r="V156" s="15" t="n">
        <x:v>0.6524644</x:v>
      </x:c>
      <x:c r="W156" s="14" t="str">
        <x:v>no</x:v>
      </x:c>
      <x:c r="X156" s="14" t="str"/>
      <x:c r="Y156" s="14" t="str"/>
      <x:c r="Z156" s="14" t="str"/>
      <x:c r="AA156" s="14" t="str">
        <x:v>yes</x:v>
      </x:c>
    </x:row>
    <x:row r="157">
      <x:c r="A157" s="1" t="str">
        <x:v>U0270</x:v>
      </x:c>
      <x:c r="B157" s="1" t="str">
        <x:v>cms1ps00j000j04jsbxrn9wrj</x:v>
      </x:c>
      <x:c r="C157" s="1" t="str">
        <x:v>ca-2024-001541-the-king-on-the-application-of-respondent-skeleton</x:v>
      </x:c>
      <x:c r="D157" s="1" t="str">
        <x:v>real</x:v>
      </x:c>
      <x:c r="E157" s="14" t="str">
        <x:v>The King (on the application of Transport Action Network Limited) v Secretary of State for Transport</x:v>
      </x:c>
      <x:c r="F157" s="14" t="str">
        <x:v>case:the howard league for penal reform and prisoners advice service v the lord chancellor</x:v>
      </x:c>
      <x:c r="G157" s="14" t="str">
        <x:v>The Howard League for Penal Reform and Prisoners' Advice Service v The Lord Chancellor</x:v>
      </x:c>
      <x:c r="H157" s="14" t="str">
        <x:v>N/A</x:v>
      </x:c>
      <x:c r="I157" s="14" t="str">
        <x:v>d60a5323-796e-4110-a6de-012ec16860c1</x:v>
      </x:c>
      <x:c r="J157" s="14" t="n">
        <x:v>3</x:v>
      </x:c>
      <x:c r="K157" s="14" t="str">
        <x:v>issuesForDetermination.issueMatrix[0].sourceCases[0] | legalFramework.statutoryProvisions[0].sourceCases[0] | reasoningStructure[0].sourceCases[0]</x:v>
      </x:c>
      <x:c r="L157" s="14" t="str">
        <x:v>cms1pq4rm000d04js91x46eaf</x:v>
      </x:c>
      <x:c r="M157" s="14" t="str">
        <x:v>confirmed_within_10m</x:v>
      </x:c>
      <x:c r="N157" s="14" t="n">
        <x:v>87.256</x:v>
      </x:c>
      <x:c r="O157" s="14" t="str">
        <x:v>yes</x:v>
      </x:c>
      <x:c r="P157" s="14" t="str">
        <x:v>yes</x:v>
      </x:c>
      <x:c r="Q157" s="14" t="str">
        <x:v>exact_case_id</x:v>
      </x:c>
      <x:c r="R157" s="14" t="str">
        <x:v>definitive</x:v>
      </x:c>
      <x:c r="S157" s="14" t="n">
        <x:v>3</x:v>
      </x:c>
      <x:c r="T157" s="14" t="str">
        <x:v>d60a5323-796e-4110-a6de-012ec16860c1</x:v>
      </x:c>
      <x:c r="U157" s="14" t="str">
        <x:v>The Howard League for Penal Reform and Prisoners' Advice Service v The Lord Chancellor</x:v>
      </x:c>
      <x:c r="V157" s="15" t="n">
        <x:v>0.6420142</x:v>
      </x:c>
      <x:c r="W157" s="14" t="str">
        <x:v>no</x:v>
      </x:c>
      <x:c r="X157" s="14" t="str"/>
      <x:c r="Y157" s="14" t="str"/>
      <x:c r="Z157" s="14" t="str"/>
      <x:c r="AA157" s="14" t="str">
        <x:v>yes</x:v>
      </x:c>
    </x:row>
    <x:row r="158">
      <x:c r="A158" s="1" t="str">
        <x:v>U0274</x:v>
      </x:c>
      <x:c r="B158" s="1" t="str">
        <x:v>cms1u865i000904jxu5huyjg5</x:v>
      </x:c>
      <x:c r="C158" s="1" t="str">
        <x:v>ca-2024-001541-the-king-on-the-application-of-respondent-skeleton</x:v>
      </x:c>
      <x:c r="D158" s="1" t="str">
        <x:v>real</x:v>
      </x:c>
      <x:c r="E158" s="14" t="str">
        <x:v>The King (on the application of Transport Action Network Limited) v Secretary of State for Transport</x:v>
      </x:c>
      <x:c r="F158" s="14" t="str">
        <x:v>case:2002 ewca civ 605</x:v>
      </x:c>
      <x:c r="G158" s="14" t="str">
        <x:v>[2002] EWCA Civ 605</x:v>
      </x:c>
      <x:c r="H158" s="14" t="str">
        <x:v>[2002] EWCA Civ 605</x:v>
      </x:c>
      <x:c r="I158" s="14" t="str"/>
      <x:c r="J158" s="14" t="n">
        <x:v>1</x:v>
      </x:c>
      <x:c r="K158" s="14" t="str">
        <x:v>legalFramework.precedentCitations[0]</x:v>
      </x:c>
      <x:c r="L158" s="14" t="str">
        <x:v>cms1u714o000304jxq0x5fnl6</x:v>
      </x:c>
      <x:c r="M158" s="14" t="str">
        <x:v>confirmed_within_10m</x:v>
      </x:c>
      <x:c r="N158" s="14" t="n">
        <x:v>53.291</x:v>
      </x:c>
      <x:c r="O158" s="14" t="str">
        <x:v>yes</x:v>
      </x:c>
      <x:c r="P158" s="14" t="str">
        <x:v>no</x:v>
      </x:c>
      <x:c r="Q158" s="14" t="str">
        <x:v>none</x:v>
      </x:c>
      <x:c r="R158" s="14" t="str">
        <x:v>none</x:v>
      </x:c>
      <x:c r="S158" s="14" t="str"/>
      <x:c r="T158" s="14" t="str"/>
      <x:c r="U158" s="14" t="str"/>
      <x:c r="V158" s="15" t="str"/>
      <x:c r="W158" s="14" t="str">
        <x:v>no</x:v>
      </x:c>
      <x:c r="X158" s="14" t="str"/>
      <x:c r="Y158" s="14" t="str"/>
      <x:c r="Z158" s="14" t="str"/>
      <x:c r="AA158" s="14" t="str">
        <x:v>no</x:v>
      </x:c>
    </x:row>
    <x:row r="159">
      <x:c r="A159" s="1" t="str">
        <x:v>U0275</x:v>
      </x:c>
      <x:c r="B159" s="1" t="str">
        <x:v>cms1u865i000904jxu5huyjg5</x:v>
      </x:c>
      <x:c r="C159" s="1" t="str">
        <x:v>ca-2024-001541-the-king-on-the-application-of-respondent-skeleton</x:v>
      </x:c>
      <x:c r="D159" s="1" t="str">
        <x:v>real</x:v>
      </x:c>
      <x:c r="E159" s="14" t="str">
        <x:v>The King (on the application of Transport Action Network Limited) v Secretary of State for Transport</x:v>
      </x:c>
      <x:c r="F159" s="14" t="str">
        <x:v>case:2016 ewca civ 480</x:v>
      </x:c>
      <x:c r="G159" s="14" t="str">
        <x:v>London Borough of Enfield, R (on the application of) v Secretary of State for Transport &amp; Ors</x:v>
      </x:c>
      <x:c r="H159" s="14" t="str">
        <x:v>[2016] EWCA Civ 480</x:v>
      </x:c>
      <x:c r="I159" s="14" t="str">
        <x:v>f5a5b44e-fcf0-40c0-9bf9-69f026b1b438</x:v>
      </x:c>
      <x:c r="J159" s="14" t="n">
        <x:v>1</x:v>
      </x:c>
      <x:c r="K159" s="14" t="str">
        <x:v>issuesForDetermination.issueMatrix[0].sourceCases[0]</x:v>
      </x:c>
      <x:c r="L159" s="14" t="str">
        <x:v>cms1u714o000304jxq0x5fnl6</x:v>
      </x:c>
      <x:c r="M159" s="14" t="str">
        <x:v>confirmed_within_10m</x:v>
      </x:c>
      <x:c r="N159" s="14" t="n">
        <x:v>53.291</x:v>
      </x:c>
      <x:c r="O159" s="14" t="str">
        <x:v>yes</x:v>
      </x:c>
      <x:c r="P159" s="14" t="str">
        <x:v>yes</x:v>
      </x:c>
      <x:c r="Q159" s="14" t="str">
        <x:v>exact_case_id</x:v>
      </x:c>
      <x:c r="R159" s="14" t="str">
        <x:v>definitive</x:v>
      </x:c>
      <x:c r="S159" s="14" t="n">
        <x:v>5</x:v>
      </x:c>
      <x:c r="T159" s="14" t="str">
        <x:v>f5a5b44e-fcf0-40c0-9bf9-69f026b1b438</x:v>
      </x:c>
      <x:c r="U159" s="14" t="str">
        <x:v>London Borough of Enfield, R (on the application of) v Secretary of State for Transport &amp; Ors [2016] EWCA Civ 480</x:v>
      </x:c>
      <x:c r="V159" s="15" t="n">
        <x:v>0.66651857</x:v>
      </x:c>
      <x:c r="W159" s="14" t="str">
        <x:v>no</x:v>
      </x:c>
      <x:c r="X159" s="14" t="str"/>
      <x:c r="Y159" s="14" t="str"/>
      <x:c r="Z159" s="14" t="str"/>
      <x:c r="AA159" s="14" t="str">
        <x:v>yes</x:v>
      </x:c>
    </x:row>
    <x:row r="160">
      <x:c r="A160" s="1" t="str">
        <x:v>U0276</x:v>
      </x:c>
      <x:c r="B160" s="1" t="str">
        <x:v>cms1u865i000904jxu5huyjg5</x:v>
      </x:c>
      <x:c r="C160" s="1" t="str">
        <x:v>ca-2024-001541-the-king-on-the-application-of-respondent-skeleton</x:v>
      </x:c>
      <x:c r="D160" s="1" t="str">
        <x:v>real</x:v>
      </x:c>
      <x:c r="E160" s="14" t="str">
        <x:v>The King (on the application of Transport Action Network Limited) v Secretary of State for Transport</x:v>
      </x:c>
      <x:c r="F160" s="14" t="str">
        <x:v>case:2022 ewca civ 21</x:v>
      </x:c>
      <x:c r="G160" s="14" t="str">
        <x:v>The Good Law Project, R (On the Application Of) v Minister for the Cabinet Office</x:v>
      </x:c>
      <x:c r="H160" s="14" t="str">
        <x:v>[2022] EWCA Civ 21</x:v>
      </x:c>
      <x:c r="I160" s="14" t="str">
        <x:v>f157dc58-8d24-4561-9b20-3df67da80a73</x:v>
      </x:c>
      <x:c r="J160" s="14" t="n">
        <x:v>1</x:v>
      </x:c>
      <x:c r="K160" s="14" t="str">
        <x:v>factualFindings.contestedFacts[1].sourceCases[0]</x:v>
      </x:c>
      <x:c r="L160" s="14" t="str">
        <x:v>cms1u714o000304jxq0x5fnl6</x:v>
      </x:c>
      <x:c r="M160" s="14" t="str">
        <x:v>confirmed_within_10m</x:v>
      </x:c>
      <x:c r="N160" s="14" t="n">
        <x:v>53.291</x:v>
      </x:c>
      <x:c r="O160" s="14" t="str">
        <x:v>yes</x:v>
      </x:c>
      <x:c r="P160" s="14" t="str">
        <x:v>yes</x:v>
      </x:c>
      <x:c r="Q160" s="14" t="str">
        <x:v>exact_case_id</x:v>
      </x:c>
      <x:c r="R160" s="14" t="str">
        <x:v>definitive</x:v>
      </x:c>
      <x:c r="S160" s="14" t="n">
        <x:v>2</x:v>
      </x:c>
      <x:c r="T160" s="14" t="str">
        <x:v>f157dc58-8d24-4561-9b20-3df67da80a73</x:v>
      </x:c>
      <x:c r="U160" s="14" t="str">
        <x:v>The Good Law Project, R (On the Application Of) v Minister for the Cabinet Office [2022] EWCA Civ 21</x:v>
      </x:c>
      <x:c r="V160" s="15" t="n">
        <x:v>0.67397815</x:v>
      </x:c>
      <x:c r="W160" s="14" t="str">
        <x:v>no</x:v>
      </x:c>
      <x:c r="X160" s="14" t="str"/>
      <x:c r="Y160" s="14" t="str"/>
      <x:c r="Z160" s="14" t="str"/>
      <x:c r="AA160" s="14" t="str">
        <x:v>yes</x:v>
      </x:c>
    </x:row>
    <x:row r="161">
      <x:c r="A161" s="1" t="str">
        <x:v>U0277</x:v>
      </x:c>
      <x:c r="B161" s="1" t="str">
        <x:v>cms1u865i000904jxu5huyjg5</x:v>
      </x:c>
      <x:c r="C161" s="1" t="str">
        <x:v>ca-2024-001541-the-king-on-the-application-of-respondent-skeleton</x:v>
      </x:c>
      <x:c r="D161" s="1" t="str">
        <x:v>real</x:v>
      </x:c>
      <x:c r="E161" s="14" t="str">
        <x:v>The King (on the application of Transport Action Network Limited) v Secretary of State for Transport</x:v>
      </x:c>
      <x:c r="F161" s="14" t="str">
        <x:v>case:2023 ewca civ 265</x:v>
      </x:c>
      <x:c r="G161" s="14" t="str">
        <x:v>C7 v Secretary of State for the Home Department</x:v>
      </x:c>
      <x:c r="H161" s="14" t="str">
        <x:v>[2023] EWCA Civ 265</x:v>
      </x:c>
      <x:c r="I161" s="14" t="str">
        <x:v>7cce4927-35a4-4b74-90f4-ac2262bb34d7</x:v>
      </x:c>
      <x:c r="J161" s="14" t="n">
        <x:v>1</x:v>
      </x:c>
      <x:c r="K161" s="14" t="str">
        <x:v>reasoningStructure[0].sourceCases[0]</x:v>
      </x:c>
      <x:c r="L161" s="14" t="str">
        <x:v>cms1u714o000304jxq0x5fnl6</x:v>
      </x:c>
      <x:c r="M161" s="14" t="str">
        <x:v>confirmed_within_10m</x:v>
      </x:c>
      <x:c r="N161" s="14" t="n">
        <x:v>53.291</x:v>
      </x:c>
      <x:c r="O161" s="14" t="str">
        <x:v>yes</x:v>
      </x:c>
      <x:c r="P161" s="14" t="str">
        <x:v>yes</x:v>
      </x:c>
      <x:c r="Q161" s="14" t="str">
        <x:v>exact_case_id</x:v>
      </x:c>
      <x:c r="R161" s="14" t="str">
        <x:v>definitive</x:v>
      </x:c>
      <x:c r="S161" s="14" t="n">
        <x:v>3</x:v>
      </x:c>
      <x:c r="T161" s="14" t="str">
        <x:v>7cce4927-35a4-4b74-90f4-ac2262bb34d7</x:v>
      </x:c>
      <x:c r="U161" s="14" t="str">
        <x:v>C7 v Secretary of State for the Home Department [2023] EWCA Civ 265</x:v>
      </x:c>
      <x:c r="V161" s="15" t="n">
        <x:v>0.6688487</x:v>
      </x:c>
      <x:c r="W161" s="14" t="str">
        <x:v>no</x:v>
      </x:c>
      <x:c r="X161" s="14" t="str"/>
      <x:c r="Y161" s="14" t="str"/>
      <x:c r="Z161" s="14" t="str"/>
      <x:c r="AA161" s="14" t="str">
        <x:v>yes</x:v>
      </x:c>
    </x:row>
    <x:row r="162">
      <x:c r="A162" s="1" t="str">
        <x:v>U0278</x:v>
      </x:c>
      <x:c r="B162" s="1" t="str">
        <x:v>cms1u865i000904jxu5huyjg5</x:v>
      </x:c>
      <x:c r="C162" s="1" t="str">
        <x:v>ca-2024-001541-the-king-on-the-application-of-respondent-skeleton</x:v>
      </x:c>
      <x:c r="D162" s="1" t="str">
        <x:v>real</x:v>
      </x:c>
      <x:c r="E162" s="14" t="str">
        <x:v>The King (on the application of Transport Action Network Limited) v Secretary of State for Transport</x:v>
      </x:c>
      <x:c r="F162" s="14" t="str">
        <x:v>case:the howard league for penal reform and prisoners advice service v the lord chancellor</x:v>
      </x:c>
      <x:c r="G162" s="14" t="str">
        <x:v>The Howard League for Penal Reform and Prisoners' Advice Service v The Lord Chancellor</x:v>
      </x:c>
      <x:c r="H162" s="14" t="str">
        <x:v>N/A</x:v>
      </x:c>
      <x:c r="I162" s="14" t="str">
        <x:v>d60a5323-796e-4110-a6de-012ec16860c1</x:v>
      </x:c>
      <x:c r="J162" s="14" t="n">
        <x:v>1</x:v>
      </x:c>
      <x:c r="K162" s="14" t="str">
        <x:v>factualFindings.contestedFacts[0].sourceCases[0]</x:v>
      </x:c>
      <x:c r="L162" s="14" t="str">
        <x:v>cms1u714o000304jxq0x5fnl6</x:v>
      </x:c>
      <x:c r="M162" s="14" t="str">
        <x:v>confirmed_within_10m</x:v>
      </x:c>
      <x:c r="N162" s="14" t="n">
        <x:v>53.291</x:v>
      </x:c>
      <x:c r="O162" s="14" t="str">
        <x:v>yes</x:v>
      </x:c>
      <x:c r="P162" s="14" t="str">
        <x:v>yes</x:v>
      </x:c>
      <x:c r="Q162" s="14" t="str">
        <x:v>exact_case_id</x:v>
      </x:c>
      <x:c r="R162" s="14" t="str">
        <x:v>definitive</x:v>
      </x:c>
      <x:c r="S162" s="14" t="n">
        <x:v>1</x:v>
      </x:c>
      <x:c r="T162" s="14" t="str">
        <x:v>d60a5323-796e-4110-a6de-012ec16860c1</x:v>
      </x:c>
      <x:c r="U162" s="14" t="str">
        <x:v>The Howard League for Penal Reform and Prisoners' Advice Service v The Lord Chancellor</x:v>
      </x:c>
      <x:c r="V162" s="15" t="n">
        <x:v>0.6859648</x:v>
      </x:c>
      <x:c r="W162" s="14" t="str">
        <x:v>no</x:v>
      </x:c>
      <x:c r="X162" s="14" t="str"/>
      <x:c r="Y162" s="14" t="str"/>
      <x:c r="Z162" s="14" t="str"/>
      <x:c r="AA162" s="14" t="str">
        <x:v>yes</x:v>
      </x:c>
    </x:row>
    <x:row r="163">
      <x:c r="A163" s="1" t="str">
        <x:v>U0283</x:v>
      </x:c>
      <x:c r="B163" s="1" t="str">
        <x:v>cmsbj40n7000h04jwpx41ia5n</x:v>
      </x:c>
      <x:c r="C163" s="1" t="str">
        <x:v>ca-2024-001541-the-king-on-the-application-of-respondent-skeleton</x:v>
      </x:c>
      <x:c r="D163" s="1" t="str">
        <x:v>real</x:v>
      </x:c>
      <x:c r="E163" s="14" t="str">
        <x:v>The King (on the application of Transport Action Network Limited) v Secretary of State for Transport</x:v>
      </x:c>
      <x:c r="F163" s="14" t="str">
        <x:v>case:2000 1 wlr 377</x:v>
      </x:c>
      <x:c r="G163" s="14" t="str">
        <x:v>Flannery v Halifax Estate Agencies Ltd [2000] 1 WLR 377</x:v>
      </x:c>
      <x:c r="H163" s="14" t="str">
        <x:v>Flannery v Halifax Estate Agencies Ltd [2000] 1 WLR 377</x:v>
      </x:c>
      <x:c r="I163" s="14" t="str"/>
      <x:c r="J163" s="14" t="n">
        <x:v>1</x:v>
      </x:c>
      <x:c r="K163" s="14" t="str">
        <x:v>legalFramework.precedentCitations[1]</x:v>
      </x:c>
      <x:c r="L163" s="14" t="str">
        <x:v>cmsbj2peo000b04jw4kua4pz9</x:v>
      </x:c>
      <x:c r="M163" s="14" t="str">
        <x:v>confirmed_within_10m</x:v>
      </x:c>
      <x:c r="N163" s="14" t="n">
        <x:v>61.324</x:v>
      </x:c>
      <x:c r="O163" s="14" t="str">
        <x:v>yes</x:v>
      </x:c>
      <x:c r="P163" s="14" t="str">
        <x:v>no</x:v>
      </x:c>
      <x:c r="Q163" s="14" t="str">
        <x:v>none</x:v>
      </x:c>
      <x:c r="R163" s="14" t="str">
        <x:v>none</x:v>
      </x:c>
      <x:c r="S163" s="14" t="str"/>
      <x:c r="T163" s="14" t="str"/>
      <x:c r="U163" s="14" t="str"/>
      <x:c r="V163" s="15" t="str"/>
      <x:c r="W163" s="14" t="str">
        <x:v>no</x:v>
      </x:c>
      <x:c r="X163" s="14" t="str"/>
      <x:c r="Y163" s="14" t="str"/>
      <x:c r="Z163" s="14" t="str"/>
      <x:c r="AA163" s="14" t="str">
        <x:v>no</x:v>
      </x:c>
    </x:row>
    <x:row r="164">
      <x:c r="A164" s="1" t="str">
        <x:v>U0284</x:v>
      </x:c>
      <x:c r="B164" s="1" t="str">
        <x:v>cmsbj40n7000h04jwpx41ia5n</x:v>
      </x:c>
      <x:c r="C164" s="1" t="str">
        <x:v>ca-2024-001541-the-king-on-the-application-of-respondent-skeleton</x:v>
      </x:c>
      <x:c r="D164" s="1" t="str">
        <x:v>real</x:v>
      </x:c>
      <x:c r="E164" s="14" t="str">
        <x:v>The King (on the application of Transport Action Network Limited) v Secretary of State for Transport</x:v>
      </x:c>
      <x:c r="F164" s="14" t="str">
        <x:v>case:2002 ewca civ 605</x:v>
      </x:c>
      <x:c r="G164" s="14" t="str">
        <x:v>English v Emery Reimbold &amp; Strick Ltd [2002] EWCA Civ 605</x:v>
      </x:c>
      <x:c r="H164" s="14" t="str">
        <x:v>English v Emery Reimbold &amp; Strick Ltd [2002] EWCA Civ 605</x:v>
      </x:c>
      <x:c r="I164" s="14" t="str"/>
      <x:c r="J164" s="14" t="n">
        <x:v>1</x:v>
      </x:c>
      <x:c r="K164" s="14" t="str">
        <x:v>legalFramework.precedentCitations[0]</x:v>
      </x:c>
      <x:c r="L164" s="14" t="str">
        <x:v>cmsbj2peo000b04jw4kua4pz9</x:v>
      </x:c>
      <x:c r="M164" s="14" t="str">
        <x:v>confirmed_within_10m</x:v>
      </x:c>
      <x:c r="N164" s="14" t="n">
        <x:v>61.324</x:v>
      </x:c>
      <x:c r="O164" s="14" t="str">
        <x:v>yes</x:v>
      </x:c>
      <x:c r="P164" s="14" t="str">
        <x:v>no</x:v>
      </x:c>
      <x:c r="Q164" s="14" t="str">
        <x:v>none</x:v>
      </x:c>
      <x:c r="R164" s="14" t="str">
        <x:v>none</x:v>
      </x:c>
      <x:c r="S164" s="14" t="str"/>
      <x:c r="T164" s="14" t="str"/>
      <x:c r="U164" s="14" t="str"/>
      <x:c r="V164" s="15" t="str"/>
      <x:c r="W164" s="14" t="str">
        <x:v>no</x:v>
      </x:c>
      <x:c r="X164" s="14" t="str"/>
      <x:c r="Y164" s="14" t="str"/>
      <x:c r="Z164" s="14" t="str"/>
      <x:c r="AA164" s="14" t="str">
        <x:v>no</x:v>
      </x:c>
    </x:row>
    <x:row r="165">
      <x:c r="A165" s="1" t="str">
        <x:v>U0285</x:v>
      </x:c>
      <x:c r="B165" s="1" t="str">
        <x:v>cmsbj40n7000h04jwpx41ia5n</x:v>
      </x:c>
      <x:c r="C165" s="1" t="str">
        <x:v>ca-2024-001541-the-king-on-the-application-of-respondent-skeleton</x:v>
      </x:c>
      <x:c r="D165" s="1" t="str">
        <x:v>real</x:v>
      </x:c>
      <x:c r="E165" s="14" t="str">
        <x:v>The King (on the application of Transport Action Network Limited) v Secretary of State for Transport</x:v>
      </x:c>
      <x:c r="F165" s="14" t="str">
        <x:v>case:rotala plc r on the application of v greater manchester combined authority &amp; anor</x:v>
      </x:c>
      <x:c r="G165" s="14" t="str">
        <x:v>Rotala Plc, R (On the Application Of) v Greater Manchester Combined Authority &amp; Anor</x:v>
      </x:c>
      <x:c r="H165" s="14" t="str">
        <x:v>N/A</x:v>
      </x:c>
      <x:c r="I165" s="14" t="str">
        <x:v>bab866ef-ca70-446c-a76d-a69bb3f7f15d</x:v>
      </x:c>
      <x:c r="J165" s="14" t="n">
        <x:v>6</x:v>
      </x:c>
      <x:c r="K165" s="14" t="str">
        <x:v>factualFindings.chronology[0].sourceCases[0] | factualFindings.contestedFacts[0].sourceCases[0] | issuesForDetermination.issueMatrix[0].sourceCases[0] | legalFramework.precedentCitations[0].sourceCases[0] | legalFramework.statutoryProvisions[0].sourceCases[0] | reasoningStructure[0].sourceCases[0]</x:v>
      </x:c>
      <x:c r="L165" s="14" t="str">
        <x:v>cmsbj2peo000b04jw4kua4pz9</x:v>
      </x:c>
      <x:c r="M165" s="14" t="str">
        <x:v>confirmed_within_10m</x:v>
      </x:c>
      <x:c r="N165" s="14" t="n">
        <x:v>61.324</x:v>
      </x:c>
      <x:c r="O165" s="14" t="str">
        <x:v>yes</x:v>
      </x:c>
      <x:c r="P165" s="14" t="str">
        <x:v>yes</x:v>
      </x:c>
      <x:c r="Q165" s="14" t="str">
        <x:v>exact_case_id</x:v>
      </x:c>
      <x:c r="R165" s="14" t="str">
        <x:v>definitive</x:v>
      </x:c>
      <x:c r="S165" s="14" t="n">
        <x:v>1</x:v>
      </x:c>
      <x:c r="T165" s="14" t="str">
        <x:v>bab866ef-ca70-446c-a76d-a69bb3f7f15d</x:v>
      </x:c>
      <x:c r="U165" s="14" t="str">
        <x:v>Rotala Plc, R (On the Application Of) v Greater Manchester Combined Authority &amp; Anor [2022] EWCA Civ 1048</x:v>
      </x:c>
      <x:c r="V165" s="15" t="n">
        <x:v>0.6898843</x:v>
      </x:c>
      <x:c r="W165" s="14" t="str">
        <x:v>no</x:v>
      </x:c>
      <x:c r="X165" s="14" t="str"/>
      <x:c r="Y165" s="14" t="str"/>
      <x:c r="Z165" s="14" t="str"/>
      <x:c r="AA165" s="14" t="str">
        <x:v>yes</x:v>
      </x:c>
    </x:row>
    <x:row r="166">
      <x:c r="A166" s="1" t="str">
        <x:v>U0286</x:v>
      </x:c>
      <x:c r="B166" s="1" t="str">
        <x:v>cmsbj40n7000h04jwpx41ia5n</x:v>
      </x:c>
      <x:c r="C166" s="1" t="str">
        <x:v>ca-2024-001541-the-king-on-the-application-of-respondent-skeleton</x:v>
      </x:c>
      <x:c r="D166" s="1" t="str">
        <x:v>real</x:v>
      </x:c>
      <x:c r="E166" s="14" t="str">
        <x:v>The King (on the application of Transport Action Network Limited) v Secretary of State for Transport</x:v>
      </x:c>
      <x:c r="F166" s="14" t="str">
        <x:v>case:the law society &amp; ors v the lord chancellor judicial review of legal aid reforms</x:v>
      </x:c>
      <x:c r="G166" s="14" t="str">
        <x:v>The Law Society &amp; Ors v The Lord Chancellor: Judicial Review of Legal Aid Reforms</x:v>
      </x:c>
      <x:c r="H166" s="14" t="str">
        <x:v>N/A</x:v>
      </x:c>
      <x:c r="I166" s="14" t="str">
        <x:v>bfdd234f-62f5-43ff-afee-559e34362309</x:v>
      </x:c>
      <x:c r="J166" s="14" t="n">
        <x:v>2</x:v>
      </x:c>
      <x:c r="K166" s="14" t="str">
        <x:v>factualFindings.contestedFacts[1].sourceCases[0] | legalFramework.precedentCitations[1].sourceCases[0]</x:v>
      </x:c>
      <x:c r="L166" s="14" t="str">
        <x:v>cmsbj2peo000b04jw4kua4pz9</x:v>
      </x:c>
      <x:c r="M166" s="14" t="str">
        <x:v>confirmed_within_10m</x:v>
      </x:c>
      <x:c r="N166" s="14" t="n">
        <x:v>61.324</x:v>
      </x:c>
      <x:c r="O166" s="14" t="str">
        <x:v>yes</x:v>
      </x:c>
      <x:c r="P166" s="14" t="str">
        <x:v>yes</x:v>
      </x:c>
      <x:c r="Q166" s="14" t="str">
        <x:v>exact_case_id</x:v>
      </x:c>
      <x:c r="R166" s="14" t="str">
        <x:v>definitive</x:v>
      </x:c>
      <x:c r="S166" s="14" t="n">
        <x:v>10</x:v>
      </x:c>
      <x:c r="T166" s="14" t="str">
        <x:v>bfdd234f-62f5-43ff-afee-559e34362309</x:v>
      </x:c>
      <x:c r="U166" s="14" t="str">
        <x:v>The Law Society &amp; Ors v The Lord Chancellor: Judicial Review of Legal Aid Reforms [2015] EWCA Civ 230</x:v>
      </x:c>
      <x:c r="V166" s="15" t="n">
        <x:v>0.6604868</x:v>
      </x:c>
      <x:c r="W166" s="14" t="str">
        <x:v>no</x:v>
      </x:c>
      <x:c r="X166" s="14" t="str"/>
      <x:c r="Y166" s="14" t="str"/>
      <x:c r="Z166" s="14" t="str"/>
      <x:c r="AA166" s="14" t="str">
        <x:v>yes</x:v>
      </x:c>
    </x:row>
    <x:row r="167">
      <x:c r="A167" s="1" t="str">
        <x:v>U0289</x:v>
      </x:c>
      <x:c r="B167" s="1" t="str">
        <x:v>cmsbqvqsj000h04jnb8tn656h</x:v>
      </x:c>
      <x:c r="C167" s="1" t="str">
        <x:v>ca-2024-000255-the-king-on-the-application-of-appellant-skeleton</x:v>
      </x:c>
      <x:c r="D167" s="1" t="str">
        <x:v>real</x:v>
      </x:c>
      <x:c r="E167" s="14" t="str">
        <x:v>The King, on the application of Fajr Ellis v (1) The Secretary of State for Education and (2) The Secretary of State for Justice</x:v>
      </x:c>
      <x:c r="F167" s="14" t="str">
        <x:v>case:2000 1 wlr 377</x:v>
      </x:c>
      <x:c r="G167" s="14" t="str">
        <x:v>Flannery v Halifax Estate Agencies Ltd [2000] 1 WLR 377</x:v>
      </x:c>
      <x:c r="H167" s="14" t="str">
        <x:v>Flannery v Halifax Estate Agencies Ltd [2000] 1 WLR 377</x:v>
      </x:c>
      <x:c r="I167" s="14" t="str"/>
      <x:c r="J167" s="14" t="n">
        <x:v>1</x:v>
      </x:c>
      <x:c r="K167" s="14" t="str">
        <x:v>legalFramework.precedentCitations[1]</x:v>
      </x:c>
      <x:c r="L167" s="14" t="str">
        <x:v>cmsbquoo1000b04jnq0yxkb5g</x:v>
      </x:c>
      <x:c r="M167" s="14" t="str">
        <x:v>confirmed_within_10m</x:v>
      </x:c>
      <x:c r="N167" s="14" t="n">
        <x:v>49.502</x:v>
      </x:c>
      <x:c r="O167" s="14" t="str">
        <x:v>yes</x:v>
      </x:c>
      <x:c r="P167" s="14" t="str">
        <x:v>no</x:v>
      </x:c>
      <x:c r="Q167" s="14" t="str">
        <x:v>none</x:v>
      </x:c>
      <x:c r="R167" s="14" t="str">
        <x:v>none</x:v>
      </x:c>
      <x:c r="S167" s="14" t="str"/>
      <x:c r="T167" s="14" t="str"/>
      <x:c r="U167" s="14" t="str"/>
      <x:c r="V167" s="15" t="str"/>
      <x:c r="W167" s="14" t="str">
        <x:v>no</x:v>
      </x:c>
      <x:c r="X167" s="14" t="str"/>
      <x:c r="Y167" s="14" t="str"/>
      <x:c r="Z167" s="14" t="str"/>
      <x:c r="AA167" s="14" t="str">
        <x:v>no</x:v>
      </x:c>
    </x:row>
    <x:row r="168">
      <x:c r="A168" s="1" t="str">
        <x:v>U0290</x:v>
      </x:c>
      <x:c r="B168" s="1" t="str">
        <x:v>cmsbqvqsj000h04jnb8tn656h</x:v>
      </x:c>
      <x:c r="C168" s="1" t="str">
        <x:v>ca-2024-000255-the-king-on-the-application-of-appellant-skeleton</x:v>
      </x:c>
      <x:c r="D168" s="1" t="str">
        <x:v>real</x:v>
      </x:c>
      <x:c r="E168" s="14" t="str">
        <x:v>The King, on the application of Fajr Ellis v (1) The Secretary of State for Education and (2) The Secretary of State for Justice</x:v>
      </x:c>
      <x:c r="F168" s="14" t="str">
        <x:v>case:2002 ewca civ 605</x:v>
      </x:c>
      <x:c r="G168" s="14" t="str">
        <x:v>English v Emery Reimbold &amp; Strick Ltd [2002] EWCA Civ 605</x:v>
      </x:c>
      <x:c r="H168" s="14" t="str">
        <x:v>English v Emery Reimbold &amp; Strick Ltd [2002] EWCA Civ 605</x:v>
      </x:c>
      <x:c r="I168" s="14" t="str"/>
      <x:c r="J168" s="14" t="n">
        <x:v>1</x:v>
      </x:c>
      <x:c r="K168" s="14" t="str">
        <x:v>legalFramework.precedentCitations[0]</x:v>
      </x:c>
      <x:c r="L168" s="14" t="str">
        <x:v>cmsbquoo1000b04jnq0yxkb5g</x:v>
      </x:c>
      <x:c r="M168" s="14" t="str">
        <x:v>confirmed_within_10m</x:v>
      </x:c>
      <x:c r="N168" s="14" t="n">
        <x:v>49.502</x:v>
      </x:c>
      <x:c r="O168" s="14" t="str">
        <x:v>yes</x:v>
      </x:c>
      <x:c r="P168" s="14" t="str">
        <x:v>no</x:v>
      </x:c>
      <x:c r="Q168" s="14" t="str">
        <x:v>none</x:v>
      </x:c>
      <x:c r="R168" s="14" t="str">
        <x:v>none</x:v>
      </x:c>
      <x:c r="S168" s="14" t="str"/>
      <x:c r="T168" s="14" t="str"/>
      <x:c r="U168" s="14" t="str"/>
      <x:c r="V168" s="15" t="str"/>
      <x:c r="W168" s="14" t="str">
        <x:v>no</x:v>
      </x:c>
      <x:c r="X168" s="14" t="str"/>
      <x:c r="Y168" s="14" t="str"/>
      <x:c r="Z168" s="14" t="str"/>
      <x:c r="AA168" s="14" t="str">
        <x:v>no</x:v>
      </x:c>
    </x:row>
    <x:row r="169">
      <x:c r="A169" s="1" t="str">
        <x:v>U0291</x:v>
      </x:c>
      <x:c r="B169" s="1" t="str">
        <x:v>cmsbqvqsj000h04jnb8tn656h</x:v>
      </x:c>
      <x:c r="C169" s="1" t="str">
        <x:v>ca-2024-000255-the-king-on-the-application-of-appellant-skeleton</x:v>
      </x:c>
      <x:c r="D169" s="1" t="str">
        <x:v>real</x:v>
      </x:c>
      <x:c r="E169" s="14" t="str">
        <x:v>The King, on the application of Fajr Ellis v (1) The Secretary of State for Education and (2) The Secretary of State for Justice</x:v>
      </x:c>
      <x:c r="F169" s="14" t="str">
        <x:v>case:2015 ewca civ 1259</x:v>
      </x:c>
      <x:c r="G169" s="14" t="str">
        <x:v>BK &amp; Anor v The Secretary of State for Justice</x:v>
      </x:c>
      <x:c r="H169" s="14" t="str">
        <x:v>[2015] EWCA Civ 1259</x:v>
      </x:c>
      <x:c r="I169" s="14" t="str">
        <x:v>c5a5edf0-4845-4195-a969-082c8b5afa2a</x:v>
      </x:c>
      <x:c r="J169" s="14" t="n">
        <x:v>2</x:v>
      </x:c>
      <x:c r="K169" s="14" t="str">
        <x:v>issuesForDetermination.issueMatrix[0].sourceCases[0] | reasoningStructure[0].sourceCases[0]</x:v>
      </x:c>
      <x:c r="L169" s="14" t="str">
        <x:v>cmsbquoo1000b04jnq0yxkb5g</x:v>
      </x:c>
      <x:c r="M169" s="14" t="str">
        <x:v>confirmed_within_10m</x:v>
      </x:c>
      <x:c r="N169" s="14" t="n">
        <x:v>49.502</x:v>
      </x:c>
      <x:c r="O169" s="14" t="str">
        <x:v>yes</x:v>
      </x:c>
      <x:c r="P169" s="14" t="str">
        <x:v>yes</x:v>
      </x:c>
      <x:c r="Q169" s="14" t="str">
        <x:v>exact_case_id</x:v>
      </x:c>
      <x:c r="R169" s="14" t="str">
        <x:v>definitive</x:v>
      </x:c>
      <x:c r="S169" s="14" t="n">
        <x:v>3</x:v>
      </x:c>
      <x:c r="T169" s="14" t="str">
        <x:v>c5a5edf0-4845-4195-a969-082c8b5afa2a</x:v>
      </x:c>
      <x:c r="U169" s="14" t="str">
        <x:v>BK &amp; Anor v The Secretary of State for Justice [2015] EWCA Civ 1259</x:v>
      </x:c>
      <x:c r="V169" s="15" t="n">
        <x:v>0.72668743</x:v>
      </x:c>
      <x:c r="W169" s="14" t="str">
        <x:v>no</x:v>
      </x:c>
      <x:c r="X169" s="14" t="str"/>
      <x:c r="Y169" s="14" t="str"/>
      <x:c r="Z169" s="14" t="str"/>
      <x:c r="AA169" s="14" t="str">
        <x:v>yes</x:v>
      </x:c>
    </x:row>
    <x:row r="170">
      <x:c r="A170" s="1" t="str">
        <x:v>U0292</x:v>
      </x:c>
      <x:c r="B170" s="1" t="str">
        <x:v>cmsbqvqsj000h04jnb8tn656h</x:v>
      </x:c>
      <x:c r="C170" s="1" t="str">
        <x:v>ca-2024-000255-the-king-on-the-application-of-appellant-skeleton</x:v>
      </x:c>
      <x:c r="D170" s="1" t="str">
        <x:v>real</x:v>
      </x:c>
      <x:c r="E170" s="14" t="str">
        <x:v>The King, on the application of Fajr Ellis v (1) The Secretary of State for Education and (2) The Secretary of State for Justice</x:v>
      </x:c>
      <x:c r="F170" s="14" t="str">
        <x:v>case:parratt r on the application of v parole board</x:v>
      </x:c>
      <x:c r="G170" s="14" t="str">
        <x:v>Parratt, R (on the application of) v Parole Board</x:v>
      </x:c>
      <x:c r="H170" s="14" t="str">
        <x:v>N/A</x:v>
      </x:c>
      <x:c r="I170" s="14" t="str">
        <x:v>464b6335-7623-49ec-8536-df2bb3ae5a4d</x:v>
      </x:c>
      <x:c r="J170" s="14" t="n">
        <x:v>2</x:v>
      </x:c>
      <x:c r="K170" s="14" t="str">
        <x:v>issuesForDetermination.issueMatrix[1].sourceCases[0] | reasoningStructure[1].sourceCases[0]</x:v>
      </x:c>
      <x:c r="L170" s="14" t="str">
        <x:v>cmsbquoo1000b04jnq0yxkb5g</x:v>
      </x:c>
      <x:c r="M170" s="14" t="str">
        <x:v>confirmed_within_10m</x:v>
      </x:c>
      <x:c r="N170" s="14" t="n">
        <x:v>49.502</x:v>
      </x:c>
      <x:c r="O170" s="14" t="str">
        <x:v>yes</x:v>
      </x:c>
      <x:c r="P170" s="14" t="str">
        <x:v>yes</x:v>
      </x:c>
      <x:c r="Q170" s="14" t="str">
        <x:v>exact_case_id</x:v>
      </x:c>
      <x:c r="R170" s="14" t="str">
        <x:v>definitive</x:v>
      </x:c>
      <x:c r="S170" s="14" t="n">
        <x:v>4</x:v>
      </x:c>
      <x:c r="T170" s="14" t="str">
        <x:v>464b6335-7623-49ec-8536-df2bb3ae5a4d</x:v>
      </x:c>
      <x:c r="U170" s="14" t="str">
        <x:v>Parratt, R (on the application of) v Parole Board</x:v>
      </x:c>
      <x:c r="V170" s="15" t="n">
        <x:v>0.72371733</x:v>
      </x:c>
      <x:c r="W170" s="14" t="str">
        <x:v>no</x:v>
      </x:c>
      <x:c r="X170" s="14" t="str"/>
      <x:c r="Y170" s="14" t="str"/>
      <x:c r="Z170" s="14" t="str"/>
      <x:c r="AA170" s="14" t="str">
        <x:v>yes</x:v>
      </x:c>
    </x:row>
    <x:row r="171">
      <x:c r="A171" s="1" t="str">
        <x:v>U0293</x:v>
      </x:c>
      <x:c r="B171" s="1" t="str">
        <x:v>cmsbqvqsj000h04jnb8tn656h</x:v>
      </x:c>
      <x:c r="C171" s="1" t="str">
        <x:v>ca-2024-000255-the-king-on-the-application-of-appellant-skeleton</x:v>
      </x:c>
      <x:c r="D171" s="1" t="str">
        <x:v>real</x:v>
      </x:c>
      <x:c r="E171" s="14" t="str">
        <x:v>The King, on the application of Fajr Ellis v (1) The Secretary of State for Education and (2) The Secretary of State for Justice</x:v>
      </x:c>
      <x:c r="F171" s="14" t="str">
        <x:v>case:the howard league for penal reform and prisoners advice service v the lord chancellor</x:v>
      </x:c>
      <x:c r="G171" s="14" t="str">
        <x:v>The Howard League for Penal Reform and Prisoners' Advice Service v The Lord Chancellor</x:v>
      </x:c>
      <x:c r="H171" s="14" t="str">
        <x:v>N/A</x:v>
      </x:c>
      <x:c r="I171" s="14" t="str">
        <x:v>d60a5323-796e-4110-a6de-012ec16860c1</x:v>
      </x:c>
      <x:c r="J171" s="14" t="n">
        <x:v>2</x:v>
      </x:c>
      <x:c r="K171" s="14" t="str">
        <x:v>factualFindings.contestedFacts[1].sourceCases[0] | legalFramework.statutoryProvisions[0].sourceCases[0]</x:v>
      </x:c>
      <x:c r="L171" s="14" t="str">
        <x:v>cmsbquoo1000b04jnq0yxkb5g</x:v>
      </x:c>
      <x:c r="M171" s="14" t="str">
        <x:v>confirmed_within_10m</x:v>
      </x:c>
      <x:c r="N171" s="14" t="n">
        <x:v>49.502</x:v>
      </x:c>
      <x:c r="O171" s="14" t="str">
        <x:v>yes</x:v>
      </x:c>
      <x:c r="P171" s="14" t="str">
        <x:v>yes</x:v>
      </x:c>
      <x:c r="Q171" s="14" t="str">
        <x:v>exact_case_id</x:v>
      </x:c>
      <x:c r="R171" s="14" t="str">
        <x:v>definitive</x:v>
      </x:c>
      <x:c r="S171" s="14" t="n">
        <x:v>2</x:v>
      </x:c>
      <x:c r="T171" s="14" t="str">
        <x:v>d60a5323-796e-4110-a6de-012ec16860c1</x:v>
      </x:c>
      <x:c r="U171" s="14" t="str">
        <x:v>The Howard League for Penal Reform and Prisoners' Advice Service v The Lord Chancellor</x:v>
      </x:c>
      <x:c r="V171" s="15" t="n">
        <x:v>0.755713</x:v>
      </x:c>
      <x:c r="W171" s="14" t="str">
        <x:v>no</x:v>
      </x:c>
      <x:c r="X171" s="14" t="str"/>
      <x:c r="Y171" s="14" t="str"/>
      <x:c r="Z171" s="14" t="str"/>
      <x:c r="AA171" s="14" t="str">
        <x:v>yes</x:v>
      </x:c>
    </x:row>
    <x:row r="172">
      <x:c r="A172" s="1" t="str">
        <x:v>U0294</x:v>
      </x:c>
      <x:c r="B172" s="1" t="str">
        <x:v>cmsbqvqsj000h04jnb8tn656h</x:v>
      </x:c>
      <x:c r="C172" s="1" t="str">
        <x:v>ca-2024-000255-the-king-on-the-application-of-appellant-skeleton</x:v>
      </x:c>
      <x:c r="D172" s="1" t="str">
        <x:v>real</x:v>
      </x:c>
      <x:c r="E172" s="14" t="str">
        <x:v>The King, on the application of Fajr Ellis v (1) The Secretary of State for Education and (2) The Secretary of State for Justice</x:v>
      </x:c>
      <x:c r="F172" s="14" t="str">
        <x:v>case:velyo velev v bulgaria</x:v>
      </x:c>
      <x:c r="G172" s="14" t="str">
        <x:v>Velyo Velev v. Bulgaria</x:v>
      </x:c>
      <x:c r="H172" s="14" t="str">
        <x:v>N/A</x:v>
      </x:c>
      <x:c r="I172" s="14" t="str">
        <x:v>dfa97e6e-7e32-4c80-9f6f-5e4f398f9d82</x:v>
      </x:c>
      <x:c r="J172" s="14" t="n">
        <x:v>1</x:v>
      </x:c>
      <x:c r="K172" s="14" t="str">
        <x:v>factualFindings.contestedFacts[0].sourceCases[0]</x:v>
      </x:c>
      <x:c r="L172" s="14" t="str">
        <x:v>cmsbquoo1000b04jnq0yxkb5g</x:v>
      </x:c>
      <x:c r="M172" s="14" t="str">
        <x:v>confirmed_within_10m</x:v>
      </x:c>
      <x:c r="N172" s="14" t="n">
        <x:v>49.502</x:v>
      </x:c>
      <x:c r="O172" s="14" t="str">
        <x:v>yes</x:v>
      </x:c>
      <x:c r="P172" s="14" t="str">
        <x:v>yes</x:v>
      </x:c>
      <x:c r="Q172" s="14" t="str">
        <x:v>exact_case_id</x:v>
      </x:c>
      <x:c r="R172" s="14" t="str">
        <x:v>definitive</x:v>
      </x:c>
      <x:c r="S172" s="14" t="n">
        <x:v>1</x:v>
      </x:c>
      <x:c r="T172" s="14" t="str">
        <x:v>dfa97e6e-7e32-4c80-9f6f-5e4f398f9d82</x:v>
      </x:c>
      <x:c r="U172" s="14" t="str">
        <x:v>Velyo Velev v. Bulgaria (Application No. 16032/07)</x:v>
      </x:c>
      <x:c r="V172" s="15" t="n">
        <x:v>0.7838856</x:v>
      </x:c>
      <x:c r="W172" s="14" t="str">
        <x:v>no</x:v>
      </x:c>
      <x:c r="X172" s="14" t="str"/>
      <x:c r="Y172" s="14" t="str"/>
      <x:c r="Z172" s="14" t="str"/>
      <x:c r="AA172" s="14" t="str">
        <x:v>yes</x:v>
      </x:c>
    </x:row>
    <x:row r="173">
      <x:c r="A173" s="1" t="str">
        <x:v>U0297</x:v>
      </x:c>
      <x:c r="B173" s="1" t="str">
        <x:v>cmsbr021t001104jndbjo02xo</x:v>
      </x:c>
      <x:c r="C173" s="1" t="str">
        <x:v>ca-2024-002003-greenfields-iow-limited-v-isle-of-appellant-skeleton</x:v>
      </x:c>
      <x:c r="D173" s="1" t="str">
        <x:v>real</x:v>
      </x:c>
      <x:c r="E173" s="14" t="str">
        <x:v>Greenfields (IOW) Limited v Isle of Wight Council &amp; Westridge Village Limited</x:v>
      </x:c>
      <x:c r="F173" s="14" t="str">
        <x:v>case:2002 ewca civ 605</x:v>
      </x:c>
      <x:c r="G173" s="14" t="str">
        <x:v>English v Emery Reimbold &amp; Strick Ltd [2002] EWCA Civ 605</x:v>
      </x:c>
      <x:c r="H173" s="14" t="str">
        <x:v>English v Emery Reimbold &amp; Strick Ltd [2002] EWCA Civ 605</x:v>
      </x:c>
      <x:c r="I173" s="14" t="str"/>
      <x:c r="J173" s="14" t="n">
        <x:v>1</x:v>
      </x:c>
      <x:c r="K173" s="14" t="str">
        <x:v>legalFramework.precedentCitations[1]</x:v>
      </x:c>
      <x:c r="L173" s="14" t="str">
        <x:v>cmsbqyu3t000v04jnza4ym1n9</x:v>
      </x:c>
      <x:c r="M173" s="14" t="str">
        <x:v>confirmed_within_10m</x:v>
      </x:c>
      <x:c r="N173" s="14" t="n">
        <x:v>57.034</x:v>
      </x:c>
      <x:c r="O173" s="14" t="str">
        <x:v>yes</x:v>
      </x:c>
      <x:c r="P173" s="14" t="str">
        <x:v>no</x:v>
      </x:c>
      <x:c r="Q173" s="14" t="str">
        <x:v>none</x:v>
      </x:c>
      <x:c r="R173" s="14" t="str">
        <x:v>none</x:v>
      </x:c>
      <x:c r="S173" s="14" t="str"/>
      <x:c r="T173" s="14" t="str"/>
      <x:c r="U173" s="14" t="str"/>
      <x:c r="V173" s="15" t="str"/>
      <x:c r="W173" s="14" t="str">
        <x:v>no</x:v>
      </x:c>
      <x:c r="X173" s="14" t="str"/>
      <x:c r="Y173" s="14" t="str"/>
      <x:c r="Z173" s="14" t="str"/>
      <x:c r="AA173" s="14" t="str">
        <x:v>no</x:v>
      </x:c>
    </x:row>
    <x:row r="174">
      <x:c r="A174" s="1" t="str">
        <x:v>U0298</x:v>
      </x:c>
      <x:c r="B174" s="1" t="str">
        <x:v>cmsbr021t001104jndbjo02xo</x:v>
      </x:c>
      <x:c r="C174" s="1" t="str">
        <x:v>ca-2024-002003-greenfields-iow-limited-v-isle-of-appellant-skeleton</x:v>
      </x:c>
      <x:c r="D174" s="1" t="str">
        <x:v>real</x:v>
      </x:c>
      <x:c r="E174" s="14" t="str">
        <x:v>Greenfields (IOW) Limited v Isle of Wight Council &amp; Westridge Village Limited</x:v>
      </x:c>
      <x:c r="F174" s="14" t="str">
        <x:v>case:2022 ewca civ 1304</x:v>
      </x:c>
      <x:c r="G174" s="14" t="str">
        <x:v>Arnold White Estates Ltd v The Forestry Commission</x:v>
      </x:c>
      <x:c r="H174" s="14" t="str">
        <x:v>[2022] EWCA Civ 1304</x:v>
      </x:c>
      <x:c r="I174" s="14" t="str">
        <x:v>76e6ffcd-af03-4155-a667-51d98a79d1d7</x:v>
      </x:c>
      <x:c r="J174" s="14" t="n">
        <x:v>2</x:v>
      </x:c>
      <x:c r="K174" s="14" t="str">
        <x:v>issuesForDetermination.issueMatrix[0].sourceCases[0] | reasoningStructure[0].sourceCases[0]</x:v>
      </x:c>
      <x:c r="L174" s="14" t="str">
        <x:v>cmsbqyu3t000v04jnza4ym1n9</x:v>
      </x:c>
      <x:c r="M174" s="14" t="str">
        <x:v>confirmed_within_10m</x:v>
      </x:c>
      <x:c r="N174" s="14" t="n">
        <x:v>57.034</x:v>
      </x:c>
      <x:c r="O174" s="14" t="str">
        <x:v>yes</x:v>
      </x:c>
      <x:c r="P174" s="14" t="str">
        <x:v>yes</x:v>
      </x:c>
      <x:c r="Q174" s="14" t="str">
        <x:v>exact_case_id</x:v>
      </x:c>
      <x:c r="R174" s="14" t="str">
        <x:v>definitive</x:v>
      </x:c>
      <x:c r="S174" s="14" t="n">
        <x:v>2</x:v>
      </x:c>
      <x:c r="T174" s="14" t="str">
        <x:v>76e6ffcd-af03-4155-a667-51d98a79d1d7</x:v>
      </x:c>
      <x:c r="U174" s="14" t="str">
        <x:v>Arnold White Estates Ltd v The Forestry Commission [2022] EWCA Civ 1304</x:v>
      </x:c>
      <x:c r="V174" s="15" t="n">
        <x:v>0.7273732</x:v>
      </x:c>
      <x:c r="W174" s="14" t="str">
        <x:v>no</x:v>
      </x:c>
      <x:c r="X174" s="14" t="str"/>
      <x:c r="Y174" s="14" t="str"/>
      <x:c r="Z174" s="14" t="str"/>
      <x:c r="AA174" s="14" t="str">
        <x:v>yes</x:v>
      </x:c>
    </x:row>
    <x:row r="175">
      <x:c r="A175" s="1" t="str">
        <x:v>U0299</x:v>
      </x:c>
      <x:c r="B175" s="1" t="str">
        <x:v>cmsbr021t001104jndbjo02xo</x:v>
      </x:c>
      <x:c r="C175" s="1" t="str">
        <x:v>ca-2024-002003-greenfields-iow-limited-v-isle-of-appellant-skeleton</x:v>
      </x:c>
      <x:c r="D175" s="1" t="str">
        <x:v>real</x:v>
      </x:c>
      <x:c r="E175" s="14" t="str">
        <x:v>Greenfields (IOW) Limited v Isle of Wight Council &amp; Westridge Village Limited</x:v>
      </x:c>
      <x:c r="F175" s="14" t="str">
        <x:v>case:2022 ewca civ 1391</x:v>
      </x:c>
      <x:c r="G175" s="14" t="str">
        <x:v>Smith v Secretary of State for Levelling Up, Housing &amp; Communities &amp; Anor</x:v>
      </x:c>
      <x:c r="H175" s="14" t="str">
        <x:v>[2022] EWCA Civ 1391</x:v>
      </x:c>
      <x:c r="I175" s="14" t="str">
        <x:v>6cd7db33-7ee1-44c0-9219-b2cc7d57d88b</x:v>
      </x:c>
      <x:c r="J175" s="14" t="n">
        <x:v>1</x:v>
      </x:c>
      <x:c r="K175" s="14" t="str">
        <x:v>factualFindings.contestedFacts[0].sourceCases[0]</x:v>
      </x:c>
      <x:c r="L175" s="14" t="str">
        <x:v>cmsbqyu3t000v04jnza4ym1n9</x:v>
      </x:c>
      <x:c r="M175" s="14" t="str">
        <x:v>confirmed_within_10m</x:v>
      </x:c>
      <x:c r="N175" s="14" t="n">
        <x:v>57.034</x:v>
      </x:c>
      <x:c r="O175" s="14" t="str">
        <x:v>yes</x:v>
      </x:c>
      <x:c r="P175" s="14" t="str">
        <x:v>yes</x:v>
      </x:c>
      <x:c r="Q175" s="14" t="str">
        <x:v>exact_case_id</x:v>
      </x:c>
      <x:c r="R175" s="14" t="str">
        <x:v>definitive</x:v>
      </x:c>
      <x:c r="S175" s="14" t="n">
        <x:v>1</x:v>
      </x:c>
      <x:c r="T175" s="14" t="str">
        <x:v>6cd7db33-7ee1-44c0-9219-b2cc7d57d88b</x:v>
      </x:c>
      <x:c r="U175" s="14" t="str">
        <x:v>Smith v Secretary of State for Levelling Up, Housing &amp; Communities &amp; Anor [2022] EWCA Civ 1391</x:v>
      </x:c>
      <x:c r="V175" s="15" t="n">
        <x:v>0.73076355</x:v>
      </x:c>
      <x:c r="W175" s="14" t="str">
        <x:v>no</x:v>
      </x:c>
      <x:c r="X175" s="14" t="str"/>
      <x:c r="Y175" s="14" t="str"/>
      <x:c r="Z175" s="14" t="str"/>
      <x:c r="AA175" s="14" t="str">
        <x:v>yes</x:v>
      </x:c>
    </x:row>
    <x:row r="176">
      <x:c r="A176" s="1" t="str">
        <x:v>U0300</x:v>
      </x:c>
      <x:c r="B176" s="1" t="str">
        <x:v>cmsbr021t001104jndbjo02xo</x:v>
      </x:c>
      <x:c r="C176" s="1" t="str">
        <x:v>ca-2024-002003-greenfields-iow-limited-v-isle-of-appellant-skeleton</x:v>
      </x:c>
      <x:c r="D176" s="1" t="str">
        <x:v>real</x:v>
      </x:c>
      <x:c r="E176" s="14" t="str">
        <x:v>Greenfields (IOW) Limited v Isle of Wight Council &amp; Westridge Village Limited</x:v>
      </x:c>
      <x:c r="F176" s="14" t="str">
        <x:v>case:2023 ewca civ 359</x:v>
      </x:c>
      <x:c r="G176" s="14" t="str">
        <x:v>East Quayside 12 LLP v The Council of the City of Newcastle upon Tyne</x:v>
      </x:c>
      <x:c r="H176" s="14" t="str">
        <x:v>[2023] EWCA Civ 359</x:v>
      </x:c>
      <x:c r="I176" s="14" t="str">
        <x:v>3fae9752-b3e5-4a98-a0e5-5ade79ee3e8d</x:v>
      </x:c>
      <x:c r="J176" s="14" t="n">
        <x:v>1</x:v>
      </x:c>
      <x:c r="K176" s="14" t="str">
        <x:v>factualFindings.contestedFacts[0].sourceCases[1]</x:v>
      </x:c>
      <x:c r="L176" s="14" t="str">
        <x:v>cmsbqyu3t000v04jnza4ym1n9</x:v>
      </x:c>
      <x:c r="M176" s="14" t="str">
        <x:v>confirmed_within_10m</x:v>
      </x:c>
      <x:c r="N176" s="14" t="n">
        <x:v>57.034</x:v>
      </x:c>
      <x:c r="O176" s="14" t="str">
        <x:v>yes</x:v>
      </x:c>
      <x:c r="P176" s="14" t="str">
        <x:v>yes</x:v>
      </x:c>
      <x:c r="Q176" s="14" t="str">
        <x:v>exact_case_id</x:v>
      </x:c>
      <x:c r="R176" s="14" t="str">
        <x:v>definitive</x:v>
      </x:c>
      <x:c r="S176" s="14" t="n">
        <x:v>4</x:v>
      </x:c>
      <x:c r="T176" s="14" t="str">
        <x:v>3fae9752-b3e5-4a98-a0e5-5ade79ee3e8d</x:v>
      </x:c>
      <x:c r="U176" s="14" t="str">
        <x:v>East Quayside 12 LLP v The Council of the City of Newcastle upon Tyne [2023] EWCA Civ 359</x:v>
      </x:c>
      <x:c r="V176" s="15" t="n">
        <x:v>0.72478616</x:v>
      </x:c>
      <x:c r="W176" s="14" t="str">
        <x:v>no</x:v>
      </x:c>
      <x:c r="X176" s="14" t="str"/>
      <x:c r="Y176" s="14" t="str"/>
      <x:c r="Z176" s="14" t="str"/>
      <x:c r="AA176" s="14" t="str">
        <x:v>yes</x:v>
      </x:c>
    </x:row>
    <x:row r="177">
      <x:c r="A177" s="1" t="str">
        <x:v>U0301</x:v>
      </x:c>
      <x:c r="B177" s="1" t="str">
        <x:v>cmsbr021t001104jndbjo02xo</x:v>
      </x:c>
      <x:c r="C177" s="1" t="str">
        <x:v>ca-2024-002003-greenfields-iow-limited-v-isle-of-appellant-skeleton</x:v>
      </x:c>
      <x:c r="D177" s="1" t="str">
        <x:v>real</x:v>
      </x:c>
      <x:c r="E177" s="14" t="str">
        <x:v>Greenfields (IOW) Limited v Isle of Wight Council &amp; Westridge Village Limited</x:v>
      </x:c>
      <x:c r="F177" s="14" t="str">
        <x:v>case:2023 ewca civ 514</x:v>
      </x:c>
      <x:c r="G177" s="14" t="str">
        <x:v>Secretary of State for Levelling Up, Housing and Communities v Smith &amp; Anor</x:v>
      </x:c>
      <x:c r="H177" s="14" t="str">
        <x:v>[2023] EWCA Civ 514</x:v>
      </x:c>
      <x:c r="I177" s="14" t="str">
        <x:v>7f44d9a8-2459-4f6a-84fc-e475bb8f169a</x:v>
      </x:c>
      <x:c r="J177" s="14" t="n">
        <x:v>1</x:v>
      </x:c>
      <x:c r="K177" s="14" t="str">
        <x:v>legalFramework.statutoryProvisions[1].sourceCases[0]</x:v>
      </x:c>
      <x:c r="L177" s="14" t="str">
        <x:v>cmsbqyu3t000v04jnza4ym1n9</x:v>
      </x:c>
      <x:c r="M177" s="14" t="str">
        <x:v>confirmed_within_10m</x:v>
      </x:c>
      <x:c r="N177" s="14" t="n">
        <x:v>57.034</x:v>
      </x:c>
      <x:c r="O177" s="14" t="str">
        <x:v>yes</x:v>
      </x:c>
      <x:c r="P177" s="14" t="str">
        <x:v>yes</x:v>
      </x:c>
      <x:c r="Q177" s="14" t="str">
        <x:v>exact_case_id</x:v>
      </x:c>
      <x:c r="R177" s="14" t="str">
        <x:v>definitive</x:v>
      </x:c>
      <x:c r="S177" s="14" t="n">
        <x:v>5</x:v>
      </x:c>
      <x:c r="T177" s="14" t="str">
        <x:v>7f44d9a8-2459-4f6a-84fc-e475bb8f169a</x:v>
      </x:c>
      <x:c r="U177" s="14" t="str">
        <x:v>Secretary of State for Levelling Up, Housing and Communities v Smith &amp; Anor [2023] EWCA Civ 514</x:v>
      </x:c>
      <x:c r="V177" s="15" t="n">
        <x:v>0.7243576</x:v>
      </x:c>
      <x:c r="W177" s="14" t="str">
        <x:v>no</x:v>
      </x:c>
      <x:c r="X177" s="14" t="str"/>
      <x:c r="Y177" s="14" t="str"/>
      <x:c r="Z177" s="14" t="str"/>
      <x:c r="AA177" s="14" t="str">
        <x:v>yes</x:v>
      </x:c>
    </x:row>
    <x:row r="178">
      <x:c r="A178" s="1" t="str">
        <x:v>U0302</x:v>
      </x:c>
      <x:c r="B178" s="1" t="str">
        <x:v>cmsbr021t001104jndbjo02xo</x:v>
      </x:c>
      <x:c r="C178" s="1" t="str">
        <x:v>ca-2024-002003-greenfields-iow-limited-v-isle-of-appellant-skeleton</x:v>
      </x:c>
      <x:c r="D178" s="1" t="str">
        <x:v>real</x:v>
      </x:c>
      <x:c r="E178" s="14" t="str">
        <x:v>Greenfields (IOW) Limited v Isle of Wight Council &amp; Westridge Village Limited</x:v>
      </x:c>
      <x:c r="F178" s="14" t="str">
        <x:v>case:flannery v halifax estate agencies ltd</x:v>
      </x:c>
      <x:c r="G178" s="14" t="str">
        <x:v>Flannery v Halifax Estate Agencies Ltd</x:v>
      </x:c>
      <x:c r="H178" s="14" t="str">
        <x:v>Flannery v Halifax Estate Agencies Ltd</x:v>
      </x:c>
      <x:c r="I178" s="14" t="str"/>
      <x:c r="J178" s="14" t="n">
        <x:v>1</x:v>
      </x:c>
      <x:c r="K178" s="14" t="str">
        <x:v>legalFramework.precedentCitations[0]</x:v>
      </x:c>
      <x:c r="L178" s="14" t="str">
        <x:v>cmsbqyu3t000v04jnza4ym1n9</x:v>
      </x:c>
      <x:c r="M178" s="14" t="str">
        <x:v>confirmed_within_10m</x:v>
      </x:c>
      <x:c r="N178" s="14" t="n">
        <x:v>57.034</x:v>
      </x:c>
      <x:c r="O178" s="14" t="str">
        <x:v>yes</x:v>
      </x:c>
      <x:c r="P178" s="14" t="str">
        <x:v>no</x:v>
      </x:c>
      <x:c r="Q178" s="14" t="str">
        <x:v>none</x:v>
      </x:c>
      <x:c r="R178" s="14" t="str">
        <x:v>none</x:v>
      </x:c>
      <x:c r="S178" s="14" t="str"/>
      <x:c r="T178" s="14" t="str"/>
      <x:c r="U178" s="14" t="str"/>
      <x:c r="V178" s="15" t="str"/>
      <x:c r="W178" s="14" t="str">
        <x:v>no</x:v>
      </x:c>
      <x:c r="X178" s="14" t="str"/>
      <x:c r="Y178" s="14" t="str"/>
      <x:c r="Z178" s="14" t="str"/>
      <x:c r="AA178" s="14" t="str">
        <x:v>no</x:v>
      </x:c>
    </x:row>
    <x:row r="179">
      <x:c r="A179" s="1" t="str">
        <x:v>U0305</x:v>
      </x:c>
      <x:c r="B179" s="1" t="str">
        <x:v>cmsbr3045000j04l4tkps7ymp</x:v>
      </x:c>
      <x:c r="C179" s="1" t="str">
        <x:v>ca-2024-000806-hippodrome-casino-ltd-v-hmrc-appellant-skeleton</x:v>
      </x:c>
      <x:c r="D179" s="1" t="str">
        <x:v>real</x:v>
      </x:c>
      <x:c r="E179" s="14" t="str">
        <x:v>Hippodrome Casino Ltd v HMRC</x:v>
      </x:c>
      <x:c r="F179" s="14" t="str">
        <x:v>case:2000 1 wlr 377</x:v>
      </x:c>
      <x:c r="G179" s="14" t="str">
        <x:v>Flannery v Halifax Estate Agencies Ltd [2000] 1 WLR 377</x:v>
      </x:c>
      <x:c r="H179" s="14" t="str">
        <x:v>Flannery v Halifax Estate Agencies Ltd [2000] 1 WLR 377</x:v>
      </x:c>
      <x:c r="I179" s="14" t="str"/>
      <x:c r="J179" s="14" t="n">
        <x:v>1</x:v>
      </x:c>
      <x:c r="K179" s="14" t="str">
        <x:v>legalFramework.precedentCitations[2]</x:v>
      </x:c>
      <x:c r="L179" s="14" t="str">
        <x:v>cmsbr1xgb000d04l4kki35x9j</x:v>
      </x:c>
      <x:c r="M179" s="14" t="str">
        <x:v>confirmed_within_10m</x:v>
      </x:c>
      <x:c r="N179" s="14" t="n">
        <x:v>50.203</x:v>
      </x:c>
      <x:c r="O179" s="14" t="str">
        <x:v>yes</x:v>
      </x:c>
      <x:c r="P179" s="14" t="str">
        <x:v>no</x:v>
      </x:c>
      <x:c r="Q179" s="14" t="str">
        <x:v>none</x:v>
      </x:c>
      <x:c r="R179" s="14" t="str">
        <x:v>none</x:v>
      </x:c>
      <x:c r="S179" s="14" t="str"/>
      <x:c r="T179" s="14" t="str"/>
      <x:c r="U179" s="14" t="str"/>
      <x:c r="V179" s="15" t="str"/>
      <x:c r="W179" s="14" t="str">
        <x:v>no</x:v>
      </x:c>
      <x:c r="X179" s="14" t="str"/>
      <x:c r="Y179" s="14" t="str"/>
      <x:c r="Z179" s="14" t="str"/>
      <x:c r="AA179" s="14" t="str">
        <x:v>no</x:v>
      </x:c>
    </x:row>
    <x:row r="180">
      <x:c r="A180" s="1" t="str">
        <x:v>U0306</x:v>
      </x:c>
      <x:c r="B180" s="1" t="str">
        <x:v>cmsbr3045000j04l4tkps7ymp</x:v>
      </x:c>
      <x:c r="C180" s="1" t="str">
        <x:v>ca-2024-000806-hippodrome-casino-ltd-v-hmrc-appellant-skeleton</x:v>
      </x:c>
      <x:c r="D180" s="1" t="str">
        <x:v>real</x:v>
      </x:c>
      <x:c r="E180" s="14" t="str">
        <x:v>Hippodrome Casino Ltd v HMRC</x:v>
      </x:c>
      <x:c r="F180" s="14" t="str">
        <x:v>case:2015 ewca civ 1293</x:v>
      </x:c>
      <x:c r="G180" s="14" t="str">
        <x:v>Leeds City Council v HM Revenue and Customs</x:v>
      </x:c>
      <x:c r="H180" s="14" t="str">
        <x:v>[2015] EWCA Civ 1293</x:v>
      </x:c>
      <x:c r="I180" s="14" t="str">
        <x:v>5be7238d-b78e-4194-90ec-c036be53b377</x:v>
      </x:c>
      <x:c r="J180" s="14" t="n">
        <x:v>1</x:v>
      </x:c>
      <x:c r="K180" s="14" t="str">
        <x:v>legalFramework.precedentCitations[2].sourceCases[0]</x:v>
      </x:c>
      <x:c r="L180" s="14" t="str">
        <x:v>cmsbr1xgb000d04l4kki35x9j</x:v>
      </x:c>
      <x:c r="M180" s="14" t="str">
        <x:v>confirmed_within_10m</x:v>
      </x:c>
      <x:c r="N180" s="14" t="n">
        <x:v>50.203</x:v>
      </x:c>
      <x:c r="O180" s="14" t="str">
        <x:v>yes</x:v>
      </x:c>
      <x:c r="P180" s="14" t="str">
        <x:v>yes</x:v>
      </x:c>
      <x:c r="Q180" s="14" t="str">
        <x:v>exact_case_id</x:v>
      </x:c>
      <x:c r="R180" s="14" t="str">
        <x:v>definitive</x:v>
      </x:c>
      <x:c r="S180" s="14" t="n">
        <x:v>5</x:v>
      </x:c>
      <x:c r="T180" s="14" t="str">
        <x:v>5be7238d-b78e-4194-90ec-c036be53b377</x:v>
      </x:c>
      <x:c r="U180" s="14" t="str">
        <x:v>Leeds City Council v HM Revenue and Customs [2015] EWCA Civ 1293</x:v>
      </x:c>
      <x:c r="V180" s="15" t="n">
        <x:v>0.7063102</x:v>
      </x:c>
      <x:c r="W180" s="14" t="str">
        <x:v>no</x:v>
      </x:c>
      <x:c r="X180" s="14" t="str"/>
      <x:c r="Y180" s="14" t="str"/>
      <x:c r="Z180" s="14" t="str"/>
      <x:c r="AA180" s="14" t="str">
        <x:v>yes</x:v>
      </x:c>
    </x:row>
    <x:row r="181">
      <x:c r="A181" s="1" t="str">
        <x:v>U0307</x:v>
      </x:c>
      <x:c r="B181" s="1" t="str">
        <x:v>cmsbr3045000j04l4tkps7ymp</x:v>
      </x:c>
      <x:c r="C181" s="1" t="str">
        <x:v>ca-2024-000806-hippodrome-casino-ltd-v-hmrc-appellant-skeleton</x:v>
      </x:c>
      <x:c r="D181" s="1" t="str">
        <x:v>real</x:v>
      </x:c>
      <x:c r="E181" s="14" t="str">
        <x:v>Hippodrome Casino Ltd v HMRC</x:v>
      </x:c>
      <x:c r="F181" s="14" t="str">
        <x:v>case:2022 ewca civ 103</x:v>
      </x:c>
      <x:c r="G181" s="14" t="str">
        <x:v>Regency Factors Plc v HM Revenue &amp; Customs (Rev1)</x:v>
      </x:c>
      <x:c r="H181" s="14" t="str">
        <x:v>[2022] EWCA Civ 103</x:v>
      </x:c>
      <x:c r="I181" s="14" t="str">
        <x:v>bfa85128-3daf-4206-8d8f-d2dc5f32ab27</x:v>
      </x:c>
      <x:c r="J181" s="14" t="n">
        <x:v>3</x:v>
      </x:c>
      <x:c r="K181" s="14" t="str">
        <x:v>factualFindings.contestedFacts[1].sourceCases[0] | issuesForDetermination.issueMatrix[0].sourceCases[0] | reasoningStructure[0].sourceCases[0]</x:v>
      </x:c>
      <x:c r="L181" s="14" t="str">
        <x:v>cmsbr1xgb000d04l4kki35x9j</x:v>
      </x:c>
      <x:c r="M181" s="14" t="str">
        <x:v>confirmed_within_10m</x:v>
      </x:c>
      <x:c r="N181" s="14" t="n">
        <x:v>50.203</x:v>
      </x:c>
      <x:c r="O181" s="14" t="str">
        <x:v>yes</x:v>
      </x:c>
      <x:c r="P181" s="14" t="str">
        <x:v>yes</x:v>
      </x:c>
      <x:c r="Q181" s="14" t="str">
        <x:v>exact_case_id</x:v>
      </x:c>
      <x:c r="R181" s="14" t="str">
        <x:v>definitive</x:v>
      </x:c>
      <x:c r="S181" s="14" t="n">
        <x:v>4</x:v>
      </x:c>
      <x:c r="T181" s="14" t="str">
        <x:v>bfa85128-3daf-4206-8d8f-d2dc5f32ab27</x:v>
      </x:c>
      <x:c r="U181" s="14" t="str">
        <x:v>Regency Factors Plc v HM Revenue &amp; Customs (Rev1) [2022] EWCA Civ 103</x:v>
      </x:c>
      <x:c r="V181" s="15" t="n">
        <x:v>0.7109793</x:v>
      </x:c>
      <x:c r="W181" s="14" t="str">
        <x:v>no</x:v>
      </x:c>
      <x:c r="X181" s="14" t="str"/>
      <x:c r="Y181" s="14" t="str"/>
      <x:c r="Z181" s="14" t="str"/>
      <x:c r="AA181" s="14" t="str">
        <x:v>yes</x:v>
      </x:c>
    </x:row>
    <x:row r="182">
      <x:c r="A182" s="1" t="str">
        <x:v>U0308</x:v>
      </x:c>
      <x:c r="B182" s="1" t="str">
        <x:v>cmsbr3045000j04l4tkps7ymp</x:v>
      </x:c>
      <x:c r="C182" s="1" t="str">
        <x:v>ca-2024-000806-hippodrome-casino-ltd-v-hmrc-appellant-skeleton</x:v>
      </x:c>
      <x:c r="D182" s="1" t="str">
        <x:v>real</x:v>
      </x:c>
      <x:c r="E182" s="14" t="str">
        <x:v>Hippodrome Casino Ltd v HMRC</x:v>
      </x:c>
      <x:c r="F182" s="14" t="str">
        <x:v>case:hmrc v volkswagen financial services case c 153 17</x:v>
      </x:c>
      <x:c r="G182" s="14" t="str">
        <x:v>HMRC v Volkswagen Financial Services (Case C-153/17)</x:v>
      </x:c>
      <x:c r="H182" s="14" t="str">
        <x:v>HMRC v Volkswagen Financial Services (Case C-153/17)</x:v>
      </x:c>
      <x:c r="I182" s="14" t="str"/>
      <x:c r="J182" s="14" t="n">
        <x:v>1</x:v>
      </x:c>
      <x:c r="K182" s="14" t="str">
        <x:v>legalFramework.precedentCitations[0]</x:v>
      </x:c>
      <x:c r="L182" s="14" t="str">
        <x:v>cmsbr1xgb000d04l4kki35x9j</x:v>
      </x:c>
      <x:c r="M182" s="14" t="str">
        <x:v>confirmed_within_10m</x:v>
      </x:c>
      <x:c r="N182" s="14" t="n">
        <x:v>50.203</x:v>
      </x:c>
      <x:c r="O182" s="14" t="str">
        <x:v>yes</x:v>
      </x:c>
      <x:c r="P182" s="14" t="str">
        <x:v>no</x:v>
      </x:c>
      <x:c r="Q182" s="14" t="str">
        <x:v>none</x:v>
      </x:c>
      <x:c r="R182" s="14" t="str">
        <x:v>none</x:v>
      </x:c>
      <x:c r="S182" s="14" t="str"/>
      <x:c r="T182" s="14" t="str"/>
      <x:c r="U182" s="14" t="str"/>
      <x:c r="V182" s="15" t="str"/>
      <x:c r="W182" s="14" t="str">
        <x:v>no</x:v>
      </x:c>
      <x:c r="X182" s="14" t="str"/>
      <x:c r="Y182" s="14" t="str"/>
      <x:c r="Z182" s="14" t="str"/>
      <x:c r="AA182" s="14" t="str">
        <x:v>no</x:v>
      </x:c>
    </x:row>
    <x:row r="183">
      <x:c r="A183" s="1" t="str">
        <x:v>U0309</x:v>
      </x:c>
      <x:c r="B183" s="1" t="str">
        <x:v>cmsbr3045000j04l4tkps7ymp</x:v>
      </x:c>
      <x:c r="C183" s="1" t="str">
        <x:v>ca-2024-000806-hippodrome-casino-ltd-v-hmrc-appellant-skeleton</x:v>
      </x:c>
      <x:c r="D183" s="1" t="str">
        <x:v>real</x:v>
      </x:c>
      <x:c r="E183" s="14" t="str">
        <x:v>Hippodrome Casino Ltd v HMRC</x:v>
      </x:c>
      <x:c r="F183" s="14" t="str">
        <x:v>case:revenue and customs v mercedes benz financial services uk ltd</x:v>
      </x:c>
      <x:c r="G183" s="14" t="str">
        <x:v>Revenue and Customs v Mercedes-Benz Financial Services UK Ltd</x:v>
      </x:c>
      <x:c r="H183" s="14" t="str">
        <x:v>N/A</x:v>
      </x:c>
      <x:c r="I183" s="14" t="str">
        <x:v>4ce131bd-2742-476d-a37a-0727c7980ebc</x:v>
      </x:c>
      <x:c r="J183" s="14" t="n">
        <x:v>2</x:v>
      </x:c>
      <x:c r="K183" s="14" t="str">
        <x:v>issuesForDetermination.issueMatrix[1].sourceCases[0] | reasoningStructure[1].sourceCases[0]</x:v>
      </x:c>
      <x:c r="L183" s="14" t="str">
        <x:v>cmsbr1xgb000d04l4kki35x9j</x:v>
      </x:c>
      <x:c r="M183" s="14" t="str">
        <x:v>confirmed_within_10m</x:v>
      </x:c>
      <x:c r="N183" s="14" t="n">
        <x:v>50.203</x:v>
      </x:c>
      <x:c r="O183" s="14" t="str">
        <x:v>yes</x:v>
      </x:c>
      <x:c r="P183" s="14" t="str">
        <x:v>yes</x:v>
      </x:c>
      <x:c r="Q183" s="14" t="str">
        <x:v>exact_case_id</x:v>
      </x:c>
      <x:c r="R183" s="14" t="str">
        <x:v>definitive</x:v>
      </x:c>
      <x:c r="S183" s="14" t="n">
        <x:v>2</x:v>
      </x:c>
      <x:c r="T183" s="14" t="str">
        <x:v>4ce131bd-2742-476d-a37a-0727c7980ebc</x:v>
      </x:c>
      <x:c r="U183" s="14" t="str">
        <x:v>Revenue and Customs v Mercedes-Benz Financial Services UK Ltd</x:v>
      </x:c>
      <x:c r="V183" s="15" t="n">
        <x:v>0.7136548</x:v>
      </x:c>
      <x:c r="W183" s="14" t="str">
        <x:v>no</x:v>
      </x:c>
      <x:c r="X183" s="14" t="str"/>
      <x:c r="Y183" s="14" t="str"/>
      <x:c r="Z183" s="14" t="str"/>
      <x:c r="AA183" s="14" t="str">
        <x:v>yes</x:v>
      </x:c>
    </x:row>
    <x:row r="184">
      <x:c r="A184" s="1" t="str">
        <x:v>U0310</x:v>
      </x:c>
      <x:c r="B184" s="1" t="str">
        <x:v>cmsbr3045000j04l4tkps7ymp</x:v>
      </x:c>
      <x:c r="C184" s="1" t="str">
        <x:v>ca-2024-000806-hippodrome-casino-ltd-v-hmrc-appellant-skeleton</x:v>
      </x:c>
      <x:c r="D184" s="1" t="str">
        <x:v>real</x:v>
      </x:c>
      <x:c r="E184" s="14" t="str">
        <x:v>Hippodrome Casino Ltd v HMRC</x:v>
      </x:c>
      <x:c r="F184" s="14" t="str">
        <x:v>case:st helen s school northwood v rcc</x:v>
      </x:c>
      <x:c r="G184" s="14" t="str">
        <x:v>St Helen’s School Northwood v RCC</x:v>
      </x:c>
      <x:c r="H184" s="14" t="str">
        <x:v>St Helen’s School Northwood v RCC</x:v>
      </x:c>
      <x:c r="I184" s="14" t="str"/>
      <x:c r="J184" s="14" t="n">
        <x:v>1</x:v>
      </x:c>
      <x:c r="K184" s="14" t="str">
        <x:v>legalFramework.precedentCitations[1]</x:v>
      </x:c>
      <x:c r="L184" s="14" t="str">
        <x:v>cmsbr1xgb000d04l4kki35x9j</x:v>
      </x:c>
      <x:c r="M184" s="14" t="str">
        <x:v>confirmed_within_10m</x:v>
      </x:c>
      <x:c r="N184" s="14" t="n">
        <x:v>50.203</x:v>
      </x:c>
      <x:c r="O184" s="14" t="str">
        <x:v>yes</x:v>
      </x:c>
      <x:c r="P184" s="14" t="str">
        <x:v>no</x:v>
      </x:c>
      <x:c r="Q184" s="14" t="str">
        <x:v>none</x:v>
      </x:c>
      <x:c r="R184" s="14" t="str">
        <x:v>none</x:v>
      </x:c>
      <x:c r="S184" s="14" t="str"/>
      <x:c r="T184" s="14" t="str"/>
      <x:c r="U184" s="14" t="str"/>
      <x:c r="V184" s="15" t="str"/>
      <x:c r="W184" s="14" t="str">
        <x:v>no</x:v>
      </x:c>
      <x:c r="X184" s="14" t="str"/>
      <x:c r="Y184" s="14" t="str"/>
      <x:c r="Z184" s="14" t="str"/>
      <x:c r="AA184" s="14" t="str">
        <x:v>no</x:v>
      </x:c>
    </x:row>
    <x:row r="185">
      <x:c r="A185" s="1" t="str">
        <x:v>U0311</x:v>
      </x:c>
      <x:c r="B185" s="1" t="str">
        <x:v>cmsbr3045000j04l4tkps7ymp</x:v>
      </x:c>
      <x:c r="C185" s="1" t="str">
        <x:v>ca-2024-000806-hippodrome-casino-ltd-v-hmrc-appellant-skeleton</x:v>
      </x:c>
      <x:c r="D185" s="1" t="str">
        <x:v>real</x:v>
      </x:c>
      <x:c r="E185" s="14" t="str">
        <x:v>Hippodrome Casino Ltd v HMRC</x:v>
      </x:c>
      <x:c r="F185" s="14" t="str">
        <x:v>case:volkswagen financial services uk ltd v hm revenue &amp; customs</x:v>
      </x:c>
      <x:c r="G185" s="14" t="str">
        <x:v>Volkswagen Financial Services (UK) Ltd v HM Revenue &amp; Customs</x:v>
      </x:c>
      <x:c r="H185" s="14" t="str">
        <x:v>N/A</x:v>
      </x:c>
      <x:c r="I185" s="14" t="str">
        <x:v>b9498527-3250-49cd-9d8e-ed7c0dda200e</x:v>
      </x:c>
      <x:c r="J185" s="14" t="n">
        <x:v>1</x:v>
      </x:c>
      <x:c r="K185" s="14" t="str">
        <x:v>factualFindings.contestedFacts[0].sourceCases[0]</x:v>
      </x:c>
      <x:c r="L185" s="14" t="str">
        <x:v>cmsbr1xgb000d04l4kki35x9j</x:v>
      </x:c>
      <x:c r="M185" s="14" t="str">
        <x:v>confirmed_within_10m</x:v>
      </x:c>
      <x:c r="N185" s="14" t="n">
        <x:v>50.203</x:v>
      </x:c>
      <x:c r="O185" s="14" t="str">
        <x:v>yes</x:v>
      </x:c>
      <x:c r="P185" s="14" t="str">
        <x:v>yes</x:v>
      </x:c>
      <x:c r="Q185" s="14" t="str">
        <x:v>exact_case_id</x:v>
      </x:c>
      <x:c r="R185" s="14" t="str">
        <x:v>definitive</x:v>
      </x:c>
      <x:c r="S185" s="14" t="n">
        <x:v>1</x:v>
      </x:c>
      <x:c r="T185" s="14" t="str">
        <x:v>b9498527-3250-49cd-9d8e-ed7c0dda200e</x:v>
      </x:c>
      <x:c r="U185" s="14" t="str">
        <x:v>Volkswagen Financial Services (UK) Ltd v HM Revenue &amp; Customs</x:v>
      </x:c>
      <x:c r="V185" s="15" t="n">
        <x:v>0.747692</x:v>
      </x:c>
      <x:c r="W185" s="14" t="str">
        <x:v>no</x:v>
      </x:c>
      <x:c r="X185" s="14" t="str"/>
      <x:c r="Y185" s="14" t="str"/>
      <x:c r="Z185" s="14" t="str"/>
      <x:c r="AA185" s="14" t="str">
        <x:v>yes</x:v>
      </x:c>
    </x:row>
    <x:row r="186">
      <x:c r="A186" s="1" t="str">
        <x:v>U0315</x:v>
      </x:c>
      <x:c r="B186" s="1" t="str">
        <x:v>cmsbr4fhb000v04l4mgwtz5x1</x:v>
      </x:c>
      <x:c r="C186" s="1" t="str">
        <x:v>ca-2024-000806-hippodrome-casino-ltd-v-hmrc-appellant-skeleton</x:v>
      </x:c>
      <x:c r="D186" s="1" t="str">
        <x:v>real</x:v>
      </x:c>
      <x:c r="E186" s="14" t="str">
        <x:v>Hippodrome Casino Ltd v HMRC</x:v>
      </x:c>
      <x:c r="F186" s="14" t="str">
        <x:v>case:2002 ewca civ 605</x:v>
      </x:c>
      <x:c r="G186" s="14" t="str">
        <x:v>English v Emery Reimbold &amp; Strick Ltd [2002] EWCA Civ 605</x:v>
      </x:c>
      <x:c r="H186" s="14" t="str">
        <x:v>English v Emery Reimbold &amp; Strick Ltd [2002] EWCA Civ 605</x:v>
      </x:c>
      <x:c r="I186" s="14" t="str"/>
      <x:c r="J186" s="14" t="n">
        <x:v>1</x:v>
      </x:c>
      <x:c r="K186" s="14" t="str">
        <x:v>legalFramework.precedentCitations[0]</x:v>
      </x:c>
      <x:c r="L186" s="14" t="str">
        <x:v>cmsbr3gmj000p04l4jzoye2ph</x:v>
      </x:c>
      <x:c r="M186" s="14" t="str">
        <x:v>confirmed_within_10m</x:v>
      </x:c>
      <x:c r="N186" s="14" t="n">
        <x:v>45.259</x:v>
      </x:c>
      <x:c r="O186" s="14" t="str">
        <x:v>yes</x:v>
      </x:c>
      <x:c r="P186" s="14" t="str">
        <x:v>no</x:v>
      </x:c>
      <x:c r="Q186" s="14" t="str">
        <x:v>none</x:v>
      </x:c>
      <x:c r="R186" s="14" t="str">
        <x:v>none</x:v>
      </x:c>
      <x:c r="S186" s="14" t="str"/>
      <x:c r="T186" s="14" t="str"/>
      <x:c r="U186" s="14" t="str"/>
      <x:c r="V186" s="15" t="str"/>
      <x:c r="W186" s="14" t="str">
        <x:v>no</x:v>
      </x:c>
      <x:c r="X186" s="14" t="str"/>
      <x:c r="Y186" s="14" t="str"/>
      <x:c r="Z186" s="14" t="str"/>
      <x:c r="AA186" s="14" t="str">
        <x:v>no</x:v>
      </x:c>
    </x:row>
    <x:row r="187">
      <x:c r="A187" s="1" t="str">
        <x:v>U0316</x:v>
      </x:c>
      <x:c r="B187" s="1" t="str">
        <x:v>cmsbr4fhb000v04l4mgwtz5x1</x:v>
      </x:c>
      <x:c r="C187" s="1" t="str">
        <x:v>ca-2024-000806-hippodrome-casino-ltd-v-hmrc-appellant-skeleton</x:v>
      </x:c>
      <x:c r="D187" s="1" t="str">
        <x:v>real</x:v>
      </x:c>
      <x:c r="E187" s="14" t="str">
        <x:v>Hippodrome Casino Ltd v HMRC</x:v>
      </x:c>
      <x:c r="F187" s="14" t="str">
        <x:v>case:2015 ewca civ 515</x:v>
      </x:c>
      <x:c r="G187" s="14" t="str">
        <x:v>Littlewoods Ltd &amp; Ors v HM Revenue and Customs</x:v>
      </x:c>
      <x:c r="H187" s="14" t="str">
        <x:v>[2015] EWCA Civ 515</x:v>
      </x:c>
      <x:c r="I187" s="14" t="str">
        <x:v>88bb4a5f-a731-48de-9e0d-c8537ea915a0</x:v>
      </x:c>
      <x:c r="J187" s="14" t="n">
        <x:v>1</x:v>
      </x:c>
      <x:c r="K187" s="14" t="str">
        <x:v>factualFindings.contestedFacts[0].sourceCases[0]</x:v>
      </x:c>
      <x:c r="L187" s="14" t="str">
        <x:v>cmsbr3gmj000p04l4jzoye2ph</x:v>
      </x:c>
      <x:c r="M187" s="14" t="str">
        <x:v>confirmed_within_10m</x:v>
      </x:c>
      <x:c r="N187" s="14" t="n">
        <x:v>45.259</x:v>
      </x:c>
      <x:c r="O187" s="14" t="str">
        <x:v>yes</x:v>
      </x:c>
      <x:c r="P187" s="14" t="str">
        <x:v>yes</x:v>
      </x:c>
      <x:c r="Q187" s="14" t="str">
        <x:v>exact_case_id</x:v>
      </x:c>
      <x:c r="R187" s="14" t="str">
        <x:v>definitive</x:v>
      </x:c>
      <x:c r="S187" s="14" t="n">
        <x:v>6</x:v>
      </x:c>
      <x:c r="T187" s="14" t="str">
        <x:v>88bb4a5f-a731-48de-9e0d-c8537ea915a0</x:v>
      </x:c>
      <x:c r="U187" s="14" t="str">
        <x:v>Littlewoods Ltd &amp; Ors v HM Revenue and Customs [2015] EWCA Civ 515</x:v>
      </x:c>
      <x:c r="V187" s="15" t="n">
        <x:v>0.69990593</x:v>
      </x:c>
      <x:c r="W187" s="14" t="str">
        <x:v>no</x:v>
      </x:c>
      <x:c r="X187" s="14" t="str"/>
      <x:c r="Y187" s="14" t="str"/>
      <x:c r="Z187" s="14" t="str"/>
      <x:c r="AA187" s="14" t="str">
        <x:v>yes</x:v>
      </x:c>
    </x:row>
    <x:row r="188">
      <x:c r="A188" s="1" t="str">
        <x:v>U0317</x:v>
      </x:c>
      <x:c r="B188" s="1" t="str">
        <x:v>cmsbr4fhb000v04l4mgwtz5x1</x:v>
      </x:c>
      <x:c r="C188" s="1" t="str">
        <x:v>ca-2024-000806-hippodrome-casino-ltd-v-hmrc-appellant-skeleton</x:v>
      </x:c>
      <x:c r="D188" s="1" t="str">
        <x:v>real</x:v>
      </x:c>
      <x:c r="E188" s="14" t="str">
        <x:v>Hippodrome Casino Ltd v HMRC</x:v>
      </x:c>
      <x:c r="F188" s="14" t="str">
        <x:v>case:2017 ewca civ 2111</x:v>
      </x:c>
      <x:c r="G188" s="14" t="str">
        <x:v>ING Intermediate Holdings Ltd v HM Revenue and Customs</x:v>
      </x:c>
      <x:c r="H188" s="14" t="str">
        <x:v>[2017] EWCA Civ 2111</x:v>
      </x:c>
      <x:c r="I188" s="14" t="str">
        <x:v>38eac6a9-6018-40fe-9d73-ab111162e65d</x:v>
      </x:c>
      <x:c r="J188" s="14" t="n">
        <x:v>2</x:v>
      </x:c>
      <x:c r="K188" s="14" t="str">
        <x:v>issuesForDetermination.issueMatrix[0].sourceCases[0] | reasoningStructure[1].sourceCases[0]</x:v>
      </x:c>
      <x:c r="L188" s="14" t="str">
        <x:v>cmsbr3gmj000p04l4jzoye2ph</x:v>
      </x:c>
      <x:c r="M188" s="14" t="str">
        <x:v>confirmed_within_10m</x:v>
      </x:c>
      <x:c r="N188" s="14" t="n">
        <x:v>45.259</x:v>
      </x:c>
      <x:c r="O188" s="14" t="str">
        <x:v>yes</x:v>
      </x:c>
      <x:c r="P188" s="14" t="str">
        <x:v>yes</x:v>
      </x:c>
      <x:c r="Q188" s="14" t="str">
        <x:v>exact_case_id</x:v>
      </x:c>
      <x:c r="R188" s="14" t="str">
        <x:v>definitive</x:v>
      </x:c>
      <x:c r="S188" s="14" t="n">
        <x:v>8</x:v>
      </x:c>
      <x:c r="T188" s="14" t="str">
        <x:v>38eac6a9-6018-40fe-9d73-ab111162e65d</x:v>
      </x:c>
      <x:c r="U188" s="14" t="str">
        <x:v>ING Intermediate Holdings Ltd v HM Revenue and Customs [2017] EWCA Civ 2111</x:v>
      </x:c>
      <x:c r="V188" s="15" t="n">
        <x:v>0.69408315</x:v>
      </x:c>
      <x:c r="W188" s="14" t="str">
        <x:v>no</x:v>
      </x:c>
      <x:c r="X188" s="14" t="str"/>
      <x:c r="Y188" s="14" t="str"/>
      <x:c r="Z188" s="14" t="str"/>
      <x:c r="AA188" s="14" t="str">
        <x:v>yes</x:v>
      </x:c>
    </x:row>
    <x:row r="189">
      <x:c r="A189" s="1" t="str">
        <x:v>U0318</x:v>
      </x:c>
      <x:c r="B189" s="1" t="str">
        <x:v>cmsbr4fhb000v04l4mgwtz5x1</x:v>
      </x:c>
      <x:c r="C189" s="1" t="str">
        <x:v>ca-2024-000806-hippodrome-casino-ltd-v-hmrc-appellant-skeleton</x:v>
      </x:c>
      <x:c r="D189" s="1" t="str">
        <x:v>real</x:v>
      </x:c>
      <x:c r="E189" s="14" t="str">
        <x:v>Hippodrome Casino Ltd v HMRC</x:v>
      </x:c>
      <x:c r="F189" s="14" t="str">
        <x:v>case:2022 ewca civ 998</x:v>
      </x:c>
      <x:c r="G189" s="14" t="str">
        <x:v>Tower Bridge GP Ltd v Revenue And Customs</x:v>
      </x:c>
      <x:c r="H189" s="14" t="str">
        <x:v>[2022] EWCA Civ 998</x:v>
      </x:c>
      <x:c r="I189" s="14" t="str">
        <x:v>52d1be75-0d9f-4b51-b6fc-183cfce77220</x:v>
      </x:c>
      <x:c r="J189" s="14" t="n">
        <x:v>1</x:v>
      </x:c>
      <x:c r="K189" s="14" t="str">
        <x:v>issuesForDetermination.issueMatrix[1].sourceCases[0]</x:v>
      </x:c>
      <x:c r="L189" s="14" t="str">
        <x:v>cmsbr3gmj000p04l4jzoye2ph</x:v>
      </x:c>
      <x:c r="M189" s="14" t="str">
        <x:v>confirmed_within_10m</x:v>
      </x:c>
      <x:c r="N189" s="14" t="n">
        <x:v>45.259</x:v>
      </x:c>
      <x:c r="O189" s="14" t="str">
        <x:v>yes</x:v>
      </x:c>
      <x:c r="P189" s="14" t="str">
        <x:v>yes</x:v>
      </x:c>
      <x:c r="Q189" s="14" t="str">
        <x:v>exact_case_id</x:v>
      </x:c>
      <x:c r="R189" s="14" t="str">
        <x:v>definitive</x:v>
      </x:c>
      <x:c r="S189" s="14" t="n">
        <x:v>9</x:v>
      </x:c>
      <x:c r="T189" s="14" t="str">
        <x:v>52d1be75-0d9f-4b51-b6fc-183cfce77220</x:v>
      </x:c>
      <x:c r="U189" s="14" t="str">
        <x:v>Tower Bridge GP Ltd v Revenue And Customs [2022] EWCA Civ 998 (18 July 2022)</x:v>
      </x:c>
      <x:c r="V189" s="15" t="n">
        <x:v>0.6898725</x:v>
      </x:c>
      <x:c r="W189" s="14" t="str">
        <x:v>no</x:v>
      </x:c>
      <x:c r="X189" s="14" t="str"/>
      <x:c r="Y189" s="14" t="str"/>
      <x:c r="Z189" s="14" t="str"/>
      <x:c r="AA189" s="14" t="str">
        <x:v>yes</x:v>
      </x:c>
    </x:row>
    <x:row r="190">
      <x:c r="A190" s="1" t="str">
        <x:v>U0319</x:v>
      </x:c>
      <x:c r="B190" s="1" t="str">
        <x:v>cmsbr4fhb000v04l4mgwtz5x1</x:v>
      </x:c>
      <x:c r="C190" s="1" t="str">
        <x:v>ca-2024-000806-hippodrome-casino-ltd-v-hmrc-appellant-skeleton</x:v>
      </x:c>
      <x:c r="D190" s="1" t="str">
        <x:v>real</x:v>
      </x:c>
      <x:c r="E190" s="14" t="str">
        <x:v>Hippodrome Casino Ltd v HMRC</x:v>
      </x:c>
      <x:c r="F190" s="14" t="str">
        <x:v>case:reed employment ltd v hm revenue and customs</x:v>
      </x:c>
      <x:c r="G190" s="14" t="str">
        <x:v>Reed Employment Ltd v HM Revenue and Customs</x:v>
      </x:c>
      <x:c r="H190" s="14" t="str">
        <x:v>N/A</x:v>
      </x:c>
      <x:c r="I190" s="14" t="str">
        <x:v>5c2719bb-df7d-4d55-a473-dd5087c1d2e8</x:v>
      </x:c>
      <x:c r="J190" s="14" t="n">
        <x:v>2</x:v>
      </x:c>
      <x:c r="K190" s="14" t="str">
        <x:v>factualFindings.contestedFacts[1].sourceCases[0] | reasoningStructure[0].sourceCases[0]</x:v>
      </x:c>
      <x:c r="L190" s="14" t="str">
        <x:v>cmsbr3gmj000p04l4jzoye2ph</x:v>
      </x:c>
      <x:c r="M190" s="14" t="str">
        <x:v>confirmed_within_10m</x:v>
      </x:c>
      <x:c r="N190" s="14" t="n">
        <x:v>45.259</x:v>
      </x:c>
      <x:c r="O190" s="14" t="str">
        <x:v>yes</x:v>
      </x:c>
      <x:c r="P190" s="14" t="str">
        <x:v>yes</x:v>
      </x:c>
      <x:c r="Q190" s="14" t="str">
        <x:v>exact_case_id</x:v>
      </x:c>
      <x:c r="R190" s="14" t="str">
        <x:v>definitive</x:v>
      </x:c>
      <x:c r="S190" s="14" t="n">
        <x:v>7</x:v>
      </x:c>
      <x:c r="T190" s="14" t="str">
        <x:v>5c2719bb-df7d-4d55-a473-dd5087c1d2e8</x:v>
      </x:c>
      <x:c r="U190" s="14" t="str">
        <x:v>Reed Employment Ltd v HM Revenue and Customs</x:v>
      </x:c>
      <x:c r="V190" s="15" t="n">
        <x:v>0.6942377</x:v>
      </x:c>
      <x:c r="W190" s="14" t="str">
        <x:v>no</x:v>
      </x:c>
      <x:c r="X190" s="14" t="str"/>
      <x:c r="Y190" s="14" t="str"/>
      <x:c r="Z190" s="14" t="str"/>
      <x:c r="AA190" s="14" t="str">
        <x:v>yes</x:v>
      </x:c>
    </x:row>
    <x:row r="191">
      <x:c r="A191" s="1" t="str">
        <x:v>U0320</x:v>
      </x:c>
      <x:c r="B191" s="1" t="str">
        <x:v>cmsbr4fhb000v04l4mgwtz5x1</x:v>
      </x:c>
      <x:c r="C191" s="1" t="str">
        <x:v>ca-2024-000806-hippodrome-casino-ltd-v-hmrc-appellant-skeleton</x:v>
      </x:c>
      <x:c r="D191" s="1" t="str">
        <x:v>real</x:v>
      </x:c>
      <x:c r="E191" s="14" t="str">
        <x:v>Hippodrome Casino Ltd v HMRC</x:v>
      </x:c>
      <x:c r="F191" s="14" t="str">
        <x:v>case:university of huddersfield higher education corporation v hm revenue and customs</x:v>
      </x:c>
      <x:c r="G191" s="14" t="str">
        <x:v>University of Huddersfield Higher Education Corporation v HM Revenue and Customs</x:v>
      </x:c>
      <x:c r="H191" s="14" t="str">
        <x:v>N/A</x:v>
      </x:c>
      <x:c r="I191" s="14" t="str">
        <x:v>3d0c1d2a-8c23-4f19-a7ba-587826b75f45</x:v>
      </x:c>
      <x:c r="J191" s="14" t="n">
        <x:v>1</x:v>
      </x:c>
      <x:c r="K191" s="14" t="str">
        <x:v>legalFramework.statutoryProvisions[0].sourceCases[0]</x:v>
      </x:c>
      <x:c r="L191" s="14" t="str">
        <x:v>cmsbr3gmj000p04l4jzoye2ph</x:v>
      </x:c>
      <x:c r="M191" s="14" t="str">
        <x:v>confirmed_within_10m</x:v>
      </x:c>
      <x:c r="N191" s="14" t="n">
        <x:v>45.259</x:v>
      </x:c>
      <x:c r="O191" s="14" t="str">
        <x:v>yes</x:v>
      </x:c>
      <x:c r="P191" s="14" t="str">
        <x:v>yes</x:v>
      </x:c>
      <x:c r="Q191" s="14" t="str">
        <x:v>exact_case_id</x:v>
      </x:c>
      <x:c r="R191" s="14" t="str">
        <x:v>definitive</x:v>
      </x:c>
      <x:c r="S191" s="14" t="n">
        <x:v>10</x:v>
      </x:c>
      <x:c r="T191" s="14" t="str">
        <x:v>3d0c1d2a-8c23-4f19-a7ba-587826b75f45</x:v>
      </x:c>
      <x:c r="U191" s="14" t="str">
        <x:v>University of Huddersfield Higher Education Corporation v HM Revenue and Customs</x:v>
      </x:c>
      <x:c r="V191" s="15" t="n">
        <x:v>0.68932474</x:v>
      </x:c>
      <x:c r="W191" s="14" t="str">
        <x:v>no</x:v>
      </x:c>
      <x:c r="X191" s="14" t="str"/>
      <x:c r="Y191" s="14" t="str"/>
      <x:c r="Z191" s="14" t="str"/>
      <x:c r="AA191" s="14" t="str">
        <x:v>yes</x:v>
      </x:c>
    </x:row>
    <x:row r="192">
      <x:c r="A192" s="1" t="str">
        <x:v>U0324</x:v>
      </x:c>
      <x:c r="B192" s="1" t="str">
        <x:v>cmsbr6p4p001704l4z7u6108h</x:v>
      </x:c>
      <x:c r="C192" s="1" t="str">
        <x:v>ca-2024-000806-hippodrome-casino-ltd-v-hmrc-appellant-skeleton</x:v>
      </x:c>
      <x:c r="D192" s="1" t="str">
        <x:v>real</x:v>
      </x:c>
      <x:c r="E192" s="14" t="str">
        <x:v>Hippodrome Casino Ltd v HMRC</x:v>
      </x:c>
      <x:c r="F192" s="14" t="str">
        <x:v>case:2016 ewca civ 1310</x:v>
      </x:c>
      <x:c r="G192" s="14" t="str">
        <x:v>Totel Limited v HM Revenue and Customs</x:v>
      </x:c>
      <x:c r="H192" s="14" t="str">
        <x:v>[2016] EWCA Civ 1310</x:v>
      </x:c>
      <x:c r="I192" s="14" t="str">
        <x:v>2f2ce488-73d0-4422-abcd-2b014a9e52d1</x:v>
      </x:c>
      <x:c r="J192" s="14" t="n">
        <x:v>1</x:v>
      </x:c>
      <x:c r="K192" s="14" t="str">
        <x:v>factualFindings.contestedFacts[0].sourceCases[0]</x:v>
      </x:c>
      <x:c r="L192" s="14" t="str">
        <x:v>cmsbr5rlu001104l45rnkob9p</x:v>
      </x:c>
      <x:c r="M192" s="14" t="str">
        <x:v>confirmed_within_10m</x:v>
      </x:c>
      <x:c r="N192" s="14" t="n">
        <x:v>43.533</x:v>
      </x:c>
      <x:c r="O192" s="14" t="str">
        <x:v>yes</x:v>
      </x:c>
      <x:c r="P192" s="14" t="str">
        <x:v>yes</x:v>
      </x:c>
      <x:c r="Q192" s="14" t="str">
        <x:v>exact_case_id</x:v>
      </x:c>
      <x:c r="R192" s="14" t="str">
        <x:v>definitive</x:v>
      </x:c>
      <x:c r="S192" s="14" t="n">
        <x:v>12</x:v>
      </x:c>
      <x:c r="T192" s="14" t="str">
        <x:v>2f2ce488-73d0-4422-abcd-2b014a9e52d1</x:v>
      </x:c>
      <x:c r="U192" s="14" t="str">
        <x:v>Totel Limited v HM Revenue and Customs [2016] EWCA Civ 1310</x:v>
      </x:c>
      <x:c r="V192" s="15" t="n">
        <x:v>0.68529236</x:v>
      </x:c>
      <x:c r="W192" s="14" t="str">
        <x:v>no</x:v>
      </x:c>
      <x:c r="X192" s="14" t="str"/>
      <x:c r="Y192" s="14" t="str"/>
      <x:c r="Z192" s="14" t="str"/>
      <x:c r="AA192" s="14" t="str">
        <x:v>yes</x:v>
      </x:c>
    </x:row>
    <x:row r="193">
      <x:c r="A193" s="1" t="str">
        <x:v>U0325</x:v>
      </x:c>
      <x:c r="B193" s="1" t="str">
        <x:v>cmsbr6p4p001704l4z7u6108h</x:v>
      </x:c>
      <x:c r="C193" s="1" t="str">
        <x:v>ca-2024-000806-hippodrome-casino-ltd-v-hmrc-appellant-skeleton</x:v>
      </x:c>
      <x:c r="D193" s="1" t="str">
        <x:v>real</x:v>
      </x:c>
      <x:c r="E193" s="14" t="str">
        <x:v>Hippodrome Casino Ltd v HMRC</x:v>
      </x:c>
      <x:c r="F193" s="14" t="str">
        <x:v>case:2017 ewca civ 54</x:v>
      </x:c>
      <x:c r="G193" s="14" t="str">
        <x:v>Associated Newspapers Ltd v HM Revenue &amp; Customs</x:v>
      </x:c>
      <x:c r="H193" s="14" t="str">
        <x:v>[2017] EWCA Civ 54</x:v>
      </x:c>
      <x:c r="I193" s="14" t="str">
        <x:v>dc715706-f35f-4a5c-8ad7-a824c23f5260</x:v>
      </x:c>
      <x:c r="J193" s="14" t="n">
        <x:v>1</x:v>
      </x:c>
      <x:c r="K193" s="14" t="str">
        <x:v>issuesForDetermination.issueMatrix[0].sourceCases[0]</x:v>
      </x:c>
      <x:c r="L193" s="14" t="str">
        <x:v>cmsbr5rlu001104l45rnkob9p</x:v>
      </x:c>
      <x:c r="M193" s="14" t="str">
        <x:v>confirmed_within_10m</x:v>
      </x:c>
      <x:c r="N193" s="14" t="n">
        <x:v>43.533</x:v>
      </x:c>
      <x:c r="O193" s="14" t="str">
        <x:v>yes</x:v>
      </x:c>
      <x:c r="P193" s="14" t="str">
        <x:v>yes</x:v>
      </x:c>
      <x:c r="Q193" s="14" t="str">
        <x:v>exact_case_id</x:v>
      </x:c>
      <x:c r="R193" s="14" t="str">
        <x:v>definitive</x:v>
      </x:c>
      <x:c r="S193" s="14" t="n">
        <x:v>14</x:v>
      </x:c>
      <x:c r="T193" s="14" t="str">
        <x:v>dc715706-f35f-4a5c-8ad7-a824c23f5260</x:v>
      </x:c>
      <x:c r="U193" s="14" t="str">
        <x:v>Associated Newspapers Ltd v HM Revenue &amp; Customs [2017] EWCA Civ 54</x:v>
      </x:c>
      <x:c r="V193" s="15" t="n">
        <x:v>0.6797149</x:v>
      </x:c>
      <x:c r="W193" s="14" t="str">
        <x:v>no</x:v>
      </x:c>
      <x:c r="X193" s="14" t="str"/>
      <x:c r="Y193" s="14" t="str"/>
      <x:c r="Z193" s="14" t="str"/>
      <x:c r="AA193" s="14" t="str">
        <x:v>yes</x:v>
      </x:c>
    </x:row>
    <x:row r="194">
      <x:c r="A194" s="1" t="str">
        <x:v>U0326</x:v>
      </x:c>
      <x:c r="B194" s="1" t="str">
        <x:v>cmsbr6p4p001704l4z7u6108h</x:v>
      </x:c>
      <x:c r="C194" s="1" t="str">
        <x:v>ca-2024-000806-hippodrome-casino-ltd-v-hmrc-appellant-skeleton</x:v>
      </x:c>
      <x:c r="D194" s="1" t="str">
        <x:v>real</x:v>
      </x:c>
      <x:c r="E194" s="14" t="str">
        <x:v>Hippodrome Casino Ltd v HMRC</x:v>
      </x:c>
      <x:c r="F194" s="14" t="str">
        <x:v>case:2022 ewca civ 1222</x:v>
      </x:c>
      <x:c r="G194" s="14" t="str">
        <x:v>The Quentin Skinner 2015 Settlement L &amp; Ors v HM Revenue and Customs</x:v>
      </x:c>
      <x:c r="H194" s="14" t="str">
        <x:v>[2022] EWCA Civ 1222</x:v>
      </x:c>
      <x:c r="I194" s="14" t="str">
        <x:v>53011b43-2d84-4830-953a-1b5b550f4f67</x:v>
      </x:c>
      <x:c r="J194" s="14" t="n">
        <x:v>1</x:v>
      </x:c>
      <x:c r="K194" s="14" t="str">
        <x:v>reasoningStructure[0].sourceCases[0]</x:v>
      </x:c>
      <x:c r="L194" s="14" t="str">
        <x:v>cmsbr5rlu001104l45rnkob9p</x:v>
      </x:c>
      <x:c r="M194" s="14" t="str">
        <x:v>confirmed_within_10m</x:v>
      </x:c>
      <x:c r="N194" s="14" t="n">
        <x:v>43.533</x:v>
      </x:c>
      <x:c r="O194" s="14" t="str">
        <x:v>yes</x:v>
      </x:c>
      <x:c r="P194" s="14" t="str">
        <x:v>yes</x:v>
      </x:c>
      <x:c r="Q194" s="14" t="str">
        <x:v>exact_case_id</x:v>
      </x:c>
      <x:c r="R194" s="14" t="str">
        <x:v>definitive</x:v>
      </x:c>
      <x:c r="S194" s="14" t="n">
        <x:v>11</x:v>
      </x:c>
      <x:c r="T194" s="14" t="str">
        <x:v>53011b43-2d84-4830-953a-1b5b550f4f67</x:v>
      </x:c>
      <x:c r="U194" s="14" t="str">
        <x:v>The Quentin Skinner 2015 Settlement L &amp; Ors v HM Revenue and Customs (Entrepeneurs' Relief) [2022] EWCA Civ 1222</x:v>
      </x:c>
      <x:c r="V194" s="15" t="n">
        <x:v>0.6863302</x:v>
      </x:c>
      <x:c r="W194" s="14" t="str">
        <x:v>no</x:v>
      </x:c>
      <x:c r="X194" s="14" t="str"/>
      <x:c r="Y194" s="14" t="str"/>
      <x:c r="Z194" s="14" t="str"/>
      <x:c r="AA194" s="14" t="str">
        <x:v>yes</x:v>
      </x:c>
    </x:row>
    <x:row r="195">
      <x:c r="A195" s="1" t="str">
        <x:v>U0327</x:v>
      </x:c>
      <x:c r="B195" s="1" t="str">
        <x:v>cmsbr6p4p001704l4z7u6108h</x:v>
      </x:c>
      <x:c r="C195" s="1" t="str">
        <x:v>ca-2024-000806-hippodrome-casino-ltd-v-hmrc-appellant-skeleton</x:v>
      </x:c>
      <x:c r="D195" s="1" t="str">
        <x:v>real</x:v>
      </x:c>
      <x:c r="E195" s="14" t="str">
        <x:v>Hippodrome Casino Ltd v HMRC</x:v>
      </x:c>
      <x:c r="F195" s="14" t="str">
        <x:v>case:hmrc v volkswagen financial services</x:v>
      </x:c>
      <x:c r="G195" s="14" t="str">
        <x:v>HMRC v Volkswagen Financial Services</x:v>
      </x:c>
      <x:c r="H195" s="14" t="str">
        <x:v>HMRC v Volkswagen Financial Services</x:v>
      </x:c>
      <x:c r="I195" s="14" t="str"/>
      <x:c r="J195" s="14" t="n">
        <x:v>1</x:v>
      </x:c>
      <x:c r="K195" s="14" t="str">
        <x:v>legalFramework.precedentCitations[0]</x:v>
      </x:c>
      <x:c r="L195" s="14" t="str">
        <x:v>cmsbr5rlu001104l45rnkob9p</x:v>
      </x:c>
      <x:c r="M195" s="14" t="str">
        <x:v>confirmed_within_10m</x:v>
      </x:c>
      <x:c r="N195" s="14" t="n">
        <x:v>43.533</x:v>
      </x:c>
      <x:c r="O195" s="14" t="str">
        <x:v>yes</x:v>
      </x:c>
      <x:c r="P195" s="14" t="str">
        <x:v>no</x:v>
      </x:c>
      <x:c r="Q195" s="14" t="str">
        <x:v>none</x:v>
      </x:c>
      <x:c r="R195" s="14" t="str">
        <x:v>none</x:v>
      </x:c>
      <x:c r="S195" s="14" t="str"/>
      <x:c r="T195" s="14" t="str"/>
      <x:c r="U195" s="14" t="str"/>
      <x:c r="V195" s="15" t="str"/>
      <x:c r="W195" s="14" t="str">
        <x:v>no</x:v>
      </x:c>
      <x:c r="X195" s="14" t="str"/>
      <x:c r="Y195" s="14" t="str"/>
      <x:c r="Z195" s="14" t="str"/>
      <x:c r="AA195" s="14" t="str">
        <x:v>no</x:v>
      </x:c>
    </x:row>
    <x:row r="196">
      <x:c r="A196" s="1" t="str">
        <x:v>U0331</x:v>
      </x:c>
      <x:c r="B196" s="1" t="str">
        <x:v>cmsbracw1001r04l4az8ukhd1</x:v>
      </x:c>
      <x:c r="C196" s="1" t="str">
        <x:v>ca-2023-002207-mr-demetrios-karpasitis-v-hertfordshire-county-appellant-skeleton</x:v>
      </x:c>
      <x:c r="D196" s="1" t="str">
        <x:v>real</x:v>
      </x:c>
      <x:c r="E196" s="14" t="str">
        <x:v>Mr Demetrios Karpasitis v Hertfordshire County Council</x:v>
      </x:c>
      <x:c r="F196" s="14" t="str">
        <x:v>case:2010 ewca civ 776</x:v>
      </x:c>
      <x:c r="G196" s="14" t="str">
        <x:v>Yetkin v London Borough of Newham</x:v>
      </x:c>
      <x:c r="H196" s="14" t="str">
        <x:v>[2010] EWCA Civ 776</x:v>
      </x:c>
      <x:c r="I196" s="14" t="str">
        <x:v>5a42b4bc-fe8f-47be-9b13-869933b2ddff</x:v>
      </x:c>
      <x:c r="J196" s="14" t="n">
        <x:v>3</x:v>
      </x:c>
      <x:c r="K196" s="14" t="str">
        <x:v>factualFindings.contestedFacts[0].sourceCases[1] | issuesForDetermination.issueMatrix[1].sourceCases[0] | reasoningStructure[1].sourceCases[0]</x:v>
      </x:c>
      <x:c r="L196" s="14" t="str">
        <x:v>cmsbr997n001l04l4etg0c8qb</x:v>
      </x:c>
      <x:c r="M196" s="14" t="str">
        <x:v>confirmed_within_10m</x:v>
      </x:c>
      <x:c r="N196" s="14" t="n">
        <x:v>51.507</x:v>
      </x:c>
      <x:c r="O196" s="14" t="str">
        <x:v>yes</x:v>
      </x:c>
      <x:c r="P196" s="14" t="str">
        <x:v>yes</x:v>
      </x:c>
      <x:c r="Q196" s="14" t="str">
        <x:v>exact_case_id</x:v>
      </x:c>
      <x:c r="R196" s="14" t="str">
        <x:v>definitive</x:v>
      </x:c>
      <x:c r="S196" s="14" t="n">
        <x:v>3</x:v>
      </x:c>
      <x:c r="T196" s="14" t="str">
        <x:v>5a42b4bc-fe8f-47be-9b13-869933b2ddff</x:v>
      </x:c>
      <x:c r="U196" s="14" t="str">
        <x:v>Yetkin v London Borough of Newham ([2010] EWCA Civ 776)</x:v>
      </x:c>
      <x:c r="V196" s="15" t="n">
        <x:v>0.72944266</x:v>
      </x:c>
      <x:c r="W196" s="14" t="str">
        <x:v>no</x:v>
      </x:c>
      <x:c r="X196" s="14" t="str"/>
      <x:c r="Y196" s="14" t="str"/>
      <x:c r="Z196" s="14" t="str"/>
      <x:c r="AA196" s="14" t="str">
        <x:v>yes</x:v>
      </x:c>
    </x:row>
    <x:row r="197">
      <x:c r="A197" s="1" t="str">
        <x:v>U0332</x:v>
      </x:c>
      <x:c r="B197" s="1" t="str">
        <x:v>cmsbracw1001r04l4az8ukhd1</x:v>
      </x:c>
      <x:c r="C197" s="1" t="str">
        <x:v>ca-2023-002207-mr-demetrios-karpasitis-v-hertfordshire-county-appellant-skeleton</x:v>
      </x:c>
      <x:c r="D197" s="1" t="str">
        <x:v>real</x:v>
      </x:c>
      <x:c r="E197" s="14" t="str">
        <x:v>Mr Demetrios Karpasitis v Hertfordshire County Council</x:v>
      </x:c>
      <x:c r="F197" s="14" t="str">
        <x:v>case:2014 ewca civ 1433</x:v>
      </x:c>
      <x:c r="G197" s="14" t="str">
        <x:v>Redrow Homes Ltd v Knowsley Metropolitan Borough Council</x:v>
      </x:c>
      <x:c r="H197" s="14" t="str">
        <x:v>[2014] EWCA Civ 1433</x:v>
      </x:c>
      <x:c r="I197" s="14" t="str">
        <x:v>70a54b3a-6d86-473d-ac2f-607d9cecd2d7</x:v>
      </x:c>
      <x:c r="J197" s="14" t="n">
        <x:v>1</x:v>
      </x:c>
      <x:c r="K197" s="14" t="str">
        <x:v>factualFindings.contestedFacts[1].sourceCases[1]</x:v>
      </x:c>
      <x:c r="L197" s="14" t="str">
        <x:v>cmsbr997n001l04l4etg0c8qb</x:v>
      </x:c>
      <x:c r="M197" s="14" t="str">
        <x:v>confirmed_within_10m</x:v>
      </x:c>
      <x:c r="N197" s="14" t="n">
        <x:v>51.507</x:v>
      </x:c>
      <x:c r="O197" s="14" t="str">
        <x:v>yes</x:v>
      </x:c>
      <x:c r="P197" s="14" t="str">
        <x:v>yes</x:v>
      </x:c>
      <x:c r="Q197" s="14" t="str">
        <x:v>exact_case_id</x:v>
      </x:c>
      <x:c r="R197" s="14" t="str">
        <x:v>definitive</x:v>
      </x:c>
      <x:c r="S197" s="14" t="n">
        <x:v>4</x:v>
      </x:c>
      <x:c r="T197" s="14" t="str">
        <x:v>70a54b3a-6d86-473d-ac2f-607d9cecd2d7</x:v>
      </x:c>
      <x:c r="U197" s="14" t="str">
        <x:v>Redrow Homes Ltd, R (on the Application of) v Knowsley Metropolitan Borough Council [2014] EWCA Civ 1433</x:v>
      </x:c>
      <x:c r="V197" s="15" t="n">
        <x:v>0.7084664</x:v>
      </x:c>
      <x:c r="W197" s="14" t="str">
        <x:v>no</x:v>
      </x:c>
      <x:c r="X197" s="14" t="str"/>
      <x:c r="Y197" s="14" t="str"/>
      <x:c r="Z197" s="14" t="str"/>
      <x:c r="AA197" s="14" t="str">
        <x:v>yes</x:v>
      </x:c>
    </x:row>
    <x:row r="198">
      <x:c r="A198" s="1" t="str">
        <x:v>U0333</x:v>
      </x:c>
      <x:c r="B198" s="1" t="str">
        <x:v>cmsbracw1001r04l4az8ukhd1</x:v>
      </x:c>
      <x:c r="C198" s="1" t="str">
        <x:v>ca-2023-002207-mr-demetrios-karpasitis-v-hertfordshire-county-appellant-skeleton</x:v>
      </x:c>
      <x:c r="D198" s="1" t="str">
        <x:v>real</x:v>
      </x:c>
      <x:c r="E198" s="14" t="str">
        <x:v>Mr Demetrios Karpasitis v Hertfordshire County Council</x:v>
      </x:c>
      <x:c r="F198" s="14" t="str">
        <x:v>case:2016 ewhc 1767 qb</x:v>
      </x:c>
      <x:c r="G198" s="14" t="str">
        <x:v>King Lifting Ltd v Oxfordshire County Council</x:v>
      </x:c>
      <x:c r="H198" s="14" t="str">
        <x:v>[2016] EWHC 1767 (QB)</x:v>
      </x:c>
      <x:c r="I198" s="14" t="str">
        <x:v>52d20bb9-6964-44a6-9c32-d191ef76297c</x:v>
      </x:c>
      <x:c r="J198" s="14" t="n">
        <x:v>1</x:v>
      </x:c>
      <x:c r="K198" s="14" t="str">
        <x:v>factualFindings.contestedFacts[1].sourceCases[0]</x:v>
      </x:c>
      <x:c r="L198" s="14" t="str">
        <x:v>cmsbr997n001l04l4etg0c8qb</x:v>
      </x:c>
      <x:c r="M198" s="14" t="str">
        <x:v>confirmed_within_10m</x:v>
      </x:c>
      <x:c r="N198" s="14" t="n">
        <x:v>51.507</x:v>
      </x:c>
      <x:c r="O198" s="14" t="str">
        <x:v>yes</x:v>
      </x:c>
      <x:c r="P198" s="14" t="str">
        <x:v>yes</x:v>
      </x:c>
      <x:c r="Q198" s="14" t="str">
        <x:v>exact_case_id</x:v>
      </x:c>
      <x:c r="R198" s="14" t="str">
        <x:v>definitive</x:v>
      </x:c>
      <x:c r="S198" s="14" t="n">
        <x:v>1</x:v>
      </x:c>
      <x:c r="T198" s="14" t="str">
        <x:v>52d20bb9-6964-44a6-9c32-d191ef76297c</x:v>
      </x:c>
      <x:c r="U198" s="14" t="str">
        <x:v>King Lifting Ltd v Oxfordshire County Council [2016] EWHC 1767 (QB)</x:v>
      </x:c>
      <x:c r="V198" s="15" t="n">
        <x:v>0.75449026</x:v>
      </x:c>
      <x:c r="W198" s="14" t="str">
        <x:v>no</x:v>
      </x:c>
      <x:c r="X198" s="14" t="str"/>
      <x:c r="Y198" s="14" t="str"/>
      <x:c r="Z198" s="14" t="str"/>
      <x:c r="AA198" s="14" t="str">
        <x:v>yes</x:v>
      </x:c>
    </x:row>
    <x:row r="199">
      <x:c r="A199" s="1" t="str">
        <x:v>U0334</x:v>
      </x:c>
      <x:c r="B199" s="1" t="str">
        <x:v>cmsbracw1001r04l4az8ukhd1</x:v>
      </x:c>
      <x:c r="C199" s="1" t="str">
        <x:v>ca-2023-002207-mr-demetrios-karpasitis-v-hertfordshire-county-appellant-skeleton</x:v>
      </x:c>
      <x:c r="D199" s="1" t="str">
        <x:v>real</x:v>
      </x:c>
      <x:c r="E199" s="14" t="str">
        <x:v>Mr Demetrios Karpasitis v Hertfordshire County Council</x:v>
      </x:c>
      <x:c r="F199" s="14" t="str">
        <x:v>case:gorringe v calderdale metropolitan borough council</x:v>
      </x:c>
      <x:c r="G199" s="14" t="str">
        <x:v>Gorringe v. Calderdale Metropolitan Borough Council</x:v>
      </x:c>
      <x:c r="H199" s="14" t="str">
        <x:v>Gorringe v. Calderdale Metropolitan Borough Council</x:v>
      </x:c>
      <x:c r="I199" s="14" t="str">
        <x:v>bc30491e-9ae6-48da-90d0-71d8a8069b22</x:v>
      </x:c>
      <x:c r="J199" s="14" t="n">
        <x:v>5</x:v>
      </x:c>
      <x:c r="K199" s="14" t="str">
        <x:v>factualFindings.contestedFacts[0].sourceCases[0] | issuesForDetermination.issueMatrix[0].sourceCases[0] | legalFramework.legalTestSummaries[0].sourceAuthority | legalFramework.precedentCitations[0] | reasoningStructure[0].sourceCases[0]</x:v>
      </x:c>
      <x:c r="L199" s="14" t="str">
        <x:v>cmsbr997n001l04l4etg0c8qb</x:v>
      </x:c>
      <x:c r="M199" s="14" t="str">
        <x:v>confirmed_within_10m</x:v>
      </x:c>
      <x:c r="N199" s="14" t="n">
        <x:v>51.507</x:v>
      </x:c>
      <x:c r="O199" s="14" t="str">
        <x:v>yes</x:v>
      </x:c>
      <x:c r="P199" s="14" t="str">
        <x:v>yes</x:v>
      </x:c>
      <x:c r="Q199" s="14" t="str">
        <x:v>exact_case_id</x:v>
      </x:c>
      <x:c r="R199" s="14" t="str">
        <x:v>definitive</x:v>
      </x:c>
      <x:c r="S199" s="14" t="n">
        <x:v>2</x:v>
      </x:c>
      <x:c r="T199" s="14" t="str">
        <x:v>bc30491e-9ae6-48da-90d0-71d8a8069b22</x:v>
      </x:c>
      <x:c r="U199" s="14" t="str">
        <x:v>Gorringe v. Calderdale Metropolitan Borough Council</x:v>
      </x:c>
      <x:c r="V199" s="15" t="n">
        <x:v>0.74105686</x:v>
      </x:c>
      <x:c r="W199" s="14" t="str">
        <x:v>no</x:v>
      </x:c>
      <x:c r="X199" s="14" t="str"/>
      <x:c r="Y199" s="14" t="str"/>
      <x:c r="Z199" s="14" t="str"/>
      <x:c r="AA199" s="14" t="str">
        <x:v>yes</x:v>
      </x:c>
    </x:row>
    <x:row r="200">
      <x:c r="A200" s="1" t="str">
        <x:v>U0335</x:v>
      </x:c>
      <x:c r="B200" s="1" t="str">
        <x:v>cmsbracw1001r04l4az8ukhd1</x:v>
      </x:c>
      <x:c r="C200" s="1" t="str">
        <x:v>ca-2023-002207-mr-demetrios-karpasitis-v-hertfordshire-county-appellant-skeleton</x:v>
      </x:c>
      <x:c r="D200" s="1" t="str">
        <x:v>real</x:v>
      </x:c>
      <x:c r="E200" s="14" t="str">
        <x:v>Mr Demetrios Karpasitis v Hertfordshire County Council</x:v>
      </x:c>
      <x:c r="F200" s="14" t="str">
        <x:v>case:london borough of southwark &amp; anor v transport for london</x:v>
      </x:c>
      <x:c r="G200" s="14" t="str">
        <x:v>London Borough of Southwark &amp; Anor v Transport for London</x:v>
      </x:c>
      <x:c r="H200" s="14" t="str"/>
      <x:c r="I200" s="14" t="str">
        <x:v>31ec4914-0384-4442-a7c4-2067fe7c1aec</x:v>
      </x:c>
      <x:c r="J200" s="14" t="n">
        <x:v>1</x:v>
      </x:c>
      <x:c r="K200" s="14" t="str">
        <x:v>factualFindings.chronology[0].sourceCases[0]</x:v>
      </x:c>
      <x:c r="L200" s="14" t="str">
        <x:v>cmsbr997n001l04l4etg0c8qb</x:v>
      </x:c>
      <x:c r="M200" s="14" t="str">
        <x:v>confirmed_within_10m</x:v>
      </x:c>
      <x:c r="N200" s="14" t="n">
        <x:v>51.507</x:v>
      </x:c>
      <x:c r="O200" s="14" t="str">
        <x:v>yes</x:v>
      </x:c>
      <x:c r="P200" s="14" t="str">
        <x:v>yes</x:v>
      </x:c>
      <x:c r="Q200" s="14" t="str">
        <x:v>exact_case_id</x:v>
      </x:c>
      <x:c r="R200" s="14" t="str">
        <x:v>definitive</x:v>
      </x:c>
      <x:c r="S200" s="14" t="n">
        <x:v>5</x:v>
      </x:c>
      <x:c r="T200" s="14" t="str">
        <x:v>31ec4914-0384-4442-a7c4-2067fe7c1aec</x:v>
      </x:c>
      <x:c r="U200" s="14" t="str">
        <x:v>London Borough of Southwark &amp; Anor v Transport for London</x:v>
      </x:c>
      <x:c r="V200" s="15" t="n">
        <x:v>0.704762</x:v>
      </x:c>
      <x:c r="W200" s="14" t="str">
        <x:v>no</x:v>
      </x:c>
      <x:c r="X200" s="14" t="str"/>
      <x:c r="Y200" s="14" t="str"/>
      <x:c r="Z200" s="14" t="str"/>
      <x:c r="AA200" s="14" t="str">
        <x:v>yes</x:v>
      </x:c>
    </x:row>
    <x:row r="201">
      <x:c r="A201" s="1" t="str">
        <x:v>U0336</x:v>
      </x:c>
      <x:c r="B201" s="1" t="str">
        <x:v>cmsbracw1001r04l4az8ukhd1</x:v>
      </x:c>
      <x:c r="C201" s="1" t="str">
        <x:v>ca-2023-002207-mr-demetrios-karpasitis-v-hertfordshire-county-appellant-skeleton</x:v>
      </x:c>
      <x:c r="D201" s="1" t="str">
        <x:v>real</x:v>
      </x:c>
      <x:c r="E201" s="14" t="str">
        <x:v>Mr Demetrios Karpasitis v Hertfordshire County Council</x:v>
      </x:c>
      <x:c r="F201" s="14" t="str">
        <x:v>case:yetkin v london borough of newham</x:v>
      </x:c>
      <x:c r="G201" s="14" t="str">
        <x:v>Yetkin v London Borough of Newham</x:v>
      </x:c>
      <x:c r="H201" s="14" t="str">
        <x:v>Yetkin v London Borough of Newham</x:v>
      </x:c>
      <x:c r="I201" s="14" t="str"/>
      <x:c r="J201" s="14" t="n">
        <x:v>2</x:v>
      </x:c>
      <x:c r="K201" s="14" t="str">
        <x:v>legalFramework.legalTestSummaries[1].sourceAuthority | legalFramework.precedentCitations[1]</x:v>
      </x:c>
      <x:c r="L201" s="14" t="str">
        <x:v>cmsbr997n001l04l4etg0c8qb</x:v>
      </x:c>
      <x:c r="M201" s="14" t="str">
        <x:v>confirmed_within_10m</x:v>
      </x:c>
      <x:c r="N201" s="14" t="n">
        <x:v>51.507</x:v>
      </x:c>
      <x:c r="O201" s="14" t="str">
        <x:v>yes</x:v>
      </x:c>
      <x:c r="P201" s="14" t="str">
        <x:v>yes</x:v>
      </x:c>
      <x:c r="Q201" s="14" t="str">
        <x:v>exact_normalized_title</x:v>
      </x:c>
      <x:c r="R201" s="14" t="str">
        <x:v>high</x:v>
      </x:c>
      <x:c r="S201" s="14" t="n">
        <x:v>3</x:v>
      </x:c>
      <x:c r="T201" s="14" t="str">
        <x:v>5a42b4bc-fe8f-47be-9b13-869933b2ddff</x:v>
      </x:c>
      <x:c r="U201" s="14" t="str">
        <x:v>Yetkin v London Borough of Newham ([2010] EWCA Civ 776)</x:v>
      </x:c>
      <x:c r="V201" s="15" t="n">
        <x:v>0.72944266</x:v>
      </x:c>
      <x:c r="W201" s="14" t="str">
        <x:v>no</x:v>
      </x:c>
      <x:c r="X201" s="14" t="str"/>
      <x:c r="Y201" s="14" t="str"/>
      <x:c r="Z201" s="14" t="str"/>
      <x:c r="AA201" s="14" t="str">
        <x:v>yes</x:v>
      </x:c>
    </x:row>
    <x:row r="202">
      <x:c r="A202" s="1" t="str">
        <x:v>U0340</x:v>
      </x:c>
      <x:c r="B202" s="1" t="str">
        <x:v>cmsbrc37v001x04l4t7r77h89</x:v>
      </x:c>
      <x:c r="C202" s="1" t="str">
        <x:v>ca-2023-002207-mr-demetrios-karpasitis-v-hertfordshire-county-appellant-skeleton</x:v>
      </x:c>
      <x:c r="D202" s="1" t="str">
        <x:v>real</x:v>
      </x:c>
      <x:c r="E202" s="14" t="str">
        <x:v>Mr Demetrios Karpasitis v Hertfordshire County Council</x:v>
      </x:c>
      <x:c r="F202" s="14" t="str">
        <x:v>case:2000 1 wlr 377</x:v>
      </x:c>
      <x:c r="G202" s="14" t="str">
        <x:v>Flannery v Halifax Estate Agencies Ltd [2000] 1 WLR 377</x:v>
      </x:c>
      <x:c r="H202" s="14" t="str">
        <x:v>Flannery v Halifax Estate Agencies Ltd [2000] 1 WLR 377</x:v>
      </x:c>
      <x:c r="I202" s="14" t="str"/>
      <x:c r="J202" s="14" t="n">
        <x:v>1</x:v>
      </x:c>
      <x:c r="K202" s="14" t="str">
        <x:v>legalFramework.precedentCitations[1]</x:v>
      </x:c>
      <x:c r="L202" s="14" t="str">
        <x:v>cmsbr997n001l04l4etg0c8qb</x:v>
      </x:c>
      <x:c r="M202" s="14" t="str">
        <x:v>confirmed_within_10m</x:v>
      </x:c>
      <x:c r="N202" s="14" t="n">
        <x:v>132.284</x:v>
      </x:c>
      <x:c r="O202" s="14" t="str">
        <x:v>yes</x:v>
      </x:c>
      <x:c r="P202" s="14" t="str">
        <x:v>no</x:v>
      </x:c>
      <x:c r="Q202" s="14" t="str">
        <x:v>none</x:v>
      </x:c>
      <x:c r="R202" s="14" t="str">
        <x:v>none</x:v>
      </x:c>
      <x:c r="S202" s="14" t="str"/>
      <x:c r="T202" s="14" t="str"/>
      <x:c r="U202" s="14" t="str"/>
      <x:c r="V202" s="15" t="str"/>
      <x:c r="W202" s="14" t="str">
        <x:v>no</x:v>
      </x:c>
      <x:c r="X202" s="14" t="str"/>
      <x:c r="Y202" s="14" t="str"/>
      <x:c r="Z202" s="14" t="str"/>
      <x:c r="AA202" s="14" t="str">
        <x:v>no</x:v>
      </x:c>
    </x:row>
    <x:row r="203">
      <x:c r="A203" s="1" t="str">
        <x:v>U0341</x:v>
      </x:c>
      <x:c r="B203" s="1" t="str">
        <x:v>cmsbrc37v001x04l4t7r77h89</x:v>
      </x:c>
      <x:c r="C203" s="1" t="str">
        <x:v>ca-2023-002207-mr-demetrios-karpasitis-v-hertfordshire-county-appellant-skeleton</x:v>
      </x:c>
      <x:c r="D203" s="1" t="str">
        <x:v>real</x:v>
      </x:c>
      <x:c r="E203" s="14" t="str">
        <x:v>Mr Demetrios Karpasitis v Hertfordshire County Council</x:v>
      </x:c>
      <x:c r="F203" s="14" t="str">
        <x:v>case:2004 1 wlr 1057</x:v>
      </x:c>
      <x:c r="G203" s="14" t="str">
        <x:v>Gorringe v. Calderdale Metropolitan Borough Council [2004] 1 WLR 1057</x:v>
      </x:c>
      <x:c r="H203" s="14" t="str">
        <x:v>Gorringe v. Calderdale Metropolitan Borough Council [2004] 1 WLR 1057</x:v>
      </x:c>
      <x:c r="I203" s="14" t="str"/>
      <x:c r="J203" s="14" t="n">
        <x:v>1</x:v>
      </x:c>
      <x:c r="K203" s="14" t="str">
        <x:v>legalFramework.precedentCitations[0]</x:v>
      </x:c>
      <x:c r="L203" s="14" t="str">
        <x:v>cmsbr997n001l04l4etg0c8qb</x:v>
      </x:c>
      <x:c r="M203" s="14" t="str">
        <x:v>confirmed_within_10m</x:v>
      </x:c>
      <x:c r="N203" s="14" t="n">
        <x:v>132.284</x:v>
      </x:c>
      <x:c r="O203" s="14" t="str">
        <x:v>yes</x:v>
      </x:c>
      <x:c r="P203" s="14" t="str">
        <x:v>yes</x:v>
      </x:c>
      <x:c r="Q203" s="14" t="str">
        <x:v>exact_normalized_title</x:v>
      </x:c>
      <x:c r="R203" s="14" t="str">
        <x:v>high</x:v>
      </x:c>
      <x:c r="S203" s="14" t="n">
        <x:v>2</x:v>
      </x:c>
      <x:c r="T203" s="14" t="str">
        <x:v>bc30491e-9ae6-48da-90d0-71d8a8069b22</x:v>
      </x:c>
      <x:c r="U203" s="14" t="str">
        <x:v>Gorringe v. Calderdale Metropolitan Borough Council</x:v>
      </x:c>
      <x:c r="V203" s="15" t="n">
        <x:v>0.74105686</x:v>
      </x:c>
      <x:c r="W203" s="14" t="str">
        <x:v>no</x:v>
      </x:c>
      <x:c r="X203" s="14" t="str"/>
      <x:c r="Y203" s="14" t="str"/>
      <x:c r="Z203" s="14" t="str"/>
      <x:c r="AA203" s="14" t="str">
        <x:v>yes</x:v>
      </x:c>
    </x:row>
    <x:row r="204">
      <x:c r="A204" s="1" t="str">
        <x:v>U0342</x:v>
      </x:c>
      <x:c r="B204" s="1" t="str">
        <x:v>cmsbrc37v001x04l4t7r77h89</x:v>
      </x:c>
      <x:c r="C204" s="1" t="str">
        <x:v>ca-2023-002207-mr-demetrios-karpasitis-v-hertfordshire-county-appellant-skeleton</x:v>
      </x:c>
      <x:c r="D204" s="1" t="str">
        <x:v>real</x:v>
      </x:c>
      <x:c r="E204" s="14" t="str">
        <x:v>Mr Demetrios Karpasitis v Hertfordshire County Council</x:v>
      </x:c>
      <x:c r="F204" s="14" t="str">
        <x:v>case:2010 ewca civ 776</x:v>
      </x:c>
      <x:c r="G204" s="14" t="str">
        <x:v>Yetkin v London Borough of Newham</x:v>
      </x:c>
      <x:c r="H204" s="14" t="str">
        <x:v>[2010] EWCA Civ 776</x:v>
      </x:c>
      <x:c r="I204" s="14" t="str">
        <x:v>5a42b4bc-fe8f-47be-9b13-869933b2ddff</x:v>
      </x:c>
      <x:c r="J204" s="14" t="n">
        <x:v>3</x:v>
      </x:c>
      <x:c r="K204" s="14" t="str">
        <x:v>factualFindings.contestedFacts[1].sourceCases[0] | issuesForDetermination.issueMatrix[1].sourceCases[0] | reasoningStructure[1].sourceCases[0]</x:v>
      </x:c>
      <x:c r="L204" s="14" t="str">
        <x:v>cmsbr997n001l04l4etg0c8qb</x:v>
      </x:c>
      <x:c r="M204" s="14" t="str">
        <x:v>confirmed_within_10m</x:v>
      </x:c>
      <x:c r="N204" s="14" t="n">
        <x:v>132.284</x:v>
      </x:c>
      <x:c r="O204" s="14" t="str">
        <x:v>yes</x:v>
      </x:c>
      <x:c r="P204" s="14" t="str">
        <x:v>yes</x:v>
      </x:c>
      <x:c r="Q204" s="14" t="str">
        <x:v>exact_case_id</x:v>
      </x:c>
      <x:c r="R204" s="14" t="str">
        <x:v>definitive</x:v>
      </x:c>
      <x:c r="S204" s="14" t="n">
        <x:v>3</x:v>
      </x:c>
      <x:c r="T204" s="14" t="str">
        <x:v>5a42b4bc-fe8f-47be-9b13-869933b2ddff</x:v>
      </x:c>
      <x:c r="U204" s="14" t="str">
        <x:v>Yetkin v London Borough of Newham ([2010] EWCA Civ 776)</x:v>
      </x:c>
      <x:c r="V204" s="15" t="n">
        <x:v>0.72944266</x:v>
      </x:c>
      <x:c r="W204" s="14" t="str">
        <x:v>no</x:v>
      </x:c>
      <x:c r="X204" s="14" t="str"/>
      <x:c r="Y204" s="14" t="str"/>
      <x:c r="Z204" s="14" t="str"/>
      <x:c r="AA204" s="14" t="str">
        <x:v>yes</x:v>
      </x:c>
    </x:row>
    <x:row r="205">
      <x:c r="A205" s="1" t="str">
        <x:v>U0343</x:v>
      </x:c>
      <x:c r="B205" s="1" t="str">
        <x:v>cmsbrc37v001x04l4t7r77h89</x:v>
      </x:c>
      <x:c r="C205" s="1" t="str">
        <x:v>ca-2023-002207-mr-demetrios-karpasitis-v-hertfordshire-county-appellant-skeleton</x:v>
      </x:c>
      <x:c r="D205" s="1" t="str">
        <x:v>real</x:v>
      </x:c>
      <x:c r="E205" s="14" t="str">
        <x:v>Mr Demetrios Karpasitis v Hertfordshire County Council</x:v>
      </x:c>
      <x:c r="F205" s="14" t="str">
        <x:v>case:2016 ewhc 1767 qb</x:v>
      </x:c>
      <x:c r="G205" s="14" t="str">
        <x:v>King Lifting Ltd v Oxfordshire County Council</x:v>
      </x:c>
      <x:c r="H205" s="14" t="str">
        <x:v>[2016] EWHC 1767 (QB)</x:v>
      </x:c>
      <x:c r="I205" s="14" t="str">
        <x:v>52d20bb9-6964-44a6-9c32-d191ef76297c</x:v>
      </x:c>
      <x:c r="J205" s="14" t="n">
        <x:v>1</x:v>
      </x:c>
      <x:c r="K205" s="14" t="str">
        <x:v>issuesForDetermination.issueMatrix[0].sourceCases[0]</x:v>
      </x:c>
      <x:c r="L205" s="14" t="str">
        <x:v>cmsbr997n001l04l4etg0c8qb</x:v>
      </x:c>
      <x:c r="M205" s="14" t="str">
        <x:v>confirmed_within_10m</x:v>
      </x:c>
      <x:c r="N205" s="14" t="n">
        <x:v>132.284</x:v>
      </x:c>
      <x:c r="O205" s="14" t="str">
        <x:v>yes</x:v>
      </x:c>
      <x:c r="P205" s="14" t="str">
        <x:v>yes</x:v>
      </x:c>
      <x:c r="Q205" s="14" t="str">
        <x:v>exact_case_id</x:v>
      </x:c>
      <x:c r="R205" s="14" t="str">
        <x:v>definitive</x:v>
      </x:c>
      <x:c r="S205" s="14" t="n">
        <x:v>1</x:v>
      </x:c>
      <x:c r="T205" s="14" t="str">
        <x:v>52d20bb9-6964-44a6-9c32-d191ef76297c</x:v>
      </x:c>
      <x:c r="U205" s="14" t="str">
        <x:v>King Lifting Ltd v Oxfordshire County Council [2016] EWHC 1767 (QB)</x:v>
      </x:c>
      <x:c r="V205" s="15" t="n">
        <x:v>0.75449026</x:v>
      </x:c>
      <x:c r="W205" s="14" t="str">
        <x:v>no</x:v>
      </x:c>
      <x:c r="X205" s="14" t="str"/>
      <x:c r="Y205" s="14" t="str"/>
      <x:c r="Z205" s="14" t="str"/>
      <x:c r="AA205" s="14" t="str">
        <x:v>yes</x:v>
      </x:c>
    </x:row>
    <x:row r="206">
      <x:c r="A206" s="1" t="str">
        <x:v>U0344</x:v>
      </x:c>
      <x:c r="B206" s="1" t="str">
        <x:v>cmsbrc37v001x04l4t7r77h89</x:v>
      </x:c>
      <x:c r="C206" s="1" t="str">
        <x:v>ca-2023-002207-mr-demetrios-karpasitis-v-hertfordshire-county-appellant-skeleton</x:v>
      </x:c>
      <x:c r="D206" s="1" t="str">
        <x:v>real</x:v>
      </x:c>
      <x:c r="E206" s="14" t="str">
        <x:v>Mr Demetrios Karpasitis v Hertfordshire County Council</x:v>
      </x:c>
      <x:c r="F206" s="14" t="str">
        <x:v>case:gorringe v calderdale metropolitan borough council</x:v>
      </x:c>
      <x:c r="G206" s="14" t="str">
        <x:v>Gorringe v. Calderdale Metropolitan Borough Council</x:v>
      </x:c>
      <x:c r="H206" s="14" t="str"/>
      <x:c r="I206" s="14" t="str">
        <x:v>bc30491e-9ae6-48da-90d0-71d8a8069b22</x:v>
      </x:c>
      <x:c r="J206" s="14" t="n">
        <x:v>2</x:v>
      </x:c>
      <x:c r="K206" s="14" t="str">
        <x:v>factualFindings.contestedFacts[0].sourceCases[0] | reasoningStructure[0].sourceCases[0]</x:v>
      </x:c>
      <x:c r="L206" s="14" t="str">
        <x:v>cmsbr997n001l04l4etg0c8qb</x:v>
      </x:c>
      <x:c r="M206" s="14" t="str">
        <x:v>confirmed_within_10m</x:v>
      </x:c>
      <x:c r="N206" s="14" t="n">
        <x:v>132.284</x:v>
      </x:c>
      <x:c r="O206" s="14" t="str">
        <x:v>yes</x:v>
      </x:c>
      <x:c r="P206" s="14" t="str">
        <x:v>yes</x:v>
      </x:c>
      <x:c r="Q206" s="14" t="str">
        <x:v>exact_case_id</x:v>
      </x:c>
      <x:c r="R206" s="14" t="str">
        <x:v>definitive</x:v>
      </x:c>
      <x:c r="S206" s="14" t="n">
        <x:v>2</x:v>
      </x:c>
      <x:c r="T206" s="14" t="str">
        <x:v>bc30491e-9ae6-48da-90d0-71d8a8069b22</x:v>
      </x:c>
      <x:c r="U206" s="14" t="str">
        <x:v>Gorringe v. Calderdale Metropolitan Borough Council</x:v>
      </x:c>
      <x:c r="V206" s="15" t="n">
        <x:v>0.74105686</x:v>
      </x:c>
      <x:c r="W206" s="14" t="str">
        <x:v>no</x:v>
      </x:c>
      <x:c r="X206" s="14" t="str"/>
      <x:c r="Y206" s="14" t="str"/>
      <x:c r="Z206" s="14" t="str"/>
      <x:c r="AA206" s="14" t="str">
        <x:v>yes</x:v>
      </x:c>
    </x:row>
    <x:row r="207">
      <x:c r="A207" s="1" t="str">
        <x:v>U0348</x:v>
      </x:c>
      <x:c r="B207" s="1" t="str">
        <x:v>cmsbrqmhv000j04jp78i2n3gf</x:v>
      </x:c>
      <x:c r="C207" s="1" t="str">
        <x:v>ca-2024-001951-ksy-juice-blends-uk-limited-v-skeleton</x:v>
      </x:c>
      <x:c r="D207" s="1" t="str">
        <x:v>real</x:v>
      </x:c>
      <x:c r="E207" s="14" t="str">
        <x:v>KSY Juice Blends UK Limited v Citrusuco GmbH</x:v>
      </x:c>
      <x:c r="F207" s="14" t="str">
        <x:v>case:2000 1 wlr 377</x:v>
      </x:c>
      <x:c r="G207" s="14" t="str">
        <x:v>Flannery v Halifax Estate Agencies Ltd [2000] 1 WLR 377</x:v>
      </x:c>
      <x:c r="H207" s="14" t="str">
        <x:v>Flannery v Halifax Estate Agencies Ltd [2000] 1 WLR 377</x:v>
      </x:c>
      <x:c r="I207" s="14" t="str"/>
      <x:c r="J207" s="14" t="n">
        <x:v>1</x:v>
      </x:c>
      <x:c r="K207" s="14" t="str">
        <x:v>legalFramework.precedentCitations[1]</x:v>
      </x:c>
      <x:c r="L207" s="14" t="str">
        <x:v>cmsbrpoz0000d04jp4gktumzo</x:v>
      </x:c>
      <x:c r="M207" s="14" t="str">
        <x:v>confirmed_within_10m</x:v>
      </x:c>
      <x:c r="N207" s="14" t="n">
        <x:v>43.542</x:v>
      </x:c>
      <x:c r="O207" s="14" t="str">
        <x:v>yes</x:v>
      </x:c>
      <x:c r="P207" s="14" t="str">
        <x:v>no</x:v>
      </x:c>
      <x:c r="Q207" s="14" t="str">
        <x:v>none</x:v>
      </x:c>
      <x:c r="R207" s="14" t="str">
        <x:v>none</x:v>
      </x:c>
      <x:c r="S207" s="14" t="str"/>
      <x:c r="T207" s="14" t="str"/>
      <x:c r="U207" s="14" t="str"/>
      <x:c r="V207" s="15" t="str"/>
      <x:c r="W207" s="14" t="str">
        <x:v>no</x:v>
      </x:c>
      <x:c r="X207" s="14" t="str"/>
      <x:c r="Y207" s="14" t="str"/>
      <x:c r="Z207" s="14" t="str"/>
      <x:c r="AA207" s="14" t="str">
        <x:v>no</x:v>
      </x:c>
    </x:row>
    <x:row r="208">
      <x:c r="A208" s="1" t="str">
        <x:v>U0349</x:v>
      </x:c>
      <x:c r="B208" s="1" t="str">
        <x:v>cmsbrqmhv000j04jp78i2n3gf</x:v>
      </x:c>
      <x:c r="C208" s="1" t="str">
        <x:v>ca-2024-001951-ksy-juice-blends-uk-limited-v-skeleton</x:v>
      </x:c>
      <x:c r="D208" s="1" t="str">
        <x:v>real</x:v>
      </x:c>
      <x:c r="E208" s="14" t="str">
        <x:v>KSY Juice Blends UK Limited v Citrusuco GmbH</x:v>
      </x:c>
      <x:c r="F208" s="14" t="str">
        <x:v>case:2002 ewca civ 605</x:v>
      </x:c>
      <x:c r="G208" s="14" t="str">
        <x:v>English v Emery Reimbold &amp; Strick Ltd [2002] EWCA Civ 605</x:v>
      </x:c>
      <x:c r="H208" s="14" t="str">
        <x:v>English v Emery Reimbold &amp; Strick Ltd [2002] EWCA Civ 605</x:v>
      </x:c>
      <x:c r="I208" s="14" t="str"/>
      <x:c r="J208" s="14" t="n">
        <x:v>1</x:v>
      </x:c>
      <x:c r="K208" s="14" t="str">
        <x:v>legalFramework.precedentCitations[0]</x:v>
      </x:c>
      <x:c r="L208" s="14" t="str">
        <x:v>cmsbrpoz0000d04jp4gktumzo</x:v>
      </x:c>
      <x:c r="M208" s="14" t="str">
        <x:v>confirmed_within_10m</x:v>
      </x:c>
      <x:c r="N208" s="14" t="n">
        <x:v>43.542</x:v>
      </x:c>
      <x:c r="O208" s="14" t="str">
        <x:v>yes</x:v>
      </x:c>
      <x:c r="P208" s="14" t="str">
        <x:v>no</x:v>
      </x:c>
      <x:c r="Q208" s="14" t="str">
        <x:v>none</x:v>
      </x:c>
      <x:c r="R208" s="14" t="str">
        <x:v>none</x:v>
      </x:c>
      <x:c r="S208" s="14" t="str"/>
      <x:c r="T208" s="14" t="str"/>
      <x:c r="U208" s="14" t="str"/>
      <x:c r="V208" s="15" t="str"/>
      <x:c r="W208" s="14" t="str">
        <x:v>no</x:v>
      </x:c>
      <x:c r="X208" s="14" t="str"/>
      <x:c r="Y208" s="14" t="str"/>
      <x:c r="Z208" s="14" t="str"/>
      <x:c r="AA208" s="14" t="str">
        <x:v>no</x:v>
      </x:c>
    </x:row>
    <x:row r="209">
      <x:c r="A209" s="1" t="str">
        <x:v>U0350</x:v>
      </x:c>
      <x:c r="B209" s="1" t="str">
        <x:v>cmsbrqmhv000j04jp78i2n3gf</x:v>
      </x:c>
      <x:c r="C209" s="1" t="str">
        <x:v>ca-2024-001951-ksy-juice-blends-uk-limited-v-skeleton</x:v>
      </x:c>
      <x:c r="D209" s="1" t="str">
        <x:v>real</x:v>
      </x:c>
      <x:c r="E209" s="14" t="str">
        <x:v>KSY Juice Blends UK Limited v Citrusuco GmbH</x:v>
      </x:c>
      <x:c r="F209" s="14" t="str">
        <x:v>case:2016 ewca civ 372</x:v>
      </x:c>
      <x:c r="G209" s="14" t="str">
        <x:v>Transocean Drilling U.K. Ltd v Providence Resources Plc</x:v>
      </x:c>
      <x:c r="H209" s="14" t="str">
        <x:v>[2016] EWCA Civ 372</x:v>
      </x:c>
      <x:c r="I209" s="14" t="str">
        <x:v>2f55d6fc-d021-46d3-babd-7424b10b0d23</x:v>
      </x:c>
      <x:c r="J209" s="14" t="n">
        <x:v>1</x:v>
      </x:c>
      <x:c r="K209" s="14" t="str">
        <x:v>factualFindings.contestedFacts[1].sourceCases[0]</x:v>
      </x:c>
      <x:c r="L209" s="14" t="str">
        <x:v>cmsbrpoz0000d04jp4gktumzo</x:v>
      </x:c>
      <x:c r="M209" s="14" t="str">
        <x:v>confirmed_within_10m</x:v>
      </x:c>
      <x:c r="N209" s="14" t="n">
        <x:v>43.542</x:v>
      </x:c>
      <x:c r="O209" s="14" t="str">
        <x:v>yes</x:v>
      </x:c>
      <x:c r="P209" s="14" t="str">
        <x:v>yes</x:v>
      </x:c>
      <x:c r="Q209" s="14" t="str">
        <x:v>exact_case_id</x:v>
      </x:c>
      <x:c r="R209" s="14" t="str">
        <x:v>definitive</x:v>
      </x:c>
      <x:c r="S209" s="14" t="n">
        <x:v>3</x:v>
      </x:c>
      <x:c r="T209" s="14" t="str">
        <x:v>2f55d6fc-d021-46d3-babd-7424b10b0d23</x:v>
      </x:c>
      <x:c r="U209" s="14" t="str">
        <x:v>Transocean Drilling U.K. Ltd v Providence Resources Plc [2016] EWCA Civ 372</x:v>
      </x:c>
      <x:c r="V209" s="15" t="n">
        <x:v>0.675808</x:v>
      </x:c>
      <x:c r="W209" s="14" t="str">
        <x:v>no</x:v>
      </x:c>
      <x:c r="X209" s="14" t="str"/>
      <x:c r="Y209" s="14" t="str"/>
      <x:c r="Z209" s="14" t="str"/>
      <x:c r="AA209" s="14" t="str">
        <x:v>yes</x:v>
      </x:c>
    </x:row>
    <x:row r="210">
      <x:c r="A210" s="1" t="str">
        <x:v>U0351</x:v>
      </x:c>
      <x:c r="B210" s="1" t="str">
        <x:v>cmsbrqmhv000j04jp78i2n3gf</x:v>
      </x:c>
      <x:c r="C210" s="1" t="str">
        <x:v>ca-2024-001951-ksy-juice-blends-uk-limited-v-skeleton</x:v>
      </x:c>
      <x:c r="D210" s="1" t="str">
        <x:v>real</x:v>
      </x:c>
      <x:c r="E210" s="14" t="str">
        <x:v>KSY Juice Blends UK Limited v Citrusuco GmbH</x:v>
      </x:c>
      <x:c r="F210" s="14" t="str">
        <x:v>case:2022 ewca civ 978</x:v>
      </x:c>
      <x:c r="G210" s="14" t="str">
        <x:v>Union of Shop, Distributive and Allied Workers &amp; Ors v Tesco Stores Ltd</x:v>
      </x:c>
      <x:c r="H210" s="14" t="str">
        <x:v>(2022) EWCA Civ 978</x:v>
      </x:c>
      <x:c r="I210" s="14" t="str">
        <x:v>54d149f2-2e02-477e-8541-b2bf222578d6</x:v>
      </x:c>
      <x:c r="J210" s="14" t="n">
        <x:v>2</x:v>
      </x:c>
      <x:c r="K210" s="14" t="str">
        <x:v>issuesForDetermination.issueMatrix[0].sourceCases[0] | reasoningStructure[0].sourceCases[0]</x:v>
      </x:c>
      <x:c r="L210" s="14" t="str">
        <x:v>cmsbrpoz0000d04jp4gktumzo</x:v>
      </x:c>
      <x:c r="M210" s="14" t="str">
        <x:v>confirmed_within_10m</x:v>
      </x:c>
      <x:c r="N210" s="14" t="n">
        <x:v>43.542</x:v>
      </x:c>
      <x:c r="O210" s="14" t="str">
        <x:v>yes</x:v>
      </x:c>
      <x:c r="P210" s="14" t="str">
        <x:v>yes</x:v>
      </x:c>
      <x:c r="Q210" s="14" t="str">
        <x:v>exact_case_id</x:v>
      </x:c>
      <x:c r="R210" s="14" t="str">
        <x:v>definitive</x:v>
      </x:c>
      <x:c r="S210" s="14" t="n">
        <x:v>5</x:v>
      </x:c>
      <x:c r="T210" s="14" t="str">
        <x:v>54d149f2-2e02-477e-8541-b2bf222578d6</x:v>
      </x:c>
      <x:c r="U210" s="14" t="str">
        <x:v>Union of Shop, Distributive and Allied Workers &amp; Ors v Tesco Stores Ltd (2022) EWCA Civ 978</x:v>
      </x:c>
      <x:c r="V210" s="15" t="n">
        <x:v>0.6705182</x:v>
      </x:c>
      <x:c r="W210" s="14" t="str">
        <x:v>no</x:v>
      </x:c>
      <x:c r="X210" s="14" t="str"/>
      <x:c r="Y210" s="14" t="str"/>
      <x:c r="Z210" s="14" t="str"/>
      <x:c r="AA210" s="14" t="str">
        <x:v>yes</x:v>
      </x:c>
    </x:row>
    <x:row r="211">
      <x:c r="A211" s="1" t="str">
        <x:v>U0352</x:v>
      </x:c>
      <x:c r="B211" s="1" t="str">
        <x:v>cmsbrqmhv000j04jp78i2n3gf</x:v>
      </x:c>
      <x:c r="C211" s="1" t="str">
        <x:v>ca-2024-001951-ksy-juice-blends-uk-limited-v-skeleton</x:v>
      </x:c>
      <x:c r="D211" s="1" t="str">
        <x:v>real</x:v>
      </x:c>
      <x:c r="E211" s="14" t="str">
        <x:v>KSY Juice Blends UK Limited v Citrusuco GmbH</x:v>
      </x:c>
      <x:c r="F211" s="14" t="str">
        <x:v>case:2023 ewca civ 52</x:v>
      </x:c>
      <x:c r="G211" s="14" t="str">
        <x:v>Zymurgorium Ltd v Hammonds of Knutsford Plc</x:v>
      </x:c>
      <x:c r="H211" s="14" t="str">
        <x:v>[2023] EWCA Civ 52</x:v>
      </x:c>
      <x:c r="I211" s="14" t="str">
        <x:v>481bab6a-1b92-467d9838-15c341ee5a8c</x:v>
      </x:c>
      <x:c r="J211" s="14" t="n">
        <x:v>2</x:v>
      </x:c>
      <x:c r="K211" s="14" t="str">
        <x:v>issuesForDetermination.issueMatrix[1].sourceCases[0] | reasoningStructure[1].sourceCases[0]</x:v>
      </x:c>
      <x:c r="L211" s="14" t="str">
        <x:v>cmsbrpoz0000d04jp4gktumzo</x:v>
      </x:c>
      <x:c r="M211" s="14" t="str">
        <x:v>confirmed_within_10m</x:v>
      </x:c>
      <x:c r="N211" s="14" t="n">
        <x:v>43.542</x:v>
      </x:c>
      <x:c r="O211" s="14" t="str">
        <x:v>yes</x:v>
      </x:c>
      <x:c r="P211" s="14" t="str">
        <x:v>yes</x:v>
      </x:c>
      <x:c r="Q211" s="14" t="str">
        <x:v>exact_citation</x:v>
      </x:c>
      <x:c r="R211" s="14" t="str">
        <x:v>high</x:v>
      </x:c>
      <x:c r="S211" s="14" t="n">
        <x:v>4</x:v>
      </x:c>
      <x:c r="T211" s="14" t="str">
        <x:v>481bab6a-1b92-467d-9838-15c341ee5a8c</x:v>
      </x:c>
      <x:c r="U211" s="14" t="str">
        <x:v>Zymurgorium Ltd v Hammonds of Knutsford Plc [2023] EWCA Civ 52</x:v>
      </x:c>
      <x:c r="V211" s="15" t="n">
        <x:v>0.6705369</x:v>
      </x:c>
      <x:c r="W211" s="14" t="str">
        <x:v>no</x:v>
      </x:c>
      <x:c r="X211" s="14" t="str"/>
      <x:c r="Y211" s="14" t="str"/>
      <x:c r="Z211" s="14" t="str"/>
      <x:c r="AA211" s="14" t="str">
        <x:v>yes</x:v>
      </x:c>
    </x:row>
    <x:row r="212">
      <x:c r="A212" s="1" t="str">
        <x:v>U0353</x:v>
      </x:c>
      <x:c r="B212" s="1" t="str">
        <x:v>cmsbrqmhv000j04jp78i2n3gf</x:v>
      </x:c>
      <x:c r="C212" s="1" t="str">
        <x:v>ca-2024-001951-ksy-juice-blends-uk-limited-v-skeleton</x:v>
      </x:c>
      <x:c r="D212" s="1" t="str">
        <x:v>real</x:v>
      </x:c>
      <x:c r="E212" s="14" t="str">
        <x:v>KSY Juice Blends UK Limited v Citrusuco GmbH</x:v>
      </x:c>
      <x:c r="F212" s="14" t="str">
        <x:v>case:dixon &amp; anor v blindley heath investments ltd &amp; anor</x:v>
      </x:c>
      <x:c r="G212" s="14" t="str">
        <x:v>Dixon &amp; Anor v Blindley Heath Investments Ltd &amp; Anor</x:v>
      </x:c>
      <x:c r="H212" s="14" t="str">
        <x:v>N/A</x:v>
      </x:c>
      <x:c r="I212" s="14" t="str">
        <x:v>82d8ca93-47f5-468a-805f-22afbaf56924</x:v>
      </x:c>
      <x:c r="J212" s="14" t="n">
        <x:v>1</x:v>
      </x:c>
      <x:c r="K212" s="14" t="str">
        <x:v>factualFindings.contestedFacts[0].sourceCases[0]</x:v>
      </x:c>
      <x:c r="L212" s="14" t="str">
        <x:v>cmsbrpoz0000d04jp4gktumzo</x:v>
      </x:c>
      <x:c r="M212" s="14" t="str">
        <x:v>confirmed_within_10m</x:v>
      </x:c>
      <x:c r="N212" s="14" t="n">
        <x:v>43.542</x:v>
      </x:c>
      <x:c r="O212" s="14" t="str">
        <x:v>yes</x:v>
      </x:c>
      <x:c r="P212" s="14" t="str">
        <x:v>yes</x:v>
      </x:c>
      <x:c r="Q212" s="14" t="str">
        <x:v>exact_case_id</x:v>
      </x:c>
      <x:c r="R212" s="14" t="str">
        <x:v>definitive</x:v>
      </x:c>
      <x:c r="S212" s="14" t="n">
        <x:v>1</x:v>
      </x:c>
      <x:c r="T212" s="14" t="str">
        <x:v>82d8ca93-47f5-468a-805f-22afbaf56924</x:v>
      </x:c>
      <x:c r="U212" s="14" t="str">
        <x:v>Dixon &amp; Anor v Blindley Heath Investments Ltd &amp; Anor [2015] EWCA Civ 1023</x:v>
      </x:c>
      <x:c r="V212" s="15" t="n">
        <x:v>0.6894361</x:v>
      </x:c>
      <x:c r="W212" s="14" t="str">
        <x:v>no</x:v>
      </x:c>
      <x:c r="X212" s="14" t="str"/>
      <x:c r="Y212" s="14" t="str"/>
      <x:c r="Z212" s="14" t="str"/>
      <x:c r="AA212" s="14" t="str">
        <x:v>yes</x:v>
      </x:c>
    </x:row>
    <x:row r="213">
      <x:c r="A213" s="1" t="str">
        <x:v>U0357</x:v>
      </x:c>
      <x:c r="B213" s="1" t="str">
        <x:v>cmsbrvtc4001304jp5e4691on</x:v>
      </x:c>
      <x:c r="C213" s="1" t="str">
        <x:v>2023-002546-ryanair-dac-v-jason-lutz-appellant-skeleton</x:v>
      </x:c>
      <x:c r="D213" s="1" t="str">
        <x:v>real</x:v>
      </x:c>
      <x:c r="E213" s="14" t="str">
        <x:v>Ryanair DAC &amp; Storm Global Limited v Jason Lutz</x:v>
      </x:c>
      <x:c r="F213" s="14" t="str">
        <x:v>case:2000 1 wlr 377</x:v>
      </x:c>
      <x:c r="G213" s="14" t="str">
        <x:v>Flannery v Halifax Estate Agencies Ltd [2000] 1 WLR 377</x:v>
      </x:c>
      <x:c r="H213" s="14" t="str">
        <x:v>Flannery v Halifax Estate Agencies Ltd [2000] 1 WLR 377</x:v>
      </x:c>
      <x:c r="I213" s="14" t="str"/>
      <x:c r="J213" s="14" t="n">
        <x:v>1</x:v>
      </x:c>
      <x:c r="K213" s="14" t="str">
        <x:v>legalFramework.precedentCitations[1]</x:v>
      </x:c>
      <x:c r="L213" s="14" t="str">
        <x:v>cmsbrv0ui000x04jpfm1qjd05</x:v>
      </x:c>
      <x:c r="M213" s="14" t="str">
        <x:v>confirmed_within_10m</x:v>
      </x:c>
      <x:c r="N213" s="14" t="n">
        <x:v>37.006</x:v>
      </x:c>
      <x:c r="O213" s="14" t="str">
        <x:v>yes</x:v>
      </x:c>
      <x:c r="P213" s="14" t="str">
        <x:v>no</x:v>
      </x:c>
      <x:c r="Q213" s="14" t="str">
        <x:v>none</x:v>
      </x:c>
      <x:c r="R213" s="14" t="str">
        <x:v>none</x:v>
      </x:c>
      <x:c r="S213" s="14" t="str"/>
      <x:c r="T213" s="14" t="str"/>
      <x:c r="U213" s="14" t="str"/>
      <x:c r="V213" s="15" t="str"/>
      <x:c r="W213" s="14" t="str">
        <x:v>no</x:v>
      </x:c>
      <x:c r="X213" s="14" t="str"/>
      <x:c r="Y213" s="14" t="str"/>
      <x:c r="Z213" s="14" t="str"/>
      <x:c r="AA213" s="14" t="str">
        <x:v>no</x:v>
      </x:c>
    </x:row>
    <x:row r="214">
      <x:c r="A214" s="1" t="str">
        <x:v>U0358</x:v>
      </x:c>
      <x:c r="B214" s="1" t="str">
        <x:v>cmsbrvtc4001304jp5e4691on</x:v>
      </x:c>
      <x:c r="C214" s="1" t="str">
        <x:v>2023-002546-ryanair-dac-v-jason-lutz-appellant-skeleton</x:v>
      </x:c>
      <x:c r="D214" s="1" t="str">
        <x:v>real</x:v>
      </x:c>
      <x:c r="E214" s="14" t="str">
        <x:v>Ryanair DAC &amp; Storm Global Limited v Jason Lutz</x:v>
      </x:c>
      <x:c r="F214" s="14" t="str">
        <x:v>case:2002 ewca civ 605</x:v>
      </x:c>
      <x:c r="G214" s="14" t="str">
        <x:v>English v Emery Reimbold &amp; Strick Ltd [2002] EWCA Civ 605</x:v>
      </x:c>
      <x:c r="H214" s="14" t="str">
        <x:v>English v Emery Reimbold &amp; Strick Ltd [2002] EWCA Civ 605</x:v>
      </x:c>
      <x:c r="I214" s="14" t="str"/>
      <x:c r="J214" s="14" t="n">
        <x:v>1</x:v>
      </x:c>
      <x:c r="K214" s="14" t="str">
        <x:v>legalFramework.precedentCitations[0]</x:v>
      </x:c>
      <x:c r="L214" s="14" t="str">
        <x:v>cmsbrv0ui000x04jpfm1qjd05</x:v>
      </x:c>
      <x:c r="M214" s="14" t="str">
        <x:v>confirmed_within_10m</x:v>
      </x:c>
      <x:c r="N214" s="14" t="n">
        <x:v>37.006</x:v>
      </x:c>
      <x:c r="O214" s="14" t="str">
        <x:v>yes</x:v>
      </x:c>
      <x:c r="P214" s="14" t="str">
        <x:v>no</x:v>
      </x:c>
      <x:c r="Q214" s="14" t="str">
        <x:v>none</x:v>
      </x:c>
      <x:c r="R214" s="14" t="str">
        <x:v>none</x:v>
      </x:c>
      <x:c r="S214" s="14" t="str"/>
      <x:c r="T214" s="14" t="str"/>
      <x:c r="U214" s="14" t="str"/>
      <x:c r="V214" s="15" t="str"/>
      <x:c r="W214" s="14" t="str">
        <x:v>no</x:v>
      </x:c>
      <x:c r="X214" s="14" t="str"/>
      <x:c r="Y214" s="14" t="str"/>
      <x:c r="Z214" s="14" t="str"/>
      <x:c r="AA214" s="14" t="str">
        <x:v>no</x:v>
      </x:c>
    </x:row>
    <x:row r="215">
      <x:c r="A215" s="1" t="str">
        <x:v>U0359</x:v>
      </x:c>
      <x:c r="B215" s="1" t="str">
        <x:v>cmsbrvtc4001304jp5e4691on</x:v>
      </x:c>
      <x:c r="C215" s="1" t="str">
        <x:v>2023-002546-ryanair-dac-v-jason-lutz-appellant-skeleton</x:v>
      </x:c>
      <x:c r="D215" s="1" t="str">
        <x:v>real</x:v>
      </x:c>
      <x:c r="E215" s="14" t="str">
        <x:v>Ryanair DAC &amp; Storm Global Limited v Jason Lutz</x:v>
      </x:c>
      <x:c r="F215" s="14" t="str">
        <x:v>case:2014 ewca civ 410</x:v>
      </x:c>
      <x:c r="G215" s="14" t="str">
        <x:v>Ryanair Ltd v HM Revenue and Customs</x:v>
      </x:c>
      <x:c r="H215" s="14" t="str">
        <x:v>[2014] EWCA Civ 410</x:v>
      </x:c>
      <x:c r="I215" s="14" t="str">
        <x:v>75a20b14-f8c3-4078-b7f8-35b3a7d3864f</x:v>
      </x:c>
      <x:c r="J215" s="14" t="n">
        <x:v>1</x:v>
      </x:c>
      <x:c r="K215" s="14" t="str">
        <x:v>issuesForDetermination.issueMatrix[0].sourceCases[0]</x:v>
      </x:c>
      <x:c r="L215" s="14" t="str">
        <x:v>cmsbrv0ui000x04jpfm1qjd05</x:v>
      </x:c>
      <x:c r="M215" s="14" t="str">
        <x:v>confirmed_within_10m</x:v>
      </x:c>
      <x:c r="N215" s="14" t="n">
        <x:v>37.006</x:v>
      </x:c>
      <x:c r="O215" s="14" t="str">
        <x:v>yes</x:v>
      </x:c>
      <x:c r="P215" s="14" t="str">
        <x:v>yes</x:v>
      </x:c>
      <x:c r="Q215" s="14" t="str">
        <x:v>exact_case_id</x:v>
      </x:c>
      <x:c r="R215" s="14" t="str">
        <x:v>definitive</x:v>
      </x:c>
      <x:c r="S215" s="14" t="n">
        <x:v>3</x:v>
      </x:c>
      <x:c r="T215" s="14" t="str">
        <x:v>75a20b14-f8c3-4078-b7f8-35b3a7d3864f</x:v>
      </x:c>
      <x:c r="U215" s="14" t="str">
        <x:v>Ryanair Ltd v HM Revenue and Customs [2014] EWCA Civ 410</x:v>
      </x:c>
      <x:c r="V215" s="15" t="n">
        <x:v>0.6253593</x:v>
      </x:c>
      <x:c r="W215" s="14" t="str">
        <x:v>no</x:v>
      </x:c>
      <x:c r="X215" s="14" t="str"/>
      <x:c r="Y215" s="14" t="str"/>
      <x:c r="Z215" s="14" t="str"/>
      <x:c r="AA215" s="14" t="str">
        <x:v>yes</x:v>
      </x:c>
    </x:row>
    <x:row r="216">
      <x:c r="A216" s="1" t="str">
        <x:v>U0360</x:v>
      </x:c>
      <x:c r="B216" s="1" t="str">
        <x:v>cmsbrvtc4001304jp5e4691on</x:v>
      </x:c>
      <x:c r="C216" s="1" t="str">
        <x:v>2023-002546-ryanair-dac-v-jason-lutz-appellant-skeleton</x:v>
      </x:c>
      <x:c r="D216" s="1" t="str">
        <x:v>real</x:v>
      </x:c>
      <x:c r="E216" s="14" t="str">
        <x:v>Ryanair DAC &amp; Storm Global Limited v Jason Lutz</x:v>
      </x:c>
      <x:c r="F216" s="14" t="str">
        <x:v>case:2017 ewca civ 1054</x:v>
      </x:c>
      <x:c r="G216" s="14" t="str">
        <x:v>Tillman v Egon Zehnder Ltd</x:v>
      </x:c>
      <x:c r="H216" s="14" t="str">
        <x:v>[2017] EWCA Civ 1054</x:v>
      </x:c>
      <x:c r="I216" s="14" t="str">
        <x:v>b8de63a1-be7b-4764-8d72-2b529e7812b8</x:v>
      </x:c>
      <x:c r="J216" s="14" t="n">
        <x:v>1</x:v>
      </x:c>
      <x:c r="K216" s="14" t="str">
        <x:v>reasoningStructure[0].sourceCases[0]</x:v>
      </x:c>
      <x:c r="L216" s="14" t="str">
        <x:v>cmsbrv0ui000x04jpfm1qjd05</x:v>
      </x:c>
      <x:c r="M216" s="14" t="str">
        <x:v>confirmed_within_10m</x:v>
      </x:c>
      <x:c r="N216" s="14" t="n">
        <x:v>37.006</x:v>
      </x:c>
      <x:c r="O216" s="14" t="str">
        <x:v>yes</x:v>
      </x:c>
      <x:c r="P216" s="14" t="str">
        <x:v>yes</x:v>
      </x:c>
      <x:c r="Q216" s="14" t="str">
        <x:v>exact_case_id</x:v>
      </x:c>
      <x:c r="R216" s="14" t="str">
        <x:v>definitive</x:v>
      </x:c>
      <x:c r="S216" s="14" t="n">
        <x:v>5</x:v>
      </x:c>
      <x:c r="T216" s="14" t="str">
        <x:v>b8de63a1-be7b-4764-8d72-2b529e7812b8</x:v>
      </x:c>
      <x:c r="U216" s="14" t="str">
        <x:v>Tillman v Egon Zehnder Ltd [2017] EWCA Civ 1054</x:v>
      </x:c>
      <x:c r="V216" s="15" t="n">
        <x:v>0.61659855</x:v>
      </x:c>
      <x:c r="W216" s="14" t="str">
        <x:v>no</x:v>
      </x:c>
      <x:c r="X216" s="14" t="str"/>
      <x:c r="Y216" s="14" t="str"/>
      <x:c r="Z216" s="14" t="str"/>
      <x:c r="AA216" s="14" t="str">
        <x:v>yes</x:v>
      </x:c>
    </x:row>
    <x:row r="217">
      <x:c r="A217" s="1" t="str">
        <x:v>U0361</x:v>
      </x:c>
      <x:c r="B217" s="1" t="str">
        <x:v>cmsbrvtc4001304jp5e4691on</x:v>
      </x:c>
      <x:c r="C217" s="1" t="str">
        <x:v>2023-002546-ryanair-dac-v-jason-lutz-appellant-skeleton</x:v>
      </x:c>
      <x:c r="D217" s="1" t="str">
        <x:v>real</x:v>
      </x:c>
      <x:c r="E217" s="14" t="str">
        <x:v>Ryanair DAC &amp; Storm Global Limited v Jason Lutz</x:v>
      </x:c>
      <x:c r="F217" s="14" t="str">
        <x:v>case:2022 ewca civ 189</x:v>
      </x:c>
      <x:c r="G217" s="14" t="str">
        <x:v>Kocur v Angard Staffing Solutions Limited &amp; Anor</x:v>
      </x:c>
      <x:c r="H217" s="14" t="str">
        <x:v>[2022] EWCA Civ 189</x:v>
      </x:c>
      <x:c r="I217" s="14" t="str">
        <x:v>f8755763-8d90-4b51-8a0a-d11efa528908</x:v>
      </x:c>
      <x:c r="J217" s="14" t="n">
        <x:v>2</x:v>
      </x:c>
      <x:c r="K217" s="14" t="str">
        <x:v>factualFindings.contestedFacts[0].sourceCases[0] | legalFramework.statutoryProvisions[0].sourceCases[0]</x:v>
      </x:c>
      <x:c r="L217" s="14" t="str">
        <x:v>cmsbrv0ui000x04jpfm1qjd05</x:v>
      </x:c>
      <x:c r="M217" s="14" t="str">
        <x:v>confirmed_within_10m</x:v>
      </x:c>
      <x:c r="N217" s="14" t="n">
        <x:v>37.006</x:v>
      </x:c>
      <x:c r="O217" s="14" t="str">
        <x:v>yes</x:v>
      </x:c>
      <x:c r="P217" s="14" t="str">
        <x:v>yes</x:v>
      </x:c>
      <x:c r="Q217" s="14" t="str">
        <x:v>exact_case_id</x:v>
      </x:c>
      <x:c r="R217" s="14" t="str">
        <x:v>definitive</x:v>
      </x:c>
      <x:c r="S217" s="14" t="n">
        <x:v>1</x:v>
      </x:c>
      <x:c r="T217" s="14" t="str">
        <x:v>f8755763-8d90-4b51-8a0a-d11efa528908</x:v>
      </x:c>
      <x:c r="U217" s="14" t="str">
        <x:v>Kocur v Angard Staffing Solutions Limited &amp; Anor [2022] EWCA Civ 189</x:v>
      </x:c>
      <x:c r="V217" s="15" t="n">
        <x:v>0.6970478</x:v>
      </x:c>
      <x:c r="W217" s="14" t="str">
        <x:v>no</x:v>
      </x:c>
      <x:c r="X217" s="14" t="str"/>
      <x:c r="Y217" s="14" t="str"/>
      <x:c r="Z217" s="14" t="str"/>
      <x:c r="AA217" s="14" t="str">
        <x:v>yes</x:v>
      </x:c>
    </x:row>
    <x:row r="218">
      <x:c r="A218" s="1" t="str">
        <x:v>U0362</x:v>
      </x:c>
      <x:c r="B218" s="1" t="str">
        <x:v>cmsbrvtc4001304jp5e4691on</x:v>
      </x:c>
      <x:c r="C218" s="1" t="str">
        <x:v>2023-002546-ryanair-dac-v-jason-lutz-appellant-skeleton</x:v>
      </x:c>
      <x:c r="D218" s="1" t="str">
        <x:v>real</x:v>
      </x:c>
      <x:c r="E218" s="14" t="str">
        <x:v>Ryanair DAC &amp; Storm Global Limited v Jason Lutz</x:v>
      </x:c>
      <x:c r="F218" s="14" t="str">
        <x:v>case:2022 ewca civ 76</x:v>
      </x:c>
      <x:c r="G218" s="14" t="str">
        <x:v>The Civil Aviation Authority v Ryanair DAC</x:v>
      </x:c>
      <x:c r="H218" s="14" t="str">
        <x:v>[2022] EWCA Civ 76</x:v>
      </x:c>
      <x:c r="I218" s="14" t="str">
        <x:v>4f977444-ccac-4d7e-9884-b7b75680cfa6</x:v>
      </x:c>
      <x:c r="J218" s="14" t="n">
        <x:v>1</x:v>
      </x:c>
      <x:c r="K218" s="14" t="str">
        <x:v>factualFindings.contestedFacts[1].sourceCases[0]</x:v>
      </x:c>
      <x:c r="L218" s="14" t="str">
        <x:v>cmsbrv0ui000x04jpfm1qjd05</x:v>
      </x:c>
      <x:c r="M218" s="14" t="str">
        <x:v>confirmed_within_10m</x:v>
      </x:c>
      <x:c r="N218" s="14" t="n">
        <x:v>37.006</x:v>
      </x:c>
      <x:c r="O218" s="14" t="str">
        <x:v>yes</x:v>
      </x:c>
      <x:c r="P218" s="14" t="str">
        <x:v>yes</x:v>
      </x:c>
      <x:c r="Q218" s="14" t="str">
        <x:v>exact_case_id</x:v>
      </x:c>
      <x:c r="R218" s="14" t="str">
        <x:v>definitive</x:v>
      </x:c>
      <x:c r="S218" s="14" t="n">
        <x:v>2</x:v>
      </x:c>
      <x:c r="T218" s="14" t="str">
        <x:v>4f977444-ccac-4d7e-9884-b7b75680cfa6</x:v>
      </x:c>
      <x:c r="U218" s="14" t="str">
        <x:v>The Civil Aviation Authority v Ryanair DAC [2022] EWCA Civ 76</x:v>
      </x:c>
      <x:c r="V218" s="15" t="n">
        <x:v>0.6552846</x:v>
      </x:c>
      <x:c r="W218" s="14" t="str">
        <x:v>no</x:v>
      </x:c>
      <x:c r="X218" s="14" t="str"/>
      <x:c r="Y218" s="14" t="str"/>
      <x:c r="Z218" s="14" t="str"/>
      <x:c r="AA218" s="14" t="str">
        <x:v>yes</x:v>
      </x:c>
    </x:row>
    <x:row r="219">
      <x:c r="A219" s="1" t="str">
        <x:v>U0365</x:v>
      </x:c>
      <x:c r="B219" s="1" t="str">
        <x:v>cmsbskr86000h04ji5a4thcht</x:v>
      </x:c>
      <x:c r="C219" s="1" t="str">
        <x:v>ca-2023-002537-storm-global-limited-v-jason-lutz-appellant-skeleton</x:v>
      </x:c>
      <x:c r="D219" s="1" t="str">
        <x:v>real</x:v>
      </x:c>
      <x:c r="E219" s="14" t="str">
        <x:v>Storm Global Limited v Jason Lutz</x:v>
      </x:c>
      <x:c r="F219" s="14" t="str">
        <x:v>case:2022 ewca civ 189</x:v>
      </x:c>
      <x:c r="G219" s="14" t="str">
        <x:v>Kocur v Angard Staffing Solutions Limited &amp; Anor</x:v>
      </x:c>
      <x:c r="H219" s="14" t="str">
        <x:v>[2022] EWCA Civ 189</x:v>
      </x:c>
      <x:c r="I219" s="14" t="str">
        <x:v>f8755763-8d90-4b51-8a0a-d11efa528908</x:v>
      </x:c>
      <x:c r="J219" s="14" t="n">
        <x:v>3</x:v>
      </x:c>
      <x:c r="K219" s="14" t="str">
        <x:v>factualFindings.contestedFacts[0].sourceCases[1] | issuesForDetermination.issueMatrix[0].sourceCases[0] | reasoningStructure[0].sourceCases[1]</x:v>
      </x:c>
      <x:c r="L219" s="14" t="str">
        <x:v>cmsbsjzo7000b04ji6xjyj7y5</x:v>
      </x:c>
      <x:c r="M219" s="14" t="str">
        <x:v>confirmed_within_10m</x:v>
      </x:c>
      <x:c r="N219" s="14" t="n">
        <x:v>35.815</x:v>
      </x:c>
      <x:c r="O219" s="14" t="str">
        <x:v>yes</x:v>
      </x:c>
      <x:c r="P219" s="14" t="str">
        <x:v>yes</x:v>
      </x:c>
      <x:c r="Q219" s="14" t="str">
        <x:v>exact_case_id</x:v>
      </x:c>
      <x:c r="R219" s="14" t="str">
        <x:v>definitive</x:v>
      </x:c>
      <x:c r="S219" s="14" t="n">
        <x:v>2</x:v>
      </x:c>
      <x:c r="T219" s="14" t="str">
        <x:v>f8755763-8d90-4b51-8a0a-d11efa528908</x:v>
      </x:c>
      <x:c r="U219" s="14" t="str">
        <x:v>Kocur v Angard Staffing Solutions Limited &amp; Anor [2022] EWCA Civ 189</x:v>
      </x:c>
      <x:c r="V219" s="15" t="n">
        <x:v>0.6834504</x:v>
      </x:c>
      <x:c r="W219" s="14" t="str">
        <x:v>no</x:v>
      </x:c>
      <x:c r="X219" s="14" t="str"/>
      <x:c r="Y219" s="14" t="str"/>
      <x:c r="Z219" s="14" t="str"/>
      <x:c r="AA219" s="14" t="str">
        <x:v>yes</x:v>
      </x:c>
    </x:row>
    <x:row r="220">
      <x:c r="A220" s="1" t="str">
        <x:v>U0366</x:v>
      </x:c>
      <x:c r="B220" s="1" t="str">
        <x:v>cmsbskr86000h04ji5a4thcht</x:v>
      </x:c>
      <x:c r="C220" s="1" t="str">
        <x:v>ca-2023-002537-storm-global-limited-v-jason-lutz-appellant-skeleton</x:v>
      </x:c>
      <x:c r="D220" s="1" t="str">
        <x:v>real</x:v>
      </x:c>
      <x:c r="E220" s="14" t="str">
        <x:v>Storm Global Limited v Jason Lutz</x:v>
      </x:c>
      <x:c r="F220" s="14" t="str">
        <x:v>case:2022 ewca civ 229</x:v>
      </x:c>
      <x:c r="G220" s="14" t="str">
        <x:v>Nursing and Midwifery Council v Somerville</x:v>
      </x:c>
      <x:c r="H220" s="14" t="str">
        <x:v>[2022] EWCA Civ 229</x:v>
      </x:c>
      <x:c r="I220" s="14" t="str">
        <x:v>4a6e3c60-f40d-4a95-bd57-d62150508e45</x:v>
      </x:c>
      <x:c r="J220" s="14" t="n">
        <x:v>2</x:v>
      </x:c>
      <x:c r="K220" s="14" t="str">
        <x:v>factualFindings.contestedFacts[0].sourceCases[0] | reasoningStructure[0].sourceCases[0]</x:v>
      </x:c>
      <x:c r="L220" s="14" t="str">
        <x:v>cmsbsjzo7000b04ji6xjyj7y5</x:v>
      </x:c>
      <x:c r="M220" s="14" t="str">
        <x:v>confirmed_within_10m</x:v>
      </x:c>
      <x:c r="N220" s="14" t="n">
        <x:v>35.815</x:v>
      </x:c>
      <x:c r="O220" s="14" t="str">
        <x:v>yes</x:v>
      </x:c>
      <x:c r="P220" s="14" t="str">
        <x:v>yes</x:v>
      </x:c>
      <x:c r="Q220" s="14" t="str">
        <x:v>exact_case_id</x:v>
      </x:c>
      <x:c r="R220" s="14" t="str">
        <x:v>definitive</x:v>
      </x:c>
      <x:c r="S220" s="14" t="n">
        <x:v>1</x:v>
      </x:c>
      <x:c r="T220" s="14" t="str">
        <x:v>4a6e3c60-f40d-4a95-bd57-d62150508e45</x:v>
      </x:c>
      <x:c r="U220" s="14" t="str">
        <x:v>Nursing and Midwifery Council v Somerville [2022] EWCA Civ 229</x:v>
      </x:c>
      <x:c r="V220" s="15" t="n">
        <x:v>0.6961146</x:v>
      </x:c>
      <x:c r="W220" s="14" t="str">
        <x:v>no</x:v>
      </x:c>
      <x:c r="X220" s="14" t="str"/>
      <x:c r="Y220" s="14" t="str"/>
      <x:c r="Z220" s="14" t="str"/>
      <x:c r="AA220" s="14" t="str">
        <x:v>yes</x:v>
      </x:c>
    </x:row>
    <x:row r="221">
      <x:c r="A221" s="1" t="str">
        <x:v>U0367</x:v>
      </x:c>
      <x:c r="B221" s="1" t="str">
        <x:v>cmsbskr86000h04ji5a4thcht</x:v>
      </x:c>
      <x:c r="C221" s="1" t="str">
        <x:v>ca-2023-002537-storm-global-limited-v-jason-lutz-appellant-skeleton</x:v>
      </x:c>
      <x:c r="D221" s="1" t="str">
        <x:v>real</x:v>
      </x:c>
      <x:c r="E221" s="14" t="str">
        <x:v>Storm Global Limited v Jason Lutz</x:v>
      </x:c>
      <x:c r="F221" s="14" t="str">
        <x:v>case:james v greenwich bc 2008 irlr 302</x:v>
      </x:c>
      <x:c r="G221" s="14" t="str">
        <x:v>James v Greenwich BC [2008] IRLR 302</x:v>
      </x:c>
      <x:c r="H221" s="14" t="str">
        <x:v>James v Greenwich BC [2008] IRLR 302</x:v>
      </x:c>
      <x:c r="I221" s="14" t="str"/>
      <x:c r="J221" s="14" t="n">
        <x:v>1</x:v>
      </x:c>
      <x:c r="K221" s="14" t="str">
        <x:v>legalFramework.precedentCitations[0]</x:v>
      </x:c>
      <x:c r="L221" s="14" t="str">
        <x:v>cmsbsjzo7000b04ji6xjyj7y5</x:v>
      </x:c>
      <x:c r="M221" s="14" t="str">
        <x:v>confirmed_within_10m</x:v>
      </x:c>
      <x:c r="N221" s="14" t="n">
        <x:v>35.815</x:v>
      </x:c>
      <x:c r="O221" s="14" t="str">
        <x:v>yes</x:v>
      </x:c>
      <x:c r="P221" s="14" t="str">
        <x:v>no</x:v>
      </x:c>
      <x:c r="Q221" s="14" t="str">
        <x:v>none</x:v>
      </x:c>
      <x:c r="R221" s="14" t="str">
        <x:v>none</x:v>
      </x:c>
      <x:c r="S221" s="14" t="str"/>
      <x:c r="T221" s="14" t="str"/>
      <x:c r="U221" s="14" t="str"/>
      <x:c r="V221" s="15" t="str"/>
      <x:c r="W221" s="14" t="str">
        <x:v>no</x:v>
      </x:c>
      <x:c r="X221" s="14" t="str"/>
      <x:c r="Y221" s="14" t="str"/>
      <x:c r="Z221" s="14" t="str"/>
      <x:c r="AA221" s="14" t="str">
        <x:v>no</x:v>
      </x:c>
    </x:row>
    <x:row r="222">
      <x:c r="A222" s="1" t="str">
        <x:v>U0368</x:v>
      </x:c>
      <x:c r="B222" s="1" t="str">
        <x:v>cmsbskr86000h04ji5a4thcht</x:v>
      </x:c>
      <x:c r="C222" s="1" t="str">
        <x:v>ca-2023-002537-storm-global-limited-v-jason-lutz-appellant-skeleton</x:v>
      </x:c>
      <x:c r="D222" s="1" t="str">
        <x:v>real</x:v>
      </x:c>
      <x:c r="E222" s="14" t="str">
        <x:v>Storm Global Limited v Jason Lutz</x:v>
      </x:c>
      <x:c r="F222" s="14" t="str">
        <x:v>case:uber bv v aslam 2021 icr 657</x:v>
      </x:c>
      <x:c r="G222" s="14" t="str">
        <x:v>Uber BV v Aslam [2021] ICR 657</x:v>
      </x:c>
      <x:c r="H222" s="14" t="str">
        <x:v>Uber BV v Aslam [2021] ICR 657</x:v>
      </x:c>
      <x:c r="I222" s="14" t="str"/>
      <x:c r="J222" s="14" t="n">
        <x:v>1</x:v>
      </x:c>
      <x:c r="K222" s="14" t="str">
        <x:v>legalFramework.precedentCitations[1]</x:v>
      </x:c>
      <x:c r="L222" s="14" t="str">
        <x:v>cmsbsjzo7000b04ji6xjyj7y5</x:v>
      </x:c>
      <x:c r="M222" s="14" t="str">
        <x:v>confirmed_within_10m</x:v>
      </x:c>
      <x:c r="N222" s="14" t="n">
        <x:v>35.815</x:v>
      </x:c>
      <x:c r="O222" s="14" t="str">
        <x:v>yes</x:v>
      </x:c>
      <x:c r="P222" s="14" t="str">
        <x:v>no</x:v>
      </x:c>
      <x:c r="Q222" s="14" t="str">
        <x:v>none</x:v>
      </x:c>
      <x:c r="R222" s="14" t="str">
        <x:v>none</x:v>
      </x:c>
      <x:c r="S222" s="14" t="str"/>
      <x:c r="T222" s="14" t="str"/>
      <x:c r="U222" s="14" t="str"/>
      <x:c r="V222" s="15" t="str"/>
      <x:c r="W222" s="14" t="str">
        <x:v>no</x:v>
      </x:c>
      <x:c r="X222" s="14" t="str"/>
      <x:c r="Y222" s="14" t="str"/>
      <x:c r="Z222" s="14" t="str"/>
      <x:c r="AA222" s="14" t="str">
        <x:v>no</x:v>
      </x:c>
    </x:row>
    <x:row r="223">
      <x:c r="A223" s="1" t="str">
        <x:v>U0373</x:v>
      </x:c>
      <x:c r="B223" s="1" t="str">
        <x:v>cmsbsp3em001104ji2u62id7q</x:v>
      </x:c>
      <x:c r="C223" s="1" t="str">
        <x:v>ca-2024-000624 and ca-2024-000625-the-royal-embassy-of-saudi-arabia-appellant-skeleton</x:v>
      </x:c>
      <x:c r="D223" s="1" t="str">
        <x:v>real</x:v>
      </x:c>
      <x:c r="E223" s="14" t="str">
        <x:v>The Royal Embassy of Saudi Arabia (Cultural Bureau) v Abir Alhayali</x:v>
      </x:c>
      <x:c r="F223" s="14" t="str">
        <x:v>case:2002 ewca civ 605</x:v>
      </x:c>
      <x:c r="G223" s="14" t="str">
        <x:v>[2002] EWCA Civ 605</x:v>
      </x:c>
      <x:c r="H223" s="14" t="str">
        <x:v>[2002] EWCA Civ 605</x:v>
      </x:c>
      <x:c r="I223" s="14" t="str"/>
      <x:c r="J223" s="14" t="n">
        <x:v>1</x:v>
      </x:c>
      <x:c r="K223" s="14" t="str">
        <x:v>legalFramework.precedentCitations[0]</x:v>
      </x:c>
      <x:c r="L223" s="14" t="str">
        <x:v>cmsbso1ez000v04jiujckeft7</x:v>
      </x:c>
      <x:c r="M223" s="14" t="str">
        <x:v>confirmed_within_10m</x:v>
      </x:c>
      <x:c r="N223" s="14" t="n">
        <x:v>49.337</x:v>
      </x:c>
      <x:c r="O223" s="14" t="str">
        <x:v>yes</x:v>
      </x:c>
      <x:c r="P223" s="14" t="str">
        <x:v>no</x:v>
      </x:c>
      <x:c r="Q223" s="14" t="str">
        <x:v>none</x:v>
      </x:c>
      <x:c r="R223" s="14" t="str">
        <x:v>none</x:v>
      </x:c>
      <x:c r="S223" s="14" t="str"/>
      <x:c r="T223" s="14" t="str"/>
      <x:c r="U223" s="14" t="str"/>
      <x:c r="V223" s="15" t="str"/>
      <x:c r="W223" s="14" t="str">
        <x:v>no</x:v>
      </x:c>
      <x:c r="X223" s="14" t="str"/>
      <x:c r="Y223" s="14" t="str"/>
      <x:c r="Z223" s="14" t="str"/>
      <x:c r="AA223" s="14" t="str">
        <x:v>no</x:v>
      </x:c>
    </x:row>
    <x:row r="224">
      <x:c r="A224" s="1" t="str">
        <x:v>U0374</x:v>
      </x:c>
      <x:c r="B224" s="1" t="str">
        <x:v>cmsbsp3em001104ji2u62id7q</x:v>
      </x:c>
      <x:c r="C224" s="1" t="str">
        <x:v>ca-2024-000624 and ca-2024-000625-the-royal-embassy-of-saudi-arabia-appellant-skeleton</x:v>
      </x:c>
      <x:c r="D224" s="1" t="str">
        <x:v>real</x:v>
      </x:c>
      <x:c r="E224" s="14" t="str">
        <x:v>The Royal Embassy of Saudi Arabia (Cultural Bureau) v Abir Alhayali</x:v>
      </x:c>
      <x:c r="F224" s="14" t="str">
        <x:v>case:2014 ewca civ 1394</x:v>
      </x:c>
      <x:c r="G224" s="14" t="str">
        <x:v>Belhaj &amp; Anor v Straw &amp; Ors</x:v>
      </x:c>
      <x:c r="H224" s="14" t="str">
        <x:v>[2014] EWCA Civ 1394</x:v>
      </x:c>
      <x:c r="I224" s="14" t="str">
        <x:v>47b7ca59-4dae-4e38-9b19-66a4d28a1d9e</x:v>
      </x:c>
      <x:c r="J224" s="14" t="n">
        <x:v>3</x:v>
      </x:c>
      <x:c r="K224" s="14" t="str">
        <x:v>factualFindings.contestedFacts[2].sourceCases[0] | issuesForDetermination.issueMatrix[1].sourceCases[0] | reasoningStructure[1].sourceCases[0]</x:v>
      </x:c>
      <x:c r="L224" s="14" t="str">
        <x:v>cmsbso1ez000v04jiujckeft7</x:v>
      </x:c>
      <x:c r="M224" s="14" t="str">
        <x:v>confirmed_within_10m</x:v>
      </x:c>
      <x:c r="N224" s="14" t="n">
        <x:v>49.337</x:v>
      </x:c>
      <x:c r="O224" s="14" t="str">
        <x:v>yes</x:v>
      </x:c>
      <x:c r="P224" s="14" t="str">
        <x:v>yes</x:v>
      </x:c>
      <x:c r="Q224" s="14" t="str">
        <x:v>exact_case_id</x:v>
      </x:c>
      <x:c r="R224" s="14" t="str">
        <x:v>definitive</x:v>
      </x:c>
      <x:c r="S224" s="14" t="n">
        <x:v>5</x:v>
      </x:c>
      <x:c r="T224" s="14" t="str">
        <x:v>47b7ca59-4dae-4e38-9b19-66a4d28a1d9e</x:v>
      </x:c>
      <x:c r="U224" s="14" t="str">
        <x:v>Belhaj &amp; Anor v Straw &amp; Ors [2014] EWCA Civ 1394</x:v>
      </x:c>
      <x:c r="V224" s="15" t="n">
        <x:v>0.7013993</x:v>
      </x:c>
      <x:c r="W224" s="14" t="str">
        <x:v>no</x:v>
      </x:c>
      <x:c r="X224" s="14" t="str"/>
      <x:c r="Y224" s="14" t="str"/>
      <x:c r="Z224" s="14" t="str"/>
      <x:c r="AA224" s="14" t="str">
        <x:v>yes</x:v>
      </x:c>
    </x:row>
    <x:row r="225">
      <x:c r="A225" s="1" t="str">
        <x:v>U0375</x:v>
      </x:c>
      <x:c r="B225" s="1" t="str">
        <x:v>cmsbsp3em001104ji2u62id7q</x:v>
      </x:c>
      <x:c r="C225" s="1" t="str">
        <x:v>ca-2024-000624 and ca-2024-000625-the-royal-embassy-of-saudi-arabia-appellant-skeleton</x:v>
      </x:c>
      <x:c r="D225" s="1" t="str">
        <x:v>real</x:v>
      </x:c>
      <x:c r="E225" s="14" t="str">
        <x:v>The Royal Embassy of Saudi Arabia (Cultural Bureau) v Abir Alhayali</x:v>
      </x:c>
      <x:c r="F225" s="14" t="str">
        <x:v>case:benkharbouche &amp; anor v embassy of the republic of sudan</x:v>
      </x:c>
      <x:c r="G225" s="14" t="str">
        <x:v>Benkharbouche &amp; Anor v Embassy of the Republic of Sudan</x:v>
      </x:c>
      <x:c r="H225" s="14" t="str">
        <x:v>N/A</x:v>
      </x:c>
      <x:c r="I225" s="14" t="str">
        <x:v>48a6c9aa-6aaf-46f0-a0a1-db486992f637</x:v>
      </x:c>
      <x:c r="J225" s="14" t="n">
        <x:v>4</x:v>
      </x:c>
      <x:c r="K225" s="14" t="str">
        <x:v>factualFindings.contestedFacts[1].sourceCases[0] | issuesForDetermination.issueMatrix[0].sourceCases[0] | legalFramework.statutoryProvisions[0].sourceCases[0] | reasoningStructure[0].sourceCases[0]</x:v>
      </x:c>
      <x:c r="L225" s="14" t="str">
        <x:v>cmsbso1ez000v04jiujckeft7</x:v>
      </x:c>
      <x:c r="M225" s="14" t="str">
        <x:v>confirmed_within_10m</x:v>
      </x:c>
      <x:c r="N225" s="14" t="n">
        <x:v>49.337</x:v>
      </x:c>
      <x:c r="O225" s="14" t="str">
        <x:v>yes</x:v>
      </x:c>
      <x:c r="P225" s="14" t="str">
        <x:v>yes</x:v>
      </x:c>
      <x:c r="Q225" s="14" t="str">
        <x:v>exact_case_id</x:v>
      </x:c>
      <x:c r="R225" s="14" t="str">
        <x:v>definitive</x:v>
      </x:c>
      <x:c r="S225" s="14" t="n">
        <x:v>3</x:v>
      </x:c>
      <x:c r="T225" s="14" t="str">
        <x:v>48a6c9aa-6aaf-46f0-a0a1-db486992f637</x:v>
      </x:c>
      <x:c r="U225" s="14" t="str">
        <x:v>Benkharbouche &amp; Anor v Embassy of the Republic of Sudan</x:v>
      </x:c>
      <x:c r="V225" s="15" t="n">
        <x:v>0.7409455</x:v>
      </x:c>
      <x:c r="W225" s="14" t="str">
        <x:v>no</x:v>
      </x:c>
      <x:c r="X225" s="14" t="str"/>
      <x:c r="Y225" s="14" t="str"/>
      <x:c r="Z225" s="14" t="str"/>
      <x:c r="AA225" s="14" t="str">
        <x:v>yes</x:v>
      </x:c>
    </x:row>
    <x:row r="226">
      <x:c r="A226" s="1" t="str">
        <x:v>U0376</x:v>
      </x:c>
      <x:c r="B226" s="1" t="str">
        <x:v>cmsbsp3em001104ji2u62id7q</x:v>
      </x:c>
      <x:c r="C226" s="1" t="str">
        <x:v>ca-2024-000624 and ca-2024-000625-the-royal-embassy-of-saudi-arabia-appellant-skeleton</x:v>
      </x:c>
      <x:c r="D226" s="1" t="str">
        <x:v>real</x:v>
      </x:c>
      <x:c r="E226" s="14" t="str">
        <x:v>The Royal Embassy of Saudi Arabia (Cultural Bureau) v Abir Alhayali</x:v>
      </x:c>
      <x:c r="F226" s="14" t="str">
        <x:v>case:sayn wittgenstein sayn v hm juan carlos alfonso victor mari a de borbo n y borbo n rev1</x:v>
      </x:c>
      <x:c r="G226" s="14" t="str">
        <x:v>Sayn-Wittgenstein-Sayn v HM Juan Carlos Alfonso Victor María de Borbón y Borbón (Rev1)</x:v>
      </x:c>
      <x:c r="H226" s="14" t="str">
        <x:v>N/A</x:v>
      </x:c>
      <x:c r="I226" s="14" t="str">
        <x:v>2e88bc46-6293-4125-beac-79bb041f2d4c</x:v>
      </x:c>
      <x:c r="J226" s="14" t="n">
        <x:v>2</x:v>
      </x:c>
      <x:c r="K226" s="14" t="str">
        <x:v>issuesForDetermination.issueMatrix[2].sourceCases[0] | reasoningStructure[2].sourceCases[0]</x:v>
      </x:c>
      <x:c r="L226" s="14" t="str">
        <x:v>cmsbso1ez000v04jiujckeft7</x:v>
      </x:c>
      <x:c r="M226" s="14" t="str">
        <x:v>confirmed_within_10m</x:v>
      </x:c>
      <x:c r="N226" s="14" t="n">
        <x:v>49.337</x:v>
      </x:c>
      <x:c r="O226" s="14" t="str">
        <x:v>yes</x:v>
      </x:c>
      <x:c r="P226" s="14" t="str">
        <x:v>yes</x:v>
      </x:c>
      <x:c r="Q226" s="14" t="str">
        <x:v>exact_case_id</x:v>
      </x:c>
      <x:c r="R226" s="14" t="str">
        <x:v>definitive</x:v>
      </x:c>
      <x:c r="S226" s="14" t="n">
        <x:v>2</x:v>
      </x:c>
      <x:c r="T226" s="14" t="str">
        <x:v>2e88bc46-6293-4125-beac-79bb041f2d4c</x:v>
      </x:c>
      <x:c r="U226" s="14" t="str">
        <x:v>Sayn-Wittgenstein-Sayn v HM Juan Carlos Alfonso Victor María de Borbón y Borbón (Rev1) [2022] EWCA Civ 1595</x:v>
      </x:c>
      <x:c r="V226" s="15" t="n">
        <x:v>0.7417507</x:v>
      </x:c>
      <x:c r="W226" s="14" t="str">
        <x:v>no</x:v>
      </x:c>
      <x:c r="X226" s="14" t="str"/>
      <x:c r="Y226" s="14" t="str"/>
      <x:c r="Z226" s="14" t="str"/>
      <x:c r="AA226" s="14" t="str">
        <x:v>yes</x:v>
      </x:c>
    </x:row>
    <x:row r="227">
      <x:c r="A227" s="1" t="str">
        <x:v>U0383</x:v>
      </x:c>
      <x:c r="B227" s="1" t="str">
        <x:v>cmsbsqcqm001d04ji3ses9ih9</x:v>
      </x:c>
      <x:c r="C227" s="1" t="str">
        <x:v>ca-2024-000624 and ca-2024-000625-the-royal-embassy-of-saudi-arabia-appellant-skeleton</x:v>
      </x:c>
      <x:c r="D227" s="1" t="str">
        <x:v>real</x:v>
      </x:c>
      <x:c r="E227" s="14" t="str">
        <x:v>The Royal Embassy of Saudi Arabia (Cultural Bureau) v Abir Alhayali</x:v>
      </x:c>
      <x:c r="F227" s="14" t="str">
        <x:v>case:2016 ewca civ 1099</x:v>
      </x:c>
      <x:c r="G227" s="14" t="str">
        <x:v>Bestfort Developments LLP &amp; Ors v Ras Al Khaimah Investment Authority &amp; Ors</x:v>
      </x:c>
      <x:c r="H227" s="14" t="str">
        <x:v>[2016] EWCA Civ 1099</x:v>
      </x:c>
      <x:c r="I227" s="14" t="str">
        <x:v>95a09909-d350-4cc6-8e33-4153cfe28a7f</x:v>
      </x:c>
      <x:c r="J227" s="14" t="n">
        <x:v>1</x:v>
      </x:c>
      <x:c r="K227" s="14" t="str">
        <x:v>factualFindings.chronology[2].sourceCases[0]</x:v>
      </x:c>
      <x:c r="L227" s="14" t="str">
        <x:v>cmsbsp6wa001704jitdvkybp9</x:v>
      </x:c>
      <x:c r="M227" s="14" t="str">
        <x:v>confirmed_within_10m</x:v>
      </x:c>
      <x:c r="N227" s="14" t="n">
        <x:v>54.317</x:v>
      </x:c>
      <x:c r="O227" s="14" t="str">
        <x:v>yes</x:v>
      </x:c>
      <x:c r="P227" s="14" t="str">
        <x:v>yes</x:v>
      </x:c>
      <x:c r="Q227" s="14" t="str">
        <x:v>exact_case_id</x:v>
      </x:c>
      <x:c r="R227" s="14" t="str">
        <x:v>definitive</x:v>
      </x:c>
      <x:c r="S227" s="14" t="n">
        <x:v>9</x:v>
      </x:c>
      <x:c r="T227" s="14" t="str">
        <x:v>95a09909-d350-4cc6-8e33-4153cfe28a7f</x:v>
      </x:c>
      <x:c r="U227" s="14" t="str">
        <x:v>Bestfort Developments LLP &amp; Ors v Ras Al Khaimah Investment Authority &amp; Ors [2016] EWCA Civ 1099</x:v>
      </x:c>
      <x:c r="V227" s="15" t="n">
        <x:v>0.6618103</x:v>
      </x:c>
      <x:c r="W227" s="14" t="str">
        <x:v>no</x:v>
      </x:c>
      <x:c r="X227" s="14" t="str"/>
      <x:c r="Y227" s="14" t="str"/>
      <x:c r="Z227" s="14" t="str"/>
      <x:c r="AA227" s="14" t="str">
        <x:v>yes</x:v>
      </x:c>
    </x:row>
    <x:row r="228">
      <x:c r="A228" s="1" t="str">
        <x:v>U0384</x:v>
      </x:c>
      <x:c r="B228" s="1" t="str">
        <x:v>cmsbsqcqm001d04ji3ses9ih9</x:v>
      </x:c>
      <x:c r="C228" s="1" t="str">
        <x:v>ca-2024-000624 and ca-2024-000625-the-royal-embassy-of-saudi-arabia-appellant-skeleton</x:v>
      </x:c>
      <x:c r="D228" s="1" t="str">
        <x:v>real</x:v>
      </x:c>
      <x:c r="E228" s="14" t="str">
        <x:v>The Royal Embassy of Saudi Arabia (Cultural Bureau) v Abir Alhayali</x:v>
      </x:c>
      <x:c r="F228" s="14" t="str">
        <x:v>case:benkharbouche v embassy of the republic of sudan</x:v>
      </x:c>
      <x:c r="G228" s="14" t="str">
        <x:v>Benkharbouche v Embassy of the Republic of Sudan</x:v>
      </x:c>
      <x:c r="H228" s="14" t="str">
        <x:v>Benkharbouche v Embassy of the Republic of Sudan</x:v>
      </x:c>
      <x:c r="I228" s="14" t="str"/>
      <x:c r="J228" s="14" t="n">
        <x:v>1</x:v>
      </x:c>
      <x:c r="K228" s="14" t="str">
        <x:v>legalFramework.legalTestSummaries[0].sourceAuthority</x:v>
      </x:c>
      <x:c r="L228" s="14" t="str">
        <x:v>cmsbsp6wa001704jitdvkybp9</x:v>
      </x:c>
      <x:c r="M228" s="14" t="str">
        <x:v>confirmed_within_10m</x:v>
      </x:c>
      <x:c r="N228" s="14" t="n">
        <x:v>54.317</x:v>
      </x:c>
      <x:c r="O228" s="14" t="str">
        <x:v>yes</x:v>
      </x:c>
      <x:c r="P228" s="14" t="str">
        <x:v>yes</x:v>
      </x:c>
      <x:c r="Q228" s="14" t="str">
        <x:v>exact_normalized_title</x:v>
      </x:c>
      <x:c r="R228" s="14" t="str">
        <x:v>high</x:v>
      </x:c>
      <x:c r="S228" s="14" t="n">
        <x:v>3</x:v>
      </x:c>
      <x:c r="T228" s="14" t="str">
        <x:v>48a6c9aa-6aaf-46f0-a0a1-db486992f637</x:v>
      </x:c>
      <x:c r="U228" s="14" t="str">
        <x:v>Benkharbouche &amp; Anor v Embassy of the Republic of Sudan</x:v>
      </x:c>
      <x:c r="V228" s="15" t="n">
        <x:v>0.74088013</x:v>
      </x:c>
      <x:c r="W228" s="14" t="str">
        <x:v>no</x:v>
      </x:c>
      <x:c r="X228" s="14" t="str"/>
      <x:c r="Y228" s="14" t="str"/>
      <x:c r="Z228" s="14" t="str"/>
      <x:c r="AA228" s="14" t="str">
        <x:v>yes</x:v>
      </x:c>
    </x:row>
    <x:row r="229">
      <x:c r="A229" s="1" t="str">
        <x:v>U0385</x:v>
      </x:c>
      <x:c r="B229" s="1" t="str">
        <x:v>cmsbsqcqm001d04ji3ses9ih9</x:v>
      </x:c>
      <x:c r="C229" s="1" t="str">
        <x:v>ca-2024-000624 and ca-2024-000625-the-royal-embassy-of-saudi-arabia-appellant-skeleton</x:v>
      </x:c>
      <x:c r="D229" s="1" t="str">
        <x:v>real</x:v>
      </x:c>
      <x:c r="E229" s="14" t="str">
        <x:v>The Royal Embassy of Saudi Arabia (Cultural Bureau) v Abir Alhayali</x:v>
      </x:c>
      <x:c r="F229" s="14" t="str">
        <x:v>case:benkharbouche v embassy of the republic of sudan 2017 icr 1327</x:v>
      </x:c>
      <x:c r="G229" s="14" t="str">
        <x:v>Benkharbouche v Embassy of the Republic of Sudan [2017] ICR 1327</x:v>
      </x:c>
      <x:c r="H229" s="14" t="str">
        <x:v>Benkharbouche v Embassy of the Republic of Sudan [2017] ICR 1327</x:v>
      </x:c>
      <x:c r="I229" s="14" t="str"/>
      <x:c r="J229" s="14" t="n">
        <x:v>1</x:v>
      </x:c>
      <x:c r="K229" s="14" t="str">
        <x:v>legalFramework.precedentCitations[0]</x:v>
      </x:c>
      <x:c r="L229" s="14" t="str">
        <x:v>cmsbsp6wa001704jitdvkybp9</x:v>
      </x:c>
      <x:c r="M229" s="14" t="str">
        <x:v>confirmed_within_10m</x:v>
      </x:c>
      <x:c r="N229" s="14" t="n">
        <x:v>54.317</x:v>
      </x:c>
      <x:c r="O229" s="14" t="str">
        <x:v>yes</x:v>
      </x:c>
      <x:c r="P229" s="14" t="str">
        <x:v>yes</x:v>
      </x:c>
      <x:c r="Q229" s="14" t="str">
        <x:v>title_containment</x:v>
      </x:c>
      <x:c r="R229" s="14" t="str">
        <x:v>high</x:v>
      </x:c>
      <x:c r="S229" s="14" t="n">
        <x:v>3</x:v>
      </x:c>
      <x:c r="T229" s="14" t="str">
        <x:v>48a6c9aa-6aaf-46f0-a0a1-db486992f637</x:v>
      </x:c>
      <x:c r="U229" s="14" t="str">
        <x:v>Benkharbouche &amp; Anor v Embassy of the Republic of Sudan</x:v>
      </x:c>
      <x:c r="V229" s="15" t="n">
        <x:v>0.74088013</x:v>
      </x:c>
      <x:c r="W229" s="14" t="str">
        <x:v>no</x:v>
      </x:c>
      <x:c r="X229" s="14" t="str"/>
      <x:c r="Y229" s="14" t="str"/>
      <x:c r="Z229" s="14" t="str"/>
      <x:c r="AA229" s="14" t="str">
        <x:v>yes</x:v>
      </x:c>
    </x:row>
    <x:row r="230">
      <x:c r="A230" s="1" t="str">
        <x:v>U0386</x:v>
      </x:c>
      <x:c r="B230" s="1" t="str">
        <x:v>cmsbsqcqm001d04ji3ses9ih9</x:v>
      </x:c>
      <x:c r="C230" s="1" t="str">
        <x:v>ca-2024-000624 and ca-2024-000625-the-royal-embassy-of-saudi-arabia-appellant-skeleton</x:v>
      </x:c>
      <x:c r="D230" s="1" t="str">
        <x:v>real</x:v>
      </x:c>
      <x:c r="E230" s="14" t="str">
        <x:v>The Royal Embassy of Saudi Arabia (Cultural Bureau) v Abir Alhayali</x:v>
      </x:c>
      <x:c r="F230" s="14" t="str">
        <x:v>case:hrh prince abdul aziz bin fahd bin abdul aziz v harb</x:v>
      </x:c>
      <x:c r="G230" s="14" t="str">
        <x:v>HRH Prince Abdul Aziz Bin Fahd Bin Abdul Aziz v Harb</x:v>
      </x:c>
      <x:c r="H230" s="14" t="str">
        <x:v>N/A</x:v>
      </x:c>
      <x:c r="I230" s="14" t="str">
        <x:v>d2d218fb-5cb2-4d42-9835-3e293c334cd3</x:v>
      </x:c>
      <x:c r="J230" s="14" t="n">
        <x:v>3</x:v>
      </x:c>
      <x:c r="K230" s="14" t="str">
        <x:v>factualFindings.contestedFacts[0].sourceCases[0] | issuesForDetermination.issueMatrix[0].sourceCases[0] | reasoningStructure[0].sourceCases[0]</x:v>
      </x:c>
      <x:c r="L230" s="14" t="str">
        <x:v>cmsbsp6wa001704jitdvkybp9</x:v>
      </x:c>
      <x:c r="M230" s="14" t="str">
        <x:v>confirmed_within_10m</x:v>
      </x:c>
      <x:c r="N230" s="14" t="n">
        <x:v>54.317</x:v>
      </x:c>
      <x:c r="O230" s="14" t="str">
        <x:v>yes</x:v>
      </x:c>
      <x:c r="P230" s="14" t="str">
        <x:v>yes</x:v>
      </x:c>
      <x:c r="Q230" s="14" t="str">
        <x:v>exact_case_id</x:v>
      </x:c>
      <x:c r="R230" s="14" t="str">
        <x:v>definitive</x:v>
      </x:c>
      <x:c r="S230" s="14" t="n">
        <x:v>6</x:v>
      </x:c>
      <x:c r="T230" s="14" t="str">
        <x:v>d2d218fb-5cb2-4d42-9835-3e293c334cd3</x:v>
      </x:c>
      <x:c r="U230" s="14" t="str">
        <x:v>HRH Prince Abdul Aziz Bin Fahd Bin Abdul Aziz v Harb</x:v>
      </x:c>
      <x:c r="V230" s="15" t="n">
        <x:v>0.6935285</x:v>
      </x:c>
      <x:c r="W230" s="14" t="str">
        <x:v>no</x:v>
      </x:c>
      <x:c r="X230" s="14" t="str"/>
      <x:c r="Y230" s="14" t="str"/>
      <x:c r="Z230" s="14" t="str"/>
      <x:c r="AA230" s="14" t="str">
        <x:v>yes</x:v>
      </x:c>
    </x:row>
    <x:row r="231">
      <x:c r="A231" s="1" t="str">
        <x:v>U0387</x:v>
      </x:c>
      <x:c r="B231" s="1" t="str">
        <x:v>cmsbsqcqm001d04ji3ses9ih9</x:v>
      </x:c>
      <x:c r="C231" s="1" t="str">
        <x:v>ca-2024-000624 and ca-2024-000625-the-royal-embassy-of-saudi-arabia-appellant-skeleton</x:v>
      </x:c>
      <x:c r="D231" s="1" t="str">
        <x:v>real</x:v>
      </x:c>
      <x:c r="E231" s="14" t="str">
        <x:v>The Royal Embassy of Saudi Arabia (Cultural Bureau) v Abir Alhayali</x:v>
      </x:c>
      <x:c r="F231" s="14" t="str">
        <x:v>case:the united states of america v nolan</x:v>
      </x:c>
      <x:c r="G231" s="14" t="str">
        <x:v>The United States of America v Nolan</x:v>
      </x:c>
      <x:c r="H231" s="14" t="str">
        <x:v>The United States of America v Nolan</x:v>
      </x:c>
      <x:c r="I231" s="14" t="str">
        <x:v>ee5ed42e-d552-49f7-ae34-ee6ddf99593b</x:v>
      </x:c>
      <x:c r="J231" s="14" t="n">
        <x:v>4</x:v>
      </x:c>
      <x:c r="K231" s="14" t="str">
        <x:v>factualFindings.contestedFacts[1].sourceCases[0] | issuesForDetermination.issueMatrix[1].sourceCases[0] | legalFramework.legalTestSummaries[1].sourceAuthority | reasoningStructure[1].sourceCases[0]</x:v>
      </x:c>
      <x:c r="L231" s="14" t="str">
        <x:v>cmsbsp6wa001704jitdvkybp9</x:v>
      </x:c>
      <x:c r="M231" s="14" t="str">
        <x:v>confirmed_within_10m</x:v>
      </x:c>
      <x:c r="N231" s="14" t="n">
        <x:v>54.317</x:v>
      </x:c>
      <x:c r="O231" s="14" t="str">
        <x:v>yes</x:v>
      </x:c>
      <x:c r="P231" s="14" t="str">
        <x:v>yes</x:v>
      </x:c>
      <x:c r="Q231" s="14" t="str">
        <x:v>exact_case_id</x:v>
      </x:c>
      <x:c r="R231" s="14" t="str">
        <x:v>definitive</x:v>
      </x:c>
      <x:c r="S231" s="14" t="n">
        <x:v>7</x:v>
      </x:c>
      <x:c r="T231" s="14" t="str">
        <x:v>ee5ed42e-d552-49f7-ae34-ee6ddf99593b</x:v>
      </x:c>
      <x:c r="U231" s="14" t="str">
        <x:v>The United States of America v Nolan</x:v>
      </x:c>
      <x:c r="V231" s="15" t="n">
        <x:v>0.6927706</x:v>
      </x:c>
      <x:c r="W231" s="14" t="str">
        <x:v>no</x:v>
      </x:c>
      <x:c r="X231" s="14" t="str"/>
      <x:c r="Y231" s="14" t="str"/>
      <x:c r="Z231" s="14" t="str"/>
      <x:c r="AA231" s="14" t="str">
        <x:v>yes</x:v>
      </x:c>
    </x:row>
    <x:row r="232">
      <x:c r="A232" s="1" t="str">
        <x:v>U0391</x:v>
      </x:c>
      <x:c r="B232" s="1" t="str">
        <x:v>cmsbsvvmu001x04jittsrlhz0</x:v>
      </x:c>
      <x:c r="C232" s="1" t="str">
        <x:v>ca-2024-0023525 &amp; ca-2024-002295-modernatx-inc-v-pfizer-limited-others-respondent-skeleton</x:v>
      </x:c>
      <x:c r="D232" s="1" t="str">
        <x:v>real</x:v>
      </x:c>
      <x:c r="E232" s="14" t="str">
        <x:v>Modernatx, Inc. v Pfizer Limited &amp; Others</x:v>
      </x:c>
      <x:c r="F232" s="14" t="str">
        <x:v>case:2002 ewca civ 605</x:v>
      </x:c>
      <x:c r="G232" s="14" t="str">
        <x:v>[2002] EWCA Civ 605</x:v>
      </x:c>
      <x:c r="H232" s="14" t="str">
        <x:v>[2002] EWCA Civ 605</x:v>
      </x:c>
      <x:c r="I232" s="14" t="str"/>
      <x:c r="J232" s="14" t="n">
        <x:v>1</x:v>
      </x:c>
      <x:c r="K232" s="14" t="str">
        <x:v>legalFramework.precedentCitations[0]</x:v>
      </x:c>
      <x:c r="L232" s="14" t="str">
        <x:v>cmsbsuhsv001r04jiv19ukl8u</x:v>
      </x:c>
      <x:c r="M232" s="14" t="str">
        <x:v>confirmed_within_10m</x:v>
      </x:c>
      <x:c r="N232" s="14" t="n">
        <x:v>64.671</x:v>
      </x:c>
      <x:c r="O232" s="14" t="str">
        <x:v>yes</x:v>
      </x:c>
      <x:c r="P232" s="14" t="str">
        <x:v>no</x:v>
      </x:c>
      <x:c r="Q232" s="14" t="str">
        <x:v>none</x:v>
      </x:c>
      <x:c r="R232" s="14" t="str">
        <x:v>none</x:v>
      </x:c>
      <x:c r="S232" s="14" t="str"/>
      <x:c r="T232" s="14" t="str"/>
      <x:c r="U232" s="14" t="str"/>
      <x:c r="V232" s="15" t="str"/>
      <x:c r="W232" s="14" t="str">
        <x:v>no</x:v>
      </x:c>
      <x:c r="X232" s="14" t="str"/>
      <x:c r="Y232" s="14" t="str"/>
      <x:c r="Z232" s="14" t="str"/>
      <x:c r="AA232" s="14" t="str">
        <x:v>no</x:v>
      </x:c>
    </x:row>
    <x:row r="233">
      <x:c r="A233" s="1" t="str">
        <x:v>U0392</x:v>
      </x:c>
      <x:c r="B233" s="1" t="str">
        <x:v>cmsbsvvmu001x04jittsrlhz0</x:v>
      </x:c>
      <x:c r="C233" s="1" t="str">
        <x:v>ca-2024-0023525 &amp; ca-2024-002295-modernatx-inc-v-pfizer-limited-others-respondent-skeleton</x:v>
      </x:c>
      <x:c r="D233" s="1" t="str">
        <x:v>real</x:v>
      </x:c>
      <x:c r="E233" s="14" t="str">
        <x:v>Modernatx, Inc. v Pfizer Limited &amp; Others</x:v>
      </x:c>
      <x:c r="F233" s="14" t="str">
        <x:v>case:2016 ewca civ 1089</x:v>
      </x:c>
      <x:c r="G233" s="14" t="str">
        <x:v>Idenix Pharmaceuticals Inc v Gilead Sciences Inc &amp; Ors</x:v>
      </x:c>
      <x:c r="H233" s="14" t="str">
        <x:v>[2016] EWCA Civ 1089</x:v>
      </x:c>
      <x:c r="I233" s="14" t="str">
        <x:v>1c816bf0-70b4-46bd-9a31-9d036faff956</x:v>
      </x:c>
      <x:c r="J233" s="14" t="n">
        <x:v>3</x:v>
      </x:c>
      <x:c r="K233" s="14" t="str">
        <x:v>factualFindings.contestedFacts[1].sourceCases[0] | issuesForDetermination.issueMatrix[1].sourceCases[0] | reasoningStructure[1].sourceCases[0]</x:v>
      </x:c>
      <x:c r="L233" s="14" t="str">
        <x:v>cmsbsuhsv001r04jiv19ukl8u</x:v>
      </x:c>
      <x:c r="M233" s="14" t="str">
        <x:v>confirmed_within_10m</x:v>
      </x:c>
      <x:c r="N233" s="14" t="n">
        <x:v>64.671</x:v>
      </x:c>
      <x:c r="O233" s="14" t="str">
        <x:v>yes</x:v>
      </x:c>
      <x:c r="P233" s="14" t="str">
        <x:v>yes</x:v>
      </x:c>
      <x:c r="Q233" s="14" t="str">
        <x:v>exact_case_id</x:v>
      </x:c>
      <x:c r="R233" s="14" t="str">
        <x:v>definitive</x:v>
      </x:c>
      <x:c r="S233" s="14" t="n">
        <x:v>2</x:v>
      </x:c>
      <x:c r="T233" s="14" t="str">
        <x:v>1c816bf0-70b4-46bd-9a31-9d036faff956</x:v>
      </x:c>
      <x:c r="U233" s="14" t="str">
        <x:v>Idenix Pharmaceuticals Inc v Gilead Sciences Inc &amp; Ors [2016] EWCA Civ 1089</x:v>
      </x:c>
      <x:c r="V233" s="15" t="n">
        <x:v>0.690126</x:v>
      </x:c>
      <x:c r="W233" s="14" t="str">
        <x:v>no</x:v>
      </x:c>
      <x:c r="X233" s="14" t="str"/>
      <x:c r="Y233" s="14" t="str"/>
      <x:c r="Z233" s="14" t="str"/>
      <x:c r="AA233" s="14" t="str">
        <x:v>yes</x:v>
      </x:c>
    </x:row>
    <x:row r="234">
      <x:c r="A234" s="1" t="str">
        <x:v>U0393</x:v>
      </x:c>
      <x:c r="B234" s="1" t="str">
        <x:v>cmsbsvvmu001x04jittsrlhz0</x:v>
      </x:c>
      <x:c r="C234" s="1" t="str">
        <x:v>ca-2024-0023525 &amp; ca-2024-002295-modernatx-inc-v-pfizer-limited-others-respondent-skeleton</x:v>
      </x:c>
      <x:c r="D234" s="1" t="str">
        <x:v>real</x:v>
      </x:c>
      <x:c r="E234" s="14" t="str">
        <x:v>Modernatx, Inc. v Pfizer Limited &amp; Others</x:v>
      </x:c>
      <x:c r="F234" s="14" t="str">
        <x:v>case:2016 ewca civ 1185</x:v>
      </x:c>
      <x:c r="G234" s="14" t="str">
        <x:v>Hospira UK Limited v Genentech, Inc.</x:v>
      </x:c>
      <x:c r="H234" s="14" t="str">
        <x:v>[2016] EWCA Civ 1185</x:v>
      </x:c>
      <x:c r="I234" s="14" t="str">
        <x:v>71033cf6-55d5-450b-8f5c-b4e0192b644a</x:v>
      </x:c>
      <x:c r="J234" s="14" t="n">
        <x:v>1</x:v>
      </x:c>
      <x:c r="K234" s="14" t="str">
        <x:v>factualFindings.chronology[1].sourceCases[0]</x:v>
      </x:c>
      <x:c r="L234" s="14" t="str">
        <x:v>cmsbsuhsv001r04jiv19ukl8u</x:v>
      </x:c>
      <x:c r="M234" s="14" t="str">
        <x:v>confirmed_within_10m</x:v>
      </x:c>
      <x:c r="N234" s="14" t="n">
        <x:v>64.671</x:v>
      </x:c>
      <x:c r="O234" s="14" t="str">
        <x:v>yes</x:v>
      </x:c>
      <x:c r="P234" s="14" t="str">
        <x:v>yes</x:v>
      </x:c>
      <x:c r="Q234" s="14" t="str">
        <x:v>exact_case_id</x:v>
      </x:c>
      <x:c r="R234" s="14" t="str">
        <x:v>definitive</x:v>
      </x:c>
      <x:c r="S234" s="14" t="n">
        <x:v>3</x:v>
      </x:c>
      <x:c r="T234" s="14" t="str">
        <x:v>71033cf6-55d5-450b-8f5c-b4e0192b644a</x:v>
      </x:c>
      <x:c r="U234" s="14" t="str">
        <x:v>Hospira UK Limited v Genentech, Inc. [2016] EWCA Civ 1185</x:v>
      </x:c>
      <x:c r="V234" s="15" t="n">
        <x:v>0.68998116</x:v>
      </x:c>
      <x:c r="W234" s="14" t="str">
        <x:v>no</x:v>
      </x:c>
      <x:c r="X234" s="14" t="str"/>
      <x:c r="Y234" s="14" t="str"/>
      <x:c r="Z234" s="14" t="str"/>
      <x:c r="AA234" s="14" t="str">
        <x:v>yes</x:v>
      </x:c>
    </x:row>
    <x:row r="235">
      <x:c r="A235" s="1" t="str">
        <x:v>U0394</x:v>
      </x:c>
      <x:c r="B235" s="1" t="str">
        <x:v>cmsbsvvmu001x04jittsrlhz0</x:v>
      </x:c>
      <x:c r="C235" s="1" t="str">
        <x:v>ca-2024-0023525 &amp; ca-2024-002295-modernatx-inc-v-pfizer-limited-others-respondent-skeleton</x:v>
      </x:c>
      <x:c r="D235" s="1" t="str">
        <x:v>real</x:v>
      </x:c>
      <x:c r="E235" s="14" t="str">
        <x:v>Modernatx, Inc. v Pfizer Limited &amp; Others</x:v>
      </x:c>
      <x:c r="F235" s="14" t="str">
        <x:v>case:2022 ewca civ 1638</x:v>
      </x:c>
      <x:c r="G235" s="14" t="str">
        <x:v>Philip Morris Products, S.A. v Nicoventures Trading Limited &amp; Anor (Re Invalidity of Patents)</x:v>
      </x:c>
      <x:c r="H235" s="14" t="str">
        <x:v>[2022] EWCA Civ 1638</x:v>
      </x:c>
      <x:c r="I235" s="14" t="str">
        <x:v>9c4e33c9-91d3-464b-b025-a46e5f3673af</x:v>
      </x:c>
      <x:c r="J235" s="14" t="n">
        <x:v>3</x:v>
      </x:c>
      <x:c r="K235" s="14" t="str">
        <x:v>factualFindings.contestedFacts[0].sourceCases[0] | issuesForDetermination.issueMatrix[0].sourceCases[0] | reasoningStructure[0].sourceCases[0]</x:v>
      </x:c>
      <x:c r="L235" s="14" t="str">
        <x:v>cmsbsuhsv001r04jiv19ukl8u</x:v>
      </x:c>
      <x:c r="M235" s="14" t="str">
        <x:v>confirmed_within_10m</x:v>
      </x:c>
      <x:c r="N235" s="14" t="n">
        <x:v>64.671</x:v>
      </x:c>
      <x:c r="O235" s="14" t="str">
        <x:v>yes</x:v>
      </x:c>
      <x:c r="P235" s="14" t="str">
        <x:v>yes</x:v>
      </x:c>
      <x:c r="Q235" s="14" t="str">
        <x:v>exact_case_id</x:v>
      </x:c>
      <x:c r="R235" s="14" t="str">
        <x:v>definitive</x:v>
      </x:c>
      <x:c r="S235" s="14" t="n">
        <x:v>1</x:v>
      </x:c>
      <x:c r="T235" s="14" t="str">
        <x:v>9c4e33c9-91d3-464b-b025-a46e5f3673af</x:v>
      </x:c>
      <x:c r="U235" s="14" t="str">
        <x:v>Philip Morris Products, S.A. v Nicoventures Trading Limited &amp; Anor (Re Invalidity of Patents) [2022] EWCA Civ 1638</x:v>
      </x:c>
      <x:c r="V235" s="15" t="n">
        <x:v>0.69137913</x:v>
      </x:c>
      <x:c r="W235" s="14" t="str">
        <x:v>no</x:v>
      </x:c>
      <x:c r="X235" s="14" t="str"/>
      <x:c r="Y235" s="14" t="str"/>
      <x:c r="Z235" s="14" t="str"/>
      <x:c r="AA235" s="14" t="str">
        <x:v>yes</x:v>
      </x:c>
    </x:row>
    <x:row r="236">
      <x:c r="A236" s="1" t="str">
        <x:v>U0396</x:v>
      </x:c>
      <x:c r="B236" s="1" t="str">
        <x:v>cmsbszs77002304ji6ldkbjce</x:v>
      </x:c>
      <x:c r="C236" s="1" t="str">
        <x:v>ca-2024-0023525 &amp; ca-2024-002295-modernatx-inc-v-pfizer-limited-others-respondent-skeleton</x:v>
      </x:c>
      <x:c r="D236" s="1" t="str">
        <x:v>real</x:v>
      </x:c>
      <x:c r="E236" s="14" t="str">
        <x:v>Modernatx, Inc. v Pfizer Limited &amp; Others</x:v>
      </x:c>
      <x:c r="F236" s="14" t="str">
        <x:v>case:2000 1 wlr 377</x:v>
      </x:c>
      <x:c r="G236" s="14" t="str">
        <x:v>Flannery v Halifax Estate Agencies Ltd [2000] 1 WLR 377</x:v>
      </x:c>
      <x:c r="H236" s="14" t="str">
        <x:v>Flannery v Halifax Estate Agencies Ltd [2000] 1 WLR 377</x:v>
      </x:c>
      <x:c r="I236" s="14" t="str"/>
      <x:c r="J236" s="14" t="n">
        <x:v>1</x:v>
      </x:c>
      <x:c r="K236" s="14" t="str">
        <x:v>legalFramework.precedentCitations[1]</x:v>
      </x:c>
      <x:c r="L236" s="14" t="str">
        <x:v>cmsbsuhsv001r04jiv19ukl8u</x:v>
      </x:c>
      <x:c r="M236" s="14" t="str">
        <x:v>confirmed_within_10m</x:v>
      </x:c>
      <x:c r="N236" s="14" t="n">
        <x:v>246.844</x:v>
      </x:c>
      <x:c r="O236" s="14" t="str">
        <x:v>yes</x:v>
      </x:c>
      <x:c r="P236" s="14" t="str">
        <x:v>no</x:v>
      </x:c>
      <x:c r="Q236" s="14" t="str">
        <x:v>none</x:v>
      </x:c>
      <x:c r="R236" s="14" t="str">
        <x:v>none</x:v>
      </x:c>
      <x:c r="S236" s="14" t="str"/>
      <x:c r="T236" s="14" t="str"/>
      <x:c r="U236" s="14" t="str"/>
      <x:c r="V236" s="15" t="str"/>
      <x:c r="W236" s="14" t="str">
        <x:v>no</x:v>
      </x:c>
      <x:c r="X236" s="14" t="str"/>
      <x:c r="Y236" s="14" t="str"/>
      <x:c r="Z236" s="14" t="str"/>
      <x:c r="AA236" s="14" t="str">
        <x:v>no</x:v>
      </x:c>
    </x:row>
    <x:row r="237">
      <x:c r="A237" s="1" t="str">
        <x:v>U0397</x:v>
      </x:c>
      <x:c r="B237" s="1" t="str">
        <x:v>cmsbszs77002304ji6ldkbjce</x:v>
      </x:c>
      <x:c r="C237" s="1" t="str">
        <x:v>ca-2024-0023525 &amp; ca-2024-002295-modernatx-inc-v-pfizer-limited-others-respondent-skeleton</x:v>
      </x:c>
      <x:c r="D237" s="1" t="str">
        <x:v>real</x:v>
      </x:c>
      <x:c r="E237" s="14" t="str">
        <x:v>Modernatx, Inc. v Pfizer Limited &amp; Others</x:v>
      </x:c>
      <x:c r="F237" s="14" t="str">
        <x:v>case:2002 ewca civ 605</x:v>
      </x:c>
      <x:c r="G237" s="14" t="str">
        <x:v>English v Emery Reimbold &amp; Strick Ltd [2002] EWCA Civ 605</x:v>
      </x:c>
      <x:c r="H237" s="14" t="str">
        <x:v>English v Emery Reimbold &amp; Strick Ltd [2002] EWCA Civ 605</x:v>
      </x:c>
      <x:c r="I237" s="14" t="str"/>
      <x:c r="J237" s="14" t="n">
        <x:v>1</x:v>
      </x:c>
      <x:c r="K237" s="14" t="str">
        <x:v>legalFramework.precedentCitations[0]</x:v>
      </x:c>
      <x:c r="L237" s="14" t="str">
        <x:v>cmsbsuhsv001r04jiv19ukl8u</x:v>
      </x:c>
      <x:c r="M237" s="14" t="str">
        <x:v>confirmed_within_10m</x:v>
      </x:c>
      <x:c r="N237" s="14" t="n">
        <x:v>246.844</x:v>
      </x:c>
      <x:c r="O237" s="14" t="str">
        <x:v>yes</x:v>
      </x:c>
      <x:c r="P237" s="14" t="str">
        <x:v>no</x:v>
      </x:c>
      <x:c r="Q237" s="14" t="str">
        <x:v>none</x:v>
      </x:c>
      <x:c r="R237" s="14" t="str">
        <x:v>none</x:v>
      </x:c>
      <x:c r="S237" s="14" t="str"/>
      <x:c r="T237" s="14" t="str"/>
      <x:c r="U237" s="14" t="str"/>
      <x:c r="V237" s="15" t="str"/>
      <x:c r="W237" s="14" t="str">
        <x:v>no</x:v>
      </x:c>
      <x:c r="X237" s="14" t="str"/>
      <x:c r="Y237" s="14" t="str"/>
      <x:c r="Z237" s="14" t="str"/>
      <x:c r="AA237" s="14" t="str">
        <x:v>no</x:v>
      </x:c>
    </x:row>
    <x:row r="238">
      <x:c r="A238" s="1" t="str">
        <x:v>U0398</x:v>
      </x:c>
      <x:c r="B238" s="1" t="str">
        <x:v>cmsbszs77002304ji6ldkbjce</x:v>
      </x:c>
      <x:c r="C238" s="1" t="str">
        <x:v>ca-2024-0023525 &amp; ca-2024-002295-modernatx-inc-v-pfizer-limited-others-respondent-skeleton</x:v>
      </x:c>
      <x:c r="D238" s="1" t="str">
        <x:v>real</x:v>
      </x:c>
      <x:c r="E238" s="14" t="str">
        <x:v>Modernatx, Inc. v Pfizer Limited &amp; Others</x:v>
      </x:c>
      <x:c r="F238" s="14" t="str">
        <x:v>case:synthon bv v teva pharmaceutical industries ltd</x:v>
      </x:c>
      <x:c r="G238" s="14" t="str">
        <x:v>Synthon BV v Teva Pharmaceutical Industries Ltd</x:v>
      </x:c>
      <x:c r="H238" s="14" t="str">
        <x:v>N/A</x:v>
      </x:c>
      <x:c r="I238" s="14" t="str">
        <x:v>a1a08eab-f66f-48ea-a2b4-e885be7c07df</x:v>
      </x:c>
      <x:c r="J238" s="14" t="n">
        <x:v>3</x:v>
      </x:c>
      <x:c r="K238" s="14" t="str">
        <x:v>factualFindings.contestedFacts[0].sourceCases[0] | issuesForDetermination.issueMatrix[0].sourceCases[0] | reasoningStructure[0].sourceCases[0]</x:v>
      </x:c>
      <x:c r="L238" s="14" t="str">
        <x:v>cmsbsuhsv001r04jiv19ukl8u</x:v>
      </x:c>
      <x:c r="M238" s="14" t="str">
        <x:v>confirmed_within_10m</x:v>
      </x:c>
      <x:c r="N238" s="14" t="n">
        <x:v>246.844</x:v>
      </x:c>
      <x:c r="O238" s="14" t="str">
        <x:v>yes</x:v>
      </x:c>
      <x:c r="P238" s="14" t="str">
        <x:v>yes</x:v>
      </x:c>
      <x:c r="Q238" s="14" t="str">
        <x:v>exact_case_id</x:v>
      </x:c>
      <x:c r="R238" s="14" t="str">
        <x:v>definitive</x:v>
      </x:c>
      <x:c r="S238" s="14" t="n">
        <x:v>6</x:v>
      </x:c>
      <x:c r="T238" s="14" t="str">
        <x:v>a1a08eab-f66f-48ea-a2b4-e885be7c07df</x:v>
      </x:c>
      <x:c r="U238" s="14" t="str">
        <x:v>Synthon BV v Teva Pharmaceutical Industries Ltd [2017] EWCA Civ 148</x:v>
      </x:c>
      <x:c r="V238" s="15" t="n">
        <x:v>0.68675447</x:v>
      </x:c>
      <x:c r="W238" s="14" t="str">
        <x:v>no</x:v>
      </x:c>
      <x:c r="X238" s="14" t="str"/>
      <x:c r="Y238" s="14" t="str"/>
      <x:c r="Z238" s="14" t="str"/>
      <x:c r="AA238" s="14" t="str">
        <x:v>yes</x:v>
      </x:c>
    </x:row>
    <x:row r="239">
      <x:c r="A239" s="1" t="str">
        <x:v>U0401</x:v>
      </x:c>
      <x:c r="B239" s="1" t="str">
        <x:v>cmsbt3hfa002904ji8k6b026n</x:v>
      </x:c>
      <x:c r="C239" s="1" t="str">
        <x:v>ca-2024-0023525 &amp; ca-2024-002295-modernatx-inc-v-pfizer-limited-others-respondent-skeleton</x:v>
      </x:c>
      <x:c r="D239" s="1" t="str">
        <x:v>real</x:v>
      </x:c>
      <x:c r="E239" s="14" t="str">
        <x:v>Modernatx, Inc. v Pfizer Limited &amp; Others</x:v>
      </x:c>
      <x:c r="F239" s="14" t="str">
        <x:v>case:2000 1 wlr 377</x:v>
      </x:c>
      <x:c r="G239" s="14" t="str">
        <x:v>Flannery v Halifax Estate Agencies Ltd [2000] 1 WLR 377</x:v>
      </x:c>
      <x:c r="H239" s="14" t="str">
        <x:v>Flannery v Halifax Estate Agencies Ltd [2000] 1 WLR 377</x:v>
      </x:c>
      <x:c r="I239" s="14" t="str"/>
      <x:c r="J239" s="14" t="n">
        <x:v>1</x:v>
      </x:c>
      <x:c r="K239" s="14" t="str">
        <x:v>legalFramework.precedentCitations[1]</x:v>
      </x:c>
      <x:c r="L239" s="14" t="str">
        <x:v>cmsbsuhsv001r04jiv19ukl8u</x:v>
      </x:c>
      <x:c r="M239" s="14" t="str">
        <x:v>confirmed_within_10m</x:v>
      </x:c>
      <x:c r="N239" s="14" t="n">
        <x:v>419.503</x:v>
      </x:c>
      <x:c r="O239" s="14" t="str">
        <x:v>yes</x:v>
      </x:c>
      <x:c r="P239" s="14" t="str">
        <x:v>no</x:v>
      </x:c>
      <x:c r="Q239" s="14" t="str">
        <x:v>none</x:v>
      </x:c>
      <x:c r="R239" s="14" t="str">
        <x:v>none</x:v>
      </x:c>
      <x:c r="S239" s="14" t="str"/>
      <x:c r="T239" s="14" t="str"/>
      <x:c r="U239" s="14" t="str"/>
      <x:c r="V239" s="15" t="str"/>
      <x:c r="W239" s="14" t="str">
        <x:v>no</x:v>
      </x:c>
      <x:c r="X239" s="14" t="str"/>
      <x:c r="Y239" s="14" t="str"/>
      <x:c r="Z239" s="14" t="str"/>
      <x:c r="AA239" s="14" t="str">
        <x:v>no</x:v>
      </x:c>
    </x:row>
    <x:row r="240">
      <x:c r="A240" s="1" t="str">
        <x:v>U0402</x:v>
      </x:c>
      <x:c r="B240" s="1" t="str">
        <x:v>cmsbt3hfa002904ji8k6b026n</x:v>
      </x:c>
      <x:c r="C240" s="1" t="str">
        <x:v>ca-2024-0023525 &amp; ca-2024-002295-modernatx-inc-v-pfizer-limited-others-respondent-skeleton</x:v>
      </x:c>
      <x:c r="D240" s="1" t="str">
        <x:v>real</x:v>
      </x:c>
      <x:c r="E240" s="14" t="str">
        <x:v>Modernatx, Inc. v Pfizer Limited &amp; Others</x:v>
      </x:c>
      <x:c r="F240" s="14" t="str">
        <x:v>case:2002 ewca civ 605</x:v>
      </x:c>
      <x:c r="G240" s="14" t="str">
        <x:v>English v Emery Reimbold &amp; Strick Ltd [2002] EWCA Civ 605</x:v>
      </x:c>
      <x:c r="H240" s="14" t="str">
        <x:v>English v Emery Reimbold &amp; Strick Ltd [2002] EWCA Civ 605</x:v>
      </x:c>
      <x:c r="I240" s="14" t="str"/>
      <x:c r="J240" s="14" t="n">
        <x:v>1</x:v>
      </x:c>
      <x:c r="K240" s="14" t="str">
        <x:v>legalFramework.precedentCitations[0]</x:v>
      </x:c>
      <x:c r="L240" s="14" t="str">
        <x:v>cmsbsuhsv001r04jiv19ukl8u</x:v>
      </x:c>
      <x:c r="M240" s="14" t="str">
        <x:v>confirmed_within_10m</x:v>
      </x:c>
      <x:c r="N240" s="14" t="n">
        <x:v>419.503</x:v>
      </x:c>
      <x:c r="O240" s="14" t="str">
        <x:v>yes</x:v>
      </x:c>
      <x:c r="P240" s="14" t="str">
        <x:v>no</x:v>
      </x:c>
      <x:c r="Q240" s="14" t="str">
        <x:v>none</x:v>
      </x:c>
      <x:c r="R240" s="14" t="str">
        <x:v>none</x:v>
      </x:c>
      <x:c r="S240" s="14" t="str"/>
      <x:c r="T240" s="14" t="str"/>
      <x:c r="U240" s="14" t="str"/>
      <x:c r="V240" s="15" t="str"/>
      <x:c r="W240" s="14" t="str">
        <x:v>no</x:v>
      </x:c>
      <x:c r="X240" s="14" t="str"/>
      <x:c r="Y240" s="14" t="str"/>
      <x:c r="Z240" s="14" t="str"/>
      <x:c r="AA240" s="14" t="str">
        <x:v>no</x:v>
      </x:c>
    </x:row>
    <x:row r="241">
      <x:c r="A241" s="1" t="str">
        <x:v>U0403</x:v>
      </x:c>
      <x:c r="B241" s="1" t="str">
        <x:v>cmsbt3hfa002904ji8k6b026n</x:v>
      </x:c>
      <x:c r="C241" s="1" t="str">
        <x:v>ca-2024-0023525 &amp; ca-2024-002295-modernatx-inc-v-pfizer-limited-others-respondent-skeleton</x:v>
      </x:c>
      <x:c r="D241" s="1" t="str">
        <x:v>real</x:v>
      </x:c>
      <x:c r="E241" s="14" t="str">
        <x:v>Modernatx, Inc. v Pfizer Limited &amp; Others</x:v>
      </x:c>
      <x:c r="F241" s="14" t="str">
        <x:v>case:synthon bv v teva pharmaceutical industries ltd</x:v>
      </x:c>
      <x:c r="G241" s="14" t="str">
        <x:v>Synthon BV v Teva Pharmaceutical Industries Ltd</x:v>
      </x:c>
      <x:c r="H241" s="14" t="str">
        <x:v>N/A</x:v>
      </x:c>
      <x:c r="I241" s="14" t="str">
        <x:v>a1a08eab-f66f-48ea-a2b4-e885be7c07df</x:v>
      </x:c>
      <x:c r="J241" s="14" t="n">
        <x:v>3</x:v>
      </x:c>
      <x:c r="K241" s="14" t="str">
        <x:v>factualFindings.contestedFacts[0].sourceCases[0] | issuesForDetermination.issueMatrix[0].sourceCases[0] | reasoningStructure[0].sourceCases[0]</x:v>
      </x:c>
      <x:c r="L241" s="14" t="str">
        <x:v>cmsbsuhsv001r04jiv19ukl8u</x:v>
      </x:c>
      <x:c r="M241" s="14" t="str">
        <x:v>confirmed_within_10m</x:v>
      </x:c>
      <x:c r="N241" s="14" t="n">
        <x:v>419.503</x:v>
      </x:c>
      <x:c r="O241" s="14" t="str">
        <x:v>yes</x:v>
      </x:c>
      <x:c r="P241" s="14" t="str">
        <x:v>yes</x:v>
      </x:c>
      <x:c r="Q241" s="14" t="str">
        <x:v>exact_case_id</x:v>
      </x:c>
      <x:c r="R241" s="14" t="str">
        <x:v>definitive</x:v>
      </x:c>
      <x:c r="S241" s="14" t="n">
        <x:v>6</x:v>
      </x:c>
      <x:c r="T241" s="14" t="str">
        <x:v>a1a08eab-f66f-48ea-a2b4-e885be7c07df</x:v>
      </x:c>
      <x:c r="U241" s="14" t="str">
        <x:v>Synthon BV v Teva Pharmaceutical Industries Ltd [2017] EWCA Civ 148</x:v>
      </x:c>
      <x:c r="V241" s="15" t="n">
        <x:v>0.68675447</x:v>
      </x:c>
      <x:c r="W241" s="14" t="str">
        <x:v>no</x:v>
      </x:c>
      <x:c r="X241" s="14" t="str"/>
      <x:c r="Y241" s="14" t="str"/>
      <x:c r="Z241" s="14" t="str"/>
      <x:c r="AA241" s="14" t="str">
        <x:v>yes</x:v>
      </x:c>
    </x:row>
    <x:row r="242">
      <x:c r="A242" s="1" t="str">
        <x:v>U0404</x:v>
      </x:c>
      <x:c r="B242" s="1" t="str">
        <x:v>cmsbt3hfa002904ji8k6b026n</x:v>
      </x:c>
      <x:c r="C242" s="1" t="str">
        <x:v>ca-2024-0023525 &amp; ca-2024-002295-modernatx-inc-v-pfizer-limited-others-respondent-skeleton</x:v>
      </x:c>
      <x:c r="D242" s="1" t="str">
        <x:v>real</x:v>
      </x:c>
      <x:c r="E242" s="14" t="str">
        <x:v>Modernatx, Inc. v Pfizer Limited &amp; Others</x:v>
      </x:c>
      <x:c r="F242" s="14" t="str">
        <x:v>case:synthon v smithkline beecham plc no 2</x:v>
      </x:c>
      <x:c r="G242" s="14" t="str">
        <x:v>Synthon v SmithKline Beecham Plc (No.2)</x:v>
      </x:c>
      <x:c r="H242" s="14" t="str">
        <x:v>Synthon v SmithKline Beecham Plc (No.2)</x:v>
      </x:c>
      <x:c r="I242" s="14" t="str"/>
      <x:c r="J242" s="14" t="n">
        <x:v>1</x:v>
      </x:c>
      <x:c r="K242" s="14" t="str">
        <x:v>legalFramework.legalTestSummaries[0].sourceAuthority</x:v>
      </x:c>
      <x:c r="L242" s="14" t="str">
        <x:v>cmsbsuhsv001r04jiv19ukl8u</x:v>
      </x:c>
      <x:c r="M242" s="14" t="str">
        <x:v>confirmed_within_10m</x:v>
      </x:c>
      <x:c r="N242" s="14" t="n">
        <x:v>419.503</x:v>
      </x:c>
      <x:c r="O242" s="14" t="str">
        <x:v>yes</x:v>
      </x:c>
      <x:c r="P242" s="14" t="str">
        <x:v>no</x:v>
      </x:c>
      <x:c r="Q242" s="14" t="str">
        <x:v>none</x:v>
      </x:c>
      <x:c r="R242" s="14" t="str">
        <x:v>none</x:v>
      </x:c>
      <x:c r="S242" s="14" t="str"/>
      <x:c r="T242" s="14" t="str"/>
      <x:c r="U242" s="14" t="str"/>
      <x:c r="V242" s="15" t="str"/>
      <x:c r="W242" s="14" t="str">
        <x:v>yes</x:v>
      </x:c>
      <x:c r="X242" s="14" t="str">
        <x:v>Synthon v SmithKline Beecham plc</x:v>
      </x:c>
      <x:c r="Y242" s="14" t="n">
        <x:v>3</x:v>
      </x:c>
      <x:c r="Z242" s="14" t="str">
        <x:v>Hospira UK Limited v Genentech, Inc. [2016] EWCA Civ 1185</x:v>
      </x:c>
      <x:c r="AA242" s="14" t="str">
        <x:v>no</x:v>
      </x:c>
    </x:row>
    <x:row r="243">
      <x:c r="A243" s="1" t="str">
        <x:v>U0407</x:v>
      </x:c>
      <x:c r="B243" s="1" t="str">
        <x:v>cmsbtbxft002t04jic4baeo3l</x:v>
      </x:c>
      <x:c r="C243" s="1" t="str">
        <x:v>ca-2024-002325 &amp; ca-2024-002295-modernatx-inc-v-pfizer-limited-others-appellant-skeleton</x:v>
      </x:c>
      <x:c r="D243" s="1" t="str">
        <x:v>real</x:v>
      </x:c>
      <x:c r="E243" s="14" t="str">
        <x:v>Modernatx, Inc. v Pfizer Limited &amp; Others</x:v>
      </x:c>
      <x:c r="F243" s="14" t="str">
        <x:v>case:2002 ewca civ 605</x:v>
      </x:c>
      <x:c r="G243" s="14" t="str">
        <x:v>[2002] EWCA Civ 605</x:v>
      </x:c>
      <x:c r="H243" s="14" t="str">
        <x:v>[2002] EWCA Civ 605</x:v>
      </x:c>
      <x:c r="I243" s="14" t="str"/>
      <x:c r="J243" s="14" t="n">
        <x:v>1</x:v>
      </x:c>
      <x:c r="K243" s="14" t="str">
        <x:v>legalFramework.precedentCitations[0]</x:v>
      </x:c>
      <x:c r="L243" s="14" t="str">
        <x:v>cmsbtb7sw002n04jipbuqxu0i</x:v>
      </x:c>
      <x:c r="M243" s="14" t="str">
        <x:v>confirmed_within_10m</x:v>
      </x:c>
      <x:c r="N243" s="14" t="n">
        <x:v>33.31</x:v>
      </x:c>
      <x:c r="O243" s="14" t="str">
        <x:v>yes</x:v>
      </x:c>
      <x:c r="P243" s="14" t="str">
        <x:v>no</x:v>
      </x:c>
      <x:c r="Q243" s="14" t="str">
        <x:v>none</x:v>
      </x:c>
      <x:c r="R243" s="14" t="str">
        <x:v>none</x:v>
      </x:c>
      <x:c r="S243" s="14" t="str"/>
      <x:c r="T243" s="14" t="str"/>
      <x:c r="U243" s="14" t="str"/>
      <x:c r="V243" s="15" t="str"/>
      <x:c r="W243" s="14" t="str">
        <x:v>no</x:v>
      </x:c>
      <x:c r="X243" s="14" t="str"/>
      <x:c r="Y243" s="14" t="str"/>
      <x:c r="Z243" s="14" t="str"/>
      <x:c r="AA243" s="14" t="str">
        <x:v>no</x:v>
      </x:c>
    </x:row>
    <x:row r="244">
      <x:c r="A244" s="1" t="str">
        <x:v>U0408</x:v>
      </x:c>
      <x:c r="B244" s="1" t="str">
        <x:v>cmsbtbxft002t04jic4baeo3l</x:v>
      </x:c>
      <x:c r="C244" s="1" t="str">
        <x:v>ca-2024-002325 &amp; ca-2024-002295-modernatx-inc-v-pfizer-limited-others-appellant-skeleton</x:v>
      </x:c>
      <x:c r="D244" s="1" t="str">
        <x:v>real</x:v>
      </x:c>
      <x:c r="E244" s="14" t="str">
        <x:v>Modernatx, Inc. v Pfizer Limited &amp; Others</x:v>
      </x:c>
      <x:c r="F244" s="14" t="str">
        <x:v>case:hospira uk ltd v genentech inc</x:v>
      </x:c>
      <x:c r="G244" s="14" t="str">
        <x:v>Hospira (UK) Ltd v Genentech, Inc.</x:v>
      </x:c>
      <x:c r="H244" s="14" t="str">
        <x:v>N/A</x:v>
      </x:c>
      <x:c r="I244" s="14" t="str">
        <x:v>220f5941-b918-42be-ba08-5254bcf34586</x:v>
      </x:c>
      <x:c r="J244" s="14" t="n">
        <x:v>1</x:v>
      </x:c>
      <x:c r="K244" s="14" t="str">
        <x:v>issuesForDetermination.issueMatrix[0].sourceCases[0]</x:v>
      </x:c>
      <x:c r="L244" s="14" t="str">
        <x:v>cmsbtb7sw002n04jipbuqxu0i</x:v>
      </x:c>
      <x:c r="M244" s="14" t="str">
        <x:v>confirmed_within_10m</x:v>
      </x:c>
      <x:c r="N244" s="14" t="n">
        <x:v>33.31</x:v>
      </x:c>
      <x:c r="O244" s="14" t="str">
        <x:v>yes</x:v>
      </x:c>
      <x:c r="P244" s="14" t="str">
        <x:v>yes</x:v>
      </x:c>
      <x:c r="Q244" s="14" t="str">
        <x:v>exact_case_id</x:v>
      </x:c>
      <x:c r="R244" s="14" t="str">
        <x:v>definitive</x:v>
      </x:c>
      <x:c r="S244" s="14" t="n">
        <x:v>5</x:v>
      </x:c>
      <x:c r="T244" s="14" t="str">
        <x:v>220f5941-b918-42be-ba08-5254bcf34586</x:v>
      </x:c>
      <x:c r="U244" s="14" t="str">
        <x:v>Hospira (UK) Ltd v Genentech, Inc.</x:v>
      </x:c>
      <x:c r="V244" s="15" t="n">
        <x:v>0.71481717</x:v>
      </x:c>
      <x:c r="W244" s="14" t="str">
        <x:v>no</x:v>
      </x:c>
      <x:c r="X244" s="14" t="str"/>
      <x:c r="Y244" s="14" t="str"/>
      <x:c r="Z244" s="14" t="str"/>
      <x:c r="AA244" s="14" t="str">
        <x:v>yes</x:v>
      </x:c>
    </x:row>
    <x:row r="245">
      <x:c r="A245" s="1" t="str">
        <x:v>U0409</x:v>
      </x:c>
      <x:c r="B245" s="1" t="str">
        <x:v>cmsbtbxft002t04jic4baeo3l</x:v>
      </x:c>
      <x:c r="C245" s="1" t="str">
        <x:v>ca-2024-002325 &amp; ca-2024-002295-modernatx-inc-v-pfizer-limited-others-appellant-skeleton</x:v>
      </x:c>
      <x:c r="D245" s="1" t="str">
        <x:v>real</x:v>
      </x:c>
      <x:c r="E245" s="14" t="str">
        <x:v>Modernatx, Inc. v Pfizer Limited &amp; Others</x:v>
      </x:c>
      <x:c r="F245" s="14" t="str">
        <x:v>case:novartis ag and novartis pharmaceuticals uk limited v teva uk ltd &amp; ors</x:v>
      </x:c>
      <x:c r="G245" s="14" t="str">
        <x:v>Novartis AG and Novartis Pharmaceuticals UK Limited v Teva UK Ltd &amp; Ors</x:v>
      </x:c>
      <x:c r="H245" s="14" t="str">
        <x:v>N/A</x:v>
      </x:c>
      <x:c r="I245" s="14" t="str">
        <x:v>9a6c35d9-2f41-4d9b-bdea-d545c0053749</x:v>
      </x:c>
      <x:c r="J245" s="14" t="n">
        <x:v>1</x:v>
      </x:c>
      <x:c r="K245" s="14" t="str">
        <x:v>factualFindings.contestedFacts[0].sourceCases[0]</x:v>
      </x:c>
      <x:c r="L245" s="14" t="str">
        <x:v>cmsbtb7sw002n04jipbuqxu0i</x:v>
      </x:c>
      <x:c r="M245" s="14" t="str">
        <x:v>confirmed_within_10m</x:v>
      </x:c>
      <x:c r="N245" s="14" t="n">
        <x:v>33.31</x:v>
      </x:c>
      <x:c r="O245" s="14" t="str">
        <x:v>yes</x:v>
      </x:c>
      <x:c r="P245" s="14" t="str">
        <x:v>yes</x:v>
      </x:c>
      <x:c r="Q245" s="14" t="str">
        <x:v>exact_case_id</x:v>
      </x:c>
      <x:c r="R245" s="14" t="str">
        <x:v>definitive</x:v>
      </x:c>
      <x:c r="S245" s="14" t="n">
        <x:v>2</x:v>
      </x:c>
      <x:c r="T245" s="14" t="str">
        <x:v>9a6c35d9-2f41-4d9b-bdea-d545c0053749</x:v>
      </x:c>
      <x:c r="U245" s="14" t="str">
        <x:v>Novartis AG and Novartis Pharmaceuticals UK Limited v Teva UK Ltd &amp; Ors [2022] EWCA Civ 775</x:v>
      </x:c>
      <x:c r="V245" s="15" t="n">
        <x:v>0.717513</x:v>
      </x:c>
      <x:c r="W245" s="14" t="str">
        <x:v>no</x:v>
      </x:c>
      <x:c r="X245" s="14" t="str"/>
      <x:c r="Y245" s="14" t="str"/>
      <x:c r="Z245" s="14" t="str"/>
      <x:c r="AA245" s="14" t="str">
        <x:v>yes</x:v>
      </x:c>
    </x:row>
    <x:row r="246">
      <x:c r="A246" s="1" t="str">
        <x:v>U0410</x:v>
      </x:c>
      <x:c r="B246" s="1" t="str">
        <x:v>cmsbtbxft002t04jic4baeo3l</x:v>
      </x:c>
      <x:c r="C246" s="1" t="str">
        <x:v>ca-2024-002325 &amp; ca-2024-002295-modernatx-inc-v-pfizer-limited-others-appellant-skeleton</x:v>
      </x:c>
      <x:c r="D246" s="1" t="str">
        <x:v>real</x:v>
      </x:c>
      <x:c r="E246" s="14" t="str">
        <x:v>Modernatx, Inc. v Pfizer Limited &amp; Others</x:v>
      </x:c>
      <x:c r="F246" s="14" t="str">
        <x:v>case:smith &amp; nephew plc v convatec technologies inc &amp; ors</x:v>
      </x:c>
      <x:c r="G246" s="14" t="str">
        <x:v>Smith &amp; Nephew Plc v Convatec Technologies Inc &amp; Ors</x:v>
      </x:c>
      <x:c r="H246" s="14" t="str">
        <x:v>N/A</x:v>
      </x:c>
      <x:c r="I246" s="14" t="str">
        <x:v>29106524-22a0-4410-a8a6-c9fc60308a2a</x:v>
      </x:c>
      <x:c r="J246" s="14" t="n">
        <x:v>1</x:v>
      </x:c>
      <x:c r="K246" s="14" t="str">
        <x:v>reasoningStructure[0].sourceCases[0]</x:v>
      </x:c>
      <x:c r="L246" s="14" t="str">
        <x:v>cmsbtb7sw002n04jipbuqxu0i</x:v>
      </x:c>
      <x:c r="M246" s="14" t="str">
        <x:v>confirmed_within_10m</x:v>
      </x:c>
      <x:c r="N246" s="14" t="n">
        <x:v>33.31</x:v>
      </x:c>
      <x:c r="O246" s="14" t="str">
        <x:v>yes</x:v>
      </x:c>
      <x:c r="P246" s="14" t="str">
        <x:v>yes</x:v>
      </x:c>
      <x:c r="Q246" s="14" t="str">
        <x:v>exact_case_id</x:v>
      </x:c>
      <x:c r="R246" s="14" t="str">
        <x:v>definitive</x:v>
      </x:c>
      <x:c r="S246" s="14" t="n">
        <x:v>3</x:v>
      </x:c>
      <x:c r="T246" s="14" t="str">
        <x:v>29106524-22a0-4410-a8a6-c9fc60308a2a</x:v>
      </x:c>
      <x:c r="U246" s="14" t="str">
        <x:v>Smith &amp; Nephew Plc v Convatec Technologies Inc &amp; Ors [2015] EWCA Civ 803</x:v>
      </x:c>
      <x:c r="V246" s="15" t="n">
        <x:v>0.7153372</x:v>
      </x:c>
      <x:c r="W246" s="14" t="str">
        <x:v>no</x:v>
      </x:c>
      <x:c r="X246" s="14" t="str"/>
      <x:c r="Y246" s="14" t="str"/>
      <x:c r="Z246" s="14" t="str"/>
      <x:c r="AA246" s="14" t="str">
        <x:v>yes</x:v>
      </x:c>
    </x:row>
    <x:row r="247">
      <x:c r="A247" s="1" t="str">
        <x:v>U0411</x:v>
      </x:c>
      <x:c r="B247" s="1" t="str">
        <x:v>cmsbtbxft002t04jic4baeo3l</x:v>
      </x:c>
      <x:c r="C247" s="1" t="str">
        <x:v>ca-2024-002325 &amp; ca-2024-002295-modernatx-inc-v-pfizer-limited-others-appellant-skeleton</x:v>
      </x:c>
      <x:c r="D247" s="1" t="str">
        <x:v>real</x:v>
      </x:c>
      <x:c r="E247" s="14" t="str">
        <x:v>Modernatx, Inc. v Pfizer Limited &amp; Others</x:v>
      </x:c>
      <x:c r="F247" s="14" t="str">
        <x:v>case:warner lambert company llc v actavis group ptc ehf &amp; ors</x:v>
      </x:c>
      <x:c r="G247" s="14" t="str">
        <x:v>Warner-Lambert Company, LLC v Actavis Group Ptc EHF &amp; Ors</x:v>
      </x:c>
      <x:c r="H247" s="14" t="str">
        <x:v>N/A</x:v>
      </x:c>
      <x:c r="I247" s="14" t="str">
        <x:v>4d61560d-ecf9-4ce9-a7f2-63d5c1787b6e</x:v>
      </x:c>
      <x:c r="J247" s="14" t="n">
        <x:v>1</x:v>
      </x:c>
      <x:c r="K247" s="14" t="str">
        <x:v>factualFindings.contestedFacts[1].sourceCases[0]</x:v>
      </x:c>
      <x:c r="L247" s="14" t="str">
        <x:v>cmsbtb7sw002n04jipbuqxu0i</x:v>
      </x:c>
      <x:c r="M247" s="14" t="str">
        <x:v>confirmed_within_10m</x:v>
      </x:c>
      <x:c r="N247" s="14" t="n">
        <x:v>33.31</x:v>
      </x:c>
      <x:c r="O247" s="14" t="str">
        <x:v>yes</x:v>
      </x:c>
      <x:c r="P247" s="14" t="str">
        <x:v>yes</x:v>
      </x:c>
      <x:c r="Q247" s="14" t="str">
        <x:v>exact_case_id</x:v>
      </x:c>
      <x:c r="R247" s="14" t="str">
        <x:v>definitive</x:v>
      </x:c>
      <x:c r="S247" s="14" t="n">
        <x:v>4</x:v>
      </x:c>
      <x:c r="T247" s="14" t="str">
        <x:v>4d61560d-ecf9-4ce9-a7f2-63d5c1787b6e</x:v>
      </x:c>
      <x:c r="U247" s="14" t="str">
        <x:v>Warner-Lambert Company, LLC v Actavis Group Ptc EHF &amp; Ors</x:v>
      </x:c>
      <x:c r="V247" s="15" t="n">
        <x:v>0.71490633</x:v>
      </x:c>
      <x:c r="W247" s="14" t="str">
        <x:v>no</x:v>
      </x:c>
      <x:c r="X247" s="14" t="str"/>
      <x:c r="Y247" s="14" t="str"/>
      <x:c r="Z247" s="14" t="str"/>
      <x:c r="AA247" s="14" t="str">
        <x:v>yes</x:v>
      </x:c>
    </x:row>
    <x:row r="248">
      <x:c r="A248" s="1" t="str">
        <x:v>U0413</x:v>
      </x:c>
      <x:c r="B248" s="1" t="str">
        <x:v>cmst419ew000k04ladhs06s0r</x:v>
      </x:c>
      <x:c r="C248" s="1" t="str">
        <x:v>skeleton-args-ca2015000120-c8bbd9c0f403a8f6</x:v>
      </x:c>
      <x:c r="D248" s="1" t="str">
        <x:v>synthetic</x:v>
      </x:c>
      <x:c r="E248" s="14" t="str">
        <x:v>Sharma v Meridian Financial Services Ltd</x:v>
      </x:c>
      <x:c r="F248" s="14" t="str">
        <x:v>case:2014 ewca civ 1213</x:v>
      </x:c>
      <x:c r="G248" s="14" t="str">
        <x:v>Gaurilcikiene v Tesco Stores Ltd</x:v>
      </x:c>
      <x:c r="H248" s="14" t="str">
        <x:v>[2014] EWCA Civ 1213</x:v>
      </x:c>
      <x:c r="I248" s="14" t="str">
        <x:v>060fb5e3-4e14-487d-89e2-170c04ebf40c</x:v>
      </x:c>
      <x:c r="J248" s="14" t="n">
        <x:v>3</x:v>
      </x:c>
      <x:c r="K248" s="14" t="str">
        <x:v>factualFindings.chronology[1].sourceCases[0] | issuesForDetermination.issueMatrix[0].sourceCases[1] | reasoningStructure[0].sourceCases[1]</x:v>
      </x:c>
      <x:c r="L248" s="14" t="str">
        <x:v>cmst3ztkq000e04labxjacu4p</x:v>
      </x:c>
      <x:c r="M248" s="14" t="str">
        <x:v>confirmed_within_10m</x:v>
      </x:c>
      <x:c r="N248" s="14" t="n">
        <x:v>67.272</x:v>
      </x:c>
      <x:c r="O248" s="14" t="str">
        <x:v>yes</x:v>
      </x:c>
      <x:c r="P248" s="14" t="str">
        <x:v>yes</x:v>
      </x:c>
      <x:c r="Q248" s="14" t="str">
        <x:v>exact_case_id</x:v>
      </x:c>
      <x:c r="R248" s="14" t="str">
        <x:v>definitive</x:v>
      </x:c>
      <x:c r="S248" s="14" t="n">
        <x:v>2</x:v>
      </x:c>
      <x:c r="T248" s="14" t="str">
        <x:v>060fb5e3-4e14-487d-89e2-170c04ebf40c</x:v>
      </x:c>
      <x:c r="U248" s="14" t="str">
        <x:v>Gaurilcikiene v Tesco Stores Ltd [2014] EWCA Civ 1213</x:v>
      </x:c>
      <x:c r="V248" s="15" t="n">
        <x:v>0.73192024</x:v>
      </x:c>
      <x:c r="W248" s="14" t="str">
        <x:v>no</x:v>
      </x:c>
      <x:c r="X248" s="14" t="str"/>
      <x:c r="Y248" s="14" t="str"/>
      <x:c r="Z248" s="14" t="str"/>
      <x:c r="AA248" s="14" t="str">
        <x:v>yes</x:v>
      </x:c>
    </x:row>
    <x:row r="249">
      <x:c r="A249" s="1" t="str">
        <x:v>U0414</x:v>
      </x:c>
      <x:c r="B249" s="1" t="str">
        <x:v>cmst419ew000k04ladhs06s0r</x:v>
      </x:c>
      <x:c r="C249" s="1" t="str">
        <x:v>skeleton-args-ca2015000120-c8bbd9c0f403a8f6</x:v>
      </x:c>
      <x:c r="D249" s="1" t="str">
        <x:v>synthetic</x:v>
      </x:c>
      <x:c r="E249" s="14" t="str">
        <x:v>Sharma v Meridian Financial Services Ltd</x:v>
      </x:c>
      <x:c r="F249" s="14" t="str">
        <x:v>case:2014 ewca civ 73</x:v>
      </x:c>
      <x:c r="G249" s="14" t="str">
        <x:v>South Wales Police Authority v Johnson</x:v>
      </x:c>
      <x:c r="H249" s="14" t="str">
        <x:v>[2014] EWCA Civ 73</x:v>
      </x:c>
      <x:c r="I249" s="14" t="str">
        <x:v>7b9b0d5a-dc61-43d4-9626-d82e18f8c8dd</x:v>
      </x:c>
      <x:c r="J249" s="14" t="n">
        <x:v>2</x:v>
      </x:c>
      <x:c r="K249" s="14" t="str">
        <x:v>issuesForDetermination.issueMatrix[1].sourceCases[0] | reasoningStructure[1].sourceCases[0]</x:v>
      </x:c>
      <x:c r="L249" s="14" t="str">
        <x:v>cmst3ztkq000e04labxjacu4p</x:v>
      </x:c>
      <x:c r="M249" s="14" t="str">
        <x:v>confirmed_within_10m</x:v>
      </x:c>
      <x:c r="N249" s="14" t="n">
        <x:v>67.272</x:v>
      </x:c>
      <x:c r="O249" s="14" t="str">
        <x:v>yes</x:v>
      </x:c>
      <x:c r="P249" s="14" t="str">
        <x:v>yes</x:v>
      </x:c>
      <x:c r="Q249" s="14" t="str">
        <x:v>exact_case_id</x:v>
      </x:c>
      <x:c r="R249" s="14" t="str">
        <x:v>definitive</x:v>
      </x:c>
      <x:c r="S249" s="14" t="n">
        <x:v>3</x:v>
      </x:c>
      <x:c r="T249" s="14" t="str">
        <x:v>7b9b0d5a-dc61-43d4-9626-d82e18f8c8dd</x:v>
      </x:c>
      <x:c r="U249" s="14" t="str">
        <x:v>South Wales Police Authority v Johnson [2014] EWCA Civ 73</x:v>
      </x:c>
      <x:c r="V249" s="15" t="n">
        <x:v>0.7251953</x:v>
      </x:c>
      <x:c r="W249" s="14" t="str">
        <x:v>no</x:v>
      </x:c>
      <x:c r="X249" s="14" t="str"/>
      <x:c r="Y249" s="14" t="str"/>
      <x:c r="Z249" s="14" t="str"/>
      <x:c r="AA249" s="14" t="str">
        <x:v>yes</x:v>
      </x:c>
    </x:row>
    <x:row r="250">
      <x:c r="A250" s="1" t="str">
        <x:v>U0415</x:v>
      </x:c>
      <x:c r="B250" s="1" t="str">
        <x:v>cmst419ew000k04ladhs06s0r</x:v>
      </x:c>
      <x:c r="C250" s="1" t="str">
        <x:v>skeleton-args-ca2015000120-c8bbd9c0f403a8f6</x:v>
      </x:c>
      <x:c r="D250" s="1" t="str">
        <x:v>synthetic</x:v>
      </x:c>
      <x:c r="E250" s="14" t="str">
        <x:v>Sharma v Meridian Financial Services Ltd</x:v>
      </x:c>
      <x:c r="F250" s="14" t="str">
        <x:v>case:2015 ewca civ 897</x:v>
      </x:c>
      <x:c r="G250" s="14" t="str">
        <x:v>Kalu v Brighton and Sussex University Hospitals NHS Trust &amp; Ors</x:v>
      </x:c>
      <x:c r="H250" s="14" t="str">
        <x:v>[2015] EWCA Civ 897</x:v>
      </x:c>
      <x:c r="I250" s="14" t="str">
        <x:v>b5913f39-0611-4550-b7a3-d97e1fc4f9c9</x:v>
      </x:c>
      <x:c r="J250" s="14" t="n">
        <x:v>3</x:v>
      </x:c>
      <x:c r="K250" s="14" t="str">
        <x:v>factualFindings.contestedFacts[1].sourceCases[0] | issuesForDetermination.issueMatrix[0].sourceCases[0] | reasoningStructure[0].sourceCases[0]</x:v>
      </x:c>
      <x:c r="L250" s="14" t="str">
        <x:v>cmst3ztkq000e04labxjacu4p</x:v>
      </x:c>
      <x:c r="M250" s="14" t="str">
        <x:v>confirmed_within_10m</x:v>
      </x:c>
      <x:c r="N250" s="14" t="n">
        <x:v>67.272</x:v>
      </x:c>
      <x:c r="O250" s="14" t="str">
        <x:v>yes</x:v>
      </x:c>
      <x:c r="P250" s="14" t="str">
        <x:v>yes</x:v>
      </x:c>
      <x:c r="Q250" s="14" t="str">
        <x:v>exact_case_id</x:v>
      </x:c>
      <x:c r="R250" s="14" t="str">
        <x:v>definitive</x:v>
      </x:c>
      <x:c r="S250" s="14" t="n">
        <x:v>1</x:v>
      </x:c>
      <x:c r="T250" s="14" t="str">
        <x:v>b5913f39-0611-4550-b7a3-d97e1fc4f9c9</x:v>
      </x:c>
      <x:c r="U250" s="14" t="str">
        <x:v>Kalu v Brighton and Sussex University Hospitals NHS Trust &amp; Ors [2015] EWCA Civ 897</x:v>
      </x:c>
      <x:c r="V250" s="15" t="n">
        <x:v>0.73516136</x:v>
      </x:c>
      <x:c r="W250" s="14" t="str">
        <x:v>no</x:v>
      </x:c>
      <x:c r="X250" s="14" t="str"/>
      <x:c r="Y250" s="14" t="str"/>
      <x:c r="Z250" s="14" t="str"/>
      <x:c r="AA250" s="14" t="str">
        <x:v>yes</x:v>
      </x:c>
    </x:row>
    <x:row r="251">
      <x:c r="A251" s="1" t="str">
        <x:v>U0416</x:v>
      </x:c>
      <x:c r="B251" s="1" t="str">
        <x:v>cmst419ew000k04ladhs06s0r</x:v>
      </x:c>
      <x:c r="C251" s="1" t="str">
        <x:v>skeleton-args-ca2015000120-c8bbd9c0f403a8f6</x:v>
      </x:c>
      <x:c r="D251" s="1" t="str">
        <x:v>synthetic</x:v>
      </x:c>
      <x:c r="E251" s="14" t="str">
        <x:v>Sharma v Meridian Financial Services Ltd</x:v>
      </x:c>
      <x:c r="F251" s="14" t="str">
        <x:v>case:igen ltd v wong</x:v>
      </x:c>
      <x:c r="G251" s="14" t="str">
        <x:v>Igen Ltd v Wong</x:v>
      </x:c>
      <x:c r="H251" s="14" t="str">
        <x:v>Igen Ltd v Wong</x:v>
      </x:c>
      <x:c r="I251" s="14" t="str"/>
      <x:c r="J251" s="14" t="n">
        <x:v>1</x:v>
      </x:c>
      <x:c r="K251" s="14" t="str">
        <x:v>legalFramework.precedentCitations[1]</x:v>
      </x:c>
      <x:c r="L251" s="14" t="str">
        <x:v>cmst3ztkq000e04labxjacu4p</x:v>
      </x:c>
      <x:c r="M251" s="14" t="str">
        <x:v>confirmed_within_10m</x:v>
      </x:c>
      <x:c r="N251" s="14" t="n">
        <x:v>67.272</x:v>
      </x:c>
      <x:c r="O251" s="14" t="str">
        <x:v>yes</x:v>
      </x:c>
      <x:c r="P251" s="14" t="str">
        <x:v>no</x:v>
      </x:c>
      <x:c r="Q251" s="14" t="str">
        <x:v>none</x:v>
      </x:c>
      <x:c r="R251" s="14" t="str">
        <x:v>none</x:v>
      </x:c>
      <x:c r="S251" s="14" t="str"/>
      <x:c r="T251" s="14" t="str"/>
      <x:c r="U251" s="14" t="str"/>
      <x:c r="V251" s="15" t="str"/>
      <x:c r="W251" s="14" t="str">
        <x:v>yes</x:v>
      </x:c>
      <x:c r="X251" s="14" t="str">
        <x:v>Igen Ltd v Wong</x:v>
      </x:c>
      <x:c r="Y251" s="14" t="n">
        <x:v>5</x:v>
      </x:c>
      <x:c r="Z251" s="14" t="str">
        <x:v>Khan v Royal Mail Group Ltd &amp; Ors [2014] EWCA Civ 1082</x:v>
      </x:c>
      <x:c r="AA251" s="14" t="str">
        <x:v>no</x:v>
      </x:c>
    </x:row>
    <x:row r="252">
      <x:c r="A252" s="1" t="str">
        <x:v>U0417</x:v>
      </x:c>
      <x:c r="B252" s="1" t="str">
        <x:v>cmst419ew000k04ladhs06s0r</x:v>
      </x:c>
      <x:c r="C252" s="1" t="str">
        <x:v>skeleton-args-ca2015000120-c8bbd9c0f403a8f6</x:v>
      </x:c>
      <x:c r="D252" s="1" t="str">
        <x:v>synthetic</x:v>
      </x:c>
      <x:c r="E252" s="14" t="str">
        <x:v>Sharma v Meridian Financial Services Ltd</x:v>
      </x:c>
      <x:c r="F252" s="14" t="str">
        <x:v>case:shamoon v chief constable of the royal ulster constabulary</x:v>
      </x:c>
      <x:c r="G252" s="14" t="str">
        <x:v>Shamoon v Chief Constable of the Royal Ulster Constabulary</x:v>
      </x:c>
      <x:c r="H252" s="14" t="str">
        <x:v>Shamoon v Chief Constable of the Royal Ulster Constabulary</x:v>
      </x:c>
      <x:c r="I252" s="14" t="str"/>
      <x:c r="J252" s="14" t="n">
        <x:v>1</x:v>
      </x:c>
      <x:c r="K252" s="14" t="str">
        <x:v>legalFramework.precedentCitations[0]</x:v>
      </x:c>
      <x:c r="L252" s="14" t="str">
        <x:v>cmst3ztkq000e04labxjacu4p</x:v>
      </x:c>
      <x:c r="M252" s="14" t="str">
        <x:v>confirmed_within_10m</x:v>
      </x:c>
      <x:c r="N252" s="14" t="n">
        <x:v>67.272</x:v>
      </x:c>
      <x:c r="O252" s="14" t="str">
        <x:v>yes</x:v>
      </x:c>
      <x:c r="P252" s="14" t="str">
        <x:v>no</x:v>
      </x:c>
      <x:c r="Q252" s="14" t="str">
        <x:v>none</x:v>
      </x:c>
      <x:c r="R252" s="14" t="str">
        <x:v>none</x:v>
      </x:c>
      <x:c r="S252" s="14" t="str"/>
      <x:c r="T252" s="14" t="str"/>
      <x:c r="U252" s="14" t="str"/>
      <x:c r="V252" s="15" t="str"/>
      <x:c r="W252" s="14" t="str">
        <x:v>no</x:v>
      </x:c>
      <x:c r="X252" s="14" t="str"/>
      <x:c r="Y252" s="14" t="str"/>
      <x:c r="Z252" s="14" t="str"/>
      <x:c r="AA252" s="14" t="str">
        <x:v>no</x:v>
      </x:c>
    </x:row>
    <x:row r="253">
      <x:c r="A253" s="1" t="str">
        <x:v>U0423</x:v>
      </x:c>
      <x:c r="B253" s="1" t="str">
        <x:v>cmst45vlc000h04l7f6nlqawg</x:v>
      </x:c>
      <x:c r="C253" s="1" t="str">
        <x:v>skeleton-args-ca2015008373-db13b0c8e36da3c2</x:v>
      </x:c>
      <x:c r="D253" s="1" t="str">
        <x:v>synthetic</x:v>
      </x:c>
      <x:c r="E253" s="14" t="str">
        <x:v>Crossfield Trading Ltd v Northern Commercial Bank Plc</x:v>
      </x:c>
      <x:c r="F253" s="14" t="str">
        <x:v>case:2015 ewca civ 986</x:v>
      </x:c>
      <x:c r="G253" s="14" t="str">
        <x:v>Crestsign Ltd v National Westminster Bank Plc &amp; Anor</x:v>
      </x:c>
      <x:c r="H253" s="14" t="str">
        <x:v>[2015] EWCA Civ 986</x:v>
      </x:c>
      <x:c r="I253" s="14" t="str">
        <x:v>a1fcbe31-60cf-480d-aa88-19492f68df24</x:v>
      </x:c>
      <x:c r="J253" s="14" t="n">
        <x:v>3</x:v>
      </x:c>
      <x:c r="K253" s="14" t="str">
        <x:v>factualFindings.contestedFacts[0].sourceCases[0] | issuesForDetermination.issueMatrix[0].sourceCases[0] | reasoningStructure[0].sourceCases[0]</x:v>
      </x:c>
      <x:c r="L253" s="14" t="str">
        <x:v>cmst43r4x000b04l747yntyz2</x:v>
      </x:c>
      <x:c r="M253" s="14" t="str">
        <x:v>confirmed_within_10m</x:v>
      </x:c>
      <x:c r="N253" s="14" t="n">
        <x:v>99.175</x:v>
      </x:c>
      <x:c r="O253" s="14" t="str">
        <x:v>yes</x:v>
      </x:c>
      <x:c r="P253" s="14" t="str">
        <x:v>yes</x:v>
      </x:c>
      <x:c r="Q253" s="14" t="str">
        <x:v>exact_case_id</x:v>
      </x:c>
      <x:c r="R253" s="14" t="str">
        <x:v>definitive</x:v>
      </x:c>
      <x:c r="S253" s="14" t="n">
        <x:v>1</x:v>
      </x:c>
      <x:c r="T253" s="14" t="str">
        <x:v>a1fcbe31-60cf-480d-aa88-19492f68df24</x:v>
      </x:c>
      <x:c r="U253" s="14" t="str">
        <x:v>Crestsign Ltd v National Westminster Bank Plc &amp; Anor [2015] EWCA Civ 986</x:v>
      </x:c>
      <x:c r="V253" s="15" t="n">
        <x:v>0.7110932</x:v>
      </x:c>
      <x:c r="W253" s="14" t="str">
        <x:v>no</x:v>
      </x:c>
      <x:c r="X253" s="14" t="str"/>
      <x:c r="Y253" s="14" t="str"/>
      <x:c r="Z253" s="14" t="str"/>
      <x:c r="AA253" s="14" t="str">
        <x:v>yes</x:v>
      </x:c>
    </x:row>
    <x:row r="254">
      <x:c r="A254" s="1" t="str">
        <x:v>U0424</x:v>
      </x:c>
      <x:c r="B254" s="1" t="str">
        <x:v>cmst45vlc000h04l7f6nlqawg</x:v>
      </x:c>
      <x:c r="C254" s="1" t="str">
        <x:v>skeleton-args-ca2015008373-db13b0c8e36da3c2</x:v>
      </x:c>
      <x:c r="D254" s="1" t="str">
        <x:v>synthetic</x:v>
      </x:c>
      <x:c r="E254" s="14" t="str">
        <x:v>Crossfield Trading Ltd v Northern Commercial Bank Plc</x:v>
      </x:c>
      <x:c r="F254" s="14" t="str">
        <x:v>case:2016 ewca civ 119</x:v>
      </x:c>
      <x:c r="G254" s="14" t="str">
        <x:v>Deutsche Bank AG v Unitech Global Limited &amp; Ors</x:v>
      </x:c>
      <x:c r="H254" s="14" t="str">
        <x:v>[2016] EWCA Civ 119</x:v>
      </x:c>
      <x:c r="I254" s="14" t="str">
        <x:v>5efa7b7e-80f2-4a0e-ad80-5ab0db7a9c17</x:v>
      </x:c>
      <x:c r="J254" s="14" t="n">
        <x:v>6</x:v>
      </x:c>
      <x:c r="K254" s="14" t="str">
        <x:v>issuesForDetermination.issueMatrix[1].sourceCases[0] | issuesForDetermination.issueMatrix[2].sourceCases[0] | issuesForDetermination.issueMatrix[3].sourceCases[0] | reasoningStructure[1].sourceCases[0] | reasoningStructure[2].sourceCases[0] | reasoningStructure[3].sourceCases[0]</x:v>
      </x:c>
      <x:c r="L254" s="14" t="str">
        <x:v>cmst43r4x000b04l747yntyz2</x:v>
      </x:c>
      <x:c r="M254" s="14" t="str">
        <x:v>confirmed_within_10m</x:v>
      </x:c>
      <x:c r="N254" s="14" t="n">
        <x:v>99.175</x:v>
      </x:c>
      <x:c r="O254" s="14" t="str">
        <x:v>yes</x:v>
      </x:c>
      <x:c r="P254" s="14" t="str">
        <x:v>yes</x:v>
      </x:c>
      <x:c r="Q254" s="14" t="str">
        <x:v>exact_case_id</x:v>
      </x:c>
      <x:c r="R254" s="14" t="str">
        <x:v>definitive</x:v>
      </x:c>
      <x:c r="S254" s="14" t="n">
        <x:v>3</x:v>
      </x:c>
      <x:c r="T254" s="14" t="str">
        <x:v>5efa7b7e-80f2-4a0e-ad80-5ab0db7a9c17</x:v>
      </x:c>
      <x:c r="U254" s="14" t="str">
        <x:v>Deutsche Bank AG v Unitech Global Limited &amp; Ors [2016] EWCA Civ 119</x:v>
      </x:c>
      <x:c r="V254" s="15" t="n">
        <x:v>0.6992345</x:v>
      </x:c>
      <x:c r="W254" s="14" t="str">
        <x:v>no</x:v>
      </x:c>
      <x:c r="X254" s="14" t="str"/>
      <x:c r="Y254" s="14" t="str"/>
      <x:c r="Z254" s="14" t="str"/>
      <x:c r="AA254" s="14" t="str">
        <x:v>yes</x:v>
      </x:c>
    </x:row>
    <x:row r="255">
      <x:c r="A255" s="1" t="str">
        <x:v>U0425</x:v>
      </x:c>
      <x:c r="B255" s="1" t="str">
        <x:v>cmst45vlc000h04l7f6nlqawg</x:v>
      </x:c>
      <x:c r="C255" s="1" t="str">
        <x:v>skeleton-args-ca2015008373-db13b0c8e36da3c2</x:v>
      </x:c>
      <x:c r="D255" s="1" t="str">
        <x:v>synthetic</x:v>
      </x:c>
      <x:c r="E255" s="14" t="str">
        <x:v>Crossfield Trading Ltd v Northern Commercial Bank Plc</x:v>
      </x:c>
      <x:c r="F255" s="14" t="str">
        <x:v>case:crestsign ltd v national westminster bank plc &amp; anor</x:v>
      </x:c>
      <x:c r="G255" s="14" t="str">
        <x:v>Crestsign Ltd v National Westminster Bank Plc &amp; Anor</x:v>
      </x:c>
      <x:c r="H255" s="14" t="str">
        <x:v>Crestsign Ltd v National Westminster Bank Plc &amp; Anor</x:v>
      </x:c>
      <x:c r="I255" s="14" t="str"/>
      <x:c r="J255" s="14" t="n">
        <x:v>1</x:v>
      </x:c>
      <x:c r="K255" s="14" t="str">
        <x:v>legalFramework.legalTestSummaries[1].sourceAuthority</x:v>
      </x:c>
      <x:c r="L255" s="14" t="str">
        <x:v>cmst43r4x000b04l747yntyz2</x:v>
      </x:c>
      <x:c r="M255" s="14" t="str">
        <x:v>confirmed_within_10m</x:v>
      </x:c>
      <x:c r="N255" s="14" t="n">
        <x:v>99.175</x:v>
      </x:c>
      <x:c r="O255" s="14" t="str">
        <x:v>yes</x:v>
      </x:c>
      <x:c r="P255" s="14" t="str">
        <x:v>yes</x:v>
      </x:c>
      <x:c r="Q255" s="14" t="str">
        <x:v>exact_normalized_title</x:v>
      </x:c>
      <x:c r="R255" s="14" t="str">
        <x:v>high</x:v>
      </x:c>
      <x:c r="S255" s="14" t="n">
        <x:v>1</x:v>
      </x:c>
      <x:c r="T255" s="14" t="str">
        <x:v>a1fcbe31-60cf-480d-aa88-19492f68df24</x:v>
      </x:c>
      <x:c r="U255" s="14" t="str">
        <x:v>Crestsign Ltd v National Westminster Bank Plc &amp; Anor [2015] EWCA Civ 986</x:v>
      </x:c>
      <x:c r="V255" s="15" t="n">
        <x:v>0.7110932</x:v>
      </x:c>
      <x:c r="W255" s="14" t="str">
        <x:v>no</x:v>
      </x:c>
      <x:c r="X255" s="14" t="str"/>
      <x:c r="Y255" s="14" t="str"/>
      <x:c r="Z255" s="14" t="str"/>
      <x:c r="AA255" s="14" t="str">
        <x:v>yes</x:v>
      </x:c>
    </x:row>
    <x:row r="256">
      <x:c r="A256" s="1" t="str">
        <x:v>U0432</x:v>
      </x:c>
      <x:c r="B256" s="1" t="str">
        <x:v>cmst49zw4001104l7neqlaa0v</x:v>
      </x:c>
      <x:c r="C256" s="1" t="str">
        <x:v>skeleton-args-ca2024009268-0b828a88e0027426</x:v>
      </x:c>
      <x:c r="D256" s="1" t="str">
        <x:v>synthetic</x:v>
      </x:c>
      <x:c r="E256" s="14" t="str">
        <x:v>Webb v Ashworth &amp; Partners</x:v>
      </x:c>
      <x:c r="F256" s="14" t="str">
        <x:v>case:2002 ewca civ 605</x:v>
      </x:c>
      <x:c r="G256" s="14" t="str">
        <x:v>[2002] EWCA Civ 605</x:v>
      </x:c>
      <x:c r="H256" s="14" t="str">
        <x:v>[2002] EWCA Civ 605</x:v>
      </x:c>
      <x:c r="I256" s="14" t="str"/>
      <x:c r="J256" s="14" t="n">
        <x:v>1</x:v>
      </x:c>
      <x:c r="K256" s="14" t="str">
        <x:v>legalFramework.precedentCitations[0]</x:v>
      </x:c>
      <x:c r="L256" s="14" t="str">
        <x:v>cmst47zkn000v04l7hdoa66wv</x:v>
      </x:c>
      <x:c r="M256" s="14" t="str">
        <x:v>confirmed_within_10m</x:v>
      </x:c>
      <x:c r="N256" s="14" t="n">
        <x:v>93.81</x:v>
      </x:c>
      <x:c r="O256" s="14" t="str">
        <x:v>yes</x:v>
      </x:c>
      <x:c r="P256" s="14" t="str">
        <x:v>no</x:v>
      </x:c>
      <x:c r="Q256" s="14" t="str">
        <x:v>none</x:v>
      </x:c>
      <x:c r="R256" s="14" t="str">
        <x:v>none</x:v>
      </x:c>
      <x:c r="S256" s="14" t="str"/>
      <x:c r="T256" s="14" t="str"/>
      <x:c r="U256" s="14" t="str"/>
      <x:c r="V256" s="15" t="str"/>
      <x:c r="W256" s="14" t="str">
        <x:v>no</x:v>
      </x:c>
      <x:c r="X256" s="14" t="str"/>
      <x:c r="Y256" s="14" t="str"/>
      <x:c r="Z256" s="14" t="str"/>
      <x:c r="AA256" s="14" t="str">
        <x:v>no</x:v>
      </x:c>
    </x:row>
    <x:row r="257">
      <x:c r="A257" s="1" t="str">
        <x:v>U0433</x:v>
      </x:c>
      <x:c r="B257" s="1" t="str">
        <x:v>cmst49zw4001104l7neqlaa0v</x:v>
      </x:c>
      <x:c r="C257" s="1" t="str">
        <x:v>skeleton-args-ca2024009268-0b828a88e0027426</x:v>
      </x:c>
      <x:c r="D257" s="1" t="str">
        <x:v>synthetic</x:v>
      </x:c>
      <x:c r="E257" s="14" t="str">
        <x:v>Webb v Ashworth &amp; Partners</x:v>
      </x:c>
      <x:c r="F257" s="14" t="str">
        <x:v>case:2015 ewca civ 1146</x:v>
      </x:c>
      <x:c r="G257" s="14" t="str">
        <x:v>Wellesley Partners LLP v Withers LLP [2015] EWCA Civ 1146</x:v>
      </x:c>
      <x:c r="H257" s="14" t="str"/>
      <x:c r="I257" s="14" t="str">
        <x:v>5bbb3770-46d1-41af-b347-aa54ea9834ba</x:v>
      </x:c>
      <x:c r="J257" s="14" t="n">
        <x:v>3</x:v>
      </x:c>
      <x:c r="K257" s="14" t="str">
        <x:v>factualFindings.chronology[1].sourceCases[0] | legalFramework.statutoryProvisions[0].sourceCases[0] | reasoningStructure[0].sourceCases[0]</x:v>
      </x:c>
      <x:c r="L257" s="14" t="str">
        <x:v>cmst47zkn000v04l7hdoa66wv</x:v>
      </x:c>
      <x:c r="M257" s="14" t="str">
        <x:v>confirmed_within_10m</x:v>
      </x:c>
      <x:c r="N257" s="14" t="n">
        <x:v>93.81</x:v>
      </x:c>
      <x:c r="O257" s="14" t="str">
        <x:v>yes</x:v>
      </x:c>
      <x:c r="P257" s="14" t="str">
        <x:v>yes</x:v>
      </x:c>
      <x:c r="Q257" s="14" t="str">
        <x:v>exact_case_id</x:v>
      </x:c>
      <x:c r="R257" s="14" t="str">
        <x:v>definitive</x:v>
      </x:c>
      <x:c r="S257" s="14" t="n">
        <x:v>3</x:v>
      </x:c>
      <x:c r="T257" s="14" t="str">
        <x:v>5bbb3770-46d1-41af-b347-aa54ea9834ba</x:v>
      </x:c>
      <x:c r="U257" s="14" t="str">
        <x:v>Wellesley Partners LLP v Withers LLP [2015] EWCA Civ 1146</x:v>
      </x:c>
      <x:c r="V257" s="15" t="n">
        <x:v>0.702384</x:v>
      </x:c>
      <x:c r="W257" s="14" t="str">
        <x:v>no</x:v>
      </x:c>
      <x:c r="X257" s="14" t="str"/>
      <x:c r="Y257" s="14" t="str"/>
      <x:c r="Z257" s="14" t="str"/>
      <x:c r="AA257" s="14" t="str">
        <x:v>yes</x:v>
      </x:c>
    </x:row>
    <x:row r="258">
      <x:c r="A258" s="1" t="str">
        <x:v>U0434</x:v>
      </x:c>
      <x:c r="B258" s="1" t="str">
        <x:v>cmst49zw4001104l7neqlaa0v</x:v>
      </x:c>
      <x:c r="C258" s="1" t="str">
        <x:v>skeleton-args-ca2024009268-0b828a88e0027426</x:v>
      </x:c>
      <x:c r="D258" s="1" t="str">
        <x:v>synthetic</x:v>
      </x:c>
      <x:c r="E258" s="14" t="str">
        <x:v>Webb v Ashworth &amp; Partners</x:v>
      </x:c>
      <x:c r="F258" s="14" t="str">
        <x:v>case:2015 ewca civ 400</x:v>
      </x:c>
      <x:c r="G258" s="14" t="str">
        <x:v>Procter v Raleys Solicitors [2015] EWCA Civ 400</x:v>
      </x:c>
      <x:c r="H258" s="14" t="str"/>
      <x:c r="I258" s="14" t="str">
        <x:v>2bd10c54-07db-4985-85eb-0568607ef9f3</x:v>
      </x:c>
      <x:c r="J258" s="14" t="n">
        <x:v>1</x:v>
      </x:c>
      <x:c r="K258" s="14" t="str">
        <x:v>factualFindings.contestedFacts[0].sourceCases[0]</x:v>
      </x:c>
      <x:c r="L258" s="14" t="str">
        <x:v>cmst47zkn000v04l7hdoa66wv</x:v>
      </x:c>
      <x:c r="M258" s="14" t="str">
        <x:v>confirmed_within_10m</x:v>
      </x:c>
      <x:c r="N258" s="14" t="n">
        <x:v>93.81</x:v>
      </x:c>
      <x:c r="O258" s="14" t="str">
        <x:v>yes</x:v>
      </x:c>
      <x:c r="P258" s="14" t="str">
        <x:v>yes</x:v>
      </x:c>
      <x:c r="Q258" s="14" t="str">
        <x:v>exact_case_id</x:v>
      </x:c>
      <x:c r="R258" s="14" t="str">
        <x:v>definitive</x:v>
      </x:c>
      <x:c r="S258" s="14" t="n">
        <x:v>2</x:v>
      </x:c>
      <x:c r="T258" s="14" t="str">
        <x:v>2bd10c54-07db-4985-85eb-0568607ef9f3</x:v>
      </x:c>
      <x:c r="U258" s="14" t="str">
        <x:v>Procter v Raleys Solicitors [2015] EWCA Civ 400</x:v>
      </x:c>
      <x:c r="V258" s="15" t="n">
        <x:v>0.7155333</x:v>
      </x:c>
      <x:c r="W258" s="14" t="str">
        <x:v>no</x:v>
      </x:c>
      <x:c r="X258" s="14" t="str"/>
      <x:c r="Y258" s="14" t="str"/>
      <x:c r="Z258" s="14" t="str"/>
      <x:c r="AA258" s="14" t="str">
        <x:v>yes</x:v>
      </x:c>
    </x:row>
    <x:row r="259">
      <x:c r="A259" s="1" t="str">
        <x:v>U0435</x:v>
      </x:c>
      <x:c r="B259" s="1" t="str">
        <x:v>cmst49zw4001104l7neqlaa0v</x:v>
      </x:c>
      <x:c r="C259" s="1" t="str">
        <x:v>skeleton-args-ca2024009268-0b828a88e0027426</x:v>
      </x:c>
      <x:c r="D259" s="1" t="str">
        <x:v>synthetic</x:v>
      </x:c>
      <x:c r="E259" s="14" t="str">
        <x:v>Webb v Ashworth &amp; Partners</x:v>
      </x:c>
      <x:c r="F259" s="14" t="str">
        <x:v>case:goldsmith williams solicitors v e surv ltd</x:v>
      </x:c>
      <x:c r="G259" s="14" t="str">
        <x:v>Goldsmith Williams Solicitors v E.Surv Ltd</x:v>
      </x:c>
      <x:c r="H259" s="14" t="str"/>
      <x:c r="I259" s="14" t="str">
        <x:v>3939ad83-3116-4c2b-9d35-73b063345d71</x:v>
      </x:c>
      <x:c r="J259" s="14" t="n">
        <x:v>3</x:v>
      </x:c>
      <x:c r="K259" s="14" t="str">
        <x:v>factualFindings.contestedFacts[1].sourceCases[0] | issuesForDetermination.issueMatrix[1].sourceCases[0] | reasoningStructure[1].sourceCases[0]</x:v>
      </x:c>
      <x:c r="L259" s="14" t="str">
        <x:v>cmst47zkn000v04l7hdoa66wv</x:v>
      </x:c>
      <x:c r="M259" s="14" t="str">
        <x:v>confirmed_within_10m</x:v>
      </x:c>
      <x:c r="N259" s="14" t="n">
        <x:v>93.81</x:v>
      </x:c>
      <x:c r="O259" s="14" t="str">
        <x:v>yes</x:v>
      </x:c>
      <x:c r="P259" s="14" t="str">
        <x:v>yes</x:v>
      </x:c>
      <x:c r="Q259" s="14" t="str">
        <x:v>exact_case_id</x:v>
      </x:c>
      <x:c r="R259" s="14" t="str">
        <x:v>definitive</x:v>
      </x:c>
      <x:c r="S259" s="14" t="n">
        <x:v>5</x:v>
      </x:c>
      <x:c r="T259" s="14" t="str">
        <x:v>3939ad83-3116-4c2b-9d35-73b063345d71</x:v>
      </x:c>
      <x:c r="U259" s="14" t="str">
        <x:v>Goldsmith Williams Solicitors v E.Surv Ltd: Duty of Solicitors to Report Discrepancies in Property Valuation</x:v>
      </x:c>
      <x:c r="V259" s="15" t="n">
        <x:v>0.6919143</x:v>
      </x:c>
      <x:c r="W259" s="14" t="str">
        <x:v>no</x:v>
      </x:c>
      <x:c r="X259" s="14" t="str"/>
      <x:c r="Y259" s="14" t="str"/>
      <x:c r="Z259" s="14" t="str"/>
      <x:c r="AA259" s="14" t="str">
        <x:v>yes</x:v>
      </x:c>
    </x:row>
    <x:row r="260">
      <x:c r="A260" s="1" t="str">
        <x:v>U0436</x:v>
      </x:c>
      <x:c r="B260" s="1" t="str">
        <x:v>cmst49zw4001104l7neqlaa0v</x:v>
      </x:c>
      <x:c r="C260" s="1" t="str">
        <x:v>skeleton-args-ca2024009268-0b828a88e0027426</x:v>
      </x:c>
      <x:c r="D260" s="1" t="str">
        <x:v>synthetic</x:v>
      </x:c>
      <x:c r="E260" s="14" t="str">
        <x:v>Webb v Ashworth &amp; Partners</x:v>
      </x:c>
      <x:c r="F260" s="14" t="str">
        <x:v>case:main &amp; orsv v giambrone &amp; law 2017</x:v>
      </x:c>
      <x:c r="G260" s="14" t="str">
        <x:v>Main &amp; Orsv v Giambrone &amp; Law (2017)</x:v>
      </x:c>
      <x:c r="H260" s="14" t="str"/>
      <x:c r="I260" s="14" t="str">
        <x:v>5b3c080f-c58b-40db-acc4-59aca37b2a05</x:v>
      </x:c>
      <x:c r="J260" s="14" t="n">
        <x:v>1</x:v>
      </x:c>
      <x:c r="K260" s="14" t="str">
        <x:v>issuesForDetermination.issueMatrix[0].sourceCases[0]</x:v>
      </x:c>
      <x:c r="L260" s="14" t="str">
        <x:v>cmst47zkn000v04l7hdoa66wv</x:v>
      </x:c>
      <x:c r="M260" s="14" t="str">
        <x:v>confirmed_within_10m</x:v>
      </x:c>
      <x:c r="N260" s="14" t="n">
        <x:v>93.81</x:v>
      </x:c>
      <x:c r="O260" s="14" t="str">
        <x:v>yes</x:v>
      </x:c>
      <x:c r="P260" s="14" t="str">
        <x:v>yes</x:v>
      </x:c>
      <x:c r="Q260" s="14" t="str">
        <x:v>exact_case_id</x:v>
      </x:c>
      <x:c r="R260" s="14" t="str">
        <x:v>definitive</x:v>
      </x:c>
      <x:c r="S260" s="14" t="n">
        <x:v>1</x:v>
      </x:c>
      <x:c r="T260" s="14" t="str">
        <x:v>5b3c080f-c58b-40db-acc4-59aca37b2a05</x:v>
      </x:c>
      <x:c r="U260" s="14" t="str">
        <x:v>Main &amp; Orsv v Giambrone &amp; Law (2017) - Liability for Breach of Trust</x:v>
      </x:c>
      <x:c r="V260" s="15" t="n">
        <x:v>0.7174585</x:v>
      </x:c>
      <x:c r="W260" s="14" t="str">
        <x:v>no</x:v>
      </x:c>
      <x:c r="X260" s="14" t="str"/>
      <x:c r="Y260" s="14" t="str"/>
      <x:c r="Z260" s="14" t="str"/>
      <x:c r="AA260" s="14" t="str">
        <x:v>yes</x:v>
      </x:c>
    </x:row>
    <x:row r="261">
      <x:c r="A261" s="1" t="str">
        <x:v>U0442</x:v>
      </x:c>
      <x:c r="B261" s="1" t="str">
        <x:v>cmst4fdgx001l04l7p4wrw7w7</x:v>
      </x:c>
      <x:c r="C261" s="1" t="str">
        <x:v>skeleton-args-ca2025001247-4e7222cd1e12236a</x:v>
      </x:c>
      <x:c r="D261" s="1" t="str">
        <x:v>synthetic</x:v>
      </x:c>
      <x:c r="E261" s="14" t="str">
        <x:v>Thornton v GlobalTech Solutions Ltd</x:v>
      </x:c>
      <x:c r="F261" s="14" t="str">
        <x:v>case:2014 ewca civ 658</x:v>
      </x:c>
      <x:c r="G261" s="14" t="str">
        <x:v>Co-Operative Group Ltd v Baddeley</x:v>
      </x:c>
      <x:c r="H261" s="14" t="str">
        <x:v>[2014] EWCA Civ 658</x:v>
      </x:c>
      <x:c r="I261" s="14" t="str">
        <x:v>0b85ba33-95d2-4cf3-a08d-ed6833230187</x:v>
      </x:c>
      <x:c r="J261" s="14" t="n">
        <x:v>1</x:v>
      </x:c>
      <x:c r="K261" s="14" t="str">
        <x:v>factualFindings.chronology[1].sourceCases[0]</x:v>
      </x:c>
      <x:c r="L261" s="14" t="str">
        <x:v>cmst4drgk001f04l70ut5a3k0</x:v>
      </x:c>
      <x:c r="M261" s="14" t="str">
        <x:v>confirmed_within_10m</x:v>
      </x:c>
      <x:c r="N261" s="14" t="n">
        <x:v>75.268</x:v>
      </x:c>
      <x:c r="O261" s="14" t="str">
        <x:v>yes</x:v>
      </x:c>
      <x:c r="P261" s="14" t="str">
        <x:v>yes</x:v>
      </x:c>
      <x:c r="Q261" s="14" t="str">
        <x:v>exact_case_id</x:v>
      </x:c>
      <x:c r="R261" s="14" t="str">
        <x:v>definitive</x:v>
      </x:c>
      <x:c r="S261" s="14" t="n">
        <x:v>5</x:v>
      </x:c>
      <x:c r="T261" s="14" t="str">
        <x:v>0b85ba33-95d2-4cf3-a08d-ed6833230187</x:v>
      </x:c>
      <x:c r="U261" s="14" t="str">
        <x:v>Co-Operative Group Ltd v Baddeley [2014] EWCA Civ 658</x:v>
      </x:c>
      <x:c r="V261" s="15" t="n">
        <x:v>0.669601</x:v>
      </x:c>
      <x:c r="W261" s="14" t="str">
        <x:v>no</x:v>
      </x:c>
      <x:c r="X261" s="14" t="str"/>
      <x:c r="Y261" s="14" t="str"/>
      <x:c r="Z261" s="14" t="str"/>
      <x:c r="AA261" s="14" t="str">
        <x:v>yes</x:v>
      </x:c>
    </x:row>
    <x:row r="262">
      <x:c r="A262" s="1" t="str">
        <x:v>U0443</x:v>
      </x:c>
      <x:c r="B262" s="1" t="str">
        <x:v>cmst4fdgx001l04l7p4wrw7w7</x:v>
      </x:c>
      <x:c r="C262" s="1" t="str">
        <x:v>skeleton-args-ca2025001247-4e7222cd1e12236a</x:v>
      </x:c>
      <x:c r="D262" s="1" t="str">
        <x:v>synthetic</x:v>
      </x:c>
      <x:c r="E262" s="14" t="str">
        <x:v>Thornton v GlobalTech Solutions Ltd</x:v>
      </x:c>
      <x:c r="F262" s="14" t="str">
        <x:v>case:2017 ewca civ 1050</x:v>
      </x:c>
      <x:c r="G262" s="14" t="str">
        <x:v>Chesterton Global Ltd v Nurmohamed (2017) EWCA Civ 1050</x:v>
      </x:c>
      <x:c r="H262" s="14" t="str">
        <x:v>Chesterton Global Ltd v Nurmohamed (2017) EWCA Civ 1050</x:v>
      </x:c>
      <x:c r="I262" s="14" t="str"/>
      <x:c r="J262" s="14" t="n">
        <x:v>1</x:v>
      </x:c>
      <x:c r="K262" s="14" t="str">
        <x:v>legalFramework.precedentCitations[0]</x:v>
      </x:c>
      <x:c r="L262" s="14" t="str">
        <x:v>cmst4drgk001f04l70ut5a3k0</x:v>
      </x:c>
      <x:c r="M262" s="14" t="str">
        <x:v>confirmed_within_10m</x:v>
      </x:c>
      <x:c r="N262" s="14" t="n">
        <x:v>75.268</x:v>
      </x:c>
      <x:c r="O262" s="14" t="str">
        <x:v>yes</x:v>
      </x:c>
      <x:c r="P262" s="14" t="str">
        <x:v>yes</x:v>
      </x:c>
      <x:c r="Q262" s="14" t="str">
        <x:v>exact_normalized_title</x:v>
      </x:c>
      <x:c r="R262" s="14" t="str">
        <x:v>high</x:v>
      </x:c>
      <x:c r="S262" s="14" t="n">
        <x:v>1</x:v>
      </x:c>
      <x:c r="T262" s="14" t="str">
        <x:v>8b6843e2-a05d-4712-8f61-9132cd4bb585</x:v>
      </x:c>
      <x:c r="U262" s="14" t="str">
        <x:v>Chesterton Global Ltd &amp; Anor v Nurmohamed &amp; Anor</x:v>
      </x:c>
      <x:c r="V262" s="15" t="n">
        <x:v>0.68705624</x:v>
      </x:c>
      <x:c r="W262" s="14" t="str">
        <x:v>no</x:v>
      </x:c>
      <x:c r="X262" s="14" t="str"/>
      <x:c r="Y262" s="14" t="str"/>
      <x:c r="Z262" s="14" t="str"/>
      <x:c r="AA262" s="14" t="str">
        <x:v>yes</x:v>
      </x:c>
    </x:row>
    <x:row r="263">
      <x:c r="A263" s="1" t="str">
        <x:v>U0444</x:v>
      </x:c>
      <x:c r="B263" s="1" t="str">
        <x:v>cmst4fdgx001l04l7p4wrw7w7</x:v>
      </x:c>
      <x:c r="C263" s="1" t="str">
        <x:v>skeleton-args-ca2025001247-4e7222cd1e12236a</x:v>
      </x:c>
      <x:c r="D263" s="1" t="str">
        <x:v>synthetic</x:v>
      </x:c>
      <x:c r="E263" s="14" t="str">
        <x:v>Thornton v GlobalTech Solutions Ltd</x:v>
      </x:c>
      <x:c r="F263" s="14" t="str">
        <x:v>case:2019 ewca civ 1632</x:v>
      </x:c>
      <x:c r="G263" s="14" t="str">
        <x:v>Royal Mail Ltd v Jhuti (2019) EWCA Civ 1632</x:v>
      </x:c>
      <x:c r="H263" s="14" t="str">
        <x:v>Royal Mail Ltd v Jhuti (2019) EWCA Civ 1632</x:v>
      </x:c>
      <x:c r="I263" s="14" t="str">
        <x:v>384e0c8e-cdd6-4cc9-b403-66e1f4f34acd</x:v>
      </x:c>
      <x:c r="J263" s="14" t="n">
        <x:v>6</x:v>
      </x:c>
      <x:c r="K263" s="14" t="str">
        <x:v>factualFindings.contestedFacts[0].sourceCases[1] | issuesForDetermination.issueMatrix[0].sourceCases[1] | legalFramework.legalTestSummaries[0].sourceAuthority | legalFramework.precedentCitations[1] | legalFramework.statutoryProvisions[0].sourceCases[0] | reasoningStructure[0].sourceCases[1]</x:v>
      </x:c>
      <x:c r="L263" s="14" t="str">
        <x:v>cmst4drgk001f04l70ut5a3k0</x:v>
      </x:c>
      <x:c r="M263" s="14" t="str">
        <x:v>confirmed_within_10m</x:v>
      </x:c>
      <x:c r="N263" s="14" t="n">
        <x:v>75.268</x:v>
      </x:c>
      <x:c r="O263" s="14" t="str">
        <x:v>yes</x:v>
      </x:c>
      <x:c r="P263" s="14" t="str">
        <x:v>yes</x:v>
      </x:c>
      <x:c r="Q263" s="14" t="str">
        <x:v>exact_case_id</x:v>
      </x:c>
      <x:c r="R263" s="14" t="str">
        <x:v>definitive</x:v>
      </x:c>
      <x:c r="S263" s="14" t="n">
        <x:v>3</x:v>
      </x:c>
      <x:c r="T263" s="14" t="str">
        <x:v>384e0c8e-cdd6-4cc9-b403-66e1f4f34acd</x:v>
      </x:c>
      <x:c r="U263" s="14" t="str">
        <x:v>Royal Mail Ltd v Jhuti [2017] EWCA Civ 1632</x:v>
      </x:c>
      <x:c r="V263" s="15" t="n">
        <x:v>0.677938</x:v>
      </x:c>
      <x:c r="W263" s="14" t="str">
        <x:v>no</x:v>
      </x:c>
      <x:c r="X263" s="14" t="str"/>
      <x:c r="Y263" s="14" t="str"/>
      <x:c r="Z263" s="14" t="str"/>
      <x:c r="AA263" s="14" t="str">
        <x:v>yes</x:v>
      </x:c>
    </x:row>
    <x:row r="264">
      <x:c r="A264" s="1" t="str">
        <x:v>U0445</x:v>
      </x:c>
      <x:c r="B264" s="1" t="str">
        <x:v>cmst4fdgx001l04l7p4wrw7w7</x:v>
      </x:c>
      <x:c r="C264" s="1" t="str">
        <x:v>skeleton-args-ca2025001247-4e7222cd1e12236a</x:v>
      </x:c>
      <x:c r="D264" s="1" t="str">
        <x:v>synthetic</x:v>
      </x:c>
      <x:c r="E264" s="14" t="str">
        <x:v>Thornton v GlobalTech Solutions Ltd</x:v>
      </x:c>
      <x:c r="F264" s="14" t="str">
        <x:v>case:beatt v croydon health services nhs trust</x:v>
      </x:c>
      <x:c r="G264" s="14" t="str">
        <x:v>Beatt v Croydon Health Services NHS Trust</x:v>
      </x:c>
      <x:c r="H264" s="14" t="str">
        <x:v>Beatt v Croydon Health Services NHS Trust</x:v>
      </x:c>
      <x:c r="I264" s="14" t="str">
        <x:v>27be67b1-3e6c-4a07-90e1-cbb8420b8cee</x:v>
      </x:c>
      <x:c r="J264" s="14" t="n">
        <x:v>4</x:v>
      </x:c>
      <x:c r="K264" s="14" t="str">
        <x:v>factualFindings.contestedFacts[1].sourceCases[0] | issuesForDetermination.issueMatrix[1].sourceCases[0] | legalFramework.legalTestSummaries[1].sourceAuthority | reasoningStructure[1].sourceCases[0]</x:v>
      </x:c>
      <x:c r="L264" s="14" t="str">
        <x:v>cmst4drgk001f04l70ut5a3k0</x:v>
      </x:c>
      <x:c r="M264" s="14" t="str">
        <x:v>confirmed_within_10m</x:v>
      </x:c>
      <x:c r="N264" s="14" t="n">
        <x:v>75.268</x:v>
      </x:c>
      <x:c r="O264" s="14" t="str">
        <x:v>yes</x:v>
      </x:c>
      <x:c r="P264" s="14" t="str">
        <x:v>yes</x:v>
      </x:c>
      <x:c r="Q264" s="14" t="str">
        <x:v>exact_case_id</x:v>
      </x:c>
      <x:c r="R264" s="14" t="str">
        <x:v>definitive</x:v>
      </x:c>
      <x:c r="S264" s="14" t="n">
        <x:v>2</x:v>
      </x:c>
      <x:c r="T264" s="14" t="str">
        <x:v>27be67b1-3e6c-4a07-90e1-cbb8420b8cee</x:v>
      </x:c>
      <x:c r="U264" s="14" t="str">
        <x:v>Beatt v Croydon Health Services NHS Trust</x:v>
      </x:c>
      <x:c r="V264" s="15" t="n">
        <x:v>0.6854577</x:v>
      </x:c>
      <x:c r="W264" s="14" t="str">
        <x:v>no</x:v>
      </x:c>
      <x:c r="X264" s="14" t="str"/>
      <x:c r="Y264" s="14" t="str"/>
      <x:c r="Z264" s="14" t="str"/>
      <x:c r="AA264" s="14" t="str">
        <x:v>yes</x:v>
      </x:c>
    </x:row>
    <x:row r="265">
      <x:c r="A265" s="1" t="str">
        <x:v>U0446</x:v>
      </x:c>
      <x:c r="B265" s="1" t="str">
        <x:v>cmst4fdgx001l04l7p4wrw7w7</x:v>
      </x:c>
      <x:c r="C265" s="1" t="str">
        <x:v>skeleton-args-ca2025001247-4e7222cd1e12236a</x:v>
      </x:c>
      <x:c r="D265" s="1" t="str">
        <x:v>synthetic</x:v>
      </x:c>
      <x:c r="E265" s="14" t="str">
        <x:v>Thornton v GlobalTech Solutions Ltd</x:v>
      </x:c>
      <x:c r="F265" s="14" t="str">
        <x:v>case:chesterton global ltd v nurmohamed</x:v>
      </x:c>
      <x:c r="G265" s="14" t="str">
        <x:v>Chesterton Global Ltd v Nurmohamed</x:v>
      </x:c>
      <x:c r="H265" s="14" t="str"/>
      <x:c r="I265" s="14" t="str">
        <x:v>8b6843e2-a05d-4712-8f61-9132cd4bb585</x:v>
      </x:c>
      <x:c r="J265" s="14" t="n">
        <x:v>3</x:v>
      </x:c>
      <x:c r="K265" s="14" t="str">
        <x:v>factualFindings.contestedFacts[0].sourceCases[0] | issuesForDetermination.issueMatrix[0].sourceCases[0] | reasoningStructure[0].sourceCases[0]</x:v>
      </x:c>
      <x:c r="L265" s="14" t="str">
        <x:v>cmst4drgk001f04l70ut5a3k0</x:v>
      </x:c>
      <x:c r="M265" s="14" t="str">
        <x:v>confirmed_within_10m</x:v>
      </x:c>
      <x:c r="N265" s="14" t="n">
        <x:v>75.268</x:v>
      </x:c>
      <x:c r="O265" s="14" t="str">
        <x:v>yes</x:v>
      </x:c>
      <x:c r="P265" s="14" t="str">
        <x:v>yes</x:v>
      </x:c>
      <x:c r="Q265" s="14" t="str">
        <x:v>exact_case_id</x:v>
      </x:c>
      <x:c r="R265" s="14" t="str">
        <x:v>definitive</x:v>
      </x:c>
      <x:c r="S265" s="14" t="n">
        <x:v>1</x:v>
      </x:c>
      <x:c r="T265" s="14" t="str">
        <x:v>8b6843e2-a05d-4712-8f61-9132cd4bb585</x:v>
      </x:c>
      <x:c r="U265" s="14" t="str">
        <x:v>Chesterton Global Ltd &amp; Anor v Nurmohamed &amp; Anor</x:v>
      </x:c>
      <x:c r="V265" s="15" t="n">
        <x:v>0.68705624</x:v>
      </x:c>
      <x:c r="W265" s="14" t="str">
        <x:v>no</x:v>
      </x:c>
      <x:c r="X265" s="14" t="str"/>
      <x:c r="Y265" s="14" t="str"/>
      <x:c r="Z265" s="14" t="str"/>
      <x:c r="AA265" s="14" t="str">
        <x:v>yes</x:v>
      </x:c>
    </x:row>
    <x:row r="266">
      <x:c r="A266" s="1" t="str">
        <x:v>U0449</x:v>
      </x:c>
      <x:c r="B266" s="1" t="str">
        <x:v>cmst4kl1t000h04js7g8j67zy</x:v>
      </x:c>
      <x:c r="C266" s="1" t="str">
        <x:v>skeleton-args-ca2019005474-f7265b45a4e3f0ae</x:v>
      </x:c>
      <x:c r="D266" s="1" t="str">
        <x:v>synthetic</x:v>
      </x:c>
      <x:c r="E266" s="14" t="str">
        <x:v>Heritage Brewing Company Ltd v Traditional Ales Holdings Plc</x:v>
      </x:c>
      <x:c r="F266" s="14" t="str">
        <x:v>case:2016 ewca civ 41</x:v>
      </x:c>
      <x:c r="G266" s="14" t="str">
        <x:v>Comic Enterprises Ltd v Twentieth Century Fox Film Corporation</x:v>
      </x:c>
      <x:c r="H266" s="14" t="str">
        <x:v>[2016] EWCA Civ 41</x:v>
      </x:c>
      <x:c r="I266" s="14" t="str">
        <x:v>b88b59e2-6c25-4730-93fe-b134e9a5176b</x:v>
      </x:c>
      <x:c r="J266" s="14" t="n">
        <x:v>3</x:v>
      </x:c>
      <x:c r="K266" s="14" t="str">
        <x:v>factualFindings.contestedFacts[1].sourceCases[0] | issuesForDetermination.issueMatrix[1].sourceCases[0] | reasoningStructure[1].sourceCases[0]</x:v>
      </x:c>
      <x:c r="L266" s="14" t="str">
        <x:v>cmst4iu9u000b04jsb3vxyexj</x:v>
      </x:c>
      <x:c r="M266" s="14" t="str">
        <x:v>confirmed_within_10m</x:v>
      </x:c>
      <x:c r="N266" s="14" t="n">
        <x:v>81.455</x:v>
      </x:c>
      <x:c r="O266" s="14" t="str">
        <x:v>yes</x:v>
      </x:c>
      <x:c r="P266" s="14" t="str">
        <x:v>yes</x:v>
      </x:c>
      <x:c r="Q266" s="14" t="str">
        <x:v>exact_case_id</x:v>
      </x:c>
      <x:c r="R266" s="14" t="str">
        <x:v>definitive</x:v>
      </x:c>
      <x:c r="S266" s="14" t="n">
        <x:v>5</x:v>
      </x:c>
      <x:c r="T266" s="14" t="str">
        <x:v>b88b59e2-6c25-4730-93fe-b134e9a5176b</x:v>
      </x:c>
      <x:c r="U266" s="14" t="str">
        <x:v>Comic Enterprises Ltd v Twentieth Century Fox Film Corporation [2016] EWCA Civ 41</x:v>
      </x:c>
      <x:c r="V266" s="15" t="n">
        <x:v>0.72802234</x:v>
      </x:c>
      <x:c r="W266" s="14" t="str">
        <x:v>no</x:v>
      </x:c>
      <x:c r="X266" s="14" t="str"/>
      <x:c r="Y266" s="14" t="str"/>
      <x:c r="Z266" s="14" t="str"/>
      <x:c r="AA266" s="14" t="str">
        <x:v>yes</x:v>
      </x:c>
    </x:row>
    <x:row r="267">
      <x:c r="A267" s="1" t="str">
        <x:v>U0450</x:v>
      </x:c>
      <x:c r="B267" s="1" t="str">
        <x:v>cmst4kl1t000h04js7g8j67zy</x:v>
      </x:c>
      <x:c r="C267" s="1" t="str">
        <x:v>skeleton-args-ca2019005474-f7265b45a4e3f0ae</x:v>
      </x:c>
      <x:c r="D267" s="1" t="str">
        <x:v>synthetic</x:v>
      </x:c>
      <x:c r="E267" s="14" t="str">
        <x:v>Heritage Brewing Company Ltd v Traditional Ales Holdings Plc</x:v>
      </x:c>
      <x:c r="F267" s="14" t="str">
        <x:v>case:2022 ewca civ 1433</x:v>
      </x:c>
      <x:c r="G267" s="14" t="str">
        <x:v>Lidl Great Britain Ltd &amp; Lidl Stiftung &amp; Co KG v Tesco Stores Ltd &amp; Tesco PLC</x:v>
      </x:c>
      <x:c r="H267" s="14" t="str">
        <x:v>[2022] EWCA Civ 1433</x:v>
      </x:c>
      <x:c r="I267" s="14" t="str">
        <x:v>lidl_case_id</x:v>
      </x:c>
      <x:c r="J267" s="14" t="n">
        <x:v>3</x:v>
      </x:c>
      <x:c r="K267" s="14" t="str">
        <x:v>issuesForDetermination.issueMatrix[0].sourceCases[0] | legalFramework.precedentCitations[0].sourceCases[0] | reasoningStructure[0].sourceCases[0]</x:v>
      </x:c>
      <x:c r="L267" s="14" t="str">
        <x:v>cmst4iu9u000b04jsb3vxyexj</x:v>
      </x:c>
      <x:c r="M267" s="14" t="str">
        <x:v>confirmed_within_10m</x:v>
      </x:c>
      <x:c r="N267" s="14" t="n">
        <x:v>81.455</x:v>
      </x:c>
      <x:c r="O267" s="14" t="str">
        <x:v>yes</x:v>
      </x:c>
      <x:c r="P267" s="14" t="str">
        <x:v>yes</x:v>
      </x:c>
      <x:c r="Q267" s="14" t="str">
        <x:v>exact_citation</x:v>
      </x:c>
      <x:c r="R267" s="14" t="str">
        <x:v>high</x:v>
      </x:c>
      <x:c r="S267" s="14" t="n">
        <x:v>2</x:v>
      </x:c>
      <x:c r="T267" s="14" t="str">
        <x:v>b9f08a72-1e62-405b-9fe9-eaba231f1c88</x:v>
      </x:c>
      <x:c r="U267" s="14" t="str">
        <x:v>Lidl Great Britain Ltd &amp; Lidl Stiftung &amp; Co KG v Tesco Stores Ltd &amp; Tesco PLC [2022] EWCA Civ 1433</x:v>
      </x:c>
      <x:c r="V267" s="15" t="n">
        <x:v>0.7389295</x:v>
      </x:c>
      <x:c r="W267" s="14" t="str">
        <x:v>no</x:v>
      </x:c>
      <x:c r="X267" s="14" t="str"/>
      <x:c r="Y267" s="14" t="str"/>
      <x:c r="Z267" s="14" t="str"/>
      <x:c r="AA267" s="14" t="str">
        <x:v>yes</x:v>
      </x:c>
    </x:row>
    <x:row r="268">
      <x:c r="A268" s="1" t="str">
        <x:v>U0451</x:v>
      </x:c>
      <x:c r="B268" s="1" t="str">
        <x:v>cmst4kl1t000h04js7g8j67zy</x:v>
      </x:c>
      <x:c r="C268" s="1" t="str">
        <x:v>skeleton-args-ca2019005474-f7265b45a4e3f0ae</x:v>
      </x:c>
      <x:c r="D268" s="1" t="str">
        <x:v>synthetic</x:v>
      </x:c>
      <x:c r="E268" s="14" t="str">
        <x:v>Heritage Brewing Company Ltd v Traditional Ales Holdings Plc</x:v>
      </x:c>
      <x:c r="F268" s="14" t="str">
        <x:v>case:flannery v halifax estate agencies ltd</x:v>
      </x:c>
      <x:c r="G268" s="14" t="str">
        <x:v>Flannery v Halifax Estate Agencies Ltd</x:v>
      </x:c>
      <x:c r="H268" s="14" t="str">
        <x:v>Flannery v Halifax Estate Agencies Ltd</x:v>
      </x:c>
      <x:c r="I268" s="14" t="str"/>
      <x:c r="J268" s="14" t="n">
        <x:v>1</x:v>
      </x:c>
      <x:c r="K268" s="14" t="str">
        <x:v>legalFramework.precedentCitations[1]</x:v>
      </x:c>
      <x:c r="L268" s="14" t="str">
        <x:v>cmst4iu9u000b04jsb3vxyexj</x:v>
      </x:c>
      <x:c r="M268" s="14" t="str">
        <x:v>confirmed_within_10m</x:v>
      </x:c>
      <x:c r="N268" s="14" t="n">
        <x:v>81.455</x:v>
      </x:c>
      <x:c r="O268" s="14" t="str">
        <x:v>yes</x:v>
      </x:c>
      <x:c r="P268" s="14" t="str">
        <x:v>no</x:v>
      </x:c>
      <x:c r="Q268" s="14" t="str">
        <x:v>none</x:v>
      </x:c>
      <x:c r="R268" s="14" t="str">
        <x:v>none</x:v>
      </x:c>
      <x:c r="S268" s="14" t="str"/>
      <x:c r="T268" s="14" t="str"/>
      <x:c r="U268" s="14" t="str"/>
      <x:c r="V268" s="15" t="str"/>
      <x:c r="W268" s="14" t="str">
        <x:v>no</x:v>
      </x:c>
      <x:c r="X268" s="14" t="str"/>
      <x:c r="Y268" s="14" t="str"/>
      <x:c r="Z268" s="14" t="str"/>
      <x:c r="AA268" s="14" t="str">
        <x:v>no</x:v>
      </x:c>
    </x:row>
    <x:row r="269">
      <x:c r="A269" s="1" t="str">
        <x:v>U0452</x:v>
      </x:c>
      <x:c r="B269" s="1" t="str">
        <x:v>cmst4kl1t000h04js7g8j67zy</x:v>
      </x:c>
      <x:c r="C269" s="1" t="str">
        <x:v>skeleton-args-ca2019005474-f7265b45a4e3f0ae</x:v>
      </x:c>
      <x:c r="D269" s="1" t="str">
        <x:v>synthetic</x:v>
      </x:c>
      <x:c r="E269" s="14" t="str">
        <x:v>Heritage Brewing Company Ltd v Traditional Ales Holdings Plc</x:v>
      </x:c>
      <x:c r="F269" s="14" t="str">
        <x:v>case:phones 4u ltd v phone4u co uk internet ltd</x:v>
      </x:c>
      <x:c r="G269" s="14" t="str">
        <x:v>Phones 4U Ltd v Phone4u.co.uk Internet Ltd</x:v>
      </x:c>
      <x:c r="H269" s="14" t="str">
        <x:v>Phones 4U Ltd v Phone4u.co.uk Internet Ltd</x:v>
      </x:c>
      <x:c r="I269" s="14" t="str"/>
      <x:c r="J269" s="14" t="n">
        <x:v>1</x:v>
      </x:c>
      <x:c r="K269" s="14" t="str">
        <x:v>legalFramework.precedentCitations[0]</x:v>
      </x:c>
      <x:c r="L269" s="14" t="str">
        <x:v>cmst4iu9u000b04jsb3vxyexj</x:v>
      </x:c>
      <x:c r="M269" s="14" t="str">
        <x:v>confirmed_within_10m</x:v>
      </x:c>
      <x:c r="N269" s="14" t="n">
        <x:v>81.455</x:v>
      </x:c>
      <x:c r="O269" s="14" t="str">
        <x:v>yes</x:v>
      </x:c>
      <x:c r="P269" s="14" t="str">
        <x:v>no</x:v>
      </x:c>
      <x:c r="Q269" s="14" t="str">
        <x:v>none</x:v>
      </x:c>
      <x:c r="R269" s="14" t="str">
        <x:v>none</x:v>
      </x:c>
      <x:c r="S269" s="14" t="str"/>
      <x:c r="T269" s="14" t="str"/>
      <x:c r="U269" s="14" t="str"/>
      <x:c r="V269" s="15" t="str"/>
      <x:c r="W269" s="14" t="str">
        <x:v>no</x:v>
      </x:c>
      <x:c r="X269" s="14" t="str"/>
      <x:c r="Y269" s="14" t="str"/>
      <x:c r="Z269" s="14" t="str"/>
      <x:c r="AA269" s="14" t="str">
        <x:v>no</x:v>
      </x:c>
    </x:row>
    <x:row r="270">
      <x:c r="A270" s="1" t="str">
        <x:v>U0456</x:v>
      </x:c>
      <x:c r="B270" s="1" t="str">
        <x:v>cmst7uoeu00d804l5ayb3b9q8</x:v>
      </x:c>
      <x:c r="C270" s="1" t="str">
        <x:v>skeleton-args-ca2022000651-1294462417e10289</x:v>
      </x:c>
      <x:c r="D270" s="1" t="str">
        <x:v>synthetic</x:v>
      </x:c>
      <x:c r="E270" s="14" t="str">
        <x:v>Sterling Investments Ltd v Blackwood Capital Partners LLP</x:v>
      </x:c>
      <x:c r="F270" s="14" t="str">
        <x:v>case:2000 1 wlr 377</x:v>
      </x:c>
      <x:c r="G270" s="14" t="str">
        <x:v>Flannery v Halifax Estate Agencies Ltd [2000] 1 WLR 377</x:v>
      </x:c>
      <x:c r="H270" s="14" t="str">
        <x:v>Flannery v Halifax Estate Agencies Ltd [2000] 1 WLR 377</x:v>
      </x:c>
      <x:c r="I270" s="14" t="str"/>
      <x:c r="J270" s="14" t="n">
        <x:v>1</x:v>
      </x:c>
      <x:c r="K270" s="14" t="str">
        <x:v>legalFramework.precedentCitations[3]</x:v>
      </x:c>
      <x:c r="L270" s="14" t="str">
        <x:v>cmst7t5an00d204l5jrwmz7m1</x:v>
      </x:c>
      <x:c r="M270" s="14" t="str">
        <x:v>confirmed_within_10m</x:v>
      </x:c>
      <x:c r="N270" s="14" t="n">
        <x:v>71.523</x:v>
      </x:c>
      <x:c r="O270" s="14" t="str">
        <x:v>yes</x:v>
      </x:c>
      <x:c r="P270" s="14" t="str">
        <x:v>no</x:v>
      </x:c>
      <x:c r="Q270" s="14" t="str">
        <x:v>none</x:v>
      </x:c>
      <x:c r="R270" s="14" t="str">
        <x:v>none</x:v>
      </x:c>
      <x:c r="S270" s="14" t="str"/>
      <x:c r="T270" s="14" t="str"/>
      <x:c r="U270" s="14" t="str"/>
      <x:c r="V270" s="15" t="str"/>
      <x:c r="W270" s="14" t="str">
        <x:v>no</x:v>
      </x:c>
      <x:c r="X270" s="14" t="str"/>
      <x:c r="Y270" s="14" t="str"/>
      <x:c r="Z270" s="14" t="str"/>
      <x:c r="AA270" s="14" t="str">
        <x:v>no</x:v>
      </x:c>
    </x:row>
    <x:row r="271">
      <x:c r="A271" s="1" t="str">
        <x:v>U0457</x:v>
      </x:c>
      <x:c r="B271" s="1" t="str">
        <x:v>cmst7uoeu00d804l5ayb3b9q8</x:v>
      </x:c>
      <x:c r="C271" s="1" t="str">
        <x:v>skeleton-args-ca2022000651-1294462417e10289</x:v>
      </x:c>
      <x:c r="D271" s="1" t="str">
        <x:v>synthetic</x:v>
      </x:c>
      <x:c r="E271" s="14" t="str">
        <x:v>Sterling Investments Ltd v Blackwood Capital Partners LLP</x:v>
      </x:c>
      <x:c r="F271" s="14" t="str">
        <x:v>case:2022 ewca civ 353</x:v>
      </x:c>
      <x:c r="G271" s="14" t="str">
        <x:v>Allianz Global Investors GmbH &amp; Ors v Barclays Bank Plc &amp; Ors (Rev1)</x:v>
      </x:c>
      <x:c r="H271" s="14" t="str">
        <x:v>[2022] EWCA Civ 353</x:v>
      </x:c>
      <x:c r="I271" s="14" t="str">
        <x:v>dbcf0178-be49-4907-95d1-ab35a968b855</x:v>
      </x:c>
      <x:c r="J271" s="14" t="n">
        <x:v>1</x:v>
      </x:c>
      <x:c r="K271" s="14" t="str">
        <x:v>factualFindings.contestedFacts[0].sourceCases[0]</x:v>
      </x:c>
      <x:c r="L271" s="14" t="str">
        <x:v>cmst7t5an00d204l5jrwmz7m1</x:v>
      </x:c>
      <x:c r="M271" s="14" t="str">
        <x:v>confirmed_within_10m</x:v>
      </x:c>
      <x:c r="N271" s="14" t="n">
        <x:v>71.523</x:v>
      </x:c>
      <x:c r="O271" s="14" t="str">
        <x:v>yes</x:v>
      </x:c>
      <x:c r="P271" s="14" t="str">
        <x:v>yes</x:v>
      </x:c>
      <x:c r="Q271" s="14" t="str">
        <x:v>exact_case_id</x:v>
      </x:c>
      <x:c r="R271" s="14" t="str">
        <x:v>definitive</x:v>
      </x:c>
      <x:c r="S271" s="14" t="n">
        <x:v>2</x:v>
      </x:c>
      <x:c r="T271" s="14" t="str">
        <x:v>dbcf0178-be49-4907-95d1-ab35a968b855</x:v>
      </x:c>
      <x:c r="U271" s="14" t="str">
        <x:v>Allianz Global Investors GmbH &amp; Ors v Barclays Bank Plc &amp; Ors (Rev1) [2022] EWCA Civ 353</x:v>
      </x:c>
      <x:c r="V271" s="15" t="n">
        <x:v>0.66948676</x:v>
      </x:c>
      <x:c r="W271" s="14" t="str">
        <x:v>no</x:v>
      </x:c>
      <x:c r="X271" s="14" t="str"/>
      <x:c r="Y271" s="14" t="str"/>
      <x:c r="Z271" s="14" t="str"/>
      <x:c r="AA271" s="14" t="str">
        <x:v>yes</x:v>
      </x:c>
    </x:row>
    <x:row r="272">
      <x:c r="A272" s="1" t="str">
        <x:v>U0458</x:v>
      </x:c>
      <x:c r="B272" s="1" t="str">
        <x:v>cmst7uoeu00d804l5ayb3b9q8</x:v>
      </x:c>
      <x:c r="C272" s="1" t="str">
        <x:v>skeleton-args-ca2022000651-1294462417e10289</x:v>
      </x:c>
      <x:c r="D272" s="1" t="str">
        <x:v>synthetic</x:v>
      </x:c>
      <x:c r="E272" s="14" t="str">
        <x:v>Sterling Investments Ltd v Blackwood Capital Partners LLP</x:v>
      </x:c>
      <x:c r="F272" s="14" t="str">
        <x:v>case:2023 ewca civ 440</x:v>
      </x:c>
      <x:c r="G272" s="14" t="str">
        <x:v>Floreat Investment Management Ltd v Churchill &amp; Ors</x:v>
      </x:c>
      <x:c r="H272" s="14" t="str">
        <x:v>[2023] EWCA Civ 440</x:v>
      </x:c>
      <x:c r="I272" s="14" t="str">
        <x:v>cfb9db03-44c0-4604-926a-a76e01575d88</x:v>
      </x:c>
      <x:c r="J272" s="14" t="n">
        <x:v>3</x:v>
      </x:c>
      <x:c r="K272" s="14" t="str">
        <x:v>factualFindings.chronology[1].sourceCases[0] | issuesForDetermination.issueMatrix[0].sourceCases[0] | reasoningStructure[0].sourceCases[0]</x:v>
      </x:c>
      <x:c r="L272" s="14" t="str">
        <x:v>cmst7t5an00d204l5jrwmz7m1</x:v>
      </x:c>
      <x:c r="M272" s="14" t="str">
        <x:v>confirmed_within_10m</x:v>
      </x:c>
      <x:c r="N272" s="14" t="n">
        <x:v>71.523</x:v>
      </x:c>
      <x:c r="O272" s="14" t="str">
        <x:v>yes</x:v>
      </x:c>
      <x:c r="P272" s="14" t="str">
        <x:v>yes</x:v>
      </x:c>
      <x:c r="Q272" s="14" t="str">
        <x:v>exact_case_id</x:v>
      </x:c>
      <x:c r="R272" s="14" t="str">
        <x:v>definitive</x:v>
      </x:c>
      <x:c r="S272" s="14" t="n">
        <x:v>3</x:v>
      </x:c>
      <x:c r="T272" s="14" t="str">
        <x:v>cfb9db03-44c0-4604-926a-a76e01575d88</x:v>
      </x:c>
      <x:c r="U272" s="14" t="str">
        <x:v>Floreat Investment Management Ltd v Churchill &amp; Ors [2023] EWCA Civ 440</x:v>
      </x:c>
      <x:c r="V272" s="15" t="n">
        <x:v>0.6626774</x:v>
      </x:c>
      <x:c r="W272" s="14" t="str">
        <x:v>no</x:v>
      </x:c>
      <x:c r="X272" s="14" t="str"/>
      <x:c r="Y272" s="14" t="str"/>
      <x:c r="Z272" s="14" t="str"/>
      <x:c r="AA272" s="14" t="str">
        <x:v>yes</x:v>
      </x:c>
    </x:row>
    <x:row r="273">
      <x:c r="A273" s="1" t="str">
        <x:v>U0459</x:v>
      </x:c>
      <x:c r="B273" s="1" t="str">
        <x:v>cmst7uoeu00d804l5ayb3b9q8</x:v>
      </x:c>
      <x:c r="C273" s="1" t="str">
        <x:v>skeleton-args-ca2022000651-1294462417e10289</x:v>
      </x:c>
      <x:c r="D273" s="1" t="str">
        <x:v>synthetic</x:v>
      </x:c>
      <x:c r="E273" s="14" t="str">
        <x:v>Sterling Investments Ltd v Blackwood Capital Partners LLP</x:v>
      </x:c>
      <x:c r="F273" s="14" t="str">
        <x:v>case:bolam v friern hospital management committee 1957</x:v>
      </x:c>
      <x:c r="G273" s="14" t="str">
        <x:v>Bolam v Friern Hospital Management Committee [1957]</x:v>
      </x:c>
      <x:c r="H273" s="14" t="str">
        <x:v>Bolam v Friern Hospital Management Committee [1957]</x:v>
      </x:c>
      <x:c r="I273" s="14" t="str"/>
      <x:c r="J273" s="14" t="n">
        <x:v>1</x:v>
      </x:c>
      <x:c r="K273" s="14" t="str">
        <x:v>legalFramework.precedentCitations[2]</x:v>
      </x:c>
      <x:c r="L273" s="14" t="str">
        <x:v>cmst7t5an00d204l5jrwmz7m1</x:v>
      </x:c>
      <x:c r="M273" s="14" t="str">
        <x:v>confirmed_within_10m</x:v>
      </x:c>
      <x:c r="N273" s="14" t="n">
        <x:v>71.523</x:v>
      </x:c>
      <x:c r="O273" s="14" t="str">
        <x:v>yes</x:v>
      </x:c>
      <x:c r="P273" s="14" t="str">
        <x:v>no</x:v>
      </x:c>
      <x:c r="Q273" s="14" t="str">
        <x:v>none</x:v>
      </x:c>
      <x:c r="R273" s="14" t="str">
        <x:v>none</x:v>
      </x:c>
      <x:c r="S273" s="14" t="str"/>
      <x:c r="T273" s="14" t="str"/>
      <x:c r="U273" s="14" t="str"/>
      <x:c r="V273" s="15" t="str"/>
      <x:c r="W273" s="14" t="str">
        <x:v>no</x:v>
      </x:c>
      <x:c r="X273" s="14" t="str"/>
      <x:c r="Y273" s="14" t="str"/>
      <x:c r="Z273" s="14" t="str"/>
      <x:c r="AA273" s="14" t="str">
        <x:v>no</x:v>
      </x:c>
    </x:row>
    <x:row r="274">
      <x:c r="A274" s="1" t="str">
        <x:v>U0460</x:v>
      </x:c>
      <x:c r="B274" s="1" t="str">
        <x:v>cmst7uoeu00d804l5ayb3b9q8</x:v>
      </x:c>
      <x:c r="C274" s="1" t="str">
        <x:v>skeleton-args-ca2022000651-1294462417e10289</x:v>
      </x:c>
      <x:c r="D274" s="1" t="str">
        <x:v>synthetic</x:v>
      </x:c>
      <x:c r="E274" s="14" t="str">
        <x:v>Sterling Investments Ltd v Blackwood Capital Partners LLP</x:v>
      </x:c>
      <x:c r="F274" s="14" t="str">
        <x:v>case:hedley byrne &amp; co ltd v heller &amp; partners ltd 1964</x:v>
      </x:c>
      <x:c r="G274" s="14" t="str">
        <x:v>Hedley Byrne &amp; Co Ltd v Heller &amp; Partners Ltd [1964]</x:v>
      </x:c>
      <x:c r="H274" s="14" t="str">
        <x:v>Hedley Byrne &amp; Co Ltd v Heller &amp; Partners Ltd [1964]</x:v>
      </x:c>
      <x:c r="I274" s="14" t="str"/>
      <x:c r="J274" s="14" t="n">
        <x:v>1</x:v>
      </x:c>
      <x:c r="K274" s="14" t="str">
        <x:v>legalFramework.precedentCitations[0]</x:v>
      </x:c>
      <x:c r="L274" s="14" t="str">
        <x:v>cmst7t5an00d204l5jrwmz7m1</x:v>
      </x:c>
      <x:c r="M274" s="14" t="str">
        <x:v>confirmed_within_10m</x:v>
      </x:c>
      <x:c r="N274" s="14" t="n">
        <x:v>71.523</x:v>
      </x:c>
      <x:c r="O274" s="14" t="str">
        <x:v>yes</x:v>
      </x:c>
      <x:c r="P274" s="14" t="str">
        <x:v>no</x:v>
      </x:c>
      <x:c r="Q274" s="14" t="str">
        <x:v>none</x:v>
      </x:c>
      <x:c r="R274" s="14" t="str">
        <x:v>none</x:v>
      </x:c>
      <x:c r="S274" s="14" t="str"/>
      <x:c r="T274" s="14" t="str"/>
      <x:c r="U274" s="14" t="str"/>
      <x:c r="V274" s="15" t="str"/>
      <x:c r="W274" s="14" t="str">
        <x:v>no</x:v>
      </x:c>
      <x:c r="X274" s="14" t="str"/>
      <x:c r="Y274" s="14" t="str"/>
      <x:c r="Z274" s="14" t="str"/>
      <x:c r="AA274" s="14" t="str">
        <x:v>no</x:v>
      </x:c>
    </x:row>
    <x:row r="275">
      <x:c r="A275" s="1" t="str">
        <x:v>U0461</x:v>
      </x:c>
      <x:c r="B275" s="1" t="str">
        <x:v>cmst7uoeu00d804l5ayb3b9q8</x:v>
      </x:c>
      <x:c r="C275" s="1" t="str">
        <x:v>skeleton-args-ca2022000651-1294462417e10289</x:v>
      </x:c>
      <x:c r="D275" s="1" t="str">
        <x:v>synthetic</x:v>
      </x:c>
      <x:c r="E275" s="14" t="str">
        <x:v>Sterling Investments Ltd v Blackwood Capital Partners LLP</x:v>
      </x:c>
      <x:c r="F275" s="14" t="str">
        <x:v>case:henderson v merrett syndicates ltd 1995</x:v>
      </x:c>
      <x:c r="G275" s="14" t="str">
        <x:v>Henderson v Merrett Syndicates Ltd [1995]</x:v>
      </x:c>
      <x:c r="H275" s="14" t="str">
        <x:v>Henderson v Merrett Syndicates Ltd [1995]</x:v>
      </x:c>
      <x:c r="I275" s="14" t="str"/>
      <x:c r="J275" s="14" t="n">
        <x:v>1</x:v>
      </x:c>
      <x:c r="K275" s="14" t="str">
        <x:v>legalFramework.precedentCitations[1]</x:v>
      </x:c>
      <x:c r="L275" s="14" t="str">
        <x:v>cmst7t5an00d204l5jrwmz7m1</x:v>
      </x:c>
      <x:c r="M275" s="14" t="str">
        <x:v>confirmed_within_10m</x:v>
      </x:c>
      <x:c r="N275" s="14" t="n">
        <x:v>71.523</x:v>
      </x:c>
      <x:c r="O275" s="14" t="str">
        <x:v>yes</x:v>
      </x:c>
      <x:c r="P275" s="14" t="str">
        <x:v>no</x:v>
      </x:c>
      <x:c r="Q275" s="14" t="str">
        <x:v>none</x:v>
      </x:c>
      <x:c r="R275" s="14" t="str">
        <x:v>none</x:v>
      </x:c>
      <x:c r="S275" s="14" t="str"/>
      <x:c r="T275" s="14" t="str"/>
      <x:c r="U275" s="14" t="str"/>
      <x:c r="V275" s="15" t="str"/>
      <x:c r="W275" s="14" t="str">
        <x:v>no</x:v>
      </x:c>
      <x:c r="X275" s="14" t="str"/>
      <x:c r="Y275" s="14" t="str"/>
      <x:c r="Z275" s="14" t="str"/>
      <x:c r="AA275" s="14" t="str">
        <x:v>no</x:v>
      </x:c>
    </x:row>
    <x:row r="276">
      <x:c r="A276" s="1" t="str">
        <x:v>U0462</x:v>
      </x:c>
      <x:c r="B276" s="1" t="str">
        <x:v>cmst7uoeu00d804l5ayb3b9q8</x:v>
      </x:c>
      <x:c r="C276" s="1" t="str">
        <x:v>skeleton-args-ca2022000651-1294462417e10289</x:v>
      </x:c>
      <x:c r="D276" s="1" t="str">
        <x:v>synthetic</x:v>
      </x:c>
      <x:c r="E276" s="14" t="str">
        <x:v>Sterling Investments Ltd v Blackwood Capital Partners LLP</x:v>
      </x:c>
      <x:c r="F276" s="14" t="str">
        <x:v>case:the financial conduct authority v capital alternatives ltd &amp; ors</x:v>
      </x:c>
      <x:c r="G276" s="14" t="str">
        <x:v>The Financial Conduct Authority v Capital Alternatives Ltd &amp; Ors</x:v>
      </x:c>
      <x:c r="H276" s="14" t="str"/>
      <x:c r="I276" s="14" t="str">
        <x:v>e3367bf1-963c-47c9-aea9-8dc4a1dc25bc</x:v>
      </x:c>
      <x:c r="J276" s="14" t="n">
        <x:v>3</x:v>
      </x:c>
      <x:c r="K276" s="14" t="str">
        <x:v>factualFindings.contestedFacts[1].sourceCases[0] | issuesForDetermination.issueMatrix[1].sourceCases[0] | reasoningStructure[1].sourceCases[0]</x:v>
      </x:c>
      <x:c r="L276" s="14" t="str">
        <x:v>cmst7t5an00d204l5jrwmz7m1</x:v>
      </x:c>
      <x:c r="M276" s="14" t="str">
        <x:v>confirmed_within_10m</x:v>
      </x:c>
      <x:c r="N276" s="14" t="n">
        <x:v>71.523</x:v>
      </x:c>
      <x:c r="O276" s="14" t="str">
        <x:v>yes</x:v>
      </x:c>
      <x:c r="P276" s="14" t="str">
        <x:v>yes</x:v>
      </x:c>
      <x:c r="Q276" s="14" t="str">
        <x:v>exact_case_id</x:v>
      </x:c>
      <x:c r="R276" s="14" t="str">
        <x:v>definitive</x:v>
      </x:c>
      <x:c r="S276" s="14" t="n">
        <x:v>1</x:v>
      </x:c>
      <x:c r="T276" s="14" t="str">
        <x:v>e3367bf1-963c-47c9-aea9-8dc4a1dc25bc</x:v>
      </x:c>
      <x:c r="U276" s="14" t="str">
        <x:v>The Financial Conduct Authority v Capital Alternatives Ltd &amp; Ors</x:v>
      </x:c>
      <x:c r="V276" s="15" t="n">
        <x:v>0.6822851</x:v>
      </x:c>
      <x:c r="W276" s="14" t="str">
        <x:v>no</x:v>
      </x:c>
      <x:c r="X276" s="14" t="str"/>
      <x:c r="Y276" s="14" t="str"/>
      <x:c r="Z276" s="14" t="str"/>
      <x:c r="AA276" s="14" t="str">
        <x:v>yes</x:v>
      </x:c>
    </x:row>
    <x:row r="277">
      <x:c r="A277" s="1" t="str">
        <x:v>U0466</x:v>
      </x:c>
      <x:c r="B277" s="1" t="str">
        <x:v>cmst80ckg000h04i9rasplurj</x:v>
      </x:c>
      <x:c r="C277" s="1" t="str">
        <x:v>skeleton-args-ca2022004921-cb64a3102cee5019</x:v>
      </x:c>
      <x:c r="D277" s="1" t="str">
        <x:v>synthetic</x:v>
      </x:c>
      <x:c r="E277" s="14" t="str">
        <x:v>Thompson v Clearview Credit Services Ltd</x:v>
      </x:c>
      <x:c r="F277" s="14" t="str">
        <x:v>case:2002 ewca civ 605</x:v>
      </x:c>
      <x:c r="G277" s="14" t="str">
        <x:v>[2002] EWCA Civ 605</x:v>
      </x:c>
      <x:c r="H277" s="14" t="str">
        <x:v>[2002] EWCA Civ 605</x:v>
      </x:c>
      <x:c r="I277" s="14" t="str"/>
      <x:c r="J277" s="14" t="n">
        <x:v>1</x:v>
      </x:c>
      <x:c r="K277" s="14" t="str">
        <x:v>legalFramework.precedentCitations[0]</x:v>
      </x:c>
      <x:c r="L277" s="14" t="str">
        <x:v>cmst7yrwi000b04i90ncdwp78</x:v>
      </x:c>
      <x:c r="M277" s="14" t="str">
        <x:v>confirmed_within_10m</x:v>
      </x:c>
      <x:c r="N277" s="14" t="n">
        <x:v>73.527</x:v>
      </x:c>
      <x:c r="O277" s="14" t="str">
        <x:v>yes</x:v>
      </x:c>
      <x:c r="P277" s="14" t="str">
        <x:v>no</x:v>
      </x:c>
      <x:c r="Q277" s="14" t="str">
        <x:v>none</x:v>
      </x:c>
      <x:c r="R277" s="14" t="str">
        <x:v>none</x:v>
      </x:c>
      <x:c r="S277" s="14" t="str"/>
      <x:c r="T277" s="14" t="str"/>
      <x:c r="U277" s="14" t="str"/>
      <x:c r="V277" s="15" t="str"/>
      <x:c r="W277" s="14" t="str">
        <x:v>no</x:v>
      </x:c>
      <x:c r="X277" s="14" t="str"/>
      <x:c r="Y277" s="14" t="str"/>
      <x:c r="Z277" s="14" t="str"/>
      <x:c r="AA277" s="14" t="str">
        <x:v>no</x:v>
      </x:c>
    </x:row>
    <x:row r="278">
      <x:c r="A278" s="1" t="str">
        <x:v>U0467</x:v>
      </x:c>
      <x:c r="B278" s="1" t="str">
        <x:v>cmst80ckg000h04i9rasplurj</x:v>
      </x:c>
      <x:c r="C278" s="1" t="str">
        <x:v>skeleton-args-ca2022004921-cb64a3102cee5019</x:v>
      </x:c>
      <x:c r="D278" s="1" t="str">
        <x:v>synthetic</x:v>
      </x:c>
      <x:c r="E278" s="14" t="str">
        <x:v>Thompson v Clearview Credit Services Ltd</x:v>
      </x:c>
      <x:c r="F278" s="14" t="str">
        <x:v>case:2014 ewca civ 1413</x:v>
      </x:c>
      <x:c r="G278" s="14" t="str">
        <x:v>Grace &amp; Anor v Black Horse Ltd</x:v>
      </x:c>
      <x:c r="H278" s="14" t="str">
        <x:v>[2014] EWCA Civ 1413</x:v>
      </x:c>
      <x:c r="I278" s="14" t="str">
        <x:v>65645a3e-7e49-4a88-ba46-adb686908b02</x:v>
      </x:c>
      <x:c r="J278" s="14" t="n">
        <x:v>3</x:v>
      </x:c>
      <x:c r="K278" s="14" t="str">
        <x:v>factualFindings.contestedFacts[1].sourceCases[0] | issuesForDetermination.issueMatrix[1].sourceCases[0] | reasoningStructure[1].sourceCases[0]</x:v>
      </x:c>
      <x:c r="L278" s="14" t="str">
        <x:v>cmst7yrwi000b04i90ncdwp78</x:v>
      </x:c>
      <x:c r="M278" s="14" t="str">
        <x:v>confirmed_within_10m</x:v>
      </x:c>
      <x:c r="N278" s="14" t="n">
        <x:v>73.527</x:v>
      </x:c>
      <x:c r="O278" s="14" t="str">
        <x:v>yes</x:v>
      </x:c>
      <x:c r="P278" s="14" t="str">
        <x:v>yes</x:v>
      </x:c>
      <x:c r="Q278" s="14" t="str">
        <x:v>exact_case_id</x:v>
      </x:c>
      <x:c r="R278" s="14" t="str">
        <x:v>definitive</x:v>
      </x:c>
      <x:c r="S278" s="14" t="n">
        <x:v>3</x:v>
      </x:c>
      <x:c r="T278" s="14" t="str">
        <x:v>65645a3e-7e49-4a88-ba46-adb686908b02</x:v>
      </x:c>
      <x:c r="U278" s="14" t="str">
        <x:v>Grace &amp; Anor v Black Horse Ltd [2014] EWCA Civ 1413</x:v>
      </x:c>
      <x:c r="V278" s="15" t="n">
        <x:v>0.6793288</x:v>
      </x:c>
      <x:c r="W278" s="14" t="str">
        <x:v>no</x:v>
      </x:c>
      <x:c r="X278" s="14" t="str"/>
      <x:c r="Y278" s="14" t="str"/>
      <x:c r="Z278" s="14" t="str"/>
      <x:c r="AA278" s="14" t="str">
        <x:v>yes</x:v>
      </x:c>
    </x:row>
    <x:row r="279">
      <x:c r="A279" s="1" t="str">
        <x:v>U0468</x:v>
      </x:c>
      <x:c r="B279" s="1" t="str">
        <x:v>cmst80ckg000h04i9rasplurj</x:v>
      </x:c>
      <x:c r="C279" s="1" t="str">
        <x:v>skeleton-args-ca2022004921-cb64a3102cee5019</x:v>
      </x:c>
      <x:c r="D279" s="1" t="str">
        <x:v>synthetic</x:v>
      </x:c>
      <x:c r="E279" s="14" t="str">
        <x:v>Thompson v Clearview Credit Services Ltd</x:v>
      </x:c>
      <x:c r="F279" s="14" t="str">
        <x:v>case:2015 ewca civ 311</x:v>
      </x:c>
      <x:c r="G279" s="14" t="str">
        <x:v>Google Inc v Vidal-Hall &amp; Ors</x:v>
      </x:c>
      <x:c r="H279" s="14" t="str">
        <x:v>[2015] EWCA Civ 311</x:v>
      </x:c>
      <x:c r="I279" s="14" t="str">
        <x:v>a206a973-506b-4cfb-a0fa-79b98d0ca831</x:v>
      </x:c>
      <x:c r="J279" s="14" t="n">
        <x:v>3</x:v>
      </x:c>
      <x:c r="K279" s="14" t="str">
        <x:v>factualFindings.contestedFacts[0].sourceCases[0] | issuesForDetermination.issueMatrix[0].sourceCases[0] | reasoningStructure[0].sourceCases[0]</x:v>
      </x:c>
      <x:c r="L279" s="14" t="str">
        <x:v>cmst7yrwi000b04i90ncdwp78</x:v>
      </x:c>
      <x:c r="M279" s="14" t="str">
        <x:v>confirmed_within_10m</x:v>
      </x:c>
      <x:c r="N279" s="14" t="n">
        <x:v>73.527</x:v>
      </x:c>
      <x:c r="O279" s="14" t="str">
        <x:v>yes</x:v>
      </x:c>
      <x:c r="P279" s="14" t="str">
        <x:v>yes</x:v>
      </x:c>
      <x:c r="Q279" s="14" t="str">
        <x:v>exact_case_id</x:v>
      </x:c>
      <x:c r="R279" s="14" t="str">
        <x:v>definitive</x:v>
      </x:c>
      <x:c r="S279" s="14" t="n">
        <x:v>1</x:v>
      </x:c>
      <x:c r="T279" s="14" t="str">
        <x:v>a206a973-506b-4cfb-a0fa-79b98d0ca831</x:v>
      </x:c>
      <x:c r="U279" s="14" t="str">
        <x:v>Google Inc v Vidal-Hall &amp; Ors [2015] EWCA Civ 311</x:v>
      </x:c>
      <x:c r="V279" s="15" t="n">
        <x:v>0.6989215</x:v>
      </x:c>
      <x:c r="W279" s="14" t="str">
        <x:v>no</x:v>
      </x:c>
      <x:c r="X279" s="14" t="str"/>
      <x:c r="Y279" s="14" t="str"/>
      <x:c r="Z279" s="14" t="str"/>
      <x:c r="AA279" s="1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f1590356da5343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32.220001220703125" hidden="0" customWidth="1"/>
    <x:col min="4" max="4" width="16.110000610351562" hidden="0" customWidth="1"/>
    <x:col min="5" max="5" width="12.220000267028809" hidden="0" customWidth="1"/>
    <x:col min="6" max="6" width="47.779998779296875" hidden="0" customWidth="1"/>
    <x:col min="7" max="7" width="10" hidden="0" customWidth="1"/>
    <x:col min="8" max="8" width="27.219999313354492" hidden="0" customWidth="1"/>
    <x:col min="9" max="9" width="43.33000183105469" hidden="0" customWidth="1"/>
    <x:col min="10" max="10" width="28.889999389648438" hidden="0" customWidth="1"/>
    <x:col min="11" max="11" width="10" hidden="0" customWidth="1"/>
    <x:col min="12" max="12" width="12.220000267028809" hidden="0" customWidth="1"/>
    <x:col min="13" max="13" width="12.779999732971191" hidden="0" customWidth="1"/>
    <x:col min="14" max="14" width="55.560001373291016" hidden="0" customWidth="1"/>
  </x:cols>
  <x:sheetData>
    <x:row r="1">
      <x:c r="A1" s="5" t="str">
        <x:v>search_id</x:v>
      </x:c>
      <x:c r="B1" s="5" t="str">
        <x:v>skeleton_arguments_id</x:v>
      </x:c>
      <x:c r="C1" s="5" t="str">
        <x:v>source_case_id</x:v>
      </x:c>
      <x:c r="D1" s="5" t="str">
        <x:v>searched_at</x:v>
      </x:c>
      <x:c r="E1" s="5" t="str">
        <x:v>linked_as_nearest</x:v>
      </x:c>
      <x:c r="F1" s="5" t="str">
        <x:v>linked_draft_ids</x:v>
      </x:c>
      <x:c r="G1" s="5" t="str">
        <x:v>retrieval_rank</x:v>
      </x:c>
      <x:c r="H1" s="5" t="str">
        <x:v>retrieved_case_id</x:v>
      </x:c>
      <x:c r="I1" s="5" t="str">
        <x:v>retrieved_title</x:v>
      </x:c>
      <x:c r="J1" s="5" t="str">
        <x:v>retrieved_court</x:v>
      </x:c>
      <x:c r="K1" s="5" t="str">
        <x:v>retrieved_year</x:v>
      </x:c>
      <x:c r="L1" s="5" t="str">
        <x:v>similarity_score</x:v>
      </x:c>
      <x:c r="M1" s="5" t="str">
        <x:v>matching_chunks_count</x:v>
      </x:c>
      <x:c r="N1" s="5" t="str">
        <x:v>cited_cases_in_chunks</x:v>
      </x:c>
    </x:row>
    <x:row r="2">
      <x:c r="A2" s="1" t="str">
        <x:v>cmlzp9luh000304l29ip4sjki</x:v>
      </x:c>
      <x:c r="B2" s="1" t="str">
        <x:v>cmlzon435000504jsyulxanb5</x:v>
      </x:c>
      <x:c r="C2" s="1" t="str">
        <x:v>skeleton-args-ca2022002088-9a827e5fc9cfa270</x:v>
      </x:c>
      <x:c r="D2" s="12" t="n">
        <x:v>46076.90270637732</x:v>
      </x:c>
      <x:c r="E2" s="1" t="str">
        <x:v>yes</x:v>
      </x:c>
      <x:c r="F2" s="14" t="str">
        <x:v>cmlzpblc7000304jv62ixuvp8</x:v>
      </x:c>
      <x:c r="G2" s="14" t="n">
        <x:v>1</x:v>
      </x:c>
      <x:c r="H2" s="14" t="str">
        <x:v>d23d9f9f-4d0a-455a-bab1-0ce1a023b722</x:v>
      </x:c>
      <x:c r="I2" s="14" t="str">
        <x:v>Altrad Services Ltd &amp; Anor v Commissioners for HMRC [2023] EWCA Civ 474 (03 May 2023)</x:v>
      </x:c>
      <x:c r="J2" s="14" t="str">
        <x:v>England and Wales Court of Appeal (Civil Division)</x:v>
      </x:c>
      <x:c r="K2" s="14" t="n">
        <x:v>2023</x:v>
      </x:c>
      <x:c r="L2" s="15" t="n">
        <x:v>0.68272364</x:v>
      </x:c>
      <x:c r="M2" s="14" t="n">
        <x:v>3</x:v>
      </x:c>
      <x:c r="N2" s="14" t="str">
        <x:v>Ramsay | Tower | BMBF | Ensign | Ramsay v HMRC | Tower v HMRC | Ensign v HMRC</x:v>
      </x:c>
    </x:row>
    <x:row r="3">
      <x:c r="A3" s="1" t="str">
        <x:v>cmlzp9luh000304l29ip4sjki</x:v>
      </x:c>
      <x:c r="B3" s="1" t="str">
        <x:v>cmlzon435000504jsyulxanb5</x:v>
      </x:c>
      <x:c r="C3" s="1" t="str">
        <x:v>skeleton-args-ca2022002088-9a827e5fc9cfa270</x:v>
      </x:c>
      <x:c r="D3" s="12" t="n">
        <x:v>46076.90270637732</x:v>
      </x:c>
      <x:c r="E3" s="1" t="str">
        <x:v>yes</x:v>
      </x:c>
      <x:c r="F3" s="14" t="str">
        <x:v>cmlzpblc7000304jv62ixuvp8</x:v>
      </x:c>
      <x:c r="G3" s="14" t="n">
        <x:v>2</x:v>
      </x:c>
      <x:c r="H3" s="14" t="str">
        <x:v>16f61521-59b6-4c57-8af3-c654be05eab0</x:v>
      </x:c>
      <x:c r="I3" s="14" t="str">
        <x:v>BPP Holdings v Revenue And Customs [2016] EWCA Civ 121</x:v>
      </x:c>
      <x:c r="J3" s="14" t="str">
        <x:v>England and Wales Court of Appeal (Civil Division)</x:v>
      </x:c>
      <x:c r="K3" s="14" t="n">
        <x:v>2016</x:v>
      </x:c>
      <x:c r="L3" s="15" t="n">
        <x:v>0.67462647</x:v>
      </x:c>
      <x:c r="M3" s="14" t="n">
        <x:v>1</x:v>
      </x:c>
      <x:c r="N3" s="14" t="str">
        <x:v>McCarthy &amp; Stone | Leeds | Mitchell | Denton</x:v>
      </x:c>
    </x:row>
    <x:row r="4">
      <x:c r="A4" s="1" t="str">
        <x:v>cmlzp9luh000304l29ip4sjki</x:v>
      </x:c>
      <x:c r="B4" s="1" t="str">
        <x:v>cmlzon435000504jsyulxanb5</x:v>
      </x:c>
      <x:c r="C4" s="1" t="str">
        <x:v>skeleton-args-ca2022002088-9a827e5fc9cfa270</x:v>
      </x:c>
      <x:c r="D4" s="12" t="n">
        <x:v>46076.90270637732</x:v>
      </x:c>
      <x:c r="E4" s="1" t="str">
        <x:v>yes</x:v>
      </x:c>
      <x:c r="F4" s="14" t="str">
        <x:v>cmlzpblc7000304jv62ixuvp8</x:v>
      </x:c>
      <x:c r="G4" s="14" t="n">
        <x:v>3</x:v>
      </x:c>
      <x:c r="H4" s="14" t="str">
        <x:v>2f2ce488-73d0-4422-abcd-2b014a9e52d1</x:v>
      </x:c>
      <x:c r="I4" s="14" t="str">
        <x:v>Totel Limited v HM Revenue and Customs [2016] EWCA Civ 1310</x:v>
      </x:c>
      <x:c r="J4" s="14" t="str">
        <x:v>England and Wales Court of Appeal (Civil Division)</x:v>
      </x:c>
      <x:c r="K4" s="14" t="n">
        <x:v>2016</x:v>
      </x:c>
      <x:c r="L4" s="15" t="n">
        <x:v>0.67187154</x:v>
      </x:c>
      <x:c r="M4" s="14" t="n">
        <x:v>1</x:v>
      </x:c>
      <x:c r="N4" s="14" t="str">
        <x:v>UKUT 485 (TCC) | Marks &amp; Spencer | Littlewoods</x:v>
      </x:c>
    </x:row>
    <x:row r="5">
      <x:c r="A5" s="1" t="str">
        <x:v>cmlzp9luh000304l29ip4sjki</x:v>
      </x:c>
      <x:c r="B5" s="1" t="str">
        <x:v>cmlzon435000504jsyulxanb5</x:v>
      </x:c>
      <x:c r="C5" s="1" t="str">
        <x:v>skeleton-args-ca2022002088-9a827e5fc9cfa270</x:v>
      </x:c>
      <x:c r="D5" s="12" t="n">
        <x:v>46076.90270637732</x:v>
      </x:c>
      <x:c r="E5" s="1" t="str">
        <x:v>yes</x:v>
      </x:c>
      <x:c r="F5" s="14" t="str">
        <x:v>cmlzpblc7000304jv62ixuvp8</x:v>
      </x:c>
      <x:c r="G5" s="14" t="n">
        <x:v>4</x:v>
      </x:c>
      <x:c r="H5" s="14" t="str">
        <x:v>53011b43-2d84-4830-953a-1b5b550f4f67</x:v>
      </x:c>
      <x:c r="I5" s="14" t="str">
        <x:v>The Quentin Skinner 2015 Settlement L &amp; Ors v HM Revenue and Customs (Entrepeneurs' Relief) [2022] EWCA Civ 1222</x:v>
      </x:c>
      <x:c r="J5" s="14" t="str">
        <x:v>England and Wales Court of Appeal (Civil Division)</x:v>
      </x:c>
      <x:c r="K5" s="14" t="n">
        <x:v>2022</x:v>
      </x:c>
      <x:c r="L5" s="15" t="n">
        <x:v>0.6712979</x:v>
      </x:c>
      <x:c r="M5" s="14" t="n">
        <x:v>1</x:v>
      </x:c>
      <x:c r="N5" s="14" t="str"/>
    </x:row>
    <x:row r="6">
      <x:c r="A6" s="1" t="str">
        <x:v>cmlzp9luh000304l29ip4sjki</x:v>
      </x:c>
      <x:c r="B6" s="1" t="str">
        <x:v>cmlzon435000504jsyulxanb5</x:v>
      </x:c>
      <x:c r="C6" s="1" t="str">
        <x:v>skeleton-args-ca2022002088-9a827e5fc9cfa270</x:v>
      </x:c>
      <x:c r="D6" s="12" t="n">
        <x:v>46076.90270637732</x:v>
      </x:c>
      <x:c r="E6" s="1" t="str">
        <x:v>yes</x:v>
      </x:c>
      <x:c r="F6" s="14" t="str">
        <x:v>cmlzpblc7000304jv62ixuvp8</x:v>
      </x:c>
      <x:c r="G6" s="14" t="n">
        <x:v>5</x:v>
      </x:c>
      <x:c r="H6" s="14" t="str">
        <x:v>5f096d49-2a17-4252-839a-438cd198b444</x:v>
      </x:c>
      <x:c r="I6" s="14" t="str">
        <x:v>Dawson's (Wales) Ltd v Revenue &amp; Customs [2023] EWCA Civ 332</x:v>
      </x:c>
      <x:c r="J6" s="14" t="str">
        <x:v>England and Wales Court of Appeal (Civil Division)</x:v>
      </x:c>
      <x:c r="K6" s="14" t="n">
        <x:v>2023</x:v>
      </x:c>
      <x:c r="L6" s="15" t="n">
        <x:v>0.6697735</x:v>
      </x:c>
      <x:c r="M6" s="14" t="n">
        <x:v>2</x:v>
      </x:c>
      <x:c r="N6" s="14" t="str">
        <x:v>Davison &amp; Robinson | Perfect | WR</x:v>
      </x:c>
    </x:row>
    <x:row r="7">
      <x:c r="A7" s="1" t="str">
        <x:v>cmlzp9luh000304l29ip4sjki</x:v>
      </x:c>
      <x:c r="B7" s="1" t="str">
        <x:v>cmlzon435000504jsyulxanb5</x:v>
      </x:c>
      <x:c r="C7" s="1" t="str">
        <x:v>skeleton-args-ca2022002088-9a827e5fc9cfa270</x:v>
      </x:c>
      <x:c r="D7" s="12" t="n">
        <x:v>46076.90270637732</x:v>
      </x:c>
      <x:c r="E7" s="1" t="str">
        <x:v>yes</x:v>
      </x:c>
      <x:c r="F7" s="14" t="str">
        <x:v>cmlzpblc7000304jv62ixuvp8</x:v>
      </x:c>
      <x:c r="G7" s="14" t="n">
        <x:v>6</x:v>
      </x:c>
      <x:c r="H7" s="14" t="str">
        <x:v>7253e952-4693-4c28-8c6d-f176b4e6f194</x:v>
      </x:c>
      <x:c r="I7" s="14" t="str">
        <x:v>HMRC v GMAC (UK) Plc [2016] EWCA Civ 1015 (Court of Appeal, Civil Division)</x:v>
      </x:c>
      <x:c r="J7" s="14" t="str">
        <x:v>England and Wales Court of Appeal (Civil Division)</x:v>
      </x:c>
      <x:c r="K7" s="14" t="n">
        <x:v>2016</x:v>
      </x:c>
      <x:c r="L7" s="15" t="n">
        <x:v>0.6695423</x:v>
      </x:c>
      <x:c r="M7" s="14" t="n">
        <x:v>1</x:v>
      </x:c>
      <x:c r="N7" s="14" t="str">
        <x:v>BT CA (EWCA Civ 433)</x:v>
      </x:c>
    </x:row>
    <x:row r="8">
      <x:c r="A8" s="1" t="str">
        <x:v>cmlzp9luh000304l29ip4sjki</x:v>
      </x:c>
      <x:c r="B8" s="1" t="str">
        <x:v>cmlzon435000504jsyulxanb5</x:v>
      </x:c>
      <x:c r="C8" s="1" t="str">
        <x:v>skeleton-args-ca2022002088-9a827e5fc9cfa270</x:v>
      </x:c>
      <x:c r="D8" s="12" t="n">
        <x:v>46076.90270637732</x:v>
      </x:c>
      <x:c r="E8" s="1" t="str">
        <x:v>yes</x:v>
      </x:c>
      <x:c r="F8" s="14" t="str">
        <x:v>cmlzpblc7000304jv62ixuvp8</x:v>
      </x:c>
      <x:c r="G8" s="14" t="n">
        <x:v>7</x:v>
      </x:c>
      <x:c r="H8" s="14" t="str">
        <x:v>f2e312b7-9979-4341-a687-c55ade7d7fac</x:v>
      </x:c>
      <x:c r="I8" s="14" t="str">
        <x:v>IFX Investment Company Ltd and Ors v Revenue and Customs [2016] EWCA Civ 436</x:v>
      </x:c>
      <x:c r="J8" s="14" t="str">
        <x:v>England and Wales Court of Appeal (Civil Division)</x:v>
      </x:c>
      <x:c r="K8" s="14" t="n">
        <x:v>2016</x:v>
      </x:c>
      <x:c r="L8" s="15" t="n">
        <x:v>0.6665889</x:v>
      </x:c>
      <x:c r="M8" s="14" t="n">
        <x:v>1</x:v>
      </x:c>
      <x:c r="N8" s="14" t="str">
        <x:v>UKUT 398 (TCC) [2014]</x:v>
      </x:c>
    </x:row>
    <x:row r="9">
      <x:c r="A9" s="1" t="str">
        <x:v>cmlzp9luh000304l29ip4sjki</x:v>
      </x:c>
      <x:c r="B9" s="1" t="str">
        <x:v>cmlzon435000504jsyulxanb5</x:v>
      </x:c>
      <x:c r="C9" s="1" t="str">
        <x:v>skeleton-args-ca2022002088-9a827e5fc9cfa270</x:v>
      </x:c>
      <x:c r="D9" s="12" t="n">
        <x:v>46076.90270637732</x:v>
      </x:c>
      <x:c r="E9" s="1" t="str">
        <x:v>yes</x:v>
      </x:c>
      <x:c r="F9" s="14" t="str">
        <x:v>cmlzpblc7000304jv62ixuvp8</x:v>
      </x:c>
      <x:c r="G9" s="14" t="n">
        <x:v>8</x:v>
      </x:c>
      <x:c r="H9" s="14" t="str">
        <x:v>f088dcd9-a86b-4857-941b-1ba09d92fbc6</x:v>
      </x:c>
      <x:c r="I9" s="14" t="str">
        <x:v>Revenue &amp; Customs v Gray &amp; Farrar International LLP [2023] EWCA Civ 121</x:v>
      </x:c>
      <x:c r="J9" s="14" t="str">
        <x:v>England and Wales Court of Appeal (Civil Division)</x:v>
      </x:c>
      <x:c r="K9" s="14" t="n">
        <x:v>2023</x:v>
      </x:c>
      <x:c r="L9" s="15" t="n">
        <x:v>0.6665688</x:v>
      </x:c>
      <x:c r="M9" s="14" t="n">
        <x:v>1</x:v>
      </x:c>
      <x:c r="N9" s="14" t="str">
        <x:v>UKUT 2021 | UKFTT 2019</x:v>
      </x:c>
    </x:row>
    <x:row r="10">
      <x:c r="A10" s="1" t="str">
        <x:v>cmlzp9luh000304l29ip4sjki</x:v>
      </x:c>
      <x:c r="B10" s="1" t="str">
        <x:v>cmlzon435000504jsyulxanb5</x:v>
      </x:c>
      <x:c r="C10" s="1" t="str">
        <x:v>skeleton-args-ca2022002088-9a827e5fc9cfa270</x:v>
      </x:c>
      <x:c r="D10" s="12" t="n">
        <x:v>46076.90270637732</x:v>
      </x:c>
      <x:c r="E10" s="1" t="str">
        <x:v>yes</x:v>
      </x:c>
      <x:c r="F10" s="14" t="str">
        <x:v>cmlzpblc7000304jv62ixuvp8</x:v>
      </x:c>
      <x:c r="G10" s="14" t="n">
        <x:v>9</x:v>
      </x:c>
      <x:c r="H10" s="14" t="str">
        <x:v>c905ed54-034f-425d-908f-4d0fc7437e71</x:v>
      </x:c>
      <x:c r="I10" s="14" t="str">
        <x:v>Naghshineh v Commissioners for HM Revenue and Customs [2022] EWCA Civ 19</x:v>
      </x:c>
      <x:c r="J10" s="14" t="str">
        <x:v>England and Wales Court of Appeal (Civil Division)</x:v>
      </x:c>
      <x:c r="K10" s="14" t="n">
        <x:v>2022</x:v>
      </x:c>
      <x:c r="L10" s="15" t="n">
        <x:v>0.66280985</x:v>
      </x:c>
      <x:c r="M10" s="14" t="n">
        <x:v>1</x:v>
      </x:c>
      <x:c r="N10" s="14" t="str"/>
    </x:row>
    <x:row r="11">
      <x:c r="A11" s="1" t="str">
        <x:v>cmlzp9luh000304l29ip4sjki</x:v>
      </x:c>
      <x:c r="B11" s="1" t="str">
        <x:v>cmlzon435000504jsyulxanb5</x:v>
      </x:c>
      <x:c r="C11" s="1" t="str">
        <x:v>skeleton-args-ca2022002088-9a827e5fc9cfa270</x:v>
      </x:c>
      <x:c r="D11" s="12" t="n">
        <x:v>46076.90270637732</x:v>
      </x:c>
      <x:c r="E11" s="1" t="str">
        <x:v>yes</x:v>
      </x:c>
      <x:c r="F11" s="14" t="str">
        <x:v>cmlzpblc7000304jv62ixuvp8</x:v>
      </x:c>
      <x:c r="G11" s="14" t="n">
        <x:v>10</x:v>
      </x:c>
      <x:c r="H11" s="14" t="str">
        <x:v>99e499ed-5641-4f75-8c33-a3c4e6031823</x:v>
      </x:c>
      <x:c r="I11" s="14" t="str">
        <x:v>Argentum Exploration Limited v The Silver and all persons claiming to be interested in and/or to have rights in respect of, the Silver [2022] EWCA Civ 1318</x:v>
      </x:c>
      <x:c r="J11" s="14" t="str">
        <x:v>England and Wales Court of Appeal (Civil Division)</x:v>
      </x:c>
      <x:c r="K11" s="14" t="n">
        <x:v>2022</x:v>
      </x:c>
      <x:c r="L11" s="15" t="n">
        <x:v>0.66141564</x:v>
      </x:c>
      <x:c r="M11" s="14" t="n">
        <x:v>1</x:v>
      </x:c>
      <x:c r="N11" s="14" t="str"/>
    </x:row>
    <x:row r="12">
      <x:c r="A12" s="1" t="str">
        <x:v>cmlzpfjvk000b04jtl1v4uh8a</x:v>
      </x:c>
      <x:c r="B12" s="1" t="str">
        <x:v>cmlzo9g9l000204l26mhyhchv</x:v>
      </x:c>
      <x:c r="C12" s="1" t="str">
        <x:v>skeleton-args-ca2022008247-6c5b4a1058f7a82b</x:v>
      </x:c>
      <x:c r="D12" s="12" t="n">
        <x:v>46076.90591712963</x:v>
      </x:c>
      <x:c r="E12" s="1" t="str">
        <x:v>yes</x:v>
      </x:c>
      <x:c r="F12" s="14" t="str">
        <x:v>cmlzphr57000h04jtqrwbfiyf</x:v>
      </x:c>
      <x:c r="G12" s="14" t="n">
        <x:v>1</x:v>
      </x:c>
      <x:c r="H12" s="14" t="str">
        <x:v>34dfb3bd-01bb-45bf-b18a-fce4ecb24b45</x:v>
      </x:c>
      <x:c r="I12" s="14" t="str">
        <x:v>White &amp; Anor v Amirtharaja &amp; Anor [2022] EWCA Civ 11</x:v>
      </x:c>
      <x:c r="J12" s="14" t="str">
        <x:v>England and Wales Court of Appeal (Civil Division)</x:v>
      </x:c>
      <x:c r="K12" s="14" t="n">
        <x:v>2022</x:v>
      </x:c>
      <x:c r="L12" s="15" t="n">
        <x:v>0.65815496</x:v>
      </x:c>
      <x:c r="M12" s="14" t="n">
        <x:v>1</x:v>
      </x:c>
      <x:c r="N12" s="14" t="str"/>
    </x:row>
    <x:row r="13">
      <x:c r="A13" s="1" t="str">
        <x:v>cmlzpfjvk000b04jtl1v4uh8a</x:v>
      </x:c>
      <x:c r="B13" s="1" t="str">
        <x:v>cmlzo9g9l000204l26mhyhchv</x:v>
      </x:c>
      <x:c r="C13" s="1" t="str">
        <x:v>skeleton-args-ca2022008247-6c5b4a1058f7a82b</x:v>
      </x:c>
      <x:c r="D13" s="12" t="n">
        <x:v>46076.90591712963</x:v>
      </x:c>
      <x:c r="E13" s="1" t="str">
        <x:v>yes</x:v>
      </x:c>
      <x:c r="F13" s="14" t="str">
        <x:v>cmlzphr57000h04jtqrwbfiyf</x:v>
      </x:c>
      <x:c r="G13" s="14" t="n">
        <x:v>2</x:v>
      </x:c>
      <x:c r="H13" s="14" t="str">
        <x:v>f4d639ad-f27c-47ba-a62c-bfc0c4c9430e</x:v>
      </x:c>
      <x:c r="I13" s="14" t="str">
        <x:v>Healey v Fraine &amp; Ors [2023] EWCA Civ 549</x:v>
      </x:c>
      <x:c r="J13" s="14" t="str">
        <x:v>England and Wales Court of Appeal (Civil Division)</x:v>
      </x:c>
      <x:c r="K13" s="14" t="n">
        <x:v>2023</x:v>
      </x:c>
      <x:c r="L13" s="15" t="n">
        <x:v>0.6543503</x:v>
      </x:c>
      <x:c r="M13" s="14" t="n">
        <x:v>4</x:v>
      </x:c>
      <x:c r="N13" s="14" t="str"/>
    </x:row>
    <x:row r="14">
      <x:c r="A14" s="1" t="str">
        <x:v>cmlzpfjvk000b04jtl1v4uh8a</x:v>
      </x:c>
      <x:c r="B14" s="1" t="str">
        <x:v>cmlzo9g9l000204l26mhyhchv</x:v>
      </x:c>
      <x:c r="C14" s="1" t="str">
        <x:v>skeleton-args-ca2022008247-6c5b4a1058f7a82b</x:v>
      </x:c>
      <x:c r="D14" s="12" t="n">
        <x:v>46076.90591712963</x:v>
      </x:c>
      <x:c r="E14" s="1" t="str">
        <x:v>yes</x:v>
      </x:c>
      <x:c r="F14" s="14" t="str">
        <x:v>cmlzphr57000h04jtqrwbfiyf</x:v>
      </x:c>
      <x:c r="G14" s="14" t="n">
        <x:v>3</x:v>
      </x:c>
      <x:c r="H14" s="14" t="str">
        <x:v>6e8e988c-074c-4ab1-9e37-5c84673b441b</x:v>
      </x:c>
      <x:c r="I14" s="14" t="str">
        <x:v>Secretary of State for the Home Department v Cox &amp; Ors [2023] EWCA Civ 551 (19 May 2023)</x:v>
      </x:c>
      <x:c r="J14" s="14" t="str">
        <x:v>England and Wales Court of Appeal (Civil Division)</x:v>
      </x:c>
      <x:c r="K14" s="14" t="n">
        <x:v>2023</x:v>
      </x:c>
      <x:c r="L14" s="15" t="n">
        <x:v>0.63672197</x:v>
      </x:c>
      <x:c r="M14" s="14" t="n">
        <x:v>1</x:v>
      </x:c>
      <x:c r="N14" s="14" t="str"/>
    </x:row>
    <x:row r="15">
      <x:c r="A15" s="1" t="str">
        <x:v>cmlzpfjvk000b04jtl1v4uh8a</x:v>
      </x:c>
      <x:c r="B15" s="1" t="str">
        <x:v>cmlzo9g9l000204l26mhyhchv</x:v>
      </x:c>
      <x:c r="C15" s="1" t="str">
        <x:v>skeleton-args-ca2022008247-6c5b4a1058f7a82b</x:v>
      </x:c>
      <x:c r="D15" s="12" t="n">
        <x:v>46076.90591712963</x:v>
      </x:c>
      <x:c r="E15" s="1" t="str">
        <x:v>yes</x:v>
      </x:c>
      <x:c r="F15" s="14" t="str">
        <x:v>cmlzphr57000h04jtqrwbfiyf</x:v>
      </x:c>
      <x:c r="G15" s="14" t="n">
        <x:v>4</x:v>
      </x:c>
      <x:c r="H15" s="14" t="str">
        <x:v>4fb69c0f-f93b-4540-a62b-7db9f10a32aa</x:v>
      </x:c>
      <x:c r="I15" s="14" t="str">
        <x:v>Heaney v Kirkby [2016] EWCA Civ 689</x:v>
      </x:c>
      <x:c r="J15" s="14" t="str">
        <x:v>England and Wales Court of Appeal (Civil Division)</x:v>
      </x:c>
      <x:c r="K15" s="14" t="str"/>
      <x:c r="L15" s="15" t="n">
        <x:v>0.6361747</x:v>
      </x:c>
      <x:c r="M15" s="14" t="n">
        <x:v>4</x:v>
      </x:c>
      <x:c r="N15" s="14" t="str">
        <x:v>Ladd v Marshall</x:v>
      </x:c>
    </x:row>
    <x:row r="16">
      <x:c r="A16" s="1" t="str">
        <x:v>cmlzpfjvk000b04jtl1v4uh8a</x:v>
      </x:c>
      <x:c r="B16" s="1" t="str">
        <x:v>cmlzo9g9l000204l26mhyhchv</x:v>
      </x:c>
      <x:c r="C16" s="1" t="str">
        <x:v>skeleton-args-ca2022008247-6c5b4a1058f7a82b</x:v>
      </x:c>
      <x:c r="D16" s="12" t="n">
        <x:v>46076.90591712963</x:v>
      </x:c>
      <x:c r="E16" s="1" t="str">
        <x:v>yes</x:v>
      </x:c>
      <x:c r="F16" s="14" t="str">
        <x:v>cmlzphr57000h04jtqrwbfiyf</x:v>
      </x:c>
      <x:c r="G16" s="14" t="n">
        <x:v>5</x:v>
      </x:c>
      <x:c r="H16" s="14" t="str">
        <x:v>63ef2757-1a67-40a3-a684-a4901ad74648</x:v>
      </x:c>
      <x:c r="I16" s="14" t="str">
        <x:v>Ely v Robson [2016] EWCA Civ 774</x:v>
      </x:c>
      <x:c r="J16" s="14" t="str">
        <x:v>England and Wales Court of Appeal (Civil Division)</x:v>
      </x:c>
      <x:c r="K16" s="14" t="n">
        <x:v>2016</x:v>
      </x:c>
      <x:c r="L16" s="15" t="n">
        <x:v>0.62874985</x:v>
      </x:c>
      <x:c r="M16" s="14" t="n">
        <x:v>1</x:v>
      </x:c>
      <x:c r="N16" s="14" t="str">
        <x:v>Cobbe v Yeoman's Row Management Ltd | Herbert v Doyle | Ramsden v Dyson</x:v>
      </x:c>
    </x:row>
    <x:row r="17">
      <x:c r="A17" s="1" t="str">
        <x:v>cmlzpfjvk000b04jtl1v4uh8a</x:v>
      </x:c>
      <x:c r="B17" s="1" t="str">
        <x:v>cmlzo9g9l000204l26mhyhchv</x:v>
      </x:c>
      <x:c r="C17" s="1" t="str">
        <x:v>skeleton-args-ca2022008247-6c5b4a1058f7a82b</x:v>
      </x:c>
      <x:c r="D17" s="12" t="n">
        <x:v>46076.90591712963</x:v>
      </x:c>
      <x:c r="E17" s="1" t="str">
        <x:v>yes</x:v>
      </x:c>
      <x:c r="F17" s="14" t="str">
        <x:v>cmlzphr57000h04jtqrwbfiyf</x:v>
      </x:c>
      <x:c r="G17" s="14" t="n">
        <x:v>6</x:v>
      </x:c>
      <x:c r="H17" s="14" t="str">
        <x:v>d34db962-c7f4-46f4-9a77-df6d760ca7c4</x:v>
      </x:c>
      <x:c r="I17" s="14" t="str">
        <x:v>Watts v Stewart &amp; Ors [2016] EWCA Civ 1247</x:v>
      </x:c>
      <x:c r="J17" s="14" t="str">
        <x:v>England and Wales Court of Appeal (Civil Division)</x:v>
      </x:c>
      <x:c r="K17" s="14" t="n">
        <x:v>2016</x:v>
      </x:c>
      <x:c r="L17" s="15" t="n">
        <x:v>0.6258596</x:v>
      </x:c>
      <x:c r="M17" s="14" t="n">
        <x:v>1</x:v>
      </x:c>
      <x:c r="N17" s="14" t="str">
        <x:v>Street v Mountford | Gray v Taylor | Errington v Errington | Allan v Liverpool Overseers | Radaich v Smith | Southward Housing Co-operative v Walker | McDonald v McDonald | Larkos v Cyprus</x:v>
      </x:c>
    </x:row>
    <x:row r="18">
      <x:c r="A18" s="1" t="str">
        <x:v>cmlzpfjvk000b04jtl1v4uh8a</x:v>
      </x:c>
      <x:c r="B18" s="1" t="str">
        <x:v>cmlzo9g9l000204l26mhyhchv</x:v>
      </x:c>
      <x:c r="C18" s="1" t="str">
        <x:v>skeleton-args-ca2022008247-6c5b4a1058f7a82b</x:v>
      </x:c>
      <x:c r="D18" s="12" t="n">
        <x:v>46076.90591712963</x:v>
      </x:c>
      <x:c r="E18" s="1" t="str">
        <x:v>yes</x:v>
      </x:c>
      <x:c r="F18" s="14" t="str">
        <x:v>cmlzphr57000h04jtqrwbfiyf</x:v>
      </x:c>
      <x:c r="G18" s="14" t="n">
        <x:v>7</x:v>
      </x:c>
      <x:c r="H18" s="14" t="str">
        <x:v>5c0afba6-3b82-4ab2-9363-8c570514d87d</x:v>
      </x:c>
      <x:c r="I18" s="14" t="str">
        <x:v>Doyle v M&amp;D Foundations &amp; Building Services Ltd [2022] EWCA Civ 927</x:v>
      </x:c>
      <x:c r="J18" s="14" t="str">
        <x:v>England and Wales Court of Appeal (Civil Division)</x:v>
      </x:c>
      <x:c r="K18" s="14" t="n">
        <x:v>2022</x:v>
      </x:c>
      <x:c r="L18" s="15" t="n">
        <x:v>0.62310684</x:v>
      </x:c>
      <x:c r="M18" s="14" t="n">
        <x:v>1</x:v>
      </x:c>
      <x:c r="N18" s="14" t="str">
        <x:v>Solomon v Cromwell | Adelekun v Ho</x:v>
      </x:c>
    </x:row>
    <x:row r="19">
      <x:c r="A19" s="1" t="str">
        <x:v>cmlzpfjvk000b04jtl1v4uh8a</x:v>
      </x:c>
      <x:c r="B19" s="1" t="str">
        <x:v>cmlzo9g9l000204l26mhyhchv</x:v>
      </x:c>
      <x:c r="C19" s="1" t="str">
        <x:v>skeleton-args-ca2022008247-6c5b4a1058f7a82b</x:v>
      </x:c>
      <x:c r="D19" s="12" t="n">
        <x:v>46076.90591712963</x:v>
      </x:c>
      <x:c r="E19" s="1" t="str">
        <x:v>yes</x:v>
      </x:c>
      <x:c r="F19" s="14" t="str">
        <x:v>cmlzphr57000h04jtqrwbfiyf</x:v>
      </x:c>
      <x:c r="G19" s="14" t="n">
        <x:v>8</x:v>
      </x:c>
      <x:c r="H19" s="14" t="str">
        <x:v>52adf3bc-8b19-4f24-9782-4fb618e86779</x:v>
      </x:c>
      <x:c r="I19" s="14" t="str">
        <x:v>Candey Ltd v Bosheh &amp; Anor [2022] EWCA Civ 1103 (01 August 2022)</x:v>
      </x:c>
      <x:c r="J19" s="14" t="str">
        <x:v>England and Wales Court of Appeal (Civil Division)</x:v>
      </x:c>
      <x:c r="K19" s="14" t="n">
        <x:v>2022</x:v>
      </x:c>
      <x:c r="L19" s="15" t="n">
        <x:v>0.62303036</x:v>
      </x:c>
      <x:c r="M19" s="14" t="n">
        <x:v>1</x:v>
      </x:c>
      <x:c r="N19" s="14" t="str">
        <x:v>Imerman v Tchenquiz | Mustard v Flowers</x:v>
      </x:c>
    </x:row>
    <x:row r="20">
      <x:c r="A20" s="1" t="str">
        <x:v>cmlzpfjvk000b04jtl1v4uh8a</x:v>
      </x:c>
      <x:c r="B20" s="1" t="str">
        <x:v>cmlzo9g9l000204l26mhyhchv</x:v>
      </x:c>
      <x:c r="C20" s="1" t="str">
        <x:v>skeleton-args-ca2022008247-6c5b4a1058f7a82b</x:v>
      </x:c>
      <x:c r="D20" s="12" t="n">
        <x:v>46076.90591712963</x:v>
      </x:c>
      <x:c r="E20" s="1" t="str">
        <x:v>yes</x:v>
      </x:c>
      <x:c r="F20" s="14" t="str">
        <x:v>cmlzphr57000h04jtqrwbfiyf</x:v>
      </x:c>
      <x:c r="G20" s="14" t="n">
        <x:v>9</x:v>
      </x:c>
      <x:c r="H20" s="14" t="str">
        <x:v>73b3dc25-5f3f-4b55-a036-6843967dbba7</x:v>
      </x:c>
      <x:c r="I20" s="14" t="str">
        <x:v>SO, R (On the Application Of) v Thanet District Council (Re Costs) [2023] EWCA Civ 526</x:v>
      </x:c>
      <x:c r="J20" s="14" t="str">
        <x:v>England and Wales Court of Appeal (Civil Division)</x:v>
      </x:c>
      <x:c r="K20" s="14" t="n">
        <x:v>2023</x:v>
      </x:c>
      <x:c r="L20" s="15" t="n">
        <x:v>0.62245166</x:v>
      </x:c>
      <x:c r="M20" s="14" t="n">
        <x:v>1</x:v>
      </x:c>
      <x:c r="N20" s="14" t="str">
        <x:v>[2023] EWCA Civ 526</x:v>
      </x:c>
    </x:row>
    <x:row r="21">
      <x:c r="A21" s="1" t="str">
        <x:v>cmlzpfjvk000b04jtl1v4uh8a</x:v>
      </x:c>
      <x:c r="B21" s="1" t="str">
        <x:v>cmlzo9g9l000204l26mhyhchv</x:v>
      </x:c>
      <x:c r="C21" s="1" t="str">
        <x:v>skeleton-args-ca2022008247-6c5b4a1058f7a82b</x:v>
      </x:c>
      <x:c r="D21" s="12" t="n">
        <x:v>46076.90591712963</x:v>
      </x:c>
      <x:c r="E21" s="1" t="str">
        <x:v>yes</x:v>
      </x:c>
      <x:c r="F21" s="14" t="str">
        <x:v>cmlzphr57000h04jtqrwbfiyf</x:v>
      </x:c>
      <x:c r="G21" s="14" t="n">
        <x:v>10</x:v>
      </x:c>
      <x:c r="H21" s="14" t="str">
        <x:v>948fc767-31a4-4c63-b735-df551b7244eb</x:v>
      </x:c>
      <x:c r="I21" s="14" t="str">
        <x:v>Al-Rawas &amp; Anor v Hassan Khan &amp; Co &amp; Anor [2022] EWCA Civ 671 (17 May 2022)</x:v>
      </x:c>
      <x:c r="J21" s="14" t="str">
        <x:v>England and Wales Court of Appeal (Civil Division)</x:v>
      </x:c>
      <x:c r="K21" s="14" t="n">
        <x:v>2022</x:v>
      </x:c>
      <x:c r="L21" s="15" t="n">
        <x:v>0.6220471</x:v>
      </x:c>
      <x:c r="M21" s="14" t="n">
        <x:v>1</x:v>
      </x:c>
      <x:c r="N21" s="14" t="str">
        <x:v>[2022] EWCA Civ 671</x:v>
      </x:c>
    </x:row>
    <x:row r="22">
      <x:c r="A22" s="1" t="str">
        <x:v>cmlzry90i000b04laxzwy3gcm</x:v>
      </x:c>
      <x:c r="B22" s="1" t="str">
        <x:v>cmlzrw1vp000204latdth8ikx</x:v>
      </x:c>
      <x:c r="C22" s="1" t="str">
        <x:v>skeleton-args-ca2023002207-ce0aafdf6d7e5716</x:v>
      </x:c>
      <x:c r="D22" s="12" t="n">
        <x:v>46076.954894201386</x:v>
      </x:c>
      <x:c r="E22" s="1" t="str">
        <x:v>yes</x:v>
      </x:c>
      <x:c r="F22" s="14" t="str">
        <x:v>cmlzrzxca000304l2qk1vevzx</x:v>
      </x:c>
      <x:c r="G22" s="14" t="n">
        <x:v>1</x:v>
      </x:c>
      <x:c r="H22" s="14" t="str">
        <x:v>70d43223-0ec6-458b-b052-bdc295e0d6ec</x:v>
      </x:c>
      <x:c r="I22" s="14" t="str">
        <x:v>Brown &amp; Ors v South West Lakes Trust &amp; Ors [2022] EWCA Civ 18</x:v>
      </x:c>
      <x:c r="J22" s="14" t="str">
        <x:v>England and Wales Court of Appeal (Civil Division)</x:v>
      </x:c>
      <x:c r="K22" s="14" t="n">
        <x:v>2022</x:v>
      </x:c>
      <x:c r="L22" s="15" t="n">
        <x:v>0.6996171</x:v>
      </x:c>
      <x:c r="M22" s="14" t="n">
        <x:v>4</x:v>
      </x:c>
      <x:c r="N22" s="14" t="str">
        <x:v>Okpabi v Royal Dutch Shell plc [2021] UKSC 3 | Donoghue v Folkestone Properties Ltd [2003] EWCA Civ 231 | Donoghue v Folkestone Properties Limited [2003] EWCA Civ 231 | Tomlinson v Congleton [2003] UKHL 53</x:v>
      </x:c>
    </x:row>
    <x:row r="23">
      <x:c r="A23" s="1" t="str">
        <x:v>cmlzry90i000b04laxzwy3gcm</x:v>
      </x:c>
      <x:c r="B23" s="1" t="str">
        <x:v>cmlzrw1vp000204latdth8ikx</x:v>
      </x:c>
      <x:c r="C23" s="1" t="str">
        <x:v>skeleton-args-ca2023002207-ce0aafdf6d7e5716</x:v>
      </x:c>
      <x:c r="D23" s="12" t="n">
        <x:v>46076.954894201386</x:v>
      </x:c>
      <x:c r="E23" s="1" t="str">
        <x:v>yes</x:v>
      </x:c>
      <x:c r="F23" s="14" t="str">
        <x:v>cmlzrzxca000304l2qk1vevzx</x:v>
      </x:c>
      <x:c r="G23" s="14" t="n">
        <x:v>2</x:v>
      </x:c>
      <x:c r="H23" s="14" t="str">
        <x:v>3b14442e-37b0-455c-a24f-a53a55c9f700</x:v>
      </x:c>
      <x:c r="I23" s="14" t="str">
        <x:v>Humphrey v Aegis Defence Services Ltd &amp; Anor [2016] EWCA Civ 11</x:v>
      </x:c>
      <x:c r="J23" s="14" t="str">
        <x:v>England and Wales Court of Appeal (Civil Division)</x:v>
      </x:c>
      <x:c r="K23" s="14" t="n">
        <x:v>2016</x:v>
      </x:c>
      <x:c r="L23" s="15" t="n">
        <x:v>0.6941479</x:v>
      </x:c>
      <x:c r="M23" s="14" t="n">
        <x:v>1</x:v>
      </x:c>
      <x:c r="N23" s="14" t="str">
        <x:v>Tomlinson v Congleton | Daborn v Bath Tramways | Jolley v Sutton | Bolton v Stone | King v Sussex Ambulance Service</x:v>
      </x:c>
    </x:row>
    <x:row r="24">
      <x:c r="A24" s="1" t="str">
        <x:v>cmlzry90i000b04laxzwy3gcm</x:v>
      </x:c>
      <x:c r="B24" s="1" t="str">
        <x:v>cmlzrw1vp000204latdth8ikx</x:v>
      </x:c>
      <x:c r="C24" s="1" t="str">
        <x:v>skeleton-args-ca2023002207-ce0aafdf6d7e5716</x:v>
      </x:c>
      <x:c r="D24" s="12" t="n">
        <x:v>46076.954894201386</x:v>
      </x:c>
      <x:c r="E24" s="1" t="str">
        <x:v>yes</x:v>
      </x:c>
      <x:c r="F24" s="14" t="str">
        <x:v>cmlzrzxca000304l2qk1vevzx</x:v>
      </x:c>
      <x:c r="G24" s="14" t="n">
        <x:v>3</x:v>
      </x:c>
      <x:c r="H24" s="14" t="str">
        <x:v>4685ad0e-87e7-4f59-8991-823ab27d9393</x:v>
      </x:c>
      <x:c r="I24" s="14" t="str">
        <x:v>Tindall &amp; Anor v Chief Constable of Thames Valley Police &amp; Anor [2022] EWCA Civ 25</x:v>
      </x:c>
      <x:c r="J24" s="14" t="str">
        <x:v>England and Wales Court of Appeal (Civil Division)</x:v>
      </x:c>
      <x:c r="K24" s="14" t="n">
        <x:v>2022</x:v>
      </x:c>
      <x:c r="L24" s="15" t="n">
        <x:v>0.68254423</x:v>
      </x:c>
      <x:c r="M24" s="14" t="n">
        <x:v>6</x:v>
      </x:c>
      <x:c r="N24" s="14" t="str">
        <x:v>Michael v South Wales Police | Robinson v West Yorkshire Police | N and Anor v Poole Borough Council | Gorringe | Sandhar | Anns v Merton LBC | Dorset Yacht | Hedley Byrne | GN v Poole Borough Council | Michael | Robinson | N and Anor</x:v>
      </x:c>
    </x:row>
    <x:row r="25">
      <x:c r="A25" s="1" t="str">
        <x:v>cmlzry90i000b04laxzwy3gcm</x:v>
      </x:c>
      <x:c r="B25" s="1" t="str">
        <x:v>cmlzrw1vp000204latdth8ikx</x:v>
      </x:c>
      <x:c r="C25" s="1" t="str">
        <x:v>skeleton-args-ca2023002207-ce0aafdf6d7e5716</x:v>
      </x:c>
      <x:c r="D25" s="12" t="n">
        <x:v>46076.954894201386</x:v>
      </x:c>
      <x:c r="E25" s="1" t="str">
        <x:v>yes</x:v>
      </x:c>
      <x:c r="F25" s="14" t="str">
        <x:v>cmlzrzxca000304l2qk1vevzx</x:v>
      </x:c>
      <x:c r="G25" s="14" t="n">
        <x:v>4</x:v>
      </x:c>
      <x:c r="H25" s="14" t="str">
        <x:v>29b57846-31cd-4592-b0bb-d49f37fcc7bb</x:v>
      </x:c>
      <x:c r="I25" s="14" t="str">
        <x:v>Dean and Chapter of Rochester Cathedral v Debell [2016] EWCA Civ 1094</x:v>
      </x:c>
      <x:c r="J25" s="14" t="str">
        <x:v>England and Wales Court of Appeal (Civil Division)</x:v>
      </x:c>
      <x:c r="K25" s="14" t="n">
        <x:v>2016</x:v>
      </x:c>
      <x:c r="L25" s="15" t="n">
        <x:v>0.679224</x:v>
      </x:c>
      <x:c r="M25" s="14" t="n">
        <x:v>1</x:v>
      </x:c>
      <x:c r="N25" s="14" t="str">
        <x:v>Mills v Barnsley Metropolitan Borough Council [1992] 1 P.I.Q.R P291 | James v Preseli Pembrokeshire District Council [1993] P.I.Q.R. P114 | Rider v Rider [1973] 1 Q.B. 506 | Brett v London Borough of Lewisham [1999] | Jones v Rhondda Cynon Taff CBC [2008] EWCA Civ 1497 | Galloway v London Borough of Richmond Upon Thames [2003]</x:v>
      </x:c>
    </x:row>
    <x:row r="26">
      <x:c r="A26" s="1" t="str">
        <x:v>cmlzry90i000b04laxzwy3gcm</x:v>
      </x:c>
      <x:c r="B26" s="1" t="str">
        <x:v>cmlzrw1vp000204latdth8ikx</x:v>
      </x:c>
      <x:c r="C26" s="1" t="str">
        <x:v>skeleton-args-ca2023002207-ce0aafdf6d7e5716</x:v>
      </x:c>
      <x:c r="D26" s="12" t="n">
        <x:v>46076.954894201386</x:v>
      </x:c>
      <x:c r="E26" s="1" t="str">
        <x:v>yes</x:v>
      </x:c>
      <x:c r="F26" s="14" t="str">
        <x:v>cmlzrzxca000304l2qk1vevzx</x:v>
      </x:c>
      <x:c r="G26" s="14" t="n">
        <x:v>5</x:v>
      </x:c>
      <x:c r="H26" s="14" t="str">
        <x:v>e16d7203-6f9e-4896-96e0-d021cb6f5579</x:v>
      </x:c>
      <x:c r="I26" s="14" t="str">
        <x:v>Edwards v London Borough of Sutton [2016] EWCA Civ 1005</x:v>
      </x:c>
      <x:c r="J26" s="14" t="str">
        <x:v>England and Wales Court of Appeal (Civil Division)</x:v>
      </x:c>
      <x:c r="K26" s="14" t="n">
        <x:v>2016</x:v>
      </x:c>
      <x:c r="L26" s="15" t="n">
        <x:v>0.6787658</x:v>
      </x:c>
      <x:c r="M26" s="14" t="n">
        <x:v>3</x:v>
      </x:c>
      <x:c r="N26" s="14" t="str">
        <x:v>Hughes v Lord Advocate | Tomlinson v Congleton BC | Staples v W Dorset DC | McGivney v Golderslea Ltd | Japp v Virgin Holidays Ltd | Uren v Corporate Leisure (UK) Ltd | Nicholls v Ladbrokes Betting &amp; Gaming Ltd | Cotton v Derbyshire Dales District Council | Corbett v Cumbria Kart Racing Club | Staples v W Dorset DC [1995] PIQR 439 | Hughes v Lord Advocate [1963] AC 837</x:v>
      </x:c>
    </x:row>
    <x:row r="27">
      <x:c r="A27" s="1" t="str">
        <x:v>cmlzry90i000b04laxzwy3gcm</x:v>
      </x:c>
      <x:c r="B27" s="1" t="str">
        <x:v>cmlzrw1vp000204latdth8ikx</x:v>
      </x:c>
      <x:c r="C27" s="1" t="str">
        <x:v>skeleton-args-ca2023002207-ce0aafdf6d7e5716</x:v>
      </x:c>
      <x:c r="D27" s="12" t="n">
        <x:v>46076.954894201386</x:v>
      </x:c>
      <x:c r="E27" s="1" t="str">
        <x:v>yes</x:v>
      </x:c>
      <x:c r="F27" s="14" t="str">
        <x:v>cmlzrzxca000304l2qk1vevzx</x:v>
      </x:c>
      <x:c r="G27" s="14" t="n">
        <x:v>6</x:v>
      </x:c>
      <x:c r="H27" s="14" t="str">
        <x:v>9289473a-6889-4929-925d-2d6d66b75e86</x:v>
      </x:c>
      <x:c r="I27" s="14" t="str">
        <x:v>Secretary of State for Justice v Black [2016] EWCA Civ 125</x:v>
      </x:c>
      <x:c r="J27" s="14" t="str">
        <x:v>England and Wales Court of Appeal (Civil Division)</x:v>
      </x:c>
      <x:c r="K27" s="14" t="n">
        <x:v>2016</x:v>
      </x:c>
      <x:c r="L27" s="15" t="n">
        <x:v>0.674535</x:v>
      </x:c>
      <x:c r="M27" s="14" t="n">
        <x:v>1</x:v>
      </x:c>
      <x:c r="N27" s="14" t="str">
        <x:v>Gorton Local Board v Prison Commissioners | Cooper v Hawkins | Province of Bombay v Municipal Corporation of the City of Bombay | R (Revenue and Customs Commissioners) v Liverpool Coroner | BBC v Johns | Lord Advocate v Dunbarton District Council</x:v>
      </x:c>
    </x:row>
    <x:row r="28">
      <x:c r="A28" s="1" t="str">
        <x:v>cmlzry90i000b04laxzwy3gcm</x:v>
      </x:c>
      <x:c r="B28" s="1" t="str">
        <x:v>cmlzrw1vp000204latdth8ikx</x:v>
      </x:c>
      <x:c r="C28" s="1" t="str">
        <x:v>skeleton-args-ca2023002207-ce0aafdf6d7e5716</x:v>
      </x:c>
      <x:c r="D28" s="12" t="n">
        <x:v>46076.954894201386</x:v>
      </x:c>
      <x:c r="E28" s="1" t="str">
        <x:v>yes</x:v>
      </x:c>
      <x:c r="F28" s="14" t="str">
        <x:v>cmlzrzxca000304l2qk1vevzx</x:v>
      </x:c>
      <x:c r="G28" s="14" t="n">
        <x:v>7</x:v>
      </x:c>
      <x:c r="H28" s="14" t="str">
        <x:v>7351e867-1c92-49d6-a602-686678f60a5f</x:v>
      </x:c>
      <x:c r="I28" s="14" t="str">
        <x:v>Howmet Limited v Economy Devices Limited &amp; Ors [2016] EWCA Civ 847</x:v>
      </x:c>
      <x:c r="J28" s="14" t="str">
        <x:v>England and Wales Court of Appeal (Civil Division)</x:v>
      </x:c>
      <x:c r="K28" s="14" t="n">
        <x:v>2016</x:v>
      </x:c>
      <x:c r="L28" s="15" t="n">
        <x:v>0.6743248</x:v>
      </x:c>
      <x:c r="M28" s="14" t="n">
        <x:v>1</x:v>
      </x:c>
      <x:c r="N28" s="14" t="str">
        <x:v>Donoghue v Stevenson [1932] AC 562 | D&amp;F Estates Ltd v Church Commissioners for England [1989] 1 AC 177 | Murphy v Brentwood DC [1991] 1 AC 398 | Taylor v Rover Company Limited | Schering Agrochemicals Ltd v Resibel N.V. S.A. | Rhesa Shipping Co v Edmunds [1985] 1 WLR 948 | Popi M v Milton Keynes Borough Council [2013] EWCA Civ 15 | Meridian Global Funds Management Asia Ltd v Securities Commission [1995] 2 AC 500 | Bilta (UK) Ltd (in liquidation) v Nazir &amp; Ors (No.2) [2015] UKSC 23 | Targett v Torfaen Borough Council [1992] EGLR 275 | Lambert v Lewis</x:v>
      </x:c>
    </x:row>
    <x:row r="29">
      <x:c r="A29" s="1" t="str">
        <x:v>cmlzry90i000b04laxzwy3gcm</x:v>
      </x:c>
      <x:c r="B29" s="1" t="str">
        <x:v>cmlzrw1vp000204latdth8ikx</x:v>
      </x:c>
      <x:c r="C29" s="1" t="str">
        <x:v>skeleton-args-ca2023002207-ce0aafdf6d7e5716</x:v>
      </x:c>
      <x:c r="D29" s="12" t="n">
        <x:v>46076.954894201386</x:v>
      </x:c>
      <x:c r="E29" s="1" t="str">
        <x:v>yes</x:v>
      </x:c>
      <x:c r="F29" s="14" t="str">
        <x:v>cmlzrzxca000304l2qk1vevzx</x:v>
      </x:c>
      <x:c r="G29" s="14" t="n">
        <x:v>8</x:v>
      </x:c>
      <x:c r="H29" s="14" t="str">
        <x:v>26a8199d-2c00-43b8-815c-036d01dbe2a6</x:v>
      </x:c>
      <x:c r="I29" s="14" t="str">
        <x:v>English Heritage v Taylor [2016] EWCA Civ 448</x:v>
      </x:c>
      <x:c r="J29" s="14" t="str">
        <x:v>England and Wales Court of Appeal (Civil Division)</x:v>
      </x:c>
      <x:c r="K29" s="14" t="n">
        <x:v>2016</x:v>
      </x:c>
      <x:c r="L29" s="15" t="n">
        <x:v>0.67418325</x:v>
      </x:c>
      <x:c r="M29" s="14" t="n">
        <x:v>1</x:v>
      </x:c>
      <x:c r="N29" s="14" t="str">
        <x:v>Tomlinson v Congleton Borough Council [2003] UKHL 47 | Staples v West Dorset District Council [1995] PIQR P442 | Manning v Stylianou [2007] EWCA Civ 1655 | Clare v Perry [2005] EWCA Civ 39 | Jackson v Murray [2015] UKSC 5</x:v>
      </x:c>
    </x:row>
    <x:row r="30">
      <x:c r="A30" s="1" t="str">
        <x:v>cmlzry90i000b04laxzwy3gcm</x:v>
      </x:c>
      <x:c r="B30" s="1" t="str">
        <x:v>cmlzrw1vp000204latdth8ikx</x:v>
      </x:c>
      <x:c r="C30" s="1" t="str">
        <x:v>skeleton-args-ca2023002207-ce0aafdf6d7e5716</x:v>
      </x:c>
      <x:c r="D30" s="12" t="n">
        <x:v>46076.954894201386</x:v>
      </x:c>
      <x:c r="E30" s="1" t="str">
        <x:v>yes</x:v>
      </x:c>
      <x:c r="F30" s="14" t="str">
        <x:v>cmlzrzxca000304l2qk1vevzx</x:v>
      </x:c>
      <x:c r="G30" s="14" t="n">
        <x:v>9</x:v>
      </x:c>
      <x:c r="H30" s="14" t="str">
        <x:v>6948a4df-0a45-4ddc-ae3d-8eafee44976a</x:v>
      </x:c>
      <x:c r="I30" s="14" t="str">
        <x:v>Scott v Gavigan [2016] EWCA Civ 544</x:v>
      </x:c>
      <x:c r="J30" s="14" t="str">
        <x:v>England and Wales Court of Appeal (Civil Division)</x:v>
      </x:c>
      <x:c r="K30" s="14" t="n">
        <x:v>2016</x:v>
      </x:c>
      <x:c r="L30" s="15" t="n">
        <x:v>0.6729882</x:v>
      </x:c>
      <x:c r="M30" s="14" t="n">
        <x:v>3</x:v>
      </x:c>
      <x:c r="N30" s="14" t="str">
        <x:v>McKew v Holland &amp; Hannen &amp; Cubitts (Scotland) Ltd | Spencer v Wincanton Holdings Ltd | Bourhill v Young | Lang v LTE | Corr v IBC Vehicles Ltd | Clerk &amp; Lindsell on Torts</x:v>
      </x:c>
    </x:row>
    <x:row r="31">
      <x:c r="A31" s="1" t="str">
        <x:v>cmlzry90i000b04laxzwy3gcm</x:v>
      </x:c>
      <x:c r="B31" s="1" t="str">
        <x:v>cmlzrw1vp000204latdth8ikx</x:v>
      </x:c>
      <x:c r="C31" s="1" t="str">
        <x:v>skeleton-args-ca2023002207-ce0aafdf6d7e5716</x:v>
      </x:c>
      <x:c r="D31" s="12" t="n">
        <x:v>46076.954894201386</x:v>
      </x:c>
      <x:c r="E31" s="1" t="str">
        <x:v>yes</x:v>
      </x:c>
      <x:c r="F31" s="14" t="str">
        <x:v>cmlzrzxca000304l2qk1vevzx</x:v>
      </x:c>
      <x:c r="G31" s="14" t="n">
        <x:v>10</x:v>
      </x:c>
      <x:c r="H31" s="14" t="str">
        <x:v>1ae781af-c482-402d-b18c-8d4c33432b24</x:v>
      </x:c>
      <x:c r="I31" s="14" t="str">
        <x:v>HXA v Surrey County Council; YXA v Wolverhampton City Council (England and Wales Court of Appeal (Civil Division))</x:v>
      </x:c>
      <x:c r="J31" s="14" t="str">
        <x:v>England and Wales Court of Appeal (Civil Division)</x:v>
      </x:c>
      <x:c r="K31" s="14" t="n">
        <x:v>2022</x:v>
      </x:c>
      <x:c r="L31" s="15" t="n">
        <x:v>0.6669026</x:v>
      </x:c>
      <x:c r="M31" s="14" t="n">
        <x:v>2</x:v>
      </x:c>
      <x:c r="N31" s="14" t="str">
        <x:v>N v Poole Borough Council | Poole Borough Council v N/A | Robinson v Chief Constable of West Yorkshire | X (Minors) v Bedfordshire | Barrett v Enfield | D v East Berkshire | Gorringe v Calderdale | Stovin v Wise | Michael v Chief Constable of South Wales Police | Poole | Robinson | X v Bedfordshire | N v Poole | Champion | DFX | Stovin | Hedley Byrne</x:v>
      </x:c>
    </x:row>
    <x:row r="32">
      <x:c r="A32" s="1" t="str">
        <x:v>cmlzy6by600ft04i8cpz0rrjt</x:v>
      </x:c>
      <x:c r="B32" s="1" t="str">
        <x:v>cmlzy4fu700fk04i8kn66k5jp</x:v>
      </x:c>
      <x:c r="C32" s="1" t="str">
        <x:v>skeleton-args-ca2024001234-346b2d683b5c2099</x:v>
      </x:c>
      <x:c r="D32" s="12" t="n">
        <x:v>46077.07589825232</x:v>
      </x:c>
      <x:c r="E32" s="1" t="str">
        <x:v>yes</x:v>
      </x:c>
      <x:c r="F32" s="14" t="str">
        <x:v>cmlzy9ss300fz04i80p2yfbg1</x:v>
      </x:c>
      <x:c r="G32" s="14" t="n">
        <x:v>1</x:v>
      </x:c>
      <x:c r="H32" s="14" t="str">
        <x:v>968e5c88-1f2c-4da8-9290-4111f416ec6e</x:v>
      </x:c>
      <x:c r="I32" s="14" t="str">
        <x:v>Finch On Behalf of the Weald Action Group, R (On the Application Of) v Surrey County Council &amp; Ors [2022] EWCA Civ 187</x:v>
      </x:c>
      <x:c r="J32" s="14" t="str">
        <x:v>England and Wales Court of Appeal (Civil Division)</x:v>
      </x:c>
      <x:c r="K32" s="14" t="n">
        <x:v>2022</x:v>
      </x:c>
      <x:c r="L32" s="15" t="n">
        <x:v>0.73531765</x:v>
      </x:c>
      <x:c r="M32" s="14" t="n">
        <x:v>1</x:v>
      </x:c>
      <x:c r="N32" s="14" t="str">
        <x:v>Abraham | Ecologistas | Gateshead MBC | An Taisce | Frack Free Balcombe | Newsmith Stainless | Plan B Earth | Packham | Rights: Community: Action</x:v>
      </x:c>
    </x:row>
    <x:row r="33">
      <x:c r="A33" s="1" t="str">
        <x:v>cmlzy6by600ft04i8cpz0rrjt</x:v>
      </x:c>
      <x:c r="B33" s="1" t="str">
        <x:v>cmlzy4fu700fk04i8kn66k5jp</x:v>
      </x:c>
      <x:c r="C33" s="1" t="str">
        <x:v>skeleton-args-ca2024001234-346b2d683b5c2099</x:v>
      </x:c>
      <x:c r="D33" s="12" t="n">
        <x:v>46077.07589825232</x:v>
      </x:c>
      <x:c r="E33" s="1" t="str">
        <x:v>yes</x:v>
      </x:c>
      <x:c r="F33" s="14" t="str">
        <x:v>cmlzy9ss300fz04i80p2yfbg1</x:v>
      </x:c>
      <x:c r="G33" s="14" t="n">
        <x:v>2</x:v>
      </x:c>
      <x:c r="H33" s="14" t="str">
        <x:v>1d957476-2c0d-4578-8a43-679ec600e382</x:v>
      </x:c>
      <x:c r="I33" s="14" t="str">
        <x:v>Wyatt v Fareham Borough Council (Rev1) [2022] EWCA Civ 983</x:v>
      </x:c>
      <x:c r="J33" s="14" t="str">
        <x:v>England and Wales Court of Appeal (Civil Division)</x:v>
      </x:c>
      <x:c r="K33" s="14" t="n">
        <x:v>2022</x:v>
      </x:c>
      <x:c r="L33" s="15" t="n">
        <x:v>0.6896279</x:v>
      </x:c>
      <x:c r="M33" s="14" t="n">
        <x:v>1</x:v>
      </x:c>
      <x:c r="N33" s="14" t="str">
        <x:v>Holohan v An Bord Pleanála | Coöperatie Mobilisation for the Environment UA v Limburg | Waddenzee | Sweetman v An Bord Pleanála | People Over Wind | Dutch Nitrogen case</x:v>
      </x:c>
    </x:row>
    <x:row r="34">
      <x:c r="A34" s="1" t="str">
        <x:v>cmlzy6by600ft04i8cpz0rrjt</x:v>
      </x:c>
      <x:c r="B34" s="1" t="str">
        <x:v>cmlzy4fu700fk04i8kn66k5jp</x:v>
      </x:c>
      <x:c r="C34" s="1" t="str">
        <x:v>skeleton-args-ca2024001234-346b2d683b5c2099</x:v>
      </x:c>
      <x:c r="D34" s="12" t="n">
        <x:v>46077.07589825232</x:v>
      </x:c>
      <x:c r="E34" s="1" t="str">
        <x:v>yes</x:v>
      </x:c>
      <x:c r="F34" s="14" t="str">
        <x:v>cmlzy9ss300fz04i80p2yfbg1</x:v>
      </x:c>
      <x:c r="G34" s="14" t="n">
        <x:v>3</x:v>
      </x:c>
      <x:c r="H34" s="14" t="str">
        <x:v>f5a5b44e-fcf0-40c0-9bf9-69f026b1b438</x:v>
      </x:c>
      <x:c r="I34" s="14" t="str">
        <x:v>London Borough of Enfield, R (on the application of) v Secretary of State for Transport &amp; Ors [2016] EWCA Civ 480</x:v>
      </x:c>
      <x:c r="J34" s="14" t="str">
        <x:v>England and Wales Court of Appeal (Civil Division)</x:v>
      </x:c>
      <x:c r="K34" s="14" t="n">
        <x:v>2016</x:v>
      </x:c>
      <x:c r="L34" s="15" t="n">
        <x:v>0.68071216</x:v>
      </x:c>
      <x:c r="M34" s="14" t="n">
        <x:v>1</x:v>
      </x:c>
      <x:c r="N34" s="14" t="str">
        <x:v>R v Devon County Council, ex p Baker [1995] 1 All ER 73 | R v North and East Devon Health Authority ex p Coughlan [2001] QB 213 | Paponette v A-G of Trinidad and Tobago [2010] UKPC 32 | R v Education Sec., ex p Begbie [2000] 1 WLR 1115 | R v USA Tobacco Ltd, ex p [1992] QB 353 | Railways Act 1993 | Public Services (Social Value) Act 2012 | WebTag A5-3 'Rail appraisal'</x:v>
      </x:c>
    </x:row>
    <x:row r="35">
      <x:c r="A35" s="1" t="str">
        <x:v>cmlzy6by600ft04i8cpz0rrjt</x:v>
      </x:c>
      <x:c r="B35" s="1" t="str">
        <x:v>cmlzy4fu700fk04i8kn66k5jp</x:v>
      </x:c>
      <x:c r="C35" s="1" t="str">
        <x:v>skeleton-args-ca2024001234-346b2d683b5c2099</x:v>
      </x:c>
      <x:c r="D35" s="12" t="n">
        <x:v>46077.07589825232</x:v>
      </x:c>
      <x:c r="E35" s="1" t="str">
        <x:v>yes</x:v>
      </x:c>
      <x:c r="F35" s="14" t="str">
        <x:v>cmlzy9ss300fz04i80p2yfbg1</x:v>
      </x:c>
      <x:c r="G35" s="14" t="n">
        <x:v>4</x:v>
      </x:c>
      <x:c r="H35" s="14" t="str">
        <x:v>bab866ef-ca70-446c-a76d-a69bb3f7f15d</x:v>
      </x:c>
      <x:c r="I35" s="14" t="str">
        <x:v>Rotala Plc, R (On the Application Of) v Greater Manchester Combined Authority &amp; Anor [2022] EWCA Civ 1048</x:v>
      </x:c>
      <x:c r="J35" s="14" t="str">
        <x:v>England and Wales Court of Appeal (Civil Division)</x:v>
      </x:c>
      <x:c r="K35" s="14" t="n">
        <x:v>2022</x:v>
      </x:c>
      <x:c r="L35" s="15" t="n">
        <x:v>0.6805716</x:v>
      </x:c>
      <x:c r="M35" s="14" t="n">
        <x:v>3</x:v>
      </x:c>
      <x:c r="N35" s="14" t="str">
        <x:v>Transport Act 2000 | Bus Services Act 2017 | [2022] EWCA Civ 1048 | [2022] WLR(D) 333 | [2022] PTSR 1622 | EWHC 506 (Admin)</x:v>
      </x:c>
    </x:row>
    <x:row r="36">
      <x:c r="A36" s="1" t="str">
        <x:v>cmlzy6by600ft04i8cpz0rrjt</x:v>
      </x:c>
      <x:c r="B36" s="1" t="str">
        <x:v>cmlzy4fu700fk04i8kn66k5jp</x:v>
      </x:c>
      <x:c r="C36" s="1" t="str">
        <x:v>skeleton-args-ca2024001234-346b2d683b5c2099</x:v>
      </x:c>
      <x:c r="D36" s="12" t="n">
        <x:v>46077.07589825232</x:v>
      </x:c>
      <x:c r="E36" s="1" t="str">
        <x:v>yes</x:v>
      </x:c>
      <x:c r="F36" s="14" t="str">
        <x:v>cmlzy9ss300fz04i80p2yfbg1</x:v>
      </x:c>
      <x:c r="G36" s="14" t="n">
        <x:v>5</x:v>
      </x:c>
      <x:c r="H36" s="14" t="str">
        <x:v>774ce56b-3a21-4d9a-be0f-2e4cd8924a73</x:v>
      </x:c>
      <x:c r="I36" s="14" t="str">
        <x:v>Solar Century Holdings Ltd &amp; Ors v Secretary of State for Energy and Climate Change [2016] EWCA Civ 117</x:v>
      </x:c>
      <x:c r="J36" s="14" t="str">
        <x:v>England and Wales Court of Appeal (Civil Division)</x:v>
      </x:c>
      <x:c r="K36" s="14" t="n">
        <x:v>2016</x:v>
      </x:c>
      <x:c r="L36" s="15" t="n">
        <x:v>0.67992246</x:v>
      </x:c>
      <x:c r="M36" s="14" t="n">
        <x:v>2</x:v>
      </x:c>
      <x:c r="N36" s="14" t="str">
        <x:v>Bhatt Murphy v Independent Assessors [2008] EWCA Civ 755 | Secretary of State for Energy &amp; Climate Change v Friends of the Earth [2012] EWCA Civ 28 | EMR White Paper (2011) | Energy Act 2013 | Electricity Act 1989 ss. 32LA/32LB</x:v>
      </x:c>
    </x:row>
    <x:row r="37">
      <x:c r="A37" s="1" t="str">
        <x:v>cmlzy6by600ft04i8cpz0rrjt</x:v>
      </x:c>
      <x:c r="B37" s="1" t="str">
        <x:v>cmlzy4fu700fk04i8kn66k5jp</x:v>
      </x:c>
      <x:c r="C37" s="1" t="str">
        <x:v>skeleton-args-ca2024001234-346b2d683b5c2099</x:v>
      </x:c>
      <x:c r="D37" s="12" t="n">
        <x:v>46077.07589825232</x:v>
      </x:c>
      <x:c r="E37" s="1" t="str">
        <x:v>yes</x:v>
      </x:c>
      <x:c r="F37" s="14" t="str">
        <x:v>cmlzy9ss300fz04i80p2yfbg1</x:v>
      </x:c>
      <x:c r="G37" s="14" t="n">
        <x:v>6</x:v>
      </x:c>
      <x:c r="H37" s="14" t="str">
        <x:v>a86c8039-4dcd-41c2-bbee-f72673a10ba2</x:v>
      </x:c>
      <x:c r="I37" s="14" t="str">
        <x:v>Rotherham Borough Council &amp; Ors v Secretary of State for Business, Innovation And Skills</x:v>
      </x:c>
      <x:c r="J37" s="14" t="str">
        <x:v>England and Wales Court of Appeal (Civil Division)</x:v>
      </x:c>
      <x:c r="K37" s="14" t="n">
        <x:v>2014</x:v>
      </x:c>
      <x:c r="L37" s="15" t="n">
        <x:v>0.6791068</x:v>
      </x:c>
      <x:c r="M37" s="14" t="n">
        <x:v>3</x:v>
      </x:c>
      <x:c r="N37" s="14" t="str">
        <x:v>Bank Mellat v HM Treasury (No 2)</x:v>
      </x:c>
    </x:row>
    <x:row r="38">
      <x:c r="A38" s="1" t="str">
        <x:v>cmlzy6by600ft04i8cpz0rrjt</x:v>
      </x:c>
      <x:c r="B38" s="1" t="str">
        <x:v>cmlzy4fu700fk04i8kn66k5jp</x:v>
      </x:c>
      <x:c r="C38" s="1" t="str">
        <x:v>skeleton-args-ca2024001234-346b2d683b5c2099</x:v>
      </x:c>
      <x:c r="D38" s="12" t="n">
        <x:v>46077.07589825232</x:v>
      </x:c>
      <x:c r="E38" s="1" t="str">
        <x:v>yes</x:v>
      </x:c>
      <x:c r="F38" s="14" t="str">
        <x:v>cmlzy9ss300fz04i80p2yfbg1</x:v>
      </x:c>
      <x:c r="G38" s="14" t="n">
        <x:v>7</x:v>
      </x:c>
      <x:c r="H38" s="14" t="str">
        <x:v>f52b20b0-a55d-4039-a67d-35811badb24b</x:v>
      </x:c>
      <x:c r="I38" s="14" t="str">
        <x:v>Cuciurean v Secretary of State for Transport &amp; Anor [2022] EWCA Civ 1519</x:v>
      </x:c>
      <x:c r="J38" s="14" t="str">
        <x:v>England and Wales Court of Appeal (Civil Division)</x:v>
      </x:c>
      <x:c r="K38" s="14" t="n">
        <x:v>2022</x:v>
      </x:c>
      <x:c r="L38" s="15" t="n">
        <x:v>0.67299545</x:v>
      </x:c>
      <x:c r="M38" s="14" t="n">
        <x:v>2</x:v>
      </x:c>
      <x:c r="N38" s="14" t="str">
        <x:v>Packham v SoS Transport [2020] EWHC 829 (Admin) | [2022] EWHC 736 (Admin) | [2020] EWHC 2614 (Ch) | [2021] EWCA Civ 357 | [2022] EWHC 2457 (KB) | [2022] EWCA Civ 1519</x:v>
      </x:c>
    </x:row>
    <x:row r="39">
      <x:c r="A39" s="1" t="str">
        <x:v>cmlzy6by600ft04i8cpz0rrjt</x:v>
      </x:c>
      <x:c r="B39" s="1" t="str">
        <x:v>cmlzy4fu700fk04i8kn66k5jp</x:v>
      </x:c>
      <x:c r="C39" s="1" t="str">
        <x:v>skeleton-args-ca2024001234-346b2d683b5c2099</x:v>
      </x:c>
      <x:c r="D39" s="12" t="n">
        <x:v>46077.07589825232</x:v>
      </x:c>
      <x:c r="E39" s="1" t="str">
        <x:v>yes</x:v>
      </x:c>
      <x:c r="F39" s="14" t="str">
        <x:v>cmlzy9ss300fz04i80p2yfbg1</x:v>
      </x:c>
      <x:c r="G39" s="14" t="n">
        <x:v>8</x:v>
      </x:c>
      <x:c r="H39" s="14" t="str">
        <x:v>1bbfccbb-15e3-41bb-a970-7167b43b0267</x:v>
      </x:c>
      <x:c r="I39" s="14" t="str">
        <x:v>Northern Gas Networks Ltd v Commissioners for HMRC [2022] EWCA Civ 910</x:v>
      </x:c>
      <x:c r="J39" s="14" t="str">
        <x:v>England and Wales Court of Appeal (Civil Division)</x:v>
      </x:c>
      <x:c r="K39" s="14" t="n">
        <x:v>2022</x:v>
      </x:c>
      <x:c r="L39" s="15" t="n">
        <x:v>0.6714672</x:v>
      </x:c>
      <x:c r="M39" s="14" t="n">
        <x:v>1</x:v>
      </x:c>
      <x:c r="N39" s="14" t="str">
        <x:v>[2021] UKUT 157 (TCC) | [2022] EWCA Civ 910 | [2023] Env LR 6 | [2022] BTC 20 | [2022] STC 1241</x:v>
      </x:c>
    </x:row>
    <x:row r="40">
      <x:c r="A40" s="1" t="str">
        <x:v>cmlzy6by600ft04i8cpz0rrjt</x:v>
      </x:c>
      <x:c r="B40" s="1" t="str">
        <x:v>cmlzy4fu700fk04i8kn66k5jp</x:v>
      </x:c>
      <x:c r="C40" s="1" t="str">
        <x:v>skeleton-args-ca2024001234-346b2d683b5c2099</x:v>
      </x:c>
      <x:c r="D40" s="12" t="n">
        <x:v>46077.07589825232</x:v>
      </x:c>
      <x:c r="E40" s="1" t="str">
        <x:v>yes</x:v>
      </x:c>
      <x:c r="F40" s="14" t="str">
        <x:v>cmlzy9ss300fz04i80p2yfbg1</x:v>
      </x:c>
      <x:c r="G40" s="14" t="n">
        <x:v>9</x:v>
      </x:c>
      <x:c r="H40" s="14" t="str">
        <x:v>4c3b8da7-6c82-4056-ab98-dea339f7af1d</x:v>
      </x:c>
      <x:c r="I40" s="14" t="str">
        <x:v>Ashchurch Rural Parish Council, R (On the Application Of) v Tewkesbury Borough Council [2023] EWCA Civ 101</x:v>
      </x:c>
      <x:c r="J40" s="14" t="str">
        <x:v>England and Wales Court of Appeal (Civil Division)</x:v>
      </x:c>
      <x:c r="K40" s="14" t="n">
        <x:v>2023</x:v>
      </x:c>
      <x:c r="L40" s="15" t="n">
        <x:v>0.6675079</x:v>
      </x:c>
      <x:c r="M40" s="14" t="n">
        <x:v>1</x:v>
      </x:c>
      <x:c r="N40" s="14" t="str">
        <x:v>R (Samuel Smith Old Brewery) v North Yorkshire CC [2020] UKSC 3 | Town and Country Planning (Environmental Impact Assessment) Regulations 2017</x:v>
      </x:c>
    </x:row>
    <x:row r="41">
      <x:c r="A41" s="1" t="str">
        <x:v>cmlzy6by600ft04i8cpz0rrjt</x:v>
      </x:c>
      <x:c r="B41" s="1" t="str">
        <x:v>cmlzy4fu700fk04i8kn66k5jp</x:v>
      </x:c>
      <x:c r="C41" s="1" t="str">
        <x:v>skeleton-args-ca2024001234-346b2d683b5c2099</x:v>
      </x:c>
      <x:c r="D41" s="12" t="n">
        <x:v>46077.07589825232</x:v>
      </x:c>
      <x:c r="E41" s="1" t="str">
        <x:v>yes</x:v>
      </x:c>
      <x:c r="F41" s="14" t="str">
        <x:v>cmlzy9ss300fz04i80p2yfbg1</x:v>
      </x:c>
      <x:c r="G41" s="14" t="n">
        <x:v>10</x:v>
      </x:c>
      <x:c r="H41" s="14" t="str">
        <x:v>f157dc58-8d24-4561-9b20-3df67da80a73</x:v>
      </x:c>
      <x:c r="I41" s="14" t="str">
        <x:v>The Good Law Project, R (On the Application Of) v Minister for the Cabinet Office [2022] EWCA Civ 21</x:v>
      </x:c>
      <x:c r="J41" s="14" t="str">
        <x:v>England and Wales Court of Appeal (Civil Division)</x:v>
      </x:c>
      <x:c r="K41" s="14" t="n">
        <x:v>2022</x:v>
      </x:c>
      <x:c r="L41" s="15" t="n">
        <x:v>0.6634462</x:v>
      </x:c>
      <x:c r="M41" s="14" t="n">
        <x:v>1</x:v>
      </x:c>
      <x:c r="N41" s="14" t="str">
        <x:v>R v Rand (1866) | Porter v. Magill | R (ex p Kirkstall Valley Campaign Ltd) | Locabail (UK) Ltd v Bayfield Properties Ltd | R v Bow Street Magistrate ex p Pinochet Ugarte No.2 | R v Secretary of the Home Department ex parte Fayed | Helow v. Secretary of State for the Home Department | Almazeedi v. Penner and others | Gillies v. Secretary of State for Work and Pensions | R (Lewis) v. Redcar &amp; Cleveland Borough Council | R (Royal Brompton and Harefield NHS Foundation Trust) v Joint Committee of Primary Care Trusts</x:v>
      </x:c>
    </x:row>
    <x:row r="42">
      <x:c r="A42" s="1" t="str">
        <x:v>cmm0b91t5000e04ibf7gf6ujr</x:v>
      </x:c>
      <x:c r="B42" s="1" t="str">
        <x:v>cmm0b5xup000504ibqdrxvam6</x:v>
      </x:c>
      <x:c r="C42" s="1" t="str">
        <x:v>skeleton-args-ca2016009836-d5eefd60a70a11d6</x:v>
      </x:c>
      <x:c r="D42" s="12" t="n">
        <x:v>46077.330086145834</x:v>
      </x:c>
      <x:c r="E42" s="1" t="str">
        <x:v>yes</x:v>
      </x:c>
      <x:c r="F42" s="14" t="str">
        <x:v>cmm0bebet000404jvmcxyqo4x</x:v>
      </x:c>
      <x:c r="G42" s="14" t="n">
        <x:v>1</x:v>
      </x:c>
      <x:c r="H42" s="14" t="str">
        <x:v>e050e594-d197-45f1-ba15-7d110c0d93c4</x:v>
      </x:c>
      <x:c r="I42" s="14" t="str">
        <x:v>Great Lakes Reinsurance (UK) SE v Western Trading Ltd [2016] EWCA Civ 1003 (11 October 2016)</x:v>
      </x:c>
      <x:c r="J42" s="14" t="str">
        <x:v>England and Wales Court of Appeal (Civil Division)</x:v>
      </x:c>
      <x:c r="K42" s="14" t="n">
        <x:v>2016</x:v>
      </x:c>
      <x:c r="L42" s="15" t="n">
        <x:v>0.72396386</x:v>
      </x:c>
      <x:c r="M42" s="14" t="n">
        <x:v>5</x:v>
      </x:c>
      <x:c r="N42" s="14" t="str">
        <x:v>Castellain v Preston | Reynolds v Phoenix Assurance Co Ltd | Leppard v Excess Insurance | Lonsdale &amp; Thompson Ltd v Black Arrow Group | Keystone Properties Ltd v Sun Alliance and London Insurance plc | Pleasurama v Sun Alliance | Tonkin v UK Insurance Ltd | Forbes J Reynolds v Phoenix Assurance Co Ltd | Keystone Properties | Sprung v Royal Insurance (UK) Ltd | McGillivray (insurance drafting authorities)</x:v>
      </x:c>
    </x:row>
    <x:row r="43">
      <x:c r="A43" s="1" t="str">
        <x:v>cmm0b91t5000e04ibf7gf6ujr</x:v>
      </x:c>
      <x:c r="B43" s="1" t="str">
        <x:v>cmm0b5xup000504ibqdrxvam6</x:v>
      </x:c>
      <x:c r="C43" s="1" t="str">
        <x:v>skeleton-args-ca2016009836-d5eefd60a70a11d6</x:v>
      </x:c>
      <x:c r="D43" s="12" t="n">
        <x:v>46077.330086145834</x:v>
      </x:c>
      <x:c r="E43" s="1" t="str">
        <x:v>yes</x:v>
      </x:c>
      <x:c r="F43" s="14" t="str">
        <x:v>cmm0bebet000404jvmcxyqo4x</x:v>
      </x:c>
      <x:c r="G43" s="14" t="n">
        <x:v>2</x:v>
      </x:c>
      <x:c r="H43" s="14" t="str">
        <x:v>d38848d5-b685-4b5f-8093-40563114db3b</x:v>
      </x:c>
      <x:c r="I43" s="14" t="str">
        <x:v>Shipowners' Mutual Protection and Indemnity Association (Luxembourg) v Containerships Denizcilik Nakliyat ve Ticaret A.S. ("Yusuf Cepnioglu") [2016] EWCA Civ 386</x:v>
      </x:c>
      <x:c r="J43" s="14" t="str">
        <x:v>England and Wales Court of Appeal (Civil Division)</x:v>
      </x:c>
      <x:c r="K43" s="14" t="n">
        <x:v>2016</x:v>
      </x:c>
      <x:c r="L43" s="15" t="n">
        <x:v>0.6932454</x:v>
      </x:c>
      <x:c r="M43" s="14" t="n">
        <x:v>1</x:v>
      </x:c>
      <x:c r="N43" s="14" t="str">
        <x:v>Padre Island | Hari Bhum No.1 | Prestige No.2 | The Jay Bola | The Charterers' Mutual | Angelic Grace | Turner v Grovit | Erich Gasser | Front Comor | Akai Pty Ltd v People's Insurance | DVA v Voest Alpine</x:v>
      </x:c>
    </x:row>
    <x:row r="44">
      <x:c r="A44" s="1" t="str">
        <x:v>cmm0b91t5000e04ibf7gf6ujr</x:v>
      </x:c>
      <x:c r="B44" s="1" t="str">
        <x:v>cmm0b5xup000504ibqdrxvam6</x:v>
      </x:c>
      <x:c r="C44" s="1" t="str">
        <x:v>skeleton-args-ca2016009836-d5eefd60a70a11d6</x:v>
      </x:c>
      <x:c r="D44" s="12" t="n">
        <x:v>46077.330086145834</x:v>
      </x:c>
      <x:c r="E44" s="1" t="str">
        <x:v>yes</x:v>
      </x:c>
      <x:c r="F44" s="14" t="str">
        <x:v>cmm0bebet000404jvmcxyqo4x</x:v>
      </x:c>
      <x:c r="G44" s="14" t="n">
        <x:v>3</x:v>
      </x:c>
      <x:c r="H44" s="14" t="str">
        <x:v>3fd15e8c-4fa9-4c85-ad33-49768aa69f0b</x:v>
      </x:c>
      <x:c r="I44" s="14" t="str">
        <x:v>Bate v Aviva Insurance UK Ltd [2014] EWCA Civ 334</x:v>
      </x:c>
      <x:c r="J44" s="14" t="str">
        <x:v>England and Wales Court of Appeal (Civil Division)</x:v>
      </x:c>
      <x:c r="K44" s="14" t="n">
        <x:v>2014</x:v>
      </x:c>
      <x:c r="L44" s="15" t="n">
        <x:v>0.6896033</x:v>
      </x:c>
      <x:c r="M44" s="14" t="n">
        <x:v>5</x:v>
      </x:c>
      <x:c r="N44" s="14" t="str">
        <x:v>s.150 of the Financial Services and Markets Act 2000</x:v>
      </x:c>
    </x:row>
    <x:row r="45">
      <x:c r="A45" s="1" t="str">
        <x:v>cmm0b91t5000e04ibf7gf6ujr</x:v>
      </x:c>
      <x:c r="B45" s="1" t="str">
        <x:v>cmm0b5xup000504ibqdrxvam6</x:v>
      </x:c>
      <x:c r="C45" s="1" t="str">
        <x:v>skeleton-args-ca2016009836-d5eefd60a70a11d6</x:v>
      </x:c>
      <x:c r="D45" s="12" t="n">
        <x:v>46077.330086145834</x:v>
      </x:c>
      <x:c r="E45" s="1" t="str">
        <x:v>yes</x:v>
      </x:c>
      <x:c r="F45" s="14" t="str">
        <x:v>cmm0bebet000404jvmcxyqo4x</x:v>
      </x:c>
      <x:c r="G45" s="14" t="n">
        <x:v>4</x:v>
      </x:c>
      <x:c r="H45" s="14" t="str">
        <x:v>cc794994-d9ff-4e2a-a522-ddb742b52a12</x:v>
      </x:c>
      <x:c r="I45" s="14" t="str">
        <x:v>Quadra Commodities S.A. v XL Insurance Company SE &amp; Ors [2023] EWCA Civ 432 (21 April 2023)</x:v>
      </x:c>
      <x:c r="J45" s="14" t="str">
        <x:v>England and Wales Court of Appeal (Civil Division)</x:v>
      </x:c>
      <x:c r="K45" s="14" t="n">
        <x:v>2023</x:v>
      </x:c>
      <x:c r="L45" s="15" t="n">
        <x:v>0.67706925</x:v>
      </x:c>
      <x:c r="M45" s="14" t="n">
        <x:v>3</x:v>
      </x:c>
      <x:c r="N45" s="14" t="str">
        <x:v>Feasey | Lucena | Anderson | Macaura | Wilson | RBG Resources | Bridge | S.20A Law Commission | Feasey v Sun Life Assurance Corp | Macaura v Northern Assurance | Lucena v Crauford | Anderson v Morice | Wilson v Jones | RBG Resources v Banque Cantonale Vaudoise | Bridge on Sales of Goods</x:v>
      </x:c>
    </x:row>
    <x:row r="46">
      <x:c r="A46" s="1" t="str">
        <x:v>cmm0b91t5000e04ibf7gf6ujr</x:v>
      </x:c>
      <x:c r="B46" s="1" t="str">
        <x:v>cmm0b5xup000504ibqdrxvam6</x:v>
      </x:c>
      <x:c r="C46" s="1" t="str">
        <x:v>skeleton-args-ca2016009836-d5eefd60a70a11d6</x:v>
      </x:c>
      <x:c r="D46" s="12" t="n">
        <x:v>46077.330086145834</x:v>
      </x:c>
      <x:c r="E46" s="1" t="str">
        <x:v>yes</x:v>
      </x:c>
      <x:c r="F46" s="14" t="str">
        <x:v>cmm0bebet000404jvmcxyqo4x</x:v>
      </x:c>
      <x:c r="G46" s="14" t="n">
        <x:v>5</x:v>
      </x:c>
      <x:c r="H46" s="14" t="str">
        <x:v>426ca317-9dae-45bd-99cb-deb7de4b7766</x:v>
      </x:c>
      <x:c r="I46" s="14" t="str">
        <x:v>Versloot Dredging BV &amp; Anor v HDI Gerling Industrie Versicherung AG &amp; Ors</x:v>
      </x:c>
      <x:c r="J46" s="14" t="str">
        <x:v>England and Wales Court of Appeal (Civil Division)</x:v>
      </x:c>
      <x:c r="K46" s="14" t="n">
        <x:v>2014</x:v>
      </x:c>
      <x:c r="L46" s="15" t="n">
        <x:v>0.67543715</x:v>
      </x:c>
      <x:c r="M46" s="14" t="n">
        <x:v>3</x:v>
      </x:c>
      <x:c r="N46" s="14" t="str">
        <x:v>The Aegeon | Agapitos v Agnew</x:v>
      </x:c>
    </x:row>
    <x:row r="47">
      <x:c r="A47" s="1" t="str">
        <x:v>cmm0b91t5000e04ibf7gf6ujr</x:v>
      </x:c>
      <x:c r="B47" s="1" t="str">
        <x:v>cmm0b5xup000504ibqdrxvam6</x:v>
      </x:c>
      <x:c r="C47" s="1" t="str">
        <x:v>skeleton-args-ca2016009836-d5eefd60a70a11d6</x:v>
      </x:c>
      <x:c r="D47" s="12" t="n">
        <x:v>46077.330086145834</x:v>
      </x:c>
      <x:c r="E47" s="1" t="str">
        <x:v>yes</x:v>
      </x:c>
      <x:c r="F47" s="14" t="str">
        <x:v>cmm0bebet000404jvmcxyqo4x</x:v>
      </x:c>
      <x:c r="G47" s="14" t="n">
        <x:v>6</x:v>
      </x:c>
      <x:c r="H47" s="14" t="str">
        <x:v>794e2a8a-41a9-4839-a6c9-7ce1e812f4f1</x:v>
      </x:c>
      <x:c r="I47" s="14" t="str">
        <x:v>Volcafe Ltd &amp; Ors v Compania Sud Americana De Vapores SA (t/a CSAV) [2016] EWCA Civ 1103</x:v>
      </x:c>
      <x:c r="J47" s="14" t="str">
        <x:v>England and Wales Court of Appeal (Civil Division)</x:v>
      </x:c>
      <x:c r="K47" s="14" t="n">
        <x:v>2016</x:v>
      </x:c>
      <x:c r="L47" s="15" t="n">
        <x:v>0.67494655</x:v>
      </x:c>
      <x:c r="M47" s="14" t="n">
        <x:v>1</x:v>
      </x:c>
      <x:c r="N47" s="14" t="str">
        <x:v>Gosse Millard v Canadian Government Merchant Marine [1927] 2 KB 432 | Renton v Palmyra Trading [1957] AC 149 | Albacora SRL v Westcott &amp; Laurence Line Limited [1966] 2 Lloyd’s Rep 53 | The Glendarroch [1894] P 226 | The Flowergate [1967] 1 Lloyd’s Rep 1 | Spurling v Bradshaw [1956] 1 WLR 461 | Pyrene Co. Ltd. v Scindia Navigation [1954] 2 QB 402 | Noten B.V. v Harding [1990] 2 Lloyd’s Rep 283 | Soya G.m.b.H v White [1982] 2 Lloyd’s Rep 136 | Exportadora Valle de Colina S.A. v A.P. Moller-Maersk A/S [2010] EWHC 3224 (Comm) | The Westerdok [1962] 1 Lloyd’s Rep 180 | Shaw Savill &amp; Albion Co Ltd v Powley &amp; Co [1949] NZLR 668</x:v>
      </x:c>
    </x:row>
    <x:row r="48">
      <x:c r="A48" s="1" t="str">
        <x:v>cmm0b91t5000e04ibf7gf6ujr</x:v>
      </x:c>
      <x:c r="B48" s="1" t="str">
        <x:v>cmm0b5xup000504ibqdrxvam6</x:v>
      </x:c>
      <x:c r="C48" s="1" t="str">
        <x:v>skeleton-args-ca2016009836-d5eefd60a70a11d6</x:v>
      </x:c>
      <x:c r="D48" s="12" t="n">
        <x:v>46077.330086145834</x:v>
      </x:c>
      <x:c r="E48" s="1" t="str">
        <x:v>yes</x:v>
      </x:c>
      <x:c r="F48" s="14" t="str">
        <x:v>cmm0bebet000404jvmcxyqo4x</x:v>
      </x:c>
      <x:c r="G48" s="14" t="n">
        <x:v>7</x:v>
      </x:c>
      <x:c r="H48" s="14" t="str">
        <x:v>638613f3-f321-4ccd-8055-aebfec6cec82</x:v>
      </x:c>
      <x:c r="I48" s="14" t="str">
        <x:v>Ted Baker Plc &amp; Anor v Axa Insurance UK Plc &amp; Ors [2014] EWCA Civ 134</x:v>
      </x:c>
      <x:c r="J48" s="14" t="str">
        <x:v>England and Wales Court of Appeal (Civil Division)</x:v>
      </x:c>
      <x:c r="K48" s="14" t="n">
        <x:v>2014</x:v>
      </x:c>
      <x:c r="L48" s="15" t="n">
        <x:v>0.6715544</x:v>
      </x:c>
      <x:c r="M48" s="14" t="n">
        <x:v>5</x:v>
      </x:c>
      <x:c r="N48" s="14" t="str">
        <x:v>Wauton v Coppard [1899] 1 Ch 92</x:v>
      </x:c>
    </x:row>
    <x:row r="49">
      <x:c r="A49" s="1" t="str">
        <x:v>cmm0b91t5000e04ibf7gf6ujr</x:v>
      </x:c>
      <x:c r="B49" s="1" t="str">
        <x:v>cmm0b5xup000504ibqdrxvam6</x:v>
      </x:c>
      <x:c r="C49" s="1" t="str">
        <x:v>skeleton-args-ca2016009836-d5eefd60a70a11d6</x:v>
      </x:c>
      <x:c r="D49" s="12" t="n">
        <x:v>46077.330086145834</x:v>
      </x:c>
      <x:c r="E49" s="1" t="str">
        <x:v>yes</x:v>
      </x:c>
      <x:c r="F49" s="14" t="str">
        <x:v>cmm0bebet000404jvmcxyqo4x</x:v>
      </x:c>
      <x:c r="G49" s="14" t="n">
        <x:v>8</x:v>
      </x:c>
      <x:c r="H49" s="14" t="str">
        <x:v>2f9fd02a-26e6-4859-90a8-5d64d042f0b9</x:v>
      </x:c>
      <x:c r="I49" s="14" t="str">
        <x:v>AIG Europe Ltd v OC320301 LLP &amp; Ors [2016] EWCA Civ 367</x:v>
      </x:c>
      <x:c r="J49" s="14" t="str">
        <x:v>England and Wales Court of Appeal (Civil Division)</x:v>
      </x:c>
      <x:c r="K49" s="14" t="n">
        <x:v>2016</x:v>
      </x:c>
      <x:c r="L49" s="15" t="n">
        <x:v>0.6616733</x:v>
      </x:c>
      <x:c r="M49" s="14" t="n">
        <x:v>2</x:v>
      </x:c>
      <x:c r="N49" s="14" t="str">
        <x:v>Lloyds TSB General Insurance Holdings Ltd v Lloyds Bank Group Insurance Co Ltd [2003] UKHL 48 | AXA Reinsurance (UK) v Field [1996] 3 All ER 517 | Municipal Mutual Insurance Ltd v Sea Insurance Co [1998] Lloyd's Rep IR 421 | Caudle v Sharp [1995] LRLR 433 | Cox v Bankside Members Agency Ltd [1995] 2 Lloyd's Rep 437 | AG v Cohen [1937] 1 KB 478</x:v>
      </x:c>
    </x:row>
    <x:row r="50">
      <x:c r="A50" s="1" t="str">
        <x:v>cmm0b91t5000e04ibf7gf6ujr</x:v>
      </x:c>
      <x:c r="B50" s="1" t="str">
        <x:v>cmm0b5xup000504ibqdrxvam6</x:v>
      </x:c>
      <x:c r="C50" s="1" t="str">
        <x:v>skeleton-args-ca2016009836-d5eefd60a70a11d6</x:v>
      </x:c>
      <x:c r="D50" s="12" t="n">
        <x:v>46077.330086145834</x:v>
      </x:c>
      <x:c r="E50" s="1" t="str">
        <x:v>yes</x:v>
      </x:c>
      <x:c r="F50" s="14" t="str">
        <x:v>cmm0bebet000404jvmcxyqo4x</x:v>
      </x:c>
      <x:c r="G50" s="14" t="n">
        <x:v>9</x:v>
      </x:c>
      <x:c r="H50" s="14" t="str">
        <x:v>de6a53c9-c698-4f10-bef4-cf4544410c0e</x:v>
      </x:c>
      <x:c r="I50" s="14" t="str">
        <x:v>URS Corporation Limited v BDW Trading Limited (Rev1) [2023] EWCA Civ 189</x:v>
      </x:c>
      <x:c r="J50" s="14" t="str">
        <x:v>England and Wales Court of Appeal (Civil Division)</x:v>
      </x:c>
      <x:c r="K50" s="14" t="n">
        <x:v>2023</x:v>
      </x:c>
      <x:c r="L50" s="15" t="n">
        <x:v>0.65996414</x:v>
      </x:c>
      <x:c r="M50" s="14" t="n">
        <x:v>1</x:v>
      </x:c>
      <x:c r="N50" s="14" t="str">
        <x:v>[2022] EWHC 2966 (TCC) | Fraser J</x:v>
      </x:c>
    </x:row>
    <x:row r="51">
      <x:c r="A51" s="1" t="str">
        <x:v>cmm0b91t5000e04ibf7gf6ujr</x:v>
      </x:c>
      <x:c r="B51" s="1" t="str">
        <x:v>cmm0b5xup000504ibqdrxvam6</x:v>
      </x:c>
      <x:c r="C51" s="1" t="str">
        <x:v>skeleton-args-ca2016009836-d5eefd60a70a11d6</x:v>
      </x:c>
      <x:c r="D51" s="12" t="n">
        <x:v>46077.330086145834</x:v>
      </x:c>
      <x:c r="E51" s="1" t="str">
        <x:v>yes</x:v>
      </x:c>
      <x:c r="F51" s="14" t="str">
        <x:v>cmm0bebet000404jvmcxyqo4x</x:v>
      </x:c>
      <x:c r="G51" s="14" t="n">
        <x:v>10</x:v>
      </x:c>
      <x:c r="H51" s="14" t="str">
        <x:v>6e8e988c-074c-4ab1-9e37-5c84673b441b</x:v>
      </x:c>
      <x:c r="I51" s="14" t="str">
        <x:v>Secretary of State for the Home Department v Cox &amp; Ors [2023] EWCA Civ 551 (19 May 2023)</x:v>
      </x:c>
      <x:c r="J51" s="14" t="str">
        <x:v>England and Wales Court of Appeal (Civil Division)</x:v>
      </x:c>
      <x:c r="K51" s="14" t="n">
        <x:v>2023</x:v>
      </x:c>
      <x:c r="L51" s="15" t="n">
        <x:v>0.6594519</x:v>
      </x:c>
      <x:c r="M51" s="14" t="n">
        <x:v>1</x:v>
      </x:c>
      <x:c r="N51" s="14" t="str"/>
    </x:row>
    <x:row r="52">
      <x:c r="A52" s="1" t="str">
        <x:v>cmm0ccsa0000304i3ltgu53bg</x:v>
      </x:c>
      <x:c r="B52" s="1" t="str">
        <x:v>cmm0b5xup000504ibqdrxvam6</x:v>
      </x:c>
      <x:c r="C52" s="1" t="str">
        <x:v>skeleton-args-ca2016009836-d5eefd60a70a11d6</x:v>
      </x:c>
      <x:c r="D52" s="12" t="n">
        <x:v>46077.351542766206</x:v>
      </x:c>
      <x:c r="E52" s="1" t="str">
        <x:v>no</x:v>
      </x:c>
      <x:c r="F52" s="14" t="str"/>
      <x:c r="G52" s="14" t="n">
        <x:v>1</x:v>
      </x:c>
      <x:c r="H52" s="14" t="str">
        <x:v>e050e594-d197-45f1-ba15-7d110c0d93c4</x:v>
      </x:c>
      <x:c r="I52" s="14" t="str">
        <x:v>Great Lakes Reinsurance (UK) SE v Western Trading Ltd [2016] EWCA Civ 1003 (11 October 2016)</x:v>
      </x:c>
      <x:c r="J52" s="14" t="str">
        <x:v>England and Wales Court of Appeal (Civil Division)</x:v>
      </x:c>
      <x:c r="K52" s="14" t="n">
        <x:v>2016</x:v>
      </x:c>
      <x:c r="L52" s="15" t="n">
        <x:v>0.7239361</x:v>
      </x:c>
      <x:c r="M52" s="14" t="n">
        <x:v>5</x:v>
      </x:c>
      <x:c r="N52" s="14" t="str">
        <x:v>Castellain v Preston | Reynolds v Phoenix Assurance Co Ltd | Leppard v Excess Insurance | Lonsdale &amp; Thompson Ltd v Black Arrow Group | Keystone Properties Ltd v Sun Alliance and London Insurance plc | Pleasurama v Sun Alliance | Tonkin v UK Insurance Ltd | Forbes J Reynolds v Phoenix Assurance Co Ltd | Keystone Properties | Sprung v Royal Insurance (UK) Ltd | McGillivray (insurance drafting authorities)</x:v>
      </x:c>
    </x:row>
    <x:row r="53">
      <x:c r="A53" s="1" t="str">
        <x:v>cmm0ccsa0000304i3ltgu53bg</x:v>
      </x:c>
      <x:c r="B53" s="1" t="str">
        <x:v>cmm0b5xup000504ibqdrxvam6</x:v>
      </x:c>
      <x:c r="C53" s="1" t="str">
        <x:v>skeleton-args-ca2016009836-d5eefd60a70a11d6</x:v>
      </x:c>
      <x:c r="D53" s="12" t="n">
        <x:v>46077.351542766206</x:v>
      </x:c>
      <x:c r="E53" s="1" t="str">
        <x:v>no</x:v>
      </x:c>
      <x:c r="F53" s="14" t="str"/>
      <x:c r="G53" s="14" t="n">
        <x:v>2</x:v>
      </x:c>
      <x:c r="H53" s="14" t="str">
        <x:v>d38848d5-b685-4b5f-8093-40563114db3b</x:v>
      </x:c>
      <x:c r="I53" s="14" t="str">
        <x:v>Shipowners' Mutual Protection and Indemnity Association (Luxembourg) v Containerships Denizcilik Nakliyat ve Ticaret A.S. ("Yusuf Cepnioglu") [2016] EWCA Civ 386</x:v>
      </x:c>
      <x:c r="J53" s="14" t="str">
        <x:v>England and Wales Court of Appeal (Civil Division)</x:v>
      </x:c>
      <x:c r="K53" s="14" t="n">
        <x:v>2016</x:v>
      </x:c>
      <x:c r="L53" s="15" t="n">
        <x:v>0.6932597</x:v>
      </x:c>
      <x:c r="M53" s="14" t="n">
        <x:v>1</x:v>
      </x:c>
      <x:c r="N53" s="14" t="str">
        <x:v>Padre Island | Hari Bhum No.1 | Prestige No.2 | The Jay Bola | The Charterers' Mutual | Angelic Grace | Turner v Grovit | Erich Gasser | Front Comor | Akai Pty Ltd v People's Insurance | DVA v Voest Alpine</x:v>
      </x:c>
    </x:row>
    <x:row r="54">
      <x:c r="A54" s="1" t="str">
        <x:v>cmm0ccsa0000304i3ltgu53bg</x:v>
      </x:c>
      <x:c r="B54" s="1" t="str">
        <x:v>cmm0b5xup000504ibqdrxvam6</x:v>
      </x:c>
      <x:c r="C54" s="1" t="str">
        <x:v>skeleton-args-ca2016009836-d5eefd60a70a11d6</x:v>
      </x:c>
      <x:c r="D54" s="12" t="n">
        <x:v>46077.351542766206</x:v>
      </x:c>
      <x:c r="E54" s="1" t="str">
        <x:v>no</x:v>
      </x:c>
      <x:c r="F54" s="14" t="str"/>
      <x:c r="G54" s="14" t="n">
        <x:v>3</x:v>
      </x:c>
      <x:c r="H54" s="14" t="str">
        <x:v>3fd15e8c-4fa9-4c85-ad33-49768aa69f0b</x:v>
      </x:c>
      <x:c r="I54" s="14" t="str">
        <x:v>Bate v Aviva Insurance UK Ltd [2014] EWCA Civ 334</x:v>
      </x:c>
      <x:c r="J54" s="14" t="str">
        <x:v>England and Wales Court of Appeal (Civil Division)</x:v>
      </x:c>
      <x:c r="K54" s="14" t="n">
        <x:v>2014</x:v>
      </x:c>
      <x:c r="L54" s="15" t="n">
        <x:v>0.6895237</x:v>
      </x:c>
      <x:c r="M54" s="14" t="n">
        <x:v>5</x:v>
      </x:c>
      <x:c r="N54" s="14" t="str">
        <x:v>s.150 of the Financial Services and Markets Act 2000</x:v>
      </x:c>
    </x:row>
    <x:row r="55">
      <x:c r="A55" s="1" t="str">
        <x:v>cmm0ccsa0000304i3ltgu53bg</x:v>
      </x:c>
      <x:c r="B55" s="1" t="str">
        <x:v>cmm0b5xup000504ibqdrxvam6</x:v>
      </x:c>
      <x:c r="C55" s="1" t="str">
        <x:v>skeleton-args-ca2016009836-d5eefd60a70a11d6</x:v>
      </x:c>
      <x:c r="D55" s="12" t="n">
        <x:v>46077.351542766206</x:v>
      </x:c>
      <x:c r="E55" s="1" t="str">
        <x:v>no</x:v>
      </x:c>
      <x:c r="F55" s="14" t="str"/>
      <x:c r="G55" s="14" t="n">
        <x:v>4</x:v>
      </x:c>
      <x:c r="H55" s="14" t="str">
        <x:v>cc794994-d9ff-4e2a-a522-ddb742b52a12</x:v>
      </x:c>
      <x:c r="I55" s="14" t="str">
        <x:v>Quadra Commodities S.A. v XL Insurance Company SE &amp; Ors [2023] EWCA Civ 432 (21 April 2023)</x:v>
      </x:c>
      <x:c r="J55" s="14" t="str">
        <x:v>England and Wales Court of Appeal (Civil Division)</x:v>
      </x:c>
      <x:c r="K55" s="14" t="n">
        <x:v>2023</x:v>
      </x:c>
      <x:c r="L55" s="15" t="n">
        <x:v>0.6770604</x:v>
      </x:c>
      <x:c r="M55" s="14" t="n">
        <x:v>3</x:v>
      </x:c>
      <x:c r="N55" s="14" t="str">
        <x:v>Feasey | Lucena | Anderson | Macaura | Wilson | RBG Resources | Bridge | S.20A Law Commission | Feasey v Sun Life Assurance Corp | Macaura v Northern Assurance | Lucena v Crauford | Anderson v Morice | Wilson v Jones | RBG Resources v Banque Cantonale Vaudoise | Bridge on Sales of Goods</x:v>
      </x:c>
    </x:row>
    <x:row r="56">
      <x:c r="A56" s="1" t="str">
        <x:v>cmm0ccsa0000304i3ltgu53bg</x:v>
      </x:c>
      <x:c r="B56" s="1" t="str">
        <x:v>cmm0b5xup000504ibqdrxvam6</x:v>
      </x:c>
      <x:c r="C56" s="1" t="str">
        <x:v>skeleton-args-ca2016009836-d5eefd60a70a11d6</x:v>
      </x:c>
      <x:c r="D56" s="12" t="n">
        <x:v>46077.351542766206</x:v>
      </x:c>
      <x:c r="E56" s="1" t="str">
        <x:v>no</x:v>
      </x:c>
      <x:c r="F56" s="14" t="str"/>
      <x:c r="G56" s="14" t="n">
        <x:v>5</x:v>
      </x:c>
      <x:c r="H56" s="14" t="str">
        <x:v>426ca317-9dae-45bd-99cb-deb7de4b7766</x:v>
      </x:c>
      <x:c r="I56" s="14" t="str">
        <x:v>Versloot Dredging BV &amp; Anor v HDI Gerling Industrie Versicherung AG &amp; Ors</x:v>
      </x:c>
      <x:c r="J56" s="14" t="str">
        <x:v>England and Wales Court of Appeal (Civil Division)</x:v>
      </x:c>
      <x:c r="K56" s="14" t="n">
        <x:v>2014</x:v>
      </x:c>
      <x:c r="L56" s="15" t="n">
        <x:v>0.6757828</x:v>
      </x:c>
      <x:c r="M56" s="14" t="n">
        <x:v>3</x:v>
      </x:c>
      <x:c r="N56" s="14" t="str">
        <x:v>The Aegeon | Agapitos v Agnew</x:v>
      </x:c>
    </x:row>
    <x:row r="57">
      <x:c r="A57" s="1" t="str">
        <x:v>cmm0ccsa0000304i3ltgu53bg</x:v>
      </x:c>
      <x:c r="B57" s="1" t="str">
        <x:v>cmm0b5xup000504ibqdrxvam6</x:v>
      </x:c>
      <x:c r="C57" s="1" t="str">
        <x:v>skeleton-args-ca2016009836-d5eefd60a70a11d6</x:v>
      </x:c>
      <x:c r="D57" s="12" t="n">
        <x:v>46077.351542766206</x:v>
      </x:c>
      <x:c r="E57" s="1" t="str">
        <x:v>no</x:v>
      </x:c>
      <x:c r="F57" s="14" t="str"/>
      <x:c r="G57" s="14" t="n">
        <x:v>6</x:v>
      </x:c>
      <x:c r="H57" s="14" t="str">
        <x:v>794e2a8a-41a9-4839-a6c9-7ce1e812f4f1</x:v>
      </x:c>
      <x:c r="I57" s="14" t="str">
        <x:v>Volcafe Ltd &amp; Ors v Compania Sud Americana De Vapores SA (t/a CSAV) [2016] EWCA Civ 1103</x:v>
      </x:c>
      <x:c r="J57" s="14" t="str">
        <x:v>England and Wales Court of Appeal (Civil Division)</x:v>
      </x:c>
      <x:c r="K57" s="14" t="n">
        <x:v>2016</x:v>
      </x:c>
      <x:c r="L57" s="15" t="n">
        <x:v>0.6749767</x:v>
      </x:c>
      <x:c r="M57" s="14" t="n">
        <x:v>1</x:v>
      </x:c>
      <x:c r="N57" s="14" t="str">
        <x:v>Gosse Millard v Canadian Government Merchant Marine [1927] 2 KB 432 | Renton v Palmyra Trading [1957] AC 149 | Albacora SRL v Westcott &amp; Laurence Line Limited [1966] 2 Lloyd’s Rep 53 | The Glendarroch [1894] P 226 | The Flowergate [1967] 1 Lloyd’s Rep 1 | Spurling v Bradshaw [1956] 1 WLR 461 | Pyrene Co. Ltd. v Scindia Navigation [1954] 2 QB 402 | Noten B.V. v Harding [1990] 2 Lloyd’s Rep 283 | Soya G.m.b.H v White [1982] 2 Lloyd’s Rep 136 | Exportadora Valle de Colina S.A. v A.P. Moller-Maersk A/S [2010] EWHC 3224 (Comm) | The Westerdok [1962] 1 Lloyd’s Rep 180 | Shaw Savill &amp; Albion Co Ltd v Powley &amp; Co [1949] NZLR 668</x:v>
      </x:c>
    </x:row>
    <x:row r="58">
      <x:c r="A58" s="1" t="str">
        <x:v>cmm0ccsa0000304i3ltgu53bg</x:v>
      </x:c>
      <x:c r="B58" s="1" t="str">
        <x:v>cmm0b5xup000504ibqdrxvam6</x:v>
      </x:c>
      <x:c r="C58" s="1" t="str">
        <x:v>skeleton-args-ca2016009836-d5eefd60a70a11d6</x:v>
      </x:c>
      <x:c r="D58" s="12" t="n">
        <x:v>46077.351542766206</x:v>
      </x:c>
      <x:c r="E58" s="1" t="str">
        <x:v>no</x:v>
      </x:c>
      <x:c r="F58" s="14" t="str"/>
      <x:c r="G58" s="14" t="n">
        <x:v>7</x:v>
      </x:c>
      <x:c r="H58" s="14" t="str">
        <x:v>638613f3-f321-4ccd-8055-aebfec6cec82</x:v>
      </x:c>
      <x:c r="I58" s="14" t="str">
        <x:v>Ted Baker Plc &amp; Anor v Axa Insurance UK Plc &amp; Ors [2014] EWCA Civ 134</x:v>
      </x:c>
      <x:c r="J58" s="14" t="str">
        <x:v>England and Wales Court of Appeal (Civil Division)</x:v>
      </x:c>
      <x:c r="K58" s="14" t="n">
        <x:v>2014</x:v>
      </x:c>
      <x:c r="L58" s="15" t="n">
        <x:v>0.6713258</x:v>
      </x:c>
      <x:c r="M58" s="14" t="n">
        <x:v>4</x:v>
      </x:c>
      <x:c r="N58" s="14" t="str">
        <x:v>Wauton v Coppard [1899] 1 Ch 92</x:v>
      </x:c>
    </x:row>
    <x:row r="59">
      <x:c r="A59" s="1" t="str">
        <x:v>cmm0ccsa0000304i3ltgu53bg</x:v>
      </x:c>
      <x:c r="B59" s="1" t="str">
        <x:v>cmm0b5xup000504ibqdrxvam6</x:v>
      </x:c>
      <x:c r="C59" s="1" t="str">
        <x:v>skeleton-args-ca2016009836-d5eefd60a70a11d6</x:v>
      </x:c>
      <x:c r="D59" s="12" t="n">
        <x:v>46077.351542766206</x:v>
      </x:c>
      <x:c r="E59" s="1" t="str">
        <x:v>no</x:v>
      </x:c>
      <x:c r="F59" s="14" t="str"/>
      <x:c r="G59" s="14" t="n">
        <x:v>8</x:v>
      </x:c>
      <x:c r="H59" s="14" t="str">
        <x:v>2f9fd02a-26e6-4859-90a8-5d64d042f0b9</x:v>
      </x:c>
      <x:c r="I59" s="14" t="str">
        <x:v>AIG Europe Ltd v OC320301 LLP &amp; Ors [2016] EWCA Civ 367</x:v>
      </x:c>
      <x:c r="J59" s="14" t="str">
        <x:v>England and Wales Court of Appeal (Civil Division)</x:v>
      </x:c>
      <x:c r="K59" s="14" t="n">
        <x:v>2016</x:v>
      </x:c>
      <x:c r="L59" s="15" t="n">
        <x:v>0.66150427</x:v>
      </x:c>
      <x:c r="M59" s="14" t="n">
        <x:v>2</x:v>
      </x:c>
      <x:c r="N59" s="14" t="str">
        <x:v>Lloyds TSB General Insurance Holdings Ltd v Lloyds Bank Group Insurance Co Ltd [2003] UKHL 48 | AXA Reinsurance (UK) v Field [1996] 3 All ER 517 | Municipal Mutual Insurance Ltd v Sea Insurance Co [1998] Lloyd's Rep IR 421 | Caudle v Sharp [1995] LRLR 433 | Cox v Bankside Members Agency Ltd [1995] 2 Lloyd's Rep 437 | AG v Cohen [1937] 1 KB 478</x:v>
      </x:c>
    </x:row>
    <x:row r="60">
      <x:c r="A60" s="1" t="str">
        <x:v>cmm0ccsa0000304i3ltgu53bg</x:v>
      </x:c>
      <x:c r="B60" s="1" t="str">
        <x:v>cmm0b5xup000504ibqdrxvam6</x:v>
      </x:c>
      <x:c r="C60" s="1" t="str">
        <x:v>skeleton-args-ca2016009836-d5eefd60a70a11d6</x:v>
      </x:c>
      <x:c r="D60" s="12" t="n">
        <x:v>46077.351542766206</x:v>
      </x:c>
      <x:c r="E60" s="1" t="str">
        <x:v>no</x:v>
      </x:c>
      <x:c r="F60" s="14" t="str"/>
      <x:c r="G60" s="14" t="n">
        <x:v>9</x:v>
      </x:c>
      <x:c r="H60" s="14" t="str">
        <x:v>de6a53c9-c698-4f10-bef4-cf4544410c0e</x:v>
      </x:c>
      <x:c r="I60" s="14" t="str">
        <x:v>URS Corporation Limited v BDW Trading Limited (Rev1) [2023] EWCA Civ 189</x:v>
      </x:c>
      <x:c r="J60" s="14" t="str">
        <x:v>England and Wales Court of Appeal (Civil Division)</x:v>
      </x:c>
      <x:c r="K60" s="14" t="n">
        <x:v>2023</x:v>
      </x:c>
      <x:c r="L60" s="15" t="n">
        <x:v>0.65996414</x:v>
      </x:c>
      <x:c r="M60" s="14" t="n">
        <x:v>1</x:v>
      </x:c>
      <x:c r="N60" s="14" t="str">
        <x:v>[2022] EWHC 2966 (TCC) | Fraser J</x:v>
      </x:c>
    </x:row>
    <x:row r="61">
      <x:c r="A61" s="1" t="str">
        <x:v>cmm0ccsa0000304i3ltgu53bg</x:v>
      </x:c>
      <x:c r="B61" s="1" t="str">
        <x:v>cmm0b5xup000504ibqdrxvam6</x:v>
      </x:c>
      <x:c r="C61" s="1" t="str">
        <x:v>skeleton-args-ca2016009836-d5eefd60a70a11d6</x:v>
      </x:c>
      <x:c r="D61" s="12" t="n">
        <x:v>46077.351542766206</x:v>
      </x:c>
      <x:c r="E61" s="1" t="str">
        <x:v>no</x:v>
      </x:c>
      <x:c r="F61" s="14" t="str"/>
      <x:c r="G61" s="14" t="n">
        <x:v>10</x:v>
      </x:c>
      <x:c r="H61" s="14" t="str">
        <x:v>6e8e988c-074c-4ab1-9e37-5c84673b441b</x:v>
      </x:c>
      <x:c r="I61" s="14" t="str">
        <x:v>Secretary of State for the Home Department v Cox &amp; Ors [2023] EWCA Civ 551 (19 May 2023)</x:v>
      </x:c>
      <x:c r="J61" s="14" t="str">
        <x:v>England and Wales Court of Appeal (Civil Division)</x:v>
      </x:c>
      <x:c r="K61" s="14" t="n">
        <x:v>2023</x:v>
      </x:c>
      <x:c r="L61" s="15" t="n">
        <x:v>0.6594519</x:v>
      </x:c>
      <x:c r="M61" s="14" t="n">
        <x:v>1</x:v>
      </x:c>
      <x:c r="N61" s="14" t="str"/>
    </x:row>
    <x:row r="62">
      <x:c r="A62" s="1" t="str">
        <x:v>cmm0chfxl000h04i3rjelidyy</x:v>
      </x:c>
      <x:c r="B62" s="1" t="str">
        <x:v>cmlzojkzd000204l5u8akkk6q</x:v>
      </x:c>
      <x:c r="C62" s="1" t="str">
        <x:v>skeleton-args-ca2018006090-aa90566cb5f6b5de</x:v>
      </x:c>
      <x:c r="D62" s="12" t="n">
        <x:v>46077.354058032404</x:v>
      </x:c>
      <x:c r="E62" s="1" t="str">
        <x:v>no</x:v>
      </x:c>
      <x:c r="F62" s="14" t="str"/>
      <x:c r="G62" s="14" t="n">
        <x:v>1</x:v>
      </x:c>
      <x:c r="H62" s="14" t="str">
        <x:v>4f894b7c-50f6-46f4-b08a-7d5f549411bb</x:v>
      </x:c>
      <x:c r="I62" s="14" t="str">
        <x:v>Creggy v Barnett &amp; Anor [2016] EWCA Civ 1004 (Court of Appeal (Civil Division))</x:v>
      </x:c>
      <x:c r="J62" s="14" t="str">
        <x:v>England and Wales Court of Appeal (Civil Division)</x:v>
      </x:c>
      <x:c r="K62" s="14" t="n">
        <x:v>2016</x:v>
      </x:c>
      <x:c r="L62" s="15" t="n">
        <x:v>0.6911789</x:v>
      </x:c>
      <x:c r="M62" s="14" t="n">
        <x:v>3</x:v>
      </x:c>
      <x:c r="N62" s="14" t="str">
        <x:v>Target Holdings v Redferns | Re Somerset | Lagos v Grunwaldt | Phillips &amp; Co v Bath Housing Co-operative Ltd | Edwards v Lowndes | Nocton v Lord Ashburton | Pardoe v Price</x:v>
      </x:c>
    </x:row>
    <x:row r="63">
      <x:c r="A63" s="1" t="str">
        <x:v>cmm0chfxl000h04i3rjelidyy</x:v>
      </x:c>
      <x:c r="B63" s="1" t="str">
        <x:v>cmlzojkzd000204l5u8akkk6q</x:v>
      </x:c>
      <x:c r="C63" s="1" t="str">
        <x:v>skeleton-args-ca2018006090-aa90566cb5f6b5de</x:v>
      </x:c>
      <x:c r="D63" s="12" t="n">
        <x:v>46077.354058032404</x:v>
      </x:c>
      <x:c r="E63" s="1" t="str">
        <x:v>no</x:v>
      </x:c>
      <x:c r="F63" s="14" t="str"/>
      <x:c r="G63" s="14" t="n">
        <x:v>2</x:v>
      </x:c>
      <x:c r="H63" s="14" t="str">
        <x:v>63f1ceea-1ae6-4e29-9f3b-c354ab3fba11</x:v>
      </x:c>
      <x:c r="I63" s="14" t="str">
        <x:v>Burnden Holdings (UK) Limited (in Liquidation) v Fielding &amp; Anor [2016] EWCA Civ 557</x:v>
      </x:c>
      <x:c r="J63" s="14" t="str">
        <x:v>England and Wales Court of Appeal (Civil Division)</x:v>
      </x:c>
      <x:c r="K63" s="14" t="n">
        <x:v>2016</x:v>
      </x:c>
      <x:c r="L63" s="15" t="n">
        <x:v>0.6811793</x:v>
      </x:c>
      <x:c r="M63" s="14" t="n">
        <x:v>3</x:v>
      </x:c>
      <x:c r="N63" s="14" t="str">
        <x:v>In re Pantone 485 Ltd | Jetivia v Bilta (UK) Ltd | JD Weatherspoon Plc v Van de Berg &amp; Co Ltd | Cave v Robinson Jarvis &amp; Rolf | Miller v Bain | Jetivia v Bilta | In re Pantone 485 Ltd, Miller v Bain | Jetivia SA v Bilta (UK) Ltd</x:v>
      </x:c>
    </x:row>
    <x:row r="64">
      <x:c r="A64" s="1" t="str">
        <x:v>cmm0chfxl000h04i3rjelidyy</x:v>
      </x:c>
      <x:c r="B64" s="1" t="str">
        <x:v>cmlzojkzd000204l5u8akkk6q</x:v>
      </x:c>
      <x:c r="C64" s="1" t="str">
        <x:v>skeleton-args-ca2018006090-aa90566cb5f6b5de</x:v>
      </x:c>
      <x:c r="D64" s="12" t="n">
        <x:v>46077.354058032404</x:v>
      </x:c>
      <x:c r="E64" s="1" t="str">
        <x:v>no</x:v>
      </x:c>
      <x:c r="F64" s="14" t="str"/>
      <x:c r="G64" s="14" t="n">
        <x:v>3</x:v>
      </x:c>
      <x:c r="H64" s="14" t="str">
        <x:v>5d67e6bf-5a94-4298-82ae-1f13fea951bc</x:v>
      </x:c>
      <x:c r="I64" s="14" t="str">
        <x:v>Braintree District Council v Secretary of State for the Home Department &amp; Anor [2023] EWCA Civ 727 (23 June 2023)</x:v>
      </x:c>
      <x:c r="J64" s="14" t="str">
        <x:v>England and Wales Court of Appeal (Civil Division)</x:v>
      </x:c>
      <x:c r="K64" s="14" t="n">
        <x:v>2023</x:v>
      </x:c>
      <x:c r="L64" s="15" t="n">
        <x:v>0.6777055</x:v>
      </x:c>
      <x:c r="M64" s="14" t="n">
        <x:v>1</x:v>
      </x:c>
      <x:c r="N64" s="14" t="str"/>
    </x:row>
    <x:row r="65">
      <x:c r="A65" s="1" t="str">
        <x:v>cmm0chfxl000h04i3rjelidyy</x:v>
      </x:c>
      <x:c r="B65" s="1" t="str">
        <x:v>cmlzojkzd000204l5u8akkk6q</x:v>
      </x:c>
      <x:c r="C65" s="1" t="str">
        <x:v>skeleton-args-ca2018006090-aa90566cb5f6b5de</x:v>
      </x:c>
      <x:c r="D65" s="12" t="n">
        <x:v>46077.354058032404</x:v>
      </x:c>
      <x:c r="E65" s="1" t="str">
        <x:v>no</x:v>
      </x:c>
      <x:c r="F65" s="14" t="str"/>
      <x:c r="G65" s="14" t="n">
        <x:v>4</x:v>
      </x:c>
      <x:c r="H65" s="14" t="str">
        <x:v>a62a842c-af59-45c4-be74-800b0be5e691</x:v>
      </x:c>
      <x:c r="I65" s="14" t="str">
        <x:v>Hassam &amp; Anor v Rabot &amp; Anor; Briggs v Laditan [2023] EWCA Civ 19</x:v>
      </x:c>
      <x:c r="J65" s="14" t="str">
        <x:v>England and Wales Court of Appeal (Civil Division)</x:v>
      </x:c>
      <x:c r="K65" s="14" t="n">
        <x:v>2023</x:v>
      </x:c>
      <x:c r="L65" s="15" t="n">
        <x:v>0.67724633</x:v>
      </x:c>
      <x:c r="M65" s="14" t="n">
        <x:v>1</x:v>
      </x:c>
      <x:c r="N65" s="14" t="str"/>
    </x:row>
    <x:row r="66">
      <x:c r="A66" s="1" t="str">
        <x:v>cmm0chfxl000h04i3rjelidyy</x:v>
      </x:c>
      <x:c r="B66" s="1" t="str">
        <x:v>cmlzojkzd000204l5u8akkk6q</x:v>
      </x:c>
      <x:c r="C66" s="1" t="str">
        <x:v>skeleton-args-ca2018006090-aa90566cb5f6b5de</x:v>
      </x:c>
      <x:c r="D66" s="12" t="n">
        <x:v>46077.354058032404</x:v>
      </x:c>
      <x:c r="E66" s="1" t="str">
        <x:v>no</x:v>
      </x:c>
      <x:c r="F66" s="14" t="str"/>
      <x:c r="G66" s="14" t="n">
        <x:v>5</x:v>
      </x:c>
      <x:c r="H66" s="14" t="str">
        <x:v>af98350e-e553-4a58-8a45-9d7b2067b530</x:v>
      </x:c>
      <x:c r="I66" s="14" t="str">
        <x:v>Santander UK Plc v R.A. Legal Solicitors [2014] EWCA Civ 183</x:v>
      </x:c>
      <x:c r="J66" s="14" t="str">
        <x:v>England and Wales Court of Appeal (Civil Division)</x:v>
      </x:c>
      <x:c r="K66" s="14" t="n">
        <x:v>2014</x:v>
      </x:c>
      <x:c r="L66" s="15" t="n">
        <x:v>0.6768863</x:v>
      </x:c>
      <x:c r="M66" s="14" t="n">
        <x:v>1</x:v>
      </x:c>
      <x:c r="N66" s="14" t="str"/>
    </x:row>
    <x:row r="67">
      <x:c r="A67" s="1" t="str">
        <x:v>cmm0chfxl000h04i3rjelidyy</x:v>
      </x:c>
      <x:c r="B67" s="1" t="str">
        <x:v>cmlzojkzd000204l5u8akkk6q</x:v>
      </x:c>
      <x:c r="C67" s="1" t="str">
        <x:v>skeleton-args-ca2018006090-aa90566cb5f6b5de</x:v>
      </x:c>
      <x:c r="D67" s="12" t="n">
        <x:v>46077.354058032404</x:v>
      </x:c>
      <x:c r="E67" s="1" t="str">
        <x:v>no</x:v>
      </x:c>
      <x:c r="F67" s="14" t="str"/>
      <x:c r="G67" s="14" t="n">
        <x:v>6</x:v>
      </x:c>
      <x:c r="H67" s="14" t="str">
        <x:v>0f564d6f-98e5-402b-abc8-a39f1fa33427</x:v>
      </x:c>
      <x:c r="I67" s="14" t="str">
        <x:v>Cotton &amp; Anor v Brudenell-Bruce, Earl of Cardigan &amp; Ors [2014] EWCA Civ 1312</x:v>
      </x:c>
      <x:c r="J67" s="14" t="str">
        <x:v>England and Wales Court of Appeal (Civil Division)</x:v>
      </x:c>
      <x:c r="K67" s="14" t="n">
        <x:v>2014</x:v>
      </x:c>
      <x:c r="L67" s="15" t="n">
        <x:v>0.67677546</x:v>
      </x:c>
      <x:c r="M67" s="14" t="n">
        <x:v>2</x:v>
      </x:c>
      <x:c r="N67" s="14" t="str"/>
    </x:row>
    <x:row r="68">
      <x:c r="A68" s="1" t="str">
        <x:v>cmm0chfxl000h04i3rjelidyy</x:v>
      </x:c>
      <x:c r="B68" s="1" t="str">
        <x:v>cmlzojkzd000204l5u8akkk6q</x:v>
      </x:c>
      <x:c r="C68" s="1" t="str">
        <x:v>skeleton-args-ca2018006090-aa90566cb5f6b5de</x:v>
      </x:c>
      <x:c r="D68" s="12" t="n">
        <x:v>46077.354058032404</x:v>
      </x:c>
      <x:c r="E68" s="1" t="str">
        <x:v>no</x:v>
      </x:c>
      <x:c r="F68" s="14" t="str"/>
      <x:c r="G68" s="14" t="n">
        <x:v>7</x:v>
      </x:c>
      <x:c r="H68" s="14" t="str">
        <x:v>cbf9a2bb-7b6f-41be-ba0f-1a84a1e459e6</x:v>
      </x:c>
      <x:c r="I68" s="14" t="str">
        <x:v>Gangat v Jassat &amp; Anor [2022] EWCA Civ 604</x:v>
      </x:c>
      <x:c r="J68" s="14" t="str">
        <x:v>England and Wales Court of Appeal (Civil Division)</x:v>
      </x:c>
      <x:c r="K68" s="14" t="n">
        <x:v>2022</x:v>
      </x:c>
      <x:c r="L68" s="15" t="n">
        <x:v>0.6758057</x:v>
      </x:c>
      <x:c r="M68" s="14" t="n">
        <x:v>1</x:v>
      </x:c>
      <x:c r="N68" s="14" t="str">
        <x:v>[2022] EWCA Civ 604 | [2021] EWHC 2644 (Ch)</x:v>
      </x:c>
    </x:row>
    <x:row r="69">
      <x:c r="A69" s="1" t="str">
        <x:v>cmm0chfxl000h04i3rjelidyy</x:v>
      </x:c>
      <x:c r="B69" s="1" t="str">
        <x:v>cmlzojkzd000204l5u8akkk6q</x:v>
      </x:c>
      <x:c r="C69" s="1" t="str">
        <x:v>skeleton-args-ca2018006090-aa90566cb5f6b5de</x:v>
      </x:c>
      <x:c r="D69" s="12" t="n">
        <x:v>46077.354058032404</x:v>
      </x:c>
      <x:c r="E69" s="1" t="str">
        <x:v>no</x:v>
      </x:c>
      <x:c r="F69" s="14" t="str"/>
      <x:c r="G69" s="14" t="n">
        <x:v>8</x:v>
      </x:c>
      <x:c r="H69" s="14" t="str">
        <x:v>7d4b37f2-bfb0-4f96-a5c0-d63cd27e8dc3</x:v>
      </x:c>
      <x:c r="I69" s="14" t="str">
        <x:v>Davies v Ford &amp; Ors [2023] EWCA Civ 167</x:v>
      </x:c>
      <x:c r="J69" s="14" t="str">
        <x:v>England and Wales Court of Appeal (Civil Division)</x:v>
      </x:c>
      <x:c r="K69" s="14" t="n">
        <x:v>2023</x:v>
      </x:c>
      <x:c r="L69" s="15" t="n">
        <x:v>0.6754294</x:v>
      </x:c>
      <x:c r="M69" s="14" t="n">
        <x:v>1</x:v>
      </x:c>
      <x:c r="N69" s="14" t="str">
        <x:v>[2020] EWHC 686 (Ch) | [2021] EWHC 2550 (Ch) | [2023] EWCA Civ 167</x:v>
      </x:c>
    </x:row>
    <x:row r="70">
      <x:c r="A70" s="1" t="str">
        <x:v>cmm0chfxl000h04i3rjelidyy</x:v>
      </x:c>
      <x:c r="B70" s="1" t="str">
        <x:v>cmlzojkzd000204l5u8akkk6q</x:v>
      </x:c>
      <x:c r="C70" s="1" t="str">
        <x:v>skeleton-args-ca2018006090-aa90566cb5f6b5de</x:v>
      </x:c>
      <x:c r="D70" s="12" t="n">
        <x:v>46077.354058032404</x:v>
      </x:c>
      <x:c r="E70" s="1" t="str">
        <x:v>no</x:v>
      </x:c>
      <x:c r="F70" s="14" t="str"/>
      <x:c r="G70" s="14" t="n">
        <x:v>9</x:v>
      </x:c>
      <x:c r="H70" s="14" t="str">
        <x:v>cfb9db03-44c0-4604-926a-a76e01575d88</x:v>
      </x:c>
      <x:c r="I70" s="14" t="str">
        <x:v>Floreat Investment Management Ltd v Churchill &amp; Ors [2023] EWCA Civ 440</x:v>
      </x:c>
      <x:c r="J70" s="14" t="str">
        <x:v>England and Wales Court of Appeal (Civil Division)</x:v>
      </x:c>
      <x:c r="K70" s="14" t="n">
        <x:v>2023</x:v>
      </x:c>
      <x:c r="L70" s="15" t="n">
        <x:v>0.67215925</x:v>
      </x:c>
      <x:c r="M70" s="14" t="n">
        <x:v>3</x:v>
      </x:c>
      <x:c r="N70" s="14" t="str"/>
    </x:row>
    <x:row r="71">
      <x:c r="A71" s="1" t="str">
        <x:v>cmm0chfxl000h04i3rjelidyy</x:v>
      </x:c>
      <x:c r="B71" s="1" t="str">
        <x:v>cmlzojkzd000204l5u8akkk6q</x:v>
      </x:c>
      <x:c r="C71" s="1" t="str">
        <x:v>skeleton-args-ca2018006090-aa90566cb5f6b5de</x:v>
      </x:c>
      <x:c r="D71" s="12" t="n">
        <x:v>46077.354058032404</x:v>
      </x:c>
      <x:c r="E71" s="1" t="str">
        <x:v>no</x:v>
      </x:c>
      <x:c r="F71" s="14" t="str"/>
      <x:c r="G71" s="14" t="n">
        <x:v>10</x:v>
      </x:c>
      <x:c r="H71" s="14" t="str">
        <x:v>18af7f48-3069-4315-8b8e-72156c2f8d15</x:v>
      </x:c>
      <x:c r="I71" s="14" t="str">
        <x:v>Boydell v NZP Ltd &amp; Anor [2023] EWCA Civ 373</x:v>
      </x:c>
      <x:c r="J71" s="14" t="str">
        <x:v>England and Wales Court of Appeal (Civil Division)</x:v>
      </x:c>
      <x:c r="K71" s="14" t="n">
        <x:v>2023</x:v>
      </x:c>
      <x:c r="L71" s="15" t="n">
        <x:v>0.6717184</x:v>
      </x:c>
      <x:c r="M71" s="14" t="n">
        <x:v>1</x:v>
      </x:c>
      <x:c r="N71" s="14" t="str"/>
    </x:row>
    <x:row r="72">
      <x:c r="A72" s="1" t="str">
        <x:v>cmm0chr9w000n04i37bx1uiqp</x:v>
      </x:c>
      <x:c r="B72" s="1" t="str">
        <x:v>cmlzojkzd000204l5u8akkk6q</x:v>
      </x:c>
      <x:c r="C72" s="1" t="str">
        <x:v>skeleton-args-ca2018006090-aa90566cb5f6b5de</x:v>
      </x:c>
      <x:c r="D72" s="12" t="n">
        <x:v>46077.354228159726</x:v>
      </x:c>
      <x:c r="E72" s="1" t="str">
        <x:v>yes</x:v>
      </x:c>
      <x:c r="F72" s="14" t="str">
        <x:v>cmm0ckscr000t04i312fc6edg</x:v>
      </x:c>
      <x:c r="G72" s="14" t="n">
        <x:v>1</x:v>
      </x:c>
      <x:c r="H72" s="14" t="str">
        <x:v>4f894b7c-50f6-46f4-b08a-7d5f549411bb</x:v>
      </x:c>
      <x:c r="I72" s="14" t="str">
        <x:v>Creggy v Barnett &amp; Anor [2016] EWCA Civ 1004 (Court of Appeal (Civil Division))</x:v>
      </x:c>
      <x:c r="J72" s="14" t="str">
        <x:v>England and Wales Court of Appeal (Civil Division)</x:v>
      </x:c>
      <x:c r="K72" s="14" t="n">
        <x:v>2016</x:v>
      </x:c>
      <x:c r="L72" s="15" t="n">
        <x:v>0.6911485</x:v>
      </x:c>
      <x:c r="M72" s="14" t="n">
        <x:v>3</x:v>
      </x:c>
      <x:c r="N72" s="14" t="str">
        <x:v>Target Holdings v Redferns | Re Somerset | Lagos v Grunwaldt | Phillips &amp; Co v Bath Housing Co-operative Ltd | Edwards v Lowndes | Nocton v Lord Ashburton | Pardoe v Price</x:v>
      </x:c>
    </x:row>
    <x:row r="73">
      <x:c r="A73" s="1" t="str">
        <x:v>cmm0chr9w000n04i37bx1uiqp</x:v>
      </x:c>
      <x:c r="B73" s="1" t="str">
        <x:v>cmlzojkzd000204l5u8akkk6q</x:v>
      </x:c>
      <x:c r="C73" s="1" t="str">
        <x:v>skeleton-args-ca2018006090-aa90566cb5f6b5de</x:v>
      </x:c>
      <x:c r="D73" s="12" t="n">
        <x:v>46077.354228159726</x:v>
      </x:c>
      <x:c r="E73" s="1" t="str">
        <x:v>yes</x:v>
      </x:c>
      <x:c r="F73" s="14" t="str">
        <x:v>cmm0ckscr000t04i312fc6edg</x:v>
      </x:c>
      <x:c r="G73" s="14" t="n">
        <x:v>2</x:v>
      </x:c>
      <x:c r="H73" s="14" t="str">
        <x:v>63f1ceea-1ae6-4e29-9f3b-c354ab3fba11</x:v>
      </x:c>
      <x:c r="I73" s="14" t="str">
        <x:v>Burnden Holdings (UK) Limited (in Liquidation) v Fielding &amp; Anor [2016] EWCA Civ 557</x:v>
      </x:c>
      <x:c r="J73" s="14" t="str">
        <x:v>England and Wales Court of Appeal (Civil Division)</x:v>
      </x:c>
      <x:c r="K73" s="14" t="n">
        <x:v>2016</x:v>
      </x:c>
      <x:c r="L73" s="15" t="n">
        <x:v>0.6813072</x:v>
      </x:c>
      <x:c r="M73" s="14" t="n">
        <x:v>3</x:v>
      </x:c>
      <x:c r="N73" s="14" t="str">
        <x:v>In re Pantone 485 Ltd | Jetivia v Bilta (UK) Ltd | JD Weatherspoon Plc v Van de Berg &amp; Co Ltd | Cave v Robinson Jarvis &amp; Rolf | Miller v Bain | Jetivia v Bilta | In re Pantone 485 Ltd, Miller v Bain | Jetivia SA v Bilta (UK) Ltd</x:v>
      </x:c>
    </x:row>
    <x:row r="74">
      <x:c r="A74" s="1" t="str">
        <x:v>cmm0chr9w000n04i37bx1uiqp</x:v>
      </x:c>
      <x:c r="B74" s="1" t="str">
        <x:v>cmlzojkzd000204l5u8akkk6q</x:v>
      </x:c>
      <x:c r="C74" s="1" t="str">
        <x:v>skeleton-args-ca2018006090-aa90566cb5f6b5de</x:v>
      </x:c>
      <x:c r="D74" s="12" t="n">
        <x:v>46077.354228159726</x:v>
      </x:c>
      <x:c r="E74" s="1" t="str">
        <x:v>yes</x:v>
      </x:c>
      <x:c r="F74" s="14" t="str">
        <x:v>cmm0ckscr000t04i312fc6edg</x:v>
      </x:c>
      <x:c r="G74" s="14" t="n">
        <x:v>3</x:v>
      </x:c>
      <x:c r="H74" s="14" t="str">
        <x:v>af98350e-e553-4a58-8a45-9d7b2067b530</x:v>
      </x:c>
      <x:c r="I74" s="14" t="str">
        <x:v>Santander UK Plc v R.A. Legal Solicitors [2014] EWCA Civ 183</x:v>
      </x:c>
      <x:c r="J74" s="14" t="str">
        <x:v>England and Wales Court of Appeal (Civil Division)</x:v>
      </x:c>
      <x:c r="K74" s="14" t="n">
        <x:v>2014</x:v>
      </x:c>
      <x:c r="L74" s="15" t="n">
        <x:v>0.6768787</x:v>
      </x:c>
      <x:c r="M74" s="14" t="n">
        <x:v>1</x:v>
      </x:c>
      <x:c r="N74" s="14" t="str"/>
    </x:row>
    <x:row r="75">
      <x:c r="A75" s="1" t="str">
        <x:v>cmm0chr9w000n04i37bx1uiqp</x:v>
      </x:c>
      <x:c r="B75" s="1" t="str">
        <x:v>cmlzojkzd000204l5u8akkk6q</x:v>
      </x:c>
      <x:c r="C75" s="1" t="str">
        <x:v>skeleton-args-ca2018006090-aa90566cb5f6b5de</x:v>
      </x:c>
      <x:c r="D75" s="12" t="n">
        <x:v>46077.354228159726</x:v>
      </x:c>
      <x:c r="E75" s="1" t="str">
        <x:v>yes</x:v>
      </x:c>
      <x:c r="F75" s="14" t="str">
        <x:v>cmm0ckscr000t04i312fc6edg</x:v>
      </x:c>
      <x:c r="G75" s="14" t="n">
        <x:v>4</x:v>
      </x:c>
      <x:c r="H75" s="14" t="str">
        <x:v>0f564d6f-98e5-402b-abc8-a39f1fa33427</x:v>
      </x:c>
      <x:c r="I75" s="14" t="str">
        <x:v>Cotton &amp; Anor v Brudenell-Bruce, Earl of Cardigan &amp; Ors [2014] EWCA Civ 1312</x:v>
      </x:c>
      <x:c r="J75" s="14" t="str">
        <x:v>England and Wales Court of Appeal (Civil Division)</x:v>
      </x:c>
      <x:c r="K75" s="14" t="n">
        <x:v>2014</x:v>
      </x:c>
      <x:c r="L75" s="15" t="n">
        <x:v>0.6767256</x:v>
      </x:c>
      <x:c r="M75" s="14" t="n">
        <x:v>2</x:v>
      </x:c>
      <x:c r="N75" s="14" t="str"/>
    </x:row>
    <x:row r="76">
      <x:c r="A76" s="1" t="str">
        <x:v>cmm0chr9w000n04i37bx1uiqp</x:v>
      </x:c>
      <x:c r="B76" s="1" t="str">
        <x:v>cmlzojkzd000204l5u8akkk6q</x:v>
      </x:c>
      <x:c r="C76" s="1" t="str">
        <x:v>skeleton-args-ca2018006090-aa90566cb5f6b5de</x:v>
      </x:c>
      <x:c r="D76" s="12" t="n">
        <x:v>46077.354228159726</x:v>
      </x:c>
      <x:c r="E76" s="1" t="str">
        <x:v>yes</x:v>
      </x:c>
      <x:c r="F76" s="14" t="str">
        <x:v>cmm0ckscr000t04i312fc6edg</x:v>
      </x:c>
      <x:c r="G76" s="14" t="n">
        <x:v>5</x:v>
      </x:c>
      <x:c r="H76" s="14" t="str">
        <x:v>5d67e6bf-5a94-4298-82ae-1f13fea951bc</x:v>
      </x:c>
      <x:c r="I76" s="14" t="str">
        <x:v>Braintree District Council v Secretary of State for the Home Department &amp; Anor [2023] EWCA Civ 727 (23 June 2023)</x:v>
      </x:c>
      <x:c r="J76" s="14" t="str">
        <x:v>England and Wales Court of Appeal (Civil Division)</x:v>
      </x:c>
      <x:c r="K76" s="14" t="n">
        <x:v>2023</x:v>
      </x:c>
      <x:c r="L76" s="15" t="n">
        <x:v>0.6764184</x:v>
      </x:c>
      <x:c r="M76" s="14" t="n">
        <x:v>1</x:v>
      </x:c>
      <x:c r="N76" s="14" t="str"/>
    </x:row>
    <x:row r="77">
      <x:c r="A77" s="1" t="str">
        <x:v>cmm0chr9w000n04i37bx1uiqp</x:v>
      </x:c>
      <x:c r="B77" s="1" t="str">
        <x:v>cmlzojkzd000204l5u8akkk6q</x:v>
      </x:c>
      <x:c r="C77" s="1" t="str">
        <x:v>skeleton-args-ca2018006090-aa90566cb5f6b5de</x:v>
      </x:c>
      <x:c r="D77" s="12" t="n">
        <x:v>46077.354228159726</x:v>
      </x:c>
      <x:c r="E77" s="1" t="str">
        <x:v>yes</x:v>
      </x:c>
      <x:c r="F77" s="14" t="str">
        <x:v>cmm0ckscr000t04i312fc6edg</x:v>
      </x:c>
      <x:c r="G77" s="14" t="n">
        <x:v>6</x:v>
      </x:c>
      <x:c r="H77" s="14" t="str">
        <x:v>a62a842c-af59-45c4-be74-800b0be5e691</x:v>
      </x:c>
      <x:c r="I77" s="14" t="str">
        <x:v>Hassam &amp; Anor v Rabot &amp; Anor; Briggs v Laditan [2023] EWCA Civ 19</x:v>
      </x:c>
      <x:c r="J77" s="14" t="str">
        <x:v>England and Wales Court of Appeal (Civil Division)</x:v>
      </x:c>
      <x:c r="K77" s="14" t="n">
        <x:v>2023</x:v>
      </x:c>
      <x:c r="L77" s="15" t="n">
        <x:v>0.67637557</x:v>
      </x:c>
      <x:c r="M77" s="14" t="n">
        <x:v>1</x:v>
      </x:c>
      <x:c r="N77" s="14" t="str"/>
    </x:row>
    <x:row r="78">
      <x:c r="A78" s="1" t="str">
        <x:v>cmm0chr9w000n04i37bx1uiqp</x:v>
      </x:c>
      <x:c r="B78" s="1" t="str">
        <x:v>cmlzojkzd000204l5u8akkk6q</x:v>
      </x:c>
      <x:c r="C78" s="1" t="str">
        <x:v>skeleton-args-ca2018006090-aa90566cb5f6b5de</x:v>
      </x:c>
      <x:c r="D78" s="12" t="n">
        <x:v>46077.354228159726</x:v>
      </x:c>
      <x:c r="E78" s="1" t="str">
        <x:v>yes</x:v>
      </x:c>
      <x:c r="F78" s="14" t="str">
        <x:v>cmm0ckscr000t04i312fc6edg</x:v>
      </x:c>
      <x:c r="G78" s="14" t="n">
        <x:v>7</x:v>
      </x:c>
      <x:c r="H78" s="14" t="str">
        <x:v>cbf9a2bb-7b6f-41be-ba0f-1a84a1e459e6</x:v>
      </x:c>
      <x:c r="I78" s="14" t="str">
        <x:v>Gangat v Jassat &amp; Anor [2022] EWCA Civ 604</x:v>
      </x:c>
      <x:c r="J78" s="14" t="str">
        <x:v>England and Wales Court of Appeal (Civil Division)</x:v>
      </x:c>
      <x:c r="K78" s="14" t="n">
        <x:v>2022</x:v>
      </x:c>
      <x:c r="L78" s="15" t="n">
        <x:v>0.67577374</x:v>
      </x:c>
      <x:c r="M78" s="14" t="n">
        <x:v>1</x:v>
      </x:c>
      <x:c r="N78" s="14" t="str">
        <x:v>[2022] EWCA Civ 604 | [2021] EWHC 2644 (Ch)</x:v>
      </x:c>
    </x:row>
    <x:row r="79">
      <x:c r="A79" s="1" t="str">
        <x:v>cmm0chr9w000n04i37bx1uiqp</x:v>
      </x:c>
      <x:c r="B79" s="1" t="str">
        <x:v>cmlzojkzd000204l5u8akkk6q</x:v>
      </x:c>
      <x:c r="C79" s="1" t="str">
        <x:v>skeleton-args-ca2018006090-aa90566cb5f6b5de</x:v>
      </x:c>
      <x:c r="D79" s="12" t="n">
        <x:v>46077.354228159726</x:v>
      </x:c>
      <x:c r="E79" s="1" t="str">
        <x:v>yes</x:v>
      </x:c>
      <x:c r="F79" s="14" t="str">
        <x:v>cmm0ckscr000t04i312fc6edg</x:v>
      </x:c>
      <x:c r="G79" s="14" t="n">
        <x:v>8</x:v>
      </x:c>
      <x:c r="H79" s="14" t="str">
        <x:v>7d4b37f2-bfb0-4f96-a5c0-d63cd27e8dc3</x:v>
      </x:c>
      <x:c r="I79" s="14" t="str">
        <x:v>Davies v Ford &amp; Ors [2023] EWCA Civ 167</x:v>
      </x:c>
      <x:c r="J79" s="14" t="str">
        <x:v>England and Wales Court of Appeal (Civil Division)</x:v>
      </x:c>
      <x:c r="K79" s="14" t="n">
        <x:v>2023</x:v>
      </x:c>
      <x:c r="L79" s="15" t="n">
        <x:v>0.67397064</x:v>
      </x:c>
      <x:c r="M79" s="14" t="n">
        <x:v>1</x:v>
      </x:c>
      <x:c r="N79" s="14" t="str">
        <x:v>[2020] EWHC 686 (Ch) | [2021] EWHC 2550 (Ch) | [2023] EWCA Civ 167</x:v>
      </x:c>
    </x:row>
    <x:row r="80">
      <x:c r="A80" s="1" t="str">
        <x:v>cmm0chr9w000n04i37bx1uiqp</x:v>
      </x:c>
      <x:c r="B80" s="1" t="str">
        <x:v>cmlzojkzd000204l5u8akkk6q</x:v>
      </x:c>
      <x:c r="C80" s="1" t="str">
        <x:v>skeleton-args-ca2018006090-aa90566cb5f6b5de</x:v>
      </x:c>
      <x:c r="D80" s="12" t="n">
        <x:v>46077.354228159726</x:v>
      </x:c>
      <x:c r="E80" s="1" t="str">
        <x:v>yes</x:v>
      </x:c>
      <x:c r="F80" s="14" t="str">
        <x:v>cmm0ckscr000t04i312fc6edg</x:v>
      </x:c>
      <x:c r="G80" s="14" t="n">
        <x:v>9</x:v>
      </x:c>
      <x:c r="H80" s="14" t="str">
        <x:v>cfb9db03-44c0-4604-926a-a76e01575d88</x:v>
      </x:c>
      <x:c r="I80" s="14" t="str">
        <x:v>Floreat Investment Management Ltd v Churchill &amp; Ors [2023] EWCA Civ 440</x:v>
      </x:c>
      <x:c r="J80" s="14" t="str">
        <x:v>England and Wales Court of Appeal (Civil Division)</x:v>
      </x:c>
      <x:c r="K80" s="14" t="n">
        <x:v>2023</x:v>
      </x:c>
      <x:c r="L80" s="15" t="n">
        <x:v>0.67215466</x:v>
      </x:c>
      <x:c r="M80" s="14" t="n">
        <x:v>3</x:v>
      </x:c>
      <x:c r="N80" s="14" t="str"/>
    </x:row>
    <x:row r="81">
      <x:c r="A81" s="1" t="str">
        <x:v>cmm0chr9w000n04i37bx1uiqp</x:v>
      </x:c>
      <x:c r="B81" s="1" t="str">
        <x:v>cmlzojkzd000204l5u8akkk6q</x:v>
      </x:c>
      <x:c r="C81" s="1" t="str">
        <x:v>skeleton-args-ca2018006090-aa90566cb5f6b5de</x:v>
      </x:c>
      <x:c r="D81" s="12" t="n">
        <x:v>46077.354228159726</x:v>
      </x:c>
      <x:c r="E81" s="1" t="str">
        <x:v>yes</x:v>
      </x:c>
      <x:c r="F81" s="14" t="str">
        <x:v>cmm0ckscr000t04i312fc6edg</x:v>
      </x:c>
      <x:c r="G81" s="14" t="n">
        <x:v>10</x:v>
      </x:c>
      <x:c r="H81" s="14" t="str">
        <x:v>8c2741c2-7eeb-471a-91de-bc6accd97a3c</x:v>
      </x:c>
      <x:c r="I81" s="14" t="str">
        <x:v>Barnsley &amp; Ors v Noble (Rev1) [2016] EWCA Civ 799 (Court of Appeal, Civil Division)</x:v>
      </x:c>
      <x:c r="J81" s="14" t="str">
        <x:v>Court of Appeal (Civil Division), England and Wales</x:v>
      </x:c>
      <x:c r="K81" s="14" t="n">
        <x:v>2016</x:v>
      </x:c>
      <x:c r="L81" s="15" t="n">
        <x:v>0.6706002</x:v>
      </x:c>
      <x:c r="M81" s="14" t="n">
        <x:v>4</x:v>
      </x:c>
      <x:c r="N81" s="14" t="str">
        <x:v>Armitage v Nurse | Walker v Stones | Bonham v Fishwick | Spread Trustee Co Ltd v Hutcheson</x:v>
      </x:c>
    </x:row>
    <x:row r="82">
      <x:c r="A82" s="1" t="str">
        <x:v>cmm0cqleo000z04i321gtuvf1</x:v>
      </x:c>
      <x:c r="B82" s="1" t="str">
        <x:v>cmlzojkzd000204l5u8akkk6q</x:v>
      </x:c>
      <x:c r="C82" s="1" t="str">
        <x:v>skeleton-args-ca2018006090-aa90566cb5f6b5de</x:v>
      </x:c>
      <x:c r="D82" s="12" t="n">
        <x:v>46077.35900015046</x:v>
      </x:c>
      <x:c r="E82" s="1" t="str">
        <x:v>yes</x:v>
      </x:c>
      <x:c r="F82" s="14" t="str">
        <x:v>cmm0ct5sl001504i3x6g18pvd | cmm920v38000b04ib8ug7hazg | cmm927sxp000304jp8fpwf2ew</x:v>
      </x:c>
      <x:c r="G82" s="14" t="n">
        <x:v>1</x:v>
      </x:c>
      <x:c r="H82" s="14" t="str">
        <x:v>4f894b7c-50f6-46f4-b08a-7d5f549411bb</x:v>
      </x:c>
      <x:c r="I82" s="14" t="str">
        <x:v>Creggy v Barnett &amp; Anor [2016] EWCA Civ 1004 (Court of Appeal (Civil Division))</x:v>
      </x:c>
      <x:c r="J82" s="14" t="str">
        <x:v>England and Wales Court of Appeal (Civil Division)</x:v>
      </x:c>
      <x:c r="K82" s="14" t="n">
        <x:v>2016</x:v>
      </x:c>
      <x:c r="L82" s="15" t="n">
        <x:v>0.6911303</x:v>
      </x:c>
      <x:c r="M82" s="14" t="n">
        <x:v>3</x:v>
      </x:c>
      <x:c r="N82" s="14" t="str">
        <x:v>Target Holdings v Redferns | Re Somerset | Lagos v Grunwaldt | Phillips &amp; Co v Bath Housing Co-operative Ltd | Edwards v Lowndes | Nocton v Lord Ashburton | Pardoe v Price</x:v>
      </x:c>
    </x:row>
    <x:row r="83">
      <x:c r="A83" s="1" t="str">
        <x:v>cmm0cqleo000z04i321gtuvf1</x:v>
      </x:c>
      <x:c r="B83" s="1" t="str">
        <x:v>cmlzojkzd000204l5u8akkk6q</x:v>
      </x:c>
      <x:c r="C83" s="1" t="str">
        <x:v>skeleton-args-ca2018006090-aa90566cb5f6b5de</x:v>
      </x:c>
      <x:c r="D83" s="12" t="n">
        <x:v>46077.35900015046</x:v>
      </x:c>
      <x:c r="E83" s="1" t="str">
        <x:v>yes</x:v>
      </x:c>
      <x:c r="F83" s="14" t="str">
        <x:v>cmm0ct5sl001504i3x6g18pvd | cmm920v38000b04ib8ug7hazg | cmm927sxp000304jp8fpwf2ew</x:v>
      </x:c>
      <x:c r="G83" s="14" t="n">
        <x:v>2</x:v>
      </x:c>
      <x:c r="H83" s="14" t="str">
        <x:v>63f1ceea-1ae6-4e29-9f3b-c354ab3fba11</x:v>
      </x:c>
      <x:c r="I83" s="14" t="str">
        <x:v>Burnden Holdings (UK) Limited (in Liquidation) v Fielding &amp; Anor [2016] EWCA Civ 557</x:v>
      </x:c>
      <x:c r="J83" s="14" t="str">
        <x:v>England and Wales Court of Appeal (Civil Division)</x:v>
      </x:c>
      <x:c r="K83" s="14" t="n">
        <x:v>2016</x:v>
      </x:c>
      <x:c r="L83" s="15" t="n">
        <x:v>0.68127733</x:v>
      </x:c>
      <x:c r="M83" s="14" t="n">
        <x:v>3</x:v>
      </x:c>
      <x:c r="N83" s="14" t="str">
        <x:v>In re Pantone 485 Ltd | Jetivia v Bilta (UK) Ltd | JD Weatherspoon Plc v Van de Berg &amp; Co Ltd | Cave v Robinson Jarvis &amp; Rolf | Miller v Bain | Jetivia v Bilta | In re Pantone 485 Ltd, Miller v Bain | Jetivia SA v Bilta (UK) Ltd</x:v>
      </x:c>
    </x:row>
    <x:row r="84">
      <x:c r="A84" s="1" t="str">
        <x:v>cmm0cqleo000z04i321gtuvf1</x:v>
      </x:c>
      <x:c r="B84" s="1" t="str">
        <x:v>cmlzojkzd000204l5u8akkk6q</x:v>
      </x:c>
      <x:c r="C84" s="1" t="str">
        <x:v>skeleton-args-ca2018006090-aa90566cb5f6b5de</x:v>
      </x:c>
      <x:c r="D84" s="12" t="n">
        <x:v>46077.35900015046</x:v>
      </x:c>
      <x:c r="E84" s="1" t="str">
        <x:v>yes</x:v>
      </x:c>
      <x:c r="F84" s="14" t="str">
        <x:v>cmm0ct5sl001504i3x6g18pvd | cmm920v38000b04ib8ug7hazg | cmm927sxp000304jp8fpwf2ew</x:v>
      </x:c>
      <x:c r="G84" s="14" t="n">
        <x:v>3</x:v>
      </x:c>
      <x:c r="H84" s="14" t="str">
        <x:v>5d67e6bf-5a94-4298-82ae-1f13fea951bc</x:v>
      </x:c>
      <x:c r="I84" s="14" t="str">
        <x:v>Braintree District Council v Secretary of State for the Home Department &amp; Anor [2023] EWCA Civ 727 (23 June 2023)</x:v>
      </x:c>
      <x:c r="J84" s="14" t="str">
        <x:v>England and Wales Court of Appeal (Civil Division)</x:v>
      </x:c>
      <x:c r="K84" s="14" t="n">
        <x:v>2023</x:v>
      </x:c>
      <x:c r="L84" s="15" t="n">
        <x:v>0.6777055</x:v>
      </x:c>
      <x:c r="M84" s="14" t="n">
        <x:v>1</x:v>
      </x:c>
      <x:c r="N84" s="14" t="str"/>
    </x:row>
    <x:row r="85">
      <x:c r="A85" s="1" t="str">
        <x:v>cmm0cqleo000z04i321gtuvf1</x:v>
      </x:c>
      <x:c r="B85" s="1" t="str">
        <x:v>cmlzojkzd000204l5u8akkk6q</x:v>
      </x:c>
      <x:c r="C85" s="1" t="str">
        <x:v>skeleton-args-ca2018006090-aa90566cb5f6b5de</x:v>
      </x:c>
      <x:c r="D85" s="12" t="n">
        <x:v>46077.35900015046</x:v>
      </x:c>
      <x:c r="E85" s="1" t="str">
        <x:v>yes</x:v>
      </x:c>
      <x:c r="F85" s="14" t="str">
        <x:v>cmm0ct5sl001504i3x6g18pvd | cmm920v38000b04ib8ug7hazg | cmm927sxp000304jp8fpwf2ew</x:v>
      </x:c>
      <x:c r="G85" s="14" t="n">
        <x:v>4</x:v>
      </x:c>
      <x:c r="H85" s="14" t="str">
        <x:v>a62a842c-af59-45c4-be74-800b0be5e691</x:v>
      </x:c>
      <x:c r="I85" s="14" t="str">
        <x:v>Hassam &amp; Anor v Rabot &amp; Anor; Briggs v Laditan [2023] EWCA Civ 19</x:v>
      </x:c>
      <x:c r="J85" s="14" t="str">
        <x:v>England and Wales Court of Appeal (Civil Division)</x:v>
      </x:c>
      <x:c r="K85" s="14" t="n">
        <x:v>2023</x:v>
      </x:c>
      <x:c r="L85" s="15" t="n">
        <x:v>0.67724633</x:v>
      </x:c>
      <x:c r="M85" s="14" t="n">
        <x:v>1</x:v>
      </x:c>
      <x:c r="N85" s="14" t="str"/>
    </x:row>
    <x:row r="86">
      <x:c r="A86" s="1" t="str">
        <x:v>cmm0cqleo000z04i321gtuvf1</x:v>
      </x:c>
      <x:c r="B86" s="1" t="str">
        <x:v>cmlzojkzd000204l5u8akkk6q</x:v>
      </x:c>
      <x:c r="C86" s="1" t="str">
        <x:v>skeleton-args-ca2018006090-aa90566cb5f6b5de</x:v>
      </x:c>
      <x:c r="D86" s="12" t="n">
        <x:v>46077.35900015046</x:v>
      </x:c>
      <x:c r="E86" s="1" t="str">
        <x:v>yes</x:v>
      </x:c>
      <x:c r="F86" s="14" t="str">
        <x:v>cmm0ct5sl001504i3x6g18pvd | cmm920v38000b04ib8ug7hazg | cmm927sxp000304jp8fpwf2ew</x:v>
      </x:c>
      <x:c r="G86" s="14" t="n">
        <x:v>5</x:v>
      </x:c>
      <x:c r="H86" s="14" t="str">
        <x:v>af98350e-e553-4a58-8a45-9d7b2067b530</x:v>
      </x:c>
      <x:c r="I86" s="14" t="str">
        <x:v>Santander UK Plc v R.A. Legal Solicitors [2014] EWCA Civ 183</x:v>
      </x:c>
      <x:c r="J86" s="14" t="str">
        <x:v>England and Wales Court of Appeal (Civil Division)</x:v>
      </x:c>
      <x:c r="K86" s="14" t="n">
        <x:v>2014</x:v>
      </x:c>
      <x:c r="L86" s="15" t="n">
        <x:v>0.67685676</x:v>
      </x:c>
      <x:c r="M86" s="14" t="n">
        <x:v>1</x:v>
      </x:c>
      <x:c r="N86" s="14" t="str"/>
    </x:row>
    <x:row r="87">
      <x:c r="A87" s="1" t="str">
        <x:v>cmm0cqleo000z04i321gtuvf1</x:v>
      </x:c>
      <x:c r="B87" s="1" t="str">
        <x:v>cmlzojkzd000204l5u8akkk6q</x:v>
      </x:c>
      <x:c r="C87" s="1" t="str">
        <x:v>skeleton-args-ca2018006090-aa90566cb5f6b5de</x:v>
      </x:c>
      <x:c r="D87" s="12" t="n">
        <x:v>46077.35900015046</x:v>
      </x:c>
      <x:c r="E87" s="1" t="str">
        <x:v>yes</x:v>
      </x:c>
      <x:c r="F87" s="14" t="str">
        <x:v>cmm0ct5sl001504i3x6g18pvd | cmm920v38000b04ib8ug7hazg | cmm927sxp000304jp8fpwf2ew</x:v>
      </x:c>
      <x:c r="G87" s="14" t="n">
        <x:v>6</x:v>
      </x:c>
      <x:c r="H87" s="14" t="str">
        <x:v>0f564d6f-98e5-402b-abc8-a39f1fa33427</x:v>
      </x:c>
      <x:c r="I87" s="14" t="str">
        <x:v>Cotton &amp; Anor v Brudenell-Bruce, Earl of Cardigan &amp; Ors [2014] EWCA Civ 1312</x:v>
      </x:c>
      <x:c r="J87" s="14" t="str">
        <x:v>England and Wales Court of Appeal (Civil Division)</x:v>
      </x:c>
      <x:c r="K87" s="14" t="n">
        <x:v>2014</x:v>
      </x:c>
      <x:c r="L87" s="15" t="n">
        <x:v>0.6767186</x:v>
      </x:c>
      <x:c r="M87" s="14" t="n">
        <x:v>2</x:v>
      </x:c>
      <x:c r="N87" s="14" t="str"/>
    </x:row>
    <x:row r="88">
      <x:c r="A88" s="1" t="str">
        <x:v>cmm0cqleo000z04i321gtuvf1</x:v>
      </x:c>
      <x:c r="B88" s="1" t="str">
        <x:v>cmlzojkzd000204l5u8akkk6q</x:v>
      </x:c>
      <x:c r="C88" s="1" t="str">
        <x:v>skeleton-args-ca2018006090-aa90566cb5f6b5de</x:v>
      </x:c>
      <x:c r="D88" s="12" t="n">
        <x:v>46077.35900015046</x:v>
      </x:c>
      <x:c r="E88" s="1" t="str">
        <x:v>yes</x:v>
      </x:c>
      <x:c r="F88" s="14" t="str">
        <x:v>cmm0ct5sl001504i3x6g18pvd | cmm920v38000b04ib8ug7hazg | cmm927sxp000304jp8fpwf2ew</x:v>
      </x:c>
      <x:c r="G88" s="14" t="n">
        <x:v>7</x:v>
      </x:c>
      <x:c r="H88" s="14" t="str">
        <x:v>cbf9a2bb-7b6f-41be-ba0f-1a84a1e459e6</x:v>
      </x:c>
      <x:c r="I88" s="14" t="str">
        <x:v>Gangat v Jassat &amp; Anor [2022] EWCA Civ 604</x:v>
      </x:c>
      <x:c r="J88" s="14" t="str">
        <x:v>England and Wales Court of Appeal (Civil Division)</x:v>
      </x:c>
      <x:c r="K88" s="14" t="n">
        <x:v>2022</x:v>
      </x:c>
      <x:c r="L88" s="15" t="n">
        <x:v>0.6757672</x:v>
      </x:c>
      <x:c r="M88" s="14" t="n">
        <x:v>1</x:v>
      </x:c>
      <x:c r="N88" s="14" t="str">
        <x:v>[2022] EWCA Civ 604 | [2021] EWHC 2644 (Ch)</x:v>
      </x:c>
    </x:row>
    <x:row r="89">
      <x:c r="A89" s="1" t="str">
        <x:v>cmm0cqleo000z04i321gtuvf1</x:v>
      </x:c>
      <x:c r="B89" s="1" t="str">
        <x:v>cmlzojkzd000204l5u8akkk6q</x:v>
      </x:c>
      <x:c r="C89" s="1" t="str">
        <x:v>skeleton-args-ca2018006090-aa90566cb5f6b5de</x:v>
      </x:c>
      <x:c r="D89" s="12" t="n">
        <x:v>46077.35900015046</x:v>
      </x:c>
      <x:c r="E89" s="1" t="str">
        <x:v>yes</x:v>
      </x:c>
      <x:c r="F89" s="14" t="str">
        <x:v>cmm0ct5sl001504i3x6g18pvd | cmm920v38000b04ib8ug7hazg | cmm927sxp000304jp8fpwf2ew</x:v>
      </x:c>
      <x:c r="G89" s="14" t="n">
        <x:v>8</x:v>
      </x:c>
      <x:c r="H89" s="14" t="str">
        <x:v>7d4b37f2-bfb0-4f96-a5c0-d63cd27e8dc3</x:v>
      </x:c>
      <x:c r="I89" s="14" t="str">
        <x:v>Davies v Ford &amp; Ors [2023] EWCA Civ 167</x:v>
      </x:c>
      <x:c r="J89" s="14" t="str">
        <x:v>England and Wales Court of Appeal (Civil Division)</x:v>
      </x:c>
      <x:c r="K89" s="14" t="n">
        <x:v>2023</x:v>
      </x:c>
      <x:c r="L89" s="15" t="n">
        <x:v>0.6754294</x:v>
      </x:c>
      <x:c r="M89" s="14" t="n">
        <x:v>1</x:v>
      </x:c>
      <x:c r="N89" s="14" t="str">
        <x:v>[2020] EWHC 686 (Ch) | [2021] EWHC 2550 (Ch) | [2023] EWCA Civ 167</x:v>
      </x:c>
    </x:row>
    <x:row r="90">
      <x:c r="A90" s="1" t="str">
        <x:v>cmm0cqleo000z04i321gtuvf1</x:v>
      </x:c>
      <x:c r="B90" s="1" t="str">
        <x:v>cmlzojkzd000204l5u8akkk6q</x:v>
      </x:c>
      <x:c r="C90" s="1" t="str">
        <x:v>skeleton-args-ca2018006090-aa90566cb5f6b5de</x:v>
      </x:c>
      <x:c r="D90" s="12" t="n">
        <x:v>46077.35900015046</x:v>
      </x:c>
      <x:c r="E90" s="1" t="str">
        <x:v>yes</x:v>
      </x:c>
      <x:c r="F90" s="14" t="str">
        <x:v>cmm0ct5sl001504i3x6g18pvd | cmm920v38000b04ib8ug7hazg | cmm927sxp000304jp8fpwf2ew</x:v>
      </x:c>
      <x:c r="G90" s="14" t="n">
        <x:v>9</x:v>
      </x:c>
      <x:c r="H90" s="14" t="str">
        <x:v>cfb9db03-44c0-4604-926a-a76e01575d88</x:v>
      </x:c>
      <x:c r="I90" s="14" t="str">
        <x:v>Floreat Investment Management Ltd v Churchill &amp; Ors [2023] EWCA Civ 440</x:v>
      </x:c>
      <x:c r="J90" s="14" t="str">
        <x:v>England and Wales Court of Appeal (Civil Division)</x:v>
      </x:c>
      <x:c r="K90" s="14" t="n">
        <x:v>2023</x:v>
      </x:c>
      <x:c r="L90" s="15" t="n">
        <x:v>0.672137</x:v>
      </x:c>
      <x:c r="M90" s="14" t="n">
        <x:v>3</x:v>
      </x:c>
      <x:c r="N90" s="14" t="str"/>
    </x:row>
    <x:row r="91">
      <x:c r="A91" s="1" t="str">
        <x:v>cmm0cqleo000z04i321gtuvf1</x:v>
      </x:c>
      <x:c r="B91" s="1" t="str">
        <x:v>cmlzojkzd000204l5u8akkk6q</x:v>
      </x:c>
      <x:c r="C91" s="1" t="str">
        <x:v>skeleton-args-ca2018006090-aa90566cb5f6b5de</x:v>
      </x:c>
      <x:c r="D91" s="12" t="n">
        <x:v>46077.35900015046</x:v>
      </x:c>
      <x:c r="E91" s="1" t="str">
        <x:v>yes</x:v>
      </x:c>
      <x:c r="F91" s="14" t="str">
        <x:v>cmm0ct5sl001504i3x6g18pvd | cmm920v38000b04ib8ug7hazg | cmm927sxp000304jp8fpwf2ew</x:v>
      </x:c>
      <x:c r="G91" s="14" t="n">
        <x:v>10</x:v>
      </x:c>
      <x:c r="H91" s="14" t="str">
        <x:v>18af7f48-3069-4315-8b8e-72156c2f8d15</x:v>
      </x:c>
      <x:c r="I91" s="14" t="str">
        <x:v>Boydell v NZP Ltd &amp; Anor [2023] EWCA Civ 373</x:v>
      </x:c>
      <x:c r="J91" s="14" t="str">
        <x:v>England and Wales Court of Appeal (Civil Division)</x:v>
      </x:c>
      <x:c r="K91" s="14" t="n">
        <x:v>2023</x:v>
      </x:c>
      <x:c r="L91" s="15" t="n">
        <x:v>0.6717184</x:v>
      </x:c>
      <x:c r="M91" s="14" t="n">
        <x:v>1</x:v>
      </x:c>
      <x:c r="N91" s="14" t="str"/>
    </x:row>
    <x:row r="92">
      <x:c r="A92" s="1" t="str">
        <x:v>cmm0k0854000b04l440eijrw0</x:v>
      </x:c>
      <x:c r="B92" s="1" t="str">
        <x:v>cmlzy4fu700fk04i8kn66k5jp</x:v>
      </x:c>
      <x:c r="C92" s="1" t="str">
        <x:v>skeleton-args-ca2024001234-346b2d683b5c2099</x:v>
      </x:c>
      <x:c r="D92" s="12" t="n">
        <x:v>46077.50028112269</x:v>
      </x:c>
      <x:c r="E92" s="1" t="str">
        <x:v>yes</x:v>
      </x:c>
      <x:c r="F92" s="14" t="str">
        <x:v>cmm0k3nj8000h04l412ruhfxj</x:v>
      </x:c>
      <x:c r="G92" s="14" t="n">
        <x:v>1</x:v>
      </x:c>
      <x:c r="H92" s="14" t="str">
        <x:v>968e5c88-1f2c-4da8-9290-4111f416ec6e</x:v>
      </x:c>
      <x:c r="I92" s="14" t="str">
        <x:v>Finch On Behalf of the Weald Action Group, R (On the Application Of) v Surrey County Council &amp; Ors [2022] EWCA Civ 187</x:v>
      </x:c>
      <x:c r="J92" s="14" t="str">
        <x:v>England and Wales Court of Appeal (Civil Division)</x:v>
      </x:c>
      <x:c r="K92" s="14" t="n">
        <x:v>2022</x:v>
      </x:c>
      <x:c r="L92" s="15" t="n">
        <x:v>0.72719336</x:v>
      </x:c>
      <x:c r="M92" s="14" t="n">
        <x:v>1</x:v>
      </x:c>
      <x:c r="N92" s="14" t="str">
        <x:v>Abraham | Ecologistas | Gateshead MBC | An Taisce | Frack Free Balcombe | Newsmith Stainless | Plan B Earth | Packham | Rights: Community: Action</x:v>
      </x:c>
    </x:row>
    <x:row r="93">
      <x:c r="A93" s="1" t="str">
        <x:v>cmm0k0854000b04l440eijrw0</x:v>
      </x:c>
      <x:c r="B93" s="1" t="str">
        <x:v>cmlzy4fu700fk04i8kn66k5jp</x:v>
      </x:c>
      <x:c r="C93" s="1" t="str">
        <x:v>skeleton-args-ca2024001234-346b2d683b5c2099</x:v>
      </x:c>
      <x:c r="D93" s="12" t="n">
        <x:v>46077.50028112269</x:v>
      </x:c>
      <x:c r="E93" s="1" t="str">
        <x:v>yes</x:v>
      </x:c>
      <x:c r="F93" s="14" t="str">
        <x:v>cmm0k3nj8000h04l412ruhfxj</x:v>
      </x:c>
      <x:c r="G93" s="14" t="n">
        <x:v>2</x:v>
      </x:c>
      <x:c r="H93" s="14" t="str">
        <x:v>d5d573a1-ee1c-4a42-99b1-728063f8ced3</x:v>
      </x:c>
      <x:c r="I93" s="14" t="str">
        <x:v>Friends of the Earth Limited v Secretary of State for International Trade/UK Export Finance (UKEF) &amp; Anor (Rev1) [2023] EWCA Civ 14</x:v>
      </x:c>
      <x:c r="J93" s="14" t="str">
        <x:v>England and Wales Court of Appeal (Civil Division)</x:v>
      </x:c>
      <x:c r="K93" s="14" t="n">
        <x:v>2023</x:v>
      </x:c>
      <x:c r="L93" s="15" t="n">
        <x:v>0.69989425</x:v>
      </x:c>
      <x:c r="M93" s="14" t="n">
        <x:v>5</x:v>
      </x:c>
      <x:c r="N93" s="14" t="str">
        <x:v>Corner House | Kennedy v Charity Commission | Khatun v Newham LBC | Mott v Environment Agency | Corner_House | Khatun | Mott | Kennedy | Tameside</x:v>
      </x:c>
    </x:row>
    <x:row r="94">
      <x:c r="A94" s="1" t="str">
        <x:v>cmm0k0854000b04l440eijrw0</x:v>
      </x:c>
      <x:c r="B94" s="1" t="str">
        <x:v>cmlzy4fu700fk04i8kn66k5jp</x:v>
      </x:c>
      <x:c r="C94" s="1" t="str">
        <x:v>skeleton-args-ca2024001234-346b2d683b5c2099</x:v>
      </x:c>
      <x:c r="D94" s="12" t="n">
        <x:v>46077.50028112269</x:v>
      </x:c>
      <x:c r="E94" s="1" t="str">
        <x:v>yes</x:v>
      </x:c>
      <x:c r="F94" s="14" t="str">
        <x:v>cmm0k3nj8000h04l412ruhfxj</x:v>
      </x:c>
      <x:c r="G94" s="14" t="n">
        <x:v>3</x:v>
      </x:c>
      <x:c r="H94" s="14" t="str">
        <x:v>774ce56b-3a21-4d9a-be0f-2e4cd8924a73</x:v>
      </x:c>
      <x:c r="I94" s="14" t="str">
        <x:v>Solar Century Holdings Ltd &amp; Ors v Secretary of State for Energy and Climate Change [2016] EWCA Civ 117</x:v>
      </x:c>
      <x:c r="J94" s="14" t="str">
        <x:v>England and Wales Court of Appeal (Civil Division)</x:v>
      </x:c>
      <x:c r="K94" s="14" t="n">
        <x:v>2016</x:v>
      </x:c>
      <x:c r="L94" s="15" t="n">
        <x:v>0.6880834</x:v>
      </x:c>
      <x:c r="M94" s="14" t="n">
        <x:v>1</x:v>
      </x:c>
      <x:c r="N94" s="14" t="str">
        <x:v>Bhatt Murphy v Independent Assessors [2008] EWCA Civ 755 | Secretary of State for Energy &amp; Climate Change v Friends of the Earth [2012] EWCA Civ 28</x:v>
      </x:c>
    </x:row>
    <x:row r="95">
      <x:c r="A95" s="1" t="str">
        <x:v>cmm0k0854000b04l440eijrw0</x:v>
      </x:c>
      <x:c r="B95" s="1" t="str">
        <x:v>cmlzy4fu700fk04i8kn66k5jp</x:v>
      </x:c>
      <x:c r="C95" s="1" t="str">
        <x:v>skeleton-args-ca2024001234-346b2d683b5c2099</x:v>
      </x:c>
      <x:c r="D95" s="12" t="n">
        <x:v>46077.50028112269</x:v>
      </x:c>
      <x:c r="E95" s="1" t="str">
        <x:v>yes</x:v>
      </x:c>
      <x:c r="F95" s="14" t="str">
        <x:v>cmm0k3nj8000h04l412ruhfxj</x:v>
      </x:c>
      <x:c r="G95" s="14" t="n">
        <x:v>4</x:v>
      </x:c>
      <x:c r="H95" s="14" t="str">
        <x:v>1d957476-2c0d-4578-8a43-679ec600e382</x:v>
      </x:c>
      <x:c r="I95" s="14" t="str">
        <x:v>Wyatt v Fareham Borough Council (Rev1) [2022] EWCA Civ 983</x:v>
      </x:c>
      <x:c r="J95" s="14" t="str">
        <x:v>England and Wales Court of Appeal (Civil Division)</x:v>
      </x:c>
      <x:c r="K95" s="14" t="n">
        <x:v>2022</x:v>
      </x:c>
      <x:c r="L95" s="15" t="n">
        <x:v>0.6745305</x:v>
      </x:c>
      <x:c r="M95" s="14" t="n">
        <x:v>1</x:v>
      </x:c>
      <x:c r="N95" s="14" t="str">
        <x:v>Holohan v An Bord Pleanála | Coöperatie Mobilisation for the Environment UA v Limburg | Waddenzee | Sweetman v An Bord Pleanála | People Over Wind | Dutch Nitrogen case</x:v>
      </x:c>
    </x:row>
    <x:row r="96">
      <x:c r="A96" s="1" t="str">
        <x:v>cmm0k0854000b04l440eijrw0</x:v>
      </x:c>
      <x:c r="B96" s="1" t="str">
        <x:v>cmlzy4fu700fk04i8kn66k5jp</x:v>
      </x:c>
      <x:c r="C96" s="1" t="str">
        <x:v>skeleton-args-ca2024001234-346b2d683b5c2099</x:v>
      </x:c>
      <x:c r="D96" s="12" t="n">
        <x:v>46077.50028112269</x:v>
      </x:c>
      <x:c r="E96" s="1" t="str">
        <x:v>yes</x:v>
      </x:c>
      <x:c r="F96" s="14" t="str">
        <x:v>cmm0k3nj8000h04l412ruhfxj</x:v>
      </x:c>
      <x:c r="G96" s="14" t="n">
        <x:v>5</x:v>
      </x:c>
      <x:c r="H96" s="14" t="str">
        <x:v>f5a5b44e-fcf0-40c0-9bf9-69f026b1b438</x:v>
      </x:c>
      <x:c r="I96" s="14" t="str">
        <x:v>London Borough of Enfield, R (on the application of) v Secretary of State for Transport &amp; Ors [2016] EWCA Civ 480</x:v>
      </x:c>
      <x:c r="J96" s="14" t="str">
        <x:v>England and Wales Court of Appeal (Civil Division)</x:v>
      </x:c>
      <x:c r="K96" s="14" t="n">
        <x:v>2016</x:v>
      </x:c>
      <x:c r="L96" s="15" t="n">
        <x:v>0.6711145</x:v>
      </x:c>
      <x:c r="M96" s="14" t="n">
        <x:v>1</x:v>
      </x:c>
      <x:c r="N96" s="14" t="str">
        <x:v>R v Devon County Council, ex p Baker [1995] 1 All ER 73 | R v North and East Devon Health Authority ex p Coughlan [2001] QB 213 | Paponette v A-G of Trinidad and Tobago [2010] UKPC 32 | R v Education Sec., ex p Begbie [2000] 1 WLR 1115 | R v USA Tobacco Ltd, ex p [1992] QB 353 | Railways Act 1993 | Public Services (Social Value) Act 2012 | WebTag A5-3 'Rail appraisal'</x:v>
      </x:c>
    </x:row>
    <x:row r="97">
      <x:c r="A97" s="1" t="str">
        <x:v>cmm0k0854000b04l440eijrw0</x:v>
      </x:c>
      <x:c r="B97" s="1" t="str">
        <x:v>cmlzy4fu700fk04i8kn66k5jp</x:v>
      </x:c>
      <x:c r="C97" s="1" t="str">
        <x:v>skeleton-args-ca2024001234-346b2d683b5c2099</x:v>
      </x:c>
      <x:c r="D97" s="12" t="n">
        <x:v>46077.50028112269</x:v>
      </x:c>
      <x:c r="E97" s="1" t="str">
        <x:v>yes</x:v>
      </x:c>
      <x:c r="F97" s="14" t="str">
        <x:v>cmm0k3nj8000h04l412ruhfxj</x:v>
      </x:c>
      <x:c r="G97" s="14" t="n">
        <x:v>6</x:v>
      </x:c>
      <x:c r="H97" s="14" t="str">
        <x:v>a86c8039-4dcd-41c2-bbee-f72673a10ba2</x:v>
      </x:c>
      <x:c r="I97" s="14" t="str">
        <x:v>Rotherham Borough Council &amp; Ors v Secretary of State for Business, Innovation And Skills</x:v>
      </x:c>
      <x:c r="J97" s="14" t="str">
        <x:v>England and Wales Court of Appeal (Civil Division)</x:v>
      </x:c>
      <x:c r="K97" s="14" t="n">
        <x:v>2014</x:v>
      </x:c>
      <x:c r="L97" s="15" t="n">
        <x:v>0.6578909</x:v>
      </x:c>
      <x:c r="M97" s="14" t="n">
        <x:v>1</x:v>
      </x:c>
      <x:c r="N97" s="14" t="str"/>
    </x:row>
    <x:row r="98">
      <x:c r="A98" s="1" t="str">
        <x:v>cmm0k0854000b04l440eijrw0</x:v>
      </x:c>
      <x:c r="B98" s="1" t="str">
        <x:v>cmlzy4fu700fk04i8kn66k5jp</x:v>
      </x:c>
      <x:c r="C98" s="1" t="str">
        <x:v>skeleton-args-ca2024001234-346b2d683b5c2099</x:v>
      </x:c>
      <x:c r="D98" s="12" t="n">
        <x:v>46077.50028112269</x:v>
      </x:c>
      <x:c r="E98" s="1" t="str">
        <x:v>yes</x:v>
      </x:c>
      <x:c r="F98" s="14" t="str">
        <x:v>cmm0k3nj8000h04l412ruhfxj</x:v>
      </x:c>
      <x:c r="G98" s="14" t="n">
        <x:v>7</x:v>
      </x:c>
      <x:c r="H98" s="14" t="str">
        <x:v>126384c6-71ee-4af8-ae92-223d88b7a66d</x:v>
      </x:c>
      <x:c r="I98" s="14" t="str">
        <x:v>Mott v Environment Agency [2016] EWCA Civ 564</x:v>
      </x:c>
      <x:c r="J98" s="14" t="str">
        <x:v>England and Wales Court of Appeal (Civil Division)</x:v>
      </x:c>
      <x:c r="K98" s="14" t="n">
        <x:v>2016</x:v>
      </x:c>
      <x:c r="L98" s="15" t="n">
        <x:v>0.65662396</x:v>
      </x:c>
      <x:c r="M98" s="14" t="n">
        <x:v>1</x:v>
      </x:c>
      <x:c r="N98" s="14" t="str">
        <x:v>Downs | Abolition of Vivisection | Cellcom | Trailer &amp; Leven | Back v Finland | Sporrong &amp; Lönnroth | Fredin v Sweden | Kennecott Copper Corp v EPA</x:v>
      </x:c>
    </x:row>
    <x:row r="99">
      <x:c r="A99" s="1" t="str">
        <x:v>cmm0k0854000b04l440eijrw0</x:v>
      </x:c>
      <x:c r="B99" s="1" t="str">
        <x:v>cmlzy4fu700fk04i8kn66k5jp</x:v>
      </x:c>
      <x:c r="C99" s="1" t="str">
        <x:v>skeleton-args-ca2024001234-346b2d683b5c2099</x:v>
      </x:c>
      <x:c r="D99" s="12" t="n">
        <x:v>46077.50028112269</x:v>
      </x:c>
      <x:c r="E99" s="1" t="str">
        <x:v>yes</x:v>
      </x:c>
      <x:c r="F99" s="14" t="str">
        <x:v>cmm0k3nj8000h04l412ruhfxj</x:v>
      </x:c>
      <x:c r="G99" s="14" t="n">
        <x:v>8</x:v>
      </x:c>
      <x:c r="H99" s="14" t="str">
        <x:v>1bbfccbb-15e3-41bb-a970-7167b43b0267</x:v>
      </x:c>
      <x:c r="I99" s="14" t="str">
        <x:v>Northern Gas Networks Ltd v Commissioners for HMRC [2022] EWCA Civ 910</x:v>
      </x:c>
      <x:c r="J99" s="14" t="str">
        <x:v>England and Wales Court of Appeal (Civil Division)</x:v>
      </x:c>
      <x:c r="K99" s="14" t="n">
        <x:v>2022</x:v>
      </x:c>
      <x:c r="L99" s="15" t="n">
        <x:v>0.6493245</x:v>
      </x:c>
      <x:c r="M99" s="14" t="n">
        <x:v>1</x:v>
      </x:c>
      <x:c r="N99" s="14" t="str">
        <x:v>[2021] UKUT 157 (TCC) | [2022] EWCA Civ 910 | [2023] Env LR 6 | [2022] BTC 20 | [2022] STC 1241</x:v>
      </x:c>
    </x:row>
    <x:row r="100">
      <x:c r="A100" s="1" t="str">
        <x:v>cmm0k0854000b04l440eijrw0</x:v>
      </x:c>
      <x:c r="B100" s="1" t="str">
        <x:v>cmlzy4fu700fk04i8kn66k5jp</x:v>
      </x:c>
      <x:c r="C100" s="1" t="str">
        <x:v>skeleton-args-ca2024001234-346b2d683b5c2099</x:v>
      </x:c>
      <x:c r="D100" s="12" t="n">
        <x:v>46077.50028112269</x:v>
      </x:c>
      <x:c r="E100" s="1" t="str">
        <x:v>yes</x:v>
      </x:c>
      <x:c r="F100" s="14" t="str">
        <x:v>cmm0k3nj8000h04l412ruhfxj</x:v>
      </x:c>
      <x:c r="G100" s="14" t="n">
        <x:v>9</x:v>
      </x:c>
      <x:c r="H100" s="14" t="str">
        <x:v>9034c8de-ac8c-45a1-9a63-569c390554ca</x:v>
      </x:c>
      <x:c r="I100" s="14" t="str">
        <x:v>Thurston Parish Council, R (On the Application Of) v Mid Suffolk District Council &amp; Anor [2022] EWCA Civ 1417</x:v>
      </x:c>
      <x:c r="J100" s="14" t="str">
        <x:v>England and Wales Court of Appeal (Civil Division)</x:v>
      </x:c>
      <x:c r="K100" s="14" t="n">
        <x:v>2022</x:v>
      </x:c>
      <x:c r="L100" s="15" t="n">
        <x:v>0.6364038</x:v>
      </x:c>
      <x:c r="M100" s="14" t="n">
        <x:v>1</x:v>
      </x:c>
      <x:c r="N100" s="14" t="str">
        <x:v>EWHC 352 Admin | EWCA Civ 1417</x:v>
      </x:c>
    </x:row>
    <x:row r="101">
      <x:c r="A101" s="1" t="str">
        <x:v>cmm0k0854000b04l440eijrw0</x:v>
      </x:c>
      <x:c r="B101" s="1" t="str">
        <x:v>cmlzy4fu700fk04i8kn66k5jp</x:v>
      </x:c>
      <x:c r="C101" s="1" t="str">
        <x:v>skeleton-args-ca2024001234-346b2d683b5c2099</x:v>
      </x:c>
      <x:c r="D101" s="12" t="n">
        <x:v>46077.50028112269</x:v>
      </x:c>
      <x:c r="E101" s="1" t="str">
        <x:v>yes</x:v>
      </x:c>
      <x:c r="F101" s="14" t="str">
        <x:v>cmm0k3nj8000h04l412ruhfxj</x:v>
      </x:c>
      <x:c r="G101" s="14" t="n">
        <x:v>10</x:v>
      </x:c>
      <x:c r="H101" s="14" t="str">
        <x:v>776a8070-aa6f-410e-b91e-2e1fcadadb9b</x:v>
      </x:c>
      <x:c r="I101" s="14" t="str">
        <x:v>Sheakh, R (On the Application Of) v London Borough of Lambeth Council [2022] EWCA Civ 457 (05 April 2022)</x:v>
      </x:c>
      <x:c r="J101" s="14" t="str">
        <x:v>England and Wales Court of Appeal (Civil Division)</x:v>
      </x:c>
      <x:c r="K101" s="14" t="n">
        <x:v>2022</x:v>
      </x:c>
      <x:c r="L101" s="15" t="n">
        <x:v>0.62920487</x:v>
      </x:c>
      <x:c r="M101" s="14" t="n">
        <x:v>2</x:v>
      </x:c>
      <x:c r="N101" s="14" t="str">
        <x:v>R. (Bailey) v Brent LBC [2011] EWCA Civ 1586 | R. (on the application of Baker) v Secretary of State for Communities and Local Government [2008] EWCA Civ 141</x:v>
      </x:c>
    </x:row>
    <x:row r="102">
      <x:c r="A102" s="1" t="str">
        <x:v>cmm3azb8t000d04jtx7he2awl</x:v>
      </x:c>
      <x:c r="B102" s="1" t="str">
        <x:v>cmm3awy72000404jtfbucs83q</x:v>
      </x:c>
      <x:c r="C102" s="1" t="str">
        <x:v>skeleton-args-ca2025000412-e17d5e10793fe216</x:v>
      </x:c>
      <x:c r="D102" s="12" t="n">
        <x:v>46079.42434765046</x:v>
      </x:c>
      <x:c r="E102" s="1" t="str">
        <x:v>yes</x:v>
      </x:c>
      <x:c r="F102" s="14" t="str">
        <x:v>cmm3b1g6j000j04jt8w2u9z6w</x:v>
      </x:c>
      <x:c r="G102" s="14" t="n">
        <x:v>1</x:v>
      </x:c>
      <x:c r="H102" s="14" t="str">
        <x:v>02409749-c305-4c56-ad34-3447c9c2371b</x:v>
      </x:c>
      <x:c r="I102" s="14" t="str">
        <x:v>Tigere, R (On the Application Of) v Secretary of State for Business, Innovation And Skills</x:v>
      </x:c>
      <x:c r="J102" s="14" t="str">
        <x:v>England and Wales Court of Appeal (Civil Division)</x:v>
      </x:c>
      <x:c r="K102" s="14" t="n">
        <x:v>2014</x:v>
      </x:c>
      <x:c r="L102" s="15" t="n">
        <x:v>0.66142374</x:v>
      </x:c>
      <x:c r="M102" s="14" t="n">
        <x:v>3</x:v>
      </x:c>
      <x:c r="N102" s="14" t="str">
        <x:v>Kebede [2013] EWHC (Admin) 2396 | Ponomaryov v Bulgaria [2011] ELR 491 | Bank Mellat v HM Treasury (No 2) [2013] 3 WLR 179</x:v>
      </x:c>
    </x:row>
    <x:row r="103">
      <x:c r="A103" s="1" t="str">
        <x:v>cmm3azb8t000d04jtx7he2awl</x:v>
      </x:c>
      <x:c r="B103" s="1" t="str">
        <x:v>cmm3awy72000404jtfbucs83q</x:v>
      </x:c>
      <x:c r="C103" s="1" t="str">
        <x:v>skeleton-args-ca2025000412-e17d5e10793fe216</x:v>
      </x:c>
      <x:c r="D103" s="12" t="n">
        <x:v>46079.42434765046</x:v>
      </x:c>
      <x:c r="E103" s="1" t="str">
        <x:v>yes</x:v>
      </x:c>
      <x:c r="F103" s="14" t="str">
        <x:v>cmm3b1g6j000j04jt8w2u9z6w</x:v>
      </x:c>
      <x:c r="G103" s="14" t="n">
        <x:v>2</x:v>
      </x:c>
      <x:c r="H103" s="14" t="str">
        <x:v>7614b7b3-9102-4127-baa4-ed60bb7a82ed</x:v>
      </x:c>
      <x:c r="I103" s="14" t="str">
        <x:v>Rowan, R (On the Application Of) v Governor of His Majesty's Prison Berwyn &amp; Anor [2023] EWCA Civ 27</x:v>
      </x:c>
      <x:c r="J103" s="14" t="str">
        <x:v>England and Wales Court of Appeal (Civil Division)</x:v>
      </x:c>
      <x:c r="K103" s="14" t="n">
        <x:v>2023</x:v>
      </x:c>
      <x:c r="L103" s="15" t="n">
        <x:v>0.6526506</x:v>
      </x:c>
      <x:c r="M103" s="14" t="n">
        <x:v>4</x:v>
      </x:c>
      <x:c r="N103" s="14" t="str">
        <x:v>[2021] EWHC 3114 (QB) | [2023] EWCA Civ 27</x:v>
      </x:c>
    </x:row>
    <x:row r="104">
      <x:c r="A104" s="1" t="str">
        <x:v>cmm3azb8t000d04jtx7he2awl</x:v>
      </x:c>
      <x:c r="B104" s="1" t="str">
        <x:v>cmm3awy72000404jtfbucs83q</x:v>
      </x:c>
      <x:c r="C104" s="1" t="str">
        <x:v>skeleton-args-ca2025000412-e17d5e10793fe216</x:v>
      </x:c>
      <x:c r="D104" s="12" t="n">
        <x:v>46079.42434765046</x:v>
      </x:c>
      <x:c r="E104" s="1" t="str">
        <x:v>yes</x:v>
      </x:c>
      <x:c r="F104" s="14" t="str">
        <x:v>cmm3b1g6j000j04jt8w2u9z6w</x:v>
      </x:c>
      <x:c r="G104" s="14" t="n">
        <x:v>3</x:v>
      </x:c>
      <x:c r="H104" s="14" t="str">
        <x:v>250a2de0-32f3-4ce2-8b1f-ee964131ee78</x:v>
      </x:c>
      <x:c r="I104" s="14" t="str">
        <x:v>Brooks, R (on the application of) v The Independent Adjudicator &amp; Anor [2016] EWCA Civ 1033</x:v>
      </x:c>
      <x:c r="J104" s="14" t="str">
        <x:v>England and Wales Court of Appeal (Civil Division)</x:v>
      </x:c>
      <x:c r="K104" s="14" t="n">
        <x:v>2016</x:v>
      </x:c>
      <x:c r="L104" s="15" t="n">
        <x:v>0.6451936</x:v>
      </x:c>
      <x:c r="M104" s="14" t="n">
        <x:v>4</x:v>
      </x:c>
      <x:c r="N104" s="14" t="str">
        <x:v>Kryzcki v Germany | Webster v Lord Chancellor | Lumba v SSHD | Hooper v SoS for Work and Pensions | Lumba | Benham | Webster | Kryzcki | Hooper | R Shoosmith</x:v>
      </x:c>
    </x:row>
    <x:row r="105">
      <x:c r="A105" s="1" t="str">
        <x:v>cmm3azb8t000d04jtx7he2awl</x:v>
      </x:c>
      <x:c r="B105" s="1" t="str">
        <x:v>cmm3awy72000404jtfbucs83q</x:v>
      </x:c>
      <x:c r="C105" s="1" t="str">
        <x:v>skeleton-args-ca2025000412-e17d5e10793fe216</x:v>
      </x:c>
      <x:c r="D105" s="12" t="n">
        <x:v>46079.42434765046</x:v>
      </x:c>
      <x:c r="E105" s="1" t="str">
        <x:v>yes</x:v>
      </x:c>
      <x:c r="F105" s="14" t="str">
        <x:v>cmm3b1g6j000j04jt8w2u9z6w</x:v>
      </x:c>
      <x:c r="G105" s="14" t="n">
        <x:v>4</x:v>
      </x:c>
      <x:c r="H105" s="14" t="str">
        <x:v>36166c1f-7b4e-4e19-9f3e-ba06d04ac22a</x:v>
      </x:c>
      <x:c r="I105" s="14" t="str">
        <x:v>Smith v Secretary of State for Justice &amp; Ors [2014] EWCA Civ 380</x:v>
      </x:c>
      <x:c r="J105" s="14" t="str">
        <x:v>England and Wales Court of Appeal (Civil Division)</x:v>
      </x:c>
      <x:c r="K105" s="14" t="n">
        <x:v>2014</x:v>
      </x:c>
      <x:c r="L105" s="15" t="n">
        <x:v>0.64379513</x:v>
      </x:c>
      <x:c r="M105" s="14" t="n">
        <x:v>3</x:v>
      </x:c>
      <x:c r="N105" s="14" t="str">
        <x:v>Botti v Italy | Florea v Romania | Benito v Spain | Hristov v Bulgaria</x:v>
      </x:c>
    </x:row>
    <x:row r="106">
      <x:c r="A106" s="1" t="str">
        <x:v>cmm3azb8t000d04jtx7he2awl</x:v>
      </x:c>
      <x:c r="B106" s="1" t="str">
        <x:v>cmm3awy72000404jtfbucs83q</x:v>
      </x:c>
      <x:c r="C106" s="1" t="str">
        <x:v>skeleton-args-ca2025000412-e17d5e10793fe216</x:v>
      </x:c>
      <x:c r="D106" s="12" t="n">
        <x:v>46079.42434765046</x:v>
      </x:c>
      <x:c r="E106" s="1" t="str">
        <x:v>yes</x:v>
      </x:c>
      <x:c r="F106" s="14" t="str">
        <x:v>cmm3b1g6j000j04jt8w2u9z6w</x:v>
      </x:c>
      <x:c r="G106" s="14" t="n">
        <x:v>5</x:v>
      </x:c>
      <x:c r="H106" s="14" t="str">
        <x:v>57d5bf6b-b5e4-4a29-8fe8-fc6caf7108e9</x:v>
      </x:c>
      <x:c r="I106" s="14" t="str">
        <x:v>Abedin, R (On the Application Of) v Secretary of State for the Home Department [2016] EWCA Civ 296 (10 March 2016)</x:v>
      </x:c>
      <x:c r="J106" s="14" t="str">
        <x:v>England and Wales Court of Appeal (Civil Division)</x:v>
      </x:c>
      <x:c r="K106" s="14" t="n">
        <x:v>2016</x:v>
      </x:c>
      <x:c r="L106" s="15" t="n">
        <x:v>0.6402496</x:v>
      </x:c>
      <x:c r="M106" s="14" t="n">
        <x:v>2</x:v>
      </x:c>
      <x:c r="N106" s="14" t="str">
        <x:v>Del Rio Prada v Spain | Uttley | Robinson | Del Rio Prada v Spain (2014) 58 EHRR 37 | Uttley (2004) 1 WLR 2278</x:v>
      </x:c>
    </x:row>
    <x:row r="107">
      <x:c r="A107" s="1" t="str">
        <x:v>cmm3azb8t000d04jtx7he2awl</x:v>
      </x:c>
      <x:c r="B107" s="1" t="str">
        <x:v>cmm3awy72000404jtfbucs83q</x:v>
      </x:c>
      <x:c r="C107" s="1" t="str">
        <x:v>skeleton-args-ca2025000412-e17d5e10793fe216</x:v>
      </x:c>
      <x:c r="D107" s="12" t="n">
        <x:v>46079.42434765046</x:v>
      </x:c>
      <x:c r="E107" s="1" t="str">
        <x:v>yes</x:v>
      </x:c>
      <x:c r="F107" s="14" t="str">
        <x:v>cmm3b1g6j000j04jt8w2u9z6w</x:v>
      </x:c>
      <x:c r="G107" s="14" t="n">
        <x:v>6</x:v>
      </x:c>
      <x:c r="H107" s="14" t="str">
        <x:v>88f81617-3d05-4cec-a001-5edf306bd117</x:v>
      </x:c>
      <x:c r="I107" s="14" t="str">
        <x:v>R (on the application of) SPM v Secretary of State for the Home Department [2023] EWCA Civ 764</x:v>
      </x:c>
      <x:c r="J107" s="14" t="str">
        <x:v>England and Wales Court of Appeal (Civil Division)</x:v>
      </x:c>
      <x:c r="K107" s="14" t="n">
        <x:v>2023</x:v>
      </x:c>
      <x:c r="L107" s="15" t="n">
        <x:v>0.6333014</x:v>
      </x:c>
      <x:c r="M107" s="14" t="n">
        <x:v>2</x:v>
      </x:c>
      <x:c r="N107" s="14" t="str">
        <x:v>[2022] EWHC 2007 (Admin) | [2023] EWCA Civ 764</x:v>
      </x:c>
    </x:row>
    <x:row r="108">
      <x:c r="A108" s="1" t="str">
        <x:v>cmm3azb8t000d04jtx7he2awl</x:v>
      </x:c>
      <x:c r="B108" s="1" t="str">
        <x:v>cmm3awy72000404jtfbucs83q</x:v>
      </x:c>
      <x:c r="C108" s="1" t="str">
        <x:v>skeleton-args-ca2025000412-e17d5e10793fe216</x:v>
      </x:c>
      <x:c r="D108" s="12" t="n">
        <x:v>46079.42434765046</x:v>
      </x:c>
      <x:c r="E108" s="1" t="str">
        <x:v>yes</x:v>
      </x:c>
      <x:c r="F108" s="14" t="str">
        <x:v>cmm3b1g6j000j04jt8w2u9z6w</x:v>
      </x:c>
      <x:c r="G108" s="14" t="n">
        <x:v>7</x:v>
      </x:c>
      <x:c r="H108" s="14" t="str">
        <x:v>9cd8bb4c-43ff-49b2-8bc4-b8df5f3727d6</x:v>
      </x:c>
      <x:c r="I108" s="14" t="str">
        <x:v>Weddle (R on the application of) v The Secretary of State for Justice [2016] EWCA Civ 38 (Court of Appeal, Civil Division)</x:v>
      </x:c>
      <x:c r="J108" s="14" t="str">
        <x:v>England and Wales Court of Appeal (Civil Division)</x:v>
      </x:c>
      <x:c r="K108" s="14" t="n">
        <x:v>2016</x:v>
      </x:c>
      <x:c r="L108" s="15" t="n">
        <x:v>0.62763697</x:v>
      </x:c>
      <x:c r="M108" s="14" t="n">
        <x:v>4</x:v>
      </x:c>
      <x:c r="N108" s="14" t="str">
        <x:v>Kaiyam | James | Dunn | Hall | Hall_on_Article_5_damages | Walker v Secretary of State for Justice | James v Secretary of State for Justice | Kaiyam v Secretary of State for Justice | Walker | Cawser | Pham</x:v>
      </x:c>
    </x:row>
    <x:row r="109">
      <x:c r="A109" s="1" t="str">
        <x:v>cmm3azb8t000d04jtx7he2awl</x:v>
      </x:c>
      <x:c r="B109" s="1" t="str">
        <x:v>cmm3awy72000404jtfbucs83q</x:v>
      </x:c>
      <x:c r="C109" s="1" t="str">
        <x:v>skeleton-args-ca2025000412-e17d5e10793fe216</x:v>
      </x:c>
      <x:c r="D109" s="12" t="n">
        <x:v>46079.42434765046</x:v>
      </x:c>
      <x:c r="E109" s="1" t="str">
        <x:v>yes</x:v>
      </x:c>
      <x:c r="F109" s="14" t="str">
        <x:v>cmm3b1g6j000j04jt8w2u9z6w</x:v>
      </x:c>
      <x:c r="G109" s="14" t="n">
        <x:v>8</x:v>
      </x:c>
      <x:c r="H109" s="14" t="str">
        <x:v>51cdf21d-2e8d-4694-805d-5758e7941b6e</x:v>
      </x:c>
      <x:c r="I109" s="14" t="str">
        <x:v>Hallam &amp; Anor, R (on the applications of) v The Secretary of State for Justice (rev 1) [2016] EWCA Civ 355</x:v>
      </x:c>
      <x:c r="J109" s="14" t="str">
        <x:v>England and Wales Court of Appeal (Civil Division)</x:v>
      </x:c>
      <x:c r="K109" s="14" t="n">
        <x:v>2016</x:v>
      </x:c>
      <x:c r="L109" s="15" t="n">
        <x:v>0.627193</x:v>
      </x:c>
      <x:c r="M109" s="14" t="n">
        <x:v>1</x:v>
      </x:c>
      <x:c r="N109" s="14" t="str">
        <x:v>Adams v UKSC 2011 | Allen v UK Grand Chamber 2013 | Gale v SOCA 2011 | R v Bateman 1994 | Kay v Lambeth LBC 2006 | O v Norway 2003 | Capeau v Belgium 2005 | K.F. v UK 2013 | A.L.F. v UK 2013 | Vella v Malta 2014 | Muller v Germany 2014 | Pendleton 2001 | Soca v Gale 2011</x:v>
      </x:c>
    </x:row>
    <x:row r="110">
      <x:c r="A110" s="1" t="str">
        <x:v>cmm3azb8t000d04jtx7he2awl</x:v>
      </x:c>
      <x:c r="B110" s="1" t="str">
        <x:v>cmm3awy72000404jtfbucs83q</x:v>
      </x:c>
      <x:c r="C110" s="1" t="str">
        <x:v>skeleton-args-ca2025000412-e17d5e10793fe216</x:v>
      </x:c>
      <x:c r="D110" s="12" t="n">
        <x:v>46079.42434765046</x:v>
      </x:c>
      <x:c r="E110" s="1" t="str">
        <x:v>yes</x:v>
      </x:c>
      <x:c r="F110" s="14" t="str">
        <x:v>cmm3b1g6j000j04jt8w2u9z6w</x:v>
      </x:c>
      <x:c r="G110" s="14" t="n">
        <x:v>9</x:v>
      </x:c>
      <x:c r="H110" s="14" t="str">
        <x:v>47e733e4-8b4c-42d7-a983-6af18563acb8</x:v>
      </x:c>
      <x:c r="I110" s="14" t="str">
        <x:v>Public and Commercial Services Union (and others) v Secretary of State for the Home Department</x:v>
      </x:c>
      <x:c r="J110" s="14" t="str">
        <x:v>England and Wales Court of Appeal (Civil Division)</x:v>
      </x:c>
      <x:c r="K110" s="14" t="n">
        <x:v>2022</x:v>
      </x:c>
      <x:c r="L110" s="15" t="n">
        <x:v>0.62614566</x:v>
      </x:c>
      <x:c r="M110" s="14" t="n">
        <x:v>1</x:v>
      </x:c>
      <x:c r="N110" s="14" t="str">
        <x:v>Secretary of State for Education and Science v Tameside MBC [1977] AC 1014 | Gillick v West Norfolk and Wisbech AHA [1986] AC 112 | Hadmor Productions Ltd v Hamilton [1983] 1 AC 191 | Frank Industries Pty UK v Nike Retail BV [2018] EWCA Civ 497 | R v Governing Body of X [cite not provided in text]</x:v>
      </x:c>
    </x:row>
    <x:row r="111">
      <x:c r="A111" s="1" t="str">
        <x:v>cmm3azb8t000d04jtx7he2awl</x:v>
      </x:c>
      <x:c r="B111" s="1" t="str">
        <x:v>cmm3awy72000404jtfbucs83q</x:v>
      </x:c>
      <x:c r="C111" s="1" t="str">
        <x:v>skeleton-args-ca2025000412-e17d5e10793fe216</x:v>
      </x:c>
      <x:c r="D111" s="12" t="n">
        <x:v>46079.42434765046</x:v>
      </x:c>
      <x:c r="E111" s="1" t="str">
        <x:v>yes</x:v>
      </x:c>
      <x:c r="F111" s="14" t="str">
        <x:v>cmm3b1g6j000j04jt8w2u9z6w</x:v>
      </x:c>
      <x:c r="G111" s="14" t="n">
        <x:v>10</x:v>
      </x:c>
      <x:c r="H111" s="14" t="str">
        <x:v>720cde29-16c8-41e8-9899-7ac2abcb1cc1</x:v>
      </x:c>
      <x:c r="I111" s="14" t="str">
        <x:v>FI v Secretary of State for the Home Department [2014] EWCA Civ 1272</x:v>
      </x:c>
      <x:c r="J111" s="14" t="str">
        <x:v>England and Wales Court of Appeal (Civil Division)</x:v>
      </x:c>
      <x:c r="K111" s="14" t="n">
        <x:v>2014</x:v>
      </x:c>
      <x:c r="L111" s="15" t="n">
        <x:v>0.6255518</x:v>
      </x:c>
      <x:c r="M111" s="14" t="n">
        <x:v>1</x:v>
      </x:c>
      <x:c r="N111" s="14" t="str"/>
    </x:row>
    <x:row r="112">
      <x:c r="A112" s="1" t="str">
        <x:v>cmm93cs0n000304l46op6ul80</x:v>
      </x:c>
      <x:c r="B112" s="1" t="str">
        <x:v>cmm91vpkv000204ibt9h7gspj</x:v>
      </x:c>
      <x:c r="C112" s="1" t="str">
        <x:v>skeleton-args-ca2019004792-59f1ed0831f20944</x:v>
      </x:c>
      <x:c r="D112" s="12" t="n">
        <x:v>46083.47513857639</x:v>
      </x:c>
      <x:c r="E112" s="1" t="str">
        <x:v>yes</x:v>
      </x:c>
      <x:c r="F112" s="14" t="str">
        <x:v>cmm93eoww000904l4jttzk880</x:v>
      </x:c>
      <x:c r="G112" s="14" t="n">
        <x:v>1</x:v>
      </x:c>
      <x:c r="H112" s="14" t="str">
        <x:v>031797cd-b2d5-42dc-9292-4485d3c8553c</x:v>
      </x:c>
      <x:c r="I112" s="14" t="str">
        <x:v>Bilal &amp; Anor v St George's University Hospital NHS Foundation Trust [2023] EWCA Civ 605</x:v>
      </x:c>
      <x:c r="J112" s="14" t="str">
        <x:v>England and Wales Court of Appeal (Civil Division)</x:v>
      </x:c>
      <x:c r="K112" s="14" t="n">
        <x:v>2023</x:v>
      </x:c>
      <x:c r="L112" s="15" t="n">
        <x:v>0.72063124</x:v>
      </x:c>
      <x:c r="M112" s="14" t="n">
        <x:v>6</x:v>
      </x:c>
      <x:c r="N112" s="14" t="str">
        <x:v>Bolam v Friern Hospital Management Committee | Montgomery v Lanarkshire Health Board | Chester v Afshar | Sidaway | Rogers v Whitaker | Pearce | Bolam v Friern | Montgomery v Lanarkshire | Bolam | Montgomery | Chester</x:v>
      </x:c>
    </x:row>
    <x:row r="113">
      <x:c r="A113" s="1" t="str">
        <x:v>cmm93cs0n000304l46op6ul80</x:v>
      </x:c>
      <x:c r="B113" s="1" t="str">
        <x:v>cmm91vpkv000204ibt9h7gspj</x:v>
      </x:c>
      <x:c r="C113" s="1" t="str">
        <x:v>skeleton-args-ca2019004792-59f1ed0831f20944</x:v>
      </x:c>
      <x:c r="D113" s="12" t="n">
        <x:v>46083.47513857639</x:v>
      </x:c>
      <x:c r="E113" s="1" t="str">
        <x:v>yes</x:v>
      </x:c>
      <x:c r="F113" s="14" t="str">
        <x:v>cmm93eoww000904l4jttzk880</x:v>
      </x:c>
      <x:c r="G113" s="14" t="n">
        <x:v>2</x:v>
      </x:c>
      <x:c r="H113" s="14" t="str">
        <x:v>127de7d1-1e96-4936-82d9-f933bbeb8539</x:v>
      </x:c>
      <x:c r="I113" s="14" t="str">
        <x:v>Collins v Secretary of State for Business Innovation and Skills &amp; Anor</x:v>
      </x:c>
      <x:c r="J113" s="14" t="str">
        <x:v>England and Wales Court of Appeal (Civil Division)</x:v>
      </x:c>
      <x:c r="K113" s="14" t="n">
        <x:v>2014</x:v>
      </x:c>
      <x:c r="L113" s="15" t="n">
        <x:v>0.6975168</x:v>
      </x:c>
      <x:c r="M113" s="14" t="n">
        <x:v>3</x:v>
      </x:c>
      <x:c r="N113" s="14" t="str">
        <x:v>Limitation Act 1980 | Spargo v North Essex District Health Authority [1997] EWCA Civ 1232</x:v>
      </x:c>
    </x:row>
    <x:row r="114">
      <x:c r="A114" s="1" t="str">
        <x:v>cmm93cs0n000304l46op6ul80</x:v>
      </x:c>
      <x:c r="B114" s="1" t="str">
        <x:v>cmm91vpkv000204ibt9h7gspj</x:v>
      </x:c>
      <x:c r="C114" s="1" t="str">
        <x:v>skeleton-args-ca2019004792-59f1ed0831f20944</x:v>
      </x:c>
      <x:c r="D114" s="12" t="n">
        <x:v>46083.47513857639</x:v>
      </x:c>
      <x:c r="E114" s="1" t="str">
        <x:v>yes</x:v>
      </x:c>
      <x:c r="F114" s="14" t="str">
        <x:v>cmm93eoww000904l4jttzk880</x:v>
      </x:c>
      <x:c r="G114" s="14" t="n">
        <x:v>3</x:v>
      </x:c>
      <x:c r="H114" s="14" t="str">
        <x:v>6c956002-60ab-482d-bce9-914febd99213</x:v>
      </x:c>
      <x:c r="I114" s="14" t="str">
        <x:v>Worrall v Antoniadou [2016] EWCA Civ 1219</x:v>
      </x:c>
      <x:c r="J114" s="14" t="str">
        <x:v>England and Wales Court of Appeal (Civil Division)</x:v>
      </x:c>
      <x:c r="K114" s="14" t="n">
        <x:v>2016</x:v>
      </x:c>
      <x:c r="L114" s="15" t="n">
        <x:v>0.6814747</x:v>
      </x:c>
      <x:c r="M114" s="14" t="n">
        <x:v>3</x:v>
      </x:c>
      <x:c r="N114" s="14" t="str">
        <x:v>Montgomery v Lanarkshire Health Board [2015] AC 1430 | Sidaway v Board of Governors of the Bethlem Royal Hospital [1985] 1 AC 871 | Faunch v O'Donoghue [2013] EWCA Civ 1698 | Montgomery | Sidaway | Faunch | Montgomery v Lanarkshire Health Board | Sidaway v Board of Governors</x:v>
      </x:c>
    </x:row>
    <x:row r="115">
      <x:c r="A115" s="1" t="str">
        <x:v>cmm93cs0n000304l46op6ul80</x:v>
      </x:c>
      <x:c r="B115" s="1" t="str">
        <x:v>cmm91vpkv000204ibt9h7gspj</x:v>
      </x:c>
      <x:c r="C115" s="1" t="str">
        <x:v>skeleton-args-ca2019004792-59f1ed0831f20944</x:v>
      </x:c>
      <x:c r="D115" s="12" t="n">
        <x:v>46083.47513857639</x:v>
      </x:c>
      <x:c r="E115" s="1" t="str">
        <x:v>yes</x:v>
      </x:c>
      <x:c r="F115" s="14" t="str">
        <x:v>cmm93eoww000904l4jttzk880</x:v>
      </x:c>
      <x:c r="G115" s="14" t="n">
        <x:v>4</x:v>
      </x:c>
      <x:c r="H115" s="14" t="str">
        <x:v>2c529d3c-f445-459e-ae7c-ae0fb3f24875</x:v>
      </x:c>
      <x:c r="I115" s="14" t="str">
        <x:v>Duce v Worcestershire Acute Hospitals NHS Trust</x:v>
      </x:c>
      <x:c r="J115" s="14" t="str">
        <x:v>England and Wales Court of Appeal (Civil Division)</x:v>
      </x:c>
      <x:c r="K115" s="14" t="n">
        <x:v>2014</x:v>
      </x:c>
      <x:c r="L115" s="15" t="n">
        <x:v>0.6797099</x:v>
      </x:c>
      <x:c r="M115" s="14" t="n">
        <x:v>2</x:v>
      </x:c>
      <x:c r="N115" s="14" t="str">
        <x:v>Pearce v United Bristol Healthcare NHS Trust [1999] PIQR 53</x:v>
      </x:c>
    </x:row>
    <x:row r="116">
      <x:c r="A116" s="1" t="str">
        <x:v>cmm93cs0n000304l46op6ul80</x:v>
      </x:c>
      <x:c r="B116" s="1" t="str">
        <x:v>cmm91vpkv000204ibt9h7gspj</x:v>
      </x:c>
      <x:c r="C116" s="1" t="str">
        <x:v>skeleton-args-ca2019004792-59f1ed0831f20944</x:v>
      </x:c>
      <x:c r="D116" s="12" t="n">
        <x:v>46083.47513857639</x:v>
      </x:c>
      <x:c r="E116" s="1" t="str">
        <x:v>yes</x:v>
      </x:c>
      <x:c r="F116" s="14" t="str">
        <x:v>cmm93eoww000904l4jttzk880</x:v>
      </x:c>
      <x:c r="G116" s="14" t="n">
        <x:v>5</x:v>
      </x:c>
      <x:c r="H116" s="14" t="str">
        <x:v>09032da4-f24a-4dd0-96cf-5e5fa79ba1f3</x:v>
      </x:c>
      <x:c r="I116" s="14" t="str">
        <x:v>O'Connor v Bar Standards Board [2016] EWCA Civ 775</x:v>
      </x:c>
      <x:c r="J116" s="14" t="str">
        <x:v>England and Wales Court of Appeal (Civil Division)</x:v>
      </x:c>
      <x:c r="K116" s="14" t="n">
        <x:v>2016</x:v>
      </x:c>
      <x:c r="L116" s="15" t="n">
        <x:v>0.6650815</x:v>
      </x:c>
      <x:c r="M116" s="14" t="n">
        <x:v>1</x:v>
      </x:c>
      <x:c r="N116" s="14" t="str">
        <x:v>Montgomery v HM Advocate [2003] 1 AC 641 | Somerville v Scottish Ministers [2007] 1 WLR 2734 | DH v Czech Republic (2008) 47 EHRR 3 | Orsus v Croatia (2011) 52 EHRR 300 | A v Essex County Council [2011] 1 AC 280 | Cameron v Network Rail Infrastructure [2007] 1 WLR 163 | Dunn v Parole Board [2009] 1 WLR 728 | Eckle v Germany App 8130/78</x:v>
      </x:c>
    </x:row>
    <x:row r="117">
      <x:c r="A117" s="1" t="str">
        <x:v>cmm93cs0n000304l46op6ul80</x:v>
      </x:c>
      <x:c r="B117" s="1" t="str">
        <x:v>cmm91vpkv000204ibt9h7gspj</x:v>
      </x:c>
      <x:c r="C117" s="1" t="str">
        <x:v>skeleton-args-ca2019004792-59f1ed0831f20944</x:v>
      </x:c>
      <x:c r="D117" s="12" t="n">
        <x:v>46083.47513857639</x:v>
      </x:c>
      <x:c r="E117" s="1" t="str">
        <x:v>yes</x:v>
      </x:c>
      <x:c r="F117" s="14" t="str">
        <x:v>cmm93eoww000904l4jttzk880</x:v>
      </x:c>
      <x:c r="G117" s="14" t="n">
        <x:v>6</x:v>
      </x:c>
      <x:c r="H117" s="14" t="str">
        <x:v>ea179fd6-9cc0-4327-b94e-9bdff9e46c0c</x:v>
      </x:c>
      <x:c r="I117" s="14" t="str">
        <x:v>Kadir v Mistry &amp; Ors [2014] EWCA Civ 1177</x:v>
      </x:c>
      <x:c r="J117" s="14" t="str">
        <x:v>England and Wales Court of Appeal (Civil Division)</x:v>
      </x:c>
      <x:c r="K117" s="14" t="n">
        <x:v>2014</x:v>
      </x:c>
      <x:c r="L117" s="15" t="n">
        <x:v>0.66475624</x:v>
      </x:c>
      <x:c r="M117" s="14" t="n">
        <x:v>2</x:v>
      </x:c>
      <x:c r="N117" s="14" t="str"/>
    </x:row>
    <x:row r="118">
      <x:c r="A118" s="1" t="str">
        <x:v>cmm93cs0n000304l46op6ul80</x:v>
      </x:c>
      <x:c r="B118" s="1" t="str">
        <x:v>cmm91vpkv000204ibt9h7gspj</x:v>
      </x:c>
      <x:c r="C118" s="1" t="str">
        <x:v>skeleton-args-ca2019004792-59f1ed0831f20944</x:v>
      </x:c>
      <x:c r="D118" s="12" t="n">
        <x:v>46083.47513857639</x:v>
      </x:c>
      <x:c r="E118" s="1" t="str">
        <x:v>yes</x:v>
      </x:c>
      <x:c r="F118" s="14" t="str">
        <x:v>cmm93eoww000904l4jttzk880</x:v>
      </x:c>
      <x:c r="G118" s="14" t="n">
        <x:v>7</x:v>
      </x:c>
      <x:c r="H118" s="14" t="str">
        <x:v>3b56f922-9884-43fd-9704-884f90c524db</x:v>
      </x:c>
      <x:c r="I118" s="14" t="str">
        <x:v>Abdel-Khalek v Ali [2016] EWCA Civ 80</x:v>
      </x:c>
      <x:c r="J118" s="14" t="str">
        <x:v>England and Wales Court of Appeal (Civil Division)</x:v>
      </x:c>
      <x:c r="K118" s="14" t="n">
        <x:v>2016</x:v>
      </x:c>
      <x:c r="L118" s="15" t="n">
        <x:v>0.66252905</x:v>
      </x:c>
      <x:c r="M118" s="14" t="n">
        <x:v>2</x:v>
      </x:c>
      <x:c r="N118" s="14" t="str">
        <x:v>Hedley Byrne | Spring v Guardian | Hedley Byrne &amp; Co v Heller &amp; Partners Ltd [1964] AC 465 | Spring v Guardian Assurance plc [1995] 2 AC 296</x:v>
      </x:c>
    </x:row>
    <x:row r="119">
      <x:c r="A119" s="1" t="str">
        <x:v>cmm93cs0n000304l46op6ul80</x:v>
      </x:c>
      <x:c r="B119" s="1" t="str">
        <x:v>cmm91vpkv000204ibt9h7gspj</x:v>
      </x:c>
      <x:c r="C119" s="1" t="str">
        <x:v>skeleton-args-ca2019004792-59f1ed0831f20944</x:v>
      </x:c>
      <x:c r="D119" s="12" t="n">
        <x:v>46083.47513857639</x:v>
      </x:c>
      <x:c r="E119" s="1" t="str">
        <x:v>yes</x:v>
      </x:c>
      <x:c r="F119" s="14" t="str">
        <x:v>cmm93eoww000904l4jttzk880</x:v>
      </x:c>
      <x:c r="G119" s="14" t="n">
        <x:v>8</x:v>
      </x:c>
      <x:c r="H119" s="14" t="str">
        <x:v>c45b113b-b1e9-442c-bce8-4a22844d94ea</x:v>
      </x:c>
      <x:c r="I119" s="14" t="str">
        <x:v>C v North Cumbria University Hospitals NHS Trust</x:v>
      </x:c>
      <x:c r="J119" s="14" t="str">
        <x:v>England and Wales Court of Appeal (Civil Division)</x:v>
      </x:c>
      <x:c r="K119" s="14" t="n">
        <x:v>2014</x:v>
      </x:c>
      <x:c r="L119" s="15" t="n">
        <x:v>0.6600004</x:v>
      </x:c>
      <x:c r="M119" s="14" t="n">
        <x:v>3</x:v>
      </x:c>
      <x:c r="N119" s="14" t="str">
        <x:v>Bolam v Friern Hospital Management Committee | Bolitho v City and Hackney Health Authority</x:v>
      </x:c>
    </x:row>
    <x:row r="120">
      <x:c r="A120" s="1" t="str">
        <x:v>cmm93cs0n000304l46op6ul80</x:v>
      </x:c>
      <x:c r="B120" s="1" t="str">
        <x:v>cmm91vpkv000204ibt9h7gspj</x:v>
      </x:c>
      <x:c r="C120" s="1" t="str">
        <x:v>skeleton-args-ca2019004792-59f1ed0831f20944</x:v>
      </x:c>
      <x:c r="D120" s="12" t="n">
        <x:v>46083.47513857639</x:v>
      </x:c>
      <x:c r="E120" s="1" t="str">
        <x:v>yes</x:v>
      </x:c>
      <x:c r="F120" s="14" t="str">
        <x:v>cmm93eoww000904l4jttzk880</x:v>
      </x:c>
      <x:c r="G120" s="14" t="n">
        <x:v>9</x:v>
      </x:c>
      <x:c r="H120" s="14" t="str">
        <x:v>bc404037-1dd0-47a8-8f10-d0876c870fd7</x:v>
      </x:c>
      <x:c r="I120" s="14" t="str">
        <x:v>Ali v Caton &amp; Anor [2014] EWCA Civ 1313</x:v>
      </x:c>
      <x:c r="J120" s="14" t="str">
        <x:v>England and Wales Court of Appeal (Civil Division)</x:v>
      </x:c>
      <x:c r="K120" s="14" t="n">
        <x:v>2014</x:v>
      </x:c>
      <x:c r="L120" s="15" t="n">
        <x:v>0.6595523</x:v>
      </x:c>
      <x:c r="M120" s="14" t="n">
        <x:v>2</x:v>
      </x:c>
      <x:c r="N120" s="14" t="str"/>
    </x:row>
    <x:row r="121">
      <x:c r="A121" s="1" t="str">
        <x:v>cmm93cs0n000304l46op6ul80</x:v>
      </x:c>
      <x:c r="B121" s="1" t="str">
        <x:v>cmm91vpkv000204ibt9h7gspj</x:v>
      </x:c>
      <x:c r="C121" s="1" t="str">
        <x:v>skeleton-args-ca2019004792-59f1ed0831f20944</x:v>
      </x:c>
      <x:c r="D121" s="12" t="n">
        <x:v>46083.47513857639</x:v>
      </x:c>
      <x:c r="E121" s="1" t="str">
        <x:v>yes</x:v>
      </x:c>
      <x:c r="F121" s="14" t="str">
        <x:v>cmm93eoww000904l4jttzk880</x:v>
      </x:c>
      <x:c r="G121" s="14" t="n">
        <x:v>10</x:v>
      </x:c>
      <x:c r="H121" s="14" t="str">
        <x:v>90d7a223-ab0a-4dc6-b2e6-2c8123bf1c7b</x:v>
      </x:c>
      <x:c r="I121" s="14" t="str">
        <x:v>Meiklejohn v St George's Healthcare NHS Trust &amp; Anor [2014] EWCA Civ 120</x:v>
      </x:c>
      <x:c r="J121" s="14" t="str">
        <x:v>England and Wales Court of Appeal (Civil Division)</x:v>
      </x:c>
      <x:c r="K121" s="14" t="n">
        <x:v>2014</x:v>
      </x:c>
      <x:c r="L121" s="15" t="n">
        <x:v>0.6527466</x:v>
      </x:c>
      <x:c r="M121" s="14" t="n">
        <x:v>2</x:v>
      </x:c>
      <x:c r="N121" s="14" t="str"/>
    </x:row>
    <x:row r="122">
      <x:c r="A122" s="1" t="str">
        <x:v>cmmaeetm7000304l5dod3nsd8</x:v>
      </x:c>
      <x:c r="B122" s="1" t="str">
        <x:v>cmm91vpkv000204ibt9h7gspj</x:v>
      </x:c>
      <x:c r="C122" s="1" t="str">
        <x:v>skeleton-args-ca2019004792-59f1ed0831f20944</x:v>
      </x:c>
      <x:c r="D122" s="12" t="n">
        <x:v>46084.38992282408</x:v>
      </x:c>
      <x:c r="E122" s="1" t="str">
        <x:v>no</x:v>
      </x:c>
      <x:c r="F122" s="14" t="str"/>
      <x:c r="G122" s="14" t="n">
        <x:v>1</x:v>
      </x:c>
      <x:c r="H122" s="14" t="str">
        <x:v>031797cd-b2d5-42dc-9292-4485d3c8553c</x:v>
      </x:c>
      <x:c r="I122" s="14" t="str">
        <x:v>Bilal &amp; Anor v St George's University Hospital NHS Foundation Trust [2023] EWCA Civ 605</x:v>
      </x:c>
      <x:c r="J122" s="14" t="str">
        <x:v>England and Wales Court of Appeal (Civil Division)</x:v>
      </x:c>
      <x:c r="K122" s="14" t="n">
        <x:v>2023</x:v>
      </x:c>
      <x:c r="L122" s="15" t="n">
        <x:v>0.72063124</x:v>
      </x:c>
      <x:c r="M122" s="14" t="n">
        <x:v>6</x:v>
      </x:c>
      <x:c r="N122" s="14" t="str">
        <x:v>Bolam v Friern Hospital Management Committee | Montgomery v Lanarkshire Health Board | Chester v Afshar | Sidaway | Rogers v Whitaker | Pearce | Bolam v Friern | Montgomery v Lanarkshire | Bolam | Montgomery | Chester</x:v>
      </x:c>
    </x:row>
    <x:row r="123">
      <x:c r="A123" s="1" t="str">
        <x:v>cmmaeetm7000304l5dod3nsd8</x:v>
      </x:c>
      <x:c r="B123" s="1" t="str">
        <x:v>cmm91vpkv000204ibt9h7gspj</x:v>
      </x:c>
      <x:c r="C123" s="1" t="str">
        <x:v>skeleton-args-ca2019004792-59f1ed0831f20944</x:v>
      </x:c>
      <x:c r="D123" s="12" t="n">
        <x:v>46084.38992282408</x:v>
      </x:c>
      <x:c r="E123" s="1" t="str">
        <x:v>no</x:v>
      </x:c>
      <x:c r="F123" s="14" t="str"/>
      <x:c r="G123" s="14" t="n">
        <x:v>2</x:v>
      </x:c>
      <x:c r="H123" s="14" t="str">
        <x:v>127de7d1-1e96-4936-82d9-f933bbeb8539</x:v>
      </x:c>
      <x:c r="I123" s="14" t="str">
        <x:v>Collins v Secretary of State for Business Innovation and Skills &amp; Anor</x:v>
      </x:c>
      <x:c r="J123" s="14" t="str">
        <x:v>England and Wales Court of Appeal (Civil Division)</x:v>
      </x:c>
      <x:c r="K123" s="14" t="n">
        <x:v>2014</x:v>
      </x:c>
      <x:c r="L123" s="15" t="n">
        <x:v>0.6975168</x:v>
      </x:c>
      <x:c r="M123" s="14" t="n">
        <x:v>3</x:v>
      </x:c>
      <x:c r="N123" s="14" t="str">
        <x:v>Limitation Act 1980 | Spargo v North Essex District Health Authority [1997] EWCA Civ 1232</x:v>
      </x:c>
    </x:row>
    <x:row r="124">
      <x:c r="A124" s="1" t="str">
        <x:v>cmmaeetm7000304l5dod3nsd8</x:v>
      </x:c>
      <x:c r="B124" s="1" t="str">
        <x:v>cmm91vpkv000204ibt9h7gspj</x:v>
      </x:c>
      <x:c r="C124" s="1" t="str">
        <x:v>skeleton-args-ca2019004792-59f1ed0831f20944</x:v>
      </x:c>
      <x:c r="D124" s="12" t="n">
        <x:v>46084.38992282408</x:v>
      </x:c>
      <x:c r="E124" s="1" t="str">
        <x:v>no</x:v>
      </x:c>
      <x:c r="F124" s="14" t="str"/>
      <x:c r="G124" s="14" t="n">
        <x:v>3</x:v>
      </x:c>
      <x:c r="H124" s="14" t="str">
        <x:v>6c956002-60ab-482d-bce9-914febd99213</x:v>
      </x:c>
      <x:c r="I124" s="14" t="str">
        <x:v>Worrall v Antoniadou [2016] EWCA Civ 1219</x:v>
      </x:c>
      <x:c r="J124" s="14" t="str">
        <x:v>England and Wales Court of Appeal (Civil Division)</x:v>
      </x:c>
      <x:c r="K124" s="14" t="n">
        <x:v>2016</x:v>
      </x:c>
      <x:c r="L124" s="15" t="n">
        <x:v>0.6814747</x:v>
      </x:c>
      <x:c r="M124" s="14" t="n">
        <x:v>3</x:v>
      </x:c>
      <x:c r="N124" s="14" t="str">
        <x:v>Montgomery v Lanarkshire Health Board [2015] AC 1430 | Sidaway v Board of Governors of the Bethlem Royal Hospital [1985] 1 AC 871 | Faunch v O'Donoghue [2013] EWCA Civ 1698 | Montgomery | Sidaway | Faunch | Montgomery v Lanarkshire Health Board | Sidaway v Board of Governors</x:v>
      </x:c>
    </x:row>
    <x:row r="125">
      <x:c r="A125" s="1" t="str">
        <x:v>cmmaeetm7000304l5dod3nsd8</x:v>
      </x:c>
      <x:c r="B125" s="1" t="str">
        <x:v>cmm91vpkv000204ibt9h7gspj</x:v>
      </x:c>
      <x:c r="C125" s="1" t="str">
        <x:v>skeleton-args-ca2019004792-59f1ed0831f20944</x:v>
      </x:c>
      <x:c r="D125" s="12" t="n">
        <x:v>46084.38992282408</x:v>
      </x:c>
      <x:c r="E125" s="1" t="str">
        <x:v>no</x:v>
      </x:c>
      <x:c r="F125" s="14" t="str"/>
      <x:c r="G125" s="14" t="n">
        <x:v>4</x:v>
      </x:c>
      <x:c r="H125" s="14" t="str">
        <x:v>2c529d3c-f445-459e-ae7c-ae0fb3f24875</x:v>
      </x:c>
      <x:c r="I125" s="14" t="str">
        <x:v>Duce v Worcestershire Acute Hospitals NHS Trust</x:v>
      </x:c>
      <x:c r="J125" s="14" t="str">
        <x:v>England and Wales Court of Appeal (Civil Division)</x:v>
      </x:c>
      <x:c r="K125" s="14" t="n">
        <x:v>2014</x:v>
      </x:c>
      <x:c r="L125" s="15" t="n">
        <x:v>0.6797099</x:v>
      </x:c>
      <x:c r="M125" s="14" t="n">
        <x:v>2</x:v>
      </x:c>
      <x:c r="N125" s="14" t="str">
        <x:v>Pearce v United Bristol Healthcare NHS Trust [1999] PIQR 53</x:v>
      </x:c>
    </x:row>
    <x:row r="126">
      <x:c r="A126" s="1" t="str">
        <x:v>cmmaeetm7000304l5dod3nsd8</x:v>
      </x:c>
      <x:c r="B126" s="1" t="str">
        <x:v>cmm91vpkv000204ibt9h7gspj</x:v>
      </x:c>
      <x:c r="C126" s="1" t="str">
        <x:v>skeleton-args-ca2019004792-59f1ed0831f20944</x:v>
      </x:c>
      <x:c r="D126" s="12" t="n">
        <x:v>46084.38992282408</x:v>
      </x:c>
      <x:c r="E126" s="1" t="str">
        <x:v>no</x:v>
      </x:c>
      <x:c r="F126" s="14" t="str"/>
      <x:c r="G126" s="14" t="n">
        <x:v>5</x:v>
      </x:c>
      <x:c r="H126" s="14" t="str">
        <x:v>a06e93bf-f1f4-4a30-b6f3-96fcc361577c</x:v>
      </x:c>
      <x:c r="I126" s="14" t="str">
        <x:v>Synclair v East Lancashire Hospitals NHS Trust</x:v>
      </x:c>
      <x:c r="J126" s="14" t="str">
        <x:v>England and Wales Court of Appeal (Civil Division)</x:v>
      </x:c>
      <x:c r="K126" s="14" t="n">
        <x:v>2015</x:v>
      </x:c>
      <x:c r="L126" s="15" t="n">
        <x:v>0.6741403</x:v>
      </x:c>
      <x:c r="M126" s="14" t="n">
        <x:v>2</x:v>
      </x:c>
      <x:c r="N126" s="14" t="str"/>
    </x:row>
    <x:row r="127">
      <x:c r="A127" s="1" t="str">
        <x:v>cmmaeetm7000304l5dod3nsd8</x:v>
      </x:c>
      <x:c r="B127" s="1" t="str">
        <x:v>cmm91vpkv000204ibt9h7gspj</x:v>
      </x:c>
      <x:c r="C127" s="1" t="str">
        <x:v>skeleton-args-ca2019004792-59f1ed0831f20944</x:v>
      </x:c>
      <x:c r="D127" s="12" t="n">
        <x:v>46084.38992282408</x:v>
      </x:c>
      <x:c r="E127" s="1" t="str">
        <x:v>no</x:v>
      </x:c>
      <x:c r="F127" s="14" t="str"/>
      <x:c r="G127" s="14" t="n">
        <x:v>6</x:v>
      </x:c>
      <x:c r="H127" s="14" t="str">
        <x:v>09032da4-f24a-4dd0-96cf-5e5fa79ba1f3</x:v>
      </x:c>
      <x:c r="I127" s="14" t="str">
        <x:v>O'Connor v Bar Standards Board [2016] EWCA Civ 775</x:v>
      </x:c>
      <x:c r="J127" s="14" t="str">
        <x:v>England and Wales Court of Appeal (Civil Division)</x:v>
      </x:c>
      <x:c r="K127" s="14" t="n">
        <x:v>2016</x:v>
      </x:c>
      <x:c r="L127" s="15" t="n">
        <x:v>0.6650815</x:v>
      </x:c>
      <x:c r="M127" s="14" t="n">
        <x:v>1</x:v>
      </x:c>
      <x:c r="N127" s="14" t="str">
        <x:v>Montgomery v HM Advocate [2003] 1 AC 641 | Somerville v Scottish Ministers [2007] 1 WLR 2734 | DH v Czech Republic (2008) 47 EHRR 3 | Orsus v Croatia (2011) 52 EHRR 300 | A v Essex County Council [2011] 1 AC 280 | Cameron v Network Rail Infrastructure [2007] 1 WLR 163 | Dunn v Parole Board [2009] 1 WLR 728 | Eckle v Germany App 8130/78</x:v>
      </x:c>
    </x:row>
    <x:row r="128">
      <x:c r="A128" s="1" t="str">
        <x:v>cmmaeetm7000304l5dod3nsd8</x:v>
      </x:c>
      <x:c r="B128" s="1" t="str">
        <x:v>cmm91vpkv000204ibt9h7gspj</x:v>
      </x:c>
      <x:c r="C128" s="1" t="str">
        <x:v>skeleton-args-ca2019004792-59f1ed0831f20944</x:v>
      </x:c>
      <x:c r="D128" s="12" t="n">
        <x:v>46084.38992282408</x:v>
      </x:c>
      <x:c r="E128" s="1" t="str">
        <x:v>no</x:v>
      </x:c>
      <x:c r="F128" s="14" t="str"/>
      <x:c r="G128" s="14" t="n">
        <x:v>7</x:v>
      </x:c>
      <x:c r="H128" s="14" t="str">
        <x:v>ea179fd6-9cc0-4327-b94e-9bdff9e46c0c</x:v>
      </x:c>
      <x:c r="I128" s="14" t="str">
        <x:v>Kadir v Mistry &amp; Ors [2014] EWCA Civ 1177</x:v>
      </x:c>
      <x:c r="J128" s="14" t="str">
        <x:v>England and Wales Court of Appeal (Civil Division)</x:v>
      </x:c>
      <x:c r="K128" s="14" t="n">
        <x:v>2014</x:v>
      </x:c>
      <x:c r="L128" s="15" t="n">
        <x:v>0.66475624</x:v>
      </x:c>
      <x:c r="M128" s="14" t="n">
        <x:v>2</x:v>
      </x:c>
      <x:c r="N128" s="14" t="str"/>
    </x:row>
    <x:row r="129">
      <x:c r="A129" s="1" t="str">
        <x:v>cmmaeetm7000304l5dod3nsd8</x:v>
      </x:c>
      <x:c r="B129" s="1" t="str">
        <x:v>cmm91vpkv000204ibt9h7gspj</x:v>
      </x:c>
      <x:c r="C129" s="1" t="str">
        <x:v>skeleton-args-ca2019004792-59f1ed0831f20944</x:v>
      </x:c>
      <x:c r="D129" s="12" t="n">
        <x:v>46084.38992282408</x:v>
      </x:c>
      <x:c r="E129" s="1" t="str">
        <x:v>no</x:v>
      </x:c>
      <x:c r="F129" s="14" t="str"/>
      <x:c r="G129" s="14" t="n">
        <x:v>8</x:v>
      </x:c>
      <x:c r="H129" s="14" t="str">
        <x:v>3b56f922-9884-43fd-9704-884f90c524db</x:v>
      </x:c>
      <x:c r="I129" s="14" t="str">
        <x:v>Abdel-Khalek v Ali [2016] EWCA Civ 80</x:v>
      </x:c>
      <x:c r="J129" s="14" t="str">
        <x:v>England and Wales Court of Appeal (Civil Division)</x:v>
      </x:c>
      <x:c r="K129" s="14" t="n">
        <x:v>2016</x:v>
      </x:c>
      <x:c r="L129" s="15" t="n">
        <x:v>0.66252905</x:v>
      </x:c>
      <x:c r="M129" s="14" t="n">
        <x:v>2</x:v>
      </x:c>
      <x:c r="N129" s="14" t="str">
        <x:v>Hedley Byrne | Spring v Guardian | Hedley Byrne &amp; Co v Heller &amp; Partners Ltd [1964] AC 465 | Spring v Guardian Assurance plc [1995] 2 AC 296</x:v>
      </x:c>
    </x:row>
    <x:row r="130">
      <x:c r="A130" s="1" t="str">
        <x:v>cmmaeetm7000304l5dod3nsd8</x:v>
      </x:c>
      <x:c r="B130" s="1" t="str">
        <x:v>cmm91vpkv000204ibt9h7gspj</x:v>
      </x:c>
      <x:c r="C130" s="1" t="str">
        <x:v>skeleton-args-ca2019004792-59f1ed0831f20944</x:v>
      </x:c>
      <x:c r="D130" s="12" t="n">
        <x:v>46084.38992282408</x:v>
      </x:c>
      <x:c r="E130" s="1" t="str">
        <x:v>no</x:v>
      </x:c>
      <x:c r="F130" s="14" t="str"/>
      <x:c r="G130" s="14" t="n">
        <x:v>9</x:v>
      </x:c>
      <x:c r="H130" s="14" t="str">
        <x:v>1cbf7265-8831-48d0-96a6-60281c5db2ee</x:v>
      </x:c>
      <x:c r="I130" s="14" t="str">
        <x:v>Border v Lewisham And Greenwich NHS Trust [2015] EWCA Civ 8</x:v>
      </x:c>
      <x:c r="J130" s="14" t="str">
        <x:v>England and Wales Court of Appeal (Civil Division)</x:v>
      </x:c>
      <x:c r="K130" s="14" t="n">
        <x:v>2015</x:v>
      </x:c>
      <x:c r="L130" s="15" t="n">
        <x:v>0.6613436</x:v>
      </x:c>
      <x:c r="M130" s="14" t="n">
        <x:v>2</x:v>
      </x:c>
      <x:c r="N130" s="14" t="str">
        <x:v>St George's Healthcare NHS Trust v S [1999] Fam 26 | Chester v Afshar [2004] UKHL 41</x:v>
      </x:c>
    </x:row>
    <x:row r="131">
      <x:c r="A131" s="1" t="str">
        <x:v>cmmaeetm7000304l5dod3nsd8</x:v>
      </x:c>
      <x:c r="B131" s="1" t="str">
        <x:v>cmm91vpkv000204ibt9h7gspj</x:v>
      </x:c>
      <x:c r="C131" s="1" t="str">
        <x:v>skeleton-args-ca2019004792-59f1ed0831f20944</x:v>
      </x:c>
      <x:c r="D131" s="12" t="n">
        <x:v>46084.38992282408</x:v>
      </x:c>
      <x:c r="E131" s="1" t="str">
        <x:v>no</x:v>
      </x:c>
      <x:c r="F131" s="14" t="str"/>
      <x:c r="G131" s="14" t="n">
        <x:v>10</x:v>
      </x:c>
      <x:c r="H131" s="14" t="str">
        <x:v>c45b113b-b1e9-442c-bce8-4a22844d94ea</x:v>
      </x:c>
      <x:c r="I131" s="14" t="str">
        <x:v>C v North Cumbria University Hospitals NHS Trust</x:v>
      </x:c>
      <x:c r="J131" s="14" t="str">
        <x:v>England and Wales Court of Appeal (Civil Division)</x:v>
      </x:c>
      <x:c r="K131" s="14" t="n">
        <x:v>2014</x:v>
      </x:c>
      <x:c r="L131" s="15" t="n">
        <x:v>0.6600004</x:v>
      </x:c>
      <x:c r="M131" s="14" t="n">
        <x:v>1</x:v>
      </x:c>
      <x:c r="N131" s="14" t="str">
        <x:v>Bolam v Friern Hospital Management Committee | Bolitho v City and Hackney Health Authority</x:v>
      </x:c>
    </x:row>
    <x:row r="132">
      <x:c r="A132" s="1" t="str">
        <x:v>cmmafsf07000304l4huaorple</x:v>
      </x:c>
      <x:c r="B132" s="1" t="str">
        <x:v>cmm3awy72000404jtfbucs83q</x:v>
      </x:c>
      <x:c r="C132" s="1" t="str">
        <x:v>skeleton-args-ca2025000412-e17d5e10793fe216</x:v>
      </x:c>
      <x:c r="D132" s="12" t="n">
        <x:v>46084.41670378472</x:v>
      </x:c>
      <x:c r="E132" s="1" t="str">
        <x:v>yes</x:v>
      </x:c>
      <x:c r="F132" s="14" t="str">
        <x:v>cmmafut12000904l4kjskwky4</x:v>
      </x:c>
      <x:c r="G132" s="14" t="n">
        <x:v>1</x:v>
      </x:c>
      <x:c r="H132" s="14" t="str">
        <x:v>d60a5323-796e-4110-a6de-012ec16860c1</x:v>
      </x:c>
      <x:c r="I132" s="14" t="str">
        <x:v>The Howard League for Penal Reform and Prisoners' Advice Service v The Lord Chancellor</x:v>
      </x:c>
      <x:c r="J132" s="14" t="str">
        <x:v>England and Wales Court of Appeal (Civil Division)</x:v>
      </x:c>
      <x:c r="K132" s="14" t="n">
        <x:v>2015</x:v>
      </x:c>
      <x:c r="L132" s="15" t="n">
        <x:v>0.67327136</x:v>
      </x:c>
      <x:c r="M132" s="14" t="n">
        <x:v>4</x:v>
      </x:c>
      <x:c r="N132" s="14" t="str">
        <x:v>R (Refugee Legal Centre) Secretary of State for the Home Department</x:v>
      </x:c>
    </x:row>
    <x:row r="133">
      <x:c r="A133" s="1" t="str">
        <x:v>cmmafsf07000304l4huaorple</x:v>
      </x:c>
      <x:c r="B133" s="1" t="str">
        <x:v>cmm3awy72000404jtfbucs83q</x:v>
      </x:c>
      <x:c r="C133" s="1" t="str">
        <x:v>skeleton-args-ca2025000412-e17d5e10793fe216</x:v>
      </x:c>
      <x:c r="D133" s="12" t="n">
        <x:v>46084.41670378472</x:v>
      </x:c>
      <x:c r="E133" s="1" t="str">
        <x:v>yes</x:v>
      </x:c>
      <x:c r="F133" s="14" t="str">
        <x:v>cmmafut12000904l4kjskwky4</x:v>
      </x:c>
      <x:c r="G133" s="14" t="n">
        <x:v>2</x:v>
      </x:c>
      <x:c r="H133" s="14" t="str">
        <x:v>02409749-c305-4c56-ad34-3447c9c2371b</x:v>
      </x:c>
      <x:c r="I133" s="14" t="str">
        <x:v>Tigere, R (On the Application Of) v Secretary of State for Business, Innovation And Skills</x:v>
      </x:c>
      <x:c r="J133" s="14" t="str">
        <x:v>England and Wales Court of Appeal (Civil Division)</x:v>
      </x:c>
      <x:c r="K133" s="14" t="n">
        <x:v>2014</x:v>
      </x:c>
      <x:c r="L133" s="15" t="n">
        <x:v>0.66142374</x:v>
      </x:c>
      <x:c r="M133" s="14" t="n">
        <x:v>3</x:v>
      </x:c>
      <x:c r="N133" s="14" t="str">
        <x:v>Kebede [2013] EWHC (Admin) 2396 | Ponomaryov v Bulgaria [2011] ELR 491 | Bank Mellat v HM Treasury (No 2) [2013] 3 WLR 179</x:v>
      </x:c>
    </x:row>
    <x:row r="134">
      <x:c r="A134" s="1" t="str">
        <x:v>cmmafsf07000304l4huaorple</x:v>
      </x:c>
      <x:c r="B134" s="1" t="str">
        <x:v>cmm3awy72000404jtfbucs83q</x:v>
      </x:c>
      <x:c r="C134" s="1" t="str">
        <x:v>skeleton-args-ca2025000412-e17d5e10793fe216</x:v>
      </x:c>
      <x:c r="D134" s="12" t="n">
        <x:v>46084.41670378472</x:v>
      </x:c>
      <x:c r="E134" s="1" t="str">
        <x:v>yes</x:v>
      </x:c>
      <x:c r="F134" s="14" t="str">
        <x:v>cmmafut12000904l4kjskwky4</x:v>
      </x:c>
      <x:c r="G134" s="14" t="n">
        <x:v>3</x:v>
      </x:c>
      <x:c r="H134" s="14" t="str">
        <x:v>47c9c661-fe50-444e-8eb2-faf3fa2b12ba</x:v>
      </x:c>
      <x:c r="I134" s="14" t="str">
        <x:v>James v HM Prison Birmingham: Judicial Review on Committal for Civil Contempt</x:v>
      </x:c>
      <x:c r="J134" s="14" t="str">
        <x:v>England and Wales Court of Appeal (Civil Division)</x:v>
      </x:c>
      <x:c r="K134" s="14" t="n">
        <x:v>2015</x:v>
      </x:c>
      <x:c r="L134" s="15" t="n">
        <x:v>0.652738</x:v>
      </x:c>
      <x:c r="M134" s="14" t="n">
        <x:v>1</x:v>
      </x:c>
      <x:c r="N134" s="14" t="str"/>
    </x:row>
    <x:row r="135">
      <x:c r="A135" s="1" t="str">
        <x:v>cmmafsf07000304l4huaorple</x:v>
      </x:c>
      <x:c r="B135" s="1" t="str">
        <x:v>cmm3awy72000404jtfbucs83q</x:v>
      </x:c>
      <x:c r="C135" s="1" t="str">
        <x:v>skeleton-args-ca2025000412-e17d5e10793fe216</x:v>
      </x:c>
      <x:c r="D135" s="12" t="n">
        <x:v>46084.41670378472</x:v>
      </x:c>
      <x:c r="E135" s="1" t="str">
        <x:v>yes</x:v>
      </x:c>
      <x:c r="F135" s="14" t="str">
        <x:v>cmmafut12000904l4kjskwky4</x:v>
      </x:c>
      <x:c r="G135" s="14" t="n">
        <x:v>4</x:v>
      </x:c>
      <x:c r="H135" s="14" t="str">
        <x:v>7614b7b3-9102-4127-baa4-ed60bb7a82ed</x:v>
      </x:c>
      <x:c r="I135" s="14" t="str">
        <x:v>Rowan, R (On the Application Of) v Governor of His Majesty's Prison Berwyn &amp; Anor [2023] EWCA Civ 27</x:v>
      </x:c>
      <x:c r="J135" s="14" t="str">
        <x:v>England and Wales Court of Appeal (Civil Division)</x:v>
      </x:c>
      <x:c r="K135" s="14" t="n">
        <x:v>2023</x:v>
      </x:c>
      <x:c r="L135" s="15" t="n">
        <x:v>0.6526506</x:v>
      </x:c>
      <x:c r="M135" s="14" t="n">
        <x:v>4</x:v>
      </x:c>
      <x:c r="N135" s="14" t="str">
        <x:v>[2021] EWHC 3114 (QB) | [2023] EWCA Civ 27</x:v>
      </x:c>
    </x:row>
    <x:row r="136">
      <x:c r="A136" s="1" t="str">
        <x:v>cmmafsf07000304l4huaorple</x:v>
      </x:c>
      <x:c r="B136" s="1" t="str">
        <x:v>cmm3awy72000404jtfbucs83q</x:v>
      </x:c>
      <x:c r="C136" s="1" t="str">
        <x:v>skeleton-args-ca2025000412-e17d5e10793fe216</x:v>
      </x:c>
      <x:c r="D136" s="12" t="n">
        <x:v>46084.41670378472</x:v>
      </x:c>
      <x:c r="E136" s="1" t="str">
        <x:v>yes</x:v>
      </x:c>
      <x:c r="F136" s="14" t="str">
        <x:v>cmmafut12000904l4kjskwky4</x:v>
      </x:c>
      <x:c r="G136" s="14" t="n">
        <x:v>5</x:v>
      </x:c>
      <x:c r="H136" s="14" t="str">
        <x:v>1dbb4242-42ac-456f-989f-5098066d87ca</x:v>
      </x:c>
      <x:c r="I136" s="14" t="str">
        <x:v>Bristow v The Secretary of State for Justice &amp; Anor [2015] EWCA Civ 1170</x:v>
      </x:c>
      <x:c r="J136" s="14" t="str">
        <x:v>England and Wales Court of Appeal (Civil Division)</x:v>
      </x:c>
      <x:c r="K136" s="14" t="n">
        <x:v>2015</x:v>
      </x:c>
      <x:c r="L136" s="15" t="n">
        <x:v>0.64963126</x:v>
      </x:c>
      <x:c r="M136" s="14" t="n">
        <x:v>1</x:v>
      </x:c>
      <x:c r="N136" s="14" t="str"/>
    </x:row>
    <x:row r="137">
      <x:c r="A137" s="1" t="str">
        <x:v>cmmafsf07000304l4huaorple</x:v>
      </x:c>
      <x:c r="B137" s="1" t="str">
        <x:v>cmm3awy72000404jtfbucs83q</x:v>
      </x:c>
      <x:c r="C137" s="1" t="str">
        <x:v>skeleton-args-ca2025000412-e17d5e10793fe216</x:v>
      </x:c>
      <x:c r="D137" s="12" t="n">
        <x:v>46084.41670378472</x:v>
      </x:c>
      <x:c r="E137" s="1" t="str">
        <x:v>yes</x:v>
      </x:c>
      <x:c r="F137" s="14" t="str">
        <x:v>cmmafut12000904l4kjskwky4</x:v>
      </x:c>
      <x:c r="G137" s="14" t="n">
        <x:v>6</x:v>
      </x:c>
      <x:c r="H137" s="14" t="str">
        <x:v>250a2de0-32f3-4ce2-8b1f-ee964131ee78</x:v>
      </x:c>
      <x:c r="I137" s="14" t="str">
        <x:v>Brooks, R (on the application of) v The Independent Adjudicator &amp; Anor [2016] EWCA Civ 1033</x:v>
      </x:c>
      <x:c r="J137" s="14" t="str">
        <x:v>England and Wales Court of Appeal (Civil Division)</x:v>
      </x:c>
      <x:c r="K137" s="14" t="n">
        <x:v>2016</x:v>
      </x:c>
      <x:c r="L137" s="15" t="n">
        <x:v>0.6452263</x:v>
      </x:c>
      <x:c r="M137" s="14" t="n">
        <x:v>3</x:v>
      </x:c>
      <x:c r="N137" s="14" t="str">
        <x:v>Kryzcki v Germany | Webster v Lord Chancellor | Lumba | Benham | Webster | Kryzcki | Hooper | R Shoosmith</x:v>
      </x:c>
    </x:row>
    <x:row r="138">
      <x:c r="A138" s="1" t="str">
        <x:v>cmmafsf07000304l4huaorple</x:v>
      </x:c>
      <x:c r="B138" s="1" t="str">
        <x:v>cmm3awy72000404jtfbucs83q</x:v>
      </x:c>
      <x:c r="C138" s="1" t="str">
        <x:v>skeleton-args-ca2025000412-e17d5e10793fe216</x:v>
      </x:c>
      <x:c r="D138" s="12" t="n">
        <x:v>46084.41670378472</x:v>
      </x:c>
      <x:c r="E138" s="1" t="str">
        <x:v>yes</x:v>
      </x:c>
      <x:c r="F138" s="14" t="str">
        <x:v>cmmafut12000904l4kjskwky4</x:v>
      </x:c>
      <x:c r="G138" s="14" t="n">
        <x:v>7</x:v>
      </x:c>
      <x:c r="H138" s="14" t="str">
        <x:v>36166c1f-7b4e-4e19-9f3e-ba06d04ac22a</x:v>
      </x:c>
      <x:c r="I138" s="14" t="str">
        <x:v>Smith v Secretary of State for Justice &amp; Ors [2014] EWCA Civ 380</x:v>
      </x:c>
      <x:c r="J138" s="14" t="str">
        <x:v>England and Wales Court of Appeal (Civil Division)</x:v>
      </x:c>
      <x:c r="K138" s="14" t="n">
        <x:v>2014</x:v>
      </x:c>
      <x:c r="L138" s="15" t="n">
        <x:v>0.64377224</x:v>
      </x:c>
      <x:c r="M138" s="14" t="n">
        <x:v>3</x:v>
      </x:c>
      <x:c r="N138" s="14" t="str">
        <x:v>Botti v Italy | Florea v Romania | Benito v Spain | Hristov v Bulgaria</x:v>
      </x:c>
    </x:row>
    <x:row r="139">
      <x:c r="A139" s="1" t="str">
        <x:v>cmmafsf07000304l4huaorple</x:v>
      </x:c>
      <x:c r="B139" s="1" t="str">
        <x:v>cmm3awy72000404jtfbucs83q</x:v>
      </x:c>
      <x:c r="C139" s="1" t="str">
        <x:v>skeleton-args-ca2025000412-e17d5e10793fe216</x:v>
      </x:c>
      <x:c r="D139" s="12" t="n">
        <x:v>46084.41670378472</x:v>
      </x:c>
      <x:c r="E139" s="1" t="str">
        <x:v>yes</x:v>
      </x:c>
      <x:c r="F139" s="14" t="str">
        <x:v>cmmafut12000904l4kjskwky4</x:v>
      </x:c>
      <x:c r="G139" s="14" t="n">
        <x:v>8</x:v>
      </x:c>
      <x:c r="H139" s="14" t="str">
        <x:v>57d5bf6b-b5e4-4a29-8fe8-fc6caf7108e9</x:v>
      </x:c>
      <x:c r="I139" s="14" t="str">
        <x:v>Abedin, R (On the Application Of) v Secretary of State for the Home Department [2016] EWCA Civ 296 (10 March 2016)</x:v>
      </x:c>
      <x:c r="J139" s="14" t="str">
        <x:v>England and Wales Court of Appeal (Civil Division)</x:v>
      </x:c>
      <x:c r="K139" s="14" t="n">
        <x:v>2016</x:v>
      </x:c>
      <x:c r="L139" s="15" t="n">
        <x:v>0.6403154</x:v>
      </x:c>
      <x:c r="M139" s="14" t="n">
        <x:v>1</x:v>
      </x:c>
      <x:c r="N139" s="14" t="str">
        <x:v>Del Rio Prada v Spain | Uttley | Robinson</x:v>
      </x:c>
    </x:row>
    <x:row r="140">
      <x:c r="A140" s="1" t="str">
        <x:v>cmmafsf07000304l4huaorple</x:v>
      </x:c>
      <x:c r="B140" s="1" t="str">
        <x:v>cmm3awy72000404jtfbucs83q</x:v>
      </x:c>
      <x:c r="C140" s="1" t="str">
        <x:v>skeleton-args-ca2025000412-e17d5e10793fe216</x:v>
      </x:c>
      <x:c r="D140" s="12" t="n">
        <x:v>46084.41670378472</x:v>
      </x:c>
      <x:c r="E140" s="1" t="str">
        <x:v>yes</x:v>
      </x:c>
      <x:c r="F140" s="14" t="str">
        <x:v>cmmafut12000904l4kjskwky4</x:v>
      </x:c>
      <x:c r="G140" s="14" t="n">
        <x:v>9</x:v>
      </x:c>
      <x:c r="H140" s="14" t="str">
        <x:v>80701211-fe03-4dc0-972a-b2e5467876b9</x:v>
      </x:c>
      <x:c r="I140" s="14" t="str">
        <x:v>Idira, R (On the Application Of) v The Secretary of State for the Home Department (Rev 1) [2015] EWCA Civ 1187</x:v>
      </x:c>
      <x:c r="J140" s="14" t="str">
        <x:v>England and Wales Court of Appeal (Civil Division)</x:v>
      </x:c>
      <x:c r="K140" s="14" t="n">
        <x:v>2015</x:v>
      </x:c>
      <x:c r="L140" s="15" t="n">
        <x:v>0.6340979</x:v>
      </x:c>
      <x:c r="M140" s="14" t="n">
        <x:v>3</x:v>
      </x:c>
      <x:c r="N140" s="14" t="str">
        <x:v>Krasniqi | Saadi</x:v>
      </x:c>
    </x:row>
    <x:row r="141">
      <x:c r="A141" s="1" t="str">
        <x:v>cmmafsf07000304l4huaorple</x:v>
      </x:c>
      <x:c r="B141" s="1" t="str">
        <x:v>cmm3awy72000404jtfbucs83q</x:v>
      </x:c>
      <x:c r="C141" s="1" t="str">
        <x:v>skeleton-args-ca2025000412-e17d5e10793fe216</x:v>
      </x:c>
      <x:c r="D141" s="12" t="n">
        <x:v>46084.41670378472</x:v>
      </x:c>
      <x:c r="E141" s="1" t="str">
        <x:v>yes</x:v>
      </x:c>
      <x:c r="F141" s="14" t="str">
        <x:v>cmmafut12000904l4kjskwky4</x:v>
      </x:c>
      <x:c r="G141" s="14" t="n">
        <x:v>10</x:v>
      </x:c>
      <x:c r="H141" s="14" t="str">
        <x:v>88f81617-3d05-4cec-a001-5edf306bd117</x:v>
      </x:c>
      <x:c r="I141" s="14" t="str">
        <x:v>R (on the application of) SPM v Secretary of State for the Home Department [2023] EWCA Civ 764</x:v>
      </x:c>
      <x:c r="J141" s="14" t="str">
        <x:v>England and Wales Court of Appeal (Civil Division)</x:v>
      </x:c>
      <x:c r="K141" s="14" t="n">
        <x:v>2023</x:v>
      </x:c>
      <x:c r="L141" s="15" t="n">
        <x:v>0.633284</x:v>
      </x:c>
      <x:c r="M141" s="14" t="n">
        <x:v>2</x:v>
      </x:c>
      <x:c r="N141" s="14" t="str">
        <x:v>[2022] EWHC 2007 (Admin) | [2023] EWCA Civ 764</x:v>
      </x:c>
    </x:row>
    <x:row r="142">
      <x:c r="A142" s="1" t="str">
        <x:v>cmmc2vi4u000b04l2jn766kai</x:v>
      </x:c>
      <x:c r="B142" s="1" t="str">
        <x:v>cmlzon435000504jsyulxanb5</x:v>
      </x:c>
      <x:c r="C142" s="1" t="str">
        <x:v>skeleton-args-ca2022002088-9a827e5fc9cfa270</x:v>
      </x:c>
      <x:c r="D142" s="12" t="n">
        <x:v>46085.56533094907</x:v>
      </x:c>
      <x:c r="E142" s="1" t="str">
        <x:v>yes</x:v>
      </x:c>
      <x:c r="F142" s="14" t="str">
        <x:v>cmmc2zaji000h04l23a3cp61p</x:v>
      </x:c>
      <x:c r="G142" s="14" t="n">
        <x:v>1</x:v>
      </x:c>
      <x:c r="H142" s="14" t="str">
        <x:v>43ef5de1-aec0-41aa-83ef-7f2ecf54e8b8</x:v>
      </x:c>
      <x:c r="I142" s="14" t="str">
        <x:v>Revenue and Customs v Lloyds TSB Equipment Leasing (No 1) Ltd [2014] EWCA Civ 1062</x:v>
      </x:c>
      <x:c r="J142" s="14" t="str">
        <x:v>England and Wales Court of Appeal (Civil Division)</x:v>
      </x:c>
      <x:c r="K142" s="14" t="n">
        <x:v>2014</x:v>
      </x:c>
      <x:c r="L142" s="15" t="n">
        <x:v>0.6938728</x:v>
      </x:c>
      <x:c r="M142" s="14" t="n">
        <x:v>5</x:v>
      </x:c>
      <x:c r="N142" s="14" t="str"/>
    </x:row>
    <x:row r="143">
      <x:c r="A143" s="1" t="str">
        <x:v>cmmc2vi4u000b04l2jn766kai</x:v>
      </x:c>
      <x:c r="B143" s="1" t="str">
        <x:v>cmlzon435000504jsyulxanb5</x:v>
      </x:c>
      <x:c r="C143" s="1" t="str">
        <x:v>skeleton-args-ca2022002088-9a827e5fc9cfa270</x:v>
      </x:c>
      <x:c r="D143" s="12" t="n">
        <x:v>46085.56533094907</x:v>
      </x:c>
      <x:c r="E143" s="1" t="str">
        <x:v>yes</x:v>
      </x:c>
      <x:c r="F143" s="14" t="str">
        <x:v>cmmc2zaji000h04l23a3cp61p</x:v>
      </x:c>
      <x:c r="G143" s="14" t="n">
        <x:v>2</x:v>
      </x:c>
      <x:c r="H143" s="14" t="str">
        <x:v>969f076d-9173-440b-9f31-7f9c274d33d7</x:v>
      </x:c>
      <x:c r="I143" s="14" t="str">
        <x:v>Chappell v HM Revenue and Customs [2016] EWCA Civ 809</x:v>
      </x:c>
      <x:c r="J143" s="14" t="str">
        <x:v>England and Wales Court of Appeal (Civil Division)</x:v>
      </x:c>
      <x:c r="K143" s="14" t="n">
        <x:v>2016</x:v>
      </x:c>
      <x:c r="L143" s="15" t="n">
        <x:v>0.65310144</x:v>
      </x:c>
      <x:c r="M143" s="14" t="n">
        <x:v>2</x:v>
      </x:c>
      <x:c r="N143" s="14" t="str">
        <x:v>Ramsay | Barclays Mercantile | UBS | Arrowtown | MacNiven | Duke of Westminster | W. T. Ramsay Ltd v Inland Revenue Commissioners [1982] AC 300 | Inland Revenue Comrs v Duke of Westminster [1936] AC 1 | Chinn v Collins [1981] 1 All ER 189 | Inland Revenue Comrs v Plummer [1979] 3 All ER 775 | Furniss v Dawson [1984] AC 474 | Barclays Mercantile v Mawson [2005] STC 1 | MacNiven v Westmoreland Investments Ltd [2001] UKHL 6 | UBS AG and Deutsche Bank Group Services (UK) Limited v HMRC [2016] UKSC 13 | Arrowtown Assets Ltd [2003] HKCFA 46 | Aberdeen Construction Group Ltd v Inland Revenue Comrs [1978] AC 885 | Tower M Cashback LLP v Revenue and Customs Comrs [2011] UKSC 19</x:v>
      </x:c>
    </x:row>
    <x:row r="144">
      <x:c r="A144" s="1" t="str">
        <x:v>cmmc2vi4u000b04l2jn766kai</x:v>
      </x:c>
      <x:c r="B144" s="1" t="str">
        <x:v>cmlzon435000504jsyulxanb5</x:v>
      </x:c>
      <x:c r="C144" s="1" t="str">
        <x:v>skeleton-args-ca2022002088-9a827e5fc9cfa270</x:v>
      </x:c>
      <x:c r="D144" s="12" t="n">
        <x:v>46085.56533094907</x:v>
      </x:c>
      <x:c r="E144" s="1" t="str">
        <x:v>yes</x:v>
      </x:c>
      <x:c r="F144" s="14" t="str">
        <x:v>cmmc2zaji000h04l23a3cp61p</x:v>
      </x:c>
      <x:c r="G144" s="14" t="n">
        <x:v>3</x:v>
      </x:c>
      <x:c r="H144" s="14" t="str">
        <x:v>df2f12d2-2784-4981-b98a-fcd919be08c3</x:v>
      </x:c>
      <x:c r="I144" s="14" t="str">
        <x:v>Inmarsat Global Limited v Commissioners for Her Majesty's Revenue and Customs [2022] EWCA Civ 1076</x:v>
      </x:c>
      <x:c r="J144" s="14" t="str">
        <x:v>England and Wales Court of Appeal (Civil Division)</x:v>
      </x:c>
      <x:c r="K144" s="14" t="n">
        <x:v>2022</x:v>
      </x:c>
      <x:c r="L144" s="15" t="n">
        <x:v>0.65104675</x:v>
      </x:c>
      <x:c r="M144" s="14" t="n">
        <x:v>2</x:v>
      </x:c>
      <x:c r="N144" s="14" t="str">
        <x:v>East End Dwellings | Guthrie | Ben-Odeco | Guthrie v George</x:v>
      </x:c>
    </x:row>
    <x:row r="145">
      <x:c r="A145" s="1" t="str">
        <x:v>cmmc2vi4u000b04l2jn766kai</x:v>
      </x:c>
      <x:c r="B145" s="1" t="str">
        <x:v>cmlzon435000504jsyulxanb5</x:v>
      </x:c>
      <x:c r="C145" s="1" t="str">
        <x:v>skeleton-args-ca2022002088-9a827e5fc9cfa270</x:v>
      </x:c>
      <x:c r="D145" s="12" t="n">
        <x:v>46085.56533094907</x:v>
      </x:c>
      <x:c r="E145" s="1" t="str">
        <x:v>yes</x:v>
      </x:c>
      <x:c r="F145" s="14" t="str">
        <x:v>cmmc2zaji000h04l23a3cp61p</x:v>
      </x:c>
      <x:c r="G145" s="14" t="n">
        <x:v>4</x:v>
      </x:c>
      <x:c r="H145" s="14" t="str">
        <x:v>040ab589-56f8-4251-905d-ade1d7b6bf28</x:v>
      </x:c>
      <x:c r="I145" s="14" t="str">
        <x:v>Peninsular &amp; Oriental Steam Navigation Company v HM Revenue and Customs [2016] EWCA Civ 468 (Court of Appeal, Civil Division)</x:v>
      </x:c>
      <x:c r="J145" s="14" t="str">
        <x:v>England and Wales Court of Appeal (Civil Division)</x:v>
      </x:c>
      <x:c r="K145" s="14" t="n">
        <x:v>2016</x:v>
      </x:c>
      <x:c r="L145" s="15" t="n">
        <x:v>0.6503654</x:v>
      </x:c>
      <x:c r="M145" s="14" t="n">
        <x:v>2</x:v>
      </x:c>
      <x:c r="N145" s="14" t="str">
        <x:v>ICTA 1988 Part XVIII | Section 792 definition of foreign tax | Section 799 computation of underlying tax | Section 801 relief for UK/third-country taxes</x:v>
      </x:c>
    </x:row>
    <x:row r="146">
      <x:c r="A146" s="1" t="str">
        <x:v>cmmc2vi4u000b04l2jn766kai</x:v>
      </x:c>
      <x:c r="B146" s="1" t="str">
        <x:v>cmlzon435000504jsyulxanb5</x:v>
      </x:c>
      <x:c r="C146" s="1" t="str">
        <x:v>skeleton-args-ca2022002088-9a827e5fc9cfa270</x:v>
      </x:c>
      <x:c r="D146" s="12" t="n">
        <x:v>46085.56533094907</x:v>
      </x:c>
      <x:c r="E146" s="1" t="str">
        <x:v>yes</x:v>
      </x:c>
      <x:c r="F146" s="14" t="str">
        <x:v>cmmc2zaji000h04l23a3cp61p</x:v>
      </x:c>
      <x:c r="G146" s="14" t="n">
        <x:v>5</x:v>
      </x:c>
      <x:c r="H146" s="14" t="str">
        <x:v>d23d9f9f-4d0a-455a-bab1-0ce1a023b722</x:v>
      </x:c>
      <x:c r="I146" s="14" t="str">
        <x:v>Altrad Services Ltd &amp; Anor v Commissioners for HMRC [2023] EWCA Civ 474 (03 May 2023)</x:v>
      </x:c>
      <x:c r="J146" s="14" t="str">
        <x:v>England and Wales Court of Appeal (Civil Division)</x:v>
      </x:c>
      <x:c r="K146" s="14" t="n">
        <x:v>2023</x:v>
      </x:c>
      <x:c r="L146" s="15" t="n">
        <x:v>0.64700377</x:v>
      </x:c>
      <x:c r="M146" s="14" t="n">
        <x:v>3</x:v>
      </x:c>
      <x:c r="N146" s="14" t="str">
        <x:v>Ramsay | Tower | BMBF | Ensign | UKUT 00185 (TCC)</x:v>
      </x:c>
    </x:row>
    <x:row r="147">
      <x:c r="A147" s="1" t="str">
        <x:v>cmmc2vi4u000b04l2jn766kai</x:v>
      </x:c>
      <x:c r="B147" s="1" t="str">
        <x:v>cmlzon435000504jsyulxanb5</x:v>
      </x:c>
      <x:c r="C147" s="1" t="str">
        <x:v>skeleton-args-ca2022002088-9a827e5fc9cfa270</x:v>
      </x:c>
      <x:c r="D147" s="12" t="n">
        <x:v>46085.56533094907</x:v>
      </x:c>
      <x:c r="E147" s="1" t="str">
        <x:v>yes</x:v>
      </x:c>
      <x:c r="F147" s="14" t="str">
        <x:v>cmmc2zaji000h04l23a3cp61p</x:v>
      </x:c>
      <x:c r="G147" s="14" t="n">
        <x:v>6</x:v>
      </x:c>
      <x:c r="H147" s="14" t="str">
        <x:v>6bee451b-9500-46bf-8472-4341ada4c852</x:v>
      </x:c>
      <x:c r="I147" s="14" t="str">
        <x:v>GMGRM North Ltd &amp; Ors v Ritchie (Revenue and Customs)</x:v>
      </x:c>
      <x:c r="J147" s="14" t="str">
        <x:v>England and Wales Court of Appeal (Civil Division)</x:v>
      </x:c>
      <x:c r="K147" s="14" t="n">
        <x:v>2014</x:v>
      </x:c>
      <x:c r="L147" s="15" t="n">
        <x:v>0.6463597</x:v>
      </x:c>
      <x:c r="M147" s="14" t="n">
        <x:v>1</x:v>
      </x:c>
      <x:c r="N147" s="14" t="str"/>
    </x:row>
    <x:row r="148">
      <x:c r="A148" s="1" t="str">
        <x:v>cmmc2vi4u000b04l2jn766kai</x:v>
      </x:c>
      <x:c r="B148" s="1" t="str">
        <x:v>cmlzon435000504jsyulxanb5</x:v>
      </x:c>
      <x:c r="C148" s="1" t="str">
        <x:v>skeleton-args-ca2022002088-9a827e5fc9cfa270</x:v>
      </x:c>
      <x:c r="D148" s="12" t="n">
        <x:v>46085.56533094907</x:v>
      </x:c>
      <x:c r="E148" s="1" t="str">
        <x:v>yes</x:v>
      </x:c>
      <x:c r="F148" s="14" t="str">
        <x:v>cmmc2zaji000h04l23a3cp61p</x:v>
      </x:c>
      <x:c r="G148" s="14" t="n">
        <x:v>7</x:v>
      </x:c>
      <x:c r="H148" s="14" t="str">
        <x:v>df4c5dab-61e8-4ecb-894c-c1824b8daad2</x:v>
      </x:c>
      <x:c r="I148" s="14" t="str">
        <x:v>Good v Commissioners of HM Revenue and Customs [2023] EWCA Civ 114</x:v>
      </x:c>
      <x:c r="J148" s="14" t="str">
        <x:v>England and Wales Court of Appeal (Civil Division)</x:v>
      </x:c>
      <x:c r="K148" s="14" t="n">
        <x:v>2023</x:v>
      </x:c>
      <x:c r="L148" s="15" t="n">
        <x:v>0.63349235</x:v>
      </x:c>
      <x:c r="M148" s="14" t="n">
        <x:v>1</x:v>
      </x:c>
      <x:c r="N148" s="14" t="str">
        <x:v>UBS v HMRC [2016] UKSC 13 | Khan | RFC 2012 plc v AG Scotland [2017] UKSC 45</x:v>
      </x:c>
    </x:row>
    <x:row r="149">
      <x:c r="A149" s="1" t="str">
        <x:v>cmmc2vi4u000b04l2jn766kai</x:v>
      </x:c>
      <x:c r="B149" s="1" t="str">
        <x:v>cmlzon435000504jsyulxanb5</x:v>
      </x:c>
      <x:c r="C149" s="1" t="str">
        <x:v>skeleton-args-ca2022002088-9a827e5fc9cfa270</x:v>
      </x:c>
      <x:c r="D149" s="12" t="n">
        <x:v>46085.56533094907</x:v>
      </x:c>
      <x:c r="E149" s="1" t="str">
        <x:v>yes</x:v>
      </x:c>
      <x:c r="F149" s="14" t="str">
        <x:v>cmmc2zaji000h04l23a3cp61p</x:v>
      </x:c>
      <x:c r="G149" s="14" t="n">
        <x:v>8</x:v>
      </x:c>
      <x:c r="H149" s="14" t="str">
        <x:v>9c9b344f-0010-4488-974f-bfc7a06766a5</x:v>
      </x:c>
      <x:c r="I149" s="14" t="str">
        <x:v>VolkerRail Plant Ltd &amp; Ors v HMRC [2023] EWCA Civ 210</x:v>
      </x:c>
      <x:c r="J149" s="14" t="str">
        <x:v>England and Wales Court of Appeal (Civil Division)</x:v>
      </x:c>
      <x:c r="K149" s="14" t="n">
        <x:v>2023</x:v>
      </x:c>
      <x:c r="L149" s="15" t="n">
        <x:v>0.621584</x:v>
      </x:c>
      <x:c r="M149" s="14" t="n">
        <x:v>1</x:v>
      </x:c>
      <x:c r="N149" s="14" t="str">
        <x:v>Philips | NN | Bevola | M&amp;S | AURES | European Commission v UK</x:v>
      </x:c>
    </x:row>
    <x:row r="150">
      <x:c r="A150" s="1" t="str">
        <x:v>cmmc2vi4u000b04l2jn766kai</x:v>
      </x:c>
      <x:c r="B150" s="1" t="str">
        <x:v>cmlzon435000504jsyulxanb5</x:v>
      </x:c>
      <x:c r="C150" s="1" t="str">
        <x:v>skeleton-args-ca2022002088-9a827e5fc9cfa270</x:v>
      </x:c>
      <x:c r="D150" s="12" t="n">
        <x:v>46085.56533094907</x:v>
      </x:c>
      <x:c r="E150" s="1" t="str">
        <x:v>yes</x:v>
      </x:c>
      <x:c r="F150" s="14" t="str">
        <x:v>cmmc2zaji000h04l23a3cp61p</x:v>
      </x:c>
      <x:c r="G150" s="14" t="n">
        <x:v>9</x:v>
      </x:c>
      <x:c r="H150" s="14" t="str">
        <x:v>3b5f0b35-9abc-4644-bd76-178e4ddaa226</x:v>
      </x:c>
      <x:c r="I150" s="14" t="str">
        <x:v>Cobalt Data Centre 2 LLP &amp; Anor v HM Revenue &amp; Customs [2022] EWCA Civ 1422</x:v>
      </x:c>
      <x:c r="J150" s="14" t="str">
        <x:v>England and Wales Court of Appeal (Civil Division)</x:v>
      </x:c>
      <x:c r="K150" s="14" t="str"/>
      <x:c r="L150" s="15" t="n">
        <x:v>0.61968213</x:v>
      </x:c>
      <x:c r="M150" s="14" t="n">
        <x:v>3</x:v>
      </x:c>
      <x:c r="N150" s="14" t="str">
        <x:v>Morris v Baron &amp; Co | Souglides v Tweedie | The Aramis | Beesly v Hallwood Estates Ltd | Street v Mountford | ICS | Plevin v Paragon Personal Finance Ltd (No 2)</x:v>
      </x:c>
    </x:row>
    <x:row r="151">
      <x:c r="A151" s="1" t="str">
        <x:v>cmmc2vi4u000b04l2jn766kai</x:v>
      </x:c>
      <x:c r="B151" s="1" t="str">
        <x:v>cmlzon435000504jsyulxanb5</x:v>
      </x:c>
      <x:c r="C151" s="1" t="str">
        <x:v>skeleton-args-ca2022002088-9a827e5fc9cfa270</x:v>
      </x:c>
      <x:c r="D151" s="12" t="n">
        <x:v>46085.56533094907</x:v>
      </x:c>
      <x:c r="E151" s="1" t="str">
        <x:v>yes</x:v>
      </x:c>
      <x:c r="F151" s="14" t="str">
        <x:v>cmmc2zaji000h04l23a3cp61p</x:v>
      </x:c>
      <x:c r="G151" s="14" t="n">
        <x:v>10</x:v>
      </x:c>
      <x:c r="H151" s="14" t="str">
        <x:v>abb3abd3-a4b2-4d42-adc3-110706af9c6d</x:v>
      </x:c>
      <x:c r="I151" s="14" t="str">
        <x:v>Inland Revenue &amp; Anor v Test Claimants In the Franked Investment Income Group Litigation [2014] EWCA Civ 1214</x:v>
      </x:c>
      <x:c r="J151" s="14" t="str">
        <x:v>England and Wales Court of Appeal (Civil Division)</x:v>
      </x:c>
      <x:c r="K151" s="14" t="n">
        <x:v>2014</x:v>
      </x:c>
      <x:c r="L151" s="15" t="n">
        <x:v>0.6185158</x:v>
      </x:c>
      <x:c r="M151" s="14" t="n">
        <x:v>1</x:v>
      </x:c>
      <x:c r="N151" s="14" t="str"/>
    </x:row>
    <x:row r="152">
      <x:c r="A152" s="1" t="str">
        <x:v>cmmc48b4h000b04jxrxrp3idf</x:v>
      </x:c>
      <x:c r="B152" s="1" t="str">
        <x:v>cmmc45761000204jx6bd5kxqk</x:v>
      </x:c>
      <x:c r="C152" s="1" t="str">
        <x:v>ca-2024-000255-ellis-v-ssj-appellant-skeleton</x:v>
      </x:c>
      <x:c r="D152" s="12" t="n">
        <x:v>46085.59168572917</x:v>
      </x:c>
      <x:c r="E152" s="1" t="str">
        <x:v>yes</x:v>
      </x:c>
      <x:c r="F152" s="14" t="str">
        <x:v>cmmc4a8zu000h04jx2w3r0hzo</x:v>
      </x:c>
      <x:c r="G152" s="14" t="n">
        <x:v>1</x:v>
      </x:c>
      <x:c r="H152" s="14" t="str">
        <x:v>1dbb4242-42ac-456f-989f-5098066d87ca</x:v>
      </x:c>
      <x:c r="I152" s="14" t="str">
        <x:v>Bristow v The Secretary of State for Justice &amp; Anor [2015] EWCA Civ 1170</x:v>
      </x:c>
      <x:c r="J152" s="14" t="str">
        <x:v>England and Wales Court of Appeal (Civil Division)</x:v>
      </x:c>
      <x:c r="K152" s="14" t="n">
        <x:v>2015</x:v>
      </x:c>
      <x:c r="L152" s="15" t="n">
        <x:v>0.69676626</x:v>
      </x:c>
      <x:c r="M152" s="14" t="n">
        <x:v>1</x:v>
      </x:c>
      <x:c r="N152" s="14" t="str"/>
    </x:row>
    <x:row r="153">
      <x:c r="A153" s="1" t="str">
        <x:v>cmmc48b4h000b04jxrxrp3idf</x:v>
      </x:c>
      <x:c r="B153" s="1" t="str">
        <x:v>cmmc45761000204jx6bd5kxqk</x:v>
      </x:c>
      <x:c r="C153" s="1" t="str">
        <x:v>ca-2024-000255-ellis-v-ssj-appellant-skeleton</x:v>
      </x:c>
      <x:c r="D153" s="12" t="n">
        <x:v>46085.59168572917</x:v>
      </x:c>
      <x:c r="E153" s="1" t="str">
        <x:v>yes</x:v>
      </x:c>
      <x:c r="F153" s="14" t="str">
        <x:v>cmmc4a8zu000h04jx2w3r0hzo</x:v>
      </x:c>
      <x:c r="G153" s="14" t="n">
        <x:v>2</x:v>
      </x:c>
      <x:c r="H153" s="14" t="str">
        <x:v>d60a5323-796e-4110-a6de-012ec16860c1</x:v>
      </x:c>
      <x:c r="I153" s="14" t="str">
        <x:v>The Howard League for Penal Reform and Prisoners' Advice Service v The Lord Chancellor</x:v>
      </x:c>
      <x:c r="J153" s="14" t="str">
        <x:v>England and Wales Court of Appeal (Civil Division)</x:v>
      </x:c>
      <x:c r="K153" s="14" t="n">
        <x:v>2015</x:v>
      </x:c>
      <x:c r="L153" s="15" t="n">
        <x:v>0.69558805</x:v>
      </x:c>
      <x:c r="M153" s="14" t="n">
        <x:v>4</x:v>
      </x:c>
      <x:c r="N153" s="14" t="str">
        <x:v>R (Refugee Legal Centre) Secretary of State for the Home Department</x:v>
      </x:c>
    </x:row>
    <x:row r="154">
      <x:c r="A154" s="1" t="str">
        <x:v>cmmc48b4h000b04jxrxrp3idf</x:v>
      </x:c>
      <x:c r="B154" s="1" t="str">
        <x:v>cmmc45761000204jx6bd5kxqk</x:v>
      </x:c>
      <x:c r="C154" s="1" t="str">
        <x:v>ca-2024-000255-ellis-v-ssj-appellant-skeleton</x:v>
      </x:c>
      <x:c r="D154" s="12" t="n">
        <x:v>46085.59168572917</x:v>
      </x:c>
      <x:c r="E154" s="1" t="str">
        <x:v>yes</x:v>
      </x:c>
      <x:c r="F154" s="14" t="str">
        <x:v>cmmc4a8zu000h04jx2w3r0hzo</x:v>
      </x:c>
      <x:c r="G154" s="14" t="n">
        <x:v>3</x:v>
      </x:c>
      <x:c r="H154" s="14" t="str">
        <x:v>6704e94e-e6b0-4dfe-b4c9-c5d695bdc6aa</x:v>
      </x:c>
      <x:c r="I154" s="14" t="str">
        <x:v>Pearce, R (On the Application Of) v Parole Board of England and Wales &amp; Anor [2022] EWCA Civ 4</x:v>
      </x:c>
      <x:c r="J154" s="14" t="str">
        <x:v>England and Wales Court of Appeal (Civil Division)</x:v>
      </x:c>
      <x:c r="K154" s="14" t="n">
        <x:v>2022</x:v>
      </x:c>
      <x:c r="L154" s="15" t="n">
        <x:v>0.6906532</x:v>
      </x:c>
      <x:c r="M154" s="14" t="n">
        <x:v>1</x:v>
      </x:c>
      <x:c r="N154" s="14" t="str">
        <x:v>[2020] EWHC 3437 (Admin)</x:v>
      </x:c>
    </x:row>
    <x:row r="155">
      <x:c r="A155" s="1" t="str">
        <x:v>cmmc48b4h000b04jxrxrp3idf</x:v>
      </x:c>
      <x:c r="B155" s="1" t="str">
        <x:v>cmmc45761000204jx6bd5kxqk</x:v>
      </x:c>
      <x:c r="C155" s="1" t="str">
        <x:v>ca-2024-000255-ellis-v-ssj-appellant-skeleton</x:v>
      </x:c>
      <x:c r="D155" s="12" t="n">
        <x:v>46085.59168572917</x:v>
      </x:c>
      <x:c r="E155" s="1" t="str">
        <x:v>yes</x:v>
      </x:c>
      <x:c r="F155" s="14" t="str">
        <x:v>cmmc4a8zu000h04jx2w3r0hzo</x:v>
      </x:c>
      <x:c r="G155" s="14" t="n">
        <x:v>4</x:v>
      </x:c>
      <x:c r="H155" s="14" t="str">
        <x:v>9826ea30-d68f-4beb-b85e-e38b5e1c7cae</x:v>
      </x:c>
      <x:c r="I155" s="14" t="str">
        <x:v>C3 &amp; Anor v The Secretary of State for Foreign, Commonwealth &amp; Development Affairs [2023] EWCA Civ 444</x:v>
      </x:c>
      <x:c r="J155" s="14" t="str">
        <x:v>England and Wales Court of Appeal (Civil Division)</x:v>
      </x:c>
      <x:c r="K155" s="14" t="n">
        <x:v>2023</x:v>
      </x:c>
      <x:c r="L155" s="15" t="n">
        <x:v>0.6838451</x:v>
      </x:c>
      <x:c r="M155" s="14" t="n">
        <x:v>1</x:v>
      </x:c>
      <x:c r="N155" s="14" t="str">
        <x:v>[2022] EWHC 2772 (Admin) | [2011] EWCA Civ 1540 | [2012] EWCA Civ 182</x:v>
      </x:c>
    </x:row>
    <x:row r="156">
      <x:c r="A156" s="1" t="str">
        <x:v>cmmc48b4h000b04jxrxrp3idf</x:v>
      </x:c>
      <x:c r="B156" s="1" t="str">
        <x:v>cmmc45761000204jx6bd5kxqk</x:v>
      </x:c>
      <x:c r="C156" s="1" t="str">
        <x:v>ca-2024-000255-ellis-v-ssj-appellant-skeleton</x:v>
      </x:c>
      <x:c r="D156" s="12" t="n">
        <x:v>46085.59168572917</x:v>
      </x:c>
      <x:c r="E156" s="1" t="str">
        <x:v>yes</x:v>
      </x:c>
      <x:c r="F156" s="14" t="str">
        <x:v>cmmc4a8zu000h04jx2w3r0hzo</x:v>
      </x:c>
      <x:c r="G156" s="14" t="n">
        <x:v>5</x:v>
      </x:c>
      <x:c r="H156" s="14" t="str">
        <x:v>be44e528-bdba-4691-afcc-c607a89fd1dc</x:v>
      </x:c>
      <x:c r="I156" s="14" t="str">
        <x:v>R (On the Application Of) v Secretary of State for the Home Department (Rev1) [2022] EWCA Civ 30</x:v>
      </x:c>
      <x:c r="J156" s="14" t="str">
        <x:v>England and Wales Court of Appeal (Civil Division)</x:v>
      </x:c>
      <x:c r="K156" s="14" t="n">
        <x:v>2022</x:v>
      </x:c>
      <x:c r="L156" s="15" t="n">
        <x:v>0.6828894</x:v>
      </x:c>
      <x:c r="M156" s="14" t="n">
        <x:v>1</x:v>
      </x:c>
      <x:c r="N156" s="14" t="str"/>
    </x:row>
    <x:row r="157">
      <x:c r="A157" s="1" t="str">
        <x:v>cmmc48b4h000b04jxrxrp3idf</x:v>
      </x:c>
      <x:c r="B157" s="1" t="str">
        <x:v>cmmc45761000204jx6bd5kxqk</x:v>
      </x:c>
      <x:c r="C157" s="1" t="str">
        <x:v>ca-2024-000255-ellis-v-ssj-appellant-skeleton</x:v>
      </x:c>
      <x:c r="D157" s="12" t="n">
        <x:v>46085.59168572917</x:v>
      </x:c>
      <x:c r="E157" s="1" t="str">
        <x:v>yes</x:v>
      </x:c>
      <x:c r="F157" s="14" t="str">
        <x:v>cmmc4a8zu000h04jx2w3r0hzo</x:v>
      </x:c>
      <x:c r="G157" s="14" t="n">
        <x:v>6</x:v>
      </x:c>
      <x:c r="H157" s="14" t="str">
        <x:v>f78142fc-13ea-4fb5-9a5e-1efbdc8d3c38</x:v>
      </x:c>
      <x:c r="I157" s="14" t="str">
        <x:v>AAA (Syria) &amp; Ors v Secretary of State for the Home Department [2023] EWCA Civ 266</x:v>
      </x:c>
      <x:c r="J157" s="14" t="str">
        <x:v>England and Wales Court of Appeal (Civil Division)</x:v>
      </x:c>
      <x:c r="K157" s="14" t="n">
        <x:v>2023</x:v>
      </x:c>
      <x:c r="L157" s="15" t="n">
        <x:v>0.68146205</x:v>
      </x:c>
      <x:c r="M157" s="14" t="n">
        <x:v>2</x:v>
      </x:c>
      <x:c r="N157" s="14" t="str">
        <x:v>Soering v United Kingdom | Othman v United Kingdom</x:v>
      </x:c>
    </x:row>
    <x:row r="158">
      <x:c r="A158" s="1" t="str">
        <x:v>cmmc48b4h000b04jxrxrp3idf</x:v>
      </x:c>
      <x:c r="B158" s="1" t="str">
        <x:v>cmmc45761000204jx6bd5kxqk</x:v>
      </x:c>
      <x:c r="C158" s="1" t="str">
        <x:v>ca-2024-000255-ellis-v-ssj-appellant-skeleton</x:v>
      </x:c>
      <x:c r="D158" s="12" t="n">
        <x:v>46085.59168572917</x:v>
      </x:c>
      <x:c r="E158" s="1" t="str">
        <x:v>yes</x:v>
      </x:c>
      <x:c r="F158" s="14" t="str">
        <x:v>cmmc4a8zu000h04jx2w3r0hzo</x:v>
      </x:c>
      <x:c r="G158" s="14" t="n">
        <x:v>7</x:v>
      </x:c>
      <x:c r="H158" s="14" t="str">
        <x:v>e99652af-372a-448f-8251-a215010e8b3a</x:v>
      </x:c>
      <x:c r="I158" s="14" t="str">
        <x:v>Richards, R (On the Application Of) v The Environment Agency [2022] EWCA Civ 26</x:v>
      </x:c>
      <x:c r="J158" s="14" t="str">
        <x:v>England and Wales Court of Appeal (Civil Division)</x:v>
      </x:c>
      <x:c r="K158" s="14" t="n">
        <x:v>2022</x:v>
      </x:c>
      <x:c r="L158" s="15" t="n">
        <x:v>0.6813566</x:v>
      </x:c>
      <x:c r="M158" s="14" t="n">
        <x:v>1</x:v>
      </x:c>
      <x:c r="N158" s="14" t="str"/>
    </x:row>
    <x:row r="159">
      <x:c r="A159" s="1" t="str">
        <x:v>cmmc48b4h000b04jxrxrp3idf</x:v>
      </x:c>
      <x:c r="B159" s="1" t="str">
        <x:v>cmmc45761000204jx6bd5kxqk</x:v>
      </x:c>
      <x:c r="C159" s="1" t="str">
        <x:v>ca-2024-000255-ellis-v-ssj-appellant-skeleton</x:v>
      </x:c>
      <x:c r="D159" s="12" t="n">
        <x:v>46085.59168572917</x:v>
      </x:c>
      <x:c r="E159" s="1" t="str">
        <x:v>yes</x:v>
      </x:c>
      <x:c r="F159" s="14" t="str">
        <x:v>cmmc4a8zu000h04jx2w3r0hzo</x:v>
      </x:c>
      <x:c r="G159" s="14" t="n">
        <x:v>8</x:v>
      </x:c>
      <x:c r="H159" s="14" t="str">
        <x:v>de4a5f2b-b3c7-4369-9020-dcc807bb315b</x:v>
      </x:c>
      <x:c r="I159" s="14" t="str">
        <x:v>Elkundi, R (On the Application Of) v Birmingham City Council [2022] EWCA Civ 601</x:v>
      </x:c>
      <x:c r="J159" s="14" t="str">
        <x:v>England and Wales Court of Appeal (Civil Division)</x:v>
      </x:c>
      <x:c r="K159" s="14" t="n">
        <x:v>2022</x:v>
      </x:c>
      <x:c r="L159" s="15" t="n">
        <x:v>0.6795714</x:v>
      </x:c>
      <x:c r="M159" s="14" t="n">
        <x:v>1</x:v>
      </x:c>
      <x:c r="N159" s="14" t="str"/>
    </x:row>
    <x:row r="160">
      <x:c r="A160" s="1" t="str">
        <x:v>cmmc48b4h000b04jxrxrp3idf</x:v>
      </x:c>
      <x:c r="B160" s="1" t="str">
        <x:v>cmmc45761000204jx6bd5kxqk</x:v>
      </x:c>
      <x:c r="C160" s="1" t="str">
        <x:v>ca-2024-000255-ellis-v-ssj-appellant-skeleton</x:v>
      </x:c>
      <x:c r="D160" s="12" t="n">
        <x:v>46085.59168572917</x:v>
      </x:c>
      <x:c r="E160" s="1" t="str">
        <x:v>yes</x:v>
      </x:c>
      <x:c r="F160" s="14" t="str">
        <x:v>cmmc4a8zu000h04jx2w3r0hzo</x:v>
      </x:c>
      <x:c r="G160" s="14" t="n">
        <x:v>9</x:v>
      </x:c>
      <x:c r="H160" s="14" t="str">
        <x:v>5bc05b2e-6b7d-4270-b799-9d29ed174d14</x:v>
      </x:c>
      <x:c r="I160" s="14" t="str">
        <x:v>MD &amp; Anor v Secretary of State for the Home Department [2022] EWCA Civ 336</x:v>
      </x:c>
      <x:c r="J160" s="14" t="str">
        <x:v>England and Wales Court of Appeal (Civil Division)</x:v>
      </x:c>
      <x:c r="K160" s="14" t="n">
        <x:v>2022</x:v>
      </x:c>
      <x:c r="L160" s="15" t="n">
        <x:v>0.67927843</x:v>
      </x:c>
      <x:c r="M160" s="14" t="n">
        <x:v>1</x:v>
      </x:c>
      <x:c r="N160" s="14" t="str">
        <x:v>Kerr J judgment | Mostyn J judgement (K&amp;A) | R (K and AM) background</x:v>
      </x:c>
    </x:row>
    <x:row r="161">
      <x:c r="A161" s="1" t="str">
        <x:v>cmmc48b4h000b04jxrxrp3idf</x:v>
      </x:c>
      <x:c r="B161" s="1" t="str">
        <x:v>cmmc45761000204jx6bd5kxqk</x:v>
      </x:c>
      <x:c r="C161" s="1" t="str">
        <x:v>ca-2024-000255-ellis-v-ssj-appellant-skeleton</x:v>
      </x:c>
      <x:c r="D161" s="12" t="n">
        <x:v>46085.59168572917</x:v>
      </x:c>
      <x:c r="E161" s="1" t="str">
        <x:v>yes</x:v>
      </x:c>
      <x:c r="F161" s="14" t="str">
        <x:v>cmmc4a8zu000h04jx2w3r0hzo</x:v>
      </x:c>
      <x:c r="G161" s="14" t="n">
        <x:v>10</x:v>
      </x:c>
      <x:c r="H161" s="14" t="str">
        <x:v>3e059541-8504-4163-a05b-ede4202b7675</x:v>
      </x:c>
      <x:c r="I161" s="14" t="str">
        <x:v>Cleeland, R (On the Application Of) v Criminal Cases Review Commission [2022] EWCA Civ 5</x:v>
      </x:c>
      <x:c r="J161" s="14" t="str">
        <x:v>England and Wales Court of Appeal (Civil Division)</x:v>
      </x:c>
      <x:c r="K161" s="14" t="n">
        <x:v>2022</x:v>
      </x:c>
      <x:c r="L161" s="15" t="n">
        <x:v>0.6782658</x:v>
      </x:c>
      <x:c r="M161" s="14" t="n">
        <x:v>1</x:v>
      </x:c>
      <x:c r="N161" s="14" t="str">
        <x:v>Charles; Neuberg; Pendleton; Mills &amp; Poole</x:v>
      </x:c>
    </x:row>
    <x:row r="162">
      <x:c r="A162" s="1" t="str">
        <x:v>cmmcaho67000b04k3d50f98in</x:v>
      </x:c>
      <x:c r="B162" s="1" t="str">
        <x:v>cmmcafz4s000204k31uew4nq3</x:v>
      </x:c>
      <x:c r="C162" s="1" t="str">
        <x:v>ew-cases-EWCA-Civ-2024-1110</x:v>
      </x:c>
      <x:c r="D162" s="12" t="n">
        <x:v>46085.71338134259</x:v>
      </x:c>
      <x:c r="E162" s="1" t="str">
        <x:v>yes</x:v>
      </x:c>
      <x:c r="F162" s="14" t="str">
        <x:v>cmmcal70d000h04k3e11w997v</x:v>
      </x:c>
      <x:c r="G162" s="14" t="n">
        <x:v>1</x:v>
      </x:c>
      <x:c r="H162" s="14" t="str">
        <x:v>445f0437-9772-49a4-bfbc-53967e1e53ac</x:v>
      </x:c>
      <x:c r="I162" s="14" t="str">
        <x:v>Al Mana Lifestyle Trading LLC &amp; Ors v United Fidelity Insurance Company PSC &amp; Ors [2023] EWCA Civ 61</x:v>
      </x:c>
      <x:c r="J162" s="14" t="str">
        <x:v>England and Wales Court of Appeal (Civil Division)</x:v>
      </x:c>
      <x:c r="K162" s="14" t="n">
        <x:v>2023</x:v>
      </x:c>
      <x:c r="L162" s="15" t="n">
        <x:v>0.70476</x:v>
      </x:c>
      <x:c r="M162" s="14" t="n">
        <x:v>5</x:v>
      </x:c>
      <x:c r="N162" s="14" t="str"/>
    </x:row>
    <x:row r="163">
      <x:c r="A163" s="1" t="str">
        <x:v>cmmcaho67000b04k3d50f98in</x:v>
      </x:c>
      <x:c r="B163" s="1" t="str">
        <x:v>cmmcafz4s000204k31uew4nq3</x:v>
      </x:c>
      <x:c r="C163" s="1" t="str">
        <x:v>ew-cases-EWCA-Civ-2024-1110</x:v>
      </x:c>
      <x:c r="D163" s="12" t="n">
        <x:v>46085.71338134259</x:v>
      </x:c>
      <x:c r="E163" s="1" t="str">
        <x:v>yes</x:v>
      </x:c>
      <x:c r="F163" s="14" t="str">
        <x:v>cmmcal70d000h04k3e11w997v</x:v>
      </x:c>
      <x:c r="G163" s="14" t="n">
        <x:v>2</x:v>
      </x:c>
      <x:c r="H163" s="14" t="str">
        <x:v>2f9fd02a-26e6-4859-90a8-5d64d042f0b9</x:v>
      </x:c>
      <x:c r="I163" s="14" t="str">
        <x:v>AIG Europe Ltd v OC320301 LLP &amp; Ors [2016] EWCA Civ 367</x:v>
      </x:c>
      <x:c r="J163" s="14" t="str">
        <x:v>England and Wales Court of Appeal (Civil Division)</x:v>
      </x:c>
      <x:c r="K163" s="14" t="n">
        <x:v>2016</x:v>
      </x:c>
      <x:c r="L163" s="15" t="n">
        <x:v>0.7018961</x:v>
      </x:c>
      <x:c r="M163" s="14" t="n">
        <x:v>2</x:v>
      </x:c>
      <x:c r="N163" s="14" t="str">
        <x:v>Lloyds TSB General Insurance Holdings Ltd v Lloyds Bank Group Insurance Co Ltd [2003] UKHL 48 | AXA Reinsurance (UK) v Field [1996] 3 All ER 517 | Municipal Mutual Insurance Ltd v Sea Insurance Co [1998] Lloyd's Rep IR 421 | Caudle v Sharp [1995] LRLR 433 | Cox v Bankside Members Agency Ltd [1995] 2 Lloyd's Rep 437 | AG v Cohen [1937] 1 KB 478</x:v>
      </x:c>
    </x:row>
    <x:row r="164">
      <x:c r="A164" s="1" t="str">
        <x:v>cmmcaho67000b04k3d50f98in</x:v>
      </x:c>
      <x:c r="B164" s="1" t="str">
        <x:v>cmmcafz4s000204k31uew4nq3</x:v>
      </x:c>
      <x:c r="C164" s="1" t="str">
        <x:v>ew-cases-EWCA-Civ-2024-1110</x:v>
      </x:c>
      <x:c r="D164" s="12" t="n">
        <x:v>46085.71338134259</x:v>
      </x:c>
      <x:c r="E164" s="1" t="str">
        <x:v>yes</x:v>
      </x:c>
      <x:c r="F164" s="14" t="str">
        <x:v>cmmcal70d000h04k3e11w997v</x:v>
      </x:c>
      <x:c r="G164" s="14" t="n">
        <x:v>3</x:v>
      </x:c>
      <x:c r="H164" s="14" t="str">
        <x:v>e050e594-d197-45f1-ba15-7d110c0d93c4</x:v>
      </x:c>
      <x:c r="I164" s="14" t="str">
        <x:v>Great Lakes Reinsurance (UK) SE v Western Trading Ltd [2016] EWCA Civ 1003 (11 October 2016)</x:v>
      </x:c>
      <x:c r="J164" s="14" t="str">
        <x:v>England and Wales Court of Appeal (Civil Division)</x:v>
      </x:c>
      <x:c r="K164" s="14" t="n">
        <x:v>2016</x:v>
      </x:c>
      <x:c r="L164" s="15" t="n">
        <x:v>0.69412315</x:v>
      </x:c>
      <x:c r="M164" s="14" t="n">
        <x:v>3</x:v>
      </x:c>
      <x:c r="N164" s="14" t="str">
        <x:v>Castellain v Preston | Reynolds v Phoenix Assurance Co Ltd | Leppard v Excess Insurance | Lonsdale &amp; Thompson Ltd v Black Arrow Group | Keystone Properties Ltd v Sun Alliance and London Insurance plc | Pleasurama v Sun Alliance | Tonkin v UK Insurance Ltd | Forbes J Reynolds v Phoenix Assurance Co Ltd | Sprung v Royal Insurance (UK) Ltd | McGillivray (insurance drafting authorities)</x:v>
      </x:c>
    </x:row>
    <x:row r="165">
      <x:c r="A165" s="1" t="str">
        <x:v>cmmcaho67000b04k3d50f98in</x:v>
      </x:c>
      <x:c r="B165" s="1" t="str">
        <x:v>cmmcafz4s000204k31uew4nq3</x:v>
      </x:c>
      <x:c r="C165" s="1" t="str">
        <x:v>ew-cases-EWCA-Civ-2024-1110</x:v>
      </x:c>
      <x:c r="D165" s="12" t="n">
        <x:v>46085.71338134259</x:v>
      </x:c>
      <x:c r="E165" s="1" t="str">
        <x:v>yes</x:v>
      </x:c>
      <x:c r="F165" s="14" t="str">
        <x:v>cmmcal70d000h04k3e11w997v</x:v>
      </x:c>
      <x:c r="G165" s="14" t="n">
        <x:v>4</x:v>
      </x:c>
      <x:c r="H165" s="14" t="str">
        <x:v>00167e1d-845c-4a1d-b17c-1c91c10b2c37</x:v>
      </x:c>
      <x:c r="I165" s="14" t="str">
        <x:v>Bank of New York Mellon (International) Limited v Cine-UK Limited [2022] EWCA Civ 1021</x:v>
      </x:c>
      <x:c r="J165" s="14" t="str">
        <x:v>England and Wales Court of Appeal (Civil Division)</x:v>
      </x:c>
      <x:c r="K165" s="14" t="n">
        <x:v>2022</x:v>
      </x:c>
      <x:c r="L165" s="15" t="n">
        <x:v>0.6914381</x:v>
      </x:c>
      <x:c r="M165" s="14" t="n">
        <x:v>2</x:v>
      </x:c>
      <x:c r="N165" s="14" t="str">
        <x:v>Financial Conduct Authority v Arch Insurance [2021] UKSC 1 | Bromarin v IMD Investments Limited [1999] STC 301 | Yoo Design (citations or passages referenced)</x:v>
      </x:c>
    </x:row>
    <x:row r="166">
      <x:c r="A166" s="1" t="str">
        <x:v>cmmcaho67000b04k3d50f98in</x:v>
      </x:c>
      <x:c r="B166" s="1" t="str">
        <x:v>cmmcafz4s000204k31uew4nq3</x:v>
      </x:c>
      <x:c r="C166" s="1" t="str">
        <x:v>ew-cases-EWCA-Civ-2024-1110</x:v>
      </x:c>
      <x:c r="D166" s="12" t="n">
        <x:v>46085.71338134259</x:v>
      </x:c>
      <x:c r="E166" s="1" t="str">
        <x:v>yes</x:v>
      </x:c>
      <x:c r="F166" s="14" t="str">
        <x:v>cmmcal70d000h04k3e11w997v</x:v>
      </x:c>
      <x:c r="G166" s="14" t="n">
        <x:v>5</x:v>
      </x:c>
      <x:c r="H166" s="14" t="str">
        <x:v>adbfae0c-b473-4f94-9e74-30a2382d20ba</x:v>
      </x:c>
      <x:c r="I166" s="14" t="str">
        <x:v>Trust Risk Group SPA v AmTrust Europe Ltd [2015] EWCA Civ 437</x:v>
      </x:c>
      <x:c r="J166" s="14" t="str">
        <x:v>England and Wales Court of Appeal (Civil Division)</x:v>
      </x:c>
      <x:c r="K166" s="14" t="n">
        <x:v>2015</x:v>
      </x:c>
      <x:c r="L166" s="15" t="n">
        <x:v>0.67614</x:v>
      </x:c>
      <x:c r="M166" s="14" t="n">
        <x:v>1</x:v>
      </x:c>
      <x:c r="N166" s="14" t="str"/>
    </x:row>
    <x:row r="167">
      <x:c r="A167" s="1" t="str">
        <x:v>cmmcaho67000b04k3d50f98in</x:v>
      </x:c>
      <x:c r="B167" s="1" t="str">
        <x:v>cmmcafz4s000204k31uew4nq3</x:v>
      </x:c>
      <x:c r="C167" s="1" t="str">
        <x:v>ew-cases-EWCA-Civ-2024-1110</x:v>
      </x:c>
      <x:c r="D167" s="12" t="n">
        <x:v>46085.71338134259</x:v>
      </x:c>
      <x:c r="E167" s="1" t="str">
        <x:v>yes</x:v>
      </x:c>
      <x:c r="F167" s="14" t="str">
        <x:v>cmmcal70d000h04k3e11w997v</x:v>
      </x:c>
      <x:c r="G167" s="14" t="n">
        <x:v>6</x:v>
      </x:c>
      <x:c r="H167" s="14" t="str">
        <x:v>638613f3-f321-4ccd-8055-aebfec6cec82</x:v>
      </x:c>
      <x:c r="I167" s="14" t="str">
        <x:v>Ted Baker Plc &amp; Anor v Axa Insurance UK Plc &amp; Ors [2014] EWCA Civ 134</x:v>
      </x:c>
      <x:c r="J167" s="14" t="str">
        <x:v>England and Wales Court of Appeal (Civil Division)</x:v>
      </x:c>
      <x:c r="K167" s="14" t="n">
        <x:v>2014</x:v>
      </x:c>
      <x:c r="L167" s="15" t="n">
        <x:v>0.6748972</x:v>
      </x:c>
      <x:c r="M167" s="14" t="n">
        <x:v>1</x:v>
      </x:c>
      <x:c r="N167" s="14" t="str"/>
    </x:row>
    <x:row r="168">
      <x:c r="A168" s="1" t="str">
        <x:v>cmmcaho67000b04k3d50f98in</x:v>
      </x:c>
      <x:c r="B168" s="1" t="str">
        <x:v>cmmcafz4s000204k31uew4nq3</x:v>
      </x:c>
      <x:c r="C168" s="1" t="str">
        <x:v>ew-cases-EWCA-Civ-2024-1110</x:v>
      </x:c>
      <x:c r="D168" s="12" t="n">
        <x:v>46085.71338134259</x:v>
      </x:c>
      <x:c r="E168" s="1" t="str">
        <x:v>yes</x:v>
      </x:c>
      <x:c r="F168" s="14" t="str">
        <x:v>cmmcal70d000h04k3e11w997v</x:v>
      </x:c>
      <x:c r="G168" s="14" t="n">
        <x:v>7</x:v>
      </x:c>
      <x:c r="H168" s="14" t="str">
        <x:v>cc794994-d9ff-4e2a-a522-ddb742b52a12</x:v>
      </x:c>
      <x:c r="I168" s="14" t="str">
        <x:v>Quadra Commodities S.A. v XL Insurance Company SE &amp; Ors [2023] EWCA Civ 432 (21 April 2023)</x:v>
      </x:c>
      <x:c r="J168" s="14" t="str">
        <x:v>England and Wales Court of Appeal (Civil Division)</x:v>
      </x:c>
      <x:c r="K168" s="14" t="n">
        <x:v>2023</x:v>
      </x:c>
      <x:c r="L168" s="15" t="n">
        <x:v>0.6742459</x:v>
      </x:c>
      <x:c r="M168" s="14" t="n">
        <x:v>2</x:v>
      </x:c>
      <x:c r="N168" s="14" t="str">
        <x:v>Feasey | Lucena | Anderson | Macaura | Wilson | RBG Resources | Bridge | S.20A Law Commission | Feasey v Sun Life Assurance Corp | Macaura v Northern Assurance | Lucena v Crauford | Anderson v Morice | Wilson v Jones | RBG Resources v Banque Cantonale Vaudoise | Bridge on Sales of Goods</x:v>
      </x:c>
    </x:row>
    <x:row r="169">
      <x:c r="A169" s="1" t="str">
        <x:v>cmmcaho67000b04k3d50f98in</x:v>
      </x:c>
      <x:c r="B169" s="1" t="str">
        <x:v>cmmcafz4s000204k31uew4nq3</x:v>
      </x:c>
      <x:c r="C169" s="1" t="str">
        <x:v>ew-cases-EWCA-Civ-2024-1110</x:v>
      </x:c>
      <x:c r="D169" s="12" t="n">
        <x:v>46085.71338134259</x:v>
      </x:c>
      <x:c r="E169" s="1" t="str">
        <x:v>yes</x:v>
      </x:c>
      <x:c r="F169" s="14" t="str">
        <x:v>cmmcal70d000h04k3e11w997v</x:v>
      </x:c>
      <x:c r="G169" s="14" t="n">
        <x:v>8</x:v>
      </x:c>
      <x:c r="H169" s="14" t="str">
        <x:v>fcbf3975-3755-45fa-9124-191d1a392003</x:v>
      </x:c>
      <x:c r="I169" s="14" t="str">
        <x:v>Wood v Sureterm Direct Ltd &amp; Capita Insurance Services Ltd [2015] EWCA Civ 839</x:v>
      </x:c>
      <x:c r="J169" s="14" t="str">
        <x:v>England and Wales Court of Appeal (Civil Division)</x:v>
      </x:c>
      <x:c r="K169" s="14" t="n">
        <x:v>2015</x:v>
      </x:c>
      <x:c r="L169" s="15" t="n">
        <x:v>0.67155164</x:v>
      </x:c>
      <x:c r="M169" s="14" t="n">
        <x:v>1</x:v>
      </x:c>
      <x:c r="N169" s="14" t="str"/>
    </x:row>
    <x:row r="170">
      <x:c r="A170" s="1" t="str">
        <x:v>cmmcaho67000b04k3d50f98in</x:v>
      </x:c>
      <x:c r="B170" s="1" t="str">
        <x:v>cmmcafz4s000204k31uew4nq3</x:v>
      </x:c>
      <x:c r="C170" s="1" t="str">
        <x:v>ew-cases-EWCA-Civ-2024-1110</x:v>
      </x:c>
      <x:c r="D170" s="12" t="n">
        <x:v>46085.71338134259</x:v>
      </x:c>
      <x:c r="E170" s="1" t="str">
        <x:v>yes</x:v>
      </x:c>
      <x:c r="F170" s="14" t="str">
        <x:v>cmmcal70d000h04k3e11w997v</x:v>
      </x:c>
      <x:c r="G170" s="14" t="n">
        <x:v>9</x:v>
      </x:c>
      <x:c r="H170" s="14" t="str">
        <x:v>d38848d5-b685-4b5f-8093-40563114db3b</x:v>
      </x:c>
      <x:c r="I170" s="14" t="str">
        <x:v>Shipowners' Mutual Protection and Indemnity Association (Luxembourg) v Containerships Denizcilik Nakliyat ve Ticaret A.S. ("Yusuf Cepnioglu") [2016] EWCA Civ 386</x:v>
      </x:c>
      <x:c r="J170" s="14" t="str">
        <x:v>England and Wales Court of Appeal (Civil Division)</x:v>
      </x:c>
      <x:c r="K170" s="14" t="n">
        <x:v>2016</x:v>
      </x:c>
      <x:c r="L170" s="15" t="n">
        <x:v>0.65904474</x:v>
      </x:c>
      <x:c r="M170" s="14" t="n">
        <x:v>2</x:v>
      </x:c>
      <x:c r="N170" s="14" t="str">
        <x:v>Padre Island | Hari Bhum No.1 | Prestige No.2 | The Jay Bola | The Charterers' Mutual | Angelic Grace | Turner v Grovit | Erich Gasser | Front Comor | Akai Pty Ltd v People's Insurance | DVA v Voest Alpine | Hari Bhum (No. 1) | The Prestige (No. 2)</x:v>
      </x:c>
    </x:row>
    <x:row r="171">
      <x:c r="A171" s="1" t="str">
        <x:v>cmmcaho67000b04k3d50f98in</x:v>
      </x:c>
      <x:c r="B171" s="1" t="str">
        <x:v>cmmcafz4s000204k31uew4nq3</x:v>
      </x:c>
      <x:c r="C171" s="1" t="str">
        <x:v>ew-cases-EWCA-Civ-2024-1110</x:v>
      </x:c>
      <x:c r="D171" s="12" t="n">
        <x:v>46085.71338134259</x:v>
      </x:c>
      <x:c r="E171" s="1" t="str">
        <x:v>yes</x:v>
      </x:c>
      <x:c r="F171" s="14" t="str">
        <x:v>cmmcal70d000h04k3e11w997v</x:v>
      </x:c>
      <x:c r="G171" s="14" t="n">
        <x:v>10</x:v>
      </x:c>
      <x:c r="H171" s="14" t="str">
        <x:v>394294db-f0b6-4f0f-a9df-ced441c7f6f1</x:v>
      </x:c>
      <x:c r="I171" s="14" t="str">
        <x:v>Aspen Insurance UK Ltd v Adana Construction Ltd [2015] EWCA Civ 176</x:v>
      </x:c>
      <x:c r="J171" s="14" t="str">
        <x:v>England and Wales Court of Appeal (Civil Division)</x:v>
      </x:c>
      <x:c r="K171" s="14" t="n">
        <x:v>2015</x:v>
      </x:c>
      <x:c r="L171" s="15" t="n">
        <x:v>0.65899223</x:v>
      </x:c>
      <x:c r="M171" s="14" t="n">
        <x:v>1</x:v>
      </x:c>
      <x:c r="N171" s="14" t="str"/>
    </x:row>
    <x:row r="172">
      <x:c r="A172" s="1" t="str">
        <x:v>cmmcaho67000b04k3d50f98in</x:v>
      </x:c>
      <x:c r="B172" s="1" t="str">
        <x:v>cmmcafz4s000204k31uew4nq3</x:v>
      </x:c>
      <x:c r="C172" s="1" t="str">
        <x:v>ew-cases-EWCA-Civ-2024-1110</x:v>
      </x:c>
      <x:c r="D172" s="12" t="n">
        <x:v>46085.71338134259</x:v>
      </x:c>
      <x:c r="E172" s="1" t="str">
        <x:v>yes</x:v>
      </x:c>
      <x:c r="F172" s="14" t="str">
        <x:v>cmmcal70d000h04k3e11w997v</x:v>
      </x:c>
      <x:c r="G172" s="14" t="n">
        <x:v>11</x:v>
      </x:c>
      <x:c r="H172" s="14" t="str">
        <x:v>f4622297-782a-464e-8eda-23f6cf392375</x:v>
      </x:c>
      <x:c r="I172" s="14" t="str">
        <x:v>AIG Europe SA &amp; Ors v John Wood Group Plc &amp; Anor [2022] EWCA Civ 781 (10 June 2022)</x:v>
      </x:c>
      <x:c r="J172" s="14" t="str">
        <x:v>England and Wales Court of Appeal (Civil Division)</x:v>
      </x:c>
      <x:c r="K172" s="14" t="n">
        <x:v>2022</x:v>
      </x:c>
      <x:c r="L172" s="15" t="n">
        <x:v>0.65570104</x:v>
      </x:c>
      <x:c r="M172" s="14" t="n">
        <x:v>2</x:v>
      </x:c>
      <x:c r="N172" s="14" t="str">
        <x:v>Fiona Trust v Privalov | Konkola Copper Mines v Coromin | Ust-Kamenogorsk Hydropower Plant v AES Kamenogorsk | Ecobank v Tanoh | The Alexandros T | The Angelic Grace | Compania Sud Americana de Vapores</x:v>
      </x:c>
    </x:row>
    <x:row r="173">
      <x:c r="A173" s="1" t="str">
        <x:v>cmmcaho67000b04k3d50f98in</x:v>
      </x:c>
      <x:c r="B173" s="1" t="str">
        <x:v>cmmcafz4s000204k31uew4nq3</x:v>
      </x:c>
      <x:c r="C173" s="1" t="str">
        <x:v>ew-cases-EWCA-Civ-2024-1110</x:v>
      </x:c>
      <x:c r="D173" s="12" t="n">
        <x:v>46085.71338134259</x:v>
      </x:c>
      <x:c r="E173" s="1" t="str">
        <x:v>yes</x:v>
      </x:c>
      <x:c r="F173" s="14" t="str">
        <x:v>cmmcal70d000h04k3e11w997v</x:v>
      </x:c>
      <x:c r="G173" s="14" t="n">
        <x:v>12</x:v>
      </x:c>
      <x:c r="H173" s="14" t="str">
        <x:v>21eb721f-d8b2-4c96-bff1-74c6066eea1d</x:v>
      </x:c>
      <x:c r="I173" s="14" t="str">
        <x:v>Spire Healthcare Limited v Royal &amp; Sun Alliance Insurance Limited [2022] EWCA Civ 17</x:v>
      </x:c>
      <x:c r="J173" s="14" t="str">
        <x:v>England and Wales Court of Appeal (Civil Division)</x:v>
      </x:c>
      <x:c r="K173" s="14" t="n">
        <x:v>2022</x:v>
      </x:c>
      <x:c r="L173" s="15" t="n">
        <x:v>0.6535522</x:v>
      </x:c>
      <x:c r="M173" s="14" t="n">
        <x:v>1</x:v>
      </x:c>
      <x:c r="N173" s="14" t="str">
        <x:v>Lloyds TSB General Insurance Holdings v Lloyds Bank Group Insurance Co Ltd | AIG Europe Ltd v OC320301 LLP | AIG v Woodman | Hooley Hill Rubber &amp; Chemical Company Ltd v Royal Insurance Company</x:v>
      </x:c>
    </x:row>
    <x:row r="174">
      <x:c r="A174" s="1" t="str">
        <x:v>cmmcaho67000b04k3d50f98in</x:v>
      </x:c>
      <x:c r="B174" s="1" t="str">
        <x:v>cmmcafz4s000204k31uew4nq3</x:v>
      </x:c>
      <x:c r="C174" s="1" t="str">
        <x:v>ew-cases-EWCA-Civ-2024-1110</x:v>
      </x:c>
      <x:c r="D174" s="12" t="n">
        <x:v>46085.71338134259</x:v>
      </x:c>
      <x:c r="E174" s="1" t="str">
        <x:v>yes</x:v>
      </x:c>
      <x:c r="F174" s="14" t="str">
        <x:v>cmmcal70d000h04k3e11w997v</x:v>
      </x:c>
      <x:c r="G174" s="14" t="n">
        <x:v>13</x:v>
      </x:c>
      <x:c r="H174" s="14" t="str">
        <x:v>83040df0-5ebd-481d-96b8-e53b37e0f97e</x:v>
      </x:c>
      <x:c r="I174" s="14" t="str">
        <x:v>Starlight Shipping Company v Allianz Marine &amp; Aviation Versicherungs AG &amp; Ors</x:v>
      </x:c>
      <x:c r="J174" s="14" t="str">
        <x:v>England and Wales Court of Appeal (Civil Division)</x:v>
      </x:c>
      <x:c r="K174" s="14" t="n">
        <x:v>2014</x:v>
      </x:c>
      <x:c r="L174" s="15" t="n">
        <x:v>0.6525273</x:v>
      </x:c>
      <x:c r="M174" s="14" t="n">
        <x:v>1</x:v>
      </x:c>
      <x:c r="N174" s="14" t="str"/>
    </x:row>
    <x:row r="175">
      <x:c r="A175" s="1" t="str">
        <x:v>cmmcaho67000b04k3d50f98in</x:v>
      </x:c>
      <x:c r="B175" s="1" t="str">
        <x:v>cmmcafz4s000204k31uew4nq3</x:v>
      </x:c>
      <x:c r="C175" s="1" t="str">
        <x:v>ew-cases-EWCA-Civ-2024-1110</x:v>
      </x:c>
      <x:c r="D175" s="12" t="n">
        <x:v>46085.71338134259</x:v>
      </x:c>
      <x:c r="E175" s="1" t="str">
        <x:v>yes</x:v>
      </x:c>
      <x:c r="F175" s="14" t="str">
        <x:v>cmmcal70d000h04k3e11w997v</x:v>
      </x:c>
      <x:c r="G175" s="14" t="n">
        <x:v>14</x:v>
      </x:c>
      <x:c r="H175" s="14" t="str">
        <x:v>a87860ff-994f-4309-bdb5-6259022af9ab</x:v>
      </x:c>
      <x:c r="I175" s="14" t="str">
        <x:v>Steve Ward Services (UK) Limited v Davies &amp; Davies Associates Limited [2022] EWCA Civ 153</x:v>
      </x:c>
      <x:c r="J175" s="14" t="str">
        <x:v>England and Wales Court of Appeal (Civil Division)</x:v>
      </x:c>
      <x:c r="K175" s="14" t="n">
        <x:v>2022</x:v>
      </x:c>
      <x:c r="L175" s="15" t="n">
        <x:v>0.6496402</x:v>
      </x:c>
      <x:c r="M175" s="14" t="n">
        <x:v>1</x:v>
      </x:c>
      <x:c r="N175" s="14" t="str">
        <x:v>Rainy Sky SA v Kookmin Bank | Arnold v Britton | Paragon Finance PLC v Nash | PC Harrington Contractors Ltd v Systech International Ltd | TRW Ltd v Panasonic Industry Europe GmbH | Woods v Capita Insurance Services Ltd</x:v>
      </x:c>
    </x:row>
    <x:row r="176">
      <x:c r="A176" s="1" t="str">
        <x:v>cmmcaho67000b04k3d50f98in</x:v>
      </x:c>
      <x:c r="B176" s="1" t="str">
        <x:v>cmmcafz4s000204k31uew4nq3</x:v>
      </x:c>
      <x:c r="C176" s="1" t="str">
        <x:v>ew-cases-EWCA-Civ-2024-1110</x:v>
      </x:c>
      <x:c r="D176" s="12" t="n">
        <x:v>46085.71338134259</x:v>
      </x:c>
      <x:c r="E176" s="1" t="str">
        <x:v>yes</x:v>
      </x:c>
      <x:c r="F176" s="14" t="str">
        <x:v>cmmcal70d000h04k3e11w997v</x:v>
      </x:c>
      <x:c r="G176" s="14" t="n">
        <x:v>15</x:v>
      </x:c>
      <x:c r="H176" s="14" t="str">
        <x:v>6436f55e-06d2-4659-86d5-143b8282fec2</x:v>
      </x:c>
      <x:c r="I176" s="14" t="str">
        <x:v>Burnford &amp; Ors v Automobile Association Developments Limited [2022] EWCA Civ 1943</x:v>
      </x:c>
      <x:c r="J176" s="14" t="str">
        <x:v>England and Wales Court of Appeal (Civil Division)</x:v>
      </x:c>
      <x:c r="K176" s="14" t="n">
        <x:v>2022</x:v>
      </x:c>
      <x:c r="L176" s="15" t="n">
        <x:v>0.64818317</x:v>
      </x:c>
      <x:c r="M176" s="14" t="n">
        <x:v>1</x:v>
      </x:c>
      <x:c r="N176" s="14" t="str">
        <x:v>Marex Financial Ltd v Sevilleja [2020] UKSC 31 | Primeo Fund v Bank of Bermuda (Cayman) Ltd [2021] UKPC 22 | Foss v Harbottle | Allianz Global Investors GmbH v Barclays Bank plc [2022] EWCA Civ 353 | UCP plc v Nectrus Ltd [2022] EWCA Civ 949 | X (Minors) v Bedfordshire County Council [1995] 2 AC 633 | Lungowe v Vedanta Resources plc [2019] UKSC 20 | Prudential</x:v>
      </x:c>
    </x:row>
    <x:row r="177">
      <x:c r="A177" s="1" t="str">
        <x:v>cmmcaho67000b04k3d50f98in</x:v>
      </x:c>
      <x:c r="B177" s="1" t="str">
        <x:v>cmmcafz4s000204k31uew4nq3</x:v>
      </x:c>
      <x:c r="C177" s="1" t="str">
        <x:v>ew-cases-EWCA-Civ-2024-1110</x:v>
      </x:c>
      <x:c r="D177" s="12" t="n">
        <x:v>46085.71338134259</x:v>
      </x:c>
      <x:c r="E177" s="1" t="str">
        <x:v>yes</x:v>
      </x:c>
      <x:c r="F177" s="14" t="str">
        <x:v>cmmcal70d000h04k3e11w997v</x:v>
      </x:c>
      <x:c r="G177" s="14" t="n">
        <x:v>16</x:v>
      </x:c>
      <x:c r="H177" s="14" t="str">
        <x:v>363d4dda-f9fd-497d-b45b-cecba704fa51</x:v>
      </x:c>
      <x:c r="I177" s="14" t="str">
        <x:v>Percy v White &amp; Anor [2022] EWCA Civ 493</x:v>
      </x:c>
      <x:c r="J177" s="14" t="str">
        <x:v>England and Wales Court of Appeal (Civil Division)</x:v>
      </x:c>
      <x:c r="K177" s="14" t="n">
        <x:v>2022</x:v>
      </x:c>
      <x:c r="L177" s="15" t="n">
        <x:v>0.6476784</x:v>
      </x:c>
      <x:c r="M177" s="14" t="n">
        <x:v>1</x:v>
      </x:c>
      <x:c r="N177" s="14" t="str">
        <x:v>Marex Financial Ltd v Sevilleja [2020] UKSC 31; [2021] AC 39 | Newson | Secretary of State for Trade and Industry v Bairstow [2003] EWCA Civ 321 | Laing v Taylor Walton [2007] EWCA Civ 1146 | Hughes v Weiss [2012] EWHC 2363 (Ch) | Saatchi v Gajjar [2019] EWHC 3472 (Ch) | Saif Ali v Sydney Mitchell &amp; Co [1980] AC 198 | Goldsmith Williams solicitors v E. Surv Ltd [2015] EWCA Civ 1147 | Arab Monetary Fund v Hashim | Hunter v Chief Constable of West Midlands Police [1982] AC 529 | Secretary of State for Trade and Industry v Bairstow [2004] Ch 1</x:v>
      </x:c>
    </x:row>
    <x:row r="178">
      <x:c r="A178" s="1" t="str">
        <x:v>cmmcaho67000b04k3d50f98in</x:v>
      </x:c>
      <x:c r="B178" s="1" t="str">
        <x:v>cmmcafz4s000204k31uew4nq3</x:v>
      </x:c>
      <x:c r="C178" s="1" t="str">
        <x:v>ew-cases-EWCA-Civ-2024-1110</x:v>
      </x:c>
      <x:c r="D178" s="12" t="n">
        <x:v>46085.71338134259</x:v>
      </x:c>
      <x:c r="E178" s="1" t="str">
        <x:v>yes</x:v>
      </x:c>
      <x:c r="F178" s="14" t="str">
        <x:v>cmmcal70d000h04k3e11w997v</x:v>
      </x:c>
      <x:c r="G178" s="14" t="n">
        <x:v>17</x:v>
      </x:c>
      <x:c r="H178" s="14" t="str">
        <x:v>d9827969-3ff6-4f39-a6cf-6b164ca04e35</x:v>
      </x:c>
      <x:c r="I178" s="14" t="str">
        <x:v>Zurich Insurance PLC v Maccaferri Ltd [2016] EWCA Civ 1302</x:v>
      </x:c>
      <x:c r="J178" s="14" t="str">
        <x:v>England and Wales Court of Appeal (Civil Division)</x:v>
      </x:c>
      <x:c r="K178" s="14" t="n">
        <x:v>2017</x:v>
      </x:c>
      <x:c r="L178" s="15" t="n">
        <x:v>0.64496577</x:v>
      </x:c>
      <x:c r="M178" s="14" t="n">
        <x:v>1</x:v>
      </x:c>
      <x:c r="N178" s="14" t="str">
        <x:v>Layher v Lowe | Jacobs v Coster | Verelst's Administratrix | HLB Kidsons &amp; Ors v Lloyd's Underwriters | Royal &amp; Sun Alliance v Dornoch | Axa Reinsurance v Field | Re Coleman's Depositories | Aspen Insurance UK Ltd v Pectel</x:v>
      </x:c>
    </x:row>
    <x:row r="179">
      <x:c r="A179" s="1" t="str">
        <x:v>cmmcaho67000b04k3d50f98in</x:v>
      </x:c>
      <x:c r="B179" s="1" t="str">
        <x:v>cmmcafz4s000204k31uew4nq3</x:v>
      </x:c>
      <x:c r="C179" s="1" t="str">
        <x:v>ew-cases-EWCA-Civ-2024-1110</x:v>
      </x:c>
      <x:c r="D179" s="12" t="n">
        <x:v>46085.71338134259</x:v>
      </x:c>
      <x:c r="E179" s="1" t="str">
        <x:v>yes</x:v>
      </x:c>
      <x:c r="F179" s="14" t="str">
        <x:v>cmmcal70d000h04k3e11w997v</x:v>
      </x:c>
      <x:c r="G179" s="14" t="n">
        <x:v>18</x:v>
      </x:c>
      <x:c r="H179" s="14" t="str">
        <x:v>81d53202-31ed-492b-a22e-15e4f280610b</x:v>
      </x:c>
      <x:c r="I179" s="14" t="str">
        <x:v>Soteria Insurance Ltd v IBM United Kingdom Ltd [2022] EWCA Civ 440</x:v>
      </x:c>
      <x:c r="J179" s="14" t="str">
        <x:v>England and Wales Court of Appeal (Civil Division)</x:v>
      </x:c>
      <x:c r="K179" s="14" t="n">
        <x:v>2022</x:v>
      </x:c>
      <x:c r="L179" s="15" t="n">
        <x:v>0.64461255</x:v>
      </x:c>
      <x:c r="M179" s="14" t="n">
        <x:v>1</x:v>
      </x:c>
      <x:c r="N179" s="14" t="str">
        <x:v>Mannai v Eagle Star | Alghussein | Gilbert-Ash | Stocznia | Kudos | BHP | Motortrak | Parsons Plastics | Rupert Morgan | Fage UK Ltd v Chobani Ltd | Triple Point | Times Travel | Astor | New Balance</x:v>
      </x:c>
    </x:row>
    <x:row r="180">
      <x:c r="A180" s="1" t="str">
        <x:v>cmmcaho67000b04k3d50f98in</x:v>
      </x:c>
      <x:c r="B180" s="1" t="str">
        <x:v>cmmcafz4s000204k31uew4nq3</x:v>
      </x:c>
      <x:c r="C180" s="1" t="str">
        <x:v>ew-cases-EWCA-Civ-2024-1110</x:v>
      </x:c>
      <x:c r="D180" s="12" t="n">
        <x:v>46085.71338134259</x:v>
      </x:c>
      <x:c r="E180" s="1" t="str">
        <x:v>yes</x:v>
      </x:c>
      <x:c r="F180" s="14" t="str">
        <x:v>cmmcal70d000h04k3e11w997v</x:v>
      </x:c>
      <x:c r="G180" s="14" t="n">
        <x:v>19</x:v>
      </x:c>
      <x:c r="H180" s="14" t="str">
        <x:v>6e6ec81e-b459-4d39-a1bd-ff92776233fa</x:v>
      </x:c>
      <x:c r="I180" s="14" t="str">
        <x:v>MDW Holdings Limited v Norvill &amp; Ors [2022] EWCA Civ 883 (Court of Appeal, Civil Division)</x:v>
      </x:c>
      <x:c r="J180" s="14" t="str">
        <x:v>England and Wales Court of Appeal (Civil Division)</x:v>
      </x:c>
      <x:c r="K180" s="14" t="n">
        <x:v>2022</x:v>
      </x:c>
      <x:c r="L180" s="15" t="n">
        <x:v>0.64308137</x:v>
      </x:c>
      <x:c r="M180" s="14" t="n">
        <x:v>1</x:v>
      </x:c>
      <x:c r="N180" s="14" t="str">
        <x:v>Bwllfa | The Golden Victory | Ageas | OMV Petrom | Classic Maritime | McConnel v Wright | Phillips | Downs v Chappell | Smith New Court | Ruxley Electronics</x:v>
      </x:c>
    </x:row>
    <x:row r="181">
      <x:c r="A181" s="1" t="str">
        <x:v>cmmcaho67000b04k3d50f98in</x:v>
      </x:c>
      <x:c r="B181" s="1" t="str">
        <x:v>cmmcafz4s000204k31uew4nq3</x:v>
      </x:c>
      <x:c r="C181" s="1" t="str">
        <x:v>ew-cases-EWCA-Civ-2024-1110</x:v>
      </x:c>
      <x:c r="D181" s="12" t="n">
        <x:v>46085.71338134259</x:v>
      </x:c>
      <x:c r="E181" s="1" t="str">
        <x:v>yes</x:v>
      </x:c>
      <x:c r="F181" s="14" t="str">
        <x:v>cmmcal70d000h04k3e11w997v</x:v>
      </x:c>
      <x:c r="G181" s="14" t="n">
        <x:v>20</x:v>
      </x:c>
      <x:c r="H181" s="14" t="str">
        <x:v>8bf594df-88d1-4791-89f3-b2699310ed7a</x:v>
      </x:c>
      <x:c r="I181" s="14" t="str">
        <x:v>Aviva Insurance Limited and Swiss Reinsurance Company Limited v Secretary of State for Work and Pensions [2022] EWCA Civ 15</x:v>
      </x:c>
      <x:c r="J181" s="14" t="str">
        <x:v>England and Wales Court of Appeal (Civil Division)</x:v>
      </x:c>
      <x:c r="K181" s="14" t="n">
        <x:v>2022</x:v>
      </x:c>
      <x:c r="L181" s="15" t="n">
        <x:v>0.6415988</x:v>
      </x:c>
      <x:c r="M181" s="14" t="n">
        <x:v>1</x:v>
      </x:c>
      <x:c r="N181" s="14" t="str">
        <x:v>Fairchild v Glenhaven Funeral Services Ltd | R(SC) v Works and Pensions Secretary | R(DA) v Works and Pensions Secretary | James v United Kingdom | Welsh Bill case</x:v>
      </x:c>
    </x:row>
    <x:row r="182">
      <x:c r="A182" s="1" t="str">
        <x:v>cmmdjmbqo000b04js13axm03c</x:v>
      </x:c>
      <x:c r="B182" s="1" t="str">
        <x:v>cmmdjkfi7000204jsunevvuvv</x:v>
      </x:c>
      <x:c r="C182" s="1" t="str">
        <x:v>skeleton-args-ca2023004634-299a4a730fe1f43a</x:v>
      </x:c>
      <x:c r="D182" s="12" t="n">
        <x:v>46086.59069491898</x:v>
      </x:c>
      <x:c r="E182" s="1" t="str">
        <x:v>yes</x:v>
      </x:c>
      <x:c r="F182" s="14" t="str">
        <x:v>cmmdjqxh3000304kvs37yorn3 | cmmdkjytd000304jl24cdxqvp</x:v>
      </x:c>
      <x:c r="G182" s="14" t="n">
        <x:v>1</x:v>
      </x:c>
      <x:c r="H182" s="14" t="str">
        <x:v>18a014eb-e365-4420-b07a-dfdd42f053ec</x:v>
      </x:c>
      <x:c r="I182" s="14" t="str">
        <x:v>Freifeld &amp; Anor v West Kensington Court Ltd [2015] EWCA Civ 806</x:v>
      </x:c>
      <x:c r="J182" s="14" t="str">
        <x:v>England and Wales Court of Appeal (Civil Division)</x:v>
      </x:c>
      <x:c r="K182" s="14" t="n">
        <x:v>2015</x:v>
      </x:c>
      <x:c r="L182" s="15" t="n">
        <x:v>0.73170173</x:v>
      </x:c>
      <x:c r="M182" s="14" t="n">
        <x:v>6</x:v>
      </x:c>
      <x:c r="N182" s="14" t="str">
        <x:v>Law of Property Act 1925, section 146</x:v>
      </x:c>
    </x:row>
    <x:row r="183">
      <x:c r="A183" s="1" t="str">
        <x:v>cmmdjmbqo000b04js13axm03c</x:v>
      </x:c>
      <x:c r="B183" s="1" t="str">
        <x:v>cmmdjkfi7000204jsunevvuvv</x:v>
      </x:c>
      <x:c r="C183" s="1" t="str">
        <x:v>skeleton-args-ca2023004634-299a4a730fe1f43a</x:v>
      </x:c>
      <x:c r="D183" s="12" t="n">
        <x:v>46086.59069491898</x:v>
      </x:c>
      <x:c r="E183" s="1" t="str">
        <x:v>yes</x:v>
      </x:c>
      <x:c r="F183" s="14" t="str">
        <x:v>cmmdjqxh3000304kvs37yorn3 | cmmdkjytd000304jl24cdxqvp</x:v>
      </x:c>
      <x:c r="G183" s="14" t="n">
        <x:v>2</x:v>
      </x:c>
      <x:c r="H183" s="14" t="str">
        <x:v>00167e1d-845c-4a1d-b17c-1c91c10b2c37</x:v>
      </x:c>
      <x:c r="I183" s="14" t="str">
        <x:v>Bank of New York Mellon (International) Limited v Cine-UK Limited [2022] EWCA Civ 1021</x:v>
      </x:c>
      <x:c r="J183" s="14" t="str">
        <x:v>England and Wales Court of Appeal (Civil Division)</x:v>
      </x:c>
      <x:c r="K183" s="14" t="n">
        <x:v>2022</x:v>
      </x:c>
      <x:c r="L183" s="15" t="n">
        <x:v>0.72841835</x:v>
      </x:c>
      <x:c r="M183" s="14" t="n">
        <x:v>2</x:v>
      </x:c>
      <x:c r="N183" s="14" t="str"/>
    </x:row>
    <x:row r="184">
      <x:c r="A184" s="1" t="str">
        <x:v>cmmdjmbqo000b04js13axm03c</x:v>
      </x:c>
      <x:c r="B184" s="1" t="str">
        <x:v>cmmdjkfi7000204jsunevvuvv</x:v>
      </x:c>
      <x:c r="C184" s="1" t="str">
        <x:v>skeleton-args-ca2023004634-299a4a730fe1f43a</x:v>
      </x:c>
      <x:c r="D184" s="12" t="n">
        <x:v>46086.59069491898</x:v>
      </x:c>
      <x:c r="E184" s="1" t="str">
        <x:v>yes</x:v>
      </x:c>
      <x:c r="F184" s="14" t="str">
        <x:v>cmmdjqxh3000304kvs37yorn3 | cmmdkjytd000304jl24cdxqvp</x:v>
      </x:c>
      <x:c r="G184" s="14" t="n">
        <x:v>3</x:v>
      </x:c>
      <x:c r="H184" s="14" t="str">
        <x:v>b8f5594c-ac32-4dd3-804a-fd0c938c4401</x:v>
      </x:c>
      <x:c r="I184" s="14" t="str">
        <x:v>Topland Portfolio No 1 Ltd v Smiths News Trading Ltd [2014] EWCA Civ 18</x:v>
      </x:c>
      <x:c r="J184" s="14" t="str">
        <x:v>England and Wales Court of Appeal (Civil Division)</x:v>
      </x:c>
      <x:c r="K184" s="14" t="n">
        <x:v>2014</x:v>
      </x:c>
      <x:c r="L184" s="15" t="n">
        <x:v>0.7268903</x:v>
      </x:c>
      <x:c r="M184" s="14" t="n">
        <x:v>1</x:v>
      </x:c>
      <x:c r="N184" s="14" t="str"/>
    </x:row>
    <x:row r="185">
      <x:c r="A185" s="1" t="str">
        <x:v>cmmdjmbqo000b04js13axm03c</x:v>
      </x:c>
      <x:c r="B185" s="1" t="str">
        <x:v>cmmdjkfi7000204jsunevvuvv</x:v>
      </x:c>
      <x:c r="C185" s="1" t="str">
        <x:v>skeleton-args-ca2023004634-299a4a730fe1f43a</x:v>
      </x:c>
      <x:c r="D185" s="12" t="n">
        <x:v>46086.59069491898</x:v>
      </x:c>
      <x:c r="E185" s="1" t="str">
        <x:v>yes</x:v>
      </x:c>
      <x:c r="F185" s="14" t="str">
        <x:v>cmmdjqxh3000304kvs37yorn3 | cmmdkjytd000304jl24cdxqvp</x:v>
      </x:c>
      <x:c r="G185" s="14" t="n">
        <x:v>4</x:v>
      </x:c>
      <x:c r="H185" s="14" t="str">
        <x:v>39df6304-6d5c-4744-8f1a-adcd4015ef46</x:v>
      </x:c>
      <x:c r="I185" s="14" t="str">
        <x:v>Nizami v Dezyanian [2015] EWCA Civ 632</x:v>
      </x:c>
      <x:c r="J185" s="14" t="str">
        <x:v>England and Wales Court of Appeal (Civil Division)</x:v>
      </x:c>
      <x:c r="K185" s="14" t="n">
        <x:v>2015</x:v>
      </x:c>
      <x:c r="L185" s="15" t="n">
        <x:v>0.7255647</x:v>
      </x:c>
      <x:c r="M185" s="14" t="n">
        <x:v>1</x:v>
      </x:c>
      <x:c r="N185" s="14" t="str">
        <x:v>Access to Justice Act 1999</x:v>
      </x:c>
    </x:row>
    <x:row r="186">
      <x:c r="A186" s="1" t="str">
        <x:v>cmmdjmbqo000b04js13axm03c</x:v>
      </x:c>
      <x:c r="B186" s="1" t="str">
        <x:v>cmmdjkfi7000204jsunevvuvv</x:v>
      </x:c>
      <x:c r="C186" s="1" t="str">
        <x:v>skeleton-args-ca2023004634-299a4a730fe1f43a</x:v>
      </x:c>
      <x:c r="D186" s="12" t="n">
        <x:v>46086.59069491898</x:v>
      </x:c>
      <x:c r="E186" s="1" t="str">
        <x:v>yes</x:v>
      </x:c>
      <x:c r="F186" s="14" t="str">
        <x:v>cmmdjqxh3000304kvs37yorn3 | cmmdkjytd000304jl24cdxqvp</x:v>
      </x:c>
      <x:c r="G186" s="14" t="n">
        <x:v>5</x:v>
      </x:c>
      <x:c r="H186" s="14" t="str">
        <x:v>945cd74c-6126-4ef5-ae71-7c0099a28f2b</x:v>
      </x:c>
      <x:c r="I186" s="14" t="str">
        <x:v>Bishop v Chhokar [2015] EWCA Civ 24</x:v>
      </x:c>
      <x:c r="J186" s="14" t="str">
        <x:v>England and Wales Court of Appeal (Civil Division)</x:v>
      </x:c>
      <x:c r="K186" s="14" t="n">
        <x:v>2015</x:v>
      </x:c>
      <x:c r="L186" s="15" t="n">
        <x:v>0.72506535</x:v>
      </x:c>
      <x:c r="M186" s="14" t="n">
        <x:v>2</x:v>
      </x:c>
      <x:c r="N186" s="14" t="str">
        <x:v>Taylor v Lawrence | Noble v Owens</x:v>
      </x:c>
    </x:row>
    <x:row r="187">
      <x:c r="A187" s="1" t="str">
        <x:v>cmmdjmbqo000b04js13axm03c</x:v>
      </x:c>
      <x:c r="B187" s="1" t="str">
        <x:v>cmmdjkfi7000204jsunevvuvv</x:v>
      </x:c>
      <x:c r="C187" s="1" t="str">
        <x:v>skeleton-args-ca2023004634-299a4a730fe1f43a</x:v>
      </x:c>
      <x:c r="D187" s="12" t="n">
        <x:v>46086.59069491898</x:v>
      </x:c>
      <x:c r="E187" s="1" t="str">
        <x:v>yes</x:v>
      </x:c>
      <x:c r="F187" s="14" t="str">
        <x:v>cmmdjqxh3000304kvs37yorn3 | cmmdkjytd000304jl24cdxqvp</x:v>
      </x:c>
      <x:c r="G187" s="14" t="n">
        <x:v>6</x:v>
      </x:c>
      <x:c r="H187" s="14" t="str">
        <x:v>093c1223-0ae8-4284-9849-0aa54158efc1</x:v>
      </x:c>
      <x:c r="I187" s="14" t="str">
        <x:v>Hough v Greathall Ltd [2015] EWCA Civ 23</x:v>
      </x:c>
      <x:c r="J187" s="14" t="str">
        <x:v>England and Wales Court of Appeal (Civil Division)</x:v>
      </x:c>
      <x:c r="K187" s="14" t="n">
        <x:v>2015</x:v>
      </x:c>
      <x:c r="L187" s="15" t="n">
        <x:v>0.7240748</x:v>
      </x:c>
      <x:c r="M187" s="14" t="n">
        <x:v>2</x:v>
      </x:c>
      <x:c r="N187" s="14" t="str"/>
    </x:row>
    <x:row r="188">
      <x:c r="A188" s="1" t="str">
        <x:v>cmmdjmbqo000b04js13axm03c</x:v>
      </x:c>
      <x:c r="B188" s="1" t="str">
        <x:v>cmmdjkfi7000204jsunevvuvv</x:v>
      </x:c>
      <x:c r="C188" s="1" t="str">
        <x:v>skeleton-args-ca2023004634-299a4a730fe1f43a</x:v>
      </x:c>
      <x:c r="D188" s="12" t="n">
        <x:v>46086.59069491898</x:v>
      </x:c>
      <x:c r="E188" s="1" t="str">
        <x:v>yes</x:v>
      </x:c>
      <x:c r="F188" s="14" t="str">
        <x:v>cmmdjqxh3000304kvs37yorn3 | cmmdkjytd000304jl24cdxqvp</x:v>
      </x:c>
      <x:c r="G188" s="14" t="n">
        <x:v>7</x:v>
      </x:c>
      <x:c r="H188" s="14" t="str">
        <x:v>263eee40-14b4-40aa-8b6d-47da6b0fa9b3</x:v>
      </x:c>
      <x:c r="I188" s="14" t="str">
        <x:v>Youssefi v Mussellwhite [2014] EWCA Civ 885</x:v>
      </x:c>
      <x:c r="J188" s="14" t="str">
        <x:v>England and Wales Court of Appeal (Civil Division)</x:v>
      </x:c>
      <x:c r="K188" s="14" t="n">
        <x:v>2014</x:v>
      </x:c>
      <x:c r="L188" s="15" t="n">
        <x:v>0.7213719</x:v>
      </x:c>
      <x:c r="M188" s="14" t="n">
        <x:v>3</x:v>
      </x:c>
      <x:c r="N188" s="14" t="str"/>
    </x:row>
    <x:row r="189">
      <x:c r="A189" s="1" t="str">
        <x:v>cmmdjmbqo000b04js13axm03c</x:v>
      </x:c>
      <x:c r="B189" s="1" t="str">
        <x:v>cmmdjkfi7000204jsunevvuvv</x:v>
      </x:c>
      <x:c r="C189" s="1" t="str">
        <x:v>skeleton-args-ca2023004634-299a4a730fe1f43a</x:v>
      </x:c>
      <x:c r="D189" s="12" t="n">
        <x:v>46086.59069491898</x:v>
      </x:c>
      <x:c r="E189" s="1" t="str">
        <x:v>yes</x:v>
      </x:c>
      <x:c r="F189" s="14" t="str">
        <x:v>cmmdjqxh3000304kvs37yorn3 | cmmdkjytd000304jl24cdxqvp</x:v>
      </x:c>
      <x:c r="G189" s="14" t="n">
        <x:v>8</x:v>
      </x:c>
      <x:c r="H189" s="14" t="str">
        <x:v>7079fc72-6050-4668-ac32-14c3ce1d3b5c</x:v>
      </x:c>
      <x:c r="I189" s="14" t="str">
        <x:v>Tibber v Buckley &amp; Anor [2015] EWCA Civ 1294</x:v>
      </x:c>
      <x:c r="J189" s="14" t="str">
        <x:v>England and Wales Court of Appeal (Civil Division)</x:v>
      </x:c>
      <x:c r="K189" s="14" t="n">
        <x:v>2014</x:v>
      </x:c>
      <x:c r="L189" s="15" t="n">
        <x:v>0.7211114</x:v>
      </x:c>
      <x:c r="M189" s="14" t="n">
        <x:v>1</x:v>
      </x:c>
      <x:c r="N189" s="14" t="str">
        <x:v>Howard de Walden Estates Ltd v. Aggio</x:v>
      </x:c>
    </x:row>
    <x:row r="190">
      <x:c r="A190" s="1" t="str">
        <x:v>cmmdjmbqo000b04js13axm03c</x:v>
      </x:c>
      <x:c r="B190" s="1" t="str">
        <x:v>cmmdjkfi7000204jsunevvuvv</x:v>
      </x:c>
      <x:c r="C190" s="1" t="str">
        <x:v>skeleton-args-ca2023004634-299a4a730fe1f43a</x:v>
      </x:c>
      <x:c r="D190" s="12" t="n">
        <x:v>46086.59069491898</x:v>
      </x:c>
      <x:c r="E190" s="1" t="str">
        <x:v>yes</x:v>
      </x:c>
      <x:c r="F190" s="14" t="str">
        <x:v>cmmdjqxh3000304kvs37yorn3 | cmmdkjytd000304jl24cdxqvp</x:v>
      </x:c>
      <x:c r="G190" s="14" t="n">
        <x:v>9</x:v>
      </x:c>
      <x:c r="H190" s="14" t="str">
        <x:v>84abacd4-ac9e-4547-9c6c-c9f49ad1f96d</x:v>
      </x:c>
      <x:c r="I190" s="14" t="str">
        <x:v>Anselm v Buckle &amp; Anor [2014] EWCA Civ 311</x:v>
      </x:c>
      <x:c r="J190" s="14" t="str">
        <x:v>England and Wales Court of Appeal (Civil Division)</x:v>
      </x:c>
      <x:c r="K190" s="14" t="n">
        <x:v>2014</x:v>
      </x:c>
      <x:c r="L190" s="15" t="n">
        <x:v>0.7168427</x:v>
      </x:c>
      <x:c r="M190" s="14" t="n">
        <x:v>2</x:v>
      </x:c>
      <x:c r="N190" s="14" t="str"/>
    </x:row>
    <x:row r="191">
      <x:c r="A191" s="1" t="str">
        <x:v>cmmdjmbqo000b04js13axm03c</x:v>
      </x:c>
      <x:c r="B191" s="1" t="str">
        <x:v>cmmdjkfi7000204jsunevvuvv</x:v>
      </x:c>
      <x:c r="C191" s="1" t="str">
        <x:v>skeleton-args-ca2023004634-299a4a730fe1f43a</x:v>
      </x:c>
      <x:c r="D191" s="12" t="n">
        <x:v>46086.59069491898</x:v>
      </x:c>
      <x:c r="E191" s="1" t="str">
        <x:v>yes</x:v>
      </x:c>
      <x:c r="F191" s="14" t="str">
        <x:v>cmmdjqxh3000304kvs37yorn3 | cmmdkjytd000304jl24cdxqvp</x:v>
      </x:c>
      <x:c r="G191" s="14" t="n">
        <x:v>10</x:v>
      </x:c>
      <x:c r="H191" s="14" t="str">
        <x:v>63c13b59-95b3-46e6-bcfd-eef08df13985</x:v>
      </x:c>
      <x:c r="I191" s="14" t="str">
        <x:v>SWA Developments Ltd v Burke [2016] EWCA Civ 389</x:v>
      </x:c>
      <x:c r="J191" s="14" t="str">
        <x:v>England and Wales Court of Appeal (Civil Division)</x:v>
      </x:c>
      <x:c r="K191" s="14" t="n">
        <x:v>2016</x:v>
      </x:c>
      <x:c r="L191" s="15" t="n">
        <x:v>0.71553063</x:v>
      </x:c>
      <x:c r="M191" s="14" t="n">
        <x:v>4</x:v>
      </x:c>
      <x:c r="N191" s="14" t="str">
        <x:v>Shiloh Spinners v Harding [1973] AC 691 | Magnic v Ul-Hassan [2015] EWCA Civ 224 | Shiloh Spinners Ltd v Harding [1973] AC 691</x:v>
      </x:c>
    </x:row>
    <x:row r="192">
      <x:c r="A192" s="1" t="str">
        <x:v>cmmdjmbqo000b04js13axm03c</x:v>
      </x:c>
      <x:c r="B192" s="1" t="str">
        <x:v>cmmdjkfi7000204jsunevvuvv</x:v>
      </x:c>
      <x:c r="C192" s="1" t="str">
        <x:v>skeleton-args-ca2023004634-299a4a730fe1f43a</x:v>
      </x:c>
      <x:c r="D192" s="12" t="n">
        <x:v>46086.59069491898</x:v>
      </x:c>
      <x:c r="E192" s="1" t="str">
        <x:v>yes</x:v>
      </x:c>
      <x:c r="F192" s="14" t="str">
        <x:v>cmmdjqxh3000304kvs37yorn3 | cmmdkjytd000304jl24cdxqvp</x:v>
      </x:c>
      <x:c r="G192" s="14" t="n">
        <x:v>11</x:v>
      </x:c>
      <x:c r="H192" s="14" t="str">
        <x:v>ccb176da-f583-47e8-b2a6-cc3aadd7833c</x:v>
      </x:c>
      <x:c r="I192" s="14" t="str">
        <x:v>Marks And Spencer Plc v BNP Paribas Securities Services Trust Company (Jersey) Ltd &amp; Anor [2014] EWCA Civ 603</x:v>
      </x:c>
      <x:c r="J192" s="14" t="str">
        <x:v>England and Wales Court of Appeal (Civil Division)</x:v>
      </x:c>
      <x:c r="K192" s="14" t="n">
        <x:v>2014</x:v>
      </x:c>
      <x:c r="L192" s="15" t="n">
        <x:v>0.7148241</x:v>
      </x:c>
      <x:c r="M192" s="14" t="n">
        <x:v>1</x:v>
      </x:c>
      <x:c r="N192" s="14" t="str"/>
    </x:row>
    <x:row r="193">
      <x:c r="A193" s="1" t="str">
        <x:v>cmmdjmbqo000b04js13axm03c</x:v>
      </x:c>
      <x:c r="B193" s="1" t="str">
        <x:v>cmmdjkfi7000204jsunevvuvv</x:v>
      </x:c>
      <x:c r="C193" s="1" t="str">
        <x:v>skeleton-args-ca2023004634-299a4a730fe1f43a</x:v>
      </x:c>
      <x:c r="D193" s="12" t="n">
        <x:v>46086.59069491898</x:v>
      </x:c>
      <x:c r="E193" s="1" t="str">
        <x:v>yes</x:v>
      </x:c>
      <x:c r="F193" s="14" t="str">
        <x:v>cmmdjqxh3000304kvs37yorn3 | cmmdkjytd000304jl24cdxqvp</x:v>
      </x:c>
      <x:c r="G193" s="14" t="n">
        <x:v>12</x:v>
      </x:c>
      <x:c r="H193" s="14" t="str">
        <x:v>1b3f1357-0731-4894-9c17-a958eecd366a</x:v>
      </x:c>
      <x:c r="I193" s="14" t="str">
        <x:v>Magnic Ltd v Ul-Hassan &amp; Anor [2015] EWCA Civ 224</x:v>
      </x:c>
      <x:c r="J193" s="14" t="str">
        <x:v>England and Wales Court of Appeal (Civil Division)</x:v>
      </x:c>
      <x:c r="K193" s="14" t="n">
        <x:v>2015</x:v>
      </x:c>
      <x:c r="L193" s="15" t="n">
        <x:v>0.71463615</x:v>
      </x:c>
      <x:c r="M193" s="14" t="n">
        <x:v>4</x:v>
      </x:c>
      <x:c r="N193" s="14" t="str">
        <x:v>Starside Properties v Mustapha</x:v>
      </x:c>
    </x:row>
    <x:row r="194">
      <x:c r="A194" s="1" t="str">
        <x:v>cmmdjmbqo000b04js13axm03c</x:v>
      </x:c>
      <x:c r="B194" s="1" t="str">
        <x:v>cmmdjkfi7000204jsunevvuvv</x:v>
      </x:c>
      <x:c r="C194" s="1" t="str">
        <x:v>skeleton-args-ca2023004634-299a4a730fe1f43a</x:v>
      </x:c>
      <x:c r="D194" s="12" t="n">
        <x:v>46086.59069491898</x:v>
      </x:c>
      <x:c r="E194" s="1" t="str">
        <x:v>yes</x:v>
      </x:c>
      <x:c r="F194" s="14" t="str">
        <x:v>cmmdjqxh3000304kvs37yorn3 | cmmdkjytd000304jl24cdxqvp</x:v>
      </x:c>
      <x:c r="G194" s="14" t="n">
        <x:v>13</x:v>
      </x:c>
      <x:c r="H194" s="14" t="str">
        <x:v>f0cad471-e222-49db-b138-c99f671aff4f</x:v>
      </x:c>
      <x:c r="I194" s="14" t="str">
        <x:v>Cawsand Fort Management Company v Kane &amp; Ors [2015] EWCA Civ 1520</x:v>
      </x:c>
      <x:c r="J194" s="14" t="str">
        <x:v>England and Wales Court of Appeal (Civil Division)</x:v>
      </x:c>
      <x:c r="K194" s="14" t="n">
        <x:v>2015</x:v>
      </x:c>
      <x:c r="L194" s="15" t="n">
        <x:v>0.7142375</x:v>
      </x:c>
      <x:c r="M194" s="14" t="n">
        <x:v>2</x:v>
      </x:c>
      <x:c r="N194" s="14" t="str"/>
    </x:row>
    <x:row r="195">
      <x:c r="A195" s="1" t="str">
        <x:v>cmmdjmbqo000b04js13axm03c</x:v>
      </x:c>
      <x:c r="B195" s="1" t="str">
        <x:v>cmmdjkfi7000204jsunevvuvv</x:v>
      </x:c>
      <x:c r="C195" s="1" t="str">
        <x:v>skeleton-args-ca2023004634-299a4a730fe1f43a</x:v>
      </x:c>
      <x:c r="D195" s="12" t="n">
        <x:v>46086.59069491898</x:v>
      </x:c>
      <x:c r="E195" s="1" t="str">
        <x:v>yes</x:v>
      </x:c>
      <x:c r="F195" s="14" t="str">
        <x:v>cmmdjqxh3000304kvs37yorn3 | cmmdkjytd000304jl24cdxqvp</x:v>
      </x:c>
      <x:c r="G195" s="14" t="n">
        <x:v>14</x:v>
      </x:c>
      <x:c r="H195" s="14" t="str">
        <x:v>20883fdd-3d62-402d-b87e-d07099a0aace</x:v>
      </x:c>
      <x:c r="I195" s="14" t="str">
        <x:v>Morshead Mansions Ltd v Di Marco</x:v>
      </x:c>
      <x:c r="J195" s="14" t="str">
        <x:v>England and Wales Court of Appeal (Civil Division)</x:v>
      </x:c>
      <x:c r="K195" s="14" t="n">
        <x:v>2014</x:v>
      </x:c>
      <x:c r="L195" s="15" t="n">
        <x:v>0.71273726</x:v>
      </x:c>
      <x:c r="M195" s="14" t="n">
        <x:v>2</x:v>
      </x:c>
      <x:c r="N195" s="14" t="str"/>
    </x:row>
    <x:row r="196">
      <x:c r="A196" s="1" t="str">
        <x:v>cmmdjmbqo000b04js13axm03c</x:v>
      </x:c>
      <x:c r="B196" s="1" t="str">
        <x:v>cmmdjkfi7000204jsunevvuvv</x:v>
      </x:c>
      <x:c r="C196" s="1" t="str">
        <x:v>skeleton-args-ca2023004634-299a4a730fe1f43a</x:v>
      </x:c>
      <x:c r="D196" s="12" t="n">
        <x:v>46086.59069491898</x:v>
      </x:c>
      <x:c r="E196" s="1" t="str">
        <x:v>yes</x:v>
      </x:c>
      <x:c r="F196" s="14" t="str">
        <x:v>cmmdjqxh3000304kvs37yorn3 | cmmdkjytd000304jl24cdxqvp</x:v>
      </x:c>
      <x:c r="G196" s="14" t="n">
        <x:v>15</x:v>
      </x:c>
      <x:c r="H196" s="14" t="str">
        <x:v>d9167d92-3e2d-462b-b1dd-0c42056c65b9</x:v>
      </x:c>
      <x:c r="I196" s="14" t="str">
        <x:v>Chaplair Ltd v Kumari [2015] EWCA Civ 798</x:v>
      </x:c>
      <x:c r="J196" s="14" t="str">
        <x:v>England and Wales Court of Appeal (Civil Division)</x:v>
      </x:c>
      <x:c r="K196" s="14" t="n">
        <x:v>2015</x:v>
      </x:c>
      <x:c r="L196" s="15" t="n">
        <x:v>0.7053801</x:v>
      </x:c>
      <x:c r="M196" s="14" t="n">
        <x:v>1</x:v>
      </x:c>
      <x:c r="N196" s="14" t="str"/>
    </x:row>
    <x:row r="197">
      <x:c r="A197" s="1" t="str">
        <x:v>cmmdjmbqo000b04js13axm03c</x:v>
      </x:c>
      <x:c r="B197" s="1" t="str">
        <x:v>cmmdjkfi7000204jsunevvuvv</x:v>
      </x:c>
      <x:c r="C197" s="1" t="str">
        <x:v>skeleton-args-ca2023004634-299a4a730fe1f43a</x:v>
      </x:c>
      <x:c r="D197" s="12" t="n">
        <x:v>46086.59069491898</x:v>
      </x:c>
      <x:c r="E197" s="1" t="str">
        <x:v>yes</x:v>
      </x:c>
      <x:c r="F197" s="14" t="str">
        <x:v>cmmdjqxh3000304kvs37yorn3 | cmmdkjytd000304jl24cdxqvp</x:v>
      </x:c>
      <x:c r="G197" s="14" t="n">
        <x:v>16</x:v>
      </x:c>
      <x:c r="H197" s="14" t="str">
        <x:v>f12362ca-9214-46d6-8a2a-5ddadac29884</x:v>
      </x:c>
      <x:c r="I197" s="14" t="str">
        <x:v>Innerspaces Self Storage Ltd v Harding &amp; Ors [2014] EWCA Civ 46</x:v>
      </x:c>
      <x:c r="J197" s="14" t="str">
        <x:v>England and Wales Court of Appeal (Civil Division)</x:v>
      </x:c>
      <x:c r="K197" s="14" t="n">
        <x:v>2014</x:v>
      </x:c>
      <x:c r="L197" s="15" t="n">
        <x:v>0.7032418</x:v>
      </x:c>
      <x:c r="M197" s="14" t="n">
        <x:v>2</x:v>
      </x:c>
      <x:c r="N197" s="14" t="str"/>
    </x:row>
    <x:row r="198">
      <x:c r="A198" s="1" t="str">
        <x:v>cmmdjmbqo000b04js13axm03c</x:v>
      </x:c>
      <x:c r="B198" s="1" t="str">
        <x:v>cmmdjkfi7000204jsunevvuvv</x:v>
      </x:c>
      <x:c r="C198" s="1" t="str">
        <x:v>skeleton-args-ca2023004634-299a4a730fe1f43a</x:v>
      </x:c>
      <x:c r="D198" s="12" t="n">
        <x:v>46086.59069491898</x:v>
      </x:c>
      <x:c r="E198" s="1" t="str">
        <x:v>yes</x:v>
      </x:c>
      <x:c r="F198" s="14" t="str">
        <x:v>cmmdjqxh3000304kvs37yorn3 | cmmdkjytd000304jl24cdxqvp</x:v>
      </x:c>
      <x:c r="G198" s="14" t="n">
        <x:v>17</x:v>
      </x:c>
      <x:c r="H198" s="14" t="str">
        <x:v>2702fe29-d7f0-4cc6-8c3f-b840406bb7a2</x:v>
      </x:c>
      <x:c r="I198" s="14" t="str">
        <x:v>Peel Land and Property (Ports No. 3) Ltd v TS Sheerness Ltd</x:v>
      </x:c>
      <x:c r="J198" s="14" t="str">
        <x:v>England and Wales Court of Appeal (Civil Division)</x:v>
      </x:c>
      <x:c r="K198" s="14" t="n">
        <x:v>2014</x:v>
      </x:c>
      <x:c r="L198" s="15" t="n">
        <x:v>0.7017131</x:v>
      </x:c>
      <x:c r="M198" s="14" t="n">
        <x:v>2</x:v>
      </x:c>
      <x:c r="N198" s="14" t="str"/>
    </x:row>
    <x:row r="199">
      <x:c r="A199" s="1" t="str">
        <x:v>cmmdjmbqo000b04js13axm03c</x:v>
      </x:c>
      <x:c r="B199" s="1" t="str">
        <x:v>cmmdjkfi7000204jsunevvuvv</x:v>
      </x:c>
      <x:c r="C199" s="1" t="str">
        <x:v>skeleton-args-ca2023004634-299a4a730fe1f43a</x:v>
      </x:c>
      <x:c r="D199" s="12" t="n">
        <x:v>46086.59069491898</x:v>
      </x:c>
      <x:c r="E199" s="1" t="str">
        <x:v>yes</x:v>
      </x:c>
      <x:c r="F199" s="14" t="str">
        <x:v>cmmdjqxh3000304kvs37yorn3 | cmmdkjytd000304jl24cdxqvp</x:v>
      </x:c>
      <x:c r="G199" s="14" t="n">
        <x:v>18</x:v>
      </x:c>
      <x:c r="H199" s="14" t="str">
        <x:v>98a141f0-f889-4521-86c4-1b8648867286</x:v>
      </x:c>
      <x:c r="I199" s="14" t="str">
        <x:v>Silver Fern Microlights Ltd v Jones &amp; Ors [2016] EWCA Civ 277</x:v>
      </x:c>
      <x:c r="J199" s="14" t="str">
        <x:v>England and Wales Court of Appeal (Civil Division)</x:v>
      </x:c>
      <x:c r="K199" s="14" t="n">
        <x:v>2016</x:v>
      </x:c>
      <x:c r="L199" s="15" t="n">
        <x:v>0.700525</x:v>
      </x:c>
      <x:c r="M199" s="14" t="n">
        <x:v>1</x:v>
      </x:c>
      <x:c r="N199" s="14" t="str"/>
    </x:row>
    <x:row r="200">
      <x:c r="A200" s="1" t="str">
        <x:v>cmmdjmbqo000b04js13axm03c</x:v>
      </x:c>
      <x:c r="B200" s="1" t="str">
        <x:v>cmmdjkfi7000204jsunevvuvv</x:v>
      </x:c>
      <x:c r="C200" s="1" t="str">
        <x:v>skeleton-args-ca2023004634-299a4a730fe1f43a</x:v>
      </x:c>
      <x:c r="D200" s="12" t="n">
        <x:v>46086.59069491898</x:v>
      </x:c>
      <x:c r="E200" s="1" t="str">
        <x:v>yes</x:v>
      </x:c>
      <x:c r="F200" s="14" t="str">
        <x:v>cmmdjqxh3000304kvs37yorn3 | cmmdkjytd000304jl24cdxqvp</x:v>
      </x:c>
      <x:c r="G200" s="14" t="n">
        <x:v>19</x:v>
      </x:c>
      <x:c r="H200" s="14" t="str">
        <x:v>38228566-f138-413e-98cf-b8c35fe9afaa</x:v>
      </x:c>
      <x:c r="I200" s="14" t="str">
        <x:v>Erimus Housing Ltd v Barclays Wealth Trustees (Jersey) Ltd &amp; Ors [2014] EWCA Civ 303</x:v>
      </x:c>
      <x:c r="J200" s="14" t="str">
        <x:v>England and Wales Court of Appeal (Civil Division)</x:v>
      </x:c>
      <x:c r="K200" s="14" t="n">
        <x:v>2014</x:v>
      </x:c>
      <x:c r="L200" s="15" t="n">
        <x:v>0.69997346</x:v>
      </x:c>
      <x:c r="M200" s="14" t="n">
        <x:v>2</x:v>
      </x:c>
      <x:c r="N200" s="14" t="str">
        <x:v>Cardiothoracic Institute v Shrewdcrest Ltd [1986] 1 WLR 368 | Landlord and Tenant Act 1954</x:v>
      </x:c>
    </x:row>
    <x:row r="201">
      <x:c r="A201" s="1" t="str">
        <x:v>cmmdjmbqo000b04js13axm03c</x:v>
      </x:c>
      <x:c r="B201" s="1" t="str">
        <x:v>cmmdjkfi7000204jsunevvuvv</x:v>
      </x:c>
      <x:c r="C201" s="1" t="str">
        <x:v>skeleton-args-ca2023004634-299a4a730fe1f43a</x:v>
      </x:c>
      <x:c r="D201" s="12" t="n">
        <x:v>46086.59069491898</x:v>
      </x:c>
      <x:c r="E201" s="1" t="str">
        <x:v>yes</x:v>
      </x:c>
      <x:c r="F201" s="14" t="str">
        <x:v>cmmdjqxh3000304kvs37yorn3 | cmmdkjytd000304jl24cdxqvp</x:v>
      </x:c>
      <x:c r="G201" s="14" t="n">
        <x:v>20</x:v>
      </x:c>
      <x:c r="H201" s="14" t="str">
        <x:v>5315bcf1-31e2-4c09-9977-ecd80a7a8ec7</x:v>
      </x:c>
      <x:c r="I201" s="14" t="str">
        <x:v>South Essex Partnership University NHS Foundation Trust v Laindon Holdings Ltd [2016] EWCA Civ 377</x:v>
      </x:c>
      <x:c r="J201" s="14" t="str">
        <x:v>England and Wales Court of Appeal (Civil Division)</x:v>
      </x:c>
      <x:c r="K201" s="14" t="n">
        <x:v>2016</x:v>
      </x:c>
      <x:c r="L201" s="15" t="n">
        <x:v>0.69715047</x:v>
      </x:c>
      <x:c r="M201" s="14" t="n">
        <x:v>1</x:v>
      </x:c>
      <x:c r="N201" s="14" t="str"/>
    </x:row>
    <x:row r="202">
      <x:c r="A202" s="1" t="str">
        <x:v>cmmf20sg7000b04jxh5i54iyz</x:v>
      </x:c>
      <x:c r="B202" s="1" t="str">
        <x:v>cmlzne5ed000204ju2xa40q49</x:v>
      </x:c>
      <x:c r="C202" s="1" t="str">
        <x:v>ew-cases-EWCA-Civ-2024-1</x:v>
      </x:c>
      <x:c r="D202" s="12" t="n">
        <x:v>46087.64826565972</x:v>
      </x:c>
      <x:c r="E202" s="1" t="str">
        <x:v>yes</x:v>
      </x:c>
      <x:c r="F202" s="14" t="str">
        <x:v>cmmf22axa000h04jxcpnnecs0</x:v>
      </x:c>
      <x:c r="G202" s="14" t="n">
        <x:v>1</x:v>
      </x:c>
      <x:c r="H202" s="14" t="str">
        <x:v>43ef5de1-aec0-41aa-83ef-7f2ecf54e8b8</x:v>
      </x:c>
      <x:c r="I202" s="14" t="str">
        <x:v>Revenue and Customs v Lloyds TSB Equipment Leasing (No 1) Ltd [2014] EWCA Civ 1062</x:v>
      </x:c>
      <x:c r="J202" s="14" t="str">
        <x:v>England and Wales Court of Appeal (Civil Division)</x:v>
      </x:c>
      <x:c r="K202" s="14" t="n">
        <x:v>2014</x:v>
      </x:c>
      <x:c r="L202" s="15" t="n">
        <x:v>0.68848974</x:v>
      </x:c>
      <x:c r="M202" s="14" t="n">
        <x:v>5</x:v>
      </x:c>
      <x:c r="N202" s="14" t="str"/>
    </x:row>
    <x:row r="203">
      <x:c r="A203" s="1" t="str">
        <x:v>cmmf20sg7000b04jxh5i54iyz</x:v>
      </x:c>
      <x:c r="B203" s="1" t="str">
        <x:v>cmlzne5ed000204ju2xa40q49</x:v>
      </x:c>
      <x:c r="C203" s="1" t="str">
        <x:v>ew-cases-EWCA-Civ-2024-1</x:v>
      </x:c>
      <x:c r="D203" s="12" t="n">
        <x:v>46087.64826565972</x:v>
      </x:c>
      <x:c r="E203" s="1" t="str">
        <x:v>yes</x:v>
      </x:c>
      <x:c r="F203" s="14" t="str">
        <x:v>cmmf22axa000h04jxcpnnecs0</x:v>
      </x:c>
      <x:c r="G203" s="14" t="n">
        <x:v>2</x:v>
      </x:c>
      <x:c r="H203" s="14" t="str">
        <x:v>c905ed54-034f-425d-908f-4d0fc7437e71</x:v>
      </x:c>
      <x:c r="I203" s="14" t="str">
        <x:v>Naghshineh v Commissioners for HM Revenue and Customs [2022] EWCA Civ 19</x:v>
      </x:c>
      <x:c r="J203" s="14" t="str">
        <x:v>England and Wales Court of Appeal (Civil Division)</x:v>
      </x:c>
      <x:c r="K203" s="14" t="n">
        <x:v>2022</x:v>
      </x:c>
      <x:c r="L203" s="15" t="n">
        <x:v>0.6511768</x:v>
      </x:c>
      <x:c r="M203" s="14" t="n">
        <x:v>2</x:v>
      </x:c>
      <x:c r="N203" s="14" t="str">
        <x:v>R (on the application of Derry) v HMRC [2019] 1 WLR 2745 | Scambler v HMRC [2017] UKUT 0001 (TCC)</x:v>
      </x:c>
    </x:row>
    <x:row r="204">
      <x:c r="A204" s="1" t="str">
        <x:v>cmmf20sg7000b04jxh5i54iyz</x:v>
      </x:c>
      <x:c r="B204" s="1" t="str">
        <x:v>cmlzne5ed000204ju2xa40q49</x:v>
      </x:c>
      <x:c r="C204" s="1" t="str">
        <x:v>ew-cases-EWCA-Civ-2024-1</x:v>
      </x:c>
      <x:c r="D204" s="12" t="n">
        <x:v>46087.64826565972</x:v>
      </x:c>
      <x:c r="E204" s="1" t="str">
        <x:v>yes</x:v>
      </x:c>
      <x:c r="F204" s="14" t="str">
        <x:v>cmmf22axa000h04jxcpnnecs0</x:v>
      </x:c>
      <x:c r="G204" s="14" t="n">
        <x:v>3</x:v>
      </x:c>
      <x:c r="H204" s="14" t="str">
        <x:v>df2f12d2-2784-4981-b98a-fcd919be08c3</x:v>
      </x:c>
      <x:c r="I204" s="14" t="str">
        <x:v>Inmarsat Global Limited v Commissioners for Her Majesty's Revenue and Customs [2022] EWCA Civ 1076</x:v>
      </x:c>
      <x:c r="J204" s="14" t="str">
        <x:v>England and Wales Court of Appeal (Civil Division)</x:v>
      </x:c>
      <x:c r="K204" s="14" t="n">
        <x:v>2022</x:v>
      </x:c>
      <x:c r="L204" s="15" t="n">
        <x:v>0.6505611</x:v>
      </x:c>
      <x:c r="M204" s="14" t="n">
        <x:v>5</x:v>
      </x:c>
      <x:c r="N204" s="14" t="str">
        <x:v>East End Dwellings | Guthrie | Ben-Odeco | EWCA Civ 1076 | WLR(D) 337 | Guthrie v George | East End Dwellings Co Ltd v Finsbury Borough Council [1952] AC 109 | CIR v George Guthrie and Son (1952) 33 TC 327 | Ben-Odeco (case citation)</x:v>
      </x:c>
    </x:row>
    <x:row r="205">
      <x:c r="A205" s="1" t="str">
        <x:v>cmmf20sg7000b04jxh5i54iyz</x:v>
      </x:c>
      <x:c r="B205" s="1" t="str">
        <x:v>cmlzne5ed000204ju2xa40q49</x:v>
      </x:c>
      <x:c r="C205" s="1" t="str">
        <x:v>ew-cases-EWCA-Civ-2024-1</x:v>
      </x:c>
      <x:c r="D205" s="12" t="n">
        <x:v>46087.64826565972</x:v>
      </x:c>
      <x:c r="E205" s="1" t="str">
        <x:v>yes</x:v>
      </x:c>
      <x:c r="F205" s="14" t="str">
        <x:v>cmmf22axa000h04jxcpnnecs0</x:v>
      </x:c>
      <x:c r="G205" s="14" t="n">
        <x:v>4</x:v>
      </x:c>
      <x:c r="H205" s="14" t="str">
        <x:v>6bee451b-9500-46bf-8472-4341ada4c852</x:v>
      </x:c>
      <x:c r="I205" s="14" t="str">
        <x:v>GMGRM North Ltd &amp; Ors v Ritchie (Revenue and Customs)</x:v>
      </x:c>
      <x:c r="J205" s="14" t="str">
        <x:v>England and Wales Court of Appeal (Civil Division)</x:v>
      </x:c>
      <x:c r="K205" s="14" t="n">
        <x:v>2014</x:v>
      </x:c>
      <x:c r="L205" s="15" t="n">
        <x:v>0.6493889</x:v>
      </x:c>
      <x:c r="M205" s="14" t="n">
        <x:v>1</x:v>
      </x:c>
      <x:c r="N205" s="14" t="str"/>
    </x:row>
    <x:row r="206">
      <x:c r="A206" s="1" t="str">
        <x:v>cmmf20sg7000b04jxh5i54iyz</x:v>
      </x:c>
      <x:c r="B206" s="1" t="str">
        <x:v>cmlzne5ed000204ju2xa40q49</x:v>
      </x:c>
      <x:c r="C206" s="1" t="str">
        <x:v>ew-cases-EWCA-Civ-2024-1</x:v>
      </x:c>
      <x:c r="D206" s="12" t="n">
        <x:v>46087.64826565972</x:v>
      </x:c>
      <x:c r="E206" s="1" t="str">
        <x:v>yes</x:v>
      </x:c>
      <x:c r="F206" s="14" t="str">
        <x:v>cmmf22axa000h04jxcpnnecs0</x:v>
      </x:c>
      <x:c r="G206" s="14" t="n">
        <x:v>5</x:v>
      </x:c>
      <x:c r="H206" s="14" t="str">
        <x:v>040ab589-56f8-4251-905d-ade1d7b6bf28</x:v>
      </x:c>
      <x:c r="I206" s="14" t="str">
        <x:v>Peninsular &amp; Oriental Steam Navigation Company v HM Revenue and Customs [2016] EWCA Civ 468 (Court of Appeal, Civil Division)</x:v>
      </x:c>
      <x:c r="J206" s="14" t="str">
        <x:v>England and Wales Court of Appeal (Civil Division)</x:v>
      </x:c>
      <x:c r="K206" s="14" t="n">
        <x:v>2016</x:v>
      </x:c>
      <x:c r="L206" s="15" t="n">
        <x:v>0.64271975</x:v>
      </x:c>
      <x:c r="M206" s="14" t="n">
        <x:v>3</x:v>
      </x:c>
      <x:c r="N206" s="14" t="str">
        <x:v>ICTA 1988 sections 790, 792, 799, 801, 806B, 806J | Liversidge v Anderson | ICTA 1988 Part XVIII | Section 792 definition of foreign tax | Section 799 computation of underlying tax | Section 801 relief for UK/third-country taxes</x:v>
      </x:c>
    </x:row>
    <x:row r="207">
      <x:c r="A207" s="1" t="str">
        <x:v>cmmf20sg7000b04jxh5i54iyz</x:v>
      </x:c>
      <x:c r="B207" s="1" t="str">
        <x:v>cmlzne5ed000204ju2xa40q49</x:v>
      </x:c>
      <x:c r="C207" s="1" t="str">
        <x:v>ew-cases-EWCA-Civ-2024-1</x:v>
      </x:c>
      <x:c r="D207" s="12" t="n">
        <x:v>46087.64826565972</x:v>
      </x:c>
      <x:c r="E207" s="1" t="str">
        <x:v>yes</x:v>
      </x:c>
      <x:c r="F207" s="14" t="str">
        <x:v>cmmf22axa000h04jxcpnnecs0</x:v>
      </x:c>
      <x:c r="G207" s="14" t="n">
        <x:v>6</x:v>
      </x:c>
      <x:c r="H207" s="14" t="str">
        <x:v>bbece3ed-11d4-4f68-8c60-4b9065eb5839</x:v>
      </x:c>
      <x:c r="I207" s="14" t="str">
        <x:v>Chappell v Revenue &amp; Customs [2015] EWCA Civ 702</x:v>
      </x:c>
      <x:c r="J207" s="14" t="str">
        <x:v>England and Wales Court of Appeal (Civil Division)</x:v>
      </x:c>
      <x:c r="K207" s="14" t="n">
        <x:v>2015</x:v>
      </x:c>
      <x:c r="L207" s="15" t="n">
        <x:v>0.64089036</x:v>
      </x:c>
      <x:c r="M207" s="14" t="n">
        <x:v>1</x:v>
      </x:c>
      <x:c r="N207" s="14" t="str"/>
    </x:row>
    <x:row r="208">
      <x:c r="A208" s="1" t="str">
        <x:v>cmmf20sg7000b04jxh5i54iyz</x:v>
      </x:c>
      <x:c r="B208" s="1" t="str">
        <x:v>cmlzne5ed000204ju2xa40q49</x:v>
      </x:c>
      <x:c r="C208" s="1" t="str">
        <x:v>ew-cases-EWCA-Civ-2024-1</x:v>
      </x:c>
      <x:c r="D208" s="12" t="n">
        <x:v>46087.64826565972</x:v>
      </x:c>
      <x:c r="E208" s="1" t="str">
        <x:v>yes</x:v>
      </x:c>
      <x:c r="F208" s="14" t="str">
        <x:v>cmmf22axa000h04jxcpnnecs0</x:v>
      </x:c>
      <x:c r="G208" s="14" t="n">
        <x:v>7</x:v>
      </x:c>
      <x:c r="H208" s="14" t="str">
        <x:v>d23d9f9f-4d0a-455a-bab1-0ce1a023b722</x:v>
      </x:c>
      <x:c r="I208" s="14" t="str">
        <x:v>Altrad Services Ltd &amp; Anor v Commissioners for HMRC [2023] EWCA Civ 474 (03 May 2023)</x:v>
      </x:c>
      <x:c r="J208" s="14" t="str">
        <x:v>England and Wales Court of Appeal (Civil Division)</x:v>
      </x:c>
      <x:c r="K208" s="14" t="n">
        <x:v>2023</x:v>
      </x:c>
      <x:c r="L208" s="15" t="n">
        <x:v>0.64062357</x:v>
      </x:c>
      <x:c r="M208" s="14" t="n">
        <x:v>3</x:v>
      </x:c>
      <x:c r="N208" s="14" t="str">
        <x:v>Ramsay | Tower | BMBF | Ensign | UKUT 00185 (TCC)</x:v>
      </x:c>
    </x:row>
    <x:row r="209">
      <x:c r="A209" s="1" t="str">
        <x:v>cmmf20sg7000b04jxh5i54iyz</x:v>
      </x:c>
      <x:c r="B209" s="1" t="str">
        <x:v>cmlzne5ed000204ju2xa40q49</x:v>
      </x:c>
      <x:c r="C209" s="1" t="str">
        <x:v>ew-cases-EWCA-Civ-2024-1</x:v>
      </x:c>
      <x:c r="D209" s="12" t="n">
        <x:v>46087.64826565972</x:v>
      </x:c>
      <x:c r="E209" s="1" t="str">
        <x:v>yes</x:v>
      </x:c>
      <x:c r="F209" s="14" t="str">
        <x:v>cmmf22axa000h04jxcpnnecs0</x:v>
      </x:c>
      <x:c r="G209" s="14" t="n">
        <x:v>8</x:v>
      </x:c>
      <x:c r="H209" s="14" t="str">
        <x:v>e09331f5-d8f2-4aa5-81d5-0f480b96a2a8</x:v>
      </x:c>
      <x:c r="I209" s="14" t="str">
        <x:v>The Prudential Assurance Company Limited v HM Revenue and Customs [2016] EWCA Civ 376</x:v>
      </x:c>
      <x:c r="J209" s="14" t="str">
        <x:v>England and Wales Court of Appeal (Civil Division)</x:v>
      </x:c>
      <x:c r="K209" s="14" t="n">
        <x:v>2016</x:v>
      </x:c>
      <x:c r="L209" s="15" t="n">
        <x:v>0.6390941</x:v>
      </x:c>
      <x:c r="M209" s="14" t="n">
        <x:v>1</x:v>
      </x:c>
      <x:c r="N209" s="14" t="str">
        <x:v>FII CA | FII Quantification | Littlewoods</x:v>
      </x:c>
    </x:row>
    <x:row r="210">
      <x:c r="A210" s="1" t="str">
        <x:v>cmmf20sg7000b04jxh5i54iyz</x:v>
      </x:c>
      <x:c r="B210" s="1" t="str">
        <x:v>cmlzne5ed000204ju2xa40q49</x:v>
      </x:c>
      <x:c r="C210" s="1" t="str">
        <x:v>ew-cases-EWCA-Civ-2024-1</x:v>
      </x:c>
      <x:c r="D210" s="12" t="n">
        <x:v>46087.64826565972</x:v>
      </x:c>
      <x:c r="E210" s="1" t="str">
        <x:v>yes</x:v>
      </x:c>
      <x:c r="F210" s="14" t="str">
        <x:v>cmmf22axa000h04jxcpnnecs0</x:v>
      </x:c>
      <x:c r="G210" s="14" t="n">
        <x:v>9</x:v>
      </x:c>
      <x:c r="H210" s="14" t="str">
        <x:v>14434596-76db-4abb-8e78-f5f1640f8b82</x:v>
      </x:c>
      <x:c r="I210" s="14" t="str">
        <x:v>Eclipse Film Partners No 35 LLP v HM Revenue and Customs</x:v>
      </x:c>
      <x:c r="J210" s="14" t="str">
        <x:v>England and Wales Court of Appeal (Civil Division)</x:v>
      </x:c>
      <x:c r="K210" s="14" t="n">
        <x:v>2015</x:v>
      </x:c>
      <x:c r="L210" s="15" t="n">
        <x:v>0.6387011</x:v>
      </x:c>
      <x:c r="M210" s="14" t="n">
        <x:v>2</x:v>
      </x:c>
      <x:c r="N210" s="14" t="str"/>
    </x:row>
    <x:row r="211">
      <x:c r="A211" s="1" t="str">
        <x:v>cmmf20sg7000b04jxh5i54iyz</x:v>
      </x:c>
      <x:c r="B211" s="1" t="str">
        <x:v>cmlzne5ed000204ju2xa40q49</x:v>
      </x:c>
      <x:c r="C211" s="1" t="str">
        <x:v>ew-cases-EWCA-Civ-2024-1</x:v>
      </x:c>
      <x:c r="D211" s="12" t="n">
        <x:v>46087.64826565972</x:v>
      </x:c>
      <x:c r="E211" s="1" t="str">
        <x:v>yes</x:v>
      </x:c>
      <x:c r="F211" s="14" t="str">
        <x:v>cmmf22axa000h04jxcpnnecs0</x:v>
      </x:c>
      <x:c r="G211" s="14" t="n">
        <x:v>10</x:v>
      </x:c>
      <x:c r="H211" s="14" t="str">
        <x:v>d8a97814-f000-467c-a202-ef9226a745e4</x:v>
      </x:c>
      <x:c r="I211" s="14" t="str">
        <x:v>Commissioners for His Majesty's Revenue and Customs v Centrica Overseas Holdings Limited [2022] EWCA Civ 1520</x:v>
      </x:c>
      <x:c r="J211" s="14" t="str">
        <x:v>England and Wales Court of Appeal (Civil Division)</x:v>
      </x:c>
      <x:c r="K211" s="14" t="n">
        <x:v>2022</x:v>
      </x:c>
      <x:c r="L211" s="15" t="n">
        <x:v>0.6377228</x:v>
      </x:c>
      <x:c r="M211" s="14" t="n">
        <x:v>2</x:v>
      </x:c>
      <x:c r="N211" s="14" t="str">
        <x:v>Sun Life | Camas | Dawsongroup | Edwards v Bairstow | Sargent v Eayrs | Atherton</x:v>
      </x:c>
    </x:row>
    <x:row r="212">
      <x:c r="A212" s="1" t="str">
        <x:v>cmmf20sg7000b04jxh5i54iyz</x:v>
      </x:c>
      <x:c r="B212" s="1" t="str">
        <x:v>cmlzne5ed000204ju2xa40q49</x:v>
      </x:c>
      <x:c r="C212" s="1" t="str">
        <x:v>ew-cases-EWCA-Civ-2024-1</x:v>
      </x:c>
      <x:c r="D212" s="12" t="n">
        <x:v>46087.64826565972</x:v>
      </x:c>
      <x:c r="E212" s="1" t="str">
        <x:v>yes</x:v>
      </x:c>
      <x:c r="F212" s="14" t="str">
        <x:v>cmmf22axa000h04jxcpnnecs0</x:v>
      </x:c>
      <x:c r="G212" s="14" t="n">
        <x:v>11</x:v>
      </x:c>
      <x:c r="H212" s="14" t="str">
        <x:v>bcf6dc0e-327b-4b31-8441-cc8b4d018c8a</x:v>
      </x:c>
      <x:c r="I212" s="14" t="str">
        <x:v>Royal Bank of Canada v Commissioners for HMRC [2023] EWCA Civ 695 — Court of Appeal interpretation of Article 6(2) fifth limb and tax treatment of oil royalty payments</x:v>
      </x:c>
      <x:c r="J212" s="14" t="str">
        <x:v>England and Wales Court of Appeal (Civil Division)</x:v>
      </x:c>
      <x:c r="K212" s="14" t="n">
        <x:v>2023</x:v>
      </x:c>
      <x:c r="L212" s="15" t="n">
        <x:v>0.6370388</x:v>
      </x:c>
      <x:c r="M212" s="14" t="n">
        <x:v>3</x:v>
      </x:c>
      <x:c r="N212" s="14" t="str">
        <x:v>OECD Model | Vienna Convention | Anson v HMRC | Irish Bank | James Buchanan &amp; Co. v Babco | Fowler v HMRC | Smallwood v HMRC</x:v>
      </x:c>
    </x:row>
    <x:row r="213">
      <x:c r="A213" s="1" t="str">
        <x:v>cmmf20sg7000b04jxh5i54iyz</x:v>
      </x:c>
      <x:c r="B213" s="1" t="str">
        <x:v>cmlzne5ed000204ju2xa40q49</x:v>
      </x:c>
      <x:c r="C213" s="1" t="str">
        <x:v>ew-cases-EWCA-Civ-2024-1</x:v>
      </x:c>
      <x:c r="D213" s="12" t="n">
        <x:v>46087.64826565972</x:v>
      </x:c>
      <x:c r="E213" s="1" t="str">
        <x:v>yes</x:v>
      </x:c>
      <x:c r="F213" s="14" t="str">
        <x:v>cmmf22axa000h04jxcpnnecs0</x:v>
      </x:c>
      <x:c r="G213" s="14" t="n">
        <x:v>12</x:v>
      </x:c>
      <x:c r="H213" s="14" t="str">
        <x:v>969f076d-9173-440b-9f31-7f9c274d33d7</x:v>
      </x:c>
      <x:c r="I213" s="14" t="str">
        <x:v>Chappell v HM Revenue and Customs [2016] EWCA Civ 809</x:v>
      </x:c>
      <x:c r="J213" s="14" t="str">
        <x:v>England and Wales Court of Appeal (Civil Division)</x:v>
      </x:c>
      <x:c r="K213" s="14" t="n">
        <x:v>2016</x:v>
      </x:c>
      <x:c r="L213" s="15" t="n">
        <x:v>0.6359335</x:v>
      </x:c>
      <x:c r="M213" s="14" t="n">
        <x:v>2</x:v>
      </x:c>
      <x:c r="N213" s="14" t="str">
        <x:v>Ramsay | Barclays Mercantile | UBS | Arrowtown | MacNiven | Duke of Westminster | W. T. Ramsay Ltd v Inland Revenue Commissioners [1982] AC 300 | Inland Revenue Comrs v Duke of Westminster [1936] AC 1 | Chinn v Collins [1981] 1 All ER 189 | Inland Revenue Comrs v Plummer [1979] 3 All ER 775 | Furniss v Dawson [1984] AC 474 | Barclays Mercantile v Mawson [2005] STC 1 | MacNiven v Westmoreland Investments Ltd [2001] UKHL 6 | UBS AG and Deutsche Bank Group Services (UK) Limited v HMRC [2016] UKSC 13 | Arrowtown Assets Ltd [2003] HKCFA 46 | Aberdeen Construction Group Ltd v Inland Revenue Comrs [1978] AC 885 | Tower M Cashback LLP v Revenue and Customs Comrs [2011] UKSC 19</x:v>
      </x:c>
    </x:row>
    <x:row r="214">
      <x:c r="A214" s="1" t="str">
        <x:v>cmmf20sg7000b04jxh5i54iyz</x:v>
      </x:c>
      <x:c r="B214" s="1" t="str">
        <x:v>cmlzne5ed000204ju2xa40q49</x:v>
      </x:c>
      <x:c r="C214" s="1" t="str">
        <x:v>ew-cases-EWCA-Civ-2024-1</x:v>
      </x:c>
      <x:c r="D214" s="12" t="n">
        <x:v>46087.64826565972</x:v>
      </x:c>
      <x:c r="E214" s="1" t="str">
        <x:v>yes</x:v>
      </x:c>
      <x:c r="F214" s="14" t="str">
        <x:v>cmmf22axa000h04jxcpnnecs0</x:v>
      </x:c>
      <x:c r="G214" s="14" t="n">
        <x:v>13</x:v>
      </x:c>
      <x:c r="H214" s="14" t="str">
        <x:v>4fcc865d-d7ab-48ca-a8c6-b8e21a9c005f</x:v>
      </x:c>
      <x:c r="I214" s="14" t="str">
        <x:v>Urenco Chemplants Limited &amp; Anor v Commissioners for HM Revenue and Customs [2022] EWCA Civ 1587 (1 December 2022)</x:v>
      </x:c>
      <x:c r="J214" s="14" t="str">
        <x:v>England and Wales Court of Appeal (Civil Division)</x:v>
      </x:c>
      <x:c r="K214" s="14" t="n">
        <x:v>2022</x:v>
      </x:c>
      <x:c r="L214" s="15" t="n">
        <x:v>0.63354313</x:v>
      </x:c>
      <x:c r="M214" s="14" t="n">
        <x:v>2</x:v>
      </x:c>
      <x:c r="N214" s="14" t="str">
        <x:v>Cheshire Cavity | Wangarta | Sprintroom | Procter &amp; Gamble | Ghai</x:v>
      </x:c>
    </x:row>
    <x:row r="215">
      <x:c r="A215" s="1" t="str">
        <x:v>cmmf20sg7000b04jxh5i54iyz</x:v>
      </x:c>
      <x:c r="B215" s="1" t="str">
        <x:v>cmlzne5ed000204ju2xa40q49</x:v>
      </x:c>
      <x:c r="C215" s="1" t="str">
        <x:v>ew-cases-EWCA-Civ-2024-1</x:v>
      </x:c>
      <x:c r="D215" s="12" t="n">
        <x:v>46087.64826565972</x:v>
      </x:c>
      <x:c r="E215" s="1" t="str">
        <x:v>yes</x:v>
      </x:c>
      <x:c r="F215" s="14" t="str">
        <x:v>cmmf22axa000h04jxcpnnecs0</x:v>
      </x:c>
      <x:c r="G215" s="14" t="n">
        <x:v>14</x:v>
      </x:c>
      <x:c r="H215" s="14" t="str">
        <x:v>df4c5dab-61e8-4ecb-894c-c1824b8daad2</x:v>
      </x:c>
      <x:c r="I215" s="14" t="str">
        <x:v>Good v Commissioners of HM Revenue and Customs [2023] EWCA Civ 114</x:v>
      </x:c>
      <x:c r="J215" s="14" t="str">
        <x:v>England and Wales Court of Appeal (Civil Division)</x:v>
      </x:c>
      <x:c r="K215" s="14" t="n">
        <x:v>2023</x:v>
      </x:c>
      <x:c r="L215" s="15" t="n">
        <x:v>0.6276339</x:v>
      </x:c>
      <x:c r="M215" s="14" t="n">
        <x:v>1</x:v>
      </x:c>
      <x:c r="N215" s="14" t="str">
        <x:v>UBS v HMRC [2016] UKSC 13 | Khan | RFC 2012 plc v AG Scotland [2017] UKSC 45</x:v>
      </x:c>
    </x:row>
    <x:row r="216">
      <x:c r="A216" s="1" t="str">
        <x:v>cmmf20sg7000b04jxh5i54iyz</x:v>
      </x:c>
      <x:c r="B216" s="1" t="str">
        <x:v>cmlzne5ed000204ju2xa40q49</x:v>
      </x:c>
      <x:c r="C216" s="1" t="str">
        <x:v>ew-cases-EWCA-Civ-2024-1</x:v>
      </x:c>
      <x:c r="D216" s="12" t="n">
        <x:v>46087.64826565972</x:v>
      </x:c>
      <x:c r="E216" s="1" t="str">
        <x:v>yes</x:v>
      </x:c>
      <x:c r="F216" s="14" t="str">
        <x:v>cmmf22axa000h04jxcpnnecs0</x:v>
      </x:c>
      <x:c r="G216" s="14" t="n">
        <x:v>15</x:v>
      </x:c>
      <x:c r="H216" s="14" t="str">
        <x:v>25b8d565-e9dc-428f-bd32-bee1b406bf7c</x:v>
      </x:c>
      <x:c r="I216" s="14" t="str">
        <x:v>Sanderson v HM Revenue and Customs [2016] EWCA Civ 19</x:v>
      </x:c>
      <x:c r="J216" s="14" t="str">
        <x:v>England and Wales Court of Appeal (Civil Division)</x:v>
      </x:c>
      <x:c r="K216" s="14" t="n">
        <x:v>2016</x:v>
      </x:c>
      <x:c r="L216" s="15" t="n">
        <x:v>0.62663686</x:v>
      </x:c>
      <x:c r="M216" s="14" t="n">
        <x:v>1</x:v>
      </x:c>
      <x:c r="N216" s="14" t="str">
        <x:v>Corbally-Stourton v HMRC [2008] STC (SCD) 907 | Tower MCashback LLP v Revenue &amp; Customs Commissioners [2010] STC 809 | Charlton v HMRC [2013] STC 866 | Langham v Veltema [2004] STC 544 | Lansdowne Partners LLP v HMRC [2012] STC 544 | MacNiven v Westmoreland Investments Ltd [2003] 1 AC 311 | Furniss v Dawson [1984] AC 474 | Barclays Mercantile Business Finance Ltd v Mawson [2005] STC 1 | R (on the application of Pattullo) v Revenue and Customs Commissioners [2010] STC 107</x:v>
      </x:c>
    </x:row>
    <x:row r="217">
      <x:c r="A217" s="1" t="str">
        <x:v>cmmf20sg7000b04jxh5i54iyz</x:v>
      </x:c>
      <x:c r="B217" s="1" t="str">
        <x:v>cmlzne5ed000204ju2xa40q49</x:v>
      </x:c>
      <x:c r="C217" s="1" t="str">
        <x:v>ew-cases-EWCA-Civ-2024-1</x:v>
      </x:c>
      <x:c r="D217" s="12" t="n">
        <x:v>46087.64826565972</x:v>
      </x:c>
      <x:c r="E217" s="1" t="str">
        <x:v>yes</x:v>
      </x:c>
      <x:c r="F217" s="14" t="str">
        <x:v>cmmf22axa000h04jxcpnnecs0</x:v>
      </x:c>
      <x:c r="G217" s="14" t="n">
        <x:v>16</x:v>
      </x:c>
      <x:c r="H217" s="14" t="str">
        <x:v>3877de32-c402-46c9-897f-1d155aab8461</x:v>
      </x:c>
      <x:c r="I217" s="14" t="str">
        <x:v>Hargreaves v HM Revenue and Customs [2016] EWCA Civ 174 (22 March 2016)</x:v>
      </x:c>
      <x:c r="J217" s="14" t="str">
        <x:v>England and Wales Court of Appeal (Civil Division)</x:v>
      </x:c>
      <x:c r="K217" s="14" t="n">
        <x:v>2016</x:v>
      </x:c>
      <x:c r="L217" s="15" t="n">
        <x:v>0.6255775</x:v>
      </x:c>
      <x:c r="M217" s="14" t="n">
        <x:v>1</x:v>
      </x:c>
      <x:c r="N217" s="14" t="str">
        <x:v>Hankinson v HMRC | Tower MCashback LLP 1 v HMRC | R (Gaines-Cooper) v HMRC | Dixon &amp; Gaunt Ltd v IRC | Hurley v Taylor | Pountney v Griffiths | Garvin Rose</x:v>
      </x:c>
    </x:row>
    <x:row r="218">
      <x:c r="A218" s="1" t="str">
        <x:v>cmmf20sg7000b04jxh5i54iyz</x:v>
      </x:c>
      <x:c r="B218" s="1" t="str">
        <x:v>cmlzne5ed000204ju2xa40q49</x:v>
      </x:c>
      <x:c r="C218" s="1" t="str">
        <x:v>ew-cases-EWCA-Civ-2024-1</x:v>
      </x:c>
      <x:c r="D218" s="12" t="n">
        <x:v>46087.64826565972</x:v>
      </x:c>
      <x:c r="E218" s="1" t="str">
        <x:v>yes</x:v>
      </x:c>
      <x:c r="F218" s="14" t="str">
        <x:v>cmmf22axa000h04jxcpnnecs0</x:v>
      </x:c>
      <x:c r="G218" s="14" t="n">
        <x:v>17</x:v>
      </x:c>
      <x:c r="H218" s="14" t="str">
        <x:v>ff761b33-5304-4f4b-ba2b-638b90a9864b</x:v>
      </x:c>
      <x:c r="I218" s="14" t="str">
        <x:v>Project Blue Limited v The Commissioners for HM Revenue and Customs [2016] EWCA Civ 485 (Court of Appeal, Civil Division)</x:v>
      </x:c>
      <x:c r="J218" s="14" t="str">
        <x:v>England and Wales Court of Appeal (Civil Division)</x:v>
      </x:c>
      <x:c r="K218" s="14" t="n">
        <x:v>2016</x:v>
      </x:c>
      <x:c r="L218" s="15" t="n">
        <x:v>0.6218892</x:v>
      </x:c>
      <x:c r="M218" s="14" t="n">
        <x:v>1</x:v>
      </x:c>
      <x:c r="N218" s="14" t="str">
        <x:v>DV3 RS LP v Revenue and Customs Commissioners [2013] EWCA Civ 907; [2014] 1 WLR 1136</x:v>
      </x:c>
    </x:row>
    <x:row r="219">
      <x:c r="A219" s="1" t="str">
        <x:v>cmmf20sg7000b04jxh5i54iyz</x:v>
      </x:c>
      <x:c r="B219" s="1" t="str">
        <x:v>cmlzne5ed000204ju2xa40q49</x:v>
      </x:c>
      <x:c r="C219" s="1" t="str">
        <x:v>ew-cases-EWCA-Civ-2024-1</x:v>
      </x:c>
      <x:c r="D219" s="12" t="n">
        <x:v>46087.64826565972</x:v>
      </x:c>
      <x:c r="E219" s="1" t="str">
        <x:v>yes</x:v>
      </x:c>
      <x:c r="F219" s="14" t="str">
        <x:v>cmmf22axa000h04jxcpnnecs0</x:v>
      </x:c>
      <x:c r="G219" s="14" t="n">
        <x:v>18</x:v>
      </x:c>
      <x:c r="H219" s="14" t="str">
        <x:v>321f1eb3-a7ee-452d-a5d1-e08732d9ac84</x:v>
      </x:c>
      <x:c r="I219" s="14" t="str">
        <x:v>Cheshire Cavity Storage 1 Limited v HM Revenue &amp; Customs [2022] EWCA Civ 305</x:v>
      </x:c>
      <x:c r="J219" s="14" t="str">
        <x:v>England and Wales Court of Appeal (Civil Division)</x:v>
      </x:c>
      <x:c r="K219" s="14" t="n">
        <x:v>2022</x:v>
      </x:c>
      <x:c r="L219" s="15" t="n">
        <x:v>0.62086844</x:v>
      </x:c>
      <x:c r="M219" s="14" t="n">
        <x:v>2</x:v>
      </x:c>
      <x:c r="N219" s="14" t="str">
        <x:v>Yarmouth v France (1887) 19 QBD 647 | Wimpy International Ltd v Warland [1989] STC 273 | Bradley v London Electricity plc [1996] STC 1054 | Attwood v Anduff Car Wash Ltd [1997] STC 1167 | Cooke (Inspector of Taxes) v Beach Station Caravans Ltd | Jarrold v John Good &amp; Sons Ltd [1963] 1 WLR 214 | Shove v Lingfield Park 1991 Ltd [2004] EWCA Civ 391 | Cole Brothers Ltd v Phillips [1982] 1 WLR 1450 | IRC v Scottish and Newcastle Breweries Ltd [1982] 1 WLR 322</x:v>
      </x:c>
    </x:row>
    <x:row r="220">
      <x:c r="A220" s="1" t="str">
        <x:v>cmmf20sg7000b04jxh5i54iyz</x:v>
      </x:c>
      <x:c r="B220" s="1" t="str">
        <x:v>cmlzne5ed000204ju2xa40q49</x:v>
      </x:c>
      <x:c r="C220" s="1" t="str">
        <x:v>ew-cases-EWCA-Civ-2024-1</x:v>
      </x:c>
      <x:c r="D220" s="12" t="n">
        <x:v>46087.64826565972</x:v>
      </x:c>
      <x:c r="E220" s="1" t="str">
        <x:v>yes</x:v>
      </x:c>
      <x:c r="F220" s="14" t="str">
        <x:v>cmmf22axa000h04jxcpnnecs0</x:v>
      </x:c>
      <x:c r="G220" s="14" t="n">
        <x:v>19</x:v>
      </x:c>
      <x:c r="H220" s="14" t="str">
        <x:v>49a7af4c-0d11-408e-8d84-2238f7e8f04a</x:v>
      </x:c>
      <x:c r="I220" s="14" t="str">
        <x:v>Routier &amp; Anor v Revenue &amp; Customs [2016] EWCA Civ 938 (Court of Appeal, Civil Division)</x:v>
      </x:c>
      <x:c r="J220" s="14" t="str">
        <x:v>England and Wales Court of Appeal (Civil Division)</x:v>
      </x:c>
      <x:c r="K220" s="14" t="n">
        <x:v>2016</x:v>
      </x:c>
      <x:c r="L220" s="15" t="n">
        <x:v>0.6206119</x:v>
      </x:c>
      <x:c r="M220" s="14" t="n">
        <x:v>1</x:v>
      </x:c>
      <x:c r="N220" s="14" t="str">
        <x:v>Camille and Henry Dreyfus Foundation Inc v IRC [1956] AC 39 | Dreyfus decisions (1954/1956) | Rui Alberto Pereira Roque v Lieutenant Governor of Jersey [1998] 3 CMLR 143 | Barras v Aberdeen Sea Trawling and Fishing Co Ltd [1933] AC 402 | Macdonald (Inspector of Taxes) v Dextra Accessories [2005] STC 1111</x:v>
      </x:c>
    </x:row>
    <x:row r="221">
      <x:c r="A221" s="1" t="str">
        <x:v>cmmf20sg7000b04jxh5i54iyz</x:v>
      </x:c>
      <x:c r="B221" s="1" t="str">
        <x:v>cmlzne5ed000204ju2xa40q49</x:v>
      </x:c>
      <x:c r="C221" s="1" t="str">
        <x:v>ew-cases-EWCA-Civ-2024-1</x:v>
      </x:c>
      <x:c r="D221" s="12" t="n">
        <x:v>46087.64826565972</x:v>
      </x:c>
      <x:c r="E221" s="1" t="str">
        <x:v>yes</x:v>
      </x:c>
      <x:c r="F221" s="14" t="str">
        <x:v>cmmf22axa000h04jxcpnnecs0</x:v>
      </x:c>
      <x:c r="G221" s="14" t="n">
        <x:v>20</x:v>
      </x:c>
      <x:c r="H221" s="14" t="str">
        <x:v>24f747de-4a9b-43b6-90ad-0cce710f5bf8</x:v>
      </x:c>
      <x:c r="I221" s="14" t="str">
        <x:v>Greene King plc &amp; Anor v Revenue and Customs [2016] EWCA Civ 782</x:v>
      </x:c>
      <x:c r="J221" s="14" t="str">
        <x:v>England and Wales Court of Appeal (Civil Division)</x:v>
      </x:c>
      <x:c r="K221" s="14" t="n">
        <x:v>2016</x:v>
      </x:c>
      <x:c r="L221" s="15" t="n">
        <x:v>0.6159506</x:v>
      </x:c>
      <x:c r="M221" s="14" t="n">
        <x:v>1</x:v>
      </x:c>
      <x:c r="N221" s="14" t="str">
        <x:v>DCC Holdings (UK) Ltd v HMRC | Vocalspruce Ltd v HMRC | Bank of Ireland v HMRC</x:v>
      </x:c>
    </x:row>
    <x:row r="222">
      <x:c r="A222" s="1" t="str">
        <x:v>cmmjsjnvz000k04js5ptftolc</x:v>
      </x:c>
      <x:c r="B222" s="1" t="str">
        <x:v>cmmc45761000204jx6bd5kxqk</x:v>
      </x:c>
      <x:c r="C222" s="1" t="str">
        <x:v>ca-2024-000255-ellis-v-ssj-appellant-skeleton</x:v>
      </x:c>
      <x:c r="D222" s="12" t="n">
        <x:v>46090.963257233794</x:v>
      </x:c>
      <x:c r="E222" s="1" t="str">
        <x:v>yes</x:v>
      </x:c>
      <x:c r="F222" s="14" t="str">
        <x:v>cmmjsmua2000q04jstd4i8p7c</x:v>
      </x:c>
      <x:c r="G222" s="14" t="n">
        <x:v>1</x:v>
      </x:c>
      <x:c r="H222" s="14" t="str">
        <x:v>dfa97e6e-7e32-4c80-9f6f-5e4f398f9d82</x:v>
      </x:c>
      <x:c r="I222" s="14" t="str">
        <x:v>Velyo Velev v. Bulgaria (Application No. 16032/07)</x:v>
      </x:c>
      <x:c r="J222" s="14" t="str">
        <x:v>European Court of Human Rights (Fourth Section)</x:v>
      </x:c>
      <x:c r="K222" s="14" t="n">
        <x:v>2014</x:v>
      </x:c>
      <x:c r="L222" s="15" t="n">
        <x:v>0.7950101</x:v>
      </x:c>
      <x:c r="M222" s="14" t="n">
        <x:v>4</x:v>
      </x:c>
      <x:c r="N222" s="14" t="str">
        <x:v>Debates on education rights in the European Context. | European Convention on Human Rights | Committee of Ministers Recommendations</x:v>
      </x:c>
    </x:row>
    <x:row r="223">
      <x:c r="A223" s="1" t="str">
        <x:v>cmmjsjnvz000k04js5ptftolc</x:v>
      </x:c>
      <x:c r="B223" s="1" t="str">
        <x:v>cmmc45761000204jx6bd5kxqk</x:v>
      </x:c>
      <x:c r="C223" s="1" t="str">
        <x:v>ca-2024-000255-ellis-v-ssj-appellant-skeleton</x:v>
      </x:c>
      <x:c r="D223" s="12" t="n">
        <x:v>46090.963257233794</x:v>
      </x:c>
      <x:c r="E223" s="1" t="str">
        <x:v>yes</x:v>
      </x:c>
      <x:c r="F223" s="14" t="str">
        <x:v>cmmjsmua2000q04jstd4i8p7c</x:v>
      </x:c>
      <x:c r="G223" s="14" t="n">
        <x:v>2</x:v>
      </x:c>
      <x:c r="H223" s="14" t="str">
        <x:v>d60a5323-796e-4110-a6de-012ec16860c1</x:v>
      </x:c>
      <x:c r="I223" s="14" t="str">
        <x:v>The Howard League for Penal Reform and Prisoners' Advice Service v The Lord Chancellor</x:v>
      </x:c>
      <x:c r="J223" s="14" t="str">
        <x:v>England and Wales Court of Appeal (Civil Division)</x:v>
      </x:c>
      <x:c r="K223" s="14" t="n">
        <x:v>2015</x:v>
      </x:c>
      <x:c r="L223" s="15" t="n">
        <x:v>0.76366806</x:v>
      </x:c>
      <x:c r="M223" s="14" t="n">
        <x:v>4</x:v>
      </x:c>
      <x:c r="N223" s="14" t="str">
        <x:v>R (Refugee Legal Centre) Secretary of State for the Home Department</x:v>
      </x:c>
    </x:row>
    <x:row r="224">
      <x:c r="A224" s="1" t="str">
        <x:v>cmmjsjnvz000k04js5ptftolc</x:v>
      </x:c>
      <x:c r="B224" s="1" t="str">
        <x:v>cmmc45761000204jx6bd5kxqk</x:v>
      </x:c>
      <x:c r="C224" s="1" t="str">
        <x:v>ca-2024-000255-ellis-v-ssj-appellant-skeleton</x:v>
      </x:c>
      <x:c r="D224" s="12" t="n">
        <x:v>46090.963257233794</x:v>
      </x:c>
      <x:c r="E224" s="1" t="str">
        <x:v>yes</x:v>
      </x:c>
      <x:c r="F224" s="14" t="str">
        <x:v>cmmjsmua2000q04jstd4i8p7c</x:v>
      </x:c>
      <x:c r="G224" s="14" t="n">
        <x:v>3</x:v>
      </x:c>
      <x:c r="H224" s="14" t="str">
        <x:v>facdee26-7310-4355-9ef5-1fd21f107f72</x:v>
      </x:c>
      <x:c r="I224" s="14" t="str">
        <x:v>Kalda v. Estonia - Access to Information Rights for Prisoners</x:v>
      </x:c>
      <x:c r="J224" s="14" t="str">
        <x:v>European Court of Human Rights (Second Section)</x:v>
      </x:c>
      <x:c r="K224" s="14" t="n">
        <x:v>2016</x:v>
      </x:c>
      <x:c r="L224" s="15" t="n">
        <x:v>0.746072</x:v>
      </x:c>
      <x:c r="M224" s="14" t="n">
        <x:v>1</x:v>
      </x:c>
      <x:c r="N224" s="14" t="str"/>
    </x:row>
    <x:row r="225">
      <x:c r="A225" s="1" t="str">
        <x:v>cmmjsjnvz000k04js5ptftolc</x:v>
      </x:c>
      <x:c r="B225" s="1" t="str">
        <x:v>cmmc45761000204jx6bd5kxqk</x:v>
      </x:c>
      <x:c r="C225" s="1" t="str">
        <x:v>ca-2024-000255-ellis-v-ssj-appellant-skeleton</x:v>
      </x:c>
      <x:c r="D225" s="12" t="n">
        <x:v>46090.963257233794</x:v>
      </x:c>
      <x:c r="E225" s="1" t="str">
        <x:v>yes</x:v>
      </x:c>
      <x:c r="F225" s="14" t="str">
        <x:v>cmmjsmua2000q04jstd4i8p7c</x:v>
      </x:c>
      <x:c r="G225" s="14" t="n">
        <x:v>4</x:v>
      </x:c>
      <x:c r="H225" s="14" t="str">
        <x:v>c5a5edf0-4845-4195-a969-082c8b5afa2a</x:v>
      </x:c>
      <x:c r="I225" s="14" t="str">
        <x:v>BK &amp; Anor v The Secretary of State for Justice [2015] EWCA Civ 1259</x:v>
      </x:c>
      <x:c r="J225" s="14" t="str">
        <x:v>England and Wales Court of Appeal (Civil Division)</x:v>
      </x:c>
      <x:c r="K225" s="14" t="n">
        <x:v>2015</x:v>
      </x:c>
      <x:c r="L225" s="15" t="n">
        <x:v>0.73925984</x:v>
      </x:c>
      <x:c r="M225" s="14" t="n">
        <x:v>2</x:v>
      </x:c>
      <x:c r="N225" s="14" t="str">
        <x:v>European Convention on Human Rights</x:v>
      </x:c>
    </x:row>
    <x:row r="226">
      <x:c r="A226" s="1" t="str">
        <x:v>cmmjsjnvz000k04js5ptftolc</x:v>
      </x:c>
      <x:c r="B226" s="1" t="str">
        <x:v>cmmc45761000204jx6bd5kxqk</x:v>
      </x:c>
      <x:c r="C226" s="1" t="str">
        <x:v>ca-2024-000255-ellis-v-ssj-appellant-skeleton</x:v>
      </x:c>
      <x:c r="D226" s="12" t="n">
        <x:v>46090.963257233794</x:v>
      </x:c>
      <x:c r="E226" s="1" t="str">
        <x:v>yes</x:v>
      </x:c>
      <x:c r="F226" s="14" t="str">
        <x:v>cmmjsmua2000q04jstd4i8p7c</x:v>
      </x:c>
      <x:c r="G226" s="14" t="n">
        <x:v>5</x:v>
      </x:c>
      <x:c r="H226" s="14" t="str">
        <x:v>36166c1f-7b4e-4e19-9f3e-ba06d04ac22a</x:v>
      </x:c>
      <x:c r="I226" s="14" t="str">
        <x:v>Smith v Secretary of State for Justice &amp; Ors [2014] EWCA Civ 380</x:v>
      </x:c>
      <x:c r="J226" s="14" t="str">
        <x:v>England and Wales Court of Appeal (Civil Division)</x:v>
      </x:c>
      <x:c r="K226" s="14" t="n">
        <x:v>2014</x:v>
      </x:c>
      <x:c r="L226" s="15" t="n">
        <x:v>0.7262182</x:v>
      </x:c>
      <x:c r="M226" s="14" t="n">
        <x:v>2</x:v>
      </x:c>
      <x:c r="N226" s="14" t="str">
        <x:v>Botti v Italy | Florea v Romania</x:v>
      </x:c>
    </x:row>
    <x:row r="227">
      <x:c r="A227" s="1" t="str">
        <x:v>cmmjsjnvz000k04js5ptftolc</x:v>
      </x:c>
      <x:c r="B227" s="1" t="str">
        <x:v>cmmc45761000204jx6bd5kxqk</x:v>
      </x:c>
      <x:c r="C227" s="1" t="str">
        <x:v>ca-2024-000255-ellis-v-ssj-appellant-skeleton</x:v>
      </x:c>
      <x:c r="D227" s="12" t="n">
        <x:v>46090.963257233794</x:v>
      </x:c>
      <x:c r="E227" s="1" t="str">
        <x:v>yes</x:v>
      </x:c>
      <x:c r="F227" s="14" t="str">
        <x:v>cmmjsmua2000q04jstd4i8p7c</x:v>
      </x:c>
      <x:c r="G227" s="14" t="n">
        <x:v>6</x:v>
      </x:c>
      <x:c r="H227" s="14" t="str">
        <x:v>da4b6be7-2b22-4bd1-af6b-a68873f0af8d</x:v>
      </x:c>
      <x:c r="I227" s="14" t="str">
        <x:v>Bright &amp; Anor v The Secretary of State for Justice</x:v>
      </x:c>
      <x:c r="J227" s="14" t="str">
        <x:v>England and Wales Court of Appeal (Civil Division)</x:v>
      </x:c>
      <x:c r="K227" s="14" t="n">
        <x:v>2014</x:v>
      </x:c>
      <x:c r="L227" s="15" t="n">
        <x:v>0.72589076</x:v>
      </x:c>
      <x:c r="M227" s="14" t="n">
        <x:v>3</x:v>
      </x:c>
      <x:c r="N227" s="14" t="str"/>
    </x:row>
    <x:row r="228">
      <x:c r="A228" s="1" t="str">
        <x:v>cmmjsjnvz000k04js5ptftolc</x:v>
      </x:c>
      <x:c r="B228" s="1" t="str">
        <x:v>cmmc45761000204jx6bd5kxqk</x:v>
      </x:c>
      <x:c r="C228" s="1" t="str">
        <x:v>ca-2024-000255-ellis-v-ssj-appellant-skeleton</x:v>
      </x:c>
      <x:c r="D228" s="12" t="n">
        <x:v>46090.963257233794</x:v>
      </x:c>
      <x:c r="E228" s="1" t="str">
        <x:v>yes</x:v>
      </x:c>
      <x:c r="F228" s="14" t="str">
        <x:v>cmmjsmua2000q04jstd4i8p7c</x:v>
      </x:c>
      <x:c r="G228" s="14" t="n">
        <x:v>7</x:v>
      </x:c>
      <x:c r="H228" s="14" t="str">
        <x:v>7e8929e7-4b3c-4492-b8b5-e01b9ccfcf2c</x:v>
      </x:c>
      <x:c r="I228" s="14" t="str">
        <x:v>Zenati v Police of the Metropolis &amp; Anor [2015] EWCA Civ 80</x:v>
      </x:c>
      <x:c r="J228" s="14" t="str">
        <x:v>England and Wales Court of Appeal (Civil Division)</x:v>
      </x:c>
      <x:c r="K228" s="14" t="n">
        <x:v>2015</x:v>
      </x:c>
      <x:c r="L228" s="15" t="n">
        <x:v>0.7211834</x:v>
      </x:c>
      <x:c r="M228" s="14" t="n">
        <x:v>2</x:v>
      </x:c>
      <x:c r="N228" s="14" t="str"/>
    </x:row>
    <x:row r="229">
      <x:c r="A229" s="1" t="str">
        <x:v>cmmjsjnvz000k04js5ptftolc</x:v>
      </x:c>
      <x:c r="B229" s="1" t="str">
        <x:v>cmmc45761000204jx6bd5kxqk</x:v>
      </x:c>
      <x:c r="C229" s="1" t="str">
        <x:v>ca-2024-000255-ellis-v-ssj-appellant-skeleton</x:v>
      </x:c>
      <x:c r="D229" s="12" t="n">
        <x:v>46090.963257233794</x:v>
      </x:c>
      <x:c r="E229" s="1" t="str">
        <x:v>yes</x:v>
      </x:c>
      <x:c r="F229" s="14" t="str">
        <x:v>cmmjsmua2000q04jstd4i8p7c</x:v>
      </x:c>
      <x:c r="G229" s="14" t="n">
        <x:v>8</x:v>
      </x:c>
      <x:c r="H229" s="14" t="str">
        <x:v>464b6335-7623-49ec-8536-df2bb3ae5a4d</x:v>
      </x:c>
      <x:c r="I229" s="14" t="str">
        <x:v>Parratt, R (on the application of) v Parole Board</x:v>
      </x:c>
      <x:c r="J229" s="14" t="str">
        <x:v>England and Wales Court of Appeal (Civil Division)</x:v>
      </x:c>
      <x:c r="K229" s="14" t="n">
        <x:v>2014</x:v>
      </x:c>
      <x:c r="L229" s="15" t="n">
        <x:v>0.7188257</x:v>
      </x:c>
      <x:c r="M229" s="14" t="n">
        <x:v>2</x:v>
      </x:c>
      <x:c r="N229" s="14" t="str">
        <x:v>R (Faulkner) v Secretary of State for Justice | R (Sturnham) v Parole Board</x:v>
      </x:c>
    </x:row>
    <x:row r="230">
      <x:c r="A230" s="1" t="str">
        <x:v>cmmjsjnvz000k04js5ptftolc</x:v>
      </x:c>
      <x:c r="B230" s="1" t="str">
        <x:v>cmmc45761000204jx6bd5kxqk</x:v>
      </x:c>
      <x:c r="C230" s="1" t="str">
        <x:v>ca-2024-000255-ellis-v-ssj-appellant-skeleton</x:v>
      </x:c>
      <x:c r="D230" s="12" t="n">
        <x:v>46090.963257233794</x:v>
      </x:c>
      <x:c r="E230" s="1" t="str">
        <x:v>yes</x:v>
      </x:c>
      <x:c r="F230" s="14" t="str">
        <x:v>cmmjsmua2000q04jstd4i8p7c</x:v>
      </x:c>
      <x:c r="G230" s="14" t="n">
        <x:v>9</x:v>
      </x:c>
      <x:c r="H230" s="14" t="str">
        <x:v>b15fdd53-0222-49df-98a5-84e25904f9fd</x:v>
      </x:c>
      <x:c r="I230" s="14" t="str">
        <x:v>Use of Languages in Education in Belgium</x:v>
      </x:c>
      <x:c r="J230" s="14" t="str">
        <x:v>European Court of Human Rights (Plenary)</x:v>
      </x:c>
      <x:c r="K230" s="14" t="n">
        <x:v>1968</x:v>
      </x:c>
      <x:c r="L230" s="15" t="n">
        <x:v>0.7173633</x:v>
      </x:c>
      <x:c r="M230" s="14" t="n">
        <x:v>1</x:v>
      </x:c>
      <x:c r="N230" s="14" t="str">
        <x:v>Case precedent assessments</x:v>
      </x:c>
    </x:row>
    <x:row r="231">
      <x:c r="A231" s="1" t="str">
        <x:v>cmmjsjnvz000k04js5ptftolc</x:v>
      </x:c>
      <x:c r="B231" s="1" t="str">
        <x:v>cmmc45761000204jx6bd5kxqk</x:v>
      </x:c>
      <x:c r="C231" s="1" t="str">
        <x:v>ca-2024-000255-ellis-v-ssj-appellant-skeleton</x:v>
      </x:c>
      <x:c r="D231" s="12" t="n">
        <x:v>46090.963257233794</x:v>
      </x:c>
      <x:c r="E231" s="1" t="str">
        <x:v>yes</x:v>
      </x:c>
      <x:c r="F231" s="14" t="str">
        <x:v>cmmjsmua2000q04jstd4i8p7c</x:v>
      </x:c>
      <x:c r="G231" s="14" t="n">
        <x:v>10</x:v>
      </x:c>
      <x:c r="H231" s="14" t="str">
        <x:v>90f8b18f-1e00-4177-9cfb-1304fdbc0a97</x:v>
      </x:c>
      <x:c r="I231" s="14" t="str">
        <x:v>Bayliss v The Parole Board of England &amp; Wales [2014] EWCA Civ 1268</x:v>
      </x:c>
      <x:c r="J231" s="14" t="str">
        <x:v>England and Wales Court of Appeal (Civil Division)</x:v>
      </x:c>
      <x:c r="K231" s="14" t="n">
        <x:v>2014</x:v>
      </x:c>
      <x:c r="L231" s="15" t="n">
        <x:v>0.71701866</x:v>
      </x:c>
      <x:c r="M231" s="14" t="n">
        <x:v>1</x:v>
      </x:c>
      <x:c r="N231" s="14" t="str"/>
    </x:row>
    <x:row r="232">
      <x:c r="A232" s="1" t="str">
        <x:v>cmmjsjnvz000k04js5ptftolc</x:v>
      </x:c>
      <x:c r="B232" s="1" t="str">
        <x:v>cmmc45761000204jx6bd5kxqk</x:v>
      </x:c>
      <x:c r="C232" s="1" t="str">
        <x:v>ca-2024-000255-ellis-v-ssj-appellant-skeleton</x:v>
      </x:c>
      <x:c r="D232" s="12" t="n">
        <x:v>46090.963257233794</x:v>
      </x:c>
      <x:c r="E232" s="1" t="str">
        <x:v>yes</x:v>
      </x:c>
      <x:c r="F232" s="14" t="str">
        <x:v>cmmjsmua2000q04jstd4i8p7c</x:v>
      </x:c>
      <x:c r="G232" s="14" t="n">
        <x:v>11</x:v>
      </x:c>
      <x:c r="H232" s="14" t="str">
        <x:v>80701211-fe03-4dc0-972a-b2e5467876b9</x:v>
      </x:c>
      <x:c r="I232" s="14" t="str">
        <x:v>Idira, R (On the Application Of) v The Secretary of State for the Home Department (Rev 1) [2015] EWCA Civ 1187</x:v>
      </x:c>
      <x:c r="J232" s="14" t="str">
        <x:v>England and Wales Court of Appeal (Civil Division)</x:v>
      </x:c>
      <x:c r="K232" s="14" t="n">
        <x:v>2015</x:v>
      </x:c>
      <x:c r="L232" s="15" t="n">
        <x:v>0.71661544</x:v>
      </x:c>
      <x:c r="M232" s="14" t="n">
        <x:v>2</x:v>
      </x:c>
      <x:c r="N232" s="14" t="str"/>
    </x:row>
    <x:row r="233">
      <x:c r="A233" s="1" t="str">
        <x:v>cmmjsjnvz000k04js5ptftolc</x:v>
      </x:c>
      <x:c r="B233" s="1" t="str">
        <x:v>cmmc45761000204jx6bd5kxqk</x:v>
      </x:c>
      <x:c r="C233" s="1" t="str">
        <x:v>ca-2024-000255-ellis-v-ssj-appellant-skeleton</x:v>
      </x:c>
      <x:c r="D233" s="12" t="n">
        <x:v>46090.963257233794</x:v>
      </x:c>
      <x:c r="E233" s="1" t="str">
        <x:v>yes</x:v>
      </x:c>
      <x:c r="F233" s="14" t="str">
        <x:v>cmmjsmua2000q04jstd4i8p7c</x:v>
      </x:c>
      <x:c r="G233" s="14" t="n">
        <x:v>12</x:v>
      </x:c>
      <x:c r="H233" s="14" t="str">
        <x:v>1ed4938a-8018-45b9-bf99-465d1697ff0b</x:v>
      </x:c>
      <x:c r="I233" s="14" t="str">
        <x:v>AA (Poland) v Secretary of State for the Home Department [2016] EWCA Civ 620 (11 May 2016)</x:v>
      </x:c>
      <x:c r="J233" s="14" t="str">
        <x:v>England and Wales Court of Appeal (Civil Division)</x:v>
      </x:c>
      <x:c r="K233" s="14" t="n">
        <x:v>2016</x:v>
      </x:c>
      <x:c r="L233" s="15" t="n">
        <x:v>0.71010494</x:v>
      </x:c>
      <x:c r="M233" s="14" t="n">
        <x:v>1</x:v>
      </x:c>
      <x:c r="N233" s="14" t="str">
        <x:v>Tarakhel v Switzerland (ECtHR 2014)</x:v>
      </x:c>
    </x:row>
    <x:row r="234">
      <x:c r="A234" s="1" t="str">
        <x:v>cmmjsjnvz000k04js5ptftolc</x:v>
      </x:c>
      <x:c r="B234" s="1" t="str">
        <x:v>cmmc45761000204jx6bd5kxqk</x:v>
      </x:c>
      <x:c r="C234" s="1" t="str">
        <x:v>ca-2024-000255-ellis-v-ssj-appellant-skeleton</x:v>
      </x:c>
      <x:c r="D234" s="12" t="n">
        <x:v>46090.963257233794</x:v>
      </x:c>
      <x:c r="E234" s="1" t="str">
        <x:v>yes</x:v>
      </x:c>
      <x:c r="F234" s="14" t="str">
        <x:v>cmmjsmua2000q04jstd4i8p7c</x:v>
      </x:c>
      <x:c r="G234" s="14" t="n">
        <x:v>13</x:v>
      </x:c>
      <x:c r="H234" s="14" t="str">
        <x:v>cd2db340-265d-46ef-86dd-180d07c4fea9</x:v>
      </x:c>
      <x:c r="I234" s="14" t="str">
        <x:v>AE (Algeria) v Secretary of State for the Home Department</x:v>
      </x:c>
      <x:c r="J234" s="14" t="str">
        <x:v>England and Wales Court of Appeal (Civil Division)</x:v>
      </x:c>
      <x:c r="K234" s="14" t="n">
        <x:v>2014</x:v>
      </x:c>
      <x:c r="L234" s="15" t="n">
        <x:v>0.7084286</x:v>
      </x:c>
      <x:c r="M234" s="14" t="n">
        <x:v>1</x:v>
      </x:c>
      <x:c r="N234" s="14" t="str"/>
    </x:row>
    <x:row r="235">
      <x:c r="A235" s="1" t="str">
        <x:v>cmmjsjnvz000k04js5ptftolc</x:v>
      </x:c>
      <x:c r="B235" s="1" t="str">
        <x:v>cmmc45761000204jx6bd5kxqk</x:v>
      </x:c>
      <x:c r="C235" s="1" t="str">
        <x:v>ca-2024-000255-ellis-v-ssj-appellant-skeleton</x:v>
      </x:c>
      <x:c r="D235" s="12" t="n">
        <x:v>46090.963257233794</x:v>
      </x:c>
      <x:c r="E235" s="1" t="str">
        <x:v>yes</x:v>
      </x:c>
      <x:c r="F235" s="14" t="str">
        <x:v>cmmjsmua2000q04jstd4i8p7c</x:v>
      </x:c>
      <x:c r="G235" s="14" t="n">
        <x:v>14</x:v>
      </x:c>
      <x:c r="H235" s="14" t="str">
        <x:v>57d5bf6b-b5e4-4a29-8fe8-fc6caf7108e9</x:v>
      </x:c>
      <x:c r="I235" s="14" t="str">
        <x:v>Abedin, R (On the Application Of) v Secretary of State for the Home Department [2016] EWCA Civ 296 (10 March 2016)</x:v>
      </x:c>
      <x:c r="J235" s="14" t="str">
        <x:v>England and Wales Court of Appeal (Civil Division)</x:v>
      </x:c>
      <x:c r="K235" s="14" t="n">
        <x:v>2016</x:v>
      </x:c>
      <x:c r="L235" s="15" t="n">
        <x:v>0.70715714</x:v>
      </x:c>
      <x:c r="M235" s="14" t="n">
        <x:v>2</x:v>
      </x:c>
      <x:c r="N235" s="14" t="str">
        <x:v>Del Rio Prada v Spain | Uttley | Robinson</x:v>
      </x:c>
    </x:row>
    <x:row r="236">
      <x:c r="A236" s="1" t="str">
        <x:v>cmmjsjnvz000k04js5ptftolc</x:v>
      </x:c>
      <x:c r="B236" s="1" t="str">
        <x:v>cmmc45761000204jx6bd5kxqk</x:v>
      </x:c>
      <x:c r="C236" s="1" t="str">
        <x:v>ca-2024-000255-ellis-v-ssj-appellant-skeleton</x:v>
      </x:c>
      <x:c r="D236" s="12" t="n">
        <x:v>46090.963257233794</x:v>
      </x:c>
      <x:c r="E236" s="1" t="str">
        <x:v>yes</x:v>
      </x:c>
      <x:c r="F236" s="14" t="str">
        <x:v>cmmjsmua2000q04jstd4i8p7c</x:v>
      </x:c>
      <x:c r="G236" s="14" t="n">
        <x:v>15</x:v>
      </x:c>
      <x:c r="H236" s="14" t="str">
        <x:v>522b4f69-32d0-44e3-9bb5-92859e5efde0</x:v>
      </x:c>
      <x:c r="I236" s="14" t="str">
        <x:v>Catan and Others v. Moldova and Russia</x:v>
      </x:c>
      <x:c r="J236" s="14" t="str">
        <x:v>European Court of Human Rights (Grand Chamber)</x:v>
      </x:c>
      <x:c r="K236" s="14" t="n">
        <x:v>2012</x:v>
      </x:c>
      <x:c r="L236" s="15" t="n">
        <x:v>0.7055875</x:v>
      </x:c>
      <x:c r="M236" s="14" t="n">
        <x:v>1</x:v>
      </x:c>
      <x:c r="N236" s="14" t="str"/>
    </x:row>
    <x:row r="237">
      <x:c r="A237" s="1" t="str">
        <x:v>cmmjsjnvz000k04js5ptftolc</x:v>
      </x:c>
      <x:c r="B237" s="1" t="str">
        <x:v>cmmc45761000204jx6bd5kxqk</x:v>
      </x:c>
      <x:c r="C237" s="1" t="str">
        <x:v>ca-2024-000255-ellis-v-ssj-appellant-skeleton</x:v>
      </x:c>
      <x:c r="D237" s="12" t="n">
        <x:v>46090.963257233794</x:v>
      </x:c>
      <x:c r="E237" s="1" t="str">
        <x:v>yes</x:v>
      </x:c>
      <x:c r="F237" s="14" t="str">
        <x:v>cmmjsmua2000q04jstd4i8p7c</x:v>
      </x:c>
      <x:c r="G237" s="14" t="n">
        <x:v>16</x:v>
      </x:c>
      <x:c r="H237" s="14" t="str">
        <x:v>d43e9179-fec2-4fc9-a5b0-3113b6e57fb4</x:v>
      </x:c>
      <x:c r="I237" s="14" t="str">
        <x:v>Coll v Secretary of State for Justice [2015] EWCA Civ 328</x:v>
      </x:c>
      <x:c r="J237" s="14" t="str">
        <x:v>England and Wales Court of Appeal (Civil Division)</x:v>
      </x:c>
      <x:c r="K237" s="14" t="n">
        <x:v>2015</x:v>
      </x:c>
      <x:c r="L237" s="15" t="n">
        <x:v>0.70501965</x:v>
      </x:c>
      <x:c r="M237" s="14" t="n">
        <x:v>1</x:v>
      </x:c>
      <x:c r="N237" s="14" t="str">
        <x:v>Woodcock v Cumbria Primary Care Trust [2012] EWCA Civ 330</x:v>
      </x:c>
    </x:row>
    <x:row r="238">
      <x:c r="A238" s="1" t="str">
        <x:v>cmmjsjnvz000k04js5ptftolc</x:v>
      </x:c>
      <x:c r="B238" s="1" t="str">
        <x:v>cmmc45761000204jx6bd5kxqk</x:v>
      </x:c>
      <x:c r="C238" s="1" t="str">
        <x:v>ca-2024-000255-ellis-v-ssj-appellant-skeleton</x:v>
      </x:c>
      <x:c r="D238" s="12" t="n">
        <x:v>46090.963257233794</x:v>
      </x:c>
      <x:c r="E238" s="1" t="str">
        <x:v>yes</x:v>
      </x:c>
      <x:c r="F238" s="14" t="str">
        <x:v>cmmjsmua2000q04jstd4i8p7c</x:v>
      </x:c>
      <x:c r="G238" s="14" t="n">
        <x:v>17</x:v>
      </x:c>
      <x:c r="H238" s="14" t="str">
        <x:v>037fedaf-bb6c-4013-9ebb-6bc7192c7525</x:v>
      </x:c>
      <x:c r="I238" s="14" t="str">
        <x:v>Tabbakh, R (On the Application Of) v Staffordshire And West Midlands Probation Trust &amp; Anor</x:v>
      </x:c>
      <x:c r="J238" s="14" t="str">
        <x:v>England and Wales Court of Appeal (Civil Division)</x:v>
      </x:c>
      <x:c r="K238" s="14" t="n">
        <x:v>2014</x:v>
      </x:c>
      <x:c r="L238" s="15" t="n">
        <x:v>0.6997634</x:v>
      </x:c>
      <x:c r="M238" s="14" t="n">
        <x:v>1</x:v>
      </x:c>
      <x:c r="N238" s="14" t="str">
        <x:v>R (Refugee Legal Centre) v Secretary of State for the Home Department</x:v>
      </x:c>
    </x:row>
    <x:row r="239">
      <x:c r="A239" s="1" t="str">
        <x:v>cmmjsjnvz000k04js5ptftolc</x:v>
      </x:c>
      <x:c r="B239" s="1" t="str">
        <x:v>cmmc45761000204jx6bd5kxqk</x:v>
      </x:c>
      <x:c r="C239" s="1" t="str">
        <x:v>ca-2024-000255-ellis-v-ssj-appellant-skeleton</x:v>
      </x:c>
      <x:c r="D239" s="12" t="n">
        <x:v>46090.963257233794</x:v>
      </x:c>
      <x:c r="E239" s="1" t="str">
        <x:v>yes</x:v>
      </x:c>
      <x:c r="F239" s="14" t="str">
        <x:v>cmmjsmua2000q04jstd4i8p7c</x:v>
      </x:c>
      <x:c r="G239" s="14" t="n">
        <x:v>18</x:v>
      </x:c>
      <x:c r="H239" s="14" t="str">
        <x:v>0c4144ef-9642-4280-9526-95be21a99f19</x:v>
      </x:c>
      <x:c r="I239" s="14" t="str">
        <x:v>Bayliss v The Parole Board of England And Wales &amp; Anor [2014] EWCA Civ 1631</x:v>
      </x:c>
      <x:c r="J239" s="14" t="str">
        <x:v>England and Wales Court of Appeal (Civil Division)</x:v>
      </x:c>
      <x:c r="K239" s="14" t="n">
        <x:v>2014</x:v>
      </x:c>
      <x:c r="L239" s="15" t="n">
        <x:v>0.6989622</x:v>
      </x:c>
      <x:c r="M239" s="14" t="n">
        <x:v>1</x:v>
      </x:c>
      <x:c r="N239" s="14" t="str">
        <x:v>R v Cain [1985] AC 46</x:v>
      </x:c>
    </x:row>
    <x:row r="240">
      <x:c r="A240" s="1" t="str">
        <x:v>cmmjsjnvz000k04js5ptftolc</x:v>
      </x:c>
      <x:c r="B240" s="1" t="str">
        <x:v>cmmc45761000204jx6bd5kxqk</x:v>
      </x:c>
      <x:c r="C240" s="1" t="str">
        <x:v>ca-2024-000255-ellis-v-ssj-appellant-skeleton</x:v>
      </x:c>
      <x:c r="D240" s="12" t="n">
        <x:v>46090.963257233794</x:v>
      </x:c>
      <x:c r="E240" s="1" t="str">
        <x:v>yes</x:v>
      </x:c>
      <x:c r="F240" s="14" t="str">
        <x:v>cmmjsmua2000q04jstd4i8p7c</x:v>
      </x:c>
      <x:c r="G240" s="14" t="n">
        <x:v>19</x:v>
      </x:c>
      <x:c r="H240" s="14" t="str">
        <x:v>22f5a58b-4272-4bb0-8476-e2d0333f5032</x:v>
      </x:c>
      <x:c r="I240" s="14" t="str">
        <x:v>BB, PP, W, U &amp; Ors v Secretary of State for the Home Department</x:v>
      </x:c>
      <x:c r="J240" s="14" t="str">
        <x:v>England and Wales Court of Appeal (Civil Division)</x:v>
      </x:c>
      <x:c r="K240" s="14" t="n">
        <x:v>2015</x:v>
      </x:c>
      <x:c r="L240" s="15" t="n">
        <x:v>0.6986377</x:v>
      </x:c>
      <x:c r="M240" s="14" t="n">
        <x:v>1</x:v>
      </x:c>
      <x:c r="N240" s="14" t="str"/>
    </x:row>
    <x:row r="241">
      <x:c r="A241" s="1" t="str">
        <x:v>cmmjsjnvz000k04js5ptftolc</x:v>
      </x:c>
      <x:c r="B241" s="1" t="str">
        <x:v>cmmc45761000204jx6bd5kxqk</x:v>
      </x:c>
      <x:c r="C241" s="1" t="str">
        <x:v>ca-2024-000255-ellis-v-ssj-appellant-skeleton</x:v>
      </x:c>
      <x:c r="D241" s="12" t="n">
        <x:v>46090.963257233794</x:v>
      </x:c>
      <x:c r="E241" s="1" t="str">
        <x:v>yes</x:v>
      </x:c>
      <x:c r="F241" s="14" t="str">
        <x:v>cmmjsmua2000q04jstd4i8p7c</x:v>
      </x:c>
      <x:c r="G241" s="14" t="n">
        <x:v>20</x:v>
      </x:c>
      <x:c r="H241" s="14" t="str">
        <x:v>7614b7b3-9102-4127-baa4-ed60bb7a82ed</x:v>
      </x:c>
      <x:c r="I241" s="14" t="str">
        <x:v>Rowan, R (On the Application Of) v Governor of His Majesty's Prison Berwyn &amp; Anor [2023] EWCA Civ 27</x:v>
      </x:c>
      <x:c r="J241" s="14" t="str">
        <x:v>England and Wales Court of Appeal (Civil Division)</x:v>
      </x:c>
      <x:c r="K241" s="14" t="n">
        <x:v>2023</x:v>
      </x:c>
      <x:c r="L241" s="15" t="n">
        <x:v>0.6979996</x:v>
      </x:c>
      <x:c r="M241" s="14" t="n">
        <x:v>2</x:v>
      </x:c>
      <x:c r="N241" s="14" t="str"/>
    </x:row>
    <x:row r="242">
      <x:c r="A242" s="1" t="str">
        <x:v>cmmjtjuc3000304l46doynpvf</x:v>
      </x:c>
      <x:c r="B242" s="1" t="str">
        <x:v>cmmc45761000204jx6bd5kxqk</x:v>
      </x:c>
      <x:c r="C242" s="1" t="str">
        <x:v>ca-2024-000255-ellis-v-ssj-appellant-skeleton</x:v>
      </x:c>
      <x:c r="D242" s="12" t="n">
        <x:v>46090.98279354167</x:v>
      </x:c>
      <x:c r="E242" s="1" t="str">
        <x:v>yes</x:v>
      </x:c>
      <x:c r="F242" s="14" t="str">
        <x:v>cmmjtnsdx000904l4vhap8xwc</x:v>
      </x:c>
      <x:c r="G242" s="14" t="n">
        <x:v>1</x:v>
      </x:c>
      <x:c r="H242" s="14" t="str">
        <x:v>dfa97e6e-7e32-4c80-9f6f-5e4f398f9d82</x:v>
      </x:c>
      <x:c r="I242" s="14" t="str">
        <x:v>Velyo Velev v. Bulgaria (Application No. 16032/07)</x:v>
      </x:c>
      <x:c r="J242" s="14" t="str">
        <x:v>European Court of Human Rights (Fourth Section)</x:v>
      </x:c>
      <x:c r="K242" s="14" t="n">
        <x:v>2014</x:v>
      </x:c>
      <x:c r="L242" s="15" t="n">
        <x:v>0.7941729</x:v>
      </x:c>
      <x:c r="M242" s="14" t="n">
        <x:v>4</x:v>
      </x:c>
      <x:c r="N242" s="14" t="str">
        <x:v>Debates on education rights in the European Context. | European Convention on Human Rights | Committee of Ministers Recommendations</x:v>
      </x:c>
    </x:row>
    <x:row r="243">
      <x:c r="A243" s="1" t="str">
        <x:v>cmmjtjuc3000304l46doynpvf</x:v>
      </x:c>
      <x:c r="B243" s="1" t="str">
        <x:v>cmmc45761000204jx6bd5kxqk</x:v>
      </x:c>
      <x:c r="C243" s="1" t="str">
        <x:v>ca-2024-000255-ellis-v-ssj-appellant-skeleton</x:v>
      </x:c>
      <x:c r="D243" s="12" t="n">
        <x:v>46090.98279354167</x:v>
      </x:c>
      <x:c r="E243" s="1" t="str">
        <x:v>yes</x:v>
      </x:c>
      <x:c r="F243" s="14" t="str">
        <x:v>cmmjtnsdx000904l4vhap8xwc</x:v>
      </x:c>
      <x:c r="G243" s="14" t="n">
        <x:v>2</x:v>
      </x:c>
      <x:c r="H243" s="14" t="str">
        <x:v>d60a5323-796e-4110-a6de-012ec16860c1</x:v>
      </x:c>
      <x:c r="I243" s="14" t="str">
        <x:v>The Howard League for Penal Reform and Prisoners' Advice Service v The Lord Chancellor</x:v>
      </x:c>
      <x:c r="J243" s="14" t="str">
        <x:v>England and Wales Court of Appeal (Civil Division)</x:v>
      </x:c>
      <x:c r="K243" s="14" t="n">
        <x:v>2015</x:v>
      </x:c>
      <x:c r="L243" s="15" t="n">
        <x:v>0.76321787</x:v>
      </x:c>
      <x:c r="M243" s="14" t="n">
        <x:v>4</x:v>
      </x:c>
      <x:c r="N243" s="14" t="str">
        <x:v>R (Refugee Legal Centre) Secretary of State for the Home Department</x:v>
      </x:c>
    </x:row>
    <x:row r="244">
      <x:c r="A244" s="1" t="str">
        <x:v>cmmjtjuc3000304l46doynpvf</x:v>
      </x:c>
      <x:c r="B244" s="1" t="str">
        <x:v>cmmc45761000204jx6bd5kxqk</x:v>
      </x:c>
      <x:c r="C244" s="1" t="str">
        <x:v>ca-2024-000255-ellis-v-ssj-appellant-skeleton</x:v>
      </x:c>
      <x:c r="D244" s="12" t="n">
        <x:v>46090.98279354167</x:v>
      </x:c>
      <x:c r="E244" s="1" t="str">
        <x:v>yes</x:v>
      </x:c>
      <x:c r="F244" s="14" t="str">
        <x:v>cmmjtnsdx000904l4vhap8xwc</x:v>
      </x:c>
      <x:c r="G244" s="14" t="n">
        <x:v>3</x:v>
      </x:c>
      <x:c r="H244" s="14" t="str">
        <x:v>facdee26-7310-4355-9ef5-1fd21f107f72</x:v>
      </x:c>
      <x:c r="I244" s="14" t="str">
        <x:v>Kalda v. Estonia - Access to Information Rights for Prisoners</x:v>
      </x:c>
      <x:c r="J244" s="14" t="str">
        <x:v>European Court of Human Rights (Second Section)</x:v>
      </x:c>
      <x:c r="K244" s="14" t="n">
        <x:v>2016</x:v>
      </x:c>
      <x:c r="L244" s="15" t="n">
        <x:v>0.7454562</x:v>
      </x:c>
      <x:c r="M244" s="14" t="n">
        <x:v>1</x:v>
      </x:c>
      <x:c r="N244" s="14" t="str"/>
    </x:row>
    <x:row r="245">
      <x:c r="A245" s="1" t="str">
        <x:v>cmmjtjuc3000304l46doynpvf</x:v>
      </x:c>
      <x:c r="B245" s="1" t="str">
        <x:v>cmmc45761000204jx6bd5kxqk</x:v>
      </x:c>
      <x:c r="C245" s="1" t="str">
        <x:v>ca-2024-000255-ellis-v-ssj-appellant-skeleton</x:v>
      </x:c>
      <x:c r="D245" s="12" t="n">
        <x:v>46090.98279354167</x:v>
      </x:c>
      <x:c r="E245" s="1" t="str">
        <x:v>yes</x:v>
      </x:c>
      <x:c r="F245" s="14" t="str">
        <x:v>cmmjtnsdx000904l4vhap8xwc</x:v>
      </x:c>
      <x:c r="G245" s="14" t="n">
        <x:v>4</x:v>
      </x:c>
      <x:c r="H245" s="14" t="str">
        <x:v>c5a5edf0-4845-4195-a969-082c8b5afa2a</x:v>
      </x:c>
      <x:c r="I245" s="14" t="str">
        <x:v>BK &amp; Anor v The Secretary of State for Justice [2015] EWCA Civ 1259</x:v>
      </x:c>
      <x:c r="J245" s="14" t="str">
        <x:v>England and Wales Court of Appeal (Civil Division)</x:v>
      </x:c>
      <x:c r="K245" s="14" t="n">
        <x:v>2015</x:v>
      </x:c>
      <x:c r="L245" s="15" t="n">
        <x:v>0.7386569</x:v>
      </x:c>
      <x:c r="M245" s="14" t="n">
        <x:v>2</x:v>
      </x:c>
      <x:c r="N245" s="14" t="str">
        <x:v>European Convention on Human Rights</x:v>
      </x:c>
    </x:row>
    <x:row r="246">
      <x:c r="A246" s="1" t="str">
        <x:v>cmmjtjuc3000304l46doynpvf</x:v>
      </x:c>
      <x:c r="B246" s="1" t="str">
        <x:v>cmmc45761000204jx6bd5kxqk</x:v>
      </x:c>
      <x:c r="C246" s="1" t="str">
        <x:v>ca-2024-000255-ellis-v-ssj-appellant-skeleton</x:v>
      </x:c>
      <x:c r="D246" s="12" t="n">
        <x:v>46090.98279354167</x:v>
      </x:c>
      <x:c r="E246" s="1" t="str">
        <x:v>yes</x:v>
      </x:c>
      <x:c r="F246" s="14" t="str">
        <x:v>cmmjtnsdx000904l4vhap8xwc</x:v>
      </x:c>
      <x:c r="G246" s="14" t="n">
        <x:v>5</x:v>
      </x:c>
      <x:c r="H246" s="14" t="str">
        <x:v>da4b6be7-2b22-4bd1-af6b-a68873f0af8d</x:v>
      </x:c>
      <x:c r="I246" s="14" t="str">
        <x:v>Bright &amp; Anor v The Secretary of State for Justice</x:v>
      </x:c>
      <x:c r="J246" s="14" t="str">
        <x:v>England and Wales Court of Appeal (Civil Division)</x:v>
      </x:c>
      <x:c r="K246" s="14" t="n">
        <x:v>2014</x:v>
      </x:c>
      <x:c r="L246" s="15" t="n">
        <x:v>0.725837</x:v>
      </x:c>
      <x:c r="M246" s="14" t="n">
        <x:v>3</x:v>
      </x:c>
      <x:c r="N246" s="14" t="str"/>
    </x:row>
    <x:row r="247">
      <x:c r="A247" s="1" t="str">
        <x:v>cmmjtjuc3000304l46doynpvf</x:v>
      </x:c>
      <x:c r="B247" s="1" t="str">
        <x:v>cmmc45761000204jx6bd5kxqk</x:v>
      </x:c>
      <x:c r="C247" s="1" t="str">
        <x:v>ca-2024-000255-ellis-v-ssj-appellant-skeleton</x:v>
      </x:c>
      <x:c r="D247" s="12" t="n">
        <x:v>46090.98279354167</x:v>
      </x:c>
      <x:c r="E247" s="1" t="str">
        <x:v>yes</x:v>
      </x:c>
      <x:c r="F247" s="14" t="str">
        <x:v>cmmjtnsdx000904l4vhap8xwc</x:v>
      </x:c>
      <x:c r="G247" s="14" t="n">
        <x:v>6</x:v>
      </x:c>
      <x:c r="H247" s="14" t="str">
        <x:v>36166c1f-7b4e-4e19-9f3e-ba06d04ac22a</x:v>
      </x:c>
      <x:c r="I247" s="14" t="str">
        <x:v>Smith v Secretary of State for Justice &amp; Ors [2014] EWCA Civ 380</x:v>
      </x:c>
      <x:c r="J247" s="14" t="str">
        <x:v>England and Wales Court of Appeal (Civil Division)</x:v>
      </x:c>
      <x:c r="K247" s="14" t="n">
        <x:v>2014</x:v>
      </x:c>
      <x:c r="L247" s="15" t="n">
        <x:v>0.7255111</x:v>
      </x:c>
      <x:c r="M247" s="14" t="n">
        <x:v>2</x:v>
      </x:c>
      <x:c r="N247" s="14" t="str">
        <x:v>Botti v Italy | Florea v Romania</x:v>
      </x:c>
    </x:row>
    <x:row r="248">
      <x:c r="A248" s="1" t="str">
        <x:v>cmmjtjuc3000304l46doynpvf</x:v>
      </x:c>
      <x:c r="B248" s="1" t="str">
        <x:v>cmmc45761000204jx6bd5kxqk</x:v>
      </x:c>
      <x:c r="C248" s="1" t="str">
        <x:v>ca-2024-000255-ellis-v-ssj-appellant-skeleton</x:v>
      </x:c>
      <x:c r="D248" s="12" t="n">
        <x:v>46090.98279354167</x:v>
      </x:c>
      <x:c r="E248" s="1" t="str">
        <x:v>yes</x:v>
      </x:c>
      <x:c r="F248" s="14" t="str">
        <x:v>cmmjtnsdx000904l4vhap8xwc</x:v>
      </x:c>
      <x:c r="G248" s="14" t="n">
        <x:v>7</x:v>
      </x:c>
      <x:c r="H248" s="14" t="str">
        <x:v>7e8929e7-4b3c-4492-b8b5-e01b9ccfcf2c</x:v>
      </x:c>
      <x:c r="I248" s="14" t="str">
        <x:v>Zenati v Police of the Metropolis &amp; Anor [2015] EWCA Civ 80</x:v>
      </x:c>
      <x:c r="J248" s="14" t="str">
        <x:v>England and Wales Court of Appeal (Civil Division)</x:v>
      </x:c>
      <x:c r="K248" s="14" t="n">
        <x:v>2015</x:v>
      </x:c>
      <x:c r="L248" s="15" t="n">
        <x:v>0.7211565</x:v>
      </x:c>
      <x:c r="M248" s="14" t="n">
        <x:v>2</x:v>
      </x:c>
      <x:c r="N248" s="14" t="str"/>
    </x:row>
    <x:row r="249">
      <x:c r="A249" s="1" t="str">
        <x:v>cmmjtjuc3000304l46doynpvf</x:v>
      </x:c>
      <x:c r="B249" s="1" t="str">
        <x:v>cmmc45761000204jx6bd5kxqk</x:v>
      </x:c>
      <x:c r="C249" s="1" t="str">
        <x:v>ca-2024-000255-ellis-v-ssj-appellant-skeleton</x:v>
      </x:c>
      <x:c r="D249" s="12" t="n">
        <x:v>46090.98279354167</x:v>
      </x:c>
      <x:c r="E249" s="1" t="str">
        <x:v>yes</x:v>
      </x:c>
      <x:c r="F249" s="14" t="str">
        <x:v>cmmjtnsdx000904l4vhap8xwc</x:v>
      </x:c>
      <x:c r="G249" s="14" t="n">
        <x:v>8</x:v>
      </x:c>
      <x:c r="H249" s="14" t="str">
        <x:v>464b6335-7623-49ec-8536-df2bb3ae5a4d</x:v>
      </x:c>
      <x:c r="I249" s="14" t="str">
        <x:v>Parratt, R (on the application of) v Parole Board</x:v>
      </x:c>
      <x:c r="J249" s="14" t="str">
        <x:v>England and Wales Court of Appeal (Civil Division)</x:v>
      </x:c>
      <x:c r="K249" s="14" t="n">
        <x:v>2014</x:v>
      </x:c>
      <x:c r="L249" s="15" t="n">
        <x:v>0.7191904</x:v>
      </x:c>
      <x:c r="M249" s="14" t="n">
        <x:v>2</x:v>
      </x:c>
      <x:c r="N249" s="14" t="str">
        <x:v>R (Faulkner) v Secretary of State for Justice | R (Sturnham) v Parole Board</x:v>
      </x:c>
    </x:row>
    <x:row r="250">
      <x:c r="A250" s="1" t="str">
        <x:v>cmmjtjuc3000304l46doynpvf</x:v>
      </x:c>
      <x:c r="B250" s="1" t="str">
        <x:v>cmmc45761000204jx6bd5kxqk</x:v>
      </x:c>
      <x:c r="C250" s="1" t="str">
        <x:v>ca-2024-000255-ellis-v-ssj-appellant-skeleton</x:v>
      </x:c>
      <x:c r="D250" s="12" t="n">
        <x:v>46090.98279354167</x:v>
      </x:c>
      <x:c r="E250" s="1" t="str">
        <x:v>yes</x:v>
      </x:c>
      <x:c r="F250" s="14" t="str">
        <x:v>cmmjtnsdx000904l4vhap8xwc</x:v>
      </x:c>
      <x:c r="G250" s="14" t="n">
        <x:v>9</x:v>
      </x:c>
      <x:c r="H250" s="14" t="str">
        <x:v>90f8b18f-1e00-4177-9cfb-1304fdbc0a97</x:v>
      </x:c>
      <x:c r="I250" s="14" t="str">
        <x:v>Bayliss v The Parole Board of England &amp; Wales [2014] EWCA Civ 1268</x:v>
      </x:c>
      <x:c r="J250" s="14" t="str">
        <x:v>England and Wales Court of Appeal (Civil Division)</x:v>
      </x:c>
      <x:c r="K250" s="14" t="n">
        <x:v>2014</x:v>
      </x:c>
      <x:c r="L250" s="15" t="n">
        <x:v>0.71741676</x:v>
      </x:c>
      <x:c r="M250" s="14" t="n">
        <x:v>1</x:v>
      </x:c>
      <x:c r="N250" s="14" t="str"/>
    </x:row>
    <x:row r="251">
      <x:c r="A251" s="1" t="str">
        <x:v>cmmjtjuc3000304l46doynpvf</x:v>
      </x:c>
      <x:c r="B251" s="1" t="str">
        <x:v>cmmc45761000204jx6bd5kxqk</x:v>
      </x:c>
      <x:c r="C251" s="1" t="str">
        <x:v>ca-2024-000255-ellis-v-ssj-appellant-skeleton</x:v>
      </x:c>
      <x:c r="D251" s="12" t="n">
        <x:v>46090.98279354167</x:v>
      </x:c>
      <x:c r="E251" s="1" t="str">
        <x:v>yes</x:v>
      </x:c>
      <x:c r="F251" s="14" t="str">
        <x:v>cmmjtnsdx000904l4vhap8xwc</x:v>
      </x:c>
      <x:c r="G251" s="14" t="n">
        <x:v>10</x:v>
      </x:c>
      <x:c r="H251" s="14" t="str">
        <x:v>b15fdd53-0222-49df-98a5-84e25904f9fd</x:v>
      </x:c>
      <x:c r="I251" s="14" t="str">
        <x:v>Use of Languages in Education in Belgium</x:v>
      </x:c>
      <x:c r="J251" s="14" t="str">
        <x:v>European Court of Human Rights (Plenary)</x:v>
      </x:c>
      <x:c r="K251" s="14" t="n">
        <x:v>1968</x:v>
      </x:c>
      <x:c r="L251" s="15" t="n">
        <x:v>0.7170517</x:v>
      </x:c>
      <x:c r="M251" s="14" t="n">
        <x:v>1</x:v>
      </x:c>
      <x:c r="N251" s="14" t="str">
        <x:v>Case precedent assessments</x:v>
      </x:c>
    </x:row>
    <x:row r="252">
      <x:c r="A252" s="1" t="str">
        <x:v>cmmjtjuc3000304l46doynpvf</x:v>
      </x:c>
      <x:c r="B252" s="1" t="str">
        <x:v>cmmc45761000204jx6bd5kxqk</x:v>
      </x:c>
      <x:c r="C252" s="1" t="str">
        <x:v>ca-2024-000255-ellis-v-ssj-appellant-skeleton</x:v>
      </x:c>
      <x:c r="D252" s="12" t="n">
        <x:v>46090.98279354167</x:v>
      </x:c>
      <x:c r="E252" s="1" t="str">
        <x:v>yes</x:v>
      </x:c>
      <x:c r="F252" s="14" t="str">
        <x:v>cmmjtnsdx000904l4vhap8xwc</x:v>
      </x:c>
      <x:c r="G252" s="14" t="n">
        <x:v>11</x:v>
      </x:c>
      <x:c r="H252" s="14" t="str">
        <x:v>80701211-fe03-4dc0-972a-b2e5467876b9</x:v>
      </x:c>
      <x:c r="I252" s="14" t="str">
        <x:v>Idira, R (On the Application Of) v The Secretary of State for the Home Department (Rev 1) [2015] EWCA Civ 1187</x:v>
      </x:c>
      <x:c r="J252" s="14" t="str">
        <x:v>England and Wales Court of Appeal (Civil Division)</x:v>
      </x:c>
      <x:c r="K252" s="14" t="n">
        <x:v>2015</x:v>
      </x:c>
      <x:c r="L252" s="15" t="n">
        <x:v>0.7166909</x:v>
      </x:c>
      <x:c r="M252" s="14" t="n">
        <x:v>2</x:v>
      </x:c>
      <x:c r="N252" s="14" t="str"/>
    </x:row>
    <x:row r="253">
      <x:c r="A253" s="1" t="str">
        <x:v>cmmjtjuc3000304l46doynpvf</x:v>
      </x:c>
      <x:c r="B253" s="1" t="str">
        <x:v>cmmc45761000204jx6bd5kxqk</x:v>
      </x:c>
      <x:c r="C253" s="1" t="str">
        <x:v>ca-2024-000255-ellis-v-ssj-appellant-skeleton</x:v>
      </x:c>
      <x:c r="D253" s="12" t="n">
        <x:v>46090.98279354167</x:v>
      </x:c>
      <x:c r="E253" s="1" t="str">
        <x:v>yes</x:v>
      </x:c>
      <x:c r="F253" s="14" t="str">
        <x:v>cmmjtnsdx000904l4vhap8xwc</x:v>
      </x:c>
      <x:c r="G253" s="14" t="n">
        <x:v>12</x:v>
      </x:c>
      <x:c r="H253" s="14" t="str">
        <x:v>1ed4938a-8018-45b9-bf99-465d1697ff0b</x:v>
      </x:c>
      <x:c r="I253" s="14" t="str">
        <x:v>AA (Poland) v Secretary of State for the Home Department [2016] EWCA Civ 620 (11 May 2016)</x:v>
      </x:c>
      <x:c r="J253" s="14" t="str">
        <x:v>England and Wales Court of Appeal (Civil Division)</x:v>
      </x:c>
      <x:c r="K253" s="14" t="n">
        <x:v>2016</x:v>
      </x:c>
      <x:c r="L253" s="15" t="n">
        <x:v>0.7109131</x:v>
      </x:c>
      <x:c r="M253" s="14" t="n">
        <x:v>1</x:v>
      </x:c>
      <x:c r="N253" s="14" t="str">
        <x:v>Tarakhel v Switzerland (ECtHR 2014)</x:v>
      </x:c>
    </x:row>
    <x:row r="254">
      <x:c r="A254" s="1" t="str">
        <x:v>cmmjtjuc3000304l46doynpvf</x:v>
      </x:c>
      <x:c r="B254" s="1" t="str">
        <x:v>cmmc45761000204jx6bd5kxqk</x:v>
      </x:c>
      <x:c r="C254" s="1" t="str">
        <x:v>ca-2024-000255-ellis-v-ssj-appellant-skeleton</x:v>
      </x:c>
      <x:c r="D254" s="12" t="n">
        <x:v>46090.98279354167</x:v>
      </x:c>
      <x:c r="E254" s="1" t="str">
        <x:v>yes</x:v>
      </x:c>
      <x:c r="F254" s="14" t="str">
        <x:v>cmmjtnsdx000904l4vhap8xwc</x:v>
      </x:c>
      <x:c r="G254" s="14" t="n">
        <x:v>13</x:v>
      </x:c>
      <x:c r="H254" s="14" t="str">
        <x:v>cd2db340-265d-46ef-86dd-180d07c4fea9</x:v>
      </x:c>
      <x:c r="I254" s="14" t="str">
        <x:v>AE (Algeria) v Secretary of State for the Home Department</x:v>
      </x:c>
      <x:c r="J254" s="14" t="str">
        <x:v>England and Wales Court of Appeal (Civil Division)</x:v>
      </x:c>
      <x:c r="K254" s="14" t="n">
        <x:v>2014</x:v>
      </x:c>
      <x:c r="L254" s="15" t="n">
        <x:v>0.7087512</x:v>
      </x:c>
      <x:c r="M254" s="14" t="n">
        <x:v>1</x:v>
      </x:c>
      <x:c r="N254" s="14" t="str"/>
    </x:row>
    <x:row r="255">
      <x:c r="A255" s="1" t="str">
        <x:v>cmmjtjuc3000304l46doynpvf</x:v>
      </x:c>
      <x:c r="B255" s="1" t="str">
        <x:v>cmmc45761000204jx6bd5kxqk</x:v>
      </x:c>
      <x:c r="C255" s="1" t="str">
        <x:v>ca-2024-000255-ellis-v-ssj-appellant-skeleton</x:v>
      </x:c>
      <x:c r="D255" s="12" t="n">
        <x:v>46090.98279354167</x:v>
      </x:c>
      <x:c r="E255" s="1" t="str">
        <x:v>yes</x:v>
      </x:c>
      <x:c r="F255" s="14" t="str">
        <x:v>cmmjtnsdx000904l4vhap8xwc</x:v>
      </x:c>
      <x:c r="G255" s="14" t="n">
        <x:v>14</x:v>
      </x:c>
      <x:c r="H255" s="14" t="str">
        <x:v>57d5bf6b-b5e4-4a29-8fe8-fc6caf7108e9</x:v>
      </x:c>
      <x:c r="I255" s="14" t="str">
        <x:v>Abedin, R (On the Application Of) v Secretary of State for the Home Department [2016] EWCA Civ 296 (10 March 2016)</x:v>
      </x:c>
      <x:c r="J255" s="14" t="str">
        <x:v>England and Wales Court of Appeal (Civil Division)</x:v>
      </x:c>
      <x:c r="K255" s="14" t="n">
        <x:v>2016</x:v>
      </x:c>
      <x:c r="L255" s="15" t="n">
        <x:v>0.7075858</x:v>
      </x:c>
      <x:c r="M255" s="14" t="n">
        <x:v>2</x:v>
      </x:c>
      <x:c r="N255" s="14" t="str">
        <x:v>Del Rio Prada v Spain | Uttley | Robinson</x:v>
      </x:c>
    </x:row>
    <x:row r="256">
      <x:c r="A256" s="1" t="str">
        <x:v>cmmjtjuc3000304l46doynpvf</x:v>
      </x:c>
      <x:c r="B256" s="1" t="str">
        <x:v>cmmc45761000204jx6bd5kxqk</x:v>
      </x:c>
      <x:c r="C256" s="1" t="str">
        <x:v>ca-2024-000255-ellis-v-ssj-appellant-skeleton</x:v>
      </x:c>
      <x:c r="D256" s="12" t="n">
        <x:v>46090.98279354167</x:v>
      </x:c>
      <x:c r="E256" s="1" t="str">
        <x:v>yes</x:v>
      </x:c>
      <x:c r="F256" s="14" t="str">
        <x:v>cmmjtnsdx000904l4vhap8xwc</x:v>
      </x:c>
      <x:c r="G256" s="14" t="n">
        <x:v>15</x:v>
      </x:c>
      <x:c r="H256" s="14" t="str">
        <x:v>522b4f69-32d0-44e3-9bb5-92859e5efde0</x:v>
      </x:c>
      <x:c r="I256" s="14" t="str">
        <x:v>Catan and Others v. Moldova and Russia</x:v>
      </x:c>
      <x:c r="J256" s="14" t="str">
        <x:v>European Court of Human Rights (Grand Chamber)</x:v>
      </x:c>
      <x:c r="K256" s="14" t="n">
        <x:v>2012</x:v>
      </x:c>
      <x:c r="L256" s="15" t="n">
        <x:v>0.7052084</x:v>
      </x:c>
      <x:c r="M256" s="14" t="n">
        <x:v>1</x:v>
      </x:c>
      <x:c r="N256" s="14" t="str"/>
    </x:row>
    <x:row r="257">
      <x:c r="A257" s="1" t="str">
        <x:v>cmmjtjuc3000304l46doynpvf</x:v>
      </x:c>
      <x:c r="B257" s="1" t="str">
        <x:v>cmmc45761000204jx6bd5kxqk</x:v>
      </x:c>
      <x:c r="C257" s="1" t="str">
        <x:v>ca-2024-000255-ellis-v-ssj-appellant-skeleton</x:v>
      </x:c>
      <x:c r="D257" s="12" t="n">
        <x:v>46090.98279354167</x:v>
      </x:c>
      <x:c r="E257" s="1" t="str">
        <x:v>yes</x:v>
      </x:c>
      <x:c r="F257" s="14" t="str">
        <x:v>cmmjtnsdx000904l4vhap8xwc</x:v>
      </x:c>
      <x:c r="G257" s="14" t="n">
        <x:v>16</x:v>
      </x:c>
      <x:c r="H257" s="14" t="str">
        <x:v>d43e9179-fec2-4fc9-a5b0-3113b6e57fb4</x:v>
      </x:c>
      <x:c r="I257" s="14" t="str">
        <x:v>Coll v Secretary of State for Justice [2015] EWCA Civ 328</x:v>
      </x:c>
      <x:c r="J257" s="14" t="str">
        <x:v>England and Wales Court of Appeal (Civil Division)</x:v>
      </x:c>
      <x:c r="K257" s="14" t="n">
        <x:v>2015</x:v>
      </x:c>
      <x:c r="L257" s="15" t="n">
        <x:v>0.7047392</x:v>
      </x:c>
      <x:c r="M257" s="14" t="n">
        <x:v>1</x:v>
      </x:c>
      <x:c r="N257" s="14" t="str">
        <x:v>Woodcock v Cumbria Primary Care Trust [2012] EWCA Civ 330</x:v>
      </x:c>
    </x:row>
    <x:row r="258">
      <x:c r="A258" s="1" t="str">
        <x:v>cmmjtjuc3000304l46doynpvf</x:v>
      </x:c>
      <x:c r="B258" s="1" t="str">
        <x:v>cmmc45761000204jx6bd5kxqk</x:v>
      </x:c>
      <x:c r="C258" s="1" t="str">
        <x:v>ca-2024-000255-ellis-v-ssj-appellant-skeleton</x:v>
      </x:c>
      <x:c r="D258" s="12" t="n">
        <x:v>46090.98279354167</x:v>
      </x:c>
      <x:c r="E258" s="1" t="str">
        <x:v>yes</x:v>
      </x:c>
      <x:c r="F258" s="14" t="str">
        <x:v>cmmjtnsdx000904l4vhap8xwc</x:v>
      </x:c>
      <x:c r="G258" s="14" t="n">
        <x:v>17</x:v>
      </x:c>
      <x:c r="H258" s="14" t="str">
        <x:v>037fedaf-bb6c-4013-9ebb-6bc7192c7525</x:v>
      </x:c>
      <x:c r="I258" s="14" t="str">
        <x:v>Tabbakh, R (On the Application Of) v Staffordshire And West Midlands Probation Trust &amp; Anor</x:v>
      </x:c>
      <x:c r="J258" s="14" t="str">
        <x:v>England and Wales Court of Appeal (Civil Division)</x:v>
      </x:c>
      <x:c r="K258" s="14" t="n">
        <x:v>2014</x:v>
      </x:c>
      <x:c r="L258" s="15" t="n">
        <x:v>0.70022255</x:v>
      </x:c>
      <x:c r="M258" s="14" t="n">
        <x:v>1</x:v>
      </x:c>
      <x:c r="N258" s="14" t="str">
        <x:v>R (Refugee Legal Centre) v Secretary of State for the Home Department</x:v>
      </x:c>
    </x:row>
    <x:row r="259">
      <x:c r="A259" s="1" t="str">
        <x:v>cmmjtjuc3000304l46doynpvf</x:v>
      </x:c>
      <x:c r="B259" s="1" t="str">
        <x:v>cmmc45761000204jx6bd5kxqk</x:v>
      </x:c>
      <x:c r="C259" s="1" t="str">
        <x:v>ca-2024-000255-ellis-v-ssj-appellant-skeleton</x:v>
      </x:c>
      <x:c r="D259" s="12" t="n">
        <x:v>46090.98279354167</x:v>
      </x:c>
      <x:c r="E259" s="1" t="str">
        <x:v>yes</x:v>
      </x:c>
      <x:c r="F259" s="14" t="str">
        <x:v>cmmjtnsdx000904l4vhap8xwc</x:v>
      </x:c>
      <x:c r="G259" s="14" t="n">
        <x:v>18</x:v>
      </x:c>
      <x:c r="H259" s="14" t="str">
        <x:v>0c4144ef-9642-4280-9526-95be21a99f19</x:v>
      </x:c>
      <x:c r="I259" s="14" t="str">
        <x:v>Bayliss v The Parole Board of England And Wales &amp; Anor [2014] EWCA Civ 1631</x:v>
      </x:c>
      <x:c r="J259" s="14" t="str">
        <x:v>England and Wales Court of Appeal (Civil Division)</x:v>
      </x:c>
      <x:c r="K259" s="14" t="n">
        <x:v>2014</x:v>
      </x:c>
      <x:c r="L259" s="15" t="n">
        <x:v>0.6992756</x:v>
      </x:c>
      <x:c r="M259" s="14" t="n">
        <x:v>1</x:v>
      </x:c>
      <x:c r="N259" s="14" t="str">
        <x:v>R v Cain [1985] AC 46</x:v>
      </x:c>
    </x:row>
    <x:row r="260">
      <x:c r="A260" s="1" t="str">
        <x:v>cmmjtjuc3000304l46doynpvf</x:v>
      </x:c>
      <x:c r="B260" s="1" t="str">
        <x:v>cmmc45761000204jx6bd5kxqk</x:v>
      </x:c>
      <x:c r="C260" s="1" t="str">
        <x:v>ca-2024-000255-ellis-v-ssj-appellant-skeleton</x:v>
      </x:c>
      <x:c r="D260" s="12" t="n">
        <x:v>46090.98279354167</x:v>
      </x:c>
      <x:c r="E260" s="1" t="str">
        <x:v>yes</x:v>
      </x:c>
      <x:c r="F260" s="14" t="str">
        <x:v>cmmjtnsdx000904l4vhap8xwc</x:v>
      </x:c>
      <x:c r="G260" s="14" t="n">
        <x:v>19</x:v>
      </x:c>
      <x:c r="H260" s="14" t="str">
        <x:v>22f5a58b-4272-4bb0-8476-e2d0333f5032</x:v>
      </x:c>
      <x:c r="I260" s="14" t="str">
        <x:v>BB, PP, W, U &amp; Ors v Secretary of State for the Home Department</x:v>
      </x:c>
      <x:c r="J260" s="14" t="str">
        <x:v>England and Wales Court of Appeal (Civil Division)</x:v>
      </x:c>
      <x:c r="K260" s="14" t="n">
        <x:v>2015</x:v>
      </x:c>
      <x:c r="L260" s="15" t="n">
        <x:v>0.69894</x:v>
      </x:c>
      <x:c r="M260" s="14" t="n">
        <x:v>1</x:v>
      </x:c>
      <x:c r="N260" s="14" t="str"/>
    </x:row>
    <x:row r="261">
      <x:c r="A261" s="1" t="str">
        <x:v>cmmjtjuc3000304l46doynpvf</x:v>
      </x:c>
      <x:c r="B261" s="1" t="str">
        <x:v>cmmc45761000204jx6bd5kxqk</x:v>
      </x:c>
      <x:c r="C261" s="1" t="str">
        <x:v>ca-2024-000255-ellis-v-ssj-appellant-skeleton</x:v>
      </x:c>
      <x:c r="D261" s="12" t="n">
        <x:v>46090.98279354167</x:v>
      </x:c>
      <x:c r="E261" s="1" t="str">
        <x:v>yes</x:v>
      </x:c>
      <x:c r="F261" s="14" t="str">
        <x:v>cmmjtnsdx000904l4vhap8xwc</x:v>
      </x:c>
      <x:c r="G261" s="14" t="n">
        <x:v>20</x:v>
      </x:c>
      <x:c r="H261" s="14" t="str">
        <x:v>7614b7b3-9102-4127-baa4-ed60bb7a82ed</x:v>
      </x:c>
      <x:c r="I261" s="14" t="str">
        <x:v>Rowan, R (On the Application Of) v Governor of His Majesty's Prison Berwyn &amp; Anor [2023] EWCA Civ 27</x:v>
      </x:c>
      <x:c r="J261" s="14" t="str">
        <x:v>England and Wales Court of Appeal (Civil Division)</x:v>
      </x:c>
      <x:c r="K261" s="14" t="n">
        <x:v>2023</x:v>
      </x:c>
      <x:c r="L261" s="15" t="n">
        <x:v>0.69797647</x:v>
      </x:c>
      <x:c r="M261" s="14" t="n">
        <x:v>2</x:v>
      </x:c>
      <x:c r="N261" s="14" t="str"/>
    </x:row>
    <x:row r="262">
      <x:c r="A262" s="1" t="str">
        <x:v>cmmlryf16000304l5d3mrnfu5</x:v>
      </x:c>
      <x:c r="B262" s="1" t="str">
        <x:v>cmmdjkfi7000204jsunevvuvv</x:v>
      </x:c>
      <x:c r="C262" s="1" t="str">
        <x:v>skeleton-args-ca2023004634-299a4a730fe1f43a</x:v>
      </x:c>
      <x:c r="D262" s="12" t="n">
        <x:v>46092.3514637037</x:v>
      </x:c>
      <x:c r="E262" s="1" t="str">
        <x:v>yes</x:v>
      </x:c>
      <x:c r="F262" s="14" t="str">
        <x:v>cmmls2r93000304jme0bpsul9</x:v>
      </x:c>
      <x:c r="G262" s="14" t="n">
        <x:v>1</x:v>
      </x:c>
      <x:c r="H262" s="14" t="str">
        <x:v>18a014eb-e365-4420-b07a-dfdd42f053ec</x:v>
      </x:c>
      <x:c r="I262" s="14" t="str">
        <x:v>Freifeld &amp; Anor v West Kensington Court Ltd [2015] EWCA Civ 806</x:v>
      </x:c>
      <x:c r="J262" s="14" t="str">
        <x:v>England and Wales Court of Appeal (Civil Division)</x:v>
      </x:c>
      <x:c r="K262" s="14" t="n">
        <x:v>2015</x:v>
      </x:c>
      <x:c r="L262" s="15" t="n">
        <x:v>0.73170173</x:v>
      </x:c>
      <x:c r="M262" s="14" t="n">
        <x:v>6</x:v>
      </x:c>
      <x:c r="N262" s="14" t="str">
        <x:v>Law of Property Act 1925, section 146</x:v>
      </x:c>
    </x:row>
    <x:row r="263">
      <x:c r="A263" s="1" t="str">
        <x:v>cmmlryf16000304l5d3mrnfu5</x:v>
      </x:c>
      <x:c r="B263" s="1" t="str">
        <x:v>cmmdjkfi7000204jsunevvuvv</x:v>
      </x:c>
      <x:c r="C263" s="1" t="str">
        <x:v>skeleton-args-ca2023004634-299a4a730fe1f43a</x:v>
      </x:c>
      <x:c r="D263" s="12" t="n">
        <x:v>46092.3514637037</x:v>
      </x:c>
      <x:c r="E263" s="1" t="str">
        <x:v>yes</x:v>
      </x:c>
      <x:c r="F263" s="14" t="str">
        <x:v>cmmls2r93000304jme0bpsul9</x:v>
      </x:c>
      <x:c r="G263" s="14" t="n">
        <x:v>2</x:v>
      </x:c>
      <x:c r="H263" s="14" t="str">
        <x:v>00167e1d-845c-4a1d-b17c-1c91c10b2c37</x:v>
      </x:c>
      <x:c r="I263" s="14" t="str">
        <x:v>Bank of New York Mellon (International) Limited v Cine-UK Limited [2022] EWCA Civ 1021</x:v>
      </x:c>
      <x:c r="J263" s="14" t="str">
        <x:v>England and Wales Court of Appeal (Civil Division)</x:v>
      </x:c>
      <x:c r="K263" s="14" t="n">
        <x:v>2022</x:v>
      </x:c>
      <x:c r="L263" s="15" t="n">
        <x:v>0.72841835</x:v>
      </x:c>
      <x:c r="M263" s="14" t="n">
        <x:v>2</x:v>
      </x:c>
      <x:c r="N263" s="14" t="str"/>
    </x:row>
    <x:row r="264">
      <x:c r="A264" s="1" t="str">
        <x:v>cmmlryf16000304l5d3mrnfu5</x:v>
      </x:c>
      <x:c r="B264" s="1" t="str">
        <x:v>cmmdjkfi7000204jsunevvuvv</x:v>
      </x:c>
      <x:c r="C264" s="1" t="str">
        <x:v>skeleton-args-ca2023004634-299a4a730fe1f43a</x:v>
      </x:c>
      <x:c r="D264" s="12" t="n">
        <x:v>46092.3514637037</x:v>
      </x:c>
      <x:c r="E264" s="1" t="str">
        <x:v>yes</x:v>
      </x:c>
      <x:c r="F264" s="14" t="str">
        <x:v>cmmls2r93000304jme0bpsul9</x:v>
      </x:c>
      <x:c r="G264" s="14" t="n">
        <x:v>3</x:v>
      </x:c>
      <x:c r="H264" s="14" t="str">
        <x:v>b8f5594c-ac32-4dd3-804a-fd0c938c4401</x:v>
      </x:c>
      <x:c r="I264" s="14" t="str">
        <x:v>Topland Portfolio No 1 Ltd v Smiths News Trading Ltd [2014] EWCA Civ 18</x:v>
      </x:c>
      <x:c r="J264" s="14" t="str">
        <x:v>England and Wales Court of Appeal (Civil Division)</x:v>
      </x:c>
      <x:c r="K264" s="14" t="n">
        <x:v>2014</x:v>
      </x:c>
      <x:c r="L264" s="15" t="n">
        <x:v>0.7268903</x:v>
      </x:c>
      <x:c r="M264" s="14" t="n">
        <x:v>1</x:v>
      </x:c>
      <x:c r="N264" s="14" t="str"/>
    </x:row>
    <x:row r="265">
      <x:c r="A265" s="1" t="str">
        <x:v>cmmlryf16000304l5d3mrnfu5</x:v>
      </x:c>
      <x:c r="B265" s="1" t="str">
        <x:v>cmmdjkfi7000204jsunevvuvv</x:v>
      </x:c>
      <x:c r="C265" s="1" t="str">
        <x:v>skeleton-args-ca2023004634-299a4a730fe1f43a</x:v>
      </x:c>
      <x:c r="D265" s="12" t="n">
        <x:v>46092.3514637037</x:v>
      </x:c>
      <x:c r="E265" s="1" t="str">
        <x:v>yes</x:v>
      </x:c>
      <x:c r="F265" s="14" t="str">
        <x:v>cmmls2r93000304jme0bpsul9</x:v>
      </x:c>
      <x:c r="G265" s="14" t="n">
        <x:v>4</x:v>
      </x:c>
      <x:c r="H265" s="14" t="str">
        <x:v>39df6304-6d5c-4744-8f1a-adcd4015ef46</x:v>
      </x:c>
      <x:c r="I265" s="14" t="str">
        <x:v>Nizami v Dezyanian [2015] EWCA Civ 632</x:v>
      </x:c>
      <x:c r="J265" s="14" t="str">
        <x:v>England and Wales Court of Appeal (Civil Division)</x:v>
      </x:c>
      <x:c r="K265" s="14" t="n">
        <x:v>2015</x:v>
      </x:c>
      <x:c r="L265" s="15" t="n">
        <x:v>0.7255647</x:v>
      </x:c>
      <x:c r="M265" s="14" t="n">
        <x:v>1</x:v>
      </x:c>
      <x:c r="N265" s="14" t="str">
        <x:v>Access to Justice Act 1999</x:v>
      </x:c>
    </x:row>
    <x:row r="266">
      <x:c r="A266" s="1" t="str">
        <x:v>cmmlryf16000304l5d3mrnfu5</x:v>
      </x:c>
      <x:c r="B266" s="1" t="str">
        <x:v>cmmdjkfi7000204jsunevvuvv</x:v>
      </x:c>
      <x:c r="C266" s="1" t="str">
        <x:v>skeleton-args-ca2023004634-299a4a730fe1f43a</x:v>
      </x:c>
      <x:c r="D266" s="12" t="n">
        <x:v>46092.3514637037</x:v>
      </x:c>
      <x:c r="E266" s="1" t="str">
        <x:v>yes</x:v>
      </x:c>
      <x:c r="F266" s="14" t="str">
        <x:v>cmmls2r93000304jme0bpsul9</x:v>
      </x:c>
      <x:c r="G266" s="14" t="n">
        <x:v>5</x:v>
      </x:c>
      <x:c r="H266" s="14" t="str">
        <x:v>945cd74c-6126-4ef5-ae71-7c0099a28f2b</x:v>
      </x:c>
      <x:c r="I266" s="14" t="str">
        <x:v>Bishop v Chhokar [2015] EWCA Civ 24</x:v>
      </x:c>
      <x:c r="J266" s="14" t="str">
        <x:v>England and Wales Court of Appeal (Civil Division)</x:v>
      </x:c>
      <x:c r="K266" s="14" t="n">
        <x:v>2015</x:v>
      </x:c>
      <x:c r="L266" s="15" t="n">
        <x:v>0.72506535</x:v>
      </x:c>
      <x:c r="M266" s="14" t="n">
        <x:v>2</x:v>
      </x:c>
      <x:c r="N266" s="14" t="str">
        <x:v>Taylor v Lawrence | Noble v Owens</x:v>
      </x:c>
    </x:row>
    <x:row r="267">
      <x:c r="A267" s="1" t="str">
        <x:v>cmmlryf16000304l5d3mrnfu5</x:v>
      </x:c>
      <x:c r="B267" s="1" t="str">
        <x:v>cmmdjkfi7000204jsunevvuvv</x:v>
      </x:c>
      <x:c r="C267" s="1" t="str">
        <x:v>skeleton-args-ca2023004634-299a4a730fe1f43a</x:v>
      </x:c>
      <x:c r="D267" s="12" t="n">
        <x:v>46092.3514637037</x:v>
      </x:c>
      <x:c r="E267" s="1" t="str">
        <x:v>yes</x:v>
      </x:c>
      <x:c r="F267" s="14" t="str">
        <x:v>cmmls2r93000304jme0bpsul9</x:v>
      </x:c>
      <x:c r="G267" s="14" t="n">
        <x:v>6</x:v>
      </x:c>
      <x:c r="H267" s="14" t="str">
        <x:v>093c1223-0ae8-4284-9849-0aa54158efc1</x:v>
      </x:c>
      <x:c r="I267" s="14" t="str">
        <x:v>Hough v Greathall Ltd [2015] EWCA Civ 23</x:v>
      </x:c>
      <x:c r="J267" s="14" t="str">
        <x:v>England and Wales Court of Appeal (Civil Division)</x:v>
      </x:c>
      <x:c r="K267" s="14" t="n">
        <x:v>2015</x:v>
      </x:c>
      <x:c r="L267" s="15" t="n">
        <x:v>0.7240748</x:v>
      </x:c>
      <x:c r="M267" s="14" t="n">
        <x:v>2</x:v>
      </x:c>
      <x:c r="N267" s="14" t="str"/>
    </x:row>
    <x:row r="268">
      <x:c r="A268" s="1" t="str">
        <x:v>cmmlryf16000304l5d3mrnfu5</x:v>
      </x:c>
      <x:c r="B268" s="1" t="str">
        <x:v>cmmdjkfi7000204jsunevvuvv</x:v>
      </x:c>
      <x:c r="C268" s="1" t="str">
        <x:v>skeleton-args-ca2023004634-299a4a730fe1f43a</x:v>
      </x:c>
      <x:c r="D268" s="12" t="n">
        <x:v>46092.3514637037</x:v>
      </x:c>
      <x:c r="E268" s="1" t="str">
        <x:v>yes</x:v>
      </x:c>
      <x:c r="F268" s="14" t="str">
        <x:v>cmmls2r93000304jme0bpsul9</x:v>
      </x:c>
      <x:c r="G268" s="14" t="n">
        <x:v>7</x:v>
      </x:c>
      <x:c r="H268" s="14" t="str">
        <x:v>263eee40-14b4-40aa-8b6d-47da6b0fa9b3</x:v>
      </x:c>
      <x:c r="I268" s="14" t="str">
        <x:v>Youssefi v Mussellwhite [2014] EWCA Civ 885</x:v>
      </x:c>
      <x:c r="J268" s="14" t="str">
        <x:v>England and Wales Court of Appeal (Civil Division)</x:v>
      </x:c>
      <x:c r="K268" s="14" t="n">
        <x:v>2014</x:v>
      </x:c>
      <x:c r="L268" s="15" t="n">
        <x:v>0.72133756</x:v>
      </x:c>
      <x:c r="M268" s="14" t="n">
        <x:v>3</x:v>
      </x:c>
      <x:c r="N268" s="14" t="str"/>
    </x:row>
    <x:row r="269">
      <x:c r="A269" s="1" t="str">
        <x:v>cmmlryf16000304l5d3mrnfu5</x:v>
      </x:c>
      <x:c r="B269" s="1" t="str">
        <x:v>cmmdjkfi7000204jsunevvuvv</x:v>
      </x:c>
      <x:c r="C269" s="1" t="str">
        <x:v>skeleton-args-ca2023004634-299a4a730fe1f43a</x:v>
      </x:c>
      <x:c r="D269" s="12" t="n">
        <x:v>46092.3514637037</x:v>
      </x:c>
      <x:c r="E269" s="1" t="str">
        <x:v>yes</x:v>
      </x:c>
      <x:c r="F269" s="14" t="str">
        <x:v>cmmls2r93000304jme0bpsul9</x:v>
      </x:c>
      <x:c r="G269" s="14" t="n">
        <x:v>8</x:v>
      </x:c>
      <x:c r="H269" s="14" t="str">
        <x:v>7079fc72-6050-4668-ac32-14c3ce1d3b5c</x:v>
      </x:c>
      <x:c r="I269" s="14" t="str">
        <x:v>Tibber v Buckley &amp; Anor [2015] EWCA Civ 1294</x:v>
      </x:c>
      <x:c r="J269" s="14" t="str">
        <x:v>England and Wales Court of Appeal (Civil Division)</x:v>
      </x:c>
      <x:c r="K269" s="14" t="n">
        <x:v>2015</x:v>
      </x:c>
      <x:c r="L269" s="15" t="n">
        <x:v>0.7211114</x:v>
      </x:c>
      <x:c r="M269" s="14" t="n">
        <x:v>1</x:v>
      </x:c>
      <x:c r="N269" s="14" t="str">
        <x:v>Howard de Walden Estates Ltd v. Aggio</x:v>
      </x:c>
    </x:row>
    <x:row r="270">
      <x:c r="A270" s="1" t="str">
        <x:v>cmmlryf16000304l5d3mrnfu5</x:v>
      </x:c>
      <x:c r="B270" s="1" t="str">
        <x:v>cmmdjkfi7000204jsunevvuvv</x:v>
      </x:c>
      <x:c r="C270" s="1" t="str">
        <x:v>skeleton-args-ca2023004634-299a4a730fe1f43a</x:v>
      </x:c>
      <x:c r="D270" s="12" t="n">
        <x:v>46092.3514637037</x:v>
      </x:c>
      <x:c r="E270" s="1" t="str">
        <x:v>yes</x:v>
      </x:c>
      <x:c r="F270" s="14" t="str">
        <x:v>cmmls2r93000304jme0bpsul9</x:v>
      </x:c>
      <x:c r="G270" s="14" t="n">
        <x:v>9</x:v>
      </x:c>
      <x:c r="H270" s="14" t="str">
        <x:v>84abacd4-ac9e-4547-9c6c-c9f49ad1f96d</x:v>
      </x:c>
      <x:c r="I270" s="14" t="str">
        <x:v>Anselm v Buckle &amp; Anor [2014] EWCA Civ 311</x:v>
      </x:c>
      <x:c r="J270" s="14" t="str">
        <x:v>England and Wales Court of Appeal (Civil Division)</x:v>
      </x:c>
      <x:c r="K270" s="14" t="n">
        <x:v>2014</x:v>
      </x:c>
      <x:c r="L270" s="15" t="n">
        <x:v>0.7168427</x:v>
      </x:c>
      <x:c r="M270" s="14" t="n">
        <x:v>2</x:v>
      </x:c>
      <x:c r="N270" s="14" t="str"/>
    </x:row>
    <x:row r="271">
      <x:c r="A271" s="1" t="str">
        <x:v>cmmlryf16000304l5d3mrnfu5</x:v>
      </x:c>
      <x:c r="B271" s="1" t="str">
        <x:v>cmmdjkfi7000204jsunevvuvv</x:v>
      </x:c>
      <x:c r="C271" s="1" t="str">
        <x:v>skeleton-args-ca2023004634-299a4a730fe1f43a</x:v>
      </x:c>
      <x:c r="D271" s="12" t="n">
        <x:v>46092.3514637037</x:v>
      </x:c>
      <x:c r="E271" s="1" t="str">
        <x:v>yes</x:v>
      </x:c>
      <x:c r="F271" s="14" t="str">
        <x:v>cmmls2r93000304jme0bpsul9</x:v>
      </x:c>
      <x:c r="G271" s="14" t="n">
        <x:v>10</x:v>
      </x:c>
      <x:c r="H271" s="14" t="str">
        <x:v>63c13b59-95b3-46e6-bcfd-eef08df13985</x:v>
      </x:c>
      <x:c r="I271" s="14" t="str">
        <x:v>SWA Developments Ltd v Burke [2016] EWCA Civ 389</x:v>
      </x:c>
      <x:c r="J271" s="14" t="str">
        <x:v>England and Wales Court of Appeal (Civil Division)</x:v>
      </x:c>
      <x:c r="K271" s="14" t="n">
        <x:v>2016</x:v>
      </x:c>
      <x:c r="L271" s="15" t="n">
        <x:v>0.71553063</x:v>
      </x:c>
      <x:c r="M271" s="14" t="n">
        <x:v>4</x:v>
      </x:c>
      <x:c r="N271" s="14" t="str">
        <x:v>Shiloh Spinners v Harding [1973] AC 691 | Magnic v Ul-Hassan [2015] EWCA Civ 224 | Shiloh Spinners Ltd v Harding [1973] AC 691</x:v>
      </x:c>
    </x:row>
    <x:row r="272">
      <x:c r="A272" s="1" t="str">
        <x:v>cmmlryf16000304l5d3mrnfu5</x:v>
      </x:c>
      <x:c r="B272" s="1" t="str">
        <x:v>cmmdjkfi7000204jsunevvuvv</x:v>
      </x:c>
      <x:c r="C272" s="1" t="str">
        <x:v>skeleton-args-ca2023004634-299a4a730fe1f43a</x:v>
      </x:c>
      <x:c r="D272" s="12" t="n">
        <x:v>46092.3514637037</x:v>
      </x:c>
      <x:c r="E272" s="1" t="str">
        <x:v>yes</x:v>
      </x:c>
      <x:c r="F272" s="14" t="str">
        <x:v>cmmls2r93000304jme0bpsul9</x:v>
      </x:c>
      <x:c r="G272" s="14" t="n">
        <x:v>11</x:v>
      </x:c>
      <x:c r="H272" s="14" t="str">
        <x:v>ccb176da-f583-47e8-b2a6-cc3aadd7833c</x:v>
      </x:c>
      <x:c r="I272" s="14" t="str">
        <x:v>Marks And Spencer Plc v BNP Paribas Securities Services Trust Company (Jersey) Ltd &amp; Anor [2014] EWCA Civ 603</x:v>
      </x:c>
      <x:c r="J272" s="14" t="str">
        <x:v>England and Wales Court of Appeal (Civil Division)</x:v>
      </x:c>
      <x:c r="K272" s="14" t="n">
        <x:v>2014</x:v>
      </x:c>
      <x:c r="L272" s="15" t="n">
        <x:v>0.7148241</x:v>
      </x:c>
      <x:c r="M272" s="14" t="n">
        <x:v>1</x:v>
      </x:c>
      <x:c r="N272" s="14" t="str"/>
    </x:row>
    <x:row r="273">
      <x:c r="A273" s="1" t="str">
        <x:v>cmmlryf16000304l5d3mrnfu5</x:v>
      </x:c>
      <x:c r="B273" s="1" t="str">
        <x:v>cmmdjkfi7000204jsunevvuvv</x:v>
      </x:c>
      <x:c r="C273" s="1" t="str">
        <x:v>skeleton-args-ca2023004634-299a4a730fe1f43a</x:v>
      </x:c>
      <x:c r="D273" s="12" t="n">
        <x:v>46092.3514637037</x:v>
      </x:c>
      <x:c r="E273" s="1" t="str">
        <x:v>yes</x:v>
      </x:c>
      <x:c r="F273" s="14" t="str">
        <x:v>cmmls2r93000304jme0bpsul9</x:v>
      </x:c>
      <x:c r="G273" s="14" t="n">
        <x:v>12</x:v>
      </x:c>
      <x:c r="H273" s="14" t="str">
        <x:v>1b3f1357-0731-4894-9c17-a958eecd366a</x:v>
      </x:c>
      <x:c r="I273" s="14" t="str">
        <x:v>Magnic Ltd v Ul-Hassan &amp; Anor [2015] EWCA Civ 224</x:v>
      </x:c>
      <x:c r="J273" s="14" t="str">
        <x:v>England and Wales Court of Appeal (Civil Division)</x:v>
      </x:c>
      <x:c r="K273" s="14" t="n">
        <x:v>2015</x:v>
      </x:c>
      <x:c r="L273" s="15" t="n">
        <x:v>0.71463615</x:v>
      </x:c>
      <x:c r="M273" s="14" t="n">
        <x:v>4</x:v>
      </x:c>
      <x:c r="N273" s="14" t="str">
        <x:v>Starside Properties v Mustapha</x:v>
      </x:c>
    </x:row>
    <x:row r="274">
      <x:c r="A274" s="1" t="str">
        <x:v>cmmlryf16000304l5d3mrnfu5</x:v>
      </x:c>
      <x:c r="B274" s="1" t="str">
        <x:v>cmmdjkfi7000204jsunevvuvv</x:v>
      </x:c>
      <x:c r="C274" s="1" t="str">
        <x:v>skeleton-args-ca2023004634-299a4a730fe1f43a</x:v>
      </x:c>
      <x:c r="D274" s="12" t="n">
        <x:v>46092.3514637037</x:v>
      </x:c>
      <x:c r="E274" s="1" t="str">
        <x:v>yes</x:v>
      </x:c>
      <x:c r="F274" s="14" t="str">
        <x:v>cmmls2r93000304jme0bpsul9</x:v>
      </x:c>
      <x:c r="G274" s="14" t="n">
        <x:v>13</x:v>
      </x:c>
      <x:c r="H274" s="14" t="str">
        <x:v>f0cad471-e222-49db-b138-c99f671aff4f</x:v>
      </x:c>
      <x:c r="I274" s="14" t="str">
        <x:v>Cawsand Fort Management Company v Kane &amp; Ors [2015] EWCA Civ 1520</x:v>
      </x:c>
      <x:c r="J274" s="14" t="str">
        <x:v>England and Wales Court of Appeal (Civil Division)</x:v>
      </x:c>
      <x:c r="K274" s="14" t="n">
        <x:v>2015</x:v>
      </x:c>
      <x:c r="L274" s="15" t="n">
        <x:v>0.7142375</x:v>
      </x:c>
      <x:c r="M274" s="14" t="n">
        <x:v>2</x:v>
      </x:c>
      <x:c r="N274" s="14" t="str"/>
    </x:row>
    <x:row r="275">
      <x:c r="A275" s="1" t="str">
        <x:v>cmmlryf16000304l5d3mrnfu5</x:v>
      </x:c>
      <x:c r="B275" s="1" t="str">
        <x:v>cmmdjkfi7000204jsunevvuvv</x:v>
      </x:c>
      <x:c r="C275" s="1" t="str">
        <x:v>skeleton-args-ca2023004634-299a4a730fe1f43a</x:v>
      </x:c>
      <x:c r="D275" s="12" t="n">
        <x:v>46092.3514637037</x:v>
      </x:c>
      <x:c r="E275" s="1" t="str">
        <x:v>yes</x:v>
      </x:c>
      <x:c r="F275" s="14" t="str">
        <x:v>cmmls2r93000304jme0bpsul9</x:v>
      </x:c>
      <x:c r="G275" s="14" t="n">
        <x:v>14</x:v>
      </x:c>
      <x:c r="H275" s="14" t="str">
        <x:v>20883fdd-3d62-402d-b87e-d07099a0aace</x:v>
      </x:c>
      <x:c r="I275" s="14" t="str">
        <x:v>Morshead Mansions Ltd v Di Marco</x:v>
      </x:c>
      <x:c r="J275" s="14" t="str">
        <x:v>England and Wales Court of Appeal (Civil Division)</x:v>
      </x:c>
      <x:c r="K275" s="14" t="n">
        <x:v>2014</x:v>
      </x:c>
      <x:c r="L275" s="15" t="n">
        <x:v>0.71273726</x:v>
      </x:c>
      <x:c r="M275" s="14" t="n">
        <x:v>2</x:v>
      </x:c>
      <x:c r="N275" s="14" t="str"/>
    </x:row>
    <x:row r="276">
      <x:c r="A276" s="1" t="str">
        <x:v>cmmlryf16000304l5d3mrnfu5</x:v>
      </x:c>
      <x:c r="B276" s="1" t="str">
        <x:v>cmmdjkfi7000204jsunevvuvv</x:v>
      </x:c>
      <x:c r="C276" s="1" t="str">
        <x:v>skeleton-args-ca2023004634-299a4a730fe1f43a</x:v>
      </x:c>
      <x:c r="D276" s="12" t="n">
        <x:v>46092.3514637037</x:v>
      </x:c>
      <x:c r="E276" s="1" t="str">
        <x:v>yes</x:v>
      </x:c>
      <x:c r="F276" s="14" t="str">
        <x:v>cmmls2r93000304jme0bpsul9</x:v>
      </x:c>
      <x:c r="G276" s="14" t="n">
        <x:v>15</x:v>
      </x:c>
      <x:c r="H276" s="14" t="str">
        <x:v>d9167d92-3e2d-462b-b1dd-0c42056c65b9</x:v>
      </x:c>
      <x:c r="I276" s="14" t="str">
        <x:v>Chaplair Ltd v Kumari [2015] EWCA Civ 798</x:v>
      </x:c>
      <x:c r="J276" s="14" t="str">
        <x:v>England and Wales Court of Appeal (Civil Division)</x:v>
      </x:c>
      <x:c r="K276" s="14" t="n">
        <x:v>2015</x:v>
      </x:c>
      <x:c r="L276" s="15" t="n">
        <x:v>0.7053801</x:v>
      </x:c>
      <x:c r="M276" s="14" t="n">
        <x:v>1</x:v>
      </x:c>
      <x:c r="N276" s="14" t="str"/>
    </x:row>
    <x:row r="277">
      <x:c r="A277" s="1" t="str">
        <x:v>cmmlryf16000304l5d3mrnfu5</x:v>
      </x:c>
      <x:c r="B277" s="1" t="str">
        <x:v>cmmdjkfi7000204jsunevvuvv</x:v>
      </x:c>
      <x:c r="C277" s="1" t="str">
        <x:v>skeleton-args-ca2023004634-299a4a730fe1f43a</x:v>
      </x:c>
      <x:c r="D277" s="12" t="n">
        <x:v>46092.3514637037</x:v>
      </x:c>
      <x:c r="E277" s="1" t="str">
        <x:v>yes</x:v>
      </x:c>
      <x:c r="F277" s="14" t="str">
        <x:v>cmmls2r93000304jme0bpsul9</x:v>
      </x:c>
      <x:c r="G277" s="14" t="n">
        <x:v>16</x:v>
      </x:c>
      <x:c r="H277" s="14" t="str">
        <x:v>f12362ca-9214-46d6-8a2a-5ddadac29884</x:v>
      </x:c>
      <x:c r="I277" s="14" t="str">
        <x:v>Innerspaces Self Storage Ltd v Harding &amp; Ors [2014] EWCA Civ 46</x:v>
      </x:c>
      <x:c r="J277" s="14" t="str">
        <x:v>England and Wales Court of Appeal (Civil Division)</x:v>
      </x:c>
      <x:c r="K277" s="14" t="n">
        <x:v>2014</x:v>
      </x:c>
      <x:c r="L277" s="15" t="n">
        <x:v>0.7032418</x:v>
      </x:c>
      <x:c r="M277" s="14" t="n">
        <x:v>2</x:v>
      </x:c>
      <x:c r="N277" s="14" t="str"/>
    </x:row>
    <x:row r="278">
      <x:c r="A278" s="1" t="str">
        <x:v>cmmlryf16000304l5d3mrnfu5</x:v>
      </x:c>
      <x:c r="B278" s="1" t="str">
        <x:v>cmmdjkfi7000204jsunevvuvv</x:v>
      </x:c>
      <x:c r="C278" s="1" t="str">
        <x:v>skeleton-args-ca2023004634-299a4a730fe1f43a</x:v>
      </x:c>
      <x:c r="D278" s="12" t="n">
        <x:v>46092.3514637037</x:v>
      </x:c>
      <x:c r="E278" s="1" t="str">
        <x:v>yes</x:v>
      </x:c>
      <x:c r="F278" s="14" t="str">
        <x:v>cmmls2r93000304jme0bpsul9</x:v>
      </x:c>
      <x:c r="G278" s="14" t="n">
        <x:v>17</x:v>
      </x:c>
      <x:c r="H278" s="14" t="str">
        <x:v>18d1bbac-8bcd-4fbc-86a6-c88f150b10c4</x:v>
      </x:c>
      <x:c r="I278" s="14" t="str">
        <x:v>Lankester &amp; Son Ltd v Rennie [2014] EWCA Civ 1515</x:v>
      </x:c>
      <x:c r="J278" s="14" t="str">
        <x:v>England and Wales Court of Appeal (Civil Division)</x:v>
      </x:c>
      <x:c r="K278" s="14" t="n">
        <x:v>2014</x:v>
      </x:c>
      <x:c r="L278" s="15" t="n">
        <x:v>0.70212746</x:v>
      </x:c>
      <x:c r="M278" s="14" t="n">
        <x:v>1</x:v>
      </x:c>
      <x:c r="N278" s="14" t="str"/>
    </x:row>
    <x:row r="279">
      <x:c r="A279" s="1" t="str">
        <x:v>cmmlryf16000304l5d3mrnfu5</x:v>
      </x:c>
      <x:c r="B279" s="1" t="str">
        <x:v>cmmdjkfi7000204jsunevvuvv</x:v>
      </x:c>
      <x:c r="C279" s="1" t="str">
        <x:v>skeleton-args-ca2023004634-299a4a730fe1f43a</x:v>
      </x:c>
      <x:c r="D279" s="12" t="n">
        <x:v>46092.3514637037</x:v>
      </x:c>
      <x:c r="E279" s="1" t="str">
        <x:v>yes</x:v>
      </x:c>
      <x:c r="F279" s="14" t="str">
        <x:v>cmmls2r93000304jme0bpsul9</x:v>
      </x:c>
      <x:c r="G279" s="14" t="n">
        <x:v>18</x:v>
      </x:c>
      <x:c r="H279" s="14" t="str">
        <x:v>2702fe29-d7f0-4cc6-8c3f-b840406bb7a2</x:v>
      </x:c>
      <x:c r="I279" s="14" t="str">
        <x:v>Peel Land and Property (Ports No. 3) Ltd v TS Sheerness Ltd</x:v>
      </x:c>
      <x:c r="J279" s="14" t="str">
        <x:v>England and Wales Court of Appeal (Civil Division)</x:v>
      </x:c>
      <x:c r="K279" s="14" t="n">
        <x:v>2014</x:v>
      </x:c>
      <x:c r="L279" s="15" t="n">
        <x:v>0.7017131</x:v>
      </x:c>
      <x:c r="M279" s="14" t="n">
        <x:v>2</x:v>
      </x:c>
      <x:c r="N279" s="14" t="str"/>
    </x:row>
    <x:row r="280">
      <x:c r="A280" s="1" t="str">
        <x:v>cmmlryf16000304l5d3mrnfu5</x:v>
      </x:c>
      <x:c r="B280" s="1" t="str">
        <x:v>cmmdjkfi7000204jsunevvuvv</x:v>
      </x:c>
      <x:c r="C280" s="1" t="str">
        <x:v>skeleton-args-ca2023004634-299a4a730fe1f43a</x:v>
      </x:c>
      <x:c r="D280" s="12" t="n">
        <x:v>46092.3514637037</x:v>
      </x:c>
      <x:c r="E280" s="1" t="str">
        <x:v>yes</x:v>
      </x:c>
      <x:c r="F280" s="14" t="str">
        <x:v>cmmls2r93000304jme0bpsul9</x:v>
      </x:c>
      <x:c r="G280" s="14" t="n">
        <x:v>19</x:v>
      </x:c>
      <x:c r="H280" s="14" t="str">
        <x:v>98a141f0-f889-4521-86c4-1b8648867286</x:v>
      </x:c>
      <x:c r="I280" s="14" t="str">
        <x:v>Silver Fern Microlights Ltd v Jones &amp; Ors [2016] EWCA Civ 277</x:v>
      </x:c>
      <x:c r="J280" s="14" t="str">
        <x:v>England and Wales Court of Appeal (Civil Division)</x:v>
      </x:c>
      <x:c r="K280" s="14" t="n">
        <x:v>2016</x:v>
      </x:c>
      <x:c r="L280" s="15" t="n">
        <x:v>0.700525</x:v>
      </x:c>
      <x:c r="M280" s="14" t="n">
        <x:v>1</x:v>
      </x:c>
      <x:c r="N280" s="14" t="str"/>
    </x:row>
    <x:row r="281">
      <x:c r="A281" s="1" t="str">
        <x:v>cmmlryf16000304l5d3mrnfu5</x:v>
      </x:c>
      <x:c r="B281" s="1" t="str">
        <x:v>cmmdjkfi7000204jsunevvuvv</x:v>
      </x:c>
      <x:c r="C281" s="1" t="str">
        <x:v>skeleton-args-ca2023004634-299a4a730fe1f43a</x:v>
      </x:c>
      <x:c r="D281" s="12" t="n">
        <x:v>46092.3514637037</x:v>
      </x:c>
      <x:c r="E281" s="1" t="str">
        <x:v>yes</x:v>
      </x:c>
      <x:c r="F281" s="14" t="str">
        <x:v>cmmls2r93000304jme0bpsul9</x:v>
      </x:c>
      <x:c r="G281" s="14" t="n">
        <x:v>20</x:v>
      </x:c>
      <x:c r="H281" s="14" t="str">
        <x:v>38228566-f138-413e-98cf-b8c35fe9afaa</x:v>
      </x:c>
      <x:c r="I281" s="14" t="str">
        <x:v>Erimus Housing Ltd v Barclays Wealth Trustees (Jersey) Ltd &amp; Ors [2014] EWCA Civ 303</x:v>
      </x:c>
      <x:c r="J281" s="14" t="str">
        <x:v>England and Wales Court of Appeal (Civil Division)</x:v>
      </x:c>
      <x:c r="K281" s="14" t="n">
        <x:v>2014</x:v>
      </x:c>
      <x:c r="L281" s="15" t="n">
        <x:v>0.69997346</x:v>
      </x:c>
      <x:c r="M281" s="14" t="n">
        <x:v>2</x:v>
      </x:c>
      <x:c r="N281" s="14" t="str">
        <x:v>Cardiothoracic Institute v Shrewdcrest Ltd [1986] 1 WLR 368 | Landlord and Tenant Act 1954</x:v>
      </x:c>
    </x:row>
    <x:row r="282">
      <x:c r="A282" s="1" t="str">
        <x:v>cmmmucao8000b04l4jyq8av83</x:v>
      </x:c>
      <x:c r="B282" s="1" t="str">
        <x:v>cmmmua3z1000204l47czkacss</x:v>
      </x:c>
      <x:c r="C282" s="1" t="str">
        <x:v>skeleton-args-ca2021006069-a7200646d94c4a22</x:v>
      </x:c>
      <x:c r="D282" s="12" t="n">
        <x:v>46093.097679004626</x:v>
      </x:c>
      <x:c r="E282" s="1" t="str">
        <x:v>yes</x:v>
      </x:c>
      <x:c r="F282" s="14" t="str">
        <x:v>cmmmudwct000304kzc6d15a3r</x:v>
      </x:c>
      <x:c r="G282" s="14" t="n">
        <x:v>1</x:v>
      </x:c>
      <x:c r="H282" s="14" t="str">
        <x:v>3f8f64bf-8917-45f1-ac4e-d5c0890c76e6</x:v>
      </x:c>
      <x:c r="I282" s="14" t="str">
        <x:v>Dowling v Griffin [2014] EWCA Civ 1545</x:v>
      </x:c>
      <x:c r="J282" s="14" t="str">
        <x:v>England and Wales Court of Appeal (Civil Division)</x:v>
      </x:c>
      <x:c r="K282" s="14" t="n">
        <x:v>2014</x:v>
      </x:c>
      <x:c r="L282" s="15" t="n">
        <x:v>0.6984235</x:v>
      </x:c>
      <x:c r="M282" s="14" t="n">
        <x:v>1</x:v>
      </x:c>
      <x:c r="N282" s="14" t="str"/>
    </x:row>
    <x:row r="283">
      <x:c r="A283" s="1" t="str">
        <x:v>cmmmucao8000b04l4jyq8av83</x:v>
      </x:c>
      <x:c r="B283" s="1" t="str">
        <x:v>cmmmua3z1000204l47czkacss</x:v>
      </x:c>
      <x:c r="C283" s="1" t="str">
        <x:v>skeleton-args-ca2021006069-a7200646d94c4a22</x:v>
      </x:c>
      <x:c r="D283" s="12" t="n">
        <x:v>46093.097679004626</x:v>
      </x:c>
      <x:c r="E283" s="1" t="str">
        <x:v>yes</x:v>
      </x:c>
      <x:c r="F283" s="14" t="str">
        <x:v>cmmmudwct000304kzc6d15a3r</x:v>
      </x:c>
      <x:c r="G283" s="14" t="n">
        <x:v>2</x:v>
      </x:c>
      <x:c r="H283" s="14" t="str">
        <x:v>5bbb3770-46d1-41af-b347-aa54ea9834ba</x:v>
      </x:c>
      <x:c r="I283" s="14" t="str">
        <x:v>Wellesley Partners LLP v Withers LLP [2015] EWCA Civ 1146</x:v>
      </x:c>
      <x:c r="J283" s="14" t="str">
        <x:v>England and Wales Court of Appeal (Civil Division)</x:v>
      </x:c>
      <x:c r="K283" s="14" t="n">
        <x:v>2015</x:v>
      </x:c>
      <x:c r="L283" s="15" t="n">
        <x:v>0.69834554</x:v>
      </x:c>
      <x:c r="M283" s="14" t="n">
        <x:v>2</x:v>
      </x:c>
      <x:c r="N283" s="14" t="str"/>
    </x:row>
    <x:row r="284">
      <x:c r="A284" s="1" t="str">
        <x:v>cmmmucao8000b04l4jyq8av83</x:v>
      </x:c>
      <x:c r="B284" s="1" t="str">
        <x:v>cmmmua3z1000204l47czkacss</x:v>
      </x:c>
      <x:c r="C284" s="1" t="str">
        <x:v>skeleton-args-ca2021006069-a7200646d94c4a22</x:v>
      </x:c>
      <x:c r="D284" s="12" t="n">
        <x:v>46093.097679004626</x:v>
      </x:c>
      <x:c r="E284" s="1" t="str">
        <x:v>yes</x:v>
      </x:c>
      <x:c r="F284" s="14" t="str">
        <x:v>cmmmudwct000304kzc6d15a3r</x:v>
      </x:c>
      <x:c r="G284" s="14" t="n">
        <x:v>3</x:v>
      </x:c>
      <x:c r="H284" s="14" t="str">
        <x:v>6e8e988c-074c-4ab1-9e37-5c84673b441b</x:v>
      </x:c>
      <x:c r="I284" s="14" t="str">
        <x:v>Secretary of State for the Home Department v Cox &amp; Ors [2023] EWCA Civ 551 (19 May 2023)</x:v>
      </x:c>
      <x:c r="J284" s="14" t="str">
        <x:v>England and Wales Court of Appeal (Civil Division)</x:v>
      </x:c>
      <x:c r="K284" s="14" t="n">
        <x:v>2023</x:v>
      </x:c>
      <x:c r="L284" s="15" t="n">
        <x:v>0.6887593</x:v>
      </x:c>
      <x:c r="M284" s="14" t="n">
        <x:v>2</x:v>
      </x:c>
      <x:c r="N284" s="14" t="str">
        <x:v>Investors Compensation Scheme Ltd v West Bromwich Building Society | Arnold v Britton | Prenn v Reardon Smith Line Ltd | Reardon Smith Line Ltd v Hansen-Tangen | Bank of Credit and Commerce International SA v Ali | Wood v Capita Insurance Services Ltd | Pepper v Hart | Tyne and Wear PTE Ltd v NATU</x:v>
      </x:c>
    </x:row>
    <x:row r="285">
      <x:c r="A285" s="1" t="str">
        <x:v>cmmmucao8000b04l4jyq8av83</x:v>
      </x:c>
      <x:c r="B285" s="1" t="str">
        <x:v>cmmmua3z1000204l47czkacss</x:v>
      </x:c>
      <x:c r="C285" s="1" t="str">
        <x:v>skeleton-args-ca2021006069-a7200646d94c4a22</x:v>
      </x:c>
      <x:c r="D285" s="12" t="n">
        <x:v>46093.097679004626</x:v>
      </x:c>
      <x:c r="E285" s="1" t="str">
        <x:v>yes</x:v>
      </x:c>
      <x:c r="F285" s="14" t="str">
        <x:v>cmmmudwct000304kzc6d15a3r</x:v>
      </x:c>
      <x:c r="G285" s="14" t="n">
        <x:v>4</x:v>
      </x:c>
      <x:c r="H285" s="14" t="str">
        <x:v>2ce1a66b-e09c-49d6-ae7c-f04499838c1a</x:v>
      </x:c>
      <x:c r="I285" s="14" t="str">
        <x:v>Prior &amp; Ors v Commissioner of Police of the Metropolis (Rev1) [2023] EWCA Civ 32</x:v>
      </x:c>
      <x:c r="J285" s="14" t="str">
        <x:v>England and Wales Court of Appeal (Civil Division)</x:v>
      </x:c>
      <x:c r="K285" s="14" t="n">
        <x:v>2023</x:v>
      </x:c>
      <x:c r="L285" s="15" t="n">
        <x:v>0.68775755</x:v>
      </x:c>
      <x:c r="M285" s="14" t="n">
        <x:v>1</x:v>
      </x:c>
      <x:c r="N285" s="14" t="str">
        <x:v>[2021] EWHC 2672 (QB) | [2023] EWCA Civ 32</x:v>
      </x:c>
    </x:row>
    <x:row r="286">
      <x:c r="A286" s="1" t="str">
        <x:v>cmmmucao8000b04l4jyq8av83</x:v>
      </x:c>
      <x:c r="B286" s="1" t="str">
        <x:v>cmmmua3z1000204l47czkacss</x:v>
      </x:c>
      <x:c r="C286" s="1" t="str">
        <x:v>skeleton-args-ca2021006069-a7200646d94c4a22</x:v>
      </x:c>
      <x:c r="D286" s="12" t="n">
        <x:v>46093.097679004626</x:v>
      </x:c>
      <x:c r="E286" s="1" t="str">
        <x:v>yes</x:v>
      </x:c>
      <x:c r="F286" s="14" t="str">
        <x:v>cmmmudwct000304kzc6d15a3r</x:v>
      </x:c>
      <x:c r="G286" s="14" t="n">
        <x:v>5</x:v>
      </x:c>
      <x:c r="H286" s="14" t="str">
        <x:v>48712729-9a1b-4432-8f48-f5d5ad2ab7af</x:v>
      </x:c>
      <x:c r="I286" s="14" t="str">
        <x:v>Chinnock v Wasbrough &amp; Anor [2015] EWCA Civ 441</x:v>
      </x:c>
      <x:c r="J286" s="14" t="str">
        <x:v>England and Wales Court of Appeal (Civil Division)</x:v>
      </x:c>
      <x:c r="K286" s="14" t="n">
        <x:v>2015</x:v>
      </x:c>
      <x:c r="L286" s="15" t="n">
        <x:v>0.6868136</x:v>
      </x:c>
      <x:c r="M286" s="14" t="n">
        <x:v>1</x:v>
      </x:c>
      <x:c r="N286" s="14" t="str"/>
    </x:row>
    <x:row r="287">
      <x:c r="A287" s="1" t="str">
        <x:v>cmmmucao8000b04l4jyq8av83</x:v>
      </x:c>
      <x:c r="B287" s="1" t="str">
        <x:v>cmmmua3z1000204l47czkacss</x:v>
      </x:c>
      <x:c r="C287" s="1" t="str">
        <x:v>skeleton-args-ca2021006069-a7200646d94c4a22</x:v>
      </x:c>
      <x:c r="D287" s="12" t="n">
        <x:v>46093.097679004626</x:v>
      </x:c>
      <x:c r="E287" s="1" t="str">
        <x:v>yes</x:v>
      </x:c>
      <x:c r="F287" s="14" t="str">
        <x:v>cmmmudwct000304kzc6d15a3r</x:v>
      </x:c>
      <x:c r="G287" s="14" t="n">
        <x:v>6</x:v>
      </x:c>
      <x:c r="H287" s="14" t="str">
        <x:v>49bf433c-b49b-4091-a568-3110855d22c7</x:v>
      </x:c>
      <x:c r="I287" s="14" t="str">
        <x:v>Taberna Europe CDO II Plc v Selskabet AF 1.September 2008 in Bankruptcy</x:v>
      </x:c>
      <x:c r="J287" s="14" t="str">
        <x:v>England and Wales Court of Appeal (Civil Division)</x:v>
      </x:c>
      <x:c r="K287" s="14" t="n">
        <x:v>2016</x:v>
      </x:c>
      <x:c r="L287" s="15" t="n">
        <x:v>0.6864861</x:v>
      </x:c>
      <x:c r="M287" s="14" t="n">
        <x:v>2</x:v>
      </x:c>
      <x:c r="N287" s="14" t="str">
        <x:v>Peek v Gurney | Caparo Industries v Dickman | Canada Steamship Lines | HIH Casualty and General Insurance | IFE Fund v Goldman Sachs | Royscot Trust Ltd v Rogerson | Gran Gelato Ltd v Richcliff (Group) Ltd | William Sindall Plc v Cambridgeshire County Council | Caparo v Dickman | Royscot v Rogerson | Nobahar-Cookson v The Hut Group</x:v>
      </x:c>
    </x:row>
    <x:row r="288">
      <x:c r="A288" s="1" t="str">
        <x:v>cmmmucao8000b04l4jyq8av83</x:v>
      </x:c>
      <x:c r="B288" s="1" t="str">
        <x:v>cmmmua3z1000204l47czkacss</x:v>
      </x:c>
      <x:c r="C288" s="1" t="str">
        <x:v>skeleton-args-ca2021006069-a7200646d94c4a22</x:v>
      </x:c>
      <x:c r="D288" s="12" t="n">
        <x:v>46093.097679004626</x:v>
      </x:c>
      <x:c r="E288" s="1" t="str">
        <x:v>yes</x:v>
      </x:c>
      <x:c r="F288" s="14" t="str">
        <x:v>cmmmudwct000304kzc6d15a3r</x:v>
      </x:c>
      <x:c r="G288" s="14" t="n">
        <x:v>7</x:v>
      </x:c>
      <x:c r="H288" s="14" t="str">
        <x:v>880e79e1-325f-4cf1-a0c9-bdac6d491cba</x:v>
      </x:c>
      <x:c r="I288" s="14" t="str">
        <x:v>Barrow (by his litigation friend and grandfather) &amp; Ors v Merrett &amp; Anor [2022] EWCA Civ 1241</x:v>
      </x:c>
      <x:c r="J288" s="14" t="str">
        <x:v>England and Wales Court of Appeal (Civil Division)</x:v>
      </x:c>
      <x:c r="K288" s="14" t="n">
        <x:v>2022</x:v>
      </x:c>
      <x:c r="L288" s="15" t="n">
        <x:v>0.6836097</x:v>
      </x:c>
      <x:c r="M288" s="14" t="n">
        <x:v>1</x:v>
      </x:c>
      <x:c r="N288" s="14" t="str">
        <x:v>[2021] EWHC 792 (QB)</x:v>
      </x:c>
    </x:row>
    <x:row r="289">
      <x:c r="A289" s="1" t="str">
        <x:v>cmmmucao8000b04l4jyq8av83</x:v>
      </x:c>
      <x:c r="B289" s="1" t="str">
        <x:v>cmmmua3z1000204l47czkacss</x:v>
      </x:c>
      <x:c r="C289" s="1" t="str">
        <x:v>skeleton-args-ca2021006069-a7200646d94c4a22</x:v>
      </x:c>
      <x:c r="D289" s="12" t="n">
        <x:v>46093.097679004626</x:v>
      </x:c>
      <x:c r="E289" s="1" t="str">
        <x:v>yes</x:v>
      </x:c>
      <x:c r="F289" s="14" t="str">
        <x:v>cmmmudwct000304kzc6d15a3r</x:v>
      </x:c>
      <x:c r="G289" s="14" t="n">
        <x:v>8</x:v>
      </x:c>
      <x:c r="H289" s="14" t="str">
        <x:v>2307073e-42c1-42be-b23e-f72c4d070bf6</x:v>
      </x:c>
      <x:c r="I289" s="14" t="str">
        <x:v>SO (on the application of) v Thanet District Council [2023] EWCA Civ 398</x:v>
      </x:c>
      <x:c r="J289" s="14" t="str">
        <x:v>England and Wales Court of Appeal (Civil Division)</x:v>
      </x:c>
      <x:c r="K289" s="14" t="n">
        <x:v>2023</x:v>
      </x:c>
      <x:c r="L289" s="15" t="n">
        <x:v>0.6821159</x:v>
      </x:c>
      <x:c r="M289" s="14" t="n">
        <x:v>1</x:v>
      </x:c>
      <x:c r="N289" s="14" t="str">
        <x:v>[2023] EWCA Civ 398</x:v>
      </x:c>
    </x:row>
    <x:row r="290">
      <x:c r="A290" s="1" t="str">
        <x:v>cmmmucao8000b04l4jyq8av83</x:v>
      </x:c>
      <x:c r="B290" s="1" t="str">
        <x:v>cmmmua3z1000204l47czkacss</x:v>
      </x:c>
      <x:c r="C290" s="1" t="str">
        <x:v>skeleton-args-ca2021006069-a7200646d94c4a22</x:v>
      </x:c>
      <x:c r="D290" s="12" t="n">
        <x:v>46093.097679004626</x:v>
      </x:c>
      <x:c r="E290" s="1" t="str">
        <x:v>yes</x:v>
      </x:c>
      <x:c r="F290" s="14" t="str">
        <x:v>cmmmudwct000304kzc6d15a3r</x:v>
      </x:c>
      <x:c r="G290" s="14" t="n">
        <x:v>9</x:v>
      </x:c>
      <x:c r="H290" s="14" t="str">
        <x:v>0e8b6187-21fe-40cb-933a-7a6c8e0ba3f5</x:v>
      </x:c>
      <x:c r="I290" s="14" t="str">
        <x:v>Barclay-Watt &amp; Ors v Alpha Panareti Public Ltd &amp; Anor [2022] EWCA Civ 1169</x:v>
      </x:c>
      <x:c r="J290" s="14" t="str">
        <x:v>England and Wales Court of Appeal (Civil Division)</x:v>
      </x:c>
      <x:c r="K290" s="14" t="n">
        <x:v>2022</x:v>
      </x:c>
      <x:c r="L290" s="15" t="n">
        <x:v>0.6813621</x:v>
      </x:c>
      <x:c r="M290" s="14" t="n">
        <x:v>2</x:v>
      </x:c>
      <x:c r="N290" s="14" t="str">
        <x:v>Fish &amp; Fish v Sea Shepherd UK | Salomon v A. Salomon &amp; Co Ltd | Ottercroft Ltd v Scandia Care Ltd</x:v>
      </x:c>
    </x:row>
    <x:row r="291">
      <x:c r="A291" s="1" t="str">
        <x:v>cmmmucao8000b04l4jyq8av83</x:v>
      </x:c>
      <x:c r="B291" s="1" t="str">
        <x:v>cmmmua3z1000204l47czkacss</x:v>
      </x:c>
      <x:c r="C291" s="1" t="str">
        <x:v>skeleton-args-ca2021006069-a7200646d94c4a22</x:v>
      </x:c>
      <x:c r="D291" s="12" t="n">
        <x:v>46093.097679004626</x:v>
      </x:c>
      <x:c r="E291" s="1" t="str">
        <x:v>yes</x:v>
      </x:c>
      <x:c r="F291" s="14" t="str">
        <x:v>cmmmudwct000304kzc6d15a3r</x:v>
      </x:c>
      <x:c r="G291" s="14" t="n">
        <x:v>10</x:v>
      </x:c>
      <x:c r="H291" s="14" t="str">
        <x:v>a6f305d2-30a6-4ce7-bbac-74587fe8b251</x:v>
      </x:c>
      <x:c r="I291" s="14" t="str">
        <x:v>Park v Hadi &amp; Anor [2022] EWCA Civ 581</x:v>
      </x:c>
      <x:c r="J291" s="14" t="str">
        <x:v>England and Wales Court of Appeal (Civil Division)</x:v>
      </x:c>
      <x:c r="K291" s="14" t="n">
        <x:v>2022</x:v>
      </x:c>
      <x:c r="L291" s="15" t="n">
        <x:v>0.6795526</x:v>
      </x:c>
      <x:c r="M291" s="14" t="n">
        <x:v>1</x:v>
      </x:c>
      <x:c r="N291" s="14" t="str">
        <x:v>Keen Phillips v Field | Denton v TH White Ltd</x:v>
      </x:c>
    </x:row>
    <x:row r="292">
      <x:c r="A292" s="1" t="str">
        <x:v>cmmmucao8000b04l4jyq8av83</x:v>
      </x:c>
      <x:c r="B292" s="1" t="str">
        <x:v>cmmmua3z1000204l47czkacss</x:v>
      </x:c>
      <x:c r="C292" s="1" t="str">
        <x:v>skeleton-args-ca2021006069-a7200646d94c4a22</x:v>
      </x:c>
      <x:c r="D292" s="12" t="n">
        <x:v>46093.097679004626</x:v>
      </x:c>
      <x:c r="E292" s="1" t="str">
        <x:v>yes</x:v>
      </x:c>
      <x:c r="F292" s="14" t="str">
        <x:v>cmmmudwct000304kzc6d15a3r</x:v>
      </x:c>
      <x:c r="G292" s="14" t="n">
        <x:v>11</x:v>
      </x:c>
      <x:c r="H292" s="14" t="str">
        <x:v>00167e1d-845c-4a1d-b17c-1c91c10b2c37</x:v>
      </x:c>
      <x:c r="I292" s="14" t="str">
        <x:v>Bank of New York Mellon (International) Limited v Cine-UK Limited [2022] EWCA Civ 1021</x:v>
      </x:c>
      <x:c r="J292" s="14" t="str">
        <x:v>England and Wales Court of Appeal (Civil Division)</x:v>
      </x:c>
      <x:c r="K292" s="14" t="n">
        <x:v>2022</x:v>
      </x:c>
      <x:c r="L292" s="15" t="n">
        <x:v>0.67894566</x:v>
      </x:c>
      <x:c r="M292" s="14" t="n">
        <x:v>1</x:v>
      </x:c>
      <x:c r="N292" s="14" t="str"/>
    </x:row>
    <x:row r="293">
      <x:c r="A293" s="1" t="str">
        <x:v>cmmmucao8000b04l4jyq8av83</x:v>
      </x:c>
      <x:c r="B293" s="1" t="str">
        <x:v>cmmmua3z1000204l47czkacss</x:v>
      </x:c>
      <x:c r="C293" s="1" t="str">
        <x:v>skeleton-args-ca2021006069-a7200646d94c4a22</x:v>
      </x:c>
      <x:c r="D293" s="12" t="n">
        <x:v>46093.097679004626</x:v>
      </x:c>
      <x:c r="E293" s="1" t="str">
        <x:v>yes</x:v>
      </x:c>
      <x:c r="F293" s="14" t="str">
        <x:v>cmmmudwct000304kzc6d15a3r</x:v>
      </x:c>
      <x:c r="G293" s="14" t="n">
        <x:v>12</x:v>
      </x:c>
      <x:c r="H293" s="14" t="str">
        <x:v>1c01aa97-1ef0-4909-a107-c6318dd6e2e3</x:v>
      </x:c>
      <x:c r="I293" s="14" t="str">
        <x:v>Zanatta v Metroline Travel Limited [2023] EWCA Civ 224 (Court of Appeal, Civil Division)</x:v>
      </x:c>
      <x:c r="J293" s="14" t="str">
        <x:v>England and Wales Court of Appeal (Civil Division)</x:v>
      </x:c>
      <x:c r="K293" s="14" t="n">
        <x:v>2023</x:v>
      </x:c>
      <x:c r="L293" s="15" t="n">
        <x:v>0.6782798</x:v>
      </x:c>
      <x:c r="M293" s="14" t="n">
        <x:v>1</x:v>
      </x:c>
      <x:c r="N293" s="14" t="str"/>
    </x:row>
    <x:row r="294">
      <x:c r="A294" s="1" t="str">
        <x:v>cmmmucao8000b04l4jyq8av83</x:v>
      </x:c>
      <x:c r="B294" s="1" t="str">
        <x:v>cmmmua3z1000204l47czkacss</x:v>
      </x:c>
      <x:c r="C294" s="1" t="str">
        <x:v>skeleton-args-ca2021006069-a7200646d94c4a22</x:v>
      </x:c>
      <x:c r="D294" s="12" t="n">
        <x:v>46093.097679004626</x:v>
      </x:c>
      <x:c r="E294" s="1" t="str">
        <x:v>yes</x:v>
      </x:c>
      <x:c r="F294" s="14" t="str">
        <x:v>cmmmudwct000304kzc6d15a3r</x:v>
      </x:c>
      <x:c r="G294" s="14" t="n">
        <x:v>13</x:v>
      </x:c>
      <x:c r="H294" s="14" t="str">
        <x:v>481bab6a-1b92-467d-9838-15c341ee5a8c</x:v>
      </x:c>
      <x:c r="I294" s="14" t="str">
        <x:v>Zymurgorium Ltd v Hammonds of Knutsford Plc [2023] EWCA Civ 52</x:v>
      </x:c>
      <x:c r="J294" s="14" t="str">
        <x:v>England and Wales Court of Appeal (Civil Division)</x:v>
      </x:c>
      <x:c r="K294" s="14" t="n">
        <x:v>2023</x:v>
      </x:c>
      <x:c r="L294" s="15" t="n">
        <x:v>0.67737937</x:v>
      </x:c>
      <x:c r="M294" s="14" t="n">
        <x:v>1</x:v>
      </x:c>
      <x:c r="N294" s="14" t="str"/>
    </x:row>
    <x:row r="295">
      <x:c r="A295" s="1" t="str">
        <x:v>cmmmucao8000b04l4jyq8av83</x:v>
      </x:c>
      <x:c r="B295" s="1" t="str">
        <x:v>cmmmua3z1000204l47czkacss</x:v>
      </x:c>
      <x:c r="C295" s="1" t="str">
        <x:v>skeleton-args-ca2021006069-a7200646d94c4a22</x:v>
      </x:c>
      <x:c r="D295" s="12" t="n">
        <x:v>46093.097679004626</x:v>
      </x:c>
      <x:c r="E295" s="1" t="str">
        <x:v>yes</x:v>
      </x:c>
      <x:c r="F295" s="14" t="str">
        <x:v>cmmmudwct000304kzc6d15a3r</x:v>
      </x:c>
      <x:c r="G295" s="14" t="n">
        <x:v>14</x:v>
      </x:c>
      <x:c r="H295" s="14" t="str">
        <x:v>0fbfa459-0157-4476-8dbd-9d22ddafcebe</x:v>
      </x:c>
      <x:c r="I295" s="14" t="str">
        <x:v>Ellis v HM Solicitor General [2023] EWCA Civ 585</x:v>
      </x:c>
      <x:c r="J295" s="14" t="str">
        <x:v>England and Wales Court of Appeal (Civil Division)</x:v>
      </x:c>
      <x:c r="K295" s="14" t="n">
        <x:v>2023</x:v>
      </x:c>
      <x:c r="L295" s="15" t="n">
        <x:v>0.6770333</x:v>
      </x:c>
      <x:c r="M295" s="14" t="n">
        <x:v>1</x:v>
      </x:c>
      <x:c r="N295" s="14" t="str">
        <x:v>HM Solicitor General v Ellis [2022] EWHC 3164 KB | Spivac v Ministry of Justice</x:v>
      </x:c>
    </x:row>
    <x:row r="296">
      <x:c r="A296" s="1" t="str">
        <x:v>cmmmucao8000b04l4jyq8av83</x:v>
      </x:c>
      <x:c r="B296" s="1" t="str">
        <x:v>cmmmua3z1000204l47czkacss</x:v>
      </x:c>
      <x:c r="C296" s="1" t="str">
        <x:v>skeleton-args-ca2021006069-a7200646d94c4a22</x:v>
      </x:c>
      <x:c r="D296" s="12" t="n">
        <x:v>46093.097679004626</x:v>
      </x:c>
      <x:c r="E296" s="1" t="str">
        <x:v>yes</x:v>
      </x:c>
      <x:c r="F296" s="14" t="str">
        <x:v>cmmmudwct000304kzc6d15a3r</x:v>
      </x:c>
      <x:c r="G296" s="14" t="n">
        <x:v>15</x:v>
      </x:c>
      <x:c r="H296" s="14" t="str">
        <x:v>ed5e814e-0ed9-4e63-9834-59d2f14c0726</x:v>
      </x:c>
      <x:c r="I296" s="14" t="str">
        <x:v>LA Micro Group (UK) Ltd &amp; Anor v LA Micro Group, Inc &amp; Ors [2023] EWCA Civ 214 (28 February 2023)</x:v>
      </x:c>
      <x:c r="J296" s="14" t="str">
        <x:v>England and Wales Court of Appeal (Civil Division)</x:v>
      </x:c>
      <x:c r="K296" s="14" t="n">
        <x:v>2023</x:v>
      </x:c>
      <x:c r="L296" s="15" t="n">
        <x:v>0.6769605</x:v>
      </x:c>
      <x:c r="M296" s="14" t="n">
        <x:v>1</x:v>
      </x:c>
      <x:c r="N296" s="14" t="str">
        <x:v>[2017] EWCA Civ 1429 | [2021] EWCA Civ 1429</x:v>
      </x:c>
    </x:row>
    <x:row r="297">
      <x:c r="A297" s="1" t="str">
        <x:v>cmmmucao8000b04l4jyq8av83</x:v>
      </x:c>
      <x:c r="B297" s="1" t="str">
        <x:v>cmmmua3z1000204l47czkacss</x:v>
      </x:c>
      <x:c r="C297" s="1" t="str">
        <x:v>skeleton-args-ca2021006069-a7200646d94c4a22</x:v>
      </x:c>
      <x:c r="D297" s="12" t="n">
        <x:v>46093.097679004626</x:v>
      </x:c>
      <x:c r="E297" s="1" t="str">
        <x:v>yes</x:v>
      </x:c>
      <x:c r="F297" s="14" t="str">
        <x:v>cmmmudwct000304kzc6d15a3r</x:v>
      </x:c>
      <x:c r="G297" s="14" t="n">
        <x:v>16</x:v>
      </x:c>
      <x:c r="H297" s="14" t="str">
        <x:v>52adf3bc-8b19-4f24-9782-4fb618e86779</x:v>
      </x:c>
      <x:c r="I297" s="14" t="str">
        <x:v>Candey Ltd v Bosheh &amp; Anor [2022] EWCA Civ 1103 (01 August 2022)</x:v>
      </x:c>
      <x:c r="J297" s="14" t="str">
        <x:v>England and Wales Court of Appeal (Civil Division)</x:v>
      </x:c>
      <x:c r="K297" s="14" t="n">
        <x:v>2022</x:v>
      </x:c>
      <x:c r="L297" s="15" t="n">
        <x:v>0.67676866</x:v>
      </x:c>
      <x:c r="M297" s="14" t="n">
        <x:v>1</x:v>
      </x:c>
      <x:c r="N297" s="14" t="str">
        <x:v>Imerman v Tchenquiz | Mustard v Flowers</x:v>
      </x:c>
    </x:row>
    <x:row r="298">
      <x:c r="A298" s="1" t="str">
        <x:v>cmmmucao8000b04l4jyq8av83</x:v>
      </x:c>
      <x:c r="B298" s="1" t="str">
        <x:v>cmmmua3z1000204l47czkacss</x:v>
      </x:c>
      <x:c r="C298" s="1" t="str">
        <x:v>skeleton-args-ca2021006069-a7200646d94c4a22</x:v>
      </x:c>
      <x:c r="D298" s="12" t="n">
        <x:v>46093.097679004626</x:v>
      </x:c>
      <x:c r="E298" s="1" t="str">
        <x:v>yes</x:v>
      </x:c>
      <x:c r="F298" s="14" t="str">
        <x:v>cmmmudwct000304kzc6d15a3r</x:v>
      </x:c>
      <x:c r="G298" s="14" t="n">
        <x:v>17</x:v>
      </x:c>
      <x:c r="H298" s="14" t="str">
        <x:v>948fc767-31a4-4c63-b735-df551b7244eb</x:v>
      </x:c>
      <x:c r="I298" s="14" t="str">
        <x:v>Al-Rawas &amp; Anor v Hassan Khan &amp; Co &amp; Anor [2022] EWCA Civ 671 (17 May 2022)</x:v>
      </x:c>
      <x:c r="J298" s="14" t="str">
        <x:v>England and Wales Court of Appeal (Civil Division)</x:v>
      </x:c>
      <x:c r="K298" s="14" t="n">
        <x:v>2022</x:v>
      </x:c>
      <x:c r="L298" s="15" t="n">
        <x:v>0.67650855</x:v>
      </x:c>
      <x:c r="M298" s="14" t="n">
        <x:v>1</x:v>
      </x:c>
      <x:c r="N298" s="14" t="str">
        <x:v>[2022] EWCA Civ 671</x:v>
      </x:c>
    </x:row>
    <x:row r="299">
      <x:c r="A299" s="1" t="str">
        <x:v>cmmmucao8000b04l4jyq8av83</x:v>
      </x:c>
      <x:c r="B299" s="1" t="str">
        <x:v>cmmmua3z1000204l47czkacss</x:v>
      </x:c>
      <x:c r="C299" s="1" t="str">
        <x:v>skeleton-args-ca2021006069-a7200646d94c4a22</x:v>
      </x:c>
      <x:c r="D299" s="12" t="n">
        <x:v>46093.097679004626</x:v>
      </x:c>
      <x:c r="E299" s="1" t="str">
        <x:v>yes</x:v>
      </x:c>
      <x:c r="F299" s="14" t="str">
        <x:v>cmmmudwct000304kzc6d15a3r</x:v>
      </x:c>
      <x:c r="G299" s="14" t="n">
        <x:v>18</x:v>
      </x:c>
      <x:c r="H299" s="14" t="str">
        <x:v>7d4b37f2-bfb0-4f96-a5c0-d63cd27e8dc3</x:v>
      </x:c>
      <x:c r="I299" s="14" t="str">
        <x:v>Davies v Ford &amp; Ors [2023] EWCA Civ 167</x:v>
      </x:c>
      <x:c r="J299" s="14" t="str">
        <x:v>England and Wales Court of Appeal (Civil Division)</x:v>
      </x:c>
      <x:c r="K299" s="14" t="n">
        <x:v>2023</x:v>
      </x:c>
      <x:c r="L299" s="15" t="n">
        <x:v>0.6757594</x:v>
      </x:c>
      <x:c r="M299" s="14" t="n">
        <x:v>1</x:v>
      </x:c>
      <x:c r="N299" s="14" t="str">
        <x:v>[2020] EWHC 686 (Ch) | [2021] EWHC 2550 (Ch) | [2023] EWCA Civ 167</x:v>
      </x:c>
    </x:row>
    <x:row r="300">
      <x:c r="A300" s="1" t="str">
        <x:v>cmmmucao8000b04l4jyq8av83</x:v>
      </x:c>
      <x:c r="B300" s="1" t="str">
        <x:v>cmmmua3z1000204l47czkacss</x:v>
      </x:c>
      <x:c r="C300" s="1" t="str">
        <x:v>skeleton-args-ca2021006069-a7200646d94c4a22</x:v>
      </x:c>
      <x:c r="D300" s="12" t="n">
        <x:v>46093.097679004626</x:v>
      </x:c>
      <x:c r="E300" s="1" t="str">
        <x:v>yes</x:v>
      </x:c>
      <x:c r="F300" s="14" t="str">
        <x:v>cmmmudwct000304kzc6d15a3r</x:v>
      </x:c>
      <x:c r="G300" s="14" t="n">
        <x:v>19</x:v>
      </x:c>
      <x:c r="H300" s="14" t="str">
        <x:v>2e37836d-c57c-4eb6-942a-5a1a3a46714f</x:v>
      </x:c>
      <x:c r="I300" s="14" t="str">
        <x:v>Benyatov v Credit Suisse (Securities) Europe Ltd [2023] EWCA Civ 140</x:v>
      </x:c>
      <x:c r="J300" s="14" t="str">
        <x:v>England and Wales Court of Appeal (Civil Division)</x:v>
      </x:c>
      <x:c r="K300" s="14" t="n">
        <x:v>2023</x:v>
      </x:c>
      <x:c r="L300" s="15" t="n">
        <x:v>0.6754617</x:v>
      </x:c>
      <x:c r="M300" s="14" t="n">
        <x:v>4</x:v>
      </x:c>
      <x:c r="N300" s="14" t="str">
        <x:v>Hatton v Chafes | Khan v Falvey | Robinson v Chief Constable of West Yorkshire Police | Barclays Bank | Hedley Byrne | Caparo | NRAM v Steel | Barclays Bank plc | Hedley Byrne &amp; Co Ltd v Heller &amp; Partners Ltd | NRAM Ltd v Steel | Playboy Club London Ltd v Banca Nazionale del Lavoro SpA | JP SPC 4 v Royal Bank of Scotland International Ltd | James-Bowen v Commissioner of Police for the Metropolis | Henderson v Merrett Syndicates Ltd | Caparo Industries plc v Dickman | Commissioners of Customs &amp; Excise v Barclays Bank plc | Nykredit Mortgage Bank plc v Edward Erdman Group Ltd (No. 2)</x:v>
      </x:c>
    </x:row>
    <x:row r="301">
      <x:c r="A301" s="1" t="str">
        <x:v>cmmmucao8000b04l4jyq8av83</x:v>
      </x:c>
      <x:c r="B301" s="1" t="str">
        <x:v>cmmmua3z1000204l47czkacss</x:v>
      </x:c>
      <x:c r="C301" s="1" t="str">
        <x:v>skeleton-args-ca2021006069-a7200646d94c4a22</x:v>
      </x:c>
      <x:c r="D301" s="12" t="n">
        <x:v>46093.097679004626</x:v>
      </x:c>
      <x:c r="E301" s="1" t="str">
        <x:v>yes</x:v>
      </x:c>
      <x:c r="F301" s="14" t="str">
        <x:v>cmmmudwct000304kzc6d15a3r</x:v>
      </x:c>
      <x:c r="G301" s="14" t="n">
        <x:v>20</x:v>
      </x:c>
      <x:c r="H301" s="14" t="str">
        <x:v>c4489a38-5c6b-4cd9-8dae-41da5c960718</x:v>
      </x:c>
      <x:c r="I301" s="14" t="str">
        <x:v>Dooley &amp; Ors v Castle Trust &amp; Management Services Ltd [2022] EWCA Civ 1569</x:v>
      </x:c>
      <x:c r="J301" s="14" t="str">
        <x:v>England and Wales Court of Appeal (Civil Division)</x:v>
      </x:c>
      <x:c r="K301" s="14" t="n">
        <x:v>2022</x:v>
      </x:c>
      <x:c r="L301" s="15" t="n">
        <x:v>0.6753732</x:v>
      </x:c>
      <x:c r="M301" s="14" t="n">
        <x:v>1</x:v>
      </x:c>
      <x:c r="N301" s="14" t="str"/>
    </x:row>
    <x:row r="302">
      <x:c r="A302" s="1" t="str">
        <x:v>cmmovz0xc000b04k1q9fruuwi</x:v>
      </x:c>
      <x:c r="B302" s="1" t="str">
        <x:v>cmmc45761000204jx6bd5kxqk</x:v>
      </x:c>
      <x:c r="C302" s="1" t="str">
        <x:v>ca-2024-000255-ellis-v-ssj-appellant-skeleton</x:v>
      </x:c>
      <x:c r="D302" s="12" t="n">
        <x:v>46094.529072777776</x:v>
      </x:c>
      <x:c r="E302" s="1" t="str">
        <x:v>no</x:v>
      </x:c>
      <x:c r="F302" s="14" t="str"/>
      <x:c r="G302" s="14" t="n">
        <x:v>1</x:v>
      </x:c>
      <x:c r="H302" s="14" t="str">
        <x:v>dfa97e6e-7e32-4c80-9f6f-5e4f398f9d82</x:v>
      </x:c>
      <x:c r="I302" s="14" t="str">
        <x:v>Velyo Velev v. Bulgaria (Application No. 16032/07)</x:v>
      </x:c>
      <x:c r="J302" s="14" t="str">
        <x:v>European Court of Human Rights (Fourth Section)</x:v>
      </x:c>
      <x:c r="K302" s="14" t="n">
        <x:v>2014</x:v>
      </x:c>
      <x:c r="L302" s="15" t="n">
        <x:v>0.7655998</x:v>
      </x:c>
      <x:c r="M302" s="14" t="n">
        <x:v>6</x:v>
      </x:c>
      <x:c r="N302" s="14" t="str">
        <x:v>Debates on education rights in the European Context. | European Convention on Human Rights | Committee of Ministers Recommendations | Previous judgments affecting educational rights.</x:v>
      </x:c>
    </x:row>
    <x:row r="303">
      <x:c r="A303" s="1" t="str">
        <x:v>cmmovz0xc000b04k1q9fruuwi</x:v>
      </x:c>
      <x:c r="B303" s="1" t="str">
        <x:v>cmmc45761000204jx6bd5kxqk</x:v>
      </x:c>
      <x:c r="C303" s="1" t="str">
        <x:v>ca-2024-000255-ellis-v-ssj-appellant-skeleton</x:v>
      </x:c>
      <x:c r="D303" s="12" t="n">
        <x:v>46094.529072777776</x:v>
      </x:c>
      <x:c r="E303" s="1" t="str">
        <x:v>no</x:v>
      </x:c>
      <x:c r="F303" s="14" t="str"/>
      <x:c r="G303" s="14" t="n">
        <x:v>2</x:v>
      </x:c>
      <x:c r="H303" s="14" t="str">
        <x:v>d60a5323-796e-4110-a6de-012ec16860c1</x:v>
      </x:c>
      <x:c r="I303" s="14" t="str">
        <x:v>The Howard League for Penal Reform and Prisoners' Advice Service v The Lord Chancellor</x:v>
      </x:c>
      <x:c r="J303" s="14" t="str">
        <x:v>England and Wales Court of Appeal (Civil Division)</x:v>
      </x:c>
      <x:c r="K303" s="14" t="n">
        <x:v>2015</x:v>
      </x:c>
      <x:c r="L303" s="15" t="n">
        <x:v>0.71320486</x:v>
      </x:c>
      <x:c r="M303" s="14" t="n">
        <x:v>3</x:v>
      </x:c>
      <x:c r="N303" s="14" t="str">
        <x:v>R (Refugee Legal Centre) Secretary of State for the Home Department</x:v>
      </x:c>
    </x:row>
    <x:row r="304">
      <x:c r="A304" s="1" t="str">
        <x:v>cmmovz0xc000b04k1q9fruuwi</x:v>
      </x:c>
      <x:c r="B304" s="1" t="str">
        <x:v>cmmc45761000204jx6bd5kxqk</x:v>
      </x:c>
      <x:c r="C304" s="1" t="str">
        <x:v>ca-2024-000255-ellis-v-ssj-appellant-skeleton</x:v>
      </x:c>
      <x:c r="D304" s="12" t="n">
        <x:v>46094.529072777776</x:v>
      </x:c>
      <x:c r="E304" s="1" t="str">
        <x:v>no</x:v>
      </x:c>
      <x:c r="F304" s="14" t="str"/>
      <x:c r="G304" s="14" t="n">
        <x:v>3</x:v>
      </x:c>
      <x:c r="H304" s="14" t="str">
        <x:v>6704e94e-e6b0-4dfe-b4c9-c5d695bdc6aa</x:v>
      </x:c>
      <x:c r="I304" s="14" t="str">
        <x:v>Pearce, R (On the Application Of) v Parole Board of England and Wales &amp; Anor [2022] EWCA Civ 4</x:v>
      </x:c>
      <x:c r="J304" s="14" t="str">
        <x:v>England and Wales Court of Appeal (Civil Division)</x:v>
      </x:c>
      <x:c r="K304" s="14" t="n">
        <x:v>2022</x:v>
      </x:c>
      <x:c r="L304" s="15" t="n">
        <x:v>0.7031778</x:v>
      </x:c>
      <x:c r="M304" s="14" t="n">
        <x:v>1</x:v>
      </x:c>
      <x:c r="N304" s="14" t="str">
        <x:v>[2020] EWHC 3437 (Admin)</x:v>
      </x:c>
    </x:row>
    <x:row r="305">
      <x:c r="A305" s="1" t="str">
        <x:v>cmmovz0xc000b04k1q9fruuwi</x:v>
      </x:c>
      <x:c r="B305" s="1" t="str">
        <x:v>cmmc45761000204jx6bd5kxqk</x:v>
      </x:c>
      <x:c r="C305" s="1" t="str">
        <x:v>ca-2024-000255-ellis-v-ssj-appellant-skeleton</x:v>
      </x:c>
      <x:c r="D305" s="12" t="n">
        <x:v>46094.529072777776</x:v>
      </x:c>
      <x:c r="E305" s="1" t="str">
        <x:v>no</x:v>
      </x:c>
      <x:c r="F305" s="14" t="str"/>
      <x:c r="G305" s="14" t="n">
        <x:v>4</x:v>
      </x:c>
      <x:c r="H305" s="14" t="str">
        <x:v>883ec902-2ebd-462a-a56c-786b1b5dca77</x:v>
      </x:c>
      <x:c r="I305" s="14" t="str">
        <x:v>General Dental Council v Williams [2023] EWCA Civ 481</x:v>
      </x:c>
      <x:c r="J305" s="14" t="str">
        <x:v>England and Wales Court of Appeal (Civil Division)</x:v>
      </x:c>
      <x:c r="K305" s="14" t="n">
        <x:v>2023</x:v>
      </x:c>
      <x:c r="L305" s="15" t="n">
        <x:v>0.70049775</x:v>
      </x:c>
      <x:c r="M305" s="14" t="n">
        <x:v>1</x:v>
      </x:c>
      <x:c r="N305" s="14" t="str">
        <x:v>Pantorno v R (1989) 166 CLR 466 | Shimizu Europe Limited v LBJ Fabrications Limited [2003] BLR 381</x:v>
      </x:c>
    </x:row>
    <x:row r="306">
      <x:c r="A306" s="1" t="str">
        <x:v>cmmovz0xc000b04k1q9fruuwi</x:v>
      </x:c>
      <x:c r="B306" s="1" t="str">
        <x:v>cmmc45761000204jx6bd5kxqk</x:v>
      </x:c>
      <x:c r="C306" s="1" t="str">
        <x:v>ca-2024-000255-ellis-v-ssj-appellant-skeleton</x:v>
      </x:c>
      <x:c r="D306" s="12" t="n">
        <x:v>46094.529072777776</x:v>
      </x:c>
      <x:c r="E306" s="1" t="str">
        <x:v>no</x:v>
      </x:c>
      <x:c r="F306" s="14" t="str"/>
      <x:c r="G306" s="14" t="n">
        <x:v>5</x:v>
      </x:c>
      <x:c r="H306" s="14" t="str">
        <x:v>2264ec9b-6fdb-4859-afd9-42c47a13479d</x:v>
      </x:c>
      <x:c r="I306" s="14" t="str">
        <x:v>Cannon v Bar Standards Board [2023] EWCA Civ 278</x:v>
      </x:c>
      <x:c r="J306" s="14" t="str">
        <x:v>England and Wales Court of Appeal (Civil Division)</x:v>
      </x:c>
      <x:c r="K306" s="14" t="n">
        <x:v>2023</x:v>
      </x:c>
      <x:c r="L306" s="15" t="n">
        <x:v>0.6972544</x:v>
      </x:c>
      <x:c r="M306" s="14" t="n">
        <x:v>1</x:v>
      </x:c>
      <x:c r="N306" s="14" t="str"/>
    </x:row>
    <x:row r="307">
      <x:c r="A307" s="1" t="str">
        <x:v>cmmovz0xc000b04k1q9fruuwi</x:v>
      </x:c>
      <x:c r="B307" s="1" t="str">
        <x:v>cmmc45761000204jx6bd5kxqk</x:v>
      </x:c>
      <x:c r="C307" s="1" t="str">
        <x:v>ca-2024-000255-ellis-v-ssj-appellant-skeleton</x:v>
      </x:c>
      <x:c r="D307" s="12" t="n">
        <x:v>46094.529072777776</x:v>
      </x:c>
      <x:c r="E307" s="1" t="str">
        <x:v>no</x:v>
      </x:c>
      <x:c r="F307" s="14" t="str"/>
      <x:c r="G307" s="14" t="n">
        <x:v>6</x:v>
      </x:c>
      <x:c r="H307" s="14" t="str">
        <x:v>facdee26-7310-4355-9ef5-1fd21f107f72</x:v>
      </x:c>
      <x:c r="I307" s="14" t="str">
        <x:v>Kalda v. Estonia - Access to Information Rights for Prisoners</x:v>
      </x:c>
      <x:c r="J307" s="14" t="str">
        <x:v>European Court of Human Rights (Second Section)</x:v>
      </x:c>
      <x:c r="K307" s="14" t="n">
        <x:v>2016</x:v>
      </x:c>
      <x:c r="L307" s="15" t="n">
        <x:v>0.69723904</x:v>
      </x:c>
      <x:c r="M307" s="14" t="n">
        <x:v>1</x:v>
      </x:c>
      <x:c r="N307" s="14" t="str"/>
    </x:row>
    <x:row r="308">
      <x:c r="A308" s="1" t="str">
        <x:v>cmmovz0xc000b04k1q9fruuwi</x:v>
      </x:c>
      <x:c r="B308" s="1" t="str">
        <x:v>cmmc45761000204jx6bd5kxqk</x:v>
      </x:c>
      <x:c r="C308" s="1" t="str">
        <x:v>ca-2024-000255-ellis-v-ssj-appellant-skeleton</x:v>
      </x:c>
      <x:c r="D308" s="12" t="n">
        <x:v>46094.529072777776</x:v>
      </x:c>
      <x:c r="E308" s="1" t="str">
        <x:v>no</x:v>
      </x:c>
      <x:c r="F308" s="14" t="str"/>
      <x:c r="G308" s="14" t="n">
        <x:v>7</x:v>
      </x:c>
      <x:c r="H308" s="14" t="str">
        <x:v>c3974612-b574-43f1-8653-9fd07d4d2fc5</x:v>
      </x:c>
      <x:c r="I308" s="14" t="str">
        <x:v>Kalonga, R (On the Application Of) v London Borough of Croydon [2022] EWCA Civ 670</x:v>
      </x:c>
      <x:c r="J308" s="14" t="str">
        <x:v>England and Wales Court of Appeal (Civil Division)</x:v>
      </x:c>
      <x:c r="K308" s="14" t="n">
        <x:v>2022</x:v>
      </x:c>
      <x:c r="L308" s="15" t="n">
        <x:v>0.6966154</x:v>
      </x:c>
      <x:c r="M308" s="14" t="n">
        <x:v>1</x:v>
      </x:c>
      <x:c r="N308" s="14" t="str">
        <x:v>Kalonga EWCA Civ 670 (the present decision)</x:v>
      </x:c>
    </x:row>
    <x:row r="309">
      <x:c r="A309" s="1" t="str">
        <x:v>cmmovz0xc000b04k1q9fruuwi</x:v>
      </x:c>
      <x:c r="B309" s="1" t="str">
        <x:v>cmmc45761000204jx6bd5kxqk</x:v>
      </x:c>
      <x:c r="C309" s="1" t="str">
        <x:v>ca-2024-000255-ellis-v-ssj-appellant-skeleton</x:v>
      </x:c>
      <x:c r="D309" s="12" t="n">
        <x:v>46094.529072777776</x:v>
      </x:c>
      <x:c r="E309" s="1" t="str">
        <x:v>no</x:v>
      </x:c>
      <x:c r="F309" s="14" t="str"/>
      <x:c r="G309" s="14" t="n">
        <x:v>8</x:v>
      </x:c>
      <x:c r="H309" s="14" t="str">
        <x:v>9826ea30-d68f-4beb-b85e-e38b5e1c7cae</x:v>
      </x:c>
      <x:c r="I309" s="14" t="str">
        <x:v>C3 &amp; Anor v The Secretary of State for Foreign, Commonwealth &amp; Development Affairs [2023] EWCA Civ 444</x:v>
      </x:c>
      <x:c r="J309" s="14" t="str">
        <x:v>England and Wales Court of Appeal (Civil Division)</x:v>
      </x:c>
      <x:c r="K309" s="14" t="n">
        <x:v>2023</x:v>
      </x:c>
      <x:c r="L309" s="15" t="n">
        <x:v>0.69656</x:v>
      </x:c>
      <x:c r="M309" s="14" t="n">
        <x:v>2</x:v>
      </x:c>
      <x:c r="N309" s="14" t="str">
        <x:v>[2022] EWHC 2772 (Admin) | [2011] EWCA Civ 1540 | [2012] EWCA Civ 182 | O'Brien (1923) | Rahmatullah | Ex p Muboyayi | Mwenya</x:v>
      </x:c>
    </x:row>
    <x:row r="310">
      <x:c r="A310" s="1" t="str">
        <x:v>cmmovz0xc000b04k1q9fruuwi</x:v>
      </x:c>
      <x:c r="B310" s="1" t="str">
        <x:v>cmmc45761000204jx6bd5kxqk</x:v>
      </x:c>
      <x:c r="C310" s="1" t="str">
        <x:v>ca-2024-000255-ellis-v-ssj-appellant-skeleton</x:v>
      </x:c>
      <x:c r="D310" s="12" t="n">
        <x:v>46094.529072777776</x:v>
      </x:c>
      <x:c r="E310" s="1" t="str">
        <x:v>no</x:v>
      </x:c>
      <x:c r="F310" s="14" t="str"/>
      <x:c r="G310" s="14" t="n">
        <x:v>9</x:v>
      </x:c>
      <x:c r="H310" s="14" t="str">
        <x:v>70e2de79-c2b3-4a71-898c-cd1e5dd77e7b</x:v>
      </x:c>
      <x:c r="I310" s="14" t="str">
        <x:v>Philpot, R (On the Application Of) v Commissioner of Police of the Metropolis [2023] EWCA Civ 66</x:v>
      </x:c>
      <x:c r="J310" s="14" t="str">
        <x:v>England and Wales Court of Appeal (Civil Division)</x:v>
      </x:c>
      <x:c r="K310" s="14" t="n">
        <x:v>2023</x:v>
      </x:c>
      <x:c r="L310" s="15" t="n">
        <x:v>0.6958325</x:v>
      </x:c>
      <x:c r="M310" s="14" t="n">
        <x:v>1</x:v>
      </x:c>
      <x:c r="N310" s="14" t="str">
        <x:v>[2022] EWHC 1852 (Admin)</x:v>
      </x:c>
    </x:row>
    <x:row r="311">
      <x:c r="A311" s="1" t="str">
        <x:v>cmmovz0xc000b04k1q9fruuwi</x:v>
      </x:c>
      <x:c r="B311" s="1" t="str">
        <x:v>cmmc45761000204jx6bd5kxqk</x:v>
      </x:c>
      <x:c r="C311" s="1" t="str">
        <x:v>ca-2024-000255-ellis-v-ssj-appellant-skeleton</x:v>
      </x:c>
      <x:c r="D311" s="12" t="n">
        <x:v>46094.529072777776</x:v>
      </x:c>
      <x:c r="E311" s="1" t="str">
        <x:v>no</x:v>
      </x:c>
      <x:c r="F311" s="14" t="str"/>
      <x:c r="G311" s="14" t="n">
        <x:v>10</x:v>
      </x:c>
      <x:c r="H311" s="14" t="str">
        <x:v>f78142fc-13ea-4fb5-9a5e-1efbdc8d3c38</x:v>
      </x:c>
      <x:c r="I311" s="14" t="str">
        <x:v>AAA (Syria) &amp; Ors v Secretary of State for the Home Department [2023] EWCA Civ 266</x:v>
      </x:c>
      <x:c r="J311" s="14" t="str">
        <x:v>England and Wales Court of Appeal (Civil Division)</x:v>
      </x:c>
      <x:c r="K311" s="14" t="n">
        <x:v>2023</x:v>
      </x:c>
      <x:c r="L311" s="15" t="n">
        <x:v>0.6957929</x:v>
      </x:c>
      <x:c r="M311" s="14" t="n">
        <x:v>1</x:v>
      </x:c>
      <x:c r="N311" s="14" t="str"/>
    </x:row>
    <x:row r="312">
      <x:c r="A312" s="1" t="str">
        <x:v>cmmovz0xc000b04k1q9fruuwi</x:v>
      </x:c>
      <x:c r="B312" s="1" t="str">
        <x:v>cmmc45761000204jx6bd5kxqk</x:v>
      </x:c>
      <x:c r="C312" s="1" t="str">
        <x:v>ca-2024-000255-ellis-v-ssj-appellant-skeleton</x:v>
      </x:c>
      <x:c r="D312" s="12" t="n">
        <x:v>46094.529072777776</x:v>
      </x:c>
      <x:c r="E312" s="1" t="str">
        <x:v>no</x:v>
      </x:c>
      <x:c r="F312" s="14" t="str"/>
      <x:c r="G312" s="14" t="n">
        <x:v>11</x:v>
      </x:c>
      <x:c r="H312" s="14" t="str">
        <x:v>010369ae-b751-4e0f-a507-9c332af2a813</x:v>
      </x:c>
      <x:c r="I312" s="14" t="str">
        <x:v>Murphy &amp; Anor v Revenue And Customs [2023] EWCA Civ 497</x:v>
      </x:c>
      <x:c r="J312" s="14" t="str">
        <x:v>England and Wales Court of Appeal (Civil Division)</x:v>
      </x:c>
      <x:c r="K312" s="14" t="n">
        <x:v>2023</x:v>
      </x:c>
      <x:c r="L312" s="15" t="n">
        <x:v>0.6948625</x:v>
      </x:c>
      <x:c r="M312" s="14" t="n">
        <x:v>1</x:v>
      </x:c>
      <x:c r="N312" s="14" t="str">
        <x:v>EWHC 1914 Admin (2021)</x:v>
      </x:c>
    </x:row>
    <x:row r="313">
      <x:c r="A313" s="1" t="str">
        <x:v>cmmovz0xc000b04k1q9fruuwi</x:v>
      </x:c>
      <x:c r="B313" s="1" t="str">
        <x:v>cmmc45761000204jx6bd5kxqk</x:v>
      </x:c>
      <x:c r="C313" s="1" t="str">
        <x:v>ca-2024-000255-ellis-v-ssj-appellant-skeleton</x:v>
      </x:c>
      <x:c r="D313" s="12" t="n">
        <x:v>46094.529072777776</x:v>
      </x:c>
      <x:c r="E313" s="1" t="str">
        <x:v>no</x:v>
      </x:c>
      <x:c r="F313" s="14" t="str"/>
      <x:c r="G313" s="14" t="n">
        <x:v>12</x:v>
      </x:c>
      <x:c r="H313" s="14" t="str">
        <x:v>e99652af-372a-448f-8251-a215010e8b3a</x:v>
      </x:c>
      <x:c r="I313" s="14" t="str">
        <x:v>Richards, R (On the Application Of) v The Environment Agency [2022] EWCA Civ 26</x:v>
      </x:c>
      <x:c r="J313" s="14" t="str">
        <x:v>England and Wales Court of Appeal (Civil Division)</x:v>
      </x:c>
      <x:c r="K313" s="14" t="n">
        <x:v>2022</x:v>
      </x:c>
      <x:c r="L313" s="15" t="n">
        <x:v>0.694287</x:v>
      </x:c>
      <x:c r="M313" s="14" t="n">
        <x:v>1</x:v>
      </x:c>
      <x:c r="N313" s="14" t="str"/>
    </x:row>
    <x:row r="314">
      <x:c r="A314" s="1" t="str">
        <x:v>cmmovz0xc000b04k1q9fruuwi</x:v>
      </x:c>
      <x:c r="B314" s="1" t="str">
        <x:v>cmmc45761000204jx6bd5kxqk</x:v>
      </x:c>
      <x:c r="C314" s="1" t="str">
        <x:v>ca-2024-000255-ellis-v-ssj-appellant-skeleton</x:v>
      </x:c>
      <x:c r="D314" s="12" t="n">
        <x:v>46094.529072777776</x:v>
      </x:c>
      <x:c r="E314" s="1" t="str">
        <x:v>no</x:v>
      </x:c>
      <x:c r="F314" s="14" t="str"/>
      <x:c r="G314" s="14" t="n">
        <x:v>13</x:v>
      </x:c>
      <x:c r="H314" s="14" t="str">
        <x:v>753bf041-06ad-469d-90f3-d671da197711</x:v>
      </x:c>
      <x:c r="I314" s="14" t="str">
        <x:v>Planon Limited v Gilligan [2022] EWCA Civ 642 (Court of Appeal, Civil Division)</x:v>
      </x:c>
      <x:c r="J314" s="14" t="str">
        <x:v>England and Wales Court of Appeal (Civil Division)</x:v>
      </x:c>
      <x:c r="K314" s="14" t="n">
        <x:v>2022</x:v>
      </x:c>
      <x:c r="L314" s="15" t="n">
        <x:v>0.69404566</x:v>
      </x:c>
      <x:c r="M314" s="14" t="n">
        <x:v>1</x:v>
      </x:c>
      <x:c r="N314" s="14" t="str"/>
    </x:row>
    <x:row r="315">
      <x:c r="A315" s="1" t="str">
        <x:v>cmmovz0xc000b04k1q9fruuwi</x:v>
      </x:c>
      <x:c r="B315" s="1" t="str">
        <x:v>cmmc45761000204jx6bd5kxqk</x:v>
      </x:c>
      <x:c r="C315" s="1" t="str">
        <x:v>ca-2024-000255-ellis-v-ssj-appellant-skeleton</x:v>
      </x:c>
      <x:c r="D315" s="12" t="n">
        <x:v>46094.529072777776</x:v>
      </x:c>
      <x:c r="E315" s="1" t="str">
        <x:v>no</x:v>
      </x:c>
      <x:c r="F315" s="14" t="str"/>
      <x:c r="G315" s="14" t="n">
        <x:v>14</x:v>
      </x:c>
      <x:c r="H315" s="14" t="str">
        <x:v>be44e528-bdba-4691-afcc-c607a89fd1dc</x:v>
      </x:c>
      <x:c r="I315" s="14" t="str">
        <x:v>R (On the Application Of) v Secretary of State for the Home Department (Rev1) [2022] EWCA Civ 30</x:v>
      </x:c>
      <x:c r="J315" s="14" t="str">
        <x:v>England and Wales Court of Appeal (Civil Division)</x:v>
      </x:c>
      <x:c r="K315" s="14" t="n">
        <x:v>2022</x:v>
      </x:c>
      <x:c r="L315" s="15" t="n">
        <x:v>0.69383955</x:v>
      </x:c>
      <x:c r="M315" s="14" t="n">
        <x:v>1</x:v>
      </x:c>
      <x:c r="N315" s="14" t="str"/>
    </x:row>
    <x:row r="316">
      <x:c r="A316" s="1" t="str">
        <x:v>cmmovz0xc000b04k1q9fruuwi</x:v>
      </x:c>
      <x:c r="B316" s="1" t="str">
        <x:v>cmmc45761000204jx6bd5kxqk</x:v>
      </x:c>
      <x:c r="C316" s="1" t="str">
        <x:v>ca-2024-000255-ellis-v-ssj-appellant-skeleton</x:v>
      </x:c>
      <x:c r="D316" s="12" t="n">
        <x:v>46094.529072777776</x:v>
      </x:c>
      <x:c r="E316" s="1" t="str">
        <x:v>no</x:v>
      </x:c>
      <x:c r="F316" s="14" t="str"/>
      <x:c r="G316" s="14" t="n">
        <x:v>15</x:v>
      </x:c>
      <x:c r="H316" s="14" t="str">
        <x:v>3c9046f0-1a84-4f88-bc27-4a2566297443</x:v>
      </x:c>
      <x:c r="I316" s="14" t="str">
        <x:v>Norman &amp; Anor v Adler &amp; Anor [2023] EWCA Civ 785</x:v>
      </x:c>
      <x:c r="J316" s="14" t="str">
        <x:v>England and Wales Court of Appeal (Civil Division)</x:v>
      </x:c>
      <x:c r="K316" s="14" t="n">
        <x:v>2023</x:v>
      </x:c>
      <x:c r="L316" s="15" t="n">
        <x:v>0.693829</x:v>
      </x:c>
      <x:c r="M316" s="14" t="n">
        <x:v>1</x:v>
      </x:c>
      <x:c r="N316" s="14" t="str">
        <x:v>KJM Superbikes [2008] EWCA Civ 1280 | Berry Piling [2013] ...</x:v>
      </x:c>
    </x:row>
    <x:row r="317">
      <x:c r="A317" s="1" t="str">
        <x:v>cmmovz0xc000b04k1q9fruuwi</x:v>
      </x:c>
      <x:c r="B317" s="1" t="str">
        <x:v>cmmc45761000204jx6bd5kxqk</x:v>
      </x:c>
      <x:c r="C317" s="1" t="str">
        <x:v>ca-2024-000255-ellis-v-ssj-appellant-skeleton</x:v>
      </x:c>
      <x:c r="D317" s="12" t="n">
        <x:v>46094.529072777776</x:v>
      </x:c>
      <x:c r="E317" s="1" t="str">
        <x:v>no</x:v>
      </x:c>
      <x:c r="F317" s="14" t="str"/>
      <x:c r="G317" s="14" t="n">
        <x:v>16</x:v>
      </x:c>
      <x:c r="H317" s="14" t="str">
        <x:v>69931778-230c-4f9d-9516-058138a9527d</x:v>
      </x:c>
      <x:c r="I317" s="14" t="str">
        <x:v>E3 &amp; Ors v Secretary of State for the Home Department [2023] EWCA Civ 26</x:v>
      </x:c>
      <x:c r="J317" s="14" t="str">
        <x:v>England and Wales Court of Appeal (Civil Division)</x:v>
      </x:c>
      <x:c r="K317" s="14" t="n">
        <x:v>2023</x:v>
      </x:c>
      <x:c r="L317" s="15" t="n">
        <x:v>0.6935707</x:v>
      </x:c>
      <x:c r="M317" s="14" t="n">
        <x:v>1</x:v>
      </x:c>
      <x:c r="N317" s="14" t="str"/>
    </x:row>
    <x:row r="318">
      <x:c r="A318" s="1" t="str">
        <x:v>cmmovz0xc000b04k1q9fruuwi</x:v>
      </x:c>
      <x:c r="B318" s="1" t="str">
        <x:v>cmmc45761000204jx6bd5kxqk</x:v>
      </x:c>
      <x:c r="C318" s="1" t="str">
        <x:v>ca-2024-000255-ellis-v-ssj-appellant-skeleton</x:v>
      </x:c>
      <x:c r="D318" s="12" t="n">
        <x:v>46094.529072777776</x:v>
      </x:c>
      <x:c r="E318" s="1" t="str">
        <x:v>no</x:v>
      </x:c>
      <x:c r="F318" s="14" t="str"/>
      <x:c r="G318" s="14" t="n">
        <x:v>17</x:v>
      </x:c>
      <x:c r="H318" s="14" t="str">
        <x:v>de4a5f2b-b3c7-4369-9020-dcc807bb315b</x:v>
      </x:c>
      <x:c r="I318" s="14" t="str">
        <x:v>Elkundi, R (On the Application Of) v Birmingham City Council [2022] EWCA Civ 601</x:v>
      </x:c>
      <x:c r="J318" s="14" t="str">
        <x:v>England and Wales Court of Appeal (Civil Division)</x:v>
      </x:c>
      <x:c r="K318" s="14" t="n">
        <x:v>2022</x:v>
      </x:c>
      <x:c r="L318" s="15" t="n">
        <x:v>0.69349205</x:v>
      </x:c>
      <x:c r="M318" s="14" t="n">
        <x:v>1</x:v>
      </x:c>
      <x:c r="N318" s="14" t="str"/>
    </x:row>
    <x:row r="319">
      <x:c r="A319" s="1" t="str">
        <x:v>cmmovz0xc000b04k1q9fruuwi</x:v>
      </x:c>
      <x:c r="B319" s="1" t="str">
        <x:v>cmmc45761000204jx6bd5kxqk</x:v>
      </x:c>
      <x:c r="C319" s="1" t="str">
        <x:v>ca-2024-000255-ellis-v-ssj-appellant-skeleton</x:v>
      </x:c>
      <x:c r="D319" s="12" t="n">
        <x:v>46094.529072777776</x:v>
      </x:c>
      <x:c r="E319" s="1" t="str">
        <x:v>no</x:v>
      </x:c>
      <x:c r="F319" s="14" t="str"/>
      <x:c r="G319" s="14" t="n">
        <x:v>18</x:v>
      </x:c>
      <x:c r="H319" s="14" t="str">
        <x:v>38cd5d51-00a4-4574-8d41-3d50015a8cd6</x:v>
      </x:c>
      <x:c r="I319" s="14" t="str">
        <x:v>Akinsanya v Secretary of State for the Home Department [2022] EWCA Civ 37 (Court of Appeal, Civil Division)</x:v>
      </x:c>
      <x:c r="J319" s="14" t="str">
        <x:v>England and Wales Court of Appeal (Civil Division)</x:v>
      </x:c>
      <x:c r="K319" s="14" t="n">
        <x:v>2022</x:v>
      </x:c>
      <x:c r="L319" s="15" t="n">
        <x:v>0.69278824</x:v>
      </x:c>
      <x:c r="M319" s="14" t="n">
        <x:v>1</x:v>
      </x:c>
      <x:c r="N319" s="14" t="str">
        <x:v>Akinsanya v SSHD (Mostyn J, 2021) | CA-2021-000662</x:v>
      </x:c>
    </x:row>
    <x:row r="320">
      <x:c r="A320" s="1" t="str">
        <x:v>cmmovz0xc000b04k1q9fruuwi</x:v>
      </x:c>
      <x:c r="B320" s="1" t="str">
        <x:v>cmmc45761000204jx6bd5kxqk</x:v>
      </x:c>
      <x:c r="C320" s="1" t="str">
        <x:v>ca-2024-000255-ellis-v-ssj-appellant-skeleton</x:v>
      </x:c>
      <x:c r="D320" s="12" t="n">
        <x:v>46094.529072777776</x:v>
      </x:c>
      <x:c r="E320" s="1" t="str">
        <x:v>no</x:v>
      </x:c>
      <x:c r="F320" s="14" t="str"/>
      <x:c r="G320" s="14" t="n">
        <x:v>19</x:v>
      </x:c>
      <x:c r="H320" s="14" t="str">
        <x:v>080c954e-d1b8-4995-bd80-11f5cb95f0c9</x:v>
      </x:c>
      <x:c r="I320" s="14" t="str">
        <x:v>Stuewe v Health and Care Professions Council [2022] EWCA Civ 1605</x:v>
      </x:c>
      <x:c r="J320" s="14" t="str">
        <x:v>England and Wales Court of Appeal (Civil Division)</x:v>
      </x:c>
      <x:c r="K320" s="14" t="n">
        <x:v>2022</x:v>
      </x:c>
      <x:c r="L320" s="15" t="n">
        <x:v>0.69277453</x:v>
      </x:c>
      <x:c r="M320" s="14" t="n">
        <x:v>1</x:v>
      </x:c>
      <x:c r="N320" s="14" t="str">
        <x:v>Adesina; Pomiechowski; Rakoczy; Anixter</x:v>
      </x:c>
    </x:row>
    <x:row r="321">
      <x:c r="A321" s="1" t="str">
        <x:v>cmmovz0xc000b04k1q9fruuwi</x:v>
      </x:c>
      <x:c r="B321" s="1" t="str">
        <x:v>cmmc45761000204jx6bd5kxqk</x:v>
      </x:c>
      <x:c r="C321" s="1" t="str">
        <x:v>ca-2024-000255-ellis-v-ssj-appellant-skeleton</x:v>
      </x:c>
      <x:c r="D321" s="12" t="n">
        <x:v>46094.529072777776</x:v>
      </x:c>
      <x:c r="E321" s="1" t="str">
        <x:v>no</x:v>
      </x:c>
      <x:c r="F321" s="14" t="str"/>
      <x:c r="G321" s="14" t="n">
        <x:v>20</x:v>
      </x:c>
      <x:c r="H321" s="14" t="str">
        <x:v>909cf366-1cfb-4517-a3b4-e7951f8d1dfb</x:v>
      </x:c>
      <x:c r="I321" s="14" t="str">
        <x:v>Tidal Lagoon (Swansea Bay) PLC v Secretary of State for Business, Energy and Industrial Strategy &amp; Ors [2022] EWCA Civ 1579</x:v>
      </x:c>
      <x:c r="J321" s="14" t="str">
        <x:v>England and Wales Court of Appeal (Civil Division)</x:v>
      </x:c>
      <x:c r="K321" s="14" t="n">
        <x:v>2022</x:v>
      </x:c>
      <x:c r="L321" s="15" t="n">
        <x:v>0.6925667</x:v>
      </x:c>
      <x:c r="M321" s="14" t="n">
        <x:v>1</x:v>
      </x:c>
      <x:c r="N321" s="14" t="str"/>
    </x:row>
    <x:row r="322">
      <x:c r="A322" s="1" t="str">
        <x:v>cmmrr3vbb000b04jvglqzb8az</x:v>
      </x:c>
      <x:c r="B322" s="1" t="str">
        <x:v>cmmc45761000204jx6bd5kxqk</x:v>
      </x:c>
      <x:c r="C322" s="1" t="str">
        <x:v>ca-2024-000255-ellis-v-ssj-appellant-skeleton</x:v>
      </x:c>
      <x:c r="D322" s="12" t="n">
        <x:v>46096.53400847222</x:v>
      </x:c>
      <x:c r="E322" s="1" t="str">
        <x:v>yes</x:v>
      </x:c>
      <x:c r="F322" s="14" t="str">
        <x:v>cmmrr64va000h04jvzuquhz2y</x:v>
      </x:c>
      <x:c r="G322" s="14" t="n">
        <x:v>1</x:v>
      </x:c>
      <x:c r="H322" s="14" t="str">
        <x:v>1dbb4242-42ac-456f-989f-5098066d87ca</x:v>
      </x:c>
      <x:c r="I322" s="14" t="str">
        <x:v>Bristow v The Secretary of State for Justice &amp; Anor [2015] EWCA Civ 1170</x:v>
      </x:c>
      <x:c r="J322" s="14" t="str">
        <x:v>England and Wales Court of Appeal (Civil Division)</x:v>
      </x:c>
      <x:c r="K322" s="14" t="n">
        <x:v>2015</x:v>
      </x:c>
      <x:c r="L322" s="15" t="n">
        <x:v>0.7348778</x:v>
      </x:c>
      <x:c r="M322" s="14" t="n">
        <x:v>1</x:v>
      </x:c>
      <x:c r="N322" s="14" t="str"/>
    </x:row>
    <x:row r="323">
      <x:c r="A323" s="1" t="str">
        <x:v>cmmrr3vbb000b04jvglqzb8az</x:v>
      </x:c>
      <x:c r="B323" s="1" t="str">
        <x:v>cmmc45761000204jx6bd5kxqk</x:v>
      </x:c>
      <x:c r="C323" s="1" t="str">
        <x:v>ca-2024-000255-ellis-v-ssj-appellant-skeleton</x:v>
      </x:c>
      <x:c r="D323" s="12" t="n">
        <x:v>46096.53400847222</x:v>
      </x:c>
      <x:c r="E323" s="1" t="str">
        <x:v>yes</x:v>
      </x:c>
      <x:c r="F323" s="14" t="str">
        <x:v>cmmrr64va000h04jvzuquhz2y</x:v>
      </x:c>
      <x:c r="G323" s="14" t="n">
        <x:v>2</x:v>
      </x:c>
      <x:c r="H323" s="14" t="str">
        <x:v>dfa97e6e-7e32-4c80-9f6f-5e4f398f9d82</x:v>
      </x:c>
      <x:c r="I323" s="14" t="str">
        <x:v>Velyo Velev v. Bulgaria (Application No. 16032/07)</x:v>
      </x:c>
      <x:c r="J323" s="14" t="str">
        <x:v>European Court of Human Rights (Fourth Section)</x:v>
      </x:c>
      <x:c r="K323" s="14" t="n">
        <x:v>2014</x:v>
      </x:c>
      <x:c r="L323" s="15" t="n">
        <x:v>0.72528565</x:v>
      </x:c>
      <x:c r="M323" s="14" t="n">
        <x:v>6</x:v>
      </x:c>
      <x:c r="N323" s="14" t="str">
        <x:v>European Convention on Human Rights | Debates on education rights in the European Context. | Committee of Ministers Recommendations | Previous judgments affecting educational rights.</x:v>
      </x:c>
    </x:row>
    <x:row r="324">
      <x:c r="A324" s="1" t="str">
        <x:v>cmmrr3vbb000b04jvglqzb8az</x:v>
      </x:c>
      <x:c r="B324" s="1" t="str">
        <x:v>cmmc45761000204jx6bd5kxqk</x:v>
      </x:c>
      <x:c r="C324" s="1" t="str">
        <x:v>ca-2024-000255-ellis-v-ssj-appellant-skeleton</x:v>
      </x:c>
      <x:c r="D324" s="12" t="n">
        <x:v>46096.53400847222</x:v>
      </x:c>
      <x:c r="E324" s="1" t="str">
        <x:v>yes</x:v>
      </x:c>
      <x:c r="F324" s="14" t="str">
        <x:v>cmmrr64va000h04jvzuquhz2y</x:v>
      </x:c>
      <x:c r="G324" s="14" t="n">
        <x:v>3</x:v>
      </x:c>
      <x:c r="H324" s="14" t="str">
        <x:v>da4b6be7-2b22-4bd1-af6b-a68873f0af8d</x:v>
      </x:c>
      <x:c r="I324" s="14" t="str">
        <x:v>Bright &amp; Anor v The Secretary of State for Justice</x:v>
      </x:c>
      <x:c r="J324" s="14" t="str">
        <x:v>England and Wales Court of Appeal (Civil Division)</x:v>
      </x:c>
      <x:c r="K324" s="14" t="n">
        <x:v>2014</x:v>
      </x:c>
      <x:c r="L324" s="15" t="n">
        <x:v>0.71165085</x:v>
      </x:c>
      <x:c r="M324" s="14" t="n">
        <x:v>2</x:v>
      </x:c>
      <x:c r="N324" s="14" t="str"/>
    </x:row>
    <x:row r="325">
      <x:c r="A325" s="1" t="str">
        <x:v>cmmrr3vbb000b04jvglqzb8az</x:v>
      </x:c>
      <x:c r="B325" s="1" t="str">
        <x:v>cmmc45761000204jx6bd5kxqk</x:v>
      </x:c>
      <x:c r="C325" s="1" t="str">
        <x:v>ca-2024-000255-ellis-v-ssj-appellant-skeleton</x:v>
      </x:c>
      <x:c r="D325" s="12" t="n">
        <x:v>46096.53400847222</x:v>
      </x:c>
      <x:c r="E325" s="1" t="str">
        <x:v>yes</x:v>
      </x:c>
      <x:c r="F325" s="14" t="str">
        <x:v>cmmrr64va000h04jvzuquhz2y</x:v>
      </x:c>
      <x:c r="G325" s="14" t="n">
        <x:v>4</x:v>
      </x:c>
      <x:c r="H325" s="14" t="str">
        <x:v>720cde29-16c8-41e8-9899-7ac2abcb1cc1</x:v>
      </x:c>
      <x:c r="I325" s="14" t="str">
        <x:v>FI v Secretary of State for the Home Department [2014] EWCA Civ 1272</x:v>
      </x:c>
      <x:c r="J325" s="14" t="str">
        <x:v>England and Wales Court of Appeal (Civil Division)</x:v>
      </x:c>
      <x:c r="K325" s="14" t="n">
        <x:v>2014</x:v>
      </x:c>
      <x:c r="L325" s="15" t="n">
        <x:v>0.70862496</x:v>
      </x:c>
      <x:c r="M325" s="14" t="n">
        <x:v>2</x:v>
      </x:c>
      <x:c r="N325" s="14" t="str"/>
    </x:row>
    <x:row r="326">
      <x:c r="A326" s="1" t="str">
        <x:v>cmmrr3vbb000b04jvglqzb8az</x:v>
      </x:c>
      <x:c r="B326" s="1" t="str">
        <x:v>cmmc45761000204jx6bd5kxqk</x:v>
      </x:c>
      <x:c r="C326" s="1" t="str">
        <x:v>ca-2024-000255-ellis-v-ssj-appellant-skeleton</x:v>
      </x:c>
      <x:c r="D326" s="12" t="n">
        <x:v>46096.53400847222</x:v>
      </x:c>
      <x:c r="E326" s="1" t="str">
        <x:v>yes</x:v>
      </x:c>
      <x:c r="F326" s="14" t="str">
        <x:v>cmmrr64va000h04jvzuquhz2y</x:v>
      </x:c>
      <x:c r="G326" s="14" t="n">
        <x:v>5</x:v>
      </x:c>
      <x:c r="H326" s="14" t="str">
        <x:v>d60a5323-796e-4110-a6de-012ec16860c1</x:v>
      </x:c>
      <x:c r="I326" s="14" t="str">
        <x:v>The Howard League for Penal Reform and Prisoners' Advice Service v The Lord Chancellor</x:v>
      </x:c>
      <x:c r="J326" s="14" t="str">
        <x:v>England and Wales Court of Appeal (Civil Division)</x:v>
      </x:c>
      <x:c r="K326" s="14" t="n">
        <x:v>2015</x:v>
      </x:c>
      <x:c r="L326" s="15" t="n">
        <x:v>0.7057907</x:v>
      </x:c>
      <x:c r="M326" s="14" t="n">
        <x:v>5</x:v>
      </x:c>
      <x:c r="N326" s="14" t="str">
        <x:v>R (Refugee Legal Centre) Secretary of State for the Home Department | Inland Revenue Commissioners v National Federation of Self Employed and Small Businesses Ltd</x:v>
      </x:c>
    </x:row>
    <x:row r="327">
      <x:c r="A327" s="1" t="str">
        <x:v>cmmrr3vbb000b04jvglqzb8az</x:v>
      </x:c>
      <x:c r="B327" s="1" t="str">
        <x:v>cmmc45761000204jx6bd5kxqk</x:v>
      </x:c>
      <x:c r="C327" s="1" t="str">
        <x:v>ca-2024-000255-ellis-v-ssj-appellant-skeleton</x:v>
      </x:c>
      <x:c r="D327" s="12" t="n">
        <x:v>46096.53400847222</x:v>
      </x:c>
      <x:c r="E327" s="1" t="str">
        <x:v>yes</x:v>
      </x:c>
      <x:c r="F327" s="14" t="str">
        <x:v>cmmrr64va000h04jvzuquhz2y</x:v>
      </x:c>
      <x:c r="G327" s="14" t="n">
        <x:v>6</x:v>
      </x:c>
      <x:c r="H327" s="14" t="str">
        <x:v>02409749-c305-4c56-ad34-3447c9c2371b</x:v>
      </x:c>
      <x:c r="I327" s="14" t="str">
        <x:v>Tigere, R (On the Application Of) v Secretary of State for Business, Innovation And Skills</x:v>
      </x:c>
      <x:c r="J327" s="14" t="str">
        <x:v>England and Wales Court of Appeal (Civil Division)</x:v>
      </x:c>
      <x:c r="K327" s="14" t="n">
        <x:v>2014</x:v>
      </x:c>
      <x:c r="L327" s="15" t="n">
        <x:v>0.70471895</x:v>
      </x:c>
      <x:c r="M327" s="14" t="n">
        <x:v>1</x:v>
      </x:c>
      <x:c r="N327" s="14" t="str"/>
    </x:row>
    <x:row r="328">
      <x:c r="A328" s="1" t="str">
        <x:v>cmmrr3vbb000b04jvglqzb8az</x:v>
      </x:c>
      <x:c r="B328" s="1" t="str">
        <x:v>cmmc45761000204jx6bd5kxqk</x:v>
      </x:c>
      <x:c r="C328" s="1" t="str">
        <x:v>ca-2024-000255-ellis-v-ssj-appellant-skeleton</x:v>
      </x:c>
      <x:c r="D328" s="12" t="n">
        <x:v>46096.53400847222</x:v>
      </x:c>
      <x:c r="E328" s="1" t="str">
        <x:v>yes</x:v>
      </x:c>
      <x:c r="F328" s="14" t="str">
        <x:v>cmmrr64va000h04jvzuquhz2y</x:v>
      </x:c>
      <x:c r="G328" s="14" t="n">
        <x:v>7</x:v>
      </x:c>
      <x:c r="H328" s="14" t="str">
        <x:v>36166c1f-7b4e-4e19-9f3e-ba06d04ac22a</x:v>
      </x:c>
      <x:c r="I328" s="14" t="str">
        <x:v>Smith v Secretary of State for Justice &amp; Ors [2014] EWCA Civ 380</x:v>
      </x:c>
      <x:c r="J328" s="14" t="str">
        <x:v>England and Wales Court of Appeal (Civil Division)</x:v>
      </x:c>
      <x:c r="K328" s="14" t="n">
        <x:v>2014</x:v>
      </x:c>
      <x:c r="L328" s="15" t="n">
        <x:v>0.70152926</x:v>
      </x:c>
      <x:c r="M328" s="14" t="n">
        <x:v>2</x:v>
      </x:c>
      <x:c r="N328" s="14" t="str">
        <x:v>Benito v Spain | Hristov v Bulgaria</x:v>
      </x:c>
    </x:row>
    <x:row r="329">
      <x:c r="A329" s="1" t="str">
        <x:v>cmmrr3vbb000b04jvglqzb8az</x:v>
      </x:c>
      <x:c r="B329" s="1" t="str">
        <x:v>cmmc45761000204jx6bd5kxqk</x:v>
      </x:c>
      <x:c r="C329" s="1" t="str">
        <x:v>ca-2024-000255-ellis-v-ssj-appellant-skeleton</x:v>
      </x:c>
      <x:c r="D329" s="12" t="n">
        <x:v>46096.53400847222</x:v>
      </x:c>
      <x:c r="E329" s="1" t="str">
        <x:v>yes</x:v>
      </x:c>
      <x:c r="F329" s="14" t="str">
        <x:v>cmmrr64va000h04jvzuquhz2y</x:v>
      </x:c>
      <x:c r="G329" s="14" t="n">
        <x:v>8</x:v>
      </x:c>
      <x:c r="H329" s="14" t="str">
        <x:v>80701211-fe03-4dc0-972a-b2e5467876b9</x:v>
      </x:c>
      <x:c r="I329" s="14" t="str">
        <x:v>Idira, R (On the Application Of) v The Secretary of State for the Home Department (Rev 1) [2015] EWCA Civ 1187</x:v>
      </x:c>
      <x:c r="J329" s="14" t="str">
        <x:v>England and Wales Court of Appeal (Civil Division)</x:v>
      </x:c>
      <x:c r="K329" s="14" t="n">
        <x:v>2015</x:v>
      </x:c>
      <x:c r="L329" s="15" t="n">
        <x:v>0.6929774</x:v>
      </x:c>
      <x:c r="M329" s="14" t="n">
        <x:v>2</x:v>
      </x:c>
      <x:c r="N329" s="14" t="str">
        <x:v>Krasniqi | Saadi</x:v>
      </x:c>
    </x:row>
    <x:row r="330">
      <x:c r="A330" s="1" t="str">
        <x:v>cmmrr3vbb000b04jvglqzb8az</x:v>
      </x:c>
      <x:c r="B330" s="1" t="str">
        <x:v>cmmc45761000204jx6bd5kxqk</x:v>
      </x:c>
      <x:c r="C330" s="1" t="str">
        <x:v>ca-2024-000255-ellis-v-ssj-appellant-skeleton</x:v>
      </x:c>
      <x:c r="D330" s="12" t="n">
        <x:v>46096.53400847222</x:v>
      </x:c>
      <x:c r="E330" s="1" t="str">
        <x:v>yes</x:v>
      </x:c>
      <x:c r="F330" s="14" t="str">
        <x:v>cmmrr64va000h04jvzuquhz2y</x:v>
      </x:c>
      <x:c r="G330" s="14" t="n">
        <x:v>9</x:v>
      </x:c>
      <x:c r="H330" s="14" t="str">
        <x:v>47c9c661-fe50-444e-8eb2-faf3fa2b12ba</x:v>
      </x:c>
      <x:c r="I330" s="14" t="str">
        <x:v>James v HM Prison Birmingham: Judicial Review on Committal for Civil Contempt</x:v>
      </x:c>
      <x:c r="J330" s="14" t="str">
        <x:v>England and Wales Court of Appeal (Civil Division)</x:v>
      </x:c>
      <x:c r="K330" s="14" t="n">
        <x:v>2015</x:v>
      </x:c>
      <x:c r="L330" s="15" t="n">
        <x:v>0.69251</x:v>
      </x:c>
      <x:c r="M330" s="14" t="n">
        <x:v>1</x:v>
      </x:c>
      <x:c r="N330" s="14" t="str"/>
    </x:row>
    <x:row r="331">
      <x:c r="A331" s="1" t="str">
        <x:v>cmmrr3vbb000b04jvglqzb8az</x:v>
      </x:c>
      <x:c r="B331" s="1" t="str">
        <x:v>cmmc45761000204jx6bd5kxqk</x:v>
      </x:c>
      <x:c r="C331" s="1" t="str">
        <x:v>ca-2024-000255-ellis-v-ssj-appellant-skeleton</x:v>
      </x:c>
      <x:c r="D331" s="12" t="n">
        <x:v>46096.53400847222</x:v>
      </x:c>
      <x:c r="E331" s="1" t="str">
        <x:v>yes</x:v>
      </x:c>
      <x:c r="F331" s="14" t="str">
        <x:v>cmmrr64va000h04jvzuquhz2y</x:v>
      </x:c>
      <x:c r="G331" s="14" t="n">
        <x:v>10</x:v>
      </x:c>
      <x:c r="H331" s="14" t="str">
        <x:v>b7f76d8a-1872-4ebe-93e8-f90c3c915f85</x:v>
      </x:c>
      <x:c r="I331" s="14" t="str">
        <x:v>Gudanaviciene v The Director of Legal Aid Casework</x:v>
      </x:c>
      <x:c r="J331" s="14" t="str">
        <x:v>England and Wales Court of Appeal (Civil Division)</x:v>
      </x:c>
      <x:c r="K331" s="14" t="n">
        <x:v>2014</x:v>
      </x:c>
      <x:c r="L331" s="15" t="n">
        <x:v>0.69119334</x:v>
      </x:c>
      <x:c r="M331" s="14" t="n">
        <x:v>1</x:v>
      </x:c>
      <x:c r="N331" s="14" t="str"/>
    </x:row>
    <x:row r="332">
      <x:c r="A332" s="1" t="str">
        <x:v>cmmrr3vbb000b04jvglqzb8az</x:v>
      </x:c>
      <x:c r="B332" s="1" t="str">
        <x:v>cmmc45761000204jx6bd5kxqk</x:v>
      </x:c>
      <x:c r="C332" s="1" t="str">
        <x:v>ca-2024-000255-ellis-v-ssj-appellant-skeleton</x:v>
      </x:c>
      <x:c r="D332" s="12" t="n">
        <x:v>46096.53400847222</x:v>
      </x:c>
      <x:c r="E332" s="1" t="str">
        <x:v>yes</x:v>
      </x:c>
      <x:c r="F332" s="14" t="str">
        <x:v>cmmrr64va000h04jvzuquhz2y</x:v>
      </x:c>
      <x:c r="G332" s="14" t="n">
        <x:v>11</x:v>
      </x:c>
      <x:c r="H332" s="14" t="str">
        <x:v>7e8929e7-4b3c-4492-b8b5-e01b9ccfcf2c</x:v>
      </x:c>
      <x:c r="I332" s="14" t="str">
        <x:v>Zenati v Police of the Metropolis &amp; Anor [2015] EWCA Civ 80</x:v>
      </x:c>
      <x:c r="J332" s="14" t="str">
        <x:v>England and Wales Court of Appeal (Civil Division)</x:v>
      </x:c>
      <x:c r="K332" s="14" t="n">
        <x:v>2015</x:v>
      </x:c>
      <x:c r="L332" s="15" t="n">
        <x:v>0.6866394</x:v>
      </x:c>
      <x:c r="M332" s="14" t="n">
        <x:v>1</x:v>
      </x:c>
      <x:c r="N332" s="14" t="str"/>
    </x:row>
    <x:row r="333">
      <x:c r="A333" s="1" t="str">
        <x:v>cmmrr3vbb000b04jvglqzb8az</x:v>
      </x:c>
      <x:c r="B333" s="1" t="str">
        <x:v>cmmc45761000204jx6bd5kxqk</x:v>
      </x:c>
      <x:c r="C333" s="1" t="str">
        <x:v>ca-2024-000255-ellis-v-ssj-appellant-skeleton</x:v>
      </x:c>
      <x:c r="D333" s="12" t="n">
        <x:v>46096.53400847222</x:v>
      </x:c>
      <x:c r="E333" s="1" t="str">
        <x:v>yes</x:v>
      </x:c>
      <x:c r="F333" s="14" t="str">
        <x:v>cmmrr64va000h04jvzuquhz2y</x:v>
      </x:c>
      <x:c r="G333" s="14" t="n">
        <x:v>12</x:v>
      </x:c>
      <x:c r="H333" s="14" t="str">
        <x:v>250a2de0-32f3-4ce2-8b1f-ee964131ee78</x:v>
      </x:c>
      <x:c r="I333" s="14" t="str">
        <x:v>Brooks, R (on the application of) v The Independent Adjudicator &amp; Anor [2016] EWCA Civ 1033</x:v>
      </x:c>
      <x:c r="J333" s="14" t="str">
        <x:v>England and Wales Court of Appeal (Civil Division)</x:v>
      </x:c>
      <x:c r="K333" s="14" t="n">
        <x:v>2016</x:v>
      </x:c>
      <x:c r="L333" s="15" t="n">
        <x:v>0.6800041</x:v>
      </x:c>
      <x:c r="M333" s="14" t="n">
        <x:v>3</x:v>
      </x:c>
      <x:c r="N333" s="14" t="str">
        <x:v>Kryzcki v Germany | Webster v Lord Chancellor | Lumba | Benham | Webster | Kryzcki | Hooper | R Shoosmith | Lumba v SSHD | Hooper v SoS for Work and Pensions</x:v>
      </x:c>
    </x:row>
    <x:row r="334">
      <x:c r="A334" s="1" t="str">
        <x:v>cmmrr3vbb000b04jvglqzb8az</x:v>
      </x:c>
      <x:c r="B334" s="1" t="str">
        <x:v>cmmc45761000204jx6bd5kxqk</x:v>
      </x:c>
      <x:c r="C334" s="1" t="str">
        <x:v>ca-2024-000255-ellis-v-ssj-appellant-skeleton</x:v>
      </x:c>
      <x:c r="D334" s="12" t="n">
        <x:v>46096.53400847222</x:v>
      </x:c>
      <x:c r="E334" s="1" t="str">
        <x:v>yes</x:v>
      </x:c>
      <x:c r="F334" s="14" t="str">
        <x:v>cmmrr64va000h04jvzuquhz2y</x:v>
      </x:c>
      <x:c r="G334" s="14" t="n">
        <x:v>13</x:v>
      </x:c>
      <x:c r="H334" s="14" t="str">
        <x:v>efac7fbc-592d-47a2-b244-e4f4b06cbabe</x:v>
      </x:c>
      <x:c r="I334" s="14" t="str">
        <x:v>R (Lucinda Vowles) v Secretary of State for Justice &amp; Anor [2015] EWCA Civ 56</x:v>
      </x:c>
      <x:c r="J334" s="14" t="str">
        <x:v>England and Wales Court of Appeal (Civil Division)</x:v>
      </x:c>
      <x:c r="K334" s="14" t="n">
        <x:v>2015</x:v>
      </x:c>
      <x:c r="L334" s="15" t="n">
        <x:v>0.6795537</x:v>
      </x:c>
      <x:c r="M334" s="14" t="n">
        <x:v>1</x:v>
      </x:c>
      <x:c r="N334" s="14" t="str"/>
    </x:row>
    <x:row r="335">
      <x:c r="A335" s="1" t="str">
        <x:v>cmmrr3vbb000b04jvglqzb8az</x:v>
      </x:c>
      <x:c r="B335" s="1" t="str">
        <x:v>cmmc45761000204jx6bd5kxqk</x:v>
      </x:c>
      <x:c r="C335" s="1" t="str">
        <x:v>ca-2024-000255-ellis-v-ssj-appellant-skeleton</x:v>
      </x:c>
      <x:c r="D335" s="12" t="n">
        <x:v>46096.53400847222</x:v>
      </x:c>
      <x:c r="E335" s="1" t="str">
        <x:v>yes</x:v>
      </x:c>
      <x:c r="F335" s="14" t="str">
        <x:v>cmmrr64va000h04jvzuquhz2y</x:v>
      </x:c>
      <x:c r="G335" s="14" t="n">
        <x:v>14</x:v>
      </x:c>
      <x:c r="H335" s="14" t="str">
        <x:v>1d58611b-b062-4aa4-81ee-fd9ff8ad13e0</x:v>
      </x:c>
      <x:c r="I335" s="14" t="str">
        <x:v>Foster v The Secretary of State for Justice [2015] EWCA Civ 281</x:v>
      </x:c>
      <x:c r="J335" s="14" t="str">
        <x:v>England and Wales Court of Appeal (Civil Division)</x:v>
      </x:c>
      <x:c r="K335" s="14" t="n">
        <x:v>2015</x:v>
      </x:c>
      <x:c r="L335" s="15" t="n">
        <x:v>0.67778134</x:v>
      </x:c>
      <x:c r="M335" s="14" t="n">
        <x:v>3</x:v>
      </x:c>
      <x:c r="N335" s="14" t="str"/>
    </x:row>
    <x:row r="336">
      <x:c r="A336" s="1" t="str">
        <x:v>cmmrr3vbb000b04jvglqzb8az</x:v>
      </x:c>
      <x:c r="B336" s="1" t="str">
        <x:v>cmmc45761000204jx6bd5kxqk</x:v>
      </x:c>
      <x:c r="C336" s="1" t="str">
        <x:v>ca-2024-000255-ellis-v-ssj-appellant-skeleton</x:v>
      </x:c>
      <x:c r="D336" s="12" t="n">
        <x:v>46096.53400847222</x:v>
      </x:c>
      <x:c r="E336" s="1" t="str">
        <x:v>yes</x:v>
      </x:c>
      <x:c r="F336" s="14" t="str">
        <x:v>cmmrr64va000h04jvzuquhz2y</x:v>
      </x:c>
      <x:c r="G336" s="14" t="n">
        <x:v>15</x:v>
      </x:c>
      <x:c r="H336" s="14" t="str">
        <x:v>6704e94e-e6b0-4dfe-b4c9-c5d695bdc6aa</x:v>
      </x:c>
      <x:c r="I336" s="14" t="str">
        <x:v>Pearce, R (On the Application Of) v Parole Board of England and Wales &amp; Anor [2022] EWCA Civ 4</x:v>
      </x:c>
      <x:c r="J336" s="14" t="str">
        <x:v>England and Wales Court of Appeal (Civil Division)</x:v>
      </x:c>
      <x:c r="K336" s="14" t="n">
        <x:v>2022</x:v>
      </x:c>
      <x:c r="L336" s="15" t="n">
        <x:v>0.67498744</x:v>
      </x:c>
      <x:c r="M336" s="14" t="n">
        <x:v>1</x:v>
      </x:c>
      <x:c r="N336" s="14" t="str">
        <x:v>[2020] EWHC 3437 (Admin)</x:v>
      </x:c>
    </x:row>
    <x:row r="337">
      <x:c r="A337" s="1" t="str">
        <x:v>cmmrr3vbb000b04jvglqzb8az</x:v>
      </x:c>
      <x:c r="B337" s="1" t="str">
        <x:v>cmmc45761000204jx6bd5kxqk</x:v>
      </x:c>
      <x:c r="C337" s="1" t="str">
        <x:v>ca-2024-000255-ellis-v-ssj-appellant-skeleton</x:v>
      </x:c>
      <x:c r="D337" s="12" t="n">
        <x:v>46096.53400847222</x:v>
      </x:c>
      <x:c r="E337" s="1" t="str">
        <x:v>yes</x:v>
      </x:c>
      <x:c r="F337" s="14" t="str">
        <x:v>cmmrr64va000h04jvzuquhz2y</x:v>
      </x:c>
      <x:c r="G337" s="14" t="n">
        <x:v>16</x:v>
      </x:c>
      <x:c r="H337" s="14" t="str">
        <x:v>be44e528-bdba-4691-afcc-c607a89fd1dc</x:v>
      </x:c>
      <x:c r="I337" s="14" t="str">
        <x:v>R (On the Application Of) v Secretary of State for the Home Department (Rev1) [2022] EWCA Civ 30</x:v>
      </x:c>
      <x:c r="J337" s="14" t="str">
        <x:v>England and Wales Court of Appeal (Civil Division)</x:v>
      </x:c>
      <x:c r="K337" s="14" t="n">
        <x:v>2022</x:v>
      </x:c>
      <x:c r="L337" s="15" t="n">
        <x:v>0.67432284</x:v>
      </x:c>
      <x:c r="M337" s="14" t="n">
        <x:v>1</x:v>
      </x:c>
      <x:c r="N337" s="14" t="str"/>
    </x:row>
    <x:row r="338">
      <x:c r="A338" s="1" t="str">
        <x:v>cmmrr3vbb000b04jvglqzb8az</x:v>
      </x:c>
      <x:c r="B338" s="1" t="str">
        <x:v>cmmc45761000204jx6bd5kxqk</x:v>
      </x:c>
      <x:c r="C338" s="1" t="str">
        <x:v>ca-2024-000255-ellis-v-ssj-appellant-skeleton</x:v>
      </x:c>
      <x:c r="D338" s="12" t="n">
        <x:v>46096.53400847222</x:v>
      </x:c>
      <x:c r="E338" s="1" t="str">
        <x:v>yes</x:v>
      </x:c>
      <x:c r="F338" s="14" t="str">
        <x:v>cmmrr64va000h04jvzuquhz2y</x:v>
      </x:c>
      <x:c r="G338" s="14" t="n">
        <x:v>17</x:v>
      </x:c>
      <x:c r="H338" s="14" t="str">
        <x:v>464b6335-7623-49ec-8536-df2bb3ae5a4d</x:v>
      </x:c>
      <x:c r="I338" s="14" t="str">
        <x:v>Parratt, R (on the application of) v Parole Board</x:v>
      </x:c>
      <x:c r="J338" s="14" t="str">
        <x:v>England and Wales Court of Appeal (Civil Division)</x:v>
      </x:c>
      <x:c r="K338" s="14" t="n">
        <x:v>2014</x:v>
      </x:c>
      <x:c r="L338" s="15" t="n">
        <x:v>0.6723873</x:v>
      </x:c>
      <x:c r="M338" s="14" t="n">
        <x:v>3</x:v>
      </x:c>
      <x:c r="N338" s="14" t="str">
        <x:v>R (James) v Secretary of State for Justice | R (Noorkoiv) v Secretary of State for the Home Department</x:v>
      </x:c>
    </x:row>
    <x:row r="339">
      <x:c r="A339" s="1" t="str">
        <x:v>cmmrr3vbb000b04jvglqzb8az</x:v>
      </x:c>
      <x:c r="B339" s="1" t="str">
        <x:v>cmmc45761000204jx6bd5kxqk</x:v>
      </x:c>
      <x:c r="C339" s="1" t="str">
        <x:v>ca-2024-000255-ellis-v-ssj-appellant-skeleton</x:v>
      </x:c>
      <x:c r="D339" s="12" t="n">
        <x:v>46096.53400847222</x:v>
      </x:c>
      <x:c r="E339" s="1" t="str">
        <x:v>yes</x:v>
      </x:c>
      <x:c r="F339" s="14" t="str">
        <x:v>cmmrr64va000h04jvzuquhz2y</x:v>
      </x:c>
      <x:c r="G339" s="14" t="n">
        <x:v>18</x:v>
      </x:c>
      <x:c r="H339" s="14" t="str">
        <x:v>c5a5edf0-4845-4195-a969-082c8b5afa2a</x:v>
      </x:c>
      <x:c r="I339" s="14" t="str">
        <x:v>BK &amp; Anor v The Secretary of State for Justice [2015] EWCA Civ 1259</x:v>
      </x:c>
      <x:c r="J339" s="14" t="str">
        <x:v>England and Wales Court of Appeal (Civil Division)</x:v>
      </x:c>
      <x:c r="K339" s="14" t="n">
        <x:v>2015</x:v>
      </x:c>
      <x:c r="L339" s="15" t="n">
        <x:v>0.67228234</x:v>
      </x:c>
      <x:c r="M339" s="14" t="n">
        <x:v>2</x:v>
      </x:c>
      <x:c r="N339" s="14" t="str">
        <x:v>European Convention on Human Rights</x:v>
      </x:c>
    </x:row>
    <x:row r="340">
      <x:c r="A340" s="1" t="str">
        <x:v>cmmrr3vbb000b04jvglqzb8az</x:v>
      </x:c>
      <x:c r="B340" s="1" t="str">
        <x:v>cmmc45761000204jx6bd5kxqk</x:v>
      </x:c>
      <x:c r="C340" s="1" t="str">
        <x:v>ca-2024-000255-ellis-v-ssj-appellant-skeleton</x:v>
      </x:c>
      <x:c r="D340" s="12" t="n">
        <x:v>46096.53400847222</x:v>
      </x:c>
      <x:c r="E340" s="1" t="str">
        <x:v>yes</x:v>
      </x:c>
      <x:c r="F340" s="14" t="str">
        <x:v>cmmrr64va000h04jvzuquhz2y</x:v>
      </x:c>
      <x:c r="G340" s="14" t="n">
        <x:v>19</x:v>
      </x:c>
      <x:c r="H340" s="14" t="str">
        <x:v>e0841efc-ccd5-4584-a6eb-43b4c0d281dd</x:v>
      </x:c>
      <x:c r="I340" s="14" t="str">
        <x:v>SXH v Crown Prosecution Service [2014] EWCA Civ 90</x:v>
      </x:c>
      <x:c r="J340" s="14" t="str">
        <x:v>England and Wales Court of Appeal (Civil Division)</x:v>
      </x:c>
      <x:c r="K340" s="14" t="n">
        <x:v>2014</x:v>
      </x:c>
      <x:c r="L340" s="15" t="n">
        <x:v>0.67084074</x:v>
      </x:c>
      <x:c r="M340" s="14" t="n">
        <x:v>1</x:v>
      </x:c>
      <x:c r="N340" s="14" t="str"/>
    </x:row>
    <x:row r="341">
      <x:c r="A341" s="1" t="str">
        <x:v>cmmrr3vbb000b04jvglqzb8az</x:v>
      </x:c>
      <x:c r="B341" s="1" t="str">
        <x:v>cmmc45761000204jx6bd5kxqk</x:v>
      </x:c>
      <x:c r="C341" s="1" t="str">
        <x:v>ca-2024-000255-ellis-v-ssj-appellant-skeleton</x:v>
      </x:c>
      <x:c r="D341" s="12" t="n">
        <x:v>46096.53400847222</x:v>
      </x:c>
      <x:c r="E341" s="1" t="str">
        <x:v>yes</x:v>
      </x:c>
      <x:c r="F341" s="14" t="str">
        <x:v>cmmrr64va000h04jvzuquhz2y</x:v>
      </x:c>
      <x:c r="G341" s="14" t="n">
        <x:v>20</x:v>
      </x:c>
      <x:c r="H341" s="14" t="str">
        <x:v>9826ea30-d68f-4beb-b85e-e38b5e1c7cae</x:v>
      </x:c>
      <x:c r="I341" s="14" t="str">
        <x:v>C3 &amp; Anor v The Secretary of State for Foreign, Commonwealth &amp; Development Affairs [2023] EWCA Civ 444</x:v>
      </x:c>
      <x:c r="J341" s="14" t="str">
        <x:v>England and Wales Court of Appeal (Civil Division)</x:v>
      </x:c>
      <x:c r="K341" s="14" t="n">
        <x:v>2023</x:v>
      </x:c>
      <x:c r="L341" s="15" t="n">
        <x:v>0.6703315</x:v>
      </x:c>
      <x:c r="M341" s="14" t="n">
        <x:v>2</x:v>
      </x:c>
      <x:c r="N341" s="14" t="str">
        <x:v>[2022] EWHC 2772 (Admin) | [2011] EWCA Civ 1540 | [2012] EWCA Civ 182 | O'Brien (1923) | Rahmatullah | Ex p Muboyayi | Mwenya</x:v>
      </x:c>
    </x:row>
    <x:row r="342">
      <x:c r="A342" s="1" t="str">
        <x:v>cmmshur54000b04jsgyo6bz98</x:v>
      </x:c>
      <x:c r="B342" s="1" t="str">
        <x:v>cmmshtbz8000204jsdrli49qe</x:v>
      </x:c>
      <x:c r="C342" s="1" t="str">
        <x:v>karpasitis-v-hertfordshire-county-council</x:v>
      </x:c>
      <x:c r="D342" s="12" t="n">
        <x:v>46097.053965983796</x:v>
      </x:c>
      <x:c r="E342" s="1" t="str">
        <x:v>yes</x:v>
      </x:c>
      <x:c r="F342" s="14" t="str">
        <x:v>cmmsi1xqb000h04jsef3v6skf | cmmsiews2000304lgc3ooyg67</x:v>
      </x:c>
      <x:c r="G342" s="14" t="n">
        <x:v>1</x:v>
      </x:c>
      <x:c r="H342" s="14" t="str">
        <x:v>bc30491e-9ae6-48da-90d0-71d8a8069b22</x:v>
      </x:c>
      <x:c r="I342" s="14" t="str">
        <x:v>Gorringe v. Calderdale Metropolitan Borough Council</x:v>
      </x:c>
      <x:c r="J342" s="14" t="str">
        <x:v>United Kingdom House of Lords</x:v>
      </x:c>
      <x:c r="K342" s="14" t="n">
        <x:v>2004</x:v>
      </x:c>
      <x:c r="L342" s="15" t="n">
        <x:v>0.74852216</x:v>
      </x:c>
      <x:c r="M342" s="14" t="n">
        <x:v>4</x:v>
      </x:c>
      <x:c r="N342" s="14" t="str">
        <x:v>X (Minors) v Bedfordshire County Council | Stovin v Wise | Road Traffic Act 1988 | Larner v Solihull Metropolitan Borough Council</x:v>
      </x:c>
    </x:row>
    <x:row r="343">
      <x:c r="A343" s="1" t="str">
        <x:v>cmmshur54000b04jsgyo6bz98</x:v>
      </x:c>
      <x:c r="B343" s="1" t="str">
        <x:v>cmmshtbz8000204jsdrli49qe</x:v>
      </x:c>
      <x:c r="C343" s="1" t="str">
        <x:v>karpasitis-v-hertfordshire-county-council</x:v>
      </x:c>
      <x:c r="D343" s="12" t="n">
        <x:v>46097.053965983796</x:v>
      </x:c>
      <x:c r="E343" s="1" t="str">
        <x:v>yes</x:v>
      </x:c>
      <x:c r="F343" s="14" t="str">
        <x:v>cmmsi1xqb000h04jsef3v6skf | cmmsiews2000304lgc3ooyg67</x:v>
      </x:c>
      <x:c r="G343" s="14" t="n">
        <x:v>2</x:v>
      </x:c>
      <x:c r="H343" s="14" t="str">
        <x:v>70c75405-8cba-40e2-92ff-8302ea4f6789</x:v>
      </x:c>
      <x:c r="I343" s="14" t="str">
        <x:v>Griffiths v Gwynedd County Council [2015] EWCA Civ 1440</x:v>
      </x:c>
      <x:c r="J343" s="14" t="str">
        <x:v>England and Wales Court of Appeal (Civil Division)</x:v>
      </x:c>
      <x:c r="K343" s="14" t="n">
        <x:v>2015</x:v>
      </x:c>
      <x:c r="L343" s="15" t="n">
        <x:v>0.7043708</x:v>
      </x:c>
      <x:c r="M343" s="14" t="n">
        <x:v>3</x:v>
      </x:c>
      <x:c r="N343" s="14" t="str">
        <x:v>Mills v Barnsley Metropolitan Borough Council | Jones v Rhondda Cynon Taff County Borough Council | Goodes v East Sussex County Council</x:v>
      </x:c>
    </x:row>
    <x:row r="344">
      <x:c r="A344" s="1" t="str">
        <x:v>cmmshur54000b04jsgyo6bz98</x:v>
      </x:c>
      <x:c r="B344" s="1" t="str">
        <x:v>cmmshtbz8000204jsdrli49qe</x:v>
      </x:c>
      <x:c r="C344" s="1" t="str">
        <x:v>karpasitis-v-hertfordshire-county-council</x:v>
      </x:c>
      <x:c r="D344" s="12" t="n">
        <x:v>46097.053965983796</x:v>
      </x:c>
      <x:c r="E344" s="1" t="str">
        <x:v>yes</x:v>
      </x:c>
      <x:c r="F344" s="14" t="str">
        <x:v>cmmsi1xqb000h04jsef3v6skf | cmmsiews2000304lgc3ooyg67</x:v>
      </x:c>
      <x:c r="G344" s="14" t="n">
        <x:v>3</x:v>
      </x:c>
      <x:c r="H344" s="14" t="str">
        <x:v>aeeec773-897a-43bf-a319-7d0c8a133974</x:v>
      </x:c>
      <x:c r="I344" s="14" t="str">
        <x:v>The Secretary of State for Transport &amp; Anor v Cuciurean [2022] EWCA Civ 661</x:v>
      </x:c>
      <x:c r="J344" s="14" t="str">
        <x:v>England and Wales Court of Appeal (Civil Division)</x:v>
      </x:c>
      <x:c r="K344" s="14" t="n">
        <x:v>2022</x:v>
      </x:c>
      <x:c r="L344" s="15" t="n">
        <x:v>0.7015322</x:v>
      </x:c>
      <x:c r="M344" s="14" t="n">
        <x:v>1</x:v>
      </x:c>
      <x:c r="N344" s="14" t="str">
        <x:v>A-G v Crosland | National Highways v Heyatawin | Constantinescu v Romania | Yaxley-Lennon | Solanki v Intercity Telecom | Calderdale v Atwal</x:v>
      </x:c>
    </x:row>
    <x:row r="345">
      <x:c r="A345" s="1" t="str">
        <x:v>cmmshur54000b04jsgyo6bz98</x:v>
      </x:c>
      <x:c r="B345" s="1" t="str">
        <x:v>cmmshtbz8000204jsdrli49qe</x:v>
      </x:c>
      <x:c r="C345" s="1" t="str">
        <x:v>karpasitis-v-hertfordshire-county-council</x:v>
      </x:c>
      <x:c r="D345" s="12" t="n">
        <x:v>46097.053965983796</x:v>
      </x:c>
      <x:c r="E345" s="1" t="str">
        <x:v>yes</x:v>
      </x:c>
      <x:c r="F345" s="14" t="str">
        <x:v>cmmsi1xqb000h04jsef3v6skf | cmmsiews2000304lgc3ooyg67</x:v>
      </x:c>
      <x:c r="G345" s="14" t="n">
        <x:v>4</x:v>
      </x:c>
      <x:c r="H345" s="14" t="str">
        <x:v>52d20bb9-6964-44a6-9c32-d191ef76297c</x:v>
      </x:c>
      <x:c r="I345" s="14" t="str">
        <x:v>King Lifting Ltd v Oxfordshire County Council [2016] EWHC 1767 (QB)</x:v>
      </x:c>
      <x:c r="J345" s="14" t="str">
        <x:v>England and Wales High Court (Queen's Bench Division)</x:v>
      </x:c>
      <x:c r="K345" s="14" t="n">
        <x:v>2016</x:v>
      </x:c>
      <x:c r="L345" s="15" t="n">
        <x:v>0.70050514</x:v>
      </x:c>
      <x:c r="M345" s="14" t="n">
        <x:v>4</x:v>
      </x:c>
      <x:c r="N345" s="14" t="str">
        <x:v>Highways Act 1980 | Goodes v East Sussex CC [2000] 1 WLR 1356</x:v>
      </x:c>
    </x:row>
    <x:row r="346">
      <x:c r="A346" s="1" t="str">
        <x:v>cmmshur54000b04jsgyo6bz98</x:v>
      </x:c>
      <x:c r="B346" s="1" t="str">
        <x:v>cmmshtbz8000204jsdrli49qe</x:v>
      </x:c>
      <x:c r="C346" s="1" t="str">
        <x:v>karpasitis-v-hertfordshire-county-council</x:v>
      </x:c>
      <x:c r="D346" s="12" t="n">
        <x:v>46097.053965983796</x:v>
      </x:c>
      <x:c r="E346" s="1" t="str">
        <x:v>yes</x:v>
      </x:c>
      <x:c r="F346" s="14" t="str">
        <x:v>cmmsi1xqb000h04jsef3v6skf | cmmsiews2000304lgc3ooyg67</x:v>
      </x:c>
      <x:c r="G346" s="14" t="n">
        <x:v>5</x:v>
      </x:c>
      <x:c r="H346" s="14" t="str">
        <x:v>2eaaf060-799f-4573-a18a-86e5c14b158b</x:v>
      </x:c>
      <x:c r="I346" s="14" t="str">
        <x:v>National Grid Electricity Transmission Plc v Arnold White Estates Ltd [2014] EWCA Civ 216</x:v>
      </x:c>
      <x:c r="J346" s="14" t="str">
        <x:v>England and Wales Court of Appeal (Civil Division)</x:v>
      </x:c>
      <x:c r="K346" s="14" t="n">
        <x:v>2014</x:v>
      </x:c>
      <x:c r="L346" s="15" t="n">
        <x:v>0.69317305</x:v>
      </x:c>
      <x:c r="M346" s="14" t="n">
        <x:v>1</x:v>
      </x:c>
      <x:c r="N346" s="14" t="str">
        <x:v>Oppenheimer v Minister of Transport</x:v>
      </x:c>
    </x:row>
    <x:row r="347">
      <x:c r="A347" s="1" t="str">
        <x:v>cmmshur54000b04jsgyo6bz98</x:v>
      </x:c>
      <x:c r="B347" s="1" t="str">
        <x:v>cmmshtbz8000204jsdrli49qe</x:v>
      </x:c>
      <x:c r="C347" s="1" t="str">
        <x:v>karpasitis-v-hertfordshire-county-council</x:v>
      </x:c>
      <x:c r="D347" s="12" t="n">
        <x:v>46097.053965983796</x:v>
      </x:c>
      <x:c r="E347" s="1" t="str">
        <x:v>yes</x:v>
      </x:c>
      <x:c r="F347" s="14" t="str">
        <x:v>cmmsi1xqb000h04jsef3v6skf | cmmsiews2000304lgc3ooyg67</x:v>
      </x:c>
      <x:c r="G347" s="14" t="n">
        <x:v>6</x:v>
      </x:c>
      <x:c r="H347" s="14" t="str">
        <x:v>70a54b3a-6d86-473d-ac2f-607d9cecd2d7</x:v>
      </x:c>
      <x:c r="I347" s="14" t="str">
        <x:v>Redrow Homes Ltd, R (on the Application of) v Knowsley Metropolitan Borough Council [2014] EWCA Civ 1433</x:v>
      </x:c>
      <x:c r="J347" s="14" t="str">
        <x:v>England and Wales Court of Appeal (Civil Division)</x:v>
      </x:c>
      <x:c r="K347" s="14" t="n">
        <x:v>2014</x:v>
      </x:c>
      <x:c r="L347" s="15" t="n">
        <x:v>0.68203115</x:v>
      </x:c>
      <x:c r="M347" s="14" t="n">
        <x:v>2</x:v>
      </x:c>
      <x:c r="N347" s="14" t="str">
        <x:v>Highways Act 1980, section 38 | Highways Act 1980, section 44 | Highways Act 1980</x:v>
      </x:c>
    </x:row>
    <x:row r="348">
      <x:c r="A348" s="1" t="str">
        <x:v>cmmshur54000b04jsgyo6bz98</x:v>
      </x:c>
      <x:c r="B348" s="1" t="str">
        <x:v>cmmshtbz8000204jsdrli49qe</x:v>
      </x:c>
      <x:c r="C348" s="1" t="str">
        <x:v>karpasitis-v-hertfordshire-county-council</x:v>
      </x:c>
      <x:c r="D348" s="12" t="n">
        <x:v>46097.053965983796</x:v>
      </x:c>
      <x:c r="E348" s="1" t="str">
        <x:v>yes</x:v>
      </x:c>
      <x:c r="F348" s="14" t="str">
        <x:v>cmmsi1xqb000h04jsef3v6skf | cmmsiews2000304lgc3ooyg67</x:v>
      </x:c>
      <x:c r="G348" s="14" t="n">
        <x:v>7</x:v>
      </x:c>
      <x:c r="H348" s="14" t="str">
        <x:v>0b882e45-d34e-49f7-baae-3d5657d1ccc6</x:v>
      </x:c>
      <x:c r="I348" s="14" t="str">
        <x:v>Alan Kind v. Newcastle-Upon-Tyne Council [2001] EWHC Admin 616</x:v>
      </x:c>
      <x:c r="J348" s="14" t="str">
        <x:v>England and Wales High Court (Administrative Court)</x:v>
      </x:c>
      <x:c r="K348" s="14" t="n">
        <x:v>2001</x:v>
      </x:c>
      <x:c r="L348" s="15" t="n">
        <x:v>0.677006</x:v>
      </x:c>
      <x:c r="M348" s="14" t="n">
        <x:v>3</x:v>
      </x:c>
      <x:c r="N348" s="14" t="str">
        <x:v>Highways Act 1980 | Burnside v Emerson [1968]</x:v>
      </x:c>
    </x:row>
    <x:row r="349">
      <x:c r="A349" s="1" t="str">
        <x:v>cmmshur54000b04jsgyo6bz98</x:v>
      </x:c>
      <x:c r="B349" s="1" t="str">
        <x:v>cmmshtbz8000204jsdrli49qe</x:v>
      </x:c>
      <x:c r="C349" s="1" t="str">
        <x:v>karpasitis-v-hertfordshire-county-council</x:v>
      </x:c>
      <x:c r="D349" s="12" t="n">
        <x:v>46097.053965983796</x:v>
      </x:c>
      <x:c r="E349" s="1" t="str">
        <x:v>yes</x:v>
      </x:c>
      <x:c r="F349" s="14" t="str">
        <x:v>cmmsi1xqb000h04jsef3v6skf | cmmsiews2000304lgc3ooyg67</x:v>
      </x:c>
      <x:c r="G349" s="14" t="n">
        <x:v>8</x:v>
      </x:c>
      <x:c r="H349" s="14" t="str">
        <x:v>d34db962-c7f4-46f4-9a77-df6d760ca7c4</x:v>
      </x:c>
      <x:c r="I349" s="14" t="str">
        <x:v>Watts v Stewart &amp; Ors [2016] EWCA Civ 1247</x:v>
      </x:c>
      <x:c r="J349" s="14" t="str">
        <x:v>England and Wales Court of Appeal (Civil Division)</x:v>
      </x:c>
      <x:c r="K349" s="14" t="n">
        <x:v>2016</x:v>
      </x:c>
      <x:c r="L349" s="15" t="n">
        <x:v>0.67585236</x:v>
      </x:c>
      <x:c r="M349" s="14" t="n">
        <x:v>1</x:v>
      </x:c>
      <x:c r="N349" s="14" t="str">
        <x:v>Street v Mountford | Gray v Taylor | Errington v Errington | Allan v Liverpool Overseers | Radaich v Smith | Southward Housing Co-operative v Walker | McDonald v McDonald | Larkos v Cyprus</x:v>
      </x:c>
    </x:row>
    <x:row r="350">
      <x:c r="A350" s="1" t="str">
        <x:v>cmmshur54000b04jsgyo6bz98</x:v>
      </x:c>
      <x:c r="B350" s="1" t="str">
        <x:v>cmmshtbz8000204jsdrli49qe</x:v>
      </x:c>
      <x:c r="C350" s="1" t="str">
        <x:v>karpasitis-v-hertfordshire-county-council</x:v>
      </x:c>
      <x:c r="D350" s="12" t="n">
        <x:v>46097.053965983796</x:v>
      </x:c>
      <x:c r="E350" s="1" t="str">
        <x:v>yes</x:v>
      </x:c>
      <x:c r="F350" s="14" t="str">
        <x:v>cmmsi1xqb000h04jsef3v6skf | cmmsiews2000304lgc3ooyg67</x:v>
      </x:c>
      <x:c r="G350" s="14" t="n">
        <x:v>9</x:v>
      </x:c>
      <x:c r="H350" s="14" t="str">
        <x:v>5a42b4bc-fe8f-47be-9b13-869933b2ddff</x:v>
      </x:c>
      <x:c r="I350" s="14" t="str">
        <x:v>Yetkin v London Borough of Newham ([2010] EWCA Civ 776)</x:v>
      </x:c>
      <x:c r="J350" s="14" t="str">
        <x:v>England and Wales Court of Appeal (Civil Division)</x:v>
      </x:c>
      <x:c r="K350" s="14" t="n">
        <x:v>2010</x:v>
      </x:c>
      <x:c r="L350" s="15" t="n">
        <x:v>0.67497915</x:v>
      </x:c>
      <x:c r="M350" s="14" t="n">
        <x:v>2</x:v>
      </x:c>
      <x:c r="N350" s="14" t="str">
        <x:v>Gorringe v Calderdale Metropolitan Borough Council</x:v>
      </x:c>
    </x:row>
    <x:row r="351">
      <x:c r="A351" s="1" t="str">
        <x:v>cmmshur54000b04jsgyo6bz98</x:v>
      </x:c>
      <x:c r="B351" s="1" t="str">
        <x:v>cmmshtbz8000204jsdrli49qe</x:v>
      </x:c>
      <x:c r="C351" s="1" t="str">
        <x:v>karpasitis-v-hertfordshire-county-council</x:v>
      </x:c>
      <x:c r="D351" s="12" t="n">
        <x:v>46097.053965983796</x:v>
      </x:c>
      <x:c r="E351" s="1" t="str">
        <x:v>yes</x:v>
      </x:c>
      <x:c r="F351" s="14" t="str">
        <x:v>cmmsi1xqb000h04jsef3v6skf | cmmsiews2000304lgc3ooyg67</x:v>
      </x:c>
      <x:c r="G351" s="14" t="n">
        <x:v>10</x:v>
      </x:c>
      <x:c r="H351" s="14" t="str">
        <x:v>ef69364f-1f4a-4944-86e4-73329cef96a0</x:v>
      </x:c>
      <x:c r="I351" s="14" t="str">
        <x:v>Littlejohns &amp; Anor v Devon County Council &amp; Anor [2016] EWCA Civ 446</x:v>
      </x:c>
      <x:c r="J351" s="14" t="str">
        <x:v>England and Wales Court of Appeal (Civil Division)</x:v>
      </x:c>
      <x:c r="K351" s="14" t="n">
        <x:v>2016</x:v>
      </x:c>
      <x:c r="L351" s="15" t="n">
        <x:v>0.6735521</x:v>
      </x:c>
      <x:c r="M351" s="14" t="n">
        <x:v>1</x:v>
      </x:c>
      <x:c r="N351" s="14" t="str">
        <x:v>Central Electricity Generating Board v Clwyd County Council | Oxfordshire County Council v Oxford City Council | Hampshire County Council v Milburn | Bakewell Management Ltd v Brandwood | Neaverson v Peterborough RDC | Corpus Christi College v Gloucestershire County Council | Trap Grounds case | Newhaven Port &amp; Properties Ltd v East Sussex CC</x:v>
      </x:c>
    </x:row>
    <x:row r="352">
      <x:c r="A352" s="1" t="str">
        <x:v>cmmshur54000b04jsgyo6bz98</x:v>
      </x:c>
      <x:c r="B352" s="1" t="str">
        <x:v>cmmshtbz8000204jsdrli49qe</x:v>
      </x:c>
      <x:c r="C352" s="1" t="str">
        <x:v>karpasitis-v-hertfordshire-county-council</x:v>
      </x:c>
      <x:c r="D352" s="12" t="n">
        <x:v>46097.053965983796</x:v>
      </x:c>
      <x:c r="E352" s="1" t="str">
        <x:v>yes</x:v>
      </x:c>
      <x:c r="F352" s="14" t="str">
        <x:v>cmmsi1xqb000h04jsef3v6skf | cmmsiews2000304lgc3ooyg67</x:v>
      </x:c>
      <x:c r="G352" s="14" t="n">
        <x:v>11</x:v>
      </x:c>
      <x:c r="H352" s="14" t="str">
        <x:v>70d43223-0ec6-458b-b052-bdc295e0d6ec</x:v>
      </x:c>
      <x:c r="I352" s="14" t="str">
        <x:v>Brown &amp; Ors v South West Lakes Trust &amp; Ors [2022] EWCA Civ 18</x:v>
      </x:c>
      <x:c r="J352" s="14" t="str">
        <x:v>England and Wales Court of Appeal (Civil Division)</x:v>
      </x:c>
      <x:c r="K352" s="14" t="n">
        <x:v>2022</x:v>
      </x:c>
      <x:c r="L352" s="15" t="n">
        <x:v>0.673115</x:v>
      </x:c>
      <x:c r="M352" s="14" t="n">
        <x:v>4</x:v>
      </x:c>
      <x:c r="N352" s="14" t="str">
        <x:v>Okpabi v Royal Dutch Shell plc [2021] UKSC 3 | Donoghue v Folkestone Properties Limited [2003] EWCA Civ 231 | Tomlinson v Congleton [2003] UKHL 53 | Countryside and Rights of Way Act 2000 | Donoghue v Folkestone Properties Ltd [2003] EWCA Civ 231</x:v>
      </x:c>
    </x:row>
    <x:row r="353">
      <x:c r="A353" s="1" t="str">
        <x:v>cmmshur54000b04jsgyo6bz98</x:v>
      </x:c>
      <x:c r="B353" s="1" t="str">
        <x:v>cmmshtbz8000204jsdrli49qe</x:v>
      </x:c>
      <x:c r="C353" s="1" t="str">
        <x:v>karpasitis-v-hertfordshire-county-council</x:v>
      </x:c>
      <x:c r="D353" s="12" t="n">
        <x:v>46097.053965983796</x:v>
      </x:c>
      <x:c r="E353" s="1" t="str">
        <x:v>yes</x:v>
      </x:c>
      <x:c r="F353" s="14" t="str">
        <x:v>cmmsi1xqb000h04jsef3v6skf | cmmsiews2000304lgc3ooyg67</x:v>
      </x:c>
      <x:c r="G353" s="14" t="n">
        <x:v>12</x:v>
      </x:c>
      <x:c r="H353" s="14" t="str">
        <x:v>0af9689e-f55a-4b42-8c7d-e7ef4d3d1bdc</x:v>
      </x:c>
      <x:c r="I353" s="14" t="str">
        <x:v>Hughes v Rattan (Rev1) [2022] EWCA Civ 107</x:v>
      </x:c>
      <x:c r="J353" s="14" t="str">
        <x:v>England and Wales Court of Appeal (Civil Division)</x:v>
      </x:c>
      <x:c r="K353" s="14" t="n">
        <x:v>2022</x:v>
      </x:c>
      <x:c r="L353" s="15" t="n">
        <x:v>0.67116934</x:v>
      </x:c>
      <x:c r="M353" s="14" t="n">
        <x:v>1</x:v>
      </x:c>
      <x:c r="N353" s="14" t="str">
        <x:v>Gold v Essex County Council | Cassidy v Ministry of Health | Roe v Ministry of Health | A (a Child) v Ministry of Defence | Farraj v King's Healthcare NHS Trust | Ward LJ in E v English Province of Our Lady of Charity | Christian Brothers | Cox v Ministry of Justice | Barclays Bank plc</x:v>
      </x:c>
    </x:row>
    <x:row r="354">
      <x:c r="A354" s="1" t="str">
        <x:v>cmmshur54000b04jsgyo6bz98</x:v>
      </x:c>
      <x:c r="B354" s="1" t="str">
        <x:v>cmmshtbz8000204jsdrli49qe</x:v>
      </x:c>
      <x:c r="C354" s="1" t="str">
        <x:v>karpasitis-v-hertfordshire-county-council</x:v>
      </x:c>
      <x:c r="D354" s="12" t="n">
        <x:v>46097.053965983796</x:v>
      </x:c>
      <x:c r="E354" s="1" t="str">
        <x:v>yes</x:v>
      </x:c>
      <x:c r="F354" s="14" t="str">
        <x:v>cmmsi1xqb000h04jsef3v6skf | cmmsiews2000304lgc3ooyg67</x:v>
      </x:c>
      <x:c r="G354" s="14" t="n">
        <x:v>13</x:v>
      </x:c>
      <x:c r="H354" s="14" t="str">
        <x:v>e16d7203-6f9e-4896-96e0-d021cb6f5579</x:v>
      </x:c>
      <x:c r="I354" s="14" t="str">
        <x:v>Edwards v London Borough of Sutton [2016] EWCA Civ 1005</x:v>
      </x:c>
      <x:c r="J354" s="14" t="str">
        <x:v>England and Wales Court of Appeal (Civil Division)</x:v>
      </x:c>
      <x:c r="K354" s="14" t="n">
        <x:v>2016</x:v>
      </x:c>
      <x:c r="L354" s="15" t="n">
        <x:v>0.669641</x:v>
      </x:c>
      <x:c r="M354" s="14" t="n">
        <x:v>1</x:v>
      </x:c>
      <x:c r="N354" s="14" t="str">
        <x:v>Hughes v Lord Advocate | Tomlinson v Congleton BC | Staples v W Dorset DC | McGivney v Golderslea Ltd | Japp v Virgin Holidays Ltd | Uren v Corporate Leisure (UK) Ltd | Nicholls v Ladbrokes Betting &amp; Gaming Ltd | Cotton v Derbyshire Dales District Council | Corbett v Cumbria Kart Racing Club</x:v>
      </x:c>
    </x:row>
    <x:row r="355">
      <x:c r="A355" s="1" t="str">
        <x:v>cmmshur54000b04jsgyo6bz98</x:v>
      </x:c>
      <x:c r="B355" s="1" t="str">
        <x:v>cmmshtbz8000204jsdrli49qe</x:v>
      </x:c>
      <x:c r="C355" s="1" t="str">
        <x:v>karpasitis-v-hertfordshire-county-council</x:v>
      </x:c>
      <x:c r="D355" s="12" t="n">
        <x:v>46097.053965983796</x:v>
      </x:c>
      <x:c r="E355" s="1" t="str">
        <x:v>yes</x:v>
      </x:c>
      <x:c r="F355" s="14" t="str">
        <x:v>cmmsi1xqb000h04jsef3v6skf | cmmsiews2000304lgc3ooyg67</x:v>
      </x:c>
      <x:c r="G355" s="14" t="n">
        <x:v>14</x:v>
      </x:c>
      <x:c r="H355" s="14" t="str">
        <x:v>6cd7db33-7ee1-44c0-9219-b2cc7d57d88b</x:v>
      </x:c>
      <x:c r="I355" s="14" t="str">
        <x:v>Smith v Secretary of State for Levelling Up, Housing &amp; Communities &amp; Anor [2022] EWCA Civ 1391</x:v>
      </x:c>
      <x:c r="J355" s="14" t="str">
        <x:v>England and Wales Court of Appeal (Civil Division)</x:v>
      </x:c>
      <x:c r="K355" s="14" t="n">
        <x:v>2022</x:v>
      </x:c>
      <x:c r="L355" s="15" t="n">
        <x:v>0.6686787</x:v>
      </x:c>
      <x:c r="M355" s="14" t="n">
        <x:v>1</x:v>
      </x:c>
      <x:c r="N355" s="14" t="str">
        <x:v>Bank Mellat v HM Treasury (No 2) | Oakes | Stec v United Kingdom | Chapman v United Kingdom | R (Ward) v Hillingdon | Wrexham County Borough Council v NAC Wales | Basildon (and related)</x:v>
      </x:c>
    </x:row>
    <x:row r="356">
      <x:c r="A356" s="1" t="str">
        <x:v>cmmshur54000b04jsgyo6bz98</x:v>
      </x:c>
      <x:c r="B356" s="1" t="str">
        <x:v>cmmshtbz8000204jsdrli49qe</x:v>
      </x:c>
      <x:c r="C356" s="1" t="str">
        <x:v>karpasitis-v-hertfordshire-county-council</x:v>
      </x:c>
      <x:c r="D356" s="12" t="n">
        <x:v>46097.053965983796</x:v>
      </x:c>
      <x:c r="E356" s="1" t="str">
        <x:v>yes</x:v>
      </x:c>
      <x:c r="F356" s="14" t="str">
        <x:v>cmmsi1xqb000h04jsef3v6skf | cmmsiews2000304lgc3ooyg67</x:v>
      </x:c>
      <x:c r="G356" s="14" t="n">
        <x:v>15</x:v>
      </x:c>
      <x:c r="H356" s="14" t="str">
        <x:v>54d149f2-2e02-477e-8541-b2bf222578d6</x:v>
      </x:c>
      <x:c r="I356" s="14" t="str">
        <x:v>Union of Shop, Distributive and Allied Workers &amp; Ors v Tesco Stores Ltd (2022) EWCA Civ 978</x:v>
      </x:c>
      <x:c r="J356" s="14" t="str">
        <x:v>England and Wales Court of Appeal (Civil Division)</x:v>
      </x:c>
      <x:c r="K356" s="14" t="n">
        <x:v>2022</x:v>
      </x:c>
      <x:c r="L356" s="15" t="n">
        <x:v>0.6679914</x:v>
      </x:c>
      <x:c r="M356" s="14" t="n">
        <x:v>1</x:v>
      </x:c>
      <x:c r="N356" s="14" t="str">
        <x:v>Chartbrook Ltd v Persimmon Homes Ltd | Johnson v Unisys Ltd | Addis v Gramophone Co | Woodhouse Ltd v Nigerian Produce Co | Yoo Design Services Ltd v Ilive Realty PTE Ltd | Aspden | Reda v Flag Ltd | Chhabra v West London Mental Health NHS Trust | Edwards v Chesterfield Royal Hospital NHS Foundation Trust</x:v>
      </x:c>
    </x:row>
    <x:row r="357">
      <x:c r="A357" s="1" t="str">
        <x:v>cmmshur54000b04jsgyo6bz98</x:v>
      </x:c>
      <x:c r="B357" s="1" t="str">
        <x:v>cmmshtbz8000204jsdrli49qe</x:v>
      </x:c>
      <x:c r="C357" s="1" t="str">
        <x:v>karpasitis-v-hertfordshire-county-council</x:v>
      </x:c>
      <x:c r="D357" s="12" t="n">
        <x:v>46097.053965983796</x:v>
      </x:c>
      <x:c r="E357" s="1" t="str">
        <x:v>yes</x:v>
      </x:c>
      <x:c r="F357" s="14" t="str">
        <x:v>cmmsi1xqb000h04jsef3v6skf | cmmsiews2000304lgc3ooyg67</x:v>
      </x:c>
      <x:c r="G357" s="14" t="n">
        <x:v>16</x:v>
      </x:c>
      <x:c r="H357" s="14" t="str">
        <x:v>cf573360-3fce-450e-8c42-e7af981c74f8</x:v>
      </x:c>
      <x:c r="I357" s="14" t="str">
        <x:v>Cocking &amp; Anor v Eacott &amp; Anor [2016] EWCA Civ 140</x:v>
      </x:c>
      <x:c r="J357" s="14" t="str">
        <x:v>England and Wales Court of Appeal (Civil Division)</x:v>
      </x:c>
      <x:c r="K357" s="14" t="n">
        <x:v>2016</x:v>
      </x:c>
      <x:c r="L357" s="15" t="n">
        <x:v>0.6678225</x:v>
      </x:c>
      <x:c r="M357" s="14" t="n">
        <x:v>1</x:v>
      </x:c>
      <x:c r="N357" s="14" t="str">
        <x:v>Sedleigh-Denfield v O'Callaghan | Page Motors Ltd v Epsom &amp; Ewell BC | Winch v Mid-Bedfordshire DC | Hussain v Lancaster CC | Lawrence v Fen Tigers (No. 2) | Southwark London Borough Council v Mills | White v Jameson | Malzy v Eichholz</x:v>
      </x:c>
    </x:row>
    <x:row r="358">
      <x:c r="A358" s="1" t="str">
        <x:v>cmmshur54000b04jsgyo6bz98</x:v>
      </x:c>
      <x:c r="B358" s="1" t="str">
        <x:v>cmmshtbz8000204jsdrli49qe</x:v>
      </x:c>
      <x:c r="C358" s="1" t="str">
        <x:v>karpasitis-v-hertfordshire-county-council</x:v>
      </x:c>
      <x:c r="D358" s="12" t="n">
        <x:v>46097.053965983796</x:v>
      </x:c>
      <x:c r="E358" s="1" t="str">
        <x:v>yes</x:v>
      </x:c>
      <x:c r="F358" s="14" t="str">
        <x:v>cmmsi1xqb000h04jsef3v6skf | cmmsiews2000304lgc3ooyg67</x:v>
      </x:c>
      <x:c r="G358" s="14" t="n">
        <x:v>17</x:v>
      </x:c>
      <x:c r="H358" s="14" t="str">
        <x:v>1ae781af-c482-402d-b18c-8d4c33432b24</x:v>
      </x:c>
      <x:c r="I358" s="14" t="str">
        <x:v>HXA v Surrey County Council; YXA v Wolverhampton City Council (England and Wales Court of Appeal (Civil Division))</x:v>
      </x:c>
      <x:c r="J358" s="14" t="str">
        <x:v>England and Wales Court of Appeal (Civil Division)</x:v>
      </x:c>
      <x:c r="K358" s="14" t="n">
        <x:v>2022</x:v>
      </x:c>
      <x:c r="L358" s="15" t="n">
        <x:v>0.6676043</x:v>
      </x:c>
      <x:c r="M358" s="14" t="n">
        <x:v>1</x:v>
      </x:c>
      <x:c r="N358" s="14" t="str">
        <x:v>N v Poole Borough Council | Poole Borough Council v N/A | Robinson v Chief Constable of West Yorkshire | X (Minors) v Bedfordshire | Barrett v Enfield | D v East Berkshire | Gorringe v Calderdale | Stovin v Wise | Michael v Chief Constable of South Wales Police</x:v>
      </x:c>
    </x:row>
    <x:row r="359">
      <x:c r="A359" s="1" t="str">
        <x:v>cmmshur54000b04jsgyo6bz98</x:v>
      </x:c>
      <x:c r="B359" s="1" t="str">
        <x:v>cmmshtbz8000204jsdrli49qe</x:v>
      </x:c>
      <x:c r="C359" s="1" t="str">
        <x:v>karpasitis-v-hertfordshire-county-council</x:v>
      </x:c>
      <x:c r="D359" s="12" t="n">
        <x:v>46097.053965983796</x:v>
      </x:c>
      <x:c r="E359" s="1" t="str">
        <x:v>yes</x:v>
      </x:c>
      <x:c r="F359" s="14" t="str">
        <x:v>cmmsi1xqb000h04jsef3v6skf | cmmsiews2000304lgc3ooyg67</x:v>
      </x:c>
      <x:c r="G359" s="14" t="n">
        <x:v>18</x:v>
      </x:c>
      <x:c r="H359" s="14" t="str">
        <x:v>8083fc20-0741-4b1d-bf49-faaaa6530a9a</x:v>
      </x:c>
      <x:c r="I359" s="14" t="str">
        <x:v>Recovery Partners GP Limited &amp; Anor v Rukhadze &amp; Ors [2023] EWCA Civ 305 (Court of Appeal, Civil Division)</x:v>
      </x:c>
      <x:c r="J359" s="14" t="str">
        <x:v>England and Wales Court of Appeal (Civil Division)</x:v>
      </x:c>
      <x:c r="K359" s="14" t="n">
        <x:v>2023</x:v>
      </x:c>
      <x:c r="L359" s="15" t="n">
        <x:v>0.6674681</x:v>
      </x:c>
      <x:c r="M359" s="14" t="n">
        <x:v>1</x:v>
      </x:c>
      <x:c r="N359" s="14" t="str">
        <x:v>Gray v Global Energy Horizons Corporation [2020] EWCA Civ 1668 | Boardman v Phipps [1967] 2 AC 46 | Regal (Hastings) Ltd v Gulliver [1967] 2 AC 134 | Murad v Al-Saraj [2005] EWCA Civ 959 | Parker v McKenna (1874) LR 10 Ch App 96</x:v>
      </x:c>
    </x:row>
    <x:row r="360">
      <x:c r="A360" s="1" t="str">
        <x:v>cmmshur54000b04jsgyo6bz98</x:v>
      </x:c>
      <x:c r="B360" s="1" t="str">
        <x:v>cmmshtbz8000204jsdrli49qe</x:v>
      </x:c>
      <x:c r="C360" s="1" t="str">
        <x:v>karpasitis-v-hertfordshire-county-council</x:v>
      </x:c>
      <x:c r="D360" s="12" t="n">
        <x:v>46097.053965983796</x:v>
      </x:c>
      <x:c r="E360" s="1" t="str">
        <x:v>yes</x:v>
      </x:c>
      <x:c r="F360" s="14" t="str">
        <x:v>cmmsi1xqb000h04jsef3v6skf | cmmsiews2000304lgc3ooyg67</x:v>
      </x:c>
      <x:c r="G360" s="14" t="n">
        <x:v>19</x:v>
      </x:c>
      <x:c r="H360" s="14" t="str">
        <x:v>e5d644c7-0c3c-4885-a0c9-73db584ea88e</x:v>
      </x:c>
      <x:c r="I360" s="14" t="str">
        <x:v>Schofield &amp; Anor v Smith &amp; Anor [2022] EWCA Civ 824 (21 June 2022)</x:v>
      </x:c>
      <x:c r="J360" s="14" t="str">
        <x:v>England and Wales Court of Appeal (Civil Division)</x:v>
      </x:c>
      <x:c r="K360" s="14" t="n">
        <x:v>2022</x:v>
      </x:c>
      <x:c r="L360" s="15" t="n">
        <x:v>0.66688776</x:v>
      </x:c>
      <x:c r="M360" s="14" t="n">
        <x:v>1</x:v>
      </x:c>
      <x:c r="N360" s="14" t="str">
        <x:v>Ex p James (1874) | Chartbrook | Oceanbulk | Reardon Smith | Heaton | McGill | Tomlin | Merthyr</x:v>
      </x:c>
    </x:row>
    <x:row r="361">
      <x:c r="A361" s="1" t="str">
        <x:v>cmmshur54000b04jsgyo6bz98</x:v>
      </x:c>
      <x:c r="B361" s="1" t="str">
        <x:v>cmmshtbz8000204jsdrli49qe</x:v>
      </x:c>
      <x:c r="C361" s="1" t="str">
        <x:v>karpasitis-v-hertfordshire-county-council</x:v>
      </x:c>
      <x:c r="D361" s="12" t="n">
        <x:v>46097.053965983796</x:v>
      </x:c>
      <x:c r="E361" s="1" t="str">
        <x:v>yes</x:v>
      </x:c>
      <x:c r="F361" s="14" t="str">
        <x:v>cmmsi1xqb000h04jsef3v6skf | cmmsiews2000304lgc3ooyg67</x:v>
      </x:c>
      <x:c r="G361" s="14" t="n">
        <x:v>20</x:v>
      </x:c>
      <x:c r="H361" s="14" t="str">
        <x:v>353163ab-c444-4186-a05c-4f5d73800a3f</x:v>
      </x:c>
      <x:c r="I361" s="14" t="str">
        <x:v>Paul &amp; Ors v The Royal Wolverhampton NHS Trust; Polmear v The Royal Wolverhampton NHS Trust; Purchase v Royal Cornwall Hospitals NHS Trust</x:v>
      </x:c>
      <x:c r="J361" s="14" t="str">
        <x:v>England and Wales Court of Appeal (Civil Division)</x:v>
      </x:c>
      <x:c r="K361" s="14" t="n">
        <x:v>2022</x:v>
      </x:c>
      <x:c r="L361" s="15" t="n">
        <x:v>0.6659063</x:v>
      </x:c>
      <x:c r="M361" s="14" t="n">
        <x:v>1</x:v>
      </x:c>
      <x:c r="N361" s="14" t="str">
        <x:v>Alcock v Chief Constable of the South Yorkshire Police [1992] 1 AC 310 | McLoughlin v O'Brian | Somerset v DPP | Walters | Novo | Purchase | Ronayne</x:v>
      </x:c>
    </x:row>
    <x:row r="362">
      <x:c r="A362" s="1" t="str">
        <x:v>cmmxgco5i000504js33znk907</x:v>
      </x:c>
      <x:c r="B362" s="1" t="str">
        <x:v>cmmdjkfi7000204jsunevvuvv</x:v>
      </x:c>
      <x:c r="C362" s="1" t="str">
        <x:v>skeleton-args-ca2023004634-299a4a730fe1f43a</x:v>
      </x:c>
      <x:c r="D362" s="12" t="n">
        <x:v>46100.52396090278</x:v>
      </x:c>
      <x:c r="E362" s="1" t="str">
        <x:v>no</x:v>
      </x:c>
      <x:c r="F362" s="14" t="str"/>
      <x:c r="G362" s="14" t="n">
        <x:v>1</x:v>
      </x:c>
      <x:c r="H362" s="14" t="str">
        <x:v>18a014eb-e365-4420-b07a-dfdd42f053ec</x:v>
      </x:c>
      <x:c r="I362" s="14" t="str">
        <x:v>Freifeld &amp; Anor v West Kensington Court Ltd [2015] EWCA Civ 806</x:v>
      </x:c>
      <x:c r="J362" s="14" t="str">
        <x:v>England and Wales Court of Appeal (Civil Division)</x:v>
      </x:c>
      <x:c r="K362" s="14" t="n">
        <x:v>2015</x:v>
      </x:c>
      <x:c r="L362" s="15" t="n">
        <x:v>0.73170173</x:v>
      </x:c>
      <x:c r="M362" s="14" t="n">
        <x:v>6</x:v>
      </x:c>
      <x:c r="N362" s="14" t="str">
        <x:v>Law of Property Act 1925, section 146</x:v>
      </x:c>
    </x:row>
    <x:row r="363">
      <x:c r="A363" s="1" t="str">
        <x:v>cmmxgco5i000504js33znk907</x:v>
      </x:c>
      <x:c r="B363" s="1" t="str">
        <x:v>cmmdjkfi7000204jsunevvuvv</x:v>
      </x:c>
      <x:c r="C363" s="1" t="str">
        <x:v>skeleton-args-ca2023004634-299a4a730fe1f43a</x:v>
      </x:c>
      <x:c r="D363" s="12" t="n">
        <x:v>46100.52396090278</x:v>
      </x:c>
      <x:c r="E363" s="1" t="str">
        <x:v>no</x:v>
      </x:c>
      <x:c r="F363" s="14" t="str"/>
      <x:c r="G363" s="14" t="n">
        <x:v>2</x:v>
      </x:c>
      <x:c r="H363" s="14" t="str">
        <x:v>00167e1d-845c-4a1d-b17c-1c91c10b2c37</x:v>
      </x:c>
      <x:c r="I363" s="14" t="str">
        <x:v>Bank of New York Mellon (International) Limited v Cine-UK Limited [2022] EWCA Civ 1021</x:v>
      </x:c>
      <x:c r="J363" s="14" t="str">
        <x:v>England and Wales Court of Appeal (Civil Division)</x:v>
      </x:c>
      <x:c r="K363" s="14" t="n">
        <x:v>2022</x:v>
      </x:c>
      <x:c r="L363" s="15" t="n">
        <x:v>0.72841835</x:v>
      </x:c>
      <x:c r="M363" s="14" t="n">
        <x:v>2</x:v>
      </x:c>
      <x:c r="N363" s="14" t="str"/>
    </x:row>
    <x:row r="364">
      <x:c r="A364" s="1" t="str">
        <x:v>cmmxgco5i000504js33znk907</x:v>
      </x:c>
      <x:c r="B364" s="1" t="str">
        <x:v>cmmdjkfi7000204jsunevvuvv</x:v>
      </x:c>
      <x:c r="C364" s="1" t="str">
        <x:v>skeleton-args-ca2023004634-299a4a730fe1f43a</x:v>
      </x:c>
      <x:c r="D364" s="12" t="n">
        <x:v>46100.52396090278</x:v>
      </x:c>
      <x:c r="E364" s="1" t="str">
        <x:v>no</x:v>
      </x:c>
      <x:c r="F364" s="14" t="str"/>
      <x:c r="G364" s="14" t="n">
        <x:v>3</x:v>
      </x:c>
      <x:c r="H364" s="14" t="str">
        <x:v>b8f5594c-ac32-4dd3-804a-fd0c938c4401</x:v>
      </x:c>
      <x:c r="I364" s="14" t="str">
        <x:v>Topland Portfolio No 1 Ltd v Smiths News Trading Ltd [2014] EWCA Civ 18</x:v>
      </x:c>
      <x:c r="J364" s="14" t="str">
        <x:v>England and Wales Court of Appeal (Civil Division)</x:v>
      </x:c>
      <x:c r="K364" s="14" t="n">
        <x:v>2014</x:v>
      </x:c>
      <x:c r="L364" s="15" t="n">
        <x:v>0.7268903</x:v>
      </x:c>
      <x:c r="M364" s="14" t="n">
        <x:v>1</x:v>
      </x:c>
      <x:c r="N364" s="14" t="str"/>
    </x:row>
    <x:row r="365">
      <x:c r="A365" s="1" t="str">
        <x:v>cmmxgco5i000504js33znk907</x:v>
      </x:c>
      <x:c r="B365" s="1" t="str">
        <x:v>cmmdjkfi7000204jsunevvuvv</x:v>
      </x:c>
      <x:c r="C365" s="1" t="str">
        <x:v>skeleton-args-ca2023004634-299a4a730fe1f43a</x:v>
      </x:c>
      <x:c r="D365" s="12" t="n">
        <x:v>46100.52396090278</x:v>
      </x:c>
      <x:c r="E365" s="1" t="str">
        <x:v>no</x:v>
      </x:c>
      <x:c r="F365" s="14" t="str"/>
      <x:c r="G365" s="14" t="n">
        <x:v>4</x:v>
      </x:c>
      <x:c r="H365" s="14" t="str">
        <x:v>39df6304-6d5c-4744-8f1a-adcd4015ef46</x:v>
      </x:c>
      <x:c r="I365" s="14" t="str">
        <x:v>Nizami v Dezyanian [2015] EWCA Civ 632</x:v>
      </x:c>
      <x:c r="J365" s="14" t="str">
        <x:v>England and Wales Court of Appeal (Civil Division)</x:v>
      </x:c>
      <x:c r="K365" s="14" t="n">
        <x:v>2015</x:v>
      </x:c>
      <x:c r="L365" s="15" t="n">
        <x:v>0.7255647</x:v>
      </x:c>
      <x:c r="M365" s="14" t="n">
        <x:v>1</x:v>
      </x:c>
      <x:c r="N365" s="14" t="str">
        <x:v>Access to Justice Act 1999</x:v>
      </x:c>
    </x:row>
    <x:row r="366">
      <x:c r="A366" s="1" t="str">
        <x:v>cmmxgco5i000504js33znk907</x:v>
      </x:c>
      <x:c r="B366" s="1" t="str">
        <x:v>cmmdjkfi7000204jsunevvuvv</x:v>
      </x:c>
      <x:c r="C366" s="1" t="str">
        <x:v>skeleton-args-ca2023004634-299a4a730fe1f43a</x:v>
      </x:c>
      <x:c r="D366" s="12" t="n">
        <x:v>46100.52396090278</x:v>
      </x:c>
      <x:c r="E366" s="1" t="str">
        <x:v>no</x:v>
      </x:c>
      <x:c r="F366" s="14" t="str"/>
      <x:c r="G366" s="14" t="n">
        <x:v>5</x:v>
      </x:c>
      <x:c r="H366" s="14" t="str">
        <x:v>945cd74c-6126-4ef5-ae71-7c0099a28f2b</x:v>
      </x:c>
      <x:c r="I366" s="14" t="str">
        <x:v>Bishop v Chhokar [2015] EWCA Civ 24</x:v>
      </x:c>
      <x:c r="J366" s="14" t="str">
        <x:v>England and Wales Court of Appeal (Civil Division)</x:v>
      </x:c>
      <x:c r="K366" s="14" t="n">
        <x:v>2015</x:v>
      </x:c>
      <x:c r="L366" s="15" t="n">
        <x:v>0.72506535</x:v>
      </x:c>
      <x:c r="M366" s="14" t="n">
        <x:v>2</x:v>
      </x:c>
      <x:c r="N366" s="14" t="str">
        <x:v>Taylor v Lawrence | Noble v Owens</x:v>
      </x:c>
    </x:row>
    <x:row r="367">
      <x:c r="A367" s="1" t="str">
        <x:v>cmmxgco5i000504js33znk907</x:v>
      </x:c>
      <x:c r="B367" s="1" t="str">
        <x:v>cmmdjkfi7000204jsunevvuvv</x:v>
      </x:c>
      <x:c r="C367" s="1" t="str">
        <x:v>skeleton-args-ca2023004634-299a4a730fe1f43a</x:v>
      </x:c>
      <x:c r="D367" s="12" t="n">
        <x:v>46100.52396090278</x:v>
      </x:c>
      <x:c r="E367" s="1" t="str">
        <x:v>no</x:v>
      </x:c>
      <x:c r="F367" s="14" t="str"/>
      <x:c r="G367" s="14" t="n">
        <x:v>6</x:v>
      </x:c>
      <x:c r="H367" s="14" t="str">
        <x:v>093c1223-0ae8-4284-9849-0aa54158efc1</x:v>
      </x:c>
      <x:c r="I367" s="14" t="str">
        <x:v>Hough v Greathall Ltd [2015] EWCA Civ 23</x:v>
      </x:c>
      <x:c r="J367" s="14" t="str">
        <x:v>England and Wales Court of Appeal (Civil Division)</x:v>
      </x:c>
      <x:c r="K367" s="14" t="n">
        <x:v>2015</x:v>
      </x:c>
      <x:c r="L367" s="15" t="n">
        <x:v>0.7240748</x:v>
      </x:c>
      <x:c r="M367" s="14" t="n">
        <x:v>2</x:v>
      </x:c>
      <x:c r="N367" s="14" t="str"/>
    </x:row>
    <x:row r="368">
      <x:c r="A368" s="1" t="str">
        <x:v>cmmxgco5i000504js33znk907</x:v>
      </x:c>
      <x:c r="B368" s="1" t="str">
        <x:v>cmmdjkfi7000204jsunevvuvv</x:v>
      </x:c>
      <x:c r="C368" s="1" t="str">
        <x:v>skeleton-args-ca2023004634-299a4a730fe1f43a</x:v>
      </x:c>
      <x:c r="D368" s="12" t="n">
        <x:v>46100.52396090278</x:v>
      </x:c>
      <x:c r="E368" s="1" t="str">
        <x:v>no</x:v>
      </x:c>
      <x:c r="F368" s="14" t="str"/>
      <x:c r="G368" s="14" t="n">
        <x:v>7</x:v>
      </x:c>
      <x:c r="H368" s="14" t="str">
        <x:v>263eee40-14b4-40aa-8b6d-47da6b0fa9b3</x:v>
      </x:c>
      <x:c r="I368" s="14" t="str">
        <x:v>Youssefi v Mussellwhite [2014] EWCA Civ 885</x:v>
      </x:c>
      <x:c r="J368" s="14" t="str">
        <x:v>England and Wales Court of Appeal (Civil Division)</x:v>
      </x:c>
      <x:c r="K368" s="14" t="n">
        <x:v>2014</x:v>
      </x:c>
      <x:c r="L368" s="15" t="n">
        <x:v>0.7214464</x:v>
      </x:c>
      <x:c r="M368" s="14" t="n">
        <x:v>3</x:v>
      </x:c>
      <x:c r="N368" s="14" t="str"/>
    </x:row>
    <x:row r="369">
      <x:c r="A369" s="1" t="str">
        <x:v>cmmxgco5i000504js33znk907</x:v>
      </x:c>
      <x:c r="B369" s="1" t="str">
        <x:v>cmmdjkfi7000204jsunevvuvv</x:v>
      </x:c>
      <x:c r="C369" s="1" t="str">
        <x:v>skeleton-args-ca2023004634-299a4a730fe1f43a</x:v>
      </x:c>
      <x:c r="D369" s="12" t="n">
        <x:v>46100.52396090278</x:v>
      </x:c>
      <x:c r="E369" s="1" t="str">
        <x:v>no</x:v>
      </x:c>
      <x:c r="F369" s="14" t="str"/>
      <x:c r="G369" s="14" t="n">
        <x:v>8</x:v>
      </x:c>
      <x:c r="H369" s="14" t="str">
        <x:v>7079fc72-6050-4668-ac32-14c3ce1d3b5c</x:v>
      </x:c>
      <x:c r="I369" s="14" t="str">
        <x:v>Tibber v Buckley &amp; Anor [2015] EWCA Civ 1294</x:v>
      </x:c>
      <x:c r="J369" s="14" t="str">
        <x:v>England and Wales Court of Appeal (Civil Division)</x:v>
      </x:c>
      <x:c r="K369" s="14" t="n">
        <x:v>2015</x:v>
      </x:c>
      <x:c r="L369" s="15" t="n">
        <x:v>0.7211114</x:v>
      </x:c>
      <x:c r="M369" s="14" t="n">
        <x:v>1</x:v>
      </x:c>
      <x:c r="N369" s="14" t="str">
        <x:v>Howard de Walden Estates Ltd v. Aggio</x:v>
      </x:c>
    </x:row>
    <x:row r="370">
      <x:c r="A370" s="1" t="str">
        <x:v>cmmxgco5i000504js33znk907</x:v>
      </x:c>
      <x:c r="B370" s="1" t="str">
        <x:v>cmmdjkfi7000204jsunevvuvv</x:v>
      </x:c>
      <x:c r="C370" s="1" t="str">
        <x:v>skeleton-args-ca2023004634-299a4a730fe1f43a</x:v>
      </x:c>
      <x:c r="D370" s="12" t="n">
        <x:v>46100.52396090278</x:v>
      </x:c>
      <x:c r="E370" s="1" t="str">
        <x:v>no</x:v>
      </x:c>
      <x:c r="F370" s="14" t="str"/>
      <x:c r="G370" s="14" t="n">
        <x:v>9</x:v>
      </x:c>
      <x:c r="H370" s="14" t="str">
        <x:v>84abacd4-ac9e-4547-9c6c-c9f49ad1f96d</x:v>
      </x:c>
      <x:c r="I370" s="14" t="str">
        <x:v>Anselm v Buckle &amp; Anor [2014] EWCA Civ 311</x:v>
      </x:c>
      <x:c r="J370" s="14" t="str">
        <x:v>England and Wales Court of Appeal (Civil Division)</x:v>
      </x:c>
      <x:c r="K370" s="14" t="n">
        <x:v>2014</x:v>
      </x:c>
      <x:c r="L370" s="15" t="n">
        <x:v>0.7168427</x:v>
      </x:c>
      <x:c r="M370" s="14" t="n">
        <x:v>2</x:v>
      </x:c>
      <x:c r="N370" s="14" t="str"/>
    </x:row>
    <x:row r="371">
      <x:c r="A371" s="1" t="str">
        <x:v>cmmxgco5i000504js33znk907</x:v>
      </x:c>
      <x:c r="B371" s="1" t="str">
        <x:v>cmmdjkfi7000204jsunevvuvv</x:v>
      </x:c>
      <x:c r="C371" s="1" t="str">
        <x:v>skeleton-args-ca2023004634-299a4a730fe1f43a</x:v>
      </x:c>
      <x:c r="D371" s="12" t="n">
        <x:v>46100.52396090278</x:v>
      </x:c>
      <x:c r="E371" s="1" t="str">
        <x:v>no</x:v>
      </x:c>
      <x:c r="F371" s="14" t="str"/>
      <x:c r="G371" s="14" t="n">
        <x:v>10</x:v>
      </x:c>
      <x:c r="H371" s="14" t="str">
        <x:v>63c13b59-95b3-46e6-bcfd-eef08df13985</x:v>
      </x:c>
      <x:c r="I371" s="14" t="str">
        <x:v>SWA Developments Ltd v Burke [2016] EWCA Civ 389</x:v>
      </x:c>
      <x:c r="J371" s="14" t="str">
        <x:v>England and Wales Court of Appeal (Civil Division)</x:v>
      </x:c>
      <x:c r="K371" s="14" t="n">
        <x:v>2016</x:v>
      </x:c>
      <x:c r="L371" s="15" t="n">
        <x:v>0.71553063</x:v>
      </x:c>
      <x:c r="M371" s="14" t="n">
        <x:v>4</x:v>
      </x:c>
      <x:c r="N371" s="14" t="str">
        <x:v>Shiloh Spinners v Harding [1973] AC 691 | Magnic v Ul-Hassan [2015] EWCA Civ 224 | Shiloh Spinners Ltd v Harding [1973] AC 691</x:v>
      </x:c>
    </x:row>
    <x:row r="372">
      <x:c r="A372" s="1" t="str">
        <x:v>cmmxgco5i000504js33znk907</x:v>
      </x:c>
      <x:c r="B372" s="1" t="str">
        <x:v>cmmdjkfi7000204jsunevvuvv</x:v>
      </x:c>
      <x:c r="C372" s="1" t="str">
        <x:v>skeleton-args-ca2023004634-299a4a730fe1f43a</x:v>
      </x:c>
      <x:c r="D372" s="12" t="n">
        <x:v>46100.52396090278</x:v>
      </x:c>
      <x:c r="E372" s="1" t="str">
        <x:v>no</x:v>
      </x:c>
      <x:c r="F372" s="14" t="str"/>
      <x:c r="G372" s="14" t="n">
        <x:v>11</x:v>
      </x:c>
      <x:c r="H372" s="14" t="str">
        <x:v>ccb176da-f583-47e8-b2a6-cc3aadd7833c</x:v>
      </x:c>
      <x:c r="I372" s="14" t="str">
        <x:v>Marks And Spencer Plc v BNP Paribas Securities Services Trust Company (Jersey) Ltd &amp; Anor [2014] EWCA Civ 603</x:v>
      </x:c>
      <x:c r="J372" s="14" t="str">
        <x:v>England and Wales Court of Appeal (Civil Division)</x:v>
      </x:c>
      <x:c r="K372" s="14" t="n">
        <x:v>2014</x:v>
      </x:c>
      <x:c r="L372" s="15" t="n">
        <x:v>0.7148241</x:v>
      </x:c>
      <x:c r="M372" s="14" t="n">
        <x:v>1</x:v>
      </x:c>
      <x:c r="N372" s="14" t="str"/>
    </x:row>
    <x:row r="373">
      <x:c r="A373" s="1" t="str">
        <x:v>cmmxgco5i000504js33znk907</x:v>
      </x:c>
      <x:c r="B373" s="1" t="str">
        <x:v>cmmdjkfi7000204jsunevvuvv</x:v>
      </x:c>
      <x:c r="C373" s="1" t="str">
        <x:v>skeleton-args-ca2023004634-299a4a730fe1f43a</x:v>
      </x:c>
      <x:c r="D373" s="12" t="n">
        <x:v>46100.52396090278</x:v>
      </x:c>
      <x:c r="E373" s="1" t="str">
        <x:v>no</x:v>
      </x:c>
      <x:c r="F373" s="14" t="str"/>
      <x:c r="G373" s="14" t="n">
        <x:v>12</x:v>
      </x:c>
      <x:c r="H373" s="14" t="str">
        <x:v>1b3f1357-0731-4894-9c17-a958eecd366a</x:v>
      </x:c>
      <x:c r="I373" s="14" t="str">
        <x:v>Magnic Ltd v Ul-Hassan &amp; Anor [2015] EWCA Civ 224</x:v>
      </x:c>
      <x:c r="J373" s="14" t="str">
        <x:v>England and Wales Court of Appeal (Civil Division)</x:v>
      </x:c>
      <x:c r="K373" s="14" t="n">
        <x:v>2015</x:v>
      </x:c>
      <x:c r="L373" s="15" t="n">
        <x:v>0.71463615</x:v>
      </x:c>
      <x:c r="M373" s="14" t="n">
        <x:v>4</x:v>
      </x:c>
      <x:c r="N373" s="14" t="str">
        <x:v>Starside Properties v Mustapha</x:v>
      </x:c>
    </x:row>
    <x:row r="374">
      <x:c r="A374" s="1" t="str">
        <x:v>cmmxgco5i000504js33znk907</x:v>
      </x:c>
      <x:c r="B374" s="1" t="str">
        <x:v>cmmdjkfi7000204jsunevvuvv</x:v>
      </x:c>
      <x:c r="C374" s="1" t="str">
        <x:v>skeleton-args-ca2023004634-299a4a730fe1f43a</x:v>
      </x:c>
      <x:c r="D374" s="12" t="n">
        <x:v>46100.52396090278</x:v>
      </x:c>
      <x:c r="E374" s="1" t="str">
        <x:v>no</x:v>
      </x:c>
      <x:c r="F374" s="14" t="str"/>
      <x:c r="G374" s="14" t="n">
        <x:v>13</x:v>
      </x:c>
      <x:c r="H374" s="14" t="str">
        <x:v>f0cad471-e222-49db-b138-c99f671aff4f</x:v>
      </x:c>
      <x:c r="I374" s="14" t="str">
        <x:v>Cawsand Fort Management Company v Kane &amp; Ors [2015] EWCA Civ 1520</x:v>
      </x:c>
      <x:c r="J374" s="14" t="str">
        <x:v>England and Wales Court of Appeal (Civil Division)</x:v>
      </x:c>
      <x:c r="K374" s="14" t="n">
        <x:v>2015</x:v>
      </x:c>
      <x:c r="L374" s="15" t="n">
        <x:v>0.7142375</x:v>
      </x:c>
      <x:c r="M374" s="14" t="n">
        <x:v>2</x:v>
      </x:c>
      <x:c r="N374" s="14" t="str"/>
    </x:row>
    <x:row r="375">
      <x:c r="A375" s="1" t="str">
        <x:v>cmmxgco5i000504js33znk907</x:v>
      </x:c>
      <x:c r="B375" s="1" t="str">
        <x:v>cmmdjkfi7000204jsunevvuvv</x:v>
      </x:c>
      <x:c r="C375" s="1" t="str">
        <x:v>skeleton-args-ca2023004634-299a4a730fe1f43a</x:v>
      </x:c>
      <x:c r="D375" s="12" t="n">
        <x:v>46100.52396090278</x:v>
      </x:c>
      <x:c r="E375" s="1" t="str">
        <x:v>no</x:v>
      </x:c>
      <x:c r="F375" s="14" t="str"/>
      <x:c r="G375" s="14" t="n">
        <x:v>14</x:v>
      </x:c>
      <x:c r="H375" s="14" t="str">
        <x:v>20883fdd-3d62-402d-b87e-d07099a0aace</x:v>
      </x:c>
      <x:c r="I375" s="14" t="str">
        <x:v>Morshead Mansions Ltd v Di Marco</x:v>
      </x:c>
      <x:c r="J375" s="14" t="str">
        <x:v>England and Wales Court of Appeal (Civil Division)</x:v>
      </x:c>
      <x:c r="K375" s="14" t="n">
        <x:v>2014</x:v>
      </x:c>
      <x:c r="L375" s="15" t="n">
        <x:v>0.71273726</x:v>
      </x:c>
      <x:c r="M375" s="14" t="n">
        <x:v>2</x:v>
      </x:c>
      <x:c r="N375" s="14" t="str"/>
    </x:row>
    <x:row r="376">
      <x:c r="A376" s="1" t="str">
        <x:v>cmmxgco5i000504js33znk907</x:v>
      </x:c>
      <x:c r="B376" s="1" t="str">
        <x:v>cmmdjkfi7000204jsunevvuvv</x:v>
      </x:c>
      <x:c r="C376" s="1" t="str">
        <x:v>skeleton-args-ca2023004634-299a4a730fe1f43a</x:v>
      </x:c>
      <x:c r="D376" s="12" t="n">
        <x:v>46100.52396090278</x:v>
      </x:c>
      <x:c r="E376" s="1" t="str">
        <x:v>no</x:v>
      </x:c>
      <x:c r="F376" s="14" t="str"/>
      <x:c r="G376" s="14" t="n">
        <x:v>15</x:v>
      </x:c>
      <x:c r="H376" s="14" t="str">
        <x:v>5b10acb1-5e49-4e3a-8c7d-7cde16d86341</x:v>
      </x:c>
      <x:c r="I376" s="14" t="str">
        <x:v>Marks and Spencer plc v BNP Paribas Securities Services Trust Company (Jersey) Ltd &amp; Anor [2015] UKSC 72</x:v>
      </x:c>
      <x:c r="J376" s="14" t="str">
        <x:v>United Kingdom Supreme Court</x:v>
      </x:c>
      <x:c r="K376" s="14" t="n">
        <x:v>2015</x:v>
      </x:c>
      <x:c r="L376" s="15" t="n">
        <x:v>0.7061107</x:v>
      </x:c>
      <x:c r="M376" s="14" t="n">
        <x:v>2</x:v>
      </x:c>
      <x:c r="N376" s="14" t="str"/>
    </x:row>
    <x:row r="377">
      <x:c r="A377" s="1" t="str">
        <x:v>cmmxgco5i000504js33znk907</x:v>
      </x:c>
      <x:c r="B377" s="1" t="str">
        <x:v>cmmdjkfi7000204jsunevvuvv</x:v>
      </x:c>
      <x:c r="C377" s="1" t="str">
        <x:v>skeleton-args-ca2023004634-299a4a730fe1f43a</x:v>
      </x:c>
      <x:c r="D377" s="12" t="n">
        <x:v>46100.52396090278</x:v>
      </x:c>
      <x:c r="E377" s="1" t="str">
        <x:v>no</x:v>
      </x:c>
      <x:c r="F377" s="14" t="str"/>
      <x:c r="G377" s="14" t="n">
        <x:v>16</x:v>
      </x:c>
      <x:c r="H377" s="14" t="str">
        <x:v>d9167d92-3e2d-462b-b1dd-0c42056c65b9</x:v>
      </x:c>
      <x:c r="I377" s="14" t="str">
        <x:v>Chaplair Ltd v Kumari [2015] EWCA Civ 798</x:v>
      </x:c>
      <x:c r="J377" s="14" t="str">
        <x:v>England and Wales Court of Appeal (Civil Division)</x:v>
      </x:c>
      <x:c r="K377" s="14" t="n">
        <x:v>2015</x:v>
      </x:c>
      <x:c r="L377" s="15" t="n">
        <x:v>0.7053801</x:v>
      </x:c>
      <x:c r="M377" s="14" t="n">
        <x:v>1</x:v>
      </x:c>
      <x:c r="N377" s="14" t="str"/>
    </x:row>
    <x:row r="378">
      <x:c r="A378" s="1" t="str">
        <x:v>cmmxgco5i000504js33znk907</x:v>
      </x:c>
      <x:c r="B378" s="1" t="str">
        <x:v>cmmdjkfi7000204jsunevvuvv</x:v>
      </x:c>
      <x:c r="C378" s="1" t="str">
        <x:v>skeleton-args-ca2023004634-299a4a730fe1f43a</x:v>
      </x:c>
      <x:c r="D378" s="12" t="n">
        <x:v>46100.52396090278</x:v>
      </x:c>
      <x:c r="E378" s="1" t="str">
        <x:v>no</x:v>
      </x:c>
      <x:c r="F378" s="14" t="str"/>
      <x:c r="G378" s="14" t="n">
        <x:v>17</x:v>
      </x:c>
      <x:c r="H378" s="14" t="str">
        <x:v>f12362ca-9214-46d6-8a2a-5ddadac29884</x:v>
      </x:c>
      <x:c r="I378" s="14" t="str">
        <x:v>Innerspaces Self Storage Ltd v Harding &amp; Ors [2014] EWCA Civ 46</x:v>
      </x:c>
      <x:c r="J378" s="14" t="str">
        <x:v>England and Wales Court of Appeal (Civil Division)</x:v>
      </x:c>
      <x:c r="K378" s="14" t="n">
        <x:v>2014</x:v>
      </x:c>
      <x:c r="L378" s="15" t="n">
        <x:v>0.7032418</x:v>
      </x:c>
      <x:c r="M378" s="14" t="n">
        <x:v>1</x:v>
      </x:c>
      <x:c r="N378" s="14" t="str"/>
    </x:row>
    <x:row r="379">
      <x:c r="A379" s="1" t="str">
        <x:v>cmmxgco5i000504js33znk907</x:v>
      </x:c>
      <x:c r="B379" s="1" t="str">
        <x:v>cmmdjkfi7000204jsunevvuvv</x:v>
      </x:c>
      <x:c r="C379" s="1" t="str">
        <x:v>skeleton-args-ca2023004634-299a4a730fe1f43a</x:v>
      </x:c>
      <x:c r="D379" s="12" t="n">
        <x:v>46100.52396090278</x:v>
      </x:c>
      <x:c r="E379" s="1" t="str">
        <x:v>no</x:v>
      </x:c>
      <x:c r="F379" s="14" t="str"/>
      <x:c r="G379" s="14" t="n">
        <x:v>18</x:v>
      </x:c>
      <x:c r="H379" s="14" t="str">
        <x:v>18d1bbac-8bcd-4fbc-86a6-c88f150b10c4</x:v>
      </x:c>
      <x:c r="I379" s="14" t="str">
        <x:v>Lankester &amp; Son Ltd v Rennie [2014] EWCA Civ 1515</x:v>
      </x:c>
      <x:c r="J379" s="14" t="str">
        <x:v>England and Wales Court of Appeal (Civil Division)</x:v>
      </x:c>
      <x:c r="K379" s="14" t="n">
        <x:v>2014</x:v>
      </x:c>
      <x:c r="L379" s="15" t="n">
        <x:v>0.70212746</x:v>
      </x:c>
      <x:c r="M379" s="14" t="n">
        <x:v>1</x:v>
      </x:c>
      <x:c r="N379" s="14" t="str"/>
    </x:row>
    <x:row r="380">
      <x:c r="A380" s="1" t="str">
        <x:v>cmmxgco5i000504js33znk907</x:v>
      </x:c>
      <x:c r="B380" s="1" t="str">
        <x:v>cmmdjkfi7000204jsunevvuvv</x:v>
      </x:c>
      <x:c r="C380" s="1" t="str">
        <x:v>skeleton-args-ca2023004634-299a4a730fe1f43a</x:v>
      </x:c>
      <x:c r="D380" s="12" t="n">
        <x:v>46100.52396090278</x:v>
      </x:c>
      <x:c r="E380" s="1" t="str">
        <x:v>no</x:v>
      </x:c>
      <x:c r="F380" s="14" t="str"/>
      <x:c r="G380" s="14" t="n">
        <x:v>19</x:v>
      </x:c>
      <x:c r="H380" s="14" t="str">
        <x:v>2702fe29-d7f0-4cc6-8c3f-b840406bb7a2</x:v>
      </x:c>
      <x:c r="I380" s="14" t="str">
        <x:v>Peel Land and Property (Ports No. 3) Ltd v TS Sheerness Ltd</x:v>
      </x:c>
      <x:c r="J380" s="14" t="str">
        <x:v>England and Wales Court of Appeal (Civil Division)</x:v>
      </x:c>
      <x:c r="K380" s="14" t="n">
        <x:v>2014</x:v>
      </x:c>
      <x:c r="L380" s="15" t="n">
        <x:v>0.7017131</x:v>
      </x:c>
      <x:c r="M380" s="14" t="n">
        <x:v>2</x:v>
      </x:c>
      <x:c r="N380" s="14" t="str"/>
    </x:row>
    <x:row r="381">
      <x:c r="A381" s="1" t="str">
        <x:v>cmmxgco5i000504js33znk907</x:v>
      </x:c>
      <x:c r="B381" s="1" t="str">
        <x:v>cmmdjkfi7000204jsunevvuvv</x:v>
      </x:c>
      <x:c r="C381" s="1" t="str">
        <x:v>skeleton-args-ca2023004634-299a4a730fe1f43a</x:v>
      </x:c>
      <x:c r="D381" s="12" t="n">
        <x:v>46100.52396090278</x:v>
      </x:c>
      <x:c r="E381" s="1" t="str">
        <x:v>no</x:v>
      </x:c>
      <x:c r="F381" s="14" t="str"/>
      <x:c r="G381" s="14" t="n">
        <x:v>20</x:v>
      </x:c>
      <x:c r="H381" s="14" t="str">
        <x:v>98a141f0-f889-4521-86c4-1b8648867286</x:v>
      </x:c>
      <x:c r="I381" s="14" t="str">
        <x:v>Silver Fern Microlights Ltd v Jones &amp; Ors [2016] EWCA Civ 277</x:v>
      </x:c>
      <x:c r="J381" s="14" t="str">
        <x:v>England and Wales Court of Appeal (Civil Division)</x:v>
      </x:c>
      <x:c r="K381" s="14" t="n">
        <x:v>2016</x:v>
      </x:c>
      <x:c r="L381" s="15" t="n">
        <x:v>0.700525</x:v>
      </x:c>
      <x:c r="M381" s="14" t="n">
        <x:v>1</x:v>
      </x:c>
      <x:c r="N381" s="14" t="str"/>
    </x:row>
    <x:row r="382">
      <x:c r="A382" s="1" t="str">
        <x:v>cmmxgkynq000504ju5rx4qmev</x:v>
      </x:c>
      <x:c r="B382" s="1" t="str">
        <x:v>cmmdjkfi7000204jsunevvuvv</x:v>
      </x:c>
      <x:c r="C382" s="1" t="str">
        <x:v>skeleton-args-ca2023004634-299a4a730fe1f43a</x:v>
      </x:c>
      <x:c r="D382" s="12" t="n">
        <x:v>46100.52843866898</x:v>
      </x:c>
      <x:c r="E382" s="1" t="str">
        <x:v>no</x:v>
      </x:c>
      <x:c r="F382" s="14" t="str"/>
      <x:c r="G382" s="14" t="n">
        <x:v>1</x:v>
      </x:c>
      <x:c r="H382" s="14" t="str">
        <x:v>18a014eb-e365-4420-b07a-dfdd42f053ec</x:v>
      </x:c>
      <x:c r="I382" s="14" t="str">
        <x:v>Freifeld &amp; Anor v West Kensington Court Ltd [2015] EWCA Civ 806</x:v>
      </x:c>
      <x:c r="J382" s="14" t="str">
        <x:v>England and Wales Court of Appeal (Civil Division)</x:v>
      </x:c>
      <x:c r="K382" s="14" t="n">
        <x:v>2015</x:v>
      </x:c>
      <x:c r="L382" s="15" t="n">
        <x:v>0.7316421</x:v>
      </x:c>
      <x:c r="M382" s="14" t="n">
        <x:v>6</x:v>
      </x:c>
      <x:c r="N382" s="14" t="str">
        <x:v>Law of Property Act 1925, section 146</x:v>
      </x:c>
    </x:row>
    <x:row r="383">
      <x:c r="A383" s="1" t="str">
        <x:v>cmmxgkynq000504ju5rx4qmev</x:v>
      </x:c>
      <x:c r="B383" s="1" t="str">
        <x:v>cmmdjkfi7000204jsunevvuvv</x:v>
      </x:c>
      <x:c r="C383" s="1" t="str">
        <x:v>skeleton-args-ca2023004634-299a4a730fe1f43a</x:v>
      </x:c>
      <x:c r="D383" s="12" t="n">
        <x:v>46100.52843866898</x:v>
      </x:c>
      <x:c r="E383" s="1" t="str">
        <x:v>no</x:v>
      </x:c>
      <x:c r="F383" s="14" t="str"/>
      <x:c r="G383" s="14" t="n">
        <x:v>2</x:v>
      </x:c>
      <x:c r="H383" s="14" t="str">
        <x:v>00167e1d-845c-4a1d-b17c-1c91c10b2c37</x:v>
      </x:c>
      <x:c r="I383" s="14" t="str">
        <x:v>Bank of New York Mellon (International) Limited v Cine-UK Limited [2022] EWCA Civ 1021</x:v>
      </x:c>
      <x:c r="J383" s="14" t="str">
        <x:v>England and Wales Court of Appeal (Civil Division)</x:v>
      </x:c>
      <x:c r="K383" s="14" t="n">
        <x:v>2022</x:v>
      </x:c>
      <x:c r="L383" s="15" t="n">
        <x:v>0.7283484</x:v>
      </x:c>
      <x:c r="M383" s="14" t="n">
        <x:v>2</x:v>
      </x:c>
      <x:c r="N383" s="14" t="str"/>
    </x:row>
    <x:row r="384">
      <x:c r="A384" s="1" t="str">
        <x:v>cmmxgkynq000504ju5rx4qmev</x:v>
      </x:c>
      <x:c r="B384" s="1" t="str">
        <x:v>cmmdjkfi7000204jsunevvuvv</x:v>
      </x:c>
      <x:c r="C384" s="1" t="str">
        <x:v>skeleton-args-ca2023004634-299a4a730fe1f43a</x:v>
      </x:c>
      <x:c r="D384" s="12" t="n">
        <x:v>46100.52843866898</x:v>
      </x:c>
      <x:c r="E384" s="1" t="str">
        <x:v>no</x:v>
      </x:c>
      <x:c r="F384" s="14" t="str"/>
      <x:c r="G384" s="14" t="n">
        <x:v>3</x:v>
      </x:c>
      <x:c r="H384" s="14" t="str">
        <x:v>b8f5594c-ac32-4dd3-804a-fd0c938c4401</x:v>
      </x:c>
      <x:c r="I384" s="14" t="str">
        <x:v>Topland Portfolio No 1 Ltd v Smiths News Trading Ltd [2014] EWCA Civ 18</x:v>
      </x:c>
      <x:c r="J384" s="14" t="str">
        <x:v>England and Wales Court of Appeal (Civil Division)</x:v>
      </x:c>
      <x:c r="K384" s="14" t="n">
        <x:v>2014</x:v>
      </x:c>
      <x:c r="L384" s="15" t="n">
        <x:v>0.7268431</x:v>
      </x:c>
      <x:c r="M384" s="14" t="n">
        <x:v>1</x:v>
      </x:c>
      <x:c r="N384" s="14" t="str"/>
    </x:row>
    <x:row r="385">
      <x:c r="A385" s="1" t="str">
        <x:v>cmmxgkynq000504ju5rx4qmev</x:v>
      </x:c>
      <x:c r="B385" s="1" t="str">
        <x:v>cmmdjkfi7000204jsunevvuvv</x:v>
      </x:c>
      <x:c r="C385" s="1" t="str">
        <x:v>skeleton-args-ca2023004634-299a4a730fe1f43a</x:v>
      </x:c>
      <x:c r="D385" s="12" t="n">
        <x:v>46100.52843866898</x:v>
      </x:c>
      <x:c r="E385" s="1" t="str">
        <x:v>no</x:v>
      </x:c>
      <x:c r="F385" s="14" t="str"/>
      <x:c r="G385" s="14" t="n">
        <x:v>4</x:v>
      </x:c>
      <x:c r="H385" s="14" t="str">
        <x:v>39df6304-6d5c-4744-8f1a-adcd4015ef46</x:v>
      </x:c>
      <x:c r="I385" s="14" t="str">
        <x:v>Nizami v Dezyanian [2015] EWCA Civ 632</x:v>
      </x:c>
      <x:c r="J385" s="14" t="str">
        <x:v>England and Wales Court of Appeal (Civil Division)</x:v>
      </x:c>
      <x:c r="K385" s="14" t="n">
        <x:v>2015</x:v>
      </x:c>
      <x:c r="L385" s="15" t="n">
        <x:v>0.7255254</x:v>
      </x:c>
      <x:c r="M385" s="14" t="n">
        <x:v>1</x:v>
      </x:c>
      <x:c r="N385" s="14" t="str">
        <x:v>Access to Justice Act 1999</x:v>
      </x:c>
    </x:row>
    <x:row r="386">
      <x:c r="A386" s="1" t="str">
        <x:v>cmmxgkynq000504ju5rx4qmev</x:v>
      </x:c>
      <x:c r="B386" s="1" t="str">
        <x:v>cmmdjkfi7000204jsunevvuvv</x:v>
      </x:c>
      <x:c r="C386" s="1" t="str">
        <x:v>skeleton-args-ca2023004634-299a4a730fe1f43a</x:v>
      </x:c>
      <x:c r="D386" s="12" t="n">
        <x:v>46100.52843866898</x:v>
      </x:c>
      <x:c r="E386" s="1" t="str">
        <x:v>no</x:v>
      </x:c>
      <x:c r="F386" s="14" t="str"/>
      <x:c r="G386" s="14" t="n">
        <x:v>5</x:v>
      </x:c>
      <x:c r="H386" s="14" t="str">
        <x:v>945cd74c-6126-4ef5-ae71-7c0099a28f2b</x:v>
      </x:c>
      <x:c r="I386" s="14" t="str">
        <x:v>Bishop v Chhokar [2015] EWCA Civ 24</x:v>
      </x:c>
      <x:c r="J386" s="14" t="str">
        <x:v>England and Wales Court of Appeal (Civil Division)</x:v>
      </x:c>
      <x:c r="K386" s="14" t="n">
        <x:v>2015</x:v>
      </x:c>
      <x:c r="L386" s="15" t="n">
        <x:v>0.72501993</x:v>
      </x:c>
      <x:c r="M386" s="14" t="n">
        <x:v>2</x:v>
      </x:c>
      <x:c r="N386" s="14" t="str">
        <x:v>Taylor v Lawrence | Noble v Owens</x:v>
      </x:c>
    </x:row>
    <x:row r="387">
      <x:c r="A387" s="1" t="str">
        <x:v>cmmxgkynq000504ju5rx4qmev</x:v>
      </x:c>
      <x:c r="B387" s="1" t="str">
        <x:v>cmmdjkfi7000204jsunevvuvv</x:v>
      </x:c>
      <x:c r="C387" s="1" t="str">
        <x:v>skeleton-args-ca2023004634-299a4a730fe1f43a</x:v>
      </x:c>
      <x:c r="D387" s="12" t="n">
        <x:v>46100.52843866898</x:v>
      </x:c>
      <x:c r="E387" s="1" t="str">
        <x:v>no</x:v>
      </x:c>
      <x:c r="F387" s="14" t="str"/>
      <x:c r="G387" s="14" t="n">
        <x:v>6</x:v>
      </x:c>
      <x:c r="H387" s="14" t="str">
        <x:v>093c1223-0ae8-4284-9849-0aa54158efc1</x:v>
      </x:c>
      <x:c r="I387" s="14" t="str">
        <x:v>Hough v Greathall Ltd [2015] EWCA Civ 23</x:v>
      </x:c>
      <x:c r="J387" s="14" t="str">
        <x:v>England and Wales Court of Appeal (Civil Division)</x:v>
      </x:c>
      <x:c r="K387" s="14" t="n">
        <x:v>2015</x:v>
      </x:c>
      <x:c r="L387" s="15" t="n">
        <x:v>0.7240232</x:v>
      </x:c>
      <x:c r="M387" s="14" t="n">
        <x:v>2</x:v>
      </x:c>
      <x:c r="N387" s="14" t="str"/>
    </x:row>
    <x:row r="388">
      <x:c r="A388" s="1" t="str">
        <x:v>cmmxgkynq000504ju5rx4qmev</x:v>
      </x:c>
      <x:c r="B388" s="1" t="str">
        <x:v>cmmdjkfi7000204jsunevvuvv</x:v>
      </x:c>
      <x:c r="C388" s="1" t="str">
        <x:v>skeleton-args-ca2023004634-299a4a730fe1f43a</x:v>
      </x:c>
      <x:c r="D388" s="12" t="n">
        <x:v>46100.52843866898</x:v>
      </x:c>
      <x:c r="E388" s="1" t="str">
        <x:v>no</x:v>
      </x:c>
      <x:c r="F388" s="14" t="str"/>
      <x:c r="G388" s="14" t="n">
        <x:v>7</x:v>
      </x:c>
      <x:c r="H388" s="14" t="str">
        <x:v>263eee40-14b4-40aa-8b6d-47da6b0fa9b3</x:v>
      </x:c>
      <x:c r="I388" s="14" t="str">
        <x:v>Youssefi v Mussellwhite [2014] EWCA Civ 885</x:v>
      </x:c>
      <x:c r="J388" s="14" t="str">
        <x:v>England and Wales Court of Appeal (Civil Division)</x:v>
      </x:c>
      <x:c r="K388" s="14" t="n">
        <x:v>2014</x:v>
      </x:c>
      <x:c r="L388" s="15" t="n">
        <x:v>0.72143376</x:v>
      </x:c>
      <x:c r="M388" s="14" t="n">
        <x:v>3</x:v>
      </x:c>
      <x:c r="N388" s="14" t="str"/>
    </x:row>
    <x:row r="389">
      <x:c r="A389" s="1" t="str">
        <x:v>cmmxgkynq000504ju5rx4qmev</x:v>
      </x:c>
      <x:c r="B389" s="1" t="str">
        <x:v>cmmdjkfi7000204jsunevvuvv</x:v>
      </x:c>
      <x:c r="C389" s="1" t="str">
        <x:v>skeleton-args-ca2023004634-299a4a730fe1f43a</x:v>
      </x:c>
      <x:c r="D389" s="12" t="n">
        <x:v>46100.52843866898</x:v>
      </x:c>
      <x:c r="E389" s="1" t="str">
        <x:v>no</x:v>
      </x:c>
      <x:c r="F389" s="14" t="str"/>
      <x:c r="G389" s="14" t="n">
        <x:v>8</x:v>
      </x:c>
      <x:c r="H389" s="14" t="str">
        <x:v>7079fc72-6050-4668-ac32-14c3ce1d3b5c</x:v>
      </x:c>
      <x:c r="I389" s="14" t="str">
        <x:v>Tibber v Buckley &amp; Anor [2015] EWCA Civ 1294</x:v>
      </x:c>
      <x:c r="J389" s="14" t="str">
        <x:v>England and Wales Court of Appeal (Civil Division)</x:v>
      </x:c>
      <x:c r="K389" s="14" t="n">
        <x:v>2015</x:v>
      </x:c>
      <x:c r="L389" s="15" t="n">
        <x:v>0.72103137</x:v>
      </x:c>
      <x:c r="M389" s="14" t="n">
        <x:v>1</x:v>
      </x:c>
      <x:c r="N389" s="14" t="str">
        <x:v>Howard de Walden Estates Ltd v. Aggio</x:v>
      </x:c>
    </x:row>
    <x:row r="390">
      <x:c r="A390" s="1" t="str">
        <x:v>cmmxgkynq000504ju5rx4qmev</x:v>
      </x:c>
      <x:c r="B390" s="1" t="str">
        <x:v>cmmdjkfi7000204jsunevvuvv</x:v>
      </x:c>
      <x:c r="C390" s="1" t="str">
        <x:v>skeleton-args-ca2023004634-299a4a730fe1f43a</x:v>
      </x:c>
      <x:c r="D390" s="12" t="n">
        <x:v>46100.52843866898</x:v>
      </x:c>
      <x:c r="E390" s="1" t="str">
        <x:v>no</x:v>
      </x:c>
      <x:c r="F390" s="14" t="str"/>
      <x:c r="G390" s="14" t="n">
        <x:v>9</x:v>
      </x:c>
      <x:c r="H390" s="14" t="str">
        <x:v>84abacd4-ac9e-4547-9c6c-c9f49ad1f96d</x:v>
      </x:c>
      <x:c r="I390" s="14" t="str">
        <x:v>Anselm v Buckle &amp; Anor [2014] EWCA Civ 311</x:v>
      </x:c>
      <x:c r="J390" s="14" t="str">
        <x:v>England and Wales Court of Appeal (Civil Division)</x:v>
      </x:c>
      <x:c r="K390" s="14" t="n">
        <x:v>2014</x:v>
      </x:c>
      <x:c r="L390" s="15" t="n">
        <x:v>0.7167895</x:v>
      </x:c>
      <x:c r="M390" s="14" t="n">
        <x:v>2</x:v>
      </x:c>
      <x:c r="N390" s="14" t="str"/>
    </x:row>
    <x:row r="391">
      <x:c r="A391" s="1" t="str">
        <x:v>cmmxgkynq000504ju5rx4qmev</x:v>
      </x:c>
      <x:c r="B391" s="1" t="str">
        <x:v>cmmdjkfi7000204jsunevvuvv</x:v>
      </x:c>
      <x:c r="C391" s="1" t="str">
        <x:v>skeleton-args-ca2023004634-299a4a730fe1f43a</x:v>
      </x:c>
      <x:c r="D391" s="12" t="n">
        <x:v>46100.52843866898</x:v>
      </x:c>
      <x:c r="E391" s="1" t="str">
        <x:v>no</x:v>
      </x:c>
      <x:c r="F391" s="14" t="str"/>
      <x:c r="G391" s="14" t="n">
        <x:v>10</x:v>
      </x:c>
      <x:c r="H391" s="14" t="str">
        <x:v>63c13b59-95b3-46e6-bcfd-eef08df13985</x:v>
      </x:c>
      <x:c r="I391" s="14" t="str">
        <x:v>SWA Developments Ltd v Burke [2016] EWCA Civ 389</x:v>
      </x:c>
      <x:c r="J391" s="14" t="str">
        <x:v>England and Wales Court of Appeal (Civil Division)</x:v>
      </x:c>
      <x:c r="K391" s="14" t="n">
        <x:v>2016</x:v>
      </x:c>
      <x:c r="L391" s="15" t="n">
        <x:v>0.71547824</x:v>
      </x:c>
      <x:c r="M391" s="14" t="n">
        <x:v>4</x:v>
      </x:c>
      <x:c r="N391" s="14" t="str">
        <x:v>Shiloh Spinners v Harding [1973] AC 691 | Magnic v Ul-Hassan [2015] EWCA Civ 224 | Shiloh Spinners Ltd v Harding [1973] AC 691</x:v>
      </x:c>
    </x:row>
    <x:row r="392">
      <x:c r="A392" s="1" t="str">
        <x:v>cmmxgkynq000504ju5rx4qmev</x:v>
      </x:c>
      <x:c r="B392" s="1" t="str">
        <x:v>cmmdjkfi7000204jsunevvuvv</x:v>
      </x:c>
      <x:c r="C392" s="1" t="str">
        <x:v>skeleton-args-ca2023004634-299a4a730fe1f43a</x:v>
      </x:c>
      <x:c r="D392" s="12" t="n">
        <x:v>46100.52843866898</x:v>
      </x:c>
      <x:c r="E392" s="1" t="str">
        <x:v>no</x:v>
      </x:c>
      <x:c r="F392" s="14" t="str"/>
      <x:c r="G392" s="14" t="n">
        <x:v>11</x:v>
      </x:c>
      <x:c r="H392" s="14" t="str">
        <x:v>ccb176da-f583-47e8-b2a6-cc3aadd7833c</x:v>
      </x:c>
      <x:c r="I392" s="14" t="str">
        <x:v>Marks And Spencer Plc v BNP Paribas Securities Services Trust Company (Jersey) Ltd &amp; Anor [2014] EWCA Civ 603</x:v>
      </x:c>
      <x:c r="J392" s="14" t="str">
        <x:v>England and Wales Court of Appeal (Civil Division)</x:v>
      </x:c>
      <x:c r="K392" s="14" t="n">
        <x:v>2014</x:v>
      </x:c>
      <x:c r="L392" s="15" t="n">
        <x:v>0.714743</x:v>
      </x:c>
      <x:c r="M392" s="14" t="n">
        <x:v>1</x:v>
      </x:c>
      <x:c r="N392" s="14" t="str"/>
    </x:row>
    <x:row r="393">
      <x:c r="A393" s="1" t="str">
        <x:v>cmmxgkynq000504ju5rx4qmev</x:v>
      </x:c>
      <x:c r="B393" s="1" t="str">
        <x:v>cmmdjkfi7000204jsunevvuvv</x:v>
      </x:c>
      <x:c r="C393" s="1" t="str">
        <x:v>skeleton-args-ca2023004634-299a4a730fe1f43a</x:v>
      </x:c>
      <x:c r="D393" s="12" t="n">
        <x:v>46100.52843866898</x:v>
      </x:c>
      <x:c r="E393" s="1" t="str">
        <x:v>no</x:v>
      </x:c>
      <x:c r="F393" s="14" t="str"/>
      <x:c r="G393" s="14" t="n">
        <x:v>12</x:v>
      </x:c>
      <x:c r="H393" s="14" t="str">
        <x:v>1b3f1357-0731-4894-9c17-a958eecd366a</x:v>
      </x:c>
      <x:c r="I393" s="14" t="str">
        <x:v>Magnic Ltd v Ul-Hassan &amp; Anor [2015] EWCA Civ 224</x:v>
      </x:c>
      <x:c r="J393" s="14" t="str">
        <x:v>England and Wales Court of Appeal (Civil Division)</x:v>
      </x:c>
      <x:c r="K393" s="14" t="n">
        <x:v>2015</x:v>
      </x:c>
      <x:c r="L393" s="15" t="n">
        <x:v>0.7145905</x:v>
      </x:c>
      <x:c r="M393" s="14" t="n">
        <x:v>5</x:v>
      </x:c>
      <x:c r="N393" s="14" t="str">
        <x:v>Starside Properties v Mustapha</x:v>
      </x:c>
    </x:row>
    <x:row r="394">
      <x:c r="A394" s="1" t="str">
        <x:v>cmmxgkynq000504ju5rx4qmev</x:v>
      </x:c>
      <x:c r="B394" s="1" t="str">
        <x:v>cmmdjkfi7000204jsunevvuvv</x:v>
      </x:c>
      <x:c r="C394" s="1" t="str">
        <x:v>skeleton-args-ca2023004634-299a4a730fe1f43a</x:v>
      </x:c>
      <x:c r="D394" s="12" t="n">
        <x:v>46100.52843866898</x:v>
      </x:c>
      <x:c r="E394" s="1" t="str">
        <x:v>no</x:v>
      </x:c>
      <x:c r="F394" s="14" t="str"/>
      <x:c r="G394" s="14" t="n">
        <x:v>13</x:v>
      </x:c>
      <x:c r="H394" s="14" t="str">
        <x:v>f0cad471-e222-49db-b138-c99f671aff4f</x:v>
      </x:c>
      <x:c r="I394" s="14" t="str">
        <x:v>Cawsand Fort Management Company v Kane &amp; Ors [2015] EWCA Civ 1520</x:v>
      </x:c>
      <x:c r="J394" s="14" t="str">
        <x:v>England and Wales Court of Appeal (Civil Division)</x:v>
      </x:c>
      <x:c r="K394" s="14" t="n">
        <x:v>2015</x:v>
      </x:c>
      <x:c r="L394" s="15" t="n">
        <x:v>0.7141804</x:v>
      </x:c>
      <x:c r="M394" s="14" t="n">
        <x:v>2</x:v>
      </x:c>
      <x:c r="N394" s="14" t="str"/>
    </x:row>
    <x:row r="395">
      <x:c r="A395" s="1" t="str">
        <x:v>cmmxgkynq000504ju5rx4qmev</x:v>
      </x:c>
      <x:c r="B395" s="1" t="str">
        <x:v>cmmdjkfi7000204jsunevvuvv</x:v>
      </x:c>
      <x:c r="C395" s="1" t="str">
        <x:v>skeleton-args-ca2023004634-299a4a730fe1f43a</x:v>
      </x:c>
      <x:c r="D395" s="12" t="n">
        <x:v>46100.52843866898</x:v>
      </x:c>
      <x:c r="E395" s="1" t="str">
        <x:v>no</x:v>
      </x:c>
      <x:c r="F395" s="14" t="str"/>
      <x:c r="G395" s="14" t="n">
        <x:v>14</x:v>
      </x:c>
      <x:c r="H395" s="14" t="str">
        <x:v>20883fdd-3d62-402d-b87e-d07099a0aace</x:v>
      </x:c>
      <x:c r="I395" s="14" t="str">
        <x:v>Morshead Mansions Ltd v Di Marco</x:v>
      </x:c>
      <x:c r="J395" s="14" t="str">
        <x:v>England and Wales Court of Appeal (Civil Division)</x:v>
      </x:c>
      <x:c r="K395" s="14" t="n">
        <x:v>2014</x:v>
      </x:c>
      <x:c r="L395" s="15" t="n">
        <x:v>0.71267354</x:v>
      </x:c>
      <x:c r="M395" s="14" t="n">
        <x:v>2</x:v>
      </x:c>
      <x:c r="N395" s="14" t="str"/>
    </x:row>
    <x:row r="396">
      <x:c r="A396" s="1" t="str">
        <x:v>cmmxgkynq000504ju5rx4qmev</x:v>
      </x:c>
      <x:c r="B396" s="1" t="str">
        <x:v>cmmdjkfi7000204jsunevvuvv</x:v>
      </x:c>
      <x:c r="C396" s="1" t="str">
        <x:v>skeleton-args-ca2023004634-299a4a730fe1f43a</x:v>
      </x:c>
      <x:c r="D396" s="12" t="n">
        <x:v>46100.52843866898</x:v>
      </x:c>
      <x:c r="E396" s="1" t="str">
        <x:v>no</x:v>
      </x:c>
      <x:c r="F396" s="14" t="str"/>
      <x:c r="G396" s="14" t="n">
        <x:v>15</x:v>
      </x:c>
      <x:c r="H396" s="14" t="str">
        <x:v>5b10acb1-5e49-4e3a-8c7d-7cde16d86341</x:v>
      </x:c>
      <x:c r="I396" s="14" t="str">
        <x:v>Marks and Spencer plc v BNP Paribas Securities Services Trust Company (Jersey) Ltd &amp; Anor [2015] UKSC 72</x:v>
      </x:c>
      <x:c r="J396" s="14" t="str">
        <x:v>United Kingdom Supreme Court</x:v>
      </x:c>
      <x:c r="K396" s="14" t="n">
        <x:v>2015</x:v>
      </x:c>
      <x:c r="L396" s="15" t="n">
        <x:v>0.7060167</x:v>
      </x:c>
      <x:c r="M396" s="14" t="n">
        <x:v>2</x:v>
      </x:c>
      <x:c r="N396" s="14" t="str"/>
    </x:row>
    <x:row r="397">
      <x:c r="A397" s="1" t="str">
        <x:v>cmmxgkynq000504ju5rx4qmev</x:v>
      </x:c>
      <x:c r="B397" s="1" t="str">
        <x:v>cmmdjkfi7000204jsunevvuvv</x:v>
      </x:c>
      <x:c r="C397" s="1" t="str">
        <x:v>skeleton-args-ca2023004634-299a4a730fe1f43a</x:v>
      </x:c>
      <x:c r="D397" s="12" t="n">
        <x:v>46100.52843866898</x:v>
      </x:c>
      <x:c r="E397" s="1" t="str">
        <x:v>no</x:v>
      </x:c>
      <x:c r="F397" s="14" t="str"/>
      <x:c r="G397" s="14" t="n">
        <x:v>16</x:v>
      </x:c>
      <x:c r="H397" s="14" t="str">
        <x:v>d9167d92-3e2d-462b-b1dd-0c42056c65b9</x:v>
      </x:c>
      <x:c r="I397" s="14" t="str">
        <x:v>Chaplair Ltd v Kumari [2015] EWCA Civ 798</x:v>
      </x:c>
      <x:c r="J397" s="14" t="str">
        <x:v>England and Wales Court of Appeal (Civil Division)</x:v>
      </x:c>
      <x:c r="K397" s="14" t="n">
        <x:v>2015</x:v>
      </x:c>
      <x:c r="L397" s="15" t="n">
        <x:v>0.7053304</x:v>
      </x:c>
      <x:c r="M397" s="14" t="n">
        <x:v>1</x:v>
      </x:c>
      <x:c r="N397" s="14" t="str"/>
    </x:row>
    <x:row r="398">
      <x:c r="A398" s="1" t="str">
        <x:v>cmmxgkynq000504ju5rx4qmev</x:v>
      </x:c>
      <x:c r="B398" s="1" t="str">
        <x:v>cmmdjkfi7000204jsunevvuvv</x:v>
      </x:c>
      <x:c r="C398" s="1" t="str">
        <x:v>skeleton-args-ca2023004634-299a4a730fe1f43a</x:v>
      </x:c>
      <x:c r="D398" s="12" t="n">
        <x:v>46100.52843866898</x:v>
      </x:c>
      <x:c r="E398" s="1" t="str">
        <x:v>no</x:v>
      </x:c>
      <x:c r="F398" s="14" t="str"/>
      <x:c r="G398" s="14" t="n">
        <x:v>17</x:v>
      </x:c>
      <x:c r="H398" s="14" t="str">
        <x:v>f12362ca-9214-46d6-8a2a-5ddadac29884</x:v>
      </x:c>
      <x:c r="I398" s="14" t="str">
        <x:v>Innerspaces Self Storage Ltd v Harding &amp; Ors [2014] EWCA Civ 46</x:v>
      </x:c>
      <x:c r="J398" s="14" t="str">
        <x:v>England and Wales Court of Appeal (Civil Division)</x:v>
      </x:c>
      <x:c r="K398" s="14" t="n">
        <x:v>2014</x:v>
      </x:c>
      <x:c r="L398" s="15" t="n">
        <x:v>0.7031934</x:v>
      </x:c>
      <x:c r="M398" s="14" t="n">
        <x:v>1</x:v>
      </x:c>
      <x:c r="N398" s="14" t="str"/>
    </x:row>
    <x:row r="399">
      <x:c r="A399" s="1" t="str">
        <x:v>cmmxgkynq000504ju5rx4qmev</x:v>
      </x:c>
      <x:c r="B399" s="1" t="str">
        <x:v>cmmdjkfi7000204jsunevvuvv</x:v>
      </x:c>
      <x:c r="C399" s="1" t="str">
        <x:v>skeleton-args-ca2023004634-299a4a730fe1f43a</x:v>
      </x:c>
      <x:c r="D399" s="12" t="n">
        <x:v>46100.52843866898</x:v>
      </x:c>
      <x:c r="E399" s="1" t="str">
        <x:v>no</x:v>
      </x:c>
      <x:c r="F399" s="14" t="str"/>
      <x:c r="G399" s="14" t="n">
        <x:v>18</x:v>
      </x:c>
      <x:c r="H399" s="14" t="str">
        <x:v>18d1bbac-8bcd-4fbc-86a6-c88f150b10c4</x:v>
      </x:c>
      <x:c r="I399" s="14" t="str">
        <x:v>Lankester &amp; Son Ltd v Rennie [2014] EWCA Civ 1515</x:v>
      </x:c>
      <x:c r="J399" s="14" t="str">
        <x:v>England and Wales Court of Appeal (Civil Division)</x:v>
      </x:c>
      <x:c r="K399" s="14" t="n">
        <x:v>2014</x:v>
      </x:c>
      <x:c r="L399" s="15" t="n">
        <x:v>0.70206386</x:v>
      </x:c>
      <x:c r="M399" s="14" t="n">
        <x:v>1</x:v>
      </x:c>
      <x:c r="N399" s="14" t="str"/>
    </x:row>
    <x:row r="400">
      <x:c r="A400" s="1" t="str">
        <x:v>cmmxgkynq000504ju5rx4qmev</x:v>
      </x:c>
      <x:c r="B400" s="1" t="str">
        <x:v>cmmdjkfi7000204jsunevvuvv</x:v>
      </x:c>
      <x:c r="C400" s="1" t="str">
        <x:v>skeleton-args-ca2023004634-299a4a730fe1f43a</x:v>
      </x:c>
      <x:c r="D400" s="12" t="n">
        <x:v>46100.52843866898</x:v>
      </x:c>
      <x:c r="E400" s="1" t="str">
        <x:v>no</x:v>
      </x:c>
      <x:c r="F400" s="14" t="str"/>
      <x:c r="G400" s="14" t="n">
        <x:v>19</x:v>
      </x:c>
      <x:c r="H400" s="14" t="str">
        <x:v>2702fe29-d7f0-4cc6-8c3f-b840406bb7a2</x:v>
      </x:c>
      <x:c r="I400" s="14" t="str">
        <x:v>Peel Land and Property (Ports No. 3) Ltd v TS Sheerness Ltd</x:v>
      </x:c>
      <x:c r="J400" s="14" t="str">
        <x:v>England and Wales Court of Appeal (Civil Division)</x:v>
      </x:c>
      <x:c r="K400" s="14" t="n">
        <x:v>2014</x:v>
      </x:c>
      <x:c r="L400" s="15" t="n">
        <x:v>0.7016659</x:v>
      </x:c>
      <x:c r="M400" s="14" t="n">
        <x:v>2</x:v>
      </x:c>
      <x:c r="N400" s="14" t="str"/>
    </x:row>
    <x:row r="401">
      <x:c r="A401" s="1" t="str">
        <x:v>cmmxgkynq000504ju5rx4qmev</x:v>
      </x:c>
      <x:c r="B401" s="1" t="str">
        <x:v>cmmdjkfi7000204jsunevvuvv</x:v>
      </x:c>
      <x:c r="C401" s="1" t="str">
        <x:v>skeleton-args-ca2023004634-299a4a730fe1f43a</x:v>
      </x:c>
      <x:c r="D401" s="12" t="n">
        <x:v>46100.52843866898</x:v>
      </x:c>
      <x:c r="E401" s="1" t="str">
        <x:v>no</x:v>
      </x:c>
      <x:c r="F401" s="14" t="str"/>
      <x:c r="G401" s="14" t="n">
        <x:v>20</x:v>
      </x:c>
      <x:c r="H401" s="14" t="str">
        <x:v>98a141f0-f889-4521-86c4-1b8648867286</x:v>
      </x:c>
      <x:c r="I401" s="14" t="str">
        <x:v>Silver Fern Microlights Ltd v Jones &amp; Ors [2016] EWCA Civ 277</x:v>
      </x:c>
      <x:c r="J401" s="14" t="str">
        <x:v>England and Wales Court of Appeal (Civil Division)</x:v>
      </x:c>
      <x:c r="K401" s="14" t="n">
        <x:v>2016</x:v>
      </x:c>
      <x:c r="L401" s="15" t="n">
        <x:v>0.7004733</x:v>
      </x:c>
      <x:c r="M401" s="14" t="n">
        <x:v>1</x:v>
      </x:c>
      <x:c r="N401" s="14" t="str"/>
    </x:row>
    <x:row r="402">
      <x:c r="A402" s="1" t="str">
        <x:v>cmmxgv6n0000b04kt94o7km5w</x:v>
      </x:c>
      <x:c r="B402" s="1" t="str">
        <x:v>cmmshtbz8000204jsdrli49qe</x:v>
      </x:c>
      <x:c r="C402" s="1" t="str">
        <x:v>karpasitis-v-hertfordshire-county-council</x:v>
      </x:c>
      <x:c r="D402" s="12" t="n">
        <x:v>46100.53395853009</x:v>
      </x:c>
      <x:c r="E402" s="1" t="str">
        <x:v>yes</x:v>
      </x:c>
      <x:c r="F402" s="14" t="str">
        <x:v>cmmxgyd9z000h04kttryogau2</x:v>
      </x:c>
      <x:c r="G402" s="14" t="n">
        <x:v>1</x:v>
      </x:c>
      <x:c r="H402" s="14" t="str">
        <x:v>bc30491e-9ae6-48da-90d0-71d8a8069b22</x:v>
      </x:c>
      <x:c r="I402" s="14" t="str">
        <x:v>Gorringe v. Calderdale Metropolitan Borough Council</x:v>
      </x:c>
      <x:c r="J402" s="14" t="str">
        <x:v>United Kingdom House of Lords</x:v>
      </x:c>
      <x:c r="K402" s="14" t="n">
        <x:v>2004</x:v>
      </x:c>
      <x:c r="L402" s="15" t="n">
        <x:v>0.71467984</x:v>
      </x:c>
      <x:c r="M402" s="14" t="n">
        <x:v>3</x:v>
      </x:c>
      <x:c r="N402" s="14" t="str">
        <x:v>Road Traffic Act 1988 | X (Minors) v Bedfordshire County Council | Stovin v Wise | Larner v Solihull Metropolitan Borough Council</x:v>
      </x:c>
    </x:row>
    <x:row r="403">
      <x:c r="A403" s="1" t="str">
        <x:v>cmmxgv6n0000b04kt94o7km5w</x:v>
      </x:c>
      <x:c r="B403" s="1" t="str">
        <x:v>cmmshtbz8000204jsdrli49qe</x:v>
      </x:c>
      <x:c r="C403" s="1" t="str">
        <x:v>karpasitis-v-hertfordshire-county-council</x:v>
      </x:c>
      <x:c r="D403" s="12" t="n">
        <x:v>46100.53395853009</x:v>
      </x:c>
      <x:c r="E403" s="1" t="str">
        <x:v>yes</x:v>
      </x:c>
      <x:c r="F403" s="14" t="str">
        <x:v>cmmxgyd9z000h04kttryogau2</x:v>
      </x:c>
      <x:c r="G403" s="14" t="n">
        <x:v>2</x:v>
      </x:c>
      <x:c r="H403" s="14" t="str">
        <x:v>5a42b4bc-fe8f-47be-9b13-869933b2ddff</x:v>
      </x:c>
      <x:c r="I403" s="14" t="str">
        <x:v>Yetkin v London Borough of Newham ([2010] EWCA Civ 776)</x:v>
      </x:c>
      <x:c r="J403" s="14" t="str">
        <x:v>England and Wales Court of Appeal (Civil Division)</x:v>
      </x:c>
      <x:c r="K403" s="14" t="n">
        <x:v>2010</x:v>
      </x:c>
      <x:c r="L403" s="15" t="n">
        <x:v>0.69070464</x:v>
      </x:c>
      <x:c r="M403" s="14" t="n">
        <x:v>2</x:v>
      </x:c>
      <x:c r="N403" s="14" t="str">
        <x:v>Gorringe v Calderdale Metropolitan Borough Council</x:v>
      </x:c>
    </x:row>
    <x:row r="404">
      <x:c r="A404" s="1" t="str">
        <x:v>cmmxgv6n0000b04kt94o7km5w</x:v>
      </x:c>
      <x:c r="B404" s="1" t="str">
        <x:v>cmmshtbz8000204jsdrli49qe</x:v>
      </x:c>
      <x:c r="C404" s="1" t="str">
        <x:v>karpasitis-v-hertfordshire-county-council</x:v>
      </x:c>
      <x:c r="D404" s="12" t="n">
        <x:v>46100.53395853009</x:v>
      </x:c>
      <x:c r="E404" s="1" t="str">
        <x:v>yes</x:v>
      </x:c>
      <x:c r="F404" s="14" t="str">
        <x:v>cmmxgyd9z000h04kttryogau2</x:v>
      </x:c>
      <x:c r="G404" s="14" t="n">
        <x:v>3</x:v>
      </x:c>
      <x:c r="H404" s="14" t="str">
        <x:v>70d43223-0ec6-458b-b052-bdc295e0d6ec</x:v>
      </x:c>
      <x:c r="I404" s="14" t="str">
        <x:v>Brown &amp; Ors v South West Lakes Trust &amp; Ors [2022] EWCA Civ 18</x:v>
      </x:c>
      <x:c r="J404" s="14" t="str">
        <x:v>England and Wales Court of Appeal (Civil Division)</x:v>
      </x:c>
      <x:c r="K404" s="14" t="n">
        <x:v>2022</x:v>
      </x:c>
      <x:c r="L404" s="15" t="n">
        <x:v>0.6891316</x:v>
      </x:c>
      <x:c r="M404" s="14" t="n">
        <x:v>4</x:v>
      </x:c>
      <x:c r="N404" s="14" t="str">
        <x:v>Okpabi v Royal Dutch Shell plc [2021] UKSC 3 | Donoghue v Folkestone Properties Ltd [2003] EWCA Civ 231 | Donoghue v Folkestone Properties Limited [2003] EWCA Civ 231 | Tomlinson v Congleton [2003] UKHL 53 | Countryside and Rights of Way Act 2000</x:v>
      </x:c>
    </x:row>
    <x:row r="405">
      <x:c r="A405" s="1" t="str">
        <x:v>cmmxgv6n0000b04kt94o7km5w</x:v>
      </x:c>
      <x:c r="B405" s="1" t="str">
        <x:v>cmmshtbz8000204jsdrli49qe</x:v>
      </x:c>
      <x:c r="C405" s="1" t="str">
        <x:v>karpasitis-v-hertfordshire-county-council</x:v>
      </x:c>
      <x:c r="D405" s="12" t="n">
        <x:v>46100.53395853009</x:v>
      </x:c>
      <x:c r="E405" s="1" t="str">
        <x:v>yes</x:v>
      </x:c>
      <x:c r="F405" s="14" t="str">
        <x:v>cmmxgyd9z000h04kttryogau2</x:v>
      </x:c>
      <x:c r="G405" s="14" t="n">
        <x:v>4</x:v>
      </x:c>
      <x:c r="H405" s="14" t="str">
        <x:v>4685ad0e-87e7-4f59-8991-823ab27d9393</x:v>
      </x:c>
      <x:c r="I405" s="14" t="str">
        <x:v>Tindall &amp; Anor v Chief Constable of Thames Valley Police &amp; Anor [2022] EWCA Civ 25</x:v>
      </x:c>
      <x:c r="J405" s="14" t="str">
        <x:v>England and Wales Court of Appeal (Civil Division)</x:v>
      </x:c>
      <x:c r="K405" s="14" t="n">
        <x:v>2022</x:v>
      </x:c>
      <x:c r="L405" s="15" t="n">
        <x:v>0.67946213</x:v>
      </x:c>
      <x:c r="M405" s="14" t="n">
        <x:v>3</x:v>
      </x:c>
      <x:c r="N405" s="14" t="str">
        <x:v>Michael v South Wales Police | Robinson v West Yorkshire Police | GN v Poole Borough Council | Hedley Byrne | Anns v Merton LBC | Dorset Yacht | Michael | Robinson | N and Anor | Gorringe</x:v>
      </x:c>
    </x:row>
    <x:row r="406">
      <x:c r="A406" s="1" t="str">
        <x:v>cmmxgv6n0000b04kt94o7km5w</x:v>
      </x:c>
      <x:c r="B406" s="1" t="str">
        <x:v>cmmshtbz8000204jsdrli49qe</x:v>
      </x:c>
      <x:c r="C406" s="1" t="str">
        <x:v>karpasitis-v-hertfordshire-county-council</x:v>
      </x:c>
      <x:c r="D406" s="12" t="n">
        <x:v>46100.53395853009</x:v>
      </x:c>
      <x:c r="E406" s="1" t="str">
        <x:v>yes</x:v>
      </x:c>
      <x:c r="F406" s="14" t="str">
        <x:v>cmmxgyd9z000h04kttryogau2</x:v>
      </x:c>
      <x:c r="G406" s="14" t="n">
        <x:v>5</x:v>
      </x:c>
      <x:c r="H406" s="14" t="str">
        <x:v>52d20bb9-6964-44a6-9c32-d191ef76297c</x:v>
      </x:c>
      <x:c r="I406" s="14" t="str">
        <x:v>King Lifting Ltd v Oxfordshire County Council [2016] EWHC 1767 (QB)</x:v>
      </x:c>
      <x:c r="J406" s="14" t="str">
        <x:v>England and Wales High Court (Queen's Bench Division)</x:v>
      </x:c>
      <x:c r="K406" s="14" t="n">
        <x:v>2016</x:v>
      </x:c>
      <x:c r="L406" s="15" t="n">
        <x:v>0.679442</x:v>
      </x:c>
      <x:c r="M406" s="14" t="n">
        <x:v>2</x:v>
      </x:c>
      <x:c r="N406" s="14" t="str"/>
    </x:row>
    <x:row r="407">
      <x:c r="A407" s="1" t="str">
        <x:v>cmmxgv6n0000b04kt94o7km5w</x:v>
      </x:c>
      <x:c r="B407" s="1" t="str">
        <x:v>cmmshtbz8000204jsdrli49qe</x:v>
      </x:c>
      <x:c r="C407" s="1" t="str">
        <x:v>karpasitis-v-hertfordshire-county-council</x:v>
      </x:c>
      <x:c r="D407" s="12" t="n">
        <x:v>46100.53395853009</x:v>
      </x:c>
      <x:c r="E407" s="1" t="str">
        <x:v>yes</x:v>
      </x:c>
      <x:c r="F407" s="14" t="str">
        <x:v>cmmxgyd9z000h04kttryogau2</x:v>
      </x:c>
      <x:c r="G407" s="14" t="n">
        <x:v>6</x:v>
      </x:c>
      <x:c r="H407" s="14" t="str">
        <x:v>4840c2e7-7326-456e-84e1-def231729686</x:v>
      </x:c>
      <x:c r="I407" s="14" t="str">
        <x:v>Butcher v Southend-On-Sea Borough Council (2014)</x:v>
      </x:c>
      <x:c r="J407" s="14" t="str">
        <x:v>England and Wales Court of Appeal (Civil Division)</x:v>
      </x:c>
      <x:c r="K407" s="14" t="n">
        <x:v>2014</x:v>
      </x:c>
      <x:c r="L407" s="15" t="n">
        <x:v>0.6776721</x:v>
      </x:c>
      <x:c r="M407" s="14" t="n">
        <x:v>1</x:v>
      </x:c>
      <x:c r="N407" s="14" t="str"/>
    </x:row>
    <x:row r="408">
      <x:c r="A408" s="1" t="str">
        <x:v>cmmxgv6n0000b04kt94o7km5w</x:v>
      </x:c>
      <x:c r="B408" s="1" t="str">
        <x:v>cmmshtbz8000204jsdrli49qe</x:v>
      </x:c>
      <x:c r="C408" s="1" t="str">
        <x:v>karpasitis-v-hertfordshire-county-council</x:v>
      </x:c>
      <x:c r="D408" s="12" t="n">
        <x:v>46100.53395853009</x:v>
      </x:c>
      <x:c r="E408" s="1" t="str">
        <x:v>yes</x:v>
      </x:c>
      <x:c r="F408" s="14" t="str">
        <x:v>cmmxgyd9z000h04kttryogau2</x:v>
      </x:c>
      <x:c r="G408" s="14" t="n">
        <x:v>7</x:v>
      </x:c>
      <x:c r="H408" s="14" t="str">
        <x:v>70c75405-8cba-40e2-92ff-8302ea4f6789</x:v>
      </x:c>
      <x:c r="I408" s="14" t="str">
        <x:v>Griffiths v Gwynedd County Council [2015] EWCA Civ 1440</x:v>
      </x:c>
      <x:c r="J408" s="14" t="str">
        <x:v>England and Wales Court of Appeal (Civil Division)</x:v>
      </x:c>
      <x:c r="K408" s="14" t="n">
        <x:v>2015</x:v>
      </x:c>
      <x:c r="L408" s="15" t="n">
        <x:v>0.6725828</x:v>
      </x:c>
      <x:c r="M408" s="14" t="n">
        <x:v>3</x:v>
      </x:c>
      <x:c r="N408" s="14" t="str">
        <x:v>Mills v Barnsley Metropolitan Borough Council | Jones v Rhondda Cynon Taff County Borough Council</x:v>
      </x:c>
    </x:row>
    <x:row r="409">
      <x:c r="A409" s="1" t="str">
        <x:v>cmmxgv6n0000b04kt94o7km5w</x:v>
      </x:c>
      <x:c r="B409" s="1" t="str">
        <x:v>cmmshtbz8000204jsdrli49qe</x:v>
      </x:c>
      <x:c r="C409" s="1" t="str">
        <x:v>karpasitis-v-hertfordshire-county-council</x:v>
      </x:c>
      <x:c r="D409" s="12" t="n">
        <x:v>46100.53395853009</x:v>
      </x:c>
      <x:c r="E409" s="1" t="str">
        <x:v>yes</x:v>
      </x:c>
      <x:c r="F409" s="14" t="str">
        <x:v>cmmxgyd9z000h04kttryogau2</x:v>
      </x:c>
      <x:c r="G409" s="14" t="n">
        <x:v>8</x:v>
      </x:c>
      <x:c r="H409" s="14" t="str">
        <x:v>6948a4df-0a45-4ddc-ae3d-8eafee44976a</x:v>
      </x:c>
      <x:c r="I409" s="14" t="str">
        <x:v>Scott v Gavigan [2016] EWCA Civ 544</x:v>
      </x:c>
      <x:c r="J409" s="14" t="str">
        <x:v>England and Wales Court of Appeal (Civil Division)</x:v>
      </x:c>
      <x:c r="K409" s="14" t="n">
        <x:v>2016</x:v>
      </x:c>
      <x:c r="L409" s="15" t="n">
        <x:v>0.66786355</x:v>
      </x:c>
      <x:c r="M409" s="14" t="n">
        <x:v>3</x:v>
      </x:c>
      <x:c r="N409" s="14" t="str">
        <x:v>McKew v Holland &amp; Hannen &amp; Cubitts (Scotland) Ltd | Clerk &amp; Lindsell on Torts | Spencer v Wincanton Holdings Ltd | Bourhill v Young | Lang v LTE | Corr v IBC Vehicles Ltd</x:v>
      </x:c>
    </x:row>
    <x:row r="410">
      <x:c r="A410" s="1" t="str">
        <x:v>cmmxgv6n0000b04kt94o7km5w</x:v>
      </x:c>
      <x:c r="B410" s="1" t="str">
        <x:v>cmmshtbz8000204jsdrli49qe</x:v>
      </x:c>
      <x:c r="C410" s="1" t="str">
        <x:v>karpasitis-v-hertfordshire-county-council</x:v>
      </x:c>
      <x:c r="D410" s="12" t="n">
        <x:v>46100.53395853009</x:v>
      </x:c>
      <x:c r="E410" s="1" t="str">
        <x:v>yes</x:v>
      </x:c>
      <x:c r="F410" s="14" t="str">
        <x:v>cmmxgyd9z000h04kttryogau2</x:v>
      </x:c>
      <x:c r="G410" s="14" t="n">
        <x:v>9</x:v>
      </x:c>
      <x:c r="H410" s="14" t="str">
        <x:v>2eaaf060-799f-4573-a18a-86e5c14b158b</x:v>
      </x:c>
      <x:c r="I410" s="14" t="str">
        <x:v>National Grid Electricity Transmission Plc v Arnold White Estates Ltd [2014] EWCA Civ 216</x:v>
      </x:c>
      <x:c r="J410" s="14" t="str">
        <x:v>England and Wales Court of Appeal (Civil Division)</x:v>
      </x:c>
      <x:c r="K410" s="14" t="n">
        <x:v>2014</x:v>
      </x:c>
      <x:c r="L410" s="15" t="n">
        <x:v>0.6596107</x:v>
      </x:c>
      <x:c r="M410" s="14" t="n">
        <x:v>1</x:v>
      </x:c>
      <x:c r="N410" s="14" t="str">
        <x:v>Oppenheimer v Minister of Transport</x:v>
      </x:c>
    </x:row>
    <x:row r="411">
      <x:c r="A411" s="1" t="str">
        <x:v>cmmxgv6n0000b04kt94o7km5w</x:v>
      </x:c>
      <x:c r="B411" s="1" t="str">
        <x:v>cmmshtbz8000204jsdrli49qe</x:v>
      </x:c>
      <x:c r="C411" s="1" t="str">
        <x:v>karpasitis-v-hertfordshire-county-council</x:v>
      </x:c>
      <x:c r="D411" s="12" t="n">
        <x:v>46100.53395853009</x:v>
      </x:c>
      <x:c r="E411" s="1" t="str">
        <x:v>yes</x:v>
      </x:c>
      <x:c r="F411" s="14" t="str">
        <x:v>cmmxgyd9z000h04kttryogau2</x:v>
      </x:c>
      <x:c r="G411" s="14" t="n">
        <x:v>10</x:v>
      </x:c>
      <x:c r="H411" s="14" t="str">
        <x:v>0af9689e-f55a-4b42-8c7d-e7ef4d3d1bdc</x:v>
      </x:c>
      <x:c r="I411" s="14" t="str">
        <x:v>Hughes v Rattan (Rev1) [2022] EWCA Civ 107</x:v>
      </x:c>
      <x:c r="J411" s="14" t="str">
        <x:v>England and Wales Court of Appeal (Civil Division)</x:v>
      </x:c>
      <x:c r="K411" s="14" t="n">
        <x:v>2022</x:v>
      </x:c>
      <x:c r="L411" s="15" t="n">
        <x:v>0.6587132</x:v>
      </x:c>
      <x:c r="M411" s="14" t="n">
        <x:v>1</x:v>
      </x:c>
      <x:c r="N411" s="14" t="str">
        <x:v>Gold v Essex County Council | Cassidy v Ministry of Health | Roe v Ministry of Health | A (a Child) v Ministry of Defence | Farraj v King's Healthcare NHS Trust | Ward LJ in E v English Province of Our Lady of Charity | Christian Brothers | Cox v Ministry of Justice | Barclays Bank plc</x:v>
      </x:c>
    </x:row>
    <x:row r="412">
      <x:c r="A412" s="1" t="str">
        <x:v>cmmxgv6n0000b04kt94o7km5w</x:v>
      </x:c>
      <x:c r="B412" s="1" t="str">
        <x:v>cmmshtbz8000204jsdrli49qe</x:v>
      </x:c>
      <x:c r="C412" s="1" t="str">
        <x:v>karpasitis-v-hertfordshire-county-council</x:v>
      </x:c>
      <x:c r="D412" s="12" t="n">
        <x:v>46100.53395853009</x:v>
      </x:c>
      <x:c r="E412" s="1" t="str">
        <x:v>yes</x:v>
      </x:c>
      <x:c r="F412" s="14" t="str">
        <x:v>cmmxgyd9z000h04kttryogau2</x:v>
      </x:c>
      <x:c r="G412" s="14" t="n">
        <x:v>11</x:v>
      </x:c>
      <x:c r="H412" s="14" t="str">
        <x:v>54d149f2-2e02-477e-8541-b2bf222578d6</x:v>
      </x:c>
      <x:c r="I412" s="14" t="str">
        <x:v>Union of Shop, Distributive and Allied Workers &amp; Ors v Tesco Stores Ltd (2022) EWCA Civ 978</x:v>
      </x:c>
      <x:c r="J412" s="14" t="str">
        <x:v>England and Wales Court of Appeal (Civil Division)</x:v>
      </x:c>
      <x:c r="K412" s="14" t="n">
        <x:v>2022</x:v>
      </x:c>
      <x:c r="L412" s="15" t="n">
        <x:v>0.65842843</x:v>
      </x:c>
      <x:c r="M412" s="14" t="n">
        <x:v>1</x:v>
      </x:c>
      <x:c r="N412" s="14" t="str">
        <x:v>Chartbrook Ltd v Persimmon Homes Ltd | Johnson v Unisys Ltd | Addis v Gramophone Co | Woodhouse Ltd v Nigerian Produce Co | Yoo Design Services Ltd v Ilive Realty PTE Ltd | Aspden | Reda v Flag Ltd | Chhabra v West London Mental Health NHS Trust | Edwards v Chesterfield Royal Hospital NHS Foundation Trust</x:v>
      </x:c>
    </x:row>
    <x:row r="413">
      <x:c r="A413" s="1" t="str">
        <x:v>cmmxgv6n0000b04kt94o7km5w</x:v>
      </x:c>
      <x:c r="B413" s="1" t="str">
        <x:v>cmmshtbz8000204jsdrli49qe</x:v>
      </x:c>
      <x:c r="C413" s="1" t="str">
        <x:v>karpasitis-v-hertfordshire-county-council</x:v>
      </x:c>
      <x:c r="D413" s="12" t="n">
        <x:v>46100.53395853009</x:v>
      </x:c>
      <x:c r="E413" s="1" t="str">
        <x:v>yes</x:v>
      </x:c>
      <x:c r="F413" s="14" t="str">
        <x:v>cmmxgyd9z000h04kttryogau2</x:v>
      </x:c>
      <x:c r="G413" s="14" t="n">
        <x:v>12</x:v>
      </x:c>
      <x:c r="H413" s="14" t="str">
        <x:v>a2f8a9c1-146b-4f6c-9d33-4a6ae32664d5</x:v>
      </x:c>
      <x:c r="I413" s="14" t="str">
        <x:v>AAA &amp; Anor v CCC [2022] EWCA Civ 479</x:v>
      </x:c>
      <x:c r="J413" s="14" t="str">
        <x:v>England and Wales Court of Appeal (Civil Division)</x:v>
      </x:c>
      <x:c r="K413" s="14" t="n">
        <x:v>2022</x:v>
      </x:c>
      <x:c r="L413" s="15" t="n">
        <x:v>0.6555426</x:v>
      </x:c>
      <x:c r="M413" s="14" t="n">
        <x:v>1</x:v>
      </x:c>
      <x:c r="N413" s="14" t="str">
        <x:v>Liverpool Victoria v Khan | Mersey Care NHS Trust v Ackroyd | Aldi Stores Ltd | Fage UK Ltd v Chobani UK Ltd | Sprintroom Ltd | Neil v Ryan | Attorney General's Reference (No 4 of 1989) [1990] 1 WLR 41 | Bashir (No 2) [2012] ACD 69</x:v>
      </x:c>
    </x:row>
    <x:row r="414">
      <x:c r="A414" s="1" t="str">
        <x:v>cmmxgv6n0000b04kt94o7km5w</x:v>
      </x:c>
      <x:c r="B414" s="1" t="str">
        <x:v>cmmshtbz8000204jsdrli49qe</x:v>
      </x:c>
      <x:c r="C414" s="1" t="str">
        <x:v>karpasitis-v-hertfordshire-county-council</x:v>
      </x:c>
      <x:c r="D414" s="12" t="n">
        <x:v>46100.53395853009</x:v>
      </x:c>
      <x:c r="E414" s="1" t="str">
        <x:v>yes</x:v>
      </x:c>
      <x:c r="F414" s="14" t="str">
        <x:v>cmmxgyd9z000h04kttryogau2</x:v>
      </x:c>
      <x:c r="G414" s="14" t="n">
        <x:v>13</x:v>
      </x:c>
      <x:c r="H414" s="14" t="str">
        <x:v>edc2fc6e-68a1-4ebc-88a2-3ccdc59d63ed</x:v>
      </x:c>
      <x:c r="I414" s="14" t="str">
        <x:v>McCracken v Smith &amp; Ors [2015] EWCA Civ 380</x:v>
      </x:c>
      <x:c r="J414" s="14" t="str">
        <x:v>England and Wales Court of Appeal (Civil Division)</x:v>
      </x:c>
      <x:c r="K414" s="14" t="n">
        <x:v>2015</x:v>
      </x:c>
      <x:c r="L414" s="15" t="n">
        <x:v>0.654397</x:v>
      </x:c>
      <x:c r="M414" s="14" t="n">
        <x:v>1</x:v>
      </x:c>
      <x:c r="N414" s="14" t="str"/>
    </x:row>
    <x:row r="415">
      <x:c r="A415" s="1" t="str">
        <x:v>cmmxgv6n0000b04kt94o7km5w</x:v>
      </x:c>
      <x:c r="B415" s="1" t="str">
        <x:v>cmmshtbz8000204jsdrli49qe</x:v>
      </x:c>
      <x:c r="C415" s="1" t="str">
        <x:v>karpasitis-v-hertfordshire-county-council</x:v>
      </x:c>
      <x:c r="D415" s="12" t="n">
        <x:v>46100.53395853009</x:v>
      </x:c>
      <x:c r="E415" s="1" t="str">
        <x:v>yes</x:v>
      </x:c>
      <x:c r="F415" s="14" t="str">
        <x:v>cmmxgyd9z000h04kttryogau2</x:v>
      </x:c>
      <x:c r="G415" s="14" t="n">
        <x:v>14</x:v>
      </x:c>
      <x:c r="H415" s="14" t="str">
        <x:v>aeeec773-897a-43bf-a319-7d0c8a133974</x:v>
      </x:c>
      <x:c r="I415" s="14" t="str">
        <x:v>The Secretary of State for Transport &amp; Anor v Cuciurean [2022] EWCA Civ 661</x:v>
      </x:c>
      <x:c r="J415" s="14" t="str">
        <x:v>England and Wales Court of Appeal (Civil Division)</x:v>
      </x:c>
      <x:c r="K415" s="14" t="n">
        <x:v>2022</x:v>
      </x:c>
      <x:c r="L415" s="15" t="n">
        <x:v>0.6537267</x:v>
      </x:c>
      <x:c r="M415" s="14" t="n">
        <x:v>1</x:v>
      </x:c>
      <x:c r="N415" s="14" t="str">
        <x:v>A-G v Crosland | National Highways v Heyatawin | Constantinescu v Romania | Yaxley-Lennon | Solanki v Intercity Telecom | Calderdale v Atwal</x:v>
      </x:c>
    </x:row>
    <x:row r="416">
      <x:c r="A416" s="1" t="str">
        <x:v>cmmxgv6n0000b04kt94o7km5w</x:v>
      </x:c>
      <x:c r="B416" s="1" t="str">
        <x:v>cmmshtbz8000204jsdrli49qe</x:v>
      </x:c>
      <x:c r="C416" s="1" t="str">
        <x:v>karpasitis-v-hertfordshire-county-council</x:v>
      </x:c>
      <x:c r="D416" s="12" t="n">
        <x:v>46100.53395853009</x:v>
      </x:c>
      <x:c r="E416" s="1" t="str">
        <x:v>yes</x:v>
      </x:c>
      <x:c r="F416" s="14" t="str">
        <x:v>cmmxgyd9z000h04kttryogau2</x:v>
      </x:c>
      <x:c r="G416" s="14" t="n">
        <x:v>15</x:v>
      </x:c>
      <x:c r="H416" s="14" t="str">
        <x:v>50ad0fef-c59e-464c-8d87-04a50c7ac07d</x:v>
      </x:c>
      <x:c r="I416" s="14" t="str">
        <x:v>Ramirez v Maheswari [2015] EWCA Civ 879</x:v>
      </x:c>
      <x:c r="J416" s="14" t="str">
        <x:v>England and Wales Court of Appeal (Civil Division)</x:v>
      </x:c>
      <x:c r="K416" s="14" t="n">
        <x:v>2015</x:v>
      </x:c>
      <x:c r="L416" s="15" t="n">
        <x:v>0.6524905</x:v>
      </x:c>
      <x:c r="M416" s="14" t="n">
        <x:v>2</x:v>
      </x:c>
      <x:c r="N416" s="14" t="str">
        <x:v>Lunt v Khelifa | Eagle v Chambers</x:v>
      </x:c>
    </x:row>
    <x:row r="417">
      <x:c r="A417" s="1" t="str">
        <x:v>cmmxgv6n0000b04kt94o7km5w</x:v>
      </x:c>
      <x:c r="B417" s="1" t="str">
        <x:v>cmmshtbz8000204jsdrli49qe</x:v>
      </x:c>
      <x:c r="C417" s="1" t="str">
        <x:v>karpasitis-v-hertfordshire-county-council</x:v>
      </x:c>
      <x:c r="D417" s="12" t="n">
        <x:v>46100.53395853009</x:v>
      </x:c>
      <x:c r="E417" s="1" t="str">
        <x:v>yes</x:v>
      </x:c>
      <x:c r="F417" s="14" t="str">
        <x:v>cmmxgyd9z000h04kttryogau2</x:v>
      </x:c>
      <x:c r="G417" s="14" t="n">
        <x:v>16</x:v>
      </x:c>
      <x:c r="H417" s="14" t="str">
        <x:v>2e37836d-c57c-4eb6-942a-5a1a3a46714f</x:v>
      </x:c>
      <x:c r="I417" s="14" t="str">
        <x:v>Benyatov v Credit Suisse (Securities) Europe Ltd [2023] EWCA Civ 140</x:v>
      </x:c>
      <x:c r="J417" s="14" t="str">
        <x:v>England and Wales Court of Appeal (Civil Division)</x:v>
      </x:c>
      <x:c r="K417" s="14" t="n">
        <x:v>2023</x:v>
      </x:c>
      <x:c r="L417" s="15" t="n">
        <x:v>0.6509781</x:v>
      </x:c>
      <x:c r="M417" s="14" t="n">
        <x:v>1</x:v>
      </x:c>
      <x:c r="N417" s="14" t="str">
        <x:v>Hedley Byrne &amp; Co Ltd v Heller &amp; Partners Ltd | Henderson v Merrett Syndicates Ltd | Caparo Industries plc v Dickman | Robinson v Chief Constable of West Yorkshire Police | Commissioners of Customs &amp; Excise v Barclays Bank plc | Nykredit Mortgage Bank plc v Edward Erdman Group Ltd (No. 2) | NRAM Ltd v Steel | Playboy Club London Ltd v Banca Nazionale del Lavoro SpA | JP SPC 4 v Royal Bank of Scotland International Ltd | James-Bowen v Commissioner of Police for the Metropolis | Khan v Falvey | Hatton v Chafes</x:v>
      </x:c>
    </x:row>
    <x:row r="418">
      <x:c r="A418" s="1" t="str">
        <x:v>cmmxgv6n0000b04kt94o7km5w</x:v>
      </x:c>
      <x:c r="B418" s="1" t="str">
        <x:v>cmmshtbz8000204jsdrli49qe</x:v>
      </x:c>
      <x:c r="C418" s="1" t="str">
        <x:v>karpasitis-v-hertfordshire-county-council</x:v>
      </x:c>
      <x:c r="D418" s="12" t="n">
        <x:v>46100.53395853009</x:v>
      </x:c>
      <x:c r="E418" s="1" t="str">
        <x:v>yes</x:v>
      </x:c>
      <x:c r="F418" s="14" t="str">
        <x:v>cmmxgyd9z000h04kttryogau2</x:v>
      </x:c>
      <x:c r="G418" s="14" t="n">
        <x:v>17</x:v>
      </x:c>
      <x:c r="H418" s="14" t="str">
        <x:v>0b882e45-d34e-49f7-baae-3d5657d1ccc6</x:v>
      </x:c>
      <x:c r="I418" s="14" t="str">
        <x:v>Alan Kind v. Newcastle-Upon-Tyne Council [2001] EWHC Admin 616</x:v>
      </x:c>
      <x:c r="J418" s="14" t="str">
        <x:v>England and Wales High Court (Administrative Court)</x:v>
      </x:c>
      <x:c r="K418" s="14" t="n">
        <x:v>2001</x:v>
      </x:c>
      <x:c r="L418" s="15" t="n">
        <x:v>0.6494992</x:v>
      </x:c>
      <x:c r="M418" s="14" t="n">
        <x:v>4</x:v>
      </x:c>
      <x:c r="N418" s="14" t="str">
        <x:v>Burnside v Emerson [1968] | Highways Act 1980</x:v>
      </x:c>
    </x:row>
    <x:row r="419">
      <x:c r="A419" s="1" t="str">
        <x:v>cmmxgv6n0000b04kt94o7km5w</x:v>
      </x:c>
      <x:c r="B419" s="1" t="str">
        <x:v>cmmshtbz8000204jsdrli49qe</x:v>
      </x:c>
      <x:c r="C419" s="1" t="str">
        <x:v>karpasitis-v-hertfordshire-county-council</x:v>
      </x:c>
      <x:c r="D419" s="12" t="n">
        <x:v>46100.53395853009</x:v>
      </x:c>
      <x:c r="E419" s="1" t="str">
        <x:v>yes</x:v>
      </x:c>
      <x:c r="F419" s="14" t="str">
        <x:v>cmmxgyd9z000h04kttryogau2</x:v>
      </x:c>
      <x:c r="G419" s="14" t="n">
        <x:v>18</x:v>
      </x:c>
      <x:c r="H419" s="14" t="str">
        <x:v>d1152bb7-20b0-4217-a91b-171203a9484a</x:v>
      </x:c>
      <x:c r="I419" s="14" t="str">
        <x:v>Reilly and Hewstone v Secretary of State for Work and Pensions [2016] EWCA Civ 413</x:v>
      </x:c>
      <x:c r="J419" s="14" t="str">
        <x:v>England and Wales Court of Appeal (Civil Division)</x:v>
      </x:c>
      <x:c r="K419" s="14" t="n">
        <x:v>2016</x:v>
      </x:c>
      <x:c r="L419" s="15" t="n">
        <x:v>0.64746445</x:v>
      </x:c>
      <x:c r="M419" s="14" t="n">
        <x:v>1</x:v>
      </x:c>
      <x:c r="N419" s="14" t="str">
        <x:v>Stran Greek Refineries v Greece (1995) 19 EHRR 293 | National &amp; Provincial Building Society v UK (1997) 25 EHRR 127 | Scordino v Italy (no. 1) (2007) 45 EHRR 7 | Pressos Companía Naviera S.A. v Belgium (1996) 21 EHRR 301 | Kopecký v Slovakia (2005) 41 EHRR 43 | Tarbuk v Croatia [2012] ECHR 2049 | Draon v France (Grand Chamber) (2006) 42 EHRR 40 | Recovery of Medical Costs for Asbestos Diseases (Wales) Bill 2015 UKSC 3 | AXA General Insurance Ltd v HM Advocate [2012] 1 AC 868 | R (St Matthews West) Ltd v HM Treasury [2014] EWCA Civ 2426</x:v>
      </x:c>
    </x:row>
    <x:row r="420">
      <x:c r="A420" s="1" t="str">
        <x:v>cmmxgv6n0000b04kt94o7km5w</x:v>
      </x:c>
      <x:c r="B420" s="1" t="str">
        <x:v>cmmshtbz8000204jsdrli49qe</x:v>
      </x:c>
      <x:c r="C420" s="1" t="str">
        <x:v>karpasitis-v-hertfordshire-county-council</x:v>
      </x:c>
      <x:c r="D420" s="12" t="n">
        <x:v>46100.53395853009</x:v>
      </x:c>
      <x:c r="E420" s="1" t="str">
        <x:v>yes</x:v>
      </x:c>
      <x:c r="F420" s="14" t="str">
        <x:v>cmmxgyd9z000h04kttryogau2</x:v>
      </x:c>
      <x:c r="G420" s="14" t="n">
        <x:v>19</x:v>
      </x:c>
      <x:c r="H420" s="14" t="str">
        <x:v>8bf594df-88d1-4791-89f3-b2699310ed7a</x:v>
      </x:c>
      <x:c r="I420" s="14" t="str">
        <x:v>Aviva Insurance Limited and Swiss Reinsurance Company Limited v Secretary of State for Work and Pensions [2022] EWCA Civ 15</x:v>
      </x:c>
      <x:c r="J420" s="14" t="str">
        <x:v>England and Wales Court of Appeal (Civil Division)</x:v>
      </x:c>
      <x:c r="K420" s="14" t="n">
        <x:v>2022</x:v>
      </x:c>
      <x:c r="L420" s="15" t="n">
        <x:v>0.64720315</x:v>
      </x:c>
      <x:c r="M420" s="14" t="n">
        <x:v>1</x:v>
      </x:c>
      <x:c r="N420" s="14" t="str">
        <x:v>Fairchild v Glenhaven Funeral Services Ltd [2003] 1 AC 32 | Wilson v First County Trust Ltd (No.2) [2003] UKHL 40 | Bank Mellat v HM Treasury (No.2) [2013] UKSC 38 | R (SC) v Works and Pensions Secretary [2021] UKSC 26 | R (DA) v Works and Pensions Secretary [2019] UKSC 21 | James v United Kingdom | Welsh Bill case</x:v>
      </x:c>
    </x:row>
    <x:row r="421">
      <x:c r="A421" s="1" t="str">
        <x:v>cmmxgv6n0000b04kt94o7km5w</x:v>
      </x:c>
      <x:c r="B421" s="1" t="str">
        <x:v>cmmshtbz8000204jsdrli49qe</x:v>
      </x:c>
      <x:c r="C421" s="1" t="str">
        <x:v>karpasitis-v-hertfordshire-county-council</x:v>
      </x:c>
      <x:c r="D421" s="12" t="n">
        <x:v>46100.53395853009</x:v>
      </x:c>
      <x:c r="E421" s="1" t="str">
        <x:v>yes</x:v>
      </x:c>
      <x:c r="F421" s="14" t="str">
        <x:v>cmmxgyd9z000h04kttryogau2</x:v>
      </x:c>
      <x:c r="G421" s="14" t="n">
        <x:v>20</x:v>
      </x:c>
      <x:c r="H421" s="14" t="str">
        <x:v>6e8e988c-074c-4ab1-9e37-5c84673b441b</x:v>
      </x:c>
      <x:c r="I421" s="14" t="str">
        <x:v>Secretary of State for the Home Department v Cox &amp; Ors [2023] EWCA Civ 551 (19 May 2023)</x:v>
      </x:c>
      <x:c r="J421" s="14" t="str">
        <x:v>England and Wales Court of Appeal (Civil Division)</x:v>
      </x:c>
      <x:c r="K421" s="14" t="n">
        <x:v>2023</x:v>
      </x:c>
      <x:c r="L421" s="15" t="n">
        <x:v>0.6466047</x:v>
      </x:c>
      <x:c r="M421" s="14" t="n">
        <x:v>2</x:v>
      </x:c>
      <x:c r="N421" s="14" t="str">
        <x:v>Investors Compensation Scheme Ltd v West Bromwich Building Society | Arnold v Britton | Prenn v Reardon Smith Line Ltd | Reardon Smith Line Ltd v Hansen-Tangen | Bank of Credit and Commerce International SA v Ali | Wood v Capita Insurance Services Ltd | Pepper v Hart | Tyne and Wear PTE Ltd v NATU</x:v>
      </x:c>
    </x:row>
    <x:row r="422">
      <x:c r="A422" s="1" t="str">
        <x:v>cmmxhota6000304l5veh94ja9</x:v>
      </x:c>
      <x:c r="B422" s="1" t="str">
        <x:v>cmmxhmaji000604l8iyhbwnn1</x:v>
      </x:c>
      <x:c r="C422" s="1" t="str">
        <x:v>greenfields--iow--limited-v-isle-of-wight-council---westridge-village-limited</x:v>
      </x:c>
      <x:c r="D422" s="12" t="n">
        <x:v>46100.549957905096</x:v>
      </x:c>
      <x:c r="E422" s="1" t="str">
        <x:v>no</x:v>
      </x:c>
      <x:c r="F422" s="14" t="str"/>
      <x:c r="G422" s="14" t="n">
        <x:v>1</x:v>
      </x:c>
      <x:c r="H422" s="14" t="str">
        <x:v>d8ef5edb-61a0-4b29-b510-5fe53f814e53</x:v>
      </x:c>
      <x:c r="I422" s="14" t="str">
        <x:v>Secretary of State for Communities and Local Government v Hopkins Developments Ltd</x:v>
      </x:c>
      <x:c r="J422" s="14" t="str">
        <x:v>England and Wales Court of Appeal (Civil Division)</x:v>
      </x:c>
      <x:c r="K422" s="14" t="n">
        <x:v>2014</x:v>
      </x:c>
      <x:c r="L422" s="15" t="n">
        <x:v>0.72485197</x:v>
      </x:c>
      <x:c r="M422" s="14" t="n">
        <x:v>1</x:v>
      </x:c>
      <x:c r="N422" s="14" t="str"/>
    </x:row>
    <x:row r="423">
      <x:c r="A423" s="1" t="str">
        <x:v>cmmxhota6000304l5veh94ja9</x:v>
      </x:c>
      <x:c r="B423" s="1" t="str">
        <x:v>cmmxhmaji000604l8iyhbwnn1</x:v>
      </x:c>
      <x:c r="C423" s="1" t="str">
        <x:v>greenfields--iow--limited-v-isle-of-wight-council---westridge-village-limited</x:v>
      </x:c>
      <x:c r="D423" s="12" t="n">
        <x:v>46100.549957905096</x:v>
      </x:c>
      <x:c r="E423" s="1" t="str">
        <x:v>no</x:v>
      </x:c>
      <x:c r="F423" s="14" t="str"/>
      <x:c r="G423" s="14" t="n">
        <x:v>2</x:v>
      </x:c>
      <x:c r="H423" s="14" t="str">
        <x:v>379d4f20-62f5-403b-a082-fa36b82fe1c1</x:v>
      </x:c>
      <x:c r="I423" s="14" t="str">
        <x:v>Regina v. London Borough of Hammersmith and Fulham (Burkett) [2002] UKHL 23</x:v>
      </x:c>
      <x:c r="J423" s="14" t="str">
        <x:v>United Kingdom House of Lords</x:v>
      </x:c>
      <x:c r="K423" s="14" t="n">
        <x:v>2002</x:v>
      </x:c>
      <x:c r="L423" s="15" t="n">
        <x:v>0.7214333</x:v>
      </x:c>
      <x:c r="M423" s="14" t="n">
        <x:v>3</x:v>
      </x:c>
      <x:c r="N423" s="14" t="str"/>
    </x:row>
    <x:row r="424">
      <x:c r="A424" s="1" t="str">
        <x:v>cmmxhota6000304l5veh94ja9</x:v>
      </x:c>
      <x:c r="B424" s="1" t="str">
        <x:v>cmmxhmaji000604l8iyhbwnn1</x:v>
      </x:c>
      <x:c r="C424" s="1" t="str">
        <x:v>greenfields--iow--limited-v-isle-of-wight-council---westridge-village-limited</x:v>
      </x:c>
      <x:c r="D424" s="12" t="n">
        <x:v>46100.549957905096</x:v>
      </x:c>
      <x:c r="E424" s="1" t="str">
        <x:v>no</x:v>
      </x:c>
      <x:c r="F424" s="14" t="str"/>
      <x:c r="G424" s="14" t="n">
        <x:v>3</x:v>
      </x:c>
      <x:c r="H424" s="14" t="str">
        <x:v>75c3584c-539b-49d8-bbc0-8dbe5fb06479</x:v>
      </x:c>
      <x:c r="I424" s="14" t="str">
        <x:v>Wiltshire Council v Secretary of State for Communities and Local Government &amp; Ors [2015] EWCA Civ 1068</x:v>
      </x:c>
      <x:c r="J424" s="14" t="str">
        <x:v>England and Wales Court of Appeal (Civil Division)</x:v>
      </x:c>
      <x:c r="K424" s="14" t="n">
        <x:v>2015</x:v>
      </x:c>
      <x:c r="L424" s="15" t="n">
        <x:v>0.71760976</x:v>
      </x:c>
      <x:c r="M424" s="14" t="n">
        <x:v>1</x:v>
      </x:c>
      <x:c r="N424" s="14" t="str"/>
    </x:row>
    <x:row r="425">
      <x:c r="A425" s="1" t="str">
        <x:v>cmmxhota6000304l5veh94ja9</x:v>
      </x:c>
      <x:c r="B425" s="1" t="str">
        <x:v>cmmxhmaji000604l8iyhbwnn1</x:v>
      </x:c>
      <x:c r="C425" s="1" t="str">
        <x:v>greenfields--iow--limited-v-isle-of-wight-council---westridge-village-limited</x:v>
      </x:c>
      <x:c r="D425" s="12" t="n">
        <x:v>46100.549957905096</x:v>
      </x:c>
      <x:c r="E425" s="1" t="str">
        <x:v>no</x:v>
      </x:c>
      <x:c r="F425" s="14" t="str"/>
      <x:c r="G425" s="14" t="n">
        <x:v>4</x:v>
      </x:c>
      <x:c r="H425" s="14" t="str">
        <x:v>7f44d9a8-2459-4f6a-84fc-e475bb8f169a</x:v>
      </x:c>
      <x:c r="I425" s="14" t="str">
        <x:v>Secretary of State for Levelling Up, Housing and Communities v Smith &amp; Anor [2023] EWCA Civ 514</x:v>
      </x:c>
      <x:c r="J425" s="14" t="str">
        <x:v>England and Wales Court of Appeal (Civil Division)</x:v>
      </x:c>
      <x:c r="K425" s="14" t="n">
        <x:v>2023</x:v>
      </x:c>
      <x:c r="L425" s="15" t="n">
        <x:v>0.7118138</x:v>
      </x:c>
      <x:c r="M425" s="14" t="n">
        <x:v>3</x:v>
      </x:c>
      <x:c r="N425" s="14" t="str">
        <x:v>Harris | [2022] EWHC 3209 (Admin)</x:v>
      </x:c>
    </x:row>
    <x:row r="426">
      <x:c r="A426" s="1" t="str">
        <x:v>cmmxhota6000304l5veh94ja9</x:v>
      </x:c>
      <x:c r="B426" s="1" t="str">
        <x:v>cmmxhmaji000604l8iyhbwnn1</x:v>
      </x:c>
      <x:c r="C426" s="1" t="str">
        <x:v>greenfields--iow--limited-v-isle-of-wight-council---westridge-village-limited</x:v>
      </x:c>
      <x:c r="D426" s="12" t="n">
        <x:v>46100.549957905096</x:v>
      </x:c>
      <x:c r="E426" s="1" t="str">
        <x:v>no</x:v>
      </x:c>
      <x:c r="F426" s="14" t="str"/>
      <x:c r="G426" s="14" t="n">
        <x:v>5</x:v>
      </x:c>
      <x:c r="H426" s="14" t="str">
        <x:v>4445024a-5f65-4083-8a26-f3cf974100af</x:v>
      </x:c>
      <x:c r="I426" s="14" t="str">
        <x:v>Ball v Secretary of State for Communities and Local Government [2014] EWCA Civ 372</x:v>
      </x:c>
      <x:c r="J426" s="14" t="str">
        <x:v>England and Wales Court of Appeal (Civil Division)</x:v>
      </x:c>
      <x:c r="K426" s="14" t="n">
        <x:v>2014</x:v>
      </x:c>
      <x:c r="L426" s="15" t="n">
        <x:v>0.7117001</x:v>
      </x:c>
      <x:c r="M426" s="14" t="n">
        <x:v>1</x:v>
      </x:c>
      <x:c r="N426" s="14" t="str"/>
    </x:row>
    <x:row r="427">
      <x:c r="A427" s="1" t="str">
        <x:v>cmmxhota6000304l5veh94ja9</x:v>
      </x:c>
      <x:c r="B427" s="1" t="str">
        <x:v>cmmxhmaji000604l8iyhbwnn1</x:v>
      </x:c>
      <x:c r="C427" s="1" t="str">
        <x:v>greenfields--iow--limited-v-isle-of-wight-council---westridge-village-limited</x:v>
      </x:c>
      <x:c r="D427" s="12" t="n">
        <x:v>46100.549957905096</x:v>
      </x:c>
      <x:c r="E427" s="1" t="str">
        <x:v>no</x:v>
      </x:c>
      <x:c r="F427" s="14" t="str"/>
      <x:c r="G427" s="14" t="n">
        <x:v>6</x:v>
      </x:c>
      <x:c r="H427" s="14" t="str">
        <x:v>58d309a1-b692-4f6d-a5a0-a9bbe8238c79</x:v>
      </x:c>
      <x:c r="I427" s="14" t="str">
        <x:v>Lanner Parish Council, R (on the application of) v The Cornwall Council &amp; Anor [2013] EWCA Civ 1290</x:v>
      </x:c>
      <x:c r="J427" s="14" t="str">
        <x:v>England and Wales Court of Appeal (Civil Division)</x:v>
      </x:c>
      <x:c r="K427" s="14" t="n">
        <x:v>2013</x:v>
      </x:c>
      <x:c r="L427" s="15" t="n">
        <x:v>0.70717925</x:v>
      </x:c>
      <x:c r="M427" s="14" t="n">
        <x:v>1</x:v>
      </x:c>
      <x:c r="N427" s="14" t="str"/>
    </x:row>
    <x:row r="428">
      <x:c r="A428" s="1" t="str">
        <x:v>cmmxhota6000304l5veh94ja9</x:v>
      </x:c>
      <x:c r="B428" s="1" t="str">
        <x:v>cmmxhmaji000604l8iyhbwnn1</x:v>
      </x:c>
      <x:c r="C428" s="1" t="str">
        <x:v>greenfields--iow--limited-v-isle-of-wight-council---westridge-village-limited</x:v>
      </x:c>
      <x:c r="D428" s="12" t="n">
        <x:v>46100.549957905096</x:v>
      </x:c>
      <x:c r="E428" s="1" t="str">
        <x:v>no</x:v>
      </x:c>
      <x:c r="F428" s="14" t="str"/>
      <x:c r="G428" s="14" t="n">
        <x:v>7</x:v>
      </x:c>
      <x:c r="H428" s="14" t="str">
        <x:v>168de16c-935d-43d1-b3f9-4b58a7969df5</x:v>
      </x:c>
      <x:c r="I428" s="14" t="str">
        <x:v>Secretary of State for Communities and Local Government v Ioannou [2014] EWCA Civ 1432</x:v>
      </x:c>
      <x:c r="J428" s="14" t="str">
        <x:v>England and Wales Court of Appeal (Civil Division)</x:v>
      </x:c>
      <x:c r="K428" s="14" t="n">
        <x:v>2014</x:v>
      </x:c>
      <x:c r="L428" s="15" t="n">
        <x:v>0.7065234</x:v>
      </x:c>
      <x:c r="M428" s="14" t="n">
        <x:v>1</x:v>
      </x:c>
      <x:c r="N428" s="14" t="str">
        <x:v>Bernard Wheatcroft v Secretary of State for the Environment | Fidler v First Secretary of State</x:v>
      </x:c>
    </x:row>
    <x:row r="429">
      <x:c r="A429" s="1" t="str">
        <x:v>cmmxhota6000304l5veh94ja9</x:v>
      </x:c>
      <x:c r="B429" s="1" t="str">
        <x:v>cmmxhmaji000604l8iyhbwnn1</x:v>
      </x:c>
      <x:c r="C429" s="1" t="str">
        <x:v>greenfields--iow--limited-v-isle-of-wight-council---westridge-village-limited</x:v>
      </x:c>
      <x:c r="D429" s="12" t="n">
        <x:v>46100.549957905096</x:v>
      </x:c>
      <x:c r="E429" s="1" t="str">
        <x:v>no</x:v>
      </x:c>
      <x:c r="F429" s="14" t="str"/>
      <x:c r="G429" s="14" t="n">
        <x:v>8</x:v>
      </x:c>
      <x:c r="H429" s="14" t="str">
        <x:v>702e0527-fb33-427f-afbb-f906ba355802</x:v>
      </x:c>
      <x:c r="I429" s="14" t="str">
        <x:v>Broadview Energy Developments Limited v The Secretary of State for Communities and Local Government &amp; Ors [2016] EWCA Civ 562</x:v>
      </x:c>
      <x:c r="J429" s="14" t="str">
        <x:v>England and Wales Court of Appeal (Civil Division)</x:v>
      </x:c>
      <x:c r="K429" s="14" t="n">
        <x:v>2016</x:v>
      </x:c>
      <x:c r="L429" s="15" t="n">
        <x:v>0.705667</x:v>
      </x:c>
      <x:c r="M429" s="14" t="n">
        <x:v>5</x:v>
      </x:c>
      <x:c r="N429" s="14" t="str">
        <x:v>McCarthy (R v Sussex Justices) guidance on appearance of fairness | Barnwell Manor and Magill v Porter as context for balancing and severity of breaches | Barnwell Manor (East Northamptonshire District Council) 2014 | R v Sussex Justices ex parte McCarthy | Errington v Minister of Health | Kanda v Government of the Federation of Malaya | R (Alconbury) v Secretary of State for the Environment [2003] 2 AC 295 | Barnwell Manor [2014] EWCA Civ 137 | Fox Land v SSCLG [2014] EWHC 15 (Admin)</x:v>
      </x:c>
    </x:row>
    <x:row r="430">
      <x:c r="A430" s="1" t="str">
        <x:v>cmmxhota6000304l5veh94ja9</x:v>
      </x:c>
      <x:c r="B430" s="1" t="str">
        <x:v>cmmxhmaji000604l8iyhbwnn1</x:v>
      </x:c>
      <x:c r="C430" s="1" t="str">
        <x:v>greenfields--iow--limited-v-isle-of-wight-council---westridge-village-limited</x:v>
      </x:c>
      <x:c r="D430" s="12" t="n">
        <x:v>46100.549957905096</x:v>
      </x:c>
      <x:c r="E430" s="1" t="str">
        <x:v>no</x:v>
      </x:c>
      <x:c r="F430" s="14" t="str"/>
      <x:c r="G430" s="14" t="n">
        <x:v>9</x:v>
      </x:c>
      <x:c r="H430" s="14" t="str">
        <x:v>f36914c7-32ec-4f23-9909-c4ece2be9d33</x:v>
      </x:c>
      <x:c r="I430" s="14" t="str">
        <x:v>Georgiou v London Borough of Enfield &amp; Ors [2004] EWHC 779 (Admin)</x:v>
      </x:c>
      <x:c r="J430" s="14" t="str">
        <x:v>England and Wales High Court (Administrative Court)</x:v>
      </x:c>
      <x:c r="K430" s="14" t="n">
        <x:v>2004</x:v>
      </x:c>
      <x:c r="L430" s="15" t="n">
        <x:v>0.7040449</x:v>
      </x:c>
      <x:c r="M430" s="14" t="n">
        <x:v>4</x:v>
      </x:c>
      <x:c r="N430" s="14" t="str">
        <x:v>Porter v. Magill | Bovis v. New Forest DC</x:v>
      </x:c>
    </x:row>
    <x:row r="431">
      <x:c r="A431" s="1" t="str">
        <x:v>cmmxhota6000304l5veh94ja9</x:v>
      </x:c>
      <x:c r="B431" s="1" t="str">
        <x:v>cmmxhmaji000604l8iyhbwnn1</x:v>
      </x:c>
      <x:c r="C431" s="1" t="str">
        <x:v>greenfields--iow--limited-v-isle-of-wight-council---westridge-village-limited</x:v>
      </x:c>
      <x:c r="D431" s="12" t="n">
        <x:v>46100.549957905096</x:v>
      </x:c>
      <x:c r="E431" s="1" t="str">
        <x:v>no</x:v>
      </x:c>
      <x:c r="F431" s="14" t="str"/>
      <x:c r="G431" s="14" t="n">
        <x:v>10</x:v>
      </x:c>
      <x:c r="H431" s="14" t="str">
        <x:v>76e6ffcd-af03-4155-a667-51d98a79d1d7</x:v>
      </x:c>
      <x:c r="I431" s="14" t="str">
        <x:v>Arnold White Estates Ltd v The Forestry Commission [2022] EWCA Civ 1304</x:v>
      </x:c>
      <x:c r="J431" s="14" t="str">
        <x:v>England and Wales Court of Appeal (Civil Division)</x:v>
      </x:c>
      <x:c r="K431" s="14" t="n">
        <x:v>2022</x:v>
      </x:c>
      <x:c r="L431" s="15" t="n">
        <x:v>0.7040293</x:v>
      </x:c>
      <x:c r="M431" s="14" t="n">
        <x:v>2</x:v>
      </x:c>
      <x:c r="N431" s="14" t="str">
        <x:v>R. (on the application of Thornton Hall Hotel Ltd.) v Wirral Metropolitan Borough Council (2019) EWCA Civ 737 | [2022] EWCA Civ 1304 | [2023] PTSR 242 | [2022] WLR(D) 393</x:v>
      </x:c>
    </x:row>
    <x:row r="432">
      <x:c r="A432" s="1" t="str">
        <x:v>cmmxhota6000304l5veh94ja9</x:v>
      </x:c>
      <x:c r="B432" s="1" t="str">
        <x:v>cmmxhmaji000604l8iyhbwnn1</x:v>
      </x:c>
      <x:c r="C432" s="1" t="str">
        <x:v>greenfields--iow--limited-v-isle-of-wight-council---westridge-village-limited</x:v>
      </x:c>
      <x:c r="D432" s="12" t="n">
        <x:v>46100.549957905096</x:v>
      </x:c>
      <x:c r="E432" s="1" t="str">
        <x:v>no</x:v>
      </x:c>
      <x:c r="F432" s="14" t="str"/>
      <x:c r="G432" s="14" t="n">
        <x:v>11</x:v>
      </x:c>
      <x:c r="H432" s="14" t="str">
        <x:v>cd283e1d-2aa2-4f15-968e-1c7909dfec0a</x:v>
      </x:c>
      <x:c r="I432" s="14" t="str">
        <x:v>Secretary of State for Communities and Local Government &amp; Anor v Engbers [2016] EWCA Civ 1183</x:v>
      </x:c>
      <x:c r="J432" s="14" t="str">
        <x:v>England and Wales Court of Appeal (Civil Division)</x:v>
      </x:c>
      <x:c r="K432" s="14" t="n">
        <x:v>2016</x:v>
      </x:c>
      <x:c r="L432" s="15" t="n">
        <x:v>0.70399237</x:v>
      </x:c>
      <x:c r="M432" s="14" t="n">
        <x:v>3</x:v>
      </x:c>
      <x:c r="N432" s="14" t="str">
        <x:v>Hopkins Developments | Mott v E A | Mott v E A (note) | R (Gates Hydraulics) v SOS</x:v>
      </x:c>
    </x:row>
    <x:row r="433">
      <x:c r="A433" s="1" t="str">
        <x:v>cmmxhota6000304l5veh94ja9</x:v>
      </x:c>
      <x:c r="B433" s="1" t="str">
        <x:v>cmmxhmaji000604l8iyhbwnn1</x:v>
      </x:c>
      <x:c r="C433" s="1" t="str">
        <x:v>greenfields--iow--limited-v-isle-of-wight-council---westridge-village-limited</x:v>
      </x:c>
      <x:c r="D433" s="12" t="n">
        <x:v>46100.549957905096</x:v>
      </x:c>
      <x:c r="E433" s="1" t="str">
        <x:v>no</x:v>
      </x:c>
      <x:c r="F433" s="14" t="str"/>
      <x:c r="G433" s="14" t="n">
        <x:v>12</x:v>
      </x:c>
      <x:c r="H433" s="14" t="str">
        <x:v>6cd7db33-7ee1-44c0-9219-b2cc7d57d88b</x:v>
      </x:c>
      <x:c r="I433" s="14" t="str">
        <x:v>Smith v Secretary of State for Levelling Up, Housing &amp; Communities &amp; Anor [2022] EWCA Civ 1391</x:v>
      </x:c>
      <x:c r="J433" s="14" t="str">
        <x:v>England and Wales Court of Appeal (Civil Division)</x:v>
      </x:c>
      <x:c r="K433" s="14" t="n">
        <x:v>2022</x:v>
      </x:c>
      <x:c r="L433" s="15" t="n">
        <x:v>0.7032003</x:v>
      </x:c>
      <x:c r="M433" s="14" t="n">
        <x:v>2</x:v>
      </x:c>
      <x:c r="N433" s="14" t="str">
        <x:v>[2021] EWHC 1650 (Admin) | Bank Mellat v HM Treasury (No 2) | Oakes | Stec v United Kingdom | Chapman v United Kingdom | R (Ward) v Hillingdon | Wrexham County Borough Council v NAC Wales | Basildon (and related)</x:v>
      </x:c>
    </x:row>
    <x:row r="434">
      <x:c r="A434" s="1" t="str">
        <x:v>cmmxhota6000304l5veh94ja9</x:v>
      </x:c>
      <x:c r="B434" s="1" t="str">
        <x:v>cmmxhmaji000604l8iyhbwnn1</x:v>
      </x:c>
      <x:c r="C434" s="1" t="str">
        <x:v>greenfields--iow--limited-v-isle-of-wight-council---westridge-village-limited</x:v>
      </x:c>
      <x:c r="D434" s="12" t="n">
        <x:v>46100.549957905096</x:v>
      </x:c>
      <x:c r="E434" s="1" t="str">
        <x:v>no</x:v>
      </x:c>
      <x:c r="F434" s="14" t="str"/>
      <x:c r="G434" s="14" t="n">
        <x:v>13</x:v>
      </x:c>
      <x:c r="H434" s="14" t="str">
        <x:v>776a8070-aa6f-410e-b91e-2e1fcadadb9b</x:v>
      </x:c>
      <x:c r="I434" s="14" t="str">
        <x:v>Sheakh, R (On the Application Of) v London Borough of Lambeth Council [2022] EWCA Civ 457 (05 April 2022)</x:v>
      </x:c>
      <x:c r="J434" s="14" t="str">
        <x:v>England and Wales Court of Appeal (Civil Division)</x:v>
      </x:c>
      <x:c r="K434" s="14" t="n">
        <x:v>2022</x:v>
      </x:c>
      <x:c r="L434" s="15" t="n">
        <x:v>0.70319647</x:v>
      </x:c>
      <x:c r="M434" s="14" t="n">
        <x:v>1</x:v>
      </x:c>
      <x:c r="N434" s="14" t="str">
        <x:v>R. (Bailey) v Brent LBC [2011] EWCA Civ 1586</x:v>
      </x:c>
    </x:row>
    <x:row r="435">
      <x:c r="A435" s="1" t="str">
        <x:v>cmmxhota6000304l5veh94ja9</x:v>
      </x:c>
      <x:c r="B435" s="1" t="str">
        <x:v>cmmxhmaji000604l8iyhbwnn1</x:v>
      </x:c>
      <x:c r="C435" s="1" t="str">
        <x:v>greenfields--iow--limited-v-isle-of-wight-council---westridge-village-limited</x:v>
      </x:c>
      <x:c r="D435" s="12" t="n">
        <x:v>46100.549957905096</x:v>
      </x:c>
      <x:c r="E435" s="1" t="str">
        <x:v>no</x:v>
      </x:c>
      <x:c r="F435" s="14" t="str"/>
      <x:c r="G435" s="14" t="n">
        <x:v>14</x:v>
      </x:c>
      <x:c r="H435" s="14" t="str">
        <x:v>2b96d647-41d4-452f-8b77-918f254b6b36</x:v>
      </x:c>
      <x:c r="I435" s="14" t="str">
        <x:v>Forster v Secretary of State for Communities and Local Government &amp; Anor [2016] EWCA Civ 422</x:v>
      </x:c>
      <x:c r="J435" s="14" t="str">
        <x:v>England and Wales Court of Appeal (Civil Division)</x:v>
      </x:c>
      <x:c r="K435" s="14" t="n">
        <x:v>2016</x:v>
      </x:c>
      <x:c r="L435" s="15" t="n">
        <x:v>0.6977866</x:v>
      </x:c>
      <x:c r="M435" s="14" t="n">
        <x:v>1</x:v>
      </x:c>
      <x:c r="N435" s="14" t="str">
        <x:v>Corner House [2005] 1 WLR 2600 | Aarhus Convention</x:v>
      </x:c>
    </x:row>
    <x:row r="436">
      <x:c r="A436" s="1" t="str">
        <x:v>cmmxhota6000304l5veh94ja9</x:v>
      </x:c>
      <x:c r="B436" s="1" t="str">
        <x:v>cmmxhmaji000604l8iyhbwnn1</x:v>
      </x:c>
      <x:c r="C436" s="1" t="str">
        <x:v>greenfields--iow--limited-v-isle-of-wight-council---westridge-village-limited</x:v>
      </x:c>
      <x:c r="D436" s="12" t="n">
        <x:v>46100.549957905096</x:v>
      </x:c>
      <x:c r="E436" s="1" t="str">
        <x:v>no</x:v>
      </x:c>
      <x:c r="F436" s="14" t="str"/>
      <x:c r="G436" s="14" t="n">
        <x:v>15</x:v>
      </x:c>
      <x:c r="H436" s="14" t="str">
        <x:v>0642e885-86b3-4c0b-84a2-2005424f4309</x:v>
      </x:c>
      <x:c r="I436" s="14" t="str">
        <x:v>Sahota, R (On the Application Of) v Herefordshire Council [2022] EWCA Civ 1640</x:v>
      </x:c>
      <x:c r="J436" s="14" t="str">
        <x:v>England and Wales Court of Appeal (Civil Division)</x:v>
      </x:c>
      <x:c r="K436" s="14" t="n">
        <x:v>2022</x:v>
      </x:c>
      <x:c r="L436" s="15" t="n">
        <x:v>0.697673</x:v>
      </x:c>
      <x:c r="M436" s="14" t="n">
        <x:v>2</x:v>
      </x:c>
      <x:c r="N436" s="14" t="str">
        <x:v>Stuart-Smith LJ | Court of Appeal procedures | Regulation 63 Habitats Regulations 2017</x:v>
      </x:c>
    </x:row>
    <x:row r="437">
      <x:c r="A437" s="1" t="str">
        <x:v>cmmxhota6000304l5veh94ja9</x:v>
      </x:c>
      <x:c r="B437" s="1" t="str">
        <x:v>cmmxhmaji000604l8iyhbwnn1</x:v>
      </x:c>
      <x:c r="C437" s="1" t="str">
        <x:v>greenfields--iow--limited-v-isle-of-wight-council---westridge-village-limited</x:v>
      </x:c>
      <x:c r="D437" s="12" t="n">
        <x:v>46100.549957905096</x:v>
      </x:c>
      <x:c r="E437" s="1" t="str">
        <x:v>no</x:v>
      </x:c>
      <x:c r="F437" s="14" t="str"/>
      <x:c r="G437" s="14" t="n">
        <x:v>16</x:v>
      </x:c>
      <x:c r="H437" s="14" t="str">
        <x:v>e2aab4b7-e33b-4bf0-be69-4770f2835faf</x:v>
      </x:c>
      <x:c r="I437" s="14" t="str">
        <x:v>Midcounties Co-Operative Ltd v Wyre Forest District Council [2009] EWHC 964 (Admin)</x:v>
      </x:c>
      <x:c r="J437" s="14" t="str">
        <x:v>England and Wales High Court (Administrative Court)</x:v>
      </x:c>
      <x:c r="K437" s="14" t="n">
        <x:v>2009</x:v>
      </x:c>
      <x:c r="L437" s="15" t="n">
        <x:v>0.697088</x:v>
      </x:c>
      <x:c r="M437" s="14" t="n">
        <x:v>1</x:v>
      </x:c>
      <x:c r="N437" s="14" t="str"/>
    </x:row>
    <x:row r="438">
      <x:c r="A438" s="1" t="str">
        <x:v>cmmxhota6000304l5veh94ja9</x:v>
      </x:c>
      <x:c r="B438" s="1" t="str">
        <x:v>cmmxhmaji000604l8iyhbwnn1</x:v>
      </x:c>
      <x:c r="C438" s="1" t="str">
        <x:v>greenfields--iow--limited-v-isle-of-wight-council---westridge-village-limited</x:v>
      </x:c>
      <x:c r="D438" s="12" t="n">
        <x:v>46100.549957905096</x:v>
      </x:c>
      <x:c r="E438" s="1" t="str">
        <x:v>no</x:v>
      </x:c>
      <x:c r="F438" s="14" t="str"/>
      <x:c r="G438" s="14" t="n">
        <x:v>17</x:v>
      </x:c>
      <x:c r="H438" s="14" t="str">
        <x:v>84fda74c-8775-4d1b-8cf6-853e7921ced2</x:v>
      </x:c>
      <x:c r="I438" s="14" t="str">
        <x:v>Fylde Coast Farms Ltd v Fylde Borough Council [2021] UKSC 18</x:v>
      </x:c>
      <x:c r="J438" s="14" t="str">
        <x:v>United Kingdom Supreme Court</x:v>
      </x:c>
      <x:c r="K438" s="14" t="n">
        <x:v>2021</x:v>
      </x:c>
      <x:c r="L438" s="15" t="n">
        <x:v>0.69705033</x:v>
      </x:c>
      <x:c r="M438" s="14" t="n">
        <x:v>3</x:v>
      </x:c>
      <x:c r="N438" s="14" t="str">
        <x:v>Town and Country Planning Act 1990 | Localism Act 2011 | R (Burkett) v Hammersmith and Fulham London Borough Council [2002] UKHL 23</x:v>
      </x:c>
    </x:row>
    <x:row r="439">
      <x:c r="A439" s="1" t="str">
        <x:v>cmmxhota6000304l5veh94ja9</x:v>
      </x:c>
      <x:c r="B439" s="1" t="str">
        <x:v>cmmxhmaji000604l8iyhbwnn1</x:v>
      </x:c>
      <x:c r="C439" s="1" t="str">
        <x:v>greenfields--iow--limited-v-isle-of-wight-council---westridge-village-limited</x:v>
      </x:c>
      <x:c r="D439" s="12" t="n">
        <x:v>46100.549957905096</x:v>
      </x:c>
      <x:c r="E439" s="1" t="str">
        <x:v>no</x:v>
      </x:c>
      <x:c r="F439" s="14" t="str"/>
      <x:c r="G439" s="14" t="n">
        <x:v>18</x:v>
      </x:c>
      <x:c r="H439" s="14" t="str">
        <x:v>235388cd-5994-4cf3-b7e7-c349382ef164</x:v>
      </x:c>
      <x:c r="I439" s="14" t="str">
        <x:v>Save Britain's Heritage, R (On the Application Of) v Davies (Rev1) [2023] EWCA Civ 723</x:v>
      </x:c>
      <x:c r="J439" s="14" t="str">
        <x:v>England and Wales Court of Appeal (Civil Division)</x:v>
      </x:c>
      <x:c r="K439" s="14" t="n">
        <x:v>2023</x:v>
      </x:c>
      <x:c r="L439" s="15" t="n">
        <x:v>0.6965959</x:v>
      </x:c>
      <x:c r="M439" s="14" t="n">
        <x:v>2</x:v>
      </x:c>
      <x:c r="N439" s="14" t="str">
        <x:v>2022 EWHC 2984 (Admin) | Town and Country Planning Order 2015 (as amended)</x:v>
      </x:c>
    </x:row>
    <x:row r="440">
      <x:c r="A440" s="1" t="str">
        <x:v>cmmxhota6000304l5veh94ja9</x:v>
      </x:c>
      <x:c r="B440" s="1" t="str">
        <x:v>cmmxhmaji000604l8iyhbwnn1</x:v>
      </x:c>
      <x:c r="C440" s="1" t="str">
        <x:v>greenfields--iow--limited-v-isle-of-wight-council---westridge-village-limited</x:v>
      </x:c>
      <x:c r="D440" s="12" t="n">
        <x:v>46100.549957905096</x:v>
      </x:c>
      <x:c r="E440" s="1" t="str">
        <x:v>no</x:v>
      </x:c>
      <x:c r="F440" s="14" t="str"/>
      <x:c r="G440" s="14" t="n">
        <x:v>19</x:v>
      </x:c>
      <x:c r="H440" s="14" t="str">
        <x:v>76cd3a35-03e9-4300-b6c9-27ac34a88301</x:v>
      </x:c>
      <x:c r="I440" s="14" t="str">
        <x:v>Ashburton Trading Ltd v Secretary of State for Communities And Local Government &amp; Anor [2014] EWCA Civ 378</x:v>
      </x:c>
      <x:c r="J440" s="14" t="str">
        <x:v>England and Wales Court of Appeal (Civil Division)</x:v>
      </x:c>
      <x:c r="K440" s="14" t="n">
        <x:v>2014</x:v>
      </x:c>
      <x:c r="L440" s="15" t="n">
        <x:v>0.69620514</x:v>
      </x:c>
      <x:c r="M440" s="14" t="n">
        <x:v>2</x:v>
      </x:c>
      <x:c r="N440" s="14" t="str"/>
    </x:row>
    <x:row r="441">
      <x:c r="A441" s="1" t="str">
        <x:v>cmmxhota6000304l5veh94ja9</x:v>
      </x:c>
      <x:c r="B441" s="1" t="str">
        <x:v>cmmxhmaji000604l8iyhbwnn1</x:v>
      </x:c>
      <x:c r="C441" s="1" t="str">
        <x:v>greenfields--iow--limited-v-isle-of-wight-council---westridge-village-limited</x:v>
      </x:c>
      <x:c r="D441" s="12" t="n">
        <x:v>46100.549957905096</x:v>
      </x:c>
      <x:c r="E441" s="1" t="str">
        <x:v>no</x:v>
      </x:c>
      <x:c r="F441" s="14" t="str"/>
      <x:c r="G441" s="14" t="n">
        <x:v>20</x:v>
      </x:c>
      <x:c r="H441" s="14" t="str">
        <x:v>beff2d5f-922f-42e5-9aaa-8b70d7179f71</x:v>
      </x:c>
      <x:c r="I441" s="14" t="str">
        <x:v>Secretary of State for Communities and Local Government v West Berkshire District Council &amp; Anor [2016] EWCA Civ 441 (11 May 2016)</x:v>
      </x:c>
      <x:c r="J441" s="14" t="str">
        <x:v>England and Wales Court of Appeal (Civil Division)</x:v>
      </x:c>
      <x:c r="K441" s="14" t="n">
        <x:v>2016</x:v>
      </x:c>
      <x:c r="L441" s="15" t="n">
        <x:v>0.6961386</x:v>
      </x:c>
      <x:c r="M441" s="14" t="n">
        <x:v>1</x:v>
      </x:c>
      <x:c r="N441" s="14" t="str">
        <x:v>Cala Homes 2 | Moseley | Bracking</x:v>
      </x:c>
    </x:row>
    <x:row r="442">
      <x:c r="A442" s="1" t="str">
        <x:v>cmmxi0nl9000n04l8myv0bd76</x:v>
      </x:c>
      <x:c r="B442" s="1" t="str">
        <x:v>cmmxhx487000e04l8w5bketmq</x:v>
      </x:c>
      <x:c r="C442" s="1" t="str">
        <x:v>ksy-juice-blends-uk-limited-v-citrosuco-gmbh</x:v>
      </x:c>
      <x:c r="D442" s="12" t="n">
        <x:v>46100.55635273148</x:v>
      </x:c>
      <x:c r="E442" s="1" t="str">
        <x:v>yes</x:v>
      </x:c>
      <x:c r="F442" s="14" t="str">
        <x:v>cmmxi2xkc000t04l8hsscxyvl</x:v>
      </x:c>
      <x:c r="G442" s="14" t="n">
        <x:v>1</x:v>
      </x:c>
      <x:c r="H442" s="14" t="str">
        <x:v>66a2adb7-bddd-44b0-98f8-695142e21b39</x:v>
      </x:c>
      <x:c r="I442" s="14" t="str">
        <x:v>Proforce Recruit Ltd v The Rugby Group Ltd [2006] EWCA Civ 69</x:v>
      </x:c>
      <x:c r="J442" s="14" t="str">
        <x:v>England and Wales Court of Appeal (Civil Division)</x:v>
      </x:c>
      <x:c r="K442" s="14" t="n">
        <x:v>2006</x:v>
      </x:c>
      <x:c r="L442" s="15" t="n">
        <x:v>0.7630894</x:v>
      </x:c>
      <x:c r="M442" s="14" t="n">
        <x:v>1</x:v>
      </x:c>
      <x:c r="N442" s="14" t="str"/>
    </x:row>
    <x:row r="443">
      <x:c r="A443" s="1" t="str">
        <x:v>cmmxi0nl9000n04l8myv0bd76</x:v>
      </x:c>
      <x:c r="B443" s="1" t="str">
        <x:v>cmmxhx487000e04l8w5bketmq</x:v>
      </x:c>
      <x:c r="C443" s="1" t="str">
        <x:v>ksy-juice-blends-uk-limited-v-citrosuco-gmbh</x:v>
      </x:c>
      <x:c r="D443" s="12" t="n">
        <x:v>46100.55635273148</x:v>
      </x:c>
      <x:c r="E443" s="1" t="str">
        <x:v>yes</x:v>
      </x:c>
      <x:c r="F443" s="14" t="str">
        <x:v>cmmxi2xkc000t04l8hsscxyvl</x:v>
      </x:c>
      <x:c r="G443" s="14" t="n">
        <x:v>2</x:v>
      </x:c>
      <x:c r="H443" s="14" t="str">
        <x:v>9d51b963-a1a2-4610-99cb-980f89f1b13f</x:v>
      </x:c>
      <x:c r="I443" s="14" t="str">
        <x:v>Tallington Lakes Ltd &amp; Ors v Larking Gowen [2014] EWCA Civ 959</x:v>
      </x:c>
      <x:c r="J443" s="14" t="str">
        <x:v>England and Wales Court of Appeal (Civil Division)</x:v>
      </x:c>
      <x:c r="K443" s="14" t="n">
        <x:v>2014</x:v>
      </x:c>
      <x:c r="L443" s="15" t="n">
        <x:v>0.76002175</x:v>
      </x:c>
      <x:c r="M443" s="14" t="n">
        <x:v>1</x:v>
      </x:c>
      <x:c r="N443" s="14" t="str"/>
    </x:row>
    <x:row r="444">
      <x:c r="A444" s="1" t="str">
        <x:v>cmmxi0nl9000n04l8myv0bd76</x:v>
      </x:c>
      <x:c r="B444" s="1" t="str">
        <x:v>cmmxhx487000e04l8w5bketmq</x:v>
      </x:c>
      <x:c r="C444" s="1" t="str">
        <x:v>ksy-juice-blends-uk-limited-v-citrosuco-gmbh</x:v>
      </x:c>
      <x:c r="D444" s="12" t="n">
        <x:v>46100.55635273148</x:v>
      </x:c>
      <x:c r="E444" s="1" t="str">
        <x:v>yes</x:v>
      </x:c>
      <x:c r="F444" s="14" t="str">
        <x:v>cmmxi2xkc000t04l8hsscxyvl</x:v>
      </x:c>
      <x:c r="G444" s="14" t="n">
        <x:v>3</x:v>
      </x:c>
      <x:c r="H444" s="14" t="str">
        <x:v>2d2f67c0-33b8-47de-ade5-124c90fc1a95</x:v>
      </x:c>
      <x:c r="I444" s="14" t="str">
        <x:v>Chartbrook Ltd v Persimmon Homes Ltd &amp; Ors [2009] UKHL 38</x:v>
      </x:c>
      <x:c r="J444" s="14" t="str">
        <x:v>United Kingdom House of Lords</x:v>
      </x:c>
      <x:c r="K444" s="14" t="n">
        <x:v>2009</x:v>
      </x:c>
      <x:c r="L444" s="15" t="n">
        <x:v>0.7455511</x:v>
      </x:c>
      <x:c r="M444" s="14" t="n">
        <x:v>3</x:v>
      </x:c>
      <x:c r="N444" s="14" t="str">
        <x:v>Investors Compensation Scheme Ltd v West Bromwich Building Society [1998] 1 WLR 896 | Prenn v Simmonds [1971] 1 WLR 1381</x:v>
      </x:c>
    </x:row>
    <x:row r="445">
      <x:c r="A445" s="1" t="str">
        <x:v>cmmxi0nl9000n04l8myv0bd76</x:v>
      </x:c>
      <x:c r="B445" s="1" t="str">
        <x:v>cmmxhx487000e04l8w5bketmq</x:v>
      </x:c>
      <x:c r="C445" s="1" t="str">
        <x:v>ksy-juice-blends-uk-limited-v-citrosuco-gmbh</x:v>
      </x:c>
      <x:c r="D445" s="12" t="n">
        <x:v>46100.55635273148</x:v>
      </x:c>
      <x:c r="E445" s="1" t="str">
        <x:v>yes</x:v>
      </x:c>
      <x:c r="F445" s="14" t="str">
        <x:v>cmmxi2xkc000t04l8hsscxyvl</x:v>
      </x:c>
      <x:c r="G445" s="14" t="n">
        <x:v>4</x:v>
      </x:c>
      <x:c r="H445" s="14" t="str">
        <x:v>89eec5b0-6a53-4135-8ab9-17e062417bff</x:v>
      </x:c>
      <x:c r="I445" s="14" t="str">
        <x:v>Cornelius v Dubai Islamic Bank PJSC</x:v>
      </x:c>
      <x:c r="J445" s="14" t="str">
        <x:v>England and Wales Court of Appeal (Civil Division)</x:v>
      </x:c>
      <x:c r="K445" s="14" t="n">
        <x:v>2014</x:v>
      </x:c>
      <x:c r="L445" s="15" t="n">
        <x:v>0.73689675</x:v>
      </x:c>
      <x:c r="M445" s="14" t="n">
        <x:v>1</x:v>
      </x:c>
      <x:c r="N445" s="14" t="str"/>
    </x:row>
    <x:row r="446">
      <x:c r="A446" s="1" t="str">
        <x:v>cmmxi0nl9000n04l8myv0bd76</x:v>
      </x:c>
      <x:c r="B446" s="1" t="str">
        <x:v>cmmxhx487000e04l8w5bketmq</x:v>
      </x:c>
      <x:c r="C446" s="1" t="str">
        <x:v>ksy-juice-blends-uk-limited-v-citrosuco-gmbh</x:v>
      </x:c>
      <x:c r="D446" s="12" t="n">
        <x:v>46100.55635273148</x:v>
      </x:c>
      <x:c r="E446" s="1" t="str">
        <x:v>yes</x:v>
      </x:c>
      <x:c r="F446" s="14" t="str">
        <x:v>cmmxi2xkc000t04l8hsscxyvl</x:v>
      </x:c>
      <x:c r="G446" s="14" t="n">
        <x:v>5</x:v>
      </x:c>
      <x:c r="H446" s="14" t="str">
        <x:v>5b14093d-7ccf-4e1d-b7d1-4d177b1f07f6</x:v>
      </x:c>
      <x:c r="I446" s="14" t="str">
        <x:v>African Minerals Ltd v Renaissance Capital Ltd [2015] EWCA Civ 448</x:v>
      </x:c>
      <x:c r="J446" s="14" t="str">
        <x:v>England and Wales Court of Appeal (Civil Division)</x:v>
      </x:c>
      <x:c r="K446" s="14" t="n">
        <x:v>2015</x:v>
      </x:c>
      <x:c r="L446" s="15" t="n">
        <x:v>0.7352847</x:v>
      </x:c>
      <x:c r="M446" s="14" t="n">
        <x:v>1</x:v>
      </x:c>
      <x:c r="N446" s="14" t="str"/>
    </x:row>
    <x:row r="447">
      <x:c r="A447" s="1" t="str">
        <x:v>cmmxi0nl9000n04l8myv0bd76</x:v>
      </x:c>
      <x:c r="B447" s="1" t="str">
        <x:v>cmmxhx487000e04l8w5bketmq</x:v>
      </x:c>
      <x:c r="C447" s="1" t="str">
        <x:v>ksy-juice-blends-uk-limited-v-citrosuco-gmbh</x:v>
      </x:c>
      <x:c r="D447" s="12" t="n">
        <x:v>46100.55635273148</x:v>
      </x:c>
      <x:c r="E447" s="1" t="str">
        <x:v>yes</x:v>
      </x:c>
      <x:c r="F447" s="14" t="str">
        <x:v>cmmxi2xkc000t04l8hsscxyvl</x:v>
      </x:c>
      <x:c r="G447" s="14" t="n">
        <x:v>6</x:v>
      </x:c>
      <x:c r="H447" s="14" t="str">
        <x:v>43a869b0-cb33-4cec-96ac-72fc11b7bdd5</x:v>
      </x:c>
      <x:c r="I447" s="14" t="str">
        <x:v>PST Energy 7 Shipping LLC Product Shipping &amp; Trading S.A. v O.W. Bunker Malta Ltd &amp; Ors</x:v>
      </x:c>
      <x:c r="J447" s="14" t="str">
        <x:v>England and Wales Court of Appeal (Civil Division)</x:v>
      </x:c>
      <x:c r="K447" s="14" t="n">
        <x:v>2015</x:v>
      </x:c>
      <x:c r="L447" s="15" t="n">
        <x:v>0.7343183</x:v>
      </x:c>
      <x:c r="M447" s="14" t="n">
        <x:v>1</x:v>
      </x:c>
      <x:c r="N447" s="14" t="str"/>
    </x:row>
    <x:row r="448">
      <x:c r="A448" s="1" t="str">
        <x:v>cmmxi0nl9000n04l8myv0bd76</x:v>
      </x:c>
      <x:c r="B448" s="1" t="str">
        <x:v>cmmxhx487000e04l8w5bketmq</x:v>
      </x:c>
      <x:c r="C448" s="1" t="str">
        <x:v>ksy-juice-blends-uk-limited-v-citrosuco-gmbh</x:v>
      </x:c>
      <x:c r="D448" s="12" t="n">
        <x:v>46100.55635273148</x:v>
      </x:c>
      <x:c r="E448" s="1" t="str">
        <x:v>yes</x:v>
      </x:c>
      <x:c r="F448" s="14" t="str">
        <x:v>cmmxi2xkc000t04l8hsscxyvl</x:v>
      </x:c>
      <x:c r="G448" s="14" t="n">
        <x:v>7</x:v>
      </x:c>
      <x:c r="H448" s="14" t="str">
        <x:v>2fdfa3b6-3d1a-4644-b9e6-2f97f850a87f</x:v>
      </x:c>
      <x:c r="I448" s="14" t="str">
        <x:v>Valilas v Januzaj [2014] EWCA Civ 436</x:v>
      </x:c>
      <x:c r="J448" s="14" t="str">
        <x:v>England and Wales Court of Appeal (Civil Division)</x:v>
      </x:c>
      <x:c r="K448" s="14" t="n">
        <x:v>2014</x:v>
      </x:c>
      <x:c r="L448" s="15" t="n">
        <x:v>0.7341382</x:v>
      </x:c>
      <x:c r="M448" s="14" t="n">
        <x:v>1</x:v>
      </x:c>
      <x:c r="N448" s="14" t="str"/>
    </x:row>
    <x:row r="449">
      <x:c r="A449" s="1" t="str">
        <x:v>cmmxi0nl9000n04l8myv0bd76</x:v>
      </x:c>
      <x:c r="B449" s="1" t="str">
        <x:v>cmmxhx487000e04l8w5bketmq</x:v>
      </x:c>
      <x:c r="C449" s="1" t="str">
        <x:v>ksy-juice-blends-uk-limited-v-citrosuco-gmbh</x:v>
      </x:c>
      <x:c r="D449" s="12" t="n">
        <x:v>46100.55635273148</x:v>
      </x:c>
      <x:c r="E449" s="1" t="str">
        <x:v>yes</x:v>
      </x:c>
      <x:c r="F449" s="14" t="str">
        <x:v>cmmxi2xkc000t04l8hsscxyvl</x:v>
      </x:c>
      <x:c r="G449" s="14" t="n">
        <x:v>8</x:v>
      </x:c>
      <x:c r="H449" s="14" t="str">
        <x:v>9adfee0f-c2c7-4caa-83ed-720a548a4aab</x:v>
      </x:c>
      <x:c r="I449" s="14" t="str">
        <x:v>Barton &amp; Ors v Morris &amp; Anor [2023] UKSC 3</x:v>
      </x:c>
      <x:c r="J449" s="14" t="str">
        <x:v>United Kingdom Supreme Court</x:v>
      </x:c>
      <x:c r="K449" s="14" t="n">
        <x:v>2023</x:v>
      </x:c>
      <x:c r="L449" s="15" t="n">
        <x:v>0.7337164</x:v>
      </x:c>
      <x:c r="M449" s="14" t="n">
        <x:v>1</x:v>
      </x:c>
      <x:c r="N449" s="14" t="str"/>
    </x:row>
    <x:row r="450">
      <x:c r="A450" s="1" t="str">
        <x:v>cmmxi0nl9000n04l8myv0bd76</x:v>
      </x:c>
      <x:c r="B450" s="1" t="str">
        <x:v>cmmxhx487000e04l8w5bketmq</x:v>
      </x:c>
      <x:c r="C450" s="1" t="str">
        <x:v>ksy-juice-blends-uk-limited-v-citrosuco-gmbh</x:v>
      </x:c>
      <x:c r="D450" s="12" t="n">
        <x:v>46100.55635273148</x:v>
      </x:c>
      <x:c r="E450" s="1" t="str">
        <x:v>yes</x:v>
      </x:c>
      <x:c r="F450" s="14" t="str">
        <x:v>cmmxi2xkc000t04l8hsscxyvl</x:v>
      </x:c>
      <x:c r="G450" s="14" t="n">
        <x:v>9</x:v>
      </x:c>
      <x:c r="H450" s="14" t="str">
        <x:v>e49dc831-4142-4181-82ed-1ebfb1029b4a</x:v>
      </x:c>
      <x:c r="I450" s="14" t="str">
        <x:v>Thorney Park Golf Ltd (t/a Laleham Golf Club) v Myers Catering Ltd [2015] EWCA Civ 19</x:v>
      </x:c>
      <x:c r="J450" s="14" t="str">
        <x:v>England and Wales Court of Appeal (Civil Division)</x:v>
      </x:c>
      <x:c r="K450" s="14" t="n">
        <x:v>2015</x:v>
      </x:c>
      <x:c r="L450" s="15" t="n">
        <x:v>0.7289081</x:v>
      </x:c>
      <x:c r="M450" s="14" t="n">
        <x:v>1</x:v>
      </x:c>
      <x:c r="N450" s="14" t="str">
        <x:v>Jani-King (GB) Ltd v Pula Enterprise Ltd | Rainy Sky SA v Kookmin Bank</x:v>
      </x:c>
    </x:row>
    <x:row r="451">
      <x:c r="A451" s="1" t="str">
        <x:v>cmmxi0nl9000n04l8myv0bd76</x:v>
      </x:c>
      <x:c r="B451" s="1" t="str">
        <x:v>cmmxhx487000e04l8w5bketmq</x:v>
      </x:c>
      <x:c r="C451" s="1" t="str">
        <x:v>ksy-juice-blends-uk-limited-v-citrosuco-gmbh</x:v>
      </x:c>
      <x:c r="D451" s="12" t="n">
        <x:v>46100.55635273148</x:v>
      </x:c>
      <x:c r="E451" s="1" t="str">
        <x:v>yes</x:v>
      </x:c>
      <x:c r="F451" s="14" t="str">
        <x:v>cmmxi2xkc000t04l8hsscxyvl</x:v>
      </x:c>
      <x:c r="G451" s="14" t="n">
        <x:v>10</x:v>
      </x:c>
      <x:c r="H451" s="14" t="str">
        <x:v>d97e315a-5f7e-4079-b086-d9d366c5bdaf</x:v>
      </x:c>
      <x:c r="I451" s="14" t="str">
        <x:v>Hc12f01351 v Blueco Limited [2014] EWCA Civ 154</x:v>
      </x:c>
      <x:c r="J451" s="14" t="str">
        <x:v>England and Wales Court of Appeal (Civil Division)</x:v>
      </x:c>
      <x:c r="K451" s="14" t="n">
        <x:v>2014</x:v>
      </x:c>
      <x:c r="L451" s="15" t="n">
        <x:v>0.72749144</x:v>
      </x:c>
      <x:c r="M451" s="14" t="n">
        <x:v>1</x:v>
      </x:c>
      <x:c r="N451" s="14" t="str"/>
    </x:row>
    <x:row r="452">
      <x:c r="A452" s="1" t="str">
        <x:v>cmmxi0nl9000n04l8myv0bd76</x:v>
      </x:c>
      <x:c r="B452" s="1" t="str">
        <x:v>cmmxhx487000e04l8w5bketmq</x:v>
      </x:c>
      <x:c r="C452" s="1" t="str">
        <x:v>ksy-juice-blends-uk-limited-v-citrosuco-gmbh</x:v>
      </x:c>
      <x:c r="D452" s="12" t="n">
        <x:v>46100.55635273148</x:v>
      </x:c>
      <x:c r="E452" s="1" t="str">
        <x:v>yes</x:v>
      </x:c>
      <x:c r="F452" s="14" t="str">
        <x:v>cmmxi2xkc000t04l8hsscxyvl</x:v>
      </x:c>
      <x:c r="G452" s="14" t="n">
        <x:v>11</x:v>
      </x:c>
      <x:c r="H452" s="14" t="str">
        <x:v>7dc17ac1-9784-4bba-acf1-d5dd2feaf557</x:v>
      </x:c>
      <x:c r="I452" s="14" t="str">
        <x:v>Grizzy Business Ltd v Stena Drilling [2015] EWCA Civ 867</x:v>
      </x:c>
      <x:c r="J452" s="14" t="str">
        <x:v>England and Wales Court of Appeal (Civil Division)</x:v>
      </x:c>
      <x:c r="K452" s="14" t="n">
        <x:v>2015</x:v>
      </x:c>
      <x:c r="L452" s="15" t="n">
        <x:v>0.726898</x:v>
      </x:c>
      <x:c r="M452" s="14" t="n">
        <x:v>1</x:v>
      </x:c>
      <x:c r="N452" s="14" t="str"/>
    </x:row>
    <x:row r="453">
      <x:c r="A453" s="1" t="str">
        <x:v>cmmxi0nl9000n04l8myv0bd76</x:v>
      </x:c>
      <x:c r="B453" s="1" t="str">
        <x:v>cmmxhx487000e04l8w5bketmq</x:v>
      </x:c>
      <x:c r="C453" s="1" t="str">
        <x:v>ksy-juice-blends-uk-limited-v-citrosuco-gmbh</x:v>
      </x:c>
      <x:c r="D453" s="12" t="n">
        <x:v>46100.55635273148</x:v>
      </x:c>
      <x:c r="E453" s="1" t="str">
        <x:v>yes</x:v>
      </x:c>
      <x:c r="F453" s="14" t="str">
        <x:v>cmmxi2xkc000t04l8hsscxyvl</x:v>
      </x:c>
      <x:c r="G453" s="14" t="n">
        <x:v>12</x:v>
      </x:c>
      <x:c r="H453" s="14" t="str">
        <x:v>e61cabb4-ab09-4abb-81fb-83596fb9943d</x:v>
      </x:c>
      <x:c r="I453" s="14" t="str">
        <x:v>Northrop Grumman Missions Systems Europe Ltd v BAE Systems (AL Diriyah C4I) Ltd</x:v>
      </x:c>
      <x:c r="J453" s="14" t="str">
        <x:v>England and Wales Court of Appeal (Civil Division)</x:v>
      </x:c>
      <x:c r="K453" s="14" t="n">
        <x:v>2015</x:v>
      </x:c>
      <x:c r="L453" s="15" t="n">
        <x:v>0.7254182</x:v>
      </x:c>
      <x:c r="M453" s="14" t="n">
        <x:v>1</x:v>
      </x:c>
      <x:c r="N453" s="14" t="str">
        <x:v>Skips A/S Nordheim v Syrian Petroleum Co Limited | Aughton Limited v MF Kent Services Limited</x:v>
      </x:c>
    </x:row>
    <x:row r="454">
      <x:c r="A454" s="1" t="str">
        <x:v>cmmxi0nl9000n04l8myv0bd76</x:v>
      </x:c>
      <x:c r="B454" s="1" t="str">
        <x:v>cmmxhx487000e04l8w5bketmq</x:v>
      </x:c>
      <x:c r="C454" s="1" t="str">
        <x:v>ksy-juice-blends-uk-limited-v-citrosuco-gmbh</x:v>
      </x:c>
      <x:c r="D454" s="12" t="n">
        <x:v>46100.55635273148</x:v>
      </x:c>
      <x:c r="E454" s="1" t="str">
        <x:v>yes</x:v>
      </x:c>
      <x:c r="F454" s="14" t="str">
        <x:v>cmmxi2xkc000t04l8hsscxyvl</x:v>
      </x:c>
      <x:c r="G454" s="14" t="n">
        <x:v>13</x:v>
      </x:c>
      <x:c r="H454" s="14" t="str">
        <x:v>62d8dc74-7bd4-4c38-99cd-c68108c1d17e</x:v>
      </x:c>
      <x:c r="I454" s="14" t="str">
        <x:v>Novoship (UK) Ltd &amp; Ors v Mikhaylyuk &amp; Ors [2016] EWCA Civ 236</x:v>
      </x:c>
      <x:c r="J454" s="14" t="str">
        <x:v>England and Wales Court of Appeal (Civil Division)</x:v>
      </x:c>
      <x:c r="K454" s="14" t="n">
        <x:v>2016</x:v>
      </x:c>
      <x:c r="L454" s="15" t="n">
        <x:v>0.7232308</x:v>
      </x:c>
      <x:c r="M454" s="14" t="n">
        <x:v>1</x:v>
      </x:c>
      <x:c r="N454" s="14" t="str"/>
    </x:row>
    <x:row r="455">
      <x:c r="A455" s="1" t="str">
        <x:v>cmmxi0nl9000n04l8myv0bd76</x:v>
      </x:c>
      <x:c r="B455" s="1" t="str">
        <x:v>cmmxhx487000e04l8w5bketmq</x:v>
      </x:c>
      <x:c r="C455" s="1" t="str">
        <x:v>ksy-juice-blends-uk-limited-v-citrosuco-gmbh</x:v>
      </x:c>
      <x:c r="D455" s="12" t="n">
        <x:v>46100.55635273148</x:v>
      </x:c>
      <x:c r="E455" s="1" t="str">
        <x:v>yes</x:v>
      </x:c>
      <x:c r="F455" s="14" t="str">
        <x:v>cmmxi2xkc000t04l8hsscxyvl</x:v>
      </x:c>
      <x:c r="G455" s="14" t="n">
        <x:v>14</x:v>
      </x:c>
      <x:c r="H455" s="14" t="str">
        <x:v>2580e2fd-b358-469f-b94a-a83b12a8ae19</x:v>
      </x:c>
      <x:c r="I455" s="14" t="str">
        <x:v>Shafi v Rutherford [2014] EWCA Civ 1186: Expert Determination in Share Sale Dispute</x:v>
      </x:c>
      <x:c r="J455" s="14" t="str">
        <x:v>England and Wales Court of Appeal (Civil Division)</x:v>
      </x:c>
      <x:c r="K455" s="14" t="n">
        <x:v>2014</x:v>
      </x:c>
      <x:c r="L455" s="15" t="n">
        <x:v>0.721772</x:v>
      </x:c>
      <x:c r="M455" s="14" t="n">
        <x:v>1</x:v>
      </x:c>
      <x:c r="N455" s="14" t="str"/>
    </x:row>
    <x:row r="456">
      <x:c r="A456" s="1" t="str">
        <x:v>cmmxi0nl9000n04l8myv0bd76</x:v>
      </x:c>
      <x:c r="B456" s="1" t="str">
        <x:v>cmmxhx487000e04l8w5bketmq</x:v>
      </x:c>
      <x:c r="C456" s="1" t="str">
        <x:v>ksy-juice-blends-uk-limited-v-citrosuco-gmbh</x:v>
      </x:c>
      <x:c r="D456" s="12" t="n">
        <x:v>46100.55635273148</x:v>
      </x:c>
      <x:c r="E456" s="1" t="str">
        <x:v>yes</x:v>
      </x:c>
      <x:c r="F456" s="14" t="str">
        <x:v>cmmxi2xkc000t04l8hsscxyvl</x:v>
      </x:c>
      <x:c r="G456" s="14" t="n">
        <x:v>15</x:v>
      </x:c>
      <x:c r="H456" s="14" t="str">
        <x:v>65eb2911-0cb6-4cff-8074-0f7b169c2e75</x:v>
      </x:c>
      <x:c r="I456" s="14" t="str">
        <x:v>Seakom Ltd &amp; Anor v Knowledgepool Group Ltd</x:v>
      </x:c>
      <x:c r="J456" s="14" t="str">
        <x:v>England and Wales Court of Appeal (Civil Division)</x:v>
      </x:c>
      <x:c r="K456" s="14" t="n">
        <x:v>2014</x:v>
      </x:c>
      <x:c r="L456" s="15" t="n">
        <x:v>0.7194239</x:v>
      </x:c>
      <x:c r="M456" s="14" t="n">
        <x:v>1</x:v>
      </x:c>
      <x:c r="N456" s="14" t="str">
        <x:v>Keary Developments Ltd v Tarmac Construction Ltd | Al Koronky v Time-Life Entertainment Group Ltd</x:v>
      </x:c>
    </x:row>
    <x:row r="457">
      <x:c r="A457" s="1" t="str">
        <x:v>cmmxi0nl9000n04l8myv0bd76</x:v>
      </x:c>
      <x:c r="B457" s="1" t="str">
        <x:v>cmmxhx487000e04l8w5bketmq</x:v>
      </x:c>
      <x:c r="C457" s="1" t="str">
        <x:v>ksy-juice-blends-uk-limited-v-citrosuco-gmbh</x:v>
      </x:c>
      <x:c r="D457" s="12" t="n">
        <x:v>46100.55635273148</x:v>
      </x:c>
      <x:c r="E457" s="1" t="str">
        <x:v>yes</x:v>
      </x:c>
      <x:c r="F457" s="14" t="str">
        <x:v>cmmxi2xkc000t04l8hsscxyvl</x:v>
      </x:c>
      <x:c r="G457" s="14" t="n">
        <x:v>16</x:v>
      </x:c>
      <x:c r="H457" s="14" t="str">
        <x:v>f691a5fb-3356-4b3d-8d02-23ef0631e1f6</x:v>
      </x:c>
      <x:c r="I457" s="14" t="str">
        <x:v>Hughes v Pendragon Sabre Ltd t/a Porsche Centre Bolton [2016] EWCA Civ 18</x:v>
      </x:c>
      <x:c r="J457" s="14" t="str">
        <x:v>England and Wales Court of Appeal (Civil Division)</x:v>
      </x:c>
      <x:c r="K457" s="14" t="n">
        <x:v>2016</x:v>
      </x:c>
      <x:c r="L457" s="15" t="n">
        <x:v>0.71849245</x:v>
      </x:c>
      <x:c r="M457" s="14" t="n">
        <x:v>1</x:v>
      </x:c>
      <x:c r="N457" s="14" t="str">
        <x:v>Wake v Renault | Bear Stearns v Forum Global Equity | Dhanani v Crasnianski</x:v>
      </x:c>
    </x:row>
    <x:row r="458">
      <x:c r="A458" s="1" t="str">
        <x:v>cmmxi0nl9000n04l8myv0bd76</x:v>
      </x:c>
      <x:c r="B458" s="1" t="str">
        <x:v>cmmxhx487000e04l8w5bketmq</x:v>
      </x:c>
      <x:c r="C458" s="1" t="str">
        <x:v>ksy-juice-blends-uk-limited-v-citrosuco-gmbh</x:v>
      </x:c>
      <x:c r="D458" s="12" t="n">
        <x:v>46100.55635273148</x:v>
      </x:c>
      <x:c r="E458" s="1" t="str">
        <x:v>yes</x:v>
      </x:c>
      <x:c r="F458" s="14" t="str">
        <x:v>cmmxi2xkc000t04l8hsscxyvl</x:v>
      </x:c>
      <x:c r="G458" s="14" t="n">
        <x:v>17</x:v>
      </x:c>
      <x:c r="H458" s="14" t="str">
        <x:v>1e1f2245-dd9c-4a5a-b4a0-98c9113d4865</x:v>
      </x:c>
      <x:c r="I458" s="14" t="str">
        <x:v>OMV Supply and Trading AG v Kazmunaygaz Trading AG [2014] EWCA Civ 75</x:v>
      </x:c>
      <x:c r="J458" s="14" t="str">
        <x:v>England and Wales Court of Appeal (Civil Division)</x:v>
      </x:c>
      <x:c r="K458" s="14" t="n">
        <x:v>2014</x:v>
      </x:c>
      <x:c r="L458" s="15" t="n">
        <x:v>0.7183226</x:v>
      </x:c>
      <x:c r="M458" s="14" t="n">
        <x:v>1</x:v>
      </x:c>
      <x:c r="N458" s="14" t="str"/>
    </x:row>
    <x:row r="459">
      <x:c r="A459" s="1" t="str">
        <x:v>cmmxi0nl9000n04l8myv0bd76</x:v>
      </x:c>
      <x:c r="B459" s="1" t="str">
        <x:v>cmmxhx487000e04l8w5bketmq</x:v>
      </x:c>
      <x:c r="C459" s="1" t="str">
        <x:v>ksy-juice-blends-uk-limited-v-citrosuco-gmbh</x:v>
      </x:c>
      <x:c r="D459" s="12" t="n">
        <x:v>46100.55635273148</x:v>
      </x:c>
      <x:c r="E459" s="1" t="str">
        <x:v>yes</x:v>
      </x:c>
      <x:c r="F459" s="14" t="str">
        <x:v>cmmxi2xkc000t04l8hsscxyvl</x:v>
      </x:c>
      <x:c r="G459" s="14" t="n">
        <x:v>18</x:v>
      </x:c>
      <x:c r="H459" s="14" t="str">
        <x:v>43d4ac89-b448-44d9-9932-c5736983a48f</x:v>
      </x:c>
      <x:c r="I459" s="14" t="str">
        <x:v>Sharp Corp Ltd v Viterra BV [2023] EWCA Civ 7</x:v>
      </x:c>
      <x:c r="J459" s="14" t="str">
        <x:v>England and Wales Court of Appeal (Civil Division)</x:v>
      </x:c>
      <x:c r="K459" s="14" t="n">
        <x:v>2023</x:v>
      </x:c>
      <x:c r="L459" s="15" t="n">
        <x:v>0.7171732</x:v>
      </x:c>
      <x:c r="M459" s="14" t="n">
        <x:v>1</x:v>
      </x:c>
      <x:c r="N459" s="14" t="str">
        <x:v>[2023] EWCA Civ 7 | GAFTA_defaults</x:v>
      </x:c>
    </x:row>
    <x:row r="460">
      <x:c r="A460" s="1" t="str">
        <x:v>cmmxi0nl9000n04l8myv0bd76</x:v>
      </x:c>
      <x:c r="B460" s="1" t="str">
        <x:v>cmmxhx487000e04l8w5bketmq</x:v>
      </x:c>
      <x:c r="C460" s="1" t="str">
        <x:v>ksy-juice-blends-uk-limited-v-citrosuco-gmbh</x:v>
      </x:c>
      <x:c r="D460" s="12" t="n">
        <x:v>46100.55635273148</x:v>
      </x:c>
      <x:c r="E460" s="1" t="str">
        <x:v>yes</x:v>
      </x:c>
      <x:c r="F460" s="14" t="str">
        <x:v>cmmxi2xkc000t04l8hsscxyvl</x:v>
      </x:c>
      <x:c r="G460" s="14" t="n">
        <x:v>19</x:v>
      </x:c>
      <x:c r="H460" s="14" t="str">
        <x:v>be5b4e91-38ef-4caa-ae4f-eb81c3f7b722</x:v>
      </x:c>
      <x:c r="I460" s="14" t="str">
        <x:v>Thevarajah v Riordan &amp; Ors [2015] EWCA Civ 41</x:v>
      </x:c>
      <x:c r="J460" s="14" t="str">
        <x:v>England and Wales Court of Appeal (Civil Division)</x:v>
      </x:c>
      <x:c r="K460" s="14" t="n">
        <x:v>2015</x:v>
      </x:c>
      <x:c r="L460" s="15" t="n">
        <x:v>0.7171262</x:v>
      </x:c>
      <x:c r="M460" s="14" t="n">
        <x:v>1</x:v>
      </x:c>
      <x:c r="N460" s="14" t="str"/>
    </x:row>
    <x:row r="461">
      <x:c r="A461" s="1" t="str">
        <x:v>cmmxi0nl9000n04l8myv0bd76</x:v>
      </x:c>
      <x:c r="B461" s="1" t="str">
        <x:v>cmmxhx487000e04l8w5bketmq</x:v>
      </x:c>
      <x:c r="C461" s="1" t="str">
        <x:v>ksy-juice-blends-uk-limited-v-citrosuco-gmbh</x:v>
      </x:c>
      <x:c r="D461" s="12" t="n">
        <x:v>46100.55635273148</x:v>
      </x:c>
      <x:c r="E461" s="1" t="str">
        <x:v>yes</x:v>
      </x:c>
      <x:c r="F461" s="14" t="str">
        <x:v>cmmxi2xkc000t04l8hsscxyvl</x:v>
      </x:c>
      <x:c r="G461" s="14" t="n">
        <x:v>20</x:v>
      </x:c>
      <x:c r="H461" s="14" t="str">
        <x:v>7326ea9d-e544-4864-8e4a-8eeae76e44fd</x:v>
      </x:c>
      <x:c r="I461" s="14" t="str">
        <x:v>Wood v Capita Insurance Services Ltd [2017] UKSC 24</x:v>
      </x:c>
      <x:c r="J461" s="14" t="str">
        <x:v>United Kingdom Supreme Court</x:v>
      </x:c>
      <x:c r="K461" s="14" t="n">
        <x:v>2017</x:v>
      </x:c>
      <x:c r="L461" s="15" t="n">
        <x:v>0.7161033</x:v>
      </x:c>
      <x:c r="M461" s="14" t="n">
        <x:v>1</x:v>
      </x:c>
      <x:c r="N461" s="14" t="str"/>
    </x:row>
    <x:row r="462">
      <x:c r="A462" s="1" t="str">
        <x:v>cmmxkcugu000304l7ace3awg9</x:v>
      </x:c>
      <x:c r="B462" s="1" t="str">
        <x:v>cmmxhmaji000604l8iyhbwnn1</x:v>
      </x:c>
      <x:c r="C462" s="1" t="str">
        <x:v>greenfields--iow--limited-v-isle-of-wight-council---westridge-village-limited</x:v>
      </x:c>
      <x:c r="D462" s="12" t="n">
        <x:v>46100.601815925926</x:v>
      </x:c>
      <x:c r="E462" s="1" t="str">
        <x:v>no</x:v>
      </x:c>
      <x:c r="F462" s="14" t="str"/>
      <x:c r="G462" s="14" t="n">
        <x:v>1</x:v>
      </x:c>
      <x:c r="H462" s="14" t="str">
        <x:v>76e6ffcd-af03-4155-a667-51d98a79d1d7</x:v>
      </x:c>
      <x:c r="I462" s="14" t="str">
        <x:v>Arnold White Estates Ltd v The Forestry Commission [2022] EWCA Civ 1304</x:v>
      </x:c>
      <x:c r="J462" s="14" t="str">
        <x:v>England and Wales Court of Appeal (Civil Division)</x:v>
      </x:c>
      <x:c r="K462" s="14" t="n">
        <x:v>2022</x:v>
      </x:c>
      <x:c r="L462" s="15" t="n">
        <x:v>0.7636622</x:v>
      </x:c>
      <x:c r="M462" s="14" t="n">
        <x:v>1</x:v>
      </x:c>
      <x:c r="N462" s="14" t="str">
        <x:v>R. (on the application of Thornton Hall Hotel Ltd.) v Wirral Metropolitan Borough Council (2019) EWCA Civ 737</x:v>
      </x:c>
    </x:row>
    <x:row r="463">
      <x:c r="A463" s="1" t="str">
        <x:v>cmmxkcugu000304l7ace3awg9</x:v>
      </x:c>
      <x:c r="B463" s="1" t="str">
        <x:v>cmmxhmaji000604l8iyhbwnn1</x:v>
      </x:c>
      <x:c r="C463" s="1" t="str">
        <x:v>greenfields--iow--limited-v-isle-of-wight-council---westridge-village-limited</x:v>
      </x:c>
      <x:c r="D463" s="12" t="n">
        <x:v>46100.601815925926</x:v>
      </x:c>
      <x:c r="E463" s="1" t="str">
        <x:v>no</x:v>
      </x:c>
      <x:c r="F463" s="14" t="str"/>
      <x:c r="G463" s="14" t="n">
        <x:v>2</x:v>
      </x:c>
      <x:c r="H463" s="14" t="str">
        <x:v>7f44d9a8-2459-4f6a-84fc-e475bb8f169a</x:v>
      </x:c>
      <x:c r="I463" s="14" t="str">
        <x:v>Secretary of State for Levelling Up, Housing and Communities v Smith &amp; Anor [2023] EWCA Civ 514</x:v>
      </x:c>
      <x:c r="J463" s="14" t="str">
        <x:v>England and Wales Court of Appeal (Civil Division)</x:v>
      </x:c>
      <x:c r="K463" s="14" t="n">
        <x:v>2023</x:v>
      </x:c>
      <x:c r="L463" s="15" t="n">
        <x:v>0.761008</x:v>
      </x:c>
      <x:c r="M463" s="14" t="n">
        <x:v>7</x:v>
      </x:c>
      <x:c r="N463" s="14" t="str">
        <x:v>[2022] EWHC 3209 (Admin) | Harris | Ms Williams (commentary) | Harris (planning fairness)</x:v>
      </x:c>
    </x:row>
    <x:row r="464">
      <x:c r="A464" s="1" t="str">
        <x:v>cmmxkcugu000304l7ace3awg9</x:v>
      </x:c>
      <x:c r="B464" s="1" t="str">
        <x:v>cmmxhmaji000604l8iyhbwnn1</x:v>
      </x:c>
      <x:c r="C464" s="1" t="str">
        <x:v>greenfields--iow--limited-v-isle-of-wight-council---westridge-village-limited</x:v>
      </x:c>
      <x:c r="D464" s="12" t="n">
        <x:v>46100.601815925926</x:v>
      </x:c>
      <x:c r="E464" s="1" t="str">
        <x:v>no</x:v>
      </x:c>
      <x:c r="F464" s="14" t="str"/>
      <x:c r="G464" s="14" t="n">
        <x:v>3</x:v>
      </x:c>
      <x:c r="H464" s="14" t="str">
        <x:v>776a8070-aa6f-410e-b91e-2e1fcadadb9b</x:v>
      </x:c>
      <x:c r="I464" s="14" t="str">
        <x:v>Sheakh, R (On the Application Of) v London Borough of Lambeth Council [2022] EWCA Civ 457 (05 April 2022)</x:v>
      </x:c>
      <x:c r="J464" s="14" t="str">
        <x:v>England and Wales Court of Appeal (Civil Division)</x:v>
      </x:c>
      <x:c r="K464" s="14" t="n">
        <x:v>2022</x:v>
      </x:c>
      <x:c r="L464" s="15" t="n">
        <x:v>0.76048994</x:v>
      </x:c>
      <x:c r="M464" s="14" t="n">
        <x:v>1</x:v>
      </x:c>
      <x:c r="N464" s="14" t="str">
        <x:v>R. (Bailey) v Brent LBC [2011] EWCA Civ 1586</x:v>
      </x:c>
    </x:row>
    <x:row r="465">
      <x:c r="A465" s="1" t="str">
        <x:v>cmmxkcugu000304l7ace3awg9</x:v>
      </x:c>
      <x:c r="B465" s="1" t="str">
        <x:v>cmmxhmaji000604l8iyhbwnn1</x:v>
      </x:c>
      <x:c r="C465" s="1" t="str">
        <x:v>greenfields--iow--limited-v-isle-of-wight-council---westridge-village-limited</x:v>
      </x:c>
      <x:c r="D465" s="12" t="n">
        <x:v>46100.601815925926</x:v>
      </x:c>
      <x:c r="E465" s="1" t="str">
        <x:v>no</x:v>
      </x:c>
      <x:c r="F465" s="14" t="str"/>
      <x:c r="G465" s="14" t="n">
        <x:v>4</x:v>
      </x:c>
      <x:c r="H465" s="14" t="str">
        <x:v>3fae9752-b3e5-4a98-a0e5-5ade79ee3e8d</x:v>
      </x:c>
      <x:c r="I465" s="14" t="str">
        <x:v>East Quayside 12 LLP v The Council of the City of Newcastle upon Tyne [2023] EWCA Civ 359</x:v>
      </x:c>
      <x:c r="J465" s="14" t="str">
        <x:v>England and Wales Court of Appeal (Civil Division)</x:v>
      </x:c>
      <x:c r="K465" s="14" t="n">
        <x:v>2023</x:v>
      </x:c>
      <x:c r="L465" s="15" t="n">
        <x:v>0.7604697</x:v>
      </x:c>
      <x:c r="M465" s="14" t="n">
        <x:v>1</x:v>
      </x:c>
      <x:c r="N465" s="14" t="str"/>
    </x:row>
    <x:row r="466">
      <x:c r="A466" s="1" t="str">
        <x:v>cmmxkcugu000304l7ace3awg9</x:v>
      </x:c>
      <x:c r="B466" s="1" t="str">
        <x:v>cmmxhmaji000604l8iyhbwnn1</x:v>
      </x:c>
      <x:c r="C466" s="1" t="str">
        <x:v>greenfields--iow--limited-v-isle-of-wight-council---westridge-village-limited</x:v>
      </x:c>
      <x:c r="D466" s="12" t="n">
        <x:v>46100.601815925926</x:v>
      </x:c>
      <x:c r="E466" s="1" t="str">
        <x:v>no</x:v>
      </x:c>
      <x:c r="F466" s="14" t="str"/>
      <x:c r="G466" s="14" t="n">
        <x:v>5</x:v>
      </x:c>
      <x:c r="H466" s="14" t="str">
        <x:v>6cd7db33-7ee1-44c0-9219-b2cc7d57d88b</x:v>
      </x:c>
      <x:c r="I466" s="14" t="str">
        <x:v>Smith v Secretary of State for Levelling Up, Housing &amp; Communities &amp; Anor [2022] EWCA Civ 1391</x:v>
      </x:c>
      <x:c r="J466" s="14" t="str">
        <x:v>England and Wales Court of Appeal (Civil Division)</x:v>
      </x:c>
      <x:c r="K466" s="14" t="n">
        <x:v>2022</x:v>
      </x:c>
      <x:c r="L466" s="15" t="n">
        <x:v>0.76037574</x:v>
      </x:c>
      <x:c r="M466" s="14" t="n">
        <x:v>1</x:v>
      </x:c>
      <x:c r="N466" s="14" t="str">
        <x:v>[2021] EWHC 1650 (Admin)</x:v>
      </x:c>
    </x:row>
    <x:row r="467">
      <x:c r="A467" s="1" t="str">
        <x:v>cmmxkcugu000304l7ace3awg9</x:v>
      </x:c>
      <x:c r="B467" s="1" t="str">
        <x:v>cmmxhmaji000604l8iyhbwnn1</x:v>
      </x:c>
      <x:c r="C467" s="1" t="str">
        <x:v>greenfields--iow--limited-v-isle-of-wight-council---westridge-village-limited</x:v>
      </x:c>
      <x:c r="D467" s="12" t="n">
        <x:v>46100.601815925926</x:v>
      </x:c>
      <x:c r="E467" s="1" t="str">
        <x:v>no</x:v>
      </x:c>
      <x:c r="F467" s="14" t="str"/>
      <x:c r="G467" s="14" t="n">
        <x:v>6</x:v>
      </x:c>
      <x:c r="H467" s="14" t="str">
        <x:v>235388cd-5994-4cf3-b7e7-c349382ef164</x:v>
      </x:c>
      <x:c r="I467" s="14" t="str">
        <x:v>Save Britain's Heritage, R (On the Application Of) v Davies (Rev1) [2023] EWCA Civ 723</x:v>
      </x:c>
      <x:c r="J467" s="14" t="str">
        <x:v>England and Wales Court of Appeal (Civil Division)</x:v>
      </x:c>
      <x:c r="K467" s="14" t="n">
        <x:v>2023</x:v>
      </x:c>
      <x:c r="L467" s="15" t="n">
        <x:v>0.7595707</x:v>
      </x:c>
      <x:c r="M467" s="14" t="n">
        <x:v>3</x:v>
      </x:c>
      <x:c r="N467" s="14" t="str">
        <x:v>2022 EWHC 2984 (Admin) | [2023] EWCA Civ 723 | Town and Country Planning Order 2015 (as amended)</x:v>
      </x:c>
    </x:row>
    <x:row r="468">
      <x:c r="A468" s="1" t="str">
        <x:v>cmmxkcugu000304l7ace3awg9</x:v>
      </x:c>
      <x:c r="B468" s="1" t="str">
        <x:v>cmmxhmaji000604l8iyhbwnn1</x:v>
      </x:c>
      <x:c r="C468" s="1" t="str">
        <x:v>greenfields--iow--limited-v-isle-of-wight-council---westridge-village-limited</x:v>
      </x:c>
      <x:c r="D468" s="12" t="n">
        <x:v>46100.601815925926</x:v>
      </x:c>
      <x:c r="E468" s="1" t="str">
        <x:v>no</x:v>
      </x:c>
      <x:c r="F468" s="14" t="str"/>
      <x:c r="G468" s="14" t="n">
        <x:v>7</x:v>
      </x:c>
      <x:c r="H468" s="14" t="str">
        <x:v>a1b35831-8ed8-43ad-bc7e-488100344627</x:v>
      </x:c>
      <x:c r="I468" s="14" t="str">
        <x:v>Corbett v Cornwall Council [2022] EWCA Civ 1069</x:v>
      </x:c>
      <x:c r="J468" s="14" t="str">
        <x:v>England and Wales Court of Appeal (Civil Division)</x:v>
      </x:c>
      <x:c r="K468" s="14" t="n">
        <x:v>2022</x:v>
      </x:c>
      <x:c r="L468" s="15" t="n">
        <x:v>0.75545466</x:v>
      </x:c>
      <x:c r="M468" s="14" t="n">
        <x:v>1</x:v>
      </x:c>
      <x:c r="N468" s="14" t="str"/>
    </x:row>
    <x:row r="469">
      <x:c r="A469" s="1" t="str">
        <x:v>cmmxkcugu000304l7ace3awg9</x:v>
      </x:c>
      <x:c r="B469" s="1" t="str">
        <x:v>cmmxhmaji000604l8iyhbwnn1</x:v>
      </x:c>
      <x:c r="C469" s="1" t="str">
        <x:v>greenfields--iow--limited-v-isle-of-wight-council---westridge-village-limited</x:v>
      </x:c>
      <x:c r="D469" s="12" t="n">
        <x:v>46100.601815925926</x:v>
      </x:c>
      <x:c r="E469" s="1" t="str">
        <x:v>no</x:v>
      </x:c>
      <x:c r="F469" s="14" t="str"/>
      <x:c r="G469" s="14" t="n">
        <x:v>8</x:v>
      </x:c>
      <x:c r="H469" s="14" t="str">
        <x:v>aa66d157-e659-4b1f-9c8a-39b98d92a107</x:v>
      </x:c>
      <x:c r="I469" s="14" t="str">
        <x:v>CAB Housing Limited v Secretary of State for Levelling Up, Housing and Communities &amp; Anor [2023] EWCA Civ 194</x:v>
      </x:c>
      <x:c r="J469" s="14" t="str">
        <x:v>England and Wales Court of Appeal (Civil Division)</x:v>
      </x:c>
      <x:c r="K469" s="14" t="n">
        <x:v>2023</x:v>
      </x:c>
      <x:c r="L469" s="15" t="n">
        <x:v>0.7536721</x:v>
      </x:c>
      <x:c r="M469" s="14" t="n">
        <x:v>1</x:v>
      </x:c>
      <x:c r="N469" s="14" t="str">
        <x:v>[2022] EWHC 208 Admin</x:v>
      </x:c>
    </x:row>
    <x:row r="470">
      <x:c r="A470" s="1" t="str">
        <x:v>cmmxkcugu000304l7ace3awg9</x:v>
      </x:c>
      <x:c r="B470" s="1" t="str">
        <x:v>cmmxhmaji000604l8iyhbwnn1</x:v>
      </x:c>
      <x:c r="C470" s="1" t="str">
        <x:v>greenfields--iow--limited-v-isle-of-wight-council---westridge-village-limited</x:v>
      </x:c>
      <x:c r="D470" s="12" t="n">
        <x:v>46100.601815925926</x:v>
      </x:c>
      <x:c r="E470" s="1" t="str">
        <x:v>no</x:v>
      </x:c>
      <x:c r="F470" s="14" t="str"/>
      <x:c r="G470" s="14" t="n">
        <x:v>9</x:v>
      </x:c>
      <x:c r="H470" s="14" t="str">
        <x:v>0642e885-86b3-4c0b-84a2-2005424f4309</x:v>
      </x:c>
      <x:c r="I470" s="14" t="str">
        <x:v>Sahota, R (On the Application Of) v Herefordshire Council [2022] EWCA Civ 1640</x:v>
      </x:c>
      <x:c r="J470" s="14" t="str">
        <x:v>England and Wales Court of Appeal (Civil Division)</x:v>
      </x:c>
      <x:c r="K470" s="14" t="n">
        <x:v>2022</x:v>
      </x:c>
      <x:c r="L470" s="15" t="n">
        <x:v>0.7528498</x:v>
      </x:c>
      <x:c r="M470" s="14" t="n">
        <x:v>2</x:v>
      </x:c>
      <x:c r="N470" s="14" t="str">
        <x:v>Stuart-Smith LJ | Court of Appeal procedures | Regulation 63 Habitats Regulations 2017</x:v>
      </x:c>
    </x:row>
    <x:row r="471">
      <x:c r="A471" s="1" t="str">
        <x:v>cmmxkcugu000304l7ace3awg9</x:v>
      </x:c>
      <x:c r="B471" s="1" t="str">
        <x:v>cmmxhmaji000604l8iyhbwnn1</x:v>
      </x:c>
      <x:c r="C471" s="1" t="str">
        <x:v>greenfields--iow--limited-v-isle-of-wight-council---westridge-village-limited</x:v>
      </x:c>
      <x:c r="D471" s="12" t="n">
        <x:v>46100.601815925926</x:v>
      </x:c>
      <x:c r="E471" s="1" t="str">
        <x:v>no</x:v>
      </x:c>
      <x:c r="F471" s="14" t="str"/>
      <x:c r="G471" s="14" t="n">
        <x:v>10</x:v>
      </x:c>
      <x:c r="H471" s="14" t="str">
        <x:v>90743ee0-c75d-4140-93eb-89a3938f7523</x:v>
      </x:c>
      <x:c r="I471" s="14" t="str">
        <x:v>Devine v Secretary of State for Levelling Up, Housing and Communities [2023] EWCA Civ 601</x:v>
      </x:c>
      <x:c r="J471" s="14" t="str">
        <x:v>England and Wales Court of Appeal (Civil Division)</x:v>
      </x:c>
      <x:c r="K471" s="14" t="n">
        <x:v>2023</x:v>
      </x:c>
      <x:c r="L471" s="15" t="n">
        <x:v>0.7527217</x:v>
      </x:c>
      <x:c r="M471" s="14" t="n">
        <x:v>1</x:v>
      </x:c>
      <x:c r="N471" s="14" t="str">
        <x:v>[2022] EWHC 2031 (Admin)</x:v>
      </x:c>
    </x:row>
    <x:row r="472">
      <x:c r="A472" s="1" t="str">
        <x:v>cmmxkcugu000304l7ace3awg9</x:v>
      </x:c>
      <x:c r="B472" s="1" t="str">
        <x:v>cmmxhmaji000604l8iyhbwnn1</x:v>
      </x:c>
      <x:c r="C472" s="1" t="str">
        <x:v>greenfields--iow--limited-v-isle-of-wight-council---westridge-village-limited</x:v>
      </x:c>
      <x:c r="D472" s="12" t="n">
        <x:v>46100.601815925926</x:v>
      </x:c>
      <x:c r="E472" s="1" t="str">
        <x:v>no</x:v>
      </x:c>
      <x:c r="F472" s="14" t="str"/>
      <x:c r="G472" s="14" t="n">
        <x:v>11</x:v>
      </x:c>
      <x:c r="H472" s="14" t="str">
        <x:v>3bdf2d7a-d886-4bb3-ba30-9c4b472a4f7c</x:v>
      </x:c>
      <x:c r="I472" s="14" t="str">
        <x:v>Gardiner v Hertsmere Borough Council &amp; Anor [2022] EWCA Civ 1162</x:v>
      </x:c>
      <x:c r="J472" s="14" t="str">
        <x:v>England and Wales Court of Appeal (Civil Division)</x:v>
      </x:c>
      <x:c r="K472" s="14" t="n">
        <x:v>2022</x:v>
      </x:c>
      <x:c r="L472" s="15" t="n">
        <x:v>0.7522283</x:v>
      </x:c>
      <x:c r="M472" s="14" t="n">
        <x:v>1</x:v>
      </x:c>
      <x:c r="N472" s="14" t="str">
        <x:v>Gardiner v Hertsmere Borough Council &amp; Anor [2022] EWCA Civ 1162</x:v>
      </x:c>
    </x:row>
    <x:row r="473">
      <x:c r="A473" s="1" t="str">
        <x:v>cmmxkcugu000304l7ace3awg9</x:v>
      </x:c>
      <x:c r="B473" s="1" t="str">
        <x:v>cmmxhmaji000604l8iyhbwnn1</x:v>
      </x:c>
      <x:c r="C473" s="1" t="str">
        <x:v>greenfields--iow--limited-v-isle-of-wight-council---westridge-village-limited</x:v>
      </x:c>
      <x:c r="D473" s="12" t="n">
        <x:v>46100.601815925926</x:v>
      </x:c>
      <x:c r="E473" s="1" t="str">
        <x:v>no</x:v>
      </x:c>
      <x:c r="F473" s="14" t="str"/>
      <x:c r="G473" s="14" t="n">
        <x:v>12</x:v>
      </x:c>
      <x:c r="H473" s="14" t="str">
        <x:v>1f4a0cfb-5359-49da-93e8-89cbb817ebca</x:v>
      </x:c>
      <x:c r="I473" s="14" t="str">
        <x:v>Whitley Parish Council, R (On the Application Of) v North Yorkshire County Council &amp; Anor [2023] EWCA Civ 92</x:v>
      </x:c>
      <x:c r="J473" s="14" t="str">
        <x:v>England and Wales Court of Appeal (Civil Division)</x:v>
      </x:c>
      <x:c r="K473" s="14" t="n">
        <x:v>2023</x:v>
      </x:c>
      <x:c r="L473" s="15" t="n">
        <x:v>0.7495051</x:v>
      </x:c>
      <x:c r="M473" s="14" t="n">
        <x:v>1</x:v>
      </x:c>
      <x:c r="N473" s="14" t="str"/>
    </x:row>
    <x:row r="474">
      <x:c r="A474" s="1" t="str">
        <x:v>cmmxkcugu000304l7ace3awg9</x:v>
      </x:c>
      <x:c r="B474" s="1" t="str">
        <x:v>cmmxhmaji000604l8iyhbwnn1</x:v>
      </x:c>
      <x:c r="C474" s="1" t="str">
        <x:v>greenfields--iow--limited-v-isle-of-wight-council---westridge-village-limited</x:v>
      </x:c>
      <x:c r="D474" s="12" t="n">
        <x:v>46100.601815925926</x:v>
      </x:c>
      <x:c r="E474" s="1" t="str">
        <x:v>no</x:v>
      </x:c>
      <x:c r="F474" s="14" t="str"/>
      <x:c r="G474" s="14" t="n">
        <x:v>13</x:v>
      </x:c>
      <x:c r="H474" s="14" t="str">
        <x:v>c370bf30-4fed-4187-beea-6476e69f964f</x:v>
      </x:c>
      <x:c r="I474" s="14" t="str">
        <x:v>Braithwaite and Melton Meadows Properties Ltd, R (On the Application Of) v East Suffolk Council [2022] EWCA Civ 1716</x:v>
      </x:c>
      <x:c r="J474" s="14" t="str">
        <x:v>England and Wales Court of Appeal (Civil Division)</x:v>
      </x:c>
      <x:c r="K474" s="14" t="n">
        <x:v>2022</x:v>
      </x:c>
      <x:c r="L474" s="15" t="n">
        <x:v>0.7493913</x:v>
      </x:c>
      <x:c r="M474" s="14" t="n">
        <x:v>1</x:v>
      </x:c>
      <x:c r="N474" s="14" t="str"/>
    </x:row>
    <x:row r="475">
      <x:c r="A475" s="1" t="str">
        <x:v>cmmxkcugu000304l7ace3awg9</x:v>
      </x:c>
      <x:c r="B475" s="1" t="str">
        <x:v>cmmxhmaji000604l8iyhbwnn1</x:v>
      </x:c>
      <x:c r="C475" s="1" t="str">
        <x:v>greenfields--iow--limited-v-isle-of-wight-council---westridge-village-limited</x:v>
      </x:c>
      <x:c r="D475" s="12" t="n">
        <x:v>46100.601815925926</x:v>
      </x:c>
      <x:c r="E475" s="1" t="str">
        <x:v>no</x:v>
      </x:c>
      <x:c r="F475" s="14" t="str"/>
      <x:c r="G475" s="14" t="n">
        <x:v>14</x:v>
      </x:c>
      <x:c r="H475" s="14" t="str">
        <x:v>4c3b8da7-6c82-4056-ab98-dea339f7af1d</x:v>
      </x:c>
      <x:c r="I475" s="14" t="str">
        <x:v>Ashchurch Rural Parish Council, R (On the Application Of) v Tewkesbury Borough Council [2023] EWCA Civ 101</x:v>
      </x:c>
      <x:c r="J475" s="14" t="str">
        <x:v>England and Wales Court of Appeal (Civil Division)</x:v>
      </x:c>
      <x:c r="K475" s="14" t="n">
        <x:v>2023</x:v>
      </x:c>
      <x:c r="L475" s="15" t="n">
        <x:v>0.74837226</x:v>
      </x:c>
      <x:c r="M475" s="14" t="n">
        <x:v>2</x:v>
      </x:c>
      <x:c r="N475" s="14" t="str">
        <x:v>R (Samuel Smith Old Brewery) v North Yorkshire CC [2020] UKSC 3</x:v>
      </x:c>
    </x:row>
    <x:row r="476">
      <x:c r="A476" s="1" t="str">
        <x:v>cmmxkcugu000304l7ace3awg9</x:v>
      </x:c>
      <x:c r="B476" s="1" t="str">
        <x:v>cmmxhmaji000604l8iyhbwnn1</x:v>
      </x:c>
      <x:c r="C476" s="1" t="str">
        <x:v>greenfields--iow--limited-v-isle-of-wight-council---westridge-village-limited</x:v>
      </x:c>
      <x:c r="D476" s="12" t="n">
        <x:v>46100.601815925926</x:v>
      </x:c>
      <x:c r="E476" s="1" t="str">
        <x:v>no</x:v>
      </x:c>
      <x:c r="F476" s="14" t="str"/>
      <x:c r="G476" s="14" t="n">
        <x:v>15</x:v>
      </x:c>
      <x:c r="H476" s="14" t="str">
        <x:v>1fa1d79c-da17-4ba8-837f-04da48af3a19</x:v>
      </x:c>
      <x:c r="I476" s="14" t="str">
        <x:v>JZ v Secretary of State for the Home Department &amp; Ors [2023] EWCA Civ 178</x:v>
      </x:c>
      <x:c r="J476" s="14" t="str">
        <x:v>England and Wales Court of Appeal (Civil Division)</x:v>
      </x:c>
      <x:c r="K476" s="14" t="n">
        <x:v>2023</x:v>
      </x:c>
      <x:c r="L476" s="15" t="n">
        <x:v>0.74793345</x:v>
      </x:c>
      <x:c r="M476" s="14" t="n">
        <x:v>1</x:v>
      </x:c>
      <x:c r="N476" s="14" t="str">
        <x:v>[2022] EWHC 2156 (Admin) | [2023] EWCA Civ 178</x:v>
      </x:c>
    </x:row>
    <x:row r="477">
      <x:c r="A477" s="1" t="str">
        <x:v>cmmxkcugu000304l7ace3awg9</x:v>
      </x:c>
      <x:c r="B477" s="1" t="str">
        <x:v>cmmxhmaji000604l8iyhbwnn1</x:v>
      </x:c>
      <x:c r="C477" s="1" t="str">
        <x:v>greenfields--iow--limited-v-isle-of-wight-council---westridge-village-limited</x:v>
      </x:c>
      <x:c r="D477" s="12" t="n">
        <x:v>46100.601815925926</x:v>
      </x:c>
      <x:c r="E477" s="1" t="str">
        <x:v>no</x:v>
      </x:c>
      <x:c r="F477" s="14" t="str"/>
      <x:c r="G477" s="14" t="n">
        <x:v>16</x:v>
      </x:c>
      <x:c r="H477" s="14" t="str">
        <x:v>9034c8de-ac8c-45a1-9a63-569c390554ca</x:v>
      </x:c>
      <x:c r="I477" s="14" t="str">
        <x:v>Thurston Parish Council, R (On the Application Of) v Mid Suffolk District Council &amp; Anor [2022] EWCA Civ 1417</x:v>
      </x:c>
      <x:c r="J477" s="14" t="str">
        <x:v>England and Wales Court of Appeal (Civil Division)</x:v>
      </x:c>
      <x:c r="K477" s="14" t="n">
        <x:v>2022</x:v>
      </x:c>
      <x:c r="L477" s="15" t="n">
        <x:v>0.7474452</x:v>
      </x:c>
      <x:c r="M477" s="14" t="n">
        <x:v>1</x:v>
      </x:c>
      <x:c r="N477" s="14" t="str">
        <x:v>EWHC 352 Admin | EWCA Civ 1417</x:v>
      </x:c>
    </x:row>
    <x:row r="478">
      <x:c r="A478" s="1" t="str">
        <x:v>cmmxkcugu000304l7ace3awg9</x:v>
      </x:c>
      <x:c r="B478" s="1" t="str">
        <x:v>cmmxhmaji000604l8iyhbwnn1</x:v>
      </x:c>
      <x:c r="C478" s="1" t="str">
        <x:v>greenfields--iow--limited-v-isle-of-wight-council---westridge-village-limited</x:v>
      </x:c>
      <x:c r="D478" s="12" t="n">
        <x:v>46100.601815925926</x:v>
      </x:c>
      <x:c r="E478" s="1" t="str">
        <x:v>no</x:v>
      </x:c>
      <x:c r="F478" s="14" t="str"/>
      <x:c r="G478" s="14" t="n">
        <x:v>17</x:v>
      </x:c>
      <x:c r="H478" s="14" t="str">
        <x:v>1d957476-2c0d-4578-8a43-679ec600e382</x:v>
      </x:c>
      <x:c r="I478" s="14" t="str">
        <x:v>Wyatt v Fareham Borough Council (Rev1) [2022] EWCA Civ 983</x:v>
      </x:c>
      <x:c r="J478" s="14" t="str">
        <x:v>England and Wales Court of Appeal (Civil Division)</x:v>
      </x:c>
      <x:c r="K478" s="14" t="n">
        <x:v>2022</x:v>
      </x:c>
      <x:c r="L478" s="15" t="n">
        <x:v>0.74730146</x:v>
      </x:c>
      <x:c r="M478" s="14" t="n">
        <x:v>1</x:v>
      </x:c>
      <x:c r="N478" s="14" t="str"/>
    </x:row>
    <x:row r="479">
      <x:c r="A479" s="1" t="str">
        <x:v>cmmxkcugu000304l7ace3awg9</x:v>
      </x:c>
      <x:c r="B479" s="1" t="str">
        <x:v>cmmxhmaji000604l8iyhbwnn1</x:v>
      </x:c>
      <x:c r="C479" s="1" t="str">
        <x:v>greenfields--iow--limited-v-isle-of-wight-council---westridge-village-limited</x:v>
      </x:c>
      <x:c r="D479" s="12" t="n">
        <x:v>46100.601815925926</x:v>
      </x:c>
      <x:c r="E479" s="1" t="str">
        <x:v>no</x:v>
      </x:c>
      <x:c r="F479" s="14" t="str"/>
      <x:c r="G479" s="14" t="n">
        <x:v>18</x:v>
      </x:c>
      <x:c r="H479" s="14" t="str">
        <x:v>d8078437-185a-46df-8b83-bd5240184911</x:v>
      </x:c>
      <x:c r="I479" s="14" t="str">
        <x:v>MH (Eritrea) v Secretary of State for the Home Department (Rev1), [2022] EWCA Civ 1296</x:v>
      </x:c>
      <x:c r="J479" s="14" t="str">
        <x:v>England and Wales Court of Appeal (Civil Division)</x:v>
      </x:c>
      <x:c r="K479" s="14" t="n">
        <x:v>2022</x:v>
      </x:c>
      <x:c r="L479" s="15" t="n">
        <x:v>0.74462914</x:v>
      </x:c>
      <x:c r="M479" s="14" t="n">
        <x:v>1</x:v>
      </x:c>
      <x:c r="N479" s="14" t="str"/>
    </x:row>
    <x:row r="480">
      <x:c r="A480" s="1" t="str">
        <x:v>cmmxkcugu000304l7ace3awg9</x:v>
      </x:c>
      <x:c r="B480" s="1" t="str">
        <x:v>cmmxhmaji000604l8iyhbwnn1</x:v>
      </x:c>
      <x:c r="C480" s="1" t="str">
        <x:v>greenfields--iow--limited-v-isle-of-wight-council---westridge-village-limited</x:v>
      </x:c>
      <x:c r="D480" s="12" t="n">
        <x:v>46100.601815925926</x:v>
      </x:c>
      <x:c r="E480" s="1" t="str">
        <x:v>no</x:v>
      </x:c>
      <x:c r="F480" s="14" t="str"/>
      <x:c r="G480" s="14" t="n">
        <x:v>19</x:v>
      </x:c>
      <x:c r="H480" s="14" t="str">
        <x:v>671c3057-8376-4da1-82b8-7a83b79c33d1</x:v>
      </x:c>
      <x:c r="I480" s="14" t="str">
        <x:v>Kinnersley, R (On the Application Of) v Maidstone Borough Council [2023] EWCA Civ 172</x:v>
      </x:c>
      <x:c r="J480" s="14" t="str">
        <x:v>England and Wales Court of Appeal (Civil Division)</x:v>
      </x:c>
      <x:c r="K480" s="14" t="n">
        <x:v>2023</x:v>
      </x:c>
      <x:c r="L480" s="15" t="n">
        <x:v>0.7343422</x:v>
      </x:c>
      <x:c r="M480" s="14" t="n">
        <x:v>1</x:v>
      </x:c>
      <x:c r="N480" s="14" t="str"/>
    </x:row>
    <x:row r="481">
      <x:c r="A481" s="1" t="str">
        <x:v>cmmxkcugu000304l7ace3awg9</x:v>
      </x:c>
      <x:c r="B481" s="1" t="str">
        <x:v>cmmxhmaji000604l8iyhbwnn1</x:v>
      </x:c>
      <x:c r="C481" s="1" t="str">
        <x:v>greenfields--iow--limited-v-isle-of-wight-council---westridge-village-limited</x:v>
      </x:c>
      <x:c r="D481" s="12" t="n">
        <x:v>46100.601815925926</x:v>
      </x:c>
      <x:c r="E481" s="1" t="str">
        <x:v>no</x:v>
      </x:c>
      <x:c r="F481" s="14" t="str"/>
      <x:c r="G481" s="14" t="n">
        <x:v>20</x:v>
      </x:c>
      <x:c r="H481" s="14" t="str">
        <x:v>3ff34419-ffbc-40f9-a087-a1cb1371d0e1</x:v>
      </x:c>
      <x:c r="I481" s="14" t="str">
        <x:v>Vicente &amp; Anor v Secretary of State for Communities and Local Government &amp; Anor [2014] EWCA Civ 1555</x:v>
      </x:c>
      <x:c r="J481" s="14" t="str">
        <x:v>England and Wales Court of Appeal (Civil Division)</x:v>
      </x:c>
      <x:c r="K481" s="14" t="n">
        <x:v>2014</x:v>
      </x:c>
      <x:c r="L481" s="15" t="n">
        <x:v>0.7290611</x:v>
      </x:c>
      <x:c r="M481" s="14" t="n">
        <x:v>2</x:v>
      </x:c>
      <x:c r="N481" s="14" t="str">
        <x:v>R(Gul) v. Secretary of State for Justice | Hopkins Developments v. Secretary of State</x:v>
      </x:c>
    </x:row>
    <x:row r="482">
      <x:c r="A482" s="1" t="str">
        <x:v>cmmxkd3iz000904l7nk7i2nvv</x:v>
      </x:c>
      <x:c r="B482" s="1" t="str">
        <x:v>cmmxhmaji000604l8iyhbwnn1</x:v>
      </x:c>
      <x:c r="C482" s="1" t="str">
        <x:v>greenfields--iow--limited-v-isle-of-wight-council---westridge-village-limited</x:v>
      </x:c>
      <x:c r="D482" s="12" t="n">
        <x:v>46100.60195192129</x:v>
      </x:c>
      <x:c r="E482" s="1" t="str">
        <x:v>no</x:v>
      </x:c>
      <x:c r="F482" s="14" t="str"/>
      <x:c r="G482" s="14" t="n">
        <x:v>1</x:v>
      </x:c>
      <x:c r="H482" s="14" t="str">
        <x:v>76e6ffcd-af03-4155-a667-51d98a79d1d7</x:v>
      </x:c>
      <x:c r="I482" s="14" t="str">
        <x:v>Arnold White Estates Ltd v The Forestry Commission [2022] EWCA Civ 1304</x:v>
      </x:c>
      <x:c r="J482" s="14" t="str">
        <x:v>England and Wales Court of Appeal (Civil Division)</x:v>
      </x:c>
      <x:c r="K482" s="14" t="n">
        <x:v>2022</x:v>
      </x:c>
      <x:c r="L482" s="15" t="n">
        <x:v>0.763498</x:v>
      </x:c>
      <x:c r="M482" s="14" t="n">
        <x:v>1</x:v>
      </x:c>
      <x:c r="N482" s="14" t="str">
        <x:v>R. (on the application of Thornton Hall Hotel Ltd.) v Wirral Metropolitan Borough Council (2019) EWCA Civ 737</x:v>
      </x:c>
    </x:row>
    <x:row r="483">
      <x:c r="A483" s="1" t="str">
        <x:v>cmmxkd3iz000904l7nk7i2nvv</x:v>
      </x:c>
      <x:c r="B483" s="1" t="str">
        <x:v>cmmxhmaji000604l8iyhbwnn1</x:v>
      </x:c>
      <x:c r="C483" s="1" t="str">
        <x:v>greenfields--iow--limited-v-isle-of-wight-council---westridge-village-limited</x:v>
      </x:c>
      <x:c r="D483" s="12" t="n">
        <x:v>46100.60195192129</x:v>
      </x:c>
      <x:c r="E483" s="1" t="str">
        <x:v>no</x:v>
      </x:c>
      <x:c r="F483" s="14" t="str"/>
      <x:c r="G483" s="14" t="n">
        <x:v>2</x:v>
      </x:c>
      <x:c r="H483" s="14" t="str">
        <x:v>7f44d9a8-2459-4f6a-84fc-e475bb8f169a</x:v>
      </x:c>
      <x:c r="I483" s="14" t="str">
        <x:v>Secretary of State for Levelling Up, Housing and Communities v Smith &amp; Anor [2023] EWCA Civ 514</x:v>
      </x:c>
      <x:c r="J483" s="14" t="str">
        <x:v>England and Wales Court of Appeal (Civil Division)</x:v>
      </x:c>
      <x:c r="K483" s="14" t="n">
        <x:v>2023</x:v>
      </x:c>
      <x:c r="L483" s="15" t="n">
        <x:v>0.76075697</x:v>
      </x:c>
      <x:c r="M483" s="14" t="n">
        <x:v>7</x:v>
      </x:c>
      <x:c r="N483" s="14" t="str">
        <x:v>[2022] EWHC 3209 (Admin) | Harris | Ms Williams (commentary) | Harris (planning fairness)</x:v>
      </x:c>
    </x:row>
    <x:row r="484">
      <x:c r="A484" s="1" t="str">
        <x:v>cmmxkd3iz000904l7nk7i2nvv</x:v>
      </x:c>
      <x:c r="B484" s="1" t="str">
        <x:v>cmmxhmaji000604l8iyhbwnn1</x:v>
      </x:c>
      <x:c r="C484" s="1" t="str">
        <x:v>greenfields--iow--limited-v-isle-of-wight-council---westridge-village-limited</x:v>
      </x:c>
      <x:c r="D484" s="12" t="n">
        <x:v>46100.60195192129</x:v>
      </x:c>
      <x:c r="E484" s="1" t="str">
        <x:v>no</x:v>
      </x:c>
      <x:c r="F484" s="14" t="str"/>
      <x:c r="G484" s="14" t="n">
        <x:v>3</x:v>
      </x:c>
      <x:c r="H484" s="14" t="str">
        <x:v>776a8070-aa6f-410e-b91e-2e1fcadadb9b</x:v>
      </x:c>
      <x:c r="I484" s="14" t="str">
        <x:v>Sheakh, R (On the Application Of) v London Borough of Lambeth Council [2022] EWCA Civ 457 (05 April 2022)</x:v>
      </x:c>
      <x:c r="J484" s="14" t="str">
        <x:v>England and Wales Court of Appeal (Civil Division)</x:v>
      </x:c>
      <x:c r="K484" s="14" t="n">
        <x:v>2022</x:v>
      </x:c>
      <x:c r="L484" s="15" t="n">
        <x:v>0.76036894</x:v>
      </x:c>
      <x:c r="M484" s="14" t="n">
        <x:v>1</x:v>
      </x:c>
      <x:c r="N484" s="14" t="str">
        <x:v>R. (Bailey) v Brent LBC [2011] EWCA Civ 1586</x:v>
      </x:c>
    </x:row>
    <x:row r="485">
      <x:c r="A485" s="1" t="str">
        <x:v>cmmxkd3iz000904l7nk7i2nvv</x:v>
      </x:c>
      <x:c r="B485" s="1" t="str">
        <x:v>cmmxhmaji000604l8iyhbwnn1</x:v>
      </x:c>
      <x:c r="C485" s="1" t="str">
        <x:v>greenfields--iow--limited-v-isle-of-wight-council---westridge-village-limited</x:v>
      </x:c>
      <x:c r="D485" s="12" t="n">
        <x:v>46100.60195192129</x:v>
      </x:c>
      <x:c r="E485" s="1" t="str">
        <x:v>no</x:v>
      </x:c>
      <x:c r="F485" s="14" t="str"/>
      <x:c r="G485" s="14" t="n">
        <x:v>4</x:v>
      </x:c>
      <x:c r="H485" s="14" t="str">
        <x:v>3fae9752-b3e5-4a98-a0e5-5ade79ee3e8d</x:v>
      </x:c>
      <x:c r="I485" s="14" t="str">
        <x:v>East Quayside 12 LLP v The Council of the City of Newcastle upon Tyne [2023] EWCA Civ 359</x:v>
      </x:c>
      <x:c r="J485" s="14" t="str">
        <x:v>England and Wales Court of Appeal (Civil Division)</x:v>
      </x:c>
      <x:c r="K485" s="14" t="n">
        <x:v>2023</x:v>
      </x:c>
      <x:c r="L485" s="15" t="n">
        <x:v>0.76027906</x:v>
      </x:c>
      <x:c r="M485" s="14" t="n">
        <x:v>1</x:v>
      </x:c>
      <x:c r="N485" s="14" t="str"/>
    </x:row>
    <x:row r="486">
      <x:c r="A486" s="1" t="str">
        <x:v>cmmxkd3iz000904l7nk7i2nvv</x:v>
      </x:c>
      <x:c r="B486" s="1" t="str">
        <x:v>cmmxhmaji000604l8iyhbwnn1</x:v>
      </x:c>
      <x:c r="C486" s="1" t="str">
        <x:v>greenfields--iow--limited-v-isle-of-wight-council---westridge-village-limited</x:v>
      </x:c>
      <x:c r="D486" s="12" t="n">
        <x:v>46100.60195192129</x:v>
      </x:c>
      <x:c r="E486" s="1" t="str">
        <x:v>no</x:v>
      </x:c>
      <x:c r="F486" s="14" t="str"/>
      <x:c r="G486" s="14" t="n">
        <x:v>5</x:v>
      </x:c>
      <x:c r="H486" s="14" t="str">
        <x:v>6cd7db33-7ee1-44c0-9219-b2cc7d57d88b</x:v>
      </x:c>
      <x:c r="I486" s="14" t="str">
        <x:v>Smith v Secretary of State for Levelling Up, Housing &amp; Communities &amp; Anor [2022] EWCA Civ 1391</x:v>
      </x:c>
      <x:c r="J486" s="14" t="str">
        <x:v>England and Wales Court of Appeal (Civil Division)</x:v>
      </x:c>
      <x:c r="K486" s="14" t="n">
        <x:v>2022</x:v>
      </x:c>
      <x:c r="L486" s="15" t="n">
        <x:v>0.7602614</x:v>
      </x:c>
      <x:c r="M486" s="14" t="n">
        <x:v>1</x:v>
      </x:c>
      <x:c r="N486" s="14" t="str">
        <x:v>[2021] EWHC 1650 (Admin)</x:v>
      </x:c>
    </x:row>
    <x:row r="487">
      <x:c r="A487" s="1" t="str">
        <x:v>cmmxkd3iz000904l7nk7i2nvv</x:v>
      </x:c>
      <x:c r="B487" s="1" t="str">
        <x:v>cmmxhmaji000604l8iyhbwnn1</x:v>
      </x:c>
      <x:c r="C487" s="1" t="str">
        <x:v>greenfields--iow--limited-v-isle-of-wight-council---westridge-village-limited</x:v>
      </x:c>
      <x:c r="D487" s="12" t="n">
        <x:v>46100.60195192129</x:v>
      </x:c>
      <x:c r="E487" s="1" t="str">
        <x:v>no</x:v>
      </x:c>
      <x:c r="F487" s="14" t="str"/>
      <x:c r="G487" s="14" t="n">
        <x:v>6</x:v>
      </x:c>
      <x:c r="H487" s="14" t="str">
        <x:v>235388cd-5994-4cf3-b7e7-c349382ef164</x:v>
      </x:c>
      <x:c r="I487" s="14" t="str">
        <x:v>Save Britain's Heritage, R (On the Application Of) v Davies (Rev1) [2023] EWCA Civ 723</x:v>
      </x:c>
      <x:c r="J487" s="14" t="str">
        <x:v>England and Wales Court of Appeal (Civil Division)</x:v>
      </x:c>
      <x:c r="K487" s="14" t="n">
        <x:v>2023</x:v>
      </x:c>
      <x:c r="L487" s="15" t="n">
        <x:v>0.75928956</x:v>
      </x:c>
      <x:c r="M487" s="14" t="n">
        <x:v>3</x:v>
      </x:c>
      <x:c r="N487" s="14" t="str">
        <x:v>2022 EWHC 2984 (Admin) | [2023] EWCA Civ 723 | Town and Country Planning Order 2015 (as amended)</x:v>
      </x:c>
    </x:row>
    <x:row r="488">
      <x:c r="A488" s="1" t="str">
        <x:v>cmmxkd3iz000904l7nk7i2nvv</x:v>
      </x:c>
      <x:c r="B488" s="1" t="str">
        <x:v>cmmxhmaji000604l8iyhbwnn1</x:v>
      </x:c>
      <x:c r="C488" s="1" t="str">
        <x:v>greenfields--iow--limited-v-isle-of-wight-council---westridge-village-limited</x:v>
      </x:c>
      <x:c r="D488" s="12" t="n">
        <x:v>46100.60195192129</x:v>
      </x:c>
      <x:c r="E488" s="1" t="str">
        <x:v>no</x:v>
      </x:c>
      <x:c r="F488" s="14" t="str"/>
      <x:c r="G488" s="14" t="n">
        <x:v>7</x:v>
      </x:c>
      <x:c r="H488" s="14" t="str">
        <x:v>a1b35831-8ed8-43ad-bc7e-488100344627</x:v>
      </x:c>
      <x:c r="I488" s="14" t="str">
        <x:v>Corbett v Cornwall Council [2022] EWCA Civ 1069</x:v>
      </x:c>
      <x:c r="J488" s="14" t="str">
        <x:v>England and Wales Court of Appeal (Civil Division)</x:v>
      </x:c>
      <x:c r="K488" s="14" t="n">
        <x:v>2022</x:v>
      </x:c>
      <x:c r="L488" s="15" t="n">
        <x:v>0.75525206</x:v>
      </x:c>
      <x:c r="M488" s="14" t="n">
        <x:v>1</x:v>
      </x:c>
      <x:c r="N488" s="14" t="str"/>
    </x:row>
    <x:row r="489">
      <x:c r="A489" s="1" t="str">
        <x:v>cmmxkd3iz000904l7nk7i2nvv</x:v>
      </x:c>
      <x:c r="B489" s="1" t="str">
        <x:v>cmmxhmaji000604l8iyhbwnn1</x:v>
      </x:c>
      <x:c r="C489" s="1" t="str">
        <x:v>greenfields--iow--limited-v-isle-of-wight-council---westridge-village-limited</x:v>
      </x:c>
      <x:c r="D489" s="12" t="n">
        <x:v>46100.60195192129</x:v>
      </x:c>
      <x:c r="E489" s="1" t="str">
        <x:v>no</x:v>
      </x:c>
      <x:c r="F489" s="14" t="str"/>
      <x:c r="G489" s="14" t="n">
        <x:v>8</x:v>
      </x:c>
      <x:c r="H489" s="14" t="str">
        <x:v>aa66d157-e659-4b1f-9c8a-39b98d92a107</x:v>
      </x:c>
      <x:c r="I489" s="14" t="str">
        <x:v>CAB Housing Limited v Secretary of State for Levelling Up, Housing and Communities &amp; Anor [2023] EWCA Civ 194</x:v>
      </x:c>
      <x:c r="J489" s="14" t="str">
        <x:v>England and Wales Court of Appeal (Civil Division)</x:v>
      </x:c>
      <x:c r="K489" s="14" t="n">
        <x:v>2023</x:v>
      </x:c>
      <x:c r="L489" s="15" t="n">
        <x:v>0.75349677</x:v>
      </x:c>
      <x:c r="M489" s="14" t="n">
        <x:v>1</x:v>
      </x:c>
      <x:c r="N489" s="14" t="str">
        <x:v>[2022] EWHC 208 Admin</x:v>
      </x:c>
    </x:row>
    <x:row r="490">
      <x:c r="A490" s="1" t="str">
        <x:v>cmmxkd3iz000904l7nk7i2nvv</x:v>
      </x:c>
      <x:c r="B490" s="1" t="str">
        <x:v>cmmxhmaji000604l8iyhbwnn1</x:v>
      </x:c>
      <x:c r="C490" s="1" t="str">
        <x:v>greenfields--iow--limited-v-isle-of-wight-council---westridge-village-limited</x:v>
      </x:c>
      <x:c r="D490" s="12" t="n">
        <x:v>46100.60195192129</x:v>
      </x:c>
      <x:c r="E490" s="1" t="str">
        <x:v>no</x:v>
      </x:c>
      <x:c r="F490" s="14" t="str"/>
      <x:c r="G490" s="14" t="n">
        <x:v>9</x:v>
      </x:c>
      <x:c r="H490" s="14" t="str">
        <x:v>0642e885-86b3-4c0b-84a2-2005424f4309</x:v>
      </x:c>
      <x:c r="I490" s="14" t="str">
        <x:v>Sahota, R (On the Application Of) v Herefordshire Council [2022] EWCA Civ 1640</x:v>
      </x:c>
      <x:c r="J490" s="14" t="str">
        <x:v>England and Wales Court of Appeal (Civil Division)</x:v>
      </x:c>
      <x:c r="K490" s="14" t="n">
        <x:v>2022</x:v>
      </x:c>
      <x:c r="L490" s="15" t="n">
        <x:v>0.7526818</x:v>
      </x:c>
      <x:c r="M490" s="14" t="n">
        <x:v>2</x:v>
      </x:c>
      <x:c r="N490" s="14" t="str">
        <x:v>Stuart-Smith LJ | Court of Appeal procedures | Regulation 63 Habitats Regulations 2017</x:v>
      </x:c>
    </x:row>
    <x:row r="491">
      <x:c r="A491" s="1" t="str">
        <x:v>cmmxkd3iz000904l7nk7i2nvv</x:v>
      </x:c>
      <x:c r="B491" s="1" t="str">
        <x:v>cmmxhmaji000604l8iyhbwnn1</x:v>
      </x:c>
      <x:c r="C491" s="1" t="str">
        <x:v>greenfields--iow--limited-v-isle-of-wight-council---westridge-village-limited</x:v>
      </x:c>
      <x:c r="D491" s="12" t="n">
        <x:v>46100.60195192129</x:v>
      </x:c>
      <x:c r="E491" s="1" t="str">
        <x:v>no</x:v>
      </x:c>
      <x:c r="F491" s="14" t="str"/>
      <x:c r="G491" s="14" t="n">
        <x:v>10</x:v>
      </x:c>
      <x:c r="H491" s="14" t="str">
        <x:v>90743ee0-c75d-4140-93eb-89a3938f7523</x:v>
      </x:c>
      <x:c r="I491" s="14" t="str">
        <x:v>Devine v Secretary of State for Levelling Up, Housing and Communities [2023] EWCA Civ 601</x:v>
      </x:c>
      <x:c r="J491" s="14" t="str">
        <x:v>England and Wales Court of Appeal (Civil Division)</x:v>
      </x:c>
      <x:c r="K491" s="14" t="n">
        <x:v>2023</x:v>
      </x:c>
      <x:c r="L491" s="15" t="n">
        <x:v>0.75244457</x:v>
      </x:c>
      <x:c r="M491" s="14" t="n">
        <x:v>1</x:v>
      </x:c>
      <x:c r="N491" s="14" t="str">
        <x:v>[2022] EWHC 2031 (Admin)</x:v>
      </x:c>
    </x:row>
    <x:row r="492">
      <x:c r="A492" s="1" t="str">
        <x:v>cmmxkd3iz000904l7nk7i2nvv</x:v>
      </x:c>
      <x:c r="B492" s="1" t="str">
        <x:v>cmmxhmaji000604l8iyhbwnn1</x:v>
      </x:c>
      <x:c r="C492" s="1" t="str">
        <x:v>greenfields--iow--limited-v-isle-of-wight-council---westridge-village-limited</x:v>
      </x:c>
      <x:c r="D492" s="12" t="n">
        <x:v>46100.60195192129</x:v>
      </x:c>
      <x:c r="E492" s="1" t="str">
        <x:v>no</x:v>
      </x:c>
      <x:c r="F492" s="14" t="str"/>
      <x:c r="G492" s="14" t="n">
        <x:v>11</x:v>
      </x:c>
      <x:c r="H492" s="14" t="str">
        <x:v>3bdf2d7a-d886-4bb3-ba30-9c4b472a4f7c</x:v>
      </x:c>
      <x:c r="I492" s="14" t="str">
        <x:v>Gardiner v Hertsmere Borough Council &amp; Anor [2022] EWCA Civ 1162</x:v>
      </x:c>
      <x:c r="J492" s="14" t="str">
        <x:v>England and Wales Court of Appeal (Civil Division)</x:v>
      </x:c>
      <x:c r="K492" s="14" t="n">
        <x:v>2022</x:v>
      </x:c>
      <x:c r="L492" s="15" t="n">
        <x:v>0.7520721</x:v>
      </x:c>
      <x:c r="M492" s="14" t="n">
        <x:v>1</x:v>
      </x:c>
      <x:c r="N492" s="14" t="str">
        <x:v>Gardiner v Hertsmere Borough Council &amp; Anor [2022] EWCA Civ 1162</x:v>
      </x:c>
    </x:row>
    <x:row r="493">
      <x:c r="A493" s="1" t="str">
        <x:v>cmmxkd3iz000904l7nk7i2nvv</x:v>
      </x:c>
      <x:c r="B493" s="1" t="str">
        <x:v>cmmxhmaji000604l8iyhbwnn1</x:v>
      </x:c>
      <x:c r="C493" s="1" t="str">
        <x:v>greenfields--iow--limited-v-isle-of-wight-council---westridge-village-limited</x:v>
      </x:c>
      <x:c r="D493" s="12" t="n">
        <x:v>46100.60195192129</x:v>
      </x:c>
      <x:c r="E493" s="1" t="str">
        <x:v>no</x:v>
      </x:c>
      <x:c r="F493" s="14" t="str"/>
      <x:c r="G493" s="14" t="n">
        <x:v>12</x:v>
      </x:c>
      <x:c r="H493" s="14" t="str">
        <x:v>1f4a0cfb-5359-49da-93e8-89cbb817ebca</x:v>
      </x:c>
      <x:c r="I493" s="14" t="str">
        <x:v>Whitley Parish Council, R (On the Application Of) v North Yorkshire County Council &amp; Anor [2023] EWCA Civ 92</x:v>
      </x:c>
      <x:c r="J493" s="14" t="str">
        <x:v>England and Wales Court of Appeal (Civil Division)</x:v>
      </x:c>
      <x:c r="K493" s="14" t="n">
        <x:v>2023</x:v>
      </x:c>
      <x:c r="L493" s="15" t="n">
        <x:v>0.74934226</x:v>
      </x:c>
      <x:c r="M493" s="14" t="n">
        <x:v>1</x:v>
      </x:c>
      <x:c r="N493" s="14" t="str"/>
    </x:row>
    <x:row r="494">
      <x:c r="A494" s="1" t="str">
        <x:v>cmmxkd3iz000904l7nk7i2nvv</x:v>
      </x:c>
      <x:c r="B494" s="1" t="str">
        <x:v>cmmxhmaji000604l8iyhbwnn1</x:v>
      </x:c>
      <x:c r="C494" s="1" t="str">
        <x:v>greenfields--iow--limited-v-isle-of-wight-council---westridge-village-limited</x:v>
      </x:c>
      <x:c r="D494" s="12" t="n">
        <x:v>46100.60195192129</x:v>
      </x:c>
      <x:c r="E494" s="1" t="str">
        <x:v>no</x:v>
      </x:c>
      <x:c r="F494" s="14" t="str"/>
      <x:c r="G494" s="14" t="n">
        <x:v>13</x:v>
      </x:c>
      <x:c r="H494" s="14" t="str">
        <x:v>c370bf30-4fed-4187-beea-6476e69f964f</x:v>
      </x:c>
      <x:c r="I494" s="14" t="str">
        <x:v>Braithwaite and Melton Meadows Properties Ltd, R (On the Application Of) v East Suffolk Council [2022] EWCA Civ 1716</x:v>
      </x:c>
      <x:c r="J494" s="14" t="str">
        <x:v>England and Wales Court of Appeal (Civil Division)</x:v>
      </x:c>
      <x:c r="K494" s="14" t="n">
        <x:v>2022</x:v>
      </x:c>
      <x:c r="L494" s="15" t="n">
        <x:v>0.7492058</x:v>
      </x:c>
      <x:c r="M494" s="14" t="n">
        <x:v>1</x:v>
      </x:c>
      <x:c r="N494" s="14" t="str"/>
    </x:row>
    <x:row r="495">
      <x:c r="A495" s="1" t="str">
        <x:v>cmmxkd3iz000904l7nk7i2nvv</x:v>
      </x:c>
      <x:c r="B495" s="1" t="str">
        <x:v>cmmxhmaji000604l8iyhbwnn1</x:v>
      </x:c>
      <x:c r="C495" s="1" t="str">
        <x:v>greenfields--iow--limited-v-isle-of-wight-council---westridge-village-limited</x:v>
      </x:c>
      <x:c r="D495" s="12" t="n">
        <x:v>46100.60195192129</x:v>
      </x:c>
      <x:c r="E495" s="1" t="str">
        <x:v>no</x:v>
      </x:c>
      <x:c r="F495" s="14" t="str"/>
      <x:c r="G495" s="14" t="n">
        <x:v>14</x:v>
      </x:c>
      <x:c r="H495" s="14" t="str">
        <x:v>4c3b8da7-6c82-4056-ab98-dea339f7af1d</x:v>
      </x:c>
      <x:c r="I495" s="14" t="str">
        <x:v>Ashchurch Rural Parish Council, R (On the Application Of) v Tewkesbury Borough Council [2023] EWCA Civ 101</x:v>
      </x:c>
      <x:c r="J495" s="14" t="str">
        <x:v>England and Wales Court of Appeal (Civil Division)</x:v>
      </x:c>
      <x:c r="K495" s="14" t="n">
        <x:v>2023</x:v>
      </x:c>
      <x:c r="L495" s="15" t="n">
        <x:v>0.748224</x:v>
      </x:c>
      <x:c r="M495" s="14" t="n">
        <x:v>2</x:v>
      </x:c>
      <x:c r="N495" s="14" t="str">
        <x:v>R (Samuel Smith Old Brewery) v North Yorkshire CC [2020] UKSC 3</x:v>
      </x:c>
    </x:row>
    <x:row r="496">
      <x:c r="A496" s="1" t="str">
        <x:v>cmmxkd3iz000904l7nk7i2nvv</x:v>
      </x:c>
      <x:c r="B496" s="1" t="str">
        <x:v>cmmxhmaji000604l8iyhbwnn1</x:v>
      </x:c>
      <x:c r="C496" s="1" t="str">
        <x:v>greenfields--iow--limited-v-isle-of-wight-council---westridge-village-limited</x:v>
      </x:c>
      <x:c r="D496" s="12" t="n">
        <x:v>46100.60195192129</x:v>
      </x:c>
      <x:c r="E496" s="1" t="str">
        <x:v>no</x:v>
      </x:c>
      <x:c r="F496" s="14" t="str"/>
      <x:c r="G496" s="14" t="n">
        <x:v>15</x:v>
      </x:c>
      <x:c r="H496" s="14" t="str">
        <x:v>1fa1d79c-da17-4ba8-837f-04da48af3a19</x:v>
      </x:c>
      <x:c r="I496" s="14" t="str">
        <x:v>JZ v Secretary of State for the Home Department &amp; Ors [2023] EWCA Civ 178</x:v>
      </x:c>
      <x:c r="J496" s="14" t="str">
        <x:v>England and Wales Court of Appeal (Civil Division)</x:v>
      </x:c>
      <x:c r="K496" s="14" t="n">
        <x:v>2023</x:v>
      </x:c>
      <x:c r="L496" s="15" t="n">
        <x:v>0.74773836</x:v>
      </x:c>
      <x:c r="M496" s="14" t="n">
        <x:v>1</x:v>
      </x:c>
      <x:c r="N496" s="14" t="str">
        <x:v>[2022] EWHC 2156 (Admin) | [2023] EWCA Civ 178</x:v>
      </x:c>
    </x:row>
    <x:row r="497">
      <x:c r="A497" s="1" t="str">
        <x:v>cmmxkd3iz000904l7nk7i2nvv</x:v>
      </x:c>
      <x:c r="B497" s="1" t="str">
        <x:v>cmmxhmaji000604l8iyhbwnn1</x:v>
      </x:c>
      <x:c r="C497" s="1" t="str">
        <x:v>greenfields--iow--limited-v-isle-of-wight-council---westridge-village-limited</x:v>
      </x:c>
      <x:c r="D497" s="12" t="n">
        <x:v>46100.60195192129</x:v>
      </x:c>
      <x:c r="E497" s="1" t="str">
        <x:v>no</x:v>
      </x:c>
      <x:c r="F497" s="14" t="str"/>
      <x:c r="G497" s="14" t="n">
        <x:v>16</x:v>
      </x:c>
      <x:c r="H497" s="14" t="str">
        <x:v>9034c8de-ac8c-45a1-9a63-569c390554ca</x:v>
      </x:c>
      <x:c r="I497" s="14" t="str">
        <x:v>Thurston Parish Council, R (On the Application Of) v Mid Suffolk District Council &amp; Anor [2022] EWCA Civ 1417</x:v>
      </x:c>
      <x:c r="J497" s="14" t="str">
        <x:v>England and Wales Court of Appeal (Civil Division)</x:v>
      </x:c>
      <x:c r="K497" s="14" t="n">
        <x:v>2022</x:v>
      </x:c>
      <x:c r="L497" s="15" t="n">
        <x:v>0.747265</x:v>
      </x:c>
      <x:c r="M497" s="14" t="n">
        <x:v>1</x:v>
      </x:c>
      <x:c r="N497" s="14" t="str">
        <x:v>EWHC 352 Admin | EWCA Civ 1417</x:v>
      </x:c>
    </x:row>
    <x:row r="498">
      <x:c r="A498" s="1" t="str">
        <x:v>cmmxkd3iz000904l7nk7i2nvv</x:v>
      </x:c>
      <x:c r="B498" s="1" t="str">
        <x:v>cmmxhmaji000604l8iyhbwnn1</x:v>
      </x:c>
      <x:c r="C498" s="1" t="str">
        <x:v>greenfields--iow--limited-v-isle-of-wight-council---westridge-village-limited</x:v>
      </x:c>
      <x:c r="D498" s="12" t="n">
        <x:v>46100.60195192129</x:v>
      </x:c>
      <x:c r="E498" s="1" t="str">
        <x:v>no</x:v>
      </x:c>
      <x:c r="F498" s="14" t="str"/>
      <x:c r="G498" s="14" t="n">
        <x:v>17</x:v>
      </x:c>
      <x:c r="H498" s="14" t="str">
        <x:v>1d957476-2c0d-4578-8a43-679ec600e382</x:v>
      </x:c>
      <x:c r="I498" s="14" t="str">
        <x:v>Wyatt v Fareham Borough Council (Rev1) [2022] EWCA Civ 983</x:v>
      </x:c>
      <x:c r="J498" s="14" t="str">
        <x:v>England and Wales Court of Appeal (Civil Division)</x:v>
      </x:c>
      <x:c r="K498" s="14" t="n">
        <x:v>2022</x:v>
      </x:c>
      <x:c r="L498" s="15" t="n">
        <x:v>0.74709284</x:v>
      </x:c>
      <x:c r="M498" s="14" t="n">
        <x:v>1</x:v>
      </x:c>
      <x:c r="N498" s="14" t="str"/>
    </x:row>
    <x:row r="499">
      <x:c r="A499" s="1" t="str">
        <x:v>cmmxkd3iz000904l7nk7i2nvv</x:v>
      </x:c>
      <x:c r="B499" s="1" t="str">
        <x:v>cmmxhmaji000604l8iyhbwnn1</x:v>
      </x:c>
      <x:c r="C499" s="1" t="str">
        <x:v>greenfields--iow--limited-v-isle-of-wight-council---westridge-village-limited</x:v>
      </x:c>
      <x:c r="D499" s="12" t="n">
        <x:v>46100.60195192129</x:v>
      </x:c>
      <x:c r="E499" s="1" t="str">
        <x:v>no</x:v>
      </x:c>
      <x:c r="F499" s="14" t="str"/>
      <x:c r="G499" s="14" t="n">
        <x:v>18</x:v>
      </x:c>
      <x:c r="H499" s="14" t="str">
        <x:v>d8078437-185a-46df-8b83-bd5240184911</x:v>
      </x:c>
      <x:c r="I499" s="14" t="str">
        <x:v>MH (Eritrea) v Secretary of State for the Home Department (Rev1), [2022] EWCA Civ 1296</x:v>
      </x:c>
      <x:c r="J499" s="14" t="str">
        <x:v>England and Wales Court of Appeal (Civil Division)</x:v>
      </x:c>
      <x:c r="K499" s="14" t="n">
        <x:v>2022</x:v>
      </x:c>
      <x:c r="L499" s="15" t="n">
        <x:v>0.7443739</x:v>
      </x:c>
      <x:c r="M499" s="14" t="n">
        <x:v>1</x:v>
      </x:c>
      <x:c r="N499" s="14" t="str"/>
    </x:row>
    <x:row r="500">
      <x:c r="A500" s="1" t="str">
        <x:v>cmmxkd3iz000904l7nk7i2nvv</x:v>
      </x:c>
      <x:c r="B500" s="1" t="str">
        <x:v>cmmxhmaji000604l8iyhbwnn1</x:v>
      </x:c>
      <x:c r="C500" s="1" t="str">
        <x:v>greenfields--iow--limited-v-isle-of-wight-council---westridge-village-limited</x:v>
      </x:c>
      <x:c r="D500" s="12" t="n">
        <x:v>46100.60195192129</x:v>
      </x:c>
      <x:c r="E500" s="1" t="str">
        <x:v>no</x:v>
      </x:c>
      <x:c r="F500" s="14" t="str"/>
      <x:c r="G500" s="14" t="n">
        <x:v>19</x:v>
      </x:c>
      <x:c r="H500" s="14" t="str">
        <x:v>671c3057-8376-4da1-82b8-7a83b79c33d1</x:v>
      </x:c>
      <x:c r="I500" s="14" t="str">
        <x:v>Kinnersley, R (On the Application Of) v Maidstone Borough Council [2023] EWCA Civ 172</x:v>
      </x:c>
      <x:c r="J500" s="14" t="str">
        <x:v>England and Wales Court of Appeal (Civil Division)</x:v>
      </x:c>
      <x:c r="K500" s="14" t="n">
        <x:v>2023</x:v>
      </x:c>
      <x:c r="L500" s="15" t="n">
        <x:v>0.7342967</x:v>
      </x:c>
      <x:c r="M500" s="14" t="n">
        <x:v>1</x:v>
      </x:c>
      <x:c r="N500" s="14" t="str"/>
    </x:row>
    <x:row r="501">
      <x:c r="A501" s="1" t="str">
        <x:v>cmmxkd3iz000904l7nk7i2nvv</x:v>
      </x:c>
      <x:c r="B501" s="1" t="str">
        <x:v>cmmxhmaji000604l8iyhbwnn1</x:v>
      </x:c>
      <x:c r="C501" s="1" t="str">
        <x:v>greenfields--iow--limited-v-isle-of-wight-council---westridge-village-limited</x:v>
      </x:c>
      <x:c r="D501" s="12" t="n">
        <x:v>46100.60195192129</x:v>
      </x:c>
      <x:c r="E501" s="1" t="str">
        <x:v>no</x:v>
      </x:c>
      <x:c r="F501" s="14" t="str"/>
      <x:c r="G501" s="14" t="n">
        <x:v>20</x:v>
      </x:c>
      <x:c r="H501" s="14" t="str">
        <x:v>3ff34419-ffbc-40f9-a087-a1cb1371d0e1</x:v>
      </x:c>
      <x:c r="I501" s="14" t="str">
        <x:v>Vicente &amp; Anor v Secretary of State for Communities and Local Government &amp; Anor [2014] EWCA Civ 1555</x:v>
      </x:c>
      <x:c r="J501" s="14" t="str">
        <x:v>England and Wales Court of Appeal (Civil Division)</x:v>
      </x:c>
      <x:c r="K501" s="14" t="n">
        <x:v>2014</x:v>
      </x:c>
      <x:c r="L501" s="15" t="n">
        <x:v>0.7291262</x:v>
      </x:c>
      <x:c r="M501" s="14" t="n">
        <x:v>3</x:v>
      </x:c>
      <x:c r="N501" s="14" t="str">
        <x:v>R(Gul) v. Secretary of State for Justice | Hopkins Developments v. Secretary of State</x:v>
      </x:c>
    </x:row>
    <x:row r="502">
      <x:c r="A502" s="1" t="str">
        <x:v>cmmxke1p1000f04l7zevv9jfz</x:v>
      </x:c>
      <x:c r="B502" s="1" t="str">
        <x:v>cmmxhmaji000604l8iyhbwnn1</x:v>
      </x:c>
      <x:c r="C502" s="1" t="str">
        <x:v>greenfields--iow--limited-v-isle-of-wight-council---westridge-village-limited</x:v>
      </x:c>
      <x:c r="D502" s="12" t="n">
        <x:v>46100.60246445602</x:v>
      </x:c>
      <x:c r="E502" s="1" t="str">
        <x:v>no</x:v>
      </x:c>
      <x:c r="F502" s="14" t="str"/>
      <x:c r="G502" s="14" t="n">
        <x:v>1</x:v>
      </x:c>
      <x:c r="H502" s="14" t="str">
        <x:v>76e6ffcd-af03-4155-a667-51d98a79d1d7</x:v>
      </x:c>
      <x:c r="I502" s="14" t="str">
        <x:v>Arnold White Estates Ltd v The Forestry Commission [2022] EWCA Civ 1304</x:v>
      </x:c>
      <x:c r="J502" s="14" t="str">
        <x:v>England and Wales Court of Appeal (Civil Division)</x:v>
      </x:c>
      <x:c r="K502" s="14" t="n">
        <x:v>2022</x:v>
      </x:c>
      <x:c r="L502" s="15" t="n">
        <x:v>0.7636622</x:v>
      </x:c>
      <x:c r="M502" s="14" t="n">
        <x:v>1</x:v>
      </x:c>
      <x:c r="N502" s="14" t="str">
        <x:v>R. (on the application of Thornton Hall Hotel Ltd.) v Wirral Metropolitan Borough Council (2019) EWCA Civ 737</x:v>
      </x:c>
    </x:row>
    <x:row r="503">
      <x:c r="A503" s="1" t="str">
        <x:v>cmmxke1p1000f04l7zevv9jfz</x:v>
      </x:c>
      <x:c r="B503" s="1" t="str">
        <x:v>cmmxhmaji000604l8iyhbwnn1</x:v>
      </x:c>
      <x:c r="C503" s="1" t="str">
        <x:v>greenfields--iow--limited-v-isle-of-wight-council---westridge-village-limited</x:v>
      </x:c>
      <x:c r="D503" s="12" t="n">
        <x:v>46100.60246445602</x:v>
      </x:c>
      <x:c r="E503" s="1" t="str">
        <x:v>no</x:v>
      </x:c>
      <x:c r="F503" s="14" t="str"/>
      <x:c r="G503" s="14" t="n">
        <x:v>2</x:v>
      </x:c>
      <x:c r="H503" s="14" t="str">
        <x:v>7f44d9a8-2459-4f6a-84fc-e475bb8f169a</x:v>
      </x:c>
      <x:c r="I503" s="14" t="str">
        <x:v>Secretary of State for Levelling Up, Housing and Communities v Smith &amp; Anor [2023] EWCA Civ 514</x:v>
      </x:c>
      <x:c r="J503" s="14" t="str">
        <x:v>England and Wales Court of Appeal (Civil Division)</x:v>
      </x:c>
      <x:c r="K503" s="14" t="n">
        <x:v>2023</x:v>
      </x:c>
      <x:c r="L503" s="15" t="n">
        <x:v>0.761008</x:v>
      </x:c>
      <x:c r="M503" s="14" t="n">
        <x:v>7</x:v>
      </x:c>
      <x:c r="N503" s="14" t="str">
        <x:v>[2022] EWHC 3209 (Admin) | Harris | Ms Williams (commentary) | Harris (planning fairness)</x:v>
      </x:c>
    </x:row>
    <x:row r="504">
      <x:c r="A504" s="1" t="str">
        <x:v>cmmxke1p1000f04l7zevv9jfz</x:v>
      </x:c>
      <x:c r="B504" s="1" t="str">
        <x:v>cmmxhmaji000604l8iyhbwnn1</x:v>
      </x:c>
      <x:c r="C504" s="1" t="str">
        <x:v>greenfields--iow--limited-v-isle-of-wight-council---westridge-village-limited</x:v>
      </x:c>
      <x:c r="D504" s="12" t="n">
        <x:v>46100.60246445602</x:v>
      </x:c>
      <x:c r="E504" s="1" t="str">
        <x:v>no</x:v>
      </x:c>
      <x:c r="F504" s="14" t="str"/>
      <x:c r="G504" s="14" t="n">
        <x:v>3</x:v>
      </x:c>
      <x:c r="H504" s="14" t="str">
        <x:v>776a8070-aa6f-410e-b91e-2e1fcadadb9b</x:v>
      </x:c>
      <x:c r="I504" s="14" t="str">
        <x:v>Sheakh, R (On the Application Of) v London Borough of Lambeth Council [2022] EWCA Civ 457 (05 April 2022)</x:v>
      </x:c>
      <x:c r="J504" s="14" t="str">
        <x:v>England and Wales Court of Appeal (Civil Division)</x:v>
      </x:c>
      <x:c r="K504" s="14" t="n">
        <x:v>2022</x:v>
      </x:c>
      <x:c r="L504" s="15" t="n">
        <x:v>0.76048994</x:v>
      </x:c>
      <x:c r="M504" s="14" t="n">
        <x:v>1</x:v>
      </x:c>
      <x:c r="N504" s="14" t="str">
        <x:v>R. (Bailey) v Brent LBC [2011] EWCA Civ 1586</x:v>
      </x:c>
    </x:row>
    <x:row r="505">
      <x:c r="A505" s="1" t="str">
        <x:v>cmmxke1p1000f04l7zevv9jfz</x:v>
      </x:c>
      <x:c r="B505" s="1" t="str">
        <x:v>cmmxhmaji000604l8iyhbwnn1</x:v>
      </x:c>
      <x:c r="C505" s="1" t="str">
        <x:v>greenfields--iow--limited-v-isle-of-wight-council---westridge-village-limited</x:v>
      </x:c>
      <x:c r="D505" s="12" t="n">
        <x:v>46100.60246445602</x:v>
      </x:c>
      <x:c r="E505" s="1" t="str">
        <x:v>no</x:v>
      </x:c>
      <x:c r="F505" s="14" t="str"/>
      <x:c r="G505" s="14" t="n">
        <x:v>4</x:v>
      </x:c>
      <x:c r="H505" s="14" t="str">
        <x:v>3fae9752-b3e5-4a98-a0e5-5ade79ee3e8d</x:v>
      </x:c>
      <x:c r="I505" s="14" t="str">
        <x:v>East Quayside 12 LLP v The Council of the City of Newcastle upon Tyne [2023] EWCA Civ 359</x:v>
      </x:c>
      <x:c r="J505" s="14" t="str">
        <x:v>England and Wales Court of Appeal (Civil Division)</x:v>
      </x:c>
      <x:c r="K505" s="14" t="n">
        <x:v>2023</x:v>
      </x:c>
      <x:c r="L505" s="15" t="n">
        <x:v>0.7604697</x:v>
      </x:c>
      <x:c r="M505" s="14" t="n">
        <x:v>1</x:v>
      </x:c>
      <x:c r="N505" s="14" t="str"/>
    </x:row>
    <x:row r="506">
      <x:c r="A506" s="1" t="str">
        <x:v>cmmxke1p1000f04l7zevv9jfz</x:v>
      </x:c>
      <x:c r="B506" s="1" t="str">
        <x:v>cmmxhmaji000604l8iyhbwnn1</x:v>
      </x:c>
      <x:c r="C506" s="1" t="str">
        <x:v>greenfields--iow--limited-v-isle-of-wight-council---westridge-village-limited</x:v>
      </x:c>
      <x:c r="D506" s="12" t="n">
        <x:v>46100.60246445602</x:v>
      </x:c>
      <x:c r="E506" s="1" t="str">
        <x:v>no</x:v>
      </x:c>
      <x:c r="F506" s="14" t="str"/>
      <x:c r="G506" s="14" t="n">
        <x:v>5</x:v>
      </x:c>
      <x:c r="H506" s="14" t="str">
        <x:v>6cd7db33-7ee1-44c0-9219-b2cc7d57d88b</x:v>
      </x:c>
      <x:c r="I506" s="14" t="str">
        <x:v>Smith v Secretary of State for Levelling Up, Housing &amp; Communities &amp; Anor [2022] EWCA Civ 1391</x:v>
      </x:c>
      <x:c r="J506" s="14" t="str">
        <x:v>England and Wales Court of Appeal (Civil Division)</x:v>
      </x:c>
      <x:c r="K506" s="14" t="n">
        <x:v>2022</x:v>
      </x:c>
      <x:c r="L506" s="15" t="n">
        <x:v>0.76037574</x:v>
      </x:c>
      <x:c r="M506" s="14" t="n">
        <x:v>1</x:v>
      </x:c>
      <x:c r="N506" s="14" t="str">
        <x:v>[2021] EWHC 1650 (Admin)</x:v>
      </x:c>
    </x:row>
    <x:row r="507">
      <x:c r="A507" s="1" t="str">
        <x:v>cmmxke1p1000f04l7zevv9jfz</x:v>
      </x:c>
      <x:c r="B507" s="1" t="str">
        <x:v>cmmxhmaji000604l8iyhbwnn1</x:v>
      </x:c>
      <x:c r="C507" s="1" t="str">
        <x:v>greenfields--iow--limited-v-isle-of-wight-council---westridge-village-limited</x:v>
      </x:c>
      <x:c r="D507" s="12" t="n">
        <x:v>46100.60246445602</x:v>
      </x:c>
      <x:c r="E507" s="1" t="str">
        <x:v>no</x:v>
      </x:c>
      <x:c r="F507" s="14" t="str"/>
      <x:c r="G507" s="14" t="n">
        <x:v>6</x:v>
      </x:c>
      <x:c r="H507" s="14" t="str">
        <x:v>235388cd-5994-4cf3-b7e7-c349382ef164</x:v>
      </x:c>
      <x:c r="I507" s="14" t="str">
        <x:v>Save Britain's Heritage, R (On the Application Of) v Davies (Rev1) [2023] EWCA Civ 723</x:v>
      </x:c>
      <x:c r="J507" s="14" t="str">
        <x:v>England and Wales Court of Appeal (Civil Division)</x:v>
      </x:c>
      <x:c r="K507" s="14" t="n">
        <x:v>2023</x:v>
      </x:c>
      <x:c r="L507" s="15" t="n">
        <x:v>0.7595707</x:v>
      </x:c>
      <x:c r="M507" s="14" t="n">
        <x:v>3</x:v>
      </x:c>
      <x:c r="N507" s="14" t="str">
        <x:v>2022 EWHC 2984 (Admin) | [2023] EWCA Civ 723 | Town and Country Planning Order 2015 (as amended)</x:v>
      </x:c>
    </x:row>
    <x:row r="508">
      <x:c r="A508" s="1" t="str">
        <x:v>cmmxke1p1000f04l7zevv9jfz</x:v>
      </x:c>
      <x:c r="B508" s="1" t="str">
        <x:v>cmmxhmaji000604l8iyhbwnn1</x:v>
      </x:c>
      <x:c r="C508" s="1" t="str">
        <x:v>greenfields--iow--limited-v-isle-of-wight-council---westridge-village-limited</x:v>
      </x:c>
      <x:c r="D508" s="12" t="n">
        <x:v>46100.60246445602</x:v>
      </x:c>
      <x:c r="E508" s="1" t="str">
        <x:v>no</x:v>
      </x:c>
      <x:c r="F508" s="14" t="str"/>
      <x:c r="G508" s="14" t="n">
        <x:v>7</x:v>
      </x:c>
      <x:c r="H508" s="14" t="str">
        <x:v>a1b35831-8ed8-43ad-bc7e-488100344627</x:v>
      </x:c>
      <x:c r="I508" s="14" t="str">
        <x:v>Corbett v Cornwall Council [2022] EWCA Civ 1069</x:v>
      </x:c>
      <x:c r="J508" s="14" t="str">
        <x:v>England and Wales Court of Appeal (Civil Division)</x:v>
      </x:c>
      <x:c r="K508" s="14" t="n">
        <x:v>2022</x:v>
      </x:c>
      <x:c r="L508" s="15" t="n">
        <x:v>0.75545466</x:v>
      </x:c>
      <x:c r="M508" s="14" t="n">
        <x:v>1</x:v>
      </x:c>
      <x:c r="N508" s="14" t="str"/>
    </x:row>
    <x:row r="509">
      <x:c r="A509" s="1" t="str">
        <x:v>cmmxke1p1000f04l7zevv9jfz</x:v>
      </x:c>
      <x:c r="B509" s="1" t="str">
        <x:v>cmmxhmaji000604l8iyhbwnn1</x:v>
      </x:c>
      <x:c r="C509" s="1" t="str">
        <x:v>greenfields--iow--limited-v-isle-of-wight-council---westridge-village-limited</x:v>
      </x:c>
      <x:c r="D509" s="12" t="n">
        <x:v>46100.60246445602</x:v>
      </x:c>
      <x:c r="E509" s="1" t="str">
        <x:v>no</x:v>
      </x:c>
      <x:c r="F509" s="14" t="str"/>
      <x:c r="G509" s="14" t="n">
        <x:v>8</x:v>
      </x:c>
      <x:c r="H509" s="14" t="str">
        <x:v>aa66d157-e659-4b1f-9c8a-39b98d92a107</x:v>
      </x:c>
      <x:c r="I509" s="14" t="str">
        <x:v>CAB Housing Limited v Secretary of State for Levelling Up, Housing and Communities &amp; Anor [2023] EWCA Civ 194</x:v>
      </x:c>
      <x:c r="J509" s="14" t="str">
        <x:v>England and Wales Court of Appeal (Civil Division)</x:v>
      </x:c>
      <x:c r="K509" s="14" t="n">
        <x:v>2023</x:v>
      </x:c>
      <x:c r="L509" s="15" t="n">
        <x:v>0.7536721</x:v>
      </x:c>
      <x:c r="M509" s="14" t="n">
        <x:v>1</x:v>
      </x:c>
      <x:c r="N509" s="14" t="str">
        <x:v>[2022] EWHC 208 Admin</x:v>
      </x:c>
    </x:row>
    <x:row r="510">
      <x:c r="A510" s="1" t="str">
        <x:v>cmmxke1p1000f04l7zevv9jfz</x:v>
      </x:c>
      <x:c r="B510" s="1" t="str">
        <x:v>cmmxhmaji000604l8iyhbwnn1</x:v>
      </x:c>
      <x:c r="C510" s="1" t="str">
        <x:v>greenfields--iow--limited-v-isle-of-wight-council---westridge-village-limited</x:v>
      </x:c>
      <x:c r="D510" s="12" t="n">
        <x:v>46100.60246445602</x:v>
      </x:c>
      <x:c r="E510" s="1" t="str">
        <x:v>no</x:v>
      </x:c>
      <x:c r="F510" s="14" t="str"/>
      <x:c r="G510" s="14" t="n">
        <x:v>9</x:v>
      </x:c>
      <x:c r="H510" s="14" t="str">
        <x:v>0642e885-86b3-4c0b-84a2-2005424f4309</x:v>
      </x:c>
      <x:c r="I510" s="14" t="str">
        <x:v>Sahota, R (On the Application Of) v Herefordshire Council [2022] EWCA Civ 1640</x:v>
      </x:c>
      <x:c r="J510" s="14" t="str">
        <x:v>England and Wales Court of Appeal (Civil Division)</x:v>
      </x:c>
      <x:c r="K510" s="14" t="n">
        <x:v>2022</x:v>
      </x:c>
      <x:c r="L510" s="15" t="n">
        <x:v>0.7528498</x:v>
      </x:c>
      <x:c r="M510" s="14" t="n">
        <x:v>2</x:v>
      </x:c>
      <x:c r="N510" s="14" t="str">
        <x:v>Stuart-Smith LJ | Court of Appeal procedures | Regulation 63 Habitats Regulations 2017</x:v>
      </x:c>
    </x:row>
    <x:row r="511">
      <x:c r="A511" s="1" t="str">
        <x:v>cmmxke1p1000f04l7zevv9jfz</x:v>
      </x:c>
      <x:c r="B511" s="1" t="str">
        <x:v>cmmxhmaji000604l8iyhbwnn1</x:v>
      </x:c>
      <x:c r="C511" s="1" t="str">
        <x:v>greenfields--iow--limited-v-isle-of-wight-council---westridge-village-limited</x:v>
      </x:c>
      <x:c r="D511" s="12" t="n">
        <x:v>46100.60246445602</x:v>
      </x:c>
      <x:c r="E511" s="1" t="str">
        <x:v>no</x:v>
      </x:c>
      <x:c r="F511" s="14" t="str"/>
      <x:c r="G511" s="14" t="n">
        <x:v>10</x:v>
      </x:c>
      <x:c r="H511" s="14" t="str">
        <x:v>90743ee0-c75d-4140-93eb-89a3938f7523</x:v>
      </x:c>
      <x:c r="I511" s="14" t="str">
        <x:v>Devine v Secretary of State for Levelling Up, Housing and Communities [2023] EWCA Civ 601</x:v>
      </x:c>
      <x:c r="J511" s="14" t="str">
        <x:v>England and Wales Court of Appeal (Civil Division)</x:v>
      </x:c>
      <x:c r="K511" s="14" t="n">
        <x:v>2023</x:v>
      </x:c>
      <x:c r="L511" s="15" t="n">
        <x:v>0.7527217</x:v>
      </x:c>
      <x:c r="M511" s="14" t="n">
        <x:v>1</x:v>
      </x:c>
      <x:c r="N511" s="14" t="str">
        <x:v>[2022] EWHC 2031 (Admin)</x:v>
      </x:c>
    </x:row>
    <x:row r="512">
      <x:c r="A512" s="1" t="str">
        <x:v>cmmxke1p1000f04l7zevv9jfz</x:v>
      </x:c>
      <x:c r="B512" s="1" t="str">
        <x:v>cmmxhmaji000604l8iyhbwnn1</x:v>
      </x:c>
      <x:c r="C512" s="1" t="str">
        <x:v>greenfields--iow--limited-v-isle-of-wight-council---westridge-village-limited</x:v>
      </x:c>
      <x:c r="D512" s="12" t="n">
        <x:v>46100.60246445602</x:v>
      </x:c>
      <x:c r="E512" s="1" t="str">
        <x:v>no</x:v>
      </x:c>
      <x:c r="F512" s="14" t="str"/>
      <x:c r="G512" s="14" t="n">
        <x:v>11</x:v>
      </x:c>
      <x:c r="H512" s="14" t="str">
        <x:v>3bdf2d7a-d886-4bb3-ba30-9c4b472a4f7c</x:v>
      </x:c>
      <x:c r="I512" s="14" t="str">
        <x:v>Gardiner v Hertsmere Borough Council &amp; Anor [2022] EWCA Civ 1162</x:v>
      </x:c>
      <x:c r="J512" s="14" t="str">
        <x:v>England and Wales Court of Appeal (Civil Division)</x:v>
      </x:c>
      <x:c r="K512" s="14" t="n">
        <x:v>2022</x:v>
      </x:c>
      <x:c r="L512" s="15" t="n">
        <x:v>0.7522283</x:v>
      </x:c>
      <x:c r="M512" s="14" t="n">
        <x:v>1</x:v>
      </x:c>
      <x:c r="N512" s="14" t="str">
        <x:v>Gardiner v Hertsmere Borough Council &amp; Anor [2022] EWCA Civ 1162</x:v>
      </x:c>
    </x:row>
    <x:row r="513">
      <x:c r="A513" s="1" t="str">
        <x:v>cmmxke1p1000f04l7zevv9jfz</x:v>
      </x:c>
      <x:c r="B513" s="1" t="str">
        <x:v>cmmxhmaji000604l8iyhbwnn1</x:v>
      </x:c>
      <x:c r="C513" s="1" t="str">
        <x:v>greenfields--iow--limited-v-isle-of-wight-council---westridge-village-limited</x:v>
      </x:c>
      <x:c r="D513" s="12" t="n">
        <x:v>46100.60246445602</x:v>
      </x:c>
      <x:c r="E513" s="1" t="str">
        <x:v>no</x:v>
      </x:c>
      <x:c r="F513" s="14" t="str"/>
      <x:c r="G513" s="14" t="n">
        <x:v>12</x:v>
      </x:c>
      <x:c r="H513" s="14" t="str">
        <x:v>1f4a0cfb-5359-49da-93e8-89cbb817ebca</x:v>
      </x:c>
      <x:c r="I513" s="14" t="str">
        <x:v>Whitley Parish Council, R (On the Application Of) v North Yorkshire County Council &amp; Anor [2023] EWCA Civ 92</x:v>
      </x:c>
      <x:c r="J513" s="14" t="str">
        <x:v>England and Wales Court of Appeal (Civil Division)</x:v>
      </x:c>
      <x:c r="K513" s="14" t="n">
        <x:v>2023</x:v>
      </x:c>
      <x:c r="L513" s="15" t="n">
        <x:v>0.7495051</x:v>
      </x:c>
      <x:c r="M513" s="14" t="n">
        <x:v>1</x:v>
      </x:c>
      <x:c r="N513" s="14" t="str"/>
    </x:row>
    <x:row r="514">
      <x:c r="A514" s="1" t="str">
        <x:v>cmmxke1p1000f04l7zevv9jfz</x:v>
      </x:c>
      <x:c r="B514" s="1" t="str">
        <x:v>cmmxhmaji000604l8iyhbwnn1</x:v>
      </x:c>
      <x:c r="C514" s="1" t="str">
        <x:v>greenfields--iow--limited-v-isle-of-wight-council---westridge-village-limited</x:v>
      </x:c>
      <x:c r="D514" s="12" t="n">
        <x:v>46100.60246445602</x:v>
      </x:c>
      <x:c r="E514" s="1" t="str">
        <x:v>no</x:v>
      </x:c>
      <x:c r="F514" s="14" t="str"/>
      <x:c r="G514" s="14" t="n">
        <x:v>13</x:v>
      </x:c>
      <x:c r="H514" s="14" t="str">
        <x:v>c370bf30-4fed-4187-beea-6476e69f964f</x:v>
      </x:c>
      <x:c r="I514" s="14" t="str">
        <x:v>Braithwaite and Melton Meadows Properties Ltd, R (On the Application Of) v East Suffolk Council [2022] EWCA Civ 1716</x:v>
      </x:c>
      <x:c r="J514" s="14" t="str">
        <x:v>England and Wales Court of Appeal (Civil Division)</x:v>
      </x:c>
      <x:c r="K514" s="14" t="n">
        <x:v>2022</x:v>
      </x:c>
      <x:c r="L514" s="15" t="n">
        <x:v>0.7493913</x:v>
      </x:c>
      <x:c r="M514" s="14" t="n">
        <x:v>1</x:v>
      </x:c>
      <x:c r="N514" s="14" t="str"/>
    </x:row>
    <x:row r="515">
      <x:c r="A515" s="1" t="str">
        <x:v>cmmxke1p1000f04l7zevv9jfz</x:v>
      </x:c>
      <x:c r="B515" s="1" t="str">
        <x:v>cmmxhmaji000604l8iyhbwnn1</x:v>
      </x:c>
      <x:c r="C515" s="1" t="str">
        <x:v>greenfields--iow--limited-v-isle-of-wight-council---westridge-village-limited</x:v>
      </x:c>
      <x:c r="D515" s="12" t="n">
        <x:v>46100.60246445602</x:v>
      </x:c>
      <x:c r="E515" s="1" t="str">
        <x:v>no</x:v>
      </x:c>
      <x:c r="F515" s="14" t="str"/>
      <x:c r="G515" s="14" t="n">
        <x:v>14</x:v>
      </x:c>
      <x:c r="H515" s="14" t="str">
        <x:v>4c3b8da7-6c82-4056-ab98-dea339f7af1d</x:v>
      </x:c>
      <x:c r="I515" s="14" t="str">
        <x:v>Ashchurch Rural Parish Council, R (On the Application Of) v Tewkesbury Borough Council [2023] EWCA Civ 101</x:v>
      </x:c>
      <x:c r="J515" s="14" t="str">
        <x:v>England and Wales Court of Appeal (Civil Division)</x:v>
      </x:c>
      <x:c r="K515" s="14" t="n">
        <x:v>2023</x:v>
      </x:c>
      <x:c r="L515" s="15" t="n">
        <x:v>0.74837226</x:v>
      </x:c>
      <x:c r="M515" s="14" t="n">
        <x:v>2</x:v>
      </x:c>
      <x:c r="N515" s="14" t="str">
        <x:v>R (Samuel Smith Old Brewery) v North Yorkshire CC [2020] UKSC 3</x:v>
      </x:c>
    </x:row>
    <x:row r="516">
      <x:c r="A516" s="1" t="str">
        <x:v>cmmxke1p1000f04l7zevv9jfz</x:v>
      </x:c>
      <x:c r="B516" s="1" t="str">
        <x:v>cmmxhmaji000604l8iyhbwnn1</x:v>
      </x:c>
      <x:c r="C516" s="1" t="str">
        <x:v>greenfields--iow--limited-v-isle-of-wight-council---westridge-village-limited</x:v>
      </x:c>
      <x:c r="D516" s="12" t="n">
        <x:v>46100.60246445602</x:v>
      </x:c>
      <x:c r="E516" s="1" t="str">
        <x:v>no</x:v>
      </x:c>
      <x:c r="F516" s="14" t="str"/>
      <x:c r="G516" s="14" t="n">
        <x:v>15</x:v>
      </x:c>
      <x:c r="H516" s="14" t="str">
        <x:v>1fa1d79c-da17-4ba8-837f-04da48af3a19</x:v>
      </x:c>
      <x:c r="I516" s="14" t="str">
        <x:v>JZ v Secretary of State for the Home Department &amp; Ors [2023] EWCA Civ 178</x:v>
      </x:c>
      <x:c r="J516" s="14" t="str">
        <x:v>England and Wales Court of Appeal (Civil Division)</x:v>
      </x:c>
      <x:c r="K516" s="14" t="n">
        <x:v>2023</x:v>
      </x:c>
      <x:c r="L516" s="15" t="n">
        <x:v>0.74793345</x:v>
      </x:c>
      <x:c r="M516" s="14" t="n">
        <x:v>1</x:v>
      </x:c>
      <x:c r="N516" s="14" t="str">
        <x:v>[2022] EWHC 2156 (Admin) | [2023] EWCA Civ 178</x:v>
      </x:c>
    </x:row>
    <x:row r="517">
      <x:c r="A517" s="1" t="str">
        <x:v>cmmxke1p1000f04l7zevv9jfz</x:v>
      </x:c>
      <x:c r="B517" s="1" t="str">
        <x:v>cmmxhmaji000604l8iyhbwnn1</x:v>
      </x:c>
      <x:c r="C517" s="1" t="str">
        <x:v>greenfields--iow--limited-v-isle-of-wight-council---westridge-village-limited</x:v>
      </x:c>
      <x:c r="D517" s="12" t="n">
        <x:v>46100.60246445602</x:v>
      </x:c>
      <x:c r="E517" s="1" t="str">
        <x:v>no</x:v>
      </x:c>
      <x:c r="F517" s="14" t="str"/>
      <x:c r="G517" s="14" t="n">
        <x:v>16</x:v>
      </x:c>
      <x:c r="H517" s="14" t="str">
        <x:v>9034c8de-ac8c-45a1-9a63-569c390554ca</x:v>
      </x:c>
      <x:c r="I517" s="14" t="str">
        <x:v>Thurston Parish Council, R (On the Application Of) v Mid Suffolk District Council &amp; Anor [2022] EWCA Civ 1417</x:v>
      </x:c>
      <x:c r="J517" s="14" t="str">
        <x:v>England and Wales Court of Appeal (Civil Division)</x:v>
      </x:c>
      <x:c r="K517" s="14" t="n">
        <x:v>2022</x:v>
      </x:c>
      <x:c r="L517" s="15" t="n">
        <x:v>0.7474452</x:v>
      </x:c>
      <x:c r="M517" s="14" t="n">
        <x:v>1</x:v>
      </x:c>
      <x:c r="N517" s="14" t="str">
        <x:v>EWHC 352 Admin | EWCA Civ 1417</x:v>
      </x:c>
    </x:row>
    <x:row r="518">
      <x:c r="A518" s="1" t="str">
        <x:v>cmmxke1p1000f04l7zevv9jfz</x:v>
      </x:c>
      <x:c r="B518" s="1" t="str">
        <x:v>cmmxhmaji000604l8iyhbwnn1</x:v>
      </x:c>
      <x:c r="C518" s="1" t="str">
        <x:v>greenfields--iow--limited-v-isle-of-wight-council---westridge-village-limited</x:v>
      </x:c>
      <x:c r="D518" s="12" t="n">
        <x:v>46100.60246445602</x:v>
      </x:c>
      <x:c r="E518" s="1" t="str">
        <x:v>no</x:v>
      </x:c>
      <x:c r="F518" s="14" t="str"/>
      <x:c r="G518" s="14" t="n">
        <x:v>17</x:v>
      </x:c>
      <x:c r="H518" s="14" t="str">
        <x:v>1d957476-2c0d-4578-8a43-679ec600e382</x:v>
      </x:c>
      <x:c r="I518" s="14" t="str">
        <x:v>Wyatt v Fareham Borough Council (Rev1) [2022] EWCA Civ 983</x:v>
      </x:c>
      <x:c r="J518" s="14" t="str">
        <x:v>England and Wales Court of Appeal (Civil Division)</x:v>
      </x:c>
      <x:c r="K518" s="14" t="n">
        <x:v>2022</x:v>
      </x:c>
      <x:c r="L518" s="15" t="n">
        <x:v>0.74730146</x:v>
      </x:c>
      <x:c r="M518" s="14" t="n">
        <x:v>1</x:v>
      </x:c>
      <x:c r="N518" s="14" t="str"/>
    </x:row>
    <x:row r="519">
      <x:c r="A519" s="1" t="str">
        <x:v>cmmxke1p1000f04l7zevv9jfz</x:v>
      </x:c>
      <x:c r="B519" s="1" t="str">
        <x:v>cmmxhmaji000604l8iyhbwnn1</x:v>
      </x:c>
      <x:c r="C519" s="1" t="str">
        <x:v>greenfields--iow--limited-v-isle-of-wight-council---westridge-village-limited</x:v>
      </x:c>
      <x:c r="D519" s="12" t="n">
        <x:v>46100.60246445602</x:v>
      </x:c>
      <x:c r="E519" s="1" t="str">
        <x:v>no</x:v>
      </x:c>
      <x:c r="F519" s="14" t="str"/>
      <x:c r="G519" s="14" t="n">
        <x:v>18</x:v>
      </x:c>
      <x:c r="H519" s="14" t="str">
        <x:v>d8078437-185a-46df-8b83-bd5240184911</x:v>
      </x:c>
      <x:c r="I519" s="14" t="str">
        <x:v>MH (Eritrea) v Secretary of State for the Home Department (Rev1), [2022] EWCA Civ 1296</x:v>
      </x:c>
      <x:c r="J519" s="14" t="str">
        <x:v>England and Wales Court of Appeal (Civil Division)</x:v>
      </x:c>
      <x:c r="K519" s="14" t="n">
        <x:v>2022</x:v>
      </x:c>
      <x:c r="L519" s="15" t="n">
        <x:v>0.74462914</x:v>
      </x:c>
      <x:c r="M519" s="14" t="n">
        <x:v>1</x:v>
      </x:c>
      <x:c r="N519" s="14" t="str"/>
    </x:row>
    <x:row r="520">
      <x:c r="A520" s="1" t="str">
        <x:v>cmmxke1p1000f04l7zevv9jfz</x:v>
      </x:c>
      <x:c r="B520" s="1" t="str">
        <x:v>cmmxhmaji000604l8iyhbwnn1</x:v>
      </x:c>
      <x:c r="C520" s="1" t="str">
        <x:v>greenfields--iow--limited-v-isle-of-wight-council---westridge-village-limited</x:v>
      </x:c>
      <x:c r="D520" s="12" t="n">
        <x:v>46100.60246445602</x:v>
      </x:c>
      <x:c r="E520" s="1" t="str">
        <x:v>no</x:v>
      </x:c>
      <x:c r="F520" s="14" t="str"/>
      <x:c r="G520" s="14" t="n">
        <x:v>19</x:v>
      </x:c>
      <x:c r="H520" s="14" t="str">
        <x:v>671c3057-8376-4da1-82b8-7a83b79c33d1</x:v>
      </x:c>
      <x:c r="I520" s="14" t="str">
        <x:v>Kinnersley, R (On the Application Of) v Maidstone Borough Council [2023] EWCA Civ 172</x:v>
      </x:c>
      <x:c r="J520" s="14" t="str">
        <x:v>England and Wales Court of Appeal (Civil Division)</x:v>
      </x:c>
      <x:c r="K520" s="14" t="n">
        <x:v>2023</x:v>
      </x:c>
      <x:c r="L520" s="15" t="n">
        <x:v>0.7343422</x:v>
      </x:c>
      <x:c r="M520" s="14" t="n">
        <x:v>1</x:v>
      </x:c>
      <x:c r="N520" s="14" t="str"/>
    </x:row>
    <x:row r="521">
      <x:c r="A521" s="1" t="str">
        <x:v>cmmxke1p1000f04l7zevv9jfz</x:v>
      </x:c>
      <x:c r="B521" s="1" t="str">
        <x:v>cmmxhmaji000604l8iyhbwnn1</x:v>
      </x:c>
      <x:c r="C521" s="1" t="str">
        <x:v>greenfields--iow--limited-v-isle-of-wight-council---westridge-village-limited</x:v>
      </x:c>
      <x:c r="D521" s="12" t="n">
        <x:v>46100.60246445602</x:v>
      </x:c>
      <x:c r="E521" s="1" t="str">
        <x:v>no</x:v>
      </x:c>
      <x:c r="F521" s="14" t="str"/>
      <x:c r="G521" s="14" t="n">
        <x:v>20</x:v>
      </x:c>
      <x:c r="H521" s="14" t="str">
        <x:v>3ff34419-ffbc-40f9-a087-a1cb1371d0e1</x:v>
      </x:c>
      <x:c r="I521" s="14" t="str">
        <x:v>Vicente &amp; Anor v Secretary of State for Communities and Local Government &amp; Anor [2014] EWCA Civ 1555</x:v>
      </x:c>
      <x:c r="J521" s="14" t="str">
        <x:v>England and Wales Court of Appeal (Civil Division)</x:v>
      </x:c>
      <x:c r="K521" s="14" t="n">
        <x:v>2014</x:v>
      </x:c>
      <x:c r="L521" s="15" t="n">
        <x:v>0.7290795</x:v>
      </x:c>
      <x:c r="M521" s="14" t="n">
        <x:v>3</x:v>
      </x:c>
      <x:c r="N521" s="14" t="str">
        <x:v>R(Gul) v. Secretary of State for Justice | Hopkins Developments v. Secretary of State</x:v>
      </x:c>
    </x:row>
    <x:row r="522">
      <x:c r="A522" s="1" t="str">
        <x:v>cmmxkf3xl000l04l7ld062u5d</x:v>
      </x:c>
      <x:c r="B522" s="1" t="str">
        <x:v>cmmxhmaji000604l8iyhbwnn1</x:v>
      </x:c>
      <x:c r="C522" s="1" t="str">
        <x:v>greenfields--iow--limited-v-isle-of-wight-council---westridge-village-limited</x:v>
      </x:c>
      <x:c r="D522" s="12" t="n">
        <x:v>46100.60303802083</x:v>
      </x:c>
      <x:c r="E522" s="1" t="str">
        <x:v>no</x:v>
      </x:c>
      <x:c r="F522" s="14" t="str"/>
      <x:c r="G522" s="14" t="n">
        <x:v>1</x:v>
      </x:c>
      <x:c r="H522" s="14" t="str">
        <x:v>76e6ffcd-af03-4155-a667-51d98a79d1d7</x:v>
      </x:c>
      <x:c r="I522" s="14" t="str">
        <x:v>Arnold White Estates Ltd v The Forestry Commission [2022] EWCA Civ 1304</x:v>
      </x:c>
      <x:c r="J522" s="14" t="str">
        <x:v>England and Wales Court of Appeal (Civil Division)</x:v>
      </x:c>
      <x:c r="K522" s="14" t="n">
        <x:v>2022</x:v>
      </x:c>
      <x:c r="L522" s="15" t="n">
        <x:v>0.7635069</x:v>
      </x:c>
      <x:c r="M522" s="14" t="n">
        <x:v>1</x:v>
      </x:c>
      <x:c r="N522" s="14" t="str">
        <x:v>R. (on the application of Thornton Hall Hotel Ltd.) v Wirral Metropolitan Borough Council (2019) EWCA Civ 737</x:v>
      </x:c>
    </x:row>
    <x:row r="523">
      <x:c r="A523" s="1" t="str">
        <x:v>cmmxkf3xl000l04l7ld062u5d</x:v>
      </x:c>
      <x:c r="B523" s="1" t="str">
        <x:v>cmmxhmaji000604l8iyhbwnn1</x:v>
      </x:c>
      <x:c r="C523" s="1" t="str">
        <x:v>greenfields--iow--limited-v-isle-of-wight-council---westridge-village-limited</x:v>
      </x:c>
      <x:c r="D523" s="12" t="n">
        <x:v>46100.60303802083</x:v>
      </x:c>
      <x:c r="E523" s="1" t="str">
        <x:v>no</x:v>
      </x:c>
      <x:c r="F523" s="14" t="str"/>
      <x:c r="G523" s="14" t="n">
        <x:v>2</x:v>
      </x:c>
      <x:c r="H523" s="14" t="str">
        <x:v>7f44d9a8-2459-4f6a-84fc-e475bb8f169a</x:v>
      </x:c>
      <x:c r="I523" s="14" t="str">
        <x:v>Secretary of State for Levelling Up, Housing and Communities v Smith &amp; Anor [2023] EWCA Civ 514</x:v>
      </x:c>
      <x:c r="J523" s="14" t="str">
        <x:v>England and Wales Court of Appeal (Civil Division)</x:v>
      </x:c>
      <x:c r="K523" s="14" t="n">
        <x:v>2023</x:v>
      </x:c>
      <x:c r="L523" s="15" t="n">
        <x:v>0.76074344</x:v>
      </x:c>
      <x:c r="M523" s="14" t="n">
        <x:v>7</x:v>
      </x:c>
      <x:c r="N523" s="14" t="str">
        <x:v>[2022] EWHC 3209 (Admin) | Harris | Ms Williams (commentary) | Harris (planning fairness)</x:v>
      </x:c>
    </x:row>
    <x:row r="524">
      <x:c r="A524" s="1" t="str">
        <x:v>cmmxkf3xl000l04l7ld062u5d</x:v>
      </x:c>
      <x:c r="B524" s="1" t="str">
        <x:v>cmmxhmaji000604l8iyhbwnn1</x:v>
      </x:c>
      <x:c r="C524" s="1" t="str">
        <x:v>greenfields--iow--limited-v-isle-of-wight-council---westridge-village-limited</x:v>
      </x:c>
      <x:c r="D524" s="12" t="n">
        <x:v>46100.60303802083</x:v>
      </x:c>
      <x:c r="E524" s="1" t="str">
        <x:v>no</x:v>
      </x:c>
      <x:c r="F524" s="14" t="str"/>
      <x:c r="G524" s="14" t="n">
        <x:v>3</x:v>
      </x:c>
      <x:c r="H524" s="14" t="str">
        <x:v>776a8070-aa6f-410e-b91e-2e1fcadadb9b</x:v>
      </x:c>
      <x:c r="I524" s="14" t="str">
        <x:v>Sheakh, R (On the Application Of) v London Borough of Lambeth Council [2022] EWCA Civ 457 (05 April 2022)</x:v>
      </x:c>
      <x:c r="J524" s="14" t="str">
        <x:v>England and Wales Court of Appeal (Civil Division)</x:v>
      </x:c>
      <x:c r="K524" s="14" t="n">
        <x:v>2022</x:v>
      </x:c>
      <x:c r="L524" s="15" t="n">
        <x:v>0.760366</x:v>
      </x:c>
      <x:c r="M524" s="14" t="n">
        <x:v>1</x:v>
      </x:c>
      <x:c r="N524" s="14" t="str">
        <x:v>R. (Bailey) v Brent LBC [2011] EWCA Civ 1586</x:v>
      </x:c>
    </x:row>
    <x:row r="525">
      <x:c r="A525" s="1" t="str">
        <x:v>cmmxkf3xl000l04l7ld062u5d</x:v>
      </x:c>
      <x:c r="B525" s="1" t="str">
        <x:v>cmmxhmaji000604l8iyhbwnn1</x:v>
      </x:c>
      <x:c r="C525" s="1" t="str">
        <x:v>greenfields--iow--limited-v-isle-of-wight-council---westridge-village-limited</x:v>
      </x:c>
      <x:c r="D525" s="12" t="n">
        <x:v>46100.60303802083</x:v>
      </x:c>
      <x:c r="E525" s="1" t="str">
        <x:v>no</x:v>
      </x:c>
      <x:c r="F525" s="14" t="str"/>
      <x:c r="G525" s="14" t="n">
        <x:v>4</x:v>
      </x:c>
      <x:c r="H525" s="14" t="str">
        <x:v>3fae9752-b3e5-4a98-a0e5-5ade79ee3e8d</x:v>
      </x:c>
      <x:c r="I525" s="14" t="str">
        <x:v>East Quayside 12 LLP v The Council of the City of Newcastle upon Tyne [2023] EWCA Civ 359</x:v>
      </x:c>
      <x:c r="J525" s="14" t="str">
        <x:v>England and Wales Court of Appeal (Civil Division)</x:v>
      </x:c>
      <x:c r="K525" s="14" t="n">
        <x:v>2023</x:v>
      </x:c>
      <x:c r="L525" s="15" t="n">
        <x:v>0.7602824</x:v>
      </x:c>
      <x:c r="M525" s="14" t="n">
        <x:v>1</x:v>
      </x:c>
      <x:c r="N525" s="14" t="str"/>
    </x:row>
    <x:row r="526">
      <x:c r="A526" s="1" t="str">
        <x:v>cmmxkf3xl000l04l7ld062u5d</x:v>
      </x:c>
      <x:c r="B526" s="1" t="str">
        <x:v>cmmxhmaji000604l8iyhbwnn1</x:v>
      </x:c>
      <x:c r="C526" s="1" t="str">
        <x:v>greenfields--iow--limited-v-isle-of-wight-council---westridge-village-limited</x:v>
      </x:c>
      <x:c r="D526" s="12" t="n">
        <x:v>46100.60303802083</x:v>
      </x:c>
      <x:c r="E526" s="1" t="str">
        <x:v>no</x:v>
      </x:c>
      <x:c r="F526" s="14" t="str"/>
      <x:c r="G526" s="14" t="n">
        <x:v>5</x:v>
      </x:c>
      <x:c r="H526" s="14" t="str">
        <x:v>6cd7db33-7ee1-44c0-9219-b2cc7d57d88b</x:v>
      </x:c>
      <x:c r="I526" s="14" t="str">
        <x:v>Smith v Secretary of State for Levelling Up, Housing &amp; Communities &amp; Anor [2022] EWCA Civ 1391</x:v>
      </x:c>
      <x:c r="J526" s="14" t="str">
        <x:v>England and Wales Court of Appeal (Civil Division)</x:v>
      </x:c>
      <x:c r="K526" s="14" t="n">
        <x:v>2022</x:v>
      </x:c>
      <x:c r="L526" s="15" t="n">
        <x:v>0.76026714</x:v>
      </x:c>
      <x:c r="M526" s="14" t="n">
        <x:v>1</x:v>
      </x:c>
      <x:c r="N526" s="14" t="str">
        <x:v>[2021] EWHC 1650 (Admin)</x:v>
      </x:c>
    </x:row>
    <x:row r="527">
      <x:c r="A527" s="1" t="str">
        <x:v>cmmxkf3xl000l04l7ld062u5d</x:v>
      </x:c>
      <x:c r="B527" s="1" t="str">
        <x:v>cmmxhmaji000604l8iyhbwnn1</x:v>
      </x:c>
      <x:c r="C527" s="1" t="str">
        <x:v>greenfields--iow--limited-v-isle-of-wight-council---westridge-village-limited</x:v>
      </x:c>
      <x:c r="D527" s="12" t="n">
        <x:v>46100.60303802083</x:v>
      </x:c>
      <x:c r="E527" s="1" t="str">
        <x:v>no</x:v>
      </x:c>
      <x:c r="F527" s="14" t="str"/>
      <x:c r="G527" s="14" t="n">
        <x:v>6</x:v>
      </x:c>
      <x:c r="H527" s="14" t="str">
        <x:v>235388cd-5994-4cf3-b7e7-c349382ef164</x:v>
      </x:c>
      <x:c r="I527" s="14" t="str">
        <x:v>Save Britain's Heritage, R (On the Application Of) v Davies (Rev1) [2023] EWCA Civ 723</x:v>
      </x:c>
      <x:c r="J527" s="14" t="str">
        <x:v>England and Wales Court of Appeal (Civil Division)</x:v>
      </x:c>
      <x:c r="K527" s="14" t="n">
        <x:v>2023</x:v>
      </x:c>
      <x:c r="L527" s="15" t="n">
        <x:v>0.75928235</x:v>
      </x:c>
      <x:c r="M527" s="14" t="n">
        <x:v>3</x:v>
      </x:c>
      <x:c r="N527" s="14" t="str">
        <x:v>2022 EWHC 2984 (Admin) | [2023] EWCA Civ 723 | Town and Country Planning Order 2015 (as amended)</x:v>
      </x:c>
    </x:row>
    <x:row r="528">
      <x:c r="A528" s="1" t="str">
        <x:v>cmmxkf3xl000l04l7ld062u5d</x:v>
      </x:c>
      <x:c r="B528" s="1" t="str">
        <x:v>cmmxhmaji000604l8iyhbwnn1</x:v>
      </x:c>
      <x:c r="C528" s="1" t="str">
        <x:v>greenfields--iow--limited-v-isle-of-wight-council---westridge-village-limited</x:v>
      </x:c>
      <x:c r="D528" s="12" t="n">
        <x:v>46100.60303802083</x:v>
      </x:c>
      <x:c r="E528" s="1" t="str">
        <x:v>no</x:v>
      </x:c>
      <x:c r="F528" s="14" t="str"/>
      <x:c r="G528" s="14" t="n">
        <x:v>7</x:v>
      </x:c>
      <x:c r="H528" s="14" t="str">
        <x:v>a1b35831-8ed8-43ad-bc7e-488100344627</x:v>
      </x:c>
      <x:c r="I528" s="14" t="str">
        <x:v>Corbett v Cornwall Council [2022] EWCA Civ 1069</x:v>
      </x:c>
      <x:c r="J528" s="14" t="str">
        <x:v>England and Wales Court of Appeal (Civil Division)</x:v>
      </x:c>
      <x:c r="K528" s="14" t="n">
        <x:v>2022</x:v>
      </x:c>
      <x:c r="L528" s="15" t="n">
        <x:v>0.7552397</x:v>
      </x:c>
      <x:c r="M528" s="14" t="n">
        <x:v>1</x:v>
      </x:c>
      <x:c r="N528" s="14" t="str"/>
    </x:row>
    <x:row r="529">
      <x:c r="A529" s="1" t="str">
        <x:v>cmmxkf3xl000l04l7ld062u5d</x:v>
      </x:c>
      <x:c r="B529" s="1" t="str">
        <x:v>cmmxhmaji000604l8iyhbwnn1</x:v>
      </x:c>
      <x:c r="C529" s="1" t="str">
        <x:v>greenfields--iow--limited-v-isle-of-wight-council---westridge-village-limited</x:v>
      </x:c>
      <x:c r="D529" s="12" t="n">
        <x:v>46100.60303802083</x:v>
      </x:c>
      <x:c r="E529" s="1" t="str">
        <x:v>no</x:v>
      </x:c>
      <x:c r="F529" s="14" t="str"/>
      <x:c r="G529" s="14" t="n">
        <x:v>8</x:v>
      </x:c>
      <x:c r="H529" s="14" t="str">
        <x:v>aa66d157-e659-4b1f-9c8a-39b98d92a107</x:v>
      </x:c>
      <x:c r="I529" s="14" t="str">
        <x:v>CAB Housing Limited v Secretary of State for Levelling Up, Housing and Communities &amp; Anor [2023] EWCA Civ 194</x:v>
      </x:c>
      <x:c r="J529" s="14" t="str">
        <x:v>England and Wales Court of Appeal (Civil Division)</x:v>
      </x:c>
      <x:c r="K529" s="14" t="n">
        <x:v>2023</x:v>
      </x:c>
      <x:c r="L529" s="15" t="n">
        <x:v>0.75348663</x:v>
      </x:c>
      <x:c r="M529" s="14" t="n">
        <x:v>1</x:v>
      </x:c>
      <x:c r="N529" s="14" t="str">
        <x:v>[2022] EWHC 208 Admin</x:v>
      </x:c>
    </x:row>
    <x:row r="530">
      <x:c r="A530" s="1" t="str">
        <x:v>cmmxkf3xl000l04l7ld062u5d</x:v>
      </x:c>
      <x:c r="B530" s="1" t="str">
        <x:v>cmmxhmaji000604l8iyhbwnn1</x:v>
      </x:c>
      <x:c r="C530" s="1" t="str">
        <x:v>greenfields--iow--limited-v-isle-of-wight-council---westridge-village-limited</x:v>
      </x:c>
      <x:c r="D530" s="12" t="n">
        <x:v>46100.60303802083</x:v>
      </x:c>
      <x:c r="E530" s="1" t="str">
        <x:v>no</x:v>
      </x:c>
      <x:c r="F530" s="14" t="str"/>
      <x:c r="G530" s="14" t="n">
        <x:v>9</x:v>
      </x:c>
      <x:c r="H530" s="14" t="str">
        <x:v>0642e885-86b3-4c0b-84a2-2005424f4309</x:v>
      </x:c>
      <x:c r="I530" s="14" t="str">
        <x:v>Sahota, R (On the Application Of) v Herefordshire Council [2022] EWCA Civ 1640</x:v>
      </x:c>
      <x:c r="J530" s="14" t="str">
        <x:v>England and Wales Court of Appeal (Civil Division)</x:v>
      </x:c>
      <x:c r="K530" s="14" t="n">
        <x:v>2022</x:v>
      </x:c>
      <x:c r="L530" s="15" t="n">
        <x:v>0.7526711</x:v>
      </x:c>
      <x:c r="M530" s="14" t="n">
        <x:v>2</x:v>
      </x:c>
      <x:c r="N530" s="14" t="str">
        <x:v>Stuart-Smith LJ | Court of Appeal procedures | Regulation 63 Habitats Regulations 2017</x:v>
      </x:c>
    </x:row>
    <x:row r="531">
      <x:c r="A531" s="1" t="str">
        <x:v>cmmxkf3xl000l04l7ld062u5d</x:v>
      </x:c>
      <x:c r="B531" s="1" t="str">
        <x:v>cmmxhmaji000604l8iyhbwnn1</x:v>
      </x:c>
      <x:c r="C531" s="1" t="str">
        <x:v>greenfields--iow--limited-v-isle-of-wight-council---westridge-village-limited</x:v>
      </x:c>
      <x:c r="D531" s="12" t="n">
        <x:v>46100.60303802083</x:v>
      </x:c>
      <x:c r="E531" s="1" t="str">
        <x:v>no</x:v>
      </x:c>
      <x:c r="F531" s="14" t="str"/>
      <x:c r="G531" s="14" t="n">
        <x:v>10</x:v>
      </x:c>
      <x:c r="H531" s="14" t="str">
        <x:v>90743ee0-c75d-4140-93eb-89a3938f7523</x:v>
      </x:c>
      <x:c r="I531" s="14" t="str">
        <x:v>Devine v Secretary of State for Levelling Up, Housing and Communities [2023] EWCA Civ 601</x:v>
      </x:c>
      <x:c r="J531" s="14" t="str">
        <x:v>England and Wales Court of Appeal (Civil Division)</x:v>
      </x:c>
      <x:c r="K531" s="14" t="n">
        <x:v>2023</x:v>
      </x:c>
      <x:c r="L531" s="15" t="n">
        <x:v>0.7524476</x:v>
      </x:c>
      <x:c r="M531" s="14" t="n">
        <x:v>1</x:v>
      </x:c>
      <x:c r="N531" s="14" t="str">
        <x:v>[2022] EWHC 2031 (Admin)</x:v>
      </x:c>
    </x:row>
    <x:row r="532">
      <x:c r="A532" s="1" t="str">
        <x:v>cmmxkf3xl000l04l7ld062u5d</x:v>
      </x:c>
      <x:c r="B532" s="1" t="str">
        <x:v>cmmxhmaji000604l8iyhbwnn1</x:v>
      </x:c>
      <x:c r="C532" s="1" t="str">
        <x:v>greenfields--iow--limited-v-isle-of-wight-council---westridge-village-limited</x:v>
      </x:c>
      <x:c r="D532" s="12" t="n">
        <x:v>46100.60303802083</x:v>
      </x:c>
      <x:c r="E532" s="1" t="str">
        <x:v>no</x:v>
      </x:c>
      <x:c r="F532" s="14" t="str"/>
      <x:c r="G532" s="14" t="n">
        <x:v>11</x:v>
      </x:c>
      <x:c r="H532" s="14" t="str">
        <x:v>3bdf2d7a-d886-4bb3-ba30-9c4b472a4f7c</x:v>
      </x:c>
      <x:c r="I532" s="14" t="str">
        <x:v>Gardiner v Hertsmere Borough Council &amp; Anor [2022] EWCA Civ 1162</x:v>
      </x:c>
      <x:c r="J532" s="14" t="str">
        <x:v>England and Wales Court of Appeal (Civil Division)</x:v>
      </x:c>
      <x:c r="K532" s="14" t="n">
        <x:v>2022</x:v>
      </x:c>
      <x:c r="L532" s="15" t="n">
        <x:v>0.75207436</x:v>
      </x:c>
      <x:c r="M532" s="14" t="n">
        <x:v>1</x:v>
      </x:c>
      <x:c r="N532" s="14" t="str">
        <x:v>Gardiner v Hertsmere Borough Council &amp; Anor [2022] EWCA Civ 1162</x:v>
      </x:c>
    </x:row>
    <x:row r="533">
      <x:c r="A533" s="1" t="str">
        <x:v>cmmxkf3xl000l04l7ld062u5d</x:v>
      </x:c>
      <x:c r="B533" s="1" t="str">
        <x:v>cmmxhmaji000604l8iyhbwnn1</x:v>
      </x:c>
      <x:c r="C533" s="1" t="str">
        <x:v>greenfields--iow--limited-v-isle-of-wight-council---westridge-village-limited</x:v>
      </x:c>
      <x:c r="D533" s="12" t="n">
        <x:v>46100.60303802083</x:v>
      </x:c>
      <x:c r="E533" s="1" t="str">
        <x:v>no</x:v>
      </x:c>
      <x:c r="F533" s="14" t="str"/>
      <x:c r="G533" s="14" t="n">
        <x:v>12</x:v>
      </x:c>
      <x:c r="H533" s="14" t="str">
        <x:v>1f4a0cfb-5359-49da-93e8-89cbb817ebca</x:v>
      </x:c>
      <x:c r="I533" s="14" t="str">
        <x:v>Whitley Parish Council, R (On the Application Of) v North Yorkshire County Council &amp; Anor [2023] EWCA Civ 92</x:v>
      </x:c>
      <x:c r="J533" s="14" t="str">
        <x:v>England and Wales Court of Appeal (Civil Division)</x:v>
      </x:c>
      <x:c r="K533" s="14" t="n">
        <x:v>2023</x:v>
      </x:c>
      <x:c r="L533" s="15" t="n">
        <x:v>0.7493427</x:v>
      </x:c>
      <x:c r="M533" s="14" t="n">
        <x:v>1</x:v>
      </x:c>
      <x:c r="N533" s="14" t="str"/>
    </x:row>
    <x:row r="534">
      <x:c r="A534" s="1" t="str">
        <x:v>cmmxkf3xl000l04l7ld062u5d</x:v>
      </x:c>
      <x:c r="B534" s="1" t="str">
        <x:v>cmmxhmaji000604l8iyhbwnn1</x:v>
      </x:c>
      <x:c r="C534" s="1" t="str">
        <x:v>greenfields--iow--limited-v-isle-of-wight-council---westridge-village-limited</x:v>
      </x:c>
      <x:c r="D534" s="12" t="n">
        <x:v>46100.60303802083</x:v>
      </x:c>
      <x:c r="E534" s="1" t="str">
        <x:v>no</x:v>
      </x:c>
      <x:c r="F534" s="14" t="str"/>
      <x:c r="G534" s="14" t="n">
        <x:v>13</x:v>
      </x:c>
      <x:c r="H534" s="14" t="str">
        <x:v>c370bf30-4fed-4187-beea-6476e69f964f</x:v>
      </x:c>
      <x:c r="I534" s="14" t="str">
        <x:v>Braithwaite and Melton Meadows Properties Ltd, R (On the Application Of) v East Suffolk Council [2022] EWCA Civ 1716</x:v>
      </x:c>
      <x:c r="J534" s="14" t="str">
        <x:v>England and Wales Court of Appeal (Civil Division)</x:v>
      </x:c>
      <x:c r="K534" s="14" t="n">
        <x:v>2022</x:v>
      </x:c>
      <x:c r="L534" s="15" t="n">
        <x:v>0.7491944</x:v>
      </x:c>
      <x:c r="M534" s="14" t="n">
        <x:v>1</x:v>
      </x:c>
      <x:c r="N534" s="14" t="str"/>
    </x:row>
    <x:row r="535">
      <x:c r="A535" s="1" t="str">
        <x:v>cmmxkf3xl000l04l7ld062u5d</x:v>
      </x:c>
      <x:c r="B535" s="1" t="str">
        <x:v>cmmxhmaji000604l8iyhbwnn1</x:v>
      </x:c>
      <x:c r="C535" s="1" t="str">
        <x:v>greenfields--iow--limited-v-isle-of-wight-council---westridge-village-limited</x:v>
      </x:c>
      <x:c r="D535" s="12" t="n">
        <x:v>46100.60303802083</x:v>
      </x:c>
      <x:c r="E535" s="1" t="str">
        <x:v>no</x:v>
      </x:c>
      <x:c r="F535" s="14" t="str"/>
      <x:c r="G535" s="14" t="n">
        <x:v>14</x:v>
      </x:c>
      <x:c r="H535" s="14" t="str">
        <x:v>4c3b8da7-6c82-4056-ab98-dea339f7af1d</x:v>
      </x:c>
      <x:c r="I535" s="14" t="str">
        <x:v>Ashchurch Rural Parish Council, R (On the Application Of) v Tewkesbury Borough Council [2023] EWCA Civ 101</x:v>
      </x:c>
      <x:c r="J535" s="14" t="str">
        <x:v>England and Wales Court of Appeal (Civil Division)</x:v>
      </x:c>
      <x:c r="K535" s="14" t="n">
        <x:v>2023</x:v>
      </x:c>
      <x:c r="L535" s="15" t="n">
        <x:v>0.74821585</x:v>
      </x:c>
      <x:c r="M535" s="14" t="n">
        <x:v>2</x:v>
      </x:c>
      <x:c r="N535" s="14" t="str">
        <x:v>R (Samuel Smith Old Brewery) v North Yorkshire CC [2020] UKSC 3</x:v>
      </x:c>
    </x:row>
    <x:row r="536">
      <x:c r="A536" s="1" t="str">
        <x:v>cmmxkf3xl000l04l7ld062u5d</x:v>
      </x:c>
      <x:c r="B536" s="1" t="str">
        <x:v>cmmxhmaji000604l8iyhbwnn1</x:v>
      </x:c>
      <x:c r="C536" s="1" t="str">
        <x:v>greenfields--iow--limited-v-isle-of-wight-council---westridge-village-limited</x:v>
      </x:c>
      <x:c r="D536" s="12" t="n">
        <x:v>46100.60303802083</x:v>
      </x:c>
      <x:c r="E536" s="1" t="str">
        <x:v>no</x:v>
      </x:c>
      <x:c r="F536" s="14" t="str"/>
      <x:c r="G536" s="14" t="n">
        <x:v>15</x:v>
      </x:c>
      <x:c r="H536" s="14" t="str">
        <x:v>1fa1d79c-da17-4ba8-837f-04da48af3a19</x:v>
      </x:c>
      <x:c r="I536" s="14" t="str">
        <x:v>JZ v Secretary of State for the Home Department &amp; Ors [2023] EWCA Civ 178</x:v>
      </x:c>
      <x:c r="J536" s="14" t="str">
        <x:v>England and Wales Court of Appeal (Civil Division)</x:v>
      </x:c>
      <x:c r="K536" s="14" t="n">
        <x:v>2023</x:v>
      </x:c>
      <x:c r="L536" s="15" t="n">
        <x:v>0.74772316</x:v>
      </x:c>
      <x:c r="M536" s="14" t="n">
        <x:v>1</x:v>
      </x:c>
      <x:c r="N536" s="14" t="str">
        <x:v>[2022] EWHC 2156 (Admin) | [2023] EWCA Civ 178</x:v>
      </x:c>
    </x:row>
    <x:row r="537">
      <x:c r="A537" s="1" t="str">
        <x:v>cmmxkf3xl000l04l7ld062u5d</x:v>
      </x:c>
      <x:c r="B537" s="1" t="str">
        <x:v>cmmxhmaji000604l8iyhbwnn1</x:v>
      </x:c>
      <x:c r="C537" s="1" t="str">
        <x:v>greenfields--iow--limited-v-isle-of-wight-council---westridge-village-limited</x:v>
      </x:c>
      <x:c r="D537" s="12" t="n">
        <x:v>46100.60303802083</x:v>
      </x:c>
      <x:c r="E537" s="1" t="str">
        <x:v>no</x:v>
      </x:c>
      <x:c r="F537" s="14" t="str"/>
      <x:c r="G537" s="14" t="n">
        <x:v>16</x:v>
      </x:c>
      <x:c r="H537" s="14" t="str">
        <x:v>9034c8de-ac8c-45a1-9a63-569c390554ca</x:v>
      </x:c>
      <x:c r="I537" s="14" t="str">
        <x:v>Thurston Parish Council, R (On the Application Of) v Mid Suffolk District Council &amp; Anor [2022] EWCA Civ 1417</x:v>
      </x:c>
      <x:c r="J537" s="14" t="str">
        <x:v>England and Wales Court of Appeal (Civil Division)</x:v>
      </x:c>
      <x:c r="K537" s="14" t="n">
        <x:v>2022</x:v>
      </x:c>
      <x:c r="L537" s="15" t="n">
        <x:v>0.7472589</x:v>
      </x:c>
      <x:c r="M537" s="14" t="n">
        <x:v>1</x:v>
      </x:c>
      <x:c r="N537" s="14" t="str">
        <x:v>EWHC 352 Admin | EWCA Civ 1417</x:v>
      </x:c>
    </x:row>
    <x:row r="538">
      <x:c r="A538" s="1" t="str">
        <x:v>cmmxkf3xl000l04l7ld062u5d</x:v>
      </x:c>
      <x:c r="B538" s="1" t="str">
        <x:v>cmmxhmaji000604l8iyhbwnn1</x:v>
      </x:c>
      <x:c r="C538" s="1" t="str">
        <x:v>greenfields--iow--limited-v-isle-of-wight-council---westridge-village-limited</x:v>
      </x:c>
      <x:c r="D538" s="12" t="n">
        <x:v>46100.60303802083</x:v>
      </x:c>
      <x:c r="E538" s="1" t="str">
        <x:v>no</x:v>
      </x:c>
      <x:c r="F538" s="14" t="str"/>
      <x:c r="G538" s="14" t="n">
        <x:v>17</x:v>
      </x:c>
      <x:c r="H538" s="14" t="str">
        <x:v>1d957476-2c0d-4578-8a43-679ec600e382</x:v>
      </x:c>
      <x:c r="I538" s="14" t="str">
        <x:v>Wyatt v Fareham Borough Council (Rev1) [2022] EWCA Civ 983</x:v>
      </x:c>
      <x:c r="J538" s="14" t="str">
        <x:v>England and Wales Court of Appeal (Civil Division)</x:v>
      </x:c>
      <x:c r="K538" s="14" t="n">
        <x:v>2022</x:v>
      </x:c>
      <x:c r="L538" s="15" t="n">
        <x:v>0.7470849</x:v>
      </x:c>
      <x:c r="M538" s="14" t="n">
        <x:v>1</x:v>
      </x:c>
      <x:c r="N538" s="14" t="str"/>
    </x:row>
    <x:row r="539">
      <x:c r="A539" s="1" t="str">
        <x:v>cmmxkf3xl000l04l7ld062u5d</x:v>
      </x:c>
      <x:c r="B539" s="1" t="str">
        <x:v>cmmxhmaji000604l8iyhbwnn1</x:v>
      </x:c>
      <x:c r="C539" s="1" t="str">
        <x:v>greenfields--iow--limited-v-isle-of-wight-council---westridge-village-limited</x:v>
      </x:c>
      <x:c r="D539" s="12" t="n">
        <x:v>46100.60303802083</x:v>
      </x:c>
      <x:c r="E539" s="1" t="str">
        <x:v>no</x:v>
      </x:c>
      <x:c r="F539" s="14" t="str"/>
      <x:c r="G539" s="14" t="n">
        <x:v>18</x:v>
      </x:c>
      <x:c r="H539" s="14" t="str">
        <x:v>d8078437-185a-46df-8b83-bd5240184911</x:v>
      </x:c>
      <x:c r="I539" s="14" t="str">
        <x:v>MH (Eritrea) v Secretary of State for the Home Department (Rev1), [2022] EWCA Civ 1296</x:v>
      </x:c>
      <x:c r="J539" s="14" t="str">
        <x:v>England and Wales Court of Appeal (Civil Division)</x:v>
      </x:c>
      <x:c r="K539" s="14" t="n">
        <x:v>2022</x:v>
      </x:c>
      <x:c r="L539" s="15" t="n">
        <x:v>0.74436957</x:v>
      </x:c>
      <x:c r="M539" s="14" t="n">
        <x:v>1</x:v>
      </x:c>
      <x:c r="N539" s="14" t="str"/>
    </x:row>
    <x:row r="540">
      <x:c r="A540" s="1" t="str">
        <x:v>cmmxkf3xl000l04l7ld062u5d</x:v>
      </x:c>
      <x:c r="B540" s="1" t="str">
        <x:v>cmmxhmaji000604l8iyhbwnn1</x:v>
      </x:c>
      <x:c r="C540" s="1" t="str">
        <x:v>greenfields--iow--limited-v-isle-of-wight-council---westridge-village-limited</x:v>
      </x:c>
      <x:c r="D540" s="12" t="n">
        <x:v>46100.60303802083</x:v>
      </x:c>
      <x:c r="E540" s="1" t="str">
        <x:v>no</x:v>
      </x:c>
      <x:c r="F540" s="14" t="str"/>
      <x:c r="G540" s="14" t="n">
        <x:v>19</x:v>
      </x:c>
      <x:c r="H540" s="14" t="str">
        <x:v>671c3057-8376-4da1-82b8-7a83b79c33d1</x:v>
      </x:c>
      <x:c r="I540" s="14" t="str">
        <x:v>Kinnersley, R (On the Application Of) v Maidstone Borough Council [2023] EWCA Civ 172</x:v>
      </x:c>
      <x:c r="J540" s="14" t="str">
        <x:v>England and Wales Court of Appeal (Civil Division)</x:v>
      </x:c>
      <x:c r="K540" s="14" t="n">
        <x:v>2023</x:v>
      </x:c>
      <x:c r="L540" s="15" t="n">
        <x:v>0.73428684</x:v>
      </x:c>
      <x:c r="M540" s="14" t="n">
        <x:v>1</x:v>
      </x:c>
      <x:c r="N540" s="14" t="str"/>
    </x:row>
    <x:row r="541">
      <x:c r="A541" s="1" t="str">
        <x:v>cmmxkf3xl000l04l7ld062u5d</x:v>
      </x:c>
      <x:c r="B541" s="1" t="str">
        <x:v>cmmxhmaji000604l8iyhbwnn1</x:v>
      </x:c>
      <x:c r="C541" s="1" t="str">
        <x:v>greenfields--iow--limited-v-isle-of-wight-council---westridge-village-limited</x:v>
      </x:c>
      <x:c r="D541" s="12" t="n">
        <x:v>46100.60303802083</x:v>
      </x:c>
      <x:c r="E541" s="1" t="str">
        <x:v>no</x:v>
      </x:c>
      <x:c r="F541" s="14" t="str"/>
      <x:c r="G541" s="14" t="n">
        <x:v>20</x:v>
      </x:c>
      <x:c r="H541" s="14" t="str">
        <x:v>3ff34419-ffbc-40f9-a087-a1cb1371d0e1</x:v>
      </x:c>
      <x:c r="I541" s="14" t="str">
        <x:v>Vicente &amp; Anor v Secretary of State for Communities and Local Government &amp; Anor [2014] EWCA Civ 1555</x:v>
      </x:c>
      <x:c r="J541" s="14" t="str">
        <x:v>England and Wales Court of Appeal (Civil Division)</x:v>
      </x:c>
      <x:c r="K541" s="14" t="n">
        <x:v>2014</x:v>
      </x:c>
      <x:c r="L541" s="15" t="n">
        <x:v>0.72905797</x:v>
      </x:c>
      <x:c r="M541" s="14" t="n">
        <x:v>2</x:v>
      </x:c>
      <x:c r="N541" s="14" t="str">
        <x:v>R(Gul) v. Secretary of State for Justice | Hopkins Developments v. Secretary of State</x:v>
      </x:c>
    </x:row>
    <x:row r="542">
      <x:c r="A542" s="1" t="str">
        <x:v>cmmxkffsr000r04l7pl679bka</x:v>
      </x:c>
      <x:c r="B542" s="1" t="str">
        <x:v>cmmxhmaji000604l8iyhbwnn1</x:v>
      </x:c>
      <x:c r="C542" s="1" t="str">
        <x:v>greenfields--iow--limited-v-isle-of-wight-council---westridge-village-limited</x:v>
      </x:c>
      <x:c r="D542" s="12" t="n">
        <x:v>46100.60321599537</x:v>
      </x:c>
      <x:c r="E542" s="1" t="str">
        <x:v>no</x:v>
      </x:c>
      <x:c r="F542" s="14" t="str"/>
      <x:c r="G542" s="14" t="n">
        <x:v>1</x:v>
      </x:c>
      <x:c r="H542" s="14" t="str">
        <x:v>76e6ffcd-af03-4155-a667-51d98a79d1d7</x:v>
      </x:c>
      <x:c r="I542" s="14" t="str">
        <x:v>Arnold White Estates Ltd v The Forestry Commission [2022] EWCA Civ 1304</x:v>
      </x:c>
      <x:c r="J542" s="14" t="str">
        <x:v>England and Wales Court of Appeal (Civil Division)</x:v>
      </x:c>
      <x:c r="K542" s="14" t="n">
        <x:v>2022</x:v>
      </x:c>
      <x:c r="L542" s="15" t="n">
        <x:v>0.7636622</x:v>
      </x:c>
      <x:c r="M542" s="14" t="n">
        <x:v>1</x:v>
      </x:c>
      <x:c r="N542" s="14" t="str">
        <x:v>R. (on the application of Thornton Hall Hotel Ltd.) v Wirral Metropolitan Borough Council (2019) EWCA Civ 737</x:v>
      </x:c>
    </x:row>
    <x:row r="543">
      <x:c r="A543" s="1" t="str">
        <x:v>cmmxkffsr000r04l7pl679bka</x:v>
      </x:c>
      <x:c r="B543" s="1" t="str">
        <x:v>cmmxhmaji000604l8iyhbwnn1</x:v>
      </x:c>
      <x:c r="C543" s="1" t="str">
        <x:v>greenfields--iow--limited-v-isle-of-wight-council---westridge-village-limited</x:v>
      </x:c>
      <x:c r="D543" s="12" t="n">
        <x:v>46100.60321599537</x:v>
      </x:c>
      <x:c r="E543" s="1" t="str">
        <x:v>no</x:v>
      </x:c>
      <x:c r="F543" s="14" t="str"/>
      <x:c r="G543" s="14" t="n">
        <x:v>2</x:v>
      </x:c>
      <x:c r="H543" s="14" t="str">
        <x:v>7f44d9a8-2459-4f6a-84fc-e475bb8f169a</x:v>
      </x:c>
      <x:c r="I543" s="14" t="str">
        <x:v>Secretary of State for Levelling Up, Housing and Communities v Smith &amp; Anor [2023] EWCA Civ 514</x:v>
      </x:c>
      <x:c r="J543" s="14" t="str">
        <x:v>England and Wales Court of Appeal (Civil Division)</x:v>
      </x:c>
      <x:c r="K543" s="14" t="n">
        <x:v>2023</x:v>
      </x:c>
      <x:c r="L543" s="15" t="n">
        <x:v>0.761008</x:v>
      </x:c>
      <x:c r="M543" s="14" t="n">
        <x:v>7</x:v>
      </x:c>
      <x:c r="N543" s="14" t="str">
        <x:v>[2022] EWHC 3209 (Admin) | Harris | Ms Williams (commentary) | Harris (planning fairness)</x:v>
      </x:c>
    </x:row>
    <x:row r="544">
      <x:c r="A544" s="1" t="str">
        <x:v>cmmxkffsr000r04l7pl679bka</x:v>
      </x:c>
      <x:c r="B544" s="1" t="str">
        <x:v>cmmxhmaji000604l8iyhbwnn1</x:v>
      </x:c>
      <x:c r="C544" s="1" t="str">
        <x:v>greenfields--iow--limited-v-isle-of-wight-council---westridge-village-limited</x:v>
      </x:c>
      <x:c r="D544" s="12" t="n">
        <x:v>46100.60321599537</x:v>
      </x:c>
      <x:c r="E544" s="1" t="str">
        <x:v>no</x:v>
      </x:c>
      <x:c r="F544" s="14" t="str"/>
      <x:c r="G544" s="14" t="n">
        <x:v>3</x:v>
      </x:c>
      <x:c r="H544" s="14" t="str">
        <x:v>776a8070-aa6f-410e-b91e-2e1fcadadb9b</x:v>
      </x:c>
      <x:c r="I544" s="14" t="str">
        <x:v>Sheakh, R (On the Application Of) v London Borough of Lambeth Council [2022] EWCA Civ 457 (05 April 2022)</x:v>
      </x:c>
      <x:c r="J544" s="14" t="str">
        <x:v>England and Wales Court of Appeal (Civil Division)</x:v>
      </x:c>
      <x:c r="K544" s="14" t="n">
        <x:v>2022</x:v>
      </x:c>
      <x:c r="L544" s="15" t="n">
        <x:v>0.76048994</x:v>
      </x:c>
      <x:c r="M544" s="14" t="n">
        <x:v>1</x:v>
      </x:c>
      <x:c r="N544" s="14" t="str">
        <x:v>R. (Bailey) v Brent LBC [2011] EWCA Civ 1586</x:v>
      </x:c>
    </x:row>
    <x:row r="545">
      <x:c r="A545" s="1" t="str">
        <x:v>cmmxkffsr000r04l7pl679bka</x:v>
      </x:c>
      <x:c r="B545" s="1" t="str">
        <x:v>cmmxhmaji000604l8iyhbwnn1</x:v>
      </x:c>
      <x:c r="C545" s="1" t="str">
        <x:v>greenfields--iow--limited-v-isle-of-wight-council---westridge-village-limited</x:v>
      </x:c>
      <x:c r="D545" s="12" t="n">
        <x:v>46100.60321599537</x:v>
      </x:c>
      <x:c r="E545" s="1" t="str">
        <x:v>no</x:v>
      </x:c>
      <x:c r="F545" s="14" t="str"/>
      <x:c r="G545" s="14" t="n">
        <x:v>4</x:v>
      </x:c>
      <x:c r="H545" s="14" t="str">
        <x:v>3fae9752-b3e5-4a98-a0e5-5ade79ee3e8d</x:v>
      </x:c>
      <x:c r="I545" s="14" t="str">
        <x:v>East Quayside 12 LLP v The Council of the City of Newcastle upon Tyne [2023] EWCA Civ 359</x:v>
      </x:c>
      <x:c r="J545" s="14" t="str">
        <x:v>England and Wales Court of Appeal (Civil Division)</x:v>
      </x:c>
      <x:c r="K545" s="14" t="n">
        <x:v>2023</x:v>
      </x:c>
      <x:c r="L545" s="15" t="n">
        <x:v>0.7604697</x:v>
      </x:c>
      <x:c r="M545" s="14" t="n">
        <x:v>1</x:v>
      </x:c>
      <x:c r="N545" s="14" t="str"/>
    </x:row>
    <x:row r="546">
      <x:c r="A546" s="1" t="str">
        <x:v>cmmxkffsr000r04l7pl679bka</x:v>
      </x:c>
      <x:c r="B546" s="1" t="str">
        <x:v>cmmxhmaji000604l8iyhbwnn1</x:v>
      </x:c>
      <x:c r="C546" s="1" t="str">
        <x:v>greenfields--iow--limited-v-isle-of-wight-council---westridge-village-limited</x:v>
      </x:c>
      <x:c r="D546" s="12" t="n">
        <x:v>46100.60321599537</x:v>
      </x:c>
      <x:c r="E546" s="1" t="str">
        <x:v>no</x:v>
      </x:c>
      <x:c r="F546" s="14" t="str"/>
      <x:c r="G546" s="14" t="n">
        <x:v>5</x:v>
      </x:c>
      <x:c r="H546" s="14" t="str">
        <x:v>6cd7db33-7ee1-44c0-9219-b2cc7d57d88b</x:v>
      </x:c>
      <x:c r="I546" s="14" t="str">
        <x:v>Smith v Secretary of State for Levelling Up, Housing &amp; Communities &amp; Anor [2022] EWCA Civ 1391</x:v>
      </x:c>
      <x:c r="J546" s="14" t="str">
        <x:v>England and Wales Court of Appeal (Civil Division)</x:v>
      </x:c>
      <x:c r="K546" s="14" t="n">
        <x:v>2022</x:v>
      </x:c>
      <x:c r="L546" s="15" t="n">
        <x:v>0.76037574</x:v>
      </x:c>
      <x:c r="M546" s="14" t="n">
        <x:v>1</x:v>
      </x:c>
      <x:c r="N546" s="14" t="str">
        <x:v>[2021] EWHC 1650 (Admin)</x:v>
      </x:c>
    </x:row>
    <x:row r="547">
      <x:c r="A547" s="1" t="str">
        <x:v>cmmxkffsr000r04l7pl679bka</x:v>
      </x:c>
      <x:c r="B547" s="1" t="str">
        <x:v>cmmxhmaji000604l8iyhbwnn1</x:v>
      </x:c>
      <x:c r="C547" s="1" t="str">
        <x:v>greenfields--iow--limited-v-isle-of-wight-council---westridge-village-limited</x:v>
      </x:c>
      <x:c r="D547" s="12" t="n">
        <x:v>46100.60321599537</x:v>
      </x:c>
      <x:c r="E547" s="1" t="str">
        <x:v>no</x:v>
      </x:c>
      <x:c r="F547" s="14" t="str"/>
      <x:c r="G547" s="14" t="n">
        <x:v>6</x:v>
      </x:c>
      <x:c r="H547" s="14" t="str">
        <x:v>235388cd-5994-4cf3-b7e7-c349382ef164</x:v>
      </x:c>
      <x:c r="I547" s="14" t="str">
        <x:v>Save Britain's Heritage, R (On the Application Of) v Davies (Rev1) [2023] EWCA Civ 723</x:v>
      </x:c>
      <x:c r="J547" s="14" t="str">
        <x:v>England and Wales Court of Appeal (Civil Division)</x:v>
      </x:c>
      <x:c r="K547" s="14" t="n">
        <x:v>2023</x:v>
      </x:c>
      <x:c r="L547" s="15" t="n">
        <x:v>0.7595707</x:v>
      </x:c>
      <x:c r="M547" s="14" t="n">
        <x:v>3</x:v>
      </x:c>
      <x:c r="N547" s="14" t="str">
        <x:v>2022 EWHC 2984 (Admin) | [2023] EWCA Civ 723 | Town and Country Planning Order 2015 (as amended)</x:v>
      </x:c>
    </x:row>
    <x:row r="548">
      <x:c r="A548" s="1" t="str">
        <x:v>cmmxkffsr000r04l7pl679bka</x:v>
      </x:c>
      <x:c r="B548" s="1" t="str">
        <x:v>cmmxhmaji000604l8iyhbwnn1</x:v>
      </x:c>
      <x:c r="C548" s="1" t="str">
        <x:v>greenfields--iow--limited-v-isle-of-wight-council---westridge-village-limited</x:v>
      </x:c>
      <x:c r="D548" s="12" t="n">
        <x:v>46100.60321599537</x:v>
      </x:c>
      <x:c r="E548" s="1" t="str">
        <x:v>no</x:v>
      </x:c>
      <x:c r="F548" s="14" t="str"/>
      <x:c r="G548" s="14" t="n">
        <x:v>7</x:v>
      </x:c>
      <x:c r="H548" s="14" t="str">
        <x:v>a1b35831-8ed8-43ad-bc7e-488100344627</x:v>
      </x:c>
      <x:c r="I548" s="14" t="str">
        <x:v>Corbett v Cornwall Council [2022] EWCA Civ 1069</x:v>
      </x:c>
      <x:c r="J548" s="14" t="str">
        <x:v>England and Wales Court of Appeal (Civil Division)</x:v>
      </x:c>
      <x:c r="K548" s="14" t="n">
        <x:v>2022</x:v>
      </x:c>
      <x:c r="L548" s="15" t="n">
        <x:v>0.75545466</x:v>
      </x:c>
      <x:c r="M548" s="14" t="n">
        <x:v>1</x:v>
      </x:c>
      <x:c r="N548" s="14" t="str"/>
    </x:row>
    <x:row r="549">
      <x:c r="A549" s="1" t="str">
        <x:v>cmmxkffsr000r04l7pl679bka</x:v>
      </x:c>
      <x:c r="B549" s="1" t="str">
        <x:v>cmmxhmaji000604l8iyhbwnn1</x:v>
      </x:c>
      <x:c r="C549" s="1" t="str">
        <x:v>greenfields--iow--limited-v-isle-of-wight-council---westridge-village-limited</x:v>
      </x:c>
      <x:c r="D549" s="12" t="n">
        <x:v>46100.60321599537</x:v>
      </x:c>
      <x:c r="E549" s="1" t="str">
        <x:v>no</x:v>
      </x:c>
      <x:c r="F549" s="14" t="str"/>
      <x:c r="G549" s="14" t="n">
        <x:v>8</x:v>
      </x:c>
      <x:c r="H549" s="14" t="str">
        <x:v>aa66d157-e659-4b1f-9c8a-39b98d92a107</x:v>
      </x:c>
      <x:c r="I549" s="14" t="str">
        <x:v>CAB Housing Limited v Secretary of State for Levelling Up, Housing and Communities &amp; Anor [2023] EWCA Civ 194</x:v>
      </x:c>
      <x:c r="J549" s="14" t="str">
        <x:v>England and Wales Court of Appeal (Civil Division)</x:v>
      </x:c>
      <x:c r="K549" s="14" t="n">
        <x:v>2023</x:v>
      </x:c>
      <x:c r="L549" s="15" t="n">
        <x:v>0.7536721</x:v>
      </x:c>
      <x:c r="M549" s="14" t="n">
        <x:v>1</x:v>
      </x:c>
      <x:c r="N549" s="14" t="str">
        <x:v>[2022] EWHC 208 Admin</x:v>
      </x:c>
    </x:row>
    <x:row r="550">
      <x:c r="A550" s="1" t="str">
        <x:v>cmmxkffsr000r04l7pl679bka</x:v>
      </x:c>
      <x:c r="B550" s="1" t="str">
        <x:v>cmmxhmaji000604l8iyhbwnn1</x:v>
      </x:c>
      <x:c r="C550" s="1" t="str">
        <x:v>greenfields--iow--limited-v-isle-of-wight-council---westridge-village-limited</x:v>
      </x:c>
      <x:c r="D550" s="12" t="n">
        <x:v>46100.60321599537</x:v>
      </x:c>
      <x:c r="E550" s="1" t="str">
        <x:v>no</x:v>
      </x:c>
      <x:c r="F550" s="14" t="str"/>
      <x:c r="G550" s="14" t="n">
        <x:v>9</x:v>
      </x:c>
      <x:c r="H550" s="14" t="str">
        <x:v>0642e885-86b3-4c0b-84a2-2005424f4309</x:v>
      </x:c>
      <x:c r="I550" s="14" t="str">
        <x:v>Sahota, R (On the Application Of) v Herefordshire Council [2022] EWCA Civ 1640</x:v>
      </x:c>
      <x:c r="J550" s="14" t="str">
        <x:v>England and Wales Court of Appeal (Civil Division)</x:v>
      </x:c>
      <x:c r="K550" s="14" t="n">
        <x:v>2022</x:v>
      </x:c>
      <x:c r="L550" s="15" t="n">
        <x:v>0.7528498</x:v>
      </x:c>
      <x:c r="M550" s="14" t="n">
        <x:v>2</x:v>
      </x:c>
      <x:c r="N550" s="14" t="str">
        <x:v>Stuart-Smith LJ | Court of Appeal procedures | Regulation 63 Habitats Regulations 2017</x:v>
      </x:c>
    </x:row>
    <x:row r="551">
      <x:c r="A551" s="1" t="str">
        <x:v>cmmxkffsr000r04l7pl679bka</x:v>
      </x:c>
      <x:c r="B551" s="1" t="str">
        <x:v>cmmxhmaji000604l8iyhbwnn1</x:v>
      </x:c>
      <x:c r="C551" s="1" t="str">
        <x:v>greenfields--iow--limited-v-isle-of-wight-council---westridge-village-limited</x:v>
      </x:c>
      <x:c r="D551" s="12" t="n">
        <x:v>46100.60321599537</x:v>
      </x:c>
      <x:c r="E551" s="1" t="str">
        <x:v>no</x:v>
      </x:c>
      <x:c r="F551" s="14" t="str"/>
      <x:c r="G551" s="14" t="n">
        <x:v>10</x:v>
      </x:c>
      <x:c r="H551" s="14" t="str">
        <x:v>90743ee0-c75d-4140-93eb-89a3938f7523</x:v>
      </x:c>
      <x:c r="I551" s="14" t="str">
        <x:v>Devine v Secretary of State for Levelling Up, Housing and Communities [2023] EWCA Civ 601</x:v>
      </x:c>
      <x:c r="J551" s="14" t="str">
        <x:v>England and Wales Court of Appeal (Civil Division)</x:v>
      </x:c>
      <x:c r="K551" s="14" t="n">
        <x:v>2023</x:v>
      </x:c>
      <x:c r="L551" s="15" t="n">
        <x:v>0.7527217</x:v>
      </x:c>
      <x:c r="M551" s="14" t="n">
        <x:v>1</x:v>
      </x:c>
      <x:c r="N551" s="14" t="str">
        <x:v>[2022] EWHC 2031 (Admin)</x:v>
      </x:c>
    </x:row>
    <x:row r="552">
      <x:c r="A552" s="1" t="str">
        <x:v>cmmxkffsr000r04l7pl679bka</x:v>
      </x:c>
      <x:c r="B552" s="1" t="str">
        <x:v>cmmxhmaji000604l8iyhbwnn1</x:v>
      </x:c>
      <x:c r="C552" s="1" t="str">
        <x:v>greenfields--iow--limited-v-isle-of-wight-council---westridge-village-limited</x:v>
      </x:c>
      <x:c r="D552" s="12" t="n">
        <x:v>46100.60321599537</x:v>
      </x:c>
      <x:c r="E552" s="1" t="str">
        <x:v>no</x:v>
      </x:c>
      <x:c r="F552" s="14" t="str"/>
      <x:c r="G552" s="14" t="n">
        <x:v>11</x:v>
      </x:c>
      <x:c r="H552" s="14" t="str">
        <x:v>3bdf2d7a-d886-4bb3-ba30-9c4b472a4f7c</x:v>
      </x:c>
      <x:c r="I552" s="14" t="str">
        <x:v>Gardiner v Hertsmere Borough Council &amp; Anor [2022] EWCA Civ 1162</x:v>
      </x:c>
      <x:c r="J552" s="14" t="str">
        <x:v>England and Wales Court of Appeal (Civil Division)</x:v>
      </x:c>
      <x:c r="K552" s="14" t="n">
        <x:v>2022</x:v>
      </x:c>
      <x:c r="L552" s="15" t="n">
        <x:v>0.7522283</x:v>
      </x:c>
      <x:c r="M552" s="14" t="n">
        <x:v>1</x:v>
      </x:c>
      <x:c r="N552" s="14" t="str">
        <x:v>Gardiner v Hertsmere Borough Council &amp; Anor [2022] EWCA Civ 1162</x:v>
      </x:c>
    </x:row>
    <x:row r="553">
      <x:c r="A553" s="1" t="str">
        <x:v>cmmxkffsr000r04l7pl679bka</x:v>
      </x:c>
      <x:c r="B553" s="1" t="str">
        <x:v>cmmxhmaji000604l8iyhbwnn1</x:v>
      </x:c>
      <x:c r="C553" s="1" t="str">
        <x:v>greenfields--iow--limited-v-isle-of-wight-council---westridge-village-limited</x:v>
      </x:c>
      <x:c r="D553" s="12" t="n">
        <x:v>46100.60321599537</x:v>
      </x:c>
      <x:c r="E553" s="1" t="str">
        <x:v>no</x:v>
      </x:c>
      <x:c r="F553" s="14" t="str"/>
      <x:c r="G553" s="14" t="n">
        <x:v>12</x:v>
      </x:c>
      <x:c r="H553" s="14" t="str">
        <x:v>1f4a0cfb-5359-49da-93e8-89cbb817ebca</x:v>
      </x:c>
      <x:c r="I553" s="14" t="str">
        <x:v>Whitley Parish Council, R (On the Application Of) v North Yorkshire County Council &amp; Anor [2023] EWCA Civ 92</x:v>
      </x:c>
      <x:c r="J553" s="14" t="str">
        <x:v>England and Wales Court of Appeal (Civil Division)</x:v>
      </x:c>
      <x:c r="K553" s="14" t="n">
        <x:v>2023</x:v>
      </x:c>
      <x:c r="L553" s="15" t="n">
        <x:v>0.7495051</x:v>
      </x:c>
      <x:c r="M553" s="14" t="n">
        <x:v>1</x:v>
      </x:c>
      <x:c r="N553" s="14" t="str"/>
    </x:row>
    <x:row r="554">
      <x:c r="A554" s="1" t="str">
        <x:v>cmmxkffsr000r04l7pl679bka</x:v>
      </x:c>
      <x:c r="B554" s="1" t="str">
        <x:v>cmmxhmaji000604l8iyhbwnn1</x:v>
      </x:c>
      <x:c r="C554" s="1" t="str">
        <x:v>greenfields--iow--limited-v-isle-of-wight-council---westridge-village-limited</x:v>
      </x:c>
      <x:c r="D554" s="12" t="n">
        <x:v>46100.60321599537</x:v>
      </x:c>
      <x:c r="E554" s="1" t="str">
        <x:v>no</x:v>
      </x:c>
      <x:c r="F554" s="14" t="str"/>
      <x:c r="G554" s="14" t="n">
        <x:v>13</x:v>
      </x:c>
      <x:c r="H554" s="14" t="str">
        <x:v>c370bf30-4fed-4187-beea-6476e69f964f</x:v>
      </x:c>
      <x:c r="I554" s="14" t="str">
        <x:v>Braithwaite and Melton Meadows Properties Ltd, R (On the Application Of) v East Suffolk Council [2022] EWCA Civ 1716</x:v>
      </x:c>
      <x:c r="J554" s="14" t="str">
        <x:v>England and Wales Court of Appeal (Civil Division)</x:v>
      </x:c>
      <x:c r="K554" s="14" t="n">
        <x:v>2022</x:v>
      </x:c>
      <x:c r="L554" s="15" t="n">
        <x:v>0.7493913</x:v>
      </x:c>
      <x:c r="M554" s="14" t="n">
        <x:v>1</x:v>
      </x:c>
      <x:c r="N554" s="14" t="str"/>
    </x:row>
    <x:row r="555">
      <x:c r="A555" s="1" t="str">
        <x:v>cmmxkffsr000r04l7pl679bka</x:v>
      </x:c>
      <x:c r="B555" s="1" t="str">
        <x:v>cmmxhmaji000604l8iyhbwnn1</x:v>
      </x:c>
      <x:c r="C555" s="1" t="str">
        <x:v>greenfields--iow--limited-v-isle-of-wight-council---westridge-village-limited</x:v>
      </x:c>
      <x:c r="D555" s="12" t="n">
        <x:v>46100.60321599537</x:v>
      </x:c>
      <x:c r="E555" s="1" t="str">
        <x:v>no</x:v>
      </x:c>
      <x:c r="F555" s="14" t="str"/>
      <x:c r="G555" s="14" t="n">
        <x:v>14</x:v>
      </x:c>
      <x:c r="H555" s="14" t="str">
        <x:v>4c3b8da7-6c82-4056-ab98-dea339f7af1d</x:v>
      </x:c>
      <x:c r="I555" s="14" t="str">
        <x:v>Ashchurch Rural Parish Council, R (On the Application Of) v Tewkesbury Borough Council [2023] EWCA Civ 101</x:v>
      </x:c>
      <x:c r="J555" s="14" t="str">
        <x:v>England and Wales Court of Appeal (Civil Division)</x:v>
      </x:c>
      <x:c r="K555" s="14" t="n">
        <x:v>2023</x:v>
      </x:c>
      <x:c r="L555" s="15" t="n">
        <x:v>0.74837226</x:v>
      </x:c>
      <x:c r="M555" s="14" t="n">
        <x:v>2</x:v>
      </x:c>
      <x:c r="N555" s="14" t="str">
        <x:v>R (Samuel Smith Old Brewery) v North Yorkshire CC [2020] UKSC 3</x:v>
      </x:c>
    </x:row>
    <x:row r="556">
      <x:c r="A556" s="1" t="str">
        <x:v>cmmxkffsr000r04l7pl679bka</x:v>
      </x:c>
      <x:c r="B556" s="1" t="str">
        <x:v>cmmxhmaji000604l8iyhbwnn1</x:v>
      </x:c>
      <x:c r="C556" s="1" t="str">
        <x:v>greenfields--iow--limited-v-isle-of-wight-council---westridge-village-limited</x:v>
      </x:c>
      <x:c r="D556" s="12" t="n">
        <x:v>46100.60321599537</x:v>
      </x:c>
      <x:c r="E556" s="1" t="str">
        <x:v>no</x:v>
      </x:c>
      <x:c r="F556" s="14" t="str"/>
      <x:c r="G556" s="14" t="n">
        <x:v>15</x:v>
      </x:c>
      <x:c r="H556" s="14" t="str">
        <x:v>1fa1d79c-da17-4ba8-837f-04da48af3a19</x:v>
      </x:c>
      <x:c r="I556" s="14" t="str">
        <x:v>JZ v Secretary of State for the Home Department &amp; Ors [2023] EWCA Civ 178</x:v>
      </x:c>
      <x:c r="J556" s="14" t="str">
        <x:v>England and Wales Court of Appeal (Civil Division)</x:v>
      </x:c>
      <x:c r="K556" s="14" t="n">
        <x:v>2023</x:v>
      </x:c>
      <x:c r="L556" s="15" t="n">
        <x:v>0.74793345</x:v>
      </x:c>
      <x:c r="M556" s="14" t="n">
        <x:v>1</x:v>
      </x:c>
      <x:c r="N556" s="14" t="str">
        <x:v>[2022] EWHC 2156 (Admin) | [2023] EWCA Civ 178</x:v>
      </x:c>
    </x:row>
    <x:row r="557">
      <x:c r="A557" s="1" t="str">
        <x:v>cmmxkffsr000r04l7pl679bka</x:v>
      </x:c>
      <x:c r="B557" s="1" t="str">
        <x:v>cmmxhmaji000604l8iyhbwnn1</x:v>
      </x:c>
      <x:c r="C557" s="1" t="str">
        <x:v>greenfields--iow--limited-v-isle-of-wight-council---westridge-village-limited</x:v>
      </x:c>
      <x:c r="D557" s="12" t="n">
        <x:v>46100.60321599537</x:v>
      </x:c>
      <x:c r="E557" s="1" t="str">
        <x:v>no</x:v>
      </x:c>
      <x:c r="F557" s="14" t="str"/>
      <x:c r="G557" s="14" t="n">
        <x:v>16</x:v>
      </x:c>
      <x:c r="H557" s="14" t="str">
        <x:v>9034c8de-ac8c-45a1-9a63-569c390554ca</x:v>
      </x:c>
      <x:c r="I557" s="14" t="str">
        <x:v>Thurston Parish Council, R (On the Application Of) v Mid Suffolk District Council &amp; Anor [2022] EWCA Civ 1417</x:v>
      </x:c>
      <x:c r="J557" s="14" t="str">
        <x:v>England and Wales Court of Appeal (Civil Division)</x:v>
      </x:c>
      <x:c r="K557" s="14" t="n">
        <x:v>2022</x:v>
      </x:c>
      <x:c r="L557" s="15" t="n">
        <x:v>0.7474452</x:v>
      </x:c>
      <x:c r="M557" s="14" t="n">
        <x:v>1</x:v>
      </x:c>
      <x:c r="N557" s="14" t="str">
        <x:v>EWHC 352 Admin | EWCA Civ 1417</x:v>
      </x:c>
    </x:row>
    <x:row r="558">
      <x:c r="A558" s="1" t="str">
        <x:v>cmmxkffsr000r04l7pl679bka</x:v>
      </x:c>
      <x:c r="B558" s="1" t="str">
        <x:v>cmmxhmaji000604l8iyhbwnn1</x:v>
      </x:c>
      <x:c r="C558" s="1" t="str">
        <x:v>greenfields--iow--limited-v-isle-of-wight-council---westridge-village-limited</x:v>
      </x:c>
      <x:c r="D558" s="12" t="n">
        <x:v>46100.60321599537</x:v>
      </x:c>
      <x:c r="E558" s="1" t="str">
        <x:v>no</x:v>
      </x:c>
      <x:c r="F558" s="14" t="str"/>
      <x:c r="G558" s="14" t="n">
        <x:v>17</x:v>
      </x:c>
      <x:c r="H558" s="14" t="str">
        <x:v>1d957476-2c0d-4578-8a43-679ec600e382</x:v>
      </x:c>
      <x:c r="I558" s="14" t="str">
        <x:v>Wyatt v Fareham Borough Council (Rev1) [2022] EWCA Civ 983</x:v>
      </x:c>
      <x:c r="J558" s="14" t="str">
        <x:v>England and Wales Court of Appeal (Civil Division)</x:v>
      </x:c>
      <x:c r="K558" s="14" t="n">
        <x:v>2022</x:v>
      </x:c>
      <x:c r="L558" s="15" t="n">
        <x:v>0.74730146</x:v>
      </x:c>
      <x:c r="M558" s="14" t="n">
        <x:v>1</x:v>
      </x:c>
      <x:c r="N558" s="14" t="str"/>
    </x:row>
    <x:row r="559">
      <x:c r="A559" s="1" t="str">
        <x:v>cmmxkffsr000r04l7pl679bka</x:v>
      </x:c>
      <x:c r="B559" s="1" t="str">
        <x:v>cmmxhmaji000604l8iyhbwnn1</x:v>
      </x:c>
      <x:c r="C559" s="1" t="str">
        <x:v>greenfields--iow--limited-v-isle-of-wight-council---westridge-village-limited</x:v>
      </x:c>
      <x:c r="D559" s="12" t="n">
        <x:v>46100.60321599537</x:v>
      </x:c>
      <x:c r="E559" s="1" t="str">
        <x:v>no</x:v>
      </x:c>
      <x:c r="F559" s="14" t="str"/>
      <x:c r="G559" s="14" t="n">
        <x:v>18</x:v>
      </x:c>
      <x:c r="H559" s="14" t="str">
        <x:v>d8078437-185a-46df-8b83-bd5240184911</x:v>
      </x:c>
      <x:c r="I559" s="14" t="str">
        <x:v>MH (Eritrea) v Secretary of State for the Home Department (Rev1), [2022] EWCA Civ 1296</x:v>
      </x:c>
      <x:c r="J559" s="14" t="str">
        <x:v>England and Wales Court of Appeal (Civil Division)</x:v>
      </x:c>
      <x:c r="K559" s="14" t="n">
        <x:v>2022</x:v>
      </x:c>
      <x:c r="L559" s="15" t="n">
        <x:v>0.74462914</x:v>
      </x:c>
      <x:c r="M559" s="14" t="n">
        <x:v>1</x:v>
      </x:c>
      <x:c r="N559" s="14" t="str"/>
    </x:row>
    <x:row r="560">
      <x:c r="A560" s="1" t="str">
        <x:v>cmmxkffsr000r04l7pl679bka</x:v>
      </x:c>
      <x:c r="B560" s="1" t="str">
        <x:v>cmmxhmaji000604l8iyhbwnn1</x:v>
      </x:c>
      <x:c r="C560" s="1" t="str">
        <x:v>greenfields--iow--limited-v-isle-of-wight-council---westridge-village-limited</x:v>
      </x:c>
      <x:c r="D560" s="12" t="n">
        <x:v>46100.60321599537</x:v>
      </x:c>
      <x:c r="E560" s="1" t="str">
        <x:v>no</x:v>
      </x:c>
      <x:c r="F560" s="14" t="str"/>
      <x:c r="G560" s="14" t="n">
        <x:v>19</x:v>
      </x:c>
      <x:c r="H560" s="14" t="str">
        <x:v>671c3057-8376-4da1-82b8-7a83b79c33d1</x:v>
      </x:c>
      <x:c r="I560" s="14" t="str">
        <x:v>Kinnersley, R (On the Application Of) v Maidstone Borough Council [2023] EWCA Civ 172</x:v>
      </x:c>
      <x:c r="J560" s="14" t="str">
        <x:v>England and Wales Court of Appeal (Civil Division)</x:v>
      </x:c>
      <x:c r="K560" s="14" t="n">
        <x:v>2023</x:v>
      </x:c>
      <x:c r="L560" s="15" t="n">
        <x:v>0.7343422</x:v>
      </x:c>
      <x:c r="M560" s="14" t="n">
        <x:v>1</x:v>
      </x:c>
      <x:c r="N560" s="14" t="str"/>
    </x:row>
    <x:row r="561">
      <x:c r="A561" s="1" t="str">
        <x:v>cmmxkffsr000r04l7pl679bka</x:v>
      </x:c>
      <x:c r="B561" s="1" t="str">
        <x:v>cmmxhmaji000604l8iyhbwnn1</x:v>
      </x:c>
      <x:c r="C561" s="1" t="str">
        <x:v>greenfields--iow--limited-v-isle-of-wight-council---westridge-village-limited</x:v>
      </x:c>
      <x:c r="D561" s="12" t="n">
        <x:v>46100.60321599537</x:v>
      </x:c>
      <x:c r="E561" s="1" t="str">
        <x:v>no</x:v>
      </x:c>
      <x:c r="F561" s="14" t="str"/>
      <x:c r="G561" s="14" t="n">
        <x:v>20</x:v>
      </x:c>
      <x:c r="H561" s="14" t="str">
        <x:v>3ff34419-ffbc-40f9-a087-a1cb1371d0e1</x:v>
      </x:c>
      <x:c r="I561" s="14" t="str">
        <x:v>Vicente &amp; Anor v Secretary of State for Communities and Local Government &amp; Anor [2014] EWCA Civ 1555</x:v>
      </x:c>
      <x:c r="J561" s="14" t="str">
        <x:v>England and Wales Court of Appeal (Civil Division)</x:v>
      </x:c>
      <x:c r="K561" s="14" t="n">
        <x:v>2014</x:v>
      </x:c>
      <x:c r="L561" s="15" t="n">
        <x:v>0.72910136</x:v>
      </x:c>
      <x:c r="M561" s="14" t="n">
        <x:v>3</x:v>
      </x:c>
      <x:c r="N561" s="14" t="str">
        <x:v>R(Gul) v. Secretary of State for Justice | Hopkins Developments v. Secretary of State</x:v>
      </x:c>
    </x:row>
    <x:row r="562">
      <x:c r="A562" s="1" t="str">
        <x:v>cmmxkiwpv000j04jfwcq5xfkd</x:v>
      </x:c>
      <x:c r="B562" s="1" t="str">
        <x:v>cmmshtbz8000204jsdrli49qe</x:v>
      </x:c>
      <x:c r="C562" s="1" t="str">
        <x:v>karpasitis-v-hertfordshire-county-council</x:v>
      </x:c>
      <x:c r="D562" s="12" t="n">
        <x:v>46100.60508972222</x:v>
      </x:c>
      <x:c r="E562" s="1" t="str">
        <x:v>no</x:v>
      </x:c>
      <x:c r="F562" s="14" t="str"/>
      <x:c r="G562" s="14" t="n">
        <x:v>1</x:v>
      </x:c>
      <x:c r="H562" s="14" t="str">
        <x:v>bc30491e-9ae6-48da-90d0-71d8a8069b22</x:v>
      </x:c>
      <x:c r="I562" s="14" t="str">
        <x:v>Gorringe v. Calderdale Metropolitan Borough Council</x:v>
      </x:c>
      <x:c r="J562" s="14" t="str">
        <x:v>United Kingdom House of Lords</x:v>
      </x:c>
      <x:c r="K562" s="14" t="n">
        <x:v>2004</x:v>
      </x:c>
      <x:c r="L562" s="15" t="n">
        <x:v>0.76165664</x:v>
      </x:c>
      <x:c r="M562" s="14" t="n">
        <x:v>4</x:v>
      </x:c>
      <x:c r="N562" s="14" t="str">
        <x:v>Road Traffic Act 1988 | X (Minors) v Bedfordshire County Council | Stovin v Wise | Larner v Solihull Metropolitan Borough Council</x:v>
      </x:c>
    </x:row>
    <x:row r="563">
      <x:c r="A563" s="1" t="str">
        <x:v>cmmxkiwpv000j04jfwcq5xfkd</x:v>
      </x:c>
      <x:c r="B563" s="1" t="str">
        <x:v>cmmshtbz8000204jsdrli49qe</x:v>
      </x:c>
      <x:c r="C563" s="1" t="str">
        <x:v>karpasitis-v-hertfordshire-county-council</x:v>
      </x:c>
      <x:c r="D563" s="12" t="n">
        <x:v>46100.60508972222</x:v>
      </x:c>
      <x:c r="E563" s="1" t="str">
        <x:v>no</x:v>
      </x:c>
      <x:c r="F563" s="14" t="str"/>
      <x:c r="G563" s="14" t="n">
        <x:v>2</x:v>
      </x:c>
      <x:c r="H563" s="14" t="str">
        <x:v>5a42b4bc-fe8f-47be-9b13-869933b2ddff</x:v>
      </x:c>
      <x:c r="I563" s="14" t="str">
        <x:v>Yetkin v London Borough of Newham ([2010] EWCA Civ 776)</x:v>
      </x:c>
      <x:c r="J563" s="14" t="str">
        <x:v>England and Wales Court of Appeal (Civil Division)</x:v>
      </x:c>
      <x:c r="K563" s="14" t="n">
        <x:v>2010</x:v>
      </x:c>
      <x:c r="L563" s="15" t="n">
        <x:v>0.7040601</x:v>
      </x:c>
      <x:c r="M563" s="14" t="n">
        <x:v>2</x:v>
      </x:c>
      <x:c r="N563" s="14" t="str">
        <x:v>Gorringe v Calderdale Metropolitan Borough Council</x:v>
      </x:c>
    </x:row>
    <x:row r="564">
      <x:c r="A564" s="1" t="str">
        <x:v>cmmxkiwpv000j04jfwcq5xfkd</x:v>
      </x:c>
      <x:c r="B564" s="1" t="str">
        <x:v>cmmshtbz8000204jsdrli49qe</x:v>
      </x:c>
      <x:c r="C564" s="1" t="str">
        <x:v>karpasitis-v-hertfordshire-county-council</x:v>
      </x:c>
      <x:c r="D564" s="12" t="n">
        <x:v>46100.60508972222</x:v>
      </x:c>
      <x:c r="E564" s="1" t="str">
        <x:v>no</x:v>
      </x:c>
      <x:c r="F564" s="14" t="str"/>
      <x:c r="G564" s="14" t="n">
        <x:v>3</x:v>
      </x:c>
      <x:c r="H564" s="14" t="str">
        <x:v>70c75405-8cba-40e2-92ff-8302ea4f6789</x:v>
      </x:c>
      <x:c r="I564" s="14" t="str">
        <x:v>Griffiths v Gwynedd County Council [2015] EWCA Civ 1440</x:v>
      </x:c>
      <x:c r="J564" s="14" t="str">
        <x:v>England and Wales Court of Appeal (Civil Division)</x:v>
      </x:c>
      <x:c r="K564" s="14" t="n">
        <x:v>2015</x:v>
      </x:c>
      <x:c r="L564" s="15" t="n">
        <x:v>0.69195896</x:v>
      </x:c>
      <x:c r="M564" s="14" t="n">
        <x:v>4</x:v>
      </x:c>
      <x:c r="N564" s="14" t="str">
        <x:v>Mills v Barnsley Metropolitan Borough Council | Jones v Rhondda Cynon Taff County Borough Council | Goodes v East Sussex County Council</x:v>
      </x:c>
    </x:row>
    <x:row r="565">
      <x:c r="A565" s="1" t="str">
        <x:v>cmmxkiwpv000j04jfwcq5xfkd</x:v>
      </x:c>
      <x:c r="B565" s="1" t="str">
        <x:v>cmmshtbz8000204jsdrli49qe</x:v>
      </x:c>
      <x:c r="C565" s="1" t="str">
        <x:v>karpasitis-v-hertfordshire-county-council</x:v>
      </x:c>
      <x:c r="D565" s="12" t="n">
        <x:v>46100.60508972222</x:v>
      </x:c>
      <x:c r="E565" s="1" t="str">
        <x:v>no</x:v>
      </x:c>
      <x:c r="F565" s="14" t="str"/>
      <x:c r="G565" s="14" t="n">
        <x:v>4</x:v>
      </x:c>
      <x:c r="H565" s="14" t="str">
        <x:v>52d20bb9-6964-44a6-9c32-d191ef76297c</x:v>
      </x:c>
      <x:c r="I565" s="14" t="str">
        <x:v>King Lifting Ltd v Oxfordshire County Council [2016] EWHC 1767 (QB)</x:v>
      </x:c>
      <x:c r="J565" s="14" t="str">
        <x:v>England and Wales High Court (Queen's Bench Division)</x:v>
      </x:c>
      <x:c r="K565" s="14" t="n">
        <x:v>2016</x:v>
      </x:c>
      <x:c r="L565" s="15" t="n">
        <x:v>0.69067943</x:v>
      </x:c>
      <x:c r="M565" s="14" t="n">
        <x:v>3</x:v>
      </x:c>
      <x:c r="N565" s="14" t="str"/>
    </x:row>
    <x:row r="566">
      <x:c r="A566" s="1" t="str">
        <x:v>cmmxkiwpv000j04jfwcq5xfkd</x:v>
      </x:c>
      <x:c r="B566" s="1" t="str">
        <x:v>cmmshtbz8000204jsdrli49qe</x:v>
      </x:c>
      <x:c r="C566" s="1" t="str">
        <x:v>karpasitis-v-hertfordshire-county-council</x:v>
      </x:c>
      <x:c r="D566" s="12" t="n">
        <x:v>46100.60508972222</x:v>
      </x:c>
      <x:c r="E566" s="1" t="str">
        <x:v>no</x:v>
      </x:c>
      <x:c r="F566" s="14" t="str"/>
      <x:c r="G566" s="14" t="n">
        <x:v>5</x:v>
      </x:c>
      <x:c r="H566" s="14" t="str">
        <x:v>70d43223-0ec6-458b-b052-bdc295e0d6ec</x:v>
      </x:c>
      <x:c r="I566" s="14" t="str">
        <x:v>Brown &amp; Ors v South West Lakes Trust &amp; Ors [2022] EWCA Civ 18</x:v>
      </x:c>
      <x:c r="J566" s="14" t="str">
        <x:v>England and Wales Court of Appeal (Civil Division)</x:v>
      </x:c>
      <x:c r="K566" s="14" t="n">
        <x:v>2022</x:v>
      </x:c>
      <x:c r="L566" s="15" t="n">
        <x:v>0.6877532</x:v>
      </x:c>
      <x:c r="M566" s="14" t="n">
        <x:v>3</x:v>
      </x:c>
      <x:c r="N566" s="14" t="str">
        <x:v>Okpabi v Royal Dutch Shell plc [2021] UKSC 3 | Donoghue v Folkestone Properties Ltd [2003] EWCA Civ 231</x:v>
      </x:c>
    </x:row>
    <x:row r="567">
      <x:c r="A567" s="1" t="str">
        <x:v>cmmxkiwpv000j04jfwcq5xfkd</x:v>
      </x:c>
      <x:c r="B567" s="1" t="str">
        <x:v>cmmshtbz8000204jsdrli49qe</x:v>
      </x:c>
      <x:c r="C567" s="1" t="str">
        <x:v>karpasitis-v-hertfordshire-county-council</x:v>
      </x:c>
      <x:c r="D567" s="12" t="n">
        <x:v>46100.60508972222</x:v>
      </x:c>
      <x:c r="E567" s="1" t="str">
        <x:v>no</x:v>
      </x:c>
      <x:c r="F567" s="14" t="str"/>
      <x:c r="G567" s="14" t="n">
        <x:v>6</x:v>
      </x:c>
      <x:c r="H567" s="14" t="str">
        <x:v>edc2fc6e-68a1-4ebc-88a2-3ccdc59d63ed</x:v>
      </x:c>
      <x:c r="I567" s="14" t="str">
        <x:v>McCracken v Smith &amp; Ors [2015] EWCA Civ 380</x:v>
      </x:c>
      <x:c r="J567" s="14" t="str">
        <x:v>England and Wales Court of Appeal (Civil Division)</x:v>
      </x:c>
      <x:c r="K567" s="14" t="n">
        <x:v>2015</x:v>
      </x:c>
      <x:c r="L567" s="15" t="n">
        <x:v>0.6874604</x:v>
      </x:c>
      <x:c r="M567" s="14" t="n">
        <x:v>1</x:v>
      </x:c>
      <x:c r="N567" s="14" t="str"/>
    </x:row>
    <x:row r="568">
      <x:c r="A568" s="1" t="str">
        <x:v>cmmxkiwpv000j04jfwcq5xfkd</x:v>
      </x:c>
      <x:c r="B568" s="1" t="str">
        <x:v>cmmshtbz8000204jsdrli49qe</x:v>
      </x:c>
      <x:c r="C568" s="1" t="str">
        <x:v>karpasitis-v-hertfordshire-county-council</x:v>
      </x:c>
      <x:c r="D568" s="12" t="n">
        <x:v>46100.60508972222</x:v>
      </x:c>
      <x:c r="E568" s="1" t="str">
        <x:v>no</x:v>
      </x:c>
      <x:c r="F568" s="14" t="str"/>
      <x:c r="G568" s="14" t="n">
        <x:v>7</x:v>
      </x:c>
      <x:c r="H568" s="14" t="str">
        <x:v>7f550baa-4c5b-40df-b47f-62be212502d8</x:v>
      </x:c>
      <x:c r="I568" s="14" t="str">
        <x:v>Abbasi &amp; Anor v Newcastle Upon Tyne Hospitals NHS Foundation Trust [2023] EWCA Civ 331</x:v>
      </x:c>
      <x:c r="J568" s="14" t="str">
        <x:v>England and Wales Court of Appeal (Civil Division)</x:v>
      </x:c>
      <x:c r="K568" s="14" t="n">
        <x:v>2023</x:v>
      </x:c>
      <x:c r="L568" s="15" t="n">
        <x:v>0.6839056</x:v>
      </x:c>
      <x:c r="M568" s="14" t="n">
        <x:v>1</x:v>
      </x:c>
      <x:c r="N568" s="14" t="str">
        <x:v>Campbell v MGN Ltd | Re S (A Child) | In re BBC | Guardian News &amp; Media | Khuja v Times Newspapers Ltd | Brearley v Higgins | Tenke Fungurme Mining | Petrina v Romania | Von Hannover v Germany</x:v>
      </x:c>
    </x:row>
    <x:row r="569">
      <x:c r="A569" s="1" t="str">
        <x:v>cmmxkiwpv000j04jfwcq5xfkd</x:v>
      </x:c>
      <x:c r="B569" s="1" t="str">
        <x:v>cmmshtbz8000204jsdrli49qe</x:v>
      </x:c>
      <x:c r="C569" s="1" t="str">
        <x:v>karpasitis-v-hertfordshire-county-council</x:v>
      </x:c>
      <x:c r="D569" s="12" t="n">
        <x:v>46100.60508972222</x:v>
      </x:c>
      <x:c r="E569" s="1" t="str">
        <x:v>no</x:v>
      </x:c>
      <x:c r="F569" s="14" t="str"/>
      <x:c r="G569" s="14" t="n">
        <x:v>8</x:v>
      </x:c>
      <x:c r="H569" s="14" t="str">
        <x:v>79ac9104-d023-4589-82c4-577d1cfc4c14</x:v>
      </x:c>
      <x:c r="I569" s="14" t="str">
        <x:v>Gray v Botwright [2014] EWCA Civ 1201</x:v>
      </x:c>
      <x:c r="J569" s="14" t="str">
        <x:v>England and Wales Court of Appeal (Civil Division)</x:v>
      </x:c>
      <x:c r="K569" s="14" t="n">
        <x:v>2014</x:v>
      </x:c>
      <x:c r="L569" s="15" t="n">
        <x:v>0.6836425</x:v>
      </x:c>
      <x:c r="M569" s="14" t="n">
        <x:v>2</x:v>
      </x:c>
      <x:c r="N569" s="14" t="str"/>
    </x:row>
    <x:row r="570">
      <x:c r="A570" s="1" t="str">
        <x:v>cmmxkiwpv000j04jfwcq5xfkd</x:v>
      </x:c>
      <x:c r="B570" s="1" t="str">
        <x:v>cmmshtbz8000204jsdrli49qe</x:v>
      </x:c>
      <x:c r="C570" s="1" t="str">
        <x:v>karpasitis-v-hertfordshire-county-council</x:v>
      </x:c>
      <x:c r="D570" s="12" t="n">
        <x:v>46100.60508972222</x:v>
      </x:c>
      <x:c r="E570" s="1" t="str">
        <x:v>no</x:v>
      </x:c>
      <x:c r="F570" s="14" t="str"/>
      <x:c r="G570" s="14" t="n">
        <x:v>9</x:v>
      </x:c>
      <x:c r="H570" s="14" t="str">
        <x:v>0af9689e-f55a-4b42-8c7d-e7ef4d3d1bdc</x:v>
      </x:c>
      <x:c r="I570" s="14" t="str">
        <x:v>Hughes v Rattan (Rev1) [2022] EWCA Civ 107</x:v>
      </x:c>
      <x:c r="J570" s="14" t="str">
        <x:v>England and Wales Court of Appeal (Civil Division)</x:v>
      </x:c>
      <x:c r="K570" s="14" t="n">
        <x:v>2022</x:v>
      </x:c>
      <x:c r="L570" s="15" t="n">
        <x:v>0.6805999</x:v>
      </x:c>
      <x:c r="M570" s="14" t="n">
        <x:v>1</x:v>
      </x:c>
      <x:c r="N570" s="14" t="str">
        <x:v>Gold v Essex County Council | Cassidy v Ministry of Health | Roe v Ministry of Health | A (a Child) v Ministry of Defence | Farraj v King's Healthcare NHS Trust | Ward LJ in E v English Province of Our Lady of Charity | Christian Brothers | Cox v Ministry of Justice | Barclays Bank plc</x:v>
      </x:c>
    </x:row>
    <x:row r="571">
      <x:c r="A571" s="1" t="str">
        <x:v>cmmxkiwpv000j04jfwcq5xfkd</x:v>
      </x:c>
      <x:c r="B571" s="1" t="str">
        <x:v>cmmshtbz8000204jsdrli49qe</x:v>
      </x:c>
      <x:c r="C571" s="1" t="str">
        <x:v>karpasitis-v-hertfordshire-county-council</x:v>
      </x:c>
      <x:c r="D571" s="12" t="n">
        <x:v>46100.60508972222</x:v>
      </x:c>
      <x:c r="E571" s="1" t="str">
        <x:v>no</x:v>
      </x:c>
      <x:c r="F571" s="14" t="str"/>
      <x:c r="G571" s="14" t="n">
        <x:v>10</x:v>
      </x:c>
      <x:c r="H571" s="14" t="str">
        <x:v>4840c2e7-7326-456e-84e1-def231729686</x:v>
      </x:c>
      <x:c r="I571" s="14" t="str">
        <x:v>Butcher v Southend-On-Sea Borough Council (2014)</x:v>
      </x:c>
      <x:c r="J571" s="14" t="str">
        <x:v>England and Wales Court of Appeal (Civil Division)</x:v>
      </x:c>
      <x:c r="K571" s="14" t="n">
        <x:v>2014</x:v>
      </x:c>
      <x:c r="L571" s="15" t="n">
        <x:v>0.67946243</x:v>
      </x:c>
      <x:c r="M571" s="14" t="n">
        <x:v>1</x:v>
      </x:c>
      <x:c r="N571" s="14" t="str"/>
    </x:row>
    <x:row r="572">
      <x:c r="A572" s="1" t="str">
        <x:v>cmmxkiwpv000j04jfwcq5xfkd</x:v>
      </x:c>
      <x:c r="B572" s="1" t="str">
        <x:v>cmmshtbz8000204jsdrli49qe</x:v>
      </x:c>
      <x:c r="C572" s="1" t="str">
        <x:v>karpasitis-v-hertfordshire-county-council</x:v>
      </x:c>
      <x:c r="D572" s="12" t="n">
        <x:v>46100.60508972222</x:v>
      </x:c>
      <x:c r="E572" s="1" t="str">
        <x:v>no</x:v>
      </x:c>
      <x:c r="F572" s="14" t="str"/>
      <x:c r="G572" s="14" t="n">
        <x:v>11</x:v>
      </x:c>
      <x:c r="H572" s="14" t="str">
        <x:v>56d8134a-2d5b-4486-9939-e5639c676c98</x:v>
      </x:c>
      <x:c r="I572" s="14" t="str">
        <x:v>Levi &amp; Anor v Bates &amp; Ors</x:v>
      </x:c>
      <x:c r="J572" s="14" t="str">
        <x:v>England and Wales Court of Appeal (Civil Division)</x:v>
      </x:c>
      <x:c r="K572" s="14" t="n">
        <x:v>2015</x:v>
      </x:c>
      <x:c r="L572" s="15" t="n">
        <x:v>0.6788802</x:v>
      </x:c>
      <x:c r="M572" s="14" t="n">
        <x:v>1</x:v>
      </x:c>
      <x:c r="N572" s="14" t="str">
        <x:v>Thomas v News Group Newspapers Limited | Dowson v Chief Constable of Northumbria Police | Majrowski v Guy's and St. Thomas's NHS Trust</x:v>
      </x:c>
    </x:row>
    <x:row r="573">
      <x:c r="A573" s="1" t="str">
        <x:v>cmmxkiwpv000j04jfwcq5xfkd</x:v>
      </x:c>
      <x:c r="B573" s="1" t="str">
        <x:v>cmmshtbz8000204jsdrli49qe</x:v>
      </x:c>
      <x:c r="C573" s="1" t="str">
        <x:v>karpasitis-v-hertfordshire-county-council</x:v>
      </x:c>
      <x:c r="D573" s="12" t="n">
        <x:v>46100.60508972222</x:v>
      </x:c>
      <x:c r="E573" s="1" t="str">
        <x:v>no</x:v>
      </x:c>
      <x:c r="F573" s="14" t="str"/>
      <x:c r="G573" s="14" t="n">
        <x:v>12</x:v>
      </x:c>
      <x:c r="H573" s="14" t="str">
        <x:v>50ad0fef-c59e-464c-8d87-04a50c7ac07d</x:v>
      </x:c>
      <x:c r="I573" s="14" t="str">
        <x:v>Ramirez v Maheswari [2015] EWCA Civ 879</x:v>
      </x:c>
      <x:c r="J573" s="14" t="str">
        <x:v>England and Wales Court of Appeal (Civil Division)</x:v>
      </x:c>
      <x:c r="K573" s="14" t="n">
        <x:v>2015</x:v>
      </x:c>
      <x:c r="L573" s="15" t="n">
        <x:v>0.6765421</x:v>
      </x:c>
      <x:c r="M573" s="14" t="n">
        <x:v>2</x:v>
      </x:c>
      <x:c r="N573" s="14" t="str">
        <x:v>Lunt v Khelifa | Eagle v Chambers</x:v>
      </x:c>
    </x:row>
    <x:row r="574">
      <x:c r="A574" s="1" t="str">
        <x:v>cmmxkiwpv000j04jfwcq5xfkd</x:v>
      </x:c>
      <x:c r="B574" s="1" t="str">
        <x:v>cmmshtbz8000204jsdrli49qe</x:v>
      </x:c>
      <x:c r="C574" s="1" t="str">
        <x:v>karpasitis-v-hertfordshire-county-council</x:v>
      </x:c>
      <x:c r="D574" s="12" t="n">
        <x:v>46100.60508972222</x:v>
      </x:c>
      <x:c r="E574" s="1" t="str">
        <x:v>no</x:v>
      </x:c>
      <x:c r="F574" s="14" t="str"/>
      <x:c r="G574" s="14" t="n">
        <x:v>13</x:v>
      </x:c>
      <x:c r="H574" s="14" t="str">
        <x:v>0ce57914-b433-4ea0-85e1-6db19c8a9b39</x:v>
      </x:c>
      <x:c r="I574" s="14" t="str">
        <x:v>Riley v Murray [2022] EWCA Civ 1146</x:v>
      </x:c>
      <x:c r="J574" s="14" t="str">
        <x:v>England and Wales Court of Appeal (Civil Division)</x:v>
      </x:c>
      <x:c r="K574" s="14" t="n">
        <x:v>2022</x:v>
      </x:c>
      <x:c r="L574" s="15" t="n">
        <x:v>0.6758201</x:v>
      </x:c>
      <x:c r="M574" s="14" t="n">
        <x:v>1</x:v>
      </x:c>
      <x:c r="N574" s="14" t="str">
        <x:v>Koutsogiannis v The Random House Group Ltd | Begg v BBC | Joseph v Spiller | Morgan v Associated Newspapers Ltd | Burki v SeventyThirty Ltd | Economou v de Freitas | Serafin v Malkiewicz | Serafin v Malikiewicz | Banks v Cadwalladr | Bonnick v Morris</x:v>
      </x:c>
    </x:row>
    <x:row r="575">
      <x:c r="A575" s="1" t="str">
        <x:v>cmmxkiwpv000j04jfwcq5xfkd</x:v>
      </x:c>
      <x:c r="B575" s="1" t="str">
        <x:v>cmmshtbz8000204jsdrli49qe</x:v>
      </x:c>
      <x:c r="C575" s="1" t="str">
        <x:v>karpasitis-v-hertfordshire-county-council</x:v>
      </x:c>
      <x:c r="D575" s="12" t="n">
        <x:v>46100.60508972222</x:v>
      </x:c>
      <x:c r="E575" s="1" t="str">
        <x:v>no</x:v>
      </x:c>
      <x:c r="F575" s="14" t="str"/>
      <x:c r="G575" s="14" t="n">
        <x:v>14</x:v>
      </x:c>
      <x:c r="H575" s="14" t="str">
        <x:v>6948a4df-0a45-4ddc-ae3d-8eafee44976a</x:v>
      </x:c>
      <x:c r="I575" s="14" t="str">
        <x:v>Scott v Gavigan [2016] EWCA Civ 544</x:v>
      </x:c>
      <x:c r="J575" s="14" t="str">
        <x:v>England and Wales Court of Appeal (Civil Division)</x:v>
      </x:c>
      <x:c r="K575" s="14" t="n">
        <x:v>2016</x:v>
      </x:c>
      <x:c r="L575" s="15" t="n">
        <x:v>0.67192835</x:v>
      </x:c>
      <x:c r="M575" s="14" t="n">
        <x:v>2</x:v>
      </x:c>
      <x:c r="N575" s="14" t="str">
        <x:v>McKew v Holland &amp; Hannen &amp; Cubitts (Scotland) Ltd | Clerk &amp; Lindsell on Torts</x:v>
      </x:c>
    </x:row>
    <x:row r="576">
      <x:c r="A576" s="1" t="str">
        <x:v>cmmxkiwpv000j04jfwcq5xfkd</x:v>
      </x:c>
      <x:c r="B576" s="1" t="str">
        <x:v>cmmshtbz8000204jsdrli49qe</x:v>
      </x:c>
      <x:c r="C576" s="1" t="str">
        <x:v>karpasitis-v-hertfordshire-county-council</x:v>
      </x:c>
      <x:c r="D576" s="12" t="n">
        <x:v>46100.60508972222</x:v>
      </x:c>
      <x:c r="E576" s="1" t="str">
        <x:v>no</x:v>
      </x:c>
      <x:c r="F576" s="14" t="str"/>
      <x:c r="G576" s="14" t="n">
        <x:v>15</x:v>
      </x:c>
      <x:c r="H576" s="14" t="str">
        <x:v>3054ae89-4fdf-4879-a9ae-0e7c8a19d90e</x:v>
      </x:c>
      <x:c r="I576" s="14" t="str">
        <x:v>Clifford v Millicom Services UK Ltd &amp; Ors [2023] EWCA Civ 50</x:v>
      </x:c>
      <x:c r="J576" s="14" t="str">
        <x:v>England and Wales Court of Appeal (Civil Division)</x:v>
      </x:c>
      <x:c r="K576" s="14" t="n">
        <x:v>2023</x:v>
      </x:c>
      <x:c r="L576" s="15" t="n">
        <x:v>0.67172164</x:v>
      </x:c>
      <x:c r="M576" s="14" t="n">
        <x:v>1</x:v>
      </x:c>
      <x:c r="N576" s="14" t="str">
        <x:v>R v Legal Aid Board, ex p Kaim Todner [1999] QB 966 | Moss v Information Commissioner [2020] EWCA Civ 580 | Dring v Cape Intermediate Holdings Ltd [2019] UKSC 429, [2020] AC 629 | ABC v Telegraph Group Ltd [2018] EWCA Civ 2329, [2019] EMLR 5 | A v BBC | HRH the Prince of Wales | Libyan Investment Authority (No 2)</x:v>
      </x:c>
    </x:row>
    <x:row r="577">
      <x:c r="A577" s="1" t="str">
        <x:v>cmmxkiwpv000j04jfwcq5xfkd</x:v>
      </x:c>
      <x:c r="B577" s="1" t="str">
        <x:v>cmmshtbz8000204jsdrli49qe</x:v>
      </x:c>
      <x:c r="C577" s="1" t="str">
        <x:v>karpasitis-v-hertfordshire-county-council</x:v>
      </x:c>
      <x:c r="D577" s="12" t="n">
        <x:v>46100.60508972222</x:v>
      </x:c>
      <x:c r="E577" s="1" t="str">
        <x:v>no</x:v>
      </x:c>
      <x:c r="F577" s="14" t="str"/>
      <x:c r="G577" s="14" t="n">
        <x:v>16</x:v>
      </x:c>
      <x:c r="H577" s="14" t="str">
        <x:v>4685ad0e-87e7-4f59-8991-823ab27d9393</x:v>
      </x:c>
      <x:c r="I577" s="14" t="str">
        <x:v>Tindall &amp; Anor v Chief Constable of Thames Valley Police &amp; Anor [2022] EWCA Civ 25</x:v>
      </x:c>
      <x:c r="J577" s="14" t="str">
        <x:v>England and Wales Court of Appeal (Civil Division)</x:v>
      </x:c>
      <x:c r="K577" s="14" t="n">
        <x:v>2022</x:v>
      </x:c>
      <x:c r="L577" s="15" t="n">
        <x:v>0.6715598</x:v>
      </x:c>
      <x:c r="M577" s="14" t="n">
        <x:v>4</x:v>
      </x:c>
      <x:c r="N577" s="14" t="str">
        <x:v>Michael v South Wales Police | Robinson v West Yorkshire Police | GN v Poole Borough Council | Hedley Byrne | Anns v Merton LBC | N and Anor v Poole Borough Council | Gorringe | Sandhar | Dorset Yacht | Michael | Robinson | N and Anor</x:v>
      </x:c>
    </x:row>
    <x:row r="578">
      <x:c r="A578" s="1" t="str">
        <x:v>cmmxkiwpv000j04jfwcq5xfkd</x:v>
      </x:c>
      <x:c r="B578" s="1" t="str">
        <x:v>cmmshtbz8000204jsdrli49qe</x:v>
      </x:c>
      <x:c r="C578" s="1" t="str">
        <x:v>karpasitis-v-hertfordshire-county-council</x:v>
      </x:c>
      <x:c r="D578" s="12" t="n">
        <x:v>46100.60508972222</x:v>
      </x:c>
      <x:c r="E578" s="1" t="str">
        <x:v>no</x:v>
      </x:c>
      <x:c r="F578" s="14" t="str"/>
      <x:c r="G578" s="14" t="n">
        <x:v>17</x:v>
      </x:c>
      <x:c r="H578" s="14" t="str">
        <x:v>abc88167-90f9-4d9a-b6a0-8d4adaaf3242</x:v>
      </x:c>
      <x:c r="I578" s="14" t="str">
        <x:v>Vann &amp; Ors v Ocidental - Companhia De Seguros SA [2015] EWCA Civ 572</x:v>
      </x:c>
      <x:c r="J578" s="14" t="str">
        <x:v>England and Wales Court of Appeal (Civil Division)</x:v>
      </x:c>
      <x:c r="K578" s="14" t="n">
        <x:v>2015</x:v>
      </x:c>
      <x:c r="L578" s="15" t="n">
        <x:v>0.6616121</x:v>
      </x:c>
      <x:c r="M578" s="14" t="n">
        <x:v>2</x:v>
      </x:c>
      <x:c r="N578" s="14" t="str"/>
    </x:row>
    <x:row r="579">
      <x:c r="A579" s="1" t="str">
        <x:v>cmmxkiwpv000j04jfwcq5xfkd</x:v>
      </x:c>
      <x:c r="B579" s="1" t="str">
        <x:v>cmmshtbz8000204jsdrli49qe</x:v>
      </x:c>
      <x:c r="C579" s="1" t="str">
        <x:v>karpasitis-v-hertfordshire-county-council</x:v>
      </x:c>
      <x:c r="D579" s="12" t="n">
        <x:v>46100.60508972222</x:v>
      </x:c>
      <x:c r="E579" s="1" t="str">
        <x:v>no</x:v>
      </x:c>
      <x:c r="F579" s="14" t="str"/>
      <x:c r="G579" s="14" t="n">
        <x:v>18</x:v>
      </x:c>
      <x:c r="H579" s="14" t="str">
        <x:v>ed70a00e-07d1-4bcc-ba19-9b0291138789</x:v>
      </x:c>
      <x:c r="I579" s="14" t="str">
        <x:v>Christian v South East London And Kent Bus Company [2014] EWCA Civ 944</x:v>
      </x:c>
      <x:c r="J579" s="14" t="str">
        <x:v>England and Wales Court of Appeal (Civil Division)</x:v>
      </x:c>
      <x:c r="K579" s="14" t="n">
        <x:v>2014</x:v>
      </x:c>
      <x:c r="L579" s="15" t="n">
        <x:v>0.6612915</x:v>
      </x:c>
      <x:c r="M579" s="14" t="n">
        <x:v>2</x:v>
      </x:c>
      <x:c r="N579" s="14" t="str"/>
    </x:row>
    <x:row r="580">
      <x:c r="A580" s="1" t="str">
        <x:v>cmmxkiwpv000j04jfwcq5xfkd</x:v>
      </x:c>
      <x:c r="B580" s="1" t="str">
        <x:v>cmmshtbz8000204jsdrli49qe</x:v>
      </x:c>
      <x:c r="C580" s="1" t="str">
        <x:v>karpasitis-v-hertfordshire-county-council</x:v>
      </x:c>
      <x:c r="D580" s="12" t="n">
        <x:v>46100.60508972222</x:v>
      </x:c>
      <x:c r="E580" s="1" t="str">
        <x:v>no</x:v>
      </x:c>
      <x:c r="F580" s="14" t="str"/>
      <x:c r="G580" s="14" t="n">
        <x:v>19</x:v>
      </x:c>
      <x:c r="H580" s="14" t="str">
        <x:v>de31f448-8314-4535-b841-75e23ab56a91</x:v>
      </x:c>
      <x:c r="I580" s="14" t="str">
        <x:v>Municipio de Mariana v BHP Group (UK) Ltd &amp; Anor [2022] EWCA Civ 951</x:v>
      </x:c>
      <x:c r="J580" s="14" t="str">
        <x:v>England and Wales Court of Appeal (Civil Division)</x:v>
      </x:c>
      <x:c r="K580" s="14" t="n">
        <x:v>2022</x:v>
      </x:c>
      <x:c r="L580" s="15" t="n">
        <x:v>0.6609405</x:v>
      </x:c>
      <x:c r="M580" s="14" t="n">
        <x:v>1</x:v>
      </x:c>
      <x:c r="N580" s="14" t="str">
        <x:v>Hunter v Chief Constable of the West Midlands Police (1981) UKHL 13 | Her Majesty's Attorney General v Barker (Admin) [2000] EWHC 453 | Johnson v Gore Wood &amp; Co [2000] UKHL 65 | Wyeth v Commissioners of Customs and Excise [1999] EWHC 167 (Admin) | Jameel (Yousef) v Dow Jones Co Inc [2005] EWCA Civ 75 | Vedanta Resources plc v Foreign Trading Ltd | Owusu v Jackson [2005] QB 801 | Spiliada Maritime Corp v Canaleux Ltd [1987] AC 460 | Kyrgyz Mobil Tel Ltd v AK Mobile | Connelly v RTZ Corp [1998] AC 854 | Privatbank v Kolomoisky [2019] EWCA Civ 1708 | Mazur Meda Ltd v Mazur Media GmbH [2004] EWHC 1566 (Ch) | OJSC VTB Bank v Parline Ltd [2013] EWHC 3538 (Comm)</x:v>
      </x:c>
    </x:row>
    <x:row r="581">
      <x:c r="A581" s="1" t="str">
        <x:v>cmmxkiwpv000j04jfwcq5xfkd</x:v>
      </x:c>
      <x:c r="B581" s="1" t="str">
        <x:v>cmmshtbz8000204jsdrli49qe</x:v>
      </x:c>
      <x:c r="C581" s="1" t="str">
        <x:v>karpasitis-v-hertfordshire-county-council</x:v>
      </x:c>
      <x:c r="D581" s="12" t="n">
        <x:v>46100.60508972222</x:v>
      </x:c>
      <x:c r="E581" s="1" t="str">
        <x:v>no</x:v>
      </x:c>
      <x:c r="F581" s="14" t="str"/>
      <x:c r="G581" s="14" t="n">
        <x:v>20</x:v>
      </x:c>
      <x:c r="H581" s="14" t="str">
        <x:v>77de6f74-22d2-4440-a98f-3e75819dc938</x:v>
      </x:c>
      <x:c r="I581" s="14" t="str">
        <x:v>Reed Elsevier UK Ltd (t/a LexisNexis) &amp; Anor v Bewry</x:v>
      </x:c>
      <x:c r="J581" s="14" t="str">
        <x:v>England and Wales Court of Appeal (Civil Division)</x:v>
      </x:c>
      <x:c r="K581" s="14" t="n">
        <x:v>2014</x:v>
      </x:c>
      <x:c r="L581" s="15" t="n">
        <x:v>0.6602768</x:v>
      </x:c>
      <x:c r="M581" s="14" t="n">
        <x:v>1</x:v>
      </x:c>
      <x:c r="N581" s="14" t="str">
        <x:v>Duke of Brunswick v Harmer [1849] 14 QB 185 | Steedman v BBC [2001] EWCA Civ 1534</x:v>
      </x:c>
    </x:row>
    <x:row r="582">
      <x:c r="A582" s="1" t="str">
        <x:v>cmmxkldnz000p04jfxqte882b</x:v>
      </x:c>
      <x:c r="B582" s="1" t="str">
        <x:v>cmmshtbz8000204jsdrli49qe</x:v>
      </x:c>
      <x:c r="C582" s="1" t="str">
        <x:v>karpasitis-v-hertfordshire-county-council</x:v>
      </x:c>
      <x:c r="D582" s="12" t="n">
        <x:v>46100.60642400463</x:v>
      </x:c>
      <x:c r="E582" s="1" t="str">
        <x:v>no</x:v>
      </x:c>
      <x:c r="F582" s="14" t="str"/>
      <x:c r="G582" s="14" t="n">
        <x:v>1</x:v>
      </x:c>
      <x:c r="H582" s="14" t="str">
        <x:v>bc30491e-9ae6-48da-90d0-71d8a8069b22</x:v>
      </x:c>
      <x:c r="I582" s="14" t="str">
        <x:v>Gorringe v. Calderdale Metropolitan Borough Council</x:v>
      </x:c>
      <x:c r="J582" s="14" t="str">
        <x:v>United Kingdom House of Lords</x:v>
      </x:c>
      <x:c r="K582" s="14" t="n">
        <x:v>2004</x:v>
      </x:c>
      <x:c r="L582" s="15" t="n">
        <x:v>0.7615241</x:v>
      </x:c>
      <x:c r="M582" s="14" t="n">
        <x:v>4</x:v>
      </x:c>
      <x:c r="N582" s="14" t="str">
        <x:v>Road Traffic Act 1988 | X (Minors) v Bedfordshire County Council | Stovin v Wise | Larner v Solihull Metropolitan Borough Council</x:v>
      </x:c>
    </x:row>
    <x:row r="583">
      <x:c r="A583" s="1" t="str">
        <x:v>cmmxkldnz000p04jfxqte882b</x:v>
      </x:c>
      <x:c r="B583" s="1" t="str">
        <x:v>cmmshtbz8000204jsdrli49qe</x:v>
      </x:c>
      <x:c r="C583" s="1" t="str">
        <x:v>karpasitis-v-hertfordshire-county-council</x:v>
      </x:c>
      <x:c r="D583" s="12" t="n">
        <x:v>46100.60642400463</x:v>
      </x:c>
      <x:c r="E583" s="1" t="str">
        <x:v>no</x:v>
      </x:c>
      <x:c r="F583" s="14" t="str"/>
      <x:c r="G583" s="14" t="n">
        <x:v>2</x:v>
      </x:c>
      <x:c r="H583" s="14" t="str">
        <x:v>5a42b4bc-fe8f-47be-9b13-869933b2ddff</x:v>
      </x:c>
      <x:c r="I583" s="14" t="str">
        <x:v>Yetkin v London Borough of Newham ([2010] EWCA Civ 776)</x:v>
      </x:c>
      <x:c r="J583" s="14" t="str">
        <x:v>England and Wales Court of Appeal (Civil Division)</x:v>
      </x:c>
      <x:c r="K583" s="14" t="n">
        <x:v>2010</x:v>
      </x:c>
      <x:c r="L583" s="15" t="n">
        <x:v>0.70397824</x:v>
      </x:c>
      <x:c r="M583" s="14" t="n">
        <x:v>2</x:v>
      </x:c>
      <x:c r="N583" s="14" t="str">
        <x:v>Gorringe v Calderdale Metropolitan Borough Council</x:v>
      </x:c>
    </x:row>
    <x:row r="584">
      <x:c r="A584" s="1" t="str">
        <x:v>cmmxkldnz000p04jfxqte882b</x:v>
      </x:c>
      <x:c r="B584" s="1" t="str">
        <x:v>cmmshtbz8000204jsdrli49qe</x:v>
      </x:c>
      <x:c r="C584" s="1" t="str">
        <x:v>karpasitis-v-hertfordshire-county-council</x:v>
      </x:c>
      <x:c r="D584" s="12" t="n">
        <x:v>46100.60642400463</x:v>
      </x:c>
      <x:c r="E584" s="1" t="str">
        <x:v>no</x:v>
      </x:c>
      <x:c r="F584" s="14" t="str"/>
      <x:c r="G584" s="14" t="n">
        <x:v>3</x:v>
      </x:c>
      <x:c r="H584" s="14" t="str">
        <x:v>70c75405-8cba-40e2-92ff-8302ea4f6789</x:v>
      </x:c>
      <x:c r="I584" s="14" t="str">
        <x:v>Griffiths v Gwynedd County Council [2015] EWCA Civ 1440</x:v>
      </x:c>
      <x:c r="J584" s="14" t="str">
        <x:v>England and Wales Court of Appeal (Civil Division)</x:v>
      </x:c>
      <x:c r="K584" s="14" t="n">
        <x:v>2015</x:v>
      </x:c>
      <x:c r="L584" s="15" t="n">
        <x:v>0.6917712</x:v>
      </x:c>
      <x:c r="M584" s="14" t="n">
        <x:v>4</x:v>
      </x:c>
      <x:c r="N584" s="14" t="str">
        <x:v>Mills v Barnsley Metropolitan Borough Council | Jones v Rhondda Cynon Taff County Borough Council | Goodes v East Sussex County Council</x:v>
      </x:c>
    </x:row>
    <x:row r="585">
      <x:c r="A585" s="1" t="str">
        <x:v>cmmxkldnz000p04jfxqte882b</x:v>
      </x:c>
      <x:c r="B585" s="1" t="str">
        <x:v>cmmshtbz8000204jsdrli49qe</x:v>
      </x:c>
      <x:c r="C585" s="1" t="str">
        <x:v>karpasitis-v-hertfordshire-county-council</x:v>
      </x:c>
      <x:c r="D585" s="12" t="n">
        <x:v>46100.60642400463</x:v>
      </x:c>
      <x:c r="E585" s="1" t="str">
        <x:v>no</x:v>
      </x:c>
      <x:c r="F585" s="14" t="str"/>
      <x:c r="G585" s="14" t="n">
        <x:v>4</x:v>
      </x:c>
      <x:c r="H585" s="14" t="str">
        <x:v>52d20bb9-6964-44a6-9c32-d191ef76297c</x:v>
      </x:c>
      <x:c r="I585" s="14" t="str">
        <x:v>King Lifting Ltd v Oxfordshire County Council [2016] EWHC 1767 (QB)</x:v>
      </x:c>
      <x:c r="J585" s="14" t="str">
        <x:v>England and Wales High Court (Queen's Bench Division)</x:v>
      </x:c>
      <x:c r="K585" s="14" t="n">
        <x:v>2016</x:v>
      </x:c>
      <x:c r="L585" s="15" t="n">
        <x:v>0.6906645</x:v>
      </x:c>
      <x:c r="M585" s="14" t="n">
        <x:v>3</x:v>
      </x:c>
      <x:c r="N585" s="14" t="str"/>
    </x:row>
    <x:row r="586">
      <x:c r="A586" s="1" t="str">
        <x:v>cmmxkldnz000p04jfxqte882b</x:v>
      </x:c>
      <x:c r="B586" s="1" t="str">
        <x:v>cmmshtbz8000204jsdrli49qe</x:v>
      </x:c>
      <x:c r="C586" s="1" t="str">
        <x:v>karpasitis-v-hertfordshire-county-council</x:v>
      </x:c>
      <x:c r="D586" s="12" t="n">
        <x:v>46100.60642400463</x:v>
      </x:c>
      <x:c r="E586" s="1" t="str">
        <x:v>no</x:v>
      </x:c>
      <x:c r="F586" s="14" t="str"/>
      <x:c r="G586" s="14" t="n">
        <x:v>5</x:v>
      </x:c>
      <x:c r="H586" s="14" t="str">
        <x:v>70d43223-0ec6-458b-b052-bdc295e0d6ec</x:v>
      </x:c>
      <x:c r="I586" s="14" t="str">
        <x:v>Brown &amp; Ors v South West Lakes Trust &amp; Ors [2022] EWCA Civ 18</x:v>
      </x:c>
      <x:c r="J586" s="14" t="str">
        <x:v>England and Wales Court of Appeal (Civil Division)</x:v>
      </x:c>
      <x:c r="K586" s="14" t="n">
        <x:v>2022</x:v>
      </x:c>
      <x:c r="L586" s="15" t="n">
        <x:v>0.6875167</x:v>
      </x:c>
      <x:c r="M586" s="14" t="n">
        <x:v>3</x:v>
      </x:c>
      <x:c r="N586" s="14" t="str">
        <x:v>Okpabi v Royal Dutch Shell plc [2021] UKSC 3 | Donoghue v Folkestone Properties Ltd [2003] EWCA Civ 231</x:v>
      </x:c>
    </x:row>
    <x:row r="587">
      <x:c r="A587" s="1" t="str">
        <x:v>cmmxkldnz000p04jfxqte882b</x:v>
      </x:c>
      <x:c r="B587" s="1" t="str">
        <x:v>cmmshtbz8000204jsdrli49qe</x:v>
      </x:c>
      <x:c r="C587" s="1" t="str">
        <x:v>karpasitis-v-hertfordshire-county-council</x:v>
      </x:c>
      <x:c r="D587" s="12" t="n">
        <x:v>46100.60642400463</x:v>
      </x:c>
      <x:c r="E587" s="1" t="str">
        <x:v>no</x:v>
      </x:c>
      <x:c r="F587" s="14" t="str"/>
      <x:c r="G587" s="14" t="n">
        <x:v>6</x:v>
      </x:c>
      <x:c r="H587" s="14" t="str">
        <x:v>edc2fc6e-68a1-4ebc-88a2-3ccdc59d63ed</x:v>
      </x:c>
      <x:c r="I587" s="14" t="str">
        <x:v>McCracken v Smith &amp; Ors [2015] EWCA Civ 380</x:v>
      </x:c>
      <x:c r="J587" s="14" t="str">
        <x:v>England and Wales Court of Appeal (Civil Division)</x:v>
      </x:c>
      <x:c r="K587" s="14" t="n">
        <x:v>2015</x:v>
      </x:c>
      <x:c r="L587" s="15" t="n">
        <x:v>0.68736124</x:v>
      </x:c>
      <x:c r="M587" s="14" t="n">
        <x:v>1</x:v>
      </x:c>
      <x:c r="N587" s="14" t="str"/>
    </x:row>
    <x:row r="588">
      <x:c r="A588" s="1" t="str">
        <x:v>cmmxkldnz000p04jfxqte882b</x:v>
      </x:c>
      <x:c r="B588" s="1" t="str">
        <x:v>cmmshtbz8000204jsdrli49qe</x:v>
      </x:c>
      <x:c r="C588" s="1" t="str">
        <x:v>karpasitis-v-hertfordshire-county-council</x:v>
      </x:c>
      <x:c r="D588" s="12" t="n">
        <x:v>46100.60642400463</x:v>
      </x:c>
      <x:c r="E588" s="1" t="str">
        <x:v>no</x:v>
      </x:c>
      <x:c r="F588" s="14" t="str"/>
      <x:c r="G588" s="14" t="n">
        <x:v>7</x:v>
      </x:c>
      <x:c r="H588" s="14" t="str">
        <x:v>7f550baa-4c5b-40df-b47f-62be212502d8</x:v>
      </x:c>
      <x:c r="I588" s="14" t="str">
        <x:v>Abbasi &amp; Anor v Newcastle Upon Tyne Hospitals NHS Foundation Trust [2023] EWCA Civ 331</x:v>
      </x:c>
      <x:c r="J588" s="14" t="str">
        <x:v>England and Wales Court of Appeal (Civil Division)</x:v>
      </x:c>
      <x:c r="K588" s="14" t="n">
        <x:v>2023</x:v>
      </x:c>
      <x:c r="L588" s="15" t="n">
        <x:v>0.683959</x:v>
      </x:c>
      <x:c r="M588" s="14" t="n">
        <x:v>1</x:v>
      </x:c>
      <x:c r="N588" s="14" t="str">
        <x:v>Campbell v MGN Ltd | Re S (A Child) | In re BBC | Guardian News &amp; Media | Khuja v Times Newspapers Ltd | Brearley v Higgins | Tenke Fungurme Mining | Petrina v Romania | Von Hannover v Germany</x:v>
      </x:c>
    </x:row>
    <x:row r="589">
      <x:c r="A589" s="1" t="str">
        <x:v>cmmxkldnz000p04jfxqte882b</x:v>
      </x:c>
      <x:c r="B589" s="1" t="str">
        <x:v>cmmshtbz8000204jsdrli49qe</x:v>
      </x:c>
      <x:c r="C589" s="1" t="str">
        <x:v>karpasitis-v-hertfordshire-county-council</x:v>
      </x:c>
      <x:c r="D589" s="12" t="n">
        <x:v>46100.60642400463</x:v>
      </x:c>
      <x:c r="E589" s="1" t="str">
        <x:v>no</x:v>
      </x:c>
      <x:c r="F589" s="14" t="str"/>
      <x:c r="G589" s="14" t="n">
        <x:v>8</x:v>
      </x:c>
      <x:c r="H589" s="14" t="str">
        <x:v>79ac9104-d023-4589-82c4-577d1cfc4c14</x:v>
      </x:c>
      <x:c r="I589" s="14" t="str">
        <x:v>Gray v Botwright [2014] EWCA Civ 1201</x:v>
      </x:c>
      <x:c r="J589" s="14" t="str">
        <x:v>England and Wales Court of Appeal (Civil Division)</x:v>
      </x:c>
      <x:c r="K589" s="14" t="n">
        <x:v>2014</x:v>
      </x:c>
      <x:c r="L589" s="15" t="n">
        <x:v>0.6837314</x:v>
      </x:c>
      <x:c r="M589" s="14" t="n">
        <x:v>2</x:v>
      </x:c>
      <x:c r="N589" s="14" t="str"/>
    </x:row>
    <x:row r="590">
      <x:c r="A590" s="1" t="str">
        <x:v>cmmxkldnz000p04jfxqte882b</x:v>
      </x:c>
      <x:c r="B590" s="1" t="str">
        <x:v>cmmshtbz8000204jsdrli49qe</x:v>
      </x:c>
      <x:c r="C590" s="1" t="str">
        <x:v>karpasitis-v-hertfordshire-county-council</x:v>
      </x:c>
      <x:c r="D590" s="12" t="n">
        <x:v>46100.60642400463</x:v>
      </x:c>
      <x:c r="E590" s="1" t="str">
        <x:v>no</x:v>
      </x:c>
      <x:c r="F590" s="14" t="str"/>
      <x:c r="G590" s="14" t="n">
        <x:v>9</x:v>
      </x:c>
      <x:c r="H590" s="14" t="str">
        <x:v>0af9689e-f55a-4b42-8c7d-e7ef4d3d1bdc</x:v>
      </x:c>
      <x:c r="I590" s="14" t="str">
        <x:v>Hughes v Rattan (Rev1) [2022] EWCA Civ 107</x:v>
      </x:c>
      <x:c r="J590" s="14" t="str">
        <x:v>England and Wales Court of Appeal (Civil Division)</x:v>
      </x:c>
      <x:c r="K590" s="14" t="n">
        <x:v>2022</x:v>
      </x:c>
      <x:c r="L590" s="15" t="n">
        <x:v>0.68065464</x:v>
      </x:c>
      <x:c r="M590" s="14" t="n">
        <x:v>1</x:v>
      </x:c>
      <x:c r="N590" s="14" t="str">
        <x:v>Gold v Essex County Council | Cassidy v Ministry of Health | Roe v Ministry of Health | A (a Child) v Ministry of Defence | Farraj v King's Healthcare NHS Trust | Ward LJ in E v English Province of Our Lady of Charity | Christian Brothers | Cox v Ministry of Justice | Barclays Bank plc</x:v>
      </x:c>
    </x:row>
    <x:row r="591">
      <x:c r="A591" s="1" t="str">
        <x:v>cmmxkldnz000p04jfxqte882b</x:v>
      </x:c>
      <x:c r="B591" s="1" t="str">
        <x:v>cmmshtbz8000204jsdrli49qe</x:v>
      </x:c>
      <x:c r="C591" s="1" t="str">
        <x:v>karpasitis-v-hertfordshire-county-council</x:v>
      </x:c>
      <x:c r="D591" s="12" t="n">
        <x:v>46100.60642400463</x:v>
      </x:c>
      <x:c r="E591" s="1" t="str">
        <x:v>no</x:v>
      </x:c>
      <x:c r="F591" s="14" t="str"/>
      <x:c r="G591" s="14" t="n">
        <x:v>10</x:v>
      </x:c>
      <x:c r="H591" s="14" t="str">
        <x:v>4840c2e7-7326-456e-84e1-def231729686</x:v>
      </x:c>
      <x:c r="I591" s="14" t="str">
        <x:v>Butcher v Southend-On-Sea Borough Council (2014)</x:v>
      </x:c>
      <x:c r="J591" s="14" t="str">
        <x:v>England and Wales Court of Appeal (Civil Division)</x:v>
      </x:c>
      <x:c r="K591" s="14" t="n">
        <x:v>2014</x:v>
      </x:c>
      <x:c r="L591" s="15" t="n">
        <x:v>0.6794462</x:v>
      </x:c>
      <x:c r="M591" s="14" t="n">
        <x:v>1</x:v>
      </x:c>
      <x:c r="N591" s="14" t="str"/>
    </x:row>
    <x:row r="592">
      <x:c r="A592" s="1" t="str">
        <x:v>cmmxkldnz000p04jfxqte882b</x:v>
      </x:c>
      <x:c r="B592" s="1" t="str">
        <x:v>cmmshtbz8000204jsdrli49qe</x:v>
      </x:c>
      <x:c r="C592" s="1" t="str">
        <x:v>karpasitis-v-hertfordshire-county-council</x:v>
      </x:c>
      <x:c r="D592" s="12" t="n">
        <x:v>46100.60642400463</x:v>
      </x:c>
      <x:c r="E592" s="1" t="str">
        <x:v>no</x:v>
      </x:c>
      <x:c r="F592" s="14" t="str"/>
      <x:c r="G592" s="14" t="n">
        <x:v>11</x:v>
      </x:c>
      <x:c r="H592" s="14" t="str">
        <x:v>56d8134a-2d5b-4486-9939-e5639c676c98</x:v>
      </x:c>
      <x:c r="I592" s="14" t="str">
        <x:v>Levi &amp; Anor v Bates &amp; Ors</x:v>
      </x:c>
      <x:c r="J592" s="14" t="str">
        <x:v>England and Wales Court of Appeal (Civil Division)</x:v>
      </x:c>
      <x:c r="K592" s="14" t="n">
        <x:v>2015</x:v>
      </x:c>
      <x:c r="L592" s="15" t="n">
        <x:v>0.67887384</x:v>
      </x:c>
      <x:c r="M592" s="14" t="n">
        <x:v>1</x:v>
      </x:c>
      <x:c r="N592" s="14" t="str">
        <x:v>Thomas v News Group Newspapers Limited | Dowson v Chief Constable of Northumbria Police | Majrowski v Guy's and St. Thomas's NHS Trust</x:v>
      </x:c>
    </x:row>
    <x:row r="593">
      <x:c r="A593" s="1" t="str">
        <x:v>cmmxkldnz000p04jfxqte882b</x:v>
      </x:c>
      <x:c r="B593" s="1" t="str">
        <x:v>cmmshtbz8000204jsdrli49qe</x:v>
      </x:c>
      <x:c r="C593" s="1" t="str">
        <x:v>karpasitis-v-hertfordshire-county-council</x:v>
      </x:c>
      <x:c r="D593" s="12" t="n">
        <x:v>46100.60642400463</x:v>
      </x:c>
      <x:c r="E593" s="1" t="str">
        <x:v>no</x:v>
      </x:c>
      <x:c r="F593" s="14" t="str"/>
      <x:c r="G593" s="14" t="n">
        <x:v>12</x:v>
      </x:c>
      <x:c r="H593" s="14" t="str">
        <x:v>50ad0fef-c59e-464c-8d87-04a50c7ac07d</x:v>
      </x:c>
      <x:c r="I593" s="14" t="str">
        <x:v>Ramirez v Maheswari [2015] EWCA Civ 879</x:v>
      </x:c>
      <x:c r="J593" s="14" t="str">
        <x:v>England and Wales Court of Appeal (Civil Division)</x:v>
      </x:c>
      <x:c r="K593" s="14" t="n">
        <x:v>2015</x:v>
      </x:c>
      <x:c r="L593" s="15" t="n">
        <x:v>0.676525</x:v>
      </x:c>
      <x:c r="M593" s="14" t="n">
        <x:v>2</x:v>
      </x:c>
      <x:c r="N593" s="14" t="str">
        <x:v>Lunt v Khelifa | Eagle v Chambers</x:v>
      </x:c>
    </x:row>
    <x:row r="594">
      <x:c r="A594" s="1" t="str">
        <x:v>cmmxkldnz000p04jfxqte882b</x:v>
      </x:c>
      <x:c r="B594" s="1" t="str">
        <x:v>cmmshtbz8000204jsdrli49qe</x:v>
      </x:c>
      <x:c r="C594" s="1" t="str">
        <x:v>karpasitis-v-hertfordshire-county-council</x:v>
      </x:c>
      <x:c r="D594" s="12" t="n">
        <x:v>46100.60642400463</x:v>
      </x:c>
      <x:c r="E594" s="1" t="str">
        <x:v>no</x:v>
      </x:c>
      <x:c r="F594" s="14" t="str"/>
      <x:c r="G594" s="14" t="n">
        <x:v>13</x:v>
      </x:c>
      <x:c r="H594" s="14" t="str">
        <x:v>0ce57914-b433-4ea0-85e1-6db19c8a9b39</x:v>
      </x:c>
      <x:c r="I594" s="14" t="str">
        <x:v>Riley v Murray [2022] EWCA Civ 1146</x:v>
      </x:c>
      <x:c r="J594" s="14" t="str">
        <x:v>England and Wales Court of Appeal (Civil Division)</x:v>
      </x:c>
      <x:c r="K594" s="14" t="n">
        <x:v>2022</x:v>
      </x:c>
      <x:c r="L594" s="15" t="n">
        <x:v>0.67585236</x:v>
      </x:c>
      <x:c r="M594" s="14" t="n">
        <x:v>1</x:v>
      </x:c>
      <x:c r="N594" s="14" t="str">
        <x:v>Koutsogiannis v The Random House Group Ltd | Begg v BBC | Joseph v Spiller | Morgan v Associated Newspapers Ltd | Burki v SeventyThirty Ltd | Economou v de Freitas | Serafin v Malkiewicz | Serafin v Malikiewicz | Banks v Cadwalladr | Bonnick v Morris</x:v>
      </x:c>
    </x:row>
    <x:row r="595">
      <x:c r="A595" s="1" t="str">
        <x:v>cmmxkldnz000p04jfxqte882b</x:v>
      </x:c>
      <x:c r="B595" s="1" t="str">
        <x:v>cmmshtbz8000204jsdrli49qe</x:v>
      </x:c>
      <x:c r="C595" s="1" t="str">
        <x:v>karpasitis-v-hertfordshire-county-council</x:v>
      </x:c>
      <x:c r="D595" s="12" t="n">
        <x:v>46100.60642400463</x:v>
      </x:c>
      <x:c r="E595" s="1" t="str">
        <x:v>no</x:v>
      </x:c>
      <x:c r="F595" s="14" t="str"/>
      <x:c r="G595" s="14" t="n">
        <x:v>14</x:v>
      </x:c>
      <x:c r="H595" s="14" t="str">
        <x:v>4685ad0e-87e7-4f59-8991-823ab27d9393</x:v>
      </x:c>
      <x:c r="I595" s="14" t="str">
        <x:v>Tindall &amp; Anor v Chief Constable of Thames Valley Police &amp; Anor [2022] EWCA Civ 25</x:v>
      </x:c>
      <x:c r="J595" s="14" t="str">
        <x:v>England and Wales Court of Appeal (Civil Division)</x:v>
      </x:c>
      <x:c r="K595" s="14" t="n">
        <x:v>2022</x:v>
      </x:c>
      <x:c r="L595" s="15" t="n">
        <x:v>0.6719179</x:v>
      </x:c>
      <x:c r="M595" s="14" t="n">
        <x:v>4</x:v>
      </x:c>
      <x:c r="N595" s="14" t="str">
        <x:v>Michael v South Wales Police | Robinson v West Yorkshire Police | GN v Poole Borough Council | Hedley Byrne | Anns v Merton LBC | N and Anor v Poole Borough Council | Gorringe | Sandhar | Dorset Yacht | Michael | Robinson | N and Anor</x:v>
      </x:c>
    </x:row>
    <x:row r="596">
      <x:c r="A596" s="1" t="str">
        <x:v>cmmxkldnz000p04jfxqte882b</x:v>
      </x:c>
      <x:c r="B596" s="1" t="str">
        <x:v>cmmshtbz8000204jsdrli49qe</x:v>
      </x:c>
      <x:c r="C596" s="1" t="str">
        <x:v>karpasitis-v-hertfordshire-county-council</x:v>
      </x:c>
      <x:c r="D596" s="12" t="n">
        <x:v>46100.60642400463</x:v>
      </x:c>
      <x:c r="E596" s="1" t="str">
        <x:v>no</x:v>
      </x:c>
      <x:c r="F596" s="14" t="str"/>
      <x:c r="G596" s="14" t="n">
        <x:v>15</x:v>
      </x:c>
      <x:c r="H596" s="14" t="str">
        <x:v>6948a4df-0a45-4ddc-ae3d-8eafee44976a</x:v>
      </x:c>
      <x:c r="I596" s="14" t="str">
        <x:v>Scott v Gavigan [2016] EWCA Civ 544</x:v>
      </x:c>
      <x:c r="J596" s="14" t="str">
        <x:v>England and Wales Court of Appeal (Civil Division)</x:v>
      </x:c>
      <x:c r="K596" s="14" t="n">
        <x:v>2016</x:v>
      </x:c>
      <x:c r="L596" s="15" t="n">
        <x:v>0.67181116</x:v>
      </x:c>
      <x:c r="M596" s="14" t="n">
        <x:v>2</x:v>
      </x:c>
      <x:c r="N596" s="14" t="str">
        <x:v>McKew v Holland &amp; Hannen &amp; Cubitts (Scotland) Ltd | Clerk &amp; Lindsell on Torts</x:v>
      </x:c>
    </x:row>
    <x:row r="597">
      <x:c r="A597" s="1" t="str">
        <x:v>cmmxkldnz000p04jfxqte882b</x:v>
      </x:c>
      <x:c r="B597" s="1" t="str">
        <x:v>cmmshtbz8000204jsdrli49qe</x:v>
      </x:c>
      <x:c r="C597" s="1" t="str">
        <x:v>karpasitis-v-hertfordshire-county-council</x:v>
      </x:c>
      <x:c r="D597" s="12" t="n">
        <x:v>46100.60642400463</x:v>
      </x:c>
      <x:c r="E597" s="1" t="str">
        <x:v>no</x:v>
      </x:c>
      <x:c r="F597" s="14" t="str"/>
      <x:c r="G597" s="14" t="n">
        <x:v>16</x:v>
      </x:c>
      <x:c r="H597" s="14" t="str">
        <x:v>3054ae89-4fdf-4879-a9ae-0e7c8a19d90e</x:v>
      </x:c>
      <x:c r="I597" s="14" t="str">
        <x:v>Clifford v Millicom Services UK Ltd &amp; Ors [2023] EWCA Civ 50</x:v>
      </x:c>
      <x:c r="J597" s="14" t="str">
        <x:v>England and Wales Court of Appeal (Civil Division)</x:v>
      </x:c>
      <x:c r="K597" s="14" t="n">
        <x:v>2023</x:v>
      </x:c>
      <x:c r="L597" s="15" t="n">
        <x:v>0.67175114</x:v>
      </x:c>
      <x:c r="M597" s="14" t="n">
        <x:v>1</x:v>
      </x:c>
      <x:c r="N597" s="14" t="str">
        <x:v>R v Legal Aid Board, ex p Kaim Todner [1999] QB 966 | Moss v Information Commissioner [2020] EWCA Civ 580 | Dring v Cape Intermediate Holdings Ltd [2019] UKSC 429, [2020] AC 629 | ABC v Telegraph Group Ltd [2018] EWCA Civ 2329, [2019] EMLR 5 | A v BBC | HRH the Prince of Wales | Libyan Investment Authority (No 2)</x:v>
      </x:c>
    </x:row>
    <x:row r="598">
      <x:c r="A598" s="1" t="str">
        <x:v>cmmxkldnz000p04jfxqte882b</x:v>
      </x:c>
      <x:c r="B598" s="1" t="str">
        <x:v>cmmshtbz8000204jsdrli49qe</x:v>
      </x:c>
      <x:c r="C598" s="1" t="str">
        <x:v>karpasitis-v-hertfordshire-county-council</x:v>
      </x:c>
      <x:c r="D598" s="12" t="n">
        <x:v>46100.60642400463</x:v>
      </x:c>
      <x:c r="E598" s="1" t="str">
        <x:v>no</x:v>
      </x:c>
      <x:c r="F598" s="14" t="str"/>
      <x:c r="G598" s="14" t="n">
        <x:v>17</x:v>
      </x:c>
      <x:c r="H598" s="14" t="str">
        <x:v>abc88167-90f9-4d9a-b6a0-8d4adaaf3242</x:v>
      </x:c>
      <x:c r="I598" s="14" t="str">
        <x:v>Vann &amp; Ors v Ocidental - Companhia De Seguros SA [2015] EWCA Civ 572</x:v>
      </x:c>
      <x:c r="J598" s="14" t="str">
        <x:v>England and Wales Court of Appeal (Civil Division)</x:v>
      </x:c>
      <x:c r="K598" s="14" t="n">
        <x:v>2015</x:v>
      </x:c>
      <x:c r="L598" s="15" t="n">
        <x:v>0.66163695</x:v>
      </x:c>
      <x:c r="M598" s="14" t="n">
        <x:v>2</x:v>
      </x:c>
      <x:c r="N598" s="14" t="str"/>
    </x:row>
    <x:row r="599">
      <x:c r="A599" s="1" t="str">
        <x:v>cmmxkldnz000p04jfxqte882b</x:v>
      </x:c>
      <x:c r="B599" s="1" t="str">
        <x:v>cmmshtbz8000204jsdrli49qe</x:v>
      </x:c>
      <x:c r="C599" s="1" t="str">
        <x:v>karpasitis-v-hertfordshire-county-council</x:v>
      </x:c>
      <x:c r="D599" s="12" t="n">
        <x:v>46100.60642400463</x:v>
      </x:c>
      <x:c r="E599" s="1" t="str">
        <x:v>no</x:v>
      </x:c>
      <x:c r="F599" s="14" t="str"/>
      <x:c r="G599" s="14" t="n">
        <x:v>18</x:v>
      </x:c>
      <x:c r="H599" s="14" t="str">
        <x:v>ed70a00e-07d1-4bcc-ba19-9b0291138789</x:v>
      </x:c>
      <x:c r="I599" s="14" t="str">
        <x:v>Christian v South East London And Kent Bus Company [2014] EWCA Civ 944</x:v>
      </x:c>
      <x:c r="J599" s="14" t="str">
        <x:v>England and Wales Court of Appeal (Civil Division)</x:v>
      </x:c>
      <x:c r="K599" s="14" t="n">
        <x:v>2014</x:v>
      </x:c>
      <x:c r="L599" s="15" t="n">
        <x:v>0.6614102</x:v>
      </x:c>
      <x:c r="M599" s="14" t="n">
        <x:v>2</x:v>
      </x:c>
      <x:c r="N599" s="14" t="str"/>
    </x:row>
    <x:row r="600">
      <x:c r="A600" s="1" t="str">
        <x:v>cmmxkldnz000p04jfxqte882b</x:v>
      </x:c>
      <x:c r="B600" s="1" t="str">
        <x:v>cmmshtbz8000204jsdrli49qe</x:v>
      </x:c>
      <x:c r="C600" s="1" t="str">
        <x:v>karpasitis-v-hertfordshire-county-council</x:v>
      </x:c>
      <x:c r="D600" s="12" t="n">
        <x:v>46100.60642400463</x:v>
      </x:c>
      <x:c r="E600" s="1" t="str">
        <x:v>no</x:v>
      </x:c>
      <x:c r="F600" s="14" t="str"/>
      <x:c r="G600" s="14" t="n">
        <x:v>19</x:v>
      </x:c>
      <x:c r="H600" s="14" t="str">
        <x:v>de31f448-8314-4535-b841-75e23ab56a91</x:v>
      </x:c>
      <x:c r="I600" s="14" t="str">
        <x:v>Municipio de Mariana v BHP Group (UK) Ltd &amp; Anor [2022] EWCA Civ 951</x:v>
      </x:c>
      <x:c r="J600" s="14" t="str">
        <x:v>England and Wales Court of Appeal (Civil Division)</x:v>
      </x:c>
      <x:c r="K600" s="14" t="n">
        <x:v>2022</x:v>
      </x:c>
      <x:c r="L600" s="15" t="n">
        <x:v>0.6609741</x:v>
      </x:c>
      <x:c r="M600" s="14" t="n">
        <x:v>1</x:v>
      </x:c>
      <x:c r="N600" s="14" t="str">
        <x:v>Hunter v Chief Constable of the West Midlands Police (1981) UKHL 13 | Her Majesty's Attorney General v Barker (Admin) [2000] EWHC 453 | Johnson v Gore Wood &amp; Co [2000] UKHL 65 | Wyeth v Commissioners of Customs and Excise [1999] EWHC 167 (Admin) | Jameel (Yousef) v Dow Jones Co Inc [2005] EWCA Civ 75 | Vedanta Resources plc v Foreign Trading Ltd | Owusu v Jackson [2005] QB 801 | Spiliada Maritime Corp v Canaleux Ltd [1987] AC 460 | Kyrgyz Mobil Tel Ltd v AK Mobile | Connelly v RTZ Corp [1998] AC 854 | Privatbank v Kolomoisky [2019] EWCA Civ 1708 | Mazur Meda Ltd v Mazur Media GmbH [2004] EWHC 1566 (Ch) | OJSC VTB Bank v Parline Ltd [2013] EWHC 3538 (Comm)</x:v>
      </x:c>
    </x:row>
    <x:row r="601">
      <x:c r="A601" s="1" t="str">
        <x:v>cmmxkldnz000p04jfxqte882b</x:v>
      </x:c>
      <x:c r="B601" s="1" t="str">
        <x:v>cmmshtbz8000204jsdrli49qe</x:v>
      </x:c>
      <x:c r="C601" s="1" t="str">
        <x:v>karpasitis-v-hertfordshire-county-council</x:v>
      </x:c>
      <x:c r="D601" s="12" t="n">
        <x:v>46100.60642400463</x:v>
      </x:c>
      <x:c r="E601" s="1" t="str">
        <x:v>no</x:v>
      </x:c>
      <x:c r="F601" s="14" t="str"/>
      <x:c r="G601" s="14" t="n">
        <x:v>20</x:v>
      </x:c>
      <x:c r="H601" s="14" t="str">
        <x:v>77de6f74-22d2-4440-a98f-3e75819dc938</x:v>
      </x:c>
      <x:c r="I601" s="14" t="str">
        <x:v>Reed Elsevier UK Ltd (t/a LexisNexis) &amp; Anor v Bewry</x:v>
      </x:c>
      <x:c r="J601" s="14" t="str">
        <x:v>England and Wales Court of Appeal (Civil Division)</x:v>
      </x:c>
      <x:c r="K601" s="14" t="n">
        <x:v>2014</x:v>
      </x:c>
      <x:c r="L601" s="15" t="n">
        <x:v>0.66027373</x:v>
      </x:c>
      <x:c r="M601" s="14" t="n">
        <x:v>1</x:v>
      </x:c>
      <x:c r="N601" s="14" t="str">
        <x:v>Duke of Brunswick v Harmer [1849] 14 QB 185 | Steedman v BBC [2001] EWCA Civ 1534</x:v>
      </x:c>
    </x:row>
    <x:row r="602">
      <x:c r="A602" s="1" t="str">
        <x:v>cmmxkq28b000304jo5eard9id</x:v>
      </x:c>
      <x:c r="B602" s="1" t="str">
        <x:v>cmmshtbz8000204jsdrli49qe</x:v>
      </x:c>
      <x:c r="C602" s="1" t="str">
        <x:v>karpasitis-v-hertfordshire-county-council</x:v>
      </x:c>
      <x:c r="D602" s="12" t="n">
        <x:v>46100.608952395836</x:v>
      </x:c>
      <x:c r="E602" s="1" t="str">
        <x:v>yes</x:v>
      </x:c>
      <x:c r="F602" s="14" t="str">
        <x:v>cmmxktfx8000904johoqmmfkm</x:v>
      </x:c>
      <x:c r="G602" s="14" t="n">
        <x:v>1</x:v>
      </x:c>
      <x:c r="H602" s="14" t="str">
        <x:v>bc30491e-9ae6-48da-90d0-71d8a8069b22</x:v>
      </x:c>
      <x:c r="I602" s="14" t="str">
        <x:v>Gorringe v. Calderdale Metropolitan Borough Council</x:v>
      </x:c>
      <x:c r="J602" s="14" t="str">
        <x:v>United Kingdom House of Lords</x:v>
      </x:c>
      <x:c r="K602" s="14" t="n">
        <x:v>2004</x:v>
      </x:c>
      <x:c r="L602" s="15" t="n">
        <x:v>0.7616693</x:v>
      </x:c>
      <x:c r="M602" s="14" t="n">
        <x:v>4</x:v>
      </x:c>
      <x:c r="N602" s="14" t="str">
        <x:v>Road Traffic Act 1988 | X (Minors) v Bedfordshire County Council | Stovin v Wise | Larner v Solihull Metropolitan Borough Council</x:v>
      </x:c>
    </x:row>
    <x:row r="603">
      <x:c r="A603" s="1" t="str">
        <x:v>cmmxkq28b000304jo5eard9id</x:v>
      </x:c>
      <x:c r="B603" s="1" t="str">
        <x:v>cmmshtbz8000204jsdrli49qe</x:v>
      </x:c>
      <x:c r="C603" s="1" t="str">
        <x:v>karpasitis-v-hertfordshire-county-council</x:v>
      </x:c>
      <x:c r="D603" s="12" t="n">
        <x:v>46100.608952395836</x:v>
      </x:c>
      <x:c r="E603" s="1" t="str">
        <x:v>yes</x:v>
      </x:c>
      <x:c r="F603" s="14" t="str">
        <x:v>cmmxktfx8000904johoqmmfkm</x:v>
      </x:c>
      <x:c r="G603" s="14" t="n">
        <x:v>2</x:v>
      </x:c>
      <x:c r="H603" s="14" t="str">
        <x:v>5a42b4bc-fe8f-47be-9b13-869933b2ddff</x:v>
      </x:c>
      <x:c r="I603" s="14" t="str">
        <x:v>Yetkin v London Borough of Newham ([2010] EWCA Civ 776)</x:v>
      </x:c>
      <x:c r="J603" s="14" t="str">
        <x:v>England and Wales Court of Appeal (Civil Division)</x:v>
      </x:c>
      <x:c r="K603" s="14" t="n">
        <x:v>2010</x:v>
      </x:c>
      <x:c r="L603" s="15" t="n">
        <x:v>0.7040856</x:v>
      </x:c>
      <x:c r="M603" s="14" t="n">
        <x:v>2</x:v>
      </x:c>
      <x:c r="N603" s="14" t="str">
        <x:v>Gorringe v Calderdale Metropolitan Borough Council</x:v>
      </x:c>
    </x:row>
    <x:row r="604">
      <x:c r="A604" s="1" t="str">
        <x:v>cmmxkq28b000304jo5eard9id</x:v>
      </x:c>
      <x:c r="B604" s="1" t="str">
        <x:v>cmmshtbz8000204jsdrli49qe</x:v>
      </x:c>
      <x:c r="C604" s="1" t="str">
        <x:v>karpasitis-v-hertfordshire-county-council</x:v>
      </x:c>
      <x:c r="D604" s="12" t="n">
        <x:v>46100.608952395836</x:v>
      </x:c>
      <x:c r="E604" s="1" t="str">
        <x:v>yes</x:v>
      </x:c>
      <x:c r="F604" s="14" t="str">
        <x:v>cmmxktfx8000904johoqmmfkm</x:v>
      </x:c>
      <x:c r="G604" s="14" t="n">
        <x:v>3</x:v>
      </x:c>
      <x:c r="H604" s="14" t="str">
        <x:v>70c75405-8cba-40e2-92ff-8302ea4f6789</x:v>
      </x:c>
      <x:c r="I604" s="14" t="str">
        <x:v>Griffiths v Gwynedd County Council [2015] EWCA Civ 1440</x:v>
      </x:c>
      <x:c r="J604" s="14" t="str">
        <x:v>England and Wales Court of Appeal (Civil Division)</x:v>
      </x:c>
      <x:c r="K604" s="14" t="n">
        <x:v>2015</x:v>
      </x:c>
      <x:c r="L604" s="15" t="n">
        <x:v>0.69194084</x:v>
      </x:c>
      <x:c r="M604" s="14" t="n">
        <x:v>4</x:v>
      </x:c>
      <x:c r="N604" s="14" t="str">
        <x:v>Mills v Barnsley Metropolitan Borough Council | Jones v Rhondda Cynon Taff County Borough Council | Goodes v East Sussex County Council</x:v>
      </x:c>
    </x:row>
    <x:row r="605">
      <x:c r="A605" s="1" t="str">
        <x:v>cmmxkq28b000304jo5eard9id</x:v>
      </x:c>
      <x:c r="B605" s="1" t="str">
        <x:v>cmmshtbz8000204jsdrli49qe</x:v>
      </x:c>
      <x:c r="C605" s="1" t="str">
        <x:v>karpasitis-v-hertfordshire-county-council</x:v>
      </x:c>
      <x:c r="D605" s="12" t="n">
        <x:v>46100.608952395836</x:v>
      </x:c>
      <x:c r="E605" s="1" t="str">
        <x:v>yes</x:v>
      </x:c>
      <x:c r="F605" s="14" t="str">
        <x:v>cmmxktfx8000904johoqmmfkm</x:v>
      </x:c>
      <x:c r="G605" s="14" t="n">
        <x:v>4</x:v>
      </x:c>
      <x:c r="H605" s="14" t="str">
        <x:v>52d20bb9-6964-44a6-9c32-d191ef76297c</x:v>
      </x:c>
      <x:c r="I605" s="14" t="str">
        <x:v>King Lifting Ltd v Oxfordshire County Council [2016] EWHC 1767 (QB)</x:v>
      </x:c>
      <x:c r="J605" s="14" t="str">
        <x:v>England and Wales High Court (Queen's Bench Division)</x:v>
      </x:c>
      <x:c r="K605" s="14" t="n">
        <x:v>2016</x:v>
      </x:c>
      <x:c r="L605" s="15" t="n">
        <x:v>0.69070077</x:v>
      </x:c>
      <x:c r="M605" s="14" t="n">
        <x:v>3</x:v>
      </x:c>
      <x:c r="N605" s="14" t="str"/>
    </x:row>
    <x:row r="606">
      <x:c r="A606" s="1" t="str">
        <x:v>cmmxkq28b000304jo5eard9id</x:v>
      </x:c>
      <x:c r="B606" s="1" t="str">
        <x:v>cmmshtbz8000204jsdrli49qe</x:v>
      </x:c>
      <x:c r="C606" s="1" t="str">
        <x:v>karpasitis-v-hertfordshire-county-council</x:v>
      </x:c>
      <x:c r="D606" s="12" t="n">
        <x:v>46100.608952395836</x:v>
      </x:c>
      <x:c r="E606" s="1" t="str">
        <x:v>yes</x:v>
      </x:c>
      <x:c r="F606" s="14" t="str">
        <x:v>cmmxktfx8000904johoqmmfkm</x:v>
      </x:c>
      <x:c r="G606" s="14" t="n">
        <x:v>5</x:v>
      </x:c>
      <x:c r="H606" s="14" t="str">
        <x:v>70d43223-0ec6-458b-b052-bdc295e0d6ec</x:v>
      </x:c>
      <x:c r="I606" s="14" t="str">
        <x:v>Brown &amp; Ors v South West Lakes Trust &amp; Ors [2022] EWCA Civ 18</x:v>
      </x:c>
      <x:c r="J606" s="14" t="str">
        <x:v>England and Wales Court of Appeal (Civil Division)</x:v>
      </x:c>
      <x:c r="K606" s="14" t="n">
        <x:v>2022</x:v>
      </x:c>
      <x:c r="L606" s="15" t="n">
        <x:v>0.6877404</x:v>
      </x:c>
      <x:c r="M606" s="14" t="n">
        <x:v>3</x:v>
      </x:c>
      <x:c r="N606" s="14" t="str">
        <x:v>Okpabi v Royal Dutch Shell plc [2021] UKSC 3 | Donoghue v Folkestone Properties Ltd [2003] EWCA Civ 231</x:v>
      </x:c>
    </x:row>
    <x:row r="607">
      <x:c r="A607" s="1" t="str">
        <x:v>cmmxkq28b000304jo5eard9id</x:v>
      </x:c>
      <x:c r="B607" s="1" t="str">
        <x:v>cmmshtbz8000204jsdrli49qe</x:v>
      </x:c>
      <x:c r="C607" s="1" t="str">
        <x:v>karpasitis-v-hertfordshire-county-council</x:v>
      </x:c>
      <x:c r="D607" s="12" t="n">
        <x:v>46100.608952395836</x:v>
      </x:c>
      <x:c r="E607" s="1" t="str">
        <x:v>yes</x:v>
      </x:c>
      <x:c r="F607" s="14" t="str">
        <x:v>cmmxktfx8000904johoqmmfkm</x:v>
      </x:c>
      <x:c r="G607" s="14" t="n">
        <x:v>6</x:v>
      </x:c>
      <x:c r="H607" s="14" t="str">
        <x:v>edc2fc6e-68a1-4ebc-88a2-3ccdc59d63ed</x:v>
      </x:c>
      <x:c r="I607" s="14" t="str">
        <x:v>McCracken v Smith &amp; Ors [2015] EWCA Civ 380</x:v>
      </x:c>
      <x:c r="J607" s="14" t="str">
        <x:v>England and Wales Court of Appeal (Civil Division)</x:v>
      </x:c>
      <x:c r="K607" s="14" t="n">
        <x:v>2015</x:v>
      </x:c>
      <x:c r="L607" s="15" t="n">
        <x:v>0.687492</x:v>
      </x:c>
      <x:c r="M607" s="14" t="n">
        <x:v>1</x:v>
      </x:c>
      <x:c r="N607" s="14" t="str"/>
    </x:row>
    <x:row r="608">
      <x:c r="A608" s="1" t="str">
        <x:v>cmmxkq28b000304jo5eard9id</x:v>
      </x:c>
      <x:c r="B608" s="1" t="str">
        <x:v>cmmshtbz8000204jsdrli49qe</x:v>
      </x:c>
      <x:c r="C608" s="1" t="str">
        <x:v>karpasitis-v-hertfordshire-county-council</x:v>
      </x:c>
      <x:c r="D608" s="12" t="n">
        <x:v>46100.608952395836</x:v>
      </x:c>
      <x:c r="E608" s="1" t="str">
        <x:v>yes</x:v>
      </x:c>
      <x:c r="F608" s="14" t="str">
        <x:v>cmmxktfx8000904johoqmmfkm</x:v>
      </x:c>
      <x:c r="G608" s="14" t="n">
        <x:v>7</x:v>
      </x:c>
      <x:c r="H608" s="14" t="str">
        <x:v>7f550baa-4c5b-40df-b47f-62be212502d8</x:v>
      </x:c>
      <x:c r="I608" s="14" t="str">
        <x:v>Abbasi &amp; Anor v Newcastle Upon Tyne Hospitals NHS Foundation Trust [2023] EWCA Civ 331</x:v>
      </x:c>
      <x:c r="J608" s="14" t="str">
        <x:v>England and Wales Court of Appeal (Civil Division)</x:v>
      </x:c>
      <x:c r="K608" s="14" t="n">
        <x:v>2023</x:v>
      </x:c>
      <x:c r="L608" s="15" t="n">
        <x:v>0.6838796</x:v>
      </x:c>
      <x:c r="M608" s="14" t="n">
        <x:v>1</x:v>
      </x:c>
      <x:c r="N608" s="14" t="str">
        <x:v>Campbell v MGN Ltd | Re S (A Child) | In re BBC | Guardian News &amp; Media | Khuja v Times Newspapers Ltd | Brearley v Higgins | Tenke Fungurme Mining | Petrina v Romania | Von Hannover v Germany</x:v>
      </x:c>
    </x:row>
    <x:row r="609">
      <x:c r="A609" s="1" t="str">
        <x:v>cmmxkq28b000304jo5eard9id</x:v>
      </x:c>
      <x:c r="B609" s="1" t="str">
        <x:v>cmmshtbz8000204jsdrli49qe</x:v>
      </x:c>
      <x:c r="C609" s="1" t="str">
        <x:v>karpasitis-v-hertfordshire-county-council</x:v>
      </x:c>
      <x:c r="D609" s="12" t="n">
        <x:v>46100.608952395836</x:v>
      </x:c>
      <x:c r="E609" s="1" t="str">
        <x:v>yes</x:v>
      </x:c>
      <x:c r="F609" s="14" t="str">
        <x:v>cmmxktfx8000904johoqmmfkm</x:v>
      </x:c>
      <x:c r="G609" s="14" t="n">
        <x:v>8</x:v>
      </x:c>
      <x:c r="H609" s="14" t="str">
        <x:v>79ac9104-d023-4589-82c4-577d1cfc4c14</x:v>
      </x:c>
      <x:c r="I609" s="14" t="str">
        <x:v>Gray v Botwright [2014] EWCA Civ 1201</x:v>
      </x:c>
      <x:c r="J609" s="14" t="str">
        <x:v>England and Wales Court of Appeal (Civil Division)</x:v>
      </x:c>
      <x:c r="K609" s="14" t="n">
        <x:v>2014</x:v>
      </x:c>
      <x:c r="L609" s="15" t="n">
        <x:v>0.6836694</x:v>
      </x:c>
      <x:c r="M609" s="14" t="n">
        <x:v>2</x:v>
      </x:c>
      <x:c r="N609" s="14" t="str"/>
    </x:row>
    <x:row r="610">
      <x:c r="A610" s="1" t="str">
        <x:v>cmmxkq28b000304jo5eard9id</x:v>
      </x:c>
      <x:c r="B610" s="1" t="str">
        <x:v>cmmshtbz8000204jsdrli49qe</x:v>
      </x:c>
      <x:c r="C610" s="1" t="str">
        <x:v>karpasitis-v-hertfordshire-county-council</x:v>
      </x:c>
      <x:c r="D610" s="12" t="n">
        <x:v>46100.608952395836</x:v>
      </x:c>
      <x:c r="E610" s="1" t="str">
        <x:v>yes</x:v>
      </x:c>
      <x:c r="F610" s="14" t="str">
        <x:v>cmmxktfx8000904johoqmmfkm</x:v>
      </x:c>
      <x:c r="G610" s="14" t="n">
        <x:v>9</x:v>
      </x:c>
      <x:c r="H610" s="14" t="str">
        <x:v>0af9689e-f55a-4b42-8c7d-e7ef4d3d1bdc</x:v>
      </x:c>
      <x:c r="I610" s="14" t="str">
        <x:v>Hughes v Rattan (Rev1) [2022] EWCA Civ 107</x:v>
      </x:c>
      <x:c r="J610" s="14" t="str">
        <x:v>England and Wales Court of Appeal (Civil Division)</x:v>
      </x:c>
      <x:c r="K610" s="14" t="n">
        <x:v>2022</x:v>
      </x:c>
      <x:c r="L610" s="15" t="n">
        <x:v>0.68058777</x:v>
      </x:c>
      <x:c r="M610" s="14" t="n">
        <x:v>1</x:v>
      </x:c>
      <x:c r="N610" s="14" t="str">
        <x:v>Gold v Essex County Council | Cassidy v Ministry of Health | Roe v Ministry of Health | A (a Child) v Ministry of Defence | Farraj v King's Healthcare NHS Trust | Ward LJ in E v English Province of Our Lady of Charity | Christian Brothers | Cox v Ministry of Justice | Barclays Bank plc</x:v>
      </x:c>
    </x:row>
    <x:row r="611">
      <x:c r="A611" s="1" t="str">
        <x:v>cmmxkq28b000304jo5eard9id</x:v>
      </x:c>
      <x:c r="B611" s="1" t="str">
        <x:v>cmmshtbz8000204jsdrli49qe</x:v>
      </x:c>
      <x:c r="C611" s="1" t="str">
        <x:v>karpasitis-v-hertfordshire-county-council</x:v>
      </x:c>
      <x:c r="D611" s="12" t="n">
        <x:v>46100.608952395836</x:v>
      </x:c>
      <x:c r="E611" s="1" t="str">
        <x:v>yes</x:v>
      </x:c>
      <x:c r="F611" s="14" t="str">
        <x:v>cmmxktfx8000904johoqmmfkm</x:v>
      </x:c>
      <x:c r="G611" s="14" t="n">
        <x:v>10</x:v>
      </x:c>
      <x:c r="H611" s="14" t="str">
        <x:v>4840c2e7-7326-456e-84e1-def231729686</x:v>
      </x:c>
      <x:c r="I611" s="14" t="str">
        <x:v>Butcher v Southend-On-Sea Borough Council (2014)</x:v>
      </x:c>
      <x:c r="J611" s="14" t="str">
        <x:v>England and Wales Court of Appeal (Civil Division)</x:v>
      </x:c>
      <x:c r="K611" s="14" t="n">
        <x:v>2014</x:v>
      </x:c>
      <x:c r="L611" s="15" t="n">
        <x:v>0.6795311</x:v>
      </x:c>
      <x:c r="M611" s="14" t="n">
        <x:v>1</x:v>
      </x:c>
      <x:c r="N611" s="14" t="str"/>
    </x:row>
    <x:row r="612">
      <x:c r="A612" s="1" t="str">
        <x:v>cmmxkq28b000304jo5eard9id</x:v>
      </x:c>
      <x:c r="B612" s="1" t="str">
        <x:v>cmmshtbz8000204jsdrli49qe</x:v>
      </x:c>
      <x:c r="C612" s="1" t="str">
        <x:v>karpasitis-v-hertfordshire-county-council</x:v>
      </x:c>
      <x:c r="D612" s="12" t="n">
        <x:v>46100.608952395836</x:v>
      </x:c>
      <x:c r="E612" s="1" t="str">
        <x:v>yes</x:v>
      </x:c>
      <x:c r="F612" s="14" t="str">
        <x:v>cmmxktfx8000904johoqmmfkm</x:v>
      </x:c>
      <x:c r="G612" s="14" t="n">
        <x:v>11</x:v>
      </x:c>
      <x:c r="H612" s="14" t="str">
        <x:v>56d8134a-2d5b-4486-9939-e5639c676c98</x:v>
      </x:c>
      <x:c r="I612" s="14" t="str">
        <x:v>Levi &amp; Anor v Bates &amp; Ors</x:v>
      </x:c>
      <x:c r="J612" s="14" t="str">
        <x:v>England and Wales Court of Appeal (Civil Division)</x:v>
      </x:c>
      <x:c r="K612" s="14" t="n">
        <x:v>2015</x:v>
      </x:c>
      <x:c r="L612" s="15" t="n">
        <x:v>0.6788283</x:v>
      </x:c>
      <x:c r="M612" s="14" t="n">
        <x:v>1</x:v>
      </x:c>
      <x:c r="N612" s="14" t="str">
        <x:v>Thomas v News Group Newspapers Limited | Dowson v Chief Constable of Northumbria Police | Majrowski v Guy's and St. Thomas's NHS Trust</x:v>
      </x:c>
    </x:row>
    <x:row r="613">
      <x:c r="A613" s="1" t="str">
        <x:v>cmmxkq28b000304jo5eard9id</x:v>
      </x:c>
      <x:c r="B613" s="1" t="str">
        <x:v>cmmshtbz8000204jsdrli49qe</x:v>
      </x:c>
      <x:c r="C613" s="1" t="str">
        <x:v>karpasitis-v-hertfordshire-county-council</x:v>
      </x:c>
      <x:c r="D613" s="12" t="n">
        <x:v>46100.608952395836</x:v>
      </x:c>
      <x:c r="E613" s="1" t="str">
        <x:v>yes</x:v>
      </x:c>
      <x:c r="F613" s="14" t="str">
        <x:v>cmmxktfx8000904johoqmmfkm</x:v>
      </x:c>
      <x:c r="G613" s="14" t="n">
        <x:v>12</x:v>
      </x:c>
      <x:c r="H613" s="14" t="str">
        <x:v>50ad0fef-c59e-464c-8d87-04a50c7ac07d</x:v>
      </x:c>
      <x:c r="I613" s="14" t="str">
        <x:v>Ramirez v Maheswari [2015] EWCA Civ 879</x:v>
      </x:c>
      <x:c r="J613" s="14" t="str">
        <x:v>England and Wales Court of Appeal (Civil Division)</x:v>
      </x:c>
      <x:c r="K613" s="14" t="n">
        <x:v>2015</x:v>
      </x:c>
      <x:c r="L613" s="15" t="n">
        <x:v>0.6765962</x:v>
      </x:c>
      <x:c r="M613" s="14" t="n">
        <x:v>2</x:v>
      </x:c>
      <x:c r="N613" s="14" t="str">
        <x:v>Lunt v Khelifa | Eagle v Chambers</x:v>
      </x:c>
    </x:row>
    <x:row r="614">
      <x:c r="A614" s="1" t="str">
        <x:v>cmmxkq28b000304jo5eard9id</x:v>
      </x:c>
      <x:c r="B614" s="1" t="str">
        <x:v>cmmshtbz8000204jsdrli49qe</x:v>
      </x:c>
      <x:c r="C614" s="1" t="str">
        <x:v>karpasitis-v-hertfordshire-county-council</x:v>
      </x:c>
      <x:c r="D614" s="12" t="n">
        <x:v>46100.608952395836</x:v>
      </x:c>
      <x:c r="E614" s="1" t="str">
        <x:v>yes</x:v>
      </x:c>
      <x:c r="F614" s="14" t="str">
        <x:v>cmmxktfx8000904johoqmmfkm</x:v>
      </x:c>
      <x:c r="G614" s="14" t="n">
        <x:v>13</x:v>
      </x:c>
      <x:c r="H614" s="14" t="str">
        <x:v>0ce57914-b433-4ea0-85e1-6db19c8a9b39</x:v>
      </x:c>
      <x:c r="I614" s="14" t="str">
        <x:v>Riley v Murray [2022] EWCA Civ 1146</x:v>
      </x:c>
      <x:c r="J614" s="14" t="str">
        <x:v>England and Wales Court of Appeal (Civil Division)</x:v>
      </x:c>
      <x:c r="K614" s="14" t="n">
        <x:v>2022</x:v>
      </x:c>
      <x:c r="L614" s="15" t="n">
        <x:v>0.6757979</x:v>
      </x:c>
      <x:c r="M614" s="14" t="n">
        <x:v>1</x:v>
      </x:c>
      <x:c r="N614" s="14" t="str">
        <x:v>Koutsogiannis v The Random House Group Ltd | Begg v BBC | Joseph v Spiller | Morgan v Associated Newspapers Ltd | Burki v SeventyThirty Ltd | Economou v de Freitas | Serafin v Malkiewicz | Serafin v Malikiewicz | Banks v Cadwalladr | Bonnick v Morris</x:v>
      </x:c>
    </x:row>
    <x:row r="615">
      <x:c r="A615" s="1" t="str">
        <x:v>cmmxkq28b000304jo5eard9id</x:v>
      </x:c>
      <x:c r="B615" s="1" t="str">
        <x:v>cmmshtbz8000204jsdrli49qe</x:v>
      </x:c>
      <x:c r="C615" s="1" t="str">
        <x:v>karpasitis-v-hertfordshire-county-council</x:v>
      </x:c>
      <x:c r="D615" s="12" t="n">
        <x:v>46100.608952395836</x:v>
      </x:c>
      <x:c r="E615" s="1" t="str">
        <x:v>yes</x:v>
      </x:c>
      <x:c r="F615" s="14" t="str">
        <x:v>cmmxktfx8000904johoqmmfkm</x:v>
      </x:c>
      <x:c r="G615" s="14" t="n">
        <x:v>14</x:v>
      </x:c>
      <x:c r="H615" s="14" t="str">
        <x:v>6948a4df-0a45-4ddc-ae3d-8eafee44976a</x:v>
      </x:c>
      <x:c r="I615" s="14" t="str">
        <x:v>Scott v Gavigan [2016] EWCA Civ 544</x:v>
      </x:c>
      <x:c r="J615" s="14" t="str">
        <x:v>England and Wales Court of Appeal (Civil Division)</x:v>
      </x:c>
      <x:c r="K615" s="14" t="n">
        <x:v>2016</x:v>
      </x:c>
      <x:c r="L615" s="15" t="n">
        <x:v>0.67194223</x:v>
      </x:c>
      <x:c r="M615" s="14" t="n">
        <x:v>2</x:v>
      </x:c>
      <x:c r="N615" s="14" t="str">
        <x:v>McKew v Holland &amp; Hannen &amp; Cubitts (Scotland) Ltd | Clerk &amp; Lindsell on Torts</x:v>
      </x:c>
    </x:row>
    <x:row r="616">
      <x:c r="A616" s="1" t="str">
        <x:v>cmmxkq28b000304jo5eard9id</x:v>
      </x:c>
      <x:c r="B616" s="1" t="str">
        <x:v>cmmshtbz8000204jsdrli49qe</x:v>
      </x:c>
      <x:c r="C616" s="1" t="str">
        <x:v>karpasitis-v-hertfordshire-county-council</x:v>
      </x:c>
      <x:c r="D616" s="12" t="n">
        <x:v>46100.608952395836</x:v>
      </x:c>
      <x:c r="E616" s="1" t="str">
        <x:v>yes</x:v>
      </x:c>
      <x:c r="F616" s="14" t="str">
        <x:v>cmmxktfx8000904johoqmmfkm</x:v>
      </x:c>
      <x:c r="G616" s="14" t="n">
        <x:v>15</x:v>
      </x:c>
      <x:c r="H616" s="14" t="str">
        <x:v>3054ae89-4fdf-4879-a9ae-0e7c8a19d90e</x:v>
      </x:c>
      <x:c r="I616" s="14" t="str">
        <x:v>Clifford v Millicom Services UK Ltd &amp; Ors [2023] EWCA Civ 50</x:v>
      </x:c>
      <x:c r="J616" s="14" t="str">
        <x:v>England and Wales Court of Appeal (Civil Division)</x:v>
      </x:c>
      <x:c r="K616" s="14" t="n">
        <x:v>2023</x:v>
      </x:c>
      <x:c r="L616" s="15" t="n">
        <x:v>0.6716876</x:v>
      </x:c>
      <x:c r="M616" s="14" t="n">
        <x:v>1</x:v>
      </x:c>
      <x:c r="N616" s="14" t="str">
        <x:v>R v Legal Aid Board, ex p Kaim Todner [1999] QB 966 | Moss v Information Commissioner [2020] EWCA Civ 580 | Dring v Cape Intermediate Holdings Ltd [2019] UKSC 429, [2020] AC 629 | ABC v Telegraph Group Ltd [2018] EWCA Civ 2329, [2019] EMLR 5 | A v BBC | HRH the Prince of Wales | Libyan Investment Authority (No 2)</x:v>
      </x:c>
    </x:row>
    <x:row r="617">
      <x:c r="A617" s="1" t="str">
        <x:v>cmmxkq28b000304jo5eard9id</x:v>
      </x:c>
      <x:c r="B617" s="1" t="str">
        <x:v>cmmshtbz8000204jsdrli49qe</x:v>
      </x:c>
      <x:c r="C617" s="1" t="str">
        <x:v>karpasitis-v-hertfordshire-county-council</x:v>
      </x:c>
      <x:c r="D617" s="12" t="n">
        <x:v>46100.608952395836</x:v>
      </x:c>
      <x:c r="E617" s="1" t="str">
        <x:v>yes</x:v>
      </x:c>
      <x:c r="F617" s="14" t="str">
        <x:v>cmmxktfx8000904johoqmmfkm</x:v>
      </x:c>
      <x:c r="G617" s="14" t="n">
        <x:v>16</x:v>
      </x:c>
      <x:c r="H617" s="14" t="str">
        <x:v>4685ad0e-87e7-4f59-8991-823ab27d9393</x:v>
      </x:c>
      <x:c r="I617" s="14" t="str">
        <x:v>Tindall &amp; Anor v Chief Constable of Thames Valley Police &amp; Anor [2022] EWCA Civ 25</x:v>
      </x:c>
      <x:c r="J617" s="14" t="str">
        <x:v>England and Wales Court of Appeal (Civil Division)</x:v>
      </x:c>
      <x:c r="K617" s="14" t="n">
        <x:v>2022</x:v>
      </x:c>
      <x:c r="L617" s="15" t="n">
        <x:v>0.67149085</x:v>
      </x:c>
      <x:c r="M617" s="14" t="n">
        <x:v>4</x:v>
      </x:c>
      <x:c r="N617" s="14" t="str">
        <x:v>Michael v South Wales Police | Robinson v West Yorkshire Police | GN v Poole Borough Council | Hedley Byrne | Anns v Merton LBC | N and Anor v Poole Borough Council | Gorringe | Sandhar | Dorset Yacht | Michael | Robinson | N and Anor</x:v>
      </x:c>
    </x:row>
    <x:row r="618">
      <x:c r="A618" s="1" t="str">
        <x:v>cmmxkq28b000304jo5eard9id</x:v>
      </x:c>
      <x:c r="B618" s="1" t="str">
        <x:v>cmmshtbz8000204jsdrli49qe</x:v>
      </x:c>
      <x:c r="C618" s="1" t="str">
        <x:v>karpasitis-v-hertfordshire-county-council</x:v>
      </x:c>
      <x:c r="D618" s="12" t="n">
        <x:v>46100.608952395836</x:v>
      </x:c>
      <x:c r="E618" s="1" t="str">
        <x:v>yes</x:v>
      </x:c>
      <x:c r="F618" s="14" t="str">
        <x:v>cmmxktfx8000904johoqmmfkm</x:v>
      </x:c>
      <x:c r="G618" s="14" t="n">
        <x:v>17</x:v>
      </x:c>
      <x:c r="H618" s="14" t="str">
        <x:v>abc88167-90f9-4d9a-b6a0-8d4adaaf3242</x:v>
      </x:c>
      <x:c r="I618" s="14" t="str">
        <x:v>Vann &amp; Ors v Ocidental - Companhia De Seguros SA [2015] EWCA Civ 572</x:v>
      </x:c>
      <x:c r="J618" s="14" t="str">
        <x:v>England and Wales Court of Appeal (Civil Division)</x:v>
      </x:c>
      <x:c r="K618" s="14" t="n">
        <x:v>2015</x:v>
      </x:c>
      <x:c r="L618" s="15" t="n">
        <x:v>0.66167927</x:v>
      </x:c>
      <x:c r="M618" s="14" t="n">
        <x:v>2</x:v>
      </x:c>
      <x:c r="N618" s="14" t="str"/>
    </x:row>
    <x:row r="619">
      <x:c r="A619" s="1" t="str">
        <x:v>cmmxkq28b000304jo5eard9id</x:v>
      </x:c>
      <x:c r="B619" s="1" t="str">
        <x:v>cmmshtbz8000204jsdrli49qe</x:v>
      </x:c>
      <x:c r="C619" s="1" t="str">
        <x:v>karpasitis-v-hertfordshire-county-council</x:v>
      </x:c>
      <x:c r="D619" s="12" t="n">
        <x:v>46100.608952395836</x:v>
      </x:c>
      <x:c r="E619" s="1" t="str">
        <x:v>yes</x:v>
      </x:c>
      <x:c r="F619" s="14" t="str">
        <x:v>cmmxktfx8000904johoqmmfkm</x:v>
      </x:c>
      <x:c r="G619" s="14" t="n">
        <x:v>18</x:v>
      </x:c>
      <x:c r="H619" s="14" t="str">
        <x:v>ed70a00e-07d1-4bcc-ba19-9b0291138789</x:v>
      </x:c>
      <x:c r="I619" s="14" t="str">
        <x:v>Christian v South East London And Kent Bus Company [2014] EWCA Civ 944</x:v>
      </x:c>
      <x:c r="J619" s="14" t="str">
        <x:v>England and Wales Court of Appeal (Civil Division)</x:v>
      </x:c>
      <x:c r="K619" s="14" t="n">
        <x:v>2014</x:v>
      </x:c>
      <x:c r="L619" s="15" t="n">
        <x:v>0.6613573</x:v>
      </x:c>
      <x:c r="M619" s="14" t="n">
        <x:v>2</x:v>
      </x:c>
      <x:c r="N619" s="14" t="str"/>
    </x:row>
    <x:row r="620">
      <x:c r="A620" s="1" t="str">
        <x:v>cmmxkq28b000304jo5eard9id</x:v>
      </x:c>
      <x:c r="B620" s="1" t="str">
        <x:v>cmmshtbz8000204jsdrli49qe</x:v>
      </x:c>
      <x:c r="C620" s="1" t="str">
        <x:v>karpasitis-v-hertfordshire-county-council</x:v>
      </x:c>
      <x:c r="D620" s="12" t="n">
        <x:v>46100.608952395836</x:v>
      </x:c>
      <x:c r="E620" s="1" t="str">
        <x:v>yes</x:v>
      </x:c>
      <x:c r="F620" s="14" t="str">
        <x:v>cmmxktfx8000904johoqmmfkm</x:v>
      </x:c>
      <x:c r="G620" s="14" t="n">
        <x:v>19</x:v>
      </x:c>
      <x:c r="H620" s="14" t="str">
        <x:v>de31f448-8314-4535-b841-75e23ab56a91</x:v>
      </x:c>
      <x:c r="I620" s="14" t="str">
        <x:v>Municipio de Mariana v BHP Group (UK) Ltd &amp; Anor [2022] EWCA Civ 951</x:v>
      </x:c>
      <x:c r="J620" s="14" t="str">
        <x:v>England and Wales Court of Appeal (Civil Division)</x:v>
      </x:c>
      <x:c r="K620" s="14" t="n">
        <x:v>2022</x:v>
      </x:c>
      <x:c r="L620" s="15" t="n">
        <x:v>0.6609283</x:v>
      </x:c>
      <x:c r="M620" s="14" t="n">
        <x:v>1</x:v>
      </x:c>
      <x:c r="N620" s="14" t="str">
        <x:v>Hunter v Chief Constable of the West Midlands Police (1981) UKHL 13 | Her Majesty's Attorney General v Barker (Admin) [2000] EWHC 453 | Johnson v Gore Wood &amp; Co [2000] UKHL 65 | Wyeth v Commissioners of Customs and Excise [1999] EWHC 167 (Admin) | Jameel (Yousef) v Dow Jones Co Inc [2005] EWCA Civ 75 | Vedanta Resources plc v Foreign Trading Ltd | Owusu v Jackson [2005] QB 801 | Spiliada Maritime Corp v Canaleux Ltd [1987] AC 460 | Kyrgyz Mobil Tel Ltd v AK Mobile | Connelly v RTZ Corp [1998] AC 854 | Privatbank v Kolomoisky [2019] EWCA Civ 1708 | Mazur Meda Ltd v Mazur Media GmbH [2004] EWHC 1566 (Ch) | OJSC VTB Bank v Parline Ltd [2013] EWHC 3538 (Comm)</x:v>
      </x:c>
    </x:row>
    <x:row r="621">
      <x:c r="A621" s="1" t="str">
        <x:v>cmmxkq28b000304jo5eard9id</x:v>
      </x:c>
      <x:c r="B621" s="1" t="str">
        <x:v>cmmshtbz8000204jsdrli49qe</x:v>
      </x:c>
      <x:c r="C621" s="1" t="str">
        <x:v>karpasitis-v-hertfordshire-county-council</x:v>
      </x:c>
      <x:c r="D621" s="12" t="n">
        <x:v>46100.608952395836</x:v>
      </x:c>
      <x:c r="E621" s="1" t="str">
        <x:v>yes</x:v>
      </x:c>
      <x:c r="F621" s="14" t="str">
        <x:v>cmmxktfx8000904johoqmmfkm</x:v>
      </x:c>
      <x:c r="G621" s="14" t="n">
        <x:v>20</x:v>
      </x:c>
      <x:c r="H621" s="14" t="str">
        <x:v>77de6f74-22d2-4440-a98f-3e75819dc938</x:v>
      </x:c>
      <x:c r="I621" s="14" t="str">
        <x:v>Reed Elsevier UK Ltd (t/a LexisNexis) &amp; Anor v Bewry</x:v>
      </x:c>
      <x:c r="J621" s="14" t="str">
        <x:v>England and Wales Court of Appeal (Civil Division)</x:v>
      </x:c>
      <x:c r="K621" s="14" t="n">
        <x:v>2014</x:v>
      </x:c>
      <x:c r="L621" s="15" t="n">
        <x:v>0.66022617</x:v>
      </x:c>
      <x:c r="M621" s="14" t="n">
        <x:v>1</x:v>
      </x:c>
      <x:c r="N621" s="14" t="str">
        <x:v>Duke of Brunswick v Harmer [1849] 14 QB 185 | Steedman v BBC [2001] EWCA Civ 1534</x:v>
      </x:c>
    </x:row>
    <x:row r="622">
      <x:c r="A622" s="1" t="str">
        <x:v>cmmxlo96z000304l1t60nqye9</x:v>
      </x:c>
      <x:c r="B622" s="1" t="str">
        <x:v>cmmxhmaji000604l8iyhbwnn1</x:v>
      </x:c>
      <x:c r="C622" s="1" t="str">
        <x:v>greenfields--iow--limited-v-isle-of-wight-council---westridge-village-limited</x:v>
      </x:c>
      <x:c r="D622" s="12" t="n">
        <x:v>46100.62741685185</x:v>
      </x:c>
      <x:c r="E622" s="1" t="str">
        <x:v>no</x:v>
      </x:c>
      <x:c r="F622" s="14" t="str"/>
      <x:c r="G622" s="14" t="n">
        <x:v>1</x:v>
      </x:c>
      <x:c r="H622" s="14" t="str">
        <x:v>379d4f20-62f5-403b-a082-fa36b82fe1c1</x:v>
      </x:c>
      <x:c r="I622" s="14" t="str">
        <x:v>Regina v. London Borough of Hammersmith and Fulham (Burkett) [2002] UKHL 23</x:v>
      </x:c>
      <x:c r="J622" s="14" t="str">
        <x:v>United Kingdom House of Lords</x:v>
      </x:c>
      <x:c r="K622" s="14" t="n">
        <x:v>2002</x:v>
      </x:c>
      <x:c r="L622" s="15" t="n">
        <x:v>0.7612076</x:v>
      </x:c>
      <x:c r="M622" s="14" t="n">
        <x:v>3</x:v>
      </x:c>
      <x:c r="N622" s="14" t="str"/>
    </x:row>
    <x:row r="623">
      <x:c r="A623" s="1" t="str">
        <x:v>cmmxlo96z000304l1t60nqye9</x:v>
      </x:c>
      <x:c r="B623" s="1" t="str">
        <x:v>cmmxhmaji000604l8iyhbwnn1</x:v>
      </x:c>
      <x:c r="C623" s="1" t="str">
        <x:v>greenfields--iow--limited-v-isle-of-wight-council---westridge-village-limited</x:v>
      </x:c>
      <x:c r="D623" s="12" t="n">
        <x:v>46100.62741685185</x:v>
      </x:c>
      <x:c r="E623" s="1" t="str">
        <x:v>no</x:v>
      </x:c>
      <x:c r="F623" s="14" t="str"/>
      <x:c r="G623" s="14" t="n">
        <x:v>2</x:v>
      </x:c>
      <x:c r="H623" s="14" t="str">
        <x:v>a1b35831-8ed8-43ad-bc7e-488100344627</x:v>
      </x:c>
      <x:c r="I623" s="14" t="str">
        <x:v>Corbett v Cornwall Council [2022] EWCA Civ 1069</x:v>
      </x:c>
      <x:c r="J623" s="14" t="str">
        <x:v>England and Wales Court of Appeal (Civil Division)</x:v>
      </x:c>
      <x:c r="K623" s="14" t="n">
        <x:v>2022</x:v>
      </x:c>
      <x:c r="L623" s="15" t="n">
        <x:v>0.7390272</x:v>
      </x:c>
      <x:c r="M623" s="14" t="n">
        <x:v>1</x:v>
      </x:c>
      <x:c r="N623" s="14" t="str"/>
    </x:row>
    <x:row r="624">
      <x:c r="A624" s="1" t="str">
        <x:v>cmmxlo96z000304l1t60nqye9</x:v>
      </x:c>
      <x:c r="B624" s="1" t="str">
        <x:v>cmmxhmaji000604l8iyhbwnn1</x:v>
      </x:c>
      <x:c r="C624" s="1" t="str">
        <x:v>greenfields--iow--limited-v-isle-of-wight-council---westridge-village-limited</x:v>
      </x:c>
      <x:c r="D624" s="12" t="n">
        <x:v>46100.62741685185</x:v>
      </x:c>
      <x:c r="E624" s="1" t="str">
        <x:v>no</x:v>
      </x:c>
      <x:c r="F624" s="14" t="str"/>
      <x:c r="G624" s="14" t="n">
        <x:v>3</x:v>
      </x:c>
      <x:c r="H624" s="14" t="str">
        <x:v>f42492fd-8832-4f70-b315-d7597c15a5ef</x:v>
      </x:c>
      <x:c r="I624" s="14" t="str">
        <x:v>Cherkley Campaign Ltd, R (on the application of) v Mole Valley District Council &amp; Anor</x:v>
      </x:c>
      <x:c r="J624" s="14" t="str">
        <x:v>England and Wales Court of Appeal (Civil Division)</x:v>
      </x:c>
      <x:c r="K624" s="14" t="n">
        <x:v>2014</x:v>
      </x:c>
      <x:c r="L624" s="15" t="n">
        <x:v>0.73674625</x:v>
      </x:c>
      <x:c r="M624" s="14" t="n">
        <x:v>2</x:v>
      </x:c>
      <x:c r="N624" s="14" t="str">
        <x:v>Planning and Compulsory Purchase Act 2004</x:v>
      </x:c>
    </x:row>
    <x:row r="625">
      <x:c r="A625" s="1" t="str">
        <x:v>cmmxlo96z000304l1t60nqye9</x:v>
      </x:c>
      <x:c r="B625" s="1" t="str">
        <x:v>cmmxhmaji000604l8iyhbwnn1</x:v>
      </x:c>
      <x:c r="C625" s="1" t="str">
        <x:v>greenfields--iow--limited-v-isle-of-wight-council---westridge-village-limited</x:v>
      </x:c>
      <x:c r="D625" s="12" t="n">
        <x:v>46100.62741685185</x:v>
      </x:c>
      <x:c r="E625" s="1" t="str">
        <x:v>no</x:v>
      </x:c>
      <x:c r="F625" s="14" t="str"/>
      <x:c r="G625" s="14" t="n">
        <x:v>4</x:v>
      </x:c>
      <x:c r="H625" s="14" t="str">
        <x:v>76e6ffcd-af03-4155-a667-51d98a79d1d7</x:v>
      </x:c>
      <x:c r="I625" s="14" t="str">
        <x:v>Arnold White Estates Ltd v The Forestry Commission [2022] EWCA Civ 1304</x:v>
      </x:c>
      <x:c r="J625" s="14" t="str">
        <x:v>England and Wales Court of Appeal (Civil Division)</x:v>
      </x:c>
      <x:c r="K625" s="14" t="n">
        <x:v>2022</x:v>
      </x:c>
      <x:c r="L625" s="15" t="n">
        <x:v>0.73386216</x:v>
      </x:c>
      <x:c r="M625" s="14" t="n">
        <x:v>1</x:v>
      </x:c>
      <x:c r="N625" s="14" t="str">
        <x:v>R. (on the application of Thornton Hall Hotel Ltd.) v Wirral Metropolitan Borough Council (2019) EWCA Civ 737</x:v>
      </x:c>
    </x:row>
    <x:row r="626">
      <x:c r="A626" s="1" t="str">
        <x:v>cmmxlo96z000304l1t60nqye9</x:v>
      </x:c>
      <x:c r="B626" s="1" t="str">
        <x:v>cmmxhmaji000604l8iyhbwnn1</x:v>
      </x:c>
      <x:c r="C626" s="1" t="str">
        <x:v>greenfields--iow--limited-v-isle-of-wight-council---westridge-village-limited</x:v>
      </x:c>
      <x:c r="D626" s="12" t="n">
        <x:v>46100.62741685185</x:v>
      </x:c>
      <x:c r="E626" s="1" t="str">
        <x:v>no</x:v>
      </x:c>
      <x:c r="F626" s="14" t="str"/>
      <x:c r="G626" s="14" t="n">
        <x:v>5</x:v>
      </x:c>
      <x:c r="H626" s="14" t="str">
        <x:v>235388cd-5994-4cf3-b7e7-c349382ef164</x:v>
      </x:c>
      <x:c r="I626" s="14" t="str">
        <x:v>Save Britain's Heritage, R (On the Application Of) v Davies (Rev1) [2023] EWCA Civ 723</x:v>
      </x:c>
      <x:c r="J626" s="14" t="str">
        <x:v>England and Wales Court of Appeal (Civil Division)</x:v>
      </x:c>
      <x:c r="K626" s="14" t="n">
        <x:v>2023</x:v>
      </x:c>
      <x:c r="L626" s="15" t="n">
        <x:v>0.73312974</x:v>
      </x:c>
      <x:c r="M626" s="14" t="n">
        <x:v>2</x:v>
      </x:c>
      <x:c r="N626" s="14" t="str">
        <x:v>2022 EWHC 2984 (Admin) | Town and Country Planning Order 2015 (as amended)</x:v>
      </x:c>
    </x:row>
    <x:row r="627">
      <x:c r="A627" s="1" t="str">
        <x:v>cmmxlo96z000304l1t60nqye9</x:v>
      </x:c>
      <x:c r="B627" s="1" t="str">
        <x:v>cmmxhmaji000604l8iyhbwnn1</x:v>
      </x:c>
      <x:c r="C627" s="1" t="str">
        <x:v>greenfields--iow--limited-v-isle-of-wight-council---westridge-village-limited</x:v>
      </x:c>
      <x:c r="D627" s="12" t="n">
        <x:v>46100.62741685185</x:v>
      </x:c>
      <x:c r="E627" s="1" t="str">
        <x:v>no</x:v>
      </x:c>
      <x:c r="F627" s="14" t="str"/>
      <x:c r="G627" s="14" t="n">
        <x:v>6</x:v>
      </x:c>
      <x:c r="H627" s="14" t="str">
        <x:v>776a8070-aa6f-410e-b91e-2e1fcadadb9b</x:v>
      </x:c>
      <x:c r="I627" s="14" t="str">
        <x:v>Sheakh, R (On the Application Of) v London Borough of Lambeth Council [2022] EWCA Civ 457 (05 April 2022)</x:v>
      </x:c>
      <x:c r="J627" s="14" t="str">
        <x:v>England and Wales Court of Appeal (Civil Division)</x:v>
      </x:c>
      <x:c r="K627" s="14" t="n">
        <x:v>2022</x:v>
      </x:c>
      <x:c r="L627" s="15" t="n">
        <x:v>0.73234314</x:v>
      </x:c>
      <x:c r="M627" s="14" t="n">
        <x:v>1</x:v>
      </x:c>
      <x:c r="N627" s="14" t="str">
        <x:v>R. (Bailey) v Brent LBC [2011] EWCA Civ 1586</x:v>
      </x:c>
    </x:row>
    <x:row r="628">
      <x:c r="A628" s="1" t="str">
        <x:v>cmmxlo96z000304l1t60nqye9</x:v>
      </x:c>
      <x:c r="B628" s="1" t="str">
        <x:v>cmmxhmaji000604l8iyhbwnn1</x:v>
      </x:c>
      <x:c r="C628" s="1" t="str">
        <x:v>greenfields--iow--limited-v-isle-of-wight-council---westridge-village-limited</x:v>
      </x:c>
      <x:c r="D628" s="12" t="n">
        <x:v>46100.62741685185</x:v>
      </x:c>
      <x:c r="E628" s="1" t="str">
        <x:v>no</x:v>
      </x:c>
      <x:c r="F628" s="14" t="str"/>
      <x:c r="G628" s="14" t="n">
        <x:v>7</x:v>
      </x:c>
      <x:c r="H628" s="14" t="str">
        <x:v>6cd7db33-7ee1-44c0-9219-b2cc7d57d88b</x:v>
      </x:c>
      <x:c r="I628" s="14" t="str">
        <x:v>Smith v Secretary of State for Levelling Up, Housing &amp; Communities &amp; Anor [2022] EWCA Civ 1391</x:v>
      </x:c>
      <x:c r="J628" s="14" t="str">
        <x:v>England and Wales Court of Appeal (Civil Division)</x:v>
      </x:c>
      <x:c r="K628" s="14" t="n">
        <x:v>2022</x:v>
      </x:c>
      <x:c r="L628" s="15" t="n">
        <x:v>0.73126924</x:v>
      </x:c>
      <x:c r="M628" s="14" t="n">
        <x:v>1</x:v>
      </x:c>
      <x:c r="N628" s="14" t="str">
        <x:v>[2021] EWHC 1650 (Admin)</x:v>
      </x:c>
    </x:row>
    <x:row r="629">
      <x:c r="A629" s="1" t="str">
        <x:v>cmmxlo96z000304l1t60nqye9</x:v>
      </x:c>
      <x:c r="B629" s="1" t="str">
        <x:v>cmmxhmaji000604l8iyhbwnn1</x:v>
      </x:c>
      <x:c r="C629" s="1" t="str">
        <x:v>greenfields--iow--limited-v-isle-of-wight-council---westridge-village-limited</x:v>
      </x:c>
      <x:c r="D629" s="12" t="n">
        <x:v>46100.62741685185</x:v>
      </x:c>
      <x:c r="E629" s="1" t="str">
        <x:v>no</x:v>
      </x:c>
      <x:c r="F629" s="14" t="str"/>
      <x:c r="G629" s="14" t="n">
        <x:v>8</x:v>
      </x:c>
      <x:c r="H629" s="14" t="str">
        <x:v>7f44d9a8-2459-4f6a-84fc-e475bb8f169a</x:v>
      </x:c>
      <x:c r="I629" s="14" t="str">
        <x:v>Secretary of State for Levelling Up, Housing and Communities v Smith &amp; Anor [2023] EWCA Civ 514</x:v>
      </x:c>
      <x:c r="J629" s="14" t="str">
        <x:v>England and Wales Court of Appeal (Civil Division)</x:v>
      </x:c>
      <x:c r="K629" s="14" t="n">
        <x:v>2023</x:v>
      </x:c>
      <x:c r="L629" s="15" t="n">
        <x:v>0.73015463</x:v>
      </x:c>
      <x:c r="M629" s="14" t="n">
        <x:v>5</x:v>
      </x:c>
      <x:c r="N629" s="14" t="str">
        <x:v>[2022] EWHC 3209 (Admin) | Harris | Harris (planning fairness)</x:v>
      </x:c>
    </x:row>
    <x:row r="630">
      <x:c r="A630" s="1" t="str">
        <x:v>cmmxlo96z000304l1t60nqye9</x:v>
      </x:c>
      <x:c r="B630" s="1" t="str">
        <x:v>cmmxhmaji000604l8iyhbwnn1</x:v>
      </x:c>
      <x:c r="C630" s="1" t="str">
        <x:v>greenfields--iow--limited-v-isle-of-wight-council---westridge-village-limited</x:v>
      </x:c>
      <x:c r="D630" s="12" t="n">
        <x:v>46100.62741685185</x:v>
      </x:c>
      <x:c r="E630" s="1" t="str">
        <x:v>no</x:v>
      </x:c>
      <x:c r="F630" s="14" t="str"/>
      <x:c r="G630" s="14" t="n">
        <x:v>9</x:v>
      </x:c>
      <x:c r="H630" s="14" t="str">
        <x:v>76cd3a35-03e9-4300-b6c9-27ac34a88301</x:v>
      </x:c>
      <x:c r="I630" s="14" t="str">
        <x:v>Ashburton Trading Ltd v Secretary of State for Communities And Local Government &amp; Anor [2014] EWCA Civ 378</x:v>
      </x:c>
      <x:c r="J630" s="14" t="str">
        <x:v>England and Wales Court of Appeal (Civil Division)</x:v>
      </x:c>
      <x:c r="K630" s="14" t="n">
        <x:v>2014</x:v>
      </x:c>
      <x:c r="L630" s="15" t="n">
        <x:v>0.7300734</x:v>
      </x:c>
      <x:c r="M630" s="14" t="n">
        <x:v>1</x:v>
      </x:c>
      <x:c r="N630" s="14" t="str"/>
    </x:row>
    <x:row r="631">
      <x:c r="A631" s="1" t="str">
        <x:v>cmmxlo96z000304l1t60nqye9</x:v>
      </x:c>
      <x:c r="B631" s="1" t="str">
        <x:v>cmmxhmaji000604l8iyhbwnn1</x:v>
      </x:c>
      <x:c r="C631" s="1" t="str">
        <x:v>greenfields--iow--limited-v-isle-of-wight-council---westridge-village-limited</x:v>
      </x:c>
      <x:c r="D631" s="12" t="n">
        <x:v>46100.62741685185</x:v>
      </x:c>
      <x:c r="E631" s="1" t="str">
        <x:v>no</x:v>
      </x:c>
      <x:c r="F631" s="14" t="str"/>
      <x:c r="G631" s="14" t="n">
        <x:v>10</x:v>
      </x:c>
      <x:c r="H631" s="14" t="str">
        <x:v>3bdf2d7a-d886-4bb3-ba30-9c4b472a4f7c</x:v>
      </x:c>
      <x:c r="I631" s="14" t="str">
        <x:v>Gardiner v Hertsmere Borough Council &amp; Anor [2022] EWCA Civ 1162</x:v>
      </x:c>
      <x:c r="J631" s="14" t="str">
        <x:v>England and Wales Court of Appeal (Civil Division)</x:v>
      </x:c>
      <x:c r="K631" s="14" t="n">
        <x:v>2022</x:v>
      </x:c>
      <x:c r="L631" s="15" t="n">
        <x:v>0.7292241</x:v>
      </x:c>
      <x:c r="M631" s="14" t="n">
        <x:v>1</x:v>
      </x:c>
      <x:c r="N631" s="14" t="str">
        <x:v>Gardiner v Hertsmere Borough Council &amp; Anor [2022] EWCA Civ 1162</x:v>
      </x:c>
    </x:row>
    <x:row r="632">
      <x:c r="A632" s="1" t="str">
        <x:v>cmmxlo96z000304l1t60nqye9</x:v>
      </x:c>
      <x:c r="B632" s="1" t="str">
        <x:v>cmmxhmaji000604l8iyhbwnn1</x:v>
      </x:c>
      <x:c r="C632" s="1" t="str">
        <x:v>greenfields--iow--limited-v-isle-of-wight-council---westridge-village-limited</x:v>
      </x:c>
      <x:c r="D632" s="12" t="n">
        <x:v>46100.62741685185</x:v>
      </x:c>
      <x:c r="E632" s="1" t="str">
        <x:v>no</x:v>
      </x:c>
      <x:c r="F632" s="14" t="str"/>
      <x:c r="G632" s="14" t="n">
        <x:v>11</x:v>
      </x:c>
      <x:c r="H632" s="14" t="str">
        <x:v>8d10f639-afdd-4cee-893d-c3b4fbaefe7b</x:v>
      </x:c>
      <x:c r="I632" s="14" t="str">
        <x:v>Tesco Stores Ltd v Forest of Dean District Council [2015] EWCA Civ 800</x:v>
      </x:c>
      <x:c r="J632" s="14" t="str">
        <x:v>England and Wales Court of Appeal (Civil Division)</x:v>
      </x:c>
      <x:c r="K632" s="14" t="n">
        <x:v>2015</x:v>
      </x:c>
      <x:c r="L632" s="15" t="n">
        <x:v>0.7280055</x:v>
      </x:c>
      <x:c r="M632" s="14" t="n">
        <x:v>2</x:v>
      </x:c>
      <x:c r="N632" s="14" t="str">
        <x:v>R (Mid Counties Co-operative Ltd) v Forest of Dean District Council [2015] EWHC 1251 (Admin)</x:v>
      </x:c>
    </x:row>
    <x:row r="633">
      <x:c r="A633" s="1" t="str">
        <x:v>cmmxlo96z000304l1t60nqye9</x:v>
      </x:c>
      <x:c r="B633" s="1" t="str">
        <x:v>cmmxhmaji000604l8iyhbwnn1</x:v>
      </x:c>
      <x:c r="C633" s="1" t="str">
        <x:v>greenfields--iow--limited-v-isle-of-wight-council---westridge-village-limited</x:v>
      </x:c>
      <x:c r="D633" s="12" t="n">
        <x:v>46100.62741685185</x:v>
      </x:c>
      <x:c r="E633" s="1" t="str">
        <x:v>no</x:v>
      </x:c>
      <x:c r="F633" s="14" t="str"/>
      <x:c r="G633" s="14" t="n">
        <x:v>12</x:v>
      </x:c>
      <x:c r="H633" s="14" t="str">
        <x:v>1d957476-2c0d-4578-8a43-679ec600e382</x:v>
      </x:c>
      <x:c r="I633" s="14" t="str">
        <x:v>Wyatt v Fareham Borough Council (Rev1) [2022] EWCA Civ 983</x:v>
      </x:c>
      <x:c r="J633" s="14" t="str">
        <x:v>England and Wales Court of Appeal (Civil Division)</x:v>
      </x:c>
      <x:c r="K633" s="14" t="n">
        <x:v>2022</x:v>
      </x:c>
      <x:c r="L633" s="15" t="n">
        <x:v>0.725817</x:v>
      </x:c>
      <x:c r="M633" s="14" t="n">
        <x:v>1</x:v>
      </x:c>
      <x:c r="N633" s="14" t="str"/>
    </x:row>
    <x:row r="634">
      <x:c r="A634" s="1" t="str">
        <x:v>cmmxlo96z000304l1t60nqye9</x:v>
      </x:c>
      <x:c r="B634" s="1" t="str">
        <x:v>cmmxhmaji000604l8iyhbwnn1</x:v>
      </x:c>
      <x:c r="C634" s="1" t="str">
        <x:v>greenfields--iow--limited-v-isle-of-wight-council---westridge-village-limited</x:v>
      </x:c>
      <x:c r="D634" s="12" t="n">
        <x:v>46100.62741685185</x:v>
      </x:c>
      <x:c r="E634" s="1" t="str">
        <x:v>no</x:v>
      </x:c>
      <x:c r="F634" s="14" t="str"/>
      <x:c r="G634" s="14" t="n">
        <x:v>13</x:v>
      </x:c>
      <x:c r="H634" s="14" t="str">
        <x:v>3fae9752-b3e5-4a98-a0e5-5ade79ee3e8d</x:v>
      </x:c>
      <x:c r="I634" s="14" t="str">
        <x:v>East Quayside 12 LLP v The Council of the City of Newcastle upon Tyne [2023] EWCA Civ 359</x:v>
      </x:c>
      <x:c r="J634" s="14" t="str">
        <x:v>England and Wales Court of Appeal (Civil Division)</x:v>
      </x:c>
      <x:c r="K634" s="14" t="n">
        <x:v>2023</x:v>
      </x:c>
      <x:c r="L634" s="15" t="n">
        <x:v>0.7257341</x:v>
      </x:c>
      <x:c r="M634" s="14" t="n">
        <x:v>1</x:v>
      </x:c>
      <x:c r="N634" s="14" t="str"/>
    </x:row>
    <x:row r="635">
      <x:c r="A635" s="1" t="str">
        <x:v>cmmxlo96z000304l1t60nqye9</x:v>
      </x:c>
      <x:c r="B635" s="1" t="str">
        <x:v>cmmxhmaji000604l8iyhbwnn1</x:v>
      </x:c>
      <x:c r="C635" s="1" t="str">
        <x:v>greenfields--iow--limited-v-isle-of-wight-council---westridge-village-limited</x:v>
      </x:c>
      <x:c r="D635" s="12" t="n">
        <x:v>46100.62741685185</x:v>
      </x:c>
      <x:c r="E635" s="1" t="str">
        <x:v>no</x:v>
      </x:c>
      <x:c r="F635" s="14" t="str"/>
      <x:c r="G635" s="14" t="n">
        <x:v>14</x:v>
      </x:c>
      <x:c r="H635" s="14" t="str">
        <x:v>9034c8de-ac8c-45a1-9a63-569c390554ca</x:v>
      </x:c>
      <x:c r="I635" s="14" t="str">
        <x:v>Thurston Parish Council, R (On the Application Of) v Mid Suffolk District Council &amp; Anor [2022] EWCA Civ 1417</x:v>
      </x:c>
      <x:c r="J635" s="14" t="str">
        <x:v>England and Wales Court of Appeal (Civil Division)</x:v>
      </x:c>
      <x:c r="K635" s="14" t="n">
        <x:v>2022</x:v>
      </x:c>
      <x:c r="L635" s="15" t="n">
        <x:v>0.7232686</x:v>
      </x:c>
      <x:c r="M635" s="14" t="n">
        <x:v>2</x:v>
      </x:c>
      <x:c r="N635" s="14" t="str">
        <x:v>EWHC 352 Admin | EWCA Civ 1417 | Canterbury 2019 | Mansell 2019 | Fabre 2017 | Palmer 2017 | Hopkins 2017 | Chichester 2019</x:v>
      </x:c>
    </x:row>
    <x:row r="636">
      <x:c r="A636" s="1" t="str">
        <x:v>cmmxlo96z000304l1t60nqye9</x:v>
      </x:c>
      <x:c r="B636" s="1" t="str">
        <x:v>cmmxhmaji000604l8iyhbwnn1</x:v>
      </x:c>
      <x:c r="C636" s="1" t="str">
        <x:v>greenfields--iow--limited-v-isle-of-wight-council---westridge-village-limited</x:v>
      </x:c>
      <x:c r="D636" s="12" t="n">
        <x:v>46100.62741685185</x:v>
      </x:c>
      <x:c r="E636" s="1" t="str">
        <x:v>no</x:v>
      </x:c>
      <x:c r="F636" s="14" t="str"/>
      <x:c r="G636" s="14" t="n">
        <x:v>15</x:v>
      </x:c>
      <x:c r="H636" s="14" t="str">
        <x:v>90743ee0-c75d-4140-93eb-89a3938f7523</x:v>
      </x:c>
      <x:c r="I636" s="14" t="str">
        <x:v>Devine v Secretary of State for Levelling Up, Housing and Communities [2023] EWCA Civ 601</x:v>
      </x:c>
      <x:c r="J636" s="14" t="str">
        <x:v>England and Wales Court of Appeal (Civil Division)</x:v>
      </x:c>
      <x:c r="K636" s="14" t="n">
        <x:v>2023</x:v>
      </x:c>
      <x:c r="L636" s="15" t="n">
        <x:v>0.72209775</x:v>
      </x:c>
      <x:c r="M636" s="14" t="n">
        <x:v>1</x:v>
      </x:c>
      <x:c r="N636" s="14" t="str">
        <x:v>[2022] EWHC 2031 (Admin)</x:v>
      </x:c>
    </x:row>
    <x:row r="637">
      <x:c r="A637" s="1" t="str">
        <x:v>cmmxlo96z000304l1t60nqye9</x:v>
      </x:c>
      <x:c r="B637" s="1" t="str">
        <x:v>cmmxhmaji000604l8iyhbwnn1</x:v>
      </x:c>
      <x:c r="C637" s="1" t="str">
        <x:v>greenfields--iow--limited-v-isle-of-wight-council---westridge-village-limited</x:v>
      </x:c>
      <x:c r="D637" s="12" t="n">
        <x:v>46100.62741685185</x:v>
      </x:c>
      <x:c r="E637" s="1" t="str">
        <x:v>no</x:v>
      </x:c>
      <x:c r="F637" s="14" t="str"/>
      <x:c r="G637" s="14" t="n">
        <x:v>16</x:v>
      </x:c>
      <x:c r="H637" s="14" t="str">
        <x:v>1f4a0cfb-5359-49da-93e8-89cbb817ebca</x:v>
      </x:c>
      <x:c r="I637" s="14" t="str">
        <x:v>Whitley Parish Council, R (On the Application Of) v North Yorkshire County Council &amp; Anor [2023] EWCA Civ 92</x:v>
      </x:c>
      <x:c r="J637" s="14" t="str">
        <x:v>England and Wales Court of Appeal (Civil Division)</x:v>
      </x:c>
      <x:c r="K637" s="14" t="n">
        <x:v>2023</x:v>
      </x:c>
      <x:c r="L637" s="15" t="n">
        <x:v>0.71955574</x:v>
      </x:c>
      <x:c r="M637" s="14" t="n">
        <x:v>1</x:v>
      </x:c>
      <x:c r="N637" s="14" t="str"/>
    </x:row>
    <x:row r="638">
      <x:c r="A638" s="1" t="str">
        <x:v>cmmxlo96z000304l1t60nqye9</x:v>
      </x:c>
      <x:c r="B638" s="1" t="str">
        <x:v>cmmxhmaji000604l8iyhbwnn1</x:v>
      </x:c>
      <x:c r="C638" s="1" t="str">
        <x:v>greenfields--iow--limited-v-isle-of-wight-council---westridge-village-limited</x:v>
      </x:c>
      <x:c r="D638" s="12" t="n">
        <x:v>46100.62741685185</x:v>
      </x:c>
      <x:c r="E638" s="1" t="str">
        <x:v>no</x:v>
      </x:c>
      <x:c r="F638" s="14" t="str"/>
      <x:c r="G638" s="14" t="n">
        <x:v>17</x:v>
      </x:c>
      <x:c r="H638" s="14" t="str">
        <x:v>3ff34419-ffbc-40f9-a087-a1cb1371d0e1</x:v>
      </x:c>
      <x:c r="I638" s="14" t="str">
        <x:v>Vicente &amp; Anor v Secretary of State for Communities and Local Government &amp; Anor [2014] EWCA Civ 1555</x:v>
      </x:c>
      <x:c r="J638" s="14" t="str">
        <x:v>England and Wales Court of Appeal (Civil Division)</x:v>
      </x:c>
      <x:c r="K638" s="14" t="n">
        <x:v>2014</x:v>
      </x:c>
      <x:c r="L638" s="15" t="n">
        <x:v>0.71952856</x:v>
      </x:c>
      <x:c r="M638" s="14" t="n">
        <x:v>3</x:v>
      </x:c>
      <x:c r="N638" s="14" t="str">
        <x:v>R(Gul) v. Secretary of State for Justice | Hopkins Developments v. Secretary of State</x:v>
      </x:c>
    </x:row>
    <x:row r="639">
      <x:c r="A639" s="1" t="str">
        <x:v>cmmxlo96z000304l1t60nqye9</x:v>
      </x:c>
      <x:c r="B639" s="1" t="str">
        <x:v>cmmxhmaji000604l8iyhbwnn1</x:v>
      </x:c>
      <x:c r="C639" s="1" t="str">
        <x:v>greenfields--iow--limited-v-isle-of-wight-council---westridge-village-limited</x:v>
      </x:c>
      <x:c r="D639" s="12" t="n">
        <x:v>46100.62741685185</x:v>
      </x:c>
      <x:c r="E639" s="1" t="str">
        <x:v>no</x:v>
      </x:c>
      <x:c r="F639" s="14" t="str"/>
      <x:c r="G639" s="14" t="n">
        <x:v>18</x:v>
      </x:c>
      <x:c r="H639" s="14" t="str">
        <x:v>aa66d157-e659-4b1f-9c8a-39b98d92a107</x:v>
      </x:c>
      <x:c r="I639" s="14" t="str">
        <x:v>CAB Housing Limited v Secretary of State for Levelling Up, Housing and Communities &amp; Anor [2023] EWCA Civ 194</x:v>
      </x:c>
      <x:c r="J639" s="14" t="str">
        <x:v>England and Wales Court of Appeal (Civil Division)</x:v>
      </x:c>
      <x:c r="K639" s="14" t="n">
        <x:v>2023</x:v>
      </x:c>
      <x:c r="L639" s="15" t="n">
        <x:v>0.71896267</x:v>
      </x:c>
      <x:c r="M639" s="14" t="n">
        <x:v>1</x:v>
      </x:c>
      <x:c r="N639" s="14" t="str">
        <x:v>[2022] EWHC 208 Admin</x:v>
      </x:c>
    </x:row>
    <x:row r="640">
      <x:c r="A640" s="1" t="str">
        <x:v>cmmxlo96z000304l1t60nqye9</x:v>
      </x:c>
      <x:c r="B640" s="1" t="str">
        <x:v>cmmxhmaji000604l8iyhbwnn1</x:v>
      </x:c>
      <x:c r="C640" s="1" t="str">
        <x:v>greenfields--iow--limited-v-isle-of-wight-council---westridge-village-limited</x:v>
      </x:c>
      <x:c r="D640" s="12" t="n">
        <x:v>46100.62741685185</x:v>
      </x:c>
      <x:c r="E640" s="1" t="str">
        <x:v>no</x:v>
      </x:c>
      <x:c r="F640" s="14" t="str"/>
      <x:c r="G640" s="14" t="n">
        <x:v>19</x:v>
      </x:c>
      <x:c r="H640" s="14" t="str">
        <x:v>0642e885-86b3-4c0b-84a2-2005424f4309</x:v>
      </x:c>
      <x:c r="I640" s="14" t="str">
        <x:v>Sahota, R (On the Application Of) v Herefordshire Council [2022] EWCA Civ 1640</x:v>
      </x:c>
      <x:c r="J640" s="14" t="str">
        <x:v>England and Wales Court of Appeal (Civil Division)</x:v>
      </x:c>
      <x:c r="K640" s="14" t="n">
        <x:v>2022</x:v>
      </x:c>
      <x:c r="L640" s="15" t="n">
        <x:v>0.7169733</x:v>
      </x:c>
      <x:c r="M640" s="14" t="n">
        <x:v>1</x:v>
      </x:c>
      <x:c r="N640" s="14" t="str">
        <x:v>Stuart-Smith LJ | Court of Appeal procedures</x:v>
      </x:c>
    </x:row>
    <x:row r="641">
      <x:c r="A641" s="1" t="str">
        <x:v>cmmxlo96z000304l1t60nqye9</x:v>
      </x:c>
      <x:c r="B641" s="1" t="str">
        <x:v>cmmxhmaji000604l8iyhbwnn1</x:v>
      </x:c>
      <x:c r="C641" s="1" t="str">
        <x:v>greenfields--iow--limited-v-isle-of-wight-council---westridge-village-limited</x:v>
      </x:c>
      <x:c r="D641" s="12" t="n">
        <x:v>46100.62741685185</x:v>
      </x:c>
      <x:c r="E641" s="1" t="str">
        <x:v>no</x:v>
      </x:c>
      <x:c r="F641" s="14" t="str"/>
      <x:c r="G641" s="14" t="n">
        <x:v>20</x:v>
      </x:c>
      <x:c r="H641" s="14" t="str">
        <x:v>c370bf30-4fed-4187-beea-6476e69f964f</x:v>
      </x:c>
      <x:c r="I641" s="14" t="str">
        <x:v>Braithwaite and Melton Meadows Properties Ltd, R (On the Application Of) v East Suffolk Council [2022] EWCA Civ 1716</x:v>
      </x:c>
      <x:c r="J641" s="14" t="str">
        <x:v>England and Wales Court of Appeal (Civil Division)</x:v>
      </x:c>
      <x:c r="K641" s="14" t="n">
        <x:v>2022</x:v>
      </x:c>
      <x:c r="L641" s="15" t="n">
        <x:v>0.7150048</x:v>
      </x:c>
      <x:c r="M641" s="14" t="n">
        <x:v>1</x:v>
      </x:c>
      <x:c r="N641" s="14" t="str"/>
    </x:row>
    <x:row r="642">
      <x:c r="A642" s="1" t="str">
        <x:v>cmmxp9veu000b04i838upwih8</x:v>
      </x:c>
      <x:c r="B642" s="1" t="str">
        <x:v>cmmshtbz8000204jsdrli49qe</x:v>
      </x:c>
      <x:c r="C642" s="1" t="str">
        <x:v>karpasitis-v-hertfordshire-county-council</x:v>
      </x:c>
      <x:c r="D642" s="12" t="n">
        <x:v>46100.697409849534</x:v>
      </x:c>
      <x:c r="E642" s="1" t="str">
        <x:v>yes</x:v>
      </x:c>
      <x:c r="F642" s="14" t="str">
        <x:v>cmmxpdot1000h04i8q3aleh7a</x:v>
      </x:c>
      <x:c r="G642" s="14" t="n">
        <x:v>1</x:v>
      </x:c>
      <x:c r="H642" s="14" t="str">
        <x:v>bc30491e-9ae6-48da-90d0-71d8a8069b22</x:v>
      </x:c>
      <x:c r="I642" s="14" t="str">
        <x:v>Gorringe v. Calderdale Metropolitan Borough Council</x:v>
      </x:c>
      <x:c r="J642" s="14" t="str">
        <x:v>United Kingdom House of Lords</x:v>
      </x:c>
      <x:c r="K642" s="14" t="n">
        <x:v>2004</x:v>
      </x:c>
      <x:c r="L642" s="15" t="n">
        <x:v>0.74885756</x:v>
      </x:c>
      <x:c r="M642" s="14" t="n">
        <x:v>3</x:v>
      </x:c>
      <x:c r="N642" s="14" t="str">
        <x:v>Road Traffic Act 1988 | X (Minors) v Bedfordshire County Council | Stovin v Wise | Larner v Solihull Metropolitan Borough Council</x:v>
      </x:c>
    </x:row>
    <x:row r="643">
      <x:c r="A643" s="1" t="str">
        <x:v>cmmxp9veu000b04i838upwih8</x:v>
      </x:c>
      <x:c r="B643" s="1" t="str">
        <x:v>cmmshtbz8000204jsdrli49qe</x:v>
      </x:c>
      <x:c r="C643" s="1" t="str">
        <x:v>karpasitis-v-hertfordshire-county-council</x:v>
      </x:c>
      <x:c r="D643" s="12" t="n">
        <x:v>46100.697409849534</x:v>
      </x:c>
      <x:c r="E643" s="1" t="str">
        <x:v>yes</x:v>
      </x:c>
      <x:c r="F643" s="14" t="str">
        <x:v>cmmxpdot1000h04i8q3aleh7a</x:v>
      </x:c>
      <x:c r="G643" s="14" t="n">
        <x:v>2</x:v>
      </x:c>
      <x:c r="H643" s="14" t="str">
        <x:v>52d20bb9-6964-44a6-9c32-d191ef76297c</x:v>
      </x:c>
      <x:c r="I643" s="14" t="str">
        <x:v>King Lifting Ltd v Oxfordshire County Council [2016] EWHC 1767 (QB)</x:v>
      </x:c>
      <x:c r="J643" s="14" t="str">
        <x:v>England and Wales High Court (Queen's Bench Division)</x:v>
      </x:c>
      <x:c r="K643" s="14" t="n">
        <x:v>2016</x:v>
      </x:c>
      <x:c r="L643" s="15" t="n">
        <x:v>0.7100979</x:v>
      </x:c>
      <x:c r="M643" s="14" t="n">
        <x:v>4</x:v>
      </x:c>
      <x:c r="N643" s="14" t="str">
        <x:v>Highways Act 1980</x:v>
      </x:c>
    </x:row>
    <x:row r="644">
      <x:c r="A644" s="1" t="str">
        <x:v>cmmxp9veu000b04i838upwih8</x:v>
      </x:c>
      <x:c r="B644" s="1" t="str">
        <x:v>cmmshtbz8000204jsdrli49qe</x:v>
      </x:c>
      <x:c r="C644" s="1" t="str">
        <x:v>karpasitis-v-hertfordshire-county-council</x:v>
      </x:c>
      <x:c r="D644" s="12" t="n">
        <x:v>46100.697409849534</x:v>
      </x:c>
      <x:c r="E644" s="1" t="str">
        <x:v>yes</x:v>
      </x:c>
      <x:c r="F644" s="14" t="str">
        <x:v>cmmxpdot1000h04i8q3aleh7a</x:v>
      </x:c>
      <x:c r="G644" s="14" t="n">
        <x:v>3</x:v>
      </x:c>
      <x:c r="H644" s="14" t="str">
        <x:v>5a42b4bc-fe8f-47be-9b13-869933b2ddff</x:v>
      </x:c>
      <x:c r="I644" s="14" t="str">
        <x:v>Yetkin v London Borough of Newham ([2010] EWCA Civ 776)</x:v>
      </x:c>
      <x:c r="J644" s="14" t="str">
        <x:v>England and Wales Court of Appeal (Civil Division)</x:v>
      </x:c>
      <x:c r="K644" s="14" t="n">
        <x:v>2010</x:v>
      </x:c>
      <x:c r="L644" s="15" t="n">
        <x:v>0.69786847</x:v>
      </x:c>
      <x:c r="M644" s="14" t="n">
        <x:v>2</x:v>
      </x:c>
      <x:c r="N644" s="14" t="str">
        <x:v>Gorringe v Calderdale Metropolitan Borough Council</x:v>
      </x:c>
    </x:row>
    <x:row r="645">
      <x:c r="A645" s="1" t="str">
        <x:v>cmmxp9veu000b04i838upwih8</x:v>
      </x:c>
      <x:c r="B645" s="1" t="str">
        <x:v>cmmshtbz8000204jsdrli49qe</x:v>
      </x:c>
      <x:c r="C645" s="1" t="str">
        <x:v>karpasitis-v-hertfordshire-county-council</x:v>
      </x:c>
      <x:c r="D645" s="12" t="n">
        <x:v>46100.697409849534</x:v>
      </x:c>
      <x:c r="E645" s="1" t="str">
        <x:v>yes</x:v>
      </x:c>
      <x:c r="F645" s="14" t="str">
        <x:v>cmmxpdot1000h04i8q3aleh7a</x:v>
      </x:c>
      <x:c r="G645" s="14" t="n">
        <x:v>4</x:v>
      </x:c>
      <x:c r="H645" s="14" t="str">
        <x:v>70d43223-0ec6-458b-b052-bdc295e0d6ec</x:v>
      </x:c>
      <x:c r="I645" s="14" t="str">
        <x:v>Brown &amp; Ors v South West Lakes Trust &amp; Ors [2022] EWCA Civ 18</x:v>
      </x:c>
      <x:c r="J645" s="14" t="str">
        <x:v>England and Wales Court of Appeal (Civil Division)</x:v>
      </x:c>
      <x:c r="K645" s="14" t="n">
        <x:v>2022</x:v>
      </x:c>
      <x:c r="L645" s="15" t="n">
        <x:v>0.69550824</x:v>
      </x:c>
      <x:c r="M645" s="14" t="n">
        <x:v>5</x:v>
      </x:c>
      <x:c r="N645" s="14" t="str">
        <x:v>Okpabi v Royal Dutch Shell plc [2021] UKSC 3 | Donoghue v Folkestone Properties Limited [2003] EWCA Civ 231 | Tomlinson v Congleton [2003] UKHL 53 | Countryside and Rights of Way Act 2000 | Donoghue v Folkestone Properties Ltd [2003] EWCA Civ 231</x:v>
      </x:c>
    </x:row>
    <x:row r="646">
      <x:c r="A646" s="1" t="str">
        <x:v>cmmxp9veu000b04i838upwih8</x:v>
      </x:c>
      <x:c r="B646" s="1" t="str">
        <x:v>cmmshtbz8000204jsdrli49qe</x:v>
      </x:c>
      <x:c r="C646" s="1" t="str">
        <x:v>karpasitis-v-hertfordshire-county-council</x:v>
      </x:c>
      <x:c r="D646" s="12" t="n">
        <x:v>46100.697409849534</x:v>
      </x:c>
      <x:c r="E646" s="1" t="str">
        <x:v>yes</x:v>
      </x:c>
      <x:c r="F646" s="14" t="str">
        <x:v>cmmxpdot1000h04i8q3aleh7a</x:v>
      </x:c>
      <x:c r="G646" s="14" t="n">
        <x:v>5</x:v>
      </x:c>
      <x:c r="H646" s="14" t="str">
        <x:v>4840c2e7-7326-456e-84e1-def231729686</x:v>
      </x:c>
      <x:c r="I646" s="14" t="str">
        <x:v>Butcher v Southend-On-Sea Borough Council (2014)</x:v>
      </x:c>
      <x:c r="J646" s="14" t="str">
        <x:v>England and Wales Court of Appeal (Civil Division)</x:v>
      </x:c>
      <x:c r="K646" s="14" t="n">
        <x:v>2014</x:v>
      </x:c>
      <x:c r="L646" s="15" t="n">
        <x:v>0.69489145</x:v>
      </x:c>
      <x:c r="M646" s="14" t="n">
        <x:v>1</x:v>
      </x:c>
      <x:c r="N646" s="14" t="str"/>
    </x:row>
    <x:row r="647">
      <x:c r="A647" s="1" t="str">
        <x:v>cmmxp9veu000b04i838upwih8</x:v>
      </x:c>
      <x:c r="B647" s="1" t="str">
        <x:v>cmmshtbz8000204jsdrli49qe</x:v>
      </x:c>
      <x:c r="C647" s="1" t="str">
        <x:v>karpasitis-v-hertfordshire-county-council</x:v>
      </x:c>
      <x:c r="D647" s="12" t="n">
        <x:v>46100.697409849534</x:v>
      </x:c>
      <x:c r="E647" s="1" t="str">
        <x:v>yes</x:v>
      </x:c>
      <x:c r="F647" s="14" t="str">
        <x:v>cmmxpdot1000h04i8q3aleh7a</x:v>
      </x:c>
      <x:c r="G647" s="14" t="n">
        <x:v>6</x:v>
      </x:c>
      <x:c r="H647" s="14" t="str">
        <x:v>40629bba-06c5-4cf4-b83a-bc0badbc4848</x:v>
      </x:c>
      <x:c r="I647" s="14" t="str">
        <x:v>Dunnage v Randall &amp; UK Insurance Ltd [2015] EWCA Civ 673</x:v>
      </x:c>
      <x:c r="J647" s="14" t="str">
        <x:v>England and Wales Court of Appeal (Civil Division)</x:v>
      </x:c>
      <x:c r="K647" s="14" t="n">
        <x:v>2015</x:v>
      </x:c>
      <x:c r="L647" s="15" t="n">
        <x:v>0.693874</x:v>
      </x:c>
      <x:c r="M647" s="14" t="n">
        <x:v>1</x:v>
      </x:c>
      <x:c r="N647" s="14" t="str">
        <x:v>Corr v IBC Vehicles Ltd | Caparo Industries plc v. Dickman</x:v>
      </x:c>
    </x:row>
    <x:row r="648">
      <x:c r="A648" s="1" t="str">
        <x:v>cmmxp9veu000b04i838upwih8</x:v>
      </x:c>
      <x:c r="B648" s="1" t="str">
        <x:v>cmmshtbz8000204jsdrli49qe</x:v>
      </x:c>
      <x:c r="C648" s="1" t="str">
        <x:v>karpasitis-v-hertfordshire-county-council</x:v>
      </x:c>
      <x:c r="D648" s="12" t="n">
        <x:v>46100.697409849534</x:v>
      </x:c>
      <x:c r="E648" s="1" t="str">
        <x:v>yes</x:v>
      </x:c>
      <x:c r="F648" s="14" t="str">
        <x:v>cmmxpdot1000h04i8q3aleh7a</x:v>
      </x:c>
      <x:c r="G648" s="14" t="n">
        <x:v>7</x:v>
      </x:c>
      <x:c r="H648" s="14" t="str">
        <x:v>6948a4df-0a45-4ddc-ae3d-8eafee44976a</x:v>
      </x:c>
      <x:c r="I648" s="14" t="str">
        <x:v>Scott v Gavigan [2016] EWCA Civ 544</x:v>
      </x:c>
      <x:c r="J648" s="14" t="str">
        <x:v>England and Wales Court of Appeal (Civil Division)</x:v>
      </x:c>
      <x:c r="K648" s="14" t="n">
        <x:v>2016</x:v>
      </x:c>
      <x:c r="L648" s="15" t="n">
        <x:v>0.6929767</x:v>
      </x:c>
      <x:c r="M648" s="14" t="n">
        <x:v>4</x:v>
      </x:c>
      <x:c r="N648" s="14" t="str">
        <x:v>McKew v Holland &amp; Hannen &amp; Cubitts (Scotland) Ltd | Spencer v Wincanton Holdings Ltd | Bourhill v Young | Lang v LTE | Corr v IBC Vehicles Ltd | Clerk &amp; Lindsell on Torts | Spencer v Wincanton | McKew</x:v>
      </x:c>
    </x:row>
    <x:row r="649">
      <x:c r="A649" s="1" t="str">
        <x:v>cmmxp9veu000b04i838upwih8</x:v>
      </x:c>
      <x:c r="B649" s="1" t="str">
        <x:v>cmmshtbz8000204jsdrli49qe</x:v>
      </x:c>
      <x:c r="C649" s="1" t="str">
        <x:v>karpasitis-v-hertfordshire-county-council</x:v>
      </x:c>
      <x:c r="D649" s="12" t="n">
        <x:v>46100.697409849534</x:v>
      </x:c>
      <x:c r="E649" s="1" t="str">
        <x:v>yes</x:v>
      </x:c>
      <x:c r="F649" s="14" t="str">
        <x:v>cmmxpdot1000h04i8q3aleh7a</x:v>
      </x:c>
      <x:c r="G649" s="14" t="n">
        <x:v>8</x:v>
      </x:c>
      <x:c r="H649" s="14" t="str">
        <x:v>e16d7203-6f9e-4896-96e0-d021cb6f5579</x:v>
      </x:c>
      <x:c r="I649" s="14" t="str">
        <x:v>Edwards v London Borough of Sutton [2016] EWCA Civ 1005</x:v>
      </x:c>
      <x:c r="J649" s="14" t="str">
        <x:v>England and Wales Court of Appeal (Civil Division)</x:v>
      </x:c>
      <x:c r="K649" s="14" t="n">
        <x:v>2016</x:v>
      </x:c>
      <x:c r="L649" s="15" t="n">
        <x:v>0.6901631</x:v>
      </x:c>
      <x:c r="M649" s="14" t="n">
        <x:v>2</x:v>
      </x:c>
      <x:c r="N649" s="14" t="str">
        <x:v>Hughes v Lord Advocate | Tomlinson v Congleton BC | Staples v W Dorset DC | McGivney v Golderslea Ltd | Japp v Virgin Holidays Ltd | Uren v Corporate Leisure (UK) Ltd | Nicholls v Ladbrokes Betting &amp; Gaming Ltd | Cotton v Derbyshire Dales District Council | Corbett v Cumbria Kart Racing Club</x:v>
      </x:c>
    </x:row>
    <x:row r="650">
      <x:c r="A650" s="1" t="str">
        <x:v>cmmxp9veu000b04i838upwih8</x:v>
      </x:c>
      <x:c r="B650" s="1" t="str">
        <x:v>cmmshtbz8000204jsdrli49qe</x:v>
      </x:c>
      <x:c r="C650" s="1" t="str">
        <x:v>karpasitis-v-hertfordshire-county-council</x:v>
      </x:c>
      <x:c r="D650" s="12" t="n">
        <x:v>46100.697409849534</x:v>
      </x:c>
      <x:c r="E650" s="1" t="str">
        <x:v>yes</x:v>
      </x:c>
      <x:c r="F650" s="14" t="str">
        <x:v>cmmxpdot1000h04i8q3aleh7a</x:v>
      </x:c>
      <x:c r="G650" s="14" t="n">
        <x:v>9</x:v>
      </x:c>
      <x:c r="H650" s="14" t="str">
        <x:v>0af9689e-f55a-4b42-8c7d-e7ef4d3d1bdc</x:v>
      </x:c>
      <x:c r="I650" s="14" t="str">
        <x:v>Hughes v Rattan (Rev1) [2022] EWCA Civ 107</x:v>
      </x:c>
      <x:c r="J650" s="14" t="str">
        <x:v>England and Wales Court of Appeal (Civil Division)</x:v>
      </x:c>
      <x:c r="K650" s="14" t="n">
        <x:v>2022</x:v>
      </x:c>
      <x:c r="L650" s="15" t="n">
        <x:v>0.6887646</x:v>
      </x:c>
      <x:c r="M650" s="14" t="n">
        <x:v>1</x:v>
      </x:c>
      <x:c r="N650" s="14" t="str">
        <x:v>Gold v Essex County Council | Cassidy v Ministry of Health | Roe v Ministry of Health | A (a Child) v Ministry of Defence | Farraj v King's Healthcare NHS Trust | Ward LJ in E v English Province of Our Lady of Charity | Christian Brothers | Cox v Ministry of Justice | Barclays Bank plc</x:v>
      </x:c>
    </x:row>
    <x:row r="651">
      <x:c r="A651" s="1" t="str">
        <x:v>cmmxp9veu000b04i838upwih8</x:v>
      </x:c>
      <x:c r="B651" s="1" t="str">
        <x:v>cmmshtbz8000204jsdrli49qe</x:v>
      </x:c>
      <x:c r="C651" s="1" t="str">
        <x:v>karpasitis-v-hertfordshire-county-council</x:v>
      </x:c>
      <x:c r="D651" s="12" t="n">
        <x:v>46100.697409849534</x:v>
      </x:c>
      <x:c r="E651" s="1" t="str">
        <x:v>yes</x:v>
      </x:c>
      <x:c r="F651" s="14" t="str">
        <x:v>cmmxpdot1000h04i8q3aleh7a</x:v>
      </x:c>
      <x:c r="G651" s="14" t="n">
        <x:v>10</x:v>
      </x:c>
      <x:c r="H651" s="14" t="str">
        <x:v>2eaaf060-799f-4573-a18a-86e5c14b158b</x:v>
      </x:c>
      <x:c r="I651" s="14" t="str">
        <x:v>National Grid Electricity Transmission Plc v Arnold White Estates Ltd [2014] EWCA Civ 216</x:v>
      </x:c>
      <x:c r="J651" s="14" t="str">
        <x:v>England and Wales Court of Appeal (Civil Division)</x:v>
      </x:c>
      <x:c r="K651" s="14" t="n">
        <x:v>2014</x:v>
      </x:c>
      <x:c r="L651" s="15" t="n">
        <x:v>0.6862023</x:v>
      </x:c>
      <x:c r="M651" s="14" t="n">
        <x:v>1</x:v>
      </x:c>
      <x:c r="N651" s="14" t="str">
        <x:v>Oppenheimer v Minister of Transport</x:v>
      </x:c>
    </x:row>
    <x:row r="652">
      <x:c r="A652" s="1" t="str">
        <x:v>cmmxp9veu000b04i838upwih8</x:v>
      </x:c>
      <x:c r="B652" s="1" t="str">
        <x:v>cmmshtbz8000204jsdrli49qe</x:v>
      </x:c>
      <x:c r="C652" s="1" t="str">
        <x:v>karpasitis-v-hertfordshire-county-council</x:v>
      </x:c>
      <x:c r="D652" s="12" t="n">
        <x:v>46100.697409849534</x:v>
      </x:c>
      <x:c r="E652" s="1" t="str">
        <x:v>yes</x:v>
      </x:c>
      <x:c r="F652" s="14" t="str">
        <x:v>cmmxpdot1000h04i8q3aleh7a</x:v>
      </x:c>
      <x:c r="G652" s="14" t="n">
        <x:v>11</x:v>
      </x:c>
      <x:c r="H652" s="14" t="str">
        <x:v>70c75405-8cba-40e2-92ff-8302ea4f6789</x:v>
      </x:c>
      <x:c r="I652" s="14" t="str">
        <x:v>Griffiths v Gwynedd County Council [2015] EWCA Civ 1440</x:v>
      </x:c>
      <x:c r="J652" s="14" t="str">
        <x:v>England and Wales Court of Appeal (Civil Division)</x:v>
      </x:c>
      <x:c r="K652" s="14" t="n">
        <x:v>2015</x:v>
      </x:c>
      <x:c r="L652" s="15" t="n">
        <x:v>0.68510735</x:v>
      </x:c>
      <x:c r="M652" s="14" t="n">
        <x:v>2</x:v>
      </x:c>
      <x:c r="N652" s="14" t="str">
        <x:v>Mills v Barnsley Metropolitan Borough Council | Jones v Rhondda Cynon Taff County Borough Council</x:v>
      </x:c>
    </x:row>
    <x:row r="653">
      <x:c r="A653" s="1" t="str">
        <x:v>cmmxp9veu000b04i838upwih8</x:v>
      </x:c>
      <x:c r="B653" s="1" t="str">
        <x:v>cmmshtbz8000204jsdrli49qe</x:v>
      </x:c>
      <x:c r="C653" s="1" t="str">
        <x:v>karpasitis-v-hertfordshire-county-council</x:v>
      </x:c>
      <x:c r="D653" s="12" t="n">
        <x:v>46100.697409849534</x:v>
      </x:c>
      <x:c r="E653" s="1" t="str">
        <x:v>yes</x:v>
      </x:c>
      <x:c r="F653" s="14" t="str">
        <x:v>cmmxpdot1000h04i8q3aleh7a</x:v>
      </x:c>
      <x:c r="G653" s="14" t="n">
        <x:v>12</x:v>
      </x:c>
      <x:c r="H653" s="14" t="str">
        <x:v>1ae781af-c482-402d-b18c-8d4c33432b24</x:v>
      </x:c>
      <x:c r="I653" s="14" t="str">
        <x:v>HXA v Surrey County Council; YXA v Wolverhampton City Council (England and Wales Court of Appeal (Civil Division))</x:v>
      </x:c>
      <x:c r="J653" s="14" t="str">
        <x:v>England and Wales Court of Appeal (Civil Division)</x:v>
      </x:c>
      <x:c r="K653" s="14" t="n">
        <x:v>2022</x:v>
      </x:c>
      <x:c r="L653" s="15" t="n">
        <x:v>0.68239176</x:v>
      </x:c>
      <x:c r="M653" s="14" t="n">
        <x:v>2</x:v>
      </x:c>
      <x:c r="N653" s="14" t="str">
        <x:v>N v Poole Borough Council | Poole Borough Council v N/A | Robinson v Chief Constable of West Yorkshire | X (Minors) v Bedfordshire | Barrett v Enfield | D v East Berkshire | Gorringe v Calderdale | Stovin v Wise | Michael v Chief Constable of South Wales Police | Poole | Robinson | X v Bedfordshire | N v Poole | Champion | DFX | Stovin | Hedley Byrne</x:v>
      </x:c>
    </x:row>
    <x:row r="654">
      <x:c r="A654" s="1" t="str">
        <x:v>cmmxp9veu000b04i838upwih8</x:v>
      </x:c>
      <x:c r="B654" s="1" t="str">
        <x:v>cmmshtbz8000204jsdrli49qe</x:v>
      </x:c>
      <x:c r="C654" s="1" t="str">
        <x:v>karpasitis-v-hertfordshire-county-council</x:v>
      </x:c>
      <x:c r="D654" s="12" t="n">
        <x:v>46100.697409849534</x:v>
      </x:c>
      <x:c r="E654" s="1" t="str">
        <x:v>yes</x:v>
      </x:c>
      <x:c r="F654" s="14" t="str">
        <x:v>cmmxpdot1000h04i8q3aleh7a</x:v>
      </x:c>
      <x:c r="G654" s="14" t="n">
        <x:v>13</x:v>
      </x:c>
      <x:c r="H654" s="14" t="str">
        <x:v>653f5240-7160-47e4-9009-db4466a660e2</x:v>
      </x:c>
      <x:c r="I654" s="14" t="str">
        <x:v>Liverpool Women's Hospital NHS Foundation Trust v Ronayne [2015] EWCA Civ 588</x:v>
      </x:c>
      <x:c r="J654" s="14" t="str">
        <x:v>England and Wales Court of Appeal (Civil Division)</x:v>
      </x:c>
      <x:c r="K654" s="14" t="n">
        <x:v>2015</x:v>
      </x:c>
      <x:c r="L654" s="15" t="n">
        <x:v>0.681088</x:v>
      </x:c>
      <x:c r="M654" s="14" t="n">
        <x:v>1</x:v>
      </x:c>
      <x:c r="N654" s="14" t="str">
        <x:v>McLoughlin v O'Brian [1983] AC 410 | North Glamorgan NHS Trust v Walters [2003] PIQR P16</x:v>
      </x:c>
    </x:row>
    <x:row r="655">
      <x:c r="A655" s="1" t="str">
        <x:v>cmmxp9veu000b04i838upwih8</x:v>
      </x:c>
      <x:c r="B655" s="1" t="str">
        <x:v>cmmshtbz8000204jsdrli49qe</x:v>
      </x:c>
      <x:c r="C655" s="1" t="str">
        <x:v>karpasitis-v-hertfordshire-county-council</x:v>
      </x:c>
      <x:c r="D655" s="12" t="n">
        <x:v>46100.697409849534</x:v>
      </x:c>
      <x:c r="E655" s="1" t="str">
        <x:v>yes</x:v>
      </x:c>
      <x:c r="F655" s="14" t="str">
        <x:v>cmmxpdot1000h04i8q3aleh7a</x:v>
      </x:c>
      <x:c r="G655" s="14" t="n">
        <x:v>14</x:v>
      </x:c>
      <x:c r="H655" s="14" t="str">
        <x:v>4685ad0e-87e7-4f59-8991-823ab27d9393</x:v>
      </x:c>
      <x:c r="I655" s="14" t="str">
        <x:v>Tindall &amp; Anor v Chief Constable of Thames Valley Police &amp; Anor [2022] EWCA Civ 25</x:v>
      </x:c>
      <x:c r="J655" s="14" t="str">
        <x:v>England and Wales Court of Appeal (Civil Division)</x:v>
      </x:c>
      <x:c r="K655" s="14" t="n">
        <x:v>2022</x:v>
      </x:c>
      <x:c r="L655" s="15" t="n">
        <x:v>0.68103576</x:v>
      </x:c>
      <x:c r="M655" s="14" t="n">
        <x:v>4</x:v>
      </x:c>
      <x:c r="N655" s="14" t="str">
        <x:v>Michael v South Wales Police | Robinson v West Yorkshire Police | GN v Poole Borough Council | Hedley Byrne | Anns v Merton LBC | N and Anor v Poole Borough Council | Gorringe | Sandhar | Dorset Yacht | Michael | Robinson | N and Anor</x:v>
      </x:c>
    </x:row>
    <x:row r="656">
      <x:c r="A656" s="1" t="str">
        <x:v>cmmxp9veu000b04i838upwih8</x:v>
      </x:c>
      <x:c r="B656" s="1" t="str">
        <x:v>cmmshtbz8000204jsdrli49qe</x:v>
      </x:c>
      <x:c r="C656" s="1" t="str">
        <x:v>karpasitis-v-hertfordshire-county-council</x:v>
      </x:c>
      <x:c r="D656" s="12" t="n">
        <x:v>46100.697409849534</x:v>
      </x:c>
      <x:c r="E656" s="1" t="str">
        <x:v>yes</x:v>
      </x:c>
      <x:c r="F656" s="14" t="str">
        <x:v>cmmxpdot1000h04i8q3aleh7a</x:v>
      </x:c>
      <x:c r="G656" s="14" t="n">
        <x:v>15</x:v>
      </x:c>
      <x:c r="H656" s="14" t="str">
        <x:v>54d149f2-2e02-477e-8541-b2bf222578d6</x:v>
      </x:c>
      <x:c r="I656" s="14" t="str">
        <x:v>Union of Shop, Distributive and Allied Workers &amp; Ors v Tesco Stores Ltd (2022) EWCA Civ 978</x:v>
      </x:c>
      <x:c r="J656" s="14" t="str">
        <x:v>England and Wales Court of Appeal (Civil Division)</x:v>
      </x:c>
      <x:c r="K656" s="14" t="n">
        <x:v>2022</x:v>
      </x:c>
      <x:c r="L656" s="15" t="n">
        <x:v>0.6804198</x:v>
      </x:c>
      <x:c r="M656" s="14" t="n">
        <x:v>1</x:v>
      </x:c>
      <x:c r="N656" s="14" t="str">
        <x:v>Chartbrook Ltd v Persimmon Homes Ltd | Johnson v Unisys Ltd | Addis v Gramophone Co | Woodhouse Ltd v Nigerian Produce Co | Yoo Design Services Ltd v Ilive Realty PTE Ltd | Aspden | Reda v Flag Ltd | Chhabra v West London Mental Health NHS Trust | Edwards v Chesterfield Royal Hospital NHS Foundation Trust</x:v>
      </x:c>
    </x:row>
    <x:row r="657">
      <x:c r="A657" s="1" t="str">
        <x:v>cmmxp9veu000b04i838upwih8</x:v>
      </x:c>
      <x:c r="B657" s="1" t="str">
        <x:v>cmmshtbz8000204jsdrli49qe</x:v>
      </x:c>
      <x:c r="C657" s="1" t="str">
        <x:v>karpasitis-v-hertfordshire-county-council</x:v>
      </x:c>
      <x:c r="D657" s="12" t="n">
        <x:v>46100.697409849534</x:v>
      </x:c>
      <x:c r="E657" s="1" t="str">
        <x:v>yes</x:v>
      </x:c>
      <x:c r="F657" s="14" t="str">
        <x:v>cmmxpdot1000h04i8q3aleh7a</x:v>
      </x:c>
      <x:c r="G657" s="14" t="n">
        <x:v>16</x:v>
      </x:c>
      <x:c r="H657" s="14" t="str">
        <x:v>353163ab-c444-4186-a05c-4f5d73800a3f</x:v>
      </x:c>
      <x:c r="I657" s="14" t="str">
        <x:v>Paul &amp; Ors v The Royal Wolverhampton NHS Trust; Polmear v The Royal Wolverhampton NHS Trust; Purchase v Royal Cornwall Hospitals NHS Trust</x:v>
      </x:c>
      <x:c r="J657" s="14" t="str">
        <x:v>England and Wales Court of Appeal (Civil Division)</x:v>
      </x:c>
      <x:c r="K657" s="14" t="n">
        <x:v>2022</x:v>
      </x:c>
      <x:c r="L657" s="15" t="n">
        <x:v>0.6800934</x:v>
      </x:c>
      <x:c r="M657" s="14" t="n">
        <x:v>1</x:v>
      </x:c>
      <x:c r="N657" s="14" t="str">
        <x:v>Alcock v Chief Constable of the South Yorkshire Police [1992] 1 AC 310 | McLoughlin v O'Brian | Somerset v DPP | Walters | Novo | Purchase | Ronayne</x:v>
      </x:c>
    </x:row>
    <x:row r="658">
      <x:c r="A658" s="1" t="str">
        <x:v>cmmxp9veu000b04i838upwih8</x:v>
      </x:c>
      <x:c r="B658" s="1" t="str">
        <x:v>cmmshtbz8000204jsdrli49qe</x:v>
      </x:c>
      <x:c r="C658" s="1" t="str">
        <x:v>karpasitis-v-hertfordshire-county-council</x:v>
      </x:c>
      <x:c r="D658" s="12" t="n">
        <x:v>46100.697409849534</x:v>
      </x:c>
      <x:c r="E658" s="1" t="str">
        <x:v>yes</x:v>
      </x:c>
      <x:c r="F658" s="14" t="str">
        <x:v>cmmxpdot1000h04i8q3aleh7a</x:v>
      </x:c>
      <x:c r="G658" s="14" t="n">
        <x:v>17</x:v>
      </x:c>
      <x:c r="H658" s="14" t="str">
        <x:v>9adfee0f-c2c7-4caa-83ed-720a548a4aab</x:v>
      </x:c>
      <x:c r="I658" s="14" t="str">
        <x:v>Barton &amp; Ors v Morris &amp; Anor [2023] UKSC 3</x:v>
      </x:c>
      <x:c r="J658" s="14" t="str">
        <x:v>United Kingdom Supreme Court</x:v>
      </x:c>
      <x:c r="K658" s="14" t="n">
        <x:v>2023</x:v>
      </x:c>
      <x:c r="L658" s="15" t="n">
        <x:v>0.679871</x:v>
      </x:c>
      <x:c r="M658" s="14" t="n">
        <x:v>1</x:v>
      </x:c>
      <x:c r="N658" s="14" t="str">
        <x:v>Barnes v Eastenders Cash &amp; Carry plc [2014] UKSC 26 | Roxborough v Rothmans of Pall Mall Australia Ltd [2001] HCA 68</x:v>
      </x:c>
    </x:row>
    <x:row r="659">
      <x:c r="A659" s="1" t="str">
        <x:v>cmmxp9veu000b04i838upwih8</x:v>
      </x:c>
      <x:c r="B659" s="1" t="str">
        <x:v>cmmshtbz8000204jsdrli49qe</x:v>
      </x:c>
      <x:c r="C659" s="1" t="str">
        <x:v>karpasitis-v-hertfordshire-county-council</x:v>
      </x:c>
      <x:c r="D659" s="12" t="n">
        <x:v>46100.697409849534</x:v>
      </x:c>
      <x:c r="E659" s="1" t="str">
        <x:v>yes</x:v>
      </x:c>
      <x:c r="F659" s="14" t="str">
        <x:v>cmmxpdot1000h04i8q3aleh7a</x:v>
      </x:c>
      <x:c r="G659" s="14" t="n">
        <x:v>18</x:v>
      </x:c>
      <x:c r="H659" s="14" t="str">
        <x:v>7351e867-1c92-49d6-a602-686678f60a5f</x:v>
      </x:c>
      <x:c r="I659" s="14" t="str">
        <x:v>Howmet Limited v Economy Devices Limited &amp; Ors [2016] EWCA Civ 847</x:v>
      </x:c>
      <x:c r="J659" s="14" t="str">
        <x:v>England and Wales Court of Appeal (Civil Division)</x:v>
      </x:c>
      <x:c r="K659" s="14" t="n">
        <x:v>2016</x:v>
      </x:c>
      <x:c r="L659" s="15" t="n">
        <x:v>0.67846656</x:v>
      </x:c>
      <x:c r="M659" s="14" t="n">
        <x:v>1</x:v>
      </x:c>
      <x:c r="N659" s="14" t="str">
        <x:v>Donoghue v Stevenson [1932] AC 562 | D&amp;F Estates Ltd v Church Commissioners for England [1989] 1 AC 177 | Murphy v Brentwood DC [1991] 1 AC 398 | Taylor v Rover Company Limited | Schering Agrochemicals Ltd v Resibel N.V. S.A. | Rhesa Shipping Co v Edmunds [1985] 1 WLR 948 | Popi M v Milton Keynes Borough Council [2013] EWCA Civ 15 | Meridian Global Funds Management Asia Ltd v Securities Commission [1995] 2 AC 500 | Bilta (UK) Ltd (in liquidation) v Nazir &amp; Ors (No.2) [2015] UKSC 23 | Targett v Torfaen Borough Council [1992] EGLR 275 | Lambert v Lewis</x:v>
      </x:c>
    </x:row>
    <x:row r="660">
      <x:c r="A660" s="1" t="str">
        <x:v>cmmxp9veu000b04i838upwih8</x:v>
      </x:c>
      <x:c r="B660" s="1" t="str">
        <x:v>cmmshtbz8000204jsdrli49qe</x:v>
      </x:c>
      <x:c r="C660" s="1" t="str">
        <x:v>karpasitis-v-hertfordshire-county-council</x:v>
      </x:c>
      <x:c r="D660" s="12" t="n">
        <x:v>46100.697409849534</x:v>
      </x:c>
      <x:c r="E660" s="1" t="str">
        <x:v>yes</x:v>
      </x:c>
      <x:c r="F660" s="14" t="str">
        <x:v>cmmxpdot1000h04i8q3aleh7a</x:v>
      </x:c>
      <x:c r="G660" s="14" t="n">
        <x:v>19</x:v>
      </x:c>
      <x:c r="H660" s="14" t="str">
        <x:v>57bf779f-da1f-4ee4-a60c-89018cb3b828</x:v>
      </x:c>
      <x:c r="I660" s="14" t="str">
        <x:v>Beaumont &amp; Anor v Ferrer [2016] EWCA Civ 768</x:v>
      </x:c>
      <x:c r="J660" s="14" t="str">
        <x:v>England and Wales Court of Appeal (Civil Division)</x:v>
      </x:c>
      <x:c r="K660" s="14" t="n">
        <x:v>2016</x:v>
      </x:c>
      <x:c r="L660" s="15" t="n">
        <x:v>0.6767396</x:v>
      </x:c>
      <x:c r="M660" s="14" t="n">
        <x:v>1</x:v>
      </x:c>
      <x:c r="N660" s="14" t="str">
        <x:v>Sacco v Chief Constable of South Wales Constabulary | Vellino v Chief Constable of the Greater Manchester Police | Gray v Thames Trains Ltd | Hounga v Allen | Les Laboratories Services v Apotex Inc | R (Best) v Chief Land Registrar | Joyce v O'Brien | Delaney v Pickett | Revill v Newbery | Spencer v Wincanton Holdings Ltd</x:v>
      </x:c>
    </x:row>
    <x:row r="661">
      <x:c r="A661" s="1" t="str">
        <x:v>cmmxp9veu000b04i838upwih8</x:v>
      </x:c>
      <x:c r="B661" s="1" t="str">
        <x:v>cmmshtbz8000204jsdrli49qe</x:v>
      </x:c>
      <x:c r="C661" s="1" t="str">
        <x:v>karpasitis-v-hertfordshire-county-council</x:v>
      </x:c>
      <x:c r="D661" s="12" t="n">
        <x:v>46100.697409849534</x:v>
      </x:c>
      <x:c r="E661" s="1" t="str">
        <x:v>yes</x:v>
      </x:c>
      <x:c r="F661" s="14" t="str">
        <x:v>cmmxpdot1000h04i8q3aleh7a</x:v>
      </x:c>
      <x:c r="G661" s="14" t="n">
        <x:v>20</x:v>
      </x:c>
      <x:c r="H661" s="14" t="str">
        <x:v>2e37836d-c57c-4eb6-942a-5a1a3a46714f</x:v>
      </x:c>
      <x:c r="I661" s="14" t="str">
        <x:v>Benyatov v Credit Suisse (Securities) Europe Ltd [2023] EWCA Civ 140</x:v>
      </x:c>
      <x:c r="J661" s="14" t="str">
        <x:v>England and Wales Court of Appeal (Civil Division)</x:v>
      </x:c>
      <x:c r="K661" s="14" t="n">
        <x:v>2023</x:v>
      </x:c>
      <x:c r="L661" s="15" t="n">
        <x:v>0.6757408</x:v>
      </x:c>
      <x:c r="M661" s="14" t="n">
        <x:v>2</x:v>
      </x:c>
      <x:c r="N661" s="14" t="str">
        <x:v>Hedley Byrne &amp; Co Ltd v Heller &amp; Partners Ltd | Henderson v Merrett Syndicates Ltd | Caparo Industries plc v Dickman | Robinson v Chief Constable of West Yorkshire Police | Commissioners of Customs &amp; Excise v Barclays Bank plc | Nykredit Mortgage Bank plc v Edward Erdman Group Ltd (No. 2) | NRAM Ltd v Steel | Playboy Club London Ltd v Banca Nazionale del Lavoro SpA | JP SPC 4 v Royal Bank of Scotland International Ltd | James-Bowen v Commissioner of Police for the Metropolis | Khan v Falvey | Hatton v Chafes | Barclays Bank | Hedley Byrne | Caparo | NRAM v Steel</x:v>
      </x:c>
    </x:row>
    <x:row r="662">
      <x:c r="A662" s="1" t="str">
        <x:v>cmmxsgyjb000b04ld1tvzyr07</x:v>
      </x:c>
      <x:c r="B662" s="1" t="str">
        <x:v>cmmxhmaji000604l8iyhbwnn1</x:v>
      </x:c>
      <x:c r="C662" s="1" t="str">
        <x:v>greenfields--iow--limited-v-isle-of-wight-council---westridge-village-limited</x:v>
      </x:c>
      <x:c r="D662" s="12" t="n">
        <x:v>46100.75955699074</x:v>
      </x:c>
      <x:c r="E662" s="1" t="str">
        <x:v>yes</x:v>
      </x:c>
      <x:c r="F662" s="14" t="str">
        <x:v>cmmxsk5kn000h04ldd570wr09</x:v>
      </x:c>
      <x:c r="G662" s="14" t="n">
        <x:v>1</x:v>
      </x:c>
      <x:c r="H662" s="14" t="str">
        <x:v>f42492fd-8832-4f70-b315-d7597c15a5ef</x:v>
      </x:c>
      <x:c r="I662" s="14" t="str">
        <x:v>Cherkley Campaign Ltd, R (on the application of) v Mole Valley District Council &amp; Anor</x:v>
      </x:c>
      <x:c r="J662" s="14" t="str">
        <x:v>England and Wales Court of Appeal (Civil Division)</x:v>
      </x:c>
      <x:c r="K662" s="14" t="n">
        <x:v>2014</x:v>
      </x:c>
      <x:c r="L662" s="15" t="n">
        <x:v>0.74296796</x:v>
      </x:c>
      <x:c r="M662" s="14" t="n">
        <x:v>2</x:v>
      </x:c>
      <x:c r="N662" s="14" t="str">
        <x:v>Planning and Compulsory Purchase Act 2004</x:v>
      </x:c>
    </x:row>
    <x:row r="663">
      <x:c r="A663" s="1" t="str">
        <x:v>cmmxsgyjb000b04ld1tvzyr07</x:v>
      </x:c>
      <x:c r="B663" s="1" t="str">
        <x:v>cmmxhmaji000604l8iyhbwnn1</x:v>
      </x:c>
      <x:c r="C663" s="1" t="str">
        <x:v>greenfields--iow--limited-v-isle-of-wight-council---westridge-village-limited</x:v>
      </x:c>
      <x:c r="D663" s="12" t="n">
        <x:v>46100.75955699074</x:v>
      </x:c>
      <x:c r="E663" s="1" t="str">
        <x:v>yes</x:v>
      </x:c>
      <x:c r="F663" s="14" t="str">
        <x:v>cmmxsk5kn000h04ldd570wr09</x:v>
      </x:c>
      <x:c r="G663" s="14" t="n">
        <x:v>2</x:v>
      </x:c>
      <x:c r="H663" s="14" t="str">
        <x:v>3ff34419-ffbc-40f9-a087-a1cb1371d0e1</x:v>
      </x:c>
      <x:c r="I663" s="14" t="str">
        <x:v>Vicente &amp; Anor v Secretary of State for Communities and Local Government &amp; Anor [2014] EWCA Civ 1555</x:v>
      </x:c>
      <x:c r="J663" s="14" t="str">
        <x:v>England and Wales Court of Appeal (Civil Division)</x:v>
      </x:c>
      <x:c r="K663" s="14" t="n">
        <x:v>2014</x:v>
      </x:c>
      <x:c r="L663" s="15" t="n">
        <x:v>0.73175097</x:v>
      </x:c>
      <x:c r="M663" s="14" t="n">
        <x:v>3</x:v>
      </x:c>
      <x:c r="N663" s="14" t="str">
        <x:v>R(Gul) v. Secretary of State for Justice | Hopkins Developments v. Secretary of State</x:v>
      </x:c>
    </x:row>
    <x:row r="664">
      <x:c r="A664" s="1" t="str">
        <x:v>cmmxsgyjb000b04ld1tvzyr07</x:v>
      </x:c>
      <x:c r="B664" s="1" t="str">
        <x:v>cmmxhmaji000604l8iyhbwnn1</x:v>
      </x:c>
      <x:c r="C664" s="1" t="str">
        <x:v>greenfields--iow--limited-v-isle-of-wight-council---westridge-village-limited</x:v>
      </x:c>
      <x:c r="D664" s="12" t="n">
        <x:v>46100.75955699074</x:v>
      </x:c>
      <x:c r="E664" s="1" t="str">
        <x:v>yes</x:v>
      </x:c>
      <x:c r="F664" s="14" t="str">
        <x:v>cmmxsk5kn000h04ldd570wr09</x:v>
      </x:c>
      <x:c r="G664" s="14" t="n">
        <x:v>3</x:v>
      </x:c>
      <x:c r="H664" s="14" t="str">
        <x:v>f36914c7-32ec-4f23-9909-c4ece2be9d33</x:v>
      </x:c>
      <x:c r="I664" s="14" t="str">
        <x:v>Georgiou v London Borough of Enfield &amp; Ors [2004] EWHC 779 (Admin)</x:v>
      </x:c>
      <x:c r="J664" s="14" t="str">
        <x:v>England and Wales High Court (Administrative Court)</x:v>
      </x:c>
      <x:c r="K664" s="14" t="n">
        <x:v>2004</x:v>
      </x:c>
      <x:c r="L664" s="15" t="n">
        <x:v>0.72872436</x:v>
      </x:c>
      <x:c r="M664" s="14" t="n">
        <x:v>3</x:v>
      </x:c>
      <x:c r="N664" s="14" t="str">
        <x:v>Porter v. Magill | Bovis v. New Forest DC</x:v>
      </x:c>
    </x:row>
    <x:row r="665">
      <x:c r="A665" s="1" t="str">
        <x:v>cmmxsgyjb000b04ld1tvzyr07</x:v>
      </x:c>
      <x:c r="B665" s="1" t="str">
        <x:v>cmmxhmaji000604l8iyhbwnn1</x:v>
      </x:c>
      <x:c r="C665" s="1" t="str">
        <x:v>greenfields--iow--limited-v-isle-of-wight-council---westridge-village-limited</x:v>
      </x:c>
      <x:c r="D665" s="12" t="n">
        <x:v>46100.75955699074</x:v>
      </x:c>
      <x:c r="E665" s="1" t="str">
        <x:v>yes</x:v>
      </x:c>
      <x:c r="F665" s="14" t="str">
        <x:v>cmmxsk5kn000h04ldd570wr09</x:v>
      </x:c>
      <x:c r="G665" s="14" t="n">
        <x:v>4</x:v>
      </x:c>
      <x:c r="H665" s="14" t="str">
        <x:v>8d10f639-afdd-4cee-893d-c3b4fbaefe7b</x:v>
      </x:c>
      <x:c r="I665" s="14" t="str">
        <x:v>Tesco Stores Ltd v Forest of Dean District Council [2015] EWCA Civ 800</x:v>
      </x:c>
      <x:c r="J665" s="14" t="str">
        <x:v>England and Wales Court of Appeal (Civil Division)</x:v>
      </x:c>
      <x:c r="K665" s="14" t="n">
        <x:v>2015</x:v>
      </x:c>
      <x:c r="L665" s="15" t="n">
        <x:v>0.72853166</x:v>
      </x:c>
      <x:c r="M665" s="14" t="n">
        <x:v>1</x:v>
      </x:c>
      <x:c r="N665" s="14" t="str"/>
    </x:row>
    <x:row r="666">
      <x:c r="A666" s="1" t="str">
        <x:v>cmmxsgyjb000b04ld1tvzyr07</x:v>
      </x:c>
      <x:c r="B666" s="1" t="str">
        <x:v>cmmxhmaji000604l8iyhbwnn1</x:v>
      </x:c>
      <x:c r="C666" s="1" t="str">
        <x:v>greenfields--iow--limited-v-isle-of-wight-council---westridge-village-limited</x:v>
      </x:c>
      <x:c r="D666" s="12" t="n">
        <x:v>46100.75955699074</x:v>
      </x:c>
      <x:c r="E666" s="1" t="str">
        <x:v>yes</x:v>
      </x:c>
      <x:c r="F666" s="14" t="str">
        <x:v>cmmxsk5kn000h04ldd570wr09</x:v>
      </x:c>
      <x:c r="G666" s="14" t="n">
        <x:v>5</x:v>
      </x:c>
      <x:c r="H666" s="14" t="str">
        <x:v>9f23ddf2-fa12-45c8-99f7-74539a06ee46</x:v>
      </x:c>
      <x:c r="I666" s="14" t="str">
        <x:v>Luton Borough Council, R (on the application of) v Central Bedfordshire Council &amp; Ors [2015] EWCA Civ 537</x:v>
      </x:c>
      <x:c r="J666" s="14" t="str">
        <x:v>England and Wales Court of Appeal (Civil Division)</x:v>
      </x:c>
      <x:c r="K666" s="14" t="n">
        <x:v>2015</x:v>
      </x:c>
      <x:c r="L666" s="15" t="n">
        <x:v>0.72334063</x:v>
      </x:c>
      <x:c r="M666" s="14" t="n">
        <x:v>2</x:v>
      </x:c>
      <x:c r="N666" s="14" t="str"/>
    </x:row>
    <x:row r="667">
      <x:c r="A667" s="1" t="str">
        <x:v>cmmxsgyjb000b04ld1tvzyr07</x:v>
      </x:c>
      <x:c r="B667" s="1" t="str">
        <x:v>cmmxhmaji000604l8iyhbwnn1</x:v>
      </x:c>
      <x:c r="C667" s="1" t="str">
        <x:v>greenfields--iow--limited-v-isle-of-wight-council---westridge-village-limited</x:v>
      </x:c>
      <x:c r="D667" s="12" t="n">
        <x:v>46100.75955699074</x:v>
      </x:c>
      <x:c r="E667" s="1" t="str">
        <x:v>yes</x:v>
      </x:c>
      <x:c r="F667" s="14" t="str">
        <x:v>cmmxsk5kn000h04ldd570wr09</x:v>
      </x:c>
      <x:c r="G667" s="14" t="n">
        <x:v>6</x:v>
      </x:c>
      <x:c r="H667" s="14" t="str">
        <x:v>76cd3a35-03e9-4300-b6c9-27ac34a88301</x:v>
      </x:c>
      <x:c r="I667" s="14" t="str">
        <x:v>Ashburton Trading Ltd v Secretary of State for Communities And Local Government &amp; Anor [2014] EWCA Civ 378</x:v>
      </x:c>
      <x:c r="J667" s="14" t="str">
        <x:v>England and Wales Court of Appeal (Civil Division)</x:v>
      </x:c>
      <x:c r="K667" s="14" t="n">
        <x:v>2014</x:v>
      </x:c>
      <x:c r="L667" s="15" t="n">
        <x:v>0.7157188</x:v>
      </x:c>
      <x:c r="M667" s="14" t="n">
        <x:v>2</x:v>
      </x:c>
      <x:c r="N667" s="14" t="str"/>
    </x:row>
    <x:row r="668">
      <x:c r="A668" s="1" t="str">
        <x:v>cmmxsgyjb000b04ld1tvzyr07</x:v>
      </x:c>
      <x:c r="B668" s="1" t="str">
        <x:v>cmmxhmaji000604l8iyhbwnn1</x:v>
      </x:c>
      <x:c r="C668" s="1" t="str">
        <x:v>greenfields--iow--limited-v-isle-of-wight-council---westridge-village-limited</x:v>
      </x:c>
      <x:c r="D668" s="12" t="n">
        <x:v>46100.75955699074</x:v>
      </x:c>
      <x:c r="E668" s="1" t="str">
        <x:v>yes</x:v>
      </x:c>
      <x:c r="F668" s="14" t="str">
        <x:v>cmmxsk5kn000h04ldd570wr09</x:v>
      </x:c>
      <x:c r="G668" s="14" t="n">
        <x:v>7</x:v>
      </x:c>
      <x:c r="H668" s="14" t="str">
        <x:v>72ae3a8b-04b1-4146-b2fc-cc57e1da7a25</x:v>
      </x:c>
      <x:c r="I668" s="14" t="str">
        <x:v>Howard &amp; Anor v Wigan Council &amp; Anor [2015] EWCA Civ 854</x:v>
      </x:c>
      <x:c r="J668" s="14" t="str">
        <x:v>England and Wales Court of Appeal (Civil Division)</x:v>
      </x:c>
      <x:c r="K668" s="14" t="n">
        <x:v>2015</x:v>
      </x:c>
      <x:c r="L668" s="15" t="n">
        <x:v>0.7111126</x:v>
      </x:c>
      <x:c r="M668" s="14" t="n">
        <x:v>2</x:v>
      </x:c>
      <x:c r="N668" s="14" t="str"/>
    </x:row>
    <x:row r="669">
      <x:c r="A669" s="1" t="str">
        <x:v>cmmxsgyjb000b04ld1tvzyr07</x:v>
      </x:c>
      <x:c r="B669" s="1" t="str">
        <x:v>cmmxhmaji000604l8iyhbwnn1</x:v>
      </x:c>
      <x:c r="C669" s="1" t="str">
        <x:v>greenfields--iow--limited-v-isle-of-wight-council---westridge-village-limited</x:v>
      </x:c>
      <x:c r="D669" s="12" t="n">
        <x:v>46100.75955699074</x:v>
      </x:c>
      <x:c r="E669" s="1" t="str">
        <x:v>yes</x:v>
      </x:c>
      <x:c r="F669" s="14" t="str">
        <x:v>cmmxsk5kn000h04ldd570wr09</x:v>
      </x:c>
      <x:c r="G669" s="14" t="n">
        <x:v>8</x:v>
      </x:c>
      <x:c r="H669" s="14" t="str">
        <x:v>a6ba2568-c81f-4703-8a5c-bff13cf0bef8</x:v>
      </x:c>
      <x:c r="I669" s="14" t="str">
        <x:v>Smech Properties v Runnymede Borough Council [2015] EWCA Civ 1017</x:v>
      </x:c>
      <x:c r="J669" s="14" t="str">
        <x:v>England and Wales Court of Appeal (Civil Division)</x:v>
      </x:c>
      <x:c r="K669" s="14" t="n">
        <x:v>2015</x:v>
      </x:c>
      <x:c r="L669" s="15" t="n">
        <x:v>0.71076274</x:v>
      </x:c>
      <x:c r="M669" s="14" t="n">
        <x:v>4</x:v>
      </x:c>
      <x:c r="N669" s="14" t="str">
        <x:v>Hunston Properties case</x:v>
      </x:c>
    </x:row>
    <x:row r="670">
      <x:c r="A670" s="1" t="str">
        <x:v>cmmxsgyjb000b04ld1tvzyr07</x:v>
      </x:c>
      <x:c r="B670" s="1" t="str">
        <x:v>cmmxhmaji000604l8iyhbwnn1</x:v>
      </x:c>
      <x:c r="C670" s="1" t="str">
        <x:v>greenfields--iow--limited-v-isle-of-wight-council---westridge-village-limited</x:v>
      </x:c>
      <x:c r="D670" s="12" t="n">
        <x:v>46100.75955699074</x:v>
      </x:c>
      <x:c r="E670" s="1" t="str">
        <x:v>yes</x:v>
      </x:c>
      <x:c r="F670" s="14" t="str">
        <x:v>cmmxsk5kn000h04ldd570wr09</x:v>
      </x:c>
      <x:c r="G670" s="14" t="n">
        <x:v>9</x:v>
      </x:c>
      <x:c r="H670" s="14" t="str">
        <x:v>76e6ffcd-af03-4155-a667-51d98a79d1d7</x:v>
      </x:c>
      <x:c r="I670" s="14" t="str">
        <x:v>Arnold White Estates Ltd v The Forestry Commission [2022] EWCA Civ 1304</x:v>
      </x:c>
      <x:c r="J670" s="14" t="str">
        <x:v>England and Wales Court of Appeal (Civil Division)</x:v>
      </x:c>
      <x:c r="K670" s="14" t="n">
        <x:v>2022</x:v>
      </x:c>
      <x:c r="L670" s="15" t="n">
        <x:v>0.70997405</x:v>
      </x:c>
      <x:c r="M670" s="14" t="n">
        <x:v>1</x:v>
      </x:c>
      <x:c r="N670" s="14" t="str">
        <x:v>R. (on the application of Thornton Hall Hotel Ltd.) v Wirral Metropolitan Borough Council (2019) EWCA Civ 737</x:v>
      </x:c>
    </x:row>
    <x:row r="671">
      <x:c r="A671" s="1" t="str">
        <x:v>cmmxsgyjb000b04ld1tvzyr07</x:v>
      </x:c>
      <x:c r="B671" s="1" t="str">
        <x:v>cmmxhmaji000604l8iyhbwnn1</x:v>
      </x:c>
      <x:c r="C671" s="1" t="str">
        <x:v>greenfields--iow--limited-v-isle-of-wight-council---westridge-village-limited</x:v>
      </x:c>
      <x:c r="D671" s="12" t="n">
        <x:v>46100.75955699074</x:v>
      </x:c>
      <x:c r="E671" s="1" t="str">
        <x:v>yes</x:v>
      </x:c>
      <x:c r="F671" s="14" t="str">
        <x:v>cmmxsk5kn000h04ldd570wr09</x:v>
      </x:c>
      <x:c r="G671" s="14" t="n">
        <x:v>10</x:v>
      </x:c>
      <x:c r="H671" s="14" t="str">
        <x:v>85be361d-d4e8-464d-9b56-e7ba0996efd0</x:v>
      </x:c>
      <x:c r="I671" s="14" t="str">
        <x:v>Blacker, R (On the Application Of) v Chelmsford City Council (Rev1) [2023] EWCA Civ 25</x:v>
      </x:c>
      <x:c r="J671" s="14" t="str">
        <x:v>England and Wales Court of Appeal (Civil Division)</x:v>
      </x:c>
      <x:c r="K671" s="14" t="n">
        <x:v>2023</x:v>
      </x:c>
      <x:c r="L671" s="15" t="n">
        <x:v>0.7094884</x:v>
      </x:c>
      <x:c r="M671" s="14" t="n">
        <x:v>2</x:v>
      </x:c>
      <x:c r="N671" s="14" t="str"/>
    </x:row>
    <x:row r="672">
      <x:c r="A672" s="1" t="str">
        <x:v>cmmxsgyjb000b04ld1tvzyr07</x:v>
      </x:c>
      <x:c r="B672" s="1" t="str">
        <x:v>cmmxhmaji000604l8iyhbwnn1</x:v>
      </x:c>
      <x:c r="C672" s="1" t="str">
        <x:v>greenfields--iow--limited-v-isle-of-wight-council---westridge-village-limited</x:v>
      </x:c>
      <x:c r="D672" s="12" t="n">
        <x:v>46100.75955699074</x:v>
      </x:c>
      <x:c r="E672" s="1" t="str">
        <x:v>yes</x:v>
      </x:c>
      <x:c r="F672" s="14" t="str">
        <x:v>cmmxsk5kn000h04ldd570wr09</x:v>
      </x:c>
      <x:c r="G672" s="14" t="n">
        <x:v>11</x:v>
      </x:c>
      <x:c r="H672" s="14" t="str">
        <x:v>6cd7db33-7ee1-44c0-9219-b2cc7d57d88b</x:v>
      </x:c>
      <x:c r="I672" s="14" t="str">
        <x:v>Smith v Secretary of State for Levelling Up, Housing &amp; Communities &amp; Anor [2022] EWCA Civ 1391</x:v>
      </x:c>
      <x:c r="J672" s="14" t="str">
        <x:v>England and Wales Court of Appeal (Civil Division)</x:v>
      </x:c>
      <x:c r="K672" s="14" t="n">
        <x:v>2022</x:v>
      </x:c>
      <x:c r="L672" s="15" t="n">
        <x:v>0.70754623</x:v>
      </x:c>
      <x:c r="M672" s="14" t="n">
        <x:v>2</x:v>
      </x:c>
      <x:c r="N672" s="14" t="str">
        <x:v>[2021] EWHC 1650 (Admin) | Bank Mellat v HM Treasury (No 2) | Oakes | Stec v United Kingdom | Chapman v United Kingdom | R (Ward) v Hillingdon | Wrexham County Borough Council v NAC Wales | Basildon (and related)</x:v>
      </x:c>
    </x:row>
    <x:row r="673">
      <x:c r="A673" s="1" t="str">
        <x:v>cmmxsgyjb000b04ld1tvzyr07</x:v>
      </x:c>
      <x:c r="B673" s="1" t="str">
        <x:v>cmmxhmaji000604l8iyhbwnn1</x:v>
      </x:c>
      <x:c r="C673" s="1" t="str">
        <x:v>greenfields--iow--limited-v-isle-of-wight-council---westridge-village-limited</x:v>
      </x:c>
      <x:c r="D673" s="12" t="n">
        <x:v>46100.75955699074</x:v>
      </x:c>
      <x:c r="E673" s="1" t="str">
        <x:v>yes</x:v>
      </x:c>
      <x:c r="F673" s="14" t="str">
        <x:v>cmmxsk5kn000h04ldd570wr09</x:v>
      </x:c>
      <x:c r="G673" s="14" t="n">
        <x:v>12</x:v>
      </x:c>
      <x:c r="H673" s="14" t="str">
        <x:v>776a8070-aa6f-410e-b91e-2e1fcadadb9b</x:v>
      </x:c>
      <x:c r="I673" s="14" t="str">
        <x:v>Sheakh, R (On the Application Of) v London Borough of Lambeth Council [2022] EWCA Civ 457 (05 April 2022)</x:v>
      </x:c>
      <x:c r="J673" s="14" t="str">
        <x:v>England and Wales Court of Appeal (Civil Division)</x:v>
      </x:c>
      <x:c r="K673" s="14" t="n">
        <x:v>2022</x:v>
      </x:c>
      <x:c r="L673" s="15" t="n">
        <x:v>0.7075447</x:v>
      </x:c>
      <x:c r="M673" s="14" t="n">
        <x:v>1</x:v>
      </x:c>
      <x:c r="N673" s="14" t="str">
        <x:v>R. (Bailey) v Brent LBC [2011] EWCA Civ 1586</x:v>
      </x:c>
    </x:row>
    <x:row r="674">
      <x:c r="A674" s="1" t="str">
        <x:v>cmmxsgyjb000b04ld1tvzyr07</x:v>
      </x:c>
      <x:c r="B674" s="1" t="str">
        <x:v>cmmxhmaji000604l8iyhbwnn1</x:v>
      </x:c>
      <x:c r="C674" s="1" t="str">
        <x:v>greenfields--iow--limited-v-isle-of-wight-council---westridge-village-limited</x:v>
      </x:c>
      <x:c r="D674" s="12" t="n">
        <x:v>46100.75955699074</x:v>
      </x:c>
      <x:c r="E674" s="1" t="str">
        <x:v>yes</x:v>
      </x:c>
      <x:c r="F674" s="14" t="str">
        <x:v>cmmxsk5kn000h04ldd570wr09</x:v>
      </x:c>
      <x:c r="G674" s="14" t="n">
        <x:v>13</x:v>
      </x:c>
      <x:c r="H674" s="14" t="str">
        <x:v>84fda74c-8775-4d1b-8cf6-853e7921ced2</x:v>
      </x:c>
      <x:c r="I674" s="14" t="str">
        <x:v>Fylde Coast Farms Ltd v Fylde Borough Council [2021] UKSC 18</x:v>
      </x:c>
      <x:c r="J674" s="14" t="str">
        <x:v>United Kingdom Supreme Court</x:v>
      </x:c>
      <x:c r="K674" s="14" t="n">
        <x:v>2021</x:v>
      </x:c>
      <x:c r="L674" s="15" t="n">
        <x:v>0.7069242</x:v>
      </x:c>
      <x:c r="M674" s="14" t="n">
        <x:v>3</x:v>
      </x:c>
      <x:c r="N674" s="14" t="str">
        <x:v>Town and Country Planning Act 1990 | Localism Act 2011 | R (Burkett) v Hammersmith and Fulham London Borough Council [2002] UKHL 23</x:v>
      </x:c>
    </x:row>
    <x:row r="675">
      <x:c r="A675" s="1" t="str">
        <x:v>cmmxsgyjb000b04ld1tvzyr07</x:v>
      </x:c>
      <x:c r="B675" s="1" t="str">
        <x:v>cmmxhmaji000604l8iyhbwnn1</x:v>
      </x:c>
      <x:c r="C675" s="1" t="str">
        <x:v>greenfields--iow--limited-v-isle-of-wight-council---westridge-village-limited</x:v>
      </x:c>
      <x:c r="D675" s="12" t="n">
        <x:v>46100.75955699074</x:v>
      </x:c>
      <x:c r="E675" s="1" t="str">
        <x:v>yes</x:v>
      </x:c>
      <x:c r="F675" s="14" t="str">
        <x:v>cmmxsk5kn000h04ldd570wr09</x:v>
      </x:c>
      <x:c r="G675" s="14" t="n">
        <x:v>14</x:v>
      </x:c>
      <x:c r="H675" s="14" t="str">
        <x:v>4445024a-5f65-4083-8a26-f3cf974100af</x:v>
      </x:c>
      <x:c r="I675" s="14" t="str">
        <x:v>Ball v Secretary of State for Communities and Local Government [2014] EWCA Civ 372</x:v>
      </x:c>
      <x:c r="J675" s="14" t="str">
        <x:v>England and Wales Court of Appeal (Civil Division)</x:v>
      </x:c>
      <x:c r="K675" s="14" t="n">
        <x:v>2014</x:v>
      </x:c>
      <x:c r="L675" s="15" t="n">
        <x:v>0.7051423</x:v>
      </x:c>
      <x:c r="M675" s="14" t="n">
        <x:v>3</x:v>
      </x:c>
      <x:c r="N675" s="14" t="str">
        <x:v>Zoumbas v Secretary of State for the Home Department [2013] UKSC 74</x:v>
      </x:c>
    </x:row>
    <x:row r="676">
      <x:c r="A676" s="1" t="str">
        <x:v>cmmxsgyjb000b04ld1tvzyr07</x:v>
      </x:c>
      <x:c r="B676" s="1" t="str">
        <x:v>cmmxhmaji000604l8iyhbwnn1</x:v>
      </x:c>
      <x:c r="C676" s="1" t="str">
        <x:v>greenfields--iow--limited-v-isle-of-wight-council---westridge-village-limited</x:v>
      </x:c>
      <x:c r="D676" s="12" t="n">
        <x:v>46100.75955699074</x:v>
      </x:c>
      <x:c r="E676" s="1" t="str">
        <x:v>yes</x:v>
      </x:c>
      <x:c r="F676" s="14" t="str">
        <x:v>cmmxsk5kn000h04ldd570wr09</x:v>
      </x:c>
      <x:c r="G676" s="14" t="n">
        <x:v>15</x:v>
      </x:c>
      <x:c r="H676" s="14" t="str">
        <x:v>21aef08e-1e64-46d6-970a-6a9bfe8e9e6c</x:v>
      </x:c>
      <x:c r="I676" s="14" t="str">
        <x:v>Hampton Bishop Parish Council, R (On the Application Of) v Herefordshire Council</x:v>
      </x:c>
      <x:c r="J676" s="14" t="str">
        <x:v>England and Wales Court of Appeal (Civil Division)</x:v>
      </x:c>
      <x:c r="K676" s="14" t="n">
        <x:v>2014</x:v>
      </x:c>
      <x:c r="L676" s="15" t="n">
        <x:v>0.7036544</x:v>
      </x:c>
      <x:c r="M676" s="14" t="n">
        <x:v>1</x:v>
      </x:c>
      <x:c r="N676" s="14" t="str"/>
    </x:row>
    <x:row r="677">
      <x:c r="A677" s="1" t="str">
        <x:v>cmmxsgyjb000b04ld1tvzyr07</x:v>
      </x:c>
      <x:c r="B677" s="1" t="str">
        <x:v>cmmxhmaji000604l8iyhbwnn1</x:v>
      </x:c>
      <x:c r="C677" s="1" t="str">
        <x:v>greenfields--iow--limited-v-isle-of-wight-council---westridge-village-limited</x:v>
      </x:c>
      <x:c r="D677" s="12" t="n">
        <x:v>46100.75955699074</x:v>
      </x:c>
      <x:c r="E677" s="1" t="str">
        <x:v>yes</x:v>
      </x:c>
      <x:c r="F677" s="14" t="str">
        <x:v>cmmxsk5kn000h04ldd570wr09</x:v>
      </x:c>
      <x:c r="G677" s="14" t="n">
        <x:v>16</x:v>
      </x:c>
      <x:c r="H677" s="14" t="str">
        <x:v>edaa06d0-05a9-41c2-b34b-1408204f7ba3</x:v>
      </x:c>
      <x:c r="I677" s="14" t="str">
        <x:v>Chalfont St Peter Parish Council v Chiltern District Council</x:v>
      </x:c>
      <x:c r="J677" s="14" t="str">
        <x:v>England and Wales Court of Appeal (Civil Division)</x:v>
      </x:c>
      <x:c r="K677" s="14" t="n">
        <x:v>2014</x:v>
      </x:c>
      <x:c r="L677" s="15" t="n">
        <x:v>0.7031839</x:v>
      </x:c>
      <x:c r="M677" s="14" t="n">
        <x:v>2</x:v>
      </x:c>
      <x:c r="N677" s="14" t="str"/>
    </x:row>
    <x:row r="678">
      <x:c r="A678" s="1" t="str">
        <x:v>cmmxsgyjb000b04ld1tvzyr07</x:v>
      </x:c>
      <x:c r="B678" s="1" t="str">
        <x:v>cmmxhmaji000604l8iyhbwnn1</x:v>
      </x:c>
      <x:c r="C678" s="1" t="str">
        <x:v>greenfields--iow--limited-v-isle-of-wight-council---westridge-village-limited</x:v>
      </x:c>
      <x:c r="D678" s="12" t="n">
        <x:v>46100.75955699074</x:v>
      </x:c>
      <x:c r="E678" s="1" t="str">
        <x:v>yes</x:v>
      </x:c>
      <x:c r="F678" s="14" t="str">
        <x:v>cmmxsk5kn000h04ldd570wr09</x:v>
      </x:c>
      <x:c r="G678" s="14" t="n">
        <x:v>17</x:v>
      </x:c>
      <x:c r="H678" s="14" t="str">
        <x:v>a459497c-093a-4d72-b603-17566d05df21</x:v>
      </x:c>
      <x:c r="I678" s="14" t="str">
        <x:v>Holder v Gedling Borough Council &amp; Ors [2014] EWCA Civ 599</x:v>
      </x:c>
      <x:c r="J678" s="14" t="str">
        <x:v>England and Wales Court of Appeal (Civil Division)</x:v>
      </x:c>
      <x:c r="K678" s="14" t="n">
        <x:v>2014</x:v>
      </x:c>
      <x:c r="L678" s="15" t="n">
        <x:v>0.70160353</x:v>
      </x:c>
      <x:c r="M678" s="14" t="n">
        <x:v>1</x:v>
      </x:c>
      <x:c r="N678" s="14" t="str"/>
    </x:row>
    <x:row r="679">
      <x:c r="A679" s="1" t="str">
        <x:v>cmmxsgyjb000b04ld1tvzyr07</x:v>
      </x:c>
      <x:c r="B679" s="1" t="str">
        <x:v>cmmxhmaji000604l8iyhbwnn1</x:v>
      </x:c>
      <x:c r="C679" s="1" t="str">
        <x:v>greenfields--iow--limited-v-isle-of-wight-council---westridge-village-limited</x:v>
      </x:c>
      <x:c r="D679" s="12" t="n">
        <x:v>46100.75955699074</x:v>
      </x:c>
      <x:c r="E679" s="1" t="str">
        <x:v>yes</x:v>
      </x:c>
      <x:c r="F679" s="14" t="str">
        <x:v>cmmxsk5kn000h04ldd570wr09</x:v>
      </x:c>
      <x:c r="G679" s="14" t="n">
        <x:v>18</x:v>
      </x:c>
      <x:c r="H679" s="14" t="str">
        <x:v>2dc2a7ac-d332-4112-93f1-122e3a9d7870</x:v>
      </x:c>
      <x:c r="I679" s="14" t="str">
        <x:v>Perry, R (on the application of) v London Borough of Hackney &amp; Ors</x:v>
      </x:c>
      <x:c r="J679" s="14" t="str">
        <x:v>England and Wales Court of Appeal (Civil Division)</x:v>
      </x:c>
      <x:c r="K679" s="14" t="n">
        <x:v>2014</x:v>
      </x:c>
      <x:c r="L679" s="15" t="n">
        <x:v>0.70150924</x:v>
      </x:c>
      <x:c r="M679" s="14" t="n">
        <x:v>1</x:v>
      </x:c>
      <x:c r="N679" s="14" t="str"/>
    </x:row>
    <x:row r="680">
      <x:c r="A680" s="1" t="str">
        <x:v>cmmxsgyjb000b04ld1tvzyr07</x:v>
      </x:c>
      <x:c r="B680" s="1" t="str">
        <x:v>cmmxhmaji000604l8iyhbwnn1</x:v>
      </x:c>
      <x:c r="C680" s="1" t="str">
        <x:v>greenfields--iow--limited-v-isle-of-wight-council---westridge-village-limited</x:v>
      </x:c>
      <x:c r="D680" s="12" t="n">
        <x:v>46100.75955699074</x:v>
      </x:c>
      <x:c r="E680" s="1" t="str">
        <x:v>yes</x:v>
      </x:c>
      <x:c r="F680" s="14" t="str">
        <x:v>cmmxsk5kn000h04ldd570wr09</x:v>
      </x:c>
      <x:c r="G680" s="14" t="n">
        <x:v>19</x:v>
      </x:c>
      <x:c r="H680" s="14" t="str">
        <x:v>702e0527-fb33-427f-afbb-f906ba355802</x:v>
      </x:c>
      <x:c r="I680" s="14" t="str">
        <x:v>Broadview Energy Developments Limited v The Secretary of State for Communities and Local Government &amp; Ors [2016] EWCA Civ 562</x:v>
      </x:c>
      <x:c r="J680" s="14" t="str">
        <x:v>England and Wales Court of Appeal (Civil Division)</x:v>
      </x:c>
      <x:c r="K680" s="14" t="n">
        <x:v>2016</x:v>
      </x:c>
      <x:c r="L680" s="15" t="n">
        <x:v>0.70086664</x:v>
      </x:c>
      <x:c r="M680" s="14" t="n">
        <x:v>5</x:v>
      </x:c>
      <x:c r="N680" s="14" t="str">
        <x:v>R (Alconbury) v Secretary of State for the Environment [2003] 2 AC 295 | Barnwell Manor [2014] EWCA Civ 137 | Fox Land v SSCLG [2014] EWHC 15 (Admin) | R v Sussex Justices ex parte McCarthy | Errington v Minister of Health | Kanda v Government of the Federation of Malaya | McCarthy (R v Sussex Justices) guidance on appearance of fairness | Barnwell Manor and Magill v Porter as context for balancing and severity of breaches | Barnwell Manor (East Northamptonshire District Council) 2014</x:v>
      </x:c>
    </x:row>
    <x:row r="681">
      <x:c r="A681" s="1" t="str">
        <x:v>cmmxsgyjb000b04ld1tvzyr07</x:v>
      </x:c>
      <x:c r="B681" s="1" t="str">
        <x:v>cmmxhmaji000604l8iyhbwnn1</x:v>
      </x:c>
      <x:c r="C681" s="1" t="str">
        <x:v>greenfields--iow--limited-v-isle-of-wight-council---westridge-village-limited</x:v>
      </x:c>
      <x:c r="D681" s="12" t="n">
        <x:v>46100.75955699074</x:v>
      </x:c>
      <x:c r="E681" s="1" t="str">
        <x:v>yes</x:v>
      </x:c>
      <x:c r="F681" s="14" t="str">
        <x:v>cmmxsk5kn000h04ldd570wr09</x:v>
      </x:c>
      <x:c r="G681" s="14" t="n">
        <x:v>20</x:v>
      </x:c>
      <x:c r="H681" s="14" t="str">
        <x:v>379d4f20-62f5-403b-a082-fa36b82fe1c1</x:v>
      </x:c>
      <x:c r="I681" s="14" t="str">
        <x:v>Regina v. London Borough of Hammersmith and Fulham (Burkett) [2002] UKHL 23</x:v>
      </x:c>
      <x:c r="J681" s="14" t="str">
        <x:v>United Kingdom House of Lords</x:v>
      </x:c>
      <x:c r="K681" s="14" t="n">
        <x:v>2002</x:v>
      </x:c>
      <x:c r="L681" s="15" t="n">
        <x:v>0.70062155</x:v>
      </x:c>
      <x:c r="M681" s="14" t="n">
        <x:v>2</x:v>
      </x:c>
      <x:c r="N681" s="14" t="str"/>
    </x:row>
    <x:row r="682">
      <x:c r="A682" s="1" t="str">
        <x:v>cmmxtwenv000304jr7vxcmpae</x:v>
      </x:c>
      <x:c r="B682" s="1" t="str">
        <x:v>cmmxhmaji000604l8iyhbwnn1</x:v>
      </x:c>
      <x:c r="C682" s="1" t="str">
        <x:v>greenfields--iow--limited-v-isle-of-wight-council---westridge-village-limited</x:v>
      </x:c>
      <x:c r="D682" s="12" t="n">
        <x:v>46100.78733847222</x:v>
      </x:c>
      <x:c r="E682" s="1" t="str">
        <x:v>yes</x:v>
      </x:c>
      <x:c r="F682" s="14" t="str">
        <x:v>cmmxtzd4o000904jrjc2hdwrx | cmomnx9nj000304jkyxxg2b0k</x:v>
      </x:c>
      <x:c r="G682" s="14" t="n">
        <x:v>1</x:v>
      </x:c>
      <x:c r="H682" s="14" t="str">
        <x:v>379d4f20-62f5-403b-a082-fa36b82fe1c1</x:v>
      </x:c>
      <x:c r="I682" s="14" t="str">
        <x:v>Regina v. London Borough of Hammersmith and Fulham (Burkett) [2002] UKHL 23</x:v>
      </x:c>
      <x:c r="J682" s="14" t="str">
        <x:v>United Kingdom House of Lords</x:v>
      </x:c>
      <x:c r="K682" s="14" t="n">
        <x:v>2002</x:v>
      </x:c>
      <x:c r="L682" s="15" t="n">
        <x:v>0.76098335</x:v>
      </x:c>
      <x:c r="M682" s="14" t="n">
        <x:v>3</x:v>
      </x:c>
      <x:c r="N682" s="14" t="str"/>
    </x:row>
    <x:row r="683">
      <x:c r="A683" s="1" t="str">
        <x:v>cmmxtwenv000304jr7vxcmpae</x:v>
      </x:c>
      <x:c r="B683" s="1" t="str">
        <x:v>cmmxhmaji000604l8iyhbwnn1</x:v>
      </x:c>
      <x:c r="C683" s="1" t="str">
        <x:v>greenfields--iow--limited-v-isle-of-wight-council---westridge-village-limited</x:v>
      </x:c>
      <x:c r="D683" s="12" t="n">
        <x:v>46100.78733847222</x:v>
      </x:c>
      <x:c r="E683" s="1" t="str">
        <x:v>yes</x:v>
      </x:c>
      <x:c r="F683" s="14" t="str">
        <x:v>cmmxtzd4o000904jrjc2hdwrx | cmomnx9nj000304jkyxxg2b0k</x:v>
      </x:c>
      <x:c r="G683" s="14" t="n">
        <x:v>2</x:v>
      </x:c>
      <x:c r="H683" s="14" t="str">
        <x:v>a1b35831-8ed8-43ad-bc7e-488100344627</x:v>
      </x:c>
      <x:c r="I683" s="14" t="str">
        <x:v>Corbett v Cornwall Council [2022] EWCA Civ 1069</x:v>
      </x:c>
      <x:c r="J683" s="14" t="str">
        <x:v>England and Wales Court of Appeal (Civil Division)</x:v>
      </x:c>
      <x:c r="K683" s="14" t="n">
        <x:v>2022</x:v>
      </x:c>
      <x:c r="L683" s="15" t="n">
        <x:v>0.7390272</x:v>
      </x:c>
      <x:c r="M683" s="14" t="n">
        <x:v>1</x:v>
      </x:c>
      <x:c r="N683" s="14" t="str"/>
    </x:row>
    <x:row r="684">
      <x:c r="A684" s="1" t="str">
        <x:v>cmmxtwenv000304jr7vxcmpae</x:v>
      </x:c>
      <x:c r="B684" s="1" t="str">
        <x:v>cmmxhmaji000604l8iyhbwnn1</x:v>
      </x:c>
      <x:c r="C684" s="1" t="str">
        <x:v>greenfields--iow--limited-v-isle-of-wight-council---westridge-village-limited</x:v>
      </x:c>
      <x:c r="D684" s="12" t="n">
        <x:v>46100.78733847222</x:v>
      </x:c>
      <x:c r="E684" s="1" t="str">
        <x:v>yes</x:v>
      </x:c>
      <x:c r="F684" s="14" t="str">
        <x:v>cmmxtzd4o000904jrjc2hdwrx | cmomnx9nj000304jkyxxg2b0k</x:v>
      </x:c>
      <x:c r="G684" s="14" t="n">
        <x:v>3</x:v>
      </x:c>
      <x:c r="H684" s="14" t="str">
        <x:v>f42492fd-8832-4f70-b315-d7597c15a5ef</x:v>
      </x:c>
      <x:c r="I684" s="14" t="str">
        <x:v>Cherkley Campaign Ltd, R (on the application of) v Mole Valley District Council &amp; Anor</x:v>
      </x:c>
      <x:c r="J684" s="14" t="str">
        <x:v>England and Wales Court of Appeal (Civil Division)</x:v>
      </x:c>
      <x:c r="K684" s="14" t="n">
        <x:v>2014</x:v>
      </x:c>
      <x:c r="L684" s="15" t="n">
        <x:v>0.7367103</x:v>
      </x:c>
      <x:c r="M684" s="14" t="n">
        <x:v>2</x:v>
      </x:c>
      <x:c r="N684" s="14" t="str">
        <x:v>Planning and Compulsory Purchase Act 2004</x:v>
      </x:c>
    </x:row>
    <x:row r="685">
      <x:c r="A685" s="1" t="str">
        <x:v>cmmxtwenv000304jr7vxcmpae</x:v>
      </x:c>
      <x:c r="B685" s="1" t="str">
        <x:v>cmmxhmaji000604l8iyhbwnn1</x:v>
      </x:c>
      <x:c r="C685" s="1" t="str">
        <x:v>greenfields--iow--limited-v-isle-of-wight-council---westridge-village-limited</x:v>
      </x:c>
      <x:c r="D685" s="12" t="n">
        <x:v>46100.78733847222</x:v>
      </x:c>
      <x:c r="E685" s="1" t="str">
        <x:v>yes</x:v>
      </x:c>
      <x:c r="F685" s="14" t="str">
        <x:v>cmmxtzd4o000904jrjc2hdwrx | cmomnx9nj000304jkyxxg2b0k</x:v>
      </x:c>
      <x:c r="G685" s="14" t="n">
        <x:v>4</x:v>
      </x:c>
      <x:c r="H685" s="14" t="str">
        <x:v>76e6ffcd-af03-4155-a667-51d98a79d1d7</x:v>
      </x:c>
      <x:c r="I685" s="14" t="str">
        <x:v>Arnold White Estates Ltd v The Forestry Commission [2022] EWCA Civ 1304</x:v>
      </x:c>
      <x:c r="J685" s="14" t="str">
        <x:v>England and Wales Court of Appeal (Civil Division)</x:v>
      </x:c>
      <x:c r="K685" s="14" t="n">
        <x:v>2022</x:v>
      </x:c>
      <x:c r="L685" s="15" t="n">
        <x:v>0.73386216</x:v>
      </x:c>
      <x:c r="M685" s="14" t="n">
        <x:v>1</x:v>
      </x:c>
      <x:c r="N685" s="14" t="str">
        <x:v>R. (on the application of Thornton Hall Hotel Ltd.) v Wirral Metropolitan Borough Council (2019) EWCA Civ 737</x:v>
      </x:c>
    </x:row>
    <x:row r="686">
      <x:c r="A686" s="1" t="str">
        <x:v>cmmxtwenv000304jr7vxcmpae</x:v>
      </x:c>
      <x:c r="B686" s="1" t="str">
        <x:v>cmmxhmaji000604l8iyhbwnn1</x:v>
      </x:c>
      <x:c r="C686" s="1" t="str">
        <x:v>greenfields--iow--limited-v-isle-of-wight-council---westridge-village-limited</x:v>
      </x:c>
      <x:c r="D686" s="12" t="n">
        <x:v>46100.78733847222</x:v>
      </x:c>
      <x:c r="E686" s="1" t="str">
        <x:v>yes</x:v>
      </x:c>
      <x:c r="F686" s="14" t="str">
        <x:v>cmmxtzd4o000904jrjc2hdwrx | cmomnx9nj000304jkyxxg2b0k</x:v>
      </x:c>
      <x:c r="G686" s="14" t="n">
        <x:v>5</x:v>
      </x:c>
      <x:c r="H686" s="14" t="str">
        <x:v>235388cd-5994-4cf3-b7e7-c349382ef164</x:v>
      </x:c>
      <x:c r="I686" s="14" t="str">
        <x:v>Save Britain's Heritage, R (On the Application Of) v Davies (Rev1) [2023] EWCA Civ 723</x:v>
      </x:c>
      <x:c r="J686" s="14" t="str">
        <x:v>England and Wales Court of Appeal (Civil Division)</x:v>
      </x:c>
      <x:c r="K686" s="14" t="n">
        <x:v>2023</x:v>
      </x:c>
      <x:c r="L686" s="15" t="n">
        <x:v>0.73312974</x:v>
      </x:c>
      <x:c r="M686" s="14" t="n">
        <x:v>2</x:v>
      </x:c>
      <x:c r="N686" s="14" t="str">
        <x:v>2022 EWHC 2984 (Admin) | Town and Country Planning Order 2015 (as amended)</x:v>
      </x:c>
    </x:row>
    <x:row r="687">
      <x:c r="A687" s="1" t="str">
        <x:v>cmmxtwenv000304jr7vxcmpae</x:v>
      </x:c>
      <x:c r="B687" s="1" t="str">
        <x:v>cmmxhmaji000604l8iyhbwnn1</x:v>
      </x:c>
      <x:c r="C687" s="1" t="str">
        <x:v>greenfields--iow--limited-v-isle-of-wight-council---westridge-village-limited</x:v>
      </x:c>
      <x:c r="D687" s="12" t="n">
        <x:v>46100.78733847222</x:v>
      </x:c>
      <x:c r="E687" s="1" t="str">
        <x:v>yes</x:v>
      </x:c>
      <x:c r="F687" s="14" t="str">
        <x:v>cmmxtzd4o000904jrjc2hdwrx | cmomnx9nj000304jkyxxg2b0k</x:v>
      </x:c>
      <x:c r="G687" s="14" t="n">
        <x:v>6</x:v>
      </x:c>
      <x:c r="H687" s="14" t="str">
        <x:v>776a8070-aa6f-410e-b91e-2e1fcadadb9b</x:v>
      </x:c>
      <x:c r="I687" s="14" t="str">
        <x:v>Sheakh, R (On the Application Of) v London Borough of Lambeth Council [2022] EWCA Civ 457 (05 April 2022)</x:v>
      </x:c>
      <x:c r="J687" s="14" t="str">
        <x:v>England and Wales Court of Appeal (Civil Division)</x:v>
      </x:c>
      <x:c r="K687" s="14" t="n">
        <x:v>2022</x:v>
      </x:c>
      <x:c r="L687" s="15" t="n">
        <x:v>0.73234314</x:v>
      </x:c>
      <x:c r="M687" s="14" t="n">
        <x:v>1</x:v>
      </x:c>
      <x:c r="N687" s="14" t="str">
        <x:v>R. (Bailey) v Brent LBC [2011] EWCA Civ 1586</x:v>
      </x:c>
    </x:row>
    <x:row r="688">
      <x:c r="A688" s="1" t="str">
        <x:v>cmmxtwenv000304jr7vxcmpae</x:v>
      </x:c>
      <x:c r="B688" s="1" t="str">
        <x:v>cmmxhmaji000604l8iyhbwnn1</x:v>
      </x:c>
      <x:c r="C688" s="1" t="str">
        <x:v>greenfields--iow--limited-v-isle-of-wight-council---westridge-village-limited</x:v>
      </x:c>
      <x:c r="D688" s="12" t="n">
        <x:v>46100.78733847222</x:v>
      </x:c>
      <x:c r="E688" s="1" t="str">
        <x:v>yes</x:v>
      </x:c>
      <x:c r="F688" s="14" t="str">
        <x:v>cmmxtzd4o000904jrjc2hdwrx | cmomnx9nj000304jkyxxg2b0k</x:v>
      </x:c>
      <x:c r="G688" s="14" t="n">
        <x:v>7</x:v>
      </x:c>
      <x:c r="H688" s="14" t="str">
        <x:v>6cd7db33-7ee1-44c0-9219-b2cc7d57d88b</x:v>
      </x:c>
      <x:c r="I688" s="14" t="str">
        <x:v>Smith v Secretary of State for Levelling Up, Housing &amp; Communities &amp; Anor [2022] EWCA Civ 1391</x:v>
      </x:c>
      <x:c r="J688" s="14" t="str">
        <x:v>England and Wales Court of Appeal (Civil Division)</x:v>
      </x:c>
      <x:c r="K688" s="14" t="n">
        <x:v>2022</x:v>
      </x:c>
      <x:c r="L688" s="15" t="n">
        <x:v>0.73126924</x:v>
      </x:c>
      <x:c r="M688" s="14" t="n">
        <x:v>1</x:v>
      </x:c>
      <x:c r="N688" s="14" t="str">
        <x:v>[2021] EWHC 1650 (Admin)</x:v>
      </x:c>
    </x:row>
    <x:row r="689">
      <x:c r="A689" s="1" t="str">
        <x:v>cmmxtwenv000304jr7vxcmpae</x:v>
      </x:c>
      <x:c r="B689" s="1" t="str">
        <x:v>cmmxhmaji000604l8iyhbwnn1</x:v>
      </x:c>
      <x:c r="C689" s="1" t="str">
        <x:v>greenfields--iow--limited-v-isle-of-wight-council---westridge-village-limited</x:v>
      </x:c>
      <x:c r="D689" s="12" t="n">
        <x:v>46100.78733847222</x:v>
      </x:c>
      <x:c r="E689" s="1" t="str">
        <x:v>yes</x:v>
      </x:c>
      <x:c r="F689" s="14" t="str">
        <x:v>cmmxtzd4o000904jrjc2hdwrx | cmomnx9nj000304jkyxxg2b0k</x:v>
      </x:c>
      <x:c r="G689" s="14" t="n">
        <x:v>8</x:v>
      </x:c>
      <x:c r="H689" s="14" t="str">
        <x:v>7f44d9a8-2459-4f6a-84fc-e475bb8f169a</x:v>
      </x:c>
      <x:c r="I689" s="14" t="str">
        <x:v>Secretary of State for Levelling Up, Housing and Communities v Smith &amp; Anor [2023] EWCA Civ 514</x:v>
      </x:c>
      <x:c r="J689" s="14" t="str">
        <x:v>England and Wales Court of Appeal (Civil Division)</x:v>
      </x:c>
      <x:c r="K689" s="14" t="n">
        <x:v>2023</x:v>
      </x:c>
      <x:c r="L689" s="15" t="n">
        <x:v>0.73015463</x:v>
      </x:c>
      <x:c r="M689" s="14" t="n">
        <x:v>5</x:v>
      </x:c>
      <x:c r="N689" s="14" t="str">
        <x:v>[2022] EWHC 3209 (Admin) | Harris | Harris (planning fairness)</x:v>
      </x:c>
    </x:row>
    <x:row r="690">
      <x:c r="A690" s="1" t="str">
        <x:v>cmmxtwenv000304jr7vxcmpae</x:v>
      </x:c>
      <x:c r="B690" s="1" t="str">
        <x:v>cmmxhmaji000604l8iyhbwnn1</x:v>
      </x:c>
      <x:c r="C690" s="1" t="str">
        <x:v>greenfields--iow--limited-v-isle-of-wight-council---westridge-village-limited</x:v>
      </x:c>
      <x:c r="D690" s="12" t="n">
        <x:v>46100.78733847222</x:v>
      </x:c>
      <x:c r="E690" s="1" t="str">
        <x:v>yes</x:v>
      </x:c>
      <x:c r="F690" s="14" t="str">
        <x:v>cmmxtzd4o000904jrjc2hdwrx | cmomnx9nj000304jkyxxg2b0k</x:v>
      </x:c>
      <x:c r="G690" s="14" t="n">
        <x:v>9</x:v>
      </x:c>
      <x:c r="H690" s="14" t="str">
        <x:v>76cd3a35-03e9-4300-b6c9-27ac34a88301</x:v>
      </x:c>
      <x:c r="I690" s="14" t="str">
        <x:v>Ashburton Trading Ltd v Secretary of State for Communities And Local Government &amp; Anor [2014] EWCA Civ 378</x:v>
      </x:c>
      <x:c r="J690" s="14" t="str">
        <x:v>England and Wales Court of Appeal (Civil Division)</x:v>
      </x:c>
      <x:c r="K690" s="14" t="n">
        <x:v>2014</x:v>
      </x:c>
      <x:c r="L690" s="15" t="n">
        <x:v>0.730004</x:v>
      </x:c>
      <x:c r="M690" s="14" t="n">
        <x:v>1</x:v>
      </x:c>
      <x:c r="N690" s="14" t="str"/>
    </x:row>
    <x:row r="691">
      <x:c r="A691" s="1" t="str">
        <x:v>cmmxtwenv000304jr7vxcmpae</x:v>
      </x:c>
      <x:c r="B691" s="1" t="str">
        <x:v>cmmxhmaji000604l8iyhbwnn1</x:v>
      </x:c>
      <x:c r="C691" s="1" t="str">
        <x:v>greenfields--iow--limited-v-isle-of-wight-council---westridge-village-limited</x:v>
      </x:c>
      <x:c r="D691" s="12" t="n">
        <x:v>46100.78733847222</x:v>
      </x:c>
      <x:c r="E691" s="1" t="str">
        <x:v>yes</x:v>
      </x:c>
      <x:c r="F691" s="14" t="str">
        <x:v>cmmxtzd4o000904jrjc2hdwrx | cmomnx9nj000304jkyxxg2b0k</x:v>
      </x:c>
      <x:c r="G691" s="14" t="n">
        <x:v>10</x:v>
      </x:c>
      <x:c r="H691" s="14" t="str">
        <x:v>3bdf2d7a-d886-4bb3-ba30-9c4b472a4f7c</x:v>
      </x:c>
      <x:c r="I691" s="14" t="str">
        <x:v>Gardiner v Hertsmere Borough Council &amp; Anor [2022] EWCA Civ 1162</x:v>
      </x:c>
      <x:c r="J691" s="14" t="str">
        <x:v>England and Wales Court of Appeal (Civil Division)</x:v>
      </x:c>
      <x:c r="K691" s="14" t="n">
        <x:v>2022</x:v>
      </x:c>
      <x:c r="L691" s="15" t="n">
        <x:v>0.7292241</x:v>
      </x:c>
      <x:c r="M691" s="14" t="n">
        <x:v>1</x:v>
      </x:c>
      <x:c r="N691" s="14" t="str">
        <x:v>Gardiner v Hertsmere Borough Council &amp; Anor [2022] EWCA Civ 1162</x:v>
      </x:c>
    </x:row>
    <x:row r="692">
      <x:c r="A692" s="1" t="str">
        <x:v>cmmxtwenv000304jr7vxcmpae</x:v>
      </x:c>
      <x:c r="B692" s="1" t="str">
        <x:v>cmmxhmaji000604l8iyhbwnn1</x:v>
      </x:c>
      <x:c r="C692" s="1" t="str">
        <x:v>greenfields--iow--limited-v-isle-of-wight-council---westridge-village-limited</x:v>
      </x:c>
      <x:c r="D692" s="12" t="n">
        <x:v>46100.78733847222</x:v>
      </x:c>
      <x:c r="E692" s="1" t="str">
        <x:v>yes</x:v>
      </x:c>
      <x:c r="F692" s="14" t="str">
        <x:v>cmmxtzd4o000904jrjc2hdwrx | cmomnx9nj000304jkyxxg2b0k</x:v>
      </x:c>
      <x:c r="G692" s="14" t="n">
        <x:v>11</x:v>
      </x:c>
      <x:c r="H692" s="14" t="str">
        <x:v>8d10f639-afdd-4cee-893d-c3b4fbaefe7b</x:v>
      </x:c>
      <x:c r="I692" s="14" t="str">
        <x:v>Tesco Stores Ltd v Forest of Dean District Council [2015] EWCA Civ 800</x:v>
      </x:c>
      <x:c r="J692" s="14" t="str">
        <x:v>England and Wales Court of Appeal (Civil Division)</x:v>
      </x:c>
      <x:c r="K692" s="14" t="n">
        <x:v>2015</x:v>
      </x:c>
      <x:c r="L692" s="15" t="n">
        <x:v>0.7279614</x:v>
      </x:c>
      <x:c r="M692" s="14" t="n">
        <x:v>2</x:v>
      </x:c>
      <x:c r="N692" s="14" t="str">
        <x:v>R (Mid Counties Co-operative Ltd) v Forest of Dean District Council [2015] EWHC 1251 (Admin)</x:v>
      </x:c>
    </x:row>
    <x:row r="693">
      <x:c r="A693" s="1" t="str">
        <x:v>cmmxtwenv000304jr7vxcmpae</x:v>
      </x:c>
      <x:c r="B693" s="1" t="str">
        <x:v>cmmxhmaji000604l8iyhbwnn1</x:v>
      </x:c>
      <x:c r="C693" s="1" t="str">
        <x:v>greenfields--iow--limited-v-isle-of-wight-council---westridge-village-limited</x:v>
      </x:c>
      <x:c r="D693" s="12" t="n">
        <x:v>46100.78733847222</x:v>
      </x:c>
      <x:c r="E693" s="1" t="str">
        <x:v>yes</x:v>
      </x:c>
      <x:c r="F693" s="14" t="str">
        <x:v>cmmxtzd4o000904jrjc2hdwrx | cmomnx9nj000304jkyxxg2b0k</x:v>
      </x:c>
      <x:c r="G693" s="14" t="n">
        <x:v>12</x:v>
      </x:c>
      <x:c r="H693" s="14" t="str">
        <x:v>1d957476-2c0d-4578-8a43-679ec600e382</x:v>
      </x:c>
      <x:c r="I693" s="14" t="str">
        <x:v>Wyatt v Fareham Borough Council (Rev1) [2022] EWCA Civ 983</x:v>
      </x:c>
      <x:c r="J693" s="14" t="str">
        <x:v>England and Wales Court of Appeal (Civil Division)</x:v>
      </x:c>
      <x:c r="K693" s="14" t="n">
        <x:v>2022</x:v>
      </x:c>
      <x:c r="L693" s="15" t="n">
        <x:v>0.725817</x:v>
      </x:c>
      <x:c r="M693" s="14" t="n">
        <x:v>1</x:v>
      </x:c>
      <x:c r="N693" s="14" t="str"/>
    </x:row>
    <x:row r="694">
      <x:c r="A694" s="1" t="str">
        <x:v>cmmxtwenv000304jr7vxcmpae</x:v>
      </x:c>
      <x:c r="B694" s="1" t="str">
        <x:v>cmmxhmaji000604l8iyhbwnn1</x:v>
      </x:c>
      <x:c r="C694" s="1" t="str">
        <x:v>greenfields--iow--limited-v-isle-of-wight-council---westridge-village-limited</x:v>
      </x:c>
      <x:c r="D694" s="12" t="n">
        <x:v>46100.78733847222</x:v>
      </x:c>
      <x:c r="E694" s="1" t="str">
        <x:v>yes</x:v>
      </x:c>
      <x:c r="F694" s="14" t="str">
        <x:v>cmmxtzd4o000904jrjc2hdwrx | cmomnx9nj000304jkyxxg2b0k</x:v>
      </x:c>
      <x:c r="G694" s="14" t="n">
        <x:v>13</x:v>
      </x:c>
      <x:c r="H694" s="14" t="str">
        <x:v>3fae9752-b3e5-4a98-a0e5-5ade79ee3e8d</x:v>
      </x:c>
      <x:c r="I694" s="14" t="str">
        <x:v>East Quayside 12 LLP v The Council of the City of Newcastle upon Tyne [2023] EWCA Civ 359</x:v>
      </x:c>
      <x:c r="J694" s="14" t="str">
        <x:v>England and Wales Court of Appeal (Civil Division)</x:v>
      </x:c>
      <x:c r="K694" s="14" t="n">
        <x:v>2023</x:v>
      </x:c>
      <x:c r="L694" s="15" t="n">
        <x:v>0.7257341</x:v>
      </x:c>
      <x:c r="M694" s="14" t="n">
        <x:v>1</x:v>
      </x:c>
      <x:c r="N694" s="14" t="str"/>
    </x:row>
    <x:row r="695">
      <x:c r="A695" s="1" t="str">
        <x:v>cmmxtwenv000304jr7vxcmpae</x:v>
      </x:c>
      <x:c r="B695" s="1" t="str">
        <x:v>cmmxhmaji000604l8iyhbwnn1</x:v>
      </x:c>
      <x:c r="C695" s="1" t="str">
        <x:v>greenfields--iow--limited-v-isle-of-wight-council---westridge-village-limited</x:v>
      </x:c>
      <x:c r="D695" s="12" t="n">
        <x:v>46100.78733847222</x:v>
      </x:c>
      <x:c r="E695" s="1" t="str">
        <x:v>yes</x:v>
      </x:c>
      <x:c r="F695" s="14" t="str">
        <x:v>cmmxtzd4o000904jrjc2hdwrx | cmomnx9nj000304jkyxxg2b0k</x:v>
      </x:c>
      <x:c r="G695" s="14" t="n">
        <x:v>14</x:v>
      </x:c>
      <x:c r="H695" s="14" t="str">
        <x:v>9034c8de-ac8c-45a1-9a63-569c390554ca</x:v>
      </x:c>
      <x:c r="I695" s="14" t="str">
        <x:v>Thurston Parish Council, R (On the Application Of) v Mid Suffolk District Council &amp; Anor [2022] EWCA Civ 1417</x:v>
      </x:c>
      <x:c r="J695" s="14" t="str">
        <x:v>England and Wales Court of Appeal (Civil Division)</x:v>
      </x:c>
      <x:c r="K695" s="14" t="n">
        <x:v>2022</x:v>
      </x:c>
      <x:c r="L695" s="15" t="n">
        <x:v>0.7232686</x:v>
      </x:c>
      <x:c r="M695" s="14" t="n">
        <x:v>2</x:v>
      </x:c>
      <x:c r="N695" s="14" t="str">
        <x:v>EWHC 352 Admin | EWCA Civ 1417 | Canterbury 2019 | Mansell 2019 | Fabre 2017 | Palmer 2017 | Hopkins 2017 | Chichester 2019</x:v>
      </x:c>
    </x:row>
    <x:row r="696">
      <x:c r="A696" s="1" t="str">
        <x:v>cmmxtwenv000304jr7vxcmpae</x:v>
      </x:c>
      <x:c r="B696" s="1" t="str">
        <x:v>cmmxhmaji000604l8iyhbwnn1</x:v>
      </x:c>
      <x:c r="C696" s="1" t="str">
        <x:v>greenfields--iow--limited-v-isle-of-wight-council---westridge-village-limited</x:v>
      </x:c>
      <x:c r="D696" s="12" t="n">
        <x:v>46100.78733847222</x:v>
      </x:c>
      <x:c r="E696" s="1" t="str">
        <x:v>yes</x:v>
      </x:c>
      <x:c r="F696" s="14" t="str">
        <x:v>cmmxtzd4o000904jrjc2hdwrx | cmomnx9nj000304jkyxxg2b0k</x:v>
      </x:c>
      <x:c r="G696" s="14" t="n">
        <x:v>15</x:v>
      </x:c>
      <x:c r="H696" s="14" t="str">
        <x:v>90743ee0-c75d-4140-93eb-89a3938f7523</x:v>
      </x:c>
      <x:c r="I696" s="14" t="str">
        <x:v>Devine v Secretary of State for Levelling Up, Housing and Communities [2023] EWCA Civ 601</x:v>
      </x:c>
      <x:c r="J696" s="14" t="str">
        <x:v>England and Wales Court of Appeal (Civil Division)</x:v>
      </x:c>
      <x:c r="K696" s="14" t="n">
        <x:v>2023</x:v>
      </x:c>
      <x:c r="L696" s="15" t="n">
        <x:v>0.72209775</x:v>
      </x:c>
      <x:c r="M696" s="14" t="n">
        <x:v>1</x:v>
      </x:c>
      <x:c r="N696" s="14" t="str">
        <x:v>[2022] EWHC 2031 (Admin)</x:v>
      </x:c>
    </x:row>
    <x:row r="697">
      <x:c r="A697" s="1" t="str">
        <x:v>cmmxtwenv000304jr7vxcmpae</x:v>
      </x:c>
      <x:c r="B697" s="1" t="str">
        <x:v>cmmxhmaji000604l8iyhbwnn1</x:v>
      </x:c>
      <x:c r="C697" s="1" t="str">
        <x:v>greenfields--iow--limited-v-isle-of-wight-council---westridge-village-limited</x:v>
      </x:c>
      <x:c r="D697" s="12" t="n">
        <x:v>46100.78733847222</x:v>
      </x:c>
      <x:c r="E697" s="1" t="str">
        <x:v>yes</x:v>
      </x:c>
      <x:c r="F697" s="14" t="str">
        <x:v>cmmxtzd4o000904jrjc2hdwrx | cmomnx9nj000304jkyxxg2b0k</x:v>
      </x:c>
      <x:c r="G697" s="14" t="n">
        <x:v>16</x:v>
      </x:c>
      <x:c r="H697" s="14" t="str">
        <x:v>1f4a0cfb-5359-49da-93e8-89cbb817ebca</x:v>
      </x:c>
      <x:c r="I697" s="14" t="str">
        <x:v>Whitley Parish Council, R (On the Application Of) v North Yorkshire County Council &amp; Anor [2023] EWCA Civ 92</x:v>
      </x:c>
      <x:c r="J697" s="14" t="str">
        <x:v>England and Wales Court of Appeal (Civil Division)</x:v>
      </x:c>
      <x:c r="K697" s="14" t="n">
        <x:v>2023</x:v>
      </x:c>
      <x:c r="L697" s="15" t="n">
        <x:v>0.71955574</x:v>
      </x:c>
      <x:c r="M697" s="14" t="n">
        <x:v>1</x:v>
      </x:c>
      <x:c r="N697" s="14" t="str"/>
    </x:row>
    <x:row r="698">
      <x:c r="A698" s="1" t="str">
        <x:v>cmmxtwenv000304jr7vxcmpae</x:v>
      </x:c>
      <x:c r="B698" s="1" t="str">
        <x:v>cmmxhmaji000604l8iyhbwnn1</x:v>
      </x:c>
      <x:c r="C698" s="1" t="str">
        <x:v>greenfields--iow--limited-v-isle-of-wight-council---westridge-village-limited</x:v>
      </x:c>
      <x:c r="D698" s="12" t="n">
        <x:v>46100.78733847222</x:v>
      </x:c>
      <x:c r="E698" s="1" t="str">
        <x:v>yes</x:v>
      </x:c>
      <x:c r="F698" s="14" t="str">
        <x:v>cmmxtzd4o000904jrjc2hdwrx | cmomnx9nj000304jkyxxg2b0k</x:v>
      </x:c>
      <x:c r="G698" s="14" t="n">
        <x:v>17</x:v>
      </x:c>
      <x:c r="H698" s="14" t="str">
        <x:v>3ff34419-ffbc-40f9-a087-a1cb1371d0e1</x:v>
      </x:c>
      <x:c r="I698" s="14" t="str">
        <x:v>Vicente &amp; Anor v Secretary of State for Communities and Local Government &amp; Anor [2014] EWCA Civ 1555</x:v>
      </x:c>
      <x:c r="J698" s="14" t="str">
        <x:v>England and Wales Court of Appeal (Civil Division)</x:v>
      </x:c>
      <x:c r="K698" s="14" t="n">
        <x:v>2014</x:v>
      </x:c>
      <x:c r="L698" s="15" t="n">
        <x:v>0.7194757</x:v>
      </x:c>
      <x:c r="M698" s="14" t="n">
        <x:v>3</x:v>
      </x:c>
      <x:c r="N698" s="14" t="str">
        <x:v>R(Gul) v. Secretary of State for Justice | Hopkins Developments v. Secretary of State</x:v>
      </x:c>
    </x:row>
    <x:row r="699">
      <x:c r="A699" s="1" t="str">
        <x:v>cmmxtwenv000304jr7vxcmpae</x:v>
      </x:c>
      <x:c r="B699" s="1" t="str">
        <x:v>cmmxhmaji000604l8iyhbwnn1</x:v>
      </x:c>
      <x:c r="C699" s="1" t="str">
        <x:v>greenfields--iow--limited-v-isle-of-wight-council---westridge-village-limited</x:v>
      </x:c>
      <x:c r="D699" s="12" t="n">
        <x:v>46100.78733847222</x:v>
      </x:c>
      <x:c r="E699" s="1" t="str">
        <x:v>yes</x:v>
      </x:c>
      <x:c r="F699" s="14" t="str">
        <x:v>cmmxtzd4o000904jrjc2hdwrx | cmomnx9nj000304jkyxxg2b0k</x:v>
      </x:c>
      <x:c r="G699" s="14" t="n">
        <x:v>18</x:v>
      </x:c>
      <x:c r="H699" s="14" t="str">
        <x:v>aa66d157-e659-4b1f-9c8a-39b98d92a107</x:v>
      </x:c>
      <x:c r="I699" s="14" t="str">
        <x:v>CAB Housing Limited v Secretary of State for Levelling Up, Housing and Communities &amp; Anor [2023] EWCA Civ 194</x:v>
      </x:c>
      <x:c r="J699" s="14" t="str">
        <x:v>England and Wales Court of Appeal (Civil Division)</x:v>
      </x:c>
      <x:c r="K699" s="14" t="n">
        <x:v>2023</x:v>
      </x:c>
      <x:c r="L699" s="15" t="n">
        <x:v>0.71896267</x:v>
      </x:c>
      <x:c r="M699" s="14" t="n">
        <x:v>1</x:v>
      </x:c>
      <x:c r="N699" s="14" t="str">
        <x:v>[2022] EWHC 208 Admin</x:v>
      </x:c>
    </x:row>
    <x:row r="700">
      <x:c r="A700" s="1" t="str">
        <x:v>cmmxtwenv000304jr7vxcmpae</x:v>
      </x:c>
      <x:c r="B700" s="1" t="str">
        <x:v>cmmxhmaji000604l8iyhbwnn1</x:v>
      </x:c>
      <x:c r="C700" s="1" t="str">
        <x:v>greenfields--iow--limited-v-isle-of-wight-council---westridge-village-limited</x:v>
      </x:c>
      <x:c r="D700" s="12" t="n">
        <x:v>46100.78733847222</x:v>
      </x:c>
      <x:c r="E700" s="1" t="str">
        <x:v>yes</x:v>
      </x:c>
      <x:c r="F700" s="14" t="str">
        <x:v>cmmxtzd4o000904jrjc2hdwrx | cmomnx9nj000304jkyxxg2b0k</x:v>
      </x:c>
      <x:c r="G700" s="14" t="n">
        <x:v>19</x:v>
      </x:c>
      <x:c r="H700" s="14" t="str">
        <x:v>0642e885-86b3-4c0b-84a2-2005424f4309</x:v>
      </x:c>
      <x:c r="I700" s="14" t="str">
        <x:v>Sahota, R (On the Application Of) v Herefordshire Council [2022] EWCA Civ 1640</x:v>
      </x:c>
      <x:c r="J700" s="14" t="str">
        <x:v>England and Wales Court of Appeal (Civil Division)</x:v>
      </x:c>
      <x:c r="K700" s="14" t="n">
        <x:v>2022</x:v>
      </x:c>
      <x:c r="L700" s="15" t="n">
        <x:v>0.7169733</x:v>
      </x:c>
      <x:c r="M700" s="14" t="n">
        <x:v>1</x:v>
      </x:c>
      <x:c r="N700" s="14" t="str">
        <x:v>Stuart-Smith LJ | Court of Appeal procedures</x:v>
      </x:c>
    </x:row>
    <x:row r="701">
      <x:c r="A701" s="1" t="str">
        <x:v>cmmxtwenv000304jr7vxcmpae</x:v>
      </x:c>
      <x:c r="B701" s="1" t="str">
        <x:v>cmmxhmaji000604l8iyhbwnn1</x:v>
      </x:c>
      <x:c r="C701" s="1" t="str">
        <x:v>greenfields--iow--limited-v-isle-of-wight-council---westridge-village-limited</x:v>
      </x:c>
      <x:c r="D701" s="12" t="n">
        <x:v>46100.78733847222</x:v>
      </x:c>
      <x:c r="E701" s="1" t="str">
        <x:v>yes</x:v>
      </x:c>
      <x:c r="F701" s="14" t="str">
        <x:v>cmmxtzd4o000904jrjc2hdwrx | cmomnx9nj000304jkyxxg2b0k</x:v>
      </x:c>
      <x:c r="G701" s="14" t="n">
        <x:v>20</x:v>
      </x:c>
      <x:c r="H701" s="14" t="str">
        <x:v>c370bf30-4fed-4187-beea-6476e69f964f</x:v>
      </x:c>
      <x:c r="I701" s="14" t="str">
        <x:v>Braithwaite and Melton Meadows Properties Ltd, R (On the Application Of) v East Suffolk Council [2022] EWCA Civ 1716</x:v>
      </x:c>
      <x:c r="J701" s="14" t="str">
        <x:v>England and Wales Court of Appeal (Civil Division)</x:v>
      </x:c>
      <x:c r="K701" s="14" t="n">
        <x:v>2022</x:v>
      </x:c>
      <x:c r="L701" s="15" t="n">
        <x:v>0.7150048</x:v>
      </x:c>
      <x:c r="M701" s="14" t="n">
        <x:v>1</x:v>
      </x:c>
      <x:c r="N701" s="14" t="str"/>
    </x:row>
    <x:row r="702">
      <x:c r="A702" s="1" t="str">
        <x:v>cms1pq4rm000d04js91x46eaf</x:v>
      </x:c>
      <x:c r="B702" s="1" t="str">
        <x:v>cms1pp04x000404jswgoarvrt</x:v>
      </x:c>
      <x:c r="C702" s="1" t="str">
        <x:v>ca-2024-001541-the-king-on-the-application-of-respondent-skeleton</x:v>
      </x:c>
      <x:c r="D702" s="12" t="n">
        <x:v>46229.476750277776</x:v>
      </x:c>
      <x:c r="E702" s="1" t="str">
        <x:v>yes</x:v>
      </x:c>
      <x:c r="F702" s="14" t="str">
        <x:v>cms1ps00j000j04jsbxrn9wrj</x:v>
      </x:c>
      <x:c r="G702" s="14" t="n">
        <x:v>1</x:v>
      </x:c>
      <x:c r="H702" s="14" t="str">
        <x:v>f5a5b44e-fcf0-40c0-9bf9-69f026b1b438</x:v>
      </x:c>
      <x:c r="I702" s="14" t="str">
        <x:v>London Borough of Enfield, R (on the application of) v Secretary of State for Transport &amp; Ors [2016] EWCA Civ 480</x:v>
      </x:c>
      <x:c r="J702" s="14" t="str">
        <x:v>England and Wales Court of Appeal (Civil Division)</x:v>
      </x:c>
      <x:c r="K702" s="14" t="n">
        <x:v>2016</x:v>
      </x:c>
      <x:c r="L702" s="15" t="n">
        <x:v>0.65307784</x:v>
      </x:c>
      <x:c r="M702" s="14" t="n">
        <x:v>2</x:v>
      </x:c>
      <x:c r="N702" s="14" t="str">
        <x:v>R v Devon County Council, ex p Baker [1995] 1 All ER 73 | R v North and East Devon Health Authority ex p Coughlan [2001] QB 213 | Paponette v A-G of Trinidad and Tobago [2010] UKPC 32 | R v Education Sec., ex p Begbie [2000] 1 WLR 1115 | R v USA Tobacco Ltd, ex p [1992] QB 353 | Railways Act 1993 | Public Services (Social Value) Act 2012 | WebTag A5-3 'Rail appraisal'</x:v>
      </x:c>
    </x:row>
    <x:row r="703">
      <x:c r="A703" s="1" t="str">
        <x:v>cms1pq4rm000d04js91x46eaf</x:v>
      </x:c>
      <x:c r="B703" s="1" t="str">
        <x:v>cms1pp04x000404jswgoarvrt</x:v>
      </x:c>
      <x:c r="C703" s="1" t="str">
        <x:v>ca-2024-001541-the-king-on-the-application-of-respondent-skeleton</x:v>
      </x:c>
      <x:c r="D703" s="12" t="n">
        <x:v>46229.476750277776</x:v>
      </x:c>
      <x:c r="E703" s="1" t="str">
        <x:v>yes</x:v>
      </x:c>
      <x:c r="F703" s="14" t="str">
        <x:v>cms1ps00j000j04jsbxrn9wrj</x:v>
      </x:c>
      <x:c r="G703" s="14" t="n">
        <x:v>2</x:v>
      </x:c>
      <x:c r="H703" s="14" t="str">
        <x:v>ed07cee8-284a-4c88-9681-37d30f80d1a1</x:v>
      </x:c>
      <x:c r="I703" s="14" t="str">
        <x:v>National AIDS Trust v National Health Service Commissioning Board (NHS England) &amp; Ors (EWCA Civ 1100) – PrEP and NHS England power to commission preventive HIV treatment</x:v>
      </x:c>
      <x:c r="J703" s="14" t="str">
        <x:v>England and Wales Court of Appeal (Civil Division)</x:v>
      </x:c>
      <x:c r="K703" s="14" t="n">
        <x:v>2016</x:v>
      </x:c>
      <x:c r="L703" s="15" t="n">
        <x:v>0.6524644</x:v>
      </x:c>
      <x:c r="M703" s="14" t="n">
        <x:v>1</x:v>
      </x:c>
      <x:c r="N703" s="14" t="str">
        <x:v>Hanlon v Law Society [1981] A.C. 124</x:v>
      </x:c>
    </x:row>
    <x:row r="704">
      <x:c r="A704" s="1" t="str">
        <x:v>cms1pq4rm000d04js91x46eaf</x:v>
      </x:c>
      <x:c r="B704" s="1" t="str">
        <x:v>cms1pp04x000404jswgoarvrt</x:v>
      </x:c>
      <x:c r="C704" s="1" t="str">
        <x:v>ca-2024-001541-the-king-on-the-application-of-respondent-skeleton</x:v>
      </x:c>
      <x:c r="D704" s="12" t="n">
        <x:v>46229.476750277776</x:v>
      </x:c>
      <x:c r="E704" s="1" t="str">
        <x:v>yes</x:v>
      </x:c>
      <x:c r="F704" s="14" t="str">
        <x:v>cms1ps00j000j04jsbxrn9wrj</x:v>
      </x:c>
      <x:c r="G704" s="14" t="n">
        <x:v>3</x:v>
      </x:c>
      <x:c r="H704" s="14" t="str">
        <x:v>d60a5323-796e-4110-a6de-012ec16860c1</x:v>
      </x:c>
      <x:c r="I704" s="14" t="str">
        <x:v>The Howard League for Penal Reform and Prisoners' Advice Service v The Lord Chancellor</x:v>
      </x:c>
      <x:c r="J704" s="14" t="str">
        <x:v>England and Wales Court of Appeal (Civil Division)</x:v>
      </x:c>
      <x:c r="K704" s="14" t="n">
        <x:v>2015</x:v>
      </x:c>
      <x:c r="L704" s="15" t="n">
        <x:v>0.6420142</x:v>
      </x:c>
      <x:c r="M704" s="14" t="n">
        <x:v>1</x:v>
      </x:c>
      <x:c r="N704" s="14" t="str">
        <x:v>R (Smith) v East Kent Hospital NHS Trust</x:v>
      </x:c>
    </x:row>
    <x:row r="705">
      <x:c r="A705" s="1" t="str">
        <x:v>cms1pq4rm000d04js91x46eaf</x:v>
      </x:c>
      <x:c r="B705" s="1" t="str">
        <x:v>cms1pp04x000404jswgoarvrt</x:v>
      </x:c>
      <x:c r="C705" s="1" t="str">
        <x:v>ca-2024-001541-the-king-on-the-application-of-respondent-skeleton</x:v>
      </x:c>
      <x:c r="D705" s="12" t="n">
        <x:v>46229.476750277776</x:v>
      </x:c>
      <x:c r="E705" s="1" t="str">
        <x:v>yes</x:v>
      </x:c>
      <x:c r="F705" s="14" t="str">
        <x:v>cms1ps00j000j04jsbxrn9wrj</x:v>
      </x:c>
      <x:c r="G705" s="14" t="n">
        <x:v>4</x:v>
      </x:c>
      <x:c r="H705" s="14" t="str">
        <x:v>beff2d5f-922f-42e5-9aaa-8b70d7179f71</x:v>
      </x:c>
      <x:c r="I705" s="14" t="str">
        <x:v>Secretary of State for Communities and Local Government v West Berkshire District Council &amp; Anor [2016] EWCA Civ 441 (11 May 2016)</x:v>
      </x:c>
      <x:c r="J705" s="14" t="str">
        <x:v>England and Wales Court of Appeal (Civil Division)</x:v>
      </x:c>
      <x:c r="K705" s="14" t="n">
        <x:v>2016</x:v>
      </x:c>
      <x:c r="L705" s="15" t="n">
        <x:v>0.6359899</x:v>
      </x:c>
      <x:c r="M705" s="14" t="n">
        <x:v>1</x:v>
      </x:c>
      <x:c r="N705" s="14" t="str">
        <x:v>Cala Homes (South) Ltd v Secretary of State for Communities and Local Government [2011] EWCA Civ 639 | Alconbury Developments Ltd v Secretary of State [2003] 2 AC 295 | City of Edinburgh Council v Secretary of State [1977] 1 WLR 1477</x:v>
      </x:c>
    </x:row>
    <x:row r="706">
      <x:c r="A706" s="1" t="str">
        <x:v>cms1pq4rm000d04js91x46eaf</x:v>
      </x:c>
      <x:c r="B706" s="1" t="str">
        <x:v>cms1pp04x000404jswgoarvrt</x:v>
      </x:c>
      <x:c r="C706" s="1" t="str">
        <x:v>ca-2024-001541-the-king-on-the-application-of-respondent-skeleton</x:v>
      </x:c>
      <x:c r="D706" s="12" t="n">
        <x:v>46229.476750277776</x:v>
      </x:c>
      <x:c r="E706" s="1" t="str">
        <x:v>yes</x:v>
      </x:c>
      <x:c r="F706" s="14" t="str">
        <x:v>cms1ps00j000j04jsbxrn9wrj</x:v>
      </x:c>
      <x:c r="G706" s="14" t="n">
        <x:v>5</x:v>
      </x:c>
      <x:c r="H706" s="14" t="str">
        <x:v>f157dc58-8d24-4561-9b20-3df67da80a73</x:v>
      </x:c>
      <x:c r="I706" s="14" t="str">
        <x:v>The Good Law Project, R (On the Application Of) v Minister for the Cabinet Office [2022] EWCA Civ 21</x:v>
      </x:c>
      <x:c r="J706" s="14" t="str">
        <x:v>England and Wales Court of Appeal (Civil Division)</x:v>
      </x:c>
      <x:c r="K706" s="14" t="n">
        <x:v>2022</x:v>
      </x:c>
      <x:c r="L706" s="15" t="n">
        <x:v>0.63378596</x:v>
      </x:c>
      <x:c r="M706" s="14" t="n">
        <x:v>1</x:v>
      </x:c>
      <x:c r="N706" s="14" t="str">
        <x:v>R v Rand (1866) | Porter v. Magill | R (ex p Kirkstall Valley Campaign Ltd) | Locabail (UK) Ltd v Bayfield Properties Ltd | R v Bow Street Magistrate ex p Pinochet Ugarte No.2 | R v Secretary of the Home Department ex parte Fayed | Helow v. Secretary of State for the Home Department | Almazeedi v. Penner and others | Gillies v. Secretary of State for Work and Pensions | R (Lewis) v. Redcar &amp; Cleveland Borough Council | R (Royal Brompton and Harefield NHS Foundation Trust) v Joint Committee of Primary Care Trusts</x:v>
      </x:c>
    </x:row>
    <x:row r="707">
      <x:c r="A707" s="1" t="str">
        <x:v>cms1pq4rm000d04js91x46eaf</x:v>
      </x:c>
      <x:c r="B707" s="1" t="str">
        <x:v>cms1pp04x000404jswgoarvrt</x:v>
      </x:c>
      <x:c r="C707" s="1" t="str">
        <x:v>ca-2024-001541-the-king-on-the-application-of-respondent-skeleton</x:v>
      </x:c>
      <x:c r="D707" s="12" t="n">
        <x:v>46229.476750277776</x:v>
      </x:c>
      <x:c r="E707" s="1" t="str">
        <x:v>yes</x:v>
      </x:c>
      <x:c r="F707" s="14" t="str">
        <x:v>cms1ps00j000j04jsbxrn9wrj</x:v>
      </x:c>
      <x:c r="G707" s="14" t="n">
        <x:v>6</x:v>
      </x:c>
      <x:c r="H707" s="14" t="str">
        <x:v>9a3c763e-b455-414d-b2b1-1140496a3cc4</x:v>
      </x:c>
      <x:c r="I707" s="14" t="str">
        <x:v>Kent County Council v The Secretary of State for Health</x:v>
      </x:c>
      <x:c r="J707" s="14" t="str">
        <x:v>England and Wales Court of Appeal (Civil Division)</x:v>
      </x:c>
      <x:c r="K707" s="14" t="n">
        <x:v>2015</x:v>
      </x:c>
      <x:c r="L707" s="15" t="n">
        <x:v>0.63057667</x:v>
      </x:c>
      <x:c r="M707" s="14" t="n">
        <x:v>1</x:v>
      </x:c>
      <x:c r="N707" s="14" t="str"/>
    </x:row>
    <x:row r="708">
      <x:c r="A708" s="1" t="str">
        <x:v>cms1pq4rm000d04js91x46eaf</x:v>
      </x:c>
      <x:c r="B708" s="1" t="str">
        <x:v>cms1pp04x000404jswgoarvrt</x:v>
      </x:c>
      <x:c r="C708" s="1" t="str">
        <x:v>ca-2024-001541-the-king-on-the-application-of-respondent-skeleton</x:v>
      </x:c>
      <x:c r="D708" s="12" t="n">
        <x:v>46229.476750277776</x:v>
      </x:c>
      <x:c r="E708" s="1" t="str">
        <x:v>yes</x:v>
      </x:c>
      <x:c r="F708" s="14" t="str">
        <x:v>cms1ps00j000j04jsbxrn9wrj</x:v>
      </x:c>
      <x:c r="G708" s="14" t="n">
        <x:v>7</x:v>
      </x:c>
      <x:c r="H708" s="14" t="str">
        <x:v>3fae9752-b3e5-4a98-a0e5-5ade79ee3e8d</x:v>
      </x:c>
      <x:c r="I708" s="14" t="str">
        <x:v>East Quayside 12 LLP v The Council of the City of Newcastle upon Tyne [2023] EWCA Civ 359</x:v>
      </x:c>
      <x:c r="J708" s="14" t="str">
        <x:v>England and Wales Court of Appeal (Civil Division)</x:v>
      </x:c>
      <x:c r="K708" s="14" t="n">
        <x:v>2023</x:v>
      </x:c>
      <x:c r="L708" s="15" t="n">
        <x:v>0.6291299</x:v>
      </x:c>
      <x:c r="M708" s="14" t="n">
        <x:v>1</x:v>
      </x:c>
      <x:c r="N708" s="14" t="str"/>
    </x:row>
    <x:row r="709">
      <x:c r="A709" s="1" t="str">
        <x:v>cms1pq4rm000d04js91x46eaf</x:v>
      </x:c>
      <x:c r="B709" s="1" t="str">
        <x:v>cms1pp04x000404jswgoarvrt</x:v>
      </x:c>
      <x:c r="C709" s="1" t="str">
        <x:v>ca-2024-001541-the-king-on-the-application-of-respondent-skeleton</x:v>
      </x:c>
      <x:c r="D709" s="12" t="n">
        <x:v>46229.476750277776</x:v>
      </x:c>
      <x:c r="E709" s="1" t="str">
        <x:v>yes</x:v>
      </x:c>
      <x:c r="F709" s="14" t="str">
        <x:v>cms1ps00j000j04jsbxrn9wrj</x:v>
      </x:c>
      <x:c r="G709" s="14" t="n">
        <x:v>8</x:v>
      </x:c>
      <x:c r="H709" s="14" t="str">
        <x:v>776a8070-aa6f-410e-b91e-2e1fcadadb9b</x:v>
      </x:c>
      <x:c r="I709" s="14" t="str">
        <x:v>Sheakh, R (On the Application Of) v London Borough of Lambeth Council [2022] EWCA Civ 457 (05 April 2022)</x:v>
      </x:c>
      <x:c r="J709" s="14" t="str">
        <x:v>England and Wales Court of Appeal (Civil Division)</x:v>
      </x:c>
      <x:c r="K709" s="14" t="n">
        <x:v>2022</x:v>
      </x:c>
      <x:c r="L709" s="15" t="n">
        <x:v>0.62731415</x:v>
      </x:c>
      <x:c r="M709" s="14" t="n">
        <x:v>3</x:v>
      </x:c>
      <x:c r="N709" s="14" t="str">
        <x:v>R. (on the application of Baker) v Secretary of State for Communities and Local Government [2008] EWCA Civ 141 | R. (Brown) v Secretary of State for Work and Pensions [2008] EWHC 3158 | R. (Bailey) v Brent LBC [2011] EWCA Civ 1586 | R. (Bracking) v Secretary of State for Work and Pensions [2013] EWCA Civ 1345 | R. (National Association of Health Stores) v Secretary of State for Health [2005] EWCA Civ 154 | R. (Kaur and Shah) v Ealing LBC [2008] EWHC 2062 (Admin) | R. (Hurley &amp; Moore) v BIS [2012] EWHC 201 (Admin) | R. (Meany) v Harlow DC [2009] EWHC 559 (Admin) | R v Secretary of State for Health (National Association of Health Stores) [2005] EWCA Civ 154</x:v>
      </x:c>
    </x:row>
    <x:row r="710">
      <x:c r="A710" s="1" t="str">
        <x:v>cms1pq4rm000d04js91x46eaf</x:v>
      </x:c>
      <x:c r="B710" s="1" t="str">
        <x:v>cms1pp04x000404jswgoarvrt</x:v>
      </x:c>
      <x:c r="C710" s="1" t="str">
        <x:v>ca-2024-001541-the-king-on-the-application-of-respondent-skeleton</x:v>
      </x:c>
      <x:c r="D710" s="12" t="n">
        <x:v>46229.476750277776</x:v>
      </x:c>
      <x:c r="E710" s="1" t="str">
        <x:v>yes</x:v>
      </x:c>
      <x:c r="F710" s="14" t="str">
        <x:v>cms1ps00j000j04jsbxrn9wrj</x:v>
      </x:c>
      <x:c r="G710" s="14" t="n">
        <x:v>9</x:v>
      </x:c>
      <x:c r="H710" s="14" t="str">
        <x:v>fc44d6e6-6cbd-49d7-b2fd-492890e5556d</x:v>
      </x:c>
      <x:c r="I710" s="14" t="str">
        <x:v>LH v Shropshire Council [2014] EWCA Civ 404</x:v>
      </x:c>
      <x:c r="J710" s="14" t="str">
        <x:v>England and Wales Court of Appeal (Civil Division)</x:v>
      </x:c>
      <x:c r="K710" s="14" t="n">
        <x:v>2014</x:v>
      </x:c>
      <x:c r="L710" s="15" t="n">
        <x:v>0.6255363</x:v>
      </x:c>
      <x:c r="M710" s="14" t="n">
        <x:v>1</x:v>
      </x:c>
      <x:c r="N710" s="14" t="str">
        <x:v>R v Devon County Council, ex parte Baker [1995] 1 All E.R. 75</x:v>
      </x:c>
    </x:row>
    <x:row r="711">
      <x:c r="A711" s="1" t="str">
        <x:v>cms1pq4rm000d04js91x46eaf</x:v>
      </x:c>
      <x:c r="B711" s="1" t="str">
        <x:v>cms1pp04x000404jswgoarvrt</x:v>
      </x:c>
      <x:c r="C711" s="1" t="str">
        <x:v>ca-2024-001541-the-king-on-the-application-of-respondent-skeleton</x:v>
      </x:c>
      <x:c r="D711" s="12" t="n">
        <x:v>46229.476750277776</x:v>
      </x:c>
      <x:c r="E711" s="1" t="str">
        <x:v>yes</x:v>
      </x:c>
      <x:c r="F711" s="14" t="str">
        <x:v>cms1ps00j000j04jsbxrn9wrj</x:v>
      </x:c>
      <x:c r="G711" s="14" t="n">
        <x:v>10</x:v>
      </x:c>
      <x:c r="H711" s="14" t="str">
        <x:v>d30faf1d-ee41-4583-9671-6efcaf57e4e7</x:v>
      </x:c>
      <x:c r="I711" s="14" t="str">
        <x:v>Davey, R (on the application of) v Oxfordshire County Council &amp; Ors [2017] EWCA Civ 1308</x:v>
      </x:c>
      <x:c r="J711" s="14" t="str">
        <x:v>England and Wales Court of Appeal (Civil Division)</x:v>
      </x:c>
      <x:c r="K711" s="14" t="n">
        <x:v>2017</x:v>
      </x:c>
      <x:c r="L711" s="15" t="n">
        <x:v>0.62494993</x:v>
      </x:c>
      <x:c r="M711" s="14" t="n">
        <x:v>1</x:v>
      </x:c>
      <x:c r="N711" s="14" t="str"/>
    </x:row>
    <x:row r="712">
      <x:c r="A712" s="1" t="str">
        <x:v>cms1pq4rm000d04js91x46eaf</x:v>
      </x:c>
      <x:c r="B712" s="1" t="str">
        <x:v>cms1pp04x000404jswgoarvrt</x:v>
      </x:c>
      <x:c r="C712" s="1" t="str">
        <x:v>ca-2024-001541-the-king-on-the-application-of-respondent-skeleton</x:v>
      </x:c>
      <x:c r="D712" s="12" t="n">
        <x:v>46229.476750277776</x:v>
      </x:c>
      <x:c r="E712" s="1" t="str">
        <x:v>yes</x:v>
      </x:c>
      <x:c r="F712" s="14" t="str">
        <x:v>cms1ps00j000j04jsbxrn9wrj</x:v>
      </x:c>
      <x:c r="G712" s="14" t="n">
        <x:v>11</x:v>
      </x:c>
      <x:c r="H712" s="14" t="str">
        <x:v>9034c8de-ac8c-45a1-9a63-569c390554ca</x:v>
      </x:c>
      <x:c r="I712" s="14" t="str">
        <x:v>Thurston Parish Council, R (On the Application Of) v Mid Suffolk District Council &amp; Anor [2022] EWCA Civ 1417</x:v>
      </x:c>
      <x:c r="J712" s="14" t="str">
        <x:v>England and Wales Court of Appeal (Civil Division)</x:v>
      </x:c>
      <x:c r="K712" s="14" t="n">
        <x:v>2022</x:v>
      </x:c>
      <x:c r="L712" s="15" t="n">
        <x:v>0.62250453</x:v>
      </x:c>
      <x:c r="M712" s="14" t="n">
        <x:v>1</x:v>
      </x:c>
      <x:c r="N712" s="14" t="str">
        <x:v>EWHC 352 Admin | EWCA Civ 1417</x:v>
      </x:c>
    </x:row>
    <x:row r="713">
      <x:c r="A713" s="1" t="str">
        <x:v>cms1pq4rm000d04js91x46eaf</x:v>
      </x:c>
      <x:c r="B713" s="1" t="str">
        <x:v>cms1pp04x000404jswgoarvrt</x:v>
      </x:c>
      <x:c r="C713" s="1" t="str">
        <x:v>ca-2024-001541-the-king-on-the-application-of-respondent-skeleton</x:v>
      </x:c>
      <x:c r="D713" s="12" t="n">
        <x:v>46229.476750277776</x:v>
      </x:c>
      <x:c r="E713" s="1" t="str">
        <x:v>yes</x:v>
      </x:c>
      <x:c r="F713" s="14" t="str">
        <x:v>cms1ps00j000j04jsbxrn9wrj</x:v>
      </x:c>
      <x:c r="G713" s="14" t="n">
        <x:v>12</x:v>
      </x:c>
      <x:c r="H713" s="14" t="str">
        <x:v>bab866ef-ca70-446c-a76d-a69bb3f7f15d</x:v>
      </x:c>
      <x:c r="I713" s="14" t="str">
        <x:v>Rotala Plc, R (On the Application Of) v Greater Manchester Combined Authority &amp; Anor [2022] EWCA Civ 1048</x:v>
      </x:c>
      <x:c r="J713" s="14" t="str">
        <x:v>England and Wales Court of Appeal (Civil Division)</x:v>
      </x:c>
      <x:c r="K713" s="14" t="n">
        <x:v>2022</x:v>
      </x:c>
      <x:c r="L713" s="15" t="n">
        <x:v>0.62182784</x:v>
      </x:c>
      <x:c r="M713" s="14" t="n">
        <x:v>2</x:v>
      </x:c>
      <x:c r="N713" s="14" t="str">
        <x:v>Transport Act 2000 | Bus Services Act 2017 | [2022] EWCA Civ 1048 | [2022] WLR(D) 333 | [2022] PTSR 1622 | EWHC 506 (Admin)</x:v>
      </x:c>
    </x:row>
    <x:row r="714">
      <x:c r="A714" s="1" t="str">
        <x:v>cms1pq4rm000d04js91x46eaf</x:v>
      </x:c>
      <x:c r="B714" s="1" t="str">
        <x:v>cms1pp04x000404jswgoarvrt</x:v>
      </x:c>
      <x:c r="C714" s="1" t="str">
        <x:v>ca-2024-001541-the-king-on-the-application-of-respondent-skeleton</x:v>
      </x:c>
      <x:c r="D714" s="12" t="n">
        <x:v>46229.476750277776</x:v>
      </x:c>
      <x:c r="E714" s="1" t="str">
        <x:v>yes</x:v>
      </x:c>
      <x:c r="F714" s="14" t="str">
        <x:v>cms1ps00j000j04jsbxrn9wrj</x:v>
      </x:c>
      <x:c r="G714" s="14" t="n">
        <x:v>13</x:v>
      </x:c>
      <x:c r="H714" s="14" t="str">
        <x:v>6cd7db33-7ee1-44c0-9219-b2cc7d57d88b</x:v>
      </x:c>
      <x:c r="I714" s="14" t="str">
        <x:v>Smith v Secretary of State for Levelling Up, Housing &amp; Communities &amp; Anor [2022] EWCA Civ 1391</x:v>
      </x:c>
      <x:c r="J714" s="14" t="str">
        <x:v>England and Wales Court of Appeal (Civil Division)</x:v>
      </x:c>
      <x:c r="K714" s="14" t="n">
        <x:v>2022</x:v>
      </x:c>
      <x:c r="L714" s="15" t="n">
        <x:v>0.62164277</x:v>
      </x:c>
      <x:c r="M714" s="14" t="n">
        <x:v>2</x:v>
      </x:c>
      <x:c r="N714" s="14" t="str">
        <x:v>Bank Mellat v HM Treasury (No 2) | Oakes | Stec v United Kingdom | Chapman v United Kingdom | R (Ward) v Hillingdon | Wrexham County Borough Council v NAC Wales | Basildon (and related) | [2021] EWHC 1650 (Admin)</x:v>
      </x:c>
    </x:row>
    <x:row r="715">
      <x:c r="A715" s="1" t="str">
        <x:v>cms1pq4rm000d04js91x46eaf</x:v>
      </x:c>
      <x:c r="B715" s="1" t="str">
        <x:v>cms1pp04x000404jswgoarvrt</x:v>
      </x:c>
      <x:c r="C715" s="1" t="str">
        <x:v>ca-2024-001541-the-king-on-the-application-of-respondent-skeleton</x:v>
      </x:c>
      <x:c r="D715" s="12" t="n">
        <x:v>46229.476750277776</x:v>
      </x:c>
      <x:c r="E715" s="1" t="str">
        <x:v>yes</x:v>
      </x:c>
      <x:c r="F715" s="14" t="str">
        <x:v>cms1ps00j000j04jsbxrn9wrj</x:v>
      </x:c>
      <x:c r="G715" s="14" t="n">
        <x:v>14</x:v>
      </x:c>
      <x:c r="H715" s="14" t="str">
        <x:v>31ec4914-0384-4442-a7c4-2067fe7c1aec</x:v>
      </x:c>
      <x:c r="I715" s="14" t="str">
        <x:v>London Borough of Southwark &amp; Anor v Transport for London</x:v>
      </x:c>
      <x:c r="J715" s="14" t="str">
        <x:v>England and Wales Court of Appeal (Civil Division)</x:v>
      </x:c>
      <x:c r="K715" s="14" t="n">
        <x:v>2017</x:v>
      </x:c>
      <x:c r="L715" s="15" t="n">
        <x:v>0.6208112</x:v>
      </x:c>
      <x:c r="M715" s="14" t="n">
        <x:v>1</x:v>
      </x:c>
      <x:c r="N715" s="14" t="str">
        <x:v>Tunbridge Wells v Baird | Baylis</x:v>
      </x:c>
    </x:row>
    <x:row r="716">
      <x:c r="A716" s="1" t="str">
        <x:v>cms1pq4rm000d04js91x46eaf</x:v>
      </x:c>
      <x:c r="B716" s="1" t="str">
        <x:v>cms1pp04x000404jswgoarvrt</x:v>
      </x:c>
      <x:c r="C716" s="1" t="str">
        <x:v>ca-2024-001541-the-king-on-the-application-of-respondent-skeleton</x:v>
      </x:c>
      <x:c r="D716" s="12" t="n">
        <x:v>46229.476750277776</x:v>
      </x:c>
      <x:c r="E716" s="1" t="str">
        <x:v>yes</x:v>
      </x:c>
      <x:c r="F716" s="14" t="str">
        <x:v>cms1ps00j000j04jsbxrn9wrj</x:v>
      </x:c>
      <x:c r="G716" s="14" t="n">
        <x:v>15</x:v>
      </x:c>
      <x:c r="H716" s="14" t="str">
        <x:v>90743ee0-c75d-4140-93eb-89a3938f7523</x:v>
      </x:c>
      <x:c r="I716" s="14" t="str">
        <x:v>Devine v Secretary of State for Levelling Up, Housing and Communities [2023] EWCA Civ 601</x:v>
      </x:c>
      <x:c r="J716" s="14" t="str">
        <x:v>England and Wales Court of Appeal (Civil Division)</x:v>
      </x:c>
      <x:c r="K716" s="14" t="n">
        <x:v>2023</x:v>
      </x:c>
      <x:c r="L716" s="15" t="n">
        <x:v>0.62038577</x:v>
      </x:c>
      <x:c r="M716" s="14" t="n">
        <x:v>1</x:v>
      </x:c>
      <x:c r="N716" s="14" t="str">
        <x:v>[2022] EWHC 2031 (Admin)</x:v>
      </x:c>
    </x:row>
    <x:row r="717">
      <x:c r="A717" s="1" t="str">
        <x:v>cms1pq4rm000d04js91x46eaf</x:v>
      </x:c>
      <x:c r="B717" s="1" t="str">
        <x:v>cms1pp04x000404jswgoarvrt</x:v>
      </x:c>
      <x:c r="C717" s="1" t="str">
        <x:v>ca-2024-001541-the-king-on-the-application-of-respondent-skeleton</x:v>
      </x:c>
      <x:c r="D717" s="12" t="n">
        <x:v>46229.476750277776</x:v>
      </x:c>
      <x:c r="E717" s="1" t="str">
        <x:v>yes</x:v>
      </x:c>
      <x:c r="F717" s="14" t="str">
        <x:v>cms1ps00j000j04jsbxrn9wrj</x:v>
      </x:c>
      <x:c r="G717" s="14" t="n">
        <x:v>16</x:v>
      </x:c>
      <x:c r="H717" s="14" t="str">
        <x:v>6d61255d-47b5-4dd9-aed3-4fb7eaed4d29</x:v>
      </x:c>
      <x:c r="I717" s="14" t="str">
        <x:v>United Company Rusal Plc, R (on the application of) v The London Metal Exchange</x:v>
      </x:c>
      <x:c r="J717" s="14" t="str">
        <x:v>England and Wales Court of Appeal (Civil Division)</x:v>
      </x:c>
      <x:c r="K717" s="14" t="n">
        <x:v>2014</x:v>
      </x:c>
      <x:c r="L717" s="15" t="n">
        <x:v>0.6194698</x:v>
      </x:c>
      <x:c r="M717" s="14" t="n">
        <x:v>1</x:v>
      </x:c>
      <x:c r="N717" s="14" t="str">
        <x:v>R v North &amp; East Devon Health Authority Ex p. Coughlan [2001] QB 213 | R (Medway) Council v Secretary of State for Transport [2002] EWHC 2516 (Admin)</x:v>
      </x:c>
    </x:row>
    <x:row r="718">
      <x:c r="A718" s="1" t="str">
        <x:v>cms1pq4rm000d04js91x46eaf</x:v>
      </x:c>
      <x:c r="B718" s="1" t="str">
        <x:v>cms1pp04x000404jswgoarvrt</x:v>
      </x:c>
      <x:c r="C718" s="1" t="str">
        <x:v>ca-2024-001541-the-king-on-the-application-of-respondent-skeleton</x:v>
      </x:c>
      <x:c r="D718" s="12" t="n">
        <x:v>46229.476750277776</x:v>
      </x:c>
      <x:c r="E718" s="1" t="str">
        <x:v>yes</x:v>
      </x:c>
      <x:c r="F718" s="14" t="str">
        <x:v>cms1ps00j000j04jsbxrn9wrj</x:v>
      </x:c>
      <x:c r="G718" s="14" t="n">
        <x:v>17</x:v>
      </x:c>
      <x:c r="H718" s="14" t="str">
        <x:v>235388cd-5994-4cf3-b7e7-c349382ef164</x:v>
      </x:c>
      <x:c r="I718" s="14" t="str">
        <x:v>Save Britain's Heritage, R (On the Application Of) v Davies (Rev1) [2023] EWCA Civ 723</x:v>
      </x:c>
      <x:c r="J718" s="14" t="str">
        <x:v>England and Wales Court of Appeal (Civil Division)</x:v>
      </x:c>
      <x:c r="K718" s="14" t="n">
        <x:v>2023</x:v>
      </x:c>
      <x:c r="L718" s="15" t="n">
        <x:v>0.6194184</x:v>
      </x:c>
      <x:c r="M718" s="14" t="n">
        <x:v>1</x:v>
      </x:c>
      <x:c r="N718" s="14" t="str">
        <x:v>2022 EWHC 2984 (Admin)</x:v>
      </x:c>
    </x:row>
    <x:row r="719">
      <x:c r="A719" s="1" t="str">
        <x:v>cms1pq4rm000d04js91x46eaf</x:v>
      </x:c>
      <x:c r="B719" s="1" t="str">
        <x:v>cms1pp04x000404jswgoarvrt</x:v>
      </x:c>
      <x:c r="C719" s="1" t="str">
        <x:v>ca-2024-001541-the-king-on-the-application-of-respondent-skeleton</x:v>
      </x:c>
      <x:c r="D719" s="12" t="n">
        <x:v>46229.476750277776</x:v>
      </x:c>
      <x:c r="E719" s="1" t="str">
        <x:v>yes</x:v>
      </x:c>
      <x:c r="F719" s="14" t="str">
        <x:v>cms1ps00j000j04jsbxrn9wrj</x:v>
      </x:c>
      <x:c r="G719" s="14" t="n">
        <x:v>18</x:v>
      </x:c>
      <x:c r="H719" s="14" t="str">
        <x:v>c370bf30-4fed-4187-beea-6476e69f964f</x:v>
      </x:c>
      <x:c r="I719" s="14" t="str">
        <x:v>Braithwaite and Melton Meadows Properties Ltd, R (On the Application Of) v East Suffolk Council [2022] EWCA Civ 1716</x:v>
      </x:c>
      <x:c r="J719" s="14" t="str">
        <x:v>England and Wales Court of Appeal (Civil Division)</x:v>
      </x:c>
      <x:c r="K719" s="14" t="n">
        <x:v>2022</x:v>
      </x:c>
      <x:c r="L719" s="15" t="n">
        <x:v>0.61929035</x:v>
      </x:c>
      <x:c r="M719" s="14" t="n">
        <x:v>1</x:v>
      </x:c>
      <x:c r="N719" s="14" t="str"/>
    </x:row>
    <x:row r="720">
      <x:c r="A720" s="1" t="str">
        <x:v>cms1pq4rm000d04js91x46eaf</x:v>
      </x:c>
      <x:c r="B720" s="1" t="str">
        <x:v>cms1pp04x000404jswgoarvrt</x:v>
      </x:c>
      <x:c r="C720" s="1" t="str">
        <x:v>ca-2024-001541-the-king-on-the-application-of-respondent-skeleton</x:v>
      </x:c>
      <x:c r="D720" s="12" t="n">
        <x:v>46229.476750277776</x:v>
      </x:c>
      <x:c r="E720" s="1" t="str">
        <x:v>yes</x:v>
      </x:c>
      <x:c r="F720" s="14" t="str">
        <x:v>cms1ps00j000j04jsbxrn9wrj</x:v>
      </x:c>
      <x:c r="G720" s="14" t="n">
        <x:v>19</x:v>
      </x:c>
      <x:c r="H720" s="14" t="str">
        <x:v>4c3b8da7-6c82-4056-ab98-dea339f7af1d</x:v>
      </x:c>
      <x:c r="I720" s="14" t="str">
        <x:v>Ashchurch Rural Parish Council, R (On the Application Of) v Tewkesbury Borough Council [2023] EWCA Civ 101</x:v>
      </x:c>
      <x:c r="J720" s="14" t="str">
        <x:v>England and Wales Court of Appeal (Civil Division)</x:v>
      </x:c>
      <x:c r="K720" s="14" t="n">
        <x:v>2023</x:v>
      </x:c>
      <x:c r="L720" s="15" t="n">
        <x:v>0.61859083</x:v>
      </x:c>
      <x:c r="M720" s="14" t="n">
        <x:v>1</x:v>
      </x:c>
      <x:c r="N720" s="14" t="str"/>
    </x:row>
    <x:row r="721">
      <x:c r="A721" s="1" t="str">
        <x:v>cms1pq4rm000d04js91x46eaf</x:v>
      </x:c>
      <x:c r="B721" s="1" t="str">
        <x:v>cms1pp04x000404jswgoarvrt</x:v>
      </x:c>
      <x:c r="C721" s="1" t="str">
        <x:v>ca-2024-001541-the-king-on-the-application-of-respondent-skeleton</x:v>
      </x:c>
      <x:c r="D721" s="12" t="n">
        <x:v>46229.476750277776</x:v>
      </x:c>
      <x:c r="E721" s="1" t="str">
        <x:v>yes</x:v>
      </x:c>
      <x:c r="F721" s="14" t="str">
        <x:v>cms1ps00j000j04jsbxrn9wrj</x:v>
      </x:c>
      <x:c r="G721" s="14" t="n">
        <x:v>20</x:v>
      </x:c>
      <x:c r="H721" s="14" t="str">
        <x:v>c42ac4c8-4630-4f83-8b40-7cff59e33b34</x:v>
      </x:c>
      <x:c r="I721" s="14" t="str">
        <x:v>Torbay Council v Torbay Quality Care Forum Ltd</x:v>
      </x:c>
      <x:c r="J721" s="14" t="str">
        <x:v>England and Wales Court of Appeal (Civil Division)</x:v>
      </x:c>
      <x:c r="K721" s="14" t="n">
        <x:v>2017</x:v>
      </x:c>
      <x:c r="L721" s="15" t="n">
        <x:v>0.61590105</x:v>
      </x:c>
      <x:c r="M721" s="14" t="n">
        <x:v>1</x:v>
      </x:c>
      <x:c r="N721" s="14" t="str">
        <x:v>R (Members of the Committee of Care North East Northumberland) v Northumberland County Council [2013] EWCA Civ 1740</x:v>
      </x:c>
    </x:row>
    <x:row r="722">
      <x:c r="A722" s="1" t="str">
        <x:v>cms1u714o000304jxq0x5fnl6</x:v>
      </x:c>
      <x:c r="B722" s="1" t="str">
        <x:v>cms1pp04x000404jswgoarvrt</x:v>
      </x:c>
      <x:c r="C722" s="1" t="str">
        <x:v>ca-2024-001541-the-king-on-the-application-of-respondent-skeleton</x:v>
      </x:c>
      <x:c r="D722" s="12" t="n">
        <x:v>46229.56363547454</x:v>
      </x:c>
      <x:c r="E722" s="1" t="str">
        <x:v>yes</x:v>
      </x:c>
      <x:c r="F722" s="14" t="str">
        <x:v>cms1u865i000904jxu5huyjg5</x:v>
      </x:c>
      <x:c r="G722" s="14" t="n">
        <x:v>1</x:v>
      </x:c>
      <x:c r="H722" s="14" t="str">
        <x:v>d60a5323-796e-4110-a6de-012ec16860c1</x:v>
      </x:c>
      <x:c r="I722" s="14" t="str">
        <x:v>The Howard League for Penal Reform and Prisoners' Advice Service v The Lord Chancellor</x:v>
      </x:c>
      <x:c r="J722" s="14" t="str">
        <x:v>England and Wales Court of Appeal (Civil Division)</x:v>
      </x:c>
      <x:c r="K722" s="14" t="n">
        <x:v>2015</x:v>
      </x:c>
      <x:c r="L722" s="15" t="n">
        <x:v>0.6859648</x:v>
      </x:c>
      <x:c r="M722" s="14" t="n">
        <x:v>1</x:v>
      </x:c>
      <x:c r="N722" s="14" t="str">
        <x:v>R (Smith) v East Kent Hospital NHS Trust</x:v>
      </x:c>
    </x:row>
    <x:row r="723">
      <x:c r="A723" s="1" t="str">
        <x:v>cms1u714o000304jxq0x5fnl6</x:v>
      </x:c>
      <x:c r="B723" s="1" t="str">
        <x:v>cms1pp04x000404jswgoarvrt</x:v>
      </x:c>
      <x:c r="C723" s="1" t="str">
        <x:v>ca-2024-001541-the-king-on-the-application-of-respondent-skeleton</x:v>
      </x:c>
      <x:c r="D723" s="12" t="n">
        <x:v>46229.56363547454</x:v>
      </x:c>
      <x:c r="E723" s="1" t="str">
        <x:v>yes</x:v>
      </x:c>
      <x:c r="F723" s="14" t="str">
        <x:v>cms1u865i000904jxu5huyjg5</x:v>
      </x:c>
      <x:c r="G723" s="14" t="n">
        <x:v>2</x:v>
      </x:c>
      <x:c r="H723" s="14" t="str">
        <x:v>f157dc58-8d24-4561-9b20-3df67da80a73</x:v>
      </x:c>
      <x:c r="I723" s="14" t="str">
        <x:v>The Good Law Project, R (On the Application Of) v Minister for the Cabinet Office [2022] EWCA Civ 21</x:v>
      </x:c>
      <x:c r="J723" s="14" t="str">
        <x:v>England and Wales Court of Appeal (Civil Division)</x:v>
      </x:c>
      <x:c r="K723" s="14" t="n">
        <x:v>2022</x:v>
      </x:c>
      <x:c r="L723" s="15" t="n">
        <x:v>0.67397815</x:v>
      </x:c>
      <x:c r="M723" s="14" t="n">
        <x:v>1</x:v>
      </x:c>
      <x:c r="N723" s="14" t="str">
        <x:v>R v Rand (1866) | Porter v. Magill | R (ex p Kirkstall Valley Campaign Ltd) | Locabail (UK) Ltd v Bayfield Properties Ltd | R v Bow Street Magistrate ex p Pinochet Ugarte No.2 | R v Secretary of the Home Department ex parte Fayed | Helow v. Secretary of State for the Home Department | Almazeedi v. Penner and others | Gillies v. Secretary of State for Work and Pensions | R (Lewis) v. Redcar &amp; Cleveland Borough Council | R (Royal Brompton and Harefield NHS Foundation Trust) v Joint Committee of Primary Care Trusts</x:v>
      </x:c>
    </x:row>
    <x:row r="724">
      <x:c r="A724" s="1" t="str">
        <x:v>cms1u714o000304jxq0x5fnl6</x:v>
      </x:c>
      <x:c r="B724" s="1" t="str">
        <x:v>cms1pp04x000404jswgoarvrt</x:v>
      </x:c>
      <x:c r="C724" s="1" t="str">
        <x:v>ca-2024-001541-the-king-on-the-application-of-respondent-skeleton</x:v>
      </x:c>
      <x:c r="D724" s="12" t="n">
        <x:v>46229.56363547454</x:v>
      </x:c>
      <x:c r="E724" s="1" t="str">
        <x:v>yes</x:v>
      </x:c>
      <x:c r="F724" s="14" t="str">
        <x:v>cms1u865i000904jxu5huyjg5</x:v>
      </x:c>
      <x:c r="G724" s="14" t="n">
        <x:v>3</x:v>
      </x:c>
      <x:c r="H724" s="14" t="str">
        <x:v>7cce4927-35a4-4b74-90f4-ac2262bb34d7</x:v>
      </x:c>
      <x:c r="I724" s="14" t="str">
        <x:v>C7 v Secretary of State for the Home Department [2023] EWCA Civ 265</x:v>
      </x:c>
      <x:c r="J724" s="14" t="str">
        <x:v>England and Wales Court of Appeal (Civil Division)</x:v>
      </x:c>
      <x:c r="K724" s="14" t="n">
        <x:v>2023</x:v>
      </x:c>
      <x:c r="L724" s="15" t="n">
        <x:v>0.6688487</x:v>
      </x:c>
      <x:c r="M724" s="14" t="n">
        <x:v>1</x:v>
      </x:c>
      <x:c r="N724" s="14" t="str">
        <x:v>Cart v Upper Tribunal [2010] EWHC 3052 (Admin); [2011] QB 120 | Al-Jedda v Secretary of State for the Home Department SC/66/2008 | R(S) v Chief Constable of South Yorkshire [2004] UKHL 39; [2004] 1 WLR 2196 | The Guardians of West Ham Union v the Churchwardens and Overseers and Guardians of the Poor of the Parish of St Matthew, Bethnal Green [1896] AC 477 | R v Chief Metropolitan Magistrate ex p Osman (1990) 90 Cr App R 313 | Municipio de Mariana v BHP Group plc [2021] EWCA Civ 1156 | The Tasmania (1890) 15 App Cas 223</x:v>
      </x:c>
    </x:row>
    <x:row r="725">
      <x:c r="A725" s="1" t="str">
        <x:v>cms1u714o000304jxq0x5fnl6</x:v>
      </x:c>
      <x:c r="B725" s="1" t="str">
        <x:v>cms1pp04x000404jswgoarvrt</x:v>
      </x:c>
      <x:c r="C725" s="1" t="str">
        <x:v>ca-2024-001541-the-king-on-the-application-of-respondent-skeleton</x:v>
      </x:c>
      <x:c r="D725" s="12" t="n">
        <x:v>46229.56363547454</x:v>
      </x:c>
      <x:c r="E725" s="1" t="str">
        <x:v>yes</x:v>
      </x:c>
      <x:c r="F725" s="14" t="str">
        <x:v>cms1u865i000904jxu5huyjg5</x:v>
      </x:c>
      <x:c r="G725" s="14" t="n">
        <x:v>4</x:v>
      </x:c>
      <x:c r="H725" s="14" t="str">
        <x:v>beff2d5f-922f-42e5-9aaa-8b70d7179f71</x:v>
      </x:c>
      <x:c r="I725" s="14" t="str">
        <x:v>Secretary of State for Communities and Local Government v West Berkshire District Council &amp; Anor [2016] EWCA Civ 441 (11 May 2016)</x:v>
      </x:c>
      <x:c r="J725" s="14" t="str">
        <x:v>England and Wales Court of Appeal (Civil Division)</x:v>
      </x:c>
      <x:c r="K725" s="14" t="n">
        <x:v>2016</x:v>
      </x:c>
      <x:c r="L725" s="15" t="n">
        <x:v>0.668725</x:v>
      </x:c>
      <x:c r="M725" s="14" t="n">
        <x:v>1</x:v>
      </x:c>
      <x:c r="N725" s="14" t="str">
        <x:v>Cala Homes (South) Ltd v Secretary of State for Communities and Local Government [2011] EWCA Civ 639 | Alconbury Developments Ltd v Secretary of State [2003] 2 AC 295 | City of Edinburgh Council v Secretary of State [1977] 1 WLR 1477</x:v>
      </x:c>
    </x:row>
    <x:row r="726">
      <x:c r="A726" s="1" t="str">
        <x:v>cms1u714o000304jxq0x5fnl6</x:v>
      </x:c>
      <x:c r="B726" s="1" t="str">
        <x:v>cms1pp04x000404jswgoarvrt</x:v>
      </x:c>
      <x:c r="C726" s="1" t="str">
        <x:v>ca-2024-001541-the-king-on-the-application-of-respondent-skeleton</x:v>
      </x:c>
      <x:c r="D726" s="12" t="n">
        <x:v>46229.56363547454</x:v>
      </x:c>
      <x:c r="E726" s="1" t="str">
        <x:v>yes</x:v>
      </x:c>
      <x:c r="F726" s="14" t="str">
        <x:v>cms1u865i000904jxu5huyjg5</x:v>
      </x:c>
      <x:c r="G726" s="14" t="n">
        <x:v>5</x:v>
      </x:c>
      <x:c r="H726" s="14" t="str">
        <x:v>f5a5b44e-fcf0-40c0-9bf9-69f026b1b438</x:v>
      </x:c>
      <x:c r="I726" s="14" t="str">
        <x:v>London Borough of Enfield, R (on the application of) v Secretary of State for Transport &amp; Ors [2016] EWCA Civ 480</x:v>
      </x:c>
      <x:c r="J726" s="14" t="str">
        <x:v>England and Wales Court of Appeal (Civil Division)</x:v>
      </x:c>
      <x:c r="K726" s="14" t="n">
        <x:v>2016</x:v>
      </x:c>
      <x:c r="L726" s="15" t="n">
        <x:v>0.66651857</x:v>
      </x:c>
      <x:c r="M726" s="14" t="n">
        <x:v>2</x:v>
      </x:c>
      <x:c r="N726" s="14" t="str">
        <x:v>R v Devon County Council, ex p Baker [1995] 1 All ER 73 | R v North and East Devon Health Authority ex p Coughlan [2001] QB 213 | Paponette v A-G of Trinidad and Tobago [2010] UKPC 32 | R v Education Sec., ex p Begbie [2000] 1 WLR 1115 | R v USA Tobacco Ltd, ex p [1992] QB 353 | Railways Act 1993 | Public Services (Social Value) Act 2012 | WebTag A5-3 'Rail appraisal' | Crossrail 2 (as comparative example of wider economic impact consideration)</x:v>
      </x:c>
    </x:row>
    <x:row r="727">
      <x:c r="A727" s="1" t="str">
        <x:v>cms1u714o000304jxq0x5fnl6</x:v>
      </x:c>
      <x:c r="B727" s="1" t="str">
        <x:v>cms1pp04x000404jswgoarvrt</x:v>
      </x:c>
      <x:c r="C727" s="1" t="str">
        <x:v>ca-2024-001541-the-king-on-the-application-of-respondent-skeleton</x:v>
      </x:c>
      <x:c r="D727" s="12" t="n">
        <x:v>46229.56363547454</x:v>
      </x:c>
      <x:c r="E727" s="1" t="str">
        <x:v>yes</x:v>
      </x:c>
      <x:c r="F727" s="14" t="str">
        <x:v>cms1u865i000904jxu5huyjg5</x:v>
      </x:c>
      <x:c r="G727" s="14" t="n">
        <x:v>6</x:v>
      </x:c>
      <x:c r="H727" s="14" t="str">
        <x:v>22266eeb-429f-4bfb-806c-1f324f15797d</x:v>
      </x:c>
      <x:c r="I727" s="14" t="str">
        <x:v>The Project Management Institute, R (On the Application Of) v The Minister for the Cabinet Office &amp; Ors [2016] EWCA Civ 21 (22 January 2016)</x:v>
      </x:c>
      <x:c r="J727" s="14" t="str">
        <x:v>England and Wales Court of Appeal (Civil Division)</x:v>
      </x:c>
      <x:c r="K727" s="14" t="n">
        <x:v>2016</x:v>
      </x:c>
      <x:c r="L727" s="15" t="n">
        <x:v>0.6590021</x:v>
      </x:c>
      <x:c r="M727" s="14" t="n">
        <x:v>1</x:v>
      </x:c>
      <x:c r="N727" s="14" t="str">
        <x:v>R (Lumba) v Secretary of State for the Home Department [2012] 1 AC 245 | Council of Civil Service Unions v Minister for the Civil Service [1985] 1 AC 374 | R v IRC ex p. MFK (Underwriting Agencies Ltd) [1990] 1 WLR 1545 | R v Attorney General, ex p. ICI plc [1987] CMLR 72 | Razgar v Secretary of State for the Home Department [2004] 2 AC 368</x:v>
      </x:c>
    </x:row>
    <x:row r="728">
      <x:c r="A728" s="1" t="str">
        <x:v>cms1u714o000304jxq0x5fnl6</x:v>
      </x:c>
      <x:c r="B728" s="1" t="str">
        <x:v>cms1pp04x000404jswgoarvrt</x:v>
      </x:c>
      <x:c r="C728" s="1" t="str">
        <x:v>ca-2024-001541-the-king-on-the-application-of-respondent-skeleton</x:v>
      </x:c>
      <x:c r="D728" s="12" t="n">
        <x:v>46229.56363547454</x:v>
      </x:c>
      <x:c r="E728" s="1" t="str">
        <x:v>yes</x:v>
      </x:c>
      <x:c r="F728" s="14" t="str">
        <x:v>cms1u865i000904jxu5huyjg5</x:v>
      </x:c>
      <x:c r="G728" s="14" t="n">
        <x:v>7</x:v>
      </x:c>
      <x:c r="H728" s="14" t="str">
        <x:v>970ca77e-942d-4dd9-93e4-6d8ed2dcb401</x:v>
      </x:c>
      <x:c r="I728" s="14" t="str">
        <x:v>Public and Commercial Services Union &amp; Ors, R (On the Application Of) v Secretary of State for the Home Department [2022] EWCA Civ 840</x:v>
      </x:c>
      <x:c r="J728" s="14" t="str">
        <x:v>England and Wales Court of Appeal (Civil Division)</x:v>
      </x:c>
      <x:c r="K728" s="14" t="n">
        <x:v>2022</x:v>
      </x:c>
      <x:c r="L728" s="15" t="n">
        <x:v>0.6530695</x:v>
      </x:c>
      <x:c r="M728" s="14" t="n">
        <x:v>1</x:v>
      </x:c>
      <x:c r="N728" s="14" t="str">
        <x:v>Secretary of State for Education and Science v Tameside MBC [1977] AC 1014 | Gillick v West Norfolk and Wisbech AHA [1986] AC 112 | 1951 Geneva Convention Relating to the Status of Refugees | Asylum and Immigration Appeals Act 1993 | Immigration and Refugee Act 2002 (s77) | Part 5 Schedule 3 (paras 17-18, 345A-D, 345B, 345C) | Frank Industries Pty UK v Nike Retail BV [2018] EWCA Civ 497 | Re DB's Application for Judicial Review [2017] UKSC 7 | Hadmor Productions Ltd v Hamilton [1983] 1 AC 191 | Mercury Communications Ltd v Scott-Garner [1984] Ch 37</x:v>
      </x:c>
    </x:row>
    <x:row r="729">
      <x:c r="A729" s="1" t="str">
        <x:v>cms1u714o000304jxq0x5fnl6</x:v>
      </x:c>
      <x:c r="B729" s="1" t="str">
        <x:v>cms1pp04x000404jswgoarvrt</x:v>
      </x:c>
      <x:c r="C729" s="1" t="str">
        <x:v>ca-2024-001541-the-king-on-the-application-of-respondent-skeleton</x:v>
      </x:c>
      <x:c r="D729" s="12" t="n">
        <x:v>46229.56363547454</x:v>
      </x:c>
      <x:c r="E729" s="1" t="str">
        <x:v>yes</x:v>
      </x:c>
      <x:c r="F729" s="14" t="str">
        <x:v>cms1u865i000904jxu5huyjg5</x:v>
      </x:c>
      <x:c r="G729" s="14" t="n">
        <x:v>8</x:v>
      </x:c>
      <x:c r="H729" s="14" t="str">
        <x:v>6b2e2714-ca39-4378-966c-1b3ff6b417b2</x:v>
      </x:c>
      <x:c r="I729" s="14" t="str">
        <x:v>QX v Secretary of State for the Home Department [2022] EWCA Civ 1541</x:v>
      </x:c>
      <x:c r="J729" s="14" t="str">
        <x:v>England and Wales Court of Appeal (Civil Division)</x:v>
      </x:c>
      <x:c r="K729" s="14" t="n">
        <x:v>2022</x:v>
      </x:c>
      <x:c r="L729" s="15" t="n">
        <x:v>0.6527432</x:v>
      </x:c>
      <x:c r="M729" s="14" t="n">
        <x:v>1</x:v>
      </x:c>
      <x:c r="N729" s="14" t="str">
        <x:v>AF (No 3) v SSHD | Pomiechowski v District Court of Legnica | MB v SSHD | AL v SSHD | Begum | Rehman | Air Canada | Khiaban | Sainsbury's v Mastercard | XYZ v Various | R(PG) v LBE</x:v>
      </x:c>
    </x:row>
    <x:row r="730">
      <x:c r="A730" s="1" t="str">
        <x:v>cms1u714o000304jxq0x5fnl6</x:v>
      </x:c>
      <x:c r="B730" s="1" t="str">
        <x:v>cms1pp04x000404jswgoarvrt</x:v>
      </x:c>
      <x:c r="C730" s="1" t="str">
        <x:v>ca-2024-001541-the-king-on-the-application-of-respondent-skeleton</x:v>
      </x:c>
      <x:c r="D730" s="12" t="n">
        <x:v>46229.56363547454</x:v>
      </x:c>
      <x:c r="E730" s="1" t="str">
        <x:v>yes</x:v>
      </x:c>
      <x:c r="F730" s="14" t="str">
        <x:v>cms1u865i000904jxu5huyjg5</x:v>
      </x:c>
      <x:c r="G730" s="14" t="n">
        <x:v>9</x:v>
      </x:c>
      <x:c r="H730" s="14" t="str">
        <x:v>148abf64-4d41-4cef-af10-c9c9986896a1</x:v>
      </x:c>
      <x:c r="I730" s="14" t="str">
        <x:v>Kanu, R (On the Application Of) v Secretary of State for Foreign, Commonwealth and Development Affairs [2023] EWCA Civ 796</x:v>
      </x:c>
      <x:c r="J730" s="14" t="str">
        <x:v>England and Wales Court of Appeal (Civil Division)</x:v>
      </x:c>
      <x:c r="K730" s="14" t="n">
        <x:v>2023</x:v>
      </x:c>
      <x:c r="L730" s="15" t="n">
        <x:v>0.6525992</x:v>
      </x:c>
      <x:c r="M730" s="14" t="n">
        <x:v>1</x:v>
      </x:c>
      <x:c r="N730" s="14" t="str">
        <x:v>R (Abbasi) v Secretary of State for Foreign and Commonwealth Affairs [2002] EWCA Civ 159 | Abbasi v Secretary of State for Foreign and Commonwealth Affairs [2003] UKHRR 76 | Secretary of State for Education and Science v Tameside MBC [1977] AC 1014 | GCHQ (Council of Civil Service Unions v Minister for the Civil Service) [1985] AC 374</x:v>
      </x:c>
    </x:row>
    <x:row r="731">
      <x:c r="A731" s="1" t="str">
        <x:v>cms1u714o000304jxq0x5fnl6</x:v>
      </x:c>
      <x:c r="B731" s="1" t="str">
        <x:v>cms1pp04x000404jswgoarvrt</x:v>
      </x:c>
      <x:c r="C731" s="1" t="str">
        <x:v>ca-2024-001541-the-king-on-the-application-of-respondent-skeleton</x:v>
      </x:c>
      <x:c r="D731" s="12" t="n">
        <x:v>46229.56363547454</x:v>
      </x:c>
      <x:c r="E731" s="1" t="str">
        <x:v>yes</x:v>
      </x:c>
      <x:c r="F731" s="14" t="str">
        <x:v>cms1u865i000904jxu5huyjg5</x:v>
      </x:c>
      <x:c r="G731" s="14" t="n">
        <x:v>10</x:v>
      </x:c>
      <x:c r="H731" s="14" t="str">
        <x:v>7fe05ee5-91a6-43b5-ad81-c04b7cce8482</x:v>
      </x:c>
      <x:c r="I731" s="14" t="str">
        <x:v>Ali, R (on the application of) v The Secretary of State for the Home Department &amp; Anor</x:v>
      </x:c>
      <x:c r="J731" s="14" t="str">
        <x:v>England and Wales Court of Appeal (Civil Division)</x:v>
      </x:c>
      <x:c r="K731" s="14" t="n">
        <x:v>2017</x:v>
      </x:c>
      <x:c r="L731" s="15" t="n">
        <x:v>0.6520421</x:v>
      </x:c>
      <x:c r="M731" s="14" t="n">
        <x:v>1</x:v>
      </x:c>
      <x:c r="N731" s="14" t="str">
        <x:v>AA (Afghanistan) v Secretary of State for the Home Department | R (A) v Croydon London Borough Council</x:v>
      </x:c>
    </x:row>
    <x:row r="732">
      <x:c r="A732" s="1" t="str">
        <x:v>cms1u714o000304jxq0x5fnl6</x:v>
      </x:c>
      <x:c r="B732" s="1" t="str">
        <x:v>cms1pp04x000404jswgoarvrt</x:v>
      </x:c>
      <x:c r="C732" s="1" t="str">
        <x:v>ca-2024-001541-the-king-on-the-application-of-respondent-skeleton</x:v>
      </x:c>
      <x:c r="D732" s="12" t="n">
        <x:v>46229.56363547454</x:v>
      </x:c>
      <x:c r="E732" s="1" t="str">
        <x:v>yes</x:v>
      </x:c>
      <x:c r="F732" s="14" t="str">
        <x:v>cms1u865i000904jxu5huyjg5</x:v>
      </x:c>
      <x:c r="G732" s="14" t="n">
        <x:v>11</x:v>
      </x:c>
      <x:c r="H732" s="14" t="str">
        <x:v>776a8070-aa6f-410e-b91e-2e1fcadadb9b</x:v>
      </x:c>
      <x:c r="I732" s="14" t="str">
        <x:v>Sheakh, R (On the Application Of) v London Borough of Lambeth Council [2022] EWCA Civ 457 (05 April 2022)</x:v>
      </x:c>
      <x:c r="J732" s="14" t="str">
        <x:v>England and Wales Court of Appeal (Civil Division)</x:v>
      </x:c>
      <x:c r="K732" s="14" t="n">
        <x:v>2022</x:v>
      </x:c>
      <x:c r="L732" s="15" t="n">
        <x:v>0.65194917</x:v>
      </x:c>
      <x:c r="M732" s="14" t="n">
        <x:v>2</x:v>
      </x:c>
      <x:c r="N732" s="14" t="str">
        <x:v>R. (on the application of Baker) v Secretary of State for Communities and Local Government [2008] EWCA Civ 141 | R. (Brown) v Secretary of State for Work and Pensions [2008] EWHC 3158 | R. (Bailey) v Brent LBC [2011] EWCA Civ 1586 | R. (Bracking) v Secretary of State for Work and Pensions [2013] EWCA Civ 1345 | R. (National Association of Health Stores) v Secretary of State for Health [2005] EWCA Civ 154 | R. (Kaur and Shah) v Ealing LBC [2008] EWHC 2062 (Admin) | R. (Hurley &amp; Moore) v BIS [2012] EWHC 201 (Admin) | R. (Meany) v Harlow DC [2009] EWHC 559 (Admin) | R v Secretary of State for Health (National Association of Health Stores) [2005] EWCA Civ 154</x:v>
      </x:c>
    </x:row>
    <x:row r="733">
      <x:c r="A733" s="1" t="str">
        <x:v>cms1u714o000304jxq0x5fnl6</x:v>
      </x:c>
      <x:c r="B733" s="1" t="str">
        <x:v>cms1pp04x000404jswgoarvrt</x:v>
      </x:c>
      <x:c r="C733" s="1" t="str">
        <x:v>ca-2024-001541-the-king-on-the-application-of-respondent-skeleton</x:v>
      </x:c>
      <x:c r="D733" s="12" t="n">
        <x:v>46229.56363547454</x:v>
      </x:c>
      <x:c r="E733" s="1" t="str">
        <x:v>yes</x:v>
      </x:c>
      <x:c r="F733" s="14" t="str">
        <x:v>cms1u865i000904jxu5huyjg5</x:v>
      </x:c>
      <x:c r="G733" s="14" t="n">
        <x:v>12</x:v>
      </x:c>
      <x:c r="H733" s="14" t="str">
        <x:v>6cd7db33-7ee1-44c0-9219-b2cc7d57d88b</x:v>
      </x:c>
      <x:c r="I733" s="14" t="str">
        <x:v>Smith v Secretary of State for Levelling Up, Housing &amp; Communities &amp; Anor [2022] EWCA Civ 1391</x:v>
      </x:c>
      <x:c r="J733" s="14" t="str">
        <x:v>England and Wales Court of Appeal (Civil Division)</x:v>
      </x:c>
      <x:c r="K733" s="14" t="n">
        <x:v>2022</x:v>
      </x:c>
      <x:c r="L733" s="15" t="n">
        <x:v>0.65029275</x:v>
      </x:c>
      <x:c r="M733" s="14" t="n">
        <x:v>1</x:v>
      </x:c>
      <x:c r="N733" s="14" t="str">
        <x:v>Bank Mellat v HM Treasury (No 2) | Oakes | Stec v United Kingdom | Chapman v United Kingdom | R (Ward) v Hillingdon | Wrexham County Borough Council v NAC Wales | Basildon (and related)</x:v>
      </x:c>
    </x:row>
    <x:row r="734">
      <x:c r="A734" s="1" t="str">
        <x:v>cms1u714o000304jxq0x5fnl6</x:v>
      </x:c>
      <x:c r="B734" s="1" t="str">
        <x:v>cms1pp04x000404jswgoarvrt</x:v>
      </x:c>
      <x:c r="C734" s="1" t="str">
        <x:v>ca-2024-001541-the-king-on-the-application-of-respondent-skeleton</x:v>
      </x:c>
      <x:c r="D734" s="12" t="n">
        <x:v>46229.56363547454</x:v>
      </x:c>
      <x:c r="E734" s="1" t="str">
        <x:v>yes</x:v>
      </x:c>
      <x:c r="F734" s="14" t="str">
        <x:v>cms1u865i000904jxu5huyjg5</x:v>
      </x:c>
      <x:c r="G734" s="14" t="n">
        <x:v>13</x:v>
      </x:c>
      <x:c r="H734" s="14" t="str">
        <x:v>2081f703-fbd5-4bdc-b8b8-0a8424eb00b1</x:v>
      </x:c>
      <x:c r="I734" s="14" t="str">
        <x:v>Roche Registration Ltd, R (on the application of) v The Secretary of State for Health</x:v>
      </x:c>
      <x:c r="J734" s="14" t="str">
        <x:v>England and Wales Court of Appeal (Civil Division)</x:v>
      </x:c>
      <x:c r="K734" s="14" t="n">
        <x:v>2015</x:v>
      </x:c>
      <x:c r="L734" s="15" t="n">
        <x:v>0.65019065</x:v>
      </x:c>
      <x:c r="M734" s="14" t="n">
        <x:v>1</x:v>
      </x:c>
      <x:c r="N734" s="14" t="str">
        <x:v>Case 314/85 | R v Secretary of State for the Home Department, ex p. Doody | R (Kent Pharmaceuticals Ltd)</x:v>
      </x:c>
    </x:row>
    <x:row r="735">
      <x:c r="A735" s="1" t="str">
        <x:v>cms1u714o000304jxq0x5fnl6</x:v>
      </x:c>
      <x:c r="B735" s="1" t="str">
        <x:v>cms1pp04x000404jswgoarvrt</x:v>
      </x:c>
      <x:c r="C735" s="1" t="str">
        <x:v>ca-2024-001541-the-king-on-the-application-of-respondent-skeleton</x:v>
      </x:c>
      <x:c r="D735" s="12" t="n">
        <x:v>46229.56363547454</x:v>
      </x:c>
      <x:c r="E735" s="1" t="str">
        <x:v>yes</x:v>
      </x:c>
      <x:c r="F735" s="14" t="str">
        <x:v>cms1u865i000904jxu5huyjg5</x:v>
      </x:c>
      <x:c r="G735" s="14" t="n">
        <x:v>14</x:v>
      </x:c>
      <x:c r="H735" s="14" t="str">
        <x:v>ee81f896-3f6e-4a8c-86e9-7169799031ba</x:v>
      </x:c>
      <x:c r="I735" s="14" t="str">
        <x:v>Green &amp; Ors v The Commissioner of Police of the Metropolis [2022] EWCA Civ 1686</x:v>
      </x:c>
      <x:c r="J735" s="14" t="str">
        <x:v>England and Wales Court of Appeal (Civil Division)</x:v>
      </x:c>
      <x:c r="K735" s="14" t="n">
        <x:v>2022</x:v>
      </x:c>
      <x:c r="L735" s="15" t="n">
        <x:v>0.64988923</x:v>
      </x:c>
      <x:c r="M735" s="14" t="n">
        <x:v>1</x:v>
      </x:c>
      <x:c r="N735" s="14" t="str">
        <x:v>Hamer v UK (EComHR) | Draper v UK (EComHR) | F v Switzerland (EHRR) | Goodwin v UK (EHRR) | R &amp; F v UK | Lennon v DoS | In re Brewster | Harvey v Haringey | Carter v Essex Police | In re Eccles | Baiai | O'Donoghue | R (R) v GM Police | R (Z) v Hackney</x:v>
      </x:c>
    </x:row>
    <x:row r="736">
      <x:c r="A736" s="1" t="str">
        <x:v>cms1u714o000304jxq0x5fnl6</x:v>
      </x:c>
      <x:c r="B736" s="1" t="str">
        <x:v>cms1pp04x000404jswgoarvrt</x:v>
      </x:c>
      <x:c r="C736" s="1" t="str">
        <x:v>ca-2024-001541-the-king-on-the-application-of-respondent-skeleton</x:v>
      </x:c>
      <x:c r="D736" s="12" t="n">
        <x:v>46229.56363547454</x:v>
      </x:c>
      <x:c r="E736" s="1" t="str">
        <x:v>yes</x:v>
      </x:c>
      <x:c r="F736" s="14" t="str">
        <x:v>cms1u865i000904jxu5huyjg5</x:v>
      </x:c>
      <x:c r="G736" s="14" t="n">
        <x:v>15</x:v>
      </x:c>
      <x:c r="H736" s="14" t="str">
        <x:v>5bc05b2e-6b7d-4270-b799-9d29ed174d14</x:v>
      </x:c>
      <x:c r="I736" s="14" t="str">
        <x:v>MD &amp; Anor v Secretary of State for the Home Department [2022] EWCA Civ 336</x:v>
      </x:c>
      <x:c r="J736" s="14" t="str">
        <x:v>England and Wales Court of Appeal (Civil Division)</x:v>
      </x:c>
      <x:c r="K736" s="14" t="n">
        <x:v>2022</x:v>
      </x:c>
      <x:c r="L736" s="15" t="n">
        <x:v>0.64976335</x:v>
      </x:c>
      <x:c r="M736" s="14" t="n">
        <x:v>1</x:v>
      </x:c>
      <x:c r="N736" s="14" t="str">
        <x:v>Thlimmenos v Greece (2000) 31 EHRR 411 | R (Salvato) v SSWP [2021] EWCA Civ 1482 | R v Secretary of State for Work and Pensions [2021] UKSC 26 | MN v SSWD [2020] EWCA Civ 1746 | Kerr J judgment</x:v>
      </x:c>
    </x:row>
    <x:row r="737">
      <x:c r="A737" s="1" t="str">
        <x:v>cms1u714o000304jxq0x5fnl6</x:v>
      </x:c>
      <x:c r="B737" s="1" t="str">
        <x:v>cms1pp04x000404jswgoarvrt</x:v>
      </x:c>
      <x:c r="C737" s="1" t="str">
        <x:v>ca-2024-001541-the-king-on-the-application-of-respondent-skeleton</x:v>
      </x:c>
      <x:c r="D737" s="12" t="n">
        <x:v>46229.56363547454</x:v>
      </x:c>
      <x:c r="E737" s="1" t="str">
        <x:v>yes</x:v>
      </x:c>
      <x:c r="F737" s="14" t="str">
        <x:v>cms1u865i000904jxu5huyjg5</x:v>
      </x:c>
      <x:c r="G737" s="14" t="n">
        <x:v>16</x:v>
      </x:c>
      <x:c r="H737" s="14" t="str">
        <x:v>8bf594df-88d1-4791-89f3-b2699310ed7a</x:v>
      </x:c>
      <x:c r="I737" s="14" t="str">
        <x:v>Aviva Insurance Limited and Swiss Reinsurance Company Limited v Secretary of State for Work and Pensions [2022] EWCA Civ 15</x:v>
      </x:c>
      <x:c r="J737" s="14" t="str">
        <x:v>England and Wales Court of Appeal (Civil Division)</x:v>
      </x:c>
      <x:c r="K737" s="14" t="n">
        <x:v>2022</x:v>
      </x:c>
      <x:c r="L737" s="15" t="n">
        <x:v>0.6497122</x:v>
      </x:c>
      <x:c r="M737" s="14" t="n">
        <x:v>1</x:v>
      </x:c>
      <x:c r="N737" s="14" t="str">
        <x:v>Fairchild v Glenhaven Funeral Services Ltd [2003] 1 AC 32 | Wilson v First County Trust Ltd (No.2) [2003] UKHL 40 | Bank Mellat v HM Treasury (No.2) [2013] UKSC 38 | R (SC) v Works and Pensions Secretary [2021] UKSC 26 | R (DA) v Works and Pensions Secretary [2019] UKSC 21 | James v United Kingdom | Welsh Bill case</x:v>
      </x:c>
    </x:row>
    <x:row r="738">
      <x:c r="A738" s="1" t="str">
        <x:v>cms1u714o000304jxq0x5fnl6</x:v>
      </x:c>
      <x:c r="B738" s="1" t="str">
        <x:v>cms1pp04x000404jswgoarvrt</x:v>
      </x:c>
      <x:c r="C738" s="1" t="str">
        <x:v>ca-2024-001541-the-king-on-the-application-of-respondent-skeleton</x:v>
      </x:c>
      <x:c r="D738" s="12" t="n">
        <x:v>46229.56363547454</x:v>
      </x:c>
      <x:c r="E738" s="1" t="str">
        <x:v>yes</x:v>
      </x:c>
      <x:c r="F738" s="14" t="str">
        <x:v>cms1u865i000904jxu5huyjg5</x:v>
      </x:c>
      <x:c r="G738" s="14" t="n">
        <x:v>17</x:v>
      </x:c>
      <x:c r="H738" s="14" t="str">
        <x:v>ed07cee8-284a-4c88-9681-37d30f80d1a1</x:v>
      </x:c>
      <x:c r="I738" s="14" t="str">
        <x:v>National AIDS Trust v National Health Service Commissioning Board (NHS England) &amp; Ors (EWCA Civ 1100) – PrEP and NHS England power to commission preventive HIV treatment</x:v>
      </x:c>
      <x:c r="J738" s="14" t="str">
        <x:v>England and Wales Court of Appeal (Civil Division)</x:v>
      </x:c>
      <x:c r="K738" s="14" t="n">
        <x:v>2016</x:v>
      </x:c>
      <x:c r="L738" s="15" t="n">
        <x:v>0.6487225</x:v>
      </x:c>
      <x:c r="M738" s="14" t="n">
        <x:v>1</x:v>
      </x:c>
      <x:c r="N738" s="14" t="str">
        <x:v>Hanlon v Law Society [1981] A.C. 124</x:v>
      </x:c>
    </x:row>
    <x:row r="739">
      <x:c r="A739" s="1" t="str">
        <x:v>cms1u714o000304jxq0x5fnl6</x:v>
      </x:c>
      <x:c r="B739" s="1" t="str">
        <x:v>cms1pp04x000404jswgoarvrt</x:v>
      </x:c>
      <x:c r="C739" s="1" t="str">
        <x:v>ca-2024-001541-the-king-on-the-application-of-respondent-skeleton</x:v>
      </x:c>
      <x:c r="D739" s="12" t="n">
        <x:v>46229.56363547454</x:v>
      </x:c>
      <x:c r="E739" s="1" t="str">
        <x:v>yes</x:v>
      </x:c>
      <x:c r="F739" s="14" t="str">
        <x:v>cms1u865i000904jxu5huyjg5</x:v>
      </x:c>
      <x:c r="G739" s="14" t="n">
        <x:v>18</x:v>
      </x:c>
      <x:c r="H739" s="14" t="str">
        <x:v>b47f516d-ad2e-4917-8acd-6c8206ffb6c5</x:v>
      </x:c>
      <x:c r="I739" s="14" t="str">
        <x:v>Re B (Children: Police Investigation) [2022] EWCA Civ 982</x:v>
      </x:c>
      <x:c r="J739" s="14" t="str">
        <x:v>England and Wales Court of Appeal (Civil Division)</x:v>
      </x:c>
      <x:c r="K739" s="14" t="n">
        <x:v>2022</x:v>
      </x:c>
      <x:c r="L739" s="15" t="n">
        <x:v>0.648514</x:v>
      </x:c>
      <x:c r="M739" s="14" t="n">
        <x:v>1</x:v>
      </x:c>
      <x:c r="N739" s="14" t="str">
        <x:v>A v Liverpool City Council | R v Secretary of State for Home Department ex parte T | Re W | Re A, R (Anton) and GD (Ghana)</x:v>
      </x:c>
    </x:row>
    <x:row r="740">
      <x:c r="A740" s="1" t="str">
        <x:v>cms1u714o000304jxq0x5fnl6</x:v>
      </x:c>
      <x:c r="B740" s="1" t="str">
        <x:v>cms1pp04x000404jswgoarvrt</x:v>
      </x:c>
      <x:c r="C740" s="1" t="str">
        <x:v>ca-2024-001541-the-king-on-the-application-of-respondent-skeleton</x:v>
      </x:c>
      <x:c r="D740" s="12" t="n">
        <x:v>46229.56363547454</x:v>
      </x:c>
      <x:c r="E740" s="1" t="str">
        <x:v>yes</x:v>
      </x:c>
      <x:c r="F740" s="14" t="str">
        <x:v>cms1u865i000904jxu5huyjg5</x:v>
      </x:c>
      <x:c r="G740" s="14" t="n">
        <x:v>19</x:v>
      </x:c>
      <x:c r="H740" s="14" t="str">
        <x:v>215b4f1f-c45b-4b5a-83c7-d9ecf0c27585</x:v>
      </x:c>
      <x:c r="I740" s="14" t="str">
        <x:v>R3 v Secretary of State for the Home Department [2023] EWCA Civ 169</x:v>
      </x:c>
      <x:c r="J740" s="14" t="str">
        <x:v>England and Wales Court of Appeal (Civil Division)</x:v>
      </x:c>
      <x:c r="K740" s="14" t="n">
        <x:v>2023</x:v>
      </x:c>
      <x:c r="L740" s="15" t="n">
        <x:v>0.64849836</x:v>
      </x:c>
      <x:c r="M740" s="14" t="n">
        <x:v>1</x:v>
      </x:c>
      <x:c r="N740" s="14" t="str">
        <x:v>Al-Skeini v UK | HF v France | Pham v SSHD | RJM v SSHD | S1 v SSHD | Abbas | Aziz | Gillan | K2</x:v>
      </x:c>
    </x:row>
    <x:row r="741">
      <x:c r="A741" s="1" t="str">
        <x:v>cms1u714o000304jxq0x5fnl6</x:v>
      </x:c>
      <x:c r="B741" s="1" t="str">
        <x:v>cms1pp04x000404jswgoarvrt</x:v>
      </x:c>
      <x:c r="C741" s="1" t="str">
        <x:v>ca-2024-001541-the-king-on-the-application-of-respondent-skeleton</x:v>
      </x:c>
      <x:c r="D741" s="12" t="n">
        <x:v>46229.56363547454</x:v>
      </x:c>
      <x:c r="E741" s="1" t="str">
        <x:v>yes</x:v>
      </x:c>
      <x:c r="F741" s="14" t="str">
        <x:v>cms1u865i000904jxu5huyjg5</x:v>
      </x:c>
      <x:c r="G741" s="14" t="n">
        <x:v>20</x:v>
      </x:c>
      <x:c r="H741" s="14" t="str">
        <x:v>b293e967-2f36-4ecf-b32f-db6614193b8b</x:v>
      </x:c>
      <x:c r="I741" s="14" t="str">
        <x:v>DJ (Pakistan) v Secretary of State for the Home Department [2022] EWCA Civ 1057</x:v>
      </x:c>
      <x:c r="J741" s="14" t="str">
        <x:v>England and Wales Court of Appeal (Civil Division)</x:v>
      </x:c>
      <x:c r="K741" s="14" t="n">
        <x:v>2022</x:v>
      </x:c>
      <x:c r="L741" s="15" t="n">
        <x:v>0.64777714</x:v>
      </x:c>
      <x:c r="M741" s="14" t="n">
        <x:v>1</x:v>
      </x:c>
      <x:c r="N741" s="14" t="str">
        <x:v>[2022] EWCA Civ 1057</x:v>
      </x:c>
    </x:row>
    <x:row r="742">
      <x:c r="A742" s="1" t="str">
        <x:v>cmsbj2peo000b04jw4kua4pz9</x:v>
      </x:c>
      <x:c r="B742" s="1" t="str">
        <x:v>cms1pp04x000404jswgoarvrt</x:v>
      </x:c>
      <x:c r="C742" s="1" t="str">
        <x:v>ca-2024-001541-the-king-on-the-application-of-respondent-skeleton</x:v>
      </x:c>
      <x:c r="D742" s="12" t="n">
        <x:v>46236.34585987269</x:v>
      </x:c>
      <x:c r="E742" s="1" t="str">
        <x:v>yes</x:v>
      </x:c>
      <x:c r="F742" s="14" t="str">
        <x:v>cmsbj40n7000h04jwpx41ia5n</x:v>
      </x:c>
      <x:c r="G742" s="14" t="n">
        <x:v>1</x:v>
      </x:c>
      <x:c r="H742" s="14" t="str">
        <x:v>bab866ef-ca70-446c-a76d-a69bb3f7f15d</x:v>
      </x:c>
      <x:c r="I742" s="14" t="str">
        <x:v>Rotala Plc, R (On the Application Of) v Greater Manchester Combined Authority &amp; Anor [2022] EWCA Civ 1048</x:v>
      </x:c>
      <x:c r="J742" s="14" t="str">
        <x:v>England and Wales Court of Appeal (Civil Division)</x:v>
      </x:c>
      <x:c r="K742" s="14" t="n">
        <x:v>2022</x:v>
      </x:c>
      <x:c r="L742" s="15" t="n">
        <x:v>0.6898843</x:v>
      </x:c>
      <x:c r="M742" s="14" t="n">
        <x:v>1</x:v>
      </x:c>
      <x:c r="N742" s="14" t="str"/>
    </x:row>
    <x:row r="743">
      <x:c r="A743" s="1" t="str">
        <x:v>cmsbj2peo000b04jw4kua4pz9</x:v>
      </x:c>
      <x:c r="B743" s="1" t="str">
        <x:v>cms1pp04x000404jswgoarvrt</x:v>
      </x:c>
      <x:c r="C743" s="1" t="str">
        <x:v>ca-2024-001541-the-king-on-the-application-of-respondent-skeleton</x:v>
      </x:c>
      <x:c r="D743" s="12" t="n">
        <x:v>46236.34585987269</x:v>
      </x:c>
      <x:c r="E743" s="1" t="str">
        <x:v>yes</x:v>
      </x:c>
      <x:c r="F743" s="14" t="str">
        <x:v>cmsbj40n7000h04jwpx41ia5n</x:v>
      </x:c>
      <x:c r="G743" s="14" t="n">
        <x:v>2</x:v>
      </x:c>
      <x:c r="H743" s="14" t="str">
        <x:v>c671abf8-058b-4872-a1b9-82b27e8b0a0e</x:v>
      </x:c>
      <x:c r="I743" s="14" t="str">
        <x:v>Durham County Council v The Durham Company Limited [2023] EWCA Civ 729</x:v>
      </x:c>
      <x:c r="J743" s="14" t="str">
        <x:v>England and Wales Court of Appeal (Civil Division)</x:v>
      </x:c>
      <x:c r="K743" s="14" t="n">
        <x:v>2023</x:v>
      </x:c>
      <x:c r="L743" s="15" t="n">
        <x:v>0.6869198</x:v>
      </x:c>
      <x:c r="M743" s="14" t="n">
        <x:v>1</x:v>
      </x:c>
      <x:c r="N743" s="14" t="str"/>
    </x:row>
    <x:row r="744">
      <x:c r="A744" s="1" t="str">
        <x:v>cmsbj2peo000b04jw4kua4pz9</x:v>
      </x:c>
      <x:c r="B744" s="1" t="str">
        <x:v>cms1pp04x000404jswgoarvrt</x:v>
      </x:c>
      <x:c r="C744" s="1" t="str">
        <x:v>ca-2024-001541-the-king-on-the-application-of-respondent-skeleton</x:v>
      </x:c>
      <x:c r="D744" s="12" t="n">
        <x:v>46236.34585987269</x:v>
      </x:c>
      <x:c r="E744" s="1" t="str">
        <x:v>yes</x:v>
      </x:c>
      <x:c r="F744" s="14" t="str">
        <x:v>cmsbj40n7000h04jwpx41ia5n</x:v>
      </x:c>
      <x:c r="G744" s="14" t="n">
        <x:v>3</x:v>
      </x:c>
      <x:c r="H744" s="14" t="str">
        <x:v>d60a5323-796e-4110-a6de-012ec16860c1</x:v>
      </x:c>
      <x:c r="I744" s="14" t="str">
        <x:v>The Howard League for Penal Reform and Prisoners' Advice Service v The Lord Chancellor</x:v>
      </x:c>
      <x:c r="J744" s="14" t="str">
        <x:v>England and Wales Court of Appeal (Civil Division)</x:v>
      </x:c>
      <x:c r="K744" s="14" t="n">
        <x:v>2015</x:v>
      </x:c>
      <x:c r="L744" s="15" t="n">
        <x:v>0.6802791</x:v>
      </x:c>
      <x:c r="M744" s="14" t="n">
        <x:v>1</x:v>
      </x:c>
      <x:c r="N744" s="14" t="str">
        <x:v>R (Smith) v East Kent Hospital NHS Trust</x:v>
      </x:c>
    </x:row>
    <x:row r="745">
      <x:c r="A745" s="1" t="str">
        <x:v>cmsbj2peo000b04jw4kua4pz9</x:v>
      </x:c>
      <x:c r="B745" s="1" t="str">
        <x:v>cms1pp04x000404jswgoarvrt</x:v>
      </x:c>
      <x:c r="C745" s="1" t="str">
        <x:v>ca-2024-001541-the-king-on-the-application-of-respondent-skeleton</x:v>
      </x:c>
      <x:c r="D745" s="12" t="n">
        <x:v>46236.34585987269</x:v>
      </x:c>
      <x:c r="E745" s="1" t="str">
        <x:v>yes</x:v>
      </x:c>
      <x:c r="F745" s="14" t="str">
        <x:v>cmsbj40n7000h04jwpx41ia5n</x:v>
      </x:c>
      <x:c r="G745" s="14" t="n">
        <x:v>4</x:v>
      </x:c>
      <x:c r="H745" s="14" t="str">
        <x:v>beff2d5f-922f-42e5-9aaa-8b70d7179f71</x:v>
      </x:c>
      <x:c r="I745" s="14" t="str">
        <x:v>Secretary of State for Communities and Local Government v West Berkshire District Council &amp; Anor [2016] EWCA Civ 441 (11 May 2016)</x:v>
      </x:c>
      <x:c r="J745" s="14" t="str">
        <x:v>England and Wales Court of Appeal (Civil Division)</x:v>
      </x:c>
      <x:c r="K745" s="14" t="n">
        <x:v>2016</x:v>
      </x:c>
      <x:c r="L745" s="15" t="n">
        <x:v>0.67640954</x:v>
      </x:c>
      <x:c r="M745" s="14" t="n">
        <x:v>1</x:v>
      </x:c>
      <x:c r="N745" s="14" t="str">
        <x:v>Cala Homes (South) Ltd v Secretary of State for Communities and Local Government [2011] EWCA Civ 639 | Alconbury Developments Ltd v Secretary of State [2003] 2 AC 295 | City of Edinburgh Council v Secretary of State [1977] 1 WLR 1477</x:v>
      </x:c>
    </x:row>
    <x:row r="746">
      <x:c r="A746" s="1" t="str">
        <x:v>cmsbj2peo000b04jw4kua4pz9</x:v>
      </x:c>
      <x:c r="B746" s="1" t="str">
        <x:v>cms1pp04x000404jswgoarvrt</x:v>
      </x:c>
      <x:c r="C746" s="1" t="str">
        <x:v>ca-2024-001541-the-king-on-the-application-of-respondent-skeleton</x:v>
      </x:c>
      <x:c r="D746" s="12" t="n">
        <x:v>46236.34585987269</x:v>
      </x:c>
      <x:c r="E746" s="1" t="str">
        <x:v>yes</x:v>
      </x:c>
      <x:c r="F746" s="14" t="str">
        <x:v>cmsbj40n7000h04jwpx41ia5n</x:v>
      </x:c>
      <x:c r="G746" s="14" t="n">
        <x:v>5</x:v>
      </x:c>
      <x:c r="H746" s="14" t="str">
        <x:v>a1f805a8-a05f-4642-a42e-5f073974259f</x:v>
      </x:c>
      <x:c r="I746" s="14" t="str">
        <x:v>Miah v The Independent Police Complaints Commission &amp; Anor</x:v>
      </x:c>
      <x:c r="J746" s="14" t="str">
        <x:v>England and Wales Court of Appeal (Civil Division)</x:v>
      </x:c>
      <x:c r="K746" s="14" t="n">
        <x:v>2017</x:v>
      </x:c>
      <x:c r="L746" s="15" t="n">
        <x:v>0.67198324</x:v>
      </x:c>
      <x:c r="M746" s="14" t="n">
        <x:v>1</x:v>
      </x:c>
      <x:c r="N746" s="14" t="str"/>
    </x:row>
    <x:row r="747">
      <x:c r="A747" s="1" t="str">
        <x:v>cmsbj2peo000b04jw4kua4pz9</x:v>
      </x:c>
      <x:c r="B747" s="1" t="str">
        <x:v>cms1pp04x000404jswgoarvrt</x:v>
      </x:c>
      <x:c r="C747" s="1" t="str">
        <x:v>ca-2024-001541-the-king-on-the-application-of-respondent-skeleton</x:v>
      </x:c>
      <x:c r="D747" s="12" t="n">
        <x:v>46236.34585987269</x:v>
      </x:c>
      <x:c r="E747" s="1" t="str">
        <x:v>yes</x:v>
      </x:c>
      <x:c r="F747" s="14" t="str">
        <x:v>cmsbj40n7000h04jwpx41ia5n</x:v>
      </x:c>
      <x:c r="G747" s="14" t="n">
        <x:v>6</x:v>
      </x:c>
      <x:c r="H747" s="14" t="str">
        <x:v>3e3e3bf7-ee19-4a93-a92d-d4e88a8038ec</x:v>
      </x:c>
      <x:c r="I747" s="14" t="str">
        <x:v>Bonsall v Secretary of State for Communities and Local Government &amp; Anor [2015] EWCA Civ 1246</x:v>
      </x:c>
      <x:c r="J747" s="14" t="str">
        <x:v>England and Wales Court of Appeal (Civil Division)</x:v>
      </x:c>
      <x:c r="K747" s="14" t="n">
        <x:v>2015</x:v>
      </x:c>
      <x:c r="L747" s="15" t="n">
        <x:v>0.66547334</x:v>
      </x:c>
      <x:c r="M747" s="14" t="n">
        <x:v>1</x:v>
      </x:c>
      <x:c r="N747" s="14" t="str">
        <x:v>Welwyn Hatfield Borough Council v Secretary of State for Communities and Local Government [2011] UKSC 15 | R v Secretary of State for the Home Department, ex p. Puttick [1981] QB 767</x:v>
      </x:c>
    </x:row>
    <x:row r="748">
      <x:c r="A748" s="1" t="str">
        <x:v>cmsbj2peo000b04jw4kua4pz9</x:v>
      </x:c>
      <x:c r="B748" s="1" t="str">
        <x:v>cms1pp04x000404jswgoarvrt</x:v>
      </x:c>
      <x:c r="C748" s="1" t="str">
        <x:v>ca-2024-001541-the-king-on-the-application-of-respondent-skeleton</x:v>
      </x:c>
      <x:c r="D748" s="12" t="n">
        <x:v>46236.34585987269</x:v>
      </x:c>
      <x:c r="E748" s="1" t="str">
        <x:v>yes</x:v>
      </x:c>
      <x:c r="F748" s="14" t="str">
        <x:v>cmsbj40n7000h04jwpx41ia5n</x:v>
      </x:c>
      <x:c r="G748" s="14" t="n">
        <x:v>7</x:v>
      </x:c>
      <x:c r="H748" s="14" t="str">
        <x:v>0f10aeb5-97b0-441b-a4b3-9ccc7a758b9f</x:v>
      </x:c>
      <x:c r="I748" s="14" t="str">
        <x:v>Amin v Director General of the Security Service &amp; Ors</x:v>
      </x:c>
      <x:c r="J748" s="14" t="str">
        <x:v>England and Wales Court of Appeal (Civil Division)</x:v>
      </x:c>
      <x:c r="K748" s="14" t="n">
        <x:v>2015</x:v>
      </x:c>
      <x:c r="L748" s="15" t="n">
        <x:v>0.6649277</x:v>
      </x:c>
      <x:c r="M748" s="14" t="n">
        <x:v>1</x:v>
      </x:c>
      <x:c r="N748" s="14" t="str"/>
    </x:row>
    <x:row r="749">
      <x:c r="A749" s="1" t="str">
        <x:v>cmsbj2peo000b04jw4kua4pz9</x:v>
      </x:c>
      <x:c r="B749" s="1" t="str">
        <x:v>cms1pp04x000404jswgoarvrt</x:v>
      </x:c>
      <x:c r="C749" s="1" t="str">
        <x:v>ca-2024-001541-the-king-on-the-application-of-respondent-skeleton</x:v>
      </x:c>
      <x:c r="D749" s="12" t="n">
        <x:v>46236.34585987269</x:v>
      </x:c>
      <x:c r="E749" s="1" t="str">
        <x:v>yes</x:v>
      </x:c>
      <x:c r="F749" s="14" t="str">
        <x:v>cmsbj40n7000h04jwpx41ia5n</x:v>
      </x:c>
      <x:c r="G749" s="14" t="n">
        <x:v>8</x:v>
      </x:c>
      <x:c r="H749" s="14" t="str">
        <x:v>9a308fff-9dbd-49af-a8ce-8219a3874ac4</x:v>
      </x:c>
      <x:c r="I749" s="14" t="str">
        <x:v>Bank Mellat v Her Majesty's Treasury [2015] EWCA Civ 1052</x:v>
      </x:c>
      <x:c r="J749" s="14" t="str">
        <x:v>England and Wales Court of Appeal (Civil Division)</x:v>
      </x:c>
      <x:c r="K749" s="14" t="n">
        <x:v>2015</x:v>
      </x:c>
      <x:c r="L749" s="15" t="n">
        <x:v>0.6611475</x:v>
      </x:c>
      <x:c r="M749" s="14" t="n">
        <x:v>1</x:v>
      </x:c>
      <x:c r="N749" s="14" t="str"/>
    </x:row>
    <x:row r="750">
      <x:c r="A750" s="1" t="str">
        <x:v>cmsbj2peo000b04jw4kua4pz9</x:v>
      </x:c>
      <x:c r="B750" s="1" t="str">
        <x:v>cms1pp04x000404jswgoarvrt</x:v>
      </x:c>
      <x:c r="C750" s="1" t="str">
        <x:v>ca-2024-001541-the-king-on-the-application-of-respondent-skeleton</x:v>
      </x:c>
      <x:c r="D750" s="12" t="n">
        <x:v>46236.34585987269</x:v>
      </x:c>
      <x:c r="E750" s="1" t="str">
        <x:v>yes</x:v>
      </x:c>
      <x:c r="F750" s="14" t="str">
        <x:v>cmsbj40n7000h04jwpx41ia5n</x:v>
      </x:c>
      <x:c r="G750" s="14" t="n">
        <x:v>9</x:v>
      </x:c>
      <x:c r="H750" s="14" t="str">
        <x:v>776a8070-aa6f-410e-b91e-2e1fcadadb9b</x:v>
      </x:c>
      <x:c r="I750" s="14" t="str">
        <x:v>Sheakh, R (On the Application Of) v London Borough of Lambeth Council [2022] EWCA Civ 457 (05 April 2022)</x:v>
      </x:c>
      <x:c r="J750" s="14" t="str">
        <x:v>England and Wales Court of Appeal (Civil Division)</x:v>
      </x:c>
      <x:c r="K750" s="14" t="n">
        <x:v>2022</x:v>
      </x:c>
      <x:c r="L750" s="15" t="n">
        <x:v>0.6606458</x:v>
      </x:c>
      <x:c r="M750" s="14" t="n">
        <x:v>3</x:v>
      </x:c>
      <x:c r="N750" s="14" t="str">
        <x:v>R. (on the application of Baker) v Secretary of State for Communities and Local Government [2008] EWCA Civ 141 | R. (Brown) v Secretary of State for Work and Pensions [2008] EWHC 3158 | R. (Bailey) v Brent LBC [2011] EWCA Civ 1586 | R. (Bracking) v Secretary of State for Work and Pensions [2013] EWCA Civ 1345 | R. (National Association of Health Stores) v Secretary of State for Health [2005] EWCA Civ 154 | R. (Kaur and Shah) v Ealing LBC [2008] EWHC 2062 (Admin) | R. (Hurley &amp; Moore) v BIS [2012] EWHC 201 (Admin) | R. (Meany) v Harlow DC [2009] EWHC 559 (Admin) | R v Secretary of State for Health (National Association of Health Stores) [2005] EWCA Civ 154 | R. (on the application of Bracking) v Secretary of State for Work and Pensions [2013] EWCA Civ 1345</x:v>
      </x:c>
    </x:row>
    <x:row r="751">
      <x:c r="A751" s="1" t="str">
        <x:v>cmsbj2peo000b04jw4kua4pz9</x:v>
      </x:c>
      <x:c r="B751" s="1" t="str">
        <x:v>cms1pp04x000404jswgoarvrt</x:v>
      </x:c>
      <x:c r="C751" s="1" t="str">
        <x:v>ca-2024-001541-the-king-on-the-application-of-respondent-skeleton</x:v>
      </x:c>
      <x:c r="D751" s="12" t="n">
        <x:v>46236.34585987269</x:v>
      </x:c>
      <x:c r="E751" s="1" t="str">
        <x:v>yes</x:v>
      </x:c>
      <x:c r="F751" s="14" t="str">
        <x:v>cmsbj40n7000h04jwpx41ia5n</x:v>
      </x:c>
      <x:c r="G751" s="14" t="n">
        <x:v>10</x:v>
      </x:c>
      <x:c r="H751" s="14" t="str">
        <x:v>bfdd234f-62f5-43ff-afee-559e34362309</x:v>
      </x:c>
      <x:c r="I751" s="14" t="str">
        <x:v>The Law Society &amp; Ors v The Lord Chancellor: Judicial Review of Legal Aid Reforms [2015] EWCA Civ 230</x:v>
      </x:c>
      <x:c r="J751" s="14" t="str">
        <x:v>England and Wales Court of Appeal (Civil Division)</x:v>
      </x:c>
      <x:c r="K751" s="14" t="n">
        <x:v>2015</x:v>
      </x:c>
      <x:c r="L751" s="15" t="n">
        <x:v>0.6604868</x:v>
      </x:c>
      <x:c r="M751" s="14" t="n">
        <x:v>1</x:v>
      </x:c>
      <x:c r="N751" s="14" t="str"/>
    </x:row>
    <x:row r="752">
      <x:c r="A752" s="1" t="str">
        <x:v>cmsbj2peo000b04jw4kua4pz9</x:v>
      </x:c>
      <x:c r="B752" s="1" t="str">
        <x:v>cms1pp04x000404jswgoarvrt</x:v>
      </x:c>
      <x:c r="C752" s="1" t="str">
        <x:v>ca-2024-001541-the-king-on-the-application-of-respondent-skeleton</x:v>
      </x:c>
      <x:c r="D752" s="12" t="n">
        <x:v>46236.34585987269</x:v>
      </x:c>
      <x:c r="E752" s="1" t="str">
        <x:v>yes</x:v>
      </x:c>
      <x:c r="F752" s="14" t="str">
        <x:v>cmsbj40n7000h04jwpx41ia5n</x:v>
      </x:c>
      <x:c r="G752" s="14" t="n">
        <x:v>11</x:v>
      </x:c>
      <x:c r="H752" s="14" t="str">
        <x:v>f157dc58-8d24-4561-9b20-3df67da80a73</x:v>
      </x:c>
      <x:c r="I752" s="14" t="str">
        <x:v>The Good Law Project, R (On the Application Of) v Minister for the Cabinet Office [2022] EWCA Civ 21</x:v>
      </x:c>
      <x:c r="J752" s="14" t="str">
        <x:v>England and Wales Court of Appeal (Civil Division)</x:v>
      </x:c>
      <x:c r="K752" s="14" t="n">
        <x:v>2022</x:v>
      </x:c>
      <x:c r="L752" s="15" t="n">
        <x:v>0.65813816</x:v>
      </x:c>
      <x:c r="M752" s="14" t="n">
        <x:v>1</x:v>
      </x:c>
      <x:c r="N752" s="14" t="str">
        <x:v>R v Rand (1866) | Porter v. Magill | R (ex p Kirkstall Valley Campaign Ltd) | Locabail (UK) Ltd v Bayfield Properties Ltd | R v Bow Street Magistrate ex p Pinochet Ugarte No.2 | R v Secretary of the Home Department ex parte Fayed | Helow v. Secretary of State for the Home Department | Almazeedi v. Penner and others | Gillies v. Secretary of State for Work and Pensions | R (Lewis) v. Redcar &amp; Cleveland Borough Council | R (Royal Brompton and Harefield NHS Foundation Trust) v Joint Committee of Primary Care Trusts</x:v>
      </x:c>
    </x:row>
    <x:row r="753">
      <x:c r="A753" s="1" t="str">
        <x:v>cmsbj2peo000b04jw4kua4pz9</x:v>
      </x:c>
      <x:c r="B753" s="1" t="str">
        <x:v>cms1pp04x000404jswgoarvrt</x:v>
      </x:c>
      <x:c r="C753" s="1" t="str">
        <x:v>ca-2024-001541-the-king-on-the-application-of-respondent-skeleton</x:v>
      </x:c>
      <x:c r="D753" s="12" t="n">
        <x:v>46236.34585987269</x:v>
      </x:c>
      <x:c r="E753" s="1" t="str">
        <x:v>yes</x:v>
      </x:c>
      <x:c r="F753" s="14" t="str">
        <x:v>cmsbj40n7000h04jwpx41ia5n</x:v>
      </x:c>
      <x:c r="G753" s="14" t="n">
        <x:v>12</x:v>
      </x:c>
      <x:c r="H753" s="14" t="str">
        <x:v>69931778-230c-4f9d-9516-058138a9527d</x:v>
      </x:c>
      <x:c r="I753" s="14" t="str">
        <x:v>E3 &amp; Ors v Secretary of State for the Home Department [2023] EWCA Civ 26</x:v>
      </x:c>
      <x:c r="J753" s="14" t="str">
        <x:v>England and Wales Court of Appeal (Civil Division)</x:v>
      </x:c>
      <x:c r="K753" s="14" t="n">
        <x:v>2023</x:v>
      </x:c>
      <x:c r="L753" s="15" t="n">
        <x:v>0.65703785</x:v>
      </x:c>
      <x:c r="M753" s="14" t="n">
        <x:v>1</x:v>
      </x:c>
      <x:c r="N753" s="14" t="str"/>
    </x:row>
    <x:row r="754">
      <x:c r="A754" s="1" t="str">
        <x:v>cmsbj2peo000b04jw4kua4pz9</x:v>
      </x:c>
      <x:c r="B754" s="1" t="str">
        <x:v>cms1pp04x000404jswgoarvrt</x:v>
      </x:c>
      <x:c r="C754" s="1" t="str">
        <x:v>ca-2024-001541-the-king-on-the-application-of-respondent-skeleton</x:v>
      </x:c>
      <x:c r="D754" s="12" t="n">
        <x:v>46236.34585987269</x:v>
      </x:c>
      <x:c r="E754" s="1" t="str">
        <x:v>yes</x:v>
      </x:c>
      <x:c r="F754" s="14" t="str">
        <x:v>cmsbj40n7000h04jwpx41ia5n</x:v>
      </x:c>
      <x:c r="G754" s="14" t="n">
        <x:v>13</x:v>
      </x:c>
      <x:c r="H754" s="14" t="str">
        <x:v>8e189a4f-dd48-4f90-87fb-fcbe67d39b28</x:v>
      </x:c>
      <x:c r="I754" s="14" t="str">
        <x:v>Milburn, R (On the Application Of) v Local Government and Social Care Ombudsman [2023] EWCA Civ 207 (28 February 2023)</x:v>
      </x:c>
      <x:c r="J754" s="14" t="str">
        <x:v>England and Wales Court of Appeal (Civil Division)</x:v>
      </x:c>
      <x:c r="K754" s="14" t="n">
        <x:v>2023</x:v>
      </x:c>
      <x:c r="L754" s="15" t="n">
        <x:v>0.6567373</x:v>
      </x:c>
      <x:c r="M754" s="14" t="n">
        <x:v>1</x:v>
      </x:c>
      <x:c r="N754" s="14" t="str">
        <x:v>ER v The Commissioner for Local Government Administration [2014] EWCA Civ 1407 | R v Commissioner for Local Government Administration ex parte Field [1999] EWHC 754 (Admin) | R v Local Commissioner for Administration ex parte Bradford Metropolitan City Council [1979] QB 287 | R v Commissioner for Local Administration ex parte Croydon London Borough Council [1989] 1 All ER 1033 | R v Commissioner for Local Administration ex parte PH [unreported] 1988</x:v>
      </x:c>
    </x:row>
    <x:row r="755">
      <x:c r="A755" s="1" t="str">
        <x:v>cmsbj2peo000b04jw4kua4pz9</x:v>
      </x:c>
      <x:c r="B755" s="1" t="str">
        <x:v>cms1pp04x000404jswgoarvrt</x:v>
      </x:c>
      <x:c r="C755" s="1" t="str">
        <x:v>ca-2024-001541-the-king-on-the-application-of-respondent-skeleton</x:v>
      </x:c>
      <x:c r="D755" s="12" t="n">
        <x:v>46236.34585987269</x:v>
      </x:c>
      <x:c r="E755" s="1" t="str">
        <x:v>yes</x:v>
      </x:c>
      <x:c r="F755" s="14" t="str">
        <x:v>cmsbj40n7000h04jwpx41ia5n</x:v>
      </x:c>
      <x:c r="G755" s="14" t="n">
        <x:v>14</x:v>
      </x:c>
      <x:c r="H755" s="14" t="str">
        <x:v>95385a97-89c9-4dac-ba8f-3eea57d6be51</x:v>
      </x:c>
      <x:c r="I755" s="14" t="str">
        <x:v>AHK &amp; Ors, R (On the Application Of) v Secretary of State for the Home Department</x:v>
      </x:c>
      <x:c r="J755" s="14" t="str">
        <x:v>England and Wales Court of Appeal (Civil Division)</x:v>
      </x:c>
      <x:c r="K755" s="14" t="n">
        <x:v>2014</x:v>
      </x:c>
      <x:c r="L755" s="15" t="n">
        <x:v>0.6551831</x:v>
      </x:c>
      <x:c r="M755" s="14" t="n">
        <x:v>1</x:v>
      </x:c>
      <x:c r="N755" s="14" t="str"/>
    </x:row>
    <x:row r="756">
      <x:c r="A756" s="1" t="str">
        <x:v>cmsbj2peo000b04jw4kua4pz9</x:v>
      </x:c>
      <x:c r="B756" s="1" t="str">
        <x:v>cms1pp04x000404jswgoarvrt</x:v>
      </x:c>
      <x:c r="C756" s="1" t="str">
        <x:v>ca-2024-001541-the-king-on-the-application-of-respondent-skeleton</x:v>
      </x:c>
      <x:c r="D756" s="12" t="n">
        <x:v>46236.34585987269</x:v>
      </x:c>
      <x:c r="E756" s="1" t="str">
        <x:v>yes</x:v>
      </x:c>
      <x:c r="F756" s="14" t="str">
        <x:v>cmsbj40n7000h04jwpx41ia5n</x:v>
      </x:c>
      <x:c r="G756" s="14" t="n">
        <x:v>15</x:v>
      </x:c>
      <x:c r="H756" s="14" t="str">
        <x:v>a01023c5-c3f7-4474-b50b-b4e9f4534b7a</x:v>
      </x:c>
      <x:c r="I756" s="14" t="str">
        <x:v>Williams v Devon County Council [2016] EWCA Civ 419</x:v>
      </x:c>
      <x:c r="J756" s="14" t="str">
        <x:v>England and Wales Court of Appeal (Civil Division)</x:v>
      </x:c>
      <x:c r="K756" s="14" t="n">
        <x:v>2016</x:v>
      </x:c>
      <x:c r="L756" s="15" t="n">
        <x:v>0.6541283</x:v>
      </x:c>
      <x:c r="M756" s="14" t="n">
        <x:v>2</x:v>
      </x:c>
      <x:c r="N756" s="14" t="str"/>
    </x:row>
    <x:row r="757">
      <x:c r="A757" s="1" t="str">
        <x:v>cmsbj2peo000b04jw4kua4pz9</x:v>
      </x:c>
      <x:c r="B757" s="1" t="str">
        <x:v>cms1pp04x000404jswgoarvrt</x:v>
      </x:c>
      <x:c r="C757" s="1" t="str">
        <x:v>ca-2024-001541-the-king-on-the-application-of-respondent-skeleton</x:v>
      </x:c>
      <x:c r="D757" s="12" t="n">
        <x:v>46236.34585987269</x:v>
      </x:c>
      <x:c r="E757" s="1" t="str">
        <x:v>yes</x:v>
      </x:c>
      <x:c r="F757" s="14" t="str">
        <x:v>cmsbj40n7000h04jwpx41ia5n</x:v>
      </x:c>
      <x:c r="G757" s="14" t="n">
        <x:v>16</x:v>
      </x:c>
      <x:c r="H757" s="14" t="str">
        <x:v>475da4c1-c7bc-465e-97de-b7e84c625ddb</x:v>
      </x:c>
      <x:c r="I757" s="14" t="str">
        <x:v>Sanam v National Crime Agency [2015] EWCA Civ 1234</x:v>
      </x:c>
      <x:c r="J757" s="14" t="str">
        <x:v>England and Wales Court of Appeal (Civil Division)</x:v>
      </x:c>
      <x:c r="K757" s="14" t="n">
        <x:v>2015</x:v>
      </x:c>
      <x:c r="L757" s="15" t="n">
        <x:v>0.6534419</x:v>
      </x:c>
      <x:c r="M757" s="14" t="n">
        <x:v>1</x:v>
      </x:c>
      <x:c r="N757" s="14" t="str"/>
    </x:row>
    <x:row r="758">
      <x:c r="A758" s="1" t="str">
        <x:v>cmsbj2peo000b04jw4kua4pz9</x:v>
      </x:c>
      <x:c r="B758" s="1" t="str">
        <x:v>cms1pp04x000404jswgoarvrt</x:v>
      </x:c>
      <x:c r="C758" s="1" t="str">
        <x:v>ca-2024-001541-the-king-on-the-application-of-respondent-skeleton</x:v>
      </x:c>
      <x:c r="D758" s="12" t="n">
        <x:v>46236.34585987269</x:v>
      </x:c>
      <x:c r="E758" s="1" t="str">
        <x:v>yes</x:v>
      </x:c>
      <x:c r="F758" s="14" t="str">
        <x:v>cmsbj40n7000h04jwpx41ia5n</x:v>
      </x:c>
      <x:c r="G758" s="14" t="n">
        <x:v>17</x:v>
      </x:c>
      <x:c r="H758" s="14" t="str">
        <x:v>f78142fc-13ea-4fb5-9a5e-1efbdc8d3c38</x:v>
      </x:c>
      <x:c r="I758" s="14" t="str">
        <x:v>AAA (Syria) &amp; Ors v Secretary of State for the Home Department [2023] EWCA Civ 266</x:v>
      </x:c>
      <x:c r="J758" s="14" t="str">
        <x:v>England and Wales Court of Appeal (Civil Division)</x:v>
      </x:c>
      <x:c r="K758" s="14" t="n">
        <x:v>2023</x:v>
      </x:c>
      <x:c r="L758" s="15" t="n">
        <x:v>0.6524531</x:v>
      </x:c>
      <x:c r="M758" s="14" t="n">
        <x:v>1</x:v>
      </x:c>
      <x:c r="N758" s="14" t="str"/>
    </x:row>
    <x:row r="759">
      <x:c r="A759" s="1" t="str">
        <x:v>cmsbj2peo000b04jw4kua4pz9</x:v>
      </x:c>
      <x:c r="B759" s="1" t="str">
        <x:v>cms1pp04x000404jswgoarvrt</x:v>
      </x:c>
      <x:c r="C759" s="1" t="str">
        <x:v>ca-2024-001541-the-king-on-the-application-of-respondent-skeleton</x:v>
      </x:c>
      <x:c r="D759" s="12" t="n">
        <x:v>46236.34585987269</x:v>
      </x:c>
      <x:c r="E759" s="1" t="str">
        <x:v>yes</x:v>
      </x:c>
      <x:c r="F759" s="14" t="str">
        <x:v>cmsbj40n7000h04jwpx41ia5n</x:v>
      </x:c>
      <x:c r="G759" s="14" t="n">
        <x:v>18</x:v>
      </x:c>
      <x:c r="H759" s="14" t="str">
        <x:v>6fa3d0da-7143-471b-a26b-908ca5e65b60</x:v>
      </x:c>
      <x:c r="I759" s="14" t="str">
        <x:v>Turley v London Borough of Wandsworth &amp; Anor [2017] EWCA Civ 189</x:v>
      </x:c>
      <x:c r="J759" s="14" t="str">
        <x:v>England and Wales Court of Appeal (Civil Division)</x:v>
      </x:c>
      <x:c r="K759" s="14" t="n">
        <x:v>2017</x:v>
      </x:c>
      <x:c r="L759" s="15" t="n">
        <x:v>0.65214396</x:v>
      </x:c>
      <x:c r="M759" s="14" t="n">
        <x:v>1</x:v>
      </x:c>
      <x:c r="N759" s="14" t="str"/>
    </x:row>
    <x:row r="760">
      <x:c r="A760" s="1" t="str">
        <x:v>cmsbj2peo000b04jw4kua4pz9</x:v>
      </x:c>
      <x:c r="B760" s="1" t="str">
        <x:v>cms1pp04x000404jswgoarvrt</x:v>
      </x:c>
      <x:c r="C760" s="1" t="str">
        <x:v>ca-2024-001541-the-king-on-the-application-of-respondent-skeleton</x:v>
      </x:c>
      <x:c r="D760" s="12" t="n">
        <x:v>46236.34585987269</x:v>
      </x:c>
      <x:c r="E760" s="1" t="str">
        <x:v>yes</x:v>
      </x:c>
      <x:c r="F760" s="14" t="str">
        <x:v>cmsbj40n7000h04jwpx41ia5n</x:v>
      </x:c>
      <x:c r="G760" s="14" t="n">
        <x:v>19</x:v>
      </x:c>
      <x:c r="H760" s="14" t="str">
        <x:v>148abf64-4d41-4cef-af10-c9c9986896a1</x:v>
      </x:c>
      <x:c r="I760" s="14" t="str">
        <x:v>Kanu, R (On the Application Of) v Secretary of State for Foreign, Commonwealth and Development Affairs [2023] EWCA Civ 796</x:v>
      </x:c>
      <x:c r="J760" s="14" t="str">
        <x:v>England and Wales Court of Appeal (Civil Division)</x:v>
      </x:c>
      <x:c r="K760" s="14" t="n">
        <x:v>2023</x:v>
      </x:c>
      <x:c r="L760" s="15" t="n">
        <x:v>0.6510971</x:v>
      </x:c>
      <x:c r="M760" s="14" t="n">
        <x:v>1</x:v>
      </x:c>
      <x:c r="N760" s="14" t="str">
        <x:v>R (Abbasi) v Secretary of State for Foreign and Commonwealth Affairs [2002] EWCA Civ 159 | Abbasi v Secretary of State for Foreign and Commonwealth Affairs [2003] UKHRR 76 | Secretary of State for Education and Science v Tameside MBC [1977] AC 1014 | GCHQ (Council of Civil Service Unions v Minister for the Civil Service) [1985] AC 374</x:v>
      </x:c>
    </x:row>
    <x:row r="761">
      <x:c r="A761" s="1" t="str">
        <x:v>cmsbj2peo000b04jw4kua4pz9</x:v>
      </x:c>
      <x:c r="B761" s="1" t="str">
        <x:v>cms1pp04x000404jswgoarvrt</x:v>
      </x:c>
      <x:c r="C761" s="1" t="str">
        <x:v>ca-2024-001541-the-king-on-the-application-of-respondent-skeleton</x:v>
      </x:c>
      <x:c r="D761" s="12" t="n">
        <x:v>46236.34585987269</x:v>
      </x:c>
      <x:c r="E761" s="1" t="str">
        <x:v>yes</x:v>
      </x:c>
      <x:c r="F761" s="14" t="str">
        <x:v>cmsbj40n7000h04jwpx41ia5n</x:v>
      </x:c>
      <x:c r="G761" s="14" t="n">
        <x:v>20</x:v>
      </x:c>
      <x:c r="H761" s="14" t="str">
        <x:v>bfa85128-3daf-4206-8d8f-d2dc5f32ab27</x:v>
      </x:c>
      <x:c r="I761" s="14" t="str">
        <x:v>Regency Factors Plc v HM Revenue &amp; Customs (Rev1) [2022] EWCA Civ 103</x:v>
      </x:c>
      <x:c r="J761" s="14" t="str">
        <x:v>England and Wales Court of Appeal (Civil Division)</x:v>
      </x:c>
      <x:c r="K761" s="14" t="n">
        <x:v>2022</x:v>
      </x:c>
      <x:c r="L761" s="15" t="n">
        <x:v>0.65046674</x:v>
      </x:c>
      <x:c r="M761" s="14" t="n">
        <x:v>1</x:v>
      </x:c>
      <x:c r="N761" s="14" t="str">
        <x:v>[2020] UKUT 357 (TCC) | [2019] UKFTT 0144 (TC)</x:v>
      </x:c>
    </x:row>
    <x:row r="762">
      <x:c r="A762" s="1" t="str">
        <x:v>cmsbquoo1000b04jnq0yxkb5g</x:v>
      </x:c>
      <x:c r="B762" s="1" t="str">
        <x:v>cmsbqtxwq000204jnp11i99l8</x:v>
      </x:c>
      <x:c r="C762" s="1" t="str">
        <x:v>ca-2024-000255-the-king-on-the-application-of-appellant-skeleton</x:v>
      </x:c>
      <x:c r="D762" s="12" t="n">
        <x:v>46236.49704892361</x:v>
      </x:c>
      <x:c r="E762" s="1" t="str">
        <x:v>yes</x:v>
      </x:c>
      <x:c r="F762" s="14" t="str">
        <x:v>cmsbqvqsj000h04jnb8tn656h</x:v>
      </x:c>
      <x:c r="G762" s="14" t="n">
        <x:v>1</x:v>
      </x:c>
      <x:c r="H762" s="14" t="str">
        <x:v>dfa97e6e-7e32-4c80-9f6f-5e4f398f9d82</x:v>
      </x:c>
      <x:c r="I762" s="14" t="str">
        <x:v>Velyo Velev v. Bulgaria (Application No. 16032/07)</x:v>
      </x:c>
      <x:c r="J762" s="14" t="str">
        <x:v>European Court of Human Rights (Fourth Section)</x:v>
      </x:c>
      <x:c r="K762" s="14" t="n">
        <x:v>2014</x:v>
      </x:c>
      <x:c r="L762" s="15" t="n">
        <x:v>0.7838856</x:v>
      </x:c>
      <x:c r="M762" s="14" t="n">
        <x:v>7</x:v>
      </x:c>
      <x:c r="N762" s="14" t="str">
        <x:v>Debates on education rights in the European Context. | Committee of Ministers Recommendations | European Convention on Human Rights | Previous judgments affecting educational rights.</x:v>
      </x:c>
    </x:row>
    <x:row r="763">
      <x:c r="A763" s="1" t="str">
        <x:v>cmsbquoo1000b04jnq0yxkb5g</x:v>
      </x:c>
      <x:c r="B763" s="1" t="str">
        <x:v>cmsbqtxwq000204jnp11i99l8</x:v>
      </x:c>
      <x:c r="C763" s="1" t="str">
        <x:v>ca-2024-000255-the-king-on-the-application-of-appellant-skeleton</x:v>
      </x:c>
      <x:c r="D763" s="12" t="n">
        <x:v>46236.49704892361</x:v>
      </x:c>
      <x:c r="E763" s="1" t="str">
        <x:v>yes</x:v>
      </x:c>
      <x:c r="F763" s="14" t="str">
        <x:v>cmsbqvqsj000h04jnb8tn656h</x:v>
      </x:c>
      <x:c r="G763" s="14" t="n">
        <x:v>2</x:v>
      </x:c>
      <x:c r="H763" s="14" t="str">
        <x:v>d60a5323-796e-4110-a6de-012ec16860c1</x:v>
      </x:c>
      <x:c r="I763" s="14" t="str">
        <x:v>The Howard League for Penal Reform and Prisoners' Advice Service v The Lord Chancellor</x:v>
      </x:c>
      <x:c r="J763" s="14" t="str">
        <x:v>England and Wales Court of Appeal (Civil Division)</x:v>
      </x:c>
      <x:c r="K763" s="14" t="n">
        <x:v>2015</x:v>
      </x:c>
      <x:c r="L763" s="15" t="n">
        <x:v>0.755713</x:v>
      </x:c>
      <x:c r="M763" s="14" t="n">
        <x:v>4</x:v>
      </x:c>
      <x:c r="N763" s="14" t="str">
        <x:v>R (Refugee Legal Centre) Secretary of State for the Home Department</x:v>
      </x:c>
    </x:row>
    <x:row r="764">
      <x:c r="A764" s="1" t="str">
        <x:v>cmsbquoo1000b04jnq0yxkb5g</x:v>
      </x:c>
      <x:c r="B764" s="1" t="str">
        <x:v>cmsbqtxwq000204jnp11i99l8</x:v>
      </x:c>
      <x:c r="C764" s="1" t="str">
        <x:v>ca-2024-000255-the-king-on-the-application-of-appellant-skeleton</x:v>
      </x:c>
      <x:c r="D764" s="12" t="n">
        <x:v>46236.49704892361</x:v>
      </x:c>
      <x:c r="E764" s="1" t="str">
        <x:v>yes</x:v>
      </x:c>
      <x:c r="F764" s="14" t="str">
        <x:v>cmsbqvqsj000h04jnb8tn656h</x:v>
      </x:c>
      <x:c r="G764" s="14" t="n">
        <x:v>3</x:v>
      </x:c>
      <x:c r="H764" s="14" t="str">
        <x:v>c5a5edf0-4845-4195-a969-082c8b5afa2a</x:v>
      </x:c>
      <x:c r="I764" s="14" t="str">
        <x:v>BK &amp; Anor v The Secretary of State for Justice [2015] EWCA Civ 1259</x:v>
      </x:c>
      <x:c r="J764" s="14" t="str">
        <x:v>England and Wales Court of Appeal (Civil Division)</x:v>
      </x:c>
      <x:c r="K764" s="14" t="n">
        <x:v>2015</x:v>
      </x:c>
      <x:c r="L764" s="15" t="n">
        <x:v>0.72668743</x:v>
      </x:c>
      <x:c r="M764" s="14" t="n">
        <x:v>2</x:v>
      </x:c>
      <x:c r="N764" s="14" t="str">
        <x:v>European Convention on Human Rights</x:v>
      </x:c>
    </x:row>
    <x:row r="765">
      <x:c r="A765" s="1" t="str">
        <x:v>cmsbquoo1000b04jnq0yxkb5g</x:v>
      </x:c>
      <x:c r="B765" s="1" t="str">
        <x:v>cmsbqtxwq000204jnp11i99l8</x:v>
      </x:c>
      <x:c r="C765" s="1" t="str">
        <x:v>ca-2024-000255-the-king-on-the-application-of-appellant-skeleton</x:v>
      </x:c>
      <x:c r="D765" s="12" t="n">
        <x:v>46236.49704892361</x:v>
      </x:c>
      <x:c r="E765" s="1" t="str">
        <x:v>yes</x:v>
      </x:c>
      <x:c r="F765" s="14" t="str">
        <x:v>cmsbqvqsj000h04jnb8tn656h</x:v>
      </x:c>
      <x:c r="G765" s="14" t="n">
        <x:v>4</x:v>
      </x:c>
      <x:c r="H765" s="14" t="str">
        <x:v>464b6335-7623-49ec-8536-df2bb3ae5a4d</x:v>
      </x:c>
      <x:c r="I765" s="14" t="str">
        <x:v>Parratt, R (on the application of) v Parole Board</x:v>
      </x:c>
      <x:c r="J765" s="14" t="str">
        <x:v>England and Wales Court of Appeal (Civil Division)</x:v>
      </x:c>
      <x:c r="K765" s="14" t="n">
        <x:v>2014</x:v>
      </x:c>
      <x:c r="L765" s="15" t="n">
        <x:v>0.72371733</x:v>
      </x:c>
      <x:c r="M765" s="14" t="n">
        <x:v>2</x:v>
      </x:c>
      <x:c r="N765" s="14" t="str">
        <x:v>R (Faulkner) v Secretary of State for Justice | R (Sturnham) v Parole Board | R (James) v Secretary of State for Justice | R (Noorkoiv) v Secretary of State for the Home Department</x:v>
      </x:c>
    </x:row>
    <x:row r="766">
      <x:c r="A766" s="1" t="str">
        <x:v>cmsbquoo1000b04jnq0yxkb5g</x:v>
      </x:c>
      <x:c r="B766" s="1" t="str">
        <x:v>cmsbqtxwq000204jnp11i99l8</x:v>
      </x:c>
      <x:c r="C766" s="1" t="str">
        <x:v>ca-2024-000255-the-king-on-the-application-of-appellant-skeleton</x:v>
      </x:c>
      <x:c r="D766" s="12" t="n">
        <x:v>46236.49704892361</x:v>
      </x:c>
      <x:c r="E766" s="1" t="str">
        <x:v>yes</x:v>
      </x:c>
      <x:c r="F766" s="14" t="str">
        <x:v>cmsbqvqsj000h04jnb8tn656h</x:v>
      </x:c>
      <x:c r="G766" s="14" t="n">
        <x:v>5</x:v>
      </x:c>
      <x:c r="H766" s="14" t="str">
        <x:v>cee945fc-95ce-4ed4-b003-4212c8b3f652</x:v>
      </x:c>
      <x:c r="I766" s="14" t="str">
        <x:v>R (Howard League for Penal Reform &amp; Anor) v The Lord Chancellor</x:v>
      </x:c>
      <x:c r="J766" s="14" t="str">
        <x:v>England and Wales Court of Appeal (Civil Division)</x:v>
      </x:c>
      <x:c r="K766" s="14" t="n">
        <x:v>2017</x:v>
      </x:c>
      <x:c r="L766" s="15" t="n">
        <x:v>0.71821296</x:v>
      </x:c>
      <x:c r="M766" s="14" t="n">
        <x:v>3</x:v>
      </x:c>
      <x:c r="N766" s="14" t="str">
        <x:v>Director of Legal Aid Casework v IS | R (Medical Justice) v Secretary of State for Home Department</x:v>
      </x:c>
    </x:row>
    <x:row r="767">
      <x:c r="A767" s="1" t="str">
        <x:v>cmsbquoo1000b04jnq0yxkb5g</x:v>
      </x:c>
      <x:c r="B767" s="1" t="str">
        <x:v>cmsbqtxwq000204jnp11i99l8</x:v>
      </x:c>
      <x:c r="C767" s="1" t="str">
        <x:v>ca-2024-000255-the-king-on-the-application-of-appellant-skeleton</x:v>
      </x:c>
      <x:c r="D767" s="12" t="n">
        <x:v>46236.49704892361</x:v>
      </x:c>
      <x:c r="E767" s="1" t="str">
        <x:v>yes</x:v>
      </x:c>
      <x:c r="F767" s="14" t="str">
        <x:v>cmsbqvqsj000h04jnb8tn656h</x:v>
      </x:c>
      <x:c r="G767" s="14" t="n">
        <x:v>6</x:v>
      </x:c>
      <x:c r="H767" s="14" t="str">
        <x:v>0dcbed84-c156-4a68-8ed1-5965dc040938</x:v>
      </x:c>
      <x:c r="I767" s="14" t="str">
        <x:v>Bowen v Secretary of State for Justice</x:v>
      </x:c>
      <x:c r="J767" s="14" t="str">
        <x:v>England and Wales Court of Appeal (Civil Division)</x:v>
      </x:c>
      <x:c r="K767" s="14" t="n">
        <x:v>2017</x:v>
      </x:c>
      <x:c r="L767" s="15" t="n">
        <x:v>0.7133349</x:v>
      </x:c>
      <x:c r="M767" s="14" t="n">
        <x:v>2</x:v>
      </x:c>
      <x:c r="N767" s="14" t="str">
        <x:v>R (Kaiyam) v Justice Secretary | Article 5 ECHR</x:v>
      </x:c>
    </x:row>
    <x:row r="768">
      <x:c r="A768" s="1" t="str">
        <x:v>cmsbquoo1000b04jnq0yxkb5g</x:v>
      </x:c>
      <x:c r="B768" s="1" t="str">
        <x:v>cmsbqtxwq000204jnp11i99l8</x:v>
      </x:c>
      <x:c r="C768" s="1" t="str">
        <x:v>ca-2024-000255-the-king-on-the-application-of-appellant-skeleton</x:v>
      </x:c>
      <x:c r="D768" s="12" t="n">
        <x:v>46236.49704892361</x:v>
      </x:c>
      <x:c r="E768" s="1" t="str">
        <x:v>yes</x:v>
      </x:c>
      <x:c r="F768" s="14" t="str">
        <x:v>cmsbqvqsj000h04jnb8tn656h</x:v>
      </x:c>
      <x:c r="G768" s="14" t="n">
        <x:v>7</x:v>
      </x:c>
      <x:c r="H768" s="14" t="str">
        <x:v>80701211-fe03-4dc0-972a-b2e5467876b9</x:v>
      </x:c>
      <x:c r="I768" s="14" t="str">
        <x:v>Idira, R (On the Application Of) v The Secretary of State for the Home Department (Rev 1) [2015] EWCA Civ 1187</x:v>
      </x:c>
      <x:c r="J768" s="14" t="str">
        <x:v>England and Wales Court of Appeal (Civil Division)</x:v>
      </x:c>
      <x:c r="K768" s="14" t="n">
        <x:v>2015</x:v>
      </x:c>
      <x:c r="L768" s="15" t="n">
        <x:v>0.7122231</x:v>
      </x:c>
      <x:c r="M768" s="14" t="n">
        <x:v>2</x:v>
      </x:c>
      <x:c r="N768" s="14" t="str"/>
    </x:row>
    <x:row r="769">
      <x:c r="A769" s="1" t="str">
        <x:v>cmsbquoo1000b04jnq0yxkb5g</x:v>
      </x:c>
      <x:c r="B769" s="1" t="str">
        <x:v>cmsbqtxwq000204jnp11i99l8</x:v>
      </x:c>
      <x:c r="C769" s="1" t="str">
        <x:v>ca-2024-000255-the-king-on-the-application-of-appellant-skeleton</x:v>
      </x:c>
      <x:c r="D769" s="12" t="n">
        <x:v>46236.49704892361</x:v>
      </x:c>
      <x:c r="E769" s="1" t="str">
        <x:v>yes</x:v>
      </x:c>
      <x:c r="F769" s="14" t="str">
        <x:v>cmsbqvqsj000h04jnb8tn656h</x:v>
      </x:c>
      <x:c r="G769" s="14" t="n">
        <x:v>8</x:v>
      </x:c>
      <x:c r="H769" s="14" t="str">
        <x:v>facdee26-7310-4355-9ef5-1fd21f107f72</x:v>
      </x:c>
      <x:c r="I769" s="14" t="str">
        <x:v>Kalda v. Estonia - Access to Information Rights for Prisoners</x:v>
      </x:c>
      <x:c r="J769" s="14" t="str">
        <x:v>European Court of Human Rights (Second Section)</x:v>
      </x:c>
      <x:c r="K769" s="14" t="n">
        <x:v>2016</x:v>
      </x:c>
      <x:c r="L769" s="15" t="n">
        <x:v>0.71163917</x:v>
      </x:c>
      <x:c r="M769" s="14" t="n">
        <x:v>3</x:v>
      </x:c>
      <x:c r="N769" s="14" t="str">
        <x:v>Article 44 of the Convention | Public Information Act</x:v>
      </x:c>
    </x:row>
    <x:row r="770">
      <x:c r="A770" s="1" t="str">
        <x:v>cmsbquoo1000b04jnq0yxkb5g</x:v>
      </x:c>
      <x:c r="B770" s="1" t="str">
        <x:v>cmsbqtxwq000204jnp11i99l8</x:v>
      </x:c>
      <x:c r="C770" s="1" t="str">
        <x:v>ca-2024-000255-the-king-on-the-application-of-appellant-skeleton</x:v>
      </x:c>
      <x:c r="D770" s="12" t="n">
        <x:v>46236.49704892361</x:v>
      </x:c>
      <x:c r="E770" s="1" t="str">
        <x:v>yes</x:v>
      </x:c>
      <x:c r="F770" s="14" t="str">
        <x:v>cmsbqvqsj000h04jnb8tn656h</x:v>
      </x:c>
      <x:c r="G770" s="14" t="n">
        <x:v>9</x:v>
      </x:c>
      <x:c r="H770" s="14" t="str">
        <x:v>7e8929e7-4b3c-4492-b8b5-e01b9ccfcf2c</x:v>
      </x:c>
      <x:c r="I770" s="14" t="str">
        <x:v>Zenati v Police of the Metropolis &amp; Anor [2015] EWCA Civ 80</x:v>
      </x:c>
      <x:c r="J770" s="14" t="str">
        <x:v>England and Wales Court of Appeal (Civil Division)</x:v>
      </x:c>
      <x:c r="K770" s="14" t="n">
        <x:v>2015</x:v>
      </x:c>
      <x:c r="L770" s="15" t="n">
        <x:v>0.7054665</x:v>
      </x:c>
      <x:c r="M770" s="14" t="n">
        <x:v>3</x:v>
      </x:c>
      <x:c r="N770" s="14" t="str">
        <x:v>James v United Kingdom | Tomasi v France | Schiesser v Switzerland</x:v>
      </x:c>
    </x:row>
    <x:row r="771">
      <x:c r="A771" s="1" t="str">
        <x:v>cmsbquoo1000b04jnq0yxkb5g</x:v>
      </x:c>
      <x:c r="B771" s="1" t="str">
        <x:v>cmsbqtxwq000204jnp11i99l8</x:v>
      </x:c>
      <x:c r="C771" s="1" t="str">
        <x:v>ca-2024-000255-the-king-on-the-application-of-appellant-skeleton</x:v>
      </x:c>
      <x:c r="D771" s="12" t="n">
        <x:v>46236.49704892361</x:v>
      </x:c>
      <x:c r="E771" s="1" t="str">
        <x:v>yes</x:v>
      </x:c>
      <x:c r="F771" s="14" t="str">
        <x:v>cmsbqvqsj000h04jnb8tn656h</x:v>
      </x:c>
      <x:c r="G771" s="14" t="n">
        <x:v>10</x:v>
      </x:c>
      <x:c r="H771" s="14" t="str">
        <x:v>9cd8bb4c-43ff-49b2-8bc4-b8df5f3727d6</x:v>
      </x:c>
      <x:c r="I771" s="14" t="str">
        <x:v>Weddle (R on the application of) v The Secretary of State for Justice [2016] EWCA Civ 38 (Court of Appeal, Civil Division)</x:v>
      </x:c>
      <x:c r="J771" s="14" t="str">
        <x:v>England and Wales Court of Appeal (Civil Division)</x:v>
      </x:c>
      <x:c r="K771" s="14" t="n">
        <x:v>2016</x:v>
      </x:c>
      <x:c r="L771" s="15" t="n">
        <x:v>0.70488954</x:v>
      </x:c>
      <x:c r="M771" s="14" t="n">
        <x:v>1</x:v>
      </x:c>
      <x:c r="N771" s="14" t="str">
        <x:v>Kaiyam | James | Walker | Cawser | Dunn | Pham</x:v>
      </x:c>
    </x:row>
    <x:row r="772">
      <x:c r="A772" s="1" t="str">
        <x:v>cmsbquoo1000b04jnq0yxkb5g</x:v>
      </x:c>
      <x:c r="B772" s="1" t="str">
        <x:v>cmsbqtxwq000204jnp11i99l8</x:v>
      </x:c>
      <x:c r="C772" s="1" t="str">
        <x:v>ca-2024-000255-the-king-on-the-application-of-appellant-skeleton</x:v>
      </x:c>
      <x:c r="D772" s="12" t="n">
        <x:v>46236.49704892361</x:v>
      </x:c>
      <x:c r="E772" s="1" t="str">
        <x:v>yes</x:v>
      </x:c>
      <x:c r="F772" s="14" t="str">
        <x:v>cmsbqvqsj000h04jnb8tn656h</x:v>
      </x:c>
      <x:c r="G772" s="14" t="n">
        <x:v>11</x:v>
      </x:c>
      <x:c r="H772" s="14" t="str">
        <x:v>22f5a58b-4272-4bb0-8476-e2d0333f5032</x:v>
      </x:c>
      <x:c r="I772" s="14" t="str">
        <x:v>BB, PP, W, U &amp; Ors v Secretary of State for the Home Department</x:v>
      </x:c>
      <x:c r="J772" s="14" t="str">
        <x:v>England and Wales Court of Appeal (Civil Division)</x:v>
      </x:c>
      <x:c r="K772" s="14" t="n">
        <x:v>2015</x:v>
      </x:c>
      <x:c r="L772" s="15" t="n">
        <x:v>0.7031524</x:v>
      </x:c>
      <x:c r="M772" s="14" t="n">
        <x:v>1</x:v>
      </x:c>
      <x:c r="N772" s="14" t="str"/>
    </x:row>
    <x:row r="773">
      <x:c r="A773" s="1" t="str">
        <x:v>cmsbquoo1000b04jnq0yxkb5g</x:v>
      </x:c>
      <x:c r="B773" s="1" t="str">
        <x:v>cmsbqtxwq000204jnp11i99l8</x:v>
      </x:c>
      <x:c r="C773" s="1" t="str">
        <x:v>ca-2024-000255-the-king-on-the-application-of-appellant-skeleton</x:v>
      </x:c>
      <x:c r="D773" s="12" t="n">
        <x:v>46236.49704892361</x:v>
      </x:c>
      <x:c r="E773" s="1" t="str">
        <x:v>yes</x:v>
      </x:c>
      <x:c r="F773" s="14" t="str">
        <x:v>cmsbqvqsj000h04jnb8tn656h</x:v>
      </x:c>
      <x:c r="G773" s="14" t="n">
        <x:v>12</x:v>
      </x:c>
      <x:c r="H773" s="14" t="str">
        <x:v>3ade0032-d575-425c-850a-86f1701fb8bd</x:v>
      </x:c>
      <x:c r="I773" s="14" t="str">
        <x:v>Knights v Secretary of State for Justice [2017] EWCA Civ 1053</x:v>
      </x:c>
      <x:c r="J773" s="14" t="str">
        <x:v>England and Wales Court of Appeal (Civil Division)</x:v>
      </x:c>
      <x:c r="K773" s="14" t="n">
        <x:v>2017</x:v>
      </x:c>
      <x:c r="L773" s="15" t="n">
        <x:v>0.70302856</x:v>
      </x:c>
      <x:c r="M773" s="14" t="n">
        <x:v>2</x:v>
      </x:c>
      <x:c r="N773" s="14" t="str"/>
    </x:row>
    <x:row r="774">
      <x:c r="A774" s="1" t="str">
        <x:v>cmsbquoo1000b04jnq0yxkb5g</x:v>
      </x:c>
      <x:c r="B774" s="1" t="str">
        <x:v>cmsbqtxwq000204jnp11i99l8</x:v>
      </x:c>
      <x:c r="C774" s="1" t="str">
        <x:v>ca-2024-000255-the-king-on-the-application-of-appellant-skeleton</x:v>
      </x:c>
      <x:c r="D774" s="12" t="n">
        <x:v>46236.49704892361</x:v>
      </x:c>
      <x:c r="E774" s="1" t="str">
        <x:v>yes</x:v>
      </x:c>
      <x:c r="F774" s="14" t="str">
        <x:v>cmsbqvqsj000h04jnb8tn656h</x:v>
      </x:c>
      <x:c r="G774" s="14" t="n">
        <x:v>13</x:v>
      </x:c>
      <x:c r="H774" s="14" t="str">
        <x:v>0c4144ef-9642-4280-9526-95be21a99f19</x:v>
      </x:c>
      <x:c r="I774" s="14" t="str">
        <x:v>Bayliss v The Parole Board of England And Wales &amp; Anor [2014] EWCA Civ 1631</x:v>
      </x:c>
      <x:c r="J774" s="14" t="str">
        <x:v>England and Wales Court of Appeal (Civil Division)</x:v>
      </x:c>
      <x:c r="K774" s="14" t="n">
        <x:v>2014</x:v>
      </x:c>
      <x:c r="L774" s="15" t="n">
        <x:v>0.7017567</x:v>
      </x:c>
      <x:c r="M774" s="14" t="n">
        <x:v>1</x:v>
      </x:c>
      <x:c r="N774" s="14" t="str">
        <x:v>R v Cain [1985] AC 46</x:v>
      </x:c>
    </x:row>
    <x:row r="775">
      <x:c r="A775" s="1" t="str">
        <x:v>cmsbquoo1000b04jnq0yxkb5g</x:v>
      </x:c>
      <x:c r="B775" s="1" t="str">
        <x:v>cmsbqtxwq000204jnp11i99l8</x:v>
      </x:c>
      <x:c r="C775" s="1" t="str">
        <x:v>ca-2024-000255-the-king-on-the-application-of-appellant-skeleton</x:v>
      </x:c>
      <x:c r="D775" s="12" t="n">
        <x:v>46236.49704892361</x:v>
      </x:c>
      <x:c r="E775" s="1" t="str">
        <x:v>yes</x:v>
      </x:c>
      <x:c r="F775" s="14" t="str">
        <x:v>cmsbqvqsj000h04jnb8tn656h</x:v>
      </x:c>
      <x:c r="G775" s="14" t="n">
        <x:v>14</x:v>
      </x:c>
      <x:c r="H775" s="14" t="str">
        <x:v>90f8b18f-1e00-4177-9cfb-1304fdbc0a97</x:v>
      </x:c>
      <x:c r="I775" s="14" t="str">
        <x:v>Bayliss v The Parole Board of England &amp; Wales [2014] EWCA Civ 1268</x:v>
      </x:c>
      <x:c r="J775" s="14" t="str">
        <x:v>England and Wales Court of Appeal (Civil Division)</x:v>
      </x:c>
      <x:c r="K775" s="14" t="n">
        <x:v>2014</x:v>
      </x:c>
      <x:c r="L775" s="15" t="n">
        <x:v>0.69986737</x:v>
      </x:c>
      <x:c r="M775" s="14" t="n">
        <x:v>1</x:v>
      </x:c>
      <x:c r="N775" s="14" t="str"/>
    </x:row>
    <x:row r="776">
      <x:c r="A776" s="1" t="str">
        <x:v>cmsbquoo1000b04jnq0yxkb5g</x:v>
      </x:c>
      <x:c r="B776" s="1" t="str">
        <x:v>cmsbqtxwq000204jnp11i99l8</x:v>
      </x:c>
      <x:c r="C776" s="1" t="str">
        <x:v>ca-2024-000255-the-king-on-the-application-of-appellant-skeleton</x:v>
      </x:c>
      <x:c r="D776" s="12" t="n">
        <x:v>46236.49704892361</x:v>
      </x:c>
      <x:c r="E776" s="1" t="str">
        <x:v>yes</x:v>
      </x:c>
      <x:c r="F776" s="14" t="str">
        <x:v>cmsbqvqsj000h04jnb8tn656h</x:v>
      </x:c>
      <x:c r="G776" s="14" t="n">
        <x:v>15</x:v>
      </x:c>
      <x:c r="H776" s="14" t="str">
        <x:v>da4b6be7-2b22-4bd1-af6b-a68873f0af8d</x:v>
      </x:c>
      <x:c r="I776" s="14" t="str">
        <x:v>Bright &amp; Anor v The Secretary of State for Justice</x:v>
      </x:c>
      <x:c r="J776" s="14" t="str">
        <x:v>England and Wales Court of Appeal (Civil Division)</x:v>
      </x:c>
      <x:c r="K776" s="14" t="n">
        <x:v>2014</x:v>
      </x:c>
      <x:c r="L776" s="15" t="n">
        <x:v>0.6997929</x:v>
      </x:c>
      <x:c r="M776" s="14" t="n">
        <x:v>2</x:v>
      </x:c>
      <x:c r="N776" s="14" t="str"/>
    </x:row>
    <x:row r="777">
      <x:c r="A777" s="1" t="str">
        <x:v>cmsbquoo1000b04jnq0yxkb5g</x:v>
      </x:c>
      <x:c r="B777" s="1" t="str">
        <x:v>cmsbqtxwq000204jnp11i99l8</x:v>
      </x:c>
      <x:c r="C777" s="1" t="str">
        <x:v>ca-2024-000255-the-king-on-the-application-of-appellant-skeleton</x:v>
      </x:c>
      <x:c r="D777" s="12" t="n">
        <x:v>46236.49704892361</x:v>
      </x:c>
      <x:c r="E777" s="1" t="str">
        <x:v>yes</x:v>
      </x:c>
      <x:c r="F777" s="14" t="str">
        <x:v>cmsbqvqsj000h04jnb8tn656h</x:v>
      </x:c>
      <x:c r="G777" s="14" t="n">
        <x:v>16</x:v>
      </x:c>
      <x:c r="H777" s="14" t="str">
        <x:v>57d5bf6b-b5e4-4a29-8fe8-fc6caf7108e9</x:v>
      </x:c>
      <x:c r="I777" s="14" t="str">
        <x:v>Abedin, R (On the Application Of) v Secretary of State for the Home Department [2016] EWCA Civ 296 (10 March 2016)</x:v>
      </x:c>
      <x:c r="J777" s="14" t="str">
        <x:v>England and Wales Court of Appeal (Civil Division)</x:v>
      </x:c>
      <x:c r="K777" s="14" t="n">
        <x:v>2016</x:v>
      </x:c>
      <x:c r="L777" s="15" t="n">
        <x:v>0.6983668</x:v>
      </x:c>
      <x:c r="M777" s="14" t="n">
        <x:v>1</x:v>
      </x:c>
      <x:c r="N777" s="14" t="str">
        <x:v>Del Rio Prada v Spain | Uttley | Robinson</x:v>
      </x:c>
    </x:row>
    <x:row r="778">
      <x:c r="A778" s="1" t="str">
        <x:v>cmsbquoo1000b04jnq0yxkb5g</x:v>
      </x:c>
      <x:c r="B778" s="1" t="str">
        <x:v>cmsbqtxwq000204jnp11i99l8</x:v>
      </x:c>
      <x:c r="C778" s="1" t="str">
        <x:v>ca-2024-000255-the-king-on-the-application-of-appellant-skeleton</x:v>
      </x:c>
      <x:c r="D778" s="12" t="n">
        <x:v>46236.49704892361</x:v>
      </x:c>
      <x:c r="E778" s="1" t="str">
        <x:v>yes</x:v>
      </x:c>
      <x:c r="F778" s="14" t="str">
        <x:v>cmsbqvqsj000h04jnb8tn656h</x:v>
      </x:c>
      <x:c r="G778" s="14" t="n">
        <x:v>17</x:v>
      </x:c>
      <x:c r="H778" s="14" t="str">
        <x:v>037fedaf-bb6c-4013-9ebb-6bc7192c7525</x:v>
      </x:c>
      <x:c r="I778" s="14" t="str">
        <x:v>Tabbakh, R (On the Application Of) v Staffordshire And West Midlands Probation Trust &amp; Anor</x:v>
      </x:c>
      <x:c r="J778" s="14" t="str">
        <x:v>England and Wales Court of Appeal (Civil Division)</x:v>
      </x:c>
      <x:c r="K778" s="14" t="n">
        <x:v>2014</x:v>
      </x:c>
      <x:c r="L778" s="15" t="n">
        <x:v>0.69675994</x:v>
      </x:c>
      <x:c r="M778" s="14" t="n">
        <x:v>1</x:v>
      </x:c>
      <x:c r="N778" s="14" t="str">
        <x:v>R (Refugee Legal Centre) v Secretary of State for the Home Department</x:v>
      </x:c>
    </x:row>
    <x:row r="779">
      <x:c r="A779" s="1" t="str">
        <x:v>cmsbquoo1000b04jnq0yxkb5g</x:v>
      </x:c>
      <x:c r="B779" s="1" t="str">
        <x:v>cmsbqtxwq000204jnp11i99l8</x:v>
      </x:c>
      <x:c r="C779" s="1" t="str">
        <x:v>ca-2024-000255-the-king-on-the-application-of-appellant-skeleton</x:v>
      </x:c>
      <x:c r="D779" s="12" t="n">
        <x:v>46236.49704892361</x:v>
      </x:c>
      <x:c r="E779" s="1" t="str">
        <x:v>yes</x:v>
      </x:c>
      <x:c r="F779" s="14" t="str">
        <x:v>cmsbqvqsj000h04jnb8tn656h</x:v>
      </x:c>
      <x:c r="G779" s="14" t="n">
        <x:v>18</x:v>
      </x:c>
      <x:c r="H779" s="14" t="str">
        <x:v>cd2db340-265d-46ef-86dd-180d07c4fea9</x:v>
      </x:c>
      <x:c r="I779" s="14" t="str">
        <x:v>AE (Algeria) v Secretary of State for the Home Department</x:v>
      </x:c>
      <x:c r="J779" s="14" t="str">
        <x:v>England and Wales Court of Appeal (Civil Division)</x:v>
      </x:c>
      <x:c r="K779" s="14" t="n">
        <x:v>2014</x:v>
      </x:c>
      <x:c r="L779" s="15" t="n">
        <x:v>0.69638973</x:v>
      </x:c>
      <x:c r="M779" s="14" t="n">
        <x:v>1</x:v>
      </x:c>
      <x:c r="N779" s="14" t="str"/>
    </x:row>
    <x:row r="780">
      <x:c r="A780" s="1" t="str">
        <x:v>cmsbquoo1000b04jnq0yxkb5g</x:v>
      </x:c>
      <x:c r="B780" s="1" t="str">
        <x:v>cmsbqtxwq000204jnp11i99l8</x:v>
      </x:c>
      <x:c r="C780" s="1" t="str">
        <x:v>ca-2024-000255-the-king-on-the-application-of-appellant-skeleton</x:v>
      </x:c>
      <x:c r="D780" s="12" t="n">
        <x:v>46236.49704892361</x:v>
      </x:c>
      <x:c r="E780" s="1" t="str">
        <x:v>yes</x:v>
      </x:c>
      <x:c r="F780" s="14" t="str">
        <x:v>cmsbqvqsj000h04jnb8tn656h</x:v>
      </x:c>
      <x:c r="G780" s="14" t="n">
        <x:v>19</x:v>
      </x:c>
      <x:c r="H780" s="14" t="str">
        <x:v>2fdeb3d5-a5cd-4c48-9438-38ffe4f4ee02</x:v>
      </x:c>
      <x:c r="I780" s="14" t="str">
        <x:v>RN v Secretary of State for the Home Department [2014] EWCA Civ 938</x:v>
      </x:c>
      <x:c r="J780" s="14" t="str">
        <x:v>England and Wales Court of Appeal (Civil Division)</x:v>
      </x:c>
      <x:c r="K780" s="14" t="n">
        <x:v>2014</x:v>
      </x:c>
      <x:c r="L780" s="15" t="n">
        <x:v>0.69580406</x:v>
      </x:c>
      <x:c r="M780" s="14" t="n">
        <x:v>1</x:v>
      </x:c>
      <x:c r="N780" s="14" t="str"/>
    </x:row>
    <x:row r="781">
      <x:c r="A781" s="1" t="str">
        <x:v>cmsbquoo1000b04jnq0yxkb5g</x:v>
      </x:c>
      <x:c r="B781" s="1" t="str">
        <x:v>cmsbqtxwq000204jnp11i99l8</x:v>
      </x:c>
      <x:c r="C781" s="1" t="str">
        <x:v>ca-2024-000255-the-king-on-the-application-of-appellant-skeleton</x:v>
      </x:c>
      <x:c r="D781" s="12" t="n">
        <x:v>46236.49704892361</x:v>
      </x:c>
      <x:c r="E781" s="1" t="str">
        <x:v>yes</x:v>
      </x:c>
      <x:c r="F781" s="14" t="str">
        <x:v>cmsbqvqsj000h04jnb8tn656h</x:v>
      </x:c>
      <x:c r="G781" s="14" t="n">
        <x:v>20</x:v>
      </x:c>
      <x:c r="H781" s="14" t="str">
        <x:v>36166c1f-7b4e-4e19-9f3e-ba06d04ac22a</x:v>
      </x:c>
      <x:c r="I781" s="14" t="str">
        <x:v>Smith v Secretary of State for Justice &amp; Ors [2014] EWCA Civ 380</x:v>
      </x:c>
      <x:c r="J781" s="14" t="str">
        <x:v>England and Wales Court of Appeal (Civil Division)</x:v>
      </x:c>
      <x:c r="K781" s="14" t="n">
        <x:v>2014</x:v>
      </x:c>
      <x:c r="L781" s="15" t="n">
        <x:v>0.69538283</x:v>
      </x:c>
      <x:c r="M781" s="14" t="n">
        <x:v>2</x:v>
      </x:c>
      <x:c r="N781" s="14" t="str">
        <x:v>Botti v Italy | Florea v Romania</x:v>
      </x:c>
    </x:row>
    <x:row r="782">
      <x:c r="A782" s="1" t="str">
        <x:v>cmsbqyu3t000v04jnza4ym1n9</x:v>
      </x:c>
      <x:c r="B782" s="1" t="str">
        <x:v>cmsbqxnek000m04jn4kqpqi6q</x:v>
      </x:c>
      <x:c r="C782" s="1" t="str">
        <x:v>ca-2024-002003-greenfields-iow-limited-v-isle-of-appellant-skeleton</x:v>
      </x:c>
      <x:c r="D782" s="12" t="n">
        <x:v>46236.499290625</x:v>
      </x:c>
      <x:c r="E782" s="1" t="str">
        <x:v>yes</x:v>
      </x:c>
      <x:c r="F782" s="14" t="str">
        <x:v>cmsbr021t001104jndbjo02xo</x:v>
      </x:c>
      <x:c r="G782" s="14" t="n">
        <x:v>1</x:v>
      </x:c>
      <x:c r="H782" s="14" t="str">
        <x:v>6cd7db33-7ee1-44c0-9219-b2cc7d57d88b</x:v>
      </x:c>
      <x:c r="I782" s="14" t="str">
        <x:v>Smith v Secretary of State for Levelling Up, Housing &amp; Communities &amp; Anor [2022] EWCA Civ 1391</x:v>
      </x:c>
      <x:c r="J782" s="14" t="str">
        <x:v>England and Wales Court of Appeal (Civil Division)</x:v>
      </x:c>
      <x:c r="K782" s="14" t="n">
        <x:v>2022</x:v>
      </x:c>
      <x:c r="L782" s="15" t="n">
        <x:v>0.73076355</x:v>
      </x:c>
      <x:c r="M782" s="14" t="n">
        <x:v>2</x:v>
      </x:c>
      <x:c r="N782" s="14" t="str">
        <x:v>[2021] EWHC 1650 (Admin) | Bank Mellat v HM Treasury (No 2) | Oakes | Stec v United Kingdom | Chapman v United Kingdom | R (Ward) v Hillingdon | Wrexham County Borough Council v NAC Wales | Basildon (and related)</x:v>
      </x:c>
    </x:row>
    <x:row r="783">
      <x:c r="A783" s="1" t="str">
        <x:v>cmsbqyu3t000v04jnza4ym1n9</x:v>
      </x:c>
      <x:c r="B783" s="1" t="str">
        <x:v>cmsbqxnek000m04jn4kqpqi6q</x:v>
      </x:c>
      <x:c r="C783" s="1" t="str">
        <x:v>ca-2024-002003-greenfields-iow-limited-v-isle-of-appellant-skeleton</x:v>
      </x:c>
      <x:c r="D783" s="12" t="n">
        <x:v>46236.499290625</x:v>
      </x:c>
      <x:c r="E783" s="1" t="str">
        <x:v>yes</x:v>
      </x:c>
      <x:c r="F783" s="14" t="str">
        <x:v>cmsbr021t001104jndbjo02xo</x:v>
      </x:c>
      <x:c r="G783" s="14" t="n">
        <x:v>2</x:v>
      </x:c>
      <x:c r="H783" s="14" t="str">
        <x:v>76e6ffcd-af03-4155-a667-51d98a79d1d7</x:v>
      </x:c>
      <x:c r="I783" s="14" t="str">
        <x:v>Arnold White Estates Ltd v The Forestry Commission [2022] EWCA Civ 1304</x:v>
      </x:c>
      <x:c r="J783" s="14" t="str">
        <x:v>England and Wales Court of Appeal (Civil Division)</x:v>
      </x:c>
      <x:c r="K783" s="14" t="n">
        <x:v>2022</x:v>
      </x:c>
      <x:c r="L783" s="15" t="n">
        <x:v>0.7273732</x:v>
      </x:c>
      <x:c r="M783" s="14" t="n">
        <x:v>1</x:v>
      </x:c>
      <x:c r="N783" s="14" t="str">
        <x:v>R. (on the application of Thornton Hall Hotel Ltd.) v Wirral Metropolitan Borough Council (2019) EWCA Civ 737</x:v>
      </x:c>
    </x:row>
    <x:row r="784">
      <x:c r="A784" s="1" t="str">
        <x:v>cmsbqyu3t000v04jnza4ym1n9</x:v>
      </x:c>
      <x:c r="B784" s="1" t="str">
        <x:v>cmsbqxnek000m04jn4kqpqi6q</x:v>
      </x:c>
      <x:c r="C784" s="1" t="str">
        <x:v>ca-2024-002003-greenfields-iow-limited-v-isle-of-appellant-skeleton</x:v>
      </x:c>
      <x:c r="D784" s="12" t="n">
        <x:v>46236.499290625</x:v>
      </x:c>
      <x:c r="E784" s="1" t="str">
        <x:v>yes</x:v>
      </x:c>
      <x:c r="F784" s="14" t="str">
        <x:v>cmsbr021t001104jndbjo02xo</x:v>
      </x:c>
      <x:c r="G784" s="14" t="n">
        <x:v>3</x:v>
      </x:c>
      <x:c r="H784" s="14" t="str">
        <x:v>776a8070-aa6f-410e-b91e-2e1fcadadb9b</x:v>
      </x:c>
      <x:c r="I784" s="14" t="str">
        <x:v>Sheakh, R (On the Application Of) v London Borough of Lambeth Council [2022] EWCA Civ 457 (05 April 2022)</x:v>
      </x:c>
      <x:c r="J784" s="14" t="str">
        <x:v>England and Wales Court of Appeal (Civil Division)</x:v>
      </x:c>
      <x:c r="K784" s="14" t="n">
        <x:v>2022</x:v>
      </x:c>
      <x:c r="L784" s="15" t="n">
        <x:v>0.72655964</x:v>
      </x:c>
      <x:c r="M784" s="14" t="n">
        <x:v>2</x:v>
      </x:c>
      <x:c r="N784" s="14" t="str">
        <x:v>R. (Bailey) v Brent LBC [2011] EWCA Civ 1586 | R. (on the application of Baker) v Secretary of State for Communities and Local Government [2008] EWCA Civ 141 | R. (Brown) v Secretary of State for Work and Pensions [2008] EWHC 3158 | R. (Bracking) v Secretary of State for Work and Pensions [2013] EWCA Civ 1345 | R. (National Association of Health Stores) v Secretary of State for Health [2005] EWCA Civ 154 | R. (Kaur and Shah) v Ealing LBC [2008] EWHC 2062 (Admin) | R. (Hurley &amp; Moore) v BIS [2012] EWHC 201 (Admin) | R. (Meany) v Harlow DC [2009] EWHC 559 (Admin) | R v Secretary of State for Health (National Association of Health Stores) [2005] EWCA Civ 154</x:v>
      </x:c>
    </x:row>
    <x:row r="785">
      <x:c r="A785" s="1" t="str">
        <x:v>cmsbqyu3t000v04jnza4ym1n9</x:v>
      </x:c>
      <x:c r="B785" s="1" t="str">
        <x:v>cmsbqxnek000m04jn4kqpqi6q</x:v>
      </x:c>
      <x:c r="C785" s="1" t="str">
        <x:v>ca-2024-002003-greenfields-iow-limited-v-isle-of-appellant-skeleton</x:v>
      </x:c>
      <x:c r="D785" s="12" t="n">
        <x:v>46236.499290625</x:v>
      </x:c>
      <x:c r="E785" s="1" t="str">
        <x:v>yes</x:v>
      </x:c>
      <x:c r="F785" s="14" t="str">
        <x:v>cmsbr021t001104jndbjo02xo</x:v>
      </x:c>
      <x:c r="G785" s="14" t="n">
        <x:v>4</x:v>
      </x:c>
      <x:c r="H785" s="14" t="str">
        <x:v>3fae9752-b3e5-4a98-a0e5-5ade79ee3e8d</x:v>
      </x:c>
      <x:c r="I785" s="14" t="str">
        <x:v>East Quayside 12 LLP v The Council of the City of Newcastle upon Tyne [2023] EWCA Civ 359</x:v>
      </x:c>
      <x:c r="J785" s="14" t="str">
        <x:v>England and Wales Court of Appeal (Civil Division)</x:v>
      </x:c>
      <x:c r="K785" s="14" t="n">
        <x:v>2023</x:v>
      </x:c>
      <x:c r="L785" s="15" t="n">
        <x:v>0.72478616</x:v>
      </x:c>
      <x:c r="M785" s="14" t="n">
        <x:v>1</x:v>
      </x:c>
      <x:c r="N785" s="14" t="str"/>
    </x:row>
    <x:row r="786">
      <x:c r="A786" s="1" t="str">
        <x:v>cmsbqyu3t000v04jnza4ym1n9</x:v>
      </x:c>
      <x:c r="B786" s="1" t="str">
        <x:v>cmsbqxnek000m04jn4kqpqi6q</x:v>
      </x:c>
      <x:c r="C786" s="1" t="str">
        <x:v>ca-2024-002003-greenfields-iow-limited-v-isle-of-appellant-skeleton</x:v>
      </x:c>
      <x:c r="D786" s="12" t="n">
        <x:v>46236.499290625</x:v>
      </x:c>
      <x:c r="E786" s="1" t="str">
        <x:v>yes</x:v>
      </x:c>
      <x:c r="F786" s="14" t="str">
        <x:v>cmsbr021t001104jndbjo02xo</x:v>
      </x:c>
      <x:c r="G786" s="14" t="n">
        <x:v>5</x:v>
      </x:c>
      <x:c r="H786" s="14" t="str">
        <x:v>7f44d9a8-2459-4f6a-84fc-e475bb8f169a</x:v>
      </x:c>
      <x:c r="I786" s="14" t="str">
        <x:v>Secretary of State for Levelling Up, Housing and Communities v Smith &amp; Anor [2023] EWCA Civ 514</x:v>
      </x:c>
      <x:c r="J786" s="14" t="str">
        <x:v>England and Wales Court of Appeal (Civil Division)</x:v>
      </x:c>
      <x:c r="K786" s="14" t="n">
        <x:v>2023</x:v>
      </x:c>
      <x:c r="L786" s="15" t="n">
        <x:v>0.7243576</x:v>
      </x:c>
      <x:c r="M786" s="14" t="n">
        <x:v>4</x:v>
      </x:c>
      <x:c r="N786" s="14" t="str">
        <x:v>[2022] EWHC 3209 (Admin) | Harris | Ms Williams (commentary)</x:v>
      </x:c>
    </x:row>
    <x:row r="787">
      <x:c r="A787" s="1" t="str">
        <x:v>cmsbqyu3t000v04jnza4ym1n9</x:v>
      </x:c>
      <x:c r="B787" s="1" t="str">
        <x:v>cmsbqxnek000m04jn4kqpqi6q</x:v>
      </x:c>
      <x:c r="C787" s="1" t="str">
        <x:v>ca-2024-002003-greenfields-iow-limited-v-isle-of-appellant-skeleton</x:v>
      </x:c>
      <x:c r="D787" s="12" t="n">
        <x:v>46236.499290625</x:v>
      </x:c>
      <x:c r="E787" s="1" t="str">
        <x:v>yes</x:v>
      </x:c>
      <x:c r="F787" s="14" t="str">
        <x:v>cmsbr021t001104jndbjo02xo</x:v>
      </x:c>
      <x:c r="G787" s="14" t="n">
        <x:v>6</x:v>
      </x:c>
      <x:c r="H787" s="14" t="str">
        <x:v>235388cd-5994-4cf3-b7e7-c349382ef164</x:v>
      </x:c>
      <x:c r="I787" s="14" t="str">
        <x:v>Save Britain's Heritage, R (On the Application Of) v Davies (Rev1) [2023] EWCA Civ 723</x:v>
      </x:c>
      <x:c r="J787" s="14" t="str">
        <x:v>England and Wales Court of Appeal (Civil Division)</x:v>
      </x:c>
      <x:c r="K787" s="14" t="n">
        <x:v>2023</x:v>
      </x:c>
      <x:c r="L787" s="15" t="n">
        <x:v>0.7240999</x:v>
      </x:c>
      <x:c r="M787" s="14" t="n">
        <x:v>1</x:v>
      </x:c>
      <x:c r="N787" s="14" t="str">
        <x:v>2022 EWHC 2984 (Admin)</x:v>
      </x:c>
    </x:row>
    <x:row r="788">
      <x:c r="A788" s="1" t="str">
        <x:v>cmsbqyu3t000v04jnza4ym1n9</x:v>
      </x:c>
      <x:c r="B788" s="1" t="str">
        <x:v>cmsbqxnek000m04jn4kqpqi6q</x:v>
      </x:c>
      <x:c r="C788" s="1" t="str">
        <x:v>ca-2024-002003-greenfields-iow-limited-v-isle-of-appellant-skeleton</x:v>
      </x:c>
      <x:c r="D788" s="12" t="n">
        <x:v>46236.499290625</x:v>
      </x:c>
      <x:c r="E788" s="1" t="str">
        <x:v>yes</x:v>
      </x:c>
      <x:c r="F788" s="14" t="str">
        <x:v>cmsbr021t001104jndbjo02xo</x:v>
      </x:c>
      <x:c r="G788" s="14" t="n">
        <x:v>7</x:v>
      </x:c>
      <x:c r="H788" s="14" t="str">
        <x:v>9034c8de-ac8c-45a1-9a63-569c390554ca</x:v>
      </x:c>
      <x:c r="I788" s="14" t="str">
        <x:v>Thurston Parish Council, R (On the Application Of) v Mid Suffolk District Council &amp; Anor [2022] EWCA Civ 1417</x:v>
      </x:c>
      <x:c r="J788" s="14" t="str">
        <x:v>England and Wales Court of Appeal (Civil Division)</x:v>
      </x:c>
      <x:c r="K788" s="14" t="n">
        <x:v>2022</x:v>
      </x:c>
      <x:c r="L788" s="15" t="n">
        <x:v>0.72113794</x:v>
      </x:c>
      <x:c r="M788" s="14" t="n">
        <x:v>1</x:v>
      </x:c>
      <x:c r="N788" s="14" t="str">
        <x:v>EWHC 352 Admin | EWCA Civ 1417</x:v>
      </x:c>
    </x:row>
    <x:row r="789">
      <x:c r="A789" s="1" t="str">
        <x:v>cmsbqyu3t000v04jnza4ym1n9</x:v>
      </x:c>
      <x:c r="B789" s="1" t="str">
        <x:v>cmsbqxnek000m04jn4kqpqi6q</x:v>
      </x:c>
      <x:c r="C789" s="1" t="str">
        <x:v>ca-2024-002003-greenfields-iow-limited-v-isle-of-appellant-skeleton</x:v>
      </x:c>
      <x:c r="D789" s="12" t="n">
        <x:v>46236.499290625</x:v>
      </x:c>
      <x:c r="E789" s="1" t="str">
        <x:v>yes</x:v>
      </x:c>
      <x:c r="F789" s="14" t="str">
        <x:v>cmsbr021t001104jndbjo02xo</x:v>
      </x:c>
      <x:c r="G789" s="14" t="n">
        <x:v>8</x:v>
      </x:c>
      <x:c r="H789" s="14" t="str">
        <x:v>a1b35831-8ed8-43ad-bc7e-488100344627</x:v>
      </x:c>
      <x:c r="I789" s="14" t="str">
        <x:v>Corbett v Cornwall Council [2022] EWCA Civ 1069</x:v>
      </x:c>
      <x:c r="J789" s="14" t="str">
        <x:v>England and Wales Court of Appeal (Civil Division)</x:v>
      </x:c>
      <x:c r="K789" s="14" t="n">
        <x:v>2022</x:v>
      </x:c>
      <x:c r="L789" s="15" t="n">
        <x:v>0.7208859</x:v>
      </x:c>
      <x:c r="M789" s="14" t="n">
        <x:v>1</x:v>
      </x:c>
      <x:c r="N789" s="14" t="str"/>
    </x:row>
    <x:row r="790">
      <x:c r="A790" s="1" t="str">
        <x:v>cmsbqyu3t000v04jnza4ym1n9</x:v>
      </x:c>
      <x:c r="B790" s="1" t="str">
        <x:v>cmsbqxnek000m04jn4kqpqi6q</x:v>
      </x:c>
      <x:c r="C790" s="1" t="str">
        <x:v>ca-2024-002003-greenfields-iow-limited-v-isle-of-appellant-skeleton</x:v>
      </x:c>
      <x:c r="D790" s="12" t="n">
        <x:v>46236.499290625</x:v>
      </x:c>
      <x:c r="E790" s="1" t="str">
        <x:v>yes</x:v>
      </x:c>
      <x:c r="F790" s="14" t="str">
        <x:v>cmsbr021t001104jndbjo02xo</x:v>
      </x:c>
      <x:c r="G790" s="14" t="n">
        <x:v>9</x:v>
      </x:c>
      <x:c r="H790" s="14" t="str">
        <x:v>3bdf2d7a-d886-4bb3-ba30-9c4b472a4f7c</x:v>
      </x:c>
      <x:c r="I790" s="14" t="str">
        <x:v>Gardiner v Hertsmere Borough Council &amp; Anor [2022] EWCA Civ 1162</x:v>
      </x:c>
      <x:c r="J790" s="14" t="str">
        <x:v>England and Wales Court of Appeal (Civil Division)</x:v>
      </x:c>
      <x:c r="K790" s="14" t="n">
        <x:v>2022</x:v>
      </x:c>
      <x:c r="L790" s="15" t="n">
        <x:v>0.71881264</x:v>
      </x:c>
      <x:c r="M790" s="14" t="n">
        <x:v>1</x:v>
      </x:c>
      <x:c r="N790" s="14" t="str">
        <x:v>Gardiner v Hertsmere Borough Council &amp; Anor [2022] EWCA Civ 1162</x:v>
      </x:c>
    </x:row>
    <x:row r="791">
      <x:c r="A791" s="1" t="str">
        <x:v>cmsbqyu3t000v04jnza4ym1n9</x:v>
      </x:c>
      <x:c r="B791" s="1" t="str">
        <x:v>cmsbqxnek000m04jn4kqpqi6q</x:v>
      </x:c>
      <x:c r="C791" s="1" t="str">
        <x:v>ca-2024-002003-greenfields-iow-limited-v-isle-of-appellant-skeleton</x:v>
      </x:c>
      <x:c r="D791" s="12" t="n">
        <x:v>46236.499290625</x:v>
      </x:c>
      <x:c r="E791" s="1" t="str">
        <x:v>yes</x:v>
      </x:c>
      <x:c r="F791" s="14" t="str">
        <x:v>cmsbr021t001104jndbjo02xo</x:v>
      </x:c>
      <x:c r="G791" s="14" t="n">
        <x:v>10</x:v>
      </x:c>
      <x:c r="H791" s="14" t="str">
        <x:v>aa66d157-e659-4b1f-9c8a-39b98d92a107</x:v>
      </x:c>
      <x:c r="I791" s="14" t="str">
        <x:v>CAB Housing Limited v Secretary of State for Levelling Up, Housing and Communities &amp; Anor [2023] EWCA Civ 194</x:v>
      </x:c>
      <x:c r="J791" s="14" t="str">
        <x:v>England and Wales Court of Appeal (Civil Division)</x:v>
      </x:c>
      <x:c r="K791" s="14" t="n">
        <x:v>2023</x:v>
      </x:c>
      <x:c r="L791" s="15" t="n">
        <x:v>0.71764797</x:v>
      </x:c>
      <x:c r="M791" s="14" t="n">
        <x:v>1</x:v>
      </x:c>
      <x:c r="N791" s="14" t="str">
        <x:v>[2022] EWHC 208 Admin</x:v>
      </x:c>
    </x:row>
    <x:row r="792">
      <x:c r="A792" s="1" t="str">
        <x:v>cmsbqyu3t000v04jnza4ym1n9</x:v>
      </x:c>
      <x:c r="B792" s="1" t="str">
        <x:v>cmsbqxnek000m04jn4kqpqi6q</x:v>
      </x:c>
      <x:c r="C792" s="1" t="str">
        <x:v>ca-2024-002003-greenfields-iow-limited-v-isle-of-appellant-skeleton</x:v>
      </x:c>
      <x:c r="D792" s="12" t="n">
        <x:v>46236.499290625</x:v>
      </x:c>
      <x:c r="E792" s="1" t="str">
        <x:v>yes</x:v>
      </x:c>
      <x:c r="F792" s="14" t="str">
        <x:v>cmsbr021t001104jndbjo02xo</x:v>
      </x:c>
      <x:c r="G792" s="14" t="n">
        <x:v>11</x:v>
      </x:c>
      <x:c r="H792" s="14" t="str">
        <x:v>31cfa701-5a3f-478d-bd6d-9990826f73d5</x:v>
      </x:c>
      <x:c r="I792" s="14" t="str">
        <x:v>Mansell v Tonbridge and Malling Borough Council</x:v>
      </x:c>
      <x:c r="J792" s="14" t="str">
        <x:v>England and Wales Court of Appeal (Civil Division)</x:v>
      </x:c>
      <x:c r="K792" s="14" t="n">
        <x:v>2017</x:v>
      </x:c>
      <x:c r="L792" s="15" t="n">
        <x:v>0.71701705</x:v>
      </x:c>
      <x:c r="M792" s="14" t="n">
        <x:v>2</x:v>
      </x:c>
      <x:c r="N792" s="14" t="str"/>
    </x:row>
    <x:row r="793">
      <x:c r="A793" s="1" t="str">
        <x:v>cmsbqyu3t000v04jnza4ym1n9</x:v>
      </x:c>
      <x:c r="B793" s="1" t="str">
        <x:v>cmsbqxnek000m04jn4kqpqi6q</x:v>
      </x:c>
      <x:c r="C793" s="1" t="str">
        <x:v>ca-2024-002003-greenfields-iow-limited-v-isle-of-appellant-skeleton</x:v>
      </x:c>
      <x:c r="D793" s="12" t="n">
        <x:v>46236.499290625</x:v>
      </x:c>
      <x:c r="E793" s="1" t="str">
        <x:v>yes</x:v>
      </x:c>
      <x:c r="F793" s="14" t="str">
        <x:v>cmsbr021t001104jndbjo02xo</x:v>
      </x:c>
      <x:c r="G793" s="14" t="n">
        <x:v>12</x:v>
      </x:c>
      <x:c r="H793" s="14" t="str">
        <x:v>1d957476-2c0d-4578-8a43-679ec600e382</x:v>
      </x:c>
      <x:c r="I793" s="14" t="str">
        <x:v>Wyatt v Fareham Borough Council (Rev1) [2022] EWCA Civ 983</x:v>
      </x:c>
      <x:c r="J793" s="14" t="str">
        <x:v>England and Wales Court of Appeal (Civil Division)</x:v>
      </x:c>
      <x:c r="K793" s="14" t="n">
        <x:v>2022</x:v>
      </x:c>
      <x:c r="L793" s="15" t="n">
        <x:v>0.71668446</x:v>
      </x:c>
      <x:c r="M793" s="14" t="n">
        <x:v>1</x:v>
      </x:c>
      <x:c r="N793" s="14" t="str"/>
    </x:row>
    <x:row r="794">
      <x:c r="A794" s="1" t="str">
        <x:v>cmsbqyu3t000v04jnza4ym1n9</x:v>
      </x:c>
      <x:c r="B794" s="1" t="str">
        <x:v>cmsbqxnek000m04jn4kqpqi6q</x:v>
      </x:c>
      <x:c r="C794" s="1" t="str">
        <x:v>ca-2024-002003-greenfields-iow-limited-v-isle-of-appellant-skeleton</x:v>
      </x:c>
      <x:c r="D794" s="12" t="n">
        <x:v>46236.499290625</x:v>
      </x:c>
      <x:c r="E794" s="1" t="str">
        <x:v>yes</x:v>
      </x:c>
      <x:c r="F794" s="14" t="str">
        <x:v>cmsbr021t001104jndbjo02xo</x:v>
      </x:c>
      <x:c r="G794" s="14" t="n">
        <x:v>13</x:v>
      </x:c>
      <x:c r="H794" s="14" t="str">
        <x:v>d8ef5edb-61a0-4b29-b510-5fe53f814e53</x:v>
      </x:c>
      <x:c r="I794" s="14" t="str">
        <x:v>Secretary of State for Communities and Local Government v Hopkins Developments Ltd</x:v>
      </x:c>
      <x:c r="J794" s="14" t="str">
        <x:v>England and Wales Court of Appeal (Civil Division)</x:v>
      </x:c>
      <x:c r="K794" s="14" t="n">
        <x:v>2014</x:v>
      </x:c>
      <x:c r="L794" s="15" t="n">
        <x:v>0.7152189</x:v>
      </x:c>
      <x:c r="M794" s="14" t="n">
        <x:v>1</x:v>
      </x:c>
      <x:c r="N794" s="14" t="str"/>
    </x:row>
    <x:row r="795">
      <x:c r="A795" s="1" t="str">
        <x:v>cmsbqyu3t000v04jnza4ym1n9</x:v>
      </x:c>
      <x:c r="B795" s="1" t="str">
        <x:v>cmsbqxnek000m04jn4kqpqi6q</x:v>
      </x:c>
      <x:c r="C795" s="1" t="str">
        <x:v>ca-2024-002003-greenfields-iow-limited-v-isle-of-appellant-skeleton</x:v>
      </x:c>
      <x:c r="D795" s="12" t="n">
        <x:v>46236.499290625</x:v>
      </x:c>
      <x:c r="E795" s="1" t="str">
        <x:v>yes</x:v>
      </x:c>
      <x:c r="F795" s="14" t="str">
        <x:v>cmsbr021t001104jndbjo02xo</x:v>
      </x:c>
      <x:c r="G795" s="14" t="n">
        <x:v>14</x:v>
      </x:c>
      <x:c r="H795" s="14" t="str">
        <x:v>90743ee0-c75d-4140-93eb-89a3938f7523</x:v>
      </x:c>
      <x:c r="I795" s="14" t="str">
        <x:v>Devine v Secretary of State for Levelling Up, Housing and Communities [2023] EWCA Civ 601</x:v>
      </x:c>
      <x:c r="J795" s="14" t="str">
        <x:v>England and Wales Court of Appeal (Civil Division)</x:v>
      </x:c>
      <x:c r="K795" s="14" t="n">
        <x:v>2023</x:v>
      </x:c>
      <x:c r="L795" s="15" t="n">
        <x:v>0.7152025</x:v>
      </x:c>
      <x:c r="M795" s="14" t="n">
        <x:v>1</x:v>
      </x:c>
      <x:c r="N795" s="14" t="str">
        <x:v>[2022] EWHC 2031 (Admin)</x:v>
      </x:c>
    </x:row>
    <x:row r="796">
      <x:c r="A796" s="1" t="str">
        <x:v>cmsbqyu3t000v04jnza4ym1n9</x:v>
      </x:c>
      <x:c r="B796" s="1" t="str">
        <x:v>cmsbqxnek000m04jn4kqpqi6q</x:v>
      </x:c>
      <x:c r="C796" s="1" t="str">
        <x:v>ca-2024-002003-greenfields-iow-limited-v-isle-of-appellant-skeleton</x:v>
      </x:c>
      <x:c r="D796" s="12" t="n">
        <x:v>46236.499290625</x:v>
      </x:c>
      <x:c r="E796" s="1" t="str">
        <x:v>yes</x:v>
      </x:c>
      <x:c r="F796" s="14" t="str">
        <x:v>cmsbr021t001104jndbjo02xo</x:v>
      </x:c>
      <x:c r="G796" s="14" t="n">
        <x:v>15</x:v>
      </x:c>
      <x:c r="H796" s="14" t="str">
        <x:v>4c3b8da7-6c82-4056-ab98-dea339f7af1d</x:v>
      </x:c>
      <x:c r="I796" s="14" t="str">
        <x:v>Ashchurch Rural Parish Council, R (On the Application Of) v Tewkesbury Borough Council [2023] EWCA Civ 101</x:v>
      </x:c>
      <x:c r="J796" s="14" t="str">
        <x:v>England and Wales Court of Appeal (Civil Division)</x:v>
      </x:c>
      <x:c r="K796" s="14" t="n">
        <x:v>2023</x:v>
      </x:c>
      <x:c r="L796" s="15" t="n">
        <x:v>0.71502197</x:v>
      </x:c>
      <x:c r="M796" s="14" t="n">
        <x:v>1</x:v>
      </x:c>
      <x:c r="N796" s="14" t="str"/>
    </x:row>
    <x:row r="797">
      <x:c r="A797" s="1" t="str">
        <x:v>cmsbqyu3t000v04jnza4ym1n9</x:v>
      </x:c>
      <x:c r="B797" s="1" t="str">
        <x:v>cmsbqxnek000m04jn4kqpqi6q</x:v>
      </x:c>
      <x:c r="C797" s="1" t="str">
        <x:v>ca-2024-002003-greenfields-iow-limited-v-isle-of-appellant-skeleton</x:v>
      </x:c>
      <x:c r="D797" s="12" t="n">
        <x:v>46236.499290625</x:v>
      </x:c>
      <x:c r="E797" s="1" t="str">
        <x:v>yes</x:v>
      </x:c>
      <x:c r="F797" s="14" t="str">
        <x:v>cmsbr021t001104jndbjo02xo</x:v>
      </x:c>
      <x:c r="G797" s="14" t="n">
        <x:v>16</x:v>
      </x:c>
      <x:c r="H797" s="14" t="str">
        <x:v>0642e885-86b3-4c0b-84a2-2005424f4309</x:v>
      </x:c>
      <x:c r="I797" s="14" t="str">
        <x:v>Sahota, R (On the Application Of) v Herefordshire Council [2022] EWCA Civ 1640</x:v>
      </x:c>
      <x:c r="J797" s="14" t="str">
        <x:v>England and Wales Court of Appeal (Civil Division)</x:v>
      </x:c>
      <x:c r="K797" s="14" t="n">
        <x:v>2022</x:v>
      </x:c>
      <x:c r="L797" s="15" t="n">
        <x:v>0.7130263</x:v>
      </x:c>
      <x:c r="M797" s="14" t="n">
        <x:v>1</x:v>
      </x:c>
      <x:c r="N797" s="14" t="str">
        <x:v>Stuart-Smith LJ | Court of Appeal procedures</x:v>
      </x:c>
    </x:row>
    <x:row r="798">
      <x:c r="A798" s="1" t="str">
        <x:v>cmsbqyu3t000v04jnza4ym1n9</x:v>
      </x:c>
      <x:c r="B798" s="1" t="str">
        <x:v>cmsbqxnek000m04jn4kqpqi6q</x:v>
      </x:c>
      <x:c r="C798" s="1" t="str">
        <x:v>ca-2024-002003-greenfields-iow-limited-v-isle-of-appellant-skeleton</x:v>
      </x:c>
      <x:c r="D798" s="12" t="n">
        <x:v>46236.499290625</x:v>
      </x:c>
      <x:c r="E798" s="1" t="str">
        <x:v>yes</x:v>
      </x:c>
      <x:c r="F798" s="14" t="str">
        <x:v>cmsbr021t001104jndbjo02xo</x:v>
      </x:c>
      <x:c r="G798" s="14" t="n">
        <x:v>17</x:v>
      </x:c>
      <x:c r="H798" s="14" t="str">
        <x:v>d8078437-185a-46df-8b83-bd5240184911</x:v>
      </x:c>
      <x:c r="I798" s="14" t="str">
        <x:v>MH (Eritrea) v Secretary of State for the Home Department (Rev1), [2022] EWCA Civ 1296</x:v>
      </x:c>
      <x:c r="J798" s="14" t="str">
        <x:v>England and Wales Court of Appeal (Civil Division)</x:v>
      </x:c>
      <x:c r="K798" s="14" t="n">
        <x:v>2022</x:v>
      </x:c>
      <x:c r="L798" s="15" t="n">
        <x:v>0.7127648</x:v>
      </x:c>
      <x:c r="M798" s="14" t="n">
        <x:v>1</x:v>
      </x:c>
      <x:c r="N798" s="14" t="str"/>
    </x:row>
    <x:row r="799">
      <x:c r="A799" s="1" t="str">
        <x:v>cmsbqyu3t000v04jnza4ym1n9</x:v>
      </x:c>
      <x:c r="B799" s="1" t="str">
        <x:v>cmsbqxnek000m04jn4kqpqi6q</x:v>
      </x:c>
      <x:c r="C799" s="1" t="str">
        <x:v>ca-2024-002003-greenfields-iow-limited-v-isle-of-appellant-skeleton</x:v>
      </x:c>
      <x:c r="D799" s="12" t="n">
        <x:v>46236.499290625</x:v>
      </x:c>
      <x:c r="E799" s="1" t="str">
        <x:v>yes</x:v>
      </x:c>
      <x:c r="F799" s="14" t="str">
        <x:v>cmsbr021t001104jndbjo02xo</x:v>
      </x:c>
      <x:c r="G799" s="14" t="n">
        <x:v>18</x:v>
      </x:c>
      <x:c r="H799" s="14" t="str">
        <x:v>1f4a0cfb-5359-49da-93e8-89cbb817ebca</x:v>
      </x:c>
      <x:c r="I799" s="14" t="str">
        <x:v>Whitley Parish Council, R (On the Application Of) v North Yorkshire County Council &amp; Anor [2023] EWCA Civ 92</x:v>
      </x:c>
      <x:c r="J799" s="14" t="str">
        <x:v>England and Wales Court of Appeal (Civil Division)</x:v>
      </x:c>
      <x:c r="K799" s="14" t="n">
        <x:v>2023</x:v>
      </x:c>
      <x:c r="L799" s="15" t="n">
        <x:v>0.70964766</x:v>
      </x:c>
      <x:c r="M799" s="14" t="n">
        <x:v>1</x:v>
      </x:c>
      <x:c r="N799" s="14" t="str"/>
    </x:row>
    <x:row r="800">
      <x:c r="A800" s="1" t="str">
        <x:v>cmsbqyu3t000v04jnza4ym1n9</x:v>
      </x:c>
      <x:c r="B800" s="1" t="str">
        <x:v>cmsbqxnek000m04jn4kqpqi6q</x:v>
      </x:c>
      <x:c r="C800" s="1" t="str">
        <x:v>ca-2024-002003-greenfields-iow-limited-v-isle-of-appellant-skeleton</x:v>
      </x:c>
      <x:c r="D800" s="12" t="n">
        <x:v>46236.499290625</x:v>
      </x:c>
      <x:c r="E800" s="1" t="str">
        <x:v>yes</x:v>
      </x:c>
      <x:c r="F800" s="14" t="str">
        <x:v>cmsbr021t001104jndbjo02xo</x:v>
      </x:c>
      <x:c r="G800" s="14" t="n">
        <x:v>19</x:v>
      </x:c>
      <x:c r="H800" s="14" t="str">
        <x:v>379d4f20-62f5-403b-a082-fa36b82fe1c1</x:v>
      </x:c>
      <x:c r="I800" s="14" t="str">
        <x:v>Regina v. London Borough of Hammersmith and Fulham (Burkett) [2002] UKHL 23</x:v>
      </x:c>
      <x:c r="J800" s="14" t="str">
        <x:v>United Kingdom House of Lords</x:v>
      </x:c>
      <x:c r="K800" s="14" t="n">
        <x:v>2002</x:v>
      </x:c>
      <x:c r="L800" s="15" t="n">
        <x:v>0.7093042</x:v>
      </x:c>
      <x:c r="M800" s="14" t="n">
        <x:v>3</x:v>
      </x:c>
      <x:c r="N800" s="14" t="str"/>
    </x:row>
    <x:row r="801">
      <x:c r="A801" s="1" t="str">
        <x:v>cmsbqyu3t000v04jnza4ym1n9</x:v>
      </x:c>
      <x:c r="B801" s="1" t="str">
        <x:v>cmsbqxnek000m04jn4kqpqi6q</x:v>
      </x:c>
      <x:c r="C801" s="1" t="str">
        <x:v>ca-2024-002003-greenfields-iow-limited-v-isle-of-appellant-skeleton</x:v>
      </x:c>
      <x:c r="D801" s="12" t="n">
        <x:v>46236.499290625</x:v>
      </x:c>
      <x:c r="E801" s="1" t="str">
        <x:v>yes</x:v>
      </x:c>
      <x:c r="F801" s="14" t="str">
        <x:v>cmsbr021t001104jndbjo02xo</x:v>
      </x:c>
      <x:c r="G801" s="14" t="n">
        <x:v>20</x:v>
      </x:c>
      <x:c r="H801" s="14" t="str">
        <x:v>c3dbe431-18cf-46e4-91ab-5d5b0ef0fdea</x:v>
      </x:c>
      <x:c r="I801" s="14" t="str">
        <x:v>Croke v Secretary of State for Communities and Local Government &amp; Anor [2017] EWCA Civ 423</x:v>
      </x:c>
      <x:c r="J801" s="14" t="str">
        <x:v>England and Wales Court of Appeal (Civil Division)</x:v>
      </x:c>
      <x:c r="K801" s="14" t="n">
        <x:v>2017</x:v>
      </x:c>
      <x:c r="L801" s="15" t="n">
        <x:v>0.70917535</x:v>
      </x:c>
      <x:c r="M801" s="14" t="n">
        <x:v>3</x:v>
      </x:c>
      <x:c r="N801" s="14" t="str">
        <x:v>Section 288 of the Town &amp; Country Planning Act 1990 | Mucelli v Government of Albania</x:v>
      </x:c>
    </x:row>
    <x:row r="802">
      <x:c r="A802" s="1" t="str">
        <x:v>cmsbr1xgb000d04l4kki35x9j</x:v>
      </x:c>
      <x:c r="B802" s="1" t="str">
        <x:v>cmsbr0keh000404l4bbqhy2a0</x:v>
      </x:c>
      <x:c r="C802" s="1" t="str">
        <x:v>ca-2024-000806-hippodrome-casino-ltd-v-hmrc-appellant-skeleton</x:v>
      </x:c>
      <x:c r="D802" s="12" t="n">
        <x:v>46236.50096064815</x:v>
      </x:c>
      <x:c r="E802" s="1" t="str">
        <x:v>yes</x:v>
      </x:c>
      <x:c r="F802" s="14" t="str">
        <x:v>cmsbr3045000j04l4tkps7ymp</x:v>
      </x:c>
      <x:c r="G802" s="14" t="n">
        <x:v>1</x:v>
      </x:c>
      <x:c r="H802" s="14" t="str">
        <x:v>b9498527-3250-49cd-9d8e-ed7c0dda200e</x:v>
      </x:c>
      <x:c r="I802" s="14" t="str">
        <x:v>Volkswagen Financial Services (UK) Ltd v HM Revenue &amp; Customs</x:v>
      </x:c>
      <x:c r="J802" s="14" t="str">
        <x:v>England and Wales Court of Appeal (Civil Division)</x:v>
      </x:c>
      <x:c r="K802" s="14" t="n">
        <x:v>2015</x:v>
      </x:c>
      <x:c r="L802" s="15" t="n">
        <x:v>0.747692</x:v>
      </x:c>
      <x:c r="M802" s="14" t="n">
        <x:v>7</x:v>
      </x:c>
      <x:c r="N802" s="14" t="str">
        <x:v>Rompelman v Minister van Financiën | Midland Bank plc v Customs and Excise Commissioners | Rompleman v Minister van Financiën | Article 168 of the Principal VAT Directive | BLP Group v Customs and Excise Commissioners | Abbey National plc v Customs and Excise Commissioners | Case 435-05 Investrand BV | London Clubs Management Ltd v Revenue and Customs Commissioners</x:v>
      </x:c>
    </x:row>
    <x:row r="803">
      <x:c r="A803" s="1" t="str">
        <x:v>cmsbr1xgb000d04l4kki35x9j</x:v>
      </x:c>
      <x:c r="B803" s="1" t="str">
        <x:v>cmsbr0keh000404l4bbqhy2a0</x:v>
      </x:c>
      <x:c r="C803" s="1" t="str">
        <x:v>ca-2024-000806-hippodrome-casino-ltd-v-hmrc-appellant-skeleton</x:v>
      </x:c>
      <x:c r="D803" s="12" t="n">
        <x:v>46236.50096064815</x:v>
      </x:c>
      <x:c r="E803" s="1" t="str">
        <x:v>yes</x:v>
      </x:c>
      <x:c r="F803" s="14" t="str">
        <x:v>cmsbr3045000j04l4tkps7ymp</x:v>
      </x:c>
      <x:c r="G803" s="14" t="n">
        <x:v>2</x:v>
      </x:c>
      <x:c r="H803" s="14" t="str">
        <x:v>4ce131bd-2742-476d-a37a-0727c7980ebc</x:v>
      </x:c>
      <x:c r="I803" s="14" t="str">
        <x:v>Revenue and Customs v Mercedes-Benz Financial Services UK Ltd</x:v>
      </x:c>
      <x:c r="J803" s="14" t="str">
        <x:v>England and Wales Court of Appeal (Civil Division)</x:v>
      </x:c>
      <x:c r="K803" s="14" t="n">
        <x:v>2015</x:v>
      </x:c>
      <x:c r="L803" s="15" t="n">
        <x:v>0.7136548</x:v>
      </x:c>
      <x:c r="M803" s="14" t="n">
        <x:v>3</x:v>
      </x:c>
      <x:c r="N803" s="14" t="str">
        <x:v>Newey v HMRC Case C-653/11 | Dixons Retail plc v HMRC Case C-494/12</x:v>
      </x:c>
    </x:row>
    <x:row r="804">
      <x:c r="A804" s="1" t="str">
        <x:v>cmsbr1xgb000d04l4kki35x9j</x:v>
      </x:c>
      <x:c r="B804" s="1" t="str">
        <x:v>cmsbr0keh000404l4bbqhy2a0</x:v>
      </x:c>
      <x:c r="C804" s="1" t="str">
        <x:v>ca-2024-000806-hippodrome-casino-ltd-v-hmrc-appellant-skeleton</x:v>
      </x:c>
      <x:c r="D804" s="12" t="n">
        <x:v>46236.50096064815</x:v>
      </x:c>
      <x:c r="E804" s="1" t="str">
        <x:v>yes</x:v>
      </x:c>
      <x:c r="F804" s="14" t="str">
        <x:v>cmsbr3045000j04l4tkps7ymp</x:v>
      </x:c>
      <x:c r="G804" s="14" t="n">
        <x:v>3</x:v>
      </x:c>
      <x:c r="H804" s="14" t="str">
        <x:v>cd495d17-4a70-4b1a-ad32-713927ce6d8e</x:v>
      </x:c>
      <x:c r="I804" s="14" t="str">
        <x:v>Birmingham Hippodrome Theatre Trust Ltd v Revenue And Customs</x:v>
      </x:c>
      <x:c r="J804" s="14" t="str">
        <x:v>England and Wales Court of Appeal (Civil Division)</x:v>
      </x:c>
      <x:c r="K804" s="14" t="n">
        <x:v>2014</x:v>
      </x:c>
      <x:c r="L804" s="15" t="n">
        <x:v>0.71185356</x:v>
      </x:c>
      <x:c r="M804" s="14" t="n">
        <x:v>5</x:v>
      </x:c>
      <x:c r="N804" s="14" t="str"/>
    </x:row>
    <x:row r="805">
      <x:c r="A805" s="1" t="str">
        <x:v>cmsbr1xgb000d04l4kki35x9j</x:v>
      </x:c>
      <x:c r="B805" s="1" t="str">
        <x:v>cmsbr0keh000404l4bbqhy2a0</x:v>
      </x:c>
      <x:c r="C805" s="1" t="str">
        <x:v>ca-2024-000806-hippodrome-casino-ltd-v-hmrc-appellant-skeleton</x:v>
      </x:c>
      <x:c r="D805" s="12" t="n">
        <x:v>46236.50096064815</x:v>
      </x:c>
      <x:c r="E805" s="1" t="str">
        <x:v>yes</x:v>
      </x:c>
      <x:c r="F805" s="14" t="str">
        <x:v>cmsbr3045000j04l4tkps7ymp</x:v>
      </x:c>
      <x:c r="G805" s="14" t="n">
        <x:v>4</x:v>
      </x:c>
      <x:c r="H805" s="14" t="str">
        <x:v>bfa85128-3daf-4206-8d8f-d2dc5f32ab27</x:v>
      </x:c>
      <x:c r="I805" s="14" t="str">
        <x:v>Regency Factors Plc v HM Revenue &amp; Customs (Rev1) [2022] EWCA Civ 103</x:v>
      </x:c>
      <x:c r="J805" s="14" t="str">
        <x:v>England and Wales Court of Appeal (Civil Division)</x:v>
      </x:c>
      <x:c r="K805" s="14" t="n">
        <x:v>2022</x:v>
      </x:c>
      <x:c r="L805" s="15" t="n">
        <x:v>0.7109793</x:v>
      </x:c>
      <x:c r="M805" s="14" t="n">
        <x:v>4</x:v>
      </x:c>
      <x:c r="N805" s="14" t="str">
        <x:v>[2019] UKFTT 0144 (TC) | [2020] UKUT 357 (TCC) | [2022] EWCA Civ 103 | VAT Directive Article 90 | Regulations 168/172 | CJEU VAT neutrality jurisprudence | [40] discussion within judgment | CJEU VAT neutrality/proportionality jurisprudence</x:v>
      </x:c>
    </x:row>
    <x:row r="806">
      <x:c r="A806" s="1" t="str">
        <x:v>cmsbr1xgb000d04l4kki35x9j</x:v>
      </x:c>
      <x:c r="B806" s="1" t="str">
        <x:v>cmsbr0keh000404l4bbqhy2a0</x:v>
      </x:c>
      <x:c r="C806" s="1" t="str">
        <x:v>ca-2024-000806-hippodrome-casino-ltd-v-hmrc-appellant-skeleton</x:v>
      </x:c>
      <x:c r="D806" s="12" t="n">
        <x:v>46236.50096064815</x:v>
      </x:c>
      <x:c r="E806" s="1" t="str">
        <x:v>yes</x:v>
      </x:c>
      <x:c r="F806" s="14" t="str">
        <x:v>cmsbr3045000j04l4tkps7ymp</x:v>
      </x:c>
      <x:c r="G806" s="14" t="n">
        <x:v>5</x:v>
      </x:c>
      <x:c r="H806" s="14" t="str">
        <x:v>5be7238d-b78e-4194-90ec-c036be53b377</x:v>
      </x:c>
      <x:c r="I806" s="14" t="str">
        <x:v>Leeds City Council v HM Revenue and Customs [2015] EWCA Civ 1293</x:v>
      </x:c>
      <x:c r="J806" s="14" t="str">
        <x:v>England and Wales Court of Appeal (Civil Division)</x:v>
      </x:c>
      <x:c r="K806" s="14" t="n">
        <x:v>2015</x:v>
      </x:c>
      <x:c r="L806" s="15" t="n">
        <x:v>0.7063102</x:v>
      </x:c>
      <x:c r="M806" s="14" t="n">
        <x:v>3</x:v>
      </x:c>
      <x:c r="N806" s="14" t="str">
        <x:v>VAT Act 1994 | Marks &amp; Spencer plc v Customs and Excise Comrs | Fleming v HMRC</x:v>
      </x:c>
    </x:row>
    <x:row r="807">
      <x:c r="A807" s="1" t="str">
        <x:v>cmsbr1xgb000d04l4kki35x9j</x:v>
      </x:c>
      <x:c r="B807" s="1" t="str">
        <x:v>cmsbr0keh000404l4bbqhy2a0</x:v>
      </x:c>
      <x:c r="C807" s="1" t="str">
        <x:v>ca-2024-000806-hippodrome-casino-ltd-v-hmrc-appellant-skeleton</x:v>
      </x:c>
      <x:c r="D807" s="12" t="n">
        <x:v>46236.50096064815</x:v>
      </x:c>
      <x:c r="E807" s="1" t="str">
        <x:v>yes</x:v>
      </x:c>
      <x:c r="F807" s="14" t="str">
        <x:v>cmsbr3045000j04l4tkps7ymp</x:v>
      </x:c>
      <x:c r="G807" s="14" t="n">
        <x:v>6</x:v>
      </x:c>
      <x:c r="H807" s="14" t="str">
        <x:v>88bb4a5f-a731-48de-9e0d-c8537ea915a0</x:v>
      </x:c>
      <x:c r="I807" s="14" t="str">
        <x:v>Littlewoods Ltd &amp; Ors v HM Revenue and Customs [2015] EWCA Civ 515</x:v>
      </x:c>
      <x:c r="J807" s="14" t="str">
        <x:v>England and Wales Court of Appeal (Civil Division)</x:v>
      </x:c>
      <x:c r="K807" s="14" t="n">
        <x:v>2015</x:v>
      </x:c>
      <x:c r="L807" s="15" t="n">
        <x:v>0.69990593</x:v>
      </x:c>
      <x:c r="M807" s="14" t="n">
        <x:v>1</x:v>
      </x:c>
      <x:c r="N807" s="14" t="str">
        <x:v>Kleinwort Benson v Lincoln City Council | San Giorgio | Metallgesellschaft</x:v>
      </x:c>
    </x:row>
    <x:row r="808">
      <x:c r="A808" s="1" t="str">
        <x:v>cmsbr1xgb000d04l4kki35x9j</x:v>
      </x:c>
      <x:c r="B808" s="1" t="str">
        <x:v>cmsbr0keh000404l4bbqhy2a0</x:v>
      </x:c>
      <x:c r="C808" s="1" t="str">
        <x:v>ca-2024-000806-hippodrome-casino-ltd-v-hmrc-appellant-skeleton</x:v>
      </x:c>
      <x:c r="D808" s="12" t="n">
        <x:v>46236.50096064815</x:v>
      </x:c>
      <x:c r="E808" s="1" t="str">
        <x:v>yes</x:v>
      </x:c>
      <x:c r="F808" s="14" t="str">
        <x:v>cmsbr3045000j04l4tkps7ymp</x:v>
      </x:c>
      <x:c r="G808" s="14" t="n">
        <x:v>7</x:v>
      </x:c>
      <x:c r="H808" s="14" t="str">
        <x:v>5c2719bb-df7d-4d55-a473-dd5087c1d2e8</x:v>
      </x:c>
      <x:c r="I808" s="14" t="str">
        <x:v>Reed Employment Ltd v HM Revenue and Customs</x:v>
      </x:c>
      <x:c r="J808" s="14" t="str">
        <x:v>England and Wales Court of Appeal (Civil Division)</x:v>
      </x:c>
      <x:c r="K808" s="14" t="n">
        <x:v>2014</x:v>
      </x:c>
      <x:c r="L808" s="15" t="n">
        <x:v>0.6942377</x:v>
      </x:c>
      <x:c r="M808" s="14" t="n">
        <x:v>1</x:v>
      </x:c>
      <x:c r="N808" s="14" t="str"/>
    </x:row>
    <x:row r="809">
      <x:c r="A809" s="1" t="str">
        <x:v>cmsbr1xgb000d04l4kki35x9j</x:v>
      </x:c>
      <x:c r="B809" s="1" t="str">
        <x:v>cmsbr0keh000404l4bbqhy2a0</x:v>
      </x:c>
      <x:c r="C809" s="1" t="str">
        <x:v>ca-2024-000806-hippodrome-casino-ltd-v-hmrc-appellant-skeleton</x:v>
      </x:c>
      <x:c r="D809" s="12" t="n">
        <x:v>46236.50096064815</x:v>
      </x:c>
      <x:c r="E809" s="1" t="str">
        <x:v>yes</x:v>
      </x:c>
      <x:c r="F809" s="14" t="str">
        <x:v>cmsbr3045000j04l4tkps7ymp</x:v>
      </x:c>
      <x:c r="G809" s="14" t="n">
        <x:v>8</x:v>
      </x:c>
      <x:c r="H809" s="14" t="str">
        <x:v>38eac6a9-6018-40fe-9d73-ab111162e65d</x:v>
      </x:c>
      <x:c r="I809" s="14" t="str">
        <x:v>ING Intermediate Holdings Ltd v HM Revenue and Customs [2017] EWCA Civ 2111</x:v>
      </x:c>
      <x:c r="J809" s="14" t="str">
        <x:v>England and Wales Court of Appeal (Civil Division)</x:v>
      </x:c>
      <x:c r="K809" s="14" t="n">
        <x:v>2017</x:v>
      </x:c>
      <x:c r="L809" s="15" t="n">
        <x:v>0.69408315</x:v>
      </x:c>
      <x:c r="M809" s="14" t="n">
        <x:v>1</x:v>
      </x:c>
      <x:c r="N809" s="14" t="str">
        <x:v>C-4/94 BLP Group v Customs and Excise Commissioners | C-653/11 Revenue and Customs Commissioners v Newey</x:v>
      </x:c>
    </x:row>
    <x:row r="810">
      <x:c r="A810" s="1" t="str">
        <x:v>cmsbr1xgb000d04l4kki35x9j</x:v>
      </x:c>
      <x:c r="B810" s="1" t="str">
        <x:v>cmsbr0keh000404l4bbqhy2a0</x:v>
      </x:c>
      <x:c r="C810" s="1" t="str">
        <x:v>ca-2024-000806-hippodrome-casino-ltd-v-hmrc-appellant-skeleton</x:v>
      </x:c>
      <x:c r="D810" s="12" t="n">
        <x:v>46236.50096064815</x:v>
      </x:c>
      <x:c r="E810" s="1" t="str">
        <x:v>yes</x:v>
      </x:c>
      <x:c r="F810" s="14" t="str">
        <x:v>cmsbr3045000j04l4tkps7ymp</x:v>
      </x:c>
      <x:c r="G810" s="14" t="n">
        <x:v>9</x:v>
      </x:c>
      <x:c r="H810" s="14" t="str">
        <x:v>52d1be75-0d9f-4b51-b6fc-183cfce77220</x:v>
      </x:c>
      <x:c r="I810" s="14" t="str">
        <x:v>Tower Bridge GP Ltd v Revenue And Customs [2022] EWCA Civ 998 (18 July 2022)</x:v>
      </x:c>
      <x:c r="J810" s="14" t="str">
        <x:v>England and Wales Court of Appeal (Civil Division)</x:v>
      </x:c>
      <x:c r="K810" s="14" t="n">
        <x:v>2022</x:v>
      </x:c>
      <x:c r="L810" s="15" t="n">
        <x:v>0.6898725</x:v>
      </x:c>
      <x:c r="M810" s="14" t="n">
        <x:v>5</x:v>
      </x:c>
      <x:c r="N810" s="14" t="str">
        <x:v>Albert Collée v Finanzamt Limburg an der Lahn (C-146/05) | Geissel v Finanzamt Neuss (C-374/16 and C-375/16) | Senatex (2017) STC 205 | Barlis 06 (2016) STC 43 | Zipvit Ltd v HMRC (C-156/20) | Ferimet SL v Administracíon General del Estado (C-281/20) | Kemwater ProChemie sro v Odvolací finanční ředitelství (C-154/20) | Ecotrade SpA v Agenzia delle Entrate (C-95/07 and C-96/07) | Albert Collée (C-146/05) | UKUT 30 (TCC) | Barlis 06 | Senatex | Zipvit | Ferimet | Geissel | Albert Collée | Kemwater ProChemie | Geissel v Finanzamt Neuss (C-374/16, C-375/16) | Barlis (2016) STC 43 | Ferimet SL v A.G.E. (C-281/20) | Judge Jones (FTT decision)</x:v>
      </x:c>
    </x:row>
    <x:row r="811">
      <x:c r="A811" s="1" t="str">
        <x:v>cmsbr1xgb000d04l4kki35x9j</x:v>
      </x:c>
      <x:c r="B811" s="1" t="str">
        <x:v>cmsbr0keh000404l4bbqhy2a0</x:v>
      </x:c>
      <x:c r="C811" s="1" t="str">
        <x:v>ca-2024-000806-hippodrome-casino-ltd-v-hmrc-appellant-skeleton</x:v>
      </x:c>
      <x:c r="D811" s="12" t="n">
        <x:v>46236.50096064815</x:v>
      </x:c>
      <x:c r="E811" s="1" t="str">
        <x:v>yes</x:v>
      </x:c>
      <x:c r="F811" s="14" t="str">
        <x:v>cmsbr3045000j04l4tkps7ymp</x:v>
      </x:c>
      <x:c r="G811" s="14" t="n">
        <x:v>10</x:v>
      </x:c>
      <x:c r="H811" s="14" t="str">
        <x:v>3d0c1d2a-8c23-4f19-a7ba-587826b75f45</x:v>
      </x:c>
      <x:c r="I811" s="14" t="str">
        <x:v>University of Huddersfield Higher Education Corporation v HM Revenue and Customs</x:v>
      </x:c>
      <x:c r="J811" s="14" t="str">
        <x:v>England and Wales Court of Appeal (Civil Division)</x:v>
      </x:c>
      <x:c r="K811" s="14" t="n">
        <x:v>2016</x:v>
      </x:c>
      <x:c r="L811" s="15" t="n">
        <x:v>0.68932474</x:v>
      </x:c>
      <x:c r="M811" s="14" t="n">
        <x:v>4</x:v>
      </x:c>
      <x:c r="N811" s="14" t="str">
        <x:v>Halifax plc v CCE | WHA Ltd v HMRC | Pendragon plc v HMRC | HMRC v Weald Leasing Ltd | Emsland-Stärke GmbH v Hauptzollamt Hamburg-Jonas | Halifax | WHA | Pendragon | Weald Leasing | Emsland-Stärke</x:v>
      </x:c>
    </x:row>
    <x:row r="812">
      <x:c r="A812" s="1" t="str">
        <x:v>cmsbr1xgb000d04l4kki35x9j</x:v>
      </x:c>
      <x:c r="B812" s="1" t="str">
        <x:v>cmsbr0keh000404l4bbqhy2a0</x:v>
      </x:c>
      <x:c r="C812" s="1" t="str">
        <x:v>ca-2024-000806-hippodrome-casino-ltd-v-hmrc-appellant-skeleton</x:v>
      </x:c>
      <x:c r="D812" s="12" t="n">
        <x:v>46236.50096064815</x:v>
      </x:c>
      <x:c r="E812" s="1" t="str">
        <x:v>yes</x:v>
      </x:c>
      <x:c r="F812" s="14" t="str">
        <x:v>cmsbr3045000j04l4tkps7ymp</x:v>
      </x:c>
      <x:c r="G812" s="14" t="n">
        <x:v>11</x:v>
      </x:c>
      <x:c r="H812" s="14" t="str">
        <x:v>53011b43-2d84-4830-953a-1b5b550f4f67</x:v>
      </x:c>
      <x:c r="I812" s="14" t="str">
        <x:v>The Quentin Skinner 2015 Settlement L &amp; Ors v HM Revenue and Customs (Entrepeneurs' Relief) [2022] EWCA Civ 1222</x:v>
      </x:c>
      <x:c r="J812" s="14" t="str">
        <x:v>England and Wales Court of Appeal (Civil Division)</x:v>
      </x:c>
      <x:c r="K812" s="14" t="n">
        <x:v>2022</x:v>
      </x:c>
      <x:c r="L812" s="15" t="n">
        <x:v>0.6863302</x:v>
      </x:c>
      <x:c r="M812" s="14" t="n">
        <x:v>1</x:v>
      </x:c>
      <x:c r="N812" s="14" t="str"/>
    </x:row>
    <x:row r="813">
      <x:c r="A813" s="1" t="str">
        <x:v>cmsbr1xgb000d04l4kki35x9j</x:v>
      </x:c>
      <x:c r="B813" s="1" t="str">
        <x:v>cmsbr0keh000404l4bbqhy2a0</x:v>
      </x:c>
      <x:c r="C813" s="1" t="str">
        <x:v>ca-2024-000806-hippodrome-casino-ltd-v-hmrc-appellant-skeleton</x:v>
      </x:c>
      <x:c r="D813" s="12" t="n">
        <x:v>46236.50096064815</x:v>
      </x:c>
      <x:c r="E813" s="1" t="str">
        <x:v>yes</x:v>
      </x:c>
      <x:c r="F813" s="14" t="str">
        <x:v>cmsbr3045000j04l4tkps7ymp</x:v>
      </x:c>
      <x:c r="G813" s="14" t="n">
        <x:v>12</x:v>
      </x:c>
      <x:c r="H813" s="14" t="str">
        <x:v>2f2ce488-73d0-4422-abcd-2b014a9e52d1</x:v>
      </x:c>
      <x:c r="I813" s="14" t="str">
        <x:v>Totel Limited v HM Revenue and Customs [2016] EWCA Civ 1310</x:v>
      </x:c>
      <x:c r="J813" s="14" t="str">
        <x:v>England and Wales Court of Appeal (Civil Division)</x:v>
      </x:c>
      <x:c r="K813" s="14" t="n">
        <x:v>2016</x:v>
      </x:c>
      <x:c r="L813" s="15" t="n">
        <x:v>0.68529236</x:v>
      </x:c>
      <x:c r="M813" s="14" t="n">
        <x:v>2</x:v>
      </x:c>
      <x:c r="N813" s="14" t="str">
        <x:v>UKUT 485 (TCC) | Marks &amp; Spencer | Littlewoods | EDIS (C-231/96) | Marks &amp; Spencer (C-309/06) | Littlewoods (C-591/10) | San Giorgio SpA (C-199/82) | Levez (C-326/96)</x:v>
      </x:c>
    </x:row>
    <x:row r="814">
      <x:c r="A814" s="1" t="str">
        <x:v>cmsbr1xgb000d04l4kki35x9j</x:v>
      </x:c>
      <x:c r="B814" s="1" t="str">
        <x:v>cmsbr0keh000404l4bbqhy2a0</x:v>
      </x:c>
      <x:c r="C814" s="1" t="str">
        <x:v>ca-2024-000806-hippodrome-casino-ltd-v-hmrc-appellant-skeleton</x:v>
      </x:c>
      <x:c r="D814" s="12" t="n">
        <x:v>46236.50096064815</x:v>
      </x:c>
      <x:c r="E814" s="1" t="str">
        <x:v>yes</x:v>
      </x:c>
      <x:c r="F814" s="14" t="str">
        <x:v>cmsbr3045000j04l4tkps7ymp</x:v>
      </x:c>
      <x:c r="G814" s="14" t="n">
        <x:v>13</x:v>
      </x:c>
      <x:c r="H814" s="14" t="str">
        <x:v>d18a7e9c-a930-43c5-a32d-bc205ffe00f8</x:v>
      </x:c>
      <x:c r="I814" s="14" t="str">
        <x:v>SAE Education Ltd v Revenue And Customs</x:v>
      </x:c>
      <x:c r="J814" s="14" t="str">
        <x:v>England and Wales Court of Appeal (Civil Division)</x:v>
      </x:c>
      <x:c r="K814" s="14" t="n">
        <x:v>2017</x:v>
      </x:c>
      <x:c r="L814" s="15" t="n">
        <x:v>0.68376404</x:v>
      </x:c>
      <x:c r="M814" s="14" t="n">
        <x:v>1</x:v>
      </x:c>
      <x:c r="N814" s="14" t="str">
        <x:v>VAT Act 1994 | University of Leicester Students' Union, [2001] EWCA Civ 1972</x:v>
      </x:c>
    </x:row>
    <x:row r="815">
      <x:c r="A815" s="1" t="str">
        <x:v>cmsbr1xgb000d04l4kki35x9j</x:v>
      </x:c>
      <x:c r="B815" s="1" t="str">
        <x:v>cmsbr0keh000404l4bbqhy2a0</x:v>
      </x:c>
      <x:c r="C815" s="1" t="str">
        <x:v>ca-2024-000806-hippodrome-casino-ltd-v-hmrc-appellant-skeleton</x:v>
      </x:c>
      <x:c r="D815" s="12" t="n">
        <x:v>46236.50096064815</x:v>
      </x:c>
      <x:c r="E815" s="1" t="str">
        <x:v>yes</x:v>
      </x:c>
      <x:c r="F815" s="14" t="str">
        <x:v>cmsbr3045000j04l4tkps7ymp</x:v>
      </x:c>
      <x:c r="G815" s="14" t="n">
        <x:v>14</x:v>
      </x:c>
      <x:c r="H815" s="14" t="str">
        <x:v>dc715706-f35f-4a5c-8ad7-a824c23f5260</x:v>
      </x:c>
      <x:c r="I815" s="14" t="str">
        <x:v>Associated Newspapers Ltd v HM Revenue &amp; Customs [2017] EWCA Civ 54</x:v>
      </x:c>
      <x:c r="J815" s="14" t="str">
        <x:v>England and Wales Court of Appeal (Civil Division)</x:v>
      </x:c>
      <x:c r="K815" s="14" t="n">
        <x:v>2017</x:v>
      </x:c>
      <x:c r="L815" s="15" t="n">
        <x:v>0.6797149</x:v>
      </x:c>
      <x:c r="M815" s="14" t="n">
        <x:v>2</x:v>
      </x:c>
      <x:c r="N815" s="14" t="str">
        <x:v>[2015] UKUT 641 (TCC) | Case C-288/94 Argos v HMRC | Case C-62/00 Marks &amp; Spencer | Case C-4/94 BLP Group v Customs and Excise Commissioners | Case C-98/98 Midland Bank plc v Customs and Excise Commissioners | Case C-126/14 Sveda UAB v Valstybine mokesciu inspekcija</x:v>
      </x:c>
    </x:row>
    <x:row r="816">
      <x:c r="A816" s="1" t="str">
        <x:v>cmsbr1xgb000d04l4kki35x9j</x:v>
      </x:c>
      <x:c r="B816" s="1" t="str">
        <x:v>cmsbr0keh000404l4bbqhy2a0</x:v>
      </x:c>
      <x:c r="C816" s="1" t="str">
        <x:v>ca-2024-000806-hippodrome-casino-ltd-v-hmrc-appellant-skeleton</x:v>
      </x:c>
      <x:c r="D816" s="12" t="n">
        <x:v>46236.50096064815</x:v>
      </x:c>
      <x:c r="E816" s="1" t="str">
        <x:v>yes</x:v>
      </x:c>
      <x:c r="F816" s="14" t="str">
        <x:v>cmsbr3045000j04l4tkps7ymp</x:v>
      </x:c>
      <x:c r="G816" s="14" t="n">
        <x:v>15</x:v>
      </x:c>
      <x:c r="H816" s="14" t="str">
        <x:v>ff706e01-2911-4522-b7e2-4cb4ed7e3992</x:v>
      </x:c>
      <x:c r="I816" s="14" t="str">
        <x:v>Revenue And Customs v The Open University [2016] EWCA Civ 114</x:v>
      </x:c>
      <x:c r="J816" s="14" t="str">
        <x:v>England and Wales Court of Appeal (Civil Division)</x:v>
      </x:c>
      <x:c r="K816" s="14" t="n">
        <x:v>2016</x:v>
      </x:c>
      <x:c r="L816" s="15" t="n">
        <x:v>0.6793244</x:v>
      </x:c>
      <x:c r="M816" s="14" t="n">
        <x:v>1</x:v>
      </x:c>
      <x:c r="N816" s="14" t="str">
        <x:v>Stichting Horizon College v Staatssecretaris van Financien | Case C-434/05 Horizon College | Cambridge University v HMRC | JP Morgan Fleming Claverhouse | Kingscrest Associates Ltd v Montecello Ltd | MDDP sp z oo Akademia Biznesu | Saudaçor v Fazenda Publica</x:v>
      </x:c>
    </x:row>
    <x:row r="817">
      <x:c r="A817" s="1" t="str">
        <x:v>cmsbr1xgb000d04l4kki35x9j</x:v>
      </x:c>
      <x:c r="B817" s="1" t="str">
        <x:v>cmsbr0keh000404l4bbqhy2a0</x:v>
      </x:c>
      <x:c r="C817" s="1" t="str">
        <x:v>ca-2024-000806-hippodrome-casino-ltd-v-hmrc-appellant-skeleton</x:v>
      </x:c>
      <x:c r="D817" s="12" t="n">
        <x:v>46236.50096064815</x:v>
      </x:c>
      <x:c r="E817" s="1" t="str">
        <x:v>yes</x:v>
      </x:c>
      <x:c r="F817" s="14" t="str">
        <x:v>cmsbr3045000j04l4tkps7ymp</x:v>
      </x:c>
      <x:c r="G817" s="14" t="n">
        <x:v>16</x:v>
      </x:c>
      <x:c r="H817" s="14" t="str">
        <x:v>fb90f1ad-6132-491d-be89-35324c43b367</x:v>
      </x:c>
      <x:c r="I817" s="14" t="str">
        <x:v>HM Revenue and Customs v Brockenhurst College [2015] EWCA Civ 1196</x:v>
      </x:c>
      <x:c r="J817" s="14" t="str">
        <x:v>England and Wales Court of Appeal (Civil Division)</x:v>
      </x:c>
      <x:c r="K817" s="14" t="n">
        <x:v>2015</x:v>
      </x:c>
      <x:c r="L817" s="15" t="n">
        <x:v>0.67915297</x:v>
      </x:c>
      <x:c r="M817" s="14" t="n">
        <x:v>2</x:v>
      </x:c>
      <x:c r="N817" s="14" t="str">
        <x:v>EC Commission v Federal Republic of Germany (Case C-287/00)</x:v>
      </x:c>
    </x:row>
    <x:row r="818">
      <x:c r="A818" s="1" t="str">
        <x:v>cmsbr1xgb000d04l4kki35x9j</x:v>
      </x:c>
      <x:c r="B818" s="1" t="str">
        <x:v>cmsbr0keh000404l4bbqhy2a0</x:v>
      </x:c>
      <x:c r="C818" s="1" t="str">
        <x:v>ca-2024-000806-hippodrome-casino-ltd-v-hmrc-appellant-skeleton</x:v>
      </x:c>
      <x:c r="D818" s="12" t="n">
        <x:v>46236.50096064815</x:v>
      </x:c>
      <x:c r="E818" s="1" t="str">
        <x:v>yes</x:v>
      </x:c>
      <x:c r="F818" s="14" t="str">
        <x:v>cmsbr3045000j04l4tkps7ymp</x:v>
      </x:c>
      <x:c r="G818" s="14" t="n">
        <x:v>17</x:v>
      </x:c>
      <x:c r="H818" s="14" t="str">
        <x:v>690f2978-b410-456d-8745-0fd24cea8bf6</x:v>
      </x:c>
      <x:c r="I818" s="14" t="str">
        <x:v>Greenspace (UK) Ltd v Commissioners for HM Revenue and Customs [2023] EWCA Civ 106</x:v>
      </x:c>
      <x:c r="J818" s="14" t="str">
        <x:v>England and Wales Court of Appeal (Civil Division)</x:v>
      </x:c>
      <x:c r="K818" s="14" t="n">
        <x:v>2023</x:v>
      </x:c>
      <x:c r="L818" s="15" t="n">
        <x:v>0.6766257</x:v>
      </x:c>
      <x:c r="M818" s="14" t="n">
        <x:v>1</x:v>
      </x:c>
      <x:c r="N818" s="14" t="str">
        <x:v>Pinevale | Wetheralds | Coleborn v Blond | Marchday Holdings | Proctor &amp; Gamble UK | Stock v Jones | Zimmerman</x:v>
      </x:c>
    </x:row>
    <x:row r="819">
      <x:c r="A819" s="1" t="str">
        <x:v>cmsbr1xgb000d04l4kki35x9j</x:v>
      </x:c>
      <x:c r="B819" s="1" t="str">
        <x:v>cmsbr0keh000404l4bbqhy2a0</x:v>
      </x:c>
      <x:c r="C819" s="1" t="str">
        <x:v>ca-2024-000806-hippodrome-casino-ltd-v-hmrc-appellant-skeleton</x:v>
      </x:c>
      <x:c r="D819" s="12" t="n">
        <x:v>46236.50096064815</x:v>
      </x:c>
      <x:c r="E819" s="1" t="str">
        <x:v>yes</x:v>
      </x:c>
      <x:c r="F819" s="14" t="str">
        <x:v>cmsbr3045000j04l4tkps7ymp</x:v>
      </x:c>
      <x:c r="G819" s="14" t="n">
        <x:v>18</x:v>
      </x:c>
      <x:c r="H819" s="14" t="str">
        <x:v>34f65455-ab57-4843-8247-69713c6d5d1d</x:v>
      </x:c>
      <x:c r="I819" s="14" t="str">
        <x:v>Iveco Ltd v Revenue And Customs</x:v>
      </x:c>
      <x:c r="J819" s="14" t="str">
        <x:v>England and Wales Court of Appeal (Civil Division)</x:v>
      </x:c>
      <x:c r="K819" s="14" t="n">
        <x:v>2017</x:v>
      </x:c>
      <x:c r="L819" s="15" t="n">
        <x:v>0.6766019</x:v>
      </x:c>
      <x:c r="M819" s="14" t="n">
        <x:v>3</x:v>
      </x:c>
      <x:c r="N819" s="14" t="str"/>
    </x:row>
    <x:row r="820">
      <x:c r="A820" s="1" t="str">
        <x:v>cmsbr1xgb000d04l4kki35x9j</x:v>
      </x:c>
      <x:c r="B820" s="1" t="str">
        <x:v>cmsbr0keh000404l4bbqhy2a0</x:v>
      </x:c>
      <x:c r="C820" s="1" t="str">
        <x:v>ca-2024-000806-hippodrome-casino-ltd-v-hmrc-appellant-skeleton</x:v>
      </x:c>
      <x:c r="D820" s="12" t="n">
        <x:v>46236.50096064815</x:v>
      </x:c>
      <x:c r="E820" s="1" t="str">
        <x:v>yes</x:v>
      </x:c>
      <x:c r="F820" s="14" t="str">
        <x:v>cmsbr3045000j04l4tkps7ymp</x:v>
      </x:c>
      <x:c r="G820" s="14" t="n">
        <x:v>19</x:v>
      </x:c>
      <x:c r="H820" s="14" t="str">
        <x:v>c009622e-9e72-4c9c-a114-e74deba95ac2</x:v>
      </x:c>
      <x:c r="I820" s="14" t="str">
        <x:v>Revenue and Customs (HMRC) v London Clubs Management Ltd</x:v>
      </x:c>
      <x:c r="J820" s="14" t="str">
        <x:v>England and Wales Court of Appeal (Civil Division)</x:v>
      </x:c>
      <x:c r="K820" s="14" t="n">
        <x:v>2018</x:v>
      </x:c>
      <x:c r="L820" s="15" t="n">
        <x:v>0.6746719</x:v>
      </x:c>
      <x:c r="M820" s="14" t="n">
        <x:v>2</x:v>
      </x:c>
      <x:c r="N820" s="14" t="str"/>
    </x:row>
    <x:row r="821">
      <x:c r="A821" s="1" t="str">
        <x:v>cmsbr1xgb000d04l4kki35x9j</x:v>
      </x:c>
      <x:c r="B821" s="1" t="str">
        <x:v>cmsbr0keh000404l4bbqhy2a0</x:v>
      </x:c>
      <x:c r="C821" s="1" t="str">
        <x:v>ca-2024-000806-hippodrome-casino-ltd-v-hmrc-appellant-skeleton</x:v>
      </x:c>
      <x:c r="D821" s="12" t="n">
        <x:v>46236.50096064815</x:v>
      </x:c>
      <x:c r="E821" s="1" t="str">
        <x:v>yes</x:v>
      </x:c>
      <x:c r="F821" s="14" t="str">
        <x:v>cmsbr3045000j04l4tkps7ymp</x:v>
      </x:c>
      <x:c r="G821" s="14" t="n">
        <x:v>20</x:v>
      </x:c>
      <x:c r="H821" s="14" t="str">
        <x:v>7253e952-4693-4c28-8c6d-f176b4e6f194</x:v>
      </x:c>
      <x:c r="I821" s="14" t="str">
        <x:v>HMRC v GMAC (UK) Plc [2016] EWCA Civ 1015 (Court of Appeal, Civil Division)</x:v>
      </x:c>
      <x:c r="J821" s="14" t="str">
        <x:v>England and Wales Court of Appeal (Civil Division)</x:v>
      </x:c>
      <x:c r="K821" s="14" t="n">
        <x:v>2016</x:v>
      </x:c>
      <x:c r="L821" s="15" t="n">
        <x:v>0.6745839</x:v>
      </x:c>
      <x:c r="M821" s="14" t="n">
        <x:v>3</x:v>
      </x:c>
      <x:c r="N821" s="14" t="str">
        <x:v>Goldsmiths (C-330/95) | Marks &amp; Spencer (C-62/00) | Almos (C-337/13) | Plantanol (C-201/08) | Ze-Fu Fleischhandel (C-201/10; C-202/10) | BT CA (EWCA Civ 433) | Marks &amp; Spencer | Fleming | BT CA | Almos</x:v>
      </x:c>
    </x:row>
    <x:row r="822">
      <x:c r="A822" s="1" t="str">
        <x:v>cmsbr3gmj000p04l4jzoye2ph</x:v>
      </x:c>
      <x:c r="B822" s="1" t="str">
        <x:v>cmsbr0keh000404l4bbqhy2a0</x:v>
      </x:c>
      <x:c r="C822" s="1" t="str">
        <x:v>ca-2024-000806-hippodrome-casino-ltd-v-hmrc-appellant-skeleton</x:v>
      </x:c>
      <x:c r="D822" s="12" t="n">
        <x:v>46236.501788368056</x:v>
      </x:c>
      <x:c r="E822" s="1" t="str">
        <x:v>yes</x:v>
      </x:c>
      <x:c r="F822" s="14" t="str">
        <x:v>cmsbr4fhb000v04l4mgwtz5x1</x:v>
      </x:c>
      <x:c r="G822" s="14" t="n">
        <x:v>1</x:v>
      </x:c>
      <x:c r="H822" s="14" t="str">
        <x:v>b9498527-3250-49cd-9d8e-ed7c0dda200e</x:v>
      </x:c>
      <x:c r="I822" s="14" t="str">
        <x:v>Volkswagen Financial Services (UK) Ltd v HM Revenue &amp; Customs</x:v>
      </x:c>
      <x:c r="J822" s="14" t="str">
        <x:v>England and Wales Court of Appeal (Civil Division)</x:v>
      </x:c>
      <x:c r="K822" s="14" t="n">
        <x:v>2015</x:v>
      </x:c>
      <x:c r="L822" s="15" t="n">
        <x:v>0.747692</x:v>
      </x:c>
      <x:c r="M822" s="14" t="n">
        <x:v>7</x:v>
      </x:c>
      <x:c r="N822" s="14" t="str">
        <x:v>Rompelman v Minister van Financiën | Midland Bank plc v Customs and Excise Commissioners | Rompleman v Minister van Financiën | Article 168 of the Principal VAT Directive | BLP Group v Customs and Excise Commissioners | Abbey National plc v Customs and Excise Commissioners | Case 435-05 Investrand BV | London Clubs Management Ltd v Revenue and Customs Commissioners</x:v>
      </x:c>
    </x:row>
    <x:row r="823">
      <x:c r="A823" s="1" t="str">
        <x:v>cmsbr3gmj000p04l4jzoye2ph</x:v>
      </x:c>
      <x:c r="B823" s="1" t="str">
        <x:v>cmsbr0keh000404l4bbqhy2a0</x:v>
      </x:c>
      <x:c r="C823" s="1" t="str">
        <x:v>ca-2024-000806-hippodrome-casino-ltd-v-hmrc-appellant-skeleton</x:v>
      </x:c>
      <x:c r="D823" s="12" t="n">
        <x:v>46236.501788368056</x:v>
      </x:c>
      <x:c r="E823" s="1" t="str">
        <x:v>yes</x:v>
      </x:c>
      <x:c r="F823" s="14" t="str">
        <x:v>cmsbr4fhb000v04l4mgwtz5x1</x:v>
      </x:c>
      <x:c r="G823" s="14" t="n">
        <x:v>2</x:v>
      </x:c>
      <x:c r="H823" s="14" t="str">
        <x:v>4ce131bd-2742-476d-a37a-0727c7980ebc</x:v>
      </x:c>
      <x:c r="I823" s="14" t="str">
        <x:v>Revenue and Customs v Mercedes-Benz Financial Services UK Ltd</x:v>
      </x:c>
      <x:c r="J823" s="14" t="str">
        <x:v>England and Wales Court of Appeal (Civil Division)</x:v>
      </x:c>
      <x:c r="K823" s="14" t="n">
        <x:v>2015</x:v>
      </x:c>
      <x:c r="L823" s="15" t="n">
        <x:v>0.7136548</x:v>
      </x:c>
      <x:c r="M823" s="14" t="n">
        <x:v>3</x:v>
      </x:c>
      <x:c r="N823" s="14" t="str">
        <x:v>Newey v HMRC Case C-653/11 | Dixons Retail plc v HMRC Case C-494/12</x:v>
      </x:c>
    </x:row>
    <x:row r="824">
      <x:c r="A824" s="1" t="str">
        <x:v>cmsbr3gmj000p04l4jzoye2ph</x:v>
      </x:c>
      <x:c r="B824" s="1" t="str">
        <x:v>cmsbr0keh000404l4bbqhy2a0</x:v>
      </x:c>
      <x:c r="C824" s="1" t="str">
        <x:v>ca-2024-000806-hippodrome-casino-ltd-v-hmrc-appellant-skeleton</x:v>
      </x:c>
      <x:c r="D824" s="12" t="n">
        <x:v>46236.501788368056</x:v>
      </x:c>
      <x:c r="E824" s="1" t="str">
        <x:v>yes</x:v>
      </x:c>
      <x:c r="F824" s="14" t="str">
        <x:v>cmsbr4fhb000v04l4mgwtz5x1</x:v>
      </x:c>
      <x:c r="G824" s="14" t="n">
        <x:v>3</x:v>
      </x:c>
      <x:c r="H824" s="14" t="str">
        <x:v>cd495d17-4a70-4b1a-ad32-713927ce6d8e</x:v>
      </x:c>
      <x:c r="I824" s="14" t="str">
        <x:v>Birmingham Hippodrome Theatre Trust Ltd v Revenue And Customs</x:v>
      </x:c>
      <x:c r="J824" s="14" t="str">
        <x:v>England and Wales Court of Appeal (Civil Division)</x:v>
      </x:c>
      <x:c r="K824" s="14" t="n">
        <x:v>2014</x:v>
      </x:c>
      <x:c r="L824" s="15" t="n">
        <x:v>0.71185356</x:v>
      </x:c>
      <x:c r="M824" s="14" t="n">
        <x:v>5</x:v>
      </x:c>
      <x:c r="N824" s="14" t="str"/>
    </x:row>
    <x:row r="825">
      <x:c r="A825" s="1" t="str">
        <x:v>cmsbr3gmj000p04l4jzoye2ph</x:v>
      </x:c>
      <x:c r="B825" s="1" t="str">
        <x:v>cmsbr0keh000404l4bbqhy2a0</x:v>
      </x:c>
      <x:c r="C825" s="1" t="str">
        <x:v>ca-2024-000806-hippodrome-casino-ltd-v-hmrc-appellant-skeleton</x:v>
      </x:c>
      <x:c r="D825" s="12" t="n">
        <x:v>46236.501788368056</x:v>
      </x:c>
      <x:c r="E825" s="1" t="str">
        <x:v>yes</x:v>
      </x:c>
      <x:c r="F825" s="14" t="str">
        <x:v>cmsbr4fhb000v04l4mgwtz5x1</x:v>
      </x:c>
      <x:c r="G825" s="14" t="n">
        <x:v>4</x:v>
      </x:c>
      <x:c r="H825" s="14" t="str">
        <x:v>bfa85128-3daf-4206-8d8f-d2dc5f32ab27</x:v>
      </x:c>
      <x:c r="I825" s="14" t="str">
        <x:v>Regency Factors Plc v HM Revenue &amp; Customs (Rev1) [2022] EWCA Civ 103</x:v>
      </x:c>
      <x:c r="J825" s="14" t="str">
        <x:v>England and Wales Court of Appeal (Civil Division)</x:v>
      </x:c>
      <x:c r="K825" s="14" t="n">
        <x:v>2022</x:v>
      </x:c>
      <x:c r="L825" s="15" t="n">
        <x:v>0.7109793</x:v>
      </x:c>
      <x:c r="M825" s="14" t="n">
        <x:v>4</x:v>
      </x:c>
      <x:c r="N825" s="14" t="str">
        <x:v>[2019] UKFTT 0144 (TC) | [2020] UKUT 357 (TCC) | [2022] EWCA Civ 103 | VAT Directive Article 90 | Regulations 168/172 | CJEU VAT neutrality jurisprudence | [40] discussion within judgment | CJEU VAT neutrality/proportionality jurisprudence</x:v>
      </x:c>
    </x:row>
    <x:row r="826">
      <x:c r="A826" s="1" t="str">
        <x:v>cmsbr3gmj000p04l4jzoye2ph</x:v>
      </x:c>
      <x:c r="B826" s="1" t="str">
        <x:v>cmsbr0keh000404l4bbqhy2a0</x:v>
      </x:c>
      <x:c r="C826" s="1" t="str">
        <x:v>ca-2024-000806-hippodrome-casino-ltd-v-hmrc-appellant-skeleton</x:v>
      </x:c>
      <x:c r="D826" s="12" t="n">
        <x:v>46236.501788368056</x:v>
      </x:c>
      <x:c r="E826" s="1" t="str">
        <x:v>yes</x:v>
      </x:c>
      <x:c r="F826" s="14" t="str">
        <x:v>cmsbr4fhb000v04l4mgwtz5x1</x:v>
      </x:c>
      <x:c r="G826" s="14" t="n">
        <x:v>5</x:v>
      </x:c>
      <x:c r="H826" s="14" t="str">
        <x:v>5be7238d-b78e-4194-90ec-c036be53b377</x:v>
      </x:c>
      <x:c r="I826" s="14" t="str">
        <x:v>Leeds City Council v HM Revenue and Customs [2015] EWCA Civ 1293</x:v>
      </x:c>
      <x:c r="J826" s="14" t="str">
        <x:v>England and Wales Court of Appeal (Civil Division)</x:v>
      </x:c>
      <x:c r="K826" s="14" t="n">
        <x:v>2015</x:v>
      </x:c>
      <x:c r="L826" s="15" t="n">
        <x:v>0.7063102</x:v>
      </x:c>
      <x:c r="M826" s="14" t="n">
        <x:v>3</x:v>
      </x:c>
      <x:c r="N826" s="14" t="str">
        <x:v>VAT Act 1994 | Marks &amp; Spencer plc v Customs and Excise Comrs | Fleming v HMRC</x:v>
      </x:c>
    </x:row>
    <x:row r="827">
      <x:c r="A827" s="1" t="str">
        <x:v>cmsbr3gmj000p04l4jzoye2ph</x:v>
      </x:c>
      <x:c r="B827" s="1" t="str">
        <x:v>cmsbr0keh000404l4bbqhy2a0</x:v>
      </x:c>
      <x:c r="C827" s="1" t="str">
        <x:v>ca-2024-000806-hippodrome-casino-ltd-v-hmrc-appellant-skeleton</x:v>
      </x:c>
      <x:c r="D827" s="12" t="n">
        <x:v>46236.501788368056</x:v>
      </x:c>
      <x:c r="E827" s="1" t="str">
        <x:v>yes</x:v>
      </x:c>
      <x:c r="F827" s="14" t="str">
        <x:v>cmsbr4fhb000v04l4mgwtz5x1</x:v>
      </x:c>
      <x:c r="G827" s="14" t="n">
        <x:v>6</x:v>
      </x:c>
      <x:c r="H827" s="14" t="str">
        <x:v>88bb4a5f-a731-48de-9e0d-c8537ea915a0</x:v>
      </x:c>
      <x:c r="I827" s="14" t="str">
        <x:v>Littlewoods Ltd &amp; Ors v HM Revenue and Customs [2015] EWCA Civ 515</x:v>
      </x:c>
      <x:c r="J827" s="14" t="str">
        <x:v>England and Wales Court of Appeal (Civil Division)</x:v>
      </x:c>
      <x:c r="K827" s="14" t="n">
        <x:v>2015</x:v>
      </x:c>
      <x:c r="L827" s="15" t="n">
        <x:v>0.69990593</x:v>
      </x:c>
      <x:c r="M827" s="14" t="n">
        <x:v>1</x:v>
      </x:c>
      <x:c r="N827" s="14" t="str">
        <x:v>Kleinwort Benson v Lincoln City Council | San Giorgio | Metallgesellschaft</x:v>
      </x:c>
    </x:row>
    <x:row r="828">
      <x:c r="A828" s="1" t="str">
        <x:v>cmsbr3gmj000p04l4jzoye2ph</x:v>
      </x:c>
      <x:c r="B828" s="1" t="str">
        <x:v>cmsbr0keh000404l4bbqhy2a0</x:v>
      </x:c>
      <x:c r="C828" s="1" t="str">
        <x:v>ca-2024-000806-hippodrome-casino-ltd-v-hmrc-appellant-skeleton</x:v>
      </x:c>
      <x:c r="D828" s="12" t="n">
        <x:v>46236.501788368056</x:v>
      </x:c>
      <x:c r="E828" s="1" t="str">
        <x:v>yes</x:v>
      </x:c>
      <x:c r="F828" s="14" t="str">
        <x:v>cmsbr4fhb000v04l4mgwtz5x1</x:v>
      </x:c>
      <x:c r="G828" s="14" t="n">
        <x:v>7</x:v>
      </x:c>
      <x:c r="H828" s="14" t="str">
        <x:v>5c2719bb-df7d-4d55-a473-dd5087c1d2e8</x:v>
      </x:c>
      <x:c r="I828" s="14" t="str">
        <x:v>Reed Employment Ltd v HM Revenue and Customs</x:v>
      </x:c>
      <x:c r="J828" s="14" t="str">
        <x:v>England and Wales Court of Appeal (Civil Division)</x:v>
      </x:c>
      <x:c r="K828" s="14" t="n">
        <x:v>2014</x:v>
      </x:c>
      <x:c r="L828" s="15" t="n">
        <x:v>0.6942377</x:v>
      </x:c>
      <x:c r="M828" s="14" t="n">
        <x:v>1</x:v>
      </x:c>
      <x:c r="N828" s="14" t="str"/>
    </x:row>
    <x:row r="829">
      <x:c r="A829" s="1" t="str">
        <x:v>cmsbr3gmj000p04l4jzoye2ph</x:v>
      </x:c>
      <x:c r="B829" s="1" t="str">
        <x:v>cmsbr0keh000404l4bbqhy2a0</x:v>
      </x:c>
      <x:c r="C829" s="1" t="str">
        <x:v>ca-2024-000806-hippodrome-casino-ltd-v-hmrc-appellant-skeleton</x:v>
      </x:c>
      <x:c r="D829" s="12" t="n">
        <x:v>46236.501788368056</x:v>
      </x:c>
      <x:c r="E829" s="1" t="str">
        <x:v>yes</x:v>
      </x:c>
      <x:c r="F829" s="14" t="str">
        <x:v>cmsbr4fhb000v04l4mgwtz5x1</x:v>
      </x:c>
      <x:c r="G829" s="14" t="n">
        <x:v>8</x:v>
      </x:c>
      <x:c r="H829" s="14" t="str">
        <x:v>38eac6a9-6018-40fe-9d73-ab111162e65d</x:v>
      </x:c>
      <x:c r="I829" s="14" t="str">
        <x:v>ING Intermediate Holdings Ltd v HM Revenue and Customs [2017] EWCA Civ 2111</x:v>
      </x:c>
      <x:c r="J829" s="14" t="str">
        <x:v>England and Wales Court of Appeal (Civil Division)</x:v>
      </x:c>
      <x:c r="K829" s="14" t="n">
        <x:v>2017</x:v>
      </x:c>
      <x:c r="L829" s="15" t="n">
        <x:v>0.69408315</x:v>
      </x:c>
      <x:c r="M829" s="14" t="n">
        <x:v>1</x:v>
      </x:c>
      <x:c r="N829" s="14" t="str">
        <x:v>C-4/94 BLP Group v Customs and Excise Commissioners | C-653/11 Revenue and Customs Commissioners v Newey</x:v>
      </x:c>
    </x:row>
    <x:row r="830">
      <x:c r="A830" s="1" t="str">
        <x:v>cmsbr3gmj000p04l4jzoye2ph</x:v>
      </x:c>
      <x:c r="B830" s="1" t="str">
        <x:v>cmsbr0keh000404l4bbqhy2a0</x:v>
      </x:c>
      <x:c r="C830" s="1" t="str">
        <x:v>ca-2024-000806-hippodrome-casino-ltd-v-hmrc-appellant-skeleton</x:v>
      </x:c>
      <x:c r="D830" s="12" t="n">
        <x:v>46236.501788368056</x:v>
      </x:c>
      <x:c r="E830" s="1" t="str">
        <x:v>yes</x:v>
      </x:c>
      <x:c r="F830" s="14" t="str">
        <x:v>cmsbr4fhb000v04l4mgwtz5x1</x:v>
      </x:c>
      <x:c r="G830" s="14" t="n">
        <x:v>9</x:v>
      </x:c>
      <x:c r="H830" s="14" t="str">
        <x:v>52d1be75-0d9f-4b51-b6fc-183cfce77220</x:v>
      </x:c>
      <x:c r="I830" s="14" t="str">
        <x:v>Tower Bridge GP Ltd v Revenue And Customs [2022] EWCA Civ 998 (18 July 2022)</x:v>
      </x:c>
      <x:c r="J830" s="14" t="str">
        <x:v>England and Wales Court of Appeal (Civil Division)</x:v>
      </x:c>
      <x:c r="K830" s="14" t="n">
        <x:v>2022</x:v>
      </x:c>
      <x:c r="L830" s="15" t="n">
        <x:v>0.6898725</x:v>
      </x:c>
      <x:c r="M830" s="14" t="n">
        <x:v>5</x:v>
      </x:c>
      <x:c r="N830" s="14" t="str">
        <x:v>Albert Collée v Finanzamt Limburg an der Lahn (C-146/05) | Geissel v Finanzamt Neuss (C-374/16 and C-375/16) | Senatex (2017) STC 205 | Barlis 06 (2016) STC 43 | Zipvit Ltd v HMRC (C-156/20) | Ferimet SL v Administracíon General del Estado (C-281/20) | Kemwater ProChemie sro v Odvolací finanční ředitelství (C-154/20) | Ecotrade SpA v Agenzia delle Entrate (C-95/07 and C-96/07) | Albert Collée (C-146/05) | UKUT 30 (TCC) | Barlis 06 | Senatex | Zipvit | Ferimet | Geissel | Albert Collée | Kemwater ProChemie | Geissel v Finanzamt Neuss (C-374/16, C-375/16) | Barlis (2016) STC 43 | Ferimet SL v A.G.E. (C-281/20) | Judge Jones (FTT decision)</x:v>
      </x:c>
    </x:row>
    <x:row r="831">
      <x:c r="A831" s="1" t="str">
        <x:v>cmsbr3gmj000p04l4jzoye2ph</x:v>
      </x:c>
      <x:c r="B831" s="1" t="str">
        <x:v>cmsbr0keh000404l4bbqhy2a0</x:v>
      </x:c>
      <x:c r="C831" s="1" t="str">
        <x:v>ca-2024-000806-hippodrome-casino-ltd-v-hmrc-appellant-skeleton</x:v>
      </x:c>
      <x:c r="D831" s="12" t="n">
        <x:v>46236.501788368056</x:v>
      </x:c>
      <x:c r="E831" s="1" t="str">
        <x:v>yes</x:v>
      </x:c>
      <x:c r="F831" s="14" t="str">
        <x:v>cmsbr4fhb000v04l4mgwtz5x1</x:v>
      </x:c>
      <x:c r="G831" s="14" t="n">
        <x:v>10</x:v>
      </x:c>
      <x:c r="H831" s="14" t="str">
        <x:v>3d0c1d2a-8c23-4f19-a7ba-587826b75f45</x:v>
      </x:c>
      <x:c r="I831" s="14" t="str">
        <x:v>University of Huddersfield Higher Education Corporation v HM Revenue and Customs</x:v>
      </x:c>
      <x:c r="J831" s="14" t="str">
        <x:v>England and Wales Court of Appeal (Civil Division)</x:v>
      </x:c>
      <x:c r="K831" s="14" t="n">
        <x:v>2016</x:v>
      </x:c>
      <x:c r="L831" s="15" t="n">
        <x:v>0.68932474</x:v>
      </x:c>
      <x:c r="M831" s="14" t="n">
        <x:v>4</x:v>
      </x:c>
      <x:c r="N831" s="14" t="str">
        <x:v>Halifax plc v CCE | WHA Ltd v HMRC | Pendragon plc v HMRC | HMRC v Weald Leasing Ltd | Emsland-Stärke GmbH v Hauptzollamt Hamburg-Jonas | Halifax | WHA | Pendragon | Weald Leasing | Emsland-Stärke</x:v>
      </x:c>
    </x:row>
    <x:row r="832">
      <x:c r="A832" s="1" t="str">
        <x:v>cmsbr3gmj000p04l4jzoye2ph</x:v>
      </x:c>
      <x:c r="B832" s="1" t="str">
        <x:v>cmsbr0keh000404l4bbqhy2a0</x:v>
      </x:c>
      <x:c r="C832" s="1" t="str">
        <x:v>ca-2024-000806-hippodrome-casino-ltd-v-hmrc-appellant-skeleton</x:v>
      </x:c>
      <x:c r="D832" s="12" t="n">
        <x:v>46236.501788368056</x:v>
      </x:c>
      <x:c r="E832" s="1" t="str">
        <x:v>yes</x:v>
      </x:c>
      <x:c r="F832" s="14" t="str">
        <x:v>cmsbr4fhb000v04l4mgwtz5x1</x:v>
      </x:c>
      <x:c r="G832" s="14" t="n">
        <x:v>11</x:v>
      </x:c>
      <x:c r="H832" s="14" t="str">
        <x:v>53011b43-2d84-4830-953a-1b5b550f4f67</x:v>
      </x:c>
      <x:c r="I832" s="14" t="str">
        <x:v>The Quentin Skinner 2015 Settlement L &amp; Ors v HM Revenue and Customs (Entrepeneurs' Relief) [2022] EWCA Civ 1222</x:v>
      </x:c>
      <x:c r="J832" s="14" t="str">
        <x:v>England and Wales Court of Appeal (Civil Division)</x:v>
      </x:c>
      <x:c r="K832" s="14" t="n">
        <x:v>2022</x:v>
      </x:c>
      <x:c r="L832" s="15" t="n">
        <x:v>0.6863302</x:v>
      </x:c>
      <x:c r="M832" s="14" t="n">
        <x:v>1</x:v>
      </x:c>
      <x:c r="N832" s="14" t="str"/>
    </x:row>
    <x:row r="833">
      <x:c r="A833" s="1" t="str">
        <x:v>cmsbr3gmj000p04l4jzoye2ph</x:v>
      </x:c>
      <x:c r="B833" s="1" t="str">
        <x:v>cmsbr0keh000404l4bbqhy2a0</x:v>
      </x:c>
      <x:c r="C833" s="1" t="str">
        <x:v>ca-2024-000806-hippodrome-casino-ltd-v-hmrc-appellant-skeleton</x:v>
      </x:c>
      <x:c r="D833" s="12" t="n">
        <x:v>46236.501788368056</x:v>
      </x:c>
      <x:c r="E833" s="1" t="str">
        <x:v>yes</x:v>
      </x:c>
      <x:c r="F833" s="14" t="str">
        <x:v>cmsbr4fhb000v04l4mgwtz5x1</x:v>
      </x:c>
      <x:c r="G833" s="14" t="n">
        <x:v>12</x:v>
      </x:c>
      <x:c r="H833" s="14" t="str">
        <x:v>2f2ce488-73d0-4422-abcd-2b014a9e52d1</x:v>
      </x:c>
      <x:c r="I833" s="14" t="str">
        <x:v>Totel Limited v HM Revenue and Customs [2016] EWCA Civ 1310</x:v>
      </x:c>
      <x:c r="J833" s="14" t="str">
        <x:v>England and Wales Court of Appeal (Civil Division)</x:v>
      </x:c>
      <x:c r="K833" s="14" t="n">
        <x:v>2016</x:v>
      </x:c>
      <x:c r="L833" s="15" t="n">
        <x:v>0.68529236</x:v>
      </x:c>
      <x:c r="M833" s="14" t="n">
        <x:v>2</x:v>
      </x:c>
      <x:c r="N833" s="14" t="str">
        <x:v>UKUT 485 (TCC) | Marks &amp; Spencer | Littlewoods | EDIS (C-231/96) | Marks &amp; Spencer (C-309/06) | Littlewoods (C-591/10) | San Giorgio SpA (C-199/82) | Levez (C-326/96)</x:v>
      </x:c>
    </x:row>
    <x:row r="834">
      <x:c r="A834" s="1" t="str">
        <x:v>cmsbr3gmj000p04l4jzoye2ph</x:v>
      </x:c>
      <x:c r="B834" s="1" t="str">
        <x:v>cmsbr0keh000404l4bbqhy2a0</x:v>
      </x:c>
      <x:c r="C834" s="1" t="str">
        <x:v>ca-2024-000806-hippodrome-casino-ltd-v-hmrc-appellant-skeleton</x:v>
      </x:c>
      <x:c r="D834" s="12" t="n">
        <x:v>46236.501788368056</x:v>
      </x:c>
      <x:c r="E834" s="1" t="str">
        <x:v>yes</x:v>
      </x:c>
      <x:c r="F834" s="14" t="str">
        <x:v>cmsbr4fhb000v04l4mgwtz5x1</x:v>
      </x:c>
      <x:c r="G834" s="14" t="n">
        <x:v>13</x:v>
      </x:c>
      <x:c r="H834" s="14" t="str">
        <x:v>d18a7e9c-a930-43c5-a32d-bc205ffe00f8</x:v>
      </x:c>
      <x:c r="I834" s="14" t="str">
        <x:v>SAE Education Ltd v Revenue And Customs</x:v>
      </x:c>
      <x:c r="J834" s="14" t="str">
        <x:v>England and Wales Court of Appeal (Civil Division)</x:v>
      </x:c>
      <x:c r="K834" s="14" t="n">
        <x:v>2017</x:v>
      </x:c>
      <x:c r="L834" s="15" t="n">
        <x:v>0.68376404</x:v>
      </x:c>
      <x:c r="M834" s="14" t="n">
        <x:v>1</x:v>
      </x:c>
      <x:c r="N834" s="14" t="str">
        <x:v>VAT Act 1994 | University of Leicester Students' Union, [2001] EWCA Civ 1972</x:v>
      </x:c>
    </x:row>
    <x:row r="835">
      <x:c r="A835" s="1" t="str">
        <x:v>cmsbr3gmj000p04l4jzoye2ph</x:v>
      </x:c>
      <x:c r="B835" s="1" t="str">
        <x:v>cmsbr0keh000404l4bbqhy2a0</x:v>
      </x:c>
      <x:c r="C835" s="1" t="str">
        <x:v>ca-2024-000806-hippodrome-casino-ltd-v-hmrc-appellant-skeleton</x:v>
      </x:c>
      <x:c r="D835" s="12" t="n">
        <x:v>46236.501788368056</x:v>
      </x:c>
      <x:c r="E835" s="1" t="str">
        <x:v>yes</x:v>
      </x:c>
      <x:c r="F835" s="14" t="str">
        <x:v>cmsbr4fhb000v04l4mgwtz5x1</x:v>
      </x:c>
      <x:c r="G835" s="14" t="n">
        <x:v>14</x:v>
      </x:c>
      <x:c r="H835" s="14" t="str">
        <x:v>dc715706-f35f-4a5c-8ad7-a824c23f5260</x:v>
      </x:c>
      <x:c r="I835" s="14" t="str">
        <x:v>Associated Newspapers Ltd v HM Revenue &amp; Customs [2017] EWCA Civ 54</x:v>
      </x:c>
      <x:c r="J835" s="14" t="str">
        <x:v>England and Wales Court of Appeal (Civil Division)</x:v>
      </x:c>
      <x:c r="K835" s="14" t="n">
        <x:v>2017</x:v>
      </x:c>
      <x:c r="L835" s="15" t="n">
        <x:v>0.6797149</x:v>
      </x:c>
      <x:c r="M835" s="14" t="n">
        <x:v>2</x:v>
      </x:c>
      <x:c r="N835" s="14" t="str">
        <x:v>[2015] UKUT 641 (TCC) | Case C-288/94 Argos v HMRC | Case C-62/00 Marks &amp; Spencer | Case C-4/94 BLP Group v Customs and Excise Commissioners | Case C-98/98 Midland Bank plc v Customs and Excise Commissioners | Case C-126/14 Sveda UAB v Valstybine mokesciu inspekcija</x:v>
      </x:c>
    </x:row>
    <x:row r="836">
      <x:c r="A836" s="1" t="str">
        <x:v>cmsbr3gmj000p04l4jzoye2ph</x:v>
      </x:c>
      <x:c r="B836" s="1" t="str">
        <x:v>cmsbr0keh000404l4bbqhy2a0</x:v>
      </x:c>
      <x:c r="C836" s="1" t="str">
        <x:v>ca-2024-000806-hippodrome-casino-ltd-v-hmrc-appellant-skeleton</x:v>
      </x:c>
      <x:c r="D836" s="12" t="n">
        <x:v>46236.501788368056</x:v>
      </x:c>
      <x:c r="E836" s="1" t="str">
        <x:v>yes</x:v>
      </x:c>
      <x:c r="F836" s="14" t="str">
        <x:v>cmsbr4fhb000v04l4mgwtz5x1</x:v>
      </x:c>
      <x:c r="G836" s="14" t="n">
        <x:v>15</x:v>
      </x:c>
      <x:c r="H836" s="14" t="str">
        <x:v>ff706e01-2911-4522-b7e2-4cb4ed7e3992</x:v>
      </x:c>
      <x:c r="I836" s="14" t="str">
        <x:v>Revenue And Customs v The Open University [2016] EWCA Civ 114</x:v>
      </x:c>
      <x:c r="J836" s="14" t="str">
        <x:v>England and Wales Court of Appeal (Civil Division)</x:v>
      </x:c>
      <x:c r="K836" s="14" t="n">
        <x:v>2016</x:v>
      </x:c>
      <x:c r="L836" s="15" t="n">
        <x:v>0.6793244</x:v>
      </x:c>
      <x:c r="M836" s="14" t="n">
        <x:v>1</x:v>
      </x:c>
      <x:c r="N836" s="14" t="str">
        <x:v>Stichting Horizon College v Staatssecretaris van Financien | Case C-434/05 Horizon College | Cambridge University v HMRC | JP Morgan Fleming Claverhouse | Kingscrest Associates Ltd v Montecello Ltd | MDDP sp z oo Akademia Biznesu | Saudaçor v Fazenda Publica</x:v>
      </x:c>
    </x:row>
    <x:row r="837">
      <x:c r="A837" s="1" t="str">
        <x:v>cmsbr3gmj000p04l4jzoye2ph</x:v>
      </x:c>
      <x:c r="B837" s="1" t="str">
        <x:v>cmsbr0keh000404l4bbqhy2a0</x:v>
      </x:c>
      <x:c r="C837" s="1" t="str">
        <x:v>ca-2024-000806-hippodrome-casino-ltd-v-hmrc-appellant-skeleton</x:v>
      </x:c>
      <x:c r="D837" s="12" t="n">
        <x:v>46236.501788368056</x:v>
      </x:c>
      <x:c r="E837" s="1" t="str">
        <x:v>yes</x:v>
      </x:c>
      <x:c r="F837" s="14" t="str">
        <x:v>cmsbr4fhb000v04l4mgwtz5x1</x:v>
      </x:c>
      <x:c r="G837" s="14" t="n">
        <x:v>16</x:v>
      </x:c>
      <x:c r="H837" s="14" t="str">
        <x:v>fb90f1ad-6132-491d-be89-35324c43b367</x:v>
      </x:c>
      <x:c r="I837" s="14" t="str">
        <x:v>HM Revenue and Customs v Brockenhurst College [2015] EWCA Civ 1196</x:v>
      </x:c>
      <x:c r="J837" s="14" t="str">
        <x:v>England and Wales Court of Appeal (Civil Division)</x:v>
      </x:c>
      <x:c r="K837" s="14" t="n">
        <x:v>2015</x:v>
      </x:c>
      <x:c r="L837" s="15" t="n">
        <x:v>0.67915297</x:v>
      </x:c>
      <x:c r="M837" s="14" t="n">
        <x:v>2</x:v>
      </x:c>
      <x:c r="N837" s="14" t="str">
        <x:v>EC Commission v Federal Republic of Germany (Case C-287/00)</x:v>
      </x:c>
    </x:row>
    <x:row r="838">
      <x:c r="A838" s="1" t="str">
        <x:v>cmsbr3gmj000p04l4jzoye2ph</x:v>
      </x:c>
      <x:c r="B838" s="1" t="str">
        <x:v>cmsbr0keh000404l4bbqhy2a0</x:v>
      </x:c>
      <x:c r="C838" s="1" t="str">
        <x:v>ca-2024-000806-hippodrome-casino-ltd-v-hmrc-appellant-skeleton</x:v>
      </x:c>
      <x:c r="D838" s="12" t="n">
        <x:v>46236.501788368056</x:v>
      </x:c>
      <x:c r="E838" s="1" t="str">
        <x:v>yes</x:v>
      </x:c>
      <x:c r="F838" s="14" t="str">
        <x:v>cmsbr4fhb000v04l4mgwtz5x1</x:v>
      </x:c>
      <x:c r="G838" s="14" t="n">
        <x:v>17</x:v>
      </x:c>
      <x:c r="H838" s="14" t="str">
        <x:v>690f2978-b410-456d-8745-0fd24cea8bf6</x:v>
      </x:c>
      <x:c r="I838" s="14" t="str">
        <x:v>Greenspace (UK) Ltd v Commissioners for HM Revenue and Customs [2023] EWCA Civ 106</x:v>
      </x:c>
      <x:c r="J838" s="14" t="str">
        <x:v>England and Wales Court of Appeal (Civil Division)</x:v>
      </x:c>
      <x:c r="K838" s="14" t="n">
        <x:v>2023</x:v>
      </x:c>
      <x:c r="L838" s="15" t="n">
        <x:v>0.6766257</x:v>
      </x:c>
      <x:c r="M838" s="14" t="n">
        <x:v>1</x:v>
      </x:c>
      <x:c r="N838" s="14" t="str">
        <x:v>Pinevale | Wetheralds | Coleborn v Blond | Marchday Holdings | Proctor &amp; Gamble UK | Stock v Jones | Zimmerman</x:v>
      </x:c>
    </x:row>
    <x:row r="839">
      <x:c r="A839" s="1" t="str">
        <x:v>cmsbr3gmj000p04l4jzoye2ph</x:v>
      </x:c>
      <x:c r="B839" s="1" t="str">
        <x:v>cmsbr0keh000404l4bbqhy2a0</x:v>
      </x:c>
      <x:c r="C839" s="1" t="str">
        <x:v>ca-2024-000806-hippodrome-casino-ltd-v-hmrc-appellant-skeleton</x:v>
      </x:c>
      <x:c r="D839" s="12" t="n">
        <x:v>46236.501788368056</x:v>
      </x:c>
      <x:c r="E839" s="1" t="str">
        <x:v>yes</x:v>
      </x:c>
      <x:c r="F839" s="14" t="str">
        <x:v>cmsbr4fhb000v04l4mgwtz5x1</x:v>
      </x:c>
      <x:c r="G839" s="14" t="n">
        <x:v>18</x:v>
      </x:c>
      <x:c r="H839" s="14" t="str">
        <x:v>34f65455-ab57-4843-8247-69713c6d5d1d</x:v>
      </x:c>
      <x:c r="I839" s="14" t="str">
        <x:v>Iveco Ltd v Revenue And Customs</x:v>
      </x:c>
      <x:c r="J839" s="14" t="str">
        <x:v>England and Wales Court of Appeal (Civil Division)</x:v>
      </x:c>
      <x:c r="K839" s="14" t="n">
        <x:v>2017</x:v>
      </x:c>
      <x:c r="L839" s="15" t="n">
        <x:v>0.6766019</x:v>
      </x:c>
      <x:c r="M839" s="14" t="n">
        <x:v>3</x:v>
      </x:c>
      <x:c r="N839" s="14" t="str"/>
    </x:row>
    <x:row r="840">
      <x:c r="A840" s="1" t="str">
        <x:v>cmsbr3gmj000p04l4jzoye2ph</x:v>
      </x:c>
      <x:c r="B840" s="1" t="str">
        <x:v>cmsbr0keh000404l4bbqhy2a0</x:v>
      </x:c>
      <x:c r="C840" s="1" t="str">
        <x:v>ca-2024-000806-hippodrome-casino-ltd-v-hmrc-appellant-skeleton</x:v>
      </x:c>
      <x:c r="D840" s="12" t="n">
        <x:v>46236.501788368056</x:v>
      </x:c>
      <x:c r="E840" s="1" t="str">
        <x:v>yes</x:v>
      </x:c>
      <x:c r="F840" s="14" t="str">
        <x:v>cmsbr4fhb000v04l4mgwtz5x1</x:v>
      </x:c>
      <x:c r="G840" s="14" t="n">
        <x:v>19</x:v>
      </x:c>
      <x:c r="H840" s="14" t="str">
        <x:v>c009622e-9e72-4c9c-a114-e74deba95ac2</x:v>
      </x:c>
      <x:c r="I840" s="14" t="str">
        <x:v>Revenue and Customs (HMRC) v London Clubs Management Ltd</x:v>
      </x:c>
      <x:c r="J840" s="14" t="str">
        <x:v>England and Wales Court of Appeal (Civil Division)</x:v>
      </x:c>
      <x:c r="K840" s="14" t="n">
        <x:v>2018</x:v>
      </x:c>
      <x:c r="L840" s="15" t="n">
        <x:v>0.6746719</x:v>
      </x:c>
      <x:c r="M840" s="14" t="n">
        <x:v>2</x:v>
      </x:c>
      <x:c r="N840" s="14" t="str"/>
    </x:row>
    <x:row r="841">
      <x:c r="A841" s="1" t="str">
        <x:v>cmsbr3gmj000p04l4jzoye2ph</x:v>
      </x:c>
      <x:c r="B841" s="1" t="str">
        <x:v>cmsbr0keh000404l4bbqhy2a0</x:v>
      </x:c>
      <x:c r="C841" s="1" t="str">
        <x:v>ca-2024-000806-hippodrome-casino-ltd-v-hmrc-appellant-skeleton</x:v>
      </x:c>
      <x:c r="D841" s="12" t="n">
        <x:v>46236.501788368056</x:v>
      </x:c>
      <x:c r="E841" s="1" t="str">
        <x:v>yes</x:v>
      </x:c>
      <x:c r="F841" s="14" t="str">
        <x:v>cmsbr4fhb000v04l4mgwtz5x1</x:v>
      </x:c>
      <x:c r="G841" s="14" t="n">
        <x:v>20</x:v>
      </x:c>
      <x:c r="H841" s="14" t="str">
        <x:v>7253e952-4693-4c28-8c6d-f176b4e6f194</x:v>
      </x:c>
      <x:c r="I841" s="14" t="str">
        <x:v>HMRC v GMAC (UK) Plc [2016] EWCA Civ 1015 (Court of Appeal, Civil Division)</x:v>
      </x:c>
      <x:c r="J841" s="14" t="str">
        <x:v>England and Wales Court of Appeal (Civil Division)</x:v>
      </x:c>
      <x:c r="K841" s="14" t="n">
        <x:v>2016</x:v>
      </x:c>
      <x:c r="L841" s="15" t="n">
        <x:v>0.6745839</x:v>
      </x:c>
      <x:c r="M841" s="14" t="n">
        <x:v>3</x:v>
      </x:c>
      <x:c r="N841" s="14" t="str">
        <x:v>Goldsmiths (C-330/95) | Marks &amp; Spencer (C-62/00) | Almos (C-337/13) | Plantanol (C-201/08) | Ze-Fu Fleischhandel (C-201/10; C-202/10) | BT CA (EWCA Civ 433) | Marks &amp; Spencer | Fleming | BT CA | Almos</x:v>
      </x:c>
    </x:row>
    <x:row r="842">
      <x:c r="A842" s="1" t="str">
        <x:v>cmsbr5rlu001104l45rnkob9p</x:v>
      </x:c>
      <x:c r="B842" s="1" t="str">
        <x:v>cmsbr0keh000404l4bbqhy2a0</x:v>
      </x:c>
      <x:c r="C842" s="1" t="str">
        <x:v>ca-2024-000806-hippodrome-casino-ltd-v-hmrc-appellant-skeleton</x:v>
      </x:c>
      <x:c r="D842" s="12" t="n">
        <x:v>46236.50303309028</x:v>
      </x:c>
      <x:c r="E842" s="1" t="str">
        <x:v>yes</x:v>
      </x:c>
      <x:c r="F842" s="14" t="str">
        <x:v>cmsbr6p4p001704l4z7u6108h</x:v>
      </x:c>
      <x:c r="G842" s="14" t="n">
        <x:v>1</x:v>
      </x:c>
      <x:c r="H842" s="14" t="str">
        <x:v>b9498527-3250-49cd-9d8e-ed7c0dda200e</x:v>
      </x:c>
      <x:c r="I842" s="14" t="str">
        <x:v>Volkswagen Financial Services (UK) Ltd v HM Revenue &amp; Customs</x:v>
      </x:c>
      <x:c r="J842" s="14" t="str">
        <x:v>England and Wales Court of Appeal (Civil Division)</x:v>
      </x:c>
      <x:c r="K842" s="14" t="n">
        <x:v>2015</x:v>
      </x:c>
      <x:c r="L842" s="15" t="n">
        <x:v>0.747692</x:v>
      </x:c>
      <x:c r="M842" s="14" t="n">
        <x:v>7</x:v>
      </x:c>
      <x:c r="N842" s="14" t="str">
        <x:v>Rompelman v Minister van Financiën | Midland Bank plc v Customs and Excise Commissioners | Rompleman v Minister van Financiën | Article 168 of the Principal VAT Directive | BLP Group v Customs and Excise Commissioners | Abbey National plc v Customs and Excise Commissioners | Case 435-05 Investrand BV | London Clubs Management Ltd v Revenue and Customs Commissioners</x:v>
      </x:c>
    </x:row>
    <x:row r="843">
      <x:c r="A843" s="1" t="str">
        <x:v>cmsbr5rlu001104l45rnkob9p</x:v>
      </x:c>
      <x:c r="B843" s="1" t="str">
        <x:v>cmsbr0keh000404l4bbqhy2a0</x:v>
      </x:c>
      <x:c r="C843" s="1" t="str">
        <x:v>ca-2024-000806-hippodrome-casino-ltd-v-hmrc-appellant-skeleton</x:v>
      </x:c>
      <x:c r="D843" s="12" t="n">
        <x:v>46236.50303309028</x:v>
      </x:c>
      <x:c r="E843" s="1" t="str">
        <x:v>yes</x:v>
      </x:c>
      <x:c r="F843" s="14" t="str">
        <x:v>cmsbr6p4p001704l4z7u6108h</x:v>
      </x:c>
      <x:c r="G843" s="14" t="n">
        <x:v>2</x:v>
      </x:c>
      <x:c r="H843" s="14" t="str">
        <x:v>4ce131bd-2742-476d-a37a-0727c7980ebc</x:v>
      </x:c>
      <x:c r="I843" s="14" t="str">
        <x:v>Revenue and Customs v Mercedes-Benz Financial Services UK Ltd</x:v>
      </x:c>
      <x:c r="J843" s="14" t="str">
        <x:v>England and Wales Court of Appeal (Civil Division)</x:v>
      </x:c>
      <x:c r="K843" s="14" t="n">
        <x:v>2015</x:v>
      </x:c>
      <x:c r="L843" s="15" t="n">
        <x:v>0.7136548</x:v>
      </x:c>
      <x:c r="M843" s="14" t="n">
        <x:v>3</x:v>
      </x:c>
      <x:c r="N843" s="14" t="str">
        <x:v>Newey v HMRC Case C-653/11 | Dixons Retail plc v HMRC Case C-494/12</x:v>
      </x:c>
    </x:row>
    <x:row r="844">
      <x:c r="A844" s="1" t="str">
        <x:v>cmsbr5rlu001104l45rnkob9p</x:v>
      </x:c>
      <x:c r="B844" s="1" t="str">
        <x:v>cmsbr0keh000404l4bbqhy2a0</x:v>
      </x:c>
      <x:c r="C844" s="1" t="str">
        <x:v>ca-2024-000806-hippodrome-casino-ltd-v-hmrc-appellant-skeleton</x:v>
      </x:c>
      <x:c r="D844" s="12" t="n">
        <x:v>46236.50303309028</x:v>
      </x:c>
      <x:c r="E844" s="1" t="str">
        <x:v>yes</x:v>
      </x:c>
      <x:c r="F844" s="14" t="str">
        <x:v>cmsbr6p4p001704l4z7u6108h</x:v>
      </x:c>
      <x:c r="G844" s="14" t="n">
        <x:v>3</x:v>
      </x:c>
      <x:c r="H844" s="14" t="str">
        <x:v>cd495d17-4a70-4b1a-ad32-713927ce6d8e</x:v>
      </x:c>
      <x:c r="I844" s="14" t="str">
        <x:v>Birmingham Hippodrome Theatre Trust Ltd v Revenue And Customs</x:v>
      </x:c>
      <x:c r="J844" s="14" t="str">
        <x:v>England and Wales Court of Appeal (Civil Division)</x:v>
      </x:c>
      <x:c r="K844" s="14" t="n">
        <x:v>2014</x:v>
      </x:c>
      <x:c r="L844" s="15" t="n">
        <x:v>0.71185356</x:v>
      </x:c>
      <x:c r="M844" s="14" t="n">
        <x:v>5</x:v>
      </x:c>
      <x:c r="N844" s="14" t="str"/>
    </x:row>
    <x:row r="845">
      <x:c r="A845" s="1" t="str">
        <x:v>cmsbr5rlu001104l45rnkob9p</x:v>
      </x:c>
      <x:c r="B845" s="1" t="str">
        <x:v>cmsbr0keh000404l4bbqhy2a0</x:v>
      </x:c>
      <x:c r="C845" s="1" t="str">
        <x:v>ca-2024-000806-hippodrome-casino-ltd-v-hmrc-appellant-skeleton</x:v>
      </x:c>
      <x:c r="D845" s="12" t="n">
        <x:v>46236.50303309028</x:v>
      </x:c>
      <x:c r="E845" s="1" t="str">
        <x:v>yes</x:v>
      </x:c>
      <x:c r="F845" s="14" t="str">
        <x:v>cmsbr6p4p001704l4z7u6108h</x:v>
      </x:c>
      <x:c r="G845" s="14" t="n">
        <x:v>4</x:v>
      </x:c>
      <x:c r="H845" s="14" t="str">
        <x:v>bfa85128-3daf-4206-8d8f-d2dc5f32ab27</x:v>
      </x:c>
      <x:c r="I845" s="14" t="str">
        <x:v>Regency Factors Plc v HM Revenue &amp; Customs (Rev1) [2022] EWCA Civ 103</x:v>
      </x:c>
      <x:c r="J845" s="14" t="str">
        <x:v>England and Wales Court of Appeal (Civil Division)</x:v>
      </x:c>
      <x:c r="K845" s="14" t="n">
        <x:v>2022</x:v>
      </x:c>
      <x:c r="L845" s="15" t="n">
        <x:v>0.7109793</x:v>
      </x:c>
      <x:c r="M845" s="14" t="n">
        <x:v>4</x:v>
      </x:c>
      <x:c r="N845" s="14" t="str">
        <x:v>[2019] UKFTT 0144 (TC) | [2020] UKUT 357 (TCC) | [2022] EWCA Civ 103 | VAT Directive Article 90 | Regulations 168/172 | CJEU VAT neutrality jurisprudence | [40] discussion within judgment | CJEU VAT neutrality/proportionality jurisprudence</x:v>
      </x:c>
    </x:row>
    <x:row r="846">
      <x:c r="A846" s="1" t="str">
        <x:v>cmsbr5rlu001104l45rnkob9p</x:v>
      </x:c>
      <x:c r="B846" s="1" t="str">
        <x:v>cmsbr0keh000404l4bbqhy2a0</x:v>
      </x:c>
      <x:c r="C846" s="1" t="str">
        <x:v>ca-2024-000806-hippodrome-casino-ltd-v-hmrc-appellant-skeleton</x:v>
      </x:c>
      <x:c r="D846" s="12" t="n">
        <x:v>46236.50303309028</x:v>
      </x:c>
      <x:c r="E846" s="1" t="str">
        <x:v>yes</x:v>
      </x:c>
      <x:c r="F846" s="14" t="str">
        <x:v>cmsbr6p4p001704l4z7u6108h</x:v>
      </x:c>
      <x:c r="G846" s="14" t="n">
        <x:v>5</x:v>
      </x:c>
      <x:c r="H846" s="14" t="str">
        <x:v>5be7238d-b78e-4194-90ec-c036be53b377</x:v>
      </x:c>
      <x:c r="I846" s="14" t="str">
        <x:v>Leeds City Council v HM Revenue and Customs [2015] EWCA Civ 1293</x:v>
      </x:c>
      <x:c r="J846" s="14" t="str">
        <x:v>England and Wales Court of Appeal (Civil Division)</x:v>
      </x:c>
      <x:c r="K846" s="14" t="n">
        <x:v>2015</x:v>
      </x:c>
      <x:c r="L846" s="15" t="n">
        <x:v>0.7063102</x:v>
      </x:c>
      <x:c r="M846" s="14" t="n">
        <x:v>3</x:v>
      </x:c>
      <x:c r="N846" s="14" t="str">
        <x:v>VAT Act 1994 | Marks &amp; Spencer plc v Customs and Excise Comrs | Fleming v HMRC</x:v>
      </x:c>
    </x:row>
    <x:row r="847">
      <x:c r="A847" s="1" t="str">
        <x:v>cmsbr5rlu001104l45rnkob9p</x:v>
      </x:c>
      <x:c r="B847" s="1" t="str">
        <x:v>cmsbr0keh000404l4bbqhy2a0</x:v>
      </x:c>
      <x:c r="C847" s="1" t="str">
        <x:v>ca-2024-000806-hippodrome-casino-ltd-v-hmrc-appellant-skeleton</x:v>
      </x:c>
      <x:c r="D847" s="12" t="n">
        <x:v>46236.50303309028</x:v>
      </x:c>
      <x:c r="E847" s="1" t="str">
        <x:v>yes</x:v>
      </x:c>
      <x:c r="F847" s="14" t="str">
        <x:v>cmsbr6p4p001704l4z7u6108h</x:v>
      </x:c>
      <x:c r="G847" s="14" t="n">
        <x:v>6</x:v>
      </x:c>
      <x:c r="H847" s="14" t="str">
        <x:v>88bb4a5f-a731-48de-9e0d-c8537ea915a0</x:v>
      </x:c>
      <x:c r="I847" s="14" t="str">
        <x:v>Littlewoods Ltd &amp; Ors v HM Revenue and Customs [2015] EWCA Civ 515</x:v>
      </x:c>
      <x:c r="J847" s="14" t="str">
        <x:v>England and Wales Court of Appeal (Civil Division)</x:v>
      </x:c>
      <x:c r="K847" s="14" t="n">
        <x:v>2015</x:v>
      </x:c>
      <x:c r="L847" s="15" t="n">
        <x:v>0.69990593</x:v>
      </x:c>
      <x:c r="M847" s="14" t="n">
        <x:v>1</x:v>
      </x:c>
      <x:c r="N847" s="14" t="str">
        <x:v>Kleinwort Benson v Lincoln City Council | San Giorgio | Metallgesellschaft</x:v>
      </x:c>
    </x:row>
    <x:row r="848">
      <x:c r="A848" s="1" t="str">
        <x:v>cmsbr5rlu001104l45rnkob9p</x:v>
      </x:c>
      <x:c r="B848" s="1" t="str">
        <x:v>cmsbr0keh000404l4bbqhy2a0</x:v>
      </x:c>
      <x:c r="C848" s="1" t="str">
        <x:v>ca-2024-000806-hippodrome-casino-ltd-v-hmrc-appellant-skeleton</x:v>
      </x:c>
      <x:c r="D848" s="12" t="n">
        <x:v>46236.50303309028</x:v>
      </x:c>
      <x:c r="E848" s="1" t="str">
        <x:v>yes</x:v>
      </x:c>
      <x:c r="F848" s="14" t="str">
        <x:v>cmsbr6p4p001704l4z7u6108h</x:v>
      </x:c>
      <x:c r="G848" s="14" t="n">
        <x:v>7</x:v>
      </x:c>
      <x:c r="H848" s="14" t="str">
        <x:v>5c2719bb-df7d-4d55-a473-dd5087c1d2e8</x:v>
      </x:c>
      <x:c r="I848" s="14" t="str">
        <x:v>Reed Employment Ltd v HM Revenue and Customs</x:v>
      </x:c>
      <x:c r="J848" s="14" t="str">
        <x:v>England and Wales Court of Appeal (Civil Division)</x:v>
      </x:c>
      <x:c r="K848" s="14" t="n">
        <x:v>2014</x:v>
      </x:c>
      <x:c r="L848" s="15" t="n">
        <x:v>0.6942377</x:v>
      </x:c>
      <x:c r="M848" s="14" t="n">
        <x:v>1</x:v>
      </x:c>
      <x:c r="N848" s="14" t="str"/>
    </x:row>
    <x:row r="849">
      <x:c r="A849" s="1" t="str">
        <x:v>cmsbr5rlu001104l45rnkob9p</x:v>
      </x:c>
      <x:c r="B849" s="1" t="str">
        <x:v>cmsbr0keh000404l4bbqhy2a0</x:v>
      </x:c>
      <x:c r="C849" s="1" t="str">
        <x:v>ca-2024-000806-hippodrome-casino-ltd-v-hmrc-appellant-skeleton</x:v>
      </x:c>
      <x:c r="D849" s="12" t="n">
        <x:v>46236.50303309028</x:v>
      </x:c>
      <x:c r="E849" s="1" t="str">
        <x:v>yes</x:v>
      </x:c>
      <x:c r="F849" s="14" t="str">
        <x:v>cmsbr6p4p001704l4z7u6108h</x:v>
      </x:c>
      <x:c r="G849" s="14" t="n">
        <x:v>8</x:v>
      </x:c>
      <x:c r="H849" s="14" t="str">
        <x:v>38eac6a9-6018-40fe-9d73-ab111162e65d</x:v>
      </x:c>
      <x:c r="I849" s="14" t="str">
        <x:v>ING Intermediate Holdings Ltd v HM Revenue and Customs [2017] EWCA Civ 2111</x:v>
      </x:c>
      <x:c r="J849" s="14" t="str">
        <x:v>England and Wales Court of Appeal (Civil Division)</x:v>
      </x:c>
      <x:c r="K849" s="14" t="n">
        <x:v>2017</x:v>
      </x:c>
      <x:c r="L849" s="15" t="n">
        <x:v>0.69408315</x:v>
      </x:c>
      <x:c r="M849" s="14" t="n">
        <x:v>1</x:v>
      </x:c>
      <x:c r="N849" s="14" t="str">
        <x:v>C-4/94 BLP Group v Customs and Excise Commissioners | C-653/11 Revenue and Customs Commissioners v Newey</x:v>
      </x:c>
    </x:row>
    <x:row r="850">
      <x:c r="A850" s="1" t="str">
        <x:v>cmsbr5rlu001104l45rnkob9p</x:v>
      </x:c>
      <x:c r="B850" s="1" t="str">
        <x:v>cmsbr0keh000404l4bbqhy2a0</x:v>
      </x:c>
      <x:c r="C850" s="1" t="str">
        <x:v>ca-2024-000806-hippodrome-casino-ltd-v-hmrc-appellant-skeleton</x:v>
      </x:c>
      <x:c r="D850" s="12" t="n">
        <x:v>46236.50303309028</x:v>
      </x:c>
      <x:c r="E850" s="1" t="str">
        <x:v>yes</x:v>
      </x:c>
      <x:c r="F850" s="14" t="str">
        <x:v>cmsbr6p4p001704l4z7u6108h</x:v>
      </x:c>
      <x:c r="G850" s="14" t="n">
        <x:v>9</x:v>
      </x:c>
      <x:c r="H850" s="14" t="str">
        <x:v>52d1be75-0d9f-4b51-b6fc-183cfce77220</x:v>
      </x:c>
      <x:c r="I850" s="14" t="str">
        <x:v>Tower Bridge GP Ltd v Revenue And Customs [2022] EWCA Civ 998 (18 July 2022)</x:v>
      </x:c>
      <x:c r="J850" s="14" t="str">
        <x:v>England and Wales Court of Appeal (Civil Division)</x:v>
      </x:c>
      <x:c r="K850" s="14" t="n">
        <x:v>2022</x:v>
      </x:c>
      <x:c r="L850" s="15" t="n">
        <x:v>0.6898725</x:v>
      </x:c>
      <x:c r="M850" s="14" t="n">
        <x:v>5</x:v>
      </x:c>
      <x:c r="N850" s="14" t="str">
        <x:v>Albert Collée v Finanzamt Limburg an der Lahn (C-146/05) | Geissel v Finanzamt Neuss (C-374/16 and C-375/16) | Senatex (2017) STC 205 | Barlis 06 (2016) STC 43 | Zipvit Ltd v HMRC (C-156/20) | Ferimet SL v Administracíon General del Estado (C-281/20) | Kemwater ProChemie sro v Odvolací finanční ředitelství (C-154/20) | Ecotrade SpA v Agenzia delle Entrate (C-95/07 and C-96/07) | Albert Collée (C-146/05) | UKUT 30 (TCC) | Barlis 06 | Senatex | Zipvit | Ferimet | Geissel | Albert Collée | Kemwater ProChemie | Geissel v Finanzamt Neuss (C-374/16, C-375/16) | Barlis (2016) STC 43 | Ferimet SL v A.G.E. (C-281/20) | Judge Jones (FTT decision)</x:v>
      </x:c>
    </x:row>
    <x:row r="851">
      <x:c r="A851" s="1" t="str">
        <x:v>cmsbr5rlu001104l45rnkob9p</x:v>
      </x:c>
      <x:c r="B851" s="1" t="str">
        <x:v>cmsbr0keh000404l4bbqhy2a0</x:v>
      </x:c>
      <x:c r="C851" s="1" t="str">
        <x:v>ca-2024-000806-hippodrome-casino-ltd-v-hmrc-appellant-skeleton</x:v>
      </x:c>
      <x:c r="D851" s="12" t="n">
        <x:v>46236.50303309028</x:v>
      </x:c>
      <x:c r="E851" s="1" t="str">
        <x:v>yes</x:v>
      </x:c>
      <x:c r="F851" s="14" t="str">
        <x:v>cmsbr6p4p001704l4z7u6108h</x:v>
      </x:c>
      <x:c r="G851" s="14" t="n">
        <x:v>10</x:v>
      </x:c>
      <x:c r="H851" s="14" t="str">
        <x:v>3d0c1d2a-8c23-4f19-a7ba-587826b75f45</x:v>
      </x:c>
      <x:c r="I851" s="14" t="str">
        <x:v>University of Huddersfield Higher Education Corporation v HM Revenue and Customs</x:v>
      </x:c>
      <x:c r="J851" s="14" t="str">
        <x:v>England and Wales Court of Appeal (Civil Division)</x:v>
      </x:c>
      <x:c r="K851" s="14" t="n">
        <x:v>2016</x:v>
      </x:c>
      <x:c r="L851" s="15" t="n">
        <x:v>0.68932474</x:v>
      </x:c>
      <x:c r="M851" s="14" t="n">
        <x:v>4</x:v>
      </x:c>
      <x:c r="N851" s="14" t="str">
        <x:v>Halifax plc v CCE | WHA Ltd v HMRC | Pendragon plc v HMRC | HMRC v Weald Leasing Ltd | Emsland-Stärke GmbH v Hauptzollamt Hamburg-Jonas | Halifax | WHA | Pendragon | Weald Leasing | Emsland-Stärke</x:v>
      </x:c>
    </x:row>
    <x:row r="852">
      <x:c r="A852" s="1" t="str">
        <x:v>cmsbr5rlu001104l45rnkob9p</x:v>
      </x:c>
      <x:c r="B852" s="1" t="str">
        <x:v>cmsbr0keh000404l4bbqhy2a0</x:v>
      </x:c>
      <x:c r="C852" s="1" t="str">
        <x:v>ca-2024-000806-hippodrome-casino-ltd-v-hmrc-appellant-skeleton</x:v>
      </x:c>
      <x:c r="D852" s="12" t="n">
        <x:v>46236.50303309028</x:v>
      </x:c>
      <x:c r="E852" s="1" t="str">
        <x:v>yes</x:v>
      </x:c>
      <x:c r="F852" s="14" t="str">
        <x:v>cmsbr6p4p001704l4z7u6108h</x:v>
      </x:c>
      <x:c r="G852" s="14" t="n">
        <x:v>11</x:v>
      </x:c>
      <x:c r="H852" s="14" t="str">
        <x:v>53011b43-2d84-4830-953a-1b5b550f4f67</x:v>
      </x:c>
      <x:c r="I852" s="14" t="str">
        <x:v>The Quentin Skinner 2015 Settlement L &amp; Ors v HM Revenue and Customs (Entrepeneurs' Relief) [2022] EWCA Civ 1222</x:v>
      </x:c>
      <x:c r="J852" s="14" t="str">
        <x:v>England and Wales Court of Appeal (Civil Division)</x:v>
      </x:c>
      <x:c r="K852" s="14" t="n">
        <x:v>2022</x:v>
      </x:c>
      <x:c r="L852" s="15" t="n">
        <x:v>0.6863302</x:v>
      </x:c>
      <x:c r="M852" s="14" t="n">
        <x:v>1</x:v>
      </x:c>
      <x:c r="N852" s="14" t="str"/>
    </x:row>
    <x:row r="853">
      <x:c r="A853" s="1" t="str">
        <x:v>cmsbr5rlu001104l45rnkob9p</x:v>
      </x:c>
      <x:c r="B853" s="1" t="str">
        <x:v>cmsbr0keh000404l4bbqhy2a0</x:v>
      </x:c>
      <x:c r="C853" s="1" t="str">
        <x:v>ca-2024-000806-hippodrome-casino-ltd-v-hmrc-appellant-skeleton</x:v>
      </x:c>
      <x:c r="D853" s="12" t="n">
        <x:v>46236.50303309028</x:v>
      </x:c>
      <x:c r="E853" s="1" t="str">
        <x:v>yes</x:v>
      </x:c>
      <x:c r="F853" s="14" t="str">
        <x:v>cmsbr6p4p001704l4z7u6108h</x:v>
      </x:c>
      <x:c r="G853" s="14" t="n">
        <x:v>12</x:v>
      </x:c>
      <x:c r="H853" s="14" t="str">
        <x:v>2f2ce488-73d0-4422-abcd-2b014a9e52d1</x:v>
      </x:c>
      <x:c r="I853" s="14" t="str">
        <x:v>Totel Limited v HM Revenue and Customs [2016] EWCA Civ 1310</x:v>
      </x:c>
      <x:c r="J853" s="14" t="str">
        <x:v>England and Wales Court of Appeal (Civil Division)</x:v>
      </x:c>
      <x:c r="K853" s="14" t="n">
        <x:v>2016</x:v>
      </x:c>
      <x:c r="L853" s="15" t="n">
        <x:v>0.68529236</x:v>
      </x:c>
      <x:c r="M853" s="14" t="n">
        <x:v>2</x:v>
      </x:c>
      <x:c r="N853" s="14" t="str">
        <x:v>UKUT 485 (TCC) | Marks &amp; Spencer | Littlewoods | EDIS (C-231/96) | Marks &amp; Spencer (C-309/06) | Littlewoods (C-591/10) | San Giorgio SpA (C-199/82) | Levez (C-326/96)</x:v>
      </x:c>
    </x:row>
    <x:row r="854">
      <x:c r="A854" s="1" t="str">
        <x:v>cmsbr5rlu001104l45rnkob9p</x:v>
      </x:c>
      <x:c r="B854" s="1" t="str">
        <x:v>cmsbr0keh000404l4bbqhy2a0</x:v>
      </x:c>
      <x:c r="C854" s="1" t="str">
        <x:v>ca-2024-000806-hippodrome-casino-ltd-v-hmrc-appellant-skeleton</x:v>
      </x:c>
      <x:c r="D854" s="12" t="n">
        <x:v>46236.50303309028</x:v>
      </x:c>
      <x:c r="E854" s="1" t="str">
        <x:v>yes</x:v>
      </x:c>
      <x:c r="F854" s="14" t="str">
        <x:v>cmsbr6p4p001704l4z7u6108h</x:v>
      </x:c>
      <x:c r="G854" s="14" t="n">
        <x:v>13</x:v>
      </x:c>
      <x:c r="H854" s="14" t="str">
        <x:v>d18a7e9c-a930-43c5-a32d-bc205ffe00f8</x:v>
      </x:c>
      <x:c r="I854" s="14" t="str">
        <x:v>SAE Education Ltd v Revenue And Customs</x:v>
      </x:c>
      <x:c r="J854" s="14" t="str">
        <x:v>England and Wales Court of Appeal (Civil Division)</x:v>
      </x:c>
      <x:c r="K854" s="14" t="n">
        <x:v>2017</x:v>
      </x:c>
      <x:c r="L854" s="15" t="n">
        <x:v>0.68376404</x:v>
      </x:c>
      <x:c r="M854" s="14" t="n">
        <x:v>1</x:v>
      </x:c>
      <x:c r="N854" s="14" t="str">
        <x:v>VAT Act 1994 | University of Leicester Students' Union, [2001] EWCA Civ 1972</x:v>
      </x:c>
    </x:row>
    <x:row r="855">
      <x:c r="A855" s="1" t="str">
        <x:v>cmsbr5rlu001104l45rnkob9p</x:v>
      </x:c>
      <x:c r="B855" s="1" t="str">
        <x:v>cmsbr0keh000404l4bbqhy2a0</x:v>
      </x:c>
      <x:c r="C855" s="1" t="str">
        <x:v>ca-2024-000806-hippodrome-casino-ltd-v-hmrc-appellant-skeleton</x:v>
      </x:c>
      <x:c r="D855" s="12" t="n">
        <x:v>46236.50303309028</x:v>
      </x:c>
      <x:c r="E855" s="1" t="str">
        <x:v>yes</x:v>
      </x:c>
      <x:c r="F855" s="14" t="str">
        <x:v>cmsbr6p4p001704l4z7u6108h</x:v>
      </x:c>
      <x:c r="G855" s="14" t="n">
        <x:v>14</x:v>
      </x:c>
      <x:c r="H855" s="14" t="str">
        <x:v>dc715706-f35f-4a5c-8ad7-a824c23f5260</x:v>
      </x:c>
      <x:c r="I855" s="14" t="str">
        <x:v>Associated Newspapers Ltd v HM Revenue &amp; Customs [2017] EWCA Civ 54</x:v>
      </x:c>
      <x:c r="J855" s="14" t="str">
        <x:v>England and Wales Court of Appeal (Civil Division)</x:v>
      </x:c>
      <x:c r="K855" s="14" t="n">
        <x:v>2017</x:v>
      </x:c>
      <x:c r="L855" s="15" t="n">
        <x:v>0.6797149</x:v>
      </x:c>
      <x:c r="M855" s="14" t="n">
        <x:v>2</x:v>
      </x:c>
      <x:c r="N855" s="14" t="str">
        <x:v>[2015] UKUT 641 (TCC) | Case C-288/94 Argos v HMRC | Case C-62/00 Marks &amp; Spencer | Case C-4/94 BLP Group v Customs and Excise Commissioners | Case C-98/98 Midland Bank plc v Customs and Excise Commissioners | Case C-126/14 Sveda UAB v Valstybine mokesciu inspekcija</x:v>
      </x:c>
    </x:row>
    <x:row r="856">
      <x:c r="A856" s="1" t="str">
        <x:v>cmsbr5rlu001104l45rnkob9p</x:v>
      </x:c>
      <x:c r="B856" s="1" t="str">
        <x:v>cmsbr0keh000404l4bbqhy2a0</x:v>
      </x:c>
      <x:c r="C856" s="1" t="str">
        <x:v>ca-2024-000806-hippodrome-casino-ltd-v-hmrc-appellant-skeleton</x:v>
      </x:c>
      <x:c r="D856" s="12" t="n">
        <x:v>46236.50303309028</x:v>
      </x:c>
      <x:c r="E856" s="1" t="str">
        <x:v>yes</x:v>
      </x:c>
      <x:c r="F856" s="14" t="str">
        <x:v>cmsbr6p4p001704l4z7u6108h</x:v>
      </x:c>
      <x:c r="G856" s="14" t="n">
        <x:v>15</x:v>
      </x:c>
      <x:c r="H856" s="14" t="str">
        <x:v>ff706e01-2911-4522-b7e2-4cb4ed7e3992</x:v>
      </x:c>
      <x:c r="I856" s="14" t="str">
        <x:v>Revenue And Customs v The Open University [2016] EWCA Civ 114</x:v>
      </x:c>
      <x:c r="J856" s="14" t="str">
        <x:v>England and Wales Court of Appeal (Civil Division)</x:v>
      </x:c>
      <x:c r="K856" s="14" t="n">
        <x:v>2016</x:v>
      </x:c>
      <x:c r="L856" s="15" t="n">
        <x:v>0.6793244</x:v>
      </x:c>
      <x:c r="M856" s="14" t="n">
        <x:v>1</x:v>
      </x:c>
      <x:c r="N856" s="14" t="str">
        <x:v>Stichting Horizon College v Staatssecretaris van Financien | Case C-434/05 Horizon College | Cambridge University v HMRC | JP Morgan Fleming Claverhouse | Kingscrest Associates Ltd v Montecello Ltd | MDDP sp z oo Akademia Biznesu | Saudaçor v Fazenda Publica</x:v>
      </x:c>
    </x:row>
    <x:row r="857">
      <x:c r="A857" s="1" t="str">
        <x:v>cmsbr5rlu001104l45rnkob9p</x:v>
      </x:c>
      <x:c r="B857" s="1" t="str">
        <x:v>cmsbr0keh000404l4bbqhy2a0</x:v>
      </x:c>
      <x:c r="C857" s="1" t="str">
        <x:v>ca-2024-000806-hippodrome-casino-ltd-v-hmrc-appellant-skeleton</x:v>
      </x:c>
      <x:c r="D857" s="12" t="n">
        <x:v>46236.50303309028</x:v>
      </x:c>
      <x:c r="E857" s="1" t="str">
        <x:v>yes</x:v>
      </x:c>
      <x:c r="F857" s="14" t="str">
        <x:v>cmsbr6p4p001704l4z7u6108h</x:v>
      </x:c>
      <x:c r="G857" s="14" t="n">
        <x:v>16</x:v>
      </x:c>
      <x:c r="H857" s="14" t="str">
        <x:v>fb90f1ad-6132-491d-be89-35324c43b367</x:v>
      </x:c>
      <x:c r="I857" s="14" t="str">
        <x:v>HM Revenue and Customs v Brockenhurst College [2015] EWCA Civ 1196</x:v>
      </x:c>
      <x:c r="J857" s="14" t="str">
        <x:v>England and Wales Court of Appeal (Civil Division)</x:v>
      </x:c>
      <x:c r="K857" s="14" t="n">
        <x:v>2015</x:v>
      </x:c>
      <x:c r="L857" s="15" t="n">
        <x:v>0.67915297</x:v>
      </x:c>
      <x:c r="M857" s="14" t="n">
        <x:v>2</x:v>
      </x:c>
      <x:c r="N857" s="14" t="str">
        <x:v>EC Commission v Federal Republic of Germany (Case C-287/00)</x:v>
      </x:c>
    </x:row>
    <x:row r="858">
      <x:c r="A858" s="1" t="str">
        <x:v>cmsbr5rlu001104l45rnkob9p</x:v>
      </x:c>
      <x:c r="B858" s="1" t="str">
        <x:v>cmsbr0keh000404l4bbqhy2a0</x:v>
      </x:c>
      <x:c r="C858" s="1" t="str">
        <x:v>ca-2024-000806-hippodrome-casino-ltd-v-hmrc-appellant-skeleton</x:v>
      </x:c>
      <x:c r="D858" s="12" t="n">
        <x:v>46236.50303309028</x:v>
      </x:c>
      <x:c r="E858" s="1" t="str">
        <x:v>yes</x:v>
      </x:c>
      <x:c r="F858" s="14" t="str">
        <x:v>cmsbr6p4p001704l4z7u6108h</x:v>
      </x:c>
      <x:c r="G858" s="14" t="n">
        <x:v>17</x:v>
      </x:c>
      <x:c r="H858" s="14" t="str">
        <x:v>690f2978-b410-456d-8745-0fd24cea8bf6</x:v>
      </x:c>
      <x:c r="I858" s="14" t="str">
        <x:v>Greenspace (UK) Ltd v Commissioners for HM Revenue and Customs [2023] EWCA Civ 106</x:v>
      </x:c>
      <x:c r="J858" s="14" t="str">
        <x:v>England and Wales Court of Appeal (Civil Division)</x:v>
      </x:c>
      <x:c r="K858" s="14" t="n">
        <x:v>2023</x:v>
      </x:c>
      <x:c r="L858" s="15" t="n">
        <x:v>0.6766257</x:v>
      </x:c>
      <x:c r="M858" s="14" t="n">
        <x:v>1</x:v>
      </x:c>
      <x:c r="N858" s="14" t="str">
        <x:v>Pinevale | Wetheralds | Coleborn v Blond | Marchday Holdings | Proctor &amp; Gamble UK | Stock v Jones | Zimmerman</x:v>
      </x:c>
    </x:row>
    <x:row r="859">
      <x:c r="A859" s="1" t="str">
        <x:v>cmsbr5rlu001104l45rnkob9p</x:v>
      </x:c>
      <x:c r="B859" s="1" t="str">
        <x:v>cmsbr0keh000404l4bbqhy2a0</x:v>
      </x:c>
      <x:c r="C859" s="1" t="str">
        <x:v>ca-2024-000806-hippodrome-casino-ltd-v-hmrc-appellant-skeleton</x:v>
      </x:c>
      <x:c r="D859" s="12" t="n">
        <x:v>46236.50303309028</x:v>
      </x:c>
      <x:c r="E859" s="1" t="str">
        <x:v>yes</x:v>
      </x:c>
      <x:c r="F859" s="14" t="str">
        <x:v>cmsbr6p4p001704l4z7u6108h</x:v>
      </x:c>
      <x:c r="G859" s="14" t="n">
        <x:v>18</x:v>
      </x:c>
      <x:c r="H859" s="14" t="str">
        <x:v>34f65455-ab57-4843-8247-69713c6d5d1d</x:v>
      </x:c>
      <x:c r="I859" s="14" t="str">
        <x:v>Iveco Ltd v Revenue And Customs</x:v>
      </x:c>
      <x:c r="J859" s="14" t="str">
        <x:v>England and Wales Court of Appeal (Civil Division)</x:v>
      </x:c>
      <x:c r="K859" s="14" t="n">
        <x:v>2017</x:v>
      </x:c>
      <x:c r="L859" s="15" t="n">
        <x:v>0.6766019</x:v>
      </x:c>
      <x:c r="M859" s="14" t="n">
        <x:v>3</x:v>
      </x:c>
      <x:c r="N859" s="14" t="str"/>
    </x:row>
    <x:row r="860">
      <x:c r="A860" s="1" t="str">
        <x:v>cmsbr5rlu001104l45rnkob9p</x:v>
      </x:c>
      <x:c r="B860" s="1" t="str">
        <x:v>cmsbr0keh000404l4bbqhy2a0</x:v>
      </x:c>
      <x:c r="C860" s="1" t="str">
        <x:v>ca-2024-000806-hippodrome-casino-ltd-v-hmrc-appellant-skeleton</x:v>
      </x:c>
      <x:c r="D860" s="12" t="n">
        <x:v>46236.50303309028</x:v>
      </x:c>
      <x:c r="E860" s="1" t="str">
        <x:v>yes</x:v>
      </x:c>
      <x:c r="F860" s="14" t="str">
        <x:v>cmsbr6p4p001704l4z7u6108h</x:v>
      </x:c>
      <x:c r="G860" s="14" t="n">
        <x:v>19</x:v>
      </x:c>
      <x:c r="H860" s="14" t="str">
        <x:v>c009622e-9e72-4c9c-a114-e74deba95ac2</x:v>
      </x:c>
      <x:c r="I860" s="14" t="str">
        <x:v>Revenue and Customs (HMRC) v London Clubs Management Ltd</x:v>
      </x:c>
      <x:c r="J860" s="14" t="str">
        <x:v>England and Wales Court of Appeal (Civil Division)</x:v>
      </x:c>
      <x:c r="K860" s="14" t="n">
        <x:v>2018</x:v>
      </x:c>
      <x:c r="L860" s="15" t="n">
        <x:v>0.6746719</x:v>
      </x:c>
      <x:c r="M860" s="14" t="n">
        <x:v>2</x:v>
      </x:c>
      <x:c r="N860" s="14" t="str"/>
    </x:row>
    <x:row r="861">
      <x:c r="A861" s="1" t="str">
        <x:v>cmsbr5rlu001104l45rnkob9p</x:v>
      </x:c>
      <x:c r="B861" s="1" t="str">
        <x:v>cmsbr0keh000404l4bbqhy2a0</x:v>
      </x:c>
      <x:c r="C861" s="1" t="str">
        <x:v>ca-2024-000806-hippodrome-casino-ltd-v-hmrc-appellant-skeleton</x:v>
      </x:c>
      <x:c r="D861" s="12" t="n">
        <x:v>46236.50303309028</x:v>
      </x:c>
      <x:c r="E861" s="1" t="str">
        <x:v>yes</x:v>
      </x:c>
      <x:c r="F861" s="14" t="str">
        <x:v>cmsbr6p4p001704l4z7u6108h</x:v>
      </x:c>
      <x:c r="G861" s="14" t="n">
        <x:v>20</x:v>
      </x:c>
      <x:c r="H861" s="14" t="str">
        <x:v>7253e952-4693-4c28-8c6d-f176b4e6f194</x:v>
      </x:c>
      <x:c r="I861" s="14" t="str">
        <x:v>HMRC v GMAC (UK) Plc [2016] EWCA Civ 1015 (Court of Appeal, Civil Division)</x:v>
      </x:c>
      <x:c r="J861" s="14" t="str">
        <x:v>England and Wales Court of Appeal (Civil Division)</x:v>
      </x:c>
      <x:c r="K861" s="14" t="n">
        <x:v>2016</x:v>
      </x:c>
      <x:c r="L861" s="15" t="n">
        <x:v>0.6745839</x:v>
      </x:c>
      <x:c r="M861" s="14" t="n">
        <x:v>3</x:v>
      </x:c>
      <x:c r="N861" s="14" t="str">
        <x:v>Goldsmiths (C-330/95) | Marks &amp; Spencer (C-62/00) | Almos (C-337/13) | Plantanol (C-201/08) | Ze-Fu Fleischhandel (C-201/10; C-202/10) | BT CA (EWCA Civ 433) | Marks &amp; Spencer | Fleming | BT CA | Almos</x:v>
      </x:c>
    </x:row>
    <x:row r="862">
      <x:c r="A862" s="1" t="str">
        <x:v>cmsbr997n001l04l4etg0c8qb</x:v>
      </x:c>
      <x:c r="B862" s="1" t="str">
        <x:v>cmsbr7e7h001c04l4kn40wun3</x:v>
      </x:c>
      <x:c r="C862" s="1" t="str">
        <x:v>ca-2023-002207-mr-demetrios-karpasitis-v-hertfordshire-county-appellant-skeleton</x:v>
      </x:c>
      <x:c r="D862" s="12" t="n">
        <x:v>46236.5049171875</x:v>
      </x:c>
      <x:c r="E862" s="1" t="str">
        <x:v>yes</x:v>
      </x:c>
      <x:c r="F862" s="14" t="str">
        <x:v>cmsbracw1001r04l4az8ukhd1 | cmsbrc37v001x04l4t7r77h89</x:v>
      </x:c>
      <x:c r="G862" s="14" t="n">
        <x:v>1</x:v>
      </x:c>
      <x:c r="H862" s="14" t="str">
        <x:v>52d20bb9-6964-44a6-9c32-d191ef76297c</x:v>
      </x:c>
      <x:c r="I862" s="14" t="str">
        <x:v>King Lifting Ltd v Oxfordshire County Council [2016] EWHC 1767 (QB)</x:v>
      </x:c>
      <x:c r="J862" s="14" t="str">
        <x:v>England and Wales High Court (Queen's Bench Division)</x:v>
      </x:c>
      <x:c r="K862" s="14" t="n">
        <x:v>2016</x:v>
      </x:c>
      <x:c r="L862" s="15" t="n">
        <x:v>0.75449026</x:v>
      </x:c>
      <x:c r="M862" s="14" t="n">
        <x:v>5</x:v>
      </x:c>
      <x:c r="N862" s="14" t="str">
        <x:v>Highways Act 1980 | Goodes v East Sussex CC [2000] 1 WLR 1356</x:v>
      </x:c>
    </x:row>
    <x:row r="863">
      <x:c r="A863" s="1" t="str">
        <x:v>cmsbr997n001l04l4etg0c8qb</x:v>
      </x:c>
      <x:c r="B863" s="1" t="str">
        <x:v>cmsbr7e7h001c04l4kn40wun3</x:v>
      </x:c>
      <x:c r="C863" s="1" t="str">
        <x:v>ca-2023-002207-mr-demetrios-karpasitis-v-hertfordshire-county-appellant-skeleton</x:v>
      </x:c>
      <x:c r="D863" s="12" t="n">
        <x:v>46236.5049171875</x:v>
      </x:c>
      <x:c r="E863" s="1" t="str">
        <x:v>yes</x:v>
      </x:c>
      <x:c r="F863" s="14" t="str">
        <x:v>cmsbracw1001r04l4az8ukhd1 | cmsbrc37v001x04l4t7r77h89</x:v>
      </x:c>
      <x:c r="G863" s="14" t="n">
        <x:v>2</x:v>
      </x:c>
      <x:c r="H863" s="14" t="str">
        <x:v>bc30491e-9ae6-48da-90d0-71d8a8069b22</x:v>
      </x:c>
      <x:c r="I863" s="14" t="str">
        <x:v>Gorringe v. Calderdale Metropolitan Borough Council</x:v>
      </x:c>
      <x:c r="J863" s="14" t="str">
        <x:v>United Kingdom House of Lords</x:v>
      </x:c>
      <x:c r="K863" s="14" t="n">
        <x:v>2004</x:v>
      </x:c>
      <x:c r="L863" s="15" t="n">
        <x:v>0.74105686</x:v>
      </x:c>
      <x:c r="M863" s="14" t="n">
        <x:v>5</x:v>
      </x:c>
      <x:c r="N863" s="14" t="str">
        <x:v>Road Traffic Act 1988 | X (Minors) v Bedfordshire County Council | Stovin v Wise | Larner v Solihull Metropolitan Borough Council</x:v>
      </x:c>
    </x:row>
    <x:row r="864">
      <x:c r="A864" s="1" t="str">
        <x:v>cmsbr997n001l04l4etg0c8qb</x:v>
      </x:c>
      <x:c r="B864" s="1" t="str">
        <x:v>cmsbr7e7h001c04l4kn40wun3</x:v>
      </x:c>
      <x:c r="C864" s="1" t="str">
        <x:v>ca-2023-002207-mr-demetrios-karpasitis-v-hertfordshire-county-appellant-skeleton</x:v>
      </x:c>
      <x:c r="D864" s="12" t="n">
        <x:v>46236.5049171875</x:v>
      </x:c>
      <x:c r="E864" s="1" t="str">
        <x:v>yes</x:v>
      </x:c>
      <x:c r="F864" s="14" t="str">
        <x:v>cmsbracw1001r04l4az8ukhd1 | cmsbrc37v001x04l4t7r77h89</x:v>
      </x:c>
      <x:c r="G864" s="14" t="n">
        <x:v>3</x:v>
      </x:c>
      <x:c r="H864" s="14" t="str">
        <x:v>5a42b4bc-fe8f-47be-9b13-869933b2ddff</x:v>
      </x:c>
      <x:c r="I864" s="14" t="str">
        <x:v>Yetkin v London Borough of Newham ([2010] EWCA Civ 776)</x:v>
      </x:c>
      <x:c r="J864" s="14" t="str">
        <x:v>England and Wales Court of Appeal (Civil Division)</x:v>
      </x:c>
      <x:c r="K864" s="14" t="n">
        <x:v>2010</x:v>
      </x:c>
      <x:c r="L864" s="15" t="n">
        <x:v>0.72944266</x:v>
      </x:c>
      <x:c r="M864" s="14" t="n">
        <x:v>4</x:v>
      </x:c>
      <x:c r="N864" s="14" t="str">
        <x:v>Gorringe v Calderdale Metropolitan Borough Council</x:v>
      </x:c>
    </x:row>
    <x:row r="865">
      <x:c r="A865" s="1" t="str">
        <x:v>cmsbr997n001l04l4etg0c8qb</x:v>
      </x:c>
      <x:c r="B865" s="1" t="str">
        <x:v>cmsbr7e7h001c04l4kn40wun3</x:v>
      </x:c>
      <x:c r="C865" s="1" t="str">
        <x:v>ca-2023-002207-mr-demetrios-karpasitis-v-hertfordshire-county-appellant-skeleton</x:v>
      </x:c>
      <x:c r="D865" s="12" t="n">
        <x:v>46236.5049171875</x:v>
      </x:c>
      <x:c r="E865" s="1" t="str">
        <x:v>yes</x:v>
      </x:c>
      <x:c r="F865" s="14" t="str">
        <x:v>cmsbracw1001r04l4az8ukhd1 | cmsbrc37v001x04l4t7r77h89</x:v>
      </x:c>
      <x:c r="G865" s="14" t="n">
        <x:v>4</x:v>
      </x:c>
      <x:c r="H865" s="14" t="str">
        <x:v>70a54b3a-6d86-473d-ac2f-607d9cecd2d7</x:v>
      </x:c>
      <x:c r="I865" s="14" t="str">
        <x:v>Redrow Homes Ltd, R (on the Application of) v Knowsley Metropolitan Borough Council [2014] EWCA Civ 1433</x:v>
      </x:c>
      <x:c r="J865" s="14" t="str">
        <x:v>England and Wales Court of Appeal (Civil Division)</x:v>
      </x:c>
      <x:c r="K865" s="14" t="n">
        <x:v>2014</x:v>
      </x:c>
      <x:c r="L865" s="15" t="n">
        <x:v>0.7084664</x:v>
      </x:c>
      <x:c r="M865" s="14" t="n">
        <x:v>2</x:v>
      </x:c>
      <x:c r="N865" s="14" t="str">
        <x:v>Highways Act 1980, section 38 | Highways Act 1980, section 44</x:v>
      </x:c>
    </x:row>
    <x:row r="866">
      <x:c r="A866" s="1" t="str">
        <x:v>cmsbr997n001l04l4etg0c8qb</x:v>
      </x:c>
      <x:c r="B866" s="1" t="str">
        <x:v>cmsbr7e7h001c04l4kn40wun3</x:v>
      </x:c>
      <x:c r="C866" s="1" t="str">
        <x:v>ca-2023-002207-mr-demetrios-karpasitis-v-hertfordshire-county-appellant-skeleton</x:v>
      </x:c>
      <x:c r="D866" s="12" t="n">
        <x:v>46236.5049171875</x:v>
      </x:c>
      <x:c r="E866" s="1" t="str">
        <x:v>yes</x:v>
      </x:c>
      <x:c r="F866" s="14" t="str">
        <x:v>cmsbracw1001r04l4az8ukhd1 | cmsbrc37v001x04l4t7r77h89</x:v>
      </x:c>
      <x:c r="G866" s="14" t="n">
        <x:v>5</x:v>
      </x:c>
      <x:c r="H866" s="14" t="str">
        <x:v>31ec4914-0384-4442-a7c4-2067fe7c1aec</x:v>
      </x:c>
      <x:c r="I866" s="14" t="str">
        <x:v>London Borough of Southwark &amp; Anor v Transport for London</x:v>
      </x:c>
      <x:c r="J866" s="14" t="str">
        <x:v>England and Wales Court of Appeal (Civil Division)</x:v>
      </x:c>
      <x:c r="K866" s="14" t="n">
        <x:v>2017</x:v>
      </x:c>
      <x:c r="L866" s="15" t="n">
        <x:v>0.704762</x:v>
      </x:c>
      <x:c r="M866" s="14" t="n">
        <x:v>1</x:v>
      </x:c>
      <x:c r="N866" s="14" t="str">
        <x:v>Tunbridge Wells v Baird | Baylis</x:v>
      </x:c>
    </x:row>
    <x:row r="867">
      <x:c r="A867" s="1" t="str">
        <x:v>cmsbr997n001l04l4etg0c8qb</x:v>
      </x:c>
      <x:c r="B867" s="1" t="str">
        <x:v>cmsbr7e7h001c04l4kn40wun3</x:v>
      </x:c>
      <x:c r="C867" s="1" t="str">
        <x:v>ca-2023-002207-mr-demetrios-karpasitis-v-hertfordshire-county-appellant-skeleton</x:v>
      </x:c>
      <x:c r="D867" s="12" t="n">
        <x:v>46236.5049171875</x:v>
      </x:c>
      <x:c r="E867" s="1" t="str">
        <x:v>yes</x:v>
      </x:c>
      <x:c r="F867" s="14" t="str">
        <x:v>cmsbracw1001r04l4az8ukhd1 | cmsbrc37v001x04l4t7r77h89</x:v>
      </x:c>
      <x:c r="G867" s="14" t="n">
        <x:v>6</x:v>
      </x:c>
      <x:c r="H867" s="14" t="str">
        <x:v>70d43223-0ec6-458b-b052-bdc295e0d6ec</x:v>
      </x:c>
      <x:c r="I867" s="14" t="str">
        <x:v>Brown &amp; Ors v South West Lakes Trust &amp; Ors [2022] EWCA Civ 18</x:v>
      </x:c>
      <x:c r="J867" s="14" t="str">
        <x:v>England and Wales Court of Appeal (Civil Division)</x:v>
      </x:c>
      <x:c r="K867" s="14" t="n">
        <x:v>2022</x:v>
      </x:c>
      <x:c r="L867" s="15" t="n">
        <x:v>0.69691396</x:v>
      </x:c>
      <x:c r="M867" s="14" t="n">
        <x:v>2</x:v>
      </x:c>
      <x:c r="N867" s="14" t="str">
        <x:v>Okpabi v Royal Dutch Shell plc [2021] UKSC 3 | Donoghue v Folkestone Properties Ltd [2003] EWCA Civ 231</x:v>
      </x:c>
    </x:row>
    <x:row r="868">
      <x:c r="A868" s="1" t="str">
        <x:v>cmsbr997n001l04l4etg0c8qb</x:v>
      </x:c>
      <x:c r="B868" s="1" t="str">
        <x:v>cmsbr7e7h001c04l4kn40wun3</x:v>
      </x:c>
      <x:c r="C868" s="1" t="str">
        <x:v>ca-2023-002207-mr-demetrios-karpasitis-v-hertfordshire-county-appellant-skeleton</x:v>
      </x:c>
      <x:c r="D868" s="12" t="n">
        <x:v>46236.5049171875</x:v>
      </x:c>
      <x:c r="E868" s="1" t="str">
        <x:v>yes</x:v>
      </x:c>
      <x:c r="F868" s="14" t="str">
        <x:v>cmsbracw1001r04l4az8ukhd1 | cmsbrc37v001x04l4t7r77h89</x:v>
      </x:c>
      <x:c r="G868" s="14" t="n">
        <x:v>7</x:v>
      </x:c>
      <x:c r="H868" s="14" t="str">
        <x:v>2eaaf060-799f-4573-a18a-86e5c14b158b</x:v>
      </x:c>
      <x:c r="I868" s="14" t="str">
        <x:v>National Grid Electricity Transmission Plc v Arnold White Estates Ltd [2014] EWCA Civ 216</x:v>
      </x:c>
      <x:c r="J868" s="14" t="str">
        <x:v>England and Wales Court of Appeal (Civil Division)</x:v>
      </x:c>
      <x:c r="K868" s="14" t="n">
        <x:v>2014</x:v>
      </x:c>
      <x:c r="L868" s="15" t="n">
        <x:v>0.69653004</x:v>
      </x:c>
      <x:c r="M868" s="14" t="n">
        <x:v>1</x:v>
      </x:c>
      <x:c r="N868" s="14" t="str">
        <x:v>Oppenheimer v Minister of Transport</x:v>
      </x:c>
    </x:row>
    <x:row r="869">
      <x:c r="A869" s="1" t="str">
        <x:v>cmsbr997n001l04l4etg0c8qb</x:v>
      </x:c>
      <x:c r="B869" s="1" t="str">
        <x:v>cmsbr7e7h001c04l4kn40wun3</x:v>
      </x:c>
      <x:c r="C869" s="1" t="str">
        <x:v>ca-2023-002207-mr-demetrios-karpasitis-v-hertfordshire-county-appellant-skeleton</x:v>
      </x:c>
      <x:c r="D869" s="12" t="n">
        <x:v>46236.5049171875</x:v>
      </x:c>
      <x:c r="E869" s="1" t="str">
        <x:v>yes</x:v>
      </x:c>
      <x:c r="F869" s="14" t="str">
        <x:v>cmsbracw1001r04l4az8ukhd1 | cmsbrc37v001x04l4t7r77h89</x:v>
      </x:c>
      <x:c r="G869" s="14" t="n">
        <x:v>8</x:v>
      </x:c>
      <x:c r="H869" s="14" t="str">
        <x:v>3b14442e-37b0-455c-a24f-a53a55c9f700</x:v>
      </x:c>
      <x:c r="I869" s="14" t="str">
        <x:v>Humphrey v Aegis Defence Services Ltd &amp; Anor [2016] EWCA Civ 11</x:v>
      </x:c>
      <x:c r="J869" s="14" t="str">
        <x:v>England and Wales Court of Appeal (Civil Division)</x:v>
      </x:c>
      <x:c r="K869" s="14" t="n">
        <x:v>2016</x:v>
      </x:c>
      <x:c r="L869" s="15" t="n">
        <x:v>0.69557285</x:v>
      </x:c>
      <x:c r="M869" s="14" t="n">
        <x:v>1</x:v>
      </x:c>
      <x:c r="N869" s="14" t="str">
        <x:v>Tomlinson v Congleton | Daborn v Bath Tramways | Jolley v Sutton | Bolton v Stone | King v Sussex Ambulance Service</x:v>
      </x:c>
    </x:row>
    <x:row r="870">
      <x:c r="A870" s="1" t="str">
        <x:v>cmsbr997n001l04l4etg0c8qb</x:v>
      </x:c>
      <x:c r="B870" s="1" t="str">
        <x:v>cmsbr7e7h001c04l4kn40wun3</x:v>
      </x:c>
      <x:c r="C870" s="1" t="str">
        <x:v>ca-2023-002207-mr-demetrios-karpasitis-v-hertfordshire-county-appellant-skeleton</x:v>
      </x:c>
      <x:c r="D870" s="12" t="n">
        <x:v>46236.5049171875</x:v>
      </x:c>
      <x:c r="E870" s="1" t="str">
        <x:v>yes</x:v>
      </x:c>
      <x:c r="F870" s="14" t="str">
        <x:v>cmsbracw1001r04l4az8ukhd1 | cmsbrc37v001x04l4t7r77h89</x:v>
      </x:c>
      <x:c r="G870" s="14" t="n">
        <x:v>9</x:v>
      </x:c>
      <x:c r="H870" s="14" t="str">
        <x:v>4685ad0e-87e7-4f59-8991-823ab27d9393</x:v>
      </x:c>
      <x:c r="I870" s="14" t="str">
        <x:v>Tindall &amp; Anor v Chief Constable of Thames Valley Police &amp; Anor [2022] EWCA Civ 25</x:v>
      </x:c>
      <x:c r="J870" s="14" t="str">
        <x:v>England and Wales Court of Appeal (Civil Division)</x:v>
      </x:c>
      <x:c r="K870" s="14" t="n">
        <x:v>2022</x:v>
      </x:c>
      <x:c r="L870" s="15" t="n">
        <x:v>0.6930453</x:v>
      </x:c>
      <x:c r="M870" s="14" t="n">
        <x:v>4</x:v>
      </x:c>
      <x:c r="N870" s="14" t="str">
        <x:v>Michael v South Wales Police | Robinson v West Yorkshire Police | GN v Poole Borough Council | Hedley Byrne | Anns v Merton LBC | N and Anor v Poole Borough Council | Gorringe | Sandhar | Dorset Yacht | Michael | Robinson | N and Anor</x:v>
      </x:c>
    </x:row>
    <x:row r="871">
      <x:c r="A871" s="1" t="str">
        <x:v>cmsbr997n001l04l4etg0c8qb</x:v>
      </x:c>
      <x:c r="B871" s="1" t="str">
        <x:v>cmsbr7e7h001c04l4kn40wun3</x:v>
      </x:c>
      <x:c r="C871" s="1" t="str">
        <x:v>ca-2023-002207-mr-demetrios-karpasitis-v-hertfordshire-county-appellant-skeleton</x:v>
      </x:c>
      <x:c r="D871" s="12" t="n">
        <x:v>46236.5049171875</x:v>
      </x:c>
      <x:c r="E871" s="1" t="str">
        <x:v>yes</x:v>
      </x:c>
      <x:c r="F871" s="14" t="str">
        <x:v>cmsbracw1001r04l4az8ukhd1 | cmsbrc37v001x04l4t7r77h89</x:v>
      </x:c>
      <x:c r="G871" s="14" t="n">
        <x:v>10</x:v>
      </x:c>
      <x:c r="H871" s="14" t="str">
        <x:v>fd2b8470-21d5-4110-8733-8d925e298b9d</x:v>
      </x:c>
      <x:c r="I871" s="14" t="str">
        <x:v>McGeer v McIntosh [2017] EWCA Civ 79</x:v>
      </x:c>
      <x:c r="J871" s="14" t="str">
        <x:v>England and Wales Court of Appeal (Civil Division)</x:v>
      </x:c>
      <x:c r="K871" s="14" t="n">
        <x:v>2017</x:v>
      </x:c>
      <x:c r="L871" s="15" t="n">
        <x:v>0.6860269</x:v>
      </x:c>
      <x:c r="M871" s="14" t="n">
        <x:v>2</x:v>
      </x:c>
      <x:c r="N871" s="14" t="str">
        <x:v>Jackson v Murray [2015] UKSC 5 | Highway Code rules 72, 73, 211</x:v>
      </x:c>
    </x:row>
    <x:row r="872">
      <x:c r="A872" s="1" t="str">
        <x:v>cmsbr997n001l04l4etg0c8qb</x:v>
      </x:c>
      <x:c r="B872" s="1" t="str">
        <x:v>cmsbr7e7h001c04l4kn40wun3</x:v>
      </x:c>
      <x:c r="C872" s="1" t="str">
        <x:v>ca-2023-002207-mr-demetrios-karpasitis-v-hertfordshire-county-appellant-skeleton</x:v>
      </x:c>
      <x:c r="D872" s="12" t="n">
        <x:v>46236.5049171875</x:v>
      </x:c>
      <x:c r="E872" s="1" t="str">
        <x:v>yes</x:v>
      </x:c>
      <x:c r="F872" s="14" t="str">
        <x:v>cmsbracw1001r04l4az8ukhd1 | cmsbrc37v001x04l4t7r77h89</x:v>
      </x:c>
      <x:c r="G872" s="14" t="n">
        <x:v>11</x:v>
      </x:c>
      <x:c r="H872" s="14" t="str">
        <x:v>70c75405-8cba-40e2-92ff-8302ea4f6789</x:v>
      </x:c>
      <x:c r="I872" s="14" t="str">
        <x:v>Griffiths v Gwynedd County Council [2015] EWCA Civ 1440</x:v>
      </x:c>
      <x:c r="J872" s="14" t="str">
        <x:v>England and Wales Court of Appeal (Civil Division)</x:v>
      </x:c>
      <x:c r="K872" s="14" t="n">
        <x:v>2015</x:v>
      </x:c>
      <x:c r="L872" s="15" t="n">
        <x:v>0.683228</x:v>
      </x:c>
      <x:c r="M872" s="14" t="n">
        <x:v>3</x:v>
      </x:c>
      <x:c r="N872" s="14" t="str">
        <x:v>Mills v Barnsley Metropolitan Borough Council | Jones v Rhondda Cynon Taff County Borough Council | Goodes v East Sussex County Council</x:v>
      </x:c>
    </x:row>
    <x:row r="873">
      <x:c r="A873" s="1" t="str">
        <x:v>cmsbr997n001l04l4etg0c8qb</x:v>
      </x:c>
      <x:c r="B873" s="1" t="str">
        <x:v>cmsbr7e7h001c04l4kn40wun3</x:v>
      </x:c>
      <x:c r="C873" s="1" t="str">
        <x:v>ca-2023-002207-mr-demetrios-karpasitis-v-hertfordshire-county-appellant-skeleton</x:v>
      </x:c>
      <x:c r="D873" s="12" t="n">
        <x:v>46236.5049171875</x:v>
      </x:c>
      <x:c r="E873" s="1" t="str">
        <x:v>yes</x:v>
      </x:c>
      <x:c r="F873" s="14" t="str">
        <x:v>cmsbracw1001r04l4az8ukhd1 | cmsbrc37v001x04l4t7r77h89</x:v>
      </x:c>
      <x:c r="G873" s="14" t="n">
        <x:v>12</x:v>
      </x:c>
      <x:c r="H873" s="14" t="str">
        <x:v>4840c2e7-7326-456e-84e1-def231729686</x:v>
      </x:c>
      <x:c r="I873" s="14" t="str">
        <x:v>Butcher v Southend-On-Sea Borough Council (2014)</x:v>
      </x:c>
      <x:c r="J873" s="14" t="str">
        <x:v>England and Wales Court of Appeal (Civil Division)</x:v>
      </x:c>
      <x:c r="K873" s="14" t="n">
        <x:v>2014</x:v>
      </x:c>
      <x:c r="L873" s="15" t="n">
        <x:v>0.681776</x:v>
      </x:c>
      <x:c r="M873" s="14" t="n">
        <x:v>1</x:v>
      </x:c>
      <x:c r="N873" s="14" t="str"/>
    </x:row>
    <x:row r="874">
      <x:c r="A874" s="1" t="str">
        <x:v>cmsbr997n001l04l4etg0c8qb</x:v>
      </x:c>
      <x:c r="B874" s="1" t="str">
        <x:v>cmsbr7e7h001c04l4kn40wun3</x:v>
      </x:c>
      <x:c r="C874" s="1" t="str">
        <x:v>ca-2023-002207-mr-demetrios-karpasitis-v-hertfordshire-county-appellant-skeleton</x:v>
      </x:c>
      <x:c r="D874" s="12" t="n">
        <x:v>46236.5049171875</x:v>
      </x:c>
      <x:c r="E874" s="1" t="str">
        <x:v>yes</x:v>
      </x:c>
      <x:c r="F874" s="14" t="str">
        <x:v>cmsbracw1001r04l4az8ukhd1 | cmsbrc37v001x04l4t7r77h89</x:v>
      </x:c>
      <x:c r="G874" s="14" t="n">
        <x:v>13</x:v>
      </x:c>
      <x:c r="H874" s="14" t="str">
        <x:v>c4a822cc-6b52-4913-bf0d-44e5a274399e</x:v>
      </x:c>
      <x:c r="I874" s="14" t="str">
        <x:v>The Law Society of England and Wales v Schubert Murphy (A Firm) [2017] EWCA Civ 1295</x:v>
      </x:c>
      <x:c r="J874" s="14" t="str">
        <x:v>England and Wales Court of Appeal (Civil Division)</x:v>
      </x:c>
      <x:c r="K874" s="14" t="n">
        <x:v>2017</x:v>
      </x:c>
      <x:c r="L874" s="15" t="n">
        <x:v>0.68017995</x:v>
      </x:c>
      <x:c r="M874" s="14" t="n">
        <x:v>1</x:v>
      </x:c>
      <x:c r="N874" s="14" t="str">
        <x:v>Yuen Kun Yeu v Attorney-General of Hong Kong [1988] AC 175 | Caparo Industries plc v Dickman [1990] 2 AC 605</x:v>
      </x:c>
    </x:row>
    <x:row r="875">
      <x:c r="A875" s="1" t="str">
        <x:v>cmsbr997n001l04l4etg0c8qb</x:v>
      </x:c>
      <x:c r="B875" s="1" t="str">
        <x:v>cmsbr7e7h001c04l4kn40wun3</x:v>
      </x:c>
      <x:c r="C875" s="1" t="str">
        <x:v>ca-2023-002207-mr-demetrios-karpasitis-v-hertfordshire-county-appellant-skeleton</x:v>
      </x:c>
      <x:c r="D875" s="12" t="n">
        <x:v>46236.5049171875</x:v>
      </x:c>
      <x:c r="E875" s="1" t="str">
        <x:v>yes</x:v>
      </x:c>
      <x:c r="F875" s="14" t="str">
        <x:v>cmsbracw1001r04l4az8ukhd1 | cmsbrc37v001x04l4t7r77h89</x:v>
      </x:c>
      <x:c r="G875" s="14" t="n">
        <x:v>14</x:v>
      </x:c>
      <x:c r="H875" s="14" t="str">
        <x:v>0b882e45-d34e-49f7-baae-3d5657d1ccc6</x:v>
      </x:c>
      <x:c r="I875" s="14" t="str">
        <x:v>Alan Kind v. Newcastle-Upon-Tyne Council [2001] EWHC Admin 616</x:v>
      </x:c>
      <x:c r="J875" s="14" t="str">
        <x:v>England and Wales High Court (Administrative Court)</x:v>
      </x:c>
      <x:c r="K875" s="14" t="n">
        <x:v>2001</x:v>
      </x:c>
      <x:c r="L875" s="15" t="n">
        <x:v>0.67908764</x:v>
      </x:c>
      <x:c r="M875" s="14" t="n">
        <x:v>4</x:v>
      </x:c>
      <x:c r="N875" s="14" t="str">
        <x:v>Goodes v East Sussex County Council [2000] | Burnside v Emerson [1968] | Highways Act 1980</x:v>
      </x:c>
    </x:row>
    <x:row r="876">
      <x:c r="A876" s="1" t="str">
        <x:v>cmsbr997n001l04l4etg0c8qb</x:v>
      </x:c>
      <x:c r="B876" s="1" t="str">
        <x:v>cmsbr7e7h001c04l4kn40wun3</x:v>
      </x:c>
      <x:c r="C876" s="1" t="str">
        <x:v>ca-2023-002207-mr-demetrios-karpasitis-v-hertfordshire-county-appellant-skeleton</x:v>
      </x:c>
      <x:c r="D876" s="12" t="n">
        <x:v>46236.5049171875</x:v>
      </x:c>
      <x:c r="E876" s="1" t="str">
        <x:v>yes</x:v>
      </x:c>
      <x:c r="F876" s="14" t="str">
        <x:v>cmsbracw1001r04l4az8ukhd1 | cmsbrc37v001x04l4t7r77h89</x:v>
      </x:c>
      <x:c r="G876" s="14" t="n">
        <x:v>15</x:v>
      </x:c>
      <x:c r="H876" s="14" t="str">
        <x:v>0a18c66b-4753-4650-959e-afb376e78fef</x:v>
      </x:c>
      <x:c r="I876" s="14" t="str">
        <x:v>Pawar v JSD Haulage Ltd [2016] EWCA Civ 551</x:v>
      </x:c>
      <x:c r="J876" s="14" t="str">
        <x:v>England and Wales Court of Appeal (Civil Division)</x:v>
      </x:c>
      <x:c r="K876" s="14" t="n">
        <x:v>2016</x:v>
      </x:c>
      <x:c r="L876" s="15" t="n">
        <x:v>0.6789157</x:v>
      </x:c>
      <x:c r="M876" s="14" t="n">
        <x:v>1</x:v>
      </x:c>
      <x:c r="N876" s="14" t="str"/>
    </x:row>
    <x:row r="877">
      <x:c r="A877" s="1" t="str">
        <x:v>cmsbr997n001l04l4etg0c8qb</x:v>
      </x:c>
      <x:c r="B877" s="1" t="str">
        <x:v>cmsbr7e7h001c04l4kn40wun3</x:v>
      </x:c>
      <x:c r="C877" s="1" t="str">
        <x:v>ca-2023-002207-mr-demetrios-karpasitis-v-hertfordshire-county-appellant-skeleton</x:v>
      </x:c>
      <x:c r="D877" s="12" t="n">
        <x:v>46236.5049171875</x:v>
      </x:c>
      <x:c r="E877" s="1" t="str">
        <x:v>yes</x:v>
      </x:c>
      <x:c r="F877" s="14" t="str">
        <x:v>cmsbracw1001r04l4az8ukhd1 | cmsbrc37v001x04l4t7r77h89</x:v>
      </x:c>
      <x:c r="G877" s="14" t="n">
        <x:v>16</x:v>
      </x:c>
      <x:c r="H877" s="14" t="str">
        <x:v>e16d7203-6f9e-4896-96e0-d021cb6f5579</x:v>
      </x:c>
      <x:c r="I877" s="14" t="str">
        <x:v>Edwards v London Borough of Sutton [2016] EWCA Civ 1005</x:v>
      </x:c>
      <x:c r="J877" s="14" t="str">
        <x:v>England and Wales Court of Appeal (Civil Division)</x:v>
      </x:c>
      <x:c r="K877" s="14" t="n">
        <x:v>2016</x:v>
      </x:c>
      <x:c r="L877" s="15" t="n">
        <x:v>0.6782454</x:v>
      </x:c>
      <x:c r="M877" s="14" t="n">
        <x:v>1</x:v>
      </x:c>
      <x:c r="N877" s="14" t="str">
        <x:v>Hughes v Lord Advocate | Tomlinson v Congleton BC | Staples v W Dorset DC | McGivney v Golderslea Ltd | Japp v Virgin Holidays Ltd | Uren v Corporate Leisure (UK) Ltd | Nicholls v Ladbrokes Betting &amp; Gaming Ltd | Cotton v Derbyshire Dales District Council | Corbett v Cumbria Kart Racing Club</x:v>
      </x:c>
    </x:row>
    <x:row r="878">
      <x:c r="A878" s="1" t="str">
        <x:v>cmsbr997n001l04l4etg0c8qb</x:v>
      </x:c>
      <x:c r="B878" s="1" t="str">
        <x:v>cmsbr7e7h001c04l4kn40wun3</x:v>
      </x:c>
      <x:c r="C878" s="1" t="str">
        <x:v>ca-2023-002207-mr-demetrios-karpasitis-v-hertfordshire-county-appellant-skeleton</x:v>
      </x:c>
      <x:c r="D878" s="12" t="n">
        <x:v>46236.5049171875</x:v>
      </x:c>
      <x:c r="E878" s="1" t="str">
        <x:v>yes</x:v>
      </x:c>
      <x:c r="F878" s="14" t="str">
        <x:v>cmsbracw1001r04l4az8ukhd1 | cmsbrc37v001x04l4t7r77h89</x:v>
      </x:c>
      <x:c r="G878" s="14" t="n">
        <x:v>17</x:v>
      </x:c>
      <x:c r="H878" s="14" t="str">
        <x:v>2f6e33a1-8b12-43c8-8f96-e12ae90a4d33</x:v>
      </x:c>
      <x:c r="I878" s="14" t="str">
        <x:v>Manolete Partners Plc v Hastings Borough Council</x:v>
      </x:c>
      <x:c r="J878" s="14" t="str">
        <x:v>England and Wales Court of Appeal (Civil Division)</x:v>
      </x:c>
      <x:c r="K878" s="14" t="n">
        <x:v>2014</x:v>
      </x:c>
      <x:c r="L878" s="15" t="n">
        <x:v>0.6762516</x:v>
      </x:c>
      <x:c r="M878" s="14" t="n">
        <x:v>1</x:v>
      </x:c>
      <x:c r="N878" s="14" t="str">
        <x:v>R v Bristol City Council, ex parte Everett | Hobbs v Winchester Corporation</x:v>
      </x:c>
    </x:row>
    <x:row r="879">
      <x:c r="A879" s="1" t="str">
        <x:v>cmsbr997n001l04l4etg0c8qb</x:v>
      </x:c>
      <x:c r="B879" s="1" t="str">
        <x:v>cmsbr7e7h001c04l4kn40wun3</x:v>
      </x:c>
      <x:c r="C879" s="1" t="str">
        <x:v>ca-2023-002207-mr-demetrios-karpasitis-v-hertfordshire-county-appellant-skeleton</x:v>
      </x:c>
      <x:c r="D879" s="12" t="n">
        <x:v>46236.5049171875</x:v>
      </x:c>
      <x:c r="E879" s="1" t="str">
        <x:v>yes</x:v>
      </x:c>
      <x:c r="F879" s="14" t="str">
        <x:v>cmsbracw1001r04l4az8ukhd1 | cmsbrc37v001x04l4t7r77h89</x:v>
      </x:c>
      <x:c r="G879" s="14" t="n">
        <x:v>18</x:v>
      </x:c>
      <x:c r="H879" s="14" t="str">
        <x:v>46a37196-4d76-45b8-bbe2-7c9ca8f38f3b</x:v>
      </x:c>
      <x:c r="I879" s="14" t="str">
        <x:v>Landau v The Big Bus Company Ltd &amp; Anor [2014] EWCA Civ 1102</x:v>
      </x:c>
      <x:c r="J879" s="14" t="str">
        <x:v>England and Wales Court of Appeal (Civil Division)</x:v>
      </x:c>
      <x:c r="K879" s="14" t="n">
        <x:v>2014</x:v>
      </x:c>
      <x:c r="L879" s="15" t="n">
        <x:v>0.6696123</x:v>
      </x:c>
      <x:c r="M879" s="14" t="n">
        <x:v>2</x:v>
      </x:c>
      <x:c r="N879" s="14" t="str"/>
    </x:row>
    <x:row r="880">
      <x:c r="A880" s="1" t="str">
        <x:v>cmsbr997n001l04l4etg0c8qb</x:v>
      </x:c>
      <x:c r="B880" s="1" t="str">
        <x:v>cmsbr7e7h001c04l4kn40wun3</x:v>
      </x:c>
      <x:c r="C880" s="1" t="str">
        <x:v>ca-2023-002207-mr-demetrios-karpasitis-v-hertfordshire-county-appellant-skeleton</x:v>
      </x:c>
      <x:c r="D880" s="12" t="n">
        <x:v>46236.5049171875</x:v>
      </x:c>
      <x:c r="E880" s="1" t="str">
        <x:v>yes</x:v>
      </x:c>
      <x:c r="F880" s="14" t="str">
        <x:v>cmsbracw1001r04l4az8ukhd1 | cmsbrc37v001x04l4t7r77h89</x:v>
      </x:c>
      <x:c r="G880" s="14" t="n">
        <x:v>19</x:v>
      </x:c>
      <x:c r="H880" s="14" t="str">
        <x:v>cca799a2-4754-4359-b06d-601ee3439fcf</x:v>
      </x:c>
      <x:c r="I880" s="14" t="str">
        <x:v>Taylor v Burton &amp; Anor [2015] EWCA Civ 142</x:v>
      </x:c>
      <x:c r="J880" s="14" t="str">
        <x:v>England and Wales Court of Appeal (Civil Division)</x:v>
      </x:c>
      <x:c r="K880" s="14" t="n">
        <x:v>2015</x:v>
      </x:c>
      <x:c r="L880" s="15" t="n">
        <x:v>0.66847897</x:v>
      </x:c>
      <x:c r="M880" s="14" t="n">
        <x:v>1</x:v>
      </x:c>
      <x:c r="N880" s="14" t="str"/>
    </x:row>
    <x:row r="881">
      <x:c r="A881" s="1" t="str">
        <x:v>cmsbr997n001l04l4etg0c8qb</x:v>
      </x:c>
      <x:c r="B881" s="1" t="str">
        <x:v>cmsbr7e7h001c04l4kn40wun3</x:v>
      </x:c>
      <x:c r="C881" s="1" t="str">
        <x:v>ca-2023-002207-mr-demetrios-karpasitis-v-hertfordshire-county-appellant-skeleton</x:v>
      </x:c>
      <x:c r="D881" s="12" t="n">
        <x:v>46236.5049171875</x:v>
      </x:c>
      <x:c r="E881" s="1" t="str">
        <x:v>yes</x:v>
      </x:c>
      <x:c r="F881" s="14" t="str">
        <x:v>cmsbracw1001r04l4az8ukhd1 | cmsbrc37v001x04l4t7r77h89</x:v>
      </x:c>
      <x:c r="G881" s="14" t="n">
        <x:v>20</x:v>
      </x:c>
      <x:c r="H881" s="14" t="str">
        <x:v>880e79e1-325f-4cf1-a0c9-bdac6d491cba</x:v>
      </x:c>
      <x:c r="I881" s="14" t="str">
        <x:v>Barrow (by his litigation friend and grandfather) &amp; Ors v Merrett &amp; Anor [2022] EWCA Civ 1241</x:v>
      </x:c>
      <x:c r="J881" s="14" t="str">
        <x:v>England and Wales Court of Appeal (Civil Division)</x:v>
      </x:c>
      <x:c r="K881" s="14" t="n">
        <x:v>2022</x:v>
      </x:c>
      <x:c r="L881" s="15" t="n">
        <x:v>0.66768813</x:v>
      </x:c>
      <x:c r="M881" s="14" t="n">
        <x:v>2</x:v>
      </x:c>
      <x:c r="N881" s="14" t="str">
        <x:v>Gestmin SGPS (SA) v Credit Suisse (UK) Limited | Livent case references (implied) to objective data</x:v>
      </x:c>
    </x:row>
    <x:row r="882">
      <x:c r="A882" s="1" t="str">
        <x:v>cmsbrpoz0000d04jp4gktumzo</x:v>
      </x:c>
      <x:c r="B882" s="1" t="str">
        <x:v>cmsbrohcb000404jpvqnmrx27</x:v>
      </x:c>
      <x:c r="C882" s="1" t="str">
        <x:v>ca-2024-001951-ksy-juice-blends-uk-limited-v-skeleton</x:v>
      </x:c>
      <x:c r="D882" s="12" t="n">
        <x:v>46236.51379346065</x:v>
      </x:c>
      <x:c r="E882" s="1" t="str">
        <x:v>yes</x:v>
      </x:c>
      <x:c r="F882" s="14" t="str">
        <x:v>cmsbrqmhv000j04jp78i2n3gf</x:v>
      </x:c>
      <x:c r="G882" s="14" t="n">
        <x:v>1</x:v>
      </x:c>
      <x:c r="H882" s="14" t="str">
        <x:v>82d8ca93-47f5-468a-805f-22afbaf56924</x:v>
      </x:c>
      <x:c r="I882" s="14" t="str">
        <x:v>Dixon &amp; Anor v Blindley Heath Investments Ltd &amp; Anor [2015] EWCA Civ 1023</x:v>
      </x:c>
      <x:c r="J882" s="14" t="str">
        <x:v>England and Wales Court of Appeal (Civil Division)</x:v>
      </x:c>
      <x:c r="K882" s="14" t="n">
        <x:v>2015</x:v>
      </x:c>
      <x:c r="L882" s="15" t="n">
        <x:v>0.6894361</x:v>
      </x:c>
      <x:c r="M882" s="14" t="n">
        <x:v>1</x:v>
      </x:c>
      <x:c r="N882" s="14" t="str">
        <x:v>Legione v Hately (1983) 152 CLR 406 | Amalgamated Investment &amp; Property Co Ltd (in Liquidation) v Texas Commerce International Bank Ltd [1982] 1 QB 84</x:v>
      </x:c>
    </x:row>
    <x:row r="883">
      <x:c r="A883" s="1" t="str">
        <x:v>cmsbrpoz0000d04jp4gktumzo</x:v>
      </x:c>
      <x:c r="B883" s="1" t="str">
        <x:v>cmsbrohcb000404jpvqnmrx27</x:v>
      </x:c>
      <x:c r="C883" s="1" t="str">
        <x:v>ca-2024-001951-ksy-juice-blends-uk-limited-v-skeleton</x:v>
      </x:c>
      <x:c r="D883" s="12" t="n">
        <x:v>46236.51379346065</x:v>
      </x:c>
      <x:c r="E883" s="1" t="str">
        <x:v>yes</x:v>
      </x:c>
      <x:c r="F883" s="14" t="str">
        <x:v>cmsbrqmhv000j04jp78i2n3gf</x:v>
      </x:c>
      <x:c r="G883" s="14" t="n">
        <x:v>2</x:v>
      </x:c>
      <x:c r="H883" s="14" t="str">
        <x:v>b8de63a1-be7b-4764-8d72-2b529e7812b8</x:v>
      </x:c>
      <x:c r="I883" s="14" t="str">
        <x:v>Tillman v Egon Zehnder Ltd [2017] EWCA Civ 1054</x:v>
      </x:c>
      <x:c r="J883" s="14" t="str">
        <x:v>England and Wales Court of Appeal (Civil Division)</x:v>
      </x:c>
      <x:c r="K883" s="14" t="n">
        <x:v>2017</x:v>
      </x:c>
      <x:c r="L883" s="15" t="n">
        <x:v>0.6790017</x:v>
      </x:c>
      <x:c r="M883" s="14" t="n">
        <x:v>2</x:v>
      </x:c>
      <x:c r="N883" s="14" t="str">
        <x:v>William Cory &amp; Son Ltd v C W Harrison | Scully UK Ltd v Lee</x:v>
      </x:c>
    </x:row>
    <x:row r="884">
      <x:c r="A884" s="1" t="str">
        <x:v>cmsbrpoz0000d04jp4gktumzo</x:v>
      </x:c>
      <x:c r="B884" s="1" t="str">
        <x:v>cmsbrohcb000404jpvqnmrx27</x:v>
      </x:c>
      <x:c r="C884" s="1" t="str">
        <x:v>ca-2024-001951-ksy-juice-blends-uk-limited-v-skeleton</x:v>
      </x:c>
      <x:c r="D884" s="12" t="n">
        <x:v>46236.51379346065</x:v>
      </x:c>
      <x:c r="E884" s="1" t="str">
        <x:v>yes</x:v>
      </x:c>
      <x:c r="F884" s="14" t="str">
        <x:v>cmsbrqmhv000j04jp78i2n3gf</x:v>
      </x:c>
      <x:c r="G884" s="14" t="n">
        <x:v>3</x:v>
      </x:c>
      <x:c r="H884" s="14" t="str">
        <x:v>2f55d6fc-d021-46d3-babd-7424b10b0d23</x:v>
      </x:c>
      <x:c r="I884" s="14" t="str">
        <x:v>Transocean Drilling U.K. Ltd v Providence Resources Plc [2016] EWCA Civ 372</x:v>
      </x:c>
      <x:c r="J884" s="14" t="str">
        <x:v>England and Wales Court of Appeal (Civil Division)</x:v>
      </x:c>
      <x:c r="K884" s="14" t="n">
        <x:v>2016</x:v>
      </x:c>
      <x:c r="L884" s="15" t="n">
        <x:v>0.675808</x:v>
      </x:c>
      <x:c r="M884" s="14" t="n">
        <x:v>1</x:v>
      </x:c>
      <x:c r="N884" s="14" t="str">
        <x:v>Photo Production v Securicor | Gilbert-Ash | Saint Line | Croudace Construction | Deepak Fertilisers | Canada Steamship Lines | Arnold v Britton | Chartbrook | Nobahar-Cookson | Kudos Catering | Tor Line v Alltrans | Great North Eastern Railway | A Turtle Offshore</x:v>
      </x:c>
    </x:row>
    <x:row r="885">
      <x:c r="A885" s="1" t="str">
        <x:v>cmsbrpoz0000d04jp4gktumzo</x:v>
      </x:c>
      <x:c r="B885" s="1" t="str">
        <x:v>cmsbrohcb000404jpvqnmrx27</x:v>
      </x:c>
      <x:c r="C885" s="1" t="str">
        <x:v>ca-2024-001951-ksy-juice-blends-uk-limited-v-skeleton</x:v>
      </x:c>
      <x:c r="D885" s="12" t="n">
        <x:v>46236.51379346065</x:v>
      </x:c>
      <x:c r="E885" s="1" t="str">
        <x:v>yes</x:v>
      </x:c>
      <x:c r="F885" s="14" t="str">
        <x:v>cmsbrqmhv000j04jp78i2n3gf</x:v>
      </x:c>
      <x:c r="G885" s="14" t="n">
        <x:v>4</x:v>
      </x:c>
      <x:c r="H885" s="14" t="str">
        <x:v>481bab6a-1b92-467d-9838-15c341ee5a8c</x:v>
      </x:c>
      <x:c r="I885" s="14" t="str">
        <x:v>Zymurgorium Ltd v Hammonds of Knutsford Plc [2023] EWCA Civ 52</x:v>
      </x:c>
      <x:c r="J885" s="14" t="str">
        <x:v>England and Wales Court of Appeal (Civil Division)</x:v>
      </x:c>
      <x:c r="K885" s="14" t="n">
        <x:v>2023</x:v>
      </x:c>
      <x:c r="L885" s="15" t="n">
        <x:v>0.6705369</x:v>
      </x:c>
      <x:c r="M885" s="14" t="n">
        <x:v>3</x:v>
      </x:c>
      <x:c r="N885" s="14" t="str">
        <x:v>Trentham | Mamidoil | Carmichael | Notting Hill Finance | Spar Shipping | Heis v MF Global | Alpha | Hamsard</x:v>
      </x:c>
    </x:row>
    <x:row r="886">
      <x:c r="A886" s="1" t="str">
        <x:v>cmsbrpoz0000d04jp4gktumzo</x:v>
      </x:c>
      <x:c r="B886" s="1" t="str">
        <x:v>cmsbrohcb000404jpvqnmrx27</x:v>
      </x:c>
      <x:c r="C886" s="1" t="str">
        <x:v>ca-2024-001951-ksy-juice-blends-uk-limited-v-skeleton</x:v>
      </x:c>
      <x:c r="D886" s="12" t="n">
        <x:v>46236.51379346065</x:v>
      </x:c>
      <x:c r="E886" s="1" t="str">
        <x:v>yes</x:v>
      </x:c>
      <x:c r="F886" s="14" t="str">
        <x:v>cmsbrqmhv000j04jp78i2n3gf</x:v>
      </x:c>
      <x:c r="G886" s="14" t="n">
        <x:v>5</x:v>
      </x:c>
      <x:c r="H886" s="14" t="str">
        <x:v>54d149f2-2e02-477e-8541-b2bf222578d6</x:v>
      </x:c>
      <x:c r="I886" s="14" t="str">
        <x:v>Union of Shop, Distributive and Allied Workers &amp; Ors v Tesco Stores Ltd (2022) EWCA Civ 978</x:v>
      </x:c>
      <x:c r="J886" s="14" t="str">
        <x:v>England and Wales Court of Appeal (Civil Division)</x:v>
      </x:c>
      <x:c r="K886" s="14" t="n">
        <x:v>2022</x:v>
      </x:c>
      <x:c r="L886" s="15" t="n">
        <x:v>0.6705182</x:v>
      </x:c>
      <x:c r="M886" s="14" t="n">
        <x:v>1</x:v>
      </x:c>
      <x:c r="N886" s="14" t="str">
        <x:v>Chartbrook Ltd v Persimmon Homes Ltd | Johnson v Unisys Ltd | Addis v Gramophone Co | Woodhouse Ltd v Nigerian Produce Co | Yoo Design Services Ltd v Ilive Realty PTE Ltd | Aspden | Reda v Flag Ltd | Chhabra v West London Mental Health NHS Trust | Edwards v Chesterfield Royal Hospital NHS Foundation Trust</x:v>
      </x:c>
    </x:row>
    <x:row r="887">
      <x:c r="A887" s="1" t="str">
        <x:v>cmsbrpoz0000d04jp4gktumzo</x:v>
      </x:c>
      <x:c r="B887" s="1" t="str">
        <x:v>cmsbrohcb000404jpvqnmrx27</x:v>
      </x:c>
      <x:c r="C887" s="1" t="str">
        <x:v>ca-2024-001951-ksy-juice-blends-uk-limited-v-skeleton</x:v>
      </x:c>
      <x:c r="D887" s="12" t="n">
        <x:v>46236.51379346065</x:v>
      </x:c>
      <x:c r="E887" s="1" t="str">
        <x:v>yes</x:v>
      </x:c>
      <x:c r="F887" s="14" t="str">
        <x:v>cmsbrqmhv000j04jp78i2n3gf</x:v>
      </x:c>
      <x:c r="G887" s="14" t="n">
        <x:v>6</x:v>
      </x:c>
      <x:c r="H887" s="14" t="str">
        <x:v>0440b668-5c42-4aa2-af77-34dc98088648</x:v>
      </x:c>
      <x:c r="I887" s="14" t="str">
        <x:v>Reveille Independent LLC v Anotech International (UK) Ltd [2016] EWCA Civ 443 (06 May 2016)</x:v>
      </x:c>
      <x:c r="J887" s="14" t="str">
        <x:v>England and Wales Court of Appeal (Civil Division)</x:v>
      </x:c>
      <x:c r="K887" s="14" t="n">
        <x:v>2016</x:v>
      </x:c>
      <x:c r="L887" s="15" t="n">
        <x:v>0.67014134</x:v>
      </x:c>
      <x:c r="M887" s="14" t="n">
        <x:v>1</x:v>
      </x:c>
      <x:c r="N887" s="14" t="str">
        <x:v>Brogden v Metropolitan Railway Co (1877) 2 App Cas 666 | RTS Flexible Systems Ltd v Molkerei Alois Muller GmbH [2010] UKSC 14 | Oceaneografia SA de CV v DSND Subsea AS (The Botnica) [2007] 1 All ER 28 | Cobbe v Yeoman’s Row Management Ltd [2008] UKHL 55 | Percy Trentham Ltd v Archital Luxfer Ltd [1993] 1 Lloyd’s Rep 27 | FirstEnergy (UK) Ltd v Hungarian National Bank Ltd [1993]</x:v>
      </x:c>
    </x:row>
    <x:row r="888">
      <x:c r="A888" s="1" t="str">
        <x:v>cmsbrpoz0000d04jp4gktumzo</x:v>
      </x:c>
      <x:c r="B888" s="1" t="str">
        <x:v>cmsbrohcb000404jpvqnmrx27</x:v>
      </x:c>
      <x:c r="C888" s="1" t="str">
        <x:v>ca-2024-001951-ksy-juice-blends-uk-limited-v-skeleton</x:v>
      </x:c>
      <x:c r="D888" s="12" t="n">
        <x:v>46236.51379346065</x:v>
      </x:c>
      <x:c r="E888" s="1" t="str">
        <x:v>yes</x:v>
      </x:c>
      <x:c r="F888" s="14" t="str">
        <x:v>cmsbrqmhv000j04jp78i2n3gf</x:v>
      </x:c>
      <x:c r="G888" s="14" t="n">
        <x:v>7</x:v>
      </x:c>
      <x:c r="H888" s="14" t="str">
        <x:v>ac9e2aa7-8f93-4867-9f5c-72e9e84f3e82</x:v>
      </x:c>
      <x:c r="I888" s="14" t="str">
        <x:v>African Export-Import Bank &amp; Ors v Shebah Exploration &amp; Production Company Ltd &amp; Ors [2017] EWCA Civ 845</x:v>
      </x:c>
      <x:c r="J888" s="14" t="str">
        <x:v>England and Wales Court of Appeal (Civil Division)</x:v>
      </x:c>
      <x:c r="K888" s="14" t="n">
        <x:v>2017</x:v>
      </x:c>
      <x:c r="L888" s="15" t="n">
        <x:v>0.6700102</x:v>
      </x:c>
      <x:c r="M888" s="14" t="n">
        <x:v>1</x:v>
      </x:c>
      <x:c r="N888" s="14" t="str">
        <x:v>L'Estrange v Graucob | HSBC v Kloeckner &amp; Co AG</x:v>
      </x:c>
    </x:row>
    <x:row r="889">
      <x:c r="A889" s="1" t="str">
        <x:v>cmsbrpoz0000d04jp4gktumzo</x:v>
      </x:c>
      <x:c r="B889" s="1" t="str">
        <x:v>cmsbrohcb000404jpvqnmrx27</x:v>
      </x:c>
      <x:c r="C889" s="1" t="str">
        <x:v>ca-2024-001951-ksy-juice-blends-uk-limited-v-skeleton</x:v>
      </x:c>
      <x:c r="D889" s="12" t="n">
        <x:v>46236.51379346065</x:v>
      </x:c>
      <x:c r="E889" s="1" t="str">
        <x:v>yes</x:v>
      </x:c>
      <x:c r="F889" s="14" t="str">
        <x:v>cmsbrqmhv000j04jp78i2n3gf</x:v>
      </x:c>
      <x:c r="G889" s="14" t="n">
        <x:v>8</x:v>
      </x:c>
      <x:c r="H889" s="14" t="str">
        <x:v>20c41856-c64f-4dad-b767-100e914e3e97</x:v>
      </x:c>
      <x:c r="I889" s="14" t="str">
        <x:v>Credit Suisse Asset Management LLC v Titan Europe 2006-1 PLC &amp; Ors [2016] EWCA Civ 1293</x:v>
      </x:c>
      <x:c r="J889" s="14" t="str">
        <x:v>England and Wales Court of Appeal (Civil Division)</x:v>
      </x:c>
      <x:c r="K889" s="14" t="n">
        <x:v>2016</x:v>
      </x:c>
      <x:c r="L889" s="15" t="n">
        <x:v>0.6671047</x:v>
      </x:c>
      <x:c r="M889" s="14" t="n">
        <x:v>1</x:v>
      </x:c>
      <x:c r="N889" s="14" t="str">
        <x:v>Arnold v Britton | Chartbrook | Rainy Sky v Kookmin | Luxor (Eastbourne) v Cooper | Hayfin Opal Luxco 3 v Windermere VII CMBS plc</x:v>
      </x:c>
    </x:row>
    <x:row r="890">
      <x:c r="A890" s="1" t="str">
        <x:v>cmsbrpoz0000d04jp4gktumzo</x:v>
      </x:c>
      <x:c r="B890" s="1" t="str">
        <x:v>cmsbrohcb000404jpvqnmrx27</x:v>
      </x:c>
      <x:c r="C890" s="1" t="str">
        <x:v>ca-2024-001951-ksy-juice-blends-uk-limited-v-skeleton</x:v>
      </x:c>
      <x:c r="D890" s="12" t="n">
        <x:v>46236.51379346065</x:v>
      </x:c>
      <x:c r="E890" s="1" t="str">
        <x:v>yes</x:v>
      </x:c>
      <x:c r="F890" s="14" t="str">
        <x:v>cmsbrqmhv000j04jp78i2n3gf</x:v>
      </x:c>
      <x:c r="G890" s="14" t="n">
        <x:v>9</x:v>
      </x:c>
      <x:c r="H890" s="14" t="str">
        <x:v>0a5f334d-2cf4-4784-ac73-187edc32d1a4</x:v>
      </x:c>
      <x:c r="I890" s="14" t="str">
        <x:v>Adaptive Spectrum and Signal Alignment Inc v British Telecommunications Plc [2023] EWCA Civ 451</x:v>
      </x:c>
      <x:c r="J890" s="14" t="str">
        <x:v>England and Wales Court of Appeal (Civil Division)</x:v>
      </x:c>
      <x:c r="K890" s="14" t="n">
        <x:v>2023</x:v>
      </x:c>
      <x:c r="L890" s="15" t="n">
        <x:v>0.66590357</x:v>
      </x:c>
      <x:c r="M890" s="14" t="n">
        <x:v>1</x:v>
      </x:c>
      <x:c r="N890" s="14" t="str">
        <x:v>Rainy Sky SA v Kookmin Bank | Arnold v Britton | Wood v Capita Insurance Services Ltd | Chartbrook Ltd v Persimmon Homes Ltd | Investors Compensation Scheme Ltd v West Bromwich Building Society | Britvic plc v Britvic Pensions Ltd</x:v>
      </x:c>
    </x:row>
    <x:row r="891">
      <x:c r="A891" s="1" t="str">
        <x:v>cmsbrpoz0000d04jp4gktumzo</x:v>
      </x:c>
      <x:c r="B891" s="1" t="str">
        <x:v>cmsbrohcb000404jpvqnmrx27</x:v>
      </x:c>
      <x:c r="C891" s="1" t="str">
        <x:v>ca-2024-001951-ksy-juice-blends-uk-limited-v-skeleton</x:v>
      </x:c>
      <x:c r="D891" s="12" t="n">
        <x:v>46236.51379346065</x:v>
      </x:c>
      <x:c r="E891" s="1" t="str">
        <x:v>yes</x:v>
      </x:c>
      <x:c r="F891" s="14" t="str">
        <x:v>cmsbrqmhv000j04jp78i2n3gf</x:v>
      </x:c>
      <x:c r="G891" s="14" t="n">
        <x:v>10</x:v>
      </x:c>
      <x:c r="H891" s="14" t="str">
        <x:v>4d33f167-56be-4e08-9ffb-5286e2d1942e</x:v>
      </x:c>
      <x:c r="I891" s="14" t="str">
        <x:v>Kupeli &amp; Ors v Atlasjet Havacilik Anonim Sirketi</x:v>
      </x:c>
      <x:c r="J891" s="14" t="str">
        <x:v>England and Wales Court of Appeal (Civil Division)</x:v>
      </x:c>
      <x:c r="K891" s="14" t="n">
        <x:v>2017</x:v>
      </x:c>
      <x:c r="L891" s="15" t="n">
        <x:v>0.66430295</x:v>
      </x:c>
      <x:c r="M891" s="14" t="n">
        <x:v>1</x:v>
      </x:c>
      <x:c r="N891" s="14" t="str">
        <x:v>Cox v Woodlands Manor Care Home [2015] EWCA Civ 415</x:v>
      </x:c>
    </x:row>
    <x:row r="892">
      <x:c r="A892" s="1" t="str">
        <x:v>cmsbrpoz0000d04jp4gktumzo</x:v>
      </x:c>
      <x:c r="B892" s="1" t="str">
        <x:v>cmsbrohcb000404jpvqnmrx27</x:v>
      </x:c>
      <x:c r="C892" s="1" t="str">
        <x:v>ca-2024-001951-ksy-juice-blends-uk-limited-v-skeleton</x:v>
      </x:c>
      <x:c r="D892" s="12" t="n">
        <x:v>46236.51379346065</x:v>
      </x:c>
      <x:c r="E892" s="1" t="str">
        <x:v>yes</x:v>
      </x:c>
      <x:c r="F892" s="14" t="str">
        <x:v>cmsbrqmhv000j04jp78i2n3gf</x:v>
      </x:c>
      <x:c r="G892" s="14" t="n">
        <x:v>11</x:v>
      </x:c>
      <x:c r="H892" s="14" t="str">
        <x:v>9ad69869-4dab-46a0-9f04-c64fba98abda</x:v>
      </x:c>
      <x:c r="I892" s="14" t="str">
        <x:v>Balfour Beatty Regional Construction Limited v Grove Developments Limited</x:v>
      </x:c>
      <x:c r="J892" s="14" t="str">
        <x:v>England and Wales Court of Appeal (Civil Division)</x:v>
      </x:c>
      <x:c r="K892" s="14" t="n">
        <x:v>2016</x:v>
      </x:c>
      <x:c r="L892" s="15" t="n">
        <x:v>0.6609533</x:v>
      </x:c>
      <x:c r="M892" s="14" t="n">
        <x:v>1</x:v>
      </x:c>
      <x:c r="N892" s="14" t="str">
        <x:v>Arnold v Britton | BP Refinery | Marks &amp; Spencer v BNP Paribas | Equitable Life v Hyman | Clarke-Jervoise v Scutt | Aberdeen City Council v Stewart Milne Group</x:v>
      </x:c>
    </x:row>
    <x:row r="893">
      <x:c r="A893" s="1" t="str">
        <x:v>cmsbrpoz0000d04jp4gktumzo</x:v>
      </x:c>
      <x:c r="B893" s="1" t="str">
        <x:v>cmsbrohcb000404jpvqnmrx27</x:v>
      </x:c>
      <x:c r="C893" s="1" t="str">
        <x:v>ca-2024-001951-ksy-juice-blends-uk-limited-v-skeleton</x:v>
      </x:c>
      <x:c r="D893" s="12" t="n">
        <x:v>46236.51379346065</x:v>
      </x:c>
      <x:c r="E893" s="1" t="str">
        <x:v>yes</x:v>
      </x:c>
      <x:c r="F893" s="14" t="str">
        <x:v>cmsbrqmhv000j04jp78i2n3gf</x:v>
      </x:c>
      <x:c r="G893" s="14" t="n">
        <x:v>12</x:v>
      </x:c>
      <x:c r="H893" s="14" t="str">
        <x:v>0637f79f-8d32-4067-bec7-17f10449cbe1</x:v>
      </x:c>
      <x:c r="I893" s="14" t="str">
        <x:v>Arnold v Britton &amp; Ors [2015] UKSC 36</x:v>
      </x:c>
      <x:c r="J893" s="14" t="str">
        <x:v>United Kingdom Supreme Court</x:v>
      </x:c>
      <x:c r="K893" s="14" t="n">
        <x:v>2015</x:v>
      </x:c>
      <x:c r="L893" s="15" t="n">
        <x:v>0.6586354</x:v>
      </x:c>
      <x:c r="M893" s="14" t="n">
        <x:v>1</x:v>
      </x:c>
      <x:c r="N893" s="14" t="str">
        <x:v>Prenn v Simmonds | Homburg Houtimport BV v Agrosin Private Ltd</x:v>
      </x:c>
    </x:row>
    <x:row r="894">
      <x:c r="A894" s="1" t="str">
        <x:v>cmsbrpoz0000d04jp4gktumzo</x:v>
      </x:c>
      <x:c r="B894" s="1" t="str">
        <x:v>cmsbrohcb000404jpvqnmrx27</x:v>
      </x:c>
      <x:c r="C894" s="1" t="str">
        <x:v>ca-2024-001951-ksy-juice-blends-uk-limited-v-skeleton</x:v>
      </x:c>
      <x:c r="D894" s="12" t="n">
        <x:v>46236.51379346065</x:v>
      </x:c>
      <x:c r="E894" s="1" t="str">
        <x:v>yes</x:v>
      </x:c>
      <x:c r="F894" s="14" t="str">
        <x:v>cmsbrqmhv000j04jp78i2n3gf</x:v>
      </x:c>
      <x:c r="G894" s="14" t="n">
        <x:v>13</x:v>
      </x:c>
      <x:c r="H894" s="14" t="str">
        <x:v>5aaf3307-a875-481c-b3a7-4f8657b7ab03</x:v>
      </x:c>
      <x:c r="I894" s="14" t="str">
        <x:v>Kason Kek-Gardner Ltd v Process Components Ltd [2017] EWCA Civ 2132</x:v>
      </x:c>
      <x:c r="J894" s="14" t="str">
        <x:v>England and Wales Court of Appeal (Civil Division)</x:v>
      </x:c>
      <x:c r="K894" s="14" t="n">
        <x:v>2017</x:v>
      </x:c>
      <x:c r="L894" s="15" t="n">
        <x:v>0.6565125</x:v>
      </x:c>
      <x:c r="M894" s="14" t="n">
        <x:v>2</x:v>
      </x:c>
      <x:c r="N894" s="14" t="str">
        <x:v>Arnold v Britton [2015] | Chartbrook Ltd v Persimmon Homes Ltd [2009]</x:v>
      </x:c>
    </x:row>
    <x:row r="895">
      <x:c r="A895" s="1" t="str">
        <x:v>cmsbrpoz0000d04jp4gktumzo</x:v>
      </x:c>
      <x:c r="B895" s="1" t="str">
        <x:v>cmsbrohcb000404jpvqnmrx27</x:v>
      </x:c>
      <x:c r="C895" s="1" t="str">
        <x:v>ca-2024-001951-ksy-juice-blends-uk-limited-v-skeleton</x:v>
      </x:c>
      <x:c r="D895" s="12" t="n">
        <x:v>46236.51379346065</x:v>
      </x:c>
      <x:c r="E895" s="1" t="str">
        <x:v>yes</x:v>
      </x:c>
      <x:c r="F895" s="14" t="str">
        <x:v>cmsbrqmhv000j04jp78i2n3gf</x:v>
      </x:c>
      <x:c r="G895" s="14" t="n">
        <x:v>14</x:v>
      </x:c>
      <x:c r="H895" s="14" t="str">
        <x:v>82e80ba1-3036-445d-847d-ee32403a256e</x:v>
      </x:c>
      <x:c r="I895" s="14" t="str">
        <x:v>TJH And Sons Consultancy Ltd v CPP Group Plc [2017] EWCA Civ 46</x:v>
      </x:c>
      <x:c r="J895" s="14" t="str">
        <x:v>England and Wales Court of Appeal (Civil Division)</x:v>
      </x:c>
      <x:c r="K895" s="14" t="n">
        <x:v>2017</x:v>
      </x:c>
      <x:c r="L895" s="15" t="n">
        <x:v>0.6564616</x:v>
      </x:c>
      <x:c r="M895" s="14" t="n">
        <x:v>1</x:v>
      </x:c>
      <x:c r="N895" s="14" t="str">
        <x:v>Chartbrook Ltd v Persimmon Homes Ltd [2009] 1 AC 1101 | Arnold v Britton [2015] UKSC 36</x:v>
      </x:c>
    </x:row>
    <x:row r="896">
      <x:c r="A896" s="1" t="str">
        <x:v>cmsbrpoz0000d04jp4gktumzo</x:v>
      </x:c>
      <x:c r="B896" s="1" t="str">
        <x:v>cmsbrohcb000404jpvqnmrx27</x:v>
      </x:c>
      <x:c r="C896" s="1" t="str">
        <x:v>ca-2024-001951-ksy-juice-blends-uk-limited-v-skeleton</x:v>
      </x:c>
      <x:c r="D896" s="12" t="n">
        <x:v>46236.51379346065</x:v>
      </x:c>
      <x:c r="E896" s="1" t="str">
        <x:v>yes</x:v>
      </x:c>
      <x:c r="F896" s="14" t="str">
        <x:v>cmsbrqmhv000j04jp78i2n3gf</x:v>
      </x:c>
      <x:c r="G896" s="14" t="n">
        <x:v>15</x:v>
      </x:c>
      <x:c r="H896" s="14" t="str">
        <x:v>6cecd02f-6d40-4d13-80f4-06b5a5ada00e</x:v>
      </x:c>
      <x:c r="I896" s="14" t="str">
        <x:v>MSC Mediterranean Shipping Company S.A. v Cottonex Anstalt [2016] EWCA Civ 789</x:v>
      </x:c>
      <x:c r="J896" s="14" t="str">
        <x:v>England and Wales Court of Appeal (Civil Division)</x:v>
      </x:c>
      <x:c r="K896" s="14" t="n">
        <x:v>2016</x:v>
      </x:c>
      <x:c r="L896" s="15" t="n">
        <x:v>0.6552403</x:v>
      </x:c>
      <x:c r="M896" s="14" t="n">
        <x:v>1</x:v>
      </x:c>
      <x:c r="N896" s="14" t="str">
        <x:v>White &amp; Carter (Councils) Ltd v McGregor | Makdessi v Cavendish Square Holdings | Geys v Société Générale | The Puerto Buitrago (Attica Sea Carriers) | Clea Shipping Corp v Bulk Oil International (Alaskan Trader) | Isabella Shipowner S.A. v Shagang Shipping Co Ltd (Aquafaith) | Nema (Pioneer Shipping) and others</x:v>
      </x:c>
    </x:row>
    <x:row r="897">
      <x:c r="A897" s="1" t="str">
        <x:v>cmsbrpoz0000d04jp4gktumzo</x:v>
      </x:c>
      <x:c r="B897" s="1" t="str">
        <x:v>cmsbrohcb000404jpvqnmrx27</x:v>
      </x:c>
      <x:c r="C897" s="1" t="str">
        <x:v>ca-2024-001951-ksy-juice-blends-uk-limited-v-skeleton</x:v>
      </x:c>
      <x:c r="D897" s="12" t="n">
        <x:v>46236.51379346065</x:v>
      </x:c>
      <x:c r="E897" s="1" t="str">
        <x:v>yes</x:v>
      </x:c>
      <x:c r="F897" s="14" t="str">
        <x:v>cmsbrqmhv000j04jp78i2n3gf</x:v>
      </x:c>
      <x:c r="G897" s="14" t="n">
        <x:v>16</x:v>
      </x:c>
      <x:c r="H897" s="14" t="str">
        <x:v>2d2f67c0-33b8-47de-ade5-124c90fc1a95</x:v>
      </x:c>
      <x:c r="I897" s="14" t="str">
        <x:v>Chartbrook Ltd v Persimmon Homes Ltd &amp; Ors [2009] UKHL 38</x:v>
      </x:c>
      <x:c r="J897" s="14" t="str">
        <x:v>United Kingdom House of Lords</x:v>
      </x:c>
      <x:c r="K897" s="14" t="n">
        <x:v>2009</x:v>
      </x:c>
      <x:c r="L897" s="15" t="n">
        <x:v>0.6552289</x:v>
      </x:c>
      <x:c r="M897" s="14" t="n">
        <x:v>2</x:v>
      </x:c>
      <x:c r="N897" s="14" t="str">
        <x:v>Investors Compensation Scheme Ltd v West Bromwich Building Society [1998] 1 WLR 896</x:v>
      </x:c>
    </x:row>
    <x:row r="898">
      <x:c r="A898" s="1" t="str">
        <x:v>cmsbrpoz0000d04jp4gktumzo</x:v>
      </x:c>
      <x:c r="B898" s="1" t="str">
        <x:v>cmsbrohcb000404jpvqnmrx27</x:v>
      </x:c>
      <x:c r="C898" s="1" t="str">
        <x:v>ca-2024-001951-ksy-juice-blends-uk-limited-v-skeleton</x:v>
      </x:c>
      <x:c r="D898" s="12" t="n">
        <x:v>46236.51379346065</x:v>
      </x:c>
      <x:c r="E898" s="1" t="str">
        <x:v>yes</x:v>
      </x:c>
      <x:c r="F898" s="14" t="str">
        <x:v>cmsbrqmhv000j04jp78i2n3gf</x:v>
      </x:c>
      <x:c r="G898" s="14" t="n">
        <x:v>17</x:v>
      </x:c>
      <x:c r="H898" s="14" t="str">
        <x:v>18a7e76b-357b-4cb4-9eb8-0b151cce320d</x:v>
      </x:c>
      <x:c r="I898" s="14" t="str">
        <x:v>Persimmon Homes Ltd v Ove Arup &amp; Partners Ltd &amp; Anor [2017] EWCA Civ 373</x:v>
      </x:c>
      <x:c r="J898" s="14" t="str">
        <x:v>England and Wales Court of Appeal (Civil Division)</x:v>
      </x:c>
      <x:c r="K898" s="14" t="n">
        <x:v>2017</x:v>
      </x:c>
      <x:c r="L898" s="15" t="n">
        <x:v>0.6549299</x:v>
      </x:c>
      <x:c r="M898" s="14" t="n">
        <x:v>1</x:v>
      </x:c>
      <x:c r="N898" s="14" t="str">
        <x:v>Canada Steamship Lines Ltd v The King [1952] AC 192</x:v>
      </x:c>
    </x:row>
    <x:row r="899">
      <x:c r="A899" s="1" t="str">
        <x:v>cmsbrpoz0000d04jp4gktumzo</x:v>
      </x:c>
      <x:c r="B899" s="1" t="str">
        <x:v>cmsbrohcb000404jpvqnmrx27</x:v>
      </x:c>
      <x:c r="C899" s="1" t="str">
        <x:v>ca-2024-001951-ksy-juice-blends-uk-limited-v-skeleton</x:v>
      </x:c>
      <x:c r="D899" s="12" t="n">
        <x:v>46236.51379346065</x:v>
      </x:c>
      <x:c r="E899" s="1" t="str">
        <x:v>yes</x:v>
      </x:c>
      <x:c r="F899" s="14" t="str">
        <x:v>cmsbrqmhv000j04jp78i2n3gf</x:v>
      </x:c>
      <x:c r="G899" s="14" t="n">
        <x:v>18</x:v>
      </x:c>
      <x:c r="H899" s="14" t="str">
        <x:v>4126051a-c7c4-46ba-9c04-d146114124eb</x:v>
      </x:c>
      <x:c r="I899" s="14" t="str">
        <x:v>FM Conway Limited v Rugby Football Union &amp; Ors [2023] EWCA Civ 418</x:v>
      </x:c>
      <x:c r="J899" s="14" t="str">
        <x:v>England and Wales Court of Appeal (Civil Division)</x:v>
      </x:c>
      <x:c r="K899" s="14" t="n">
        <x:v>2023</x:v>
      </x:c>
      <x:c r="L899" s="15" t="n">
        <x:v>0.65437573</x:v>
      </x:c>
      <x:c r="M899" s="14" t="n">
        <x:v>1</x:v>
      </x:c>
      <x:c r="N899" s="14" t="str">
        <x:v>Gard Marine Energy Limited v China National Chartering Co Limited &amp; Anr [2017] UKSC 35 | National Oilwell UK Ltd v Davy Offshore Ltd [1993] 2 Lloyd's Rep 582 | Petrofina (UK) Ltd v Magnaload Ltd &amp; Anr [1984] 1 QB 127 | Co-operative Retail Services Ltd v Taylor Young Partnership Ltd [2002] UKHL 17 | Tyco Fire &amp; Integrated Solutions (UK) Ltd v Rolls-Royce Motor Cars Ltd [2008] EWCA Civ 286 | Haberdashers' Aske's Federation Trust v Lakehouse Contracts Ltd [2018] EWHC 558 (TCC) | SSE Generation Ltd v Hochtief Solutions AG [2018] CSIH 26</x:v>
      </x:c>
    </x:row>
    <x:row r="900">
      <x:c r="A900" s="1" t="str">
        <x:v>cmsbrpoz0000d04jp4gktumzo</x:v>
      </x:c>
      <x:c r="B900" s="1" t="str">
        <x:v>cmsbrohcb000404jpvqnmrx27</x:v>
      </x:c>
      <x:c r="C900" s="1" t="str">
        <x:v>ca-2024-001951-ksy-juice-blends-uk-limited-v-skeleton</x:v>
      </x:c>
      <x:c r="D900" s="12" t="n">
        <x:v>46236.51379346065</x:v>
      </x:c>
      <x:c r="E900" s="1" t="str">
        <x:v>yes</x:v>
      </x:c>
      <x:c r="F900" s="14" t="str">
        <x:v>cmsbrqmhv000j04jp78i2n3gf</x:v>
      </x:c>
      <x:c r="G900" s="14" t="n">
        <x:v>19</x:v>
      </x:c>
      <x:c r="H900" s="14" t="str">
        <x:v>d360670d-fa4d-4fed-b79a-03f09fe7855c</x:v>
      </x:c>
      <x:c r="I900" s="14" t="str">
        <x:v>Evangelou &amp; Ors v McNicol (Rev 1) [2016] EWCA Civ 817</x:v>
      </x:c>
      <x:c r="J900" s="14" t="str">
        <x:v>England and Wales Court of Appeal (Civil Division)</x:v>
      </x:c>
      <x:c r="K900" s="14" t="n">
        <x:v>2016</x:v>
      </x:c>
      <x:c r="L900" s="15" t="n">
        <x:v>0.6536018</x:v>
      </x:c>
      <x:c r="M900" s="14" t="n">
        <x:v>1</x:v>
      </x:c>
      <x:c r="N900" s="14" t="str">
        <x:v>Socimer International Bank Ltd v Standard Bank London Ltd | Braganza v BP Shipping | Wickman Machine Tool Sales Ltd v L Schuler AG | Arbuthnot v Fagan | Arnold v Britton | Chartbrook Ltd v Persimmon Homes Ltd | Sigma Finance Corp v Re Sigma Finance Corp | Jeffers v The Labour Party | Foster v McNicol</x:v>
      </x:c>
    </x:row>
    <x:row r="901">
      <x:c r="A901" s="1" t="str">
        <x:v>cmsbrpoz0000d04jp4gktumzo</x:v>
      </x:c>
      <x:c r="B901" s="1" t="str">
        <x:v>cmsbrohcb000404jpvqnmrx27</x:v>
      </x:c>
      <x:c r="C901" s="1" t="str">
        <x:v>ca-2024-001951-ksy-juice-blends-uk-limited-v-skeleton</x:v>
      </x:c>
      <x:c r="D901" s="12" t="n">
        <x:v>46236.51379346065</x:v>
      </x:c>
      <x:c r="E901" s="1" t="str">
        <x:v>yes</x:v>
      </x:c>
      <x:c r="F901" s="14" t="str">
        <x:v>cmsbrqmhv000j04jp78i2n3gf</x:v>
      </x:c>
      <x:c r="G901" s="14" t="n">
        <x:v>20</x:v>
      </x:c>
      <x:c r="H901" s="14" t="str">
        <x:v>43d4ac89-b448-44d9-9932-c5736983a48f</x:v>
      </x:c>
      <x:c r="I901" s="14" t="str">
        <x:v>Sharp Corp Ltd v Viterra BV [2023] EWCA Civ 7</x:v>
      </x:c>
      <x:c r="J901" s="14" t="str">
        <x:v>England and Wales Court of Appeal (Civil Division)</x:v>
      </x:c>
      <x:c r="K901" s="14" t="n">
        <x:v>2023</x:v>
      </x:c>
      <x:c r="L901" s="15" t="n">
        <x:v>0.6518668</x:v>
      </x:c>
      <x:c r="M901" s="14" t="n">
        <x:v>4</x:v>
      </x:c>
      <x:c r="N901" s="14" t="str">
        <x:v>[2023] EWCA Civ 7 | [2022] EWHC 354 (Comm) | GAFTA_defaults</x:v>
      </x:c>
    </x:row>
    <x:row r="902">
      <x:c r="A902" s="1" t="str">
        <x:v>cmsbrv0ui000x04jpfm1qjd05</x:v>
      </x:c>
      <x:c r="B902" s="1" t="str">
        <x:v>cmsbru14c000o04jpyaa0uar7</x:v>
      </x:c>
      <x:c r="C902" s="1" t="str">
        <x:v>2023-002546-ryanair-dac-v-jason-lutz-appellant-skeleton</x:v>
      </x:c>
      <x:c r="D902" s="12" t="n">
        <x:v>46236.51667172454</x:v>
      </x:c>
      <x:c r="E902" s="1" t="str">
        <x:v>yes</x:v>
      </x:c>
      <x:c r="F902" s="14" t="str">
        <x:v>cmsbrvtc4001304jp5e4691on</x:v>
      </x:c>
      <x:c r="G902" s="14" t="n">
        <x:v>1</x:v>
      </x:c>
      <x:c r="H902" s="14" t="str">
        <x:v>f8755763-8d90-4b51-8a0a-d11efa528908</x:v>
      </x:c>
      <x:c r="I902" s="14" t="str">
        <x:v>Kocur v Angard Staffing Solutions Limited &amp; Anor [2022] EWCA Civ 189</x:v>
      </x:c>
      <x:c r="J902" s="14" t="str">
        <x:v>England and Wales Court of Appeal (Civil Division)</x:v>
      </x:c>
      <x:c r="K902" s="14" t="n">
        <x:v>2022</x:v>
      </x:c>
      <x:c r="L902" s="15" t="n">
        <x:v>0.6970478</x:v>
      </x:c>
      <x:c r="M902" s="14" t="n">
        <x:v>7</x:v>
      </x:c>
      <x:c r="N902" s="14" t="str">
        <x:v>Coles v MOD | Directive 2008/104/EC | Coles v MOD [2016] ICR 55 | Kocur 1 | Coles v Ministry of Defence [2016] ICR 55 | Kocur 1 (earlier interpretation) | Langstaff J's reasoning in Coles</x:v>
      </x:c>
    </x:row>
    <x:row r="903">
      <x:c r="A903" s="1" t="str">
        <x:v>cmsbrv0ui000x04jpfm1qjd05</x:v>
      </x:c>
      <x:c r="B903" s="1" t="str">
        <x:v>cmsbru14c000o04jpyaa0uar7</x:v>
      </x:c>
      <x:c r="C903" s="1" t="str">
        <x:v>2023-002546-ryanair-dac-v-jason-lutz-appellant-skeleton</x:v>
      </x:c>
      <x:c r="D903" s="12" t="n">
        <x:v>46236.51667172454</x:v>
      </x:c>
      <x:c r="E903" s="1" t="str">
        <x:v>yes</x:v>
      </x:c>
      <x:c r="F903" s="14" t="str">
        <x:v>cmsbrvtc4001304jp5e4691on</x:v>
      </x:c>
      <x:c r="G903" s="14" t="n">
        <x:v>2</x:v>
      </x:c>
      <x:c r="H903" s="14" t="str">
        <x:v>4f977444-ccac-4d7e-9884-b7b75680cfa6</x:v>
      </x:c>
      <x:c r="I903" s="14" t="str">
        <x:v>The Civil Aviation Authority v Ryanair DAC [2022] EWCA Civ 76</x:v>
      </x:c>
      <x:c r="J903" s="14" t="str">
        <x:v>England and Wales Court of Appeal (Civil Division)</x:v>
      </x:c>
      <x:c r="K903" s="14" t="n">
        <x:v>2022</x:v>
      </x:c>
      <x:c r="L903" s="15" t="n">
        <x:v>0.6552846</x:v>
      </x:c>
      <x:c r="M903" s="14" t="n">
        <x:v>4</x:v>
      </x:c>
      <x:c r="N903" s="14" t="str">
        <x:v>Wallentin-Hermann | Krüsemann | Airhelp | CS | Finnair v Lassooy | Wallentin-Hermann v Alitalia | Krüsemann v TUIfly | Airhelp Ltd v SAS | CS v Eurowings | Pešková v Travel Service | Pauels | Moens v Ryanair | Blanche v EasyJet | LE v Transp Aéreos Portugueses</x:v>
      </x:c>
    </x:row>
    <x:row r="904">
      <x:c r="A904" s="1" t="str">
        <x:v>cmsbrv0ui000x04jpfm1qjd05</x:v>
      </x:c>
      <x:c r="B904" s="1" t="str">
        <x:v>cmsbru14c000o04jpyaa0uar7</x:v>
      </x:c>
      <x:c r="C904" s="1" t="str">
        <x:v>2023-002546-ryanair-dac-v-jason-lutz-appellant-skeleton</x:v>
      </x:c>
      <x:c r="D904" s="12" t="n">
        <x:v>46236.51667172454</x:v>
      </x:c>
      <x:c r="E904" s="1" t="str">
        <x:v>yes</x:v>
      </x:c>
      <x:c r="F904" s="14" t="str">
        <x:v>cmsbrvtc4001304jp5e4691on</x:v>
      </x:c>
      <x:c r="G904" s="14" t="n">
        <x:v>3</x:v>
      </x:c>
      <x:c r="H904" s="14" t="str">
        <x:v>75a20b14-f8c3-4078-b7f8-35b3a7d3864f</x:v>
      </x:c>
      <x:c r="I904" s="14" t="str">
        <x:v>Ryanair Ltd v HM Revenue and Customs [2014] EWCA Civ 410</x:v>
      </x:c>
      <x:c r="J904" s="14" t="str">
        <x:v>England and Wales Court of Appeal (Civil Division)</x:v>
      </x:c>
      <x:c r="K904" s="14" t="n">
        <x:v>2014</x:v>
      </x:c>
      <x:c r="L904" s="15" t="n">
        <x:v>0.6253593</x:v>
      </x:c>
      <x:c r="M904" s="14" t="n">
        <x:v>2</x:v>
      </x:c>
      <x:c r="N904" s="14" t="str"/>
    </x:row>
    <x:row r="905">
      <x:c r="A905" s="1" t="str">
        <x:v>cmsbrv0ui000x04jpfm1qjd05</x:v>
      </x:c>
      <x:c r="B905" s="1" t="str">
        <x:v>cmsbru14c000o04jpyaa0uar7</x:v>
      </x:c>
      <x:c r="C905" s="1" t="str">
        <x:v>2023-002546-ryanair-dac-v-jason-lutz-appellant-skeleton</x:v>
      </x:c>
      <x:c r="D905" s="12" t="n">
        <x:v>46236.51667172454</x:v>
      </x:c>
      <x:c r="E905" s="1" t="str">
        <x:v>yes</x:v>
      </x:c>
      <x:c r="F905" s="14" t="str">
        <x:v>cmsbrvtc4001304jp5e4691on</x:v>
      </x:c>
      <x:c r="G905" s="14" t="n">
        <x:v>4</x:v>
      </x:c>
      <x:c r="H905" s="14" t="str">
        <x:v>9844702c-c2b0-4354-ac06-36da76a7fc64</x:v>
      </x:c>
      <x:c r="I905" s="14" t="str">
        <x:v>O'Brien v Ministry of Justice [2015] EWCA Civ 1000</x:v>
      </x:c>
      <x:c r="J905" s="14" t="str">
        <x:v>England and Wales Court of Appeal (Civil Division)</x:v>
      </x:c>
      <x:c r="K905" s="14" t="n">
        <x:v>2015</x:v>
      </x:c>
      <x:c r="L905" s="15" t="n">
        <x:v>0.62391186</x:v>
      </x:c>
      <x:c r="M905" s="14" t="n">
        <x:v>1</x:v>
      </x:c>
      <x:c r="N905" s="14" t="str"/>
    </x:row>
    <x:row r="906">
      <x:c r="A906" s="1" t="str">
        <x:v>cmsbrv0ui000x04jpfm1qjd05</x:v>
      </x:c>
      <x:c r="B906" s="1" t="str">
        <x:v>cmsbru14c000o04jpyaa0uar7</x:v>
      </x:c>
      <x:c r="C906" s="1" t="str">
        <x:v>2023-002546-ryanair-dac-v-jason-lutz-appellant-skeleton</x:v>
      </x:c>
      <x:c r="D906" s="12" t="n">
        <x:v>46236.51667172454</x:v>
      </x:c>
      <x:c r="E906" s="1" t="str">
        <x:v>yes</x:v>
      </x:c>
      <x:c r="F906" s="14" t="str">
        <x:v>cmsbrvtc4001304jp5e4691on</x:v>
      </x:c>
      <x:c r="G906" s="14" t="n">
        <x:v>5</x:v>
      </x:c>
      <x:c r="H906" s="14" t="str">
        <x:v>b8de63a1-be7b-4764-8d72-2b529e7812b8</x:v>
      </x:c>
      <x:c r="I906" s="14" t="str">
        <x:v>Tillman v Egon Zehnder Ltd [2017] EWCA Civ 1054</x:v>
      </x:c>
      <x:c r="J906" s="14" t="str">
        <x:v>England and Wales Court of Appeal (Civil Division)</x:v>
      </x:c>
      <x:c r="K906" s="14" t="n">
        <x:v>2017</x:v>
      </x:c>
      <x:c r="L906" s="15" t="n">
        <x:v>0.61659855</x:v>
      </x:c>
      <x:c r="M906" s="14" t="n">
        <x:v>1</x:v>
      </x:c>
      <x:c r="N906" s="14" t="str">
        <x:v>William Cory &amp; Son Ltd v C W Harrison | Scully UK Ltd v Lee</x:v>
      </x:c>
    </x:row>
    <x:row r="907">
      <x:c r="A907" s="1" t="str">
        <x:v>cmsbrv0ui000x04jpfm1qjd05</x:v>
      </x:c>
      <x:c r="B907" s="1" t="str">
        <x:v>cmsbru14c000o04jpyaa0uar7</x:v>
      </x:c>
      <x:c r="C907" s="1" t="str">
        <x:v>2023-002546-ryanair-dac-v-jason-lutz-appellant-skeleton</x:v>
      </x:c>
      <x:c r="D907" s="12" t="n">
        <x:v>46236.51667172454</x:v>
      </x:c>
      <x:c r="E907" s="1" t="str">
        <x:v>yes</x:v>
      </x:c>
      <x:c r="F907" s="14" t="str">
        <x:v>cmsbrvtc4001304jp5e4691on</x:v>
      </x:c>
      <x:c r="G907" s="14" t="n">
        <x:v>6</x:v>
      </x:c>
      <x:c r="H907" s="14" t="str">
        <x:v>419e6b34-408a-4082-a957-00fb1a643683</x:v>
      </x:c>
      <x:c r="I907" s="14" t="str">
        <x:v>Secretary of State for Justice v Windle &amp; Arada [2016] EWCA Civ 459</x:v>
      </x:c>
      <x:c r="J907" s="14" t="str">
        <x:v>England and Wales Court of Appeal (Civil Division)</x:v>
      </x:c>
      <x:c r="K907" s="14" t="n">
        <x:v>2016</x:v>
      </x:c>
      <x:c r="L907" s="15" t="n">
        <x:v>0.61600375</x:v>
      </x:c>
      <x:c r="M907" s="14" t="n">
        <x:v>1</x:v>
      </x:c>
      <x:c r="N907" s="14" t="str">
        <x:v>Hashwani v Jivraj | Allonby v Accrington &amp; Rossendale College | Bates van Winkelhof</x:v>
      </x:c>
    </x:row>
    <x:row r="908">
      <x:c r="A908" s="1" t="str">
        <x:v>cmsbrv0ui000x04jpfm1qjd05</x:v>
      </x:c>
      <x:c r="B908" s="1" t="str">
        <x:v>cmsbru14c000o04jpyaa0uar7</x:v>
      </x:c>
      <x:c r="C908" s="1" t="str">
        <x:v>2023-002546-ryanair-dac-v-jason-lutz-appellant-skeleton</x:v>
      </x:c>
      <x:c r="D908" s="12" t="n">
        <x:v>46236.51667172454</x:v>
      </x:c>
      <x:c r="E908" s="1" t="str">
        <x:v>yes</x:v>
      </x:c>
      <x:c r="F908" s="14" t="str">
        <x:v>cmsbrvtc4001304jp5e4691on</x:v>
      </x:c>
      <x:c r="G908" s="14" t="n">
        <x:v>7</x:v>
      </x:c>
      <x:c r="H908" s="14" t="str">
        <x:v>126904c3-76e4-4116-9766-06699aedc5c8</x:v>
      </x:c>
      <x:c r="I908" s="14" t="str">
        <x:v>Pimlico Plumbers Ltd &amp; Anor v Smith</x:v>
      </x:c>
      <x:c r="J908" s="14" t="str">
        <x:v>England and Wales Court of Appeal (Civil Division)</x:v>
      </x:c>
      <x:c r="K908" s="14" t="n">
        <x:v>2017</x:v>
      </x:c>
      <x:c r="L908" s="15" t="n">
        <x:v>0.61563945</x:v>
      </x:c>
      <x:c r="M908" s="14" t="n">
        <x:v>3</x:v>
      </x:c>
      <x:c r="N908" s="14" t="str">
        <x:v>Bates van Winkelhof v Clyde &amp; Co | Autoclenz Ltd v Belcher | Ready Mixed Concrete (SE) Ltd v Minister of Pensions</x:v>
      </x:c>
    </x:row>
    <x:row r="909">
      <x:c r="A909" s="1" t="str">
        <x:v>cmsbrv0ui000x04jpfm1qjd05</x:v>
      </x:c>
      <x:c r="B909" s="1" t="str">
        <x:v>cmsbru14c000o04jpyaa0uar7</x:v>
      </x:c>
      <x:c r="C909" s="1" t="str">
        <x:v>2023-002546-ryanair-dac-v-jason-lutz-appellant-skeleton</x:v>
      </x:c>
      <x:c r="D909" s="12" t="n">
        <x:v>46236.51667172454</x:v>
      </x:c>
      <x:c r="E909" s="1" t="str">
        <x:v>yes</x:v>
      </x:c>
      <x:c r="F909" s="14" t="str">
        <x:v>cmsbrvtc4001304jp5e4691on</x:v>
      </x:c>
      <x:c r="G909" s="14" t="n">
        <x:v>8</x:v>
      </x:c>
      <x:c r="H909" s="14" t="str">
        <x:v>046e1c8b-89e0-4a66-870e-3e9d763900a6</x:v>
      </x:c>
      <x:c r="I909" s="14" t="str">
        <x:v>Commissioners for HM Revenue and Customs v Atholl House Productions Ltd [2022] EWCA Civ 501 (IR35)</x:v>
      </x:c>
      <x:c r="J909" s="14" t="str">
        <x:v>England and Wales Court of Appeal (Civil Division)</x:v>
      </x:c>
      <x:c r="K909" s="14" t="n">
        <x:v>2022</x:v>
      </x:c>
      <x:c r="L909" s="15" t="n">
        <x:v>0.6149125</x:v>
      </x:c>
      <x:c r="M909" s="14" t="n">
        <x:v>1</x:v>
      </x:c>
      <x:c r="N909" s="14" t="str">
        <x:v>Autoclenz Ltd v Belcher | Ready Mixed Concrete (South East) Ltd v MPNI | Hall v Lorimer | O'Kelly v Trusthouse Forte | Davies v Braithwaite | Nethermere (St Neots) Ltd v Gardiner | Professional Game Match Officials Ltd v HMRC | Uber BV v Aslam</x:v>
      </x:c>
    </x:row>
    <x:row r="910">
      <x:c r="A910" s="1" t="str">
        <x:v>cmsbrv0ui000x04jpfm1qjd05</x:v>
      </x:c>
      <x:c r="B910" s="1" t="str">
        <x:v>cmsbru14c000o04jpyaa0uar7</x:v>
      </x:c>
      <x:c r="C910" s="1" t="str">
        <x:v>2023-002546-ryanair-dac-v-jason-lutz-appellant-skeleton</x:v>
      </x:c>
      <x:c r="D910" s="12" t="n">
        <x:v>46236.51667172454</x:v>
      </x:c>
      <x:c r="E910" s="1" t="str">
        <x:v>yes</x:v>
      </x:c>
      <x:c r="F910" s="14" t="str">
        <x:v>cmsbrvtc4001304jp5e4691on</x:v>
      </x:c>
      <x:c r="G910" s="14" t="n">
        <x:v>9</x:v>
      </x:c>
      <x:c r="H910" s="14" t="str">
        <x:v>01024db6-688d-42da-bdbf-02dd0fa80e82</x:v>
      </x:c>
      <x:c r="I910" s="14" t="str">
        <x:v>Unison, R (On the Application Of) v The Lord Chancellor [2015] EWCA Civ 935</x:v>
      </x:c>
      <x:c r="J910" s="14" t="str">
        <x:v>England and Wales Court of Appeal (Civil Division)</x:v>
      </x:c>
      <x:c r="K910" s="14" t="n">
        <x:v>2015</x:v>
      </x:c>
      <x:c r="L910" s="15" t="n">
        <x:v>0.6139034</x:v>
      </x:c>
      <x:c r="M910" s="14" t="n">
        <x:v>1</x:v>
      </x:c>
      <x:c r="N910" s="14" t="str">
        <x:v>Johnston v Chief Constable of Royal Ulster Constabulary (C-222/84) | Levez v T.H. Jennings (Harlow Pools) Ltd (C-326/96</x:v>
      </x:c>
    </x:row>
    <x:row r="911">
      <x:c r="A911" s="1" t="str">
        <x:v>cmsbrv0ui000x04jpfm1qjd05</x:v>
      </x:c>
      <x:c r="B911" s="1" t="str">
        <x:v>cmsbru14c000o04jpyaa0uar7</x:v>
      </x:c>
      <x:c r="C911" s="1" t="str">
        <x:v>2023-002546-ryanair-dac-v-jason-lutz-appellant-skeleton</x:v>
      </x:c>
      <x:c r="D911" s="12" t="n">
        <x:v>46236.51667172454</x:v>
      </x:c>
      <x:c r="E911" s="1" t="str">
        <x:v>yes</x:v>
      </x:c>
      <x:c r="F911" s="14" t="str">
        <x:v>cmsbrvtc4001304jp5e4691on</x:v>
      </x:c>
      <x:c r="G911" s="14" t="n">
        <x:v>10</x:v>
      </x:c>
      <x:c r="H911" s="14" t="str">
        <x:v>1771150a-79c0-4f84-b72f-ec359226bb1b</x:v>
      </x:c>
      <x:c r="I911" s="14" t="str">
        <x:v>Bone v North Essex Partnership NHS Foundation Trust [2016] EWCA Civ 45</x:v>
      </x:c>
      <x:c r="J911" s="14" t="str">
        <x:v>England and Wales Court of Appeal (Civil Division)</x:v>
      </x:c>
      <x:c r="K911" s="14" t="n">
        <x:v>2016</x:v>
      </x:c>
      <x:c r="L911" s="15" t="n">
        <x:v>0.61202276</x:v>
      </x:c>
      <x:c r="M911" s="14" t="n">
        <x:v>1</x:v>
      </x:c>
      <x:c r="N911" s="14" t="str">
        <x:v>Department of Transport v Gallacher [1994] ICR 967 | James v Eastleigh Borough Council [1990] ICR 554 | Associated British Ports v Palmer [1994] ICR 97 | Vento v Chief Constable of West Yorkshire [2003] IRLR 102 | Yeboah v Crofton [2002] IRLR 634</x:v>
      </x:c>
    </x:row>
    <x:row r="912">
      <x:c r="A912" s="1" t="str">
        <x:v>cmsbrv0ui000x04jpfm1qjd05</x:v>
      </x:c>
      <x:c r="B912" s="1" t="str">
        <x:v>cmsbru14c000o04jpyaa0uar7</x:v>
      </x:c>
      <x:c r="C912" s="1" t="str">
        <x:v>2023-002546-ryanair-dac-v-jason-lutz-appellant-skeleton</x:v>
      </x:c>
      <x:c r="D912" s="12" t="n">
        <x:v>46236.51667172454</x:v>
      </x:c>
      <x:c r="E912" s="1" t="str">
        <x:v>yes</x:v>
      </x:c>
      <x:c r="F912" s="14" t="str">
        <x:v>cmsbrvtc4001304jp5e4691on</x:v>
      </x:c>
      <x:c r="G912" s="14" t="n">
        <x:v>11</x:v>
      </x:c>
      <x:c r="H912" s="14" t="str">
        <x:v>7591076e-d646-4c3a-a274-13be78582f5c</x:v>
      </x:c>
      <x:c r="I912" s="14" t="str">
        <x:v>Rabess v The London Fire and Emergency Planning Authority [2016] EWCA Civ 1017</x:v>
      </x:c>
      <x:c r="J912" s="14" t="str">
        <x:v>England and Wales Court of Appeal (Civil Division)</x:v>
      </x:c>
      <x:c r="K912" s="14" t="n">
        <x:v>2016</x:v>
      </x:c>
      <x:c r="L912" s="15" t="n">
        <x:v>0.608619</x:v>
      </x:c>
      <x:c r="M912" s="14" t="n">
        <x:v>1</x:v>
      </x:c>
      <x:c r="N912" s="14" t="str">
        <x:v>Gisda Cyf [2010] ICR 1475 | Geys [2013] 1 AC 523 | Robert Cort [1981] ICR 816 | Stapp [1982] IRLR 326 | Radecki [2009] ICR 1244 | Hawes &amp; Curtis v Arfan [2012] ICR 1244 | Dedman</x:v>
      </x:c>
    </x:row>
    <x:row r="913">
      <x:c r="A913" s="1" t="str">
        <x:v>cmsbrv0ui000x04jpfm1qjd05</x:v>
      </x:c>
      <x:c r="B913" s="1" t="str">
        <x:v>cmsbru14c000o04jpyaa0uar7</x:v>
      </x:c>
      <x:c r="C913" s="1" t="str">
        <x:v>2023-002546-ryanair-dac-v-jason-lutz-appellant-skeleton</x:v>
      </x:c>
      <x:c r="D913" s="12" t="n">
        <x:v>46236.51667172454</x:v>
      </x:c>
      <x:c r="E913" s="1" t="str">
        <x:v>yes</x:v>
      </x:c>
      <x:c r="F913" s="14" t="str">
        <x:v>cmsbrvtc4001304jp5e4691on</x:v>
      </x:c>
      <x:c r="G913" s="14" t="n">
        <x:v>12</x:v>
      </x:c>
      <x:c r="H913" s="14" t="str">
        <x:v>4b0e95b4-9126-4cff-aaeb-54fd70eeddf2</x:v>
      </x:c>
      <x:c r="I913" s="14" t="str">
        <x:v>Parr v MSR Partners LLP &amp; Ors [2022] EWCA Civ 24</x:v>
      </x:c>
      <x:c r="J913" s="14" t="str">
        <x:v>England and Wales Court of Appeal (Civil Division)</x:v>
      </x:c>
      <x:c r="K913" s="14" t="n">
        <x:v>2022</x:v>
      </x:c>
      <x:c r="L913" s="15" t="n">
        <x:v>0.60830456</x:v>
      </x:c>
      <x:c r="M913" s="14" t="n">
        <x:v>1</x:v>
      </x:c>
      <x:c r="N913" s="14" t="str">
        <x:v>Amies v Inner London Education Authority [1977] ICR 308 | Calder v James Finlay Corporation Ltd [1989] ICR 157 | Barclays Bank plc v Kapur [1991] 2 AC 355 | Seldon v Clarkson Wright &amp; Jakes [2012] ICR 716 | Tyagi v BBC World Service [2001] IRLR 465 | Cast v Croydon College [1998] ICR 500 | Okoro v Taylor Woodrow Construction Ltd [2012] EWCA Civ 1590, [2013] ICR 580 | Sougrin v Haringey Health Authority [1992] ICR 650</x:v>
      </x:c>
    </x:row>
    <x:row r="914">
      <x:c r="A914" s="1" t="str">
        <x:v>cmsbrv0ui000x04jpfm1qjd05</x:v>
      </x:c>
      <x:c r="B914" s="1" t="str">
        <x:v>cmsbru14c000o04jpyaa0uar7</x:v>
      </x:c>
      <x:c r="C914" s="1" t="str">
        <x:v>2023-002546-ryanair-dac-v-jason-lutz-appellant-skeleton</x:v>
      </x:c>
      <x:c r="D914" s="12" t="n">
        <x:v>46236.51667172454</x:v>
      </x:c>
      <x:c r="E914" s="1" t="str">
        <x:v>yes</x:v>
      </x:c>
      <x:c r="F914" s="14" t="str">
        <x:v>cmsbrvtc4001304jp5e4691on</x:v>
      </x:c>
      <x:c r="G914" s="14" t="n">
        <x:v>13</x:v>
      </x:c>
      <x:c r="H914" s="14" t="str">
        <x:v>aa8e9b5e-fa84-4fd8-ac44-75dccba74bf8</x:v>
      </x:c>
      <x:c r="I914" s="14" t="str">
        <x:v>Smith v Pimlico Plumbers Ltd (Rev1) [2022] EWCA Civ 70</x:v>
      </x:c>
      <x:c r="J914" s="14" t="str">
        <x:v>England and Wales Court of Appeal (Civil Division)</x:v>
      </x:c>
      <x:c r="K914" s="14" t="n">
        <x:v>2022</x:v>
      </x:c>
      <x:c r="L914" s="15" t="n">
        <x:v>0.60799336</x:v>
      </x:c>
      <x:c r="M914" s="14" t="n">
        <x:v>1</x:v>
      </x:c>
      <x:c r="N914" s="14" t="str">
        <x:v>King v Sash Window Workshop | Shimizu | Kreuziger | Stringer | Marleasing | NHS Leeds v Larner | Bear Scotland | Agnew | Bollacke v K+K Klaas &amp; Kock BV</x:v>
      </x:c>
    </x:row>
    <x:row r="915">
      <x:c r="A915" s="1" t="str">
        <x:v>cmsbrv0ui000x04jpfm1qjd05</x:v>
      </x:c>
      <x:c r="B915" s="1" t="str">
        <x:v>cmsbru14c000o04jpyaa0uar7</x:v>
      </x:c>
      <x:c r="C915" s="1" t="str">
        <x:v>2023-002546-ryanair-dac-v-jason-lutz-appellant-skeleton</x:v>
      </x:c>
      <x:c r="D915" s="12" t="n">
        <x:v>46236.51667172454</x:v>
      </x:c>
      <x:c r="E915" s="1" t="str">
        <x:v>yes</x:v>
      </x:c>
      <x:c r="F915" s="14" t="str">
        <x:v>cmsbrvtc4001304jp5e4691on</x:v>
      </x:c>
      <x:c r="G915" s="14" t="n">
        <x:v>14</x:v>
      </x:c>
      <x:c r="H915" s="14" t="str">
        <x:v>a697864c-4a9b-448a-9c45-1589a5e13ac5</x:v>
      </x:c>
      <x:c r="I915" s="14" t="str">
        <x:v>British Gas Trading Limited v Lock &amp; Anor [2016] EWCA Civ 983</x:v>
      </x:c>
      <x:c r="J915" s="14" t="str">
        <x:v>England and Wales Court of Appeal (Civil Division)</x:v>
      </x:c>
      <x:c r="K915" s="14" t="n">
        <x:v>2016</x:v>
      </x:c>
      <x:c r="L915" s="15" t="n">
        <x:v>0.6078627</x:v>
      </x:c>
      <x:c r="M915" s="14" t="n">
        <x:v>1</x:v>
      </x:c>
      <x:c r="N915" s="14" t="str">
        <x:v>Lock C-539/12 | Robinson-Steele | Stringer | Williams | Bear Scotland | Bamsey | Evans | Ghaidan | Marleasing | Pfeiffer</x:v>
      </x:c>
    </x:row>
    <x:row r="916">
      <x:c r="A916" s="1" t="str">
        <x:v>cmsbrv0ui000x04jpfm1qjd05</x:v>
      </x:c>
      <x:c r="B916" s="1" t="str">
        <x:v>cmsbru14c000o04jpyaa0uar7</x:v>
      </x:c>
      <x:c r="C916" s="1" t="str">
        <x:v>2023-002546-ryanair-dac-v-jason-lutz-appellant-skeleton</x:v>
      </x:c>
      <x:c r="D916" s="12" t="n">
        <x:v>46236.51667172454</x:v>
      </x:c>
      <x:c r="E916" s="1" t="str">
        <x:v>yes</x:v>
      </x:c>
      <x:c r="F916" s="14" t="str">
        <x:v>cmsbrvtc4001304jp5e4691on</x:v>
      </x:c>
      <x:c r="G916" s="14" t="n">
        <x:v>15</x:v>
      </x:c>
      <x:c r="H916" s="14" t="str">
        <x:v>577f094f-52eb-4539-b09d-d7a158f627df</x:v>
      </x:c>
      <x:c r="I916" s="14" t="str">
        <x:v>Dyson Technology Limited v Pellerey [2016] EWCA Civ 87</x:v>
      </x:c>
      <x:c r="J916" s="14" t="str">
        <x:v>England and Wales Court of Appeal (Civil Division)</x:v>
      </x:c>
      <x:c r="K916" s="14" t="n">
        <x:v>2016</x:v>
      </x:c>
      <x:c r="L916" s="15" t="n">
        <x:v>0.6068643</x:v>
      </x:c>
      <x:c r="M916" s="14" t="n">
        <x:v>1</x:v>
      </x:c>
      <x:c r="N916" s="14" t="str">
        <x:v>TFS Derivatives v Morgan | Prophet v Huggett | Ashcourt Rowan Financial Planning v Hall | Littlewoods Organisation v Harris | Faccenda Chicken v Fowler | Rolls v Miller | In re Sarflax Ltd | Insurance Co v Lloyd's Syndicate | Lawrence v Fen Tigers | Doherty v Allman | Dyson Technology Limited v Strutt | Roxburgh v Builders Supply Co (Hayes) Ltd</x:v>
      </x:c>
    </x:row>
    <x:row r="917">
      <x:c r="A917" s="1" t="str">
        <x:v>cmsbrv0ui000x04jpfm1qjd05</x:v>
      </x:c>
      <x:c r="B917" s="1" t="str">
        <x:v>cmsbru14c000o04jpyaa0uar7</x:v>
      </x:c>
      <x:c r="C917" s="1" t="str">
        <x:v>2023-002546-ryanair-dac-v-jason-lutz-appellant-skeleton</x:v>
      </x:c>
      <x:c r="D917" s="12" t="n">
        <x:v>46236.51667172454</x:v>
      </x:c>
      <x:c r="E917" s="1" t="str">
        <x:v>yes</x:v>
      </x:c>
      <x:c r="F917" s="14" t="str">
        <x:v>cmsbrvtc4001304jp5e4691on</x:v>
      </x:c>
      <x:c r="G917" s="14" t="n">
        <x:v>16</x:v>
      </x:c>
      <x:c r="H917" s="14" t="str">
        <x:v>cb8123f0-46c2-40c1-b7ee-cc9d5f5b4148</x:v>
      </x:c>
      <x:c r="I917" s="14" t="str">
        <x:v>Mackenzie v AA Ltd &amp; Anor [2022] EWCA Civ 901 (01 July 2022)</x:v>
      </x:c>
      <x:c r="J917" s="14" t="str">
        <x:v>England and Wales Court of Appeal (Civil Division)</x:v>
      </x:c>
      <x:c r="K917" s="14" t="n">
        <x:v>2022</x:v>
      </x:c>
      <x:c r="L917" s="15" t="n">
        <x:v>0.6068567</x:v>
      </x:c>
      <x:c r="M917" s="14" t="n">
        <x:v>1</x:v>
      </x:c>
      <x:c r="N917" s="14" t="str">
        <x:v>Cockburn v Alexander | Lavarack v Woods of Colchester | Abrahams v Herbert Reiach | Braganza v BP Shipping | Horkulak v Cantor Fitzgerald | Durham Tees Valley Airport v BMIbaby | Rigby v Ferodo | Bold v Brough, Nicholson and Hall | Mulvenna v Royal Bank of Scotland | Bunge v Tradax</x:v>
      </x:c>
    </x:row>
    <x:row r="918">
      <x:c r="A918" s="1" t="str">
        <x:v>cmsbrv0ui000x04jpfm1qjd05</x:v>
      </x:c>
      <x:c r="B918" s="1" t="str">
        <x:v>cmsbru14c000o04jpyaa0uar7</x:v>
      </x:c>
      <x:c r="C918" s="1" t="str">
        <x:v>2023-002546-ryanair-dac-v-jason-lutz-appellant-skeleton</x:v>
      </x:c>
      <x:c r="D918" s="12" t="n">
        <x:v>46236.51667172454</x:v>
      </x:c>
      <x:c r="E918" s="1" t="str">
        <x:v>yes</x:v>
      </x:c>
      <x:c r="F918" s="14" t="str">
        <x:v>cmsbrvtc4001304jp5e4691on</x:v>
      </x:c>
      <x:c r="G918" s="14" t="n">
        <x:v>17</x:v>
      </x:c>
      <x:c r="H918" s="14" t="str">
        <x:v>c6a09815-c7b3-4cfc-8057-35bbef5c2014</x:v>
      </x:c>
      <x:c r="I918" s="14" t="str">
        <x:v>Lewis v Narayanasamy &amp; Anor [2017] EWCA Civ 229</x:v>
      </x:c>
      <x:c r="J918" s="14" t="str">
        <x:v>England and Wales Court of Appeal (Civil Division)</x:v>
      </x:c>
      <x:c r="K918" s="14" t="n">
        <x:v>2017</x:v>
      </x:c>
      <x:c r="L918" s="15" t="n">
        <x:v>0.60370916</x:v>
      </x:c>
      <x:c r="M918" s="14" t="n">
        <x:v>1</x:v>
      </x:c>
      <x:c r="N918" s="14" t="str"/>
    </x:row>
    <x:row r="919">
      <x:c r="A919" s="1" t="str">
        <x:v>cmsbrv0ui000x04jpfm1qjd05</x:v>
      </x:c>
      <x:c r="B919" s="1" t="str">
        <x:v>cmsbru14c000o04jpyaa0uar7</x:v>
      </x:c>
      <x:c r="C919" s="1" t="str">
        <x:v>2023-002546-ryanair-dac-v-jason-lutz-appellant-skeleton</x:v>
      </x:c>
      <x:c r="D919" s="12" t="n">
        <x:v>46236.51667172454</x:v>
      </x:c>
      <x:c r="E919" s="1" t="str">
        <x:v>yes</x:v>
      </x:c>
      <x:c r="F919" s="14" t="str">
        <x:v>cmsbrvtc4001304jp5e4691on</x:v>
      </x:c>
      <x:c r="G919" s="14" t="n">
        <x:v>18</x:v>
      </x:c>
      <x:c r="H919" s="14" t="str">
        <x:v>24cdd790-fb66-4e79-895a-0d7f73047839</x:v>
      </x:c>
      <x:c r="I919" s="14" t="str">
        <x:v>Halawi v WDFG UK Ltd (t/a World Duty Free) [2014] EWCA Civ 1387</x:v>
      </x:c>
      <x:c r="J919" s="14" t="str">
        <x:v>England and Wales Court of Appeal (Civil Division)</x:v>
      </x:c>
      <x:c r="K919" s="14" t="n">
        <x:v>2014</x:v>
      </x:c>
      <x:c r="L919" s="15" t="n">
        <x:v>0.6030228</x:v>
      </x:c>
      <x:c r="M919" s="14" t="n">
        <x:v>1</x:v>
      </x:c>
      <x:c r="N919" s="14" t="str">
        <x:v>Framework Directive 2000/78</x:v>
      </x:c>
    </x:row>
    <x:row r="920">
      <x:c r="A920" s="1" t="str">
        <x:v>cmsbrv0ui000x04jpfm1qjd05</x:v>
      </x:c>
      <x:c r="B920" s="1" t="str">
        <x:v>cmsbru14c000o04jpyaa0uar7</x:v>
      </x:c>
      <x:c r="C920" s="1" t="str">
        <x:v>2023-002546-ryanair-dac-v-jason-lutz-appellant-skeleton</x:v>
      </x:c>
      <x:c r="D920" s="12" t="n">
        <x:v>46236.51667172454</x:v>
      </x:c>
      <x:c r="E920" s="1" t="str">
        <x:v>yes</x:v>
      </x:c>
      <x:c r="F920" s="14" t="str">
        <x:v>cmsbrvtc4001304jp5e4691on</x:v>
      </x:c>
      <x:c r="G920" s="14" t="n">
        <x:v>19</x:v>
      </x:c>
      <x:c r="H920" s="14" t="str">
        <x:v>61dd8025-2416-42b9-91eb-a789f5f98110</x:v>
      </x:c>
      <x:c r="I920" s="14" t="str">
        <x:v>Creditsights Ltd v Dhunna [2014] EWCA Civ 1238</x:v>
      </x:c>
      <x:c r="J920" s="14" t="str">
        <x:v>England and Wales Court of Appeal (Civil Division)</x:v>
      </x:c>
      <x:c r="K920" s="14" t="n">
        <x:v>2014</x:v>
      </x:c>
      <x:c r="L920" s="15" t="n">
        <x:v>0.6029575</x:v>
      </x:c>
      <x:c r="M920" s="14" t="n">
        <x:v>1</x:v>
      </x:c>
      <x:c r="N920" s="14" t="str">
        <x:v>Lawson v. Serco | Ravat v. Halliburton</x:v>
      </x:c>
    </x:row>
    <x:row r="921">
      <x:c r="A921" s="1" t="str">
        <x:v>cmsbrv0ui000x04jpfm1qjd05</x:v>
      </x:c>
      <x:c r="B921" s="1" t="str">
        <x:v>cmsbru14c000o04jpyaa0uar7</x:v>
      </x:c>
      <x:c r="C921" s="1" t="str">
        <x:v>2023-002546-ryanair-dac-v-jason-lutz-appellant-skeleton</x:v>
      </x:c>
      <x:c r="D921" s="12" t="n">
        <x:v>46236.51667172454</x:v>
      </x:c>
      <x:c r="E921" s="1" t="str">
        <x:v>yes</x:v>
      </x:c>
      <x:c r="F921" s="14" t="str">
        <x:v>cmsbrvtc4001304jp5e4691on</x:v>
      </x:c>
      <x:c r="G921" s="14" t="n">
        <x:v>20</x:v>
      </x:c>
      <x:c r="H921" s="14" t="str">
        <x:v>c9936a53-fa3e-464f-9504-b22bdbbcc939</x:v>
      </x:c>
      <x:c r="I921" s="14" t="str">
        <x:v>Sunrise Brokers LLP v Rodgers [2014] EWCA Civ 1373</x:v>
      </x:c>
      <x:c r="J921" s="14" t="str">
        <x:v>England and Wales Court of Appeal (Civil Division)</x:v>
      </x:c>
      <x:c r="K921" s="14" t="n">
        <x:v>2014</x:v>
      </x:c>
      <x:c r="L921" s="15" t="n">
        <x:v>0.6021576</x:v>
      </x:c>
      <x:c r="M921" s="14" t="n">
        <x:v>1</x:v>
      </x:c>
      <x:c r="N921" s="14" t="str">
        <x:v>Geys v Société Generale [2013] 1 AC 523</x:v>
      </x:c>
    </x:row>
    <x:row r="922">
      <x:c r="A922" s="1" t="str">
        <x:v>cmsbsjzo7000b04ji6xjyj7y5</x:v>
      </x:c>
      <x:c r="B922" s="1" t="str">
        <x:v>cmsbsfl20000204jilg9k8ism</x:v>
      </x:c>
      <x:c r="C922" s="1" t="str">
        <x:v>ca-2023-002537-storm-global-limited-v-jason-lutz-appellant-skeleton</x:v>
      </x:c>
      <x:c r="D922" s="12" t="n">
        <x:v>46236.53015385417</x:v>
      </x:c>
      <x:c r="E922" s="1" t="str">
        <x:v>yes</x:v>
      </x:c>
      <x:c r="F922" s="14" t="str">
        <x:v>cmsbskr86000h04ji5a4thcht</x:v>
      </x:c>
      <x:c r="G922" s="14" t="n">
        <x:v>1</x:v>
      </x:c>
      <x:c r="H922" s="14" t="str">
        <x:v>4a6e3c60-f40d-4a95-bd57-d62150508e45</x:v>
      </x:c>
      <x:c r="I922" s="14" t="str">
        <x:v>Nursing and Midwifery Council v Somerville [2022] EWCA Civ 229</x:v>
      </x:c>
      <x:c r="J922" s="14" t="str">
        <x:v>England and Wales Court of Appeal (Civil Division)</x:v>
      </x:c>
      <x:c r="K922" s="14" t="n">
        <x:v>2022</x:v>
      </x:c>
      <x:c r="L922" s="15" t="n">
        <x:v>0.6961146</x:v>
      </x:c>
      <x:c r="M922" s="14" t="n">
        <x:v>2</x:v>
      </x:c>
      <x:c r="N922" s="14" t="str">
        <x:v>Nethermere (St Neots) Ltd v Gardiner [1984] ICR 612 | Carmichael v National Power plc [1999] 1 WLR 2042 | Uber London Ltd v Uber BV | Nethermere | Carmichael | Uber</x:v>
      </x:c>
    </x:row>
    <x:row r="923">
      <x:c r="A923" s="1" t="str">
        <x:v>cmsbsjzo7000b04ji6xjyj7y5</x:v>
      </x:c>
      <x:c r="B923" s="1" t="str">
        <x:v>cmsbsfl20000204jilg9k8ism</x:v>
      </x:c>
      <x:c r="C923" s="1" t="str">
        <x:v>ca-2023-002537-storm-global-limited-v-jason-lutz-appellant-skeleton</x:v>
      </x:c>
      <x:c r="D923" s="12" t="n">
        <x:v>46236.53015385417</x:v>
      </x:c>
      <x:c r="E923" s="1" t="str">
        <x:v>yes</x:v>
      </x:c>
      <x:c r="F923" s="14" t="str">
        <x:v>cmsbskr86000h04ji5a4thcht</x:v>
      </x:c>
      <x:c r="G923" s="14" t="n">
        <x:v>2</x:v>
      </x:c>
      <x:c r="H923" s="14" t="str">
        <x:v>f8755763-8d90-4b51-8a0a-d11efa528908</x:v>
      </x:c>
      <x:c r="I923" s="14" t="str">
        <x:v>Kocur v Angard Staffing Solutions Limited &amp; Anor [2022] EWCA Civ 189</x:v>
      </x:c>
      <x:c r="J923" s="14" t="str">
        <x:v>England and Wales Court of Appeal (Civil Division)</x:v>
      </x:c>
      <x:c r="K923" s="14" t="n">
        <x:v>2022</x:v>
      </x:c>
      <x:c r="L923" s="15" t="n">
        <x:v>0.6834504</x:v>
      </x:c>
      <x:c r="M923" s="14" t="n">
        <x:v>2</x:v>
      </x:c>
      <x:c r="N923" s="14" t="str">
        <x:v>Coles v MOD [2016] ICR 55 | Kocur 1 | Directive 2008/104/EC | Coles v MOD</x:v>
      </x:c>
    </x:row>
    <x:row r="924">
      <x:c r="A924" s="1" t="str">
        <x:v>cmsbsjzo7000b04ji6xjyj7y5</x:v>
      </x:c>
      <x:c r="B924" s="1" t="str">
        <x:v>cmsbsfl20000204jilg9k8ism</x:v>
      </x:c>
      <x:c r="C924" s="1" t="str">
        <x:v>ca-2023-002537-storm-global-limited-v-jason-lutz-appellant-skeleton</x:v>
      </x:c>
      <x:c r="D924" s="12" t="n">
        <x:v>46236.53015385417</x:v>
      </x:c>
      <x:c r="E924" s="1" t="str">
        <x:v>yes</x:v>
      </x:c>
      <x:c r="F924" s="14" t="str">
        <x:v>cmsbskr86000h04ji5a4thcht</x:v>
      </x:c>
      <x:c r="G924" s="14" t="n">
        <x:v>3</x:v>
      </x:c>
      <x:c r="H924" s="14" t="str">
        <x:v>046e1c8b-89e0-4a66-870e-3e9d763900a6</x:v>
      </x:c>
      <x:c r="I924" s="14" t="str">
        <x:v>Commissioners for HM Revenue and Customs v Atholl House Productions Ltd [2022] EWCA Civ 501 (IR35)</x:v>
      </x:c>
      <x:c r="J924" s="14" t="str">
        <x:v>England and Wales Court of Appeal (Civil Division)</x:v>
      </x:c>
      <x:c r="K924" s="14" t="n">
        <x:v>2022</x:v>
      </x:c>
      <x:c r="L924" s="15" t="n">
        <x:v>0.683097</x:v>
      </x:c>
      <x:c r="M924" s="14" t="n">
        <x:v>1</x:v>
      </x:c>
      <x:c r="N924" s="14" t="str">
        <x:v>Autoclenz Ltd v Belcher | Ready Mixed Concrete (South East) Ltd v MPNI | Hall v Lorimer | O'Kelly v Trusthouse Forte | Davies v Braithwaite | Nethermere (St Neots) Ltd v Gardiner | Professional Game Match Officials Ltd v HMRC | Uber BV v Aslam</x:v>
      </x:c>
    </x:row>
    <x:row r="925">
      <x:c r="A925" s="1" t="str">
        <x:v>cmsbsjzo7000b04ji6xjyj7y5</x:v>
      </x:c>
      <x:c r="B925" s="1" t="str">
        <x:v>cmsbsfl20000204jilg9k8ism</x:v>
      </x:c>
      <x:c r="C925" s="1" t="str">
        <x:v>ca-2023-002537-storm-global-limited-v-jason-lutz-appellant-skeleton</x:v>
      </x:c>
      <x:c r="D925" s="12" t="n">
        <x:v>46236.53015385417</x:v>
      </x:c>
      <x:c r="E925" s="1" t="str">
        <x:v>yes</x:v>
      </x:c>
      <x:c r="F925" s="14" t="str">
        <x:v>cmsbskr86000h04ji5a4thcht</x:v>
      </x:c>
      <x:c r="G925" s="14" t="n">
        <x:v>4</x:v>
      </x:c>
      <x:c r="H925" s="14" t="str">
        <x:v>9844702c-c2b0-4354-ac06-36da76a7fc64</x:v>
      </x:c>
      <x:c r="I925" s="14" t="str">
        <x:v>O'Brien v Ministry of Justice [2015] EWCA Civ 1000</x:v>
      </x:c>
      <x:c r="J925" s="14" t="str">
        <x:v>England and Wales Court of Appeal (Civil Division)</x:v>
      </x:c>
      <x:c r="K925" s="14" t="n">
        <x:v>2015</x:v>
      </x:c>
      <x:c r="L925" s="15" t="n">
        <x:v>0.6823692</x:v>
      </x:c>
      <x:c r="M925" s="14" t="n">
        <x:v>1</x:v>
      </x:c>
      <x:c r="N925" s="14" t="str"/>
    </x:row>
    <x:row r="926">
      <x:c r="A926" s="1" t="str">
        <x:v>cmsbsjzo7000b04ji6xjyj7y5</x:v>
      </x:c>
      <x:c r="B926" s="1" t="str">
        <x:v>cmsbsfl20000204jilg9k8ism</x:v>
      </x:c>
      <x:c r="C926" s="1" t="str">
        <x:v>ca-2023-002537-storm-global-limited-v-jason-lutz-appellant-skeleton</x:v>
      </x:c>
      <x:c r="D926" s="12" t="n">
        <x:v>46236.53015385417</x:v>
      </x:c>
      <x:c r="E926" s="1" t="str">
        <x:v>yes</x:v>
      </x:c>
      <x:c r="F926" s="14" t="str">
        <x:v>cmsbskr86000h04ji5a4thcht</x:v>
      </x:c>
      <x:c r="G926" s="14" t="n">
        <x:v>5</x:v>
      </x:c>
      <x:c r="H926" s="14" t="str">
        <x:v>24cdd790-fb66-4e79-895a-0d7f73047839</x:v>
      </x:c>
      <x:c r="I926" s="14" t="str">
        <x:v>Halawi v WDFG UK Ltd (t/a World Duty Free) [2014] EWCA Civ 1387</x:v>
      </x:c>
      <x:c r="J926" s="14" t="str">
        <x:v>England and Wales Court of Appeal (Civil Division)</x:v>
      </x:c>
      <x:c r="K926" s="14" t="n">
        <x:v>2014</x:v>
      </x:c>
      <x:c r="L926" s="15" t="n">
        <x:v>0.6753283</x:v>
      </x:c>
      <x:c r="M926" s="14" t="n">
        <x:v>3</x:v>
      </x:c>
      <x:c r="N926" s="14" t="str">
        <x:v>Framework Directive 2000/78 | Equality Act 2010 | Allonby v Rossendale | Jivraj v Hashwani</x:v>
      </x:c>
    </x:row>
    <x:row r="927">
      <x:c r="A927" s="1" t="str">
        <x:v>cmsbsjzo7000b04ji6xjyj7y5</x:v>
      </x:c>
      <x:c r="B927" s="1" t="str">
        <x:v>cmsbsfl20000204jilg9k8ism</x:v>
      </x:c>
      <x:c r="C927" s="1" t="str">
        <x:v>ca-2023-002537-storm-global-limited-v-jason-lutz-appellant-skeleton</x:v>
      </x:c>
      <x:c r="D927" s="12" t="n">
        <x:v>46236.53015385417</x:v>
      </x:c>
      <x:c r="E927" s="1" t="str">
        <x:v>yes</x:v>
      </x:c>
      <x:c r="F927" s="14" t="str">
        <x:v>cmsbskr86000h04ji5a4thcht</x:v>
      </x:c>
      <x:c r="G927" s="14" t="n">
        <x:v>6</x:v>
      </x:c>
      <x:c r="H927" s="14" t="str">
        <x:v>a697864c-4a9b-448a-9c45-1589a5e13ac5</x:v>
      </x:c>
      <x:c r="I927" s="14" t="str">
        <x:v>British Gas Trading Limited v Lock &amp; Anor [2016] EWCA Civ 983</x:v>
      </x:c>
      <x:c r="J927" s="14" t="str">
        <x:v>England and Wales Court of Appeal (Civil Division)</x:v>
      </x:c>
      <x:c r="K927" s="14" t="n">
        <x:v>2016</x:v>
      </x:c>
      <x:c r="L927" s="15" t="n">
        <x:v>0.6728972</x:v>
      </x:c>
      <x:c r="M927" s="14" t="n">
        <x:v>1</x:v>
      </x:c>
      <x:c r="N927" s="14" t="str">
        <x:v>Lock C-539/12 | Robinson-Steele | Stringer | Williams | Bear Scotland | Bamsey | Evans | Ghaidan | Marleasing | Pfeiffer</x:v>
      </x:c>
    </x:row>
    <x:row r="928">
      <x:c r="A928" s="1" t="str">
        <x:v>cmsbsjzo7000b04ji6xjyj7y5</x:v>
      </x:c>
      <x:c r="B928" s="1" t="str">
        <x:v>cmsbsfl20000204jilg9k8ism</x:v>
      </x:c>
      <x:c r="C928" s="1" t="str">
        <x:v>ca-2023-002537-storm-global-limited-v-jason-lutz-appellant-skeleton</x:v>
      </x:c>
      <x:c r="D928" s="12" t="n">
        <x:v>46236.53015385417</x:v>
      </x:c>
      <x:c r="E928" s="1" t="str">
        <x:v>yes</x:v>
      </x:c>
      <x:c r="F928" s="14" t="str">
        <x:v>cmsbskr86000h04ji5a4thcht</x:v>
      </x:c>
      <x:c r="G928" s="14" t="n">
        <x:v>7</x:v>
      </x:c>
      <x:c r="H928" s="14" t="str">
        <x:v>126904c3-76e4-4116-9766-06699aedc5c8</x:v>
      </x:c>
      <x:c r="I928" s="14" t="str">
        <x:v>Pimlico Plumbers Ltd &amp; Anor v Smith</x:v>
      </x:c>
      <x:c r="J928" s="14" t="str">
        <x:v>England and Wales Court of Appeal (Civil Division)</x:v>
      </x:c>
      <x:c r="K928" s="14" t="n">
        <x:v>2017</x:v>
      </x:c>
      <x:c r="L928" s="15" t="n">
        <x:v>0.67279637</x:v>
      </x:c>
      <x:c r="M928" s="14" t="n">
        <x:v>1</x:v>
      </x:c>
      <x:c r="N928" s="14" t="str">
        <x:v>Bates van Winkelhof v Clyde &amp; Co | Autoclenz Ltd v Belcher</x:v>
      </x:c>
    </x:row>
    <x:row r="929">
      <x:c r="A929" s="1" t="str">
        <x:v>cmsbsjzo7000b04ji6xjyj7y5</x:v>
      </x:c>
      <x:c r="B929" s="1" t="str">
        <x:v>cmsbsfl20000204jilg9k8ism</x:v>
      </x:c>
      <x:c r="C929" s="1" t="str">
        <x:v>ca-2023-002537-storm-global-limited-v-jason-lutz-appellant-skeleton</x:v>
      </x:c>
      <x:c r="D929" s="12" t="n">
        <x:v>46236.53015385417</x:v>
      </x:c>
      <x:c r="E929" s="1" t="str">
        <x:v>yes</x:v>
      </x:c>
      <x:c r="F929" s="14" t="str">
        <x:v>cmsbskr86000h04ji5a4thcht</x:v>
      </x:c>
      <x:c r="G929" s="14" t="n">
        <x:v>8</x:v>
      </x:c>
      <x:c r="H929" s="14" t="str">
        <x:v>419e6b34-408a-4082-a957-00fb1a643683</x:v>
      </x:c>
      <x:c r="I929" s="14" t="str">
        <x:v>Secretary of State for Justice v Windle &amp; Arada [2016] EWCA Civ 459</x:v>
      </x:c>
      <x:c r="J929" s="14" t="str">
        <x:v>England and Wales Court of Appeal (Civil Division)</x:v>
      </x:c>
      <x:c r="K929" s="14" t="n">
        <x:v>2016</x:v>
      </x:c>
      <x:c r="L929" s="15" t="n">
        <x:v>0.66480005</x:v>
      </x:c>
      <x:c r="M929" s="14" t="n">
        <x:v>1</x:v>
      </x:c>
      <x:c r="N929" s="14" t="str">
        <x:v>Hashwani v Jivraj | Allonby v Accrington | Bates van Winkelhof | Quashie v Stringfellows | Jafri v Lincoln College | Lawrie-Blum v Baden Württemberg</x:v>
      </x:c>
    </x:row>
    <x:row r="930">
      <x:c r="A930" s="1" t="str">
        <x:v>cmsbsjzo7000b04ji6xjyj7y5</x:v>
      </x:c>
      <x:c r="B930" s="1" t="str">
        <x:v>cmsbsfl20000204jilg9k8ism</x:v>
      </x:c>
      <x:c r="C930" s="1" t="str">
        <x:v>ca-2023-002537-storm-global-limited-v-jason-lutz-appellant-skeleton</x:v>
      </x:c>
      <x:c r="D930" s="12" t="n">
        <x:v>46236.53015385417</x:v>
      </x:c>
      <x:c r="E930" s="1" t="str">
        <x:v>yes</x:v>
      </x:c>
      <x:c r="F930" s="14" t="str">
        <x:v>cmsbskr86000h04ji5a4thcht</x:v>
      </x:c>
      <x:c r="G930" s="14" t="n">
        <x:v>9</x:v>
      </x:c>
      <x:c r="H930" s="14" t="str">
        <x:v>82db284e-faee-4799-9ffc-79a4767f263d</x:v>
      </x:c>
      <x:c r="I930" s="14" t="str">
        <x:v>Hottak &amp; Anor, R (On the Application Of) v The Secretary of State for Foreign and Commonwealth Affairs &amp; Anor [2016] EWCA Civ 438</x:v>
      </x:c>
      <x:c r="J930" s="14" t="str">
        <x:v>England and Wales Court of Appeal (Civil Division)</x:v>
      </x:c>
      <x:c r="K930" s="14" t="n">
        <x:v>2016</x:v>
      </x:c>
      <x:c r="L930" s="15" t="n">
        <x:v>0.6585425</x:v>
      </x:c>
      <x:c r="M930" s="14" t="n">
        <x:v>1</x:v>
      </x:c>
      <x:c r="N930" s="14" t="str">
        <x:v>Lawson v Serco Ltd [2006] ICR 250 | Duncombe v Secretary of State for Children, Schools and Families (No 2) [2011] UKSC 36 | Ravat v Halliburton Manufacturing &amp; Services Ltd [2012] UKSC 1 | Dhunna v CreditSights Ltd [2014] EWCA Civ 1238 | Bryant v Foreign and Commonwealth Office [2003] ICR 174 (EAT) | Regina (European Roma Rights Centre and others) v Immigration Officer at Prague Airport and another [2004] UKHL 55 | Regina (E) v Governing Body of JFS [2009] UKSC 15 | Nagarajan v London Regional Transport [2000] 1 AC 501 | James v Eastleigh Borough Council [1990] 2 AC 751 | BAPIO Action Ltd v Secretary of State for the Home Department [2007] EWCA Civ 1139 | Bracking and others v Secretary of State for Work and Pensions [2013] EWCA Civ 1345 | Regina (C (A Minor)) v Secretary of State for Justice [2009] QB 657</x:v>
      </x:c>
    </x:row>
    <x:row r="931">
      <x:c r="A931" s="1" t="str">
        <x:v>cmsbsjzo7000b04ji6xjyj7y5</x:v>
      </x:c>
      <x:c r="B931" s="1" t="str">
        <x:v>cmsbsfl20000204jilg9k8ism</x:v>
      </x:c>
      <x:c r="C931" s="1" t="str">
        <x:v>ca-2023-002537-storm-global-limited-v-jason-lutz-appellant-skeleton</x:v>
      </x:c>
      <x:c r="D931" s="12" t="n">
        <x:v>46236.53015385417</x:v>
      </x:c>
      <x:c r="E931" s="1" t="str">
        <x:v>yes</x:v>
      </x:c>
      <x:c r="F931" s="14" t="str">
        <x:v>cmsbskr86000h04ji5a4thcht</x:v>
      </x:c>
      <x:c r="G931" s="14" t="n">
        <x:v>10</x:v>
      </x:c>
      <x:c r="H931" s="14" t="str">
        <x:v>1771150a-79c0-4f84-b72f-ec359226bb1b</x:v>
      </x:c>
      <x:c r="I931" s="14" t="str">
        <x:v>Bone v North Essex Partnership NHS Foundation Trust [2016] EWCA Civ 45</x:v>
      </x:c>
      <x:c r="J931" s="14" t="str">
        <x:v>England and Wales Court of Appeal (Civil Division)</x:v>
      </x:c>
      <x:c r="K931" s="14" t="n">
        <x:v>2016</x:v>
      </x:c>
      <x:c r="L931" s="15" t="n">
        <x:v>0.65792525</x:v>
      </x:c>
      <x:c r="M931" s="14" t="n">
        <x:v>1</x:v>
      </x:c>
      <x:c r="N931" s="14" t="str">
        <x:v>Department of Transport v Gallacher [1994] ICR 967 | James v Eastleigh Borough Council [1990] ICR 554 | Associated British Ports v Palmer [1994] ICR 97 | Vento v Chief Constable of West Yorkshire [2003] IRLR 102 | Yeboah v Crofton [2002] IRLR 634</x:v>
      </x:c>
    </x:row>
    <x:row r="932">
      <x:c r="A932" s="1" t="str">
        <x:v>cmsbsjzo7000b04ji6xjyj7y5</x:v>
      </x:c>
      <x:c r="B932" s="1" t="str">
        <x:v>cmsbsfl20000204jilg9k8ism</x:v>
      </x:c>
      <x:c r="C932" s="1" t="str">
        <x:v>ca-2023-002537-storm-global-limited-v-jason-lutz-appellant-skeleton</x:v>
      </x:c>
      <x:c r="D932" s="12" t="n">
        <x:v>46236.53015385417</x:v>
      </x:c>
      <x:c r="E932" s="1" t="str">
        <x:v>yes</x:v>
      </x:c>
      <x:c r="F932" s="14" t="str">
        <x:v>cmsbskr86000h04ji5a4thcht</x:v>
      </x:c>
      <x:c r="G932" s="14" t="n">
        <x:v>11</x:v>
      </x:c>
      <x:c r="H932" s="14" t="str">
        <x:v>4b0e95b4-9126-4cff-aaeb-54fd70eeddf2</x:v>
      </x:c>
      <x:c r="I932" s="14" t="str">
        <x:v>Parr v MSR Partners LLP &amp; Ors [2022] EWCA Civ 24</x:v>
      </x:c>
      <x:c r="J932" s="14" t="str">
        <x:v>England and Wales Court of Appeal (Civil Division)</x:v>
      </x:c>
      <x:c r="K932" s="14" t="n">
        <x:v>2022</x:v>
      </x:c>
      <x:c r="L932" s="15" t="n">
        <x:v>0.6563352</x:v>
      </x:c>
      <x:c r="M932" s="14" t="n">
        <x:v>1</x:v>
      </x:c>
      <x:c r="N932" s="14" t="str">
        <x:v>Amies v Inner London Education Authority [1977] ICR 308 | Calder v James Finlay Corporation Ltd [1989] ICR 157 | Barclays Bank plc v Kapur [1991] 2 AC 355 | Seldon v Clarkson Wright &amp; Jakes [2012] ICR 716 | Tyagi v BBC World Service [2001] IRLR 465 | Cast v Croydon College [1998] ICR 500 | Okoro v Taylor Woodrow Construction Ltd [2012] EWCA Civ 1590, [2013] ICR 580 | Sougrin v Haringey Health Authority [1992] ICR 650</x:v>
      </x:c>
    </x:row>
    <x:row r="933">
      <x:c r="A933" s="1" t="str">
        <x:v>cmsbsjzo7000b04ji6xjyj7y5</x:v>
      </x:c>
      <x:c r="B933" s="1" t="str">
        <x:v>cmsbsfl20000204jilg9k8ism</x:v>
      </x:c>
      <x:c r="C933" s="1" t="str">
        <x:v>ca-2023-002537-storm-global-limited-v-jason-lutz-appellant-skeleton</x:v>
      </x:c>
      <x:c r="D933" s="12" t="n">
        <x:v>46236.53015385417</x:v>
      </x:c>
      <x:c r="E933" s="1" t="str">
        <x:v>yes</x:v>
      </x:c>
      <x:c r="F933" s="14" t="str">
        <x:v>cmsbskr86000h04ji5a4thcht</x:v>
      </x:c>
      <x:c r="G933" s="14" t="n">
        <x:v>12</x:v>
      </x:c>
      <x:c r="H933" s="14" t="str">
        <x:v>01024db6-688d-42da-bdbf-02dd0fa80e82</x:v>
      </x:c>
      <x:c r="I933" s="14" t="str">
        <x:v>Unison, R (On the Application Of) v The Lord Chancellor [2015] EWCA Civ 935</x:v>
      </x:c>
      <x:c r="J933" s="14" t="str">
        <x:v>England and Wales Court of Appeal (Civil Division)</x:v>
      </x:c>
      <x:c r="K933" s="14" t="n">
        <x:v>2015</x:v>
      </x:c>
      <x:c r="L933" s="15" t="n">
        <x:v>0.6541828</x:v>
      </x:c>
      <x:c r="M933" s="14" t="n">
        <x:v>1</x:v>
      </x:c>
      <x:c r="N933" s="14" t="str">
        <x:v>Johnston v Chief Constable of Royal Ulster Constabulary (C-222/84) | Levez v T.H. Jennings (Harlow Pools) Ltd (C-326/96</x:v>
      </x:c>
    </x:row>
    <x:row r="934">
      <x:c r="A934" s="1" t="str">
        <x:v>cmsbsjzo7000b04ji6xjyj7y5</x:v>
      </x:c>
      <x:c r="B934" s="1" t="str">
        <x:v>cmsbsfl20000204jilg9k8ism</x:v>
      </x:c>
      <x:c r="C934" s="1" t="str">
        <x:v>ca-2023-002537-storm-global-limited-v-jason-lutz-appellant-skeleton</x:v>
      </x:c>
      <x:c r="D934" s="12" t="n">
        <x:v>46236.53015385417</x:v>
      </x:c>
      <x:c r="E934" s="1" t="str">
        <x:v>yes</x:v>
      </x:c>
      <x:c r="F934" s="14" t="str">
        <x:v>cmsbskr86000h04ji5a4thcht</x:v>
      </x:c>
      <x:c r="G934" s="14" t="n">
        <x:v>13</x:v>
      </x:c>
      <x:c r="H934" s="14" t="str">
        <x:v>3f9ea643-73f4-4f17-b89a-f4861c2d62c0</x:v>
      </x:c>
      <x:c r="I934" s="14" t="str">
        <x:v>Smith v Carillion (JM) Ltd &amp; Anor [2015] EWCA Civ 209</x:v>
      </x:c>
      <x:c r="J934" s="14" t="str">
        <x:v>England and Wales Court of Appeal (Civil Division)</x:v>
      </x:c>
      <x:c r="K934" s="14" t="n">
        <x:v>2015</x:v>
      </x:c>
      <x:c r="L934" s="15" t="n">
        <x:v>0.6506688</x:v>
      </x:c>
      <x:c r="M934" s="14" t="n">
        <x:v>1</x:v>
      </x:c>
      <x:c r="N934" s="14" t="str">
        <x:v>James v Greenwich London Borough Council [2008] EWCA Civ 35</x:v>
      </x:c>
    </x:row>
    <x:row r="935">
      <x:c r="A935" s="1" t="str">
        <x:v>cmsbsjzo7000b04ji6xjyj7y5</x:v>
      </x:c>
      <x:c r="B935" s="1" t="str">
        <x:v>cmsbsfl20000204jilg9k8ism</x:v>
      </x:c>
      <x:c r="C935" s="1" t="str">
        <x:v>ca-2023-002537-storm-global-limited-v-jason-lutz-appellant-skeleton</x:v>
      </x:c>
      <x:c r="D935" s="12" t="n">
        <x:v>46236.53015385417</x:v>
      </x:c>
      <x:c r="E935" s="1" t="str">
        <x:v>yes</x:v>
      </x:c>
      <x:c r="F935" s="14" t="str">
        <x:v>cmsbskr86000h04ji5a4thcht</x:v>
      </x:c>
      <x:c r="G935" s="14" t="n">
        <x:v>14</x:v>
      </x:c>
      <x:c r="H935" s="14" t="str">
        <x:v>dd1fb906-0a37-4792-a4fa-7bf180ef6926</x:v>
      </x:c>
      <x:c r="I935" s="14" t="str">
        <x:v>Tyne and Wear Passenger Transport Executive (trading as Nexus) v National Union of Rail, Maritime and Transport Workers &amp; Unite the Union [2022] EWCA Civ 1408</x:v>
      </x:c>
      <x:c r="J935" s="14" t="str">
        <x:v>England and Wales Court of Appeal (Civil Division)</x:v>
      </x:c>
      <x:c r="K935" s="14" t="n">
        <x:v>2022</x:v>
      </x:c>
      <x:c r="L935" s="15" t="n">
        <x:v>0.6494029</x:v>
      </x:c>
      <x:c r="M935" s="14" t="n">
        <x:v>1</x:v>
      </x:c>
      <x:c r="N935" s="14" t="str">
        <x:v>[2022] EWCA Civ 1408 | Agarwal v Cardiff University | Mostyn v West Mostyn Coal and Iron Co | Breslauer v Barwick | Snell on Equity | Delaney v Staples | Toastmaster v Ainscough | Johnson v Gore-Wood &amp; Co | Lloyd v Google LLC | Persimmon Homes Ltd v Hillier | Saanich Police Association v District of Saanich Police Board | Public Service Alliance of Canada v NAV Canada | Resolution Chemicals Ltd v H Lundbeck A/S</x:v>
      </x:c>
    </x:row>
    <x:row r="936">
      <x:c r="A936" s="1" t="str">
        <x:v>cmsbsjzo7000b04ji6xjyj7y5</x:v>
      </x:c>
      <x:c r="B936" s="1" t="str">
        <x:v>cmsbsfl20000204jilg9k8ism</x:v>
      </x:c>
      <x:c r="C936" s="1" t="str">
        <x:v>ca-2023-002537-storm-global-limited-v-jason-lutz-appellant-skeleton</x:v>
      </x:c>
      <x:c r="D936" s="12" t="n">
        <x:v>46236.53015385417</x:v>
      </x:c>
      <x:c r="E936" s="1" t="str">
        <x:v>yes</x:v>
      </x:c>
      <x:c r="F936" s="14" t="str">
        <x:v>cmsbskr86000h04ji5a4thcht</x:v>
      </x:c>
      <x:c r="G936" s="14" t="n">
        <x:v>15</x:v>
      </x:c>
      <x:c r="H936" s="14" t="str">
        <x:v>806f118b-d6b0-4939-ad11-753dafd57638</x:v>
      </x:c>
      <x:c r="I936" s="14" t="str">
        <x:v>Nayif v The High Commission of Brunei Darussalam [2014] EWCA Civ 1521</x:v>
      </x:c>
      <x:c r="J936" s="14" t="str">
        <x:v>England and Wales Court of Appeal (Civil Division)</x:v>
      </x:c>
      <x:c r="K936" s="14" t="n">
        <x:v>2014</x:v>
      </x:c>
      <x:c r="L936" s="15" t="n">
        <x:v>0.6485284</x:v>
      </x:c>
      <x:c r="M936" s="14" t="n">
        <x:v>1</x:v>
      </x:c>
      <x:c r="N936" s="14" t="str"/>
    </x:row>
    <x:row r="937">
      <x:c r="A937" s="1" t="str">
        <x:v>cmsbsjzo7000b04ji6xjyj7y5</x:v>
      </x:c>
      <x:c r="B937" s="1" t="str">
        <x:v>cmsbsfl20000204jilg9k8ism</x:v>
      </x:c>
      <x:c r="C937" s="1" t="str">
        <x:v>ca-2023-002537-storm-global-limited-v-jason-lutz-appellant-skeleton</x:v>
      </x:c>
      <x:c r="D937" s="12" t="n">
        <x:v>46236.53015385417</x:v>
      </x:c>
      <x:c r="E937" s="1" t="str">
        <x:v>yes</x:v>
      </x:c>
      <x:c r="F937" s="14" t="str">
        <x:v>cmsbskr86000h04ji5a4thcht</x:v>
      </x:c>
      <x:c r="G937" s="14" t="n">
        <x:v>16</x:v>
      </x:c>
      <x:c r="H937" s="14" t="str">
        <x:v>9c5985b6-eaaf-4a06-86c8-f415cd027261</x:v>
      </x:c>
      <x:c r="I937" s="14" t="str">
        <x:v>Onu v Akwiwu &amp; Anor [2014] EWCA Civ 279</x:v>
      </x:c>
      <x:c r="J937" s="14" t="str">
        <x:v>England and Wales Court of Appeal (Civil Division)</x:v>
      </x:c>
      <x:c r="K937" s="14" t="n">
        <x:v>2014</x:v>
      </x:c>
      <x:c r="L937" s="15" t="n">
        <x:v>0.64824957</x:v>
      </x:c>
      <x:c r="M937" s="14" t="n">
        <x:v>2</x:v>
      </x:c>
      <x:c r="N937" s="14" t="str">
        <x:v>Mehmet v Aduna UKEAT/0574/06 | Rowstock Ltd. v Jessemey [2013] ICR 807</x:v>
      </x:c>
    </x:row>
    <x:row r="938">
      <x:c r="A938" s="1" t="str">
        <x:v>cmsbsjzo7000b04ji6xjyj7y5</x:v>
      </x:c>
      <x:c r="B938" s="1" t="str">
        <x:v>cmsbsfl20000204jilg9k8ism</x:v>
      </x:c>
      <x:c r="C938" s="1" t="str">
        <x:v>ca-2023-002537-storm-global-limited-v-jason-lutz-appellant-skeleton</x:v>
      </x:c>
      <x:c r="D938" s="12" t="n">
        <x:v>46236.53015385417</x:v>
      </x:c>
      <x:c r="E938" s="1" t="str">
        <x:v>yes</x:v>
      </x:c>
      <x:c r="F938" s="14" t="str">
        <x:v>cmsbskr86000h04ji5a4thcht</x:v>
      </x:c>
      <x:c r="G938" s="14" t="n">
        <x:v>17</x:v>
      </x:c>
      <x:c r="H938" s="14" t="str">
        <x:v>61dd8025-2416-42b9-91eb-a789f5f98110</x:v>
      </x:c>
      <x:c r="I938" s="14" t="str">
        <x:v>Creditsights Ltd v Dhunna [2014] EWCA Civ 1238</x:v>
      </x:c>
      <x:c r="J938" s="14" t="str">
        <x:v>England and Wales Court of Appeal (Civil Division)</x:v>
      </x:c>
      <x:c r="K938" s="14" t="n">
        <x:v>2014</x:v>
      </x:c>
      <x:c r="L938" s="15" t="n">
        <x:v>0.64780825</x:v>
      </x:c>
      <x:c r="M938" s="14" t="n">
        <x:v>1</x:v>
      </x:c>
      <x:c r="N938" s="14" t="str">
        <x:v>Lawson v. Serco | Ravat v. Halliburton</x:v>
      </x:c>
    </x:row>
    <x:row r="939">
      <x:c r="A939" s="1" t="str">
        <x:v>cmsbsjzo7000b04ji6xjyj7y5</x:v>
      </x:c>
      <x:c r="B939" s="1" t="str">
        <x:v>cmsbsfl20000204jilg9k8ism</x:v>
      </x:c>
      <x:c r="C939" s="1" t="str">
        <x:v>ca-2023-002537-storm-global-limited-v-jason-lutz-appellant-skeleton</x:v>
      </x:c>
      <x:c r="D939" s="12" t="n">
        <x:v>46236.53015385417</x:v>
      </x:c>
      <x:c r="E939" s="1" t="str">
        <x:v>yes</x:v>
      </x:c>
      <x:c r="F939" s="14" t="str">
        <x:v>cmsbskr86000h04ji5a4thcht</x:v>
      </x:c>
      <x:c r="G939" s="14" t="n">
        <x:v>18</x:v>
      </x:c>
      <x:c r="H939" s="14" t="str">
        <x:v>c9936a53-fa3e-464f-9504-b22bdbbcc939</x:v>
      </x:c>
      <x:c r="I939" s="14" t="str">
        <x:v>Sunrise Brokers LLP v Rodgers [2014] EWCA Civ 1373</x:v>
      </x:c>
      <x:c r="J939" s="14" t="str">
        <x:v>England and Wales Court of Appeal (Civil Division)</x:v>
      </x:c>
      <x:c r="K939" s="14" t="n">
        <x:v>2014</x:v>
      </x:c>
      <x:c r="L939" s="15" t="n">
        <x:v>0.6443316</x:v>
      </x:c>
      <x:c r="M939" s="14" t="n">
        <x:v>1</x:v>
      </x:c>
      <x:c r="N939" s="14" t="str">
        <x:v>Geys v Société Generale [2013] 1 AC 523</x:v>
      </x:c>
    </x:row>
    <x:row r="940">
      <x:c r="A940" s="1" t="str">
        <x:v>cmsbsjzo7000b04ji6xjyj7y5</x:v>
      </x:c>
      <x:c r="B940" s="1" t="str">
        <x:v>cmsbsfl20000204jilg9k8ism</x:v>
      </x:c>
      <x:c r="C940" s="1" t="str">
        <x:v>ca-2023-002537-storm-global-limited-v-jason-lutz-appellant-skeleton</x:v>
      </x:c>
      <x:c r="D940" s="12" t="n">
        <x:v>46236.53015385417</x:v>
      </x:c>
      <x:c r="E940" s="1" t="str">
        <x:v>yes</x:v>
      </x:c>
      <x:c r="F940" s="14" t="str">
        <x:v>cmsbskr86000h04ji5a4thcht</x:v>
      </x:c>
      <x:c r="G940" s="14" t="n">
        <x:v>19</x:v>
      </x:c>
      <x:c r="H940" s="14" t="str">
        <x:v>29190db1-6f4f-49a2-84d9-84e5a2091581</x:v>
      </x:c>
      <x:c r="I940" s="14" t="str">
        <x:v>Jafri v Lincoln College [2014] EWCA Civ 449</x:v>
      </x:c>
      <x:c r="J940" s="14" t="str">
        <x:v>England and Wales Court of Appeal (Civil Division)</x:v>
      </x:c>
      <x:c r="K940" s="14" t="n">
        <x:v>2014</x:v>
      </x:c>
      <x:c r="L940" s="15" t="n">
        <x:v>0.6441916</x:v>
      </x:c>
      <x:c r="M940" s="14" t="n">
        <x:v>1</x:v>
      </x:c>
      <x:c r="N940" s="14" t="str">
        <x:v>Willow Oak Developments v Silverwood [2006] IRLR 607</x:v>
      </x:c>
    </x:row>
    <x:row r="941">
      <x:c r="A941" s="1" t="str">
        <x:v>cmsbsjzo7000b04ji6xjyj7y5</x:v>
      </x:c>
      <x:c r="B941" s="1" t="str">
        <x:v>cmsbsfl20000204jilg9k8ism</x:v>
      </x:c>
      <x:c r="C941" s="1" t="str">
        <x:v>ca-2023-002537-storm-global-limited-v-jason-lutz-appellant-skeleton</x:v>
      </x:c>
      <x:c r="D941" s="12" t="n">
        <x:v>46236.53015385417</x:v>
      </x:c>
      <x:c r="E941" s="1" t="str">
        <x:v>yes</x:v>
      </x:c>
      <x:c r="F941" s="14" t="str">
        <x:v>cmsbskr86000h04ji5a4thcht</x:v>
      </x:c>
      <x:c r="G941" s="14" t="n">
        <x:v>20</x:v>
      </x:c>
      <x:c r="H941" s="14" t="str">
        <x:v>577f094f-52eb-4539-b09d-d7a158f627df</x:v>
      </x:c>
      <x:c r="I941" s="14" t="str">
        <x:v>Dyson Technology Limited v Pellerey [2016] EWCA Civ 87</x:v>
      </x:c>
      <x:c r="J941" s="14" t="str">
        <x:v>England and Wales Court of Appeal (Civil Division)</x:v>
      </x:c>
      <x:c r="K941" s="14" t="n">
        <x:v>2016</x:v>
      </x:c>
      <x:c r="L941" s="15" t="n">
        <x:v>0.6440934</x:v>
      </x:c>
      <x:c r="M941" s="14" t="n">
        <x:v>1</x:v>
      </x:c>
      <x:c r="N941" s="14" t="str">
        <x:v>TFS Derivatives v Morgan | Prophet v Huggett | Ashcourt Rowan Financial Planning v Hall | Littlewoods Organisation v Harris | Faccenda Chicken v Fowler | Rolls v Miller | In re Sarflax Ltd | Insurance Co v Lloyd's Syndicate | Lawrence v Fen Tigers | Doherty v Allman | Dyson Technology Limited v Strutt | Roxburgh v Builders Supply Co (Hayes) Ltd</x:v>
      </x:c>
    </x:row>
    <x:row r="942">
      <x:c r="A942" s="1" t="str">
        <x:v>cmsbso1ez000v04jiujckeft7</x:v>
      </x:c>
      <x:c r="B942" s="1" t="str">
        <x:v>cmsbsln8v000m04jihjbo4vud</x:v>
      </x:c>
      <x:c r="C942" s="1" t="str">
        <x:v>ca-2024-000624 and ca-2024-000625-the-royal-embassy-of-saudi-arabia-appellant-skeleton</x:v>
      </x:c>
      <x:c r="D942" s="12" t="n">
        <x:v>46236.532340046295</x:v>
      </x:c>
      <x:c r="E942" s="1" t="str">
        <x:v>yes</x:v>
      </x:c>
      <x:c r="F942" s="14" t="str">
        <x:v>cmsbsp3em001104ji2u62id7q</x:v>
      </x:c>
      <x:c r="G942" s="14" t="n">
        <x:v>1</x:v>
      </x:c>
      <x:c r="H942" s="14" t="str">
        <x:v>99e499ed-5641-4f75-8c33-a3c4e6031823</x:v>
      </x:c>
      <x:c r="I942" s="14" t="str">
        <x:v>Argentum Exploration Limited v The Silver and all persons claiming to be interested in and/or to have rights in respect of, the Silver [2022] EWCA Civ 1318</x:v>
      </x:c>
      <x:c r="J942" s="14" t="str">
        <x:v>England and Wales Court of Appeal (Civil Division)</x:v>
      </x:c>
      <x:c r="K942" s="14" t="n">
        <x:v>2022</x:v>
      </x:c>
      <x:c r="L942" s="15" t="n">
        <x:v>0.74600875</x:v>
      </x:c>
      <x:c r="M942" s="14" t="n">
        <x:v>2</x:v>
      </x:c>
      <x:c r="N942" s="14" t="str">
        <x:v>Benkharbouche v Embassy of The Republic of Sudan [2017] UKSC 62 | Benkharbouche v Embassy of The Republic of Sudan [2019] AC 777 | Benkharbouche (two forms of state immunity) | Benkharbouche [2017] UKSC 62</x:v>
      </x:c>
    </x:row>
    <x:row r="943">
      <x:c r="A943" s="1" t="str">
        <x:v>cmsbso1ez000v04jiujckeft7</x:v>
      </x:c>
      <x:c r="B943" s="1" t="str">
        <x:v>cmsbsln8v000m04jihjbo4vud</x:v>
      </x:c>
      <x:c r="C943" s="1" t="str">
        <x:v>ca-2024-000624 and ca-2024-000625-the-royal-embassy-of-saudi-arabia-appellant-skeleton</x:v>
      </x:c>
      <x:c r="D943" s="12" t="n">
        <x:v>46236.532340046295</x:v>
      </x:c>
      <x:c r="E943" s="1" t="str">
        <x:v>yes</x:v>
      </x:c>
      <x:c r="F943" s="14" t="str">
        <x:v>cmsbsp3em001104ji2u62id7q</x:v>
      </x:c>
      <x:c r="G943" s="14" t="n">
        <x:v>2</x:v>
      </x:c>
      <x:c r="H943" s="14" t="str">
        <x:v>2e88bc46-6293-4125-beac-79bb041f2d4c</x:v>
      </x:c>
      <x:c r="I943" s="14" t="str">
        <x:v>Sayn-Wittgenstein-Sayn v HM Juan Carlos Alfonso Victor María de Borbón y Borbón (Rev1) [2022] EWCA Civ 1595</x:v>
      </x:c>
      <x:c r="J943" s="14" t="str">
        <x:v>England and Wales Court of Appeal (Civil Division)</x:v>
      </x:c>
      <x:c r="K943" s="14" t="n">
        <x:v>2022</x:v>
      </x:c>
      <x:c r="L943" s="15" t="n">
        <x:v>0.7417507</x:v>
      </x:c>
      <x:c r="M943" s="14" t="n">
        <x:v>5</x:v>
      </x:c>
      <x:c r="N943" s="14" t="str">
        <x:v>I Congreso | Surkis v Poroshenko | Mallén v United States | Fernando v Sathananthan | Kuwait Airways | Fawaz Al Attiya v Hamad Bin-Jassim Bin-Jaber Al Thani | Nigeria v Ogbonna | Jones v Ruth</x:v>
      </x:c>
    </x:row>
    <x:row r="944">
      <x:c r="A944" s="1" t="str">
        <x:v>cmsbso1ez000v04jiujckeft7</x:v>
      </x:c>
      <x:c r="B944" s="1" t="str">
        <x:v>cmsbsln8v000m04jihjbo4vud</x:v>
      </x:c>
      <x:c r="C944" s="1" t="str">
        <x:v>ca-2024-000624 and ca-2024-000625-the-royal-embassy-of-saudi-arabia-appellant-skeleton</x:v>
      </x:c>
      <x:c r="D944" s="12" t="n">
        <x:v>46236.532340046295</x:v>
      </x:c>
      <x:c r="E944" s="1" t="str">
        <x:v>yes</x:v>
      </x:c>
      <x:c r="F944" s="14" t="str">
        <x:v>cmsbsp3em001104ji2u62id7q</x:v>
      </x:c>
      <x:c r="G944" s="14" t="n">
        <x:v>3</x:v>
      </x:c>
      <x:c r="H944" s="14" t="str">
        <x:v>48a6c9aa-6aaf-46f0-a0a1-db486992f637</x:v>
      </x:c>
      <x:c r="I944" s="14" t="str">
        <x:v>Benkharbouche &amp; Anor v Embassy of the Republic of Sudan</x:v>
      </x:c>
      <x:c r="J944" s="14" t="str">
        <x:v>England and Wales Court of Appeal (Civil Division)</x:v>
      </x:c>
      <x:c r="K944" s="14" t="n">
        <x:v>2015</x:v>
      </x:c>
      <x:c r="L944" s="15" t="n">
        <x:v>0.7409455</x:v>
      </x:c>
      <x:c r="M944" s="14" t="n">
        <x:v>6</x:v>
      </x:c>
      <x:c r="N944" s="14" t="str">
        <x:v>Mahamdia v Algeria | Fogarty v UK | Benkharbouche v Embassy of the Republic of Sudan | Jones v. Saudi Arabia</x:v>
      </x:c>
    </x:row>
    <x:row r="945">
      <x:c r="A945" s="1" t="str">
        <x:v>cmsbso1ez000v04jiujckeft7</x:v>
      </x:c>
      <x:c r="B945" s="1" t="str">
        <x:v>cmsbsln8v000m04jihjbo4vud</x:v>
      </x:c>
      <x:c r="C945" s="1" t="str">
        <x:v>ca-2024-000624 and ca-2024-000625-the-royal-embassy-of-saudi-arabia-appellant-skeleton</x:v>
      </x:c>
      <x:c r="D945" s="12" t="n">
        <x:v>46236.532340046295</x:v>
      </x:c>
      <x:c r="E945" s="1" t="str">
        <x:v>yes</x:v>
      </x:c>
      <x:c r="F945" s="14" t="str">
        <x:v>cmsbsp3em001104ji2u62id7q</x:v>
      </x:c>
      <x:c r="G945" s="14" t="n">
        <x:v>4</x:v>
      </x:c>
      <x:c r="H945" s="14" t="str">
        <x:v>f1db17d9-c809-4f44-a350-a7c506f9683c</x:v>
      </x:c>
      <x:c r="I945" s="14" t="str">
        <x:v>Reyes &amp; Anor v Al-Malki &amp; Anor</x:v>
      </x:c>
      <x:c r="J945" s="14" t="str">
        <x:v>England and Wales Court of Appeal (Civil Division)</x:v>
      </x:c>
      <x:c r="K945" s="14" t="n">
        <x:v>2015</x:v>
      </x:c>
      <x:c r="L945" s="15" t="n">
        <x:v>0.71455973</x:v>
      </x:c>
      <x:c r="M945" s="14" t="n">
        <x:v>6</x:v>
      </x:c>
      <x:c r="N945" s="14" t="str">
        <x:v>Propend Finance Pty Ltd v Sing | Tabion v Mufti</x:v>
      </x:c>
    </x:row>
    <x:row r="946">
      <x:c r="A946" s="1" t="str">
        <x:v>cmsbso1ez000v04jiujckeft7</x:v>
      </x:c>
      <x:c r="B946" s="1" t="str">
        <x:v>cmsbsln8v000m04jihjbo4vud</x:v>
      </x:c>
      <x:c r="C946" s="1" t="str">
        <x:v>ca-2024-000624 and ca-2024-000625-the-royal-embassy-of-saudi-arabia-appellant-skeleton</x:v>
      </x:c>
      <x:c r="D946" s="12" t="n">
        <x:v>46236.532340046295</x:v>
      </x:c>
      <x:c r="E946" s="1" t="str">
        <x:v>yes</x:v>
      </x:c>
      <x:c r="F946" s="14" t="str">
        <x:v>cmsbsp3em001104ji2u62id7q</x:v>
      </x:c>
      <x:c r="G946" s="14" t="n">
        <x:v>5</x:v>
      </x:c>
      <x:c r="H946" s="14" t="str">
        <x:v>47b7ca59-4dae-4e38-9b19-66a4d28a1d9e</x:v>
      </x:c>
      <x:c r="I946" s="14" t="str">
        <x:v>Belhaj &amp; Anor v Straw &amp; Ors [2014] EWCA Civ 1394</x:v>
      </x:c>
      <x:c r="J946" s="14" t="str">
        <x:v>England and Wales Court of Appeal (Civil Division)</x:v>
      </x:c>
      <x:c r="K946" s="14" t="n">
        <x:v>2014</x:v>
      </x:c>
      <x:c r="L946" s="15" t="n">
        <x:v>0.7013993</x:v>
      </x:c>
      <x:c r="M946" s="14" t="n">
        <x:v>5</x:v>
      </x:c>
      <x:c r="N946" s="14" t="str">
        <x:v>Oppenheimer v. Cattermole | Kuwait Airways | Buttes Gas | Jones v. Saudi Arabia</x:v>
      </x:c>
    </x:row>
    <x:row r="947">
      <x:c r="A947" s="1" t="str">
        <x:v>cmsbso1ez000v04jiujckeft7</x:v>
      </x:c>
      <x:c r="B947" s="1" t="str">
        <x:v>cmsbsln8v000m04jihjbo4vud</x:v>
      </x:c>
      <x:c r="C947" s="1" t="str">
        <x:v>ca-2024-000624 and ca-2024-000625-the-royal-embassy-of-saudi-arabia-appellant-skeleton</x:v>
      </x:c>
      <x:c r="D947" s="12" t="n">
        <x:v>46236.532340046295</x:v>
      </x:c>
      <x:c r="E947" s="1" t="str">
        <x:v>yes</x:v>
      </x:c>
      <x:c r="F947" s="14" t="str">
        <x:v>cmsbsp3em001104ji2u62id7q</x:v>
      </x:c>
      <x:c r="G947" s="14" t="n">
        <x:v>6</x:v>
      </x:c>
      <x:c r="H947" s="14" t="str">
        <x:v>d2d218fb-5cb2-4d42-9835-3e293c334cd3</x:v>
      </x:c>
      <x:c r="I947" s="14" t="str">
        <x:v>HRH Prince Abdul Aziz Bin Fahd Bin Abdul Aziz v Harb</x:v>
      </x:c>
      <x:c r="J947" s="14" t="str">
        <x:v>England and Wales Court of Appeal (Civil Division)</x:v>
      </x:c>
      <x:c r="K947" s="14" t="n">
        <x:v>2015</x:v>
      </x:c>
      <x:c r="L947" s="15" t="n">
        <x:v>0.6935285</x:v>
      </x:c>
      <x:c r="M947" s="14" t="n">
        <x:v>4</x:v>
      </x:c>
      <x:c r="N947" s="14" t="str">
        <x:v>State Immunity Act 1978 | Pinochet No 3</x:v>
      </x:c>
    </x:row>
    <x:row r="948">
      <x:c r="A948" s="1" t="str">
        <x:v>cmsbso1ez000v04jiujckeft7</x:v>
      </x:c>
      <x:c r="B948" s="1" t="str">
        <x:v>cmsbsln8v000m04jihjbo4vud</x:v>
      </x:c>
      <x:c r="C948" s="1" t="str">
        <x:v>ca-2024-000624 and ca-2024-000625-the-royal-embassy-of-saudi-arabia-appellant-skeleton</x:v>
      </x:c>
      <x:c r="D948" s="12" t="n">
        <x:v>46236.532340046295</x:v>
      </x:c>
      <x:c r="E948" s="1" t="str">
        <x:v>yes</x:v>
      </x:c>
      <x:c r="F948" s="14" t="str">
        <x:v>cmsbsp3em001104ji2u62id7q</x:v>
      </x:c>
      <x:c r="G948" s="14" t="n">
        <x:v>7</x:v>
      </x:c>
      <x:c r="H948" s="14" t="str">
        <x:v>ee5ed42e-d552-49f7-ae34-ee6ddf99593b</x:v>
      </x:c>
      <x:c r="I948" s="14" t="str">
        <x:v>The United States of America v Nolan</x:v>
      </x:c>
      <x:c r="J948" s="14" t="str">
        <x:v>England and Wales Court of Appeal (Civil Division)</x:v>
      </x:c>
      <x:c r="K948" s="14" t="n">
        <x:v>2014</x:v>
      </x:c>
      <x:c r="L948" s="15" t="n">
        <x:v>0.6928307</x:v>
      </x:c>
      <x:c r="M948" s="14" t="n">
        <x:v>3</x:v>
      </x:c>
      <x:c r="N948" s="14" t="str">
        <x:v>R v British Coal Corporation, ex p Vardy [1993] ICR 720 | Scattolon v Ministero dell' Istruzione C-108/10</x:v>
      </x:c>
    </x:row>
    <x:row r="949">
      <x:c r="A949" s="1" t="str">
        <x:v>cmsbso1ez000v04jiujckeft7</x:v>
      </x:c>
      <x:c r="B949" s="1" t="str">
        <x:v>cmsbsln8v000m04jihjbo4vud</x:v>
      </x:c>
      <x:c r="C949" s="1" t="str">
        <x:v>ca-2024-000624 and ca-2024-000625-the-royal-embassy-of-saudi-arabia-appellant-skeleton</x:v>
      </x:c>
      <x:c r="D949" s="12" t="n">
        <x:v>46236.532340046295</x:v>
      </x:c>
      <x:c r="E949" s="1" t="str">
        <x:v>yes</x:v>
      </x:c>
      <x:c r="F949" s="14" t="str">
        <x:v>cmsbsp3em001104ji2u62id7q</x:v>
      </x:c>
      <x:c r="G949" s="14" t="n">
        <x:v>8</x:v>
      </x:c>
      <x:c r="H949" s="14" t="str">
        <x:v>56ebcb77-2936-4ffe-9d4e-4334c394df46</x:v>
      </x:c>
      <x:c r="I949" s="14" t="str">
        <x:v>IPCO (Nigeria) Ltd v Nigerian National Petroleum Corporation [2015] EWCA Civ 1144</x:v>
      </x:c>
      <x:c r="J949" s="14" t="str">
        <x:v>England and Wales Court of Appeal (Civil Division)</x:v>
      </x:c>
      <x:c r="K949" s="14" t="n">
        <x:v>2015</x:v>
      </x:c>
      <x:c r="L949" s="15" t="n">
        <x:v>0.66389716</x:v>
      </x:c>
      <x:c r="M949" s="14" t="n">
        <x:v>1</x:v>
      </x:c>
      <x:c r="N949" s="14" t="str">
        <x:v>Soleh Boneh International Ltd v Government of the Republic of Uganda [1993] 2 Lloyd's Rep 208 | Europcar Italia S.p.A. v Maiellano Tours 156 F.3d 319 (1998)</x:v>
      </x:c>
    </x:row>
    <x:row r="950">
      <x:c r="A950" s="1" t="str">
        <x:v>cmsbso1ez000v04jiujckeft7</x:v>
      </x:c>
      <x:c r="B950" s="1" t="str">
        <x:v>cmsbsln8v000m04jihjbo4vud</x:v>
      </x:c>
      <x:c r="C950" s="1" t="str">
        <x:v>ca-2024-000624 and ca-2024-000625-the-royal-embassy-of-saudi-arabia-appellant-skeleton</x:v>
      </x:c>
      <x:c r="D950" s="12" t="n">
        <x:v>46236.532340046295</x:v>
      </x:c>
      <x:c r="E950" s="1" t="str">
        <x:v>yes</x:v>
      </x:c>
      <x:c r="F950" s="14" t="str">
        <x:v>cmsbsp3em001104ji2u62id7q</x:v>
      </x:c>
      <x:c r="G950" s="14" t="n">
        <x:v>9</x:v>
      </x:c>
      <x:c r="H950" s="14" t="str">
        <x:v>95a09909-d350-4cc6-8e33-4153cfe28a7f</x:v>
      </x:c>
      <x:c r="I950" s="14" t="str">
        <x:v>Bestfort Developments LLP &amp; Ors v Ras Al Khaimah Investment Authority &amp; Ors [2016] EWCA Civ 1099</x:v>
      </x:c>
      <x:c r="J950" s="14" t="str">
        <x:v>England and Wales Court of Appeal (Civil Division)</x:v>
      </x:c>
      <x:c r="K950" s="14" t="n">
        <x:v>2016</x:v>
      </x:c>
      <x:c r="L950" s="15" t="n">
        <x:v>0.6618103</x:v>
      </x:c>
      <x:c r="M950" s="14" t="n">
        <x:v>1</x:v>
      </x:c>
      <x:c r="N950" s="14" t="str">
        <x:v>Nasser v United Bank of Kuwait [2002] 1 WLR 1868 | Dumrul v Standard Chartered Bank [2010] EWHC 2625 (Comm) | Star Reefers Pool Inc v JFC Group [2011] EWCA Civ 1065 | Texuna International Ltd v Cairn Energy Plc [2004] EWHC 1102 (Comm) | Aim Asset Management Sdn. Bhd &amp; Anor v Kazakhstan Investment Fund Ltd (unreported, 22 May 2002) | De Beer v Kanaar | Carson v United Kingdom (2010) 51 EHRR 13 | Runkee v United Kingdom [2007] ECHR 42989/98 | Public Law Project v Lord Chancellor [2015] EWCA Civ 1193 | LB v Austria (2002) 34 EHRR 21</x:v>
      </x:c>
    </x:row>
    <x:row r="951">
      <x:c r="A951" s="1" t="str">
        <x:v>cmsbso1ez000v04jiujckeft7</x:v>
      </x:c>
      <x:c r="B951" s="1" t="str">
        <x:v>cmsbsln8v000m04jihjbo4vud</x:v>
      </x:c>
      <x:c r="C951" s="1" t="str">
        <x:v>ca-2024-000624 and ca-2024-000625-the-royal-embassy-of-saudi-arabia-appellant-skeleton</x:v>
      </x:c>
      <x:c r="D951" s="12" t="n">
        <x:v>46236.532340046295</x:v>
      </x:c>
      <x:c r="E951" s="1" t="str">
        <x:v>yes</x:v>
      </x:c>
      <x:c r="F951" s="14" t="str">
        <x:v>cmsbsp3em001104ji2u62id7q</x:v>
      </x:c>
      <x:c r="G951" s="14" t="n">
        <x:v>10</x:v>
      </x:c>
      <x:c r="H951" s="14" t="str">
        <x:v>f867230d-587a-4c73-ba9b-3ab93ed9d9d7</x:v>
      </x:c>
      <x:c r="I951" s="14" t="str">
        <x:v>Zubaydah v Foreign and Commonwealth Office &amp; Ors [2022] EWCA Civ 334 (Court of Appeal, Civil Division)</x:v>
      </x:c>
      <x:c r="J951" s="14" t="str">
        <x:v>England and Wales Court of Appeal (Civil Division)</x:v>
      </x:c>
      <x:c r="K951" s="14" t="n">
        <x:v>2022</x:v>
      </x:c>
      <x:c r="L951" s="15" t="n">
        <x:v>0.6547145</x:v>
      </x:c>
      <x:c r="M951" s="14" t="n">
        <x:v>3</x:v>
      </x:c>
      <x:c r="N951" s="14" t="str">
        <x:v>R (Al-Jedda) v Secretary of State for Defence | VTB Capital v Nutritek | Roerig v Valiant Trawlers Ltd | R (Al-Jedda) | Dicey on Conflict of Laws | Law Commission Report | Entick v Carrington</x:v>
      </x:c>
    </x:row>
    <x:row r="952">
      <x:c r="A952" s="1" t="str">
        <x:v>cmsbso1ez000v04jiujckeft7</x:v>
      </x:c>
      <x:c r="B952" s="1" t="str">
        <x:v>cmsbsln8v000m04jihjbo4vud</x:v>
      </x:c>
      <x:c r="C952" s="1" t="str">
        <x:v>ca-2024-000624 and ca-2024-000625-the-royal-embassy-of-saudi-arabia-appellant-skeleton</x:v>
      </x:c>
      <x:c r="D952" s="12" t="n">
        <x:v>46236.532340046295</x:v>
      </x:c>
      <x:c r="E952" s="1" t="str">
        <x:v>yes</x:v>
      </x:c>
      <x:c r="F952" s="14" t="str">
        <x:v>cmsbsp3em001104ji2u62id7q</x:v>
      </x:c>
      <x:c r="G952" s="14" t="n">
        <x:v>11</x:v>
      </x:c>
      <x:c r="H952" s="14" t="str">
        <x:v>53e4e4d6-7fe9-4d97-a56c-d55311748151</x:v>
      </x:c>
      <x:c r="I952" s="14" t="str">
        <x:v>Yapp v Foreign and Commonwealth Office</x:v>
      </x:c>
      <x:c r="J952" s="14" t="str">
        <x:v>England and Wales Court of Appeal (Civil Division)</x:v>
      </x:c>
      <x:c r="K952" s="14" t="n">
        <x:v>2014</x:v>
      </x:c>
      <x:c r="L952" s="15" t="n">
        <x:v>0.65417886</x:v>
      </x:c>
      <x:c r="M952" s="14" t="n">
        <x:v>1</x:v>
      </x:c>
      <x:c r="N952" s="14" t="str"/>
    </x:row>
    <x:row r="953">
      <x:c r="A953" s="1" t="str">
        <x:v>cmsbso1ez000v04jiujckeft7</x:v>
      </x:c>
      <x:c r="B953" s="1" t="str">
        <x:v>cmsbsln8v000m04jihjbo4vud</x:v>
      </x:c>
      <x:c r="C953" s="1" t="str">
        <x:v>ca-2024-000624 and ca-2024-000625-the-royal-embassy-of-saudi-arabia-appellant-skeleton</x:v>
      </x:c>
      <x:c r="D953" s="12" t="n">
        <x:v>46236.532340046295</x:v>
      </x:c>
      <x:c r="E953" s="1" t="str">
        <x:v>yes</x:v>
      </x:c>
      <x:c r="F953" s="14" t="str">
        <x:v>cmsbsp3em001104ji2u62id7q</x:v>
      </x:c>
      <x:c r="G953" s="14" t="n">
        <x:v>12</x:v>
      </x:c>
      <x:c r="H953" s="14" t="str">
        <x:v>ce109720-ac8c-4042-bd77-82733a79fb6c</x:v>
      </x:c>
      <x:c r="I953" s="14" t="str">
        <x:v>London Borough of Croydon v Y [2016] EWCA Civ 398</x:v>
      </x:c>
      <x:c r="J953" s="14" t="str">
        <x:v>England and Wales Court of Appeal (Civil Division)</x:v>
      </x:c>
      <x:c r="K953" s="14" t="n">
        <x:v>2016</x:v>
      </x:c>
      <x:c r="L953" s="15" t="n">
        <x:v>0.6536834</x:v>
      </x:c>
      <x:c r="M953" s="14" t="n">
        <x:v>1</x:v>
      </x:c>
      <x:c r="N953" s="14" t="str">
        <x:v>Starr v National Coal Board [1977] 1 WLR 63 | R (A) v Croydon London Borough Council [2009] UKSC 8 | A v London Borough of Croydon [2009] EWHC 939 (Admin) | Royal and Sun Alliance v T &amp; N Ltd [2002] EWCA Civ 1964 | Walbrook Trust (Jersey) Ltd v Fattal [2008] EWCA Civ 427</x:v>
      </x:c>
    </x:row>
    <x:row r="954">
      <x:c r="A954" s="1" t="str">
        <x:v>cmsbso1ez000v04jiujckeft7</x:v>
      </x:c>
      <x:c r="B954" s="1" t="str">
        <x:v>cmsbsln8v000m04jihjbo4vud</x:v>
      </x:c>
      <x:c r="C954" s="1" t="str">
        <x:v>ca-2024-000624 and ca-2024-000625-the-royal-embassy-of-saudi-arabia-appellant-skeleton</x:v>
      </x:c>
      <x:c r="D954" s="12" t="n">
        <x:v>46236.532340046295</x:v>
      </x:c>
      <x:c r="E954" s="1" t="str">
        <x:v>yes</x:v>
      </x:c>
      <x:c r="F954" s="14" t="str">
        <x:v>cmsbsp3em001104ji2u62id7q</x:v>
      </x:c>
      <x:c r="G954" s="14" t="n">
        <x:v>13</x:v>
      </x:c>
      <x:c r="H954" s="14" t="str">
        <x:v>215b4f1f-c45b-4b5a-83c7-d9ecf0c27585</x:v>
      </x:c>
      <x:c r="I954" s="14" t="str">
        <x:v>R3 v Secretary of State for the Home Department [2023] EWCA Civ 169</x:v>
      </x:c>
      <x:c r="J954" s="14" t="str">
        <x:v>England and Wales Court of Appeal (Civil Division)</x:v>
      </x:c>
      <x:c r="K954" s="14" t="n">
        <x:v>2023</x:v>
      </x:c>
      <x:c r="L954" s="15" t="n">
        <x:v>0.65145683</x:v>
      </x:c>
      <x:c r="M954" s="14" t="n">
        <x:v>1</x:v>
      </x:c>
      <x:c r="N954" s="14" t="str">
        <x:v>Al-Skeini v UK | HF v France | Pham v SSHD | RJM v SSHD | S1 v SSHD | Abbas | Aziz | Gillan | K2</x:v>
      </x:c>
    </x:row>
    <x:row r="955">
      <x:c r="A955" s="1" t="str">
        <x:v>cmsbso1ez000v04jiujckeft7</x:v>
      </x:c>
      <x:c r="B955" s="1" t="str">
        <x:v>cmsbsln8v000m04jihjbo4vud</x:v>
      </x:c>
      <x:c r="C955" s="1" t="str">
        <x:v>ca-2024-000624 and ca-2024-000625-the-royal-embassy-of-saudi-arabia-appellant-skeleton</x:v>
      </x:c>
      <x:c r="D955" s="12" t="n">
        <x:v>46236.532340046295</x:v>
      </x:c>
      <x:c r="E955" s="1" t="str">
        <x:v>yes</x:v>
      </x:c>
      <x:c r="F955" s="14" t="str">
        <x:v>cmsbsp3em001104ji2u62id7q</x:v>
      </x:c>
      <x:c r="G955" s="14" t="n">
        <x:v>14</x:v>
      </x:c>
      <x:c r="H955" s="14" t="str">
        <x:v>7650f4cb-dc69-470f-a3c0-941784304d41</x:v>
      </x:c>
      <x:c r="I955" s="14" t="str">
        <x:v>Al-Saadoon &amp; Ors v The Secretary of State for Defence &amp; Ors; Rahmatullah &amp; Anr v Secretary of State for Defence &amp; Anr [2016] EWCA Civ 811 (Admin Court of Appeal, Civil Division)</x:v>
      </x:c>
      <x:c r="J955" s="14" t="str">
        <x:v>England and Wales Court of Appeal (Civil Division)</x:v>
      </x:c>
      <x:c r="K955" s="14" t="n">
        <x:v>2016</x:v>
      </x:c>
      <x:c r="L955" s="15" t="n">
        <x:v>0.650996</x:v>
      </x:c>
      <x:c r="M955" s="14" t="n">
        <x:v>2</x:v>
      </x:c>
      <x:c r="N955" s="14" t="str">
        <x:v>Bankovic | Al-Skeini | Issa | Ocalan | Medvedyev | Hassan | Jaloud | El-Masri | Kurt | Edwards | Loizidou | Cyprus v Turkey</x:v>
      </x:c>
    </x:row>
    <x:row r="956">
      <x:c r="A956" s="1" t="str">
        <x:v>cmsbso1ez000v04jiujckeft7</x:v>
      </x:c>
      <x:c r="B956" s="1" t="str">
        <x:v>cmsbsln8v000m04jihjbo4vud</x:v>
      </x:c>
      <x:c r="C956" s="1" t="str">
        <x:v>ca-2024-000624 and ca-2024-000625-the-royal-embassy-of-saudi-arabia-appellant-skeleton</x:v>
      </x:c>
      <x:c r="D956" s="12" t="n">
        <x:v>46236.532340046295</x:v>
      </x:c>
      <x:c r="E956" s="1" t="str">
        <x:v>yes</x:v>
      </x:c>
      <x:c r="F956" s="14" t="str">
        <x:v>cmsbsp3em001104ji2u62id7q</x:v>
      </x:c>
      <x:c r="G956" s="14" t="n">
        <x:v>15</x:v>
      </x:c>
      <x:c r="H956" s="14" t="str">
        <x:v>806f118b-d6b0-4939-ad11-753dafd57638</x:v>
      </x:c>
      <x:c r="I956" s="14" t="str">
        <x:v>Nayif v The High Commission of Brunei Darussalam [2014] EWCA Civ 1521</x:v>
      </x:c>
      <x:c r="J956" s="14" t="str">
        <x:v>England and Wales Court of Appeal (Civil Division)</x:v>
      </x:c>
      <x:c r="K956" s="14" t="n">
        <x:v>2014</x:v>
      </x:c>
      <x:c r="L956" s="15" t="n">
        <x:v>0.6425476</x:v>
      </x:c>
      <x:c r="M956" s="14" t="n">
        <x:v>1</x:v>
      </x:c>
      <x:c r="N956" s="14" t="str"/>
    </x:row>
    <x:row r="957">
      <x:c r="A957" s="1" t="str">
        <x:v>cmsbso1ez000v04jiujckeft7</x:v>
      </x:c>
      <x:c r="B957" s="1" t="str">
        <x:v>cmsbsln8v000m04jihjbo4vud</x:v>
      </x:c>
      <x:c r="C957" s="1" t="str">
        <x:v>ca-2024-000624 and ca-2024-000625-the-royal-embassy-of-saudi-arabia-appellant-skeleton</x:v>
      </x:c>
      <x:c r="D957" s="12" t="n">
        <x:v>46236.532340046295</x:v>
      </x:c>
      <x:c r="E957" s="1" t="str">
        <x:v>yes</x:v>
      </x:c>
      <x:c r="F957" s="14" t="str">
        <x:v>cmsbsp3em001104ji2u62id7q</x:v>
      </x:c>
      <x:c r="G957" s="14" t="n">
        <x:v>16</x:v>
      </x:c>
      <x:c r="H957" s="14" t="str">
        <x:v>7107ec67-0fe1-4e2a-a665-6949d1c2b554</x:v>
      </x:c>
      <x:c r="I957" s="14" t="str">
        <x:v>Sayn-Wittgenstein-Sayn v His Majesty Juan Carlos Alfonso Victor Maria de Borbón y Borbón [2022] EWCA Civ 1052</x:v>
      </x:c>
      <x:c r="J957" s="14" t="str">
        <x:v>England and Wales Court of Appeal (Civil Division)</x:v>
      </x:c>
      <x:c r="K957" s="14" t="n">
        <x:v>2022</x:v>
      </x:c>
      <x:c r="L957" s="15" t="n">
        <x:v>0.64238566</x:v>
      </x:c>
      <x:c r="M957" s="14" t="n">
        <x:v>3</x:v>
      </x:c>
      <x:c r="N957" s="14" t="str">
        <x:v>Apex | Vienna Convention on Diplomatic Relations</x:v>
      </x:c>
    </x:row>
    <x:row r="958">
      <x:c r="A958" s="1" t="str">
        <x:v>cmsbso1ez000v04jiujckeft7</x:v>
      </x:c>
      <x:c r="B958" s="1" t="str">
        <x:v>cmsbsln8v000m04jihjbo4vud</x:v>
      </x:c>
      <x:c r="C958" s="1" t="str">
        <x:v>ca-2024-000624 and ca-2024-000625-the-royal-embassy-of-saudi-arabia-appellant-skeleton</x:v>
      </x:c>
      <x:c r="D958" s="12" t="n">
        <x:v>46236.532340046295</x:v>
      </x:c>
      <x:c r="E958" s="1" t="str">
        <x:v>yes</x:v>
      </x:c>
      <x:c r="F958" s="14" t="str">
        <x:v>cmsbsp3em001104ji2u62id7q</x:v>
      </x:c>
      <x:c r="G958" s="14" t="n">
        <x:v>17</x:v>
      </x:c>
      <x:c r="H958" s="14" t="str">
        <x:v>ef2a3b5f-c840-4290-9574-fe29eee1c165</x:v>
      </x:c>
      <x:c r="I958" s="14" t="str">
        <x:v>Secretary of State for the Home Department v Lisa Smith [2023] EWCA Civ 376</x:v>
      </x:c>
      <x:c r="J958" s="14" t="str">
        <x:v>England and Wales Court of Appeal (Civil Division)</x:v>
      </x:c>
      <x:c r="K958" s="14" t="n">
        <x:v>2023</x:v>
      </x:c>
      <x:c r="L958" s="15" t="n">
        <x:v>0.6408772</x:v>
      </x:c>
      <x:c r="M958" s="14" t="n">
        <x:v>1</x:v>
      </x:c>
      <x:c r="N958" s="14" t="str"/>
    </x:row>
    <x:row r="959">
      <x:c r="A959" s="1" t="str">
        <x:v>cmsbso1ez000v04jiujckeft7</x:v>
      </x:c>
      <x:c r="B959" s="1" t="str">
        <x:v>cmsbsln8v000m04jihjbo4vud</x:v>
      </x:c>
      <x:c r="C959" s="1" t="str">
        <x:v>ca-2024-000624 and ca-2024-000625-the-royal-embassy-of-saudi-arabia-appellant-skeleton</x:v>
      </x:c>
      <x:c r="D959" s="12" t="n">
        <x:v>46236.532340046295</x:v>
      </x:c>
      <x:c r="E959" s="1" t="str">
        <x:v>yes</x:v>
      </x:c>
      <x:c r="F959" s="14" t="str">
        <x:v>cmsbsp3em001104ji2u62id7q</x:v>
      </x:c>
      <x:c r="G959" s="14" t="n">
        <x:v>18</x:v>
      </x:c>
      <x:c r="H959" s="14" t="str">
        <x:v>7cce4927-35a4-4b74-90f4-ac2262bb34d7</x:v>
      </x:c>
      <x:c r="I959" s="14" t="str">
        <x:v>C7 v Secretary of State for the Home Department [2023] EWCA Civ 265</x:v>
      </x:c>
      <x:c r="J959" s="14" t="str">
        <x:v>England and Wales Court of Appeal (Civil Division)</x:v>
      </x:c>
      <x:c r="K959" s="14" t="n">
        <x:v>2023</x:v>
      </x:c>
      <x:c r="L959" s="15" t="n">
        <x:v>0.63399434</x:v>
      </x:c>
      <x:c r="M959" s="14" t="n">
        <x:v>1</x:v>
      </x:c>
      <x:c r="N959" s="14" t="str"/>
    </x:row>
    <x:row r="960">
      <x:c r="A960" s="1" t="str">
        <x:v>cmsbso1ez000v04jiujckeft7</x:v>
      </x:c>
      <x:c r="B960" s="1" t="str">
        <x:v>cmsbsln8v000m04jihjbo4vud</x:v>
      </x:c>
      <x:c r="C960" s="1" t="str">
        <x:v>ca-2024-000624 and ca-2024-000625-the-royal-embassy-of-saudi-arabia-appellant-skeleton</x:v>
      </x:c>
      <x:c r="D960" s="12" t="n">
        <x:v>46236.532340046295</x:v>
      </x:c>
      <x:c r="E960" s="1" t="str">
        <x:v>yes</x:v>
      </x:c>
      <x:c r="F960" s="14" t="str">
        <x:v>cmsbsp3em001104ji2u62id7q</x:v>
      </x:c>
      <x:c r="G960" s="14" t="n">
        <x:v>19</x:v>
      </x:c>
      <x:c r="H960" s="14" t="str">
        <x:v>3a069494-6968-477a-a4ad-002ee5f30904</x:v>
      </x:c>
      <x:c r="I960" s="14" t="str">
        <x:v>Ali v Washwood Heath Technology College &amp; Ors [2014] EWCA Civ 97</x:v>
      </x:c>
      <x:c r="J960" s="14" t="str">
        <x:v>England and Wales Court of Appeal (Civil Division)</x:v>
      </x:c>
      <x:c r="K960" s="14" t="n">
        <x:v>2014</x:v>
      </x:c>
      <x:c r="L960" s="15" t="n">
        <x:v>0.63251925</x:v>
      </x:c>
      <x:c r="M960" s="14" t="n">
        <x:v>4</x:v>
      </x:c>
      <x:c r="N960" s="14" t="str"/>
    </x:row>
    <x:row r="961">
      <x:c r="A961" s="1" t="str">
        <x:v>cmsbso1ez000v04jiujckeft7</x:v>
      </x:c>
      <x:c r="B961" s="1" t="str">
        <x:v>cmsbsln8v000m04jihjbo4vud</x:v>
      </x:c>
      <x:c r="C961" s="1" t="str">
        <x:v>ca-2024-000624 and ca-2024-000625-the-royal-embassy-of-saudi-arabia-appellant-skeleton</x:v>
      </x:c>
      <x:c r="D961" s="12" t="n">
        <x:v>46236.532340046295</x:v>
      </x:c>
      <x:c r="E961" s="1" t="str">
        <x:v>yes</x:v>
      </x:c>
      <x:c r="F961" s="14" t="str">
        <x:v>cmsbsp3em001104ji2u62id7q</x:v>
      </x:c>
      <x:c r="G961" s="14" t="n">
        <x:v>20</x:v>
      </x:c>
      <x:c r="H961" s="14" t="str">
        <x:v>015f5896-7d13-46d4-8c6d-5c7317ecf054</x:v>
      </x:c>
      <x:c r="I961" s="14" t="str">
        <x:v>Al-Juffali v Estrada [2016] EWCA Civ 176</x:v>
      </x:c>
      <x:c r="J961" s="14" t="str">
        <x:v>England and Wales Court of Appeal (Civil Division)</x:v>
      </x:c>
      <x:c r="K961" s="14" t="n">
        <x:v>2016</x:v>
      </x:c>
      <x:c r="L961" s="15" t="n">
        <x:v>0.63104093</x:v>
      </x:c>
      <x:c r="M961" s="14" t="n">
        <x:v>4</x:v>
      </x:c>
      <x:c r="N961" s="14" t="str">
        <x:v>Al-Malki v Reyes (ECtHR-interpretation cited)</x:v>
      </x:c>
    </x:row>
    <x:row r="962">
      <x:c r="A962" s="1" t="str">
        <x:v>cmsbsp6wa001704jitdvkybp9</x:v>
      </x:c>
      <x:c r="B962" s="1" t="str">
        <x:v>cmsbsln8v000m04jihjbo4vud</x:v>
      </x:c>
      <x:c r="C962" s="1" t="str">
        <x:v>ca-2024-000624 and ca-2024-000625-the-royal-embassy-of-saudi-arabia-appellant-skeleton</x:v>
      </x:c>
      <x:c r="D962" s="12" t="n">
        <x:v>46236.53296240741</x:v>
      </x:c>
      <x:c r="E962" s="1" t="str">
        <x:v>yes</x:v>
      </x:c>
      <x:c r="F962" s="14" t="str">
        <x:v>cmsbsqcqm001d04ji3ses9ih9</x:v>
      </x:c>
      <x:c r="G962" s="14" t="n">
        <x:v>1</x:v>
      </x:c>
      <x:c r="H962" s="14" t="str">
        <x:v>99e499ed-5641-4f75-8c33-a3c4e6031823</x:v>
      </x:c>
      <x:c r="I962" s="14" t="str">
        <x:v>Argentum Exploration Limited v The Silver and all persons claiming to be interested in and/or to have rights in respect of, the Silver [2022] EWCA Civ 1318</x:v>
      </x:c>
      <x:c r="J962" s="14" t="str">
        <x:v>England and Wales Court of Appeal (Civil Division)</x:v>
      </x:c>
      <x:c r="K962" s="14" t="n">
        <x:v>2022</x:v>
      </x:c>
      <x:c r="L962" s="15" t="n">
        <x:v>0.74600875</x:v>
      </x:c>
      <x:c r="M962" s="14" t="n">
        <x:v>2</x:v>
      </x:c>
      <x:c r="N962" s="14" t="str">
        <x:v>Benkharbouche v Embassy of The Republic of Sudan [2017] UKSC 62 | Benkharbouche v Embassy of The Republic of Sudan [2019] AC 777 | Benkharbouche (two forms of state immunity) | Benkharbouche [2017] UKSC 62</x:v>
      </x:c>
    </x:row>
    <x:row r="963">
      <x:c r="A963" s="1" t="str">
        <x:v>cmsbsp6wa001704jitdvkybp9</x:v>
      </x:c>
      <x:c r="B963" s="1" t="str">
        <x:v>cmsbsln8v000m04jihjbo4vud</x:v>
      </x:c>
      <x:c r="C963" s="1" t="str">
        <x:v>ca-2024-000624 and ca-2024-000625-the-royal-embassy-of-saudi-arabia-appellant-skeleton</x:v>
      </x:c>
      <x:c r="D963" s="12" t="n">
        <x:v>46236.53296240741</x:v>
      </x:c>
      <x:c r="E963" s="1" t="str">
        <x:v>yes</x:v>
      </x:c>
      <x:c r="F963" s="14" t="str">
        <x:v>cmsbsqcqm001d04ji3ses9ih9</x:v>
      </x:c>
      <x:c r="G963" s="14" t="n">
        <x:v>2</x:v>
      </x:c>
      <x:c r="H963" s="14" t="str">
        <x:v>2e88bc46-6293-4125-beac-79bb041f2d4c</x:v>
      </x:c>
      <x:c r="I963" s="14" t="str">
        <x:v>Sayn-Wittgenstein-Sayn v HM Juan Carlos Alfonso Victor María de Borbón y Borbón (Rev1) [2022] EWCA Civ 1595</x:v>
      </x:c>
      <x:c r="J963" s="14" t="str">
        <x:v>England and Wales Court of Appeal (Civil Division)</x:v>
      </x:c>
      <x:c r="K963" s="14" t="n">
        <x:v>2022</x:v>
      </x:c>
      <x:c r="L963" s="15" t="n">
        <x:v>0.7417507</x:v>
      </x:c>
      <x:c r="M963" s="14" t="n">
        <x:v>5</x:v>
      </x:c>
      <x:c r="N963" s="14" t="str">
        <x:v>I Congreso | Surkis v Poroshenko | Mallén v United States | Fernando v Sathananthan | Kuwait Airways | Fawaz Al Attiya v Hamad Bin-Jassim Bin-Jaber Al Thani | Nigeria v Ogbonna | Jones v Ruth</x:v>
      </x:c>
    </x:row>
    <x:row r="964">
      <x:c r="A964" s="1" t="str">
        <x:v>cmsbsp6wa001704jitdvkybp9</x:v>
      </x:c>
      <x:c r="B964" s="1" t="str">
        <x:v>cmsbsln8v000m04jihjbo4vud</x:v>
      </x:c>
      <x:c r="C964" s="1" t="str">
        <x:v>ca-2024-000624 and ca-2024-000625-the-royal-embassy-of-saudi-arabia-appellant-skeleton</x:v>
      </x:c>
      <x:c r="D964" s="12" t="n">
        <x:v>46236.53296240741</x:v>
      </x:c>
      <x:c r="E964" s="1" t="str">
        <x:v>yes</x:v>
      </x:c>
      <x:c r="F964" s="14" t="str">
        <x:v>cmsbsqcqm001d04ji3ses9ih9</x:v>
      </x:c>
      <x:c r="G964" s="14" t="n">
        <x:v>3</x:v>
      </x:c>
      <x:c r="H964" s="14" t="str">
        <x:v>48a6c9aa-6aaf-46f0-a0a1-db486992f637</x:v>
      </x:c>
      <x:c r="I964" s="14" t="str">
        <x:v>Benkharbouche &amp; Anor v Embassy of the Republic of Sudan</x:v>
      </x:c>
      <x:c r="J964" s="14" t="str">
        <x:v>England and Wales Court of Appeal (Civil Division)</x:v>
      </x:c>
      <x:c r="K964" s="14" t="n">
        <x:v>2015</x:v>
      </x:c>
      <x:c r="L964" s="15" t="n">
        <x:v>0.74088013</x:v>
      </x:c>
      <x:c r="M964" s="14" t="n">
        <x:v>6</x:v>
      </x:c>
      <x:c r="N964" s="14" t="str">
        <x:v>Mahamdia v Algeria | Fogarty v UK | Benkharbouche v Embassy of the Republic of Sudan | Jones v. Saudi Arabia</x:v>
      </x:c>
    </x:row>
    <x:row r="965">
      <x:c r="A965" s="1" t="str">
        <x:v>cmsbsp6wa001704jitdvkybp9</x:v>
      </x:c>
      <x:c r="B965" s="1" t="str">
        <x:v>cmsbsln8v000m04jihjbo4vud</x:v>
      </x:c>
      <x:c r="C965" s="1" t="str">
        <x:v>ca-2024-000624 and ca-2024-000625-the-royal-embassy-of-saudi-arabia-appellant-skeleton</x:v>
      </x:c>
      <x:c r="D965" s="12" t="n">
        <x:v>46236.53296240741</x:v>
      </x:c>
      <x:c r="E965" s="1" t="str">
        <x:v>yes</x:v>
      </x:c>
      <x:c r="F965" s="14" t="str">
        <x:v>cmsbsqcqm001d04ji3ses9ih9</x:v>
      </x:c>
      <x:c r="G965" s="14" t="n">
        <x:v>4</x:v>
      </x:c>
      <x:c r="H965" s="14" t="str">
        <x:v>f1db17d9-c809-4f44-a350-a7c506f9683c</x:v>
      </x:c>
      <x:c r="I965" s="14" t="str">
        <x:v>Reyes &amp; Anor v Al-Malki &amp; Anor</x:v>
      </x:c>
      <x:c r="J965" s="14" t="str">
        <x:v>England and Wales Court of Appeal (Civil Division)</x:v>
      </x:c>
      <x:c r="K965" s="14" t="n">
        <x:v>2015</x:v>
      </x:c>
      <x:c r="L965" s="15" t="n">
        <x:v>0.7146439</x:v>
      </x:c>
      <x:c r="M965" s="14" t="n">
        <x:v>6</x:v>
      </x:c>
      <x:c r="N965" s="14" t="str">
        <x:v>Propend Finance Pty Ltd v Sing | Tabion v Mufti</x:v>
      </x:c>
    </x:row>
    <x:row r="966">
      <x:c r="A966" s="1" t="str">
        <x:v>cmsbsp6wa001704jitdvkybp9</x:v>
      </x:c>
      <x:c r="B966" s="1" t="str">
        <x:v>cmsbsln8v000m04jihjbo4vud</x:v>
      </x:c>
      <x:c r="C966" s="1" t="str">
        <x:v>ca-2024-000624 and ca-2024-000625-the-royal-embassy-of-saudi-arabia-appellant-skeleton</x:v>
      </x:c>
      <x:c r="D966" s="12" t="n">
        <x:v>46236.53296240741</x:v>
      </x:c>
      <x:c r="E966" s="1" t="str">
        <x:v>yes</x:v>
      </x:c>
      <x:c r="F966" s="14" t="str">
        <x:v>cmsbsqcqm001d04ji3ses9ih9</x:v>
      </x:c>
      <x:c r="G966" s="14" t="n">
        <x:v>5</x:v>
      </x:c>
      <x:c r="H966" s="14" t="str">
        <x:v>47b7ca59-4dae-4e38-9b19-66a4d28a1d9e</x:v>
      </x:c>
      <x:c r="I966" s="14" t="str">
        <x:v>Belhaj &amp; Anor v Straw &amp; Ors [2014] EWCA Civ 1394</x:v>
      </x:c>
      <x:c r="J966" s="14" t="str">
        <x:v>England and Wales Court of Appeal (Civil Division)</x:v>
      </x:c>
      <x:c r="K966" s="14" t="n">
        <x:v>2014</x:v>
      </x:c>
      <x:c r="L966" s="15" t="n">
        <x:v>0.7013993</x:v>
      </x:c>
      <x:c r="M966" s="14" t="n">
        <x:v>5</x:v>
      </x:c>
      <x:c r="N966" s="14" t="str">
        <x:v>Oppenheimer v. Cattermole | Kuwait Airways | Buttes Gas | Jones v. Saudi Arabia</x:v>
      </x:c>
    </x:row>
    <x:row r="967">
      <x:c r="A967" s="1" t="str">
        <x:v>cmsbsp6wa001704jitdvkybp9</x:v>
      </x:c>
      <x:c r="B967" s="1" t="str">
        <x:v>cmsbsln8v000m04jihjbo4vud</x:v>
      </x:c>
      <x:c r="C967" s="1" t="str">
        <x:v>ca-2024-000624 and ca-2024-000625-the-royal-embassy-of-saudi-arabia-appellant-skeleton</x:v>
      </x:c>
      <x:c r="D967" s="12" t="n">
        <x:v>46236.53296240741</x:v>
      </x:c>
      <x:c r="E967" s="1" t="str">
        <x:v>yes</x:v>
      </x:c>
      <x:c r="F967" s="14" t="str">
        <x:v>cmsbsqcqm001d04ji3ses9ih9</x:v>
      </x:c>
      <x:c r="G967" s="14" t="n">
        <x:v>6</x:v>
      </x:c>
      <x:c r="H967" s="14" t="str">
        <x:v>d2d218fb-5cb2-4d42-9835-3e293c334cd3</x:v>
      </x:c>
      <x:c r="I967" s="14" t="str">
        <x:v>HRH Prince Abdul Aziz Bin Fahd Bin Abdul Aziz v Harb</x:v>
      </x:c>
      <x:c r="J967" s="14" t="str">
        <x:v>England and Wales Court of Appeal (Civil Division)</x:v>
      </x:c>
      <x:c r="K967" s="14" t="n">
        <x:v>2015</x:v>
      </x:c>
      <x:c r="L967" s="15" t="n">
        <x:v>0.6935285</x:v>
      </x:c>
      <x:c r="M967" s="14" t="n">
        <x:v>4</x:v>
      </x:c>
      <x:c r="N967" s="14" t="str">
        <x:v>State Immunity Act 1978 | Pinochet No 3</x:v>
      </x:c>
    </x:row>
    <x:row r="968">
      <x:c r="A968" s="1" t="str">
        <x:v>cmsbsp6wa001704jitdvkybp9</x:v>
      </x:c>
      <x:c r="B968" s="1" t="str">
        <x:v>cmsbsln8v000m04jihjbo4vud</x:v>
      </x:c>
      <x:c r="C968" s="1" t="str">
        <x:v>ca-2024-000624 and ca-2024-000625-the-royal-embassy-of-saudi-arabia-appellant-skeleton</x:v>
      </x:c>
      <x:c r="D968" s="12" t="n">
        <x:v>46236.53296240741</x:v>
      </x:c>
      <x:c r="E968" s="1" t="str">
        <x:v>yes</x:v>
      </x:c>
      <x:c r="F968" s="14" t="str">
        <x:v>cmsbsqcqm001d04ji3ses9ih9</x:v>
      </x:c>
      <x:c r="G968" s="14" t="n">
        <x:v>7</x:v>
      </x:c>
      <x:c r="H968" s="14" t="str">
        <x:v>ee5ed42e-d552-49f7-ae34-ee6ddf99593b</x:v>
      </x:c>
      <x:c r="I968" s="14" t="str">
        <x:v>The United States of America v Nolan</x:v>
      </x:c>
      <x:c r="J968" s="14" t="str">
        <x:v>England and Wales Court of Appeal (Civil Division)</x:v>
      </x:c>
      <x:c r="K968" s="14" t="n">
        <x:v>2014</x:v>
      </x:c>
      <x:c r="L968" s="15" t="n">
        <x:v>0.6927706</x:v>
      </x:c>
      <x:c r="M968" s="14" t="n">
        <x:v>3</x:v>
      </x:c>
      <x:c r="N968" s="14" t="str">
        <x:v>R v British Coal Corporation, ex p Vardy [1993] ICR 720 | Scattolon v Ministero dell' Istruzione C-108/10</x:v>
      </x:c>
    </x:row>
    <x:row r="969">
      <x:c r="A969" s="1" t="str">
        <x:v>cmsbsp6wa001704jitdvkybp9</x:v>
      </x:c>
      <x:c r="B969" s="1" t="str">
        <x:v>cmsbsln8v000m04jihjbo4vud</x:v>
      </x:c>
      <x:c r="C969" s="1" t="str">
        <x:v>ca-2024-000624 and ca-2024-000625-the-royal-embassy-of-saudi-arabia-appellant-skeleton</x:v>
      </x:c>
      <x:c r="D969" s="12" t="n">
        <x:v>46236.53296240741</x:v>
      </x:c>
      <x:c r="E969" s="1" t="str">
        <x:v>yes</x:v>
      </x:c>
      <x:c r="F969" s="14" t="str">
        <x:v>cmsbsqcqm001d04ji3ses9ih9</x:v>
      </x:c>
      <x:c r="G969" s="14" t="n">
        <x:v>8</x:v>
      </x:c>
      <x:c r="H969" s="14" t="str">
        <x:v>56ebcb77-2936-4ffe-9d4e-4334c394df46</x:v>
      </x:c>
      <x:c r="I969" s="14" t="str">
        <x:v>IPCO (Nigeria) Ltd v Nigerian National Petroleum Corporation [2015] EWCA Civ 1144</x:v>
      </x:c>
      <x:c r="J969" s="14" t="str">
        <x:v>England and Wales Court of Appeal (Civil Division)</x:v>
      </x:c>
      <x:c r="K969" s="14" t="n">
        <x:v>2015</x:v>
      </x:c>
      <x:c r="L969" s="15" t="n">
        <x:v>0.66389716</x:v>
      </x:c>
      <x:c r="M969" s="14" t="n">
        <x:v>1</x:v>
      </x:c>
      <x:c r="N969" s="14" t="str">
        <x:v>Soleh Boneh International Ltd v Government of the Republic of Uganda [1993] 2 Lloyd's Rep 208 | Europcar Italia S.p.A. v Maiellano Tours 156 F.3d 319 (1998)</x:v>
      </x:c>
    </x:row>
    <x:row r="970">
      <x:c r="A970" s="1" t="str">
        <x:v>cmsbsp6wa001704jitdvkybp9</x:v>
      </x:c>
      <x:c r="B970" s="1" t="str">
        <x:v>cmsbsln8v000m04jihjbo4vud</x:v>
      </x:c>
      <x:c r="C970" s="1" t="str">
        <x:v>ca-2024-000624 and ca-2024-000625-the-royal-embassy-of-saudi-arabia-appellant-skeleton</x:v>
      </x:c>
      <x:c r="D970" s="12" t="n">
        <x:v>46236.53296240741</x:v>
      </x:c>
      <x:c r="E970" s="1" t="str">
        <x:v>yes</x:v>
      </x:c>
      <x:c r="F970" s="14" t="str">
        <x:v>cmsbsqcqm001d04ji3ses9ih9</x:v>
      </x:c>
      <x:c r="G970" s="14" t="n">
        <x:v>9</x:v>
      </x:c>
      <x:c r="H970" s="14" t="str">
        <x:v>95a09909-d350-4cc6-8e33-4153cfe28a7f</x:v>
      </x:c>
      <x:c r="I970" s="14" t="str">
        <x:v>Bestfort Developments LLP &amp; Ors v Ras Al Khaimah Investment Authority &amp; Ors [2016] EWCA Civ 1099</x:v>
      </x:c>
      <x:c r="J970" s="14" t="str">
        <x:v>England and Wales Court of Appeal (Civil Division)</x:v>
      </x:c>
      <x:c r="K970" s="14" t="n">
        <x:v>2016</x:v>
      </x:c>
      <x:c r="L970" s="15" t="n">
        <x:v>0.6618103</x:v>
      </x:c>
      <x:c r="M970" s="14" t="n">
        <x:v>1</x:v>
      </x:c>
      <x:c r="N970" s="14" t="str">
        <x:v>Nasser v United Bank of Kuwait [2002] 1 WLR 1868 | Dumrul v Standard Chartered Bank [2010] EWHC 2625 (Comm) | Star Reefers Pool Inc v JFC Group [2011] EWCA Civ 1065 | Texuna International Ltd v Cairn Energy Plc [2004] EWHC 1102 (Comm) | Aim Asset Management Sdn. Bhd &amp; Anor v Kazakhstan Investment Fund Ltd (unreported, 22 May 2002) | De Beer v Kanaar | Carson v United Kingdom (2010) 51 EHRR 13 | Runkee v United Kingdom [2007] ECHR 42989/98 | Public Law Project v Lord Chancellor [2015] EWCA Civ 1193 | LB v Austria (2002) 34 EHRR 21</x:v>
      </x:c>
    </x:row>
    <x:row r="971">
      <x:c r="A971" s="1" t="str">
        <x:v>cmsbsp6wa001704jitdvkybp9</x:v>
      </x:c>
      <x:c r="B971" s="1" t="str">
        <x:v>cmsbsln8v000m04jihjbo4vud</x:v>
      </x:c>
      <x:c r="C971" s="1" t="str">
        <x:v>ca-2024-000624 and ca-2024-000625-the-royal-embassy-of-saudi-arabia-appellant-skeleton</x:v>
      </x:c>
      <x:c r="D971" s="12" t="n">
        <x:v>46236.53296240741</x:v>
      </x:c>
      <x:c r="E971" s="1" t="str">
        <x:v>yes</x:v>
      </x:c>
      <x:c r="F971" s="14" t="str">
        <x:v>cmsbsqcqm001d04ji3ses9ih9</x:v>
      </x:c>
      <x:c r="G971" s="14" t="n">
        <x:v>10</x:v>
      </x:c>
      <x:c r="H971" s="14" t="str">
        <x:v>f867230d-587a-4c73-ba9b-3ab93ed9d9d7</x:v>
      </x:c>
      <x:c r="I971" s="14" t="str">
        <x:v>Zubaydah v Foreign and Commonwealth Office &amp; Ors [2022] EWCA Civ 334 (Court of Appeal, Civil Division)</x:v>
      </x:c>
      <x:c r="J971" s="14" t="str">
        <x:v>England and Wales Court of Appeal (Civil Division)</x:v>
      </x:c>
      <x:c r="K971" s="14" t="n">
        <x:v>2022</x:v>
      </x:c>
      <x:c r="L971" s="15" t="n">
        <x:v>0.6547145</x:v>
      </x:c>
      <x:c r="M971" s="14" t="n">
        <x:v>3</x:v>
      </x:c>
      <x:c r="N971" s="14" t="str">
        <x:v>R (Al-Jedda) v Secretary of State for Defence | VTB Capital v Nutritek | Roerig v Valiant Trawlers Ltd | R (Al-Jedda) | Dicey on Conflict of Laws | Law Commission Report | Entick v Carrington</x:v>
      </x:c>
    </x:row>
    <x:row r="972">
      <x:c r="A972" s="1" t="str">
        <x:v>cmsbsp6wa001704jitdvkybp9</x:v>
      </x:c>
      <x:c r="B972" s="1" t="str">
        <x:v>cmsbsln8v000m04jihjbo4vud</x:v>
      </x:c>
      <x:c r="C972" s="1" t="str">
        <x:v>ca-2024-000624 and ca-2024-000625-the-royal-embassy-of-saudi-arabia-appellant-skeleton</x:v>
      </x:c>
      <x:c r="D972" s="12" t="n">
        <x:v>46236.53296240741</x:v>
      </x:c>
      <x:c r="E972" s="1" t="str">
        <x:v>yes</x:v>
      </x:c>
      <x:c r="F972" s="14" t="str">
        <x:v>cmsbsqcqm001d04ji3ses9ih9</x:v>
      </x:c>
      <x:c r="G972" s="14" t="n">
        <x:v>11</x:v>
      </x:c>
      <x:c r="H972" s="14" t="str">
        <x:v>53e4e4d6-7fe9-4d97-a56c-d55311748151</x:v>
      </x:c>
      <x:c r="I972" s="14" t="str">
        <x:v>Yapp v Foreign and Commonwealth Office</x:v>
      </x:c>
      <x:c r="J972" s="14" t="str">
        <x:v>England and Wales Court of Appeal (Civil Division)</x:v>
      </x:c>
      <x:c r="K972" s="14" t="n">
        <x:v>2014</x:v>
      </x:c>
      <x:c r="L972" s="15" t="n">
        <x:v>0.65417886</x:v>
      </x:c>
      <x:c r="M972" s="14" t="n">
        <x:v>1</x:v>
      </x:c>
      <x:c r="N972" s="14" t="str"/>
    </x:row>
    <x:row r="973">
      <x:c r="A973" s="1" t="str">
        <x:v>cmsbsp6wa001704jitdvkybp9</x:v>
      </x:c>
      <x:c r="B973" s="1" t="str">
        <x:v>cmsbsln8v000m04jihjbo4vud</x:v>
      </x:c>
      <x:c r="C973" s="1" t="str">
        <x:v>ca-2024-000624 and ca-2024-000625-the-royal-embassy-of-saudi-arabia-appellant-skeleton</x:v>
      </x:c>
      <x:c r="D973" s="12" t="n">
        <x:v>46236.53296240741</x:v>
      </x:c>
      <x:c r="E973" s="1" t="str">
        <x:v>yes</x:v>
      </x:c>
      <x:c r="F973" s="14" t="str">
        <x:v>cmsbsqcqm001d04ji3ses9ih9</x:v>
      </x:c>
      <x:c r="G973" s="14" t="n">
        <x:v>12</x:v>
      </x:c>
      <x:c r="H973" s="14" t="str">
        <x:v>ce109720-ac8c-4042-bd77-82733a79fb6c</x:v>
      </x:c>
      <x:c r="I973" s="14" t="str">
        <x:v>London Borough of Croydon v Y [2016] EWCA Civ 398</x:v>
      </x:c>
      <x:c r="J973" s="14" t="str">
        <x:v>England and Wales Court of Appeal (Civil Division)</x:v>
      </x:c>
      <x:c r="K973" s="14" t="n">
        <x:v>2016</x:v>
      </x:c>
      <x:c r="L973" s="15" t="n">
        <x:v>0.6536834</x:v>
      </x:c>
      <x:c r="M973" s="14" t="n">
        <x:v>1</x:v>
      </x:c>
      <x:c r="N973" s="14" t="str">
        <x:v>Starr v National Coal Board [1977] 1 WLR 63 | R (A) v Croydon London Borough Council [2009] UKSC 8 | A v London Borough of Croydon [2009] EWHC 939 (Admin) | Royal and Sun Alliance v T &amp; N Ltd [2002] EWCA Civ 1964 | Walbrook Trust (Jersey) Ltd v Fattal [2008] EWCA Civ 427</x:v>
      </x:c>
    </x:row>
    <x:row r="974">
      <x:c r="A974" s="1" t="str">
        <x:v>cmsbsp6wa001704jitdvkybp9</x:v>
      </x:c>
      <x:c r="B974" s="1" t="str">
        <x:v>cmsbsln8v000m04jihjbo4vud</x:v>
      </x:c>
      <x:c r="C974" s="1" t="str">
        <x:v>ca-2024-000624 and ca-2024-000625-the-royal-embassy-of-saudi-arabia-appellant-skeleton</x:v>
      </x:c>
      <x:c r="D974" s="12" t="n">
        <x:v>46236.53296240741</x:v>
      </x:c>
      <x:c r="E974" s="1" t="str">
        <x:v>yes</x:v>
      </x:c>
      <x:c r="F974" s="14" t="str">
        <x:v>cmsbsqcqm001d04ji3ses9ih9</x:v>
      </x:c>
      <x:c r="G974" s="14" t="n">
        <x:v>13</x:v>
      </x:c>
      <x:c r="H974" s="14" t="str">
        <x:v>215b4f1f-c45b-4b5a-83c7-d9ecf0c27585</x:v>
      </x:c>
      <x:c r="I974" s="14" t="str">
        <x:v>R3 v Secretary of State for the Home Department [2023] EWCA Civ 169</x:v>
      </x:c>
      <x:c r="J974" s="14" t="str">
        <x:v>England and Wales Court of Appeal (Civil Division)</x:v>
      </x:c>
      <x:c r="K974" s="14" t="n">
        <x:v>2023</x:v>
      </x:c>
      <x:c r="L974" s="15" t="n">
        <x:v>0.65145683</x:v>
      </x:c>
      <x:c r="M974" s="14" t="n">
        <x:v>1</x:v>
      </x:c>
      <x:c r="N974" s="14" t="str">
        <x:v>Al-Skeini v UK | HF v France | Pham v SSHD | RJM v SSHD | S1 v SSHD | Abbas | Aziz | Gillan | K2</x:v>
      </x:c>
    </x:row>
    <x:row r="975">
      <x:c r="A975" s="1" t="str">
        <x:v>cmsbsp6wa001704jitdvkybp9</x:v>
      </x:c>
      <x:c r="B975" s="1" t="str">
        <x:v>cmsbsln8v000m04jihjbo4vud</x:v>
      </x:c>
      <x:c r="C975" s="1" t="str">
        <x:v>ca-2024-000624 and ca-2024-000625-the-royal-embassy-of-saudi-arabia-appellant-skeleton</x:v>
      </x:c>
      <x:c r="D975" s="12" t="n">
        <x:v>46236.53296240741</x:v>
      </x:c>
      <x:c r="E975" s="1" t="str">
        <x:v>yes</x:v>
      </x:c>
      <x:c r="F975" s="14" t="str">
        <x:v>cmsbsqcqm001d04ji3ses9ih9</x:v>
      </x:c>
      <x:c r="G975" s="14" t="n">
        <x:v>14</x:v>
      </x:c>
      <x:c r="H975" s="14" t="str">
        <x:v>7650f4cb-dc69-470f-a3c0-941784304d41</x:v>
      </x:c>
      <x:c r="I975" s="14" t="str">
        <x:v>Al-Saadoon &amp; Ors v The Secretary of State for Defence &amp; Ors; Rahmatullah &amp; Anr v Secretary of State for Defence &amp; Anr [2016] EWCA Civ 811 (Admin Court of Appeal, Civil Division)</x:v>
      </x:c>
      <x:c r="J975" s="14" t="str">
        <x:v>England and Wales Court of Appeal (Civil Division)</x:v>
      </x:c>
      <x:c r="K975" s="14" t="n">
        <x:v>2016</x:v>
      </x:c>
      <x:c r="L975" s="15" t="n">
        <x:v>0.650996</x:v>
      </x:c>
      <x:c r="M975" s="14" t="n">
        <x:v>2</x:v>
      </x:c>
      <x:c r="N975" s="14" t="str">
        <x:v>Bankovic | Al-Skeini | Issa | Ocalan | Medvedyev | Hassan | Jaloud | El-Masri | Kurt | Edwards | Loizidou | Cyprus v Turkey</x:v>
      </x:c>
    </x:row>
    <x:row r="976">
      <x:c r="A976" s="1" t="str">
        <x:v>cmsbsp6wa001704jitdvkybp9</x:v>
      </x:c>
      <x:c r="B976" s="1" t="str">
        <x:v>cmsbsln8v000m04jihjbo4vud</x:v>
      </x:c>
      <x:c r="C976" s="1" t="str">
        <x:v>ca-2024-000624 and ca-2024-000625-the-royal-embassy-of-saudi-arabia-appellant-skeleton</x:v>
      </x:c>
      <x:c r="D976" s="12" t="n">
        <x:v>46236.53296240741</x:v>
      </x:c>
      <x:c r="E976" s="1" t="str">
        <x:v>yes</x:v>
      </x:c>
      <x:c r="F976" s="14" t="str">
        <x:v>cmsbsqcqm001d04ji3ses9ih9</x:v>
      </x:c>
      <x:c r="G976" s="14" t="n">
        <x:v>15</x:v>
      </x:c>
      <x:c r="H976" s="14" t="str">
        <x:v>806f118b-d6b0-4939-ad11-753dafd57638</x:v>
      </x:c>
      <x:c r="I976" s="14" t="str">
        <x:v>Nayif v The High Commission of Brunei Darussalam [2014] EWCA Civ 1521</x:v>
      </x:c>
      <x:c r="J976" s="14" t="str">
        <x:v>England and Wales Court of Appeal (Civil Division)</x:v>
      </x:c>
      <x:c r="K976" s="14" t="n">
        <x:v>2014</x:v>
      </x:c>
      <x:c r="L976" s="15" t="n">
        <x:v>0.6425476</x:v>
      </x:c>
      <x:c r="M976" s="14" t="n">
        <x:v>1</x:v>
      </x:c>
      <x:c r="N976" s="14" t="str"/>
    </x:row>
    <x:row r="977">
      <x:c r="A977" s="1" t="str">
        <x:v>cmsbsp6wa001704jitdvkybp9</x:v>
      </x:c>
      <x:c r="B977" s="1" t="str">
        <x:v>cmsbsln8v000m04jihjbo4vud</x:v>
      </x:c>
      <x:c r="C977" s="1" t="str">
        <x:v>ca-2024-000624 and ca-2024-000625-the-royal-embassy-of-saudi-arabia-appellant-skeleton</x:v>
      </x:c>
      <x:c r="D977" s="12" t="n">
        <x:v>46236.53296240741</x:v>
      </x:c>
      <x:c r="E977" s="1" t="str">
        <x:v>yes</x:v>
      </x:c>
      <x:c r="F977" s="14" t="str">
        <x:v>cmsbsqcqm001d04ji3ses9ih9</x:v>
      </x:c>
      <x:c r="G977" s="14" t="n">
        <x:v>16</x:v>
      </x:c>
      <x:c r="H977" s="14" t="str">
        <x:v>7107ec67-0fe1-4e2a-a665-6949d1c2b554</x:v>
      </x:c>
      <x:c r="I977" s="14" t="str">
        <x:v>Sayn-Wittgenstein-Sayn v His Majesty Juan Carlos Alfonso Victor Maria de Borbón y Borbón [2022] EWCA Civ 1052</x:v>
      </x:c>
      <x:c r="J977" s="14" t="str">
        <x:v>England and Wales Court of Appeal (Civil Division)</x:v>
      </x:c>
      <x:c r="K977" s="14" t="n">
        <x:v>2022</x:v>
      </x:c>
      <x:c r="L977" s="15" t="n">
        <x:v>0.64238566</x:v>
      </x:c>
      <x:c r="M977" s="14" t="n">
        <x:v>3</x:v>
      </x:c>
      <x:c r="N977" s="14" t="str">
        <x:v>Apex | Vienna Convention on Diplomatic Relations</x:v>
      </x:c>
    </x:row>
    <x:row r="978">
      <x:c r="A978" s="1" t="str">
        <x:v>cmsbsp6wa001704jitdvkybp9</x:v>
      </x:c>
      <x:c r="B978" s="1" t="str">
        <x:v>cmsbsln8v000m04jihjbo4vud</x:v>
      </x:c>
      <x:c r="C978" s="1" t="str">
        <x:v>ca-2024-000624 and ca-2024-000625-the-royal-embassy-of-saudi-arabia-appellant-skeleton</x:v>
      </x:c>
      <x:c r="D978" s="12" t="n">
        <x:v>46236.53296240741</x:v>
      </x:c>
      <x:c r="E978" s="1" t="str">
        <x:v>yes</x:v>
      </x:c>
      <x:c r="F978" s="14" t="str">
        <x:v>cmsbsqcqm001d04ji3ses9ih9</x:v>
      </x:c>
      <x:c r="G978" s="14" t="n">
        <x:v>17</x:v>
      </x:c>
      <x:c r="H978" s="14" t="str">
        <x:v>ef2a3b5f-c840-4290-9574-fe29eee1c165</x:v>
      </x:c>
      <x:c r="I978" s="14" t="str">
        <x:v>Secretary of State for the Home Department v Lisa Smith [2023] EWCA Civ 376</x:v>
      </x:c>
      <x:c r="J978" s="14" t="str">
        <x:v>England and Wales Court of Appeal (Civil Division)</x:v>
      </x:c>
      <x:c r="K978" s="14" t="n">
        <x:v>2023</x:v>
      </x:c>
      <x:c r="L978" s="15" t="n">
        <x:v>0.6408772</x:v>
      </x:c>
      <x:c r="M978" s="14" t="n">
        <x:v>1</x:v>
      </x:c>
      <x:c r="N978" s="14" t="str"/>
    </x:row>
    <x:row r="979">
      <x:c r="A979" s="1" t="str">
        <x:v>cmsbsp6wa001704jitdvkybp9</x:v>
      </x:c>
      <x:c r="B979" s="1" t="str">
        <x:v>cmsbsln8v000m04jihjbo4vud</x:v>
      </x:c>
      <x:c r="C979" s="1" t="str">
        <x:v>ca-2024-000624 and ca-2024-000625-the-royal-embassy-of-saudi-arabia-appellant-skeleton</x:v>
      </x:c>
      <x:c r="D979" s="12" t="n">
        <x:v>46236.53296240741</x:v>
      </x:c>
      <x:c r="E979" s="1" t="str">
        <x:v>yes</x:v>
      </x:c>
      <x:c r="F979" s="14" t="str">
        <x:v>cmsbsqcqm001d04ji3ses9ih9</x:v>
      </x:c>
      <x:c r="G979" s="14" t="n">
        <x:v>18</x:v>
      </x:c>
      <x:c r="H979" s="14" t="str">
        <x:v>7cce4927-35a4-4b74-90f4-ac2262bb34d7</x:v>
      </x:c>
      <x:c r="I979" s="14" t="str">
        <x:v>C7 v Secretary of State for the Home Department [2023] EWCA Civ 265</x:v>
      </x:c>
      <x:c r="J979" s="14" t="str">
        <x:v>England and Wales Court of Appeal (Civil Division)</x:v>
      </x:c>
      <x:c r="K979" s="14" t="n">
        <x:v>2023</x:v>
      </x:c>
      <x:c r="L979" s="15" t="n">
        <x:v>0.63399434</x:v>
      </x:c>
      <x:c r="M979" s="14" t="n">
        <x:v>1</x:v>
      </x:c>
      <x:c r="N979" s="14" t="str"/>
    </x:row>
    <x:row r="980">
      <x:c r="A980" s="1" t="str">
        <x:v>cmsbsp6wa001704jitdvkybp9</x:v>
      </x:c>
      <x:c r="B980" s="1" t="str">
        <x:v>cmsbsln8v000m04jihjbo4vud</x:v>
      </x:c>
      <x:c r="C980" s="1" t="str">
        <x:v>ca-2024-000624 and ca-2024-000625-the-royal-embassy-of-saudi-arabia-appellant-skeleton</x:v>
      </x:c>
      <x:c r="D980" s="12" t="n">
        <x:v>46236.53296240741</x:v>
      </x:c>
      <x:c r="E980" s="1" t="str">
        <x:v>yes</x:v>
      </x:c>
      <x:c r="F980" s="14" t="str">
        <x:v>cmsbsqcqm001d04ji3ses9ih9</x:v>
      </x:c>
      <x:c r="G980" s="14" t="n">
        <x:v>19</x:v>
      </x:c>
      <x:c r="H980" s="14" t="str">
        <x:v>3a069494-6968-477a-a4ad-002ee5f30904</x:v>
      </x:c>
      <x:c r="I980" s="14" t="str">
        <x:v>Ali v Washwood Heath Technology College &amp; Ors [2014] EWCA Civ 97</x:v>
      </x:c>
      <x:c r="J980" s="14" t="str">
        <x:v>England and Wales Court of Appeal (Civil Division)</x:v>
      </x:c>
      <x:c r="K980" s="14" t="n">
        <x:v>2014</x:v>
      </x:c>
      <x:c r="L980" s="15" t="n">
        <x:v>0.63251925</x:v>
      </x:c>
      <x:c r="M980" s="14" t="n">
        <x:v>4</x:v>
      </x:c>
      <x:c r="N980" s="14" t="str"/>
    </x:row>
    <x:row r="981">
      <x:c r="A981" s="1" t="str">
        <x:v>cmsbsp6wa001704jitdvkybp9</x:v>
      </x:c>
      <x:c r="B981" s="1" t="str">
        <x:v>cmsbsln8v000m04jihjbo4vud</x:v>
      </x:c>
      <x:c r="C981" s="1" t="str">
        <x:v>ca-2024-000624 and ca-2024-000625-the-royal-embassy-of-saudi-arabia-appellant-skeleton</x:v>
      </x:c>
      <x:c r="D981" s="12" t="n">
        <x:v>46236.53296240741</x:v>
      </x:c>
      <x:c r="E981" s="1" t="str">
        <x:v>yes</x:v>
      </x:c>
      <x:c r="F981" s="14" t="str">
        <x:v>cmsbsqcqm001d04ji3ses9ih9</x:v>
      </x:c>
      <x:c r="G981" s="14" t="n">
        <x:v>20</x:v>
      </x:c>
      <x:c r="H981" s="14" t="str">
        <x:v>015f5896-7d13-46d4-8c6d-5c7317ecf054</x:v>
      </x:c>
      <x:c r="I981" s="14" t="str">
        <x:v>Al-Juffali v Estrada [2016] EWCA Civ 176</x:v>
      </x:c>
      <x:c r="J981" s="14" t="str">
        <x:v>England and Wales Court of Appeal (Civil Division)</x:v>
      </x:c>
      <x:c r="K981" s="14" t="n">
        <x:v>2016</x:v>
      </x:c>
      <x:c r="L981" s="15" t="n">
        <x:v>0.63100463</x:v>
      </x:c>
      <x:c r="M981" s="14" t="n">
        <x:v>4</x:v>
      </x:c>
      <x:c r="N981" s="14" t="str">
        <x:v>Al-Malki v Reyes (ECtHR-interpretation cited)</x:v>
      </x:c>
    </x:row>
    <x:row r="982">
      <x:c r="A982" s="1" t="str">
        <x:v>cmsbsuhsv001r04jiv19ukl8u</x:v>
      </x:c>
      <x:c r="B982" s="1" t="str">
        <x:v>cmsbsrsen001i04jiiqlepl3x</x:v>
      </x:c>
      <x:c r="C982" s="1" t="str">
        <x:v>ca-2024-0023525 &amp; ca-2024-002295-modernatx-inc-v-pfizer-limited-others-respondent-skeleton</x:v>
      </x:c>
      <x:c r="D982" s="12" t="n">
        <x:v>46236.53582599537</x:v>
      </x:c>
      <x:c r="E982" s="1" t="str">
        <x:v>yes</x:v>
      </x:c>
      <x:c r="F982" s="14" t="str">
        <x:v>cmsbsvvmu001x04jittsrlhz0 | cmsbszs77002304ji6ldkbjce | cmsbt3hfa002904ji8k6b026n</x:v>
      </x:c>
      <x:c r="G982" s="14" t="n">
        <x:v>1</x:v>
      </x:c>
      <x:c r="H982" s="14" t="str">
        <x:v>9c4e33c9-91d3-464b-b025-a46e5f3673af</x:v>
      </x:c>
      <x:c r="I982" s="14" t="str">
        <x:v>Philip Morris Products, S.A. v Nicoventures Trading Limited &amp; Anor (Re Invalidity of Patents) [2022] EWCA Civ 1638</x:v>
      </x:c>
      <x:c r="J982" s="14" t="str">
        <x:v>England and Wales Court of Appeal (Civil Division)</x:v>
      </x:c>
      <x:c r="K982" s="14" t="n">
        <x:v>2022</x:v>
      </x:c>
      <x:c r="L982" s="15" t="n">
        <x:v>0.69137913</x:v>
      </x:c>
      <x:c r="M982" s="14" t="n">
        <x:v>1</x:v>
      </x:c>
      <x:c r="N982" s="14" t="str">
        <x:v>[2021] EWHC 3032 (Pat)</x:v>
      </x:c>
    </x:row>
    <x:row r="983">
      <x:c r="A983" s="1" t="str">
        <x:v>cmsbsuhsv001r04jiv19ukl8u</x:v>
      </x:c>
      <x:c r="B983" s="1" t="str">
        <x:v>cmsbsrsen001i04jiiqlepl3x</x:v>
      </x:c>
      <x:c r="C983" s="1" t="str">
        <x:v>ca-2024-0023525 &amp; ca-2024-002295-modernatx-inc-v-pfizer-limited-others-respondent-skeleton</x:v>
      </x:c>
      <x:c r="D983" s="12" t="n">
        <x:v>46236.53582599537</x:v>
      </x:c>
      <x:c r="E983" s="1" t="str">
        <x:v>yes</x:v>
      </x:c>
      <x:c r="F983" s="14" t="str">
        <x:v>cmsbsvvmu001x04jittsrlhz0 | cmsbszs77002304ji6ldkbjce | cmsbt3hfa002904ji8k6b026n</x:v>
      </x:c>
      <x:c r="G983" s="14" t="n">
        <x:v>2</x:v>
      </x:c>
      <x:c r="H983" s="14" t="str">
        <x:v>1c816bf0-70b4-46bd-9a31-9d036faff956</x:v>
      </x:c>
      <x:c r="I983" s="14" t="str">
        <x:v>Idenix Pharmaceuticals Inc v Gilead Sciences Inc &amp; Ors [2016] EWCA Civ 1089</x:v>
      </x:c>
      <x:c r="J983" s="14" t="str">
        <x:v>England and Wales Court of Appeal (Civil Division)</x:v>
      </x:c>
      <x:c r="K983" s="14" t="n">
        <x:v>2016</x:v>
      </x:c>
      <x:c r="L983" s="15" t="n">
        <x:v>0.690126</x:v>
      </x:c>
      <x:c r="M983" s="14" t="n">
        <x:v>8</x:v>
      </x:c>
      <x:c r="N983" s="14" t="str">
        <x:v>Human Genome Sciences v Lilly | Warner-Lambert v Generics (Mylan) | Regeneron v Genentech | Conor Medsystems v Angiotech | KCI Licensing v Smith &amp; Nephew | Kirin-Amgen v Hoechst Marion Roussel | Nokia v IPCom | Carroll et al (2003) J Biol Chem; De Francesco &amp; Rice (2003) Clin Liver Dis; Walker &amp; Hong (2002-2003) articles; Savannah conference presentations | Human Genome Sciences v Eli Lilly | Warner-Lambert Co v Generics | Mylan v Yeda | Novartis v Johnson &amp; Johnson (enablement discussion) | Vector Corp v Glatt Air Techniques | A3/2015/0450; EWCA Civ 1089 | Carroll et al (2003) J Biol Chem | De Francesco &amp; Rice (2003) Clin Liver Dis | Walker &amp; Hong (2002) Curr Opin Pharmacol | Walker et al (2003) Antiviral Chemistry &amp; Therapy | Clark Paper (2005-2006) J Med Chem and J Carbohydr Chem | Johns Hopkins/ AgrEvo/Triazoles (EPO) | T 609/02 Salk | Regeneron on sufficiency</x:v>
      </x:c>
    </x:row>
    <x:row r="984">
      <x:c r="A984" s="1" t="str">
        <x:v>cmsbsuhsv001r04jiv19ukl8u</x:v>
      </x:c>
      <x:c r="B984" s="1" t="str">
        <x:v>cmsbsrsen001i04jiiqlepl3x</x:v>
      </x:c>
      <x:c r="C984" s="1" t="str">
        <x:v>ca-2024-0023525 &amp; ca-2024-002295-modernatx-inc-v-pfizer-limited-others-respondent-skeleton</x:v>
      </x:c>
      <x:c r="D984" s="12" t="n">
        <x:v>46236.53582599537</x:v>
      </x:c>
      <x:c r="E984" s="1" t="str">
        <x:v>yes</x:v>
      </x:c>
      <x:c r="F984" s="14" t="str">
        <x:v>cmsbsvvmu001x04jittsrlhz0 | cmsbszs77002304ji6ldkbjce | cmsbt3hfa002904ji8k6b026n</x:v>
      </x:c>
      <x:c r="G984" s="14" t="n">
        <x:v>3</x:v>
      </x:c>
      <x:c r="H984" s="14" t="str">
        <x:v>71033cf6-55d5-450b-8f5c-b4e0192b644a</x:v>
      </x:c>
      <x:c r="I984" s="14" t="str">
        <x:v>Hospira UK Limited v Genentech, Inc. [2016] EWCA Civ 1185</x:v>
      </x:c>
      <x:c r="J984" s="14" t="str">
        <x:v>England and Wales Court of Appeal (Civil Division)</x:v>
      </x:c>
      <x:c r="K984" s="14" t="n">
        <x:v>2016</x:v>
      </x:c>
      <x:c r="L984" s="15" t="n">
        <x:v>0.68998116</x:v>
      </x:c>
      <x:c r="M984" s="14" t="n">
        <x:v>4</x:v>
      </x:c>
      <x:c r="N984" s="14" t="str">
        <x:v>Saint Gobain | Conor Medsystems | Synthon | Regeneron | Baselga 97 | Saint Gobain PAM SA v Fusion-Provida Ltd | Generics (UK) Ltd v H Lundbeck A/S [2007] EWCA Civ 1040 | Saint Gobain PAM SA v Fusion-Provida Ltd [2005] EWCA Civ 177 | Novartis AG v Generics (UK) Ltd [2012] EWCA Civ 1623 | Conor Medsystems v Angiotech Pharmaceuticals [2008] UKHL 49 | Regeneron Pharmaceuticals Inc v Genentech Inc [2013] EWCA Civ 93 | Biogen Inc v Medeva Plc [1997] RPC 1 | Synthon BV v SmithKline Beecham plc [2005] UKHL 59 | Warner-Lambert Company LLC v Actavis Group PTC EHF [2015] EWCA Civ 556 | Synthon v SmithKline Beecham plc | Conor Medsystems v Angiotech</x:v>
      </x:c>
    </x:row>
    <x:row r="985">
      <x:c r="A985" s="1" t="str">
        <x:v>cmsbsuhsv001r04jiv19ukl8u</x:v>
      </x:c>
      <x:c r="B985" s="1" t="str">
        <x:v>cmsbsrsen001i04jiiqlepl3x</x:v>
      </x:c>
      <x:c r="C985" s="1" t="str">
        <x:v>ca-2024-0023525 &amp; ca-2024-002295-modernatx-inc-v-pfizer-limited-others-respondent-skeleton</x:v>
      </x:c>
      <x:c r="D985" s="12" t="n">
        <x:v>46236.53582599537</x:v>
      </x:c>
      <x:c r="E985" s="1" t="str">
        <x:v>yes</x:v>
      </x:c>
      <x:c r="F985" s="14" t="str">
        <x:v>cmsbsvvmu001x04jittsrlhz0 | cmsbszs77002304ji6ldkbjce | cmsbt3hfa002904ji8k6b026n</x:v>
      </x:c>
      <x:c r="G985" s="14" t="n">
        <x:v>4</x:v>
      </x:c>
      <x:c r="H985" s="14" t="str">
        <x:v>cb8c8a45-aef5-4216-9a7b-d3b254e3b53a</x:v>
      </x:c>
      <x:c r="I985" s="14" t="str">
        <x:v>Warner-Lambert Company LLC v Generics (UK) Ltd (t/a Mylan) &amp; Ors [2016] EWCA Civ 1006</x:v>
      </x:c>
      <x:c r="J985" s="14" t="str">
        <x:v>England and Wales Court of Appeal (Civil Division)</x:v>
      </x:c>
      <x:c r="K985" s="14" t="n">
        <x:v>2016</x:v>
      </x:c>
      <x:c r="L985" s="15" t="n">
        <x:v>0.6899569</x:v>
      </x:c>
      <x:c r="M985" s="14" t="n">
        <x:v>3</x:v>
      </x:c>
      <x:c r="N985" s="14" t="str">
        <x:v>Nikken | Johnson v Gore Wood | Warner-Lambert CoA (interim injunction) | Regeneron | Warner-Lambert CoA (abuse) | Regeneron v Genentech | Salk Institute v Johns Hopkins | Johns Hopkins University School of Medicine | Human Genome Sciences v Eli Lilly | Conor Medsystems v Angiotech | Nikken Kosakusho Works v Pioneer Trading</x:v>
      </x:c>
    </x:row>
    <x:row r="986">
      <x:c r="A986" s="1" t="str">
        <x:v>cmsbsuhsv001r04jiv19ukl8u</x:v>
      </x:c>
      <x:c r="B986" s="1" t="str">
        <x:v>cmsbsrsen001i04jiiqlepl3x</x:v>
      </x:c>
      <x:c r="C986" s="1" t="str">
        <x:v>ca-2024-0023525 &amp; ca-2024-002295-modernatx-inc-v-pfizer-limited-others-respondent-skeleton</x:v>
      </x:c>
      <x:c r="D986" s="12" t="n">
        <x:v>46236.53582599537</x:v>
      </x:c>
      <x:c r="E986" s="1" t="str">
        <x:v>yes</x:v>
      </x:c>
      <x:c r="F986" s="14" t="str">
        <x:v>cmsbsvvmu001x04jittsrlhz0 | cmsbszs77002304ji6ldkbjce | cmsbt3hfa002904ji8k6b026n</x:v>
      </x:c>
      <x:c r="G986" s="14" t="n">
        <x:v>5</x:v>
      </x:c>
      <x:c r="H986" s="14" t="str">
        <x:v>d2737a8b-f6d7-473c-83e0-4e50adcfcdc4</x:v>
      </x:c>
      <x:c r="I986" s="14" t="str">
        <x:v>Nokia Technologies OY &amp; Anor v OnePlus Technology (Shenzhen) Co Ltd &amp; Ors</x:v>
      </x:c>
      <x:c r="J986" s="14" t="str">
        <x:v>England and Wales Court of Appeal (Civil Division)</x:v>
      </x:c>
      <x:c r="K986" s="14" t="n">
        <x:v>2022</x:v>
      </x:c>
      <x:c r="L986" s="15" t="n">
        <x:v>0.6889485</x:v>
      </x:c>
      <x:c r="M986" s="14" t="n">
        <x:v>1</x:v>
      </x:c>
      <x:c r="N986" s="14" t="str">
        <x:v>Reichhold Norway (for context on stay standards and compelling circumstances) | Harrods Buenos Aires (for context on cross-border dispute characterisation)</x:v>
      </x:c>
    </x:row>
    <x:row r="987">
      <x:c r="A987" s="1" t="str">
        <x:v>cmsbsuhsv001r04jiv19ukl8u</x:v>
      </x:c>
      <x:c r="B987" s="1" t="str">
        <x:v>cmsbsrsen001i04jiiqlepl3x</x:v>
      </x:c>
      <x:c r="C987" s="1" t="str">
        <x:v>ca-2024-0023525 &amp; ca-2024-002295-modernatx-inc-v-pfizer-limited-others-respondent-skeleton</x:v>
      </x:c>
      <x:c r="D987" s="12" t="n">
        <x:v>46236.53582599537</x:v>
      </x:c>
      <x:c r="E987" s="1" t="str">
        <x:v>yes</x:v>
      </x:c>
      <x:c r="F987" s="14" t="str">
        <x:v>cmsbsvvmu001x04jittsrlhz0 | cmsbszs77002304ji6ldkbjce | cmsbt3hfa002904ji8k6b026n</x:v>
      </x:c>
      <x:c r="G987" s="14" t="n">
        <x:v>6</x:v>
      </x:c>
      <x:c r="H987" s="14" t="str">
        <x:v>a1a08eab-f66f-48ea-a2b4-e885be7c07df</x:v>
      </x:c>
      <x:c r="I987" s="14" t="str">
        <x:v>Synthon BV v Teva Pharmaceutical Industries Ltd [2017] EWCA Civ 148</x:v>
      </x:c>
      <x:c r="J987" s="14" t="str">
        <x:v>England and Wales Court of Appeal (Civil Division)</x:v>
      </x:c>
      <x:c r="K987" s="14" t="n">
        <x:v>2017</x:v>
      </x:c>
      <x:c r="L987" s="15" t="n">
        <x:v>0.68675447</x:v>
      </x:c>
      <x:c r="M987" s="14" t="n">
        <x:v>4</x:v>
      </x:c>
      <x:c r="N987" s="14" t="str">
        <x:v>Agrevo/Triazoles (Case T 939/92</x:v>
      </x:c>
    </x:row>
    <x:row r="988">
      <x:c r="A988" s="1" t="str">
        <x:v>cmsbsuhsv001r04jiv19ukl8u</x:v>
      </x:c>
      <x:c r="B988" s="1" t="str">
        <x:v>cmsbsrsen001i04jiiqlepl3x</x:v>
      </x:c>
      <x:c r="C988" s="1" t="str">
        <x:v>ca-2024-0023525 &amp; ca-2024-002295-modernatx-inc-v-pfizer-limited-others-respondent-skeleton</x:v>
      </x:c>
      <x:c r="D988" s="12" t="n">
        <x:v>46236.53582599537</x:v>
      </x:c>
      <x:c r="E988" s="1" t="str">
        <x:v>yes</x:v>
      </x:c>
      <x:c r="F988" s="14" t="str">
        <x:v>cmsbsvvmu001x04jittsrlhz0 | cmsbszs77002304ji6ldkbjce | cmsbt3hfa002904ji8k6b026n</x:v>
      </x:c>
      <x:c r="G988" s="14" t="n">
        <x:v>7</x:v>
      </x:c>
      <x:c r="H988" s="14" t="str">
        <x:v>024940b7-32ce-4a89-be24-ef0977f9eecd</x:v>
      </x:c>
      <x:c r="I988" s="14" t="str">
        <x:v>Neurim Pharmaceuticals (1991) Limited &amp; Flynn Pharma Limited v Generics (UK) Limited &amp; Viatris UK Healthcare Limited [2022] EWCA Civ 699</x:v>
      </x:c>
      <x:c r="J988" s="14" t="str">
        <x:v>England and Wales Court of Appeal (Civil Division)</x:v>
      </x:c>
      <x:c r="K988" s="14" t="n">
        <x:v>2022</x:v>
      </x:c>
      <x:c r="L988" s="15" t="n">
        <x:v>0.6859538</x:v>
      </x:c>
      <x:c r="M988" s="14" t="n">
        <x:v>2</x:v>
      </x:c>
      <x:c r="N988" s="14" t="str">
        <x:v>Warner-Lambert Co LLC v Generics (UK) Ltd | Conor Medsystems Inc v Angiotech Pharmaceuticals Inc | Salk (T-609/02)</x:v>
      </x:c>
    </x:row>
    <x:row r="989">
      <x:c r="A989" s="1" t="str">
        <x:v>cmsbsuhsv001r04jiv19ukl8u</x:v>
      </x:c>
      <x:c r="B989" s="1" t="str">
        <x:v>cmsbsrsen001i04jiiqlepl3x</x:v>
      </x:c>
      <x:c r="C989" s="1" t="str">
        <x:v>ca-2024-0023525 &amp; ca-2024-002295-modernatx-inc-v-pfizer-limited-others-respondent-skeleton</x:v>
      </x:c>
      <x:c r="D989" s="12" t="n">
        <x:v>46236.53582599537</x:v>
      </x:c>
      <x:c r="E989" s="1" t="str">
        <x:v>yes</x:v>
      </x:c>
      <x:c r="F989" s="14" t="str">
        <x:v>cmsbsvvmu001x04jittsrlhz0 | cmsbszs77002304ji6ldkbjce | cmsbt3hfa002904ji8k6b026n</x:v>
      </x:c>
      <x:c r="G989" s="14" t="n">
        <x:v>8</x:v>
      </x:c>
      <x:c r="H989" s="14" t="str">
        <x:v>08ccb4b2-db3c-4132-87d7-ba219d5957a0</x:v>
      </x:c>
      <x:c r="I989" s="14" t="str">
        <x:v>Interdigital Technology Corporation &amp; Ors v Lenovo Group Ltd &amp; Ors [2023] EWCA Civ 57</x:v>
      </x:c>
      <x:c r="J989" s="14" t="str">
        <x:v>England and Wales Court of Appeal (Civil Division)</x:v>
      </x:c>
      <x:c r="K989" s="14" t="n">
        <x:v>2023</x:v>
      </x:c>
      <x:c r="L989" s="15" t="n">
        <x:v>0.6856252</x:v>
      </x:c>
      <x:c r="M989" s="14" t="n">
        <x:v>1</x:v>
      </x:c>
      <x:c r="N989" s="14" t="str"/>
    </x:row>
    <x:row r="990">
      <x:c r="A990" s="1" t="str">
        <x:v>cmsbsuhsv001r04jiv19ukl8u</x:v>
      </x:c>
      <x:c r="B990" s="1" t="str">
        <x:v>cmsbsrsen001i04jiiqlepl3x</x:v>
      </x:c>
      <x:c r="C990" s="1" t="str">
        <x:v>ca-2024-0023525 &amp; ca-2024-002295-modernatx-inc-v-pfizer-limited-others-respondent-skeleton</x:v>
      </x:c>
      <x:c r="D990" s="12" t="n">
        <x:v>46236.53582599537</x:v>
      </x:c>
      <x:c r="E990" s="1" t="str">
        <x:v>yes</x:v>
      </x:c>
      <x:c r="F990" s="14" t="str">
        <x:v>cmsbsvvmu001x04jittsrlhz0 | cmsbszs77002304ji6ldkbjce | cmsbt3hfa002904ji8k6b026n</x:v>
      </x:c>
      <x:c r="G990" s="14" t="n">
        <x:v>9</x:v>
      </x:c>
      <x:c r="H990" s="14" t="str">
        <x:v>7311cc70-1cfb-4513-97ab-71a6251af9db</x:v>
      </x:c>
      <x:c r="I990" s="14" t="str">
        <x:v>Interdigital Technology Corporation &amp; Ors v Lenovo Group Ltd &amp; Ors [2023] EWCA Civ 105</x:v>
      </x:c>
      <x:c r="J990" s="14" t="str">
        <x:v>England and Wales Court of Appeal (Civil Division)</x:v>
      </x:c>
      <x:c r="K990" s="14" t="n">
        <x:v>2023</x:v>
      </x:c>
      <x:c r="L990" s="15" t="n">
        <x:v>0.6827347</x:v>
      </x:c>
      <x:c r="M990" s="14" t="n">
        <x:v>1</x:v>
      </x:c>
      <x:c r="N990" s="14" t="str">
        <x:v>[2022] EWHC 10 (Pat)</x:v>
      </x:c>
    </x:row>
    <x:row r="991">
      <x:c r="A991" s="1" t="str">
        <x:v>cmsbsuhsv001r04jiv19ukl8u</x:v>
      </x:c>
      <x:c r="B991" s="1" t="str">
        <x:v>cmsbsrsen001i04jiiqlepl3x</x:v>
      </x:c>
      <x:c r="C991" s="1" t="str">
        <x:v>ca-2024-0023525 &amp; ca-2024-002295-modernatx-inc-v-pfizer-limited-others-respondent-skeleton</x:v>
      </x:c>
      <x:c r="D991" s="12" t="n">
        <x:v>46236.53582599537</x:v>
      </x:c>
      <x:c r="E991" s="1" t="str">
        <x:v>yes</x:v>
      </x:c>
      <x:c r="F991" s="14" t="str">
        <x:v>cmsbsvvmu001x04jittsrlhz0 | cmsbszs77002304ji6ldkbjce | cmsbt3hfa002904ji8k6b026n</x:v>
      </x:c>
      <x:c r="G991" s="14" t="n">
        <x:v>10</x:v>
      </x:c>
      <x:c r="H991" s="14" t="str">
        <x:v>c0f3fdb2-6414-4841-8590-b7c4efeabf5e</x:v>
      </x:c>
      <x:c r="I991" s="14" t="str">
        <x:v>Neurim Pharmaceuticals (1991) Limited &amp; Anor v Generics (UK) Limited &amp; Anor [2022] EWCA Civ 370</x:v>
      </x:c>
      <x:c r="J991" s="14" t="str">
        <x:v>England and Wales Court of Appeal (Civil Division)</x:v>
      </x:c>
      <x:c r="K991" s="14" t="n">
        <x:v>2022</x:v>
      </x:c>
      <x:c r="L991" s="15" t="n">
        <x:v>0.682529</x:v>
      </x:c>
      <x:c r="M991" s="14" t="n">
        <x:v>1</x:v>
      </x:c>
      <x:c r="N991" s="14" t="str">
        <x:v>[2022] EWCA Civ 370</x:v>
      </x:c>
    </x:row>
    <x:row r="992">
      <x:c r="A992" s="1" t="str">
        <x:v>cmsbsuhsv001r04jiv19ukl8u</x:v>
      </x:c>
      <x:c r="B992" s="1" t="str">
        <x:v>cmsbsrsen001i04jiiqlepl3x</x:v>
      </x:c>
      <x:c r="C992" s="1" t="str">
        <x:v>ca-2024-0023525 &amp; ca-2024-002295-modernatx-inc-v-pfizer-limited-others-respondent-skeleton</x:v>
      </x:c>
      <x:c r="D992" s="12" t="n">
        <x:v>46236.53582599537</x:v>
      </x:c>
      <x:c r="E992" s="1" t="str">
        <x:v>yes</x:v>
      </x:c>
      <x:c r="F992" s="14" t="str">
        <x:v>cmsbsvvmu001x04jittsrlhz0 | cmsbszs77002304ji6ldkbjce | cmsbt3hfa002904ji8k6b026n</x:v>
      </x:c>
      <x:c r="G992" s="14" t="n">
        <x:v>11</x:v>
      </x:c>
      <x:c r="H992" s="14" t="str">
        <x:v>6ba97045-0b3f-40c9-b06f-d6c5cc32ad55</x:v>
      </x:c>
      <x:c r="I992" s="14" t="str">
        <x:v>Teva UK Limited &amp; Teva Pharmaceutical Industries Limited v Novartis AG &amp; Novartis Pharmaceuticals UK Limited [2022] EWCA Civ 1617</x:v>
      </x:c>
      <x:c r="J992" s="14" t="str">
        <x:v>England and Wales Court of Appeal (Civil Division)</x:v>
      </x:c>
      <x:c r="K992" s="14" t="n">
        <x:v>2022</x:v>
      </x:c>
      <x:c r="L992" s="15" t="n">
        <x:v>0.6822518</x:v>
      </x:c>
      <x:c r="M992" s="14" t="n">
        <x:v>1</x:v>
      </x:c>
      <x:c r="N992" s="14" t="str">
        <x:v>[2022] EWHC 959 (Ch) | [2022] Bus LR 888 | [2022] EWCA Civ 775</x:v>
      </x:c>
    </x:row>
    <x:row r="993">
      <x:c r="A993" s="1" t="str">
        <x:v>cmsbsuhsv001r04jiv19ukl8u</x:v>
      </x:c>
      <x:c r="B993" s="1" t="str">
        <x:v>cmsbsrsen001i04jiiqlepl3x</x:v>
      </x:c>
      <x:c r="C993" s="1" t="str">
        <x:v>ca-2024-0023525 &amp; ca-2024-002295-modernatx-inc-v-pfizer-limited-others-respondent-skeleton</x:v>
      </x:c>
      <x:c r="D993" s="12" t="n">
        <x:v>46236.53582599537</x:v>
      </x:c>
      <x:c r="E993" s="1" t="str">
        <x:v>yes</x:v>
      </x:c>
      <x:c r="F993" s="14" t="str">
        <x:v>cmsbsvvmu001x04jittsrlhz0 | cmsbszs77002304ji6ldkbjce | cmsbt3hfa002904ji8k6b026n</x:v>
      </x:c>
      <x:c r="G993" s="14" t="n">
        <x:v>12</x:v>
      </x:c>
      <x:c r="H993" s="14" t="str">
        <x:v>466ad3d5-2323-4234-9361-33c5f1c8d976</x:v>
      </x:c>
      <x:c r="I993" s="14" t="str">
        <x:v>Optis Cellular Technology LLC &amp; Ors v Apple Retail UK Ltd &amp; Ors [2023] EWCA Civ 758</x:v>
      </x:c>
      <x:c r="J993" s="14" t="str">
        <x:v>England and Wales Court of Appeal (Civil Division)</x:v>
      </x:c>
      <x:c r="K993" s="14" t="n">
        <x:v>2023</x:v>
      </x:c>
      <x:c r="L993" s="15" t="n">
        <x:v>0.6821376</x:v>
      </x:c>
      <x:c r="M993" s="14" t="n">
        <x:v>1</x:v>
      </x:c>
      <x:c r="N993" s="14" t="str">
        <x:v>IPCom v Vodafone | Coflexip v Stolt</x:v>
      </x:c>
    </x:row>
    <x:row r="994">
      <x:c r="A994" s="1" t="str">
        <x:v>cmsbsuhsv001r04jiv19ukl8u</x:v>
      </x:c>
      <x:c r="B994" s="1" t="str">
        <x:v>cmsbsrsen001i04jiiqlepl3x</x:v>
      </x:c>
      <x:c r="C994" s="1" t="str">
        <x:v>ca-2024-0023525 &amp; ca-2024-002295-modernatx-inc-v-pfizer-limited-others-respondent-skeleton</x:v>
      </x:c>
      <x:c r="D994" s="12" t="n">
        <x:v>46236.53582599537</x:v>
      </x:c>
      <x:c r="E994" s="1" t="str">
        <x:v>yes</x:v>
      </x:c>
      <x:c r="F994" s="14" t="str">
        <x:v>cmsbsvvmu001x04jittsrlhz0 | cmsbszs77002304ji6ldkbjce | cmsbt3hfa002904ji8k6b026n</x:v>
      </x:c>
      <x:c r="G994" s="14" t="n">
        <x:v>13</x:v>
      </x:c>
      <x:c r="H994" s="14" t="str">
        <x:v>f462ecd6-c4d2-4d24-997f-71bddff50aab</x:v>
      </x:c>
      <x:c r="I994" s="14" t="str">
        <x:v>Sandoz Limited v Bristol-Myers Squibb Holdings Ireland Unlimited Company (Re Patent - Plausibility when determining validity) [2023] EWCA Civ 472</x:v>
      </x:c>
      <x:c r="J994" s="14" t="str">
        <x:v>England and Wales Court of Appeal (Civil Division)</x:v>
      </x:c>
      <x:c r="K994" s="14" t="n">
        <x:v>2023</x:v>
      </x:c>
      <x:c r="L994" s="15" t="n">
        <x:v>0.6787476</x:v>
      </x:c>
      <x:c r="M994" s="14" t="n">
        <x:v>3</x:v>
      </x:c>
      <x:c r="N994" s="14" t="str">
        <x:v>G 2/21 | Warner-Lambert | Johns Hopkins | Ipsen | Salk (T-609/02) | Agrevo (T-939/92) | Dasatinib (T 488/16)</x:v>
      </x:c>
    </x:row>
    <x:row r="995">
      <x:c r="A995" s="1" t="str">
        <x:v>cmsbsuhsv001r04jiv19ukl8u</x:v>
      </x:c>
      <x:c r="B995" s="1" t="str">
        <x:v>cmsbsrsen001i04jiiqlepl3x</x:v>
      </x:c>
      <x:c r="C995" s="1" t="str">
        <x:v>ca-2024-0023525 &amp; ca-2024-002295-modernatx-inc-v-pfizer-limited-others-respondent-skeleton</x:v>
      </x:c>
      <x:c r="D995" s="12" t="n">
        <x:v>46236.53582599537</x:v>
      </x:c>
      <x:c r="E995" s="1" t="str">
        <x:v>yes</x:v>
      </x:c>
      <x:c r="F995" s="14" t="str">
        <x:v>cmsbsvvmu001x04jittsrlhz0 | cmsbszs77002304ji6ldkbjce | cmsbt3hfa002904ji8k6b026n</x:v>
      </x:c>
      <x:c r="G995" s="14" t="n">
        <x:v>14</x:v>
      </x:c>
      <x:c r="H995" s="14" t="str">
        <x:v>33d3386d-e19e-4140-bd36-3e7d208b6e5a</x:v>
      </x:c>
      <x:c r="I995" s="14" t="str">
        <x:v>Alcon Research LLC &amp; Anor v Pharmathen SA &amp; Anor [2022] EWCA Civ 845 (28 June 2022)</x:v>
      </x:c>
      <x:c r="J995" s="14" t="str">
        <x:v>England and Wales Court of Appeal (Civil Division)</x:v>
      </x:c>
      <x:c r="K995" s="14" t="n">
        <x:v>2022</x:v>
      </x:c>
      <x:c r="L995" s="15" t="n">
        <x:v>0.6774773</x:v>
      </x:c>
      <x:c r="M995" s="14" t="n">
        <x:v>4</x:v>
      </x:c>
      <x:c r="N995" s="14" t="str">
        <x:v>[2021] EWHC 1026 (Pat) | Halliburton (2006) | KCI Licensing (2010) | Generics (UK) (2015) | Stjernschantz (1992) | Halliburton Energy Services Inc v Smith International (North Sea) Ltd [2006] EWCA Civ 1715 | KCI Licensing Inc v Smith &amp; Nephew plc [2010] EWHC 1487 (Pat) | Stjernschantz 1992 | Generics (UK) Ltd v Warner-Lambert Co LLC [2015] EWHC 2548 (Pat); [2016] RPC 3</x:v>
      </x:c>
    </x:row>
    <x:row r="996">
      <x:c r="A996" s="1" t="str">
        <x:v>cmsbsuhsv001r04jiv19ukl8u</x:v>
      </x:c>
      <x:c r="B996" s="1" t="str">
        <x:v>cmsbsrsen001i04jiiqlepl3x</x:v>
      </x:c>
      <x:c r="C996" s="1" t="str">
        <x:v>ca-2024-0023525 &amp; ca-2024-002295-modernatx-inc-v-pfizer-limited-others-respondent-skeleton</x:v>
      </x:c>
      <x:c r="D996" s="12" t="n">
        <x:v>46236.53582599537</x:v>
      </x:c>
      <x:c r="E996" s="1" t="str">
        <x:v>yes</x:v>
      </x:c>
      <x:c r="F996" s="14" t="str">
        <x:v>cmsbsvvmu001x04jittsrlhz0 | cmsbszs77002304ji6ldkbjce | cmsbt3hfa002904ji8k6b026n</x:v>
      </x:c>
      <x:c r="G996" s="14" t="n">
        <x:v>15</x:v>
      </x:c>
      <x:c r="H996" s="14" t="str">
        <x:v>ce8d542e-c788-49dc-95c2-e97c961e144e</x:v>
      </x:c>
      <x:c r="I996" s="14" t="str">
        <x:v>Optis Cellular Technology LLC et al v Apple Retail UK Ltd et al [2023] EWCA Civ 438</x:v>
      </x:c>
      <x:c r="J996" s="14" t="str">
        <x:v>England and Wales Court of Appeal (Civil Division)</x:v>
      </x:c>
      <x:c r="K996" s="14" t="n">
        <x:v>2023</x:v>
      </x:c>
      <x:c r="L996" s="15" t="n">
        <x:v>0.6771425</x:v>
      </x:c>
      <x:c r="M996" s="14" t="n">
        <x:v>2</x:v>
      </x:c>
      <x:c r="N996" s="14" t="str">
        <x:v>Technograph Printed Circuits v Mills &amp; Rockley Electronics | SmithKline Beecham v Apotex Europe | Actavis Group PTC EHF v ICOS Corp | Re Sprintroom | Knuth, The Art of Computer Programming</x:v>
      </x:c>
    </x:row>
    <x:row r="997">
      <x:c r="A997" s="1" t="str">
        <x:v>cmsbsuhsv001r04jiv19ukl8u</x:v>
      </x:c>
      <x:c r="B997" s="1" t="str">
        <x:v>cmsbsrsen001i04jiiqlepl3x</x:v>
      </x:c>
      <x:c r="C997" s="1" t="str">
        <x:v>ca-2024-0023525 &amp; ca-2024-002295-modernatx-inc-v-pfizer-limited-others-respondent-skeleton</x:v>
      </x:c>
      <x:c r="D997" s="12" t="n">
        <x:v>46236.53582599537</x:v>
      </x:c>
      <x:c r="E997" s="1" t="str">
        <x:v>yes</x:v>
      </x:c>
      <x:c r="F997" s="14" t="str">
        <x:v>cmsbsvvmu001x04jittsrlhz0 | cmsbszs77002304ji6ldkbjce | cmsbt3hfa002904ji8k6b026n</x:v>
      </x:c>
      <x:c r="G997" s="14" t="n">
        <x:v>16</x:v>
      </x:c>
      <x:c r="H997" s="14" t="str">
        <x:v>5484c0b3-68e5-4332-8ca9-7879a400b8de</x:v>
      </x:c>
      <x:c r="I997" s="14" t="str">
        <x:v>Optis Cellular Technology LLC &amp; Ors v Apple Retail UK Ltd &amp; Ors [2022] EWCA Civ 1411</x:v>
      </x:c>
      <x:c r="J997" s="14" t="str">
        <x:v>England and Wales Court of Appeal (Civil Division)</x:v>
      </x:c>
      <x:c r="K997" s="14" t="n">
        <x:v>2022</x:v>
      </x:c>
      <x:c r="L997" s="15" t="n">
        <x:v>0.6736517</x:v>
      </x:c>
      <x:c r="M997" s="14" t="n">
        <x:v>1</x:v>
      </x:c>
      <x:c r="N997" s="14" t="str">
        <x:v>[2021] EWHC 2564 (Pat) | [2022] EWCA Civ 1411</x:v>
      </x:c>
    </x:row>
    <x:row r="998">
      <x:c r="A998" s="1" t="str">
        <x:v>cmsbsuhsv001r04jiv19ukl8u</x:v>
      </x:c>
      <x:c r="B998" s="1" t="str">
        <x:v>cmsbsrsen001i04jiiqlepl3x</x:v>
      </x:c>
      <x:c r="C998" s="1" t="str">
        <x:v>ca-2024-0023525 &amp; ca-2024-002295-modernatx-inc-v-pfizer-limited-others-respondent-skeleton</x:v>
      </x:c>
      <x:c r="D998" s="12" t="n">
        <x:v>46236.53582599537</x:v>
      </x:c>
      <x:c r="E998" s="1" t="str">
        <x:v>yes</x:v>
      </x:c>
      <x:c r="F998" s="14" t="str">
        <x:v>cmsbsvvmu001x04jittsrlhz0 | cmsbszs77002304ji6ldkbjce | cmsbt3hfa002904ji8k6b026n</x:v>
      </x:c>
      <x:c r="G998" s="14" t="n">
        <x:v>17</x:v>
      </x:c>
      <x:c r="H998" s="14" t="str">
        <x:v>11464556-955b-4142-86d7-0d80daa5ca11</x:v>
      </x:c>
      <x:c r="I998" s="14" t="str">
        <x:v>Dr Reddy's Laboratories (UK) Ltd &amp; Ors v Warner-Lambert Company LLC [2023] EWCA Civ 73 (Court of Appeal, Civil Division)</x:v>
      </x:c>
      <x:c r="J998" s="14" t="str">
        <x:v>England and Wales Court of Appeal (Civil Division)</x:v>
      </x:c>
      <x:c r="K998" s="14" t="n">
        <x:v>2023</x:v>
      </x:c>
      <x:c r="L998" s="15" t="n">
        <x:v>0.67344844</x:v>
      </x:c>
      <x:c r="M998" s="14" t="n">
        <x:v>1</x:v>
      </x:c>
      <x:c r="N998" s="14" t="str">
        <x:v>[2020] Birss Order; Dexter v Vlieland-Boddy (case context)</x:v>
      </x:c>
    </x:row>
    <x:row r="999">
      <x:c r="A999" s="1" t="str">
        <x:v>cmsbsuhsv001r04jiv19ukl8u</x:v>
      </x:c>
      <x:c r="B999" s="1" t="str">
        <x:v>cmsbsrsen001i04jiiqlepl3x</x:v>
      </x:c>
      <x:c r="C999" s="1" t="str">
        <x:v>ca-2024-0023525 &amp; ca-2024-002295-modernatx-inc-v-pfizer-limited-others-respondent-skeleton</x:v>
      </x:c>
      <x:c r="D999" s="12" t="n">
        <x:v>46236.53582599537</x:v>
      </x:c>
      <x:c r="E999" s="1" t="str">
        <x:v>yes</x:v>
      </x:c>
      <x:c r="F999" s="14" t="str">
        <x:v>cmsbsvvmu001x04jittsrlhz0 | cmsbszs77002304ji6ldkbjce | cmsbt3hfa002904ji8k6b026n</x:v>
      </x:c>
      <x:c r="G999" s="14" t="n">
        <x:v>18</x:v>
      </x:c>
      <x:c r="H999" s="14" t="str">
        <x:v>df131dd9-a363-4ffe-8782-01767cbb4625</x:v>
      </x:c>
      <x:c r="I999" s="14" t="str">
        <x:v>Optis Cellular Technology LLC &amp; Ors v Apple Retail UK Limited &amp; Ors [2022] EWCA Civ 792</x:v>
      </x:c>
      <x:c r="J999" s="14" t="str">
        <x:v>England and Wales Court of Appeal (Civil Division)</x:v>
      </x:c>
      <x:c r="K999" s="14" t="n">
        <x:v>2022</x:v>
      </x:c>
      <x:c r="L999" s="15" t="n">
        <x:v>0.67067826</x:v>
      </x:c>
      <x:c r="M999" s="14" t="n">
        <x:v>1</x:v>
      </x:c>
      <x:c r="N999" s="14" t="str">
        <x:v>Meade J [2021] EWHC 1739 (Pat)</x:v>
      </x:c>
    </x:row>
    <x:row r="1000">
      <x:c r="A1000" s="1" t="str">
        <x:v>cmsbsuhsv001r04jiv19ukl8u</x:v>
      </x:c>
      <x:c r="B1000" s="1" t="str">
        <x:v>cmsbsrsen001i04jiiqlepl3x</x:v>
      </x:c>
      <x:c r="C1000" s="1" t="str">
        <x:v>ca-2024-0023525 &amp; ca-2024-002295-modernatx-inc-v-pfizer-limited-others-respondent-skeleton</x:v>
      </x:c>
      <x:c r="D1000" s="12" t="n">
        <x:v>46236.53582599537</x:v>
      </x:c>
      <x:c r="E1000" s="1" t="str">
        <x:v>yes</x:v>
      </x:c>
      <x:c r="F1000" s="14" t="str">
        <x:v>cmsbsvvmu001x04jittsrlhz0 | cmsbszs77002304ji6ldkbjce | cmsbt3hfa002904ji8k6b026n</x:v>
      </x:c>
      <x:c r="G1000" s="14" t="n">
        <x:v>19</x:v>
      </x:c>
      <x:c r="H1000" s="14" t="str">
        <x:v>220f5941-b918-42be-ba08-5254bcf34586</x:v>
      </x:c>
      <x:c r="I1000" s="14" t="str">
        <x:v>Hospira (UK) Ltd v Genentech, Inc.</x:v>
      </x:c>
      <x:c r="J1000" s="14" t="str">
        <x:v>England and Wales Court of Appeal (Civil Division)</x:v>
      </x:c>
      <x:c r="K1000" s="14" t="n">
        <x:v>2015</x:v>
      </x:c>
      <x:c r="L1000" s="15" t="n">
        <x:v>0.6702961</x:v>
      </x:c>
      <x:c r="M1000" s="14" t="n">
        <x:v>3</x:v>
      </x:c>
      <x:c r="N1000" s="14" t="str">
        <x:v>Section 3 Patents Act 1977</x:v>
      </x:c>
    </x:row>
    <x:row r="1001">
      <x:c r="A1001" s="1" t="str">
        <x:v>cmsbsuhsv001r04jiv19ukl8u</x:v>
      </x:c>
      <x:c r="B1001" s="1" t="str">
        <x:v>cmsbsrsen001i04jiiqlepl3x</x:v>
      </x:c>
      <x:c r="C1001" s="1" t="str">
        <x:v>ca-2024-0023525 &amp; ca-2024-002295-modernatx-inc-v-pfizer-limited-others-respondent-skeleton</x:v>
      </x:c>
      <x:c r="D1001" s="12" t="n">
        <x:v>46236.53582599537</x:v>
      </x:c>
      <x:c r="E1001" s="1" t="str">
        <x:v>yes</x:v>
      </x:c>
      <x:c r="F1001" s="14" t="str">
        <x:v>cmsbsvvmu001x04jittsrlhz0 | cmsbszs77002304ji6ldkbjce | cmsbt3hfa002904ji8k6b026n</x:v>
      </x:c>
      <x:c r="G1001" s="14" t="n">
        <x:v>20</x:v>
      </x:c>
      <x:c r="H1001" s="14" t="str">
        <x:v>9a6c35d9-2f41-4d9b-bdea-d545c0053749</x:v>
      </x:c>
      <x:c r="I1001" s="14" t="str">
        <x:v>Novartis AG and Novartis Pharmaceuticals UK Limited v Teva UK Ltd &amp; Ors [2022] EWCA Civ 775</x:v>
      </x:c>
      <x:c r="J1001" s="14" t="str">
        <x:v>England and Wales Court of Appeal (Civil Division)</x:v>
      </x:c>
      <x:c r="K1001" s="14" t="n">
        <x:v>2022</x:v>
      </x:c>
      <x:c r="L1001" s="15" t="n">
        <x:v>0.668449</x:v>
      </x:c>
      <x:c r="M1001" s="14" t="n">
        <x:v>2</x:v>
      </x:c>
      <x:c r="N1001" s="14" t="str"/>
    </x:row>
    <x:row r="1002">
      <x:c r="A1002" s="1" t="str">
        <x:v>cmsbtb7sw002n04jipbuqxu0i</x:v>
      </x:c>
      <x:c r="B1002" s="1" t="str">
        <x:v>cmsbt9u2q002e04ji2397j8fe</x:v>
      </x:c>
      <x:c r="C1002" s="1" t="str">
        <x:v>ca-2024-002325 &amp; ca-2024-002295-modernatx-inc-v-pfizer-limited-others-appellant-skeleton</x:v>
      </x:c>
      <x:c r="D1002" s="12" t="n">
        <x:v>46236.54485604167</x:v>
      </x:c>
      <x:c r="E1002" s="1" t="str">
        <x:v>yes</x:v>
      </x:c>
      <x:c r="F1002" s="14" t="str">
        <x:v>cmsbtbxft002t04jic4baeo3l</x:v>
      </x:c>
      <x:c r="G1002" s="14" t="n">
        <x:v>1</x:v>
      </x:c>
      <x:c r="H1002" s="14" t="str">
        <x:v>a1a08eab-f66f-48ea-a2b4-e885be7c07df</x:v>
      </x:c>
      <x:c r="I1002" s="14" t="str">
        <x:v>Synthon BV v Teva Pharmaceutical Industries Ltd [2017] EWCA Civ 148</x:v>
      </x:c>
      <x:c r="J1002" s="14" t="str">
        <x:v>England and Wales Court of Appeal (Civil Division)</x:v>
      </x:c>
      <x:c r="K1002" s="14" t="n">
        <x:v>2017</x:v>
      </x:c>
      <x:c r="L1002" s="15" t="n">
        <x:v>0.72220075</x:v>
      </x:c>
      <x:c r="M1002" s="14" t="n">
        <x:v>2</x:v>
      </x:c>
      <x:c r="N1002" s="14" t="str"/>
    </x:row>
    <x:row r="1003">
      <x:c r="A1003" s="1" t="str">
        <x:v>cmsbtb7sw002n04jipbuqxu0i</x:v>
      </x:c>
      <x:c r="B1003" s="1" t="str">
        <x:v>cmsbt9u2q002e04ji2397j8fe</x:v>
      </x:c>
      <x:c r="C1003" s="1" t="str">
        <x:v>ca-2024-002325 &amp; ca-2024-002295-modernatx-inc-v-pfizer-limited-others-appellant-skeleton</x:v>
      </x:c>
      <x:c r="D1003" s="12" t="n">
        <x:v>46236.54485604167</x:v>
      </x:c>
      <x:c r="E1003" s="1" t="str">
        <x:v>yes</x:v>
      </x:c>
      <x:c r="F1003" s="14" t="str">
        <x:v>cmsbtbxft002t04jic4baeo3l</x:v>
      </x:c>
      <x:c r="G1003" s="14" t="n">
        <x:v>2</x:v>
      </x:c>
      <x:c r="H1003" s="14" t="str">
        <x:v>9a6c35d9-2f41-4d9b-bdea-d545c0053749</x:v>
      </x:c>
      <x:c r="I1003" s="14" t="str">
        <x:v>Novartis AG and Novartis Pharmaceuticals UK Limited v Teva UK Ltd &amp; Ors [2022] EWCA Civ 775</x:v>
      </x:c>
      <x:c r="J1003" s="14" t="str">
        <x:v>England and Wales Court of Appeal (Civil Division)</x:v>
      </x:c>
      <x:c r="K1003" s="14" t="n">
        <x:v>2022</x:v>
      </x:c>
      <x:c r="L1003" s="15" t="n">
        <x:v>0.717513</x:v>
      </x:c>
      <x:c r="M1003" s="14" t="n">
        <x:v>4</x:v>
      </x:c>
      <x:c r="N1003" s="14" t="str">
        <x:v>[2022] EWCA Civ 775</x:v>
      </x:c>
    </x:row>
    <x:row r="1004">
      <x:c r="A1004" s="1" t="str">
        <x:v>cmsbtb7sw002n04jipbuqxu0i</x:v>
      </x:c>
      <x:c r="B1004" s="1" t="str">
        <x:v>cmsbt9u2q002e04ji2397j8fe</x:v>
      </x:c>
      <x:c r="C1004" s="1" t="str">
        <x:v>ca-2024-002325 &amp; ca-2024-002295-modernatx-inc-v-pfizer-limited-others-appellant-skeleton</x:v>
      </x:c>
      <x:c r="D1004" s="12" t="n">
        <x:v>46236.54485604167</x:v>
      </x:c>
      <x:c r="E1004" s="1" t="str">
        <x:v>yes</x:v>
      </x:c>
      <x:c r="F1004" s="14" t="str">
        <x:v>cmsbtbxft002t04jic4baeo3l</x:v>
      </x:c>
      <x:c r="G1004" s="14" t="n">
        <x:v>3</x:v>
      </x:c>
      <x:c r="H1004" s="14" t="str">
        <x:v>29106524-22a0-4410-a8a6-c9fc60308a2a</x:v>
      </x:c>
      <x:c r="I1004" s="14" t="str">
        <x:v>Smith &amp; Nephew Plc v Convatec Technologies Inc &amp; Ors [2015] EWCA Civ 803</x:v>
      </x:c>
      <x:c r="J1004" s="14" t="str">
        <x:v>England and Wales Court of Appeal (Civil Division)</x:v>
      </x:c>
      <x:c r="K1004" s="14" t="n">
        <x:v>2015</x:v>
      </x:c>
      <x:c r="L1004" s="15" t="n">
        <x:v>0.7153372</x:v>
      </x:c>
      <x:c r="M1004" s="14" t="n">
        <x:v>2</x:v>
      </x:c>
      <x:c r="N1004" s="14" t="str"/>
    </x:row>
    <x:row r="1005">
      <x:c r="A1005" s="1" t="str">
        <x:v>cmsbtb7sw002n04jipbuqxu0i</x:v>
      </x:c>
      <x:c r="B1005" s="1" t="str">
        <x:v>cmsbt9u2q002e04ji2397j8fe</x:v>
      </x:c>
      <x:c r="C1005" s="1" t="str">
        <x:v>ca-2024-002325 &amp; ca-2024-002295-modernatx-inc-v-pfizer-limited-others-appellant-skeleton</x:v>
      </x:c>
      <x:c r="D1005" s="12" t="n">
        <x:v>46236.54485604167</x:v>
      </x:c>
      <x:c r="E1005" s="1" t="str">
        <x:v>yes</x:v>
      </x:c>
      <x:c r="F1005" s="14" t="str">
        <x:v>cmsbtbxft002t04jic4baeo3l</x:v>
      </x:c>
      <x:c r="G1005" s="14" t="n">
        <x:v>4</x:v>
      </x:c>
      <x:c r="H1005" s="14" t="str">
        <x:v>4d61560d-ecf9-4ce9-a7f2-63d5c1787b6e</x:v>
      </x:c>
      <x:c r="I1005" s="14" t="str">
        <x:v>Warner-Lambert Company, LLC v Actavis Group Ptc EHF &amp; Ors</x:v>
      </x:c>
      <x:c r="J1005" s="14" t="str">
        <x:v>England and Wales Court of Appeal (Civil Division)</x:v>
      </x:c>
      <x:c r="K1005" s="14" t="n">
        <x:v>2015</x:v>
      </x:c>
      <x:c r="L1005" s="15" t="n">
        <x:v>0.71490633</x:v>
      </x:c>
      <x:c r="M1005" s="14" t="n">
        <x:v>3</x:v>
      </x:c>
      <x:c r="N1005" s="14" t="str">
        <x:v>Eisai (Second Medical Indication) [1985] OJ EPO 64 | Actavis UK Ltd v Merck &amp; Co Inc (2008) EWCA Civ 444</x:v>
      </x:c>
    </x:row>
    <x:row r="1006">
      <x:c r="A1006" s="1" t="str">
        <x:v>cmsbtb7sw002n04jipbuqxu0i</x:v>
      </x:c>
      <x:c r="B1006" s="1" t="str">
        <x:v>cmsbt9u2q002e04ji2397j8fe</x:v>
      </x:c>
      <x:c r="C1006" s="1" t="str">
        <x:v>ca-2024-002325 &amp; ca-2024-002295-modernatx-inc-v-pfizer-limited-others-appellant-skeleton</x:v>
      </x:c>
      <x:c r="D1006" s="12" t="n">
        <x:v>46236.54485604167</x:v>
      </x:c>
      <x:c r="E1006" s="1" t="str">
        <x:v>yes</x:v>
      </x:c>
      <x:c r="F1006" s="14" t="str">
        <x:v>cmsbtbxft002t04jic4baeo3l</x:v>
      </x:c>
      <x:c r="G1006" s="14" t="n">
        <x:v>5</x:v>
      </x:c>
      <x:c r="H1006" s="14" t="str">
        <x:v>220f5941-b918-42be-ba08-5254bcf34586</x:v>
      </x:c>
      <x:c r="I1006" s="14" t="str">
        <x:v>Hospira (UK) Ltd v Genentech, Inc.</x:v>
      </x:c>
      <x:c r="J1006" s="14" t="str">
        <x:v>England and Wales Court of Appeal (Civil Division)</x:v>
      </x:c>
      <x:c r="K1006" s="14" t="n">
        <x:v>2015</x:v>
      </x:c>
      <x:c r="L1006" s="15" t="n">
        <x:v>0.71481717</x:v>
      </x:c>
      <x:c r="M1006" s="14" t="n">
        <x:v>3</x:v>
      </x:c>
      <x:c r="N1006" s="14" t="str">
        <x:v>Section 3 Patents Act 1977</x:v>
      </x:c>
    </x:row>
    <x:row r="1007">
      <x:c r="A1007" s="1" t="str">
        <x:v>cmsbtb7sw002n04jipbuqxu0i</x:v>
      </x:c>
      <x:c r="B1007" s="1" t="str">
        <x:v>cmsbt9u2q002e04ji2397j8fe</x:v>
      </x:c>
      <x:c r="C1007" s="1" t="str">
        <x:v>ca-2024-002325 &amp; ca-2024-002295-modernatx-inc-v-pfizer-limited-others-appellant-skeleton</x:v>
      </x:c>
      <x:c r="D1007" s="12" t="n">
        <x:v>46236.54485604167</x:v>
      </x:c>
      <x:c r="E1007" s="1" t="str">
        <x:v>yes</x:v>
      </x:c>
      <x:c r="F1007" s="14" t="str">
        <x:v>cmsbtbxft002t04jic4baeo3l</x:v>
      </x:c>
      <x:c r="G1007" s="14" t="n">
        <x:v>6</x:v>
      </x:c>
      <x:c r="H1007" s="14" t="str">
        <x:v>5699a187-b0d8-4bcc-b655-7c3e525cb13a</x:v>
      </x:c>
      <x:c r="I1007" s="14" t="str">
        <x:v>Samsung Electronics Co Ltd v Apple Retail UK Ltd &amp; Anor [2014] EWCA Civ 250</x:v>
      </x:c>
      <x:c r="J1007" s="14" t="str">
        <x:v>England and Wales Court of Appeal (Civil Division)</x:v>
      </x:c>
      <x:c r="K1007" s="14" t="n">
        <x:v>2014</x:v>
      </x:c>
      <x:c r="L1007" s="15" t="n">
        <x:v>0.7055635</x:v>
      </x:c>
      <x:c r="M1007" s="14" t="n">
        <x:v>2</x:v>
      </x:c>
      <x:c r="N1007" s="14" t="str">
        <x:v>Palmaz's European Patents (UK)</x:v>
      </x:c>
    </x:row>
    <x:row r="1008">
      <x:c r="A1008" s="1" t="str">
        <x:v>cmsbtb7sw002n04jipbuqxu0i</x:v>
      </x:c>
      <x:c r="B1008" s="1" t="str">
        <x:v>cmsbt9u2q002e04ji2397j8fe</x:v>
      </x:c>
      <x:c r="C1008" s="1" t="str">
        <x:v>ca-2024-002325 &amp; ca-2024-002295-modernatx-inc-v-pfizer-limited-others-appellant-skeleton</x:v>
      </x:c>
      <x:c r="D1008" s="12" t="n">
        <x:v>46236.54485604167</x:v>
      </x:c>
      <x:c r="E1008" s="1" t="str">
        <x:v>yes</x:v>
      </x:c>
      <x:c r="F1008" s="14" t="str">
        <x:v>cmsbtbxft002t04jic4baeo3l</x:v>
      </x:c>
      <x:c r="G1008" s="14" t="n">
        <x:v>7</x:v>
      </x:c>
      <x:c r="H1008" s="14" t="str">
        <x:v>c4b78e7a-84ea-48ee-8153-38286d8f9094</x:v>
      </x:c>
      <x:c r="I1008" s="14" t="str">
        <x:v>Blue Gentian LLC &amp; Anor v Tristar Products (UK) Ltd &amp; Anor [2015] EWCA Civ 746</x:v>
      </x:c>
      <x:c r="J1008" s="14" t="str">
        <x:v>England and Wales Court of Appeal (Civil Division)</x:v>
      </x:c>
      <x:c r="K1008" s="14" t="n">
        <x:v>2015</x:v>
      </x:c>
      <x:c r="L1008" s="15" t="n">
        <x:v>0.70493805</x:v>
      </x:c>
      <x:c r="M1008" s="14" t="n">
        <x:v>1</x:v>
      </x:c>
      <x:c r="N1008" s="14" t="str"/>
    </x:row>
    <x:row r="1009">
      <x:c r="A1009" s="1" t="str">
        <x:v>cmsbtb7sw002n04jipbuqxu0i</x:v>
      </x:c>
      <x:c r="B1009" s="1" t="str">
        <x:v>cmsbt9u2q002e04ji2397j8fe</x:v>
      </x:c>
      <x:c r="C1009" s="1" t="str">
        <x:v>ca-2024-002325 &amp; ca-2024-002295-modernatx-inc-v-pfizer-limited-others-appellant-skeleton</x:v>
      </x:c>
      <x:c r="D1009" s="12" t="n">
        <x:v>46236.54485604167</x:v>
      </x:c>
      <x:c r="E1009" s="1" t="str">
        <x:v>yes</x:v>
      </x:c>
      <x:c r="F1009" s="14" t="str">
        <x:v>cmsbtbxft002t04jic4baeo3l</x:v>
      </x:c>
      <x:c r="G1009" s="14" t="n">
        <x:v>8</x:v>
      </x:c>
      <x:c r="H1009" s="14" t="str">
        <x:v>466ad3d5-2323-4234-9361-33c5f1c8d976</x:v>
      </x:c>
      <x:c r="I1009" s="14" t="str">
        <x:v>Optis Cellular Technology LLC &amp; Ors v Apple Retail UK Ltd &amp; Ors [2023] EWCA Civ 758</x:v>
      </x:c>
      <x:c r="J1009" s="14" t="str">
        <x:v>England and Wales Court of Appeal (Civil Division)</x:v>
      </x:c>
      <x:c r="K1009" s="14" t="n">
        <x:v>2023</x:v>
      </x:c>
      <x:c r="L1009" s="15" t="n">
        <x:v>0.6990833</x:v>
      </x:c>
      <x:c r="M1009" s="14" t="n">
        <x:v>1</x:v>
      </x:c>
      <x:c r="N1009" s="14" t="str">
        <x:v>IPCom v Vodafone | Coflexip v Stolt</x:v>
      </x:c>
    </x:row>
    <x:row r="1010">
      <x:c r="A1010" s="1" t="str">
        <x:v>cmsbtb7sw002n04jipbuqxu0i</x:v>
      </x:c>
      <x:c r="B1010" s="1" t="str">
        <x:v>cmsbt9u2q002e04ji2397j8fe</x:v>
      </x:c>
      <x:c r="C1010" s="1" t="str">
        <x:v>ca-2024-002325 &amp; ca-2024-002295-modernatx-inc-v-pfizer-limited-others-appellant-skeleton</x:v>
      </x:c>
      <x:c r="D1010" s="12" t="n">
        <x:v>46236.54485604167</x:v>
      </x:c>
      <x:c r="E1010" s="1" t="str">
        <x:v>yes</x:v>
      </x:c>
      <x:c r="F1010" s="14" t="str">
        <x:v>cmsbtbxft002t04jic4baeo3l</x:v>
      </x:c>
      <x:c r="G1010" s="14" t="n">
        <x:v>9</x:v>
      </x:c>
      <x:c r="H1010" s="14" t="str">
        <x:v>d2737a8b-f6d7-473c-83e0-4e50adcfcdc4</x:v>
      </x:c>
      <x:c r="I1010" s="14" t="str">
        <x:v>Nokia Technologies OY &amp; Anor v OnePlus Technology (Shenzhen) Co Ltd &amp; Ors</x:v>
      </x:c>
      <x:c r="J1010" s="14" t="str">
        <x:v>England and Wales Court of Appeal (Civil Division)</x:v>
      </x:c>
      <x:c r="K1010" s="14" t="n">
        <x:v>2022</x:v>
      </x:c>
      <x:c r="L1010" s="15" t="n">
        <x:v>0.69868904</x:v>
      </x:c>
      <x:c r="M1010" s="14" t="n">
        <x:v>1</x:v>
      </x:c>
      <x:c r="N1010" s="14" t="str">
        <x:v>Reichhold Norway (for context on stay standards and compelling circumstances) | Harrods Buenos Aires (for context on cross-border dispute characterisation)</x:v>
      </x:c>
    </x:row>
    <x:row r="1011">
      <x:c r="A1011" s="1" t="str">
        <x:v>cmsbtb7sw002n04jipbuqxu0i</x:v>
      </x:c>
      <x:c r="B1011" s="1" t="str">
        <x:v>cmsbt9u2q002e04ji2397j8fe</x:v>
      </x:c>
      <x:c r="C1011" s="1" t="str">
        <x:v>ca-2024-002325 &amp; ca-2024-002295-modernatx-inc-v-pfizer-limited-others-appellant-skeleton</x:v>
      </x:c>
      <x:c r="D1011" s="12" t="n">
        <x:v>46236.54485604167</x:v>
      </x:c>
      <x:c r="E1011" s="1" t="str">
        <x:v>yes</x:v>
      </x:c>
      <x:c r="F1011" s="14" t="str">
        <x:v>cmsbtbxft002t04jic4baeo3l</x:v>
      </x:c>
      <x:c r="G1011" s="14" t="n">
        <x:v>10</x:v>
      </x:c>
      <x:c r="H1011" s="14" t="str">
        <x:v>71033cf6-55d5-450b-8f5c-b4e0192b644a</x:v>
      </x:c>
      <x:c r="I1011" s="14" t="str">
        <x:v>Hospira UK Limited v Genentech, Inc. [2016] EWCA Civ 1185</x:v>
      </x:c>
      <x:c r="J1011" s="14" t="str">
        <x:v>England and Wales Court of Appeal (Civil Division)</x:v>
      </x:c>
      <x:c r="K1011" s="14" t="n">
        <x:v>2016</x:v>
      </x:c>
      <x:c r="L1011" s="15" t="n">
        <x:v>0.69856435</x:v>
      </x:c>
      <x:c r="M1011" s="14" t="n">
        <x:v>2</x:v>
      </x:c>
      <x:c r="N1011" s="14" t="str">
        <x:v>Saint Gobain | Conor Medsystems | Synthon | Regeneron | Baselga 97 | Generics (UK) Ltd v H Lundbeck A/S [2007] EWCA Civ 1040 | Saint Gobain PAM SA v Fusion-Provida Ltd [2005] EWCA Civ 177 | Novartis AG v Generics (UK) Ltd [2012] EWCA Civ 1623 | Conor Medsystems v Angiotech Pharmaceuticals [2008] UKHL 49 | Regeneron Pharmaceuticals Inc v Genentech Inc [2013] EWCA Civ 93 | Biogen Inc v Medeva Plc [1997] RPC 1 | Synthon BV v SmithKline Beecham plc [2005] UKHL 59 | Warner-Lambert Company LLC v Actavis Group PTC EHF [2015] EWCA Civ 556</x:v>
      </x:c>
    </x:row>
    <x:row r="1012">
      <x:c r="A1012" s="1" t="str">
        <x:v>cmsbtb7sw002n04jipbuqxu0i</x:v>
      </x:c>
      <x:c r="B1012" s="1" t="str">
        <x:v>cmsbt9u2q002e04ji2397j8fe</x:v>
      </x:c>
      <x:c r="C1012" s="1" t="str">
        <x:v>ca-2024-002325 &amp; ca-2024-002295-modernatx-inc-v-pfizer-limited-others-appellant-skeleton</x:v>
      </x:c>
      <x:c r="D1012" s="12" t="n">
        <x:v>46236.54485604167</x:v>
      </x:c>
      <x:c r="E1012" s="1" t="str">
        <x:v>yes</x:v>
      </x:c>
      <x:c r="F1012" s="14" t="str">
        <x:v>cmsbtbxft002t04jic4baeo3l</x:v>
      </x:c>
      <x:c r="G1012" s="14" t="n">
        <x:v>11</x:v>
      </x:c>
      <x:c r="H1012" s="14" t="str">
        <x:v>c19711c9-1a63-43a5-b855-7b938194803b</x:v>
      </x:c>
      <x:c r="I1012" s="14" t="str">
        <x:v>Teva UK Limited v Boehringer Ingelheim Pharma GmbH &amp; Co KG [2016] EWCA Civ 1296</x:v>
      </x:c>
      <x:c r="J1012" s="14" t="str">
        <x:v>England and Wales Court of Appeal (Civil Division)</x:v>
      </x:c>
      <x:c r="K1012" s="14" t="n">
        <x:v>2016</x:v>
      </x:c>
      <x:c r="L1012" s="15" t="n">
        <x:v>0.69853485</x:v>
      </x:c>
      <x:c r="M1012" s="14" t="n">
        <x:v>2</x:v>
      </x:c>
      <x:c r="N1012" s="14" t="str">
        <x:v>Pozzoli SPA v BDMO SA [2007] EWCA Civ 588 | Skanska Construction UK Ltd v Egger (Barony) Ltd [2002] EWCA Civ 1914 | Biogen v Medeva [1997] RPC 1 | Les Laboratoires Servier v Apotex [2008] EWCA Civ 445 | Terrell on the Law of Patents, 18th ed.</x:v>
      </x:c>
    </x:row>
    <x:row r="1013">
      <x:c r="A1013" s="1" t="str">
        <x:v>cmsbtb7sw002n04jipbuqxu0i</x:v>
      </x:c>
      <x:c r="B1013" s="1" t="str">
        <x:v>cmsbt9u2q002e04ji2397j8fe</x:v>
      </x:c>
      <x:c r="C1013" s="1" t="str">
        <x:v>ca-2024-002325 &amp; ca-2024-002295-modernatx-inc-v-pfizer-limited-others-appellant-skeleton</x:v>
      </x:c>
      <x:c r="D1013" s="12" t="n">
        <x:v>46236.54485604167</x:v>
      </x:c>
      <x:c r="E1013" s="1" t="str">
        <x:v>yes</x:v>
      </x:c>
      <x:c r="F1013" s="14" t="str">
        <x:v>cmsbtbxft002t04jic4baeo3l</x:v>
      </x:c>
      <x:c r="G1013" s="14" t="n">
        <x:v>12</x:v>
      </x:c>
      <x:c r="H1013" s="14" t="str">
        <x:v>cb8c8a45-aef5-4216-9a7b-d3b254e3b53a</x:v>
      </x:c>
      <x:c r="I1013" s="14" t="str">
        <x:v>Warner-Lambert Company LLC v Generics (UK) Ltd (t/a Mylan) &amp; Ors [2016] EWCA Civ 1006</x:v>
      </x:c>
      <x:c r="J1013" s="14" t="str">
        <x:v>England and Wales Court of Appeal (Civil Division)</x:v>
      </x:c>
      <x:c r="K1013" s="14" t="n">
        <x:v>2016</x:v>
      </x:c>
      <x:c r="L1013" s="15" t="n">
        <x:v>0.6977254</x:v>
      </x:c>
      <x:c r="M1013" s="14" t="n">
        <x:v>3</x:v>
      </x:c>
      <x:c r="N1013" s="14" t="str">
        <x:v>Nikken | Johnson v Gore Wood | Warner-Lambert CoA (interim injunction) | Regeneron | Warner-Lambert CoA (abuse) | Regeneron v Genentech | Salk Institute v Johns Hopkins | Johns Hopkins University School of Medicine | Human Genome Sciences v Eli Lilly | Conor Medsystems v Angiotech | Nikken Kosakusho Works v Pioneer Trading</x:v>
      </x:c>
    </x:row>
    <x:row r="1014">
      <x:c r="A1014" s="1" t="str">
        <x:v>cmsbtb7sw002n04jipbuqxu0i</x:v>
      </x:c>
      <x:c r="B1014" s="1" t="str">
        <x:v>cmsbt9u2q002e04ji2397j8fe</x:v>
      </x:c>
      <x:c r="C1014" s="1" t="str">
        <x:v>ca-2024-002325 &amp; ca-2024-002295-modernatx-inc-v-pfizer-limited-others-appellant-skeleton</x:v>
      </x:c>
      <x:c r="D1014" s="12" t="n">
        <x:v>46236.54485604167</x:v>
      </x:c>
      <x:c r="E1014" s="1" t="str">
        <x:v>yes</x:v>
      </x:c>
      <x:c r="F1014" s="14" t="str">
        <x:v>cmsbtbxft002t04jic4baeo3l</x:v>
      </x:c>
      <x:c r="G1014" s="14" t="n">
        <x:v>13</x:v>
      </x:c>
      <x:c r="H1014" s="14" t="str">
        <x:v>1c816bf0-70b4-46bd-9a31-9d036faff956</x:v>
      </x:c>
      <x:c r="I1014" s="14" t="str">
        <x:v>Idenix Pharmaceuticals Inc v Gilead Sciences Inc &amp; Ors [2016] EWCA Civ 1089</x:v>
      </x:c>
      <x:c r="J1014" s="14" t="str">
        <x:v>England and Wales Court of Appeal (Civil Division)</x:v>
      </x:c>
      <x:c r="K1014" s="14" t="n">
        <x:v>2016</x:v>
      </x:c>
      <x:c r="L1014" s="15" t="n">
        <x:v>0.6973162</x:v>
      </x:c>
      <x:c r="M1014" s="14" t="n">
        <x:v>4</x:v>
      </x:c>
      <x:c r="N1014" s="14" t="str">
        <x:v>Human Genome Sciences v Lilly | Warner-Lambert v Generics (Mylan) | Regeneron v Genentech | Conor Medsystems v Angiotech | KCI Licensing v Smith &amp; Nephew | Kirin-Amgen v Hoechst Marion Roussel | Nokia v IPCom | A3/2015/0450; EWCA Civ 1089 | Human Genome Sciences v Eli Lilly | Warner-Lambert Co v Generics | Mylan v Yeda | Novartis v Johnson &amp; Johnson (enablement discussion) | Vector Corp v Glatt Air Techniques | Carroll et al (2003) J Biol Chem; De Francesco &amp; Rice (2003) Clin Liver Dis; Walker &amp; Hong (2002-2003) articles; Savannah conference presentations</x:v>
      </x:c>
    </x:row>
    <x:row r="1015">
      <x:c r="A1015" s="1" t="str">
        <x:v>cmsbtb7sw002n04jipbuqxu0i</x:v>
      </x:c>
      <x:c r="B1015" s="1" t="str">
        <x:v>cmsbt9u2q002e04ji2397j8fe</x:v>
      </x:c>
      <x:c r="C1015" s="1" t="str">
        <x:v>ca-2024-002325 &amp; ca-2024-002295-modernatx-inc-v-pfizer-limited-others-appellant-skeleton</x:v>
      </x:c>
      <x:c r="D1015" s="12" t="n">
        <x:v>46236.54485604167</x:v>
      </x:c>
      <x:c r="E1015" s="1" t="str">
        <x:v>yes</x:v>
      </x:c>
      <x:c r="F1015" s="14" t="str">
        <x:v>cmsbtbxft002t04jic4baeo3l</x:v>
      </x:c>
      <x:c r="G1015" s="14" t="n">
        <x:v>14</x:v>
      </x:c>
      <x:c r="H1015" s="14" t="str">
        <x:v>33d3386d-e19e-4140-bd36-3e7d208b6e5a</x:v>
      </x:c>
      <x:c r="I1015" s="14" t="str">
        <x:v>Alcon Research LLC &amp; Anor v Pharmathen SA &amp; Anor [2022] EWCA Civ 845 (28 June 2022)</x:v>
      </x:c>
      <x:c r="J1015" s="14" t="str">
        <x:v>England and Wales Court of Appeal (Civil Division)</x:v>
      </x:c>
      <x:c r="K1015" s="14" t="n">
        <x:v>2022</x:v>
      </x:c>
      <x:c r="L1015" s="15" t="n">
        <x:v>0.6953689</x:v>
      </x:c>
      <x:c r="M1015" s="14" t="n">
        <x:v>3</x:v>
      </x:c>
      <x:c r="N1015" s="14" t="str">
        <x:v>Halliburton (2006) | KCI Licensing (2010) | Generics (UK) (2015) | Stjernschantz (1992) | [2021] EWHC 1026 (Pat) | Stjernschantz 1992 | Halliburton Energy Services Inc v Smith International (North Sea) Ltd [2006] EWCA Civ 1715 | KCI Licensing Inc v Smith &amp; Nephew plc [2010] EWHC 1487 (Pat) | Generics (UK) Ltd v Warner-Lambert Co LLC [2015] EWHC 2548 (Pat); [2016] RPC 3</x:v>
      </x:c>
    </x:row>
    <x:row r="1016">
      <x:c r="A1016" s="1" t="str">
        <x:v>cmsbtb7sw002n04jipbuqxu0i</x:v>
      </x:c>
      <x:c r="B1016" s="1" t="str">
        <x:v>cmsbt9u2q002e04ji2397j8fe</x:v>
      </x:c>
      <x:c r="C1016" s="1" t="str">
        <x:v>ca-2024-002325 &amp; ca-2024-002295-modernatx-inc-v-pfizer-limited-others-appellant-skeleton</x:v>
      </x:c>
      <x:c r="D1016" s="12" t="n">
        <x:v>46236.54485604167</x:v>
      </x:c>
      <x:c r="E1016" s="1" t="str">
        <x:v>yes</x:v>
      </x:c>
      <x:c r="F1016" s="14" t="str">
        <x:v>cmsbtbxft002t04jic4baeo3l</x:v>
      </x:c>
      <x:c r="G1016" s="14" t="n">
        <x:v>15</x:v>
      </x:c>
      <x:c r="H1016" s="14" t="str">
        <x:v>5c199301-9fa7-4657-b7d3-4d6b6da9e61b</x:v>
      </x:c>
      <x:c r="I1016" s="14" t="str">
        <x:v>Neurim Pharmaceuticals (1991) Limited &amp; Anor v Generics (UK) Limited &amp; Anor [2022] EWCA Civ 359</x:v>
      </x:c>
      <x:c r="J1016" s="14" t="str">
        <x:v>England and Wales Court of Appeal (Civil Division)</x:v>
      </x:c>
      <x:c r="K1016" s="14" t="n">
        <x:v>2022</x:v>
      </x:c>
      <x:c r="L1016" s="15" t="n">
        <x:v>0.69483113</x:v>
      </x:c>
      <x:c r="M1016" s="14" t="n">
        <x:v>1</x:v>
      </x:c>
      <x:c r="N1016" s="14" t="str">
        <x:v>Spring Form Inc v Toy Brokers Ltd | IPCom v HTC Europe Co Ltd | Floyd LJ guidance | SCT Finance Ltd v Bolton</x:v>
      </x:c>
    </x:row>
    <x:row r="1017">
      <x:c r="A1017" s="1" t="str">
        <x:v>cmsbtb7sw002n04jipbuqxu0i</x:v>
      </x:c>
      <x:c r="B1017" s="1" t="str">
        <x:v>cmsbt9u2q002e04ji2397j8fe</x:v>
      </x:c>
      <x:c r="C1017" s="1" t="str">
        <x:v>ca-2024-002325 &amp; ca-2024-002295-modernatx-inc-v-pfizer-limited-others-appellant-skeleton</x:v>
      </x:c>
      <x:c r="D1017" s="12" t="n">
        <x:v>46236.54485604167</x:v>
      </x:c>
      <x:c r="E1017" s="1" t="str">
        <x:v>yes</x:v>
      </x:c>
      <x:c r="F1017" s="14" t="str">
        <x:v>cmsbtbxft002t04jic4baeo3l</x:v>
      </x:c>
      <x:c r="G1017" s="14" t="n">
        <x:v>16</x:v>
      </x:c>
      <x:c r="H1017" s="14" t="str">
        <x:v>f462ecd6-c4d2-4d24-997f-71bddff50aab</x:v>
      </x:c>
      <x:c r="I1017" s="14" t="str">
        <x:v>Sandoz Limited v Bristol-Myers Squibb Holdings Ireland Unlimited Company (Re Patent - Plausibility when determining validity) [2023] EWCA Civ 472</x:v>
      </x:c>
      <x:c r="J1017" s="14" t="str">
        <x:v>England and Wales Court of Appeal (Civil Division)</x:v>
      </x:c>
      <x:c r="K1017" s="14" t="n">
        <x:v>2023</x:v>
      </x:c>
      <x:c r="L1017" s="15" t="n">
        <x:v>0.6940063</x:v>
      </x:c>
      <x:c r="M1017" s="14" t="n">
        <x:v>3</x:v>
      </x:c>
      <x:c r="N1017" s="14" t="str">
        <x:v>G 2/21 | Warner-Lambert | Johns Hopkins | Ipsen | Salk (T-609/02) | Agrevo (T-939/92) | Dasatinib (T 488/16)</x:v>
      </x:c>
    </x:row>
    <x:row r="1018">
      <x:c r="A1018" s="1" t="str">
        <x:v>cmsbtb7sw002n04jipbuqxu0i</x:v>
      </x:c>
      <x:c r="B1018" s="1" t="str">
        <x:v>cmsbt9u2q002e04ji2397j8fe</x:v>
      </x:c>
      <x:c r="C1018" s="1" t="str">
        <x:v>ca-2024-002325 &amp; ca-2024-002295-modernatx-inc-v-pfizer-limited-others-appellant-skeleton</x:v>
      </x:c>
      <x:c r="D1018" s="12" t="n">
        <x:v>46236.54485604167</x:v>
      </x:c>
      <x:c r="E1018" s="1" t="str">
        <x:v>yes</x:v>
      </x:c>
      <x:c r="F1018" s="14" t="str">
        <x:v>cmsbtbxft002t04jic4baeo3l</x:v>
      </x:c>
      <x:c r="G1018" s="14" t="n">
        <x:v>17</x:v>
      </x:c>
      <x:c r="H1018" s="14" t="str">
        <x:v>024940b7-32ce-4a89-be24-ef0977f9eecd</x:v>
      </x:c>
      <x:c r="I1018" s="14" t="str">
        <x:v>Neurim Pharmaceuticals (1991) Limited &amp; Flynn Pharma Limited v Generics (UK) Limited &amp; Viatris UK Healthcare Limited [2022] EWCA Civ 699</x:v>
      </x:c>
      <x:c r="J1018" s="14" t="str">
        <x:v>England and Wales Court of Appeal (Civil Division)</x:v>
      </x:c>
      <x:c r="K1018" s="14" t="n">
        <x:v>2022</x:v>
      </x:c>
      <x:c r="L1018" s="15" t="n">
        <x:v>0.69375026</x:v>
      </x:c>
      <x:c r="M1018" s="14" t="n">
        <x:v>2</x:v>
      </x:c>
      <x:c r="N1018" s="14" t="str">
        <x:v>Warner-Lambert Co LLC v Generics (UK) Ltd | Conor Medsystems Inc v Angiotech Pharmaceuticals Inc | Salk (T-609/02)</x:v>
      </x:c>
    </x:row>
    <x:row r="1019">
      <x:c r="A1019" s="1" t="str">
        <x:v>cmsbtb7sw002n04jipbuqxu0i</x:v>
      </x:c>
      <x:c r="B1019" s="1" t="str">
        <x:v>cmsbt9u2q002e04ji2397j8fe</x:v>
      </x:c>
      <x:c r="C1019" s="1" t="str">
        <x:v>ca-2024-002325 &amp; ca-2024-002295-modernatx-inc-v-pfizer-limited-others-appellant-skeleton</x:v>
      </x:c>
      <x:c r="D1019" s="12" t="n">
        <x:v>46236.54485604167</x:v>
      </x:c>
      <x:c r="E1019" s="1" t="str">
        <x:v>yes</x:v>
      </x:c>
      <x:c r="F1019" s="14" t="str">
        <x:v>cmsbtbxft002t04jic4baeo3l</x:v>
      </x:c>
      <x:c r="G1019" s="14" t="n">
        <x:v>18</x:v>
      </x:c>
      <x:c r="H1019" s="14" t="str">
        <x:v>ce8d542e-c788-49dc-95c2-e97c961e144e</x:v>
      </x:c>
      <x:c r="I1019" s="14" t="str">
        <x:v>Optis Cellular Technology LLC et al v Apple Retail UK Ltd et al [2023] EWCA Civ 438</x:v>
      </x:c>
      <x:c r="J1019" s="14" t="str">
        <x:v>England and Wales Court of Appeal (Civil Division)</x:v>
      </x:c>
      <x:c r="K1019" s="14" t="n">
        <x:v>2023</x:v>
      </x:c>
      <x:c r="L1019" s="15" t="n">
        <x:v>0.6934973</x:v>
      </x:c>
      <x:c r="M1019" s="14" t="n">
        <x:v>2</x:v>
      </x:c>
      <x:c r="N1019" s="14" t="str">
        <x:v>Technograph Printed Circuits v Mills &amp; Rockley Electronics | SmithKline Beecham v Apotex Europe | Actavis Group PTC EHF v ICOS Corp | Re Sprintroom | Knuth, The Art of Computer Programming</x:v>
      </x:c>
    </x:row>
    <x:row r="1020">
      <x:c r="A1020" s="1" t="str">
        <x:v>cmsbtb7sw002n04jipbuqxu0i</x:v>
      </x:c>
      <x:c r="B1020" s="1" t="str">
        <x:v>cmsbt9u2q002e04ji2397j8fe</x:v>
      </x:c>
      <x:c r="C1020" s="1" t="str">
        <x:v>ca-2024-002325 &amp; ca-2024-002295-modernatx-inc-v-pfizer-limited-others-appellant-skeleton</x:v>
      </x:c>
      <x:c r="D1020" s="12" t="n">
        <x:v>46236.54485604167</x:v>
      </x:c>
      <x:c r="E1020" s="1" t="str">
        <x:v>yes</x:v>
      </x:c>
      <x:c r="F1020" s="14" t="str">
        <x:v>cmsbtbxft002t04jic4baeo3l</x:v>
      </x:c>
      <x:c r="G1020" s="14" t="n">
        <x:v>19</x:v>
      </x:c>
      <x:c r="H1020" s="14" t="str">
        <x:v>7311cc70-1cfb-4513-97ab-71a6251af9db</x:v>
      </x:c>
      <x:c r="I1020" s="14" t="str">
        <x:v>Interdigital Technology Corporation &amp; Ors v Lenovo Group Ltd &amp; Ors [2023] EWCA Civ 105</x:v>
      </x:c>
      <x:c r="J1020" s="14" t="str">
        <x:v>England and Wales Court of Appeal (Civil Division)</x:v>
      </x:c>
      <x:c r="K1020" s="14" t="n">
        <x:v>2023</x:v>
      </x:c>
      <x:c r="L1020" s="15" t="n">
        <x:v>0.69267416</x:v>
      </x:c>
      <x:c r="M1020" s="14" t="n">
        <x:v>1</x:v>
      </x:c>
      <x:c r="N1020" s="14" t="str">
        <x:v>[2022] EWHC 10 (Pat)</x:v>
      </x:c>
    </x:row>
    <x:row r="1021">
      <x:c r="A1021" s="1" t="str">
        <x:v>cmsbtb7sw002n04jipbuqxu0i</x:v>
      </x:c>
      <x:c r="B1021" s="1" t="str">
        <x:v>cmsbt9u2q002e04ji2397j8fe</x:v>
      </x:c>
      <x:c r="C1021" s="1" t="str">
        <x:v>ca-2024-002325 &amp; ca-2024-002295-modernatx-inc-v-pfizer-limited-others-appellant-skeleton</x:v>
      </x:c>
      <x:c r="D1021" s="12" t="n">
        <x:v>46236.54485604167</x:v>
      </x:c>
      <x:c r="E1021" s="1" t="str">
        <x:v>yes</x:v>
      </x:c>
      <x:c r="F1021" s="14" t="str">
        <x:v>cmsbtbxft002t04jic4baeo3l</x:v>
      </x:c>
      <x:c r="G1021" s="14" t="n">
        <x:v>20</x:v>
      </x:c>
      <x:c r="H1021" s="14" t="str">
        <x:v>5125ebbe-5915-4ab9-b2d2-c4236db40365</x:v>
      </x:c>
      <x:c r="I1021" s="14" t="str">
        <x:v>Novartis AG &amp; Ors v Focus Pharmaceuticals UK Ltd &amp; Ors; TEVA UK Ltd [2016] EWCA Civ 1295 (Court of Appeal, Civil Division)</x:v>
      </x:c>
      <x:c r="J1021" s="14" t="str">
        <x:v>England and Wales Court of Appeal (Civil Division)</x:v>
      </x:c>
      <x:c r="K1021" s="14" t="n">
        <x:v>2016</x:v>
      </x:c>
      <x:c r="L1021" s="15" t="n">
        <x:v>0.69176644</x:v>
      </x:c>
      <x:c r="M1021" s="14" t="n">
        <x:v>4</x:v>
      </x:c>
      <x:c r="N1021" s="14" t="str">
        <x:v>Vector | Nokia | Napp | US_031 | Vector Corp v Glatt Air Techniques Inc [2007] EWCA Civ 805 | Nokia Corp v IPCom GmbH &amp; Co KG (No 3) [2012] EWCA Civ 567 | Napp Pharmaceutical Holdings Ltd v ratiopharm GmbH [2009] EWCA Civ 252</x:v>
      </x:c>
    </x:row>
    <x:row r="1022">
      <x:c r="A1022" s="1" t="str">
        <x:v>cmst3ztkq000e04labxjacu4p</x:v>
      </x:c>
      <x:c r="B1022" s="1" t="str">
        <x:v>cmst3ysl5000504lad87fig4n</x:v>
      </x:c>
      <x:c r="C1022" s="1" t="str">
        <x:v>skeleton-args-ca2015000120-c8bbd9c0f403a8f6</x:v>
      </x:c>
      <x:c r="D1022" s="12" t="n">
        <x:v>46248.649822569445</x:v>
      </x:c>
      <x:c r="E1022" s="1" t="str">
        <x:v>yes</x:v>
      </x:c>
      <x:c r="F1022" s="14" t="str">
        <x:v>cmst419ew000k04ladhs06s0r</x:v>
      </x:c>
      <x:c r="G1022" s="14" t="n">
        <x:v>1</x:v>
      </x:c>
      <x:c r="H1022" s="14" t="str">
        <x:v>b5913f39-0611-4550-b7a3-d97e1fc4f9c9</x:v>
      </x:c>
      <x:c r="I1022" s="14" t="str">
        <x:v>Kalu v Brighton and Sussex University Hospitals NHS Trust &amp; Ors [2015] EWCA Civ 897</x:v>
      </x:c>
      <x:c r="J1022" s="14" t="str">
        <x:v>England and Wales Court of Appeal (Civil Division)</x:v>
      </x:c>
      <x:c r="K1022" s="14" t="n">
        <x:v>2015</x:v>
      </x:c>
      <x:c r="L1022" s="15" t="n">
        <x:v>0.73516136</x:v>
      </x:c>
      <x:c r="M1022" s="14" t="n">
        <x:v>3</x:v>
      </x:c>
      <x:c r="N1022" s="14" t="str">
        <x:v>Anya v University of Oxford | HSBC Asia Holdings BV v Gillespie</x:v>
      </x:c>
    </x:row>
    <x:row r="1023">
      <x:c r="A1023" s="1" t="str">
        <x:v>cmst3ztkq000e04labxjacu4p</x:v>
      </x:c>
      <x:c r="B1023" s="1" t="str">
        <x:v>cmst3ysl5000504lad87fig4n</x:v>
      </x:c>
      <x:c r="C1023" s="1" t="str">
        <x:v>skeleton-args-ca2015000120-c8bbd9c0f403a8f6</x:v>
      </x:c>
      <x:c r="D1023" s="12" t="n">
        <x:v>46248.649822569445</x:v>
      </x:c>
      <x:c r="E1023" s="1" t="str">
        <x:v>yes</x:v>
      </x:c>
      <x:c r="F1023" s="14" t="str">
        <x:v>cmst419ew000k04ladhs06s0r</x:v>
      </x:c>
      <x:c r="G1023" s="14" t="n">
        <x:v>2</x:v>
      </x:c>
      <x:c r="H1023" s="14" t="str">
        <x:v>060fb5e3-4e14-487d-89e2-170c04ebf40c</x:v>
      </x:c>
      <x:c r="I1023" s="14" t="str">
        <x:v>Gaurilcikiene v Tesco Stores Ltd [2014] EWCA Civ 1213</x:v>
      </x:c>
      <x:c r="J1023" s="14" t="str">
        <x:v>England and Wales Court of Appeal (Civil Division)</x:v>
      </x:c>
      <x:c r="K1023" s="14" t="n">
        <x:v>2014</x:v>
      </x:c>
      <x:c r="L1023" s="15" t="n">
        <x:v>0.73192024</x:v>
      </x:c>
      <x:c r="M1023" s="14" t="n">
        <x:v>1</x:v>
      </x:c>
      <x:c r="N1023" s="14" t="str"/>
    </x:row>
    <x:row r="1024">
      <x:c r="A1024" s="1" t="str">
        <x:v>cmst3ztkq000e04labxjacu4p</x:v>
      </x:c>
      <x:c r="B1024" s="1" t="str">
        <x:v>cmst3ysl5000504lad87fig4n</x:v>
      </x:c>
      <x:c r="C1024" s="1" t="str">
        <x:v>skeleton-args-ca2015000120-c8bbd9c0f403a8f6</x:v>
      </x:c>
      <x:c r="D1024" s="12" t="n">
        <x:v>46248.649822569445</x:v>
      </x:c>
      <x:c r="E1024" s="1" t="str">
        <x:v>yes</x:v>
      </x:c>
      <x:c r="F1024" s="14" t="str">
        <x:v>cmst419ew000k04ladhs06s0r</x:v>
      </x:c>
      <x:c r="G1024" s="14" t="n">
        <x:v>3</x:v>
      </x:c>
      <x:c r="H1024" s="14" t="str">
        <x:v>7b9b0d5a-dc61-43d4-9626-d82e18f8c8dd</x:v>
      </x:c>
      <x:c r="I1024" s="14" t="str">
        <x:v>South Wales Police Authority v Johnson [2014] EWCA Civ 73</x:v>
      </x:c>
      <x:c r="J1024" s="14" t="str">
        <x:v>England and Wales Court of Appeal (Civil Division)</x:v>
      </x:c>
      <x:c r="K1024" s="14" t="n">
        <x:v>2014</x:v>
      </x:c>
      <x:c r="L1024" s="15" t="n">
        <x:v>0.7251953</x:v>
      </x:c>
      <x:c r="M1024" s="14" t="n">
        <x:v>4</x:v>
      </x:c>
      <x:c r="N1024" s="14" t="str">
        <x:v>Igen Ltd v Wong [2005] ICR 931 | Race Relations Act 1976 | Yeboah v Crofton [2012] IRLR 634 | Madarassy v Nomura Plc [2007] ICR 867 | Hewage v Grampian Health Board [2012] ICR 1054</x:v>
      </x:c>
    </x:row>
    <x:row r="1025">
      <x:c r="A1025" s="1" t="str">
        <x:v>cmst3ztkq000e04labxjacu4p</x:v>
      </x:c>
      <x:c r="B1025" s="1" t="str">
        <x:v>cmst3ysl5000504lad87fig4n</x:v>
      </x:c>
      <x:c r="C1025" s="1" t="str">
        <x:v>skeleton-args-ca2015000120-c8bbd9c0f403a8f6</x:v>
      </x:c>
      <x:c r="D1025" s="12" t="n">
        <x:v>46248.649822569445</x:v>
      </x:c>
      <x:c r="E1025" s="1" t="str">
        <x:v>yes</x:v>
      </x:c>
      <x:c r="F1025" s="14" t="str">
        <x:v>cmst419ew000k04ladhs06s0r</x:v>
      </x:c>
      <x:c r="G1025" s="14" t="n">
        <x:v>4</x:v>
      </x:c>
      <x:c r="H1025" s="14" t="str">
        <x:v>9ae4bb2e-75ef-4733-a35d-66d61620f6e5</x:v>
      </x:c>
      <x:c r="I1025" s="14" t="str">
        <x:v>Home Office (UK Border Agency) v Essop &amp; Ors</x:v>
      </x:c>
      <x:c r="J1025" s="14" t="str">
        <x:v>England and Wales Court of Appeal (Civil Division)</x:v>
      </x:c>
      <x:c r="K1025" s="14" t="n">
        <x:v>2015</x:v>
      </x:c>
      <x:c r="L1025" s="15" t="n">
        <x:v>0.72315055</x:v>
      </x:c>
      <x:c r="M1025" s="14" t="n">
        <x:v>2</x:v>
      </x:c>
      <x:c r="N1025" s="14" t="str">
        <x:v>Equality Act 2010 | McClintock v. Department of Constitutional Affairs</x:v>
      </x:c>
    </x:row>
    <x:row r="1026">
      <x:c r="A1026" s="1" t="str">
        <x:v>cmst3ztkq000e04labxjacu4p</x:v>
      </x:c>
      <x:c r="B1026" s="1" t="str">
        <x:v>cmst3ysl5000504lad87fig4n</x:v>
      </x:c>
      <x:c r="C1026" s="1" t="str">
        <x:v>skeleton-args-ca2015000120-c8bbd9c0f403a8f6</x:v>
      </x:c>
      <x:c r="D1026" s="12" t="n">
        <x:v>46248.649822569445</x:v>
      </x:c>
      <x:c r="E1026" s="1" t="str">
        <x:v>yes</x:v>
      </x:c>
      <x:c r="F1026" s="14" t="str">
        <x:v>cmst419ew000k04ladhs06s0r</x:v>
      </x:c>
      <x:c r="G1026" s="14" t="n">
        <x:v>5</x:v>
      </x:c>
      <x:c r="H1026" s="14" t="str">
        <x:v>3b44a16a-76b8-49d4-8f00-6e1767c46005</x:v>
      </x:c>
      <x:c r="I1026" s="14" t="str">
        <x:v>Khan v Royal Mail Group Ltd &amp; Ors [2014] EWCA Civ 1082</x:v>
      </x:c>
      <x:c r="J1026" s="14" t="str">
        <x:v>England and Wales Court of Appeal (Civil Division)</x:v>
      </x:c>
      <x:c r="K1026" s="14" t="n">
        <x:v>2014</x:v>
      </x:c>
      <x:c r="L1026" s="15" t="n">
        <x:v>0.7226628</x:v>
      </x:c>
      <x:c r="M1026" s="14" t="n">
        <x:v>4</x:v>
      </x:c>
      <x:c r="N1026" s="14" t="str">
        <x:v>Igen Ltd v Wong | Madarassy v Nomura International plc | James v Eastleigh Borough Council | Chief Constable of the West Yorkshire Police v Khan</x:v>
      </x:c>
    </x:row>
    <x:row r="1027">
      <x:c r="A1027" s="1" t="str">
        <x:v>cmst3ztkq000e04labxjacu4p</x:v>
      </x:c>
      <x:c r="B1027" s="1" t="str">
        <x:v>cmst3ysl5000504lad87fig4n</x:v>
      </x:c>
      <x:c r="C1027" s="1" t="str">
        <x:v>skeleton-args-ca2015000120-c8bbd9c0f403a8f6</x:v>
      </x:c>
      <x:c r="D1027" s="12" t="n">
        <x:v>46248.649822569445</x:v>
      </x:c>
      <x:c r="E1027" s="1" t="str">
        <x:v>yes</x:v>
      </x:c>
      <x:c r="F1027" s="14" t="str">
        <x:v>cmst419ew000k04ladhs06s0r</x:v>
      </x:c>
      <x:c r="G1027" s="14" t="n">
        <x:v>6</x:v>
      </x:c>
      <x:c r="H1027" s="14" t="str">
        <x:v>9106dcdb-cf09-4bda-8712-36474df03834</x:v>
      </x:c>
      <x:c r="I1027" s="14" t="str">
        <x:v>Agbenowossi-Koffi v Donvand Ltd [2014] EWCA Civ 855</x:v>
      </x:c>
      <x:c r="J1027" s="14" t="str">
        <x:v>England and Wales Court of Appeal (Civil Division)</x:v>
      </x:c>
      <x:c r="K1027" s="14" t="n">
        <x:v>2014</x:v>
      </x:c>
      <x:c r="L1027" s="15" t="n">
        <x:v>0.7214421</x:v>
      </x:c>
      <x:c r="M1027" s="14" t="n">
        <x:v>2</x:v>
      </x:c>
      <x:c r="N1027" s="14" t="str"/>
    </x:row>
    <x:row r="1028">
      <x:c r="A1028" s="1" t="str">
        <x:v>cmst3ztkq000e04labxjacu4p</x:v>
      </x:c>
      <x:c r="B1028" s="1" t="str">
        <x:v>cmst3ysl5000504lad87fig4n</x:v>
      </x:c>
      <x:c r="C1028" s="1" t="str">
        <x:v>skeleton-args-ca2015000120-c8bbd9c0f403a8f6</x:v>
      </x:c>
      <x:c r="D1028" s="12" t="n">
        <x:v>46248.649822569445</x:v>
      </x:c>
      <x:c r="E1028" s="1" t="str">
        <x:v>yes</x:v>
      </x:c>
      <x:c r="F1028" s="14" t="str">
        <x:v>cmst419ew000k04ladhs06s0r</x:v>
      </x:c>
      <x:c r="G1028" s="14" t="n">
        <x:v>7</x:v>
      </x:c>
      <x:c r="H1028" s="14" t="str">
        <x:v>29190db1-6f4f-49a2-84d9-84e5a2091581</x:v>
      </x:c>
      <x:c r="I1028" s="14" t="str">
        <x:v>Jafri v Lincoln College [2014] EWCA Civ 449</x:v>
      </x:c>
      <x:c r="J1028" s="14" t="str">
        <x:v>England and Wales Court of Appeal (Civil Division)</x:v>
      </x:c>
      <x:c r="K1028" s="14" t="n">
        <x:v>2014</x:v>
      </x:c>
      <x:c r="L1028" s="15" t="n">
        <x:v>0.7212542</x:v>
      </x:c>
      <x:c r="M1028" s="14" t="n">
        <x:v>1</x:v>
      </x:c>
      <x:c r="N1028" s="14" t="str"/>
    </x:row>
    <x:row r="1029">
      <x:c r="A1029" s="1" t="str">
        <x:v>cmst3ztkq000e04labxjacu4p</x:v>
      </x:c>
      <x:c r="B1029" s="1" t="str">
        <x:v>cmst3ysl5000504lad87fig4n</x:v>
      </x:c>
      <x:c r="C1029" s="1" t="str">
        <x:v>skeleton-args-ca2015000120-c8bbd9c0f403a8f6</x:v>
      </x:c>
      <x:c r="D1029" s="12" t="n">
        <x:v>46248.649822569445</x:v>
      </x:c>
      <x:c r="E1029" s="1" t="str">
        <x:v>yes</x:v>
      </x:c>
      <x:c r="F1029" s="14" t="str">
        <x:v>cmst419ew000k04ladhs06s0r</x:v>
      </x:c>
      <x:c r="G1029" s="14" t="n">
        <x:v>8</x:v>
      </x:c>
      <x:c r="H1029" s="14" t="str">
        <x:v>9505adbf-4b10-41b0-bc0d-d71d70aa9210</x:v>
      </x:c>
      <x:c r="I1029" s="14" t="str">
        <x:v>Ayodele v Citylink Ltd &amp; Anor</x:v>
      </x:c>
      <x:c r="J1029" s="14" t="str">
        <x:v>England and Wales Court of Appeal (Civil Division)</x:v>
      </x:c>
      <x:c r="K1029" s="14" t="n">
        <x:v>2017</x:v>
      </x:c>
      <x:c r="L1029" s="15" t="n">
        <x:v>0.71677023</x:v>
      </x:c>
      <x:c r="M1029" s="14" t="n">
        <x:v>5</x:v>
      </x:c>
      <x:c r="N1029" s="14" t="str">
        <x:v>Igen Limited v Wong [2005] IRLR 258 | Efobi v Royal Mail Group Limited UKEAT/0203/16 | Barton v Investec Henderson Crosthwaite Securities Limited [2003] IRLR 332 | Madarassy v Nomura International plc [2007] IRLR 246</x:v>
      </x:c>
    </x:row>
    <x:row r="1030">
      <x:c r="A1030" s="1" t="str">
        <x:v>cmst3ztkq000e04labxjacu4p</x:v>
      </x:c>
      <x:c r="B1030" s="1" t="str">
        <x:v>cmst3ysl5000504lad87fig4n</x:v>
      </x:c>
      <x:c r="C1030" s="1" t="str">
        <x:v>skeleton-args-ca2015000120-c8bbd9c0f403a8f6</x:v>
      </x:c>
      <x:c r="D1030" s="12" t="n">
        <x:v>46248.649822569445</x:v>
      </x:c>
      <x:c r="E1030" s="1" t="str">
        <x:v>yes</x:v>
      </x:c>
      <x:c r="F1030" s="14" t="str">
        <x:v>cmst419ew000k04ladhs06s0r</x:v>
      </x:c>
      <x:c r="G1030" s="14" t="n">
        <x:v>9</x:v>
      </x:c>
      <x:c r="H1030" s="14" t="str">
        <x:v>87fe7360-158a-49e4-8725-7a68e18ba9ac</x:v>
      </x:c>
      <x:c r="I1030" s="14" t="str">
        <x:v>Coventry University v Mian [2014] EWCA Civ 1275</x:v>
      </x:c>
      <x:c r="J1030" s="14" t="str">
        <x:v>England and Wales Court of Appeal (Civil Division)</x:v>
      </x:c>
      <x:c r="K1030" s="14" t="n">
        <x:v>2014</x:v>
      </x:c>
      <x:c r="L1030" s="15" t="n">
        <x:v>0.715276</x:v>
      </x:c>
      <x:c r="M1030" s="14" t="n">
        <x:v>1</x:v>
      </x:c>
      <x:c r="N1030" s="14" t="str"/>
    </x:row>
    <x:row r="1031">
      <x:c r="A1031" s="1" t="str">
        <x:v>cmst3ztkq000e04labxjacu4p</x:v>
      </x:c>
      <x:c r="B1031" s="1" t="str">
        <x:v>cmst3ysl5000504lad87fig4n</x:v>
      </x:c>
      <x:c r="C1031" s="1" t="str">
        <x:v>skeleton-args-ca2015000120-c8bbd9c0f403a8f6</x:v>
      </x:c>
      <x:c r="D1031" s="12" t="n">
        <x:v>46248.649822569445</x:v>
      </x:c>
      <x:c r="E1031" s="1" t="str">
        <x:v>yes</x:v>
      </x:c>
      <x:c r="F1031" s="14" t="str">
        <x:v>cmst419ew000k04ladhs06s0r</x:v>
      </x:c>
      <x:c r="G1031" s="14" t="n">
        <x:v>10</x:v>
      </x:c>
      <x:c r="H1031" s="14" t="str">
        <x:v>48b2068c-80e9-4d0c-81f5-46a177a4c560</x:v>
      </x:c>
      <x:c r="I1031" s="14" t="str">
        <x:v>Burrell v Micheldever Tyre Services Ltd</x:v>
      </x:c>
      <x:c r="J1031" s="14" t="str">
        <x:v>England and Wales Court of Appeal (Civil Division)</x:v>
      </x:c>
      <x:c r="K1031" s="14" t="n">
        <x:v>2014</x:v>
      </x:c>
      <x:c r="L1031" s="15" t="n">
        <x:v>0.71515137</x:v>
      </x:c>
      <x:c r="M1031" s="14" t="n">
        <x:v>3</x:v>
      </x:c>
      <x:c r="N1031" s="14" t="str">
        <x:v>Bournemouth University Higher Education Corporation v Buckland | Jafri v Lincoln College | Hellyer Brothers Ltd v McLoud | Race Relations Act 1976 | Employment Rights Act 1996</x:v>
      </x:c>
    </x:row>
    <x:row r="1032">
      <x:c r="A1032" s="1" t="str">
        <x:v>cmst3ztkq000e04labxjacu4p</x:v>
      </x:c>
      <x:c r="B1032" s="1" t="str">
        <x:v>cmst3ysl5000504lad87fig4n</x:v>
      </x:c>
      <x:c r="C1032" s="1" t="str">
        <x:v>skeleton-args-ca2015000120-c8bbd9c0f403a8f6</x:v>
      </x:c>
      <x:c r="D1032" s="12" t="n">
        <x:v>46248.649822569445</x:v>
      </x:c>
      <x:c r="E1032" s="1" t="str">
        <x:v>yes</x:v>
      </x:c>
      <x:c r="F1032" s="14" t="str">
        <x:v>cmst419ew000k04ladhs06s0r</x:v>
      </x:c>
      <x:c r="G1032" s="14" t="n">
        <x:v>11</x:v>
      </x:c>
      <x:c r="H1032" s="14" t="str">
        <x:v>d6938848-6263-4913-8294-68c6e5aca496</x:v>
      </x:c>
      <x:c r="I1032" s="14" t="str">
        <x:v>Xerox (UK) Ltd &amp; Ors v Zeb [2017] EWCA Civ 2137</x:v>
      </x:c>
      <x:c r="J1032" s="14" t="str">
        <x:v>England and Wales Court of Appeal (Civil Division)</x:v>
      </x:c>
      <x:c r="K1032" s="14" t="n">
        <x:v>2017</x:v>
      </x:c>
      <x:c r="L1032" s="15" t="n">
        <x:v>0.7137226</x:v>
      </x:c>
      <x:c r="M1032" s="14" t="n">
        <x:v>1</x:v>
      </x:c>
      <x:c r="N1032" s="14" t="str">
        <x:v>Madarassy v Nomura International plc</x:v>
      </x:c>
    </x:row>
    <x:row r="1033">
      <x:c r="A1033" s="1" t="str">
        <x:v>cmst3ztkq000e04labxjacu4p</x:v>
      </x:c>
      <x:c r="B1033" s="1" t="str">
        <x:v>cmst3ysl5000504lad87fig4n</x:v>
      </x:c>
      <x:c r="C1033" s="1" t="str">
        <x:v>skeleton-args-ca2015000120-c8bbd9c0f403a8f6</x:v>
      </x:c>
      <x:c r="D1033" s="12" t="n">
        <x:v>46248.649822569445</x:v>
      </x:c>
      <x:c r="E1033" s="1" t="str">
        <x:v>yes</x:v>
      </x:c>
      <x:c r="F1033" s="14" t="str">
        <x:v>cmst419ew000k04ladhs06s0r</x:v>
      </x:c>
      <x:c r="G1033" s="14" t="n">
        <x:v>12</x:v>
      </x:c>
      <x:c r="H1033" s="14" t="str">
        <x:v>9365ac87-002c-4767-beb5-daa394718251</x:v>
      </x:c>
      <x:c r="I1033" s="14" t="str">
        <x:v>Adeshina v St. George's University Hospitals NHS Foundation Trust &amp; Ors [2017] EWCA Civ 257</x:v>
      </x:c>
      <x:c r="J1033" s="14" t="str">
        <x:v>England and Wales Court of Appeal (Civil Division)</x:v>
      </x:c>
      <x:c r="K1033" s="14" t="n">
        <x:v>2017</x:v>
      </x:c>
      <x:c r="L1033" s="15" t="n">
        <x:v>0.71336114</x:v>
      </x:c>
      <x:c r="M1033" s="14" t="n">
        <x:v>2</x:v>
      </x:c>
      <x:c r="N1033" s="14" t="str"/>
    </x:row>
    <x:row r="1034">
      <x:c r="A1034" s="1" t="str">
        <x:v>cmst3ztkq000e04labxjacu4p</x:v>
      </x:c>
      <x:c r="B1034" s="1" t="str">
        <x:v>cmst3ysl5000504lad87fig4n</x:v>
      </x:c>
      <x:c r="C1034" s="1" t="str">
        <x:v>skeleton-args-ca2015000120-c8bbd9c0f403a8f6</x:v>
      </x:c>
      <x:c r="D1034" s="12" t="n">
        <x:v>46248.649822569445</x:v>
      </x:c>
      <x:c r="E1034" s="1" t="str">
        <x:v>yes</x:v>
      </x:c>
      <x:c r="F1034" s="14" t="str">
        <x:v>cmst419ew000k04ladhs06s0r</x:v>
      </x:c>
      <x:c r="G1034" s="14" t="n">
        <x:v>13</x:v>
      </x:c>
      <x:c r="H1034" s="14" t="str">
        <x:v>e740795c-9249-45f8-aba9-1ab82a3274ca</x:v>
      </x:c>
      <x:c r="I1034" s="14" t="str">
        <x:v>Gala Tent Ltd v Chambers &amp; Anor [2015] EWCA Civ 1063</x:v>
      </x:c>
      <x:c r="J1034" s="14" t="str">
        <x:v>England and Wales Court of Appeal (Civil Division)</x:v>
      </x:c>
      <x:c r="K1034" s="14" t="n">
        <x:v>2015</x:v>
      </x:c>
      <x:c r="L1034" s="15" t="n">
        <x:v>0.7103783</x:v>
      </x:c>
      <x:c r="M1034" s="14" t="n">
        <x:v>1</x:v>
      </x:c>
      <x:c r="N1034" s="14" t="str"/>
    </x:row>
    <x:row r="1035">
      <x:c r="A1035" s="1" t="str">
        <x:v>cmst3ztkq000e04labxjacu4p</x:v>
      </x:c>
      <x:c r="B1035" s="1" t="str">
        <x:v>cmst3ysl5000504lad87fig4n</x:v>
      </x:c>
      <x:c r="C1035" s="1" t="str">
        <x:v>skeleton-args-ca2015000120-c8bbd9c0f403a8f6</x:v>
      </x:c>
      <x:c r="D1035" s="12" t="n">
        <x:v>46248.649822569445</x:v>
      </x:c>
      <x:c r="E1035" s="1" t="str">
        <x:v>yes</x:v>
      </x:c>
      <x:c r="F1035" s="14" t="str">
        <x:v>cmst419ew000k04ladhs06s0r</x:v>
      </x:c>
      <x:c r="G1035" s="14" t="n">
        <x:v>14</x:v>
      </x:c>
      <x:c r="H1035" s="14" t="str">
        <x:v>4b1144b2-2c97-48a1-8fd0-8ebbb0e8a2ce</x:v>
      </x:c>
      <x:c r="I1035" s="14" t="str">
        <x:v>Ahir v British Airways Plc [2017] EWCA Civ 1392</x:v>
      </x:c>
      <x:c r="J1035" s="14" t="str">
        <x:v>England and Wales Court of Appeal (Civil Division)</x:v>
      </x:c>
      <x:c r="K1035" s="14" t="n">
        <x:v>2017</x:v>
      </x:c>
      <x:c r="L1035" s="15" t="n">
        <x:v>0.71024776</x:v>
      </x:c>
      <x:c r="M1035" s="14" t="n">
        <x:v>3</x:v>
      </x:c>
      <x:c r="N1035" s="14" t="str">
        <x:v>Anyanwu v South Bank Student Union | Ezsias v North Glamorgan NHS Trust</x:v>
      </x:c>
    </x:row>
    <x:row r="1036">
      <x:c r="A1036" s="1" t="str">
        <x:v>cmst3ztkq000e04labxjacu4p</x:v>
      </x:c>
      <x:c r="B1036" s="1" t="str">
        <x:v>cmst3ysl5000504lad87fig4n</x:v>
      </x:c>
      <x:c r="C1036" s="1" t="str">
        <x:v>skeleton-args-ca2015000120-c8bbd9c0f403a8f6</x:v>
      </x:c>
      <x:c r="D1036" s="12" t="n">
        <x:v>46248.649822569445</x:v>
      </x:c>
      <x:c r="E1036" s="1" t="str">
        <x:v>yes</x:v>
      </x:c>
      <x:c r="F1036" s="14" t="str">
        <x:v>cmst419ew000k04ladhs06s0r</x:v>
      </x:c>
      <x:c r="G1036" s="14" t="n">
        <x:v>15</x:v>
      </x:c>
      <x:c r="H1036" s="14" t="str">
        <x:v>e099b583-4ed3-4598-a6cb-0f3565312f05</x:v>
      </x:c>
      <x:c r="I1036" s="14" t="str">
        <x:v>Pye v Queen Mary University of London [2017] EWCA Civ 1820</x:v>
      </x:c>
      <x:c r="J1036" s="14" t="str">
        <x:v>England and Wales Court of Appeal (Civil Division)</x:v>
      </x:c>
      <x:c r="K1036" s="14" t="n">
        <x:v>2017</x:v>
      </x:c>
      <x:c r="L1036" s="15" t="n">
        <x:v>0.7087679</x:v>
      </x:c>
      <x:c r="M1036" s="14" t="n">
        <x:v>1</x:v>
      </x:c>
      <x:c r="N1036" s="14" t="str"/>
    </x:row>
    <x:row r="1037">
      <x:c r="A1037" s="1" t="str">
        <x:v>cmst3ztkq000e04labxjacu4p</x:v>
      </x:c>
      <x:c r="B1037" s="1" t="str">
        <x:v>cmst3ysl5000504lad87fig4n</x:v>
      </x:c>
      <x:c r="C1037" s="1" t="str">
        <x:v>skeleton-args-ca2015000120-c8bbd9c0f403a8f6</x:v>
      </x:c>
      <x:c r="D1037" s="12" t="n">
        <x:v>46248.649822569445</x:v>
      </x:c>
      <x:c r="E1037" s="1" t="str">
        <x:v>yes</x:v>
      </x:c>
      <x:c r="F1037" s="14" t="str">
        <x:v>cmst419ew000k04ladhs06s0r</x:v>
      </x:c>
      <x:c r="G1037" s="14" t="n">
        <x:v>16</x:v>
      </x:c>
      <x:c r="H1037" s="14" t="str">
        <x:v>d0274784-a003-4439-8e79-06947376b0e7</x:v>
      </x:c>
      <x:c r="I1037" s="14" t="str">
        <x:v>CLFIS (UK) Ltd v Reynolds</x:v>
      </x:c>
      <x:c r="J1037" s="14" t="str">
        <x:v>England and Wales Court of Appeal (Civil Division)</x:v>
      </x:c>
      <x:c r="K1037" s="14" t="n">
        <x:v>2015</x:v>
      </x:c>
      <x:c r="L1037" s="15" t="n">
        <x:v>0.70845604</x:v>
      </x:c>
      <x:c r="M1037" s="14" t="n">
        <x:v>2</x:v>
      </x:c>
      <x:c r="N1037" s="14" t="str">
        <x:v>Madarassy v Nomura | Igen Ltd v Wong | Nagarajan v LRT</x:v>
      </x:c>
    </x:row>
    <x:row r="1038">
      <x:c r="A1038" s="1" t="str">
        <x:v>cmst3ztkq000e04labxjacu4p</x:v>
      </x:c>
      <x:c r="B1038" s="1" t="str">
        <x:v>cmst3ysl5000504lad87fig4n</x:v>
      </x:c>
      <x:c r="C1038" s="1" t="str">
        <x:v>skeleton-args-ca2015000120-c8bbd9c0f403a8f6</x:v>
      </x:c>
      <x:c r="D1038" s="12" t="n">
        <x:v>46248.649822569445</x:v>
      </x:c>
      <x:c r="E1038" s="1" t="str">
        <x:v>yes</x:v>
      </x:c>
      <x:c r="F1038" s="14" t="str">
        <x:v>cmst419ew000k04ladhs06s0r</x:v>
      </x:c>
      <x:c r="G1038" s="14" t="n">
        <x:v>17</x:v>
      </x:c>
      <x:c r="H1038" s="14" t="str">
        <x:v>b6038737-31bb-4cfe-ba4c-5199070a3616</x:v>
      </x:c>
      <x:c r="I1038" s="14" t="str">
        <x:v>Shrestha v Genesis Housing Association Ltd [2015] EWCA Civ 94</x:v>
      </x:c>
      <x:c r="J1038" s="14" t="str">
        <x:v>England and Wales Court of Appeal (Civil Division)</x:v>
      </x:c>
      <x:c r="K1038" s="14" t="n">
        <x:v>2015</x:v>
      </x:c>
      <x:c r="L1038" s="15" t="n">
        <x:v>0.7073263</x:v>
      </x:c>
      <x:c r="M1038" s="14" t="n">
        <x:v>1</x:v>
      </x:c>
      <x:c r="N1038" s="14" t="str"/>
    </x:row>
    <x:row r="1039">
      <x:c r="A1039" s="1" t="str">
        <x:v>cmst3ztkq000e04labxjacu4p</x:v>
      </x:c>
      <x:c r="B1039" s="1" t="str">
        <x:v>cmst3ysl5000504lad87fig4n</x:v>
      </x:c>
      <x:c r="C1039" s="1" t="str">
        <x:v>skeleton-args-ca2015000120-c8bbd9c0f403a8f6</x:v>
      </x:c>
      <x:c r="D1039" s="12" t="n">
        <x:v>46248.649822569445</x:v>
      </x:c>
      <x:c r="E1039" s="1" t="str">
        <x:v>yes</x:v>
      </x:c>
      <x:c r="F1039" s="14" t="str">
        <x:v>cmst419ew000k04ladhs06s0r</x:v>
      </x:c>
      <x:c r="G1039" s="14" t="n">
        <x:v>18</x:v>
      </x:c>
      <x:c r="H1039" s="14" t="str">
        <x:v>71cd4995-e726-4ac0-861a-ef9b3e0c3f4d</x:v>
      </x:c>
      <x:c r="I1039" s="14" t="str">
        <x:v>Rochford v WNS Global Services (UK) Ltd &amp; Ors [2017] EWCA Civ 2205</x:v>
      </x:c>
      <x:c r="J1039" s="14" t="str">
        <x:v>England and Wales Court of Appeal (Civil Division)</x:v>
      </x:c>
      <x:c r="K1039" s="14" t="n">
        <x:v>2017</x:v>
      </x:c>
      <x:c r="L1039" s="15" t="n">
        <x:v>0.70610225</x:v>
      </x:c>
      <x:c r="M1039" s="14" t="n">
        <x:v>1</x:v>
      </x:c>
      <x:c r="N1039" s="14" t="str">
        <x:v>Taylor v OCS Group Limited</x:v>
      </x:c>
    </x:row>
    <x:row r="1040">
      <x:c r="A1040" s="1" t="str">
        <x:v>cmst3ztkq000e04labxjacu4p</x:v>
      </x:c>
      <x:c r="B1040" s="1" t="str">
        <x:v>cmst3ysl5000504lad87fig4n</x:v>
      </x:c>
      <x:c r="C1040" s="1" t="str">
        <x:v>skeleton-args-ca2015000120-c8bbd9c0f403a8f6</x:v>
      </x:c>
      <x:c r="D1040" s="12" t="n">
        <x:v>46248.649822569445</x:v>
      </x:c>
      <x:c r="E1040" s="1" t="str">
        <x:v>yes</x:v>
      </x:c>
      <x:c r="F1040" s="14" t="str">
        <x:v>cmst419ew000k04ladhs06s0r</x:v>
      </x:c>
      <x:c r="G1040" s="14" t="n">
        <x:v>19</x:v>
      </x:c>
      <x:c r="H1040" s="14" t="str">
        <x:v>58d08b20-69c9-47be-8f81-5be69b31e088</x:v>
      </x:c>
      <x:c r="I1040" s="14" t="str">
        <x:v>Kuznetsov v The Royal Bank of Scotland Plc</x:v>
      </x:c>
      <x:c r="J1040" s="14" t="str">
        <x:v>England and Wales Court of Appeal (Civil Division)</x:v>
      </x:c>
      <x:c r="K1040" s="14" t="n">
        <x:v>2017</x:v>
      </x:c>
      <x:c r="L1040" s="15" t="n">
        <x:v>0.70589817</x:v>
      </x:c>
      <x:c r="M1040" s="14" t="n">
        <x:v>1</x:v>
      </x:c>
      <x:c r="N1040" s="14" t="str">
        <x:v>Jafri v Lincoln College [2015] QB 781</x:v>
      </x:c>
    </x:row>
    <x:row r="1041">
      <x:c r="A1041" s="1" t="str">
        <x:v>cmst3ztkq000e04labxjacu4p</x:v>
      </x:c>
      <x:c r="B1041" s="1" t="str">
        <x:v>cmst3ysl5000504lad87fig4n</x:v>
      </x:c>
      <x:c r="C1041" s="1" t="str">
        <x:v>skeleton-args-ca2015000120-c8bbd9c0f403a8f6</x:v>
      </x:c>
      <x:c r="D1041" s="12" t="n">
        <x:v>46248.649822569445</x:v>
      </x:c>
      <x:c r="E1041" s="1" t="str">
        <x:v>yes</x:v>
      </x:c>
      <x:c r="F1041" s="14" t="str">
        <x:v>cmst419ew000k04ladhs06s0r</x:v>
      </x:c>
      <x:c r="G1041" s="14" t="n">
        <x:v>20</x:v>
      </x:c>
      <x:c r="H1041" s="14" t="str">
        <x:v>c7763be7-d3d8-4e78-acc8-2eae10851872</x:v>
      </x:c>
      <x:c r="I1041" s="14" t="str">
        <x:v>Bhardwaj v FDA &amp; Ors [2015] EWCA Civ 658</x:v>
      </x:c>
      <x:c r="J1041" s="14" t="str">
        <x:v>England and Wales Court of Appeal (Civil Division)</x:v>
      </x:c>
      <x:c r="K1041" s="14" t="n">
        <x:v>2015</x:v>
      </x:c>
      <x:c r="L1041" s="15" t="n">
        <x:v>0.7057481</x:v>
      </x:c>
      <x:c r="M1041" s="14" t="n">
        <x:v>1</x:v>
      </x:c>
      <x:c r="N1041" s="14" t="str"/>
    </x:row>
    <x:row r="1042">
      <x:c r="A1042" s="1" t="str">
        <x:v>cmst43r4x000b04l747yntyz2</x:v>
      </x:c>
      <x:c r="B1042" s="1" t="str">
        <x:v>cmst42n0r000204l7soxe8xnj</x:v>
      </x:c>
      <x:c r="C1042" s="1" t="str">
        <x:v>skeleton-args-ca2015008373-db13b0c8e36da3c2</x:v>
      </x:c>
      <x:c r="D1042" s="12" t="n">
        <x:v>46248.65194600695</x:v>
      </x:c>
      <x:c r="E1042" s="1" t="str">
        <x:v>yes</x:v>
      </x:c>
      <x:c r="F1042" s="14" t="str">
        <x:v>cmst45vlc000h04l7f6nlqawg</x:v>
      </x:c>
      <x:c r="G1042" s="14" t="n">
        <x:v>1</x:v>
      </x:c>
      <x:c r="H1042" s="14" t="str">
        <x:v>a1fcbe31-60cf-480d-aa88-19492f68df24</x:v>
      </x:c>
      <x:c r="I1042" s="14" t="str">
        <x:v>Crestsign Ltd v National Westminster Bank Plc &amp; Anor [2015] EWCA Civ 986</x:v>
      </x:c>
      <x:c r="J1042" s="14" t="str">
        <x:v>England and Wales Court of Appeal (Civil Division)</x:v>
      </x:c>
      <x:c r="K1042" s="14" t="n">
        <x:v>2015</x:v>
      </x:c>
      <x:c r="L1042" s="15" t="n">
        <x:v>0.7110932</x:v>
      </x:c>
      <x:c r="M1042" s="14" t="n">
        <x:v>5</x:v>
      </x:c>
      <x:c r="N1042" s="14" t="str"/>
    </x:row>
    <x:row r="1043">
      <x:c r="A1043" s="1" t="str">
        <x:v>cmst43r4x000b04l747yntyz2</x:v>
      </x:c>
      <x:c r="B1043" s="1" t="str">
        <x:v>cmst42n0r000204l7soxe8xnj</x:v>
      </x:c>
      <x:c r="C1043" s="1" t="str">
        <x:v>skeleton-args-ca2015008373-db13b0c8e36da3c2</x:v>
      </x:c>
      <x:c r="D1043" s="12" t="n">
        <x:v>46248.65194600695</x:v>
      </x:c>
      <x:c r="E1043" s="1" t="str">
        <x:v>yes</x:v>
      </x:c>
      <x:c r="F1043" s="14" t="str">
        <x:v>cmst45vlc000h04l7f6nlqawg</x:v>
      </x:c>
      <x:c r="G1043" s="14" t="n">
        <x:v>2</x:v>
      </x:c>
      <x:c r="H1043" s="14" t="str">
        <x:v>187b7b96-3c95-4093-96a7-389bc96a5dea</x:v>
      </x:c>
      <x:c r="I1043" s="14" t="str">
        <x:v>Saville v Central Capital Ltd [2014] EWCA Civ 337</x:v>
      </x:c>
      <x:c r="J1043" s="14" t="str">
        <x:v>England and Wales Court of Appeal (Civil Division)</x:v>
      </x:c>
      <x:c r="K1043" s="14" t="n">
        <x:v>2014</x:v>
      </x:c>
      <x:c r="L1043" s="15" t="n">
        <x:v>0.7010366</x:v>
      </x:c>
      <x:c r="M1043" s="14" t="n">
        <x:v>1</x:v>
      </x:c>
      <x:c r="N1043" s="14" t="str"/>
    </x:row>
    <x:row r="1044">
      <x:c r="A1044" s="1" t="str">
        <x:v>cmst43r4x000b04l747yntyz2</x:v>
      </x:c>
      <x:c r="B1044" s="1" t="str">
        <x:v>cmst42n0r000204l7soxe8xnj</x:v>
      </x:c>
      <x:c r="C1044" s="1" t="str">
        <x:v>skeleton-args-ca2015008373-db13b0c8e36da3c2</x:v>
      </x:c>
      <x:c r="D1044" s="12" t="n">
        <x:v>46248.65194600695</x:v>
      </x:c>
      <x:c r="E1044" s="1" t="str">
        <x:v>yes</x:v>
      </x:c>
      <x:c r="F1044" s="14" t="str">
        <x:v>cmst45vlc000h04l7f6nlqawg</x:v>
      </x:c>
      <x:c r="G1044" s="14" t="n">
        <x:v>3</x:v>
      </x:c>
      <x:c r="H1044" s="14" t="str">
        <x:v>5efa7b7e-80f2-4a0e-ad80-5ab0db7a9c17</x:v>
      </x:c>
      <x:c r="I1044" s="14" t="str">
        <x:v>Deutsche Bank AG v Unitech Global Limited &amp; Ors [2016] EWCA Civ 119</x:v>
      </x:c>
      <x:c r="J1044" s="14" t="str">
        <x:v>England and Wales Court of Appeal (Civil Division)</x:v>
      </x:c>
      <x:c r="K1044" s="14" t="n">
        <x:v>2016</x:v>
      </x:c>
      <x:c r="L1044" s="15" t="n">
        <x:v>0.6992345</x:v>
      </x:c>
      <x:c r="M1044" s="14" t="n">
        <x:v>2</x:v>
      </x:c>
      <x:c r="N1044" s="14" t="str">
        <x:v>Courage Ltd v Crehan | United City Merchants v Royal Bank of Canada | Kleinwort Sons &amp; Co. v Ungarische Baumwolle Industrie A.G. | Lewison J Sofaer v Anglo Irish Asset Finance Plc | Bookmakers Afternoon Greyhound Services Ltd v Amalgamated Racing UK Ltd | Yorke Motors v Edwards</x:v>
      </x:c>
    </x:row>
    <x:row r="1045">
      <x:c r="A1045" s="1" t="str">
        <x:v>cmst43r4x000b04l747yntyz2</x:v>
      </x:c>
      <x:c r="B1045" s="1" t="str">
        <x:v>cmst42n0r000204l7soxe8xnj</x:v>
      </x:c>
      <x:c r="C1045" s="1" t="str">
        <x:v>skeleton-args-ca2015008373-db13b0c8e36da3c2</x:v>
      </x:c>
      <x:c r="D1045" s="12" t="n">
        <x:v>46248.65194600695</x:v>
      </x:c>
      <x:c r="E1045" s="1" t="str">
        <x:v>yes</x:v>
      </x:c>
      <x:c r="F1045" s="14" t="str">
        <x:v>cmst45vlc000h04l7f6nlqawg</x:v>
      </x:c>
      <x:c r="G1045" s="14" t="n">
        <x:v>4</x:v>
      </x:c>
      <x:c r="H1045" s="14" t="str">
        <x:v>0c0d315b-921c-4764-bbf2-256f21063551</x:v>
      </x:c>
      <x:c r="I1045" s="14" t="str">
        <x:v>The Financial Conduct Authority v Ferreira [2022] EWCA Civ 397</x:v>
      </x:c>
      <x:c r="J1045" s="14" t="str">
        <x:v>England and Wales Court of Appeal (Civil Division)</x:v>
      </x:c>
      <x:c r="K1045" s="14" t="n">
        <x:v>2022</x:v>
      </x:c>
      <x:c r="L1045" s="15" t="n">
        <x:v>0.695872</x:v>
      </x:c>
      <x:c r="M1045" s="14" t="n">
        <x:v>1</x:v>
      </x:c>
      <x:c r="N1045" s="14" t="str">
        <x:v>Scandex | FSMA provisions</x:v>
      </x:c>
    </x:row>
    <x:row r="1046">
      <x:c r="A1046" s="1" t="str">
        <x:v>cmst43r4x000b04l747yntyz2</x:v>
      </x:c>
      <x:c r="B1046" s="1" t="str">
        <x:v>cmst42n0r000204l7soxe8xnj</x:v>
      </x:c>
      <x:c r="C1046" s="1" t="str">
        <x:v>skeleton-args-ca2015008373-db13b0c8e36da3c2</x:v>
      </x:c>
      <x:c r="D1046" s="12" t="n">
        <x:v>46248.65194600695</x:v>
      </x:c>
      <x:c r="E1046" s="1" t="str">
        <x:v>yes</x:v>
      </x:c>
      <x:c r="F1046" s="14" t="str">
        <x:v>cmst45vlc000h04l7f6nlqawg</x:v>
      </x:c>
      <x:c r="G1046" s="14" t="n">
        <x:v>5</x:v>
      </x:c>
      <x:c r="H1046" s="14" t="str">
        <x:v>4bab60a4-405b-418a-b7ed-7995d0a7b4d5</x:v>
      </x:c>
      <x:c r="I1046" s="14" t="str">
        <x:v>WW Property Investments Ltd v National Westminster Bank Plc [2016] EWCA Civ 1142 (Court of Appeal, Civil Division)</x:v>
      </x:c>
      <x:c r="J1046" s="14" t="str">
        <x:v>England and Wales Court of Appeal (Civil Division)</x:v>
      </x:c>
      <x:c r="K1046" s="14" t="n">
        <x:v>2016</x:v>
      </x:c>
      <x:c r="L1046" s="15" t="n">
        <x:v>0.6948532</x:v>
      </x:c>
      <x:c r="M1046" s="14" t="n">
        <x:v>5</x:v>
      </x:c>
      <x:c r="N1046" s="14" t="str">
        <x:v>City Index v Leslie | Morgan Grenfell | Nextia | Ivey | Morgan Grenfell Ltd v Welwyn Hatfield DC [1995] 1 All ER 1 | City Index Ltd v Leslie [1992] 2 QB 98 | Nextia Properties v Royal Bank of Scotland [2013] EWHC 3167; [2014] EWCA Civ 740 | Hazell v Hammersmith and Fulham LBC [1992] AC 1 | Westdeutsche Landesbank Girozentrale v Islington LBC [1996] AC 669 | Ivey v Genting Casinos Ltd [2016] EWCA Civ 1093 | Gambling Act 2005 | Financial Services Act 1986 | Financial Services and Markets Act 2000 | Marks &amp; Spencer plc v BNP Paribas [2015] UKSC 72 | Deutsche Bank v Unitech [2013] EWCA Civ 1372 | City Index | Westdeutsche | FSMA 2000 | Morgan Grenfell Ltd v Welwyn Hatfield DC | City Index Ltd v Leslie</x:v>
      </x:c>
    </x:row>
    <x:row r="1047">
      <x:c r="A1047" s="1" t="str">
        <x:v>cmst43r4x000b04l747yntyz2</x:v>
      </x:c>
      <x:c r="B1047" s="1" t="str">
        <x:v>cmst42n0r000204l7soxe8xnj</x:v>
      </x:c>
      <x:c r="C1047" s="1" t="str">
        <x:v>skeleton-args-ca2015008373-db13b0c8e36da3c2</x:v>
      </x:c>
      <x:c r="D1047" s="12" t="n">
        <x:v>46248.65194600695</x:v>
      </x:c>
      <x:c r="E1047" s="1" t="str">
        <x:v>yes</x:v>
      </x:c>
      <x:c r="F1047" s="14" t="str">
        <x:v>cmst45vlc000h04l7f6nlqawg</x:v>
      </x:c>
      <x:c r="G1047" s="14" t="n">
        <x:v>6</x:v>
      </x:c>
      <x:c r="H1047" s="14" t="str">
        <x:v>83821fb0-ba9c-43e6-bb47-76a85327b471</x:v>
      </x:c>
      <x:c r="I1047" s="14" t="str">
        <x:v>CGL Group Ltd &amp; Ors v The Royal Bank of Scotland Plc &amp; National Westminster Bank Plc &amp; Ors</x:v>
      </x:c>
      <x:c r="J1047" s="14" t="str">
        <x:v>England and Wales Court of Appeal (Civil Division)</x:v>
      </x:c>
      <x:c r="K1047" s="14" t="n">
        <x:v>2017</x:v>
      </x:c>
      <x:c r="L1047" s="15" t="n">
        <x:v>0.6939473</x:v>
      </x:c>
      <x:c r="M1047" s="14" t="n">
        <x:v>4</x:v>
      </x:c>
      <x:c r="N1047" s="14" t="str">
        <x:v>Financial Services and Markets Act 2000 | Sutherland Shire Council v Heyman | Gwenllian Court Hotel Ltd v Barclays Bank plc | Henderson v Merrett Syndicates Ltd | Briscoe v Lubrizol Ltd</x:v>
      </x:c>
    </x:row>
    <x:row r="1048">
      <x:c r="A1048" s="1" t="str">
        <x:v>cmst43r4x000b04l747yntyz2</x:v>
      </x:c>
      <x:c r="B1048" s="1" t="str">
        <x:v>cmst42n0r000204l7soxe8xnj</x:v>
      </x:c>
      <x:c r="C1048" s="1" t="str">
        <x:v>skeleton-args-ca2015008373-db13b0c8e36da3c2</x:v>
      </x:c>
      <x:c r="D1048" s="12" t="n">
        <x:v>46248.65194600695</x:v>
      </x:c>
      <x:c r="E1048" s="1" t="str">
        <x:v>yes</x:v>
      </x:c>
      <x:c r="F1048" s="14" t="str">
        <x:v>cmst45vlc000h04l7f6nlqawg</x:v>
      </x:c>
      <x:c r="G1048" s="14" t="n">
        <x:v>7</x:v>
      </x:c>
      <x:c r="H1048" s="14" t="str">
        <x:v>e3367bf1-963c-47c9-aea9-8dc4a1dc25bc</x:v>
      </x:c>
      <x:c r="I1048" s="14" t="str">
        <x:v>The Financial Conduct Authority v Capital Alternatives Ltd &amp; Ors</x:v>
      </x:c>
      <x:c r="J1048" s="14" t="str">
        <x:v>England and Wales Court of Appeal (Civil Division)</x:v>
      </x:c>
      <x:c r="K1048" s="14" t="n">
        <x:v>2015</x:v>
      </x:c>
      <x:c r="L1048" s="15" t="n">
        <x:v>0.6911964</x:v>
      </x:c>
      <x:c r="M1048" s="14" t="n">
        <x:v>2</x:v>
      </x:c>
      <x:c r="N1048" s="14" t="str">
        <x:v>[2015] EWCA Civ 284</x:v>
      </x:c>
    </x:row>
    <x:row r="1049">
      <x:c r="A1049" s="1" t="str">
        <x:v>cmst43r4x000b04l747yntyz2</x:v>
      </x:c>
      <x:c r="B1049" s="1" t="str">
        <x:v>cmst42n0r000204l7soxe8xnj</x:v>
      </x:c>
      <x:c r="C1049" s="1" t="str">
        <x:v>skeleton-args-ca2015008373-db13b0c8e36da3c2</x:v>
      </x:c>
      <x:c r="D1049" s="12" t="n">
        <x:v>46248.65194600695</x:v>
      </x:c>
      <x:c r="E1049" s="1" t="str">
        <x:v>yes</x:v>
      </x:c>
      <x:c r="F1049" s="14" t="str">
        <x:v>cmst45vlc000h04l7f6nlqawg</x:v>
      </x:c>
      <x:c r="G1049" s="14" t="n">
        <x:v>8</x:v>
      </x:c>
      <x:c r="H1049" s="14" t="str">
        <x:v>a30b2ade-6e0c-4b33-a0cd-099ae990e876</x:v>
      </x:c>
      <x:c r="I1049" s="14" t="str">
        <x:v>Property Alliance Group Ltd v The Royal Bank of Scotland Plc [2018] EWCA Civ 355</x:v>
      </x:c>
      <x:c r="J1049" s="14" t="str">
        <x:v>England and Wales Court of Appeal (Civil Division)</x:v>
      </x:c>
      <x:c r="K1049" s="14" t="n">
        <x:v>2018</x:v>
      </x:c>
      <x:c r="L1049" s="15" t="n">
        <x:v>0.6858084</x:v>
      </x:c>
      <x:c r="M1049" s="14" t="n">
        <x:v>7</x:v>
      </x:c>
      <x:c r="N1049" s="14" t="str">
        <x:v>Hedley Byrne &amp; Co Ltd v Heller &amp; Partners Ltd | Bankers Trust International plc v PT Dharma Sakti Sejahtera | Abu Dhabi National Tanker Co v Product Star Shipping Ltd</x:v>
      </x:c>
    </x:row>
    <x:row r="1050">
      <x:c r="A1050" s="1" t="str">
        <x:v>cmst43r4x000b04l747yntyz2</x:v>
      </x:c>
      <x:c r="B1050" s="1" t="str">
        <x:v>cmst42n0r000204l7soxe8xnj</x:v>
      </x:c>
      <x:c r="C1050" s="1" t="str">
        <x:v>skeleton-args-ca2015008373-db13b0c8e36da3c2</x:v>
      </x:c>
      <x:c r="D1050" s="12" t="n">
        <x:v>46248.65194600695</x:v>
      </x:c>
      <x:c r="E1050" s="1" t="str">
        <x:v>yes</x:v>
      </x:c>
      <x:c r="F1050" s="14" t="str">
        <x:v>cmst45vlc000h04l7f6nlqawg</x:v>
      </x:c>
      <x:c r="G1050" s="14" t="n">
        <x:v>9</x:v>
      </x:c>
      <x:c r="H1050" s="14" t="str">
        <x:v>8fd0b714-5fa9-43cf-9e51-5c74a6e3d911</x:v>
      </x:c>
      <x:c r="I1050" s="14" t="str">
        <x:v>Banco Santander Totta SA v Companhia Carris De Ferro De Lisboa SA &amp; Ors [2016] EWCA Civ 1267</x:v>
      </x:c>
      <x:c r="J1050" s="14" t="str">
        <x:v>England and Wales Court of Appeal (Civil Division)</x:v>
      </x:c>
      <x:c r="K1050" s="14" t="n">
        <x:v>2016</x:v>
      </x:c>
      <x:c r="L1050" s="15" t="n">
        <x:v>0.67874265</x:v>
      </x:c>
      <x:c r="M1050" s="14" t="n">
        <x:v>1</x:v>
      </x:c>
      <x:c r="N1050" s="14" t="str"/>
    </x:row>
    <x:row r="1051">
      <x:c r="A1051" s="1" t="str">
        <x:v>cmst43r4x000b04l747yntyz2</x:v>
      </x:c>
      <x:c r="B1051" s="1" t="str">
        <x:v>cmst42n0r000204l7soxe8xnj</x:v>
      </x:c>
      <x:c r="C1051" s="1" t="str">
        <x:v>skeleton-args-ca2015008373-db13b0c8e36da3c2</x:v>
      </x:c>
      <x:c r="D1051" s="12" t="n">
        <x:v>46248.65194600695</x:v>
      </x:c>
      <x:c r="E1051" s="1" t="str">
        <x:v>yes</x:v>
      </x:c>
      <x:c r="F1051" s="14" t="str">
        <x:v>cmst45vlc000h04l7f6nlqawg</x:v>
      </x:c>
      <x:c r="G1051" s="14" t="n">
        <x:v>10</x:v>
      </x:c>
      <x:c r="H1051" s="14" t="str">
        <x:v>ee25b714-a850-4788-bcd3-623a5cbe4ede</x:v>
      </x:c>
      <x:c r="I1051" s="14" t="str">
        <x:v>Electro Mechanical Installations Ltd v Royal Bank of Scotland [2014] EWCA Civ 77</x:v>
      </x:c>
      <x:c r="J1051" s="14" t="str">
        <x:v>England and Wales Court of Appeal (Civil Division)</x:v>
      </x:c>
      <x:c r="K1051" s="14" t="n">
        <x:v>2014</x:v>
      </x:c>
      <x:c r="L1051" s="15" t="n">
        <x:v>0.67212117</x:v>
      </x:c>
      <x:c r="M1051" s="14" t="n">
        <x:v>2</x:v>
      </x:c>
      <x:c r="N1051" s="14" t="str">
        <x:v>Barclays Bank v Quincecare Ltd | Lipkin Gorman v Karpnale Ltd | Redmond v Allied Irish Banks | Winnetka Trading v Julius Baer</x:v>
      </x:c>
    </x:row>
    <x:row r="1052">
      <x:c r="A1052" s="1" t="str">
        <x:v>cmst43r4x000b04l747yntyz2</x:v>
      </x:c>
      <x:c r="B1052" s="1" t="str">
        <x:v>cmst42n0r000204l7soxe8xnj</x:v>
      </x:c>
      <x:c r="C1052" s="1" t="str">
        <x:v>skeleton-args-ca2015008373-db13b0c8e36da3c2</x:v>
      </x:c>
      <x:c r="D1052" s="12" t="n">
        <x:v>46248.65194600695</x:v>
      </x:c>
      <x:c r="E1052" s="1" t="str">
        <x:v>yes</x:v>
      </x:c>
      <x:c r="F1052" s="14" t="str">
        <x:v>cmst45vlc000h04l7f6nlqawg</x:v>
      </x:c>
      <x:c r="G1052" s="14" t="n">
        <x:v>11</x:v>
      </x:c>
      <x:c r="H1052" s="14" t="str">
        <x:v>b4e5eb9c-82c1-4910-beaf-c30269939bbe</x:v>
      </x:c>
      <x:c r="I1052" s="14" t="str">
        <x:v>Asset Land Investment Plc &amp; Anor v The Financial Conduct Authority (FCA)</x:v>
      </x:c>
      <x:c r="J1052" s="14" t="str">
        <x:v>England and Wales Court of Appeal (Civil Division)</x:v>
      </x:c>
      <x:c r="K1052" s="14" t="n">
        <x:v>2014</x:v>
      </x:c>
      <x:c r="L1052" s="15" t="n">
        <x:v>0.671113</x:v>
      </x:c>
      <x:c r="M1052" s="14" t="n">
        <x:v>2</x:v>
      </x:c>
      <x:c r="N1052" s="14" t="str"/>
    </x:row>
    <x:row r="1053">
      <x:c r="A1053" s="1" t="str">
        <x:v>cmst43r4x000b04l747yntyz2</x:v>
      </x:c>
      <x:c r="B1053" s="1" t="str">
        <x:v>cmst42n0r000204l7soxe8xnj</x:v>
      </x:c>
      <x:c r="C1053" s="1" t="str">
        <x:v>skeleton-args-ca2015008373-db13b0c8e36da3c2</x:v>
      </x:c>
      <x:c r="D1053" s="12" t="n">
        <x:v>46248.65194600695</x:v>
      </x:c>
      <x:c r="E1053" s="1" t="str">
        <x:v>yes</x:v>
      </x:c>
      <x:c r="F1053" s="14" t="str">
        <x:v>cmst45vlc000h04l7f6nlqawg</x:v>
      </x:c>
      <x:c r="G1053" s="14" t="n">
        <x:v>12</x:v>
      </x:c>
      <x:c r="H1053" s="14" t="str">
        <x:v>727d863a-b385-45df-96e6-d8dba00144f9</x:v>
      </x:c>
      <x:c r="I1053" s="14" t="str">
        <x:v>Philipp v Barclays Bank UK Plc [2022] EWCA Civ 318</x:v>
      </x:c>
      <x:c r="J1053" s="14" t="str">
        <x:v>England and Wales Court of Appeal (Civil Division)</x:v>
      </x:c>
      <x:c r="K1053" s="14" t="n">
        <x:v>2022</x:v>
      </x:c>
      <x:c r="L1053" s="15" t="n">
        <x:v>0.6658291</x:v>
      </x:c>
      <x:c r="M1053" s="14" t="n">
        <x:v>2</x:v>
      </x:c>
      <x:c r="N1053" s="14" t="str">
        <x:v>Quincecare | Verjee v CIBC Bank | Paget's Law of Banking | Barclays Bank v Simms | Lipkin Gorman | Singularis | Sekers Fabrics v Clydesdale Bank | Luk Wing Yan v CMB Wing Lung Bank Ltd | Tidal Energy</x:v>
      </x:c>
    </x:row>
    <x:row r="1054">
      <x:c r="A1054" s="1" t="str">
        <x:v>cmst43r4x000b04l747yntyz2</x:v>
      </x:c>
      <x:c r="B1054" s="1" t="str">
        <x:v>cmst42n0r000204l7soxe8xnj</x:v>
      </x:c>
      <x:c r="C1054" s="1" t="str">
        <x:v>skeleton-args-ca2015008373-db13b0c8e36da3c2</x:v>
      </x:c>
      <x:c r="D1054" s="12" t="n">
        <x:v>46248.65194600695</x:v>
      </x:c>
      <x:c r="E1054" s="1" t="str">
        <x:v>yes</x:v>
      </x:c>
      <x:c r="F1054" s="14" t="str">
        <x:v>cmst45vlc000h04l7f6nlqawg</x:v>
      </x:c>
      <x:c r="G1054" s="14" t="n">
        <x:v>13</x:v>
      </x:c>
      <x:c r="H1054" s="14" t="str">
        <x:v>fcbf3975-3755-45fa-9124-191d1a392003</x:v>
      </x:c>
      <x:c r="I1054" s="14" t="str">
        <x:v>Wood v Sureterm Direct Ltd &amp; Capita Insurance Services Ltd [2015] EWCA Civ 839</x:v>
      </x:c>
      <x:c r="J1054" s="14" t="str">
        <x:v>England and Wales Court of Appeal (Civil Division)</x:v>
      </x:c>
      <x:c r="K1054" s="14" t="n">
        <x:v>2015</x:v>
      </x:c>
      <x:c r="L1054" s="15" t="n">
        <x:v>0.6639302</x:v>
      </x:c>
      <x:c r="M1054" s="14" t="n">
        <x:v>1</x:v>
      </x:c>
      <x:c r="N1054" s="14" t="str"/>
    </x:row>
    <x:row r="1055">
      <x:c r="A1055" s="1" t="str">
        <x:v>cmst43r4x000b04l747yntyz2</x:v>
      </x:c>
      <x:c r="B1055" s="1" t="str">
        <x:v>cmst42n0r000204l7soxe8xnj</x:v>
      </x:c>
      <x:c r="C1055" s="1" t="str">
        <x:v>skeleton-args-ca2015008373-db13b0c8e36da3c2</x:v>
      </x:c>
      <x:c r="D1055" s="12" t="n">
        <x:v>46248.65194600695</x:v>
      </x:c>
      <x:c r="E1055" s="1" t="str">
        <x:v>yes</x:v>
      </x:c>
      <x:c r="F1055" s="14" t="str">
        <x:v>cmst45vlc000h04l7f6nlqawg</x:v>
      </x:c>
      <x:c r="G1055" s="14" t="n">
        <x:v>14</x:v>
      </x:c>
      <x:c r="H1055" s="14" t="str">
        <x:v>50f3324e-7e20-444c-b5c6-18d53dfb80ed</x:v>
      </x:c>
      <x:c r="I1055" s="14" t="str">
        <x:v>MTR Bailey Trading Ltd v Barclays Bank Plc [2015] EWCA Civ 667</x:v>
      </x:c>
      <x:c r="J1055" s="14" t="str">
        <x:v>England and Wales Court of Appeal (Civil Division)</x:v>
      </x:c>
      <x:c r="K1055" s="14" t="n">
        <x:v>2015</x:v>
      </x:c>
      <x:c r="L1055" s="15" t="n">
        <x:v>0.658223</x:v>
      </x:c>
      <x:c r="M1055" s="14" t="n">
        <x:v>5</x:v>
      </x:c>
      <x:c r="N1055" s="14" t="str"/>
    </x:row>
    <x:row r="1056">
      <x:c r="A1056" s="1" t="str">
        <x:v>cmst43r4x000b04l747yntyz2</x:v>
      </x:c>
      <x:c r="B1056" s="1" t="str">
        <x:v>cmst42n0r000204l7soxe8xnj</x:v>
      </x:c>
      <x:c r="C1056" s="1" t="str">
        <x:v>skeleton-args-ca2015008373-db13b0c8e36da3c2</x:v>
      </x:c>
      <x:c r="D1056" s="12" t="n">
        <x:v>46248.65194600695</x:v>
      </x:c>
      <x:c r="E1056" s="1" t="str">
        <x:v>yes</x:v>
      </x:c>
      <x:c r="F1056" s="14" t="str">
        <x:v>cmst45vlc000h04l7f6nlqawg</x:v>
      </x:c>
      <x:c r="G1056" s="14" t="n">
        <x:v>15</x:v>
      </x:c>
      <x:c r="H1056" s="14" t="str">
        <x:v>c31d4c82-88f9-42c8-968b-efc3ee876ec7</x:v>
      </x:c>
      <x:c r="I1056" s="14" t="str">
        <x:v>Figurasin &amp; Anor v Central Capital Ltd [2014] EWCA Civ 504</x:v>
      </x:c>
      <x:c r="J1056" s="14" t="str">
        <x:v>England and Wales Court of Appeal (Civil Division)</x:v>
      </x:c>
      <x:c r="K1056" s="14" t="n">
        <x:v>2014</x:v>
      </x:c>
      <x:c r="L1056" s="15" t="n">
        <x:v>0.6577558</x:v>
      </x:c>
      <x:c r="M1056" s="14" t="n">
        <x:v>1</x:v>
      </x:c>
      <x:c r="N1056" s="14" t="str"/>
    </x:row>
    <x:row r="1057">
      <x:c r="A1057" s="1" t="str">
        <x:v>cmst43r4x000b04l747yntyz2</x:v>
      </x:c>
      <x:c r="B1057" s="1" t="str">
        <x:v>cmst42n0r000204l7soxe8xnj</x:v>
      </x:c>
      <x:c r="C1057" s="1" t="str">
        <x:v>skeleton-args-ca2015008373-db13b0c8e36da3c2</x:v>
      </x:c>
      <x:c r="D1057" s="12" t="n">
        <x:v>46248.65194600695</x:v>
      </x:c>
      <x:c r="E1057" s="1" t="str">
        <x:v>yes</x:v>
      </x:c>
      <x:c r="F1057" s="14" t="str">
        <x:v>cmst45vlc000h04l7f6nlqawg</x:v>
      </x:c>
      <x:c r="G1057" s="14" t="n">
        <x:v>16</x:v>
      </x:c>
      <x:c r="H1057" s="14" t="str">
        <x:v>ab7f6563-ffbc-46f8-a354-e1a0f0fdf80b</x:v>
      </x:c>
      <x:c r="I1057" s="14" t="str">
        <x:v>Calland v Financial Conduct Authority [2015] EWCA Civ 192</x:v>
      </x:c>
      <x:c r="J1057" s="14" t="str">
        <x:v>England and Wales Court of Appeal (Civil Division)</x:v>
      </x:c>
      <x:c r="K1057" s="14" t="n">
        <x:v>2015</x:v>
      </x:c>
      <x:c r="L1057" s="15" t="n">
        <x:v>0.6567446</x:v>
      </x:c>
      <x:c r="M1057" s="14" t="n">
        <x:v>1</x:v>
      </x:c>
      <x:c r="N1057" s="14" t="str"/>
    </x:row>
    <x:row r="1058">
      <x:c r="A1058" s="1" t="str">
        <x:v>cmst43r4x000b04l747yntyz2</x:v>
      </x:c>
      <x:c r="B1058" s="1" t="str">
        <x:v>cmst42n0r000204l7soxe8xnj</x:v>
      </x:c>
      <x:c r="C1058" s="1" t="str">
        <x:v>skeleton-args-ca2015008373-db13b0c8e36da3c2</x:v>
      </x:c>
      <x:c r="D1058" s="12" t="n">
        <x:v>46248.65194600695</x:v>
      </x:c>
      <x:c r="E1058" s="1" t="str">
        <x:v>yes</x:v>
      </x:c>
      <x:c r="F1058" s="14" t="str">
        <x:v>cmst45vlc000h04l7f6nlqawg</x:v>
      </x:c>
      <x:c r="G1058" s="14" t="n">
        <x:v>17</x:v>
      </x:c>
      <x:c r="H1058" s="14" t="str">
        <x:v>c21e0bef-b8ff-4f7a-8747-96ed5c2813e1</x:v>
      </x:c>
      <x:c r="I1058" s="14" t="str">
        <x:v>Crossfield v Jackson [2014] EWCA Civ 1548</x:v>
      </x:c>
      <x:c r="J1058" s="14" t="str">
        <x:v>England and Wales Court of Appeal (Civil Division)</x:v>
      </x:c>
      <x:c r="K1058" s="14" t="n">
        <x:v>2014</x:v>
      </x:c>
      <x:c r="L1058" s="15" t="n">
        <x:v>0.6531017</x:v>
      </x:c>
      <x:c r="M1058" s="14" t="n">
        <x:v>1</x:v>
      </x:c>
      <x:c r="N1058" s="14" t="str">
        <x:v>Allcard v Skinner (1887) 36 Ch. D. 145 | Royal Bank Of Scotland v Etridge [2002] 2 AC 773</x:v>
      </x:c>
    </x:row>
    <x:row r="1059">
      <x:c r="A1059" s="1" t="str">
        <x:v>cmst43r4x000b04l747yntyz2</x:v>
      </x:c>
      <x:c r="B1059" s="1" t="str">
        <x:v>cmst42n0r000204l7soxe8xnj</x:v>
      </x:c>
      <x:c r="C1059" s="1" t="str">
        <x:v>skeleton-args-ca2015008373-db13b0c8e36da3c2</x:v>
      </x:c>
      <x:c r="D1059" s="12" t="n">
        <x:v>46248.65194600695</x:v>
      </x:c>
      <x:c r="E1059" s="1" t="str">
        <x:v>yes</x:v>
      </x:c>
      <x:c r="F1059" s="14" t="str">
        <x:v>cmst45vlc000h04l7f6nlqawg</x:v>
      </x:c>
      <x:c r="G1059" s="14" t="n">
        <x:v>18</x:v>
      </x:c>
      <x:c r="H1059" s="14" t="str">
        <x:v>e55b2bcd-c806-49f1-8b91-647450f700cf</x:v>
      </x:c>
      <x:c r="I1059" s="14" t="str">
        <x:v>O'Sullivan v Financial Services Authority [2015] EWCA Civ 896</x:v>
      </x:c>
      <x:c r="J1059" s="14" t="str">
        <x:v>England and Wales Court of Appeal (Civil Division)</x:v>
      </x:c>
      <x:c r="K1059" s="14" t="n">
        <x:v>2015</x:v>
      </x:c>
      <x:c r="L1059" s="15" t="n">
        <x:v>0.65114784</x:v>
      </x:c>
      <x:c r="M1059" s="14" t="n">
        <x:v>1</x:v>
      </x:c>
      <x:c r="N1059" s="14" t="str"/>
    </x:row>
    <x:row r="1060">
      <x:c r="A1060" s="1" t="str">
        <x:v>cmst43r4x000b04l747yntyz2</x:v>
      </x:c>
      <x:c r="B1060" s="1" t="str">
        <x:v>cmst42n0r000204l7soxe8xnj</x:v>
      </x:c>
      <x:c r="C1060" s="1" t="str">
        <x:v>skeleton-args-ca2015008373-db13b0c8e36da3c2</x:v>
      </x:c>
      <x:c r="D1060" s="12" t="n">
        <x:v>46248.65194600695</x:v>
      </x:c>
      <x:c r="E1060" s="1" t="str">
        <x:v>yes</x:v>
      </x:c>
      <x:c r="F1060" s="14" t="str">
        <x:v>cmst45vlc000h04l7f6nlqawg</x:v>
      </x:c>
      <x:c r="G1060" s="14" t="n">
        <x:v>19</x:v>
      </x:c>
      <x:c r="H1060" s="14" t="str">
        <x:v>fc3a7d73-0542-421b-9be1-12f07edcfd92</x:v>
      </x:c>
      <x:c r="I1060" s="14" t="str">
        <x:v>Group Seven Ltd &amp; Anor v Allied Investment Corporation Ltd &amp; Ors [2015] EWCA Civ 631</x:v>
      </x:c>
      <x:c r="J1060" s="14" t="str">
        <x:v>England and Wales Court of Appeal (Civil Division)</x:v>
      </x:c>
      <x:c r="K1060" s="14" t="n">
        <x:v>2015</x:v>
      </x:c>
      <x:c r="L1060" s="15" t="n">
        <x:v>0.6506131</x:v>
      </x:c>
      <x:c r="M1060" s="14" t="n">
        <x:v>1</x:v>
      </x:c>
      <x:c r="N1060" s="14" t="str"/>
    </x:row>
    <x:row r="1061">
      <x:c r="A1061" s="1" t="str">
        <x:v>cmst43r4x000b04l747yntyz2</x:v>
      </x:c>
      <x:c r="B1061" s="1" t="str">
        <x:v>cmst42n0r000204l7soxe8xnj</x:v>
      </x:c>
      <x:c r="C1061" s="1" t="str">
        <x:v>skeleton-args-ca2015008373-db13b0c8e36da3c2</x:v>
      </x:c>
      <x:c r="D1061" s="12" t="n">
        <x:v>46248.65194600695</x:v>
      </x:c>
      <x:c r="E1061" s="1" t="str">
        <x:v>yes</x:v>
      </x:c>
      <x:c r="F1061" s="14" t="str">
        <x:v>cmst45vlc000h04l7f6nlqawg</x:v>
      </x:c>
      <x:c r="G1061" s="14" t="n">
        <x:v>20</x:v>
      </x:c>
      <x:c r="H1061" s="14" t="str">
        <x:v>edb9880b-ba30-4e1e-a2b3-52b1d6fb2f64</x:v>
      </x:c>
      <x:c r="I1061" s="14" t="str">
        <x:v>Napier Park European Credit Opportunities Fund Ltd v Harbourmaster Pro-Rata Clo 2 B.V. &amp; Ors [2014] EWCA Civ 984</x:v>
      </x:c>
      <x:c r="J1061" s="14" t="str">
        <x:v>England and Wales Court of Appeal (Civil Division)</x:v>
      </x:c>
      <x:c r="K1061" s="14" t="n">
        <x:v>2014</x:v>
      </x:c>
      <x:c r="L1061" s="15" t="n">
        <x:v>0.6496548</x:v>
      </x:c>
      <x:c r="M1061" s="14" t="n">
        <x:v>1</x:v>
      </x:c>
      <x:c r="N1061" s="14" t="str"/>
    </x:row>
    <x:row r="1062">
      <x:c r="A1062" s="1" t="str">
        <x:v>cmst47zkn000v04l7hdoa66wv</x:v>
      </x:c>
      <x:c r="B1062" s="1" t="str">
        <x:v>cmst475c6000m04l77l2dz6nu</x:v>
      </x:c>
      <x:c r="C1062" s="1" t="str">
        <x:v>skeleton-args-ca2024009268-0b828a88e0027426</x:v>
      </x:c>
      <x:c r="D1062" s="12" t="n">
        <x:v>46248.65423260417</x:v>
      </x:c>
      <x:c r="E1062" s="1" t="str">
        <x:v>yes</x:v>
      </x:c>
      <x:c r="F1062" s="14" t="str">
        <x:v>cmst49zw4001104l7neqlaa0v</x:v>
      </x:c>
      <x:c r="G1062" s="14" t="n">
        <x:v>1</x:v>
      </x:c>
      <x:c r="H1062" s="14" t="str">
        <x:v>5b3c080f-c58b-40db-acc4-59aca37b2a05</x:v>
      </x:c>
      <x:c r="I1062" s="14" t="str">
        <x:v>Main &amp; Orsv v Giambrone &amp; Law (2017) - Liability for Breach of Trust</x:v>
      </x:c>
      <x:c r="J1062" s="14" t="str">
        <x:v>England and Wales Court of Appeal (Civil Division)</x:v>
      </x:c>
      <x:c r="K1062" s="14" t="n">
        <x:v>2017</x:v>
      </x:c>
      <x:c r="L1062" s="15" t="n">
        <x:v>0.7174585</x:v>
      </x:c>
      <x:c r="M1062" s="14" t="n">
        <x:v>2</x:v>
      </x:c>
      <x:c r="N1062" s="14" t="str">
        <x:v>South Australia Asset Management Corporation v York Montague Ltd [1997] AC 191 | AIB Group (UK) PLC v Mark Redler &amp; Co Solicitors [2014] UKSC 58</x:v>
      </x:c>
    </x:row>
    <x:row r="1063">
      <x:c r="A1063" s="1" t="str">
        <x:v>cmst47zkn000v04l7hdoa66wv</x:v>
      </x:c>
      <x:c r="B1063" s="1" t="str">
        <x:v>cmst475c6000m04l77l2dz6nu</x:v>
      </x:c>
      <x:c r="C1063" s="1" t="str">
        <x:v>skeleton-args-ca2024009268-0b828a88e0027426</x:v>
      </x:c>
      <x:c r="D1063" s="12" t="n">
        <x:v>46248.65423260417</x:v>
      </x:c>
      <x:c r="E1063" s="1" t="str">
        <x:v>yes</x:v>
      </x:c>
      <x:c r="F1063" s="14" t="str">
        <x:v>cmst49zw4001104l7neqlaa0v</x:v>
      </x:c>
      <x:c r="G1063" s="14" t="n">
        <x:v>2</x:v>
      </x:c>
      <x:c r="H1063" s="14" t="str">
        <x:v>2bd10c54-07db-4985-85eb-0568607ef9f3</x:v>
      </x:c>
      <x:c r="I1063" s="14" t="str">
        <x:v>Procter v Raleys Solicitors [2015] EWCA Civ 400</x:v>
      </x:c>
      <x:c r="J1063" s="14" t="str">
        <x:v>England and Wales Court of Appeal (Civil Division)</x:v>
      </x:c>
      <x:c r="K1063" s="14" t="n">
        <x:v>2015</x:v>
      </x:c>
      <x:c r="L1063" s="15" t="n">
        <x:v>0.7155333</x:v>
      </x:c>
      <x:c r="M1063" s="14" t="n">
        <x:v>1</x:v>
      </x:c>
      <x:c r="N1063" s="14" t="str"/>
    </x:row>
    <x:row r="1064">
      <x:c r="A1064" s="1" t="str">
        <x:v>cmst47zkn000v04l7hdoa66wv</x:v>
      </x:c>
      <x:c r="B1064" s="1" t="str">
        <x:v>cmst475c6000m04l77l2dz6nu</x:v>
      </x:c>
      <x:c r="C1064" s="1" t="str">
        <x:v>skeleton-args-ca2024009268-0b828a88e0027426</x:v>
      </x:c>
      <x:c r="D1064" s="12" t="n">
        <x:v>46248.65423260417</x:v>
      </x:c>
      <x:c r="E1064" s="1" t="str">
        <x:v>yes</x:v>
      </x:c>
      <x:c r="F1064" s="14" t="str">
        <x:v>cmst49zw4001104l7neqlaa0v</x:v>
      </x:c>
      <x:c r="G1064" s="14" t="n">
        <x:v>3</x:v>
      </x:c>
      <x:c r="H1064" s="14" t="str">
        <x:v>5bbb3770-46d1-41af-b347-aa54ea9834ba</x:v>
      </x:c>
      <x:c r="I1064" s="14" t="str">
        <x:v>Wellesley Partners LLP v Withers LLP [2015] EWCA Civ 1146</x:v>
      </x:c>
      <x:c r="J1064" s="14" t="str">
        <x:v>England and Wales Court of Appeal (Civil Division)</x:v>
      </x:c>
      <x:c r="K1064" s="14" t="n">
        <x:v>2015</x:v>
      </x:c>
      <x:c r="L1064" s="15" t="n">
        <x:v>0.702384</x:v>
      </x:c>
      <x:c r="M1064" s="14" t="n">
        <x:v>2</x:v>
      </x:c>
      <x:c r="N1064" s="14" t="str"/>
    </x:row>
    <x:row r="1065">
      <x:c r="A1065" s="1" t="str">
        <x:v>cmst47zkn000v04l7hdoa66wv</x:v>
      </x:c>
      <x:c r="B1065" s="1" t="str">
        <x:v>cmst475c6000m04l77l2dz6nu</x:v>
      </x:c>
      <x:c r="C1065" s="1" t="str">
        <x:v>skeleton-args-ca2024009268-0b828a88e0027426</x:v>
      </x:c>
      <x:c r="D1065" s="12" t="n">
        <x:v>46248.65423260417</x:v>
      </x:c>
      <x:c r="E1065" s="1" t="str">
        <x:v>yes</x:v>
      </x:c>
      <x:c r="F1065" s="14" t="str">
        <x:v>cmst49zw4001104l7neqlaa0v</x:v>
      </x:c>
      <x:c r="G1065" s="14" t="n">
        <x:v>4</x:v>
      </x:c>
      <x:c r="H1065" s="14" t="str">
        <x:v>a95c38a6-976a-4d35-a1bc-ccbc2a65b561</x:v>
      </x:c>
      <x:c r="I1065" s="14" t="str">
        <x:v>Watson Farley and Williams (a firm) v Ostrovizky [2015] EWCA Civ 457</x:v>
      </x:c>
      <x:c r="J1065" s="14" t="str">
        <x:v>England and Wales Court of Appeal (Civil Division)</x:v>
      </x:c>
      <x:c r="K1065" s="14" t="n">
        <x:v>2015</x:v>
      </x:c>
      <x:c r="L1065" s="15" t="n">
        <x:v>0.6946543</x:v>
      </x:c>
      <x:c r="M1065" s="14" t="n">
        <x:v>3</x:v>
      </x:c>
      <x:c r="N1065" s="14" t="str">
        <x:v>Levicom International Holdings v Linklaters [2010] EWCA Civ 494</x:v>
      </x:c>
    </x:row>
    <x:row r="1066">
      <x:c r="A1066" s="1" t="str">
        <x:v>cmst47zkn000v04l7hdoa66wv</x:v>
      </x:c>
      <x:c r="B1066" s="1" t="str">
        <x:v>cmst475c6000m04l77l2dz6nu</x:v>
      </x:c>
      <x:c r="C1066" s="1" t="str">
        <x:v>skeleton-args-ca2024009268-0b828a88e0027426</x:v>
      </x:c>
      <x:c r="D1066" s="12" t="n">
        <x:v>46248.65423260417</x:v>
      </x:c>
      <x:c r="E1066" s="1" t="str">
        <x:v>yes</x:v>
      </x:c>
      <x:c r="F1066" s="14" t="str">
        <x:v>cmst49zw4001104l7neqlaa0v</x:v>
      </x:c>
      <x:c r="G1066" s="14" t="n">
        <x:v>5</x:v>
      </x:c>
      <x:c r="H1066" s="14" t="str">
        <x:v>3939ad83-3116-4c2b-9d35-73b063345d71</x:v>
      </x:c>
      <x:c r="I1066" s="14" t="str">
        <x:v>Goldsmith Williams Solicitors v E.Surv Ltd: Duty of Solicitors to Report Discrepancies in Property Valuation</x:v>
      </x:c>
      <x:c r="J1066" s="14" t="str">
        <x:v>England and Wales Court of Appeal (Civil Division)</x:v>
      </x:c>
      <x:c r="K1066" s="14" t="n">
        <x:v>2015</x:v>
      </x:c>
      <x:c r="L1066" s="15" t="n">
        <x:v>0.6919143</x:v>
      </x:c>
      <x:c r="M1066" s="14" t="n">
        <x:v>4</x:v>
      </x:c>
      <x:c r="N1066" s="14" t="str">
        <x:v>[1996] 2 All ER 836</x:v>
      </x:c>
    </x:row>
    <x:row r="1067">
      <x:c r="A1067" s="1" t="str">
        <x:v>cmst47zkn000v04l7hdoa66wv</x:v>
      </x:c>
      <x:c r="B1067" s="1" t="str">
        <x:v>cmst475c6000m04l77l2dz6nu</x:v>
      </x:c>
      <x:c r="C1067" s="1" t="str">
        <x:v>skeleton-args-ca2024009268-0b828a88e0027426</x:v>
      </x:c>
      <x:c r="D1067" s="12" t="n">
        <x:v>46248.65423260417</x:v>
      </x:c>
      <x:c r="E1067" s="1" t="str">
        <x:v>yes</x:v>
      </x:c>
      <x:c r="F1067" s="14" t="str">
        <x:v>cmst49zw4001104l7neqlaa0v</x:v>
      </x:c>
      <x:c r="G1067" s="14" t="n">
        <x:v>6</x:v>
      </x:c>
      <x:c r="H1067" s="14" t="str">
        <x:v>fdbc6a3c-8f8a-46d6-bced-8407ae440500</x:v>
      </x:c>
      <x:c r="I1067" s="14" t="str">
        <x:v>AW Group Ltd v Taylor Walton (a firm) [2014] EWCA Civ 592</x:v>
      </x:c>
      <x:c r="J1067" s="14" t="str">
        <x:v>England and Wales Court of Appeal (Civil Division)</x:v>
      </x:c>
      <x:c r="K1067" s="14" t="n">
        <x:v>2014</x:v>
      </x:c>
      <x:c r="L1067" s="15" t="n">
        <x:v>0.6892501</x:v>
      </x:c>
      <x:c r="M1067" s="14" t="n">
        <x:v>4</x:v>
      </x:c>
      <x:c r="N1067" s="14" t="str"/>
    </x:row>
    <x:row r="1068">
      <x:c r="A1068" s="1" t="str">
        <x:v>cmst47zkn000v04l7hdoa66wv</x:v>
      </x:c>
      <x:c r="B1068" s="1" t="str">
        <x:v>cmst475c6000m04l77l2dz6nu</x:v>
      </x:c>
      <x:c r="C1068" s="1" t="str">
        <x:v>skeleton-args-ca2024009268-0b828a88e0027426</x:v>
      </x:c>
      <x:c r="D1068" s="12" t="n">
        <x:v>46248.65423260417</x:v>
      </x:c>
      <x:c r="E1068" s="1" t="str">
        <x:v>yes</x:v>
      </x:c>
      <x:c r="F1068" s="14" t="str">
        <x:v>cmst49zw4001104l7neqlaa0v</x:v>
      </x:c>
      <x:c r="G1068" s="14" t="n">
        <x:v>7</x:v>
      </x:c>
      <x:c r="H1068" s="14" t="str">
        <x:v>8d3566aa-9c6c-4af2-aae2-6c7f72b4a711</x:v>
      </x:c>
      <x:c r="I1068" s="14" t="str">
        <x:v>Ashraf v Lester Dominic Solicitors &amp; Ors [2023] EWCA Civ 4</x:v>
      </x:c>
      <x:c r="J1068" s="14" t="str">
        <x:v>England and Wales Court of Appeal (Civil Division)</x:v>
      </x:c>
      <x:c r="K1068" s="14" t="n">
        <x:v>2023</x:v>
      </x:c>
      <x:c r="L1068" s="15" t="n">
        <x:v>0.6884071</x:v>
      </x:c>
      <x:c r="M1068" s="14" t="n">
        <x:v>4</x:v>
      </x:c>
      <x:c r="N1068" s="14" t="str">
        <x:v>Three Rivers v Bank of England (No 3) | Optaglio v Tethal | ED&amp;F Man Liquid Products v Patel | Royal Brompton NHS Trust v Hammond (No 5) | Three Rivers DC v Bank of England (No 3)</x:v>
      </x:c>
    </x:row>
    <x:row r="1069">
      <x:c r="A1069" s="1" t="str">
        <x:v>cmst47zkn000v04l7hdoa66wv</x:v>
      </x:c>
      <x:c r="B1069" s="1" t="str">
        <x:v>cmst475c6000m04l77l2dz6nu</x:v>
      </x:c>
      <x:c r="C1069" s="1" t="str">
        <x:v>skeleton-args-ca2024009268-0b828a88e0027426</x:v>
      </x:c>
      <x:c r="D1069" s="12" t="n">
        <x:v>46248.65423260417</x:v>
      </x:c>
      <x:c r="E1069" s="1" t="str">
        <x:v>yes</x:v>
      </x:c>
      <x:c r="F1069" s="14" t="str">
        <x:v>cmst49zw4001104l7neqlaa0v</x:v>
      </x:c>
      <x:c r="G1069" s="14" t="n">
        <x:v>8</x:v>
      </x:c>
      <x:c r="H1069" s="14" t="str">
        <x:v>9319b0b6-6588-44c5-bf0a-837a7f81aaa9</x:v>
      </x:c>
      <x:c r="I1069" s="14" t="str">
        <x:v>Lejonvarn v Burgess &amp; Anor [2017] EWCA Civ 254</x:v>
      </x:c>
      <x:c r="J1069" s="14" t="str">
        <x:v>England and Wales Court of Appeal (Civil Division)</x:v>
      </x:c>
      <x:c r="K1069" s="14" t="n">
        <x:v>2017</x:v>
      </x:c>
      <x:c r="L1069" s="15" t="n">
        <x:v>0.6881951</x:v>
      </x:c>
      <x:c r="M1069" s="14" t="n">
        <x:v>3</x:v>
      </x:c>
      <x:c r="N1069" s="14" t="str">
        <x:v>Hedley Byrne &amp; Co Ltd v Heller &amp; Partners Ltd [1964] AC 465 | Murphy v Brentwood District Council [1991] 1 AC 398</x:v>
      </x:c>
    </x:row>
    <x:row r="1070">
      <x:c r="A1070" s="1" t="str">
        <x:v>cmst47zkn000v04l7hdoa66wv</x:v>
      </x:c>
      <x:c r="B1070" s="1" t="str">
        <x:v>cmst475c6000m04l77l2dz6nu</x:v>
      </x:c>
      <x:c r="C1070" s="1" t="str">
        <x:v>skeleton-args-ca2024009268-0b828a88e0027426</x:v>
      </x:c>
      <x:c r="D1070" s="12" t="n">
        <x:v>46248.65423260417</x:v>
      </x:c>
      <x:c r="E1070" s="1" t="str">
        <x:v>yes</x:v>
      </x:c>
      <x:c r="F1070" s="14" t="str">
        <x:v>cmst49zw4001104l7neqlaa0v</x:v>
      </x:c>
      <x:c r="G1070" s="14" t="n">
        <x:v>9</x:v>
      </x:c>
      <x:c r="H1070" s="14" t="str">
        <x:v>3f8f64bf-8917-45f1-ac4e-d5c0890c76e6</x:v>
      </x:c>
      <x:c r="I1070" s="14" t="str">
        <x:v>Dowling v Griffin [2014] EWCA Civ 1545</x:v>
      </x:c>
      <x:c r="J1070" s="14" t="str">
        <x:v>England and Wales Court of Appeal (Civil Division)</x:v>
      </x:c>
      <x:c r="K1070" s="14" t="n">
        <x:v>2014</x:v>
      </x:c>
      <x:c r="L1070" s="15" t="n">
        <x:v>0.6865939</x:v>
      </x:c>
      <x:c r="M1070" s="14" t="n">
        <x:v>1</x:v>
      </x:c>
      <x:c r="N1070" s="14" t="str"/>
    </x:row>
    <x:row r="1071">
      <x:c r="A1071" s="1" t="str">
        <x:v>cmst47zkn000v04l7hdoa66wv</x:v>
      </x:c>
      <x:c r="B1071" s="1" t="str">
        <x:v>cmst475c6000m04l77l2dz6nu</x:v>
      </x:c>
      <x:c r="C1071" s="1" t="str">
        <x:v>skeleton-args-ca2024009268-0b828a88e0027426</x:v>
      </x:c>
      <x:c r="D1071" s="12" t="n">
        <x:v>46248.65423260417</x:v>
      </x:c>
      <x:c r="E1071" s="1" t="str">
        <x:v>yes</x:v>
      </x:c>
      <x:c r="F1071" s="14" t="str">
        <x:v>cmst49zw4001104l7neqlaa0v</x:v>
      </x:c>
      <x:c r="G1071" s="14" t="n">
        <x:v>10</x:v>
      </x:c>
      <x:c r="H1071" s="14" t="str">
        <x:v>ab4da4b0-f2a2-4d27-9757-dd8b98b5c0d4</x:v>
      </x:c>
      <x:c r="I1071" s="14" t="str">
        <x:v>Orientfield Holdings Ltd v Bird &amp; Bird LLP [2017] EWCA Civ 348</x:v>
      </x:c>
      <x:c r="J1071" s="14" t="str">
        <x:v>England and Wales Court of Appeal (Civil Division)</x:v>
      </x:c>
      <x:c r="K1071" s="14" t="n">
        <x:v>2017</x:v>
      </x:c>
      <x:c r="L1071" s="15" t="n">
        <x:v>0.68601704</x:v>
      </x:c>
      <x:c r="M1071" s="14" t="n">
        <x:v>4</x:v>
      </x:c>
      <x:c r="N1071" s="14" t="str"/>
    </x:row>
    <x:row r="1072">
      <x:c r="A1072" s="1" t="str">
        <x:v>cmst47zkn000v04l7hdoa66wv</x:v>
      </x:c>
      <x:c r="B1072" s="1" t="str">
        <x:v>cmst475c6000m04l77l2dz6nu</x:v>
      </x:c>
      <x:c r="C1072" s="1" t="str">
        <x:v>skeleton-args-ca2024009268-0b828a88e0027426</x:v>
      </x:c>
      <x:c r="D1072" s="12" t="n">
        <x:v>46248.65423260417</x:v>
      </x:c>
      <x:c r="E1072" s="1" t="str">
        <x:v>yes</x:v>
      </x:c>
      <x:c r="F1072" s="14" t="str">
        <x:v>cmst49zw4001104l7neqlaa0v</x:v>
      </x:c>
      <x:c r="G1072" s="14" t="n">
        <x:v>11</x:v>
      </x:c>
      <x:c r="H1072" s="14" t="str">
        <x:v>7bc4d59e-cc60-4942-af27-745ffc1ad26d</x:v>
      </x:c>
      <x:c r="I1072" s="14" t="str">
        <x:v>Spire Property Development LLP &amp; Hortensia Property Development LLP v Withers LLP [2022] EWCA Civ 970</x:v>
      </x:c>
      <x:c r="J1072" s="14" t="str">
        <x:v>England and Wales Court of Appeal (Civil Division)</x:v>
      </x:c>
      <x:c r="K1072" s="14" t="n">
        <x:v>2022</x:v>
      </x:c>
      <x:c r="L1072" s="15" t="n">
        <x:v>0.6841978</x:v>
      </x:c>
      <x:c r="M1072" s="14" t="n">
        <x:v>2</x:v>
      </x:c>
      <x:c r="N1072" s="14" t="str">
        <x:v>White v Jones | Bolam | Amersfort</x:v>
      </x:c>
    </x:row>
    <x:row r="1073">
      <x:c r="A1073" s="1" t="str">
        <x:v>cmst47zkn000v04l7hdoa66wv</x:v>
      </x:c>
      <x:c r="B1073" s="1" t="str">
        <x:v>cmst475c6000m04l77l2dz6nu</x:v>
      </x:c>
      <x:c r="C1073" s="1" t="str">
        <x:v>skeleton-args-ca2024009268-0b828a88e0027426</x:v>
      </x:c>
      <x:c r="D1073" s="12" t="n">
        <x:v>46248.65423260417</x:v>
      </x:c>
      <x:c r="E1073" s="1" t="str">
        <x:v>yes</x:v>
      </x:c>
      <x:c r="F1073" s="14" t="str">
        <x:v>cmst49zw4001104l7neqlaa0v</x:v>
      </x:c>
      <x:c r="G1073" s="14" t="n">
        <x:v>12</x:v>
      </x:c>
      <x:c r="H1073" s="14" t="str">
        <x:v>28d8ec74-fee2-499a-b0c5-a348db1ba836</x:v>
      </x:c>
      <x:c r="I1073" s="14" t="str">
        <x:v>Hughmans (a firm) v Dunhill [2015] EWCA Civ 1307</x:v>
      </x:c>
      <x:c r="J1073" s="14" t="str">
        <x:v>England and Wales Court of Appeal (Civil Division)</x:v>
      </x:c>
      <x:c r="K1073" s="14" t="n">
        <x:v>2015</x:v>
      </x:c>
      <x:c r="L1073" s="15" t="n">
        <x:v>0.68163943</x:v>
      </x:c>
      <x:c r="M1073" s="14" t="n">
        <x:v>3</x:v>
      </x:c>
      <x:c r="N1073" s="14" t="str"/>
    </x:row>
    <x:row r="1074">
      <x:c r="A1074" s="1" t="str">
        <x:v>cmst47zkn000v04l7hdoa66wv</x:v>
      </x:c>
      <x:c r="B1074" s="1" t="str">
        <x:v>cmst475c6000m04l77l2dz6nu</x:v>
      </x:c>
      <x:c r="C1074" s="1" t="str">
        <x:v>skeleton-args-ca2024009268-0b828a88e0027426</x:v>
      </x:c>
      <x:c r="D1074" s="12" t="n">
        <x:v>46248.65423260417</x:v>
      </x:c>
      <x:c r="E1074" s="1" t="str">
        <x:v>yes</x:v>
      </x:c>
      <x:c r="F1074" s="14" t="str">
        <x:v>cmst49zw4001104l7neqlaa0v</x:v>
      </x:c>
      <x:c r="G1074" s="14" t="n">
        <x:v>13</x:v>
      </x:c>
      <x:c r="H1074" s="14" t="str">
        <x:v>37322248-7ff9-40fc-81db-2c85731a6f2d</x:v>
      </x:c>
      <x:c r="I1074" s="14" t="str">
        <x:v>Commodities Research Unit International (Holdings) Ltd &amp; Ors v QSP Residual Recoveries LLP</x:v>
      </x:c>
      <x:c r="J1074" s="14" t="str">
        <x:v>England and Wales Court of Appeal (Civil Division)</x:v>
      </x:c>
      <x:c r="K1074" s="14" t="n">
        <x:v>2017</x:v>
      </x:c>
      <x:c r="L1074" s="15" t="n">
        <x:v>0.6802834</x:v>
      </x:c>
      <x:c r="M1074" s="14" t="n">
        <x:v>1</x:v>
      </x:c>
      <x:c r="N1074" s="14" t="str"/>
    </x:row>
    <x:row r="1075">
      <x:c r="A1075" s="1" t="str">
        <x:v>cmst47zkn000v04l7hdoa66wv</x:v>
      </x:c>
      <x:c r="B1075" s="1" t="str">
        <x:v>cmst475c6000m04l77l2dz6nu</x:v>
      </x:c>
      <x:c r="C1075" s="1" t="str">
        <x:v>skeleton-args-ca2024009268-0b828a88e0027426</x:v>
      </x:c>
      <x:c r="D1075" s="12" t="n">
        <x:v>46248.65423260417</x:v>
      </x:c>
      <x:c r="E1075" s="1" t="str">
        <x:v>yes</x:v>
      </x:c>
      <x:c r="F1075" s="14" t="str">
        <x:v>cmst49zw4001104l7neqlaa0v</x:v>
      </x:c>
      <x:c r="G1075" s="14" t="n">
        <x:v>14</x:v>
      </x:c>
      <x:c r="H1075" s="14" t="str">
        <x:v>bb52ee0e-510f-47b7-86fc-020bbda6c8af</x:v>
      </x:c>
      <x:c r="I1075" s="14" t="str">
        <x:v>Barker v Baxendale Walker Solicitors (a firm) &amp; Anor</x:v>
      </x:c>
      <x:c r="J1075" s="14" t="str">
        <x:v>England and Wales Court of Appeal (Civil Division)</x:v>
      </x:c>
      <x:c r="K1075" s="14" t="n">
        <x:v>2017</x:v>
      </x:c>
      <x:c r="L1075" s="15" t="n">
        <x:v>0.6783043</x:v>
      </x:c>
      <x:c r="M1075" s="14" t="n">
        <x:v>2</x:v>
      </x:c>
      <x:c r="N1075" s="14" t="str"/>
    </x:row>
    <x:row r="1076">
      <x:c r="A1076" s="1" t="str">
        <x:v>cmst47zkn000v04l7hdoa66wv</x:v>
      </x:c>
      <x:c r="B1076" s="1" t="str">
        <x:v>cmst475c6000m04l77l2dz6nu</x:v>
      </x:c>
      <x:c r="C1076" s="1" t="str">
        <x:v>skeleton-args-ca2024009268-0b828a88e0027426</x:v>
      </x:c>
      <x:c r="D1076" s="12" t="n">
        <x:v>46248.65423260417</x:v>
      </x:c>
      <x:c r="E1076" s="1" t="str">
        <x:v>yes</x:v>
      </x:c>
      <x:c r="F1076" s="14" t="str">
        <x:v>cmst49zw4001104l7neqlaa0v</x:v>
      </x:c>
      <x:c r="G1076" s="14" t="n">
        <x:v>15</x:v>
      </x:c>
      <x:c r="H1076" s="14" t="str">
        <x:v>e6e0e725-7038-447c-a905-f4f0ffb8294c</x:v>
      </x:c>
      <x:c r="I1076" s="14" t="str">
        <x:v>Minkin v Lesley Landsberg (Practising As Barnet Family Law)</x:v>
      </x:c>
      <x:c r="J1076" s="14" t="str">
        <x:v>England and Wales Court of Appeal (Civil Division)</x:v>
      </x:c>
      <x:c r="K1076" s="14" t="n">
        <x:v>2015</x:v>
      </x:c>
      <x:c r="L1076" s="15" t="n">
        <x:v>0.6750037</x:v>
      </x:c>
      <x:c r="M1076" s="14" t="n">
        <x:v>3</x:v>
      </x:c>
      <x:c r="N1076" s="14" t="str"/>
    </x:row>
    <x:row r="1077">
      <x:c r="A1077" s="1" t="str">
        <x:v>cmst47zkn000v04l7hdoa66wv</x:v>
      </x:c>
      <x:c r="B1077" s="1" t="str">
        <x:v>cmst475c6000m04l77l2dz6nu</x:v>
      </x:c>
      <x:c r="C1077" s="1" t="str">
        <x:v>skeleton-args-ca2024009268-0b828a88e0027426</x:v>
      </x:c>
      <x:c r="D1077" s="12" t="n">
        <x:v>46248.65423260417</x:v>
      </x:c>
      <x:c r="E1077" s="1" t="str">
        <x:v>yes</x:v>
      </x:c>
      <x:c r="F1077" s="14" t="str">
        <x:v>cmst49zw4001104l7neqlaa0v</x:v>
      </x:c>
      <x:c r="G1077" s="14" t="n">
        <x:v>16</x:v>
      </x:c>
      <x:c r="H1077" s="14" t="str">
        <x:v>0c23fc23-4a82-438e-8579-7c9774beb588</x:v>
      </x:c>
      <x:c r="I1077" s="14" t="str">
        <x:v>Thomas v Hugh James Ford Simey Solicitors [2017] EWCA Civ 1303</x:v>
      </x:c>
      <x:c r="J1077" s="14" t="str">
        <x:v>England and Wales Court of Appeal (Civil Division)</x:v>
      </x:c>
      <x:c r="K1077" s="14" t="n">
        <x:v>2017</x:v>
      </x:c>
      <x:c r="L1077" s="15" t="n">
        <x:v>0.6720925</x:v>
      </x:c>
      <x:c r="M1077" s="14" t="n">
        <x:v>4</x:v>
      </x:c>
      <x:c r="N1077" s="14" t="str">
        <x:v>Minkin v Landsberg</x:v>
      </x:c>
    </x:row>
    <x:row r="1078">
      <x:c r="A1078" s="1" t="str">
        <x:v>cmst47zkn000v04l7hdoa66wv</x:v>
      </x:c>
      <x:c r="B1078" s="1" t="str">
        <x:v>cmst475c6000m04l77l2dz6nu</x:v>
      </x:c>
      <x:c r="C1078" s="1" t="str">
        <x:v>skeleton-args-ca2024009268-0b828a88e0027426</x:v>
      </x:c>
      <x:c r="D1078" s="12" t="n">
        <x:v>46248.65423260417</x:v>
      </x:c>
      <x:c r="E1078" s="1" t="str">
        <x:v>yes</x:v>
      </x:c>
      <x:c r="F1078" s="14" t="str">
        <x:v>cmst49zw4001104l7neqlaa0v</x:v>
      </x:c>
      <x:c r="G1078" s="14" t="n">
        <x:v>17</x:v>
      </x:c>
      <x:c r="H1078" s="14" t="str">
        <x:v>a1fcbe31-60cf-480d-aa88-19492f68df24</x:v>
      </x:c>
      <x:c r="I1078" s="14" t="str">
        <x:v>Crestsign Ltd v National Westminster Bank Plc &amp; Anor [2015] EWCA Civ 986</x:v>
      </x:c>
      <x:c r="J1078" s="14" t="str">
        <x:v>England and Wales Court of Appeal (Civil Division)</x:v>
      </x:c>
      <x:c r="K1078" s="14" t="n">
        <x:v>2015</x:v>
      </x:c>
      <x:c r="L1078" s="15" t="n">
        <x:v>0.6696738</x:v>
      </x:c>
      <x:c r="M1078" s="14" t="n">
        <x:v>3</x:v>
      </x:c>
      <x:c r="N1078" s="14" t="str"/>
    </x:row>
    <x:row r="1079">
      <x:c r="A1079" s="1" t="str">
        <x:v>cmst47zkn000v04l7hdoa66wv</x:v>
      </x:c>
      <x:c r="B1079" s="1" t="str">
        <x:v>cmst475c6000m04l77l2dz6nu</x:v>
      </x:c>
      <x:c r="C1079" s="1" t="str">
        <x:v>skeleton-args-ca2024009268-0b828a88e0027426</x:v>
      </x:c>
      <x:c r="D1079" s="12" t="n">
        <x:v>46248.65423260417</x:v>
      </x:c>
      <x:c r="E1079" s="1" t="str">
        <x:v>yes</x:v>
      </x:c>
      <x:c r="F1079" s="14" t="str">
        <x:v>cmst49zw4001104l7neqlaa0v</x:v>
      </x:c>
      <x:c r="G1079" s="14" t="n">
        <x:v>18</x:v>
      </x:c>
      <x:c r="H1079" s="14" t="str">
        <x:v>9a27264c-bfec-4468-9e44-c8016d416f24</x:v>
      </x:c>
      <x:c r="I1079" s="14" t="str">
        <x:v>Jacobs v Sesame Ltd [2014] EWCA Civ 1410: Limitation Act and Negligence Claim</x:v>
      </x:c>
      <x:c r="J1079" s="14" t="str">
        <x:v>England and Wales Court of Appeal (Civil Division)</x:v>
      </x:c>
      <x:c r="K1079" s="14" t="n">
        <x:v>2014</x:v>
      </x:c>
      <x:c r="L1079" s="15" t="n">
        <x:v>0.66694295</x:v>
      </x:c>
      <x:c r="M1079" s="14" t="n">
        <x:v>1</x:v>
      </x:c>
      <x:c r="N1079" s="14" t="str"/>
    </x:row>
    <x:row r="1080">
      <x:c r="A1080" s="1" t="str">
        <x:v>cmst47zkn000v04l7hdoa66wv</x:v>
      </x:c>
      <x:c r="B1080" s="1" t="str">
        <x:v>cmst475c6000m04l77l2dz6nu</x:v>
      </x:c>
      <x:c r="C1080" s="1" t="str">
        <x:v>skeleton-args-ca2024009268-0b828a88e0027426</x:v>
      </x:c>
      <x:c r="D1080" s="12" t="n">
        <x:v>46248.65423260417</x:v>
      </x:c>
      <x:c r="E1080" s="1" t="str">
        <x:v>yes</x:v>
      </x:c>
      <x:c r="F1080" s="14" t="str">
        <x:v>cmst49zw4001104l7neqlaa0v</x:v>
      </x:c>
      <x:c r="G1080" s="14" t="n">
        <x:v>19</x:v>
      </x:c>
      <x:c r="H1080" s="14" t="str">
        <x:v>644ed609-0437-4a2d-8cad-997c3b4deba0</x:v>
      </x:c>
      <x:c r="I1080" s="14" t="str">
        <x:v>Murphy v The Law Society</x:v>
      </x:c>
      <x:c r="J1080" s="14" t="str">
        <x:v>England and Wales Court of Appeal (Civil Division)</x:v>
      </x:c>
      <x:c r="K1080" s="14" t="n">
        <x:v>2015</x:v>
      </x:c>
      <x:c r="L1080" s="15" t="n">
        <x:v>0.6629394</x:v>
      </x:c>
      <x:c r="M1080" s="14" t="n">
        <x:v>1</x:v>
      </x:c>
      <x:c r="N1080" s="14" t="str"/>
    </x:row>
    <x:row r="1081">
      <x:c r="A1081" s="1" t="str">
        <x:v>cmst47zkn000v04l7hdoa66wv</x:v>
      </x:c>
      <x:c r="B1081" s="1" t="str">
        <x:v>cmst475c6000m04l77l2dz6nu</x:v>
      </x:c>
      <x:c r="C1081" s="1" t="str">
        <x:v>skeleton-args-ca2024009268-0b828a88e0027426</x:v>
      </x:c>
      <x:c r="D1081" s="12" t="n">
        <x:v>46248.65423260417</x:v>
      </x:c>
      <x:c r="E1081" s="1" t="str">
        <x:v>yes</x:v>
      </x:c>
      <x:c r="F1081" s="14" t="str">
        <x:v>cmst49zw4001104l7neqlaa0v</x:v>
      </x:c>
      <x:c r="G1081" s="14" t="n">
        <x:v>20</x:v>
      </x:c>
      <x:c r="H1081" s="14" t="str">
        <x:v>48712729-9a1b-4432-8f48-f5d5ad2ab7af</x:v>
      </x:c>
      <x:c r="I1081" s="14" t="str">
        <x:v>Chinnock v Wasbrough &amp; Anor [2015] EWCA Civ 441</x:v>
      </x:c>
      <x:c r="J1081" s="14" t="str">
        <x:v>England and Wales Court of Appeal (Civil Division)</x:v>
      </x:c>
      <x:c r="K1081" s="14" t="n">
        <x:v>2015</x:v>
      </x:c>
      <x:c r="L1081" s="15" t="n">
        <x:v>0.65230346</x:v>
      </x:c>
      <x:c r="M1081" s="14" t="n">
        <x:v>1</x:v>
      </x:c>
      <x:c r="N1081" s="14" t="str"/>
    </x:row>
    <x:row r="1082">
      <x:c r="A1082" s="1" t="str">
        <x:v>cmst4drgk001f04l70ut5a3k0</x:v>
      </x:c>
      <x:c r="B1082" s="1" t="str">
        <x:v>cmst4aoqq001604l74y839y4f</x:v>
      </x:c>
      <x:c r="C1082" s="1" t="str">
        <x:v>skeleton-args-ca2025001247-4e7222cd1e12236a</x:v>
      </x:c>
      <x:c r="D1082" s="12" t="n">
        <x:v>46248.65735086805</x:v>
      </x:c>
      <x:c r="E1082" s="1" t="str">
        <x:v>yes</x:v>
      </x:c>
      <x:c r="F1082" s="14" t="str">
        <x:v>cmst4fdgx001l04l7p4wrw7w7</x:v>
      </x:c>
      <x:c r="G1082" s="14" t="n">
        <x:v>1</x:v>
      </x:c>
      <x:c r="H1082" s="14" t="str">
        <x:v>8b6843e2-a05d-4712-8f61-9132cd4bb585</x:v>
      </x:c>
      <x:c r="I1082" s="14" t="str">
        <x:v>Chesterton Global Ltd &amp; Anor v Nurmohamed &amp; Anor</x:v>
      </x:c>
      <x:c r="J1082" s="14" t="str">
        <x:v>England and Wales Court of Appeal (Civil Division)</x:v>
      </x:c>
      <x:c r="K1082" s="14" t="n">
        <x:v>2017</x:v>
      </x:c>
      <x:c r="L1082" s="15" t="n">
        <x:v>0.68705624</x:v>
      </x:c>
      <x:c r="M1082" s="14" t="n">
        <x:v>4</x:v>
      </x:c>
      <x:c r="N1082" s="14" t="str">
        <x:v>Parkins v Sodexho Ltd | Babula v Waltham Forest College</x:v>
      </x:c>
    </x:row>
    <x:row r="1083">
      <x:c r="A1083" s="1" t="str">
        <x:v>cmst4drgk001f04l70ut5a3k0</x:v>
      </x:c>
      <x:c r="B1083" s="1" t="str">
        <x:v>cmst4aoqq001604l74y839y4f</x:v>
      </x:c>
      <x:c r="C1083" s="1" t="str">
        <x:v>skeleton-args-ca2025001247-4e7222cd1e12236a</x:v>
      </x:c>
      <x:c r="D1083" s="12" t="n">
        <x:v>46248.65735086805</x:v>
      </x:c>
      <x:c r="E1083" s="1" t="str">
        <x:v>yes</x:v>
      </x:c>
      <x:c r="F1083" s="14" t="str">
        <x:v>cmst4fdgx001l04l7p4wrw7w7</x:v>
      </x:c>
      <x:c r="G1083" s="14" t="n">
        <x:v>2</x:v>
      </x:c>
      <x:c r="H1083" s="14" t="str">
        <x:v>27be67b1-3e6c-4a07-90e1-cbb8420b8cee</x:v>
      </x:c>
      <x:c r="I1083" s="14" t="str">
        <x:v>Beatt v Croydon Health Services NHS Trust</x:v>
      </x:c>
      <x:c r="J1083" s="14" t="str">
        <x:v>England and Wales Court of Appeal (Civil Division)</x:v>
      </x:c>
      <x:c r="K1083" s="14" t="n">
        <x:v>2017</x:v>
      </x:c>
      <x:c r="L1083" s="15" t="n">
        <x:v>0.6854577</x:v>
      </x:c>
      <x:c r="M1083" s="14" t="n">
        <x:v>4</x:v>
      </x:c>
      <x:c r="N1083" s="14" t="str">
        <x:v>Panayiotou v Chief Constable of Hampshire Police [2014] UKEAT/0436/13 | Street v Derbyshire Unemployed Workers Centre [2003] UKEAT/0508/02 | Blackbay Ventures Ltd v Gahir [2014] UKEAT 0449/12 | Abernethy v Mott Hay &amp; Anderson [1974] ICR 323 | Public Interest Disclosure Act 1998 | Employment Rights Act 1996</x:v>
      </x:c>
    </x:row>
    <x:row r="1084">
      <x:c r="A1084" s="1" t="str">
        <x:v>cmst4drgk001f04l70ut5a3k0</x:v>
      </x:c>
      <x:c r="B1084" s="1" t="str">
        <x:v>cmst4aoqq001604l74y839y4f</x:v>
      </x:c>
      <x:c r="C1084" s="1" t="str">
        <x:v>skeleton-args-ca2025001247-4e7222cd1e12236a</x:v>
      </x:c>
      <x:c r="D1084" s="12" t="n">
        <x:v>46248.65735086805</x:v>
      </x:c>
      <x:c r="E1084" s="1" t="str">
        <x:v>yes</x:v>
      </x:c>
      <x:c r="F1084" s="14" t="str">
        <x:v>cmst4fdgx001l04l7p4wrw7w7</x:v>
      </x:c>
      <x:c r="G1084" s="14" t="n">
        <x:v>3</x:v>
      </x:c>
      <x:c r="H1084" s="14" t="str">
        <x:v>384e0c8e-cdd6-4cc9-b403-66e1f4f34acd</x:v>
      </x:c>
      <x:c r="I1084" s="14" t="str">
        <x:v>Royal Mail Ltd v Jhuti [2017] EWCA Civ 1632</x:v>
      </x:c>
      <x:c r="J1084" s="14" t="str">
        <x:v>England and Wales Court of Appeal (Civil Division)</x:v>
      </x:c>
      <x:c r="K1084" s="14" t="n">
        <x:v>2017</x:v>
      </x:c>
      <x:c r="L1084" s="15" t="n">
        <x:v>0.677938</x:v>
      </x:c>
      <x:c r="M1084" s="14" t="n">
        <x:v>4</x:v>
      </x:c>
      <x:c r="N1084" s="14" t="str">
        <x:v>Public Interest Disclosure Act 1998 | Enterprise and Regulatory Reform Act 2013 | Orr v Milton Keynes Council [2011] EWCA Civ 62</x:v>
      </x:c>
    </x:row>
    <x:row r="1085">
      <x:c r="A1085" s="1" t="str">
        <x:v>cmst4drgk001f04l70ut5a3k0</x:v>
      </x:c>
      <x:c r="B1085" s="1" t="str">
        <x:v>cmst4aoqq001604l74y839y4f</x:v>
      </x:c>
      <x:c r="C1085" s="1" t="str">
        <x:v>skeleton-args-ca2025001247-4e7222cd1e12236a</x:v>
      </x:c>
      <x:c r="D1085" s="12" t="n">
        <x:v>46248.65735086805</x:v>
      </x:c>
      <x:c r="E1085" s="1" t="str">
        <x:v>yes</x:v>
      </x:c>
      <x:c r="F1085" s="14" t="str">
        <x:v>cmst4fdgx001l04l7p4wrw7w7</x:v>
      </x:c>
      <x:c r="G1085" s="14" t="n">
        <x:v>4</x:v>
      </x:c>
      <x:c r="H1085" s="14" t="str">
        <x:v>66ef0e4f-af5f-406d-9033-1d688a8ab299</x:v>
      </x:c>
      <x:c r="I1085" s="14" t="str">
        <x:v>Ojikutu v London Borough of Camden [2014] EWCA Civ 978</x:v>
      </x:c>
      <x:c r="J1085" s="14" t="str">
        <x:v>England and Wales Court of Appeal (Civil Division)</x:v>
      </x:c>
      <x:c r="K1085" s="14" t="n">
        <x:v>2014</x:v>
      </x:c>
      <x:c r="L1085" s="15" t="n">
        <x:v>0.6696297</x:v>
      </x:c>
      <x:c r="M1085" s="14" t="n">
        <x:v>1</x:v>
      </x:c>
      <x:c r="N1085" s="14" t="str"/>
    </x:row>
    <x:row r="1086">
      <x:c r="A1086" s="1" t="str">
        <x:v>cmst4drgk001f04l70ut5a3k0</x:v>
      </x:c>
      <x:c r="B1086" s="1" t="str">
        <x:v>cmst4aoqq001604l74y839y4f</x:v>
      </x:c>
      <x:c r="C1086" s="1" t="str">
        <x:v>skeleton-args-ca2025001247-4e7222cd1e12236a</x:v>
      </x:c>
      <x:c r="D1086" s="12" t="n">
        <x:v>46248.65735086805</x:v>
      </x:c>
      <x:c r="E1086" s="1" t="str">
        <x:v>yes</x:v>
      </x:c>
      <x:c r="F1086" s="14" t="str">
        <x:v>cmst4fdgx001l04l7p4wrw7w7</x:v>
      </x:c>
      <x:c r="G1086" s="14" t="n">
        <x:v>5</x:v>
      </x:c>
      <x:c r="H1086" s="14" t="str">
        <x:v>0b85ba33-95d2-4cf3-a08d-ed6833230187</x:v>
      </x:c>
      <x:c r="I1086" s="14" t="str">
        <x:v>Co-Operative Group Ltd v Baddeley [2014] EWCA Civ 658</x:v>
      </x:c>
      <x:c r="J1086" s="14" t="str">
        <x:v>England and Wales Court of Appeal (Civil Division)</x:v>
      </x:c>
      <x:c r="K1086" s="14" t="n">
        <x:v>2014</x:v>
      </x:c>
      <x:c r="L1086" s="15" t="n">
        <x:v>0.669601</x:v>
      </x:c>
      <x:c r="M1086" s="14" t="n">
        <x:v>4</x:v>
      </x:c>
      <x:c r="N1086" s="14" t="str">
        <x:v>British Homes Stores v Burchell [1980] ICR 303 | Küzel v Roche Products Ltd [2008] EWCA Civ 380</x:v>
      </x:c>
    </x:row>
    <x:row r="1087">
      <x:c r="A1087" s="1" t="str">
        <x:v>cmst4drgk001f04l70ut5a3k0</x:v>
      </x:c>
      <x:c r="B1087" s="1" t="str">
        <x:v>cmst4aoqq001604l74y839y4f</x:v>
      </x:c>
      <x:c r="C1087" s="1" t="str">
        <x:v>skeleton-args-ca2025001247-4e7222cd1e12236a</x:v>
      </x:c>
      <x:c r="D1087" s="12" t="n">
        <x:v>46248.65735086805</x:v>
      </x:c>
      <x:c r="E1087" s="1" t="str">
        <x:v>yes</x:v>
      </x:c>
      <x:c r="F1087" s="14" t="str">
        <x:v>cmst4fdgx001l04l7p4wrw7w7</x:v>
      </x:c>
      <x:c r="G1087" s="14" t="n">
        <x:v>6</x:v>
      </x:c>
      <x:c r="H1087" s="14" t="str">
        <x:v>f23c3571-33ba-4a67-b917-2c6f40b74593</x:v>
      </x:c>
      <x:c r="I1087" s="14" t="str">
        <x:v>Barnes v London Borough of Lewisham [2016] EWCA Civ 582</x:v>
      </x:c>
      <x:c r="J1087" s="14" t="str">
        <x:v>England and Wales Court of Appeal (Civil Division)</x:v>
      </x:c>
      <x:c r="K1087" s="14" t="n">
        <x:v>2016</x:v>
      </x:c>
      <x:c r="L1087" s="15" t="n">
        <x:v>0.66149557</x:v>
      </x:c>
      <x:c r="M1087" s="14" t="n">
        <x:v>3</x:v>
      </x:c>
      <x:c r="N1087" s="14" t="str">
        <x:v>Western Excavating v Sharp | Meikle v Nottingham County Council | Lewis v Motorworld Garages Ltd | Woods v WM Car Services (Peterborough) Ltd</x:v>
      </x:c>
    </x:row>
    <x:row r="1088">
      <x:c r="A1088" s="1" t="str">
        <x:v>cmst4drgk001f04l70ut5a3k0</x:v>
      </x:c>
      <x:c r="B1088" s="1" t="str">
        <x:v>cmst4aoqq001604l74y839y4f</x:v>
      </x:c>
      <x:c r="C1088" s="1" t="str">
        <x:v>skeleton-args-ca2025001247-4e7222cd1e12236a</x:v>
      </x:c>
      <x:c r="D1088" s="12" t="n">
        <x:v>46248.65735086805</x:v>
      </x:c>
      <x:c r="E1088" s="1" t="str">
        <x:v>yes</x:v>
      </x:c>
      <x:c r="F1088" s="14" t="str">
        <x:v>cmst4fdgx001l04l7p4wrw7w7</x:v>
      </x:c>
      <x:c r="G1088" s="14" t="n">
        <x:v>7</x:v>
      </x:c>
      <x:c r="H1088" s="14" t="str">
        <x:v>3054ae89-4fdf-4879-a9ae-0e7c8a19d90e</x:v>
      </x:c>
      <x:c r="I1088" s="14" t="str">
        <x:v>Clifford v Millicom Services UK Ltd &amp; Ors [2023] EWCA Civ 50</x:v>
      </x:c>
      <x:c r="J1088" s="14" t="str">
        <x:v>England and Wales Court of Appeal (Civil Division)</x:v>
      </x:c>
      <x:c r="K1088" s="14" t="n">
        <x:v>2023</x:v>
      </x:c>
      <x:c r="L1088" s="15" t="n">
        <x:v>0.66125053</x:v>
      </x:c>
      <x:c r="M1088" s="14" t="n">
        <x:v>2</x:v>
      </x:c>
      <x:c r="N1088" s="14" t="str">
        <x:v>R v Legal Aid Board, ex p Kaim Todner [1999] QB 966 | Moss v Information Commissioner [2020] EWCA Civ 580 | Dring v Cape Intermediate Holdings Ltd [2019] UKSC 429, [2020] AC 629 | ABC v Telegraph Group Ltd [2018] EWCA Civ 2329, [2019] EMLR 5 | A v BBC | HRH the Prince of Wales | Libyan Investment Authority (No 2) | [2023] EWCA Civ 50 | [2022] EAT 74</x:v>
      </x:c>
    </x:row>
    <x:row r="1089">
      <x:c r="A1089" s="1" t="str">
        <x:v>cmst4drgk001f04l70ut5a3k0</x:v>
      </x:c>
      <x:c r="B1089" s="1" t="str">
        <x:v>cmst4aoqq001604l74y839y4f</x:v>
      </x:c>
      <x:c r="C1089" s="1" t="str">
        <x:v>skeleton-args-ca2025001247-4e7222cd1e12236a</x:v>
      </x:c>
      <x:c r="D1089" s="12" t="n">
        <x:v>46248.65735086805</x:v>
      </x:c>
      <x:c r="E1089" s="1" t="str">
        <x:v>yes</x:v>
      </x:c>
      <x:c r="F1089" s="14" t="str">
        <x:v>cmst4fdgx001l04l7p4wrw7w7</x:v>
      </x:c>
      <x:c r="G1089" s="14" t="n">
        <x:v>8</x:v>
      </x:c>
      <x:c r="H1089" s="14" t="str">
        <x:v>b95f1402-e7e1-473c-80dc-2f1763e8cc02</x:v>
      </x:c>
      <x:c r="I1089" s="14" t="str">
        <x:v>Edwards v Parabis Law LLP t/a Cogent Law [2016] EWCA Civ 35</x:v>
      </x:c>
      <x:c r="J1089" s="14" t="str">
        <x:v>England and Wales Court of Appeal (Civil Division)</x:v>
      </x:c>
      <x:c r="K1089" s="14" t="n">
        <x:v>2016</x:v>
      </x:c>
      <x:c r="L1089" s="15" t="n">
        <x:v>0.6611364</x:v>
      </x:c>
      <x:c r="M1089" s="14" t="n">
        <x:v>1</x:v>
      </x:c>
      <x:c r="N1089" s="14" t="str">
        <x:v>Laws LJ permission 15 Oct 2015</x:v>
      </x:c>
    </x:row>
    <x:row r="1090">
      <x:c r="A1090" s="1" t="str">
        <x:v>cmst4drgk001f04l70ut5a3k0</x:v>
      </x:c>
      <x:c r="B1090" s="1" t="str">
        <x:v>cmst4aoqq001604l74y839y4f</x:v>
      </x:c>
      <x:c r="C1090" s="1" t="str">
        <x:v>skeleton-args-ca2025001247-4e7222cd1e12236a</x:v>
      </x:c>
      <x:c r="D1090" s="12" t="n">
        <x:v>46248.65735086805</x:v>
      </x:c>
      <x:c r="E1090" s="1" t="str">
        <x:v>yes</x:v>
      </x:c>
      <x:c r="F1090" s="14" t="str">
        <x:v>cmst4fdgx001l04l7p4wrw7w7</x:v>
      </x:c>
      <x:c r="G1090" s="14" t="n">
        <x:v>9</x:v>
      </x:c>
      <x:c r="H1090" s="14" t="str">
        <x:v>58d08b20-69c9-47be-8f81-5be69b31e088</x:v>
      </x:c>
      <x:c r="I1090" s="14" t="str">
        <x:v>Kuznetsov v The Royal Bank of Scotland Plc</x:v>
      </x:c>
      <x:c r="J1090" s="14" t="str">
        <x:v>England and Wales Court of Appeal (Civil Division)</x:v>
      </x:c>
      <x:c r="K1090" s="14" t="n">
        <x:v>2017</x:v>
      </x:c>
      <x:c r="L1090" s="15" t="n">
        <x:v>0.6611016</x:v>
      </x:c>
      <x:c r="M1090" s="14" t="n">
        <x:v>4</x:v>
      </x:c>
      <x:c r="N1090" s="14" t="str">
        <x:v>Jafri v Lincoln College [2015] QB 781 | Selkent v Moore [1996] ICR 836</x:v>
      </x:c>
    </x:row>
    <x:row r="1091">
      <x:c r="A1091" s="1" t="str">
        <x:v>cmst4drgk001f04l70ut5a3k0</x:v>
      </x:c>
      <x:c r="B1091" s="1" t="str">
        <x:v>cmst4aoqq001604l74y839y4f</x:v>
      </x:c>
      <x:c r="C1091" s="1" t="str">
        <x:v>skeleton-args-ca2025001247-4e7222cd1e12236a</x:v>
      </x:c>
      <x:c r="D1091" s="12" t="n">
        <x:v>46248.65735086805</x:v>
      </x:c>
      <x:c r="E1091" s="1" t="str">
        <x:v>yes</x:v>
      </x:c>
      <x:c r="F1091" s="14" t="str">
        <x:v>cmst4fdgx001l04l7p4wrw7w7</x:v>
      </x:c>
      <x:c r="G1091" s="14" t="n">
        <x:v>10</x:v>
      </x:c>
      <x:c r="H1091" s="14" t="str">
        <x:v>abcffa50-4a75-4ad4-9667-e3dfe47a4411</x:v>
      </x:c>
      <x:c r="I1091" s="14" t="str">
        <x:v>O'Brien v Bolton St Catherine's Academy [2017] EWCA Civ 145</x:v>
      </x:c>
      <x:c r="J1091" s="14" t="str">
        <x:v>England and Wales Court of Appeal (Civil Division)</x:v>
      </x:c>
      <x:c r="K1091" s="14" t="n">
        <x:v>2017</x:v>
      </x:c>
      <x:c r="L1091" s="15" t="n">
        <x:v>0.6604738</x:v>
      </x:c>
      <x:c r="M1091" s="14" t="n">
        <x:v>1</x:v>
      </x:c>
      <x:c r="N1091" s="14" t="str"/>
    </x:row>
    <x:row r="1092">
      <x:c r="A1092" s="1" t="str">
        <x:v>cmst4drgk001f04l70ut5a3k0</x:v>
      </x:c>
      <x:c r="B1092" s="1" t="str">
        <x:v>cmst4aoqq001604l74y839y4f</x:v>
      </x:c>
      <x:c r="C1092" s="1" t="str">
        <x:v>skeleton-args-ca2025001247-4e7222cd1e12236a</x:v>
      </x:c>
      <x:c r="D1092" s="12" t="n">
        <x:v>46248.65735086805</x:v>
      </x:c>
      <x:c r="E1092" s="1" t="str">
        <x:v>yes</x:v>
      </x:c>
      <x:c r="F1092" s="14" t="str">
        <x:v>cmst4fdgx001l04l7p4wrw7w7</x:v>
      </x:c>
      <x:c r="G1092" s="14" t="n">
        <x:v>11</x:v>
      </x:c>
      <x:c r="H1092" s="14" t="str">
        <x:v>0845a137-08c0-4495-8d95-5cb333f9d947</x:v>
      </x:c>
      <x:c r="I1092" s="14" t="str">
        <x:v>Kong v Gulf International Bank (UK) Limited [2022] EWCA Civ 941</x:v>
      </x:c>
      <x:c r="J1092" s="14" t="str">
        <x:v>England and Wales Court of Appeal (Civil Division)</x:v>
      </x:c>
      <x:c r="K1092" s="14" t="n">
        <x:v>2022</x:v>
      </x:c>
      <x:c r="L1092" s="15" t="n">
        <x:v>0.6598509</x:v>
      </x:c>
      <x:c r="M1092" s="14" t="n">
        <x:v>5</x:v>
      </x:c>
      <x:c r="N1092" s="14" t="str">
        <x:v>Fecitt v NHS Manchester | Royal Mail Group Ltd v Jhuti | Page v Lord Chancellor | Martin (victimisation) | Yeboah v Crofton | Lyon and Bass Taverns | Jhuti | Fecitt</x:v>
      </x:c>
    </x:row>
    <x:row r="1093">
      <x:c r="A1093" s="1" t="str">
        <x:v>cmst4drgk001f04l70ut5a3k0</x:v>
      </x:c>
      <x:c r="B1093" s="1" t="str">
        <x:v>cmst4aoqq001604l74y839y4f</x:v>
      </x:c>
      <x:c r="C1093" s="1" t="str">
        <x:v>skeleton-args-ca2025001247-4e7222cd1e12236a</x:v>
      </x:c>
      <x:c r="D1093" s="12" t="n">
        <x:v>46248.65735086805</x:v>
      </x:c>
      <x:c r="E1093" s="1" t="str">
        <x:v>yes</x:v>
      </x:c>
      <x:c r="F1093" s="14" t="str">
        <x:v>cmst4fdgx001l04l7p4wrw7w7</x:v>
      </x:c>
      <x:c r="G1093" s="14" t="n">
        <x:v>12</x:v>
      </x:c>
      <x:c r="H1093" s="14" t="str">
        <x:v>b28ef1e1-4ef7-4015-9008-5cb657f48023</x:v>
      </x:c>
      <x:c r="I1093" s="14" t="str">
        <x:v>Rodgers v Leeds Laser Cutting Ltd [2022] EWCA Civ 1659</x:v>
      </x:c>
      <x:c r="J1093" s="14" t="str">
        <x:v>England and Wales Court of Appeal (Civil Division)</x:v>
      </x:c>
      <x:c r="K1093" s="14" t="n">
        <x:v>2022</x:v>
      </x:c>
      <x:c r="L1093" s="15" t="n">
        <x:v>0.6577383</x:v>
      </x:c>
      <x:c r="M1093" s="14" t="n">
        <x:v>2</x:v>
      </x:c>
      <x:c r="N1093" s="14" t="str"/>
    </x:row>
    <x:row r="1094">
      <x:c r="A1094" s="1" t="str">
        <x:v>cmst4drgk001f04l70ut5a3k0</x:v>
      </x:c>
      <x:c r="B1094" s="1" t="str">
        <x:v>cmst4aoqq001604l74y839y4f</x:v>
      </x:c>
      <x:c r="C1094" s="1" t="str">
        <x:v>skeleton-args-ca2025001247-4e7222cd1e12236a</x:v>
      </x:c>
      <x:c r="D1094" s="12" t="n">
        <x:v>46248.65735086805</x:v>
      </x:c>
      <x:c r="E1094" s="1" t="str">
        <x:v>yes</x:v>
      </x:c>
      <x:c r="F1094" s="14" t="str">
        <x:v>cmst4fdgx001l04l7p4wrw7w7</x:v>
      </x:c>
      <x:c r="G1094" s="14" t="n">
        <x:v>13</x:v>
      </x:c>
      <x:c r="H1094" s="14" t="str">
        <x:v>979b8f09-db67-4037-bb54-2a5a9cc60534</x:v>
      </x:c>
      <x:c r="I1094" s="14" t="str">
        <x:v>Lawson v the Governing Body of Aylesford School &amp; Anr [2014] EWCA Civ 491</x:v>
      </x:c>
      <x:c r="J1094" s="14" t="str">
        <x:v>England and Wales Court of Appeal (Civil Division)</x:v>
      </x:c>
      <x:c r="K1094" s="14" t="n">
        <x:v>2014</x:v>
      </x:c>
      <x:c r="L1094" s="15" t="n">
        <x:v>0.6540809</x:v>
      </x:c>
      <x:c r="M1094" s="14" t="n">
        <x:v>2</x:v>
      </x:c>
      <x:c r="N1094" s="14" t="str"/>
    </x:row>
    <x:row r="1095">
      <x:c r="A1095" s="1" t="str">
        <x:v>cmst4drgk001f04l70ut5a3k0</x:v>
      </x:c>
      <x:c r="B1095" s="1" t="str">
        <x:v>cmst4aoqq001604l74y839y4f</x:v>
      </x:c>
      <x:c r="C1095" s="1" t="str">
        <x:v>skeleton-args-ca2025001247-4e7222cd1e12236a</x:v>
      </x:c>
      <x:c r="D1095" s="12" t="n">
        <x:v>46248.65735086805</x:v>
      </x:c>
      <x:c r="E1095" s="1" t="str">
        <x:v>yes</x:v>
      </x:c>
      <x:c r="F1095" s="14" t="str">
        <x:v>cmst4fdgx001l04l7p4wrw7w7</x:v>
      </x:c>
      <x:c r="G1095" s="14" t="n">
        <x:v>14</x:v>
      </x:c>
      <x:c r="H1095" s="14" t="str">
        <x:v>b09fb158-eea2-4246-afa6-9a119107834a</x:v>
      </x:c>
      <x:c r="I1095" s="14" t="str">
        <x:v>Phipps v Priory Education Services Ltd [2023] EWCA Civ 652 (Court of Appeal, Civil Division)</x:v>
      </x:c>
      <x:c r="J1095" s="14" t="str">
        <x:v>England and Wales Court of Appeal (Civil Division)</x:v>
      </x:c>
      <x:c r="K1095" s="14" t="n">
        <x:v>2023</x:v>
      </x:c>
      <x:c r="L1095" s="15" t="n">
        <x:v>0.6531517</x:v>
      </x:c>
      <x:c r="M1095" s="14" t="n">
        <x:v>1</x:v>
      </x:c>
      <x:c r="N1095" s="14" t="str">
        <x:v>Lindsay v Ironsides Ray &amp; Vials | Outasight VB Ltd v Brown</x:v>
      </x:c>
    </x:row>
    <x:row r="1096">
      <x:c r="A1096" s="1" t="str">
        <x:v>cmst4drgk001f04l70ut5a3k0</x:v>
      </x:c>
      <x:c r="B1096" s="1" t="str">
        <x:v>cmst4aoqq001604l74y839y4f</x:v>
      </x:c>
      <x:c r="C1096" s="1" t="str">
        <x:v>skeleton-args-ca2025001247-4e7222cd1e12236a</x:v>
      </x:c>
      <x:c r="D1096" s="12" t="n">
        <x:v>46248.65735086805</x:v>
      </x:c>
      <x:c r="E1096" s="1" t="str">
        <x:v>yes</x:v>
      </x:c>
      <x:c r="F1096" s="14" t="str">
        <x:v>cmst4fdgx001l04l7p4wrw7w7</x:v>
      </x:c>
      <x:c r="G1096" s="14" t="n">
        <x:v>15</x:v>
      </x:c>
      <x:c r="H1096" s="14" t="str">
        <x:v>126904c3-76e4-4116-9766-06699aedc5c8</x:v>
      </x:c>
      <x:c r="I1096" s="14" t="str">
        <x:v>Pimlico Plumbers Ltd &amp; Anor v Smith</x:v>
      </x:c>
      <x:c r="J1096" s="14" t="str">
        <x:v>England and Wales Court of Appeal (Civil Division)</x:v>
      </x:c>
      <x:c r="K1096" s="14" t="n">
        <x:v>2017</x:v>
      </x:c>
      <x:c r="L1096" s="15" t="n">
        <x:v>0.6530136</x:v>
      </x:c>
      <x:c r="M1096" s="14" t="n">
        <x:v>1</x:v>
      </x:c>
      <x:c r="N1096" s="14" t="str"/>
    </x:row>
    <x:row r="1097">
      <x:c r="A1097" s="1" t="str">
        <x:v>cmst4drgk001f04l70ut5a3k0</x:v>
      </x:c>
      <x:c r="B1097" s="1" t="str">
        <x:v>cmst4aoqq001604l74y839y4f</x:v>
      </x:c>
      <x:c r="C1097" s="1" t="str">
        <x:v>skeleton-args-ca2025001247-4e7222cd1e12236a</x:v>
      </x:c>
      <x:c r="D1097" s="12" t="n">
        <x:v>46248.65735086805</x:v>
      </x:c>
      <x:c r="E1097" s="1" t="str">
        <x:v>yes</x:v>
      </x:c>
      <x:c r="F1097" s="14" t="str">
        <x:v>cmst4fdgx001l04l7p4wrw7w7</x:v>
      </x:c>
      <x:c r="G1097" s="14" t="n">
        <x:v>16</x:v>
      </x:c>
      <x:c r="H1097" s="14" t="str">
        <x:v>7ebe446f-f92d-4a1c-9bb1-3a15dfc2675a</x:v>
      </x:c>
      <x:c r="I1097" s="14" t="str">
        <x:v>Vining v London Borough of Wandsworth [2017] EWCA Civ 1092</x:v>
      </x:c>
      <x:c r="J1097" s="14" t="str">
        <x:v>England and Wales Court of Appeal (Civil Division)</x:v>
      </x:c>
      <x:c r="K1097" s="14" t="n">
        <x:v>2017</x:v>
      </x:c>
      <x:c r="L1097" s="15" t="n">
        <x:v>0.6529268</x:v>
      </x:c>
      <x:c r="M1097" s="14" t="n">
        <x:v>2</x:v>
      </x:c>
      <x:c r="N1097" s="14" t="str">
        <x:v>London Borough of Redbridge v Dhinsa and McKinnon [2014] EWCA Civ 178 | Demir v. Turkey [2009] 48 EHRR 54</x:v>
      </x:c>
    </x:row>
    <x:row r="1098">
      <x:c r="A1098" s="1" t="str">
        <x:v>cmst4drgk001f04l70ut5a3k0</x:v>
      </x:c>
      <x:c r="B1098" s="1" t="str">
        <x:v>cmst4aoqq001604l74y839y4f</x:v>
      </x:c>
      <x:c r="C1098" s="1" t="str">
        <x:v>skeleton-args-ca2025001247-4e7222cd1e12236a</x:v>
      </x:c>
      <x:c r="D1098" s="12" t="n">
        <x:v>46248.65735086805</x:v>
      </x:c>
      <x:c r="E1098" s="1" t="str">
        <x:v>yes</x:v>
      </x:c>
      <x:c r="F1098" s="14" t="str">
        <x:v>cmst4fdgx001l04l7p4wrw7w7</x:v>
      </x:c>
      <x:c r="G1098" s="14" t="n">
        <x:v>17</x:v>
      </x:c>
      <x:c r="H1098" s="14" t="str">
        <x:v>9365ac87-002c-4767-beb5-daa394718251</x:v>
      </x:c>
      <x:c r="I1098" s="14" t="str">
        <x:v>Adeshina v St. George's University Hospitals NHS Foundation Trust &amp; Ors [2017] EWCA Civ 257</x:v>
      </x:c>
      <x:c r="J1098" s="14" t="str">
        <x:v>England and Wales Court of Appeal (Civil Division)</x:v>
      </x:c>
      <x:c r="K1098" s="14" t="n">
        <x:v>2017</x:v>
      </x:c>
      <x:c r="L1098" s="15" t="n">
        <x:v>0.6526167</x:v>
      </x:c>
      <x:c r="M1098" s="14" t="n">
        <x:v>2</x:v>
      </x:c>
      <x:c r="N1098" s="14" t="str">
        <x:v>Taylor v OCS Group Ltd [2006] EWCA Civ 702</x:v>
      </x:c>
    </x:row>
    <x:row r="1099">
      <x:c r="A1099" s="1" t="str">
        <x:v>cmst4drgk001f04l70ut5a3k0</x:v>
      </x:c>
      <x:c r="B1099" s="1" t="str">
        <x:v>cmst4aoqq001604l74y839y4f</x:v>
      </x:c>
      <x:c r="C1099" s="1" t="str">
        <x:v>skeleton-args-ca2025001247-4e7222cd1e12236a</x:v>
      </x:c>
      <x:c r="D1099" s="12" t="n">
        <x:v>46248.65735086805</x:v>
      </x:c>
      <x:c r="E1099" s="1" t="str">
        <x:v>yes</x:v>
      </x:c>
      <x:c r="F1099" s="14" t="str">
        <x:v>cmst4fdgx001l04l7p4wrw7w7</x:v>
      </x:c>
      <x:c r="G1099" s="14" t="n">
        <x:v>18</x:v>
      </x:c>
      <x:c r="H1099" s="14" t="str">
        <x:v>7a524f94-2932-4f6f-895d-481394129f94</x:v>
      </x:c>
      <x:c r="I1099" s="14" t="str">
        <x:v>Athanasopoulos v The Institute for Orthodox Christian Studies</x:v>
      </x:c>
      <x:c r="J1099" s="14" t="str">
        <x:v>England and Wales Court of Appeal (Civil Division)</x:v>
      </x:c>
      <x:c r="K1099" s="14" t="n">
        <x:v>2015</x:v>
      </x:c>
      <x:c r="L1099" s="15" t="n">
        <x:v>0.65162426</x:v>
      </x:c>
      <x:c r="M1099" s="14" t="n">
        <x:v>1</x:v>
      </x:c>
      <x:c r="N1099" s="14" t="str"/>
    </x:row>
    <x:row r="1100">
      <x:c r="A1100" s="1" t="str">
        <x:v>cmst4drgk001f04l70ut5a3k0</x:v>
      </x:c>
      <x:c r="B1100" s="1" t="str">
        <x:v>cmst4aoqq001604l74y839y4f</x:v>
      </x:c>
      <x:c r="C1100" s="1" t="str">
        <x:v>skeleton-args-ca2025001247-4e7222cd1e12236a</x:v>
      </x:c>
      <x:c r="D1100" s="12" t="n">
        <x:v>46248.65735086805</x:v>
      </x:c>
      <x:c r="E1100" s="1" t="str">
        <x:v>yes</x:v>
      </x:c>
      <x:c r="F1100" s="14" t="str">
        <x:v>cmst4fdgx001l04l7p4wrw7w7</x:v>
      </x:c>
      <x:c r="G1100" s="14" t="n">
        <x:v>19</x:v>
      </x:c>
      <x:c r="H1100" s="14" t="str">
        <x:v>24cdd790-fb66-4e79-895a-0d7f73047839</x:v>
      </x:c>
      <x:c r="I1100" s="14" t="str">
        <x:v>Halawi v WDFG UK Ltd (t/a World Duty Free) [2014] EWCA Civ 1387</x:v>
      </x:c>
      <x:c r="J1100" s="14" t="str">
        <x:v>England and Wales Court of Appeal (Civil Division)</x:v>
      </x:c>
      <x:c r="K1100" s="14" t="n">
        <x:v>2014</x:v>
      </x:c>
      <x:c r="L1100" s="15" t="n">
        <x:v>0.6501788</x:v>
      </x:c>
      <x:c r="M1100" s="14" t="n">
        <x:v>1</x:v>
      </x:c>
      <x:c r="N1100" s="14" t="str"/>
    </x:row>
    <x:row r="1101">
      <x:c r="A1101" s="1" t="str">
        <x:v>cmst4drgk001f04l70ut5a3k0</x:v>
      </x:c>
      <x:c r="B1101" s="1" t="str">
        <x:v>cmst4aoqq001604l74y839y4f</x:v>
      </x:c>
      <x:c r="C1101" s="1" t="str">
        <x:v>skeleton-args-ca2025001247-4e7222cd1e12236a</x:v>
      </x:c>
      <x:c r="D1101" s="12" t="n">
        <x:v>46248.65735086805</x:v>
      </x:c>
      <x:c r="E1101" s="1" t="str">
        <x:v>yes</x:v>
      </x:c>
      <x:c r="F1101" s="14" t="str">
        <x:v>cmst4fdgx001l04l7p4wrw7w7</x:v>
      </x:c>
      <x:c r="G1101" s="14" t="n">
        <x:v>20</x:v>
      </x:c>
      <x:c r="H1101" s="14" t="str">
        <x:v>7b9b0d5a-dc61-43d4-9626-d82e18f8c8dd</x:v>
      </x:c>
      <x:c r="I1101" s="14" t="str">
        <x:v>South Wales Police Authority v Johnson [2014] EWCA Civ 73</x:v>
      </x:c>
      <x:c r="J1101" s="14" t="str">
        <x:v>England and Wales Court of Appeal (Civil Division)</x:v>
      </x:c>
      <x:c r="K1101" s="14" t="n">
        <x:v>2014</x:v>
      </x:c>
      <x:c r="L1101" s="15" t="n">
        <x:v>0.6497334</x:v>
      </x:c>
      <x:c r="M1101" s="14" t="n">
        <x:v>1</x:v>
      </x:c>
      <x:c r="N1101" s="14" t="str"/>
    </x:row>
    <x:row r="1102">
      <x:c r="A1102" s="1" t="str">
        <x:v>cmst4iu9u000b04jsb3vxyexj</x:v>
      </x:c>
      <x:c r="B1102" s="1" t="str">
        <x:v>cmst4gypt000204jslfhbfuuf</x:v>
      </x:c>
      <x:c r="C1102" s="1" t="str">
        <x:v>skeleton-args-ca2019005474-f7265b45a4e3f0ae</x:v>
      </x:c>
      <x:c r="D1102" s="12" t="n">
        <x:v>46248.660092962964</x:v>
      </x:c>
      <x:c r="E1102" s="1" t="str">
        <x:v>yes</x:v>
      </x:c>
      <x:c r="F1102" s="14" t="str">
        <x:v>cmst4kl1t000h04js7g8j67zy</x:v>
      </x:c>
      <x:c r="G1102" s="14" t="n">
        <x:v>1</x:v>
      </x:c>
      <x:c r="H1102" s="14" t="str">
        <x:v>2861fb0d-fcc7-440d-86e2-45b40fd61ddc</x:v>
      </x:c>
      <x:c r="I1102" s="14" t="str">
        <x:v>Maier &amp; Anor v Asos Plc &amp; Anor [2015] EWCA Civ 220</x:v>
      </x:c>
      <x:c r="J1102" s="14" t="str">
        <x:v>England and Wales Court of Appeal (Civil Division)</x:v>
      </x:c>
      <x:c r="K1102" s="14" t="n">
        <x:v>2015</x:v>
      </x:c>
      <x:c r="L1102" s="15" t="n">
        <x:v>0.74399096</x:v>
      </x:c>
      <x:c r="M1102" s="14" t="n">
        <x:v>2</x:v>
      </x:c>
      <x:c r="N1102" s="14" t="str"/>
    </x:row>
    <x:row r="1103">
      <x:c r="A1103" s="1" t="str">
        <x:v>cmst4iu9u000b04jsb3vxyexj</x:v>
      </x:c>
      <x:c r="B1103" s="1" t="str">
        <x:v>cmst4gypt000204jslfhbfuuf</x:v>
      </x:c>
      <x:c r="C1103" s="1" t="str">
        <x:v>skeleton-args-ca2019005474-f7265b45a4e3f0ae</x:v>
      </x:c>
      <x:c r="D1103" s="12" t="n">
        <x:v>46248.660092962964</x:v>
      </x:c>
      <x:c r="E1103" s="1" t="str">
        <x:v>yes</x:v>
      </x:c>
      <x:c r="F1103" s="14" t="str">
        <x:v>cmst4kl1t000h04js7g8j67zy</x:v>
      </x:c>
      <x:c r="G1103" s="14" t="n">
        <x:v>2</x:v>
      </x:c>
      <x:c r="H1103" s="14" t="str">
        <x:v>b9f08a72-1e62-405b-9fe9-eaba231f1c88</x:v>
      </x:c>
      <x:c r="I1103" s="14" t="str">
        <x:v>Lidl Great Britain Ltd &amp; Lidl Stiftung &amp; Co KG v Tesco Stores Ltd &amp; Tesco PLC [2022] EWCA Civ 1433</x:v>
      </x:c>
      <x:c r="J1103" s="14" t="str">
        <x:v>England and Wales Court of Appeal (Civil Division)</x:v>
      </x:c>
      <x:c r="K1103" s="14" t="n">
        <x:v>2022</x:v>
      </x:c>
      <x:c r="L1103" s="15" t="n">
        <x:v>0.7389295</x:v>
      </x:c>
      <x:c r="M1103" s="14" t="n">
        <x:v>6</x:v>
      </x:c>
      <x:c r="N1103" s="14" t="str">
        <x:v>Walton International | Hasbro | Il Ponte | Target Ventures | Specsavers | Ferrero | Rintisch v Eder | Walton International Ltd v Verweij Fashion BV [2018] EWHC 1608 (Ch) | ROYAL ENFIELD Trade Mark [2002] RPC 24 | Hasbro, Inc. v OHIM | Il Ponte Finanziaria SpA v OHIM [2007] ECR I-7333 | Rintisch v Eder [EU:C:2012:671] | Specsavers v OHIM (CJEU) | Target Ventures (EU case) | Ferrero S.p.A. v Target Partners | Jaguar Land Rover Ltd v (Nugee J) | Walton Int’l Ltd v Verweij Fashion BV | Sky | Il Ponte Finanziaria | Il Ponte Finanziaria SpA v OHIM | Specsavers v OHIM | Hasbro v OHIM | Target Ventures case | Sky decision | Ferrero case</x:v>
      </x:c>
    </x:row>
    <x:row r="1104">
      <x:c r="A1104" s="1" t="str">
        <x:v>cmst4iu9u000b04jsb3vxyexj</x:v>
      </x:c>
      <x:c r="B1104" s="1" t="str">
        <x:v>cmst4gypt000204jslfhbfuuf</x:v>
      </x:c>
      <x:c r="C1104" s="1" t="str">
        <x:v>skeleton-args-ca2019005474-f7265b45a4e3f0ae</x:v>
      </x:c>
      <x:c r="D1104" s="12" t="n">
        <x:v>46248.660092962964</x:v>
      </x:c>
      <x:c r="E1104" s="1" t="str">
        <x:v>yes</x:v>
      </x:c>
      <x:c r="F1104" s="14" t="str">
        <x:v>cmst4kl1t000h04js7g8j67zy</x:v>
      </x:c>
      <x:c r="G1104" s="14" t="n">
        <x:v>3</x:v>
      </x:c>
      <x:c r="H1104" s="14" t="str">
        <x:v>fd1ee879-efef-4fc1-b6e0-617683d3c841</x:v>
      </x:c>
      <x:c r="I1104" s="14" t="str">
        <x:v>Maier &amp; Anor v Asos Plc &amp; Anor [2015] EWCA Civ 377</x:v>
      </x:c>
      <x:c r="J1104" s="14" t="str">
        <x:v>England and Wales Court of Appeal (Civil Division)</x:v>
      </x:c>
      <x:c r="K1104" s="14" t="n">
        <x:v>2015</x:v>
      </x:c>
      <x:c r="L1104" s="15" t="n">
        <x:v>0.73718446</x:v>
      </x:c>
      <x:c r="M1104" s="14" t="n">
        <x:v>3</x:v>
      </x:c>
      <x:c r="N1104" s="14" t="str">
        <x:v>Article 9(1)(b) | Article 8(4) | s.5(2)(b)</x:v>
      </x:c>
    </x:row>
    <x:row r="1105">
      <x:c r="A1105" s="1" t="str">
        <x:v>cmst4iu9u000b04jsb3vxyexj</x:v>
      </x:c>
      <x:c r="B1105" s="1" t="str">
        <x:v>cmst4gypt000204jslfhbfuuf</x:v>
      </x:c>
      <x:c r="C1105" s="1" t="str">
        <x:v>skeleton-args-ca2019005474-f7265b45a4e3f0ae</x:v>
      </x:c>
      <x:c r="D1105" s="12" t="n">
        <x:v>46248.660092962964</x:v>
      </x:c>
      <x:c r="E1105" s="1" t="str">
        <x:v>yes</x:v>
      </x:c>
      <x:c r="F1105" s="14" t="str">
        <x:v>cmst4kl1t000h04js7g8j67zy</x:v>
      </x:c>
      <x:c r="G1105" s="14" t="n">
        <x:v>4</x:v>
      </x:c>
      <x:c r="H1105" s="14" t="str">
        <x:v>ea009eb1-d609-4034-8ed9-7ba71d1129a2</x:v>
      </x:c>
      <x:c r="I1105" s="14" t="str">
        <x:v>Caspian Pizza Ltd &amp; Ors v Shah &amp; Anor</x:v>
      </x:c>
      <x:c r="J1105" s="14" t="str">
        <x:v>England and Wales Court of Appeal (Civil Division)</x:v>
      </x:c>
      <x:c r="K1105" s="14" t="n">
        <x:v>2017</x:v>
      </x:c>
      <x:c r="L1105" s="15" t="n">
        <x:v>0.73654735</x:v>
      </x:c>
      <x:c r="M1105" s="14" t="n">
        <x:v>5</x:v>
      </x:c>
      <x:c r="N1105" s="14" t="str">
        <x:v>Redd Solicitors LLP v Red Legal Ltd [2012] EWPCC 54 | Sworders Trade Mark (O-212-06) | Trade Marks Act 1994</x:v>
      </x:c>
    </x:row>
    <x:row r="1106">
      <x:c r="A1106" s="1" t="str">
        <x:v>cmst4iu9u000b04jsb3vxyexj</x:v>
      </x:c>
      <x:c r="B1106" s="1" t="str">
        <x:v>cmst4gypt000204jslfhbfuuf</x:v>
      </x:c>
      <x:c r="C1106" s="1" t="str">
        <x:v>skeleton-args-ca2019005474-f7265b45a4e3f0ae</x:v>
      </x:c>
      <x:c r="D1106" s="12" t="n">
        <x:v>46248.660092962964</x:v>
      </x:c>
      <x:c r="E1106" s="1" t="str">
        <x:v>yes</x:v>
      </x:c>
      <x:c r="F1106" s="14" t="str">
        <x:v>cmst4kl1t000h04js7g8j67zy</x:v>
      </x:c>
      <x:c r="G1106" s="14" t="n">
        <x:v>5</x:v>
      </x:c>
      <x:c r="H1106" s="14" t="str">
        <x:v>b88b59e2-6c25-4730-93fe-b134e9a5176b</x:v>
      </x:c>
      <x:c r="I1106" s="14" t="str">
        <x:v>Comic Enterprises Ltd v Twentieth Century Fox Film Corporation [2016] EWCA Civ 41</x:v>
      </x:c>
      <x:c r="J1106" s="14" t="str">
        <x:v>England and Wales Court of Appeal (Civil Division)</x:v>
      </x:c>
      <x:c r="K1106" s="14" t="n">
        <x:v>2016</x:v>
      </x:c>
      <x:c r="L1106" s="15" t="n">
        <x:v>0.72802234</x:v>
      </x:c>
      <x:c r="M1106" s="14" t="n">
        <x:v>3</x:v>
      </x:c>
      <x:c r="N1106" s="14" t="str">
        <x:v>Specsavers | Intel | Interflora | L’Oréal | Leidseplein | Red Bull (Zeit) cases | Maier v Asos plc [2015] EWCA Civ 220 | Specsavers International Healthcare Ltd v Asda Stores Ltd [2012] EWCA Civ 24 | Canon Kabushiki Kaisha v Metro Goldwyn Mayer Inc (C-39/97) | Interflora Inc v Marks &amp; Spencer plc (C-323/09) | Adidas-Salomon AG v Fitnessworld Trading Ltd (C-408/01) | Intel Corp Inc v CPM United Kingdom Ltd (C-252/07) | Reckitt &amp; Coleman v Borden (1990) | Thomas Pink Ltd v Victoria's Secret UK Ltd (2014) | L'Oréal SA v Bellure NV (C-487/07) | Leidseplein Beheer BV v Red Bull GmbH (C-65/12) | Enterprise Holdings, Inc v Europcar Group UK Ltd [2015] EWHC 17 | Reed Executive v Reed Business Information [2004] RPC 40</x:v>
      </x:c>
    </x:row>
    <x:row r="1107">
      <x:c r="A1107" s="1" t="str">
        <x:v>cmst4iu9u000b04jsb3vxyexj</x:v>
      </x:c>
      <x:c r="B1107" s="1" t="str">
        <x:v>cmst4gypt000204jslfhbfuuf</x:v>
      </x:c>
      <x:c r="C1107" s="1" t="str">
        <x:v>skeleton-args-ca2019005474-f7265b45a4e3f0ae</x:v>
      </x:c>
      <x:c r="D1107" s="12" t="n">
        <x:v>46248.660092962964</x:v>
      </x:c>
      <x:c r="E1107" s="1" t="str">
        <x:v>yes</x:v>
      </x:c>
      <x:c r="F1107" s="14" t="str">
        <x:v>cmst4kl1t000h04js7g8j67zy</x:v>
      </x:c>
      <x:c r="G1107" s="14" t="n">
        <x:v>6</x:v>
      </x:c>
      <x:c r="H1107" s="14" t="str">
        <x:v>8c9b650b-8e76-4cea-a0df-2825ec328e59</x:v>
      </x:c>
      <x:c r="I1107" s="14" t="str">
        <x:v>Société des Produits Nestlé SA v Cadbury UK Ltd</x:v>
      </x:c>
      <x:c r="J1107" s="14" t="str">
        <x:v>England and Wales Court of Appeal (Civil Division)</x:v>
      </x:c>
      <x:c r="K1107" s="14" t="n">
        <x:v>2017</x:v>
      </x:c>
      <x:c r="L1107" s="15" t="n">
        <x:v>0.72629344</x:v>
      </x:c>
      <x:c r="M1107" s="14" t="n">
        <x:v>2</x:v>
      </x:c>
      <x:c r="N1107" s="14" t="str">
        <x:v>Case C-299/99 | Nestlé v Mars | 2017 EWCA Civ 358 | 2017 Bus LR 1832</x:v>
      </x:c>
    </x:row>
    <x:row r="1108">
      <x:c r="A1108" s="1" t="str">
        <x:v>cmst4iu9u000b04jsb3vxyexj</x:v>
      </x:c>
      <x:c r="B1108" s="1" t="str">
        <x:v>cmst4gypt000204jslfhbfuuf</x:v>
      </x:c>
      <x:c r="C1108" s="1" t="str">
        <x:v>skeleton-args-ca2019005474-f7265b45a4e3f0ae</x:v>
      </x:c>
      <x:c r="D1108" s="12" t="n">
        <x:v>46248.660092962964</x:v>
      </x:c>
      <x:c r="E1108" s="1" t="str">
        <x:v>yes</x:v>
      </x:c>
      <x:c r="F1108" s="14" t="str">
        <x:v>cmst4kl1t000h04js7g8j67zy</x:v>
      </x:c>
      <x:c r="G1108" s="14" t="n">
        <x:v>7</x:v>
      </x:c>
      <x:c r="H1108" s="14" t="str">
        <x:v>af3d8c05-af20-4f3a-af95-fc67f6813dbc</x:v>
      </x:c>
      <x:c r="I1108" s="14" t="str">
        <x:v>Match Group, LLC &amp; Ors v Muzmatch Limited &amp; Anor [2023] EWCA Civ 454</x:v>
      </x:c>
      <x:c r="J1108" s="14" t="str">
        <x:v>England and Wales Court of Appeal (Civil Division)</x:v>
      </x:c>
      <x:c r="K1108" s="14" t="n">
        <x:v>2023</x:v>
      </x:c>
      <x:c r="L1108" s="15" t="n">
        <x:v>0.72519505</x:v>
      </x:c>
      <x:c r="M1108" s="14" t="n">
        <x:v>3</x:v>
      </x:c>
      <x:c r="N1108" s="14" t="str">
        <x:v>Silhouette | Budweiser | DaimlerChrysler | Supreme Petfoods | Martin Y Paz | Silhouette International Schmied GmbH &amp; Co KG v Hartlauer Handlesgeschaft mbH | Zino Davidoff SA v A &amp; G Imports Ltd | Makro Zelfbedieningsgroothandel CV v Diesel SpA | Coty Prestige Lancaster Group GmbH v Simex Trading AG | Budejovický Budvar NP v Anheuser-Busch Inc | Martin Y Paz Diffusion SA v Depuydt | Ford Motor Co v Wheeltrims srl | DaimlerChrysler AG v Alavi | Supreme Petfoods v Henry Bell &amp; Co (Grantham) Ltd</x:v>
      </x:c>
    </x:row>
    <x:row r="1109">
      <x:c r="A1109" s="1" t="str">
        <x:v>cmst4iu9u000b04jsb3vxyexj</x:v>
      </x:c>
      <x:c r="B1109" s="1" t="str">
        <x:v>cmst4gypt000204jslfhbfuuf</x:v>
      </x:c>
      <x:c r="C1109" s="1" t="str">
        <x:v>skeleton-args-ca2019005474-f7265b45a4e3f0ae</x:v>
      </x:c>
      <x:c r="D1109" s="12" t="n">
        <x:v>46248.660092962964</x:v>
      </x:c>
      <x:c r="E1109" s="1" t="str">
        <x:v>yes</x:v>
      </x:c>
      <x:c r="F1109" s="14" t="str">
        <x:v>cmst4kl1t000h04js7g8j67zy</x:v>
      </x:c>
      <x:c r="G1109" s="14" t="n">
        <x:v>8</x:v>
      </x:c>
      <x:c r="H1109" s="14" t="str">
        <x:v>53ca6ceb-c06a-4774-86f1-8cbf9fe4917e</x:v>
      </x:c>
      <x:c r="I1109" s="14" t="str">
        <x:v>IPC Media Ltd v Media 10 Ltd [2014] EWCA Civ 1439</x:v>
      </x:c>
      <x:c r="J1109" s="14" t="str">
        <x:v>England and Wales Court of Appeal (Civil Division)</x:v>
      </x:c>
      <x:c r="K1109" s="14" t="n">
        <x:v>2014</x:v>
      </x:c>
      <x:c r="L1109" s="15" t="n">
        <x:v>0.7249942</x:v>
      </x:c>
      <x:c r="M1109" s="14" t="n">
        <x:v>4</x:v>
      </x:c>
      <x:c r="N1109" s="14" t="str">
        <x:v>Directive 2008/95/EC | Case C-39/97</x:v>
      </x:c>
    </x:row>
    <x:row r="1110">
      <x:c r="A1110" s="1" t="str">
        <x:v>cmst4iu9u000b04jsb3vxyexj</x:v>
      </x:c>
      <x:c r="B1110" s="1" t="str">
        <x:v>cmst4gypt000204jslfhbfuuf</x:v>
      </x:c>
      <x:c r="C1110" s="1" t="str">
        <x:v>skeleton-args-ca2019005474-f7265b45a4e3f0ae</x:v>
      </x:c>
      <x:c r="D1110" s="12" t="n">
        <x:v>46248.660092962964</x:v>
      </x:c>
      <x:c r="E1110" s="1" t="str">
        <x:v>yes</x:v>
      </x:c>
      <x:c r="F1110" s="14" t="str">
        <x:v>cmst4kl1t000h04js7g8j67zy</x:v>
      </x:c>
      <x:c r="G1110" s="14" t="n">
        <x:v>9</x:v>
      </x:c>
      <x:c r="H1110" s="14" t="str">
        <x:v>0b12642c-08c7-4aad-a122-705d9a620c76</x:v>
      </x:c>
      <x:c r="I1110" s="14" t="str">
        <x:v>Merck KGaA v Merck Sharp &amp; Dohme Corp &amp; Ors [2017] EWCA Civ 1834</x:v>
      </x:c>
      <x:c r="J1110" s="14" t="str">
        <x:v>England and Wales Court of Appeal (Civil Division)</x:v>
      </x:c>
      <x:c r="K1110" s="14" t="n">
        <x:v>2017</x:v>
      </x:c>
      <x:c r="L1110" s="15" t="n">
        <x:v>0.7215512</x:v>
      </x:c>
      <x:c r="M1110" s="14" t="n">
        <x:v>2</x:v>
      </x:c>
      <x:c r="N1110" s="14" t="str"/>
    </x:row>
    <x:row r="1111">
      <x:c r="A1111" s="1" t="str">
        <x:v>cmst4iu9u000b04jsb3vxyexj</x:v>
      </x:c>
      <x:c r="B1111" s="1" t="str">
        <x:v>cmst4gypt000204jslfhbfuuf</x:v>
      </x:c>
      <x:c r="C1111" s="1" t="str">
        <x:v>skeleton-args-ca2019005474-f7265b45a4e3f0ae</x:v>
      </x:c>
      <x:c r="D1111" s="12" t="n">
        <x:v>46248.660092962964</x:v>
      </x:c>
      <x:c r="E1111" s="1" t="str">
        <x:v>yes</x:v>
      </x:c>
      <x:c r="F1111" s="14" t="str">
        <x:v>cmst4kl1t000h04js7g8j67zy</x:v>
      </x:c>
      <x:c r="G1111" s="14" t="n">
        <x:v>10</x:v>
      </x:c>
      <x:c r="H1111" s="14" t="str">
        <x:v>5a5730f5-7269-488b-886a-cdc8a0d6ec8a</x:v>
      </x:c>
      <x:c r="I1111" s="14" t="str">
        <x:v>Lifestyle Equities CV &amp; Anor v Amazon UK Services Ltd &amp; Ors [2022] EWCA Civ 552 (Court of Appeal, Civil Division)</x:v>
      </x:c>
      <x:c r="J1111" s="14" t="str">
        <x:v>England and Wales Court of Appeal (Civil Division)</x:v>
      </x:c>
      <x:c r="K1111" s="14" t="n">
        <x:v>2022</x:v>
      </x:c>
      <x:c r="L1111" s="15" t="n">
        <x:v>0.7200703</x:v>
      </x:c>
      <x:c r="M1111" s="14" t="n">
        <x:v>2</x:v>
      </x:c>
      <x:c r="N1111" s="14" t="str">
        <x:v>Merck v Merck | Argos v Argos | Stichting BDO v BDO Unibank Inc | Abanka v Abanca | Walton Int’l Ltd v Verweij Fashion BV | Blomqvist v Rolex SA | Walton v Verweij</x:v>
      </x:c>
    </x:row>
    <x:row r="1112">
      <x:c r="A1112" s="1" t="str">
        <x:v>cmst4iu9u000b04jsb3vxyexj</x:v>
      </x:c>
      <x:c r="B1112" s="1" t="str">
        <x:v>cmst4gypt000204jslfhbfuuf</x:v>
      </x:c>
      <x:c r="C1112" s="1" t="str">
        <x:v>skeleton-args-ca2019005474-f7265b45a4e3f0ae</x:v>
      </x:c>
      <x:c r="D1112" s="12" t="n">
        <x:v>46248.660092962964</x:v>
      </x:c>
      <x:c r="E1112" s="1" t="str">
        <x:v>yes</x:v>
      </x:c>
      <x:c r="F1112" s="14" t="str">
        <x:v>cmst4kl1t000h04js7g8j67zy</x:v>
      </x:c>
      <x:c r="G1112" s="14" t="n">
        <x:v>11</x:v>
      </x:c>
      <x:c r="H1112" s="14" t="str">
        <x:v>6d14378c-6460-413e-aad7-aeaafc197873</x:v>
      </x:c>
      <x:c r="I1112" s="14" t="str">
        <x:v>Bayerische Motoren Werke Aktiengesellschaft v Technosport London Ltd &amp; Anor [2017] EWCA Civ 779</x:v>
      </x:c>
      <x:c r="J1112" s="14" t="str">
        <x:v>England and Wales Court of Appeal (Civil Division)</x:v>
      </x:c>
      <x:c r="K1112" s="14" t="n">
        <x:v>2017</x:v>
      </x:c>
      <x:c r="L1112" s="15" t="n">
        <x:v>0.71905327</x:v>
      </x:c>
      <x:c r="M1112" s="14" t="n">
        <x:v>3</x:v>
      </x:c>
      <x:c r="N1112" s="14" t="str"/>
    </x:row>
    <x:row r="1113">
      <x:c r="A1113" s="1" t="str">
        <x:v>cmst4iu9u000b04jsb3vxyexj</x:v>
      </x:c>
      <x:c r="B1113" s="1" t="str">
        <x:v>cmst4gypt000204jslfhbfuuf</x:v>
      </x:c>
      <x:c r="C1113" s="1" t="str">
        <x:v>skeleton-args-ca2019005474-f7265b45a4e3f0ae</x:v>
      </x:c>
      <x:c r="D1113" s="12" t="n">
        <x:v>46248.660092962964</x:v>
      </x:c>
      <x:c r="E1113" s="1" t="str">
        <x:v>yes</x:v>
      </x:c>
      <x:c r="F1113" s="14" t="str">
        <x:v>cmst4kl1t000h04js7g8j67zy</x:v>
      </x:c>
      <x:c r="G1113" s="14" t="n">
        <x:v>12</x:v>
      </x:c>
      <x:c r="H1113" s="14" t="str">
        <x:v>44076886-527c-494a-b49b-273d2a7b44ee</x:v>
      </x:c>
      <x:c r="I1113" s="14" t="str">
        <x:v>Glaxo Wellcome UK Ltd (t/a Allen &amp; Hanburys) &amp; Anor v Sandoz Ltd [2017] EWCA Civ 335</x:v>
      </x:c>
      <x:c r="J1113" s="14" t="str">
        <x:v>England and Wales Court of Appeal (Civil Division)</x:v>
      </x:c>
      <x:c r="K1113" s="14" t="n">
        <x:v>2017</x:v>
      </x:c>
      <x:c r="L1113" s="15" t="n">
        <x:v>0.7112577</x:v>
      </x:c>
      <x:c r="M1113" s="14" t="n">
        <x:v>4</x:v>
      </x:c>
      <x:c r="N1113" s="14" t="str">
        <x:v>Article 4 of the EUTMR | Case C-273/00 Sieckmann v Deutsches Patent-und Markenamt | Case C-321/03 Dyson v Registrar of Trade Marks</x:v>
      </x:c>
    </x:row>
    <x:row r="1114">
      <x:c r="A1114" s="1" t="str">
        <x:v>cmst4iu9u000b04jsb3vxyexj</x:v>
      </x:c>
      <x:c r="B1114" s="1" t="str">
        <x:v>cmst4gypt000204jslfhbfuuf</x:v>
      </x:c>
      <x:c r="C1114" s="1" t="str">
        <x:v>skeleton-args-ca2019005474-f7265b45a4e3f0ae</x:v>
      </x:c>
      <x:c r="D1114" s="12" t="n">
        <x:v>46248.660092962964</x:v>
      </x:c>
      <x:c r="E1114" s="1" t="str">
        <x:v>yes</x:v>
      </x:c>
      <x:c r="F1114" s="14" t="str">
        <x:v>cmst4kl1t000h04js7g8j67zy</x:v>
      </x:c>
      <x:c r="G1114" s="14" t="n">
        <x:v>13</x:v>
      </x:c>
      <x:c r="H1114" s="14" t="str">
        <x:v>17444891-cc20-479e-9b00-d543c68baa31</x:v>
      </x:c>
      <x:c r="I1114" s="14" t="str">
        <x:v>Lifestyle Equities CV &amp; Anor v Amazon UK Services Ltd &amp; Ors (Consequential Issues) [2022] EWCA Civ 634 (12 May 2022)</x:v>
      </x:c>
      <x:c r="J1114" s="14" t="str">
        <x:v>England and Wales Court of Appeal (Civil Division)</x:v>
      </x:c>
      <x:c r="K1114" s="14" t="n">
        <x:v>2022</x:v>
      </x:c>
      <x:c r="L1114" s="15" t="n">
        <x:v>0.70792437</x:v>
      </x:c>
      <x:c r="M1114" s="14" t="n">
        <x:v>2</x:v>
      </x:c>
      <x:c r="N1114" s="14" t="str">
        <x:v>[2022] EWCA Civ 634 | [2021] EWHC 118 (Ch)</x:v>
      </x:c>
    </x:row>
    <x:row r="1115">
      <x:c r="A1115" s="1" t="str">
        <x:v>cmst4iu9u000b04jsb3vxyexj</x:v>
      </x:c>
      <x:c r="B1115" s="1" t="str">
        <x:v>cmst4gypt000204jslfhbfuuf</x:v>
      </x:c>
      <x:c r="C1115" s="1" t="str">
        <x:v>skeleton-args-ca2019005474-f7265b45a4e3f0ae</x:v>
      </x:c>
      <x:c r="D1115" s="12" t="n">
        <x:v>46248.660092962964</x:v>
      </x:c>
      <x:c r="E1115" s="1" t="str">
        <x:v>yes</x:v>
      </x:c>
      <x:c r="F1115" s="14" t="str">
        <x:v>cmst4kl1t000h04js7g8j67zy</x:v>
      </x:c>
      <x:c r="G1115" s="14" t="n">
        <x:v>14</x:v>
      </x:c>
      <x:c r="H1115" s="14" t="str">
        <x:v>5da92288-1430-4969-a0b4-c741183ef090</x:v>
      </x:c>
      <x:c r="I1115" s="14" t="str">
        <x:v>Zuma's Choice Pet Products Ltd &amp; Anor v Azumi Ltd &amp; Ors</x:v>
      </x:c>
      <x:c r="J1115" s="14" t="str">
        <x:v>England and Wales Court of Appeal (Civil Division)</x:v>
      </x:c>
      <x:c r="K1115" s="14" t="n">
        <x:v>2017</x:v>
      </x:c>
      <x:c r="L1115" s="15" t="n">
        <x:v>0.7060229</x:v>
      </x:c>
      <x:c r="M1115" s="14" t="n">
        <x:v>3</x:v>
      </x:c>
      <x:c r="N1115" s="14" t="str"/>
    </x:row>
    <x:row r="1116">
      <x:c r="A1116" s="1" t="str">
        <x:v>cmst4iu9u000b04jsb3vxyexj</x:v>
      </x:c>
      <x:c r="B1116" s="1" t="str">
        <x:v>cmst4gypt000204jslfhbfuuf</x:v>
      </x:c>
      <x:c r="C1116" s="1" t="str">
        <x:v>skeleton-args-ca2019005474-f7265b45a4e3f0ae</x:v>
      </x:c>
      <x:c r="D1116" s="12" t="n">
        <x:v>46248.660092962964</x:v>
      </x:c>
      <x:c r="E1116" s="1" t="str">
        <x:v>yes</x:v>
      </x:c>
      <x:c r="F1116" s="14" t="str">
        <x:v>cmst4kl1t000h04js7g8j67zy</x:v>
      </x:c>
      <x:c r="G1116" s="14" t="n">
        <x:v>15</x:v>
      </x:c>
      <x:c r="H1116" s="14" t="str">
        <x:v>00b6e9f9-877b-484a-bac5-0f77f0c40d13</x:v>
      </x:c>
      <x:c r="I1116" s="14" t="str">
        <x:v>Hearst Holdings Inc &amp; Anor v AVELA Inc &amp; Ors</x:v>
      </x:c>
      <x:c r="J1116" s="14" t="str">
        <x:v>England and Wales Court of Appeal (Civil Division)</x:v>
      </x:c>
      <x:c r="K1116" s="14" t="n">
        <x:v>2014</x:v>
      </x:c>
      <x:c r="L1116" s="15" t="n">
        <x:v>0.7049401</x:v>
      </x:c>
      <x:c r="M1116" s="14" t="n">
        <x:v>2</x:v>
      </x:c>
      <x:c r="N1116" s="14" t="str"/>
    </x:row>
    <x:row r="1117">
      <x:c r="A1117" s="1" t="str">
        <x:v>cmst4iu9u000b04jsb3vxyexj</x:v>
      </x:c>
      <x:c r="B1117" s="1" t="str">
        <x:v>cmst4gypt000204jslfhbfuuf</x:v>
      </x:c>
      <x:c r="C1117" s="1" t="str">
        <x:v>skeleton-args-ca2019005474-f7265b45a4e3f0ae</x:v>
      </x:c>
      <x:c r="D1117" s="12" t="n">
        <x:v>46248.660092962964</x:v>
      </x:c>
      <x:c r="E1117" s="1" t="str">
        <x:v>yes</x:v>
      </x:c>
      <x:c r="F1117" s="14" t="str">
        <x:v>cmst4kl1t000h04js7g8j67zy</x:v>
      </x:c>
      <x:c r="G1117" s="14" t="n">
        <x:v>16</x:v>
      </x:c>
      <x:c r="H1117" s="14" t="str">
        <x:v>ec489fb6-b45c-4053-bbab-900da03d83e1</x:v>
      </x:c>
      <x:c r="I1117" s="14" t="str">
        <x:v>The London Taxi Corporation Ltd (t/a the London Taxi Company) v Frazer-Nash Research Ltd &amp; Anor</x:v>
      </x:c>
      <x:c r="J1117" s="14" t="str">
        <x:v>England and Wales Court of Appeal (Civil Division)</x:v>
      </x:c>
      <x:c r="K1117" s="14" t="n">
        <x:v>2017</x:v>
      </x:c>
      <x:c r="L1117" s="15" t="n">
        <x:v>0.7024412</x:v>
      </x:c>
      <x:c r="M1117" s="14" t="n">
        <x:v>3</x:v>
      </x:c>
      <x:c r="N1117" s="14" t="str">
        <x:v>[2017] EWCA Civ 1729 | Backaldrin Osterreich The Kornspitz Company GmbH v Pfahnl Backmittel GmbH | [2018] ETMR 7</x:v>
      </x:c>
    </x:row>
    <x:row r="1118">
      <x:c r="A1118" s="1" t="str">
        <x:v>cmst4iu9u000b04jsb3vxyexj</x:v>
      </x:c>
      <x:c r="B1118" s="1" t="str">
        <x:v>cmst4gypt000204jslfhbfuuf</x:v>
      </x:c>
      <x:c r="C1118" s="1" t="str">
        <x:v>skeleton-args-ca2019005474-f7265b45a4e3f0ae</x:v>
      </x:c>
      <x:c r="D1118" s="12" t="n">
        <x:v>46248.660092962964</x:v>
      </x:c>
      <x:c r="E1118" s="1" t="str">
        <x:v>yes</x:v>
      </x:c>
      <x:c r="F1118" s="14" t="str">
        <x:v>cmst4kl1t000h04js7g8j67zy</x:v>
      </x:c>
      <x:c r="G1118" s="14" t="n">
        <x:v>17</x:v>
      </x:c>
      <x:c r="H1118" s="14" t="str">
        <x:v>d08ad219-0f05-47df-9e24-93b1f7f11355</x:v>
      </x:c>
      <x:c r="I1118" s="14" t="str">
        <x:v>Lifestyle Equities CV &amp; Anor v Hornby Street (MCR) Ltd &amp; Ors [2022] EWCA Civ 51</x:v>
      </x:c>
      <x:c r="J1118" s="14" t="str">
        <x:v>England and Wales Court of Appeal (Civil Division)</x:v>
      </x:c>
      <x:c r="K1118" s="14" t="n">
        <x:v>2022</x:v>
      </x:c>
      <x:c r="L1118" s="15" t="n">
        <x:v>0.70162237</x:v>
      </x:c>
      <x:c r="M1118" s="14" t="n">
        <x:v>3</x:v>
      </x:c>
      <x:c r="N1118" s="14" t="str">
        <x:v>Mag Instrument v Vinsi Technology Limited (2014) | Russell Road Food &amp; Beverage LLC v Spencer (2016) | Parkasho v Singh (1968) | Dalmia Dairy Industries v National Bank of Pakistan (1978) | Macmillan Inc v Bishopsgate Investment Trust (No.3) (1996) | Raiffeisen Zentralbank v Five Star Trading LLC (2001) | Mag Instrument v Vinsi Technology Limited | Russell Road Food &amp; Beverage LLC v Spencer</x:v>
      </x:c>
    </x:row>
    <x:row r="1119">
      <x:c r="A1119" s="1" t="str">
        <x:v>cmst4iu9u000b04jsb3vxyexj</x:v>
      </x:c>
      <x:c r="B1119" s="1" t="str">
        <x:v>cmst4gypt000204jslfhbfuuf</x:v>
      </x:c>
      <x:c r="C1119" s="1" t="str">
        <x:v>skeleton-args-ca2019005474-f7265b45a4e3f0ae</x:v>
      </x:c>
      <x:c r="D1119" s="12" t="n">
        <x:v>46248.660092962964</x:v>
      </x:c>
      <x:c r="E1119" s="1" t="str">
        <x:v>yes</x:v>
      </x:c>
      <x:c r="F1119" s="14" t="str">
        <x:v>cmst4kl1t000h04js7g8j67zy</x:v>
      </x:c>
      <x:c r="G1119" s="14" t="n">
        <x:v>18</x:v>
      </x:c>
      <x:c r="H1119" s="14" t="str">
        <x:v>7ea5c28b-94ef-4d70-ad10-5a29b6c4a5ec</x:v>
      </x:c>
      <x:c r="I1119" s="14" t="str">
        <x:v>Comic Enterprises Ltd v Twentieth Century Fox Film Corporation (2016) EWCA Civ 455</x:v>
      </x:c>
      <x:c r="J1119" s="14" t="str">
        <x:v>England and Wales Court of Appeal (Civil Division)</x:v>
      </x:c>
      <x:c r="K1119" s="14" t="n">
        <x:v>2016</x:v>
      </x:c>
      <x:c r="L1119" s="15" t="n">
        <x:v>0.7006923</x:v>
      </x:c>
      <x:c r="M1119" s="14" t="n">
        <x:v>4</x:v>
      </x:c>
      <x:c r="N1119" s="14" t="str">
        <x:v>Logica | Sony Ericsson | Il Ponte | LTJ Diffusion | Sieckmann v Deutsche Patent- und Markenamt | Libertel Groep BV v Benelux-Merkenbureau | Heidelberger Bauchemie GmbH | IP Translator | Il Ponte Finanziaria SpA v OHIM | O2 Holdings Ltd v Hutchison 3G Ltd | Logica plc’s Trade Mark Applications | Digeo Broadband Inc’s Trade Mark Applications | Sony Ericsson Mobile Communications AB’s Trade Mark Applications | Gateway Inc’s Trade Mark Application | Sieckmann | Libertel</x:v>
      </x:c>
    </x:row>
    <x:row r="1120">
      <x:c r="A1120" s="1" t="str">
        <x:v>cmst4iu9u000b04jsb3vxyexj</x:v>
      </x:c>
      <x:c r="B1120" s="1" t="str">
        <x:v>cmst4gypt000204jslfhbfuuf</x:v>
      </x:c>
      <x:c r="C1120" s="1" t="str">
        <x:v>skeleton-args-ca2019005474-f7265b45a4e3f0ae</x:v>
      </x:c>
      <x:c r="D1120" s="12" t="n">
        <x:v>46248.660092962964</x:v>
      </x:c>
      <x:c r="E1120" s="1" t="str">
        <x:v>yes</x:v>
      </x:c>
      <x:c r="F1120" s="14" t="str">
        <x:v>cmst4kl1t000h04js7g8j67zy</x:v>
      </x:c>
      <x:c r="G1120" s="14" t="n">
        <x:v>19</x:v>
      </x:c>
      <x:c r="H1120" s="14" t="str">
        <x:v>1824a2e2-858b-4b54-b4fd-6580a8062660</x:v>
      </x:c>
      <x:c r="I1120" s="14" t="str">
        <x:v>Zee Entertainment Enterprises Ltd &amp; Ors v Zeebox Ltd [2014] EWCA Civ 82</x:v>
      </x:c>
      <x:c r="J1120" s="14" t="str">
        <x:v>England and Wales Court of Appeal (Civil Division)</x:v>
      </x:c>
      <x:c r="K1120" s="14" t="n">
        <x:v>2014</x:v>
      </x:c>
      <x:c r="L1120" s="15" t="n">
        <x:v>0.69770896</x:v>
      </x:c>
      <x:c r="M1120" s="14" t="n">
        <x:v>1</x:v>
      </x:c>
      <x:c r="N1120" s="14" t="str">
        <x:v>Marks and Spencer v Interflora</x:v>
      </x:c>
    </x:row>
    <x:row r="1121">
      <x:c r="A1121" s="1" t="str">
        <x:v>cmst4iu9u000b04jsb3vxyexj</x:v>
      </x:c>
      <x:c r="B1121" s="1" t="str">
        <x:v>cmst4gypt000204jslfhbfuuf</x:v>
      </x:c>
      <x:c r="C1121" s="1" t="str">
        <x:v>skeleton-args-ca2019005474-f7265b45a4e3f0ae</x:v>
      </x:c>
      <x:c r="D1121" s="12" t="n">
        <x:v>46248.660092962964</x:v>
      </x:c>
      <x:c r="E1121" s="1" t="str">
        <x:v>yes</x:v>
      </x:c>
      <x:c r="F1121" s="14" t="str">
        <x:v>cmst4kl1t000h04js7g8j67zy</x:v>
      </x:c>
      <x:c r="G1121" s="14" t="n">
        <x:v>20</x:v>
      </x:c>
      <x:c r="H1121" s="14" t="str">
        <x:v>4c6cd5ef-4ae9-48c5-a864-218b5c3212d6</x:v>
      </x:c>
      <x:c r="I1121" s="14" t="str">
        <x:v>Specsavers International Healthcare Ltd &amp; Ors v ASDA Stores Ltd &amp; Anor [2014] EWCA Civ 1294</x:v>
      </x:c>
      <x:c r="J1121" s="14" t="str">
        <x:v>England and Wales Court of Appeal (Civil Division)</x:v>
      </x:c>
      <x:c r="K1121" s="14" t="n">
        <x:v>2014</x:v>
      </x:c>
      <x:c r="L1121" s="15" t="n">
        <x:v>0.6970792</x:v>
      </x:c>
      <x:c r="M1121" s="14" t="n">
        <x:v>1</x:v>
      </x:c>
      <x:c r="N1121" s="14" t="str"/>
    </x:row>
    <x:row r="1122">
      <x:c r="A1122" s="1" t="str">
        <x:v>cmst7t5an00d204l5jrwmz7m1</x:v>
      </x:c>
      <x:c r="B1122" s="1" t="str">
        <x:v>cmst7mv8q00ct04l5l58ijl5a</x:v>
      </x:c>
      <x:c r="C1122" s="1" t="str">
        <x:v>skeleton-args-ca2022000651-1294462417e10289</x:v>
      </x:c>
      <x:c r="D1122" s="12" t="n">
        <x:v>46248.723978344904</x:v>
      </x:c>
      <x:c r="E1122" s="1" t="str">
        <x:v>yes</x:v>
      </x:c>
      <x:c r="F1122" s="14" t="str">
        <x:v>cmst7uoeu00d804l5ayb3b9q8</x:v>
      </x:c>
      <x:c r="G1122" s="14" t="n">
        <x:v>1</x:v>
      </x:c>
      <x:c r="H1122" s="14" t="str">
        <x:v>e3367bf1-963c-47c9-aea9-8dc4a1dc25bc</x:v>
      </x:c>
      <x:c r="I1122" s="14" t="str">
        <x:v>The Financial Conduct Authority v Capital Alternatives Ltd &amp; Ors</x:v>
      </x:c>
      <x:c r="J1122" s="14" t="str">
        <x:v>England and Wales Court of Appeal (Civil Division)</x:v>
      </x:c>
      <x:c r="K1122" s="14" t="n">
        <x:v>2015</x:v>
      </x:c>
      <x:c r="L1122" s="15" t="n">
        <x:v>0.6822851</x:v>
      </x:c>
      <x:c r="M1122" s="14" t="n">
        <x:v>2</x:v>
      </x:c>
      <x:c r="N1122" s="14" t="str">
        <x:v>Financial Services and Markets Act 2000, Section 235 | FCA v. Fradley</x:v>
      </x:c>
    </x:row>
    <x:row r="1123">
      <x:c r="A1123" s="1" t="str">
        <x:v>cmst7t5an00d204l5jrwmz7m1</x:v>
      </x:c>
      <x:c r="B1123" s="1" t="str">
        <x:v>cmst7mv8q00ct04l5l58ijl5a</x:v>
      </x:c>
      <x:c r="C1123" s="1" t="str">
        <x:v>skeleton-args-ca2022000651-1294462417e10289</x:v>
      </x:c>
      <x:c r="D1123" s="12" t="n">
        <x:v>46248.723978344904</x:v>
      </x:c>
      <x:c r="E1123" s="1" t="str">
        <x:v>yes</x:v>
      </x:c>
      <x:c r="F1123" s="14" t="str">
        <x:v>cmst7uoeu00d804l5ayb3b9q8</x:v>
      </x:c>
      <x:c r="G1123" s="14" t="n">
        <x:v>2</x:v>
      </x:c>
      <x:c r="H1123" s="14" t="str">
        <x:v>dbcf0178-be49-4907-95d1-ab35a968b855</x:v>
      </x:c>
      <x:c r="I1123" s="14" t="str">
        <x:v>Allianz Global Investors GmbH &amp; Ors v Barclays Bank Plc &amp; Ors (Rev1) [2022] EWCA Civ 353</x:v>
      </x:c>
      <x:c r="J1123" s="14" t="str">
        <x:v>England and Wales Court of Appeal (Civil Division)</x:v>
      </x:c>
      <x:c r="K1123" s="14" t="n">
        <x:v>2022</x:v>
      </x:c>
      <x:c r="L1123" s="15" t="n">
        <x:v>0.66948676</x:v>
      </x:c>
      <x:c r="M1123" s="14" t="n">
        <x:v>3</x:v>
      </x:c>
      <x:c r="N1123" s="14" t="str">
        <x:v>Marex | Primeo | Nectrus | Elliott v Hattens | Courage Ltd v Crehan | Primeo / Marex | Marex / Primeo / Swynson (context for reflective loss and collateral benefits)</x:v>
      </x:c>
    </x:row>
    <x:row r="1124">
      <x:c r="A1124" s="1" t="str">
        <x:v>cmst7t5an00d204l5jrwmz7m1</x:v>
      </x:c>
      <x:c r="B1124" s="1" t="str">
        <x:v>cmst7mv8q00ct04l5l58ijl5a</x:v>
      </x:c>
      <x:c r="C1124" s="1" t="str">
        <x:v>skeleton-args-ca2022000651-1294462417e10289</x:v>
      </x:c>
      <x:c r="D1124" s="12" t="n">
        <x:v>46248.723978344904</x:v>
      </x:c>
      <x:c r="E1124" s="1" t="str">
        <x:v>yes</x:v>
      </x:c>
      <x:c r="F1124" s="14" t="str">
        <x:v>cmst7uoeu00d804l5ayb3b9q8</x:v>
      </x:c>
      <x:c r="G1124" s="14" t="n">
        <x:v>3</x:v>
      </x:c>
      <x:c r="H1124" s="14" t="str">
        <x:v>cfb9db03-44c0-4604-926a-a76e01575d88</x:v>
      </x:c>
      <x:c r="I1124" s="14" t="str">
        <x:v>Floreat Investment Management Ltd v Churchill &amp; Ors [2023] EWCA Civ 440</x:v>
      </x:c>
      <x:c r="J1124" s="14" t="str">
        <x:v>England and Wales Court of Appeal (Civil Division)</x:v>
      </x:c>
      <x:c r="K1124" s="14" t="n">
        <x:v>2023</x:v>
      </x:c>
      <x:c r="L1124" s="15" t="n">
        <x:v>0.6626774</x:v>
      </x:c>
      <x:c r="M1124" s="14" t="n">
        <x:v>4</x:v>
      </x:c>
      <x:c r="N1124" s="14" t="str"/>
    </x:row>
    <x:row r="1125">
      <x:c r="A1125" s="1" t="str">
        <x:v>cmst7t5an00d204l5jrwmz7m1</x:v>
      </x:c>
      <x:c r="B1125" s="1" t="str">
        <x:v>cmst7mv8q00ct04l5l58ijl5a</x:v>
      </x:c>
      <x:c r="C1125" s="1" t="str">
        <x:v>skeleton-args-ca2022000651-1294462417e10289</x:v>
      </x:c>
      <x:c r="D1125" s="12" t="n">
        <x:v>46248.723978344904</x:v>
      </x:c>
      <x:c r="E1125" s="1" t="str">
        <x:v>yes</x:v>
      </x:c>
      <x:c r="F1125" s="14" t="str">
        <x:v>cmst7uoeu00d804l5ayb3b9q8</x:v>
      </x:c>
      <x:c r="G1125" s="14" t="n">
        <x:v>4</x:v>
      </x:c>
      <x:c r="H1125" s="14" t="str">
        <x:v>b4e5eb9c-82c1-4910-beaf-c30269939bbe</x:v>
      </x:c>
      <x:c r="I1125" s="14" t="str">
        <x:v>Asset Land Investment Plc &amp; Anor v The Financial Conduct Authority (FCA)</x:v>
      </x:c>
      <x:c r="J1125" s="14" t="str">
        <x:v>England and Wales Court of Appeal (Civil Division)</x:v>
      </x:c>
      <x:c r="K1125" s="14" t="n">
        <x:v>2014</x:v>
      </x:c>
      <x:c r="L1125" s="15" t="n">
        <x:v>0.66068864</x:v>
      </x:c>
      <x:c r="M1125" s="14" t="n">
        <x:v>4</x:v>
      </x:c>
      <x:c r="N1125" s="14" t="str"/>
    </x:row>
    <x:row r="1126">
      <x:c r="A1126" s="1" t="str">
        <x:v>cmst7t5an00d204l5jrwmz7m1</x:v>
      </x:c>
      <x:c r="B1126" s="1" t="str">
        <x:v>cmst7mv8q00ct04l5l58ijl5a</x:v>
      </x:c>
      <x:c r="C1126" s="1" t="str">
        <x:v>skeleton-args-ca2022000651-1294462417e10289</x:v>
      </x:c>
      <x:c r="D1126" s="12" t="n">
        <x:v>46248.723978344904</x:v>
      </x:c>
      <x:c r="E1126" s="1" t="str">
        <x:v>yes</x:v>
      </x:c>
      <x:c r="F1126" s="14" t="str">
        <x:v>cmst7uoeu00d804l5ayb3b9q8</x:v>
      </x:c>
      <x:c r="G1126" s="14" t="n">
        <x:v>5</x:v>
      </x:c>
      <x:c r="H1126" s="14" t="str">
        <x:v>0c0d315b-921c-4764-bbf2-256f21063551</x:v>
      </x:c>
      <x:c r="I1126" s="14" t="str">
        <x:v>The Financial Conduct Authority v Ferreira [2022] EWCA Civ 397</x:v>
      </x:c>
      <x:c r="J1126" s="14" t="str">
        <x:v>England and Wales Court of Appeal (Civil Division)</x:v>
      </x:c>
      <x:c r="K1126" s="14" t="n">
        <x:v>2022</x:v>
      </x:c>
      <x:c r="L1126" s="15" t="n">
        <x:v>0.6606476</x:v>
      </x:c>
      <x:c r="M1126" s="14" t="n">
        <x:v>3</x:v>
      </x:c>
      <x:c r="N1126" s="14" t="str">
        <x:v>Scandex | FSMA provisions | FSA 1986 drafting</x:v>
      </x:c>
    </x:row>
    <x:row r="1127">
      <x:c r="A1127" s="1" t="str">
        <x:v>cmst7t5an00d204l5jrwmz7m1</x:v>
      </x:c>
      <x:c r="B1127" s="1" t="str">
        <x:v>cmst7mv8q00ct04l5l58ijl5a</x:v>
      </x:c>
      <x:c r="C1127" s="1" t="str">
        <x:v>skeleton-args-ca2022000651-1294462417e10289</x:v>
      </x:c>
      <x:c r="D1127" s="12" t="n">
        <x:v>46248.723978344904</x:v>
      </x:c>
      <x:c r="E1127" s="1" t="str">
        <x:v>yes</x:v>
      </x:c>
      <x:c r="F1127" s="14" t="str">
        <x:v>cmst7uoeu00d804l5ayb3b9q8</x:v>
      </x:c>
      <x:c r="G1127" s="14" t="n">
        <x:v>6</x:v>
      </x:c>
      <x:c r="H1127" s="14" t="str">
        <x:v>5d67e6bf-5a94-4298-82ae-1f13fea951bc</x:v>
      </x:c>
      <x:c r="I1127" s="14" t="str">
        <x:v>Braintree District Council v Secretary of State for the Home Department &amp; Anor [2023] EWCA Civ 727 (23 June 2023)</x:v>
      </x:c>
      <x:c r="J1127" s="14" t="str">
        <x:v>England and Wales Court of Appeal (Civil Division)</x:v>
      </x:c>
      <x:c r="K1127" s="14" t="n">
        <x:v>2023</x:v>
      </x:c>
      <x:c r="L1127" s="15" t="n">
        <x:v>0.65618944</x:v>
      </x:c>
      <x:c r="M1127" s="14" t="n">
        <x:v>1</x:v>
      </x:c>
      <x:c r="N1127" s="14" t="str"/>
    </x:row>
    <x:row r="1128">
      <x:c r="A1128" s="1" t="str">
        <x:v>cmst7t5an00d204l5jrwmz7m1</x:v>
      </x:c>
      <x:c r="B1128" s="1" t="str">
        <x:v>cmst7mv8q00ct04l5l58ijl5a</x:v>
      </x:c>
      <x:c r="C1128" s="1" t="str">
        <x:v>skeleton-args-ca2022000651-1294462417e10289</x:v>
      </x:c>
      <x:c r="D1128" s="12" t="n">
        <x:v>46248.723978344904</x:v>
      </x:c>
      <x:c r="E1128" s="1" t="str">
        <x:v>yes</x:v>
      </x:c>
      <x:c r="F1128" s="14" t="str">
        <x:v>cmst7uoeu00d804l5ayb3b9q8</x:v>
      </x:c>
      <x:c r="G1128" s="14" t="n">
        <x:v>7</x:v>
      </x:c>
      <x:c r="H1128" s="14" t="str">
        <x:v>0fbfa459-0157-4476-8dbd-9d22ddafcebe</x:v>
      </x:c>
      <x:c r="I1128" s="14" t="str">
        <x:v>Ellis v HM Solicitor General [2023] EWCA Civ 585</x:v>
      </x:c>
      <x:c r="J1128" s="14" t="str">
        <x:v>England and Wales Court of Appeal (Civil Division)</x:v>
      </x:c>
      <x:c r="K1128" s="14" t="n">
        <x:v>2023</x:v>
      </x:c>
      <x:c r="L1128" s="15" t="n">
        <x:v>0.65527654</x:v>
      </x:c>
      <x:c r="M1128" s="14" t="n">
        <x:v>1</x:v>
      </x:c>
      <x:c r="N1128" s="14" t="str">
        <x:v>HM Solicitor General v Ellis [2022] EWHC 3164 KB | Spivac v Ministry of Justice</x:v>
      </x:c>
    </x:row>
    <x:row r="1129">
      <x:c r="A1129" s="1" t="str">
        <x:v>cmst7t5an00d204l5jrwmz7m1</x:v>
      </x:c>
      <x:c r="B1129" s="1" t="str">
        <x:v>cmst7mv8q00ct04l5l58ijl5a</x:v>
      </x:c>
      <x:c r="C1129" s="1" t="str">
        <x:v>skeleton-args-ca2022000651-1294462417e10289</x:v>
      </x:c>
      <x:c r="D1129" s="12" t="n">
        <x:v>46248.723978344904</x:v>
      </x:c>
      <x:c r="E1129" s="1" t="str">
        <x:v>yes</x:v>
      </x:c>
      <x:c r="F1129" s="14" t="str">
        <x:v>cmst7uoeu00d804l5ayb3b9q8</x:v>
      </x:c>
      <x:c r="G1129" s="14" t="n">
        <x:v>8</x:v>
      </x:c>
      <x:c r="H1129" s="14" t="str">
        <x:v>f267189c-abb2-4e08-9ad3-2d255e4734f9</x:v>
      </x:c>
      <x:c r="I1129" s="14" t="str">
        <x:v>Pitalia &amp; Anor v NHS England [2023] EWCA Civ 657</x:v>
      </x:c>
      <x:c r="J1129" s="14" t="str">
        <x:v>England and Wales Court of Appeal (Civil Division)</x:v>
      </x:c>
      <x:c r="K1129" s="14" t="n">
        <x:v>2023</x:v>
      </x:c>
      <x:c r="L1129" s="15" t="n">
        <x:v>0.65461004</x:v>
      </x:c>
      <x:c r="M1129" s="14" t="n">
        <x:v>1</x:v>
      </x:c>
      <x:c r="N1129" s="14" t="str">
        <x:v>Hoddinott | Caine v Advertiser and Times</x:v>
      </x:c>
    </x:row>
    <x:row r="1130">
      <x:c r="A1130" s="1" t="str">
        <x:v>cmst7t5an00d204l5jrwmz7m1</x:v>
      </x:c>
      <x:c r="B1130" s="1" t="str">
        <x:v>cmst7mv8q00ct04l5l58ijl5a</x:v>
      </x:c>
      <x:c r="C1130" s="1" t="str">
        <x:v>skeleton-args-ca2022000651-1294462417e10289</x:v>
      </x:c>
      <x:c r="D1130" s="12" t="n">
        <x:v>46248.723978344904</x:v>
      </x:c>
      <x:c r="E1130" s="1" t="str">
        <x:v>yes</x:v>
      </x:c>
      <x:c r="F1130" s="14" t="str">
        <x:v>cmst7uoeu00d804l5ayb3b9q8</x:v>
      </x:c>
      <x:c r="G1130" s="14" t="n">
        <x:v>9</x:v>
      </x:c>
      <x:c r="H1130" s="14" t="str">
        <x:v>1a244569-1234-46aa-8e7d-57a6a32b758e</x:v>
      </x:c>
      <x:c r="I1130" s="14" t="str">
        <x:v>The Financial Conduct Authority v. Avacade Ltd &amp; Ors</x:v>
      </x:c>
      <x:c r="J1130" s="14" t="str">
        <x:v>England and Wales Court of Appeal (Civil Division)</x:v>
      </x:c>
      <x:c r="K1130" s="14" t="n">
        <x:v>2021</x:v>
      </x:c>
      <x:c r="L1130" s="15" t="n">
        <x:v>0.6545852</x:v>
      </x:c>
      <x:c r="M1130" s="14" t="n">
        <x:v>3</x:v>
      </x:c>
      <x:c r="N1130" s="14" t="str">
        <x:v>Adams v. Options UK Personal Pensions LLP</x:v>
      </x:c>
    </x:row>
    <x:row r="1131">
      <x:c r="A1131" s="1" t="str">
        <x:v>cmst7t5an00d204l5jrwmz7m1</x:v>
      </x:c>
      <x:c r="B1131" s="1" t="str">
        <x:v>cmst7mv8q00ct04l5l58ijl5a</x:v>
      </x:c>
      <x:c r="C1131" s="1" t="str">
        <x:v>skeleton-args-ca2022000651-1294462417e10289</x:v>
      </x:c>
      <x:c r="D1131" s="12" t="n">
        <x:v>46248.723978344904</x:v>
      </x:c>
      <x:c r="E1131" s="1" t="str">
        <x:v>yes</x:v>
      </x:c>
      <x:c r="F1131" s="14" t="str">
        <x:v>cmst7uoeu00d804l5ayb3b9q8</x:v>
      </x:c>
      <x:c r="G1131" s="14" t="n">
        <x:v>10</x:v>
      </x:c>
      <x:c r="H1131" s="14" t="str">
        <x:v>8facda75-653c-4200-b172-498d6a3d7ae6</x:v>
      </x:c>
      <x:c r="I1131" s="14" t="str">
        <x:v>Lakatamia Shipping Company Ltd &amp; Ors v Su &amp; Ors [2021] EWCA Civ 1187</x:v>
      </x:c>
      <x:c r="J1131" s="14" t="str">
        <x:v>England and Wales Court of Appeal (Civil Division)</x:v>
      </x:c>
      <x:c r="K1131" s="14" t="n">
        <x:v>2021</x:v>
      </x:c>
      <x:c r="L1131" s="15" t="n">
        <x:v>0.65450263</x:v>
      </x:c>
      <x:c r="M1131" s="14" t="n">
        <x:v>1</x:v>
      </x:c>
      <x:c r="N1131" s="14" t="str"/>
    </x:row>
    <x:row r="1132">
      <x:c r="A1132" s="1" t="str">
        <x:v>cmst7t5an00d204l5jrwmz7m1</x:v>
      </x:c>
      <x:c r="B1132" s="1" t="str">
        <x:v>cmst7mv8q00ct04l5l58ijl5a</x:v>
      </x:c>
      <x:c r="C1132" s="1" t="str">
        <x:v>skeleton-args-ca2022000651-1294462417e10289</x:v>
      </x:c>
      <x:c r="D1132" s="12" t="n">
        <x:v>46248.723978344904</x:v>
      </x:c>
      <x:c r="E1132" s="1" t="str">
        <x:v>yes</x:v>
      </x:c>
      <x:c r="F1132" s="14" t="str">
        <x:v>cmst7uoeu00d804l5ayb3b9q8</x:v>
      </x:c>
      <x:c r="G1132" s="14" t="n">
        <x:v>11</x:v>
      </x:c>
      <x:c r="H1132" s="14" t="str">
        <x:v>54bbd778-02b8-472d-8914-8d6b4032100e</x:v>
      </x:c>
      <x:c r="I1132" s="14" t="str">
        <x:v>Malik v Henley Homes Plc [2023] EWCA Civ 726</x:v>
      </x:c>
      <x:c r="J1132" s="14" t="str">
        <x:v>England and Wales Court of Appeal (Civil Division)</x:v>
      </x:c>
      <x:c r="K1132" s="14" t="n">
        <x:v>2023</x:v>
      </x:c>
      <x:c r="L1132" s="15" t="n">
        <x:v>0.65361255</x:v>
      </x:c>
      <x:c r="M1132" s="14" t="n">
        <x:v>1</x:v>
      </x:c>
      <x:c r="N1132" s="14" t="str"/>
    </x:row>
    <x:row r="1133">
      <x:c r="A1133" s="1" t="str">
        <x:v>cmst7t5an00d204l5jrwmz7m1</x:v>
      </x:c>
      <x:c r="B1133" s="1" t="str">
        <x:v>cmst7mv8q00ct04l5l58ijl5a</x:v>
      </x:c>
      <x:c r="C1133" s="1" t="str">
        <x:v>skeleton-args-ca2022000651-1294462417e10289</x:v>
      </x:c>
      <x:c r="D1133" s="12" t="n">
        <x:v>46248.723978344904</x:v>
      </x:c>
      <x:c r="E1133" s="1" t="str">
        <x:v>yes</x:v>
      </x:c>
      <x:c r="F1133" s="14" t="str">
        <x:v>cmst7uoeu00d804l5ayb3b9q8</x:v>
      </x:c>
      <x:c r="G1133" s="14" t="n">
        <x:v>12</x:v>
      </x:c>
      <x:c r="H1133" s="14" t="str">
        <x:v>0e8b6187-21fe-40cb-933a-7a6c8e0ba3f5</x:v>
      </x:c>
      <x:c r="I1133" s="14" t="str">
        <x:v>Barclay-Watt &amp; Ors v Alpha Panareti Public Ltd &amp; Anor [2022] EWCA Civ 1169</x:v>
      </x:c>
      <x:c r="J1133" s="14" t="str">
        <x:v>England and Wales Court of Appeal (Civil Division)</x:v>
      </x:c>
      <x:c r="K1133" s="14" t="n">
        <x:v>2022</x:v>
      </x:c>
      <x:c r="L1133" s="15" t="n">
        <x:v>0.65337664</x:v>
      </x:c>
      <x:c r="M1133" s="14" t="n">
        <x:v>1</x:v>
      </x:c>
      <x:c r="N1133" s="14" t="str"/>
    </x:row>
    <x:row r="1134">
      <x:c r="A1134" s="1" t="str">
        <x:v>cmst7t5an00d204l5jrwmz7m1</x:v>
      </x:c>
      <x:c r="B1134" s="1" t="str">
        <x:v>cmst7mv8q00ct04l5l58ijl5a</x:v>
      </x:c>
      <x:c r="C1134" s="1" t="str">
        <x:v>skeleton-args-ca2022000651-1294462417e10289</x:v>
      </x:c>
      <x:c r="D1134" s="12" t="n">
        <x:v>46248.723978344904</x:v>
      </x:c>
      <x:c r="E1134" s="1" t="str">
        <x:v>yes</x:v>
      </x:c>
      <x:c r="F1134" s="14" t="str">
        <x:v>cmst7uoeu00d804l5ayb3b9q8</x:v>
      </x:c>
      <x:c r="G1134" s="14" t="n">
        <x:v>13</x:v>
      </x:c>
      <x:c r="H1134" s="14" t="str">
        <x:v>18af7f48-3069-4315-8b8e-72156c2f8d15</x:v>
      </x:c>
      <x:c r="I1134" s="14" t="str">
        <x:v>Boydell v NZP Ltd &amp; Anor [2023] EWCA Civ 373</x:v>
      </x:c>
      <x:c r="J1134" s="14" t="str">
        <x:v>England and Wales Court of Appeal (Civil Division)</x:v>
      </x:c>
      <x:c r="K1134" s="14" t="n">
        <x:v>2023</x:v>
      </x:c>
      <x:c r="L1134" s="15" t="n">
        <x:v>0.65254533</x:v>
      </x:c>
      <x:c r="M1134" s="14" t="n">
        <x:v>1</x:v>
      </x:c>
      <x:c r="N1134" s="14" t="str"/>
    </x:row>
    <x:row r="1135">
      <x:c r="A1135" s="1" t="str">
        <x:v>cmst7t5an00d204l5jrwmz7m1</x:v>
      </x:c>
      <x:c r="B1135" s="1" t="str">
        <x:v>cmst7mv8q00ct04l5l58ijl5a</x:v>
      </x:c>
      <x:c r="C1135" s="1" t="str">
        <x:v>skeleton-args-ca2022000651-1294462417e10289</x:v>
      </x:c>
      <x:c r="D1135" s="12" t="n">
        <x:v>46248.723978344904</x:v>
      </x:c>
      <x:c r="E1135" s="1" t="str">
        <x:v>yes</x:v>
      </x:c>
      <x:c r="F1135" s="14" t="str">
        <x:v>cmst7uoeu00d804l5ayb3b9q8</x:v>
      </x:c>
      <x:c r="G1135" s="14" t="n">
        <x:v>14</x:v>
      </x:c>
      <x:c r="H1135" s="14" t="str">
        <x:v>01d73959-4b54-4b29-8624-940f8e46afdd</x:v>
      </x:c>
      <x:c r="I1135" s="14" t="str">
        <x:v>Goknur Gida Maddeleri Enerji Imalet Ithalat Ihracat Ticaret Ve Sanayi AS v Aytacli</x:v>
      </x:c>
      <x:c r="J1135" s="14" t="str">
        <x:v>England and Wales Court of Appeal (Civil Division)</x:v>
      </x:c>
      <x:c r="K1135" s="14" t="n">
        <x:v>2021</x:v>
      </x:c>
      <x:c r="L1135" s="15" t="n">
        <x:v>0.6524389</x:v>
      </x:c>
      <x:c r="M1135" s="14" t="n">
        <x:v>1</x:v>
      </x:c>
      <x:c r="N1135" s="14" t="str"/>
    </x:row>
    <x:row r="1136">
      <x:c r="A1136" s="1" t="str">
        <x:v>cmst7t5an00d204l5jrwmz7m1</x:v>
      </x:c>
      <x:c r="B1136" s="1" t="str">
        <x:v>cmst7mv8q00ct04l5l58ijl5a</x:v>
      </x:c>
      <x:c r="C1136" s="1" t="str">
        <x:v>skeleton-args-ca2022000651-1294462417e10289</x:v>
      </x:c>
      <x:c r="D1136" s="12" t="n">
        <x:v>46248.723978344904</x:v>
      </x:c>
      <x:c r="E1136" s="1" t="str">
        <x:v>yes</x:v>
      </x:c>
      <x:c r="F1136" s="14" t="str">
        <x:v>cmst7uoeu00d804l5ayb3b9q8</x:v>
      </x:c>
      <x:c r="G1136" s="14" t="n">
        <x:v>15</x:v>
      </x:c>
      <x:c r="H1136" s="14" t="str">
        <x:v>83821fb0-ba9c-43e6-bb47-76a85327b471</x:v>
      </x:c>
      <x:c r="I1136" s="14" t="str">
        <x:v>CGL Group Ltd &amp; Ors v The Royal Bank of Scotland Plc &amp; National Westminster Bank Plc &amp; Ors</x:v>
      </x:c>
      <x:c r="J1136" s="14" t="str">
        <x:v>England and Wales Court of Appeal (Civil Division)</x:v>
      </x:c>
      <x:c r="K1136" s="14" t="n">
        <x:v>2017</x:v>
      </x:c>
      <x:c r="L1136" s="15" t="n">
        <x:v>0.6515475</x:v>
      </x:c>
      <x:c r="M1136" s="14" t="n">
        <x:v>2</x:v>
      </x:c>
      <x:c r="N1136" s="14" t="str">
        <x:v>Financial Services and Markets Act 2000 | Customs and Excise Commissioners v Barclays | Green &amp; Rowley v RBS</x:v>
      </x:c>
    </x:row>
    <x:row r="1137">
      <x:c r="A1137" s="1" t="str">
        <x:v>cmst7t5an00d204l5jrwmz7m1</x:v>
      </x:c>
      <x:c r="B1137" s="1" t="str">
        <x:v>cmst7mv8q00ct04l5l58ijl5a</x:v>
      </x:c>
      <x:c r="C1137" s="1" t="str">
        <x:v>skeleton-args-ca2022000651-1294462417e10289</x:v>
      </x:c>
      <x:c r="D1137" s="12" t="n">
        <x:v>46248.723978344904</x:v>
      </x:c>
      <x:c r="E1137" s="1" t="str">
        <x:v>yes</x:v>
      </x:c>
      <x:c r="F1137" s="14" t="str">
        <x:v>cmst7uoeu00d804l5ayb3b9q8</x:v>
      </x:c>
      <x:c r="G1137" s="14" t="n">
        <x:v>16</x:v>
      </x:c>
      <x:c r="H1137" s="14" t="str">
        <x:v>00167e1d-845c-4a1d-b17c-1c91c10b2c37</x:v>
      </x:c>
      <x:c r="I1137" s="14" t="str">
        <x:v>Bank of New York Mellon (International) Limited v Cine-UK Limited [2022] EWCA Civ 1021</x:v>
      </x:c>
      <x:c r="J1137" s="14" t="str">
        <x:v>England and Wales Court of Appeal (Civil Division)</x:v>
      </x:c>
      <x:c r="K1137" s="14" t="n">
        <x:v>2022</x:v>
      </x:c>
      <x:c r="L1137" s="15" t="n">
        <x:v>0.6514621</x:v>
      </x:c>
      <x:c r="M1137" s="14" t="n">
        <x:v>1</x:v>
      </x:c>
      <x:c r="N1137" s="14" t="str"/>
    </x:row>
    <x:row r="1138">
      <x:c r="A1138" s="1" t="str">
        <x:v>cmst7t5an00d204l5jrwmz7m1</x:v>
      </x:c>
      <x:c r="B1138" s="1" t="str">
        <x:v>cmst7mv8q00ct04l5l58ijl5a</x:v>
      </x:c>
      <x:c r="C1138" s="1" t="str">
        <x:v>skeleton-args-ca2022000651-1294462417e10289</x:v>
      </x:c>
      <x:c r="D1138" s="12" t="n">
        <x:v>46248.723978344904</x:v>
      </x:c>
      <x:c r="E1138" s="1" t="str">
        <x:v>yes</x:v>
      </x:c>
      <x:c r="F1138" s="14" t="str">
        <x:v>cmst7uoeu00d804l5ayb3b9q8</x:v>
      </x:c>
      <x:c r="G1138" s="14" t="n">
        <x:v>17</x:v>
      </x:c>
      <x:c r="H1138" s="14" t="str">
        <x:v>565f5e91-7c54-4337-a905-cf672da54e73</x:v>
      </x:c>
      <x:c r="I1138" s="14" t="str">
        <x:v>Ciftci v London Borough of Haringey</x:v>
      </x:c>
      <x:c r="J1138" s="14" t="str">
        <x:v>England and Wales Court of Appeal (Civil Division)</x:v>
      </x:c>
      <x:c r="K1138" s="14" t="n">
        <x:v>2021</x:v>
      </x:c>
      <x:c r="L1138" s="15" t="n">
        <x:v>0.6513727</x:v>
      </x:c>
      <x:c r="M1138" s="14" t="n">
        <x:v>1</x:v>
      </x:c>
      <x:c r="N1138" s="14" t="str"/>
    </x:row>
    <x:row r="1139">
      <x:c r="A1139" s="1" t="str">
        <x:v>cmst7t5an00d204l5jrwmz7m1</x:v>
      </x:c>
      <x:c r="B1139" s="1" t="str">
        <x:v>cmst7mv8q00ct04l5l58ijl5a</x:v>
      </x:c>
      <x:c r="C1139" s="1" t="str">
        <x:v>skeleton-args-ca2022000651-1294462417e10289</x:v>
      </x:c>
      <x:c r="D1139" s="12" t="n">
        <x:v>46248.723978344904</x:v>
      </x:c>
      <x:c r="E1139" s="1" t="str">
        <x:v>yes</x:v>
      </x:c>
      <x:c r="F1139" s="14" t="str">
        <x:v>cmst7uoeu00d804l5ayb3b9q8</x:v>
      </x:c>
      <x:c r="G1139" s="14" t="n">
        <x:v>18</x:v>
      </x:c>
      <x:c r="H1139" s="14" t="str">
        <x:v>31447129-c494-44ca-9329-afa62c74d705</x:v>
      </x:c>
      <x:c r="I1139" s="14" t="str">
        <x:v>Deutsche Bank AG v Sebastian Holdings Inc &amp; Anor [2023] EWCA Civ 191</x:v>
      </x:c>
      <x:c r="J1139" s="14" t="str">
        <x:v>England and Wales Court of Appeal (Civil Division)</x:v>
      </x:c>
      <x:c r="K1139" s="14" t="n">
        <x:v>2023</x:v>
      </x:c>
      <x:c r="L1139" s="15" t="n">
        <x:v>0.65075636</x:v>
      </x:c>
      <x:c r="M1139" s="14" t="n">
        <x:v>1</x:v>
      </x:c>
      <x:c r="N1139" s="14" t="str">
        <x:v>Masri | Nambiar | Arlidge on Contempt</x:v>
      </x:c>
    </x:row>
    <x:row r="1140">
      <x:c r="A1140" s="1" t="str">
        <x:v>cmst7t5an00d204l5jrwmz7m1</x:v>
      </x:c>
      <x:c r="B1140" s="1" t="str">
        <x:v>cmst7mv8q00ct04l5l58ijl5a</x:v>
      </x:c>
      <x:c r="C1140" s="1" t="str">
        <x:v>skeleton-args-ca2022000651-1294462417e10289</x:v>
      </x:c>
      <x:c r="D1140" s="12" t="n">
        <x:v>46248.723978344904</x:v>
      </x:c>
      <x:c r="E1140" s="1" t="str">
        <x:v>yes</x:v>
      </x:c>
      <x:c r="F1140" s="14" t="str">
        <x:v>cmst7uoeu00d804l5ayb3b9q8</x:v>
      </x:c>
      <x:c r="G1140" s="14" t="n">
        <x:v>19</x:v>
      </x:c>
      <x:c r="H1140" s="14" t="str">
        <x:v>9b104a0b-0f68-42d9-a5c4-e7111bd55fdf</x:v>
      </x:c>
      <x:c r="I1140" s="14" t="str">
        <x:v>Verition Advisors (UK Partners) LLP v Jump Trading International Limited [2023] EWCA Civ 701</x:v>
      </x:c>
      <x:c r="J1140" s="14" t="str">
        <x:v>England and Wales Court of Appeal (Civil Division)</x:v>
      </x:c>
      <x:c r="K1140" s="14" t="n">
        <x:v>2023</x:v>
      </x:c>
      <x:c r="L1140" s="15" t="n">
        <x:v>0.6506623</x:v>
      </x:c>
      <x:c r="M1140" s="14" t="n">
        <x:v>1</x:v>
      </x:c>
      <x:c r="N1140" s="14" t="str"/>
    </x:row>
    <x:row r="1141">
      <x:c r="A1141" s="1" t="str">
        <x:v>cmst7t5an00d204l5jrwmz7m1</x:v>
      </x:c>
      <x:c r="B1141" s="1" t="str">
        <x:v>cmst7mv8q00ct04l5l58ijl5a</x:v>
      </x:c>
      <x:c r="C1141" s="1" t="str">
        <x:v>skeleton-args-ca2022000651-1294462417e10289</x:v>
      </x:c>
      <x:c r="D1141" s="12" t="n">
        <x:v>46248.723978344904</x:v>
      </x:c>
      <x:c r="E1141" s="1" t="str">
        <x:v>yes</x:v>
      </x:c>
      <x:c r="F1141" s="14" t="str">
        <x:v>cmst7uoeu00d804l5ayb3b9q8</x:v>
      </x:c>
      <x:c r="G1141" s="14" t="n">
        <x:v>20</x:v>
      </x:c>
      <x:c r="H1141" s="14" t="str">
        <x:v>f0022e90-d6b2-4255-aa84-750a85644748</x:v>
      </x:c>
      <x:c r="I1141" s="14" t="str">
        <x:v>Wood v Commercial First Business Ltd &amp; Ors</x:v>
      </x:c>
      <x:c r="J1141" s="14" t="str">
        <x:v>England and Wales Court of Appeal (Civil Division)</x:v>
      </x:c>
      <x:c r="K1141" s="14" t="n">
        <x:v>2021</x:v>
      </x:c>
      <x:c r="L1141" s="15" t="n">
        <x:v>0.6505543</x:v>
      </x:c>
      <x:c r="M1141" s="14" t="n">
        <x:v>1</x:v>
      </x:c>
      <x:c r="N1141" s="14" t="str"/>
    </x:row>
    <x:row r="1142">
      <x:c r="A1142" s="1" t="str">
        <x:v>cmst7yrwi000b04i90ncdwp78</x:v>
      </x:c>
      <x:c r="B1142" s="1" t="str">
        <x:v>cmst7xl0r000204i9bv14oc5k</x:v>
      </x:c>
      <x:c r="C1142" s="1" t="str">
        <x:v>skeleton-args-ca2022004921-cb64a3102cee5019</x:v>
      </x:c>
      <x:c r="D1142" s="12" t="n">
        <x:v>46248.72701747685</x:v>
      </x:c>
      <x:c r="E1142" s="1" t="str">
        <x:v>yes</x:v>
      </x:c>
      <x:c r="F1142" s="14" t="str">
        <x:v>cmst80ckg000h04i9rasplurj</x:v>
      </x:c>
      <x:c r="G1142" s="14" t="n">
        <x:v>1</x:v>
      </x:c>
      <x:c r="H1142" s="14" t="str">
        <x:v>a206a973-506b-4cfb-a0fa-79b98d0ca831</x:v>
      </x:c>
      <x:c r="I1142" s="14" t="str">
        <x:v>Google Inc v Vidal-Hall &amp; Ors [2015] EWCA Civ 311</x:v>
      </x:c>
      <x:c r="J1142" s="14" t="str">
        <x:v>England and Wales Court of Appeal (Civil Division)</x:v>
      </x:c>
      <x:c r="K1142" s="14" t="n">
        <x:v>2015</x:v>
      </x:c>
      <x:c r="L1142" s="15" t="n">
        <x:v>0.6989215</x:v>
      </x:c>
      <x:c r="M1142" s="14" t="n">
        <x:v>6</x:v>
      </x:c>
      <x:c r="N1142" s="14" t="str">
        <x:v>Douglas v Hello! (No 3) [2006] QB 125 | Data Protection Act (DPA) 1998</x:v>
      </x:c>
    </x:row>
    <x:row r="1143">
      <x:c r="A1143" s="1" t="str">
        <x:v>cmst7yrwi000b04i90ncdwp78</x:v>
      </x:c>
      <x:c r="B1143" s="1" t="str">
        <x:v>cmst7xl0r000204i9bv14oc5k</x:v>
      </x:c>
      <x:c r="C1143" s="1" t="str">
        <x:v>skeleton-args-ca2022004921-cb64a3102cee5019</x:v>
      </x:c>
      <x:c r="D1143" s="12" t="n">
        <x:v>46248.72701747685</x:v>
      </x:c>
      <x:c r="E1143" s="1" t="str">
        <x:v>yes</x:v>
      </x:c>
      <x:c r="F1143" s="14" t="str">
        <x:v>cmst80ckg000h04i9rasplurj</x:v>
      </x:c>
      <x:c r="G1143" s="14" t="n">
        <x:v>2</x:v>
      </x:c>
      <x:c r="H1143" s="14" t="str">
        <x:v>ed93b9d5-e1f3-4dd6-921b-548b30e24f80</x:v>
      </x:c>
      <x:c r="I1143" s="14" t="str">
        <x:v>Jalla &amp; Anor v Shell International Trading And Shipping Co Ltd &amp; Anor (Appeal (2): Representative Action)</x:v>
      </x:c>
      <x:c r="J1143" s="14" t="str">
        <x:v>England and Wales Court of Appeal (Civil Division)</x:v>
      </x:c>
      <x:c r="K1143" s="14" t="n">
        <x:v>2021</x:v>
      </x:c>
      <x:c r="L1143" s="15" t="n">
        <x:v>0.68460065</x:v>
      </x:c>
      <x:c r="M1143" s="14" t="n">
        <x:v>1</x:v>
      </x:c>
      <x:c r="N1143" s="14" t="str">
        <x:v>The Duke of Bedford v Ellis [1901] AC 1 | Prudential Assurance Co Ltd v Newman Industries [1981] 1 Ch 229</x:v>
      </x:c>
    </x:row>
    <x:row r="1144">
      <x:c r="A1144" s="1" t="str">
        <x:v>cmst7yrwi000b04i90ncdwp78</x:v>
      </x:c>
      <x:c r="B1144" s="1" t="str">
        <x:v>cmst7xl0r000204i9bv14oc5k</x:v>
      </x:c>
      <x:c r="C1144" s="1" t="str">
        <x:v>skeleton-args-ca2022004921-cb64a3102cee5019</x:v>
      </x:c>
      <x:c r="D1144" s="12" t="n">
        <x:v>46248.72701747685</x:v>
      </x:c>
      <x:c r="E1144" s="1" t="str">
        <x:v>yes</x:v>
      </x:c>
      <x:c r="F1144" s="14" t="str">
        <x:v>cmst80ckg000h04i9rasplurj</x:v>
      </x:c>
      <x:c r="G1144" s="14" t="n">
        <x:v>3</x:v>
      </x:c>
      <x:c r="H1144" s="14" t="str">
        <x:v>65645a3e-7e49-4a88-ba46-adb686908b02</x:v>
      </x:c>
      <x:c r="I1144" s="14" t="str">
        <x:v>Grace &amp; Anor v Black Horse Ltd [2014] EWCA Civ 1413</x:v>
      </x:c>
      <x:c r="J1144" s="14" t="str">
        <x:v>England and Wales Court of Appeal (Civil Division)</x:v>
      </x:c>
      <x:c r="K1144" s="14" t="n">
        <x:v>2014</x:v>
      </x:c>
      <x:c r="L1144" s="15" t="n">
        <x:v>0.6793288</x:v>
      </x:c>
      <x:c r="M1144" s="14" t="n">
        <x:v>2</x:v>
      </x:c>
      <x:c r="N1144" s="14" t="str"/>
    </x:row>
    <x:row r="1145">
      <x:c r="A1145" s="1" t="str">
        <x:v>cmst7yrwi000b04i90ncdwp78</x:v>
      </x:c>
      <x:c r="B1145" s="1" t="str">
        <x:v>cmst7xl0r000204i9bv14oc5k</x:v>
      </x:c>
      <x:c r="C1145" s="1" t="str">
        <x:v>skeleton-args-ca2022004921-cb64a3102cee5019</x:v>
      </x:c>
      <x:c r="D1145" s="12" t="n">
        <x:v>46248.72701747685</x:v>
      </x:c>
      <x:c r="E1145" s="1" t="str">
        <x:v>yes</x:v>
      </x:c>
      <x:c r="F1145" s="14" t="str">
        <x:v>cmst80ckg000h04i9rasplurj</x:v>
      </x:c>
      <x:c r="G1145" s="14" t="n">
        <x:v>4</x:v>
      </x:c>
      <x:c r="H1145" s="14" t="str">
        <x:v>c5862648-7e3b-469f-82bc-3214c17b5096</x:v>
      </x:c>
      <x:c r="I1145" s="14" t="str">
        <x:v>Strain v Chief Constable of Greater Manchester Police [2023] EWCA Civ 240 (Court of Appeal, Civil Division)</x:v>
      </x:c>
      <x:c r="J1145" s="14" t="str">
        <x:v>England and Wales Court of Appeal (Civil Division)</x:v>
      </x:c>
      <x:c r="K1145" s="14" t="n">
        <x:v>2023</x:v>
      </x:c>
      <x:c r="L1145" s="15" t="n">
        <x:v>0.66694057</x:v>
      </x:c>
      <x:c r="M1145" s="14" t="n">
        <x:v>3</x:v>
      </x:c>
      <x:c r="N1145" s="14" t="str">
        <x:v>GDPR | DPA 2018 | [2023] EWCA Civ 240</x:v>
      </x:c>
    </x:row>
    <x:row r="1146">
      <x:c r="A1146" s="1" t="str">
        <x:v>cmst7yrwi000b04i90ncdwp78</x:v>
      </x:c>
      <x:c r="B1146" s="1" t="str">
        <x:v>cmst7xl0r000204i9bv14oc5k</x:v>
      </x:c>
      <x:c r="C1146" s="1" t="str">
        <x:v>skeleton-args-ca2022004921-cb64a3102cee5019</x:v>
      </x:c>
      <x:c r="D1146" s="12" t="n">
        <x:v>46248.72701747685</x:v>
      </x:c>
      <x:c r="E1146" s="1" t="str">
        <x:v>yes</x:v>
      </x:c>
      <x:c r="F1146" s="14" t="str">
        <x:v>cmst80ckg000h04i9rasplurj</x:v>
      </x:c>
      <x:c r="G1146" s="14" t="n">
        <x:v>5</x:v>
      </x:c>
      <x:c r="H1146" s="14" t="str">
        <x:v>e1e338c3-b6dc-4e51-a39b-422579694f4f</x:v>
      </x:c>
      <x:c r="I1146" s="14" t="str">
        <x:v>The Open Rights Group &amp; Anor v The Secretary of State for the Home Department &amp; Anor</x:v>
      </x:c>
      <x:c r="J1146" s="14" t="str">
        <x:v>England and Wales Court of Appeal (Civil Division)</x:v>
      </x:c>
      <x:c r="K1146" s="14" t="n">
        <x:v>2021</x:v>
      </x:c>
      <x:c r="L1146" s="15" t="n">
        <x:v>0.6605692</x:v>
      </x:c>
      <x:c r="M1146" s="14" t="n">
        <x:v>2</x:v>
      </x:c>
      <x:c r="N1146" s="14" t="str">
        <x:v>Benkharbouche v Embassy of Sudan [2015] EWCA Civ 33 | Vidal-Hall v Google Inc [2015] EWCA Civ 311</x:v>
      </x:c>
    </x:row>
    <x:row r="1147">
      <x:c r="A1147" s="1" t="str">
        <x:v>cmst7yrwi000b04i90ncdwp78</x:v>
      </x:c>
      <x:c r="B1147" s="1" t="str">
        <x:v>cmst7xl0r000204i9bv14oc5k</x:v>
      </x:c>
      <x:c r="C1147" s="1" t="str">
        <x:v>skeleton-args-ca2022004921-cb64a3102cee5019</x:v>
      </x:c>
      <x:c r="D1147" s="12" t="n">
        <x:v>46248.72701747685</x:v>
      </x:c>
      <x:c r="E1147" s="1" t="str">
        <x:v>yes</x:v>
      </x:c>
      <x:c r="F1147" s="14" t="str">
        <x:v>cmst80ckg000h04i9rasplurj</x:v>
      </x:c>
      <x:c r="G1147" s="14" t="n">
        <x:v>6</x:v>
      </x:c>
      <x:c r="H1147" s="14" t="str">
        <x:v>8353388e-8422-4bcc-9dc0-16f9ba582ec3</x:v>
      </x:c>
      <x:c r="I1147" s="14" t="str">
        <x:v>BT Group plc v Le Paturel [2022] EWCA Civ 593 (BT Group PLC v Patourel)</x:v>
      </x:c>
      <x:c r="J1147" s="14" t="str">
        <x:v>England and Wales Court of Appeal (Civil Division)</x:v>
      </x:c>
      <x:c r="K1147" s="14" t="n">
        <x:v>2022</x:v>
      </x:c>
      <x:c r="L1147" s="15" t="n">
        <x:v>0.6526917</x:v>
      </x:c>
      <x:c r="M1147" s="14" t="n">
        <x:v>1</x:v>
      </x:c>
      <x:c r="N1147" s="14" t="str">
        <x:v>Merricks [2020] UKSC 51 | Lloyd v Google Inc [2021] UKSC 50 | Courage v Crehan [2001] ECR I-6297 | Various Claimants v Wm Morrisons Supermarkets plc [2019] QB 772 | Consumers’ Association v JJB Sports plc [2009] CAT 2</x:v>
      </x:c>
    </x:row>
    <x:row r="1148">
      <x:c r="A1148" s="1" t="str">
        <x:v>cmst7yrwi000b04i90ncdwp78</x:v>
      </x:c>
      <x:c r="B1148" s="1" t="str">
        <x:v>cmst7xl0r000204i9bv14oc5k</x:v>
      </x:c>
      <x:c r="C1148" s="1" t="str">
        <x:v>skeleton-args-ca2022004921-cb64a3102cee5019</x:v>
      </x:c>
      <x:c r="D1148" s="12" t="n">
        <x:v>46248.72701747685</x:v>
      </x:c>
      <x:c r="E1148" s="1" t="str">
        <x:v>yes</x:v>
      </x:c>
      <x:c r="F1148" s="14" t="str">
        <x:v>cmst80ckg000h04i9rasplurj</x:v>
      </x:c>
      <x:c r="G1148" s="14" t="n">
        <x:v>7</x:v>
      </x:c>
      <x:c r="H1148" s="14" t="str">
        <x:v>5625f8b5-22c9-48ba-895c-2aa4f9467a9d</x:v>
      </x:c>
      <x:c r="I1148" s="14" t="str">
        <x:v>Open Rights Group &amp; Anor v Secretary of State for the Home Department &amp; Anor</x:v>
      </x:c>
      <x:c r="J1148" s="14" t="str">
        <x:v>England and Wales Court of Appeal (Civil Division)</x:v>
      </x:c>
      <x:c r="K1148" s="14" t="n">
        <x:v>2021</x:v>
      </x:c>
      <x:c r="L1148" s="15" t="n">
        <x:v>0.65155077</x:v>
      </x:c>
      <x:c r="M1148" s="14" t="n">
        <x:v>4</x:v>
      </x:c>
      <x:c r="N1148" s="14" t="str">
        <x:v>[2021] EWCA Civ 800 | [2021] 1 WLR 3611 | La Quadrature | Gewestelijke | B v Latvia</x:v>
      </x:c>
    </x:row>
    <x:row r="1149">
      <x:c r="A1149" s="1" t="str">
        <x:v>cmst7yrwi000b04i90ncdwp78</x:v>
      </x:c>
      <x:c r="B1149" s="1" t="str">
        <x:v>cmst7xl0r000204i9bv14oc5k</x:v>
      </x:c>
      <x:c r="C1149" s="1" t="str">
        <x:v>skeleton-args-ca2022004921-cb64a3102cee5019</x:v>
      </x:c>
      <x:c r="D1149" s="12" t="n">
        <x:v>46248.72701747685</x:v>
      </x:c>
      <x:c r="E1149" s="1" t="str">
        <x:v>yes</x:v>
      </x:c>
      <x:c r="F1149" s="14" t="str">
        <x:v>cmst80ckg000h04i9rasplurj</x:v>
      </x:c>
      <x:c r="G1149" s="14" t="n">
        <x:v>8</x:v>
      </x:c>
      <x:c r="H1149" s="14" t="str">
        <x:v>fd26b18c-791c-454c-b969-9e2452a97a2d</x:v>
      </x:c>
      <x:c r="I1149" s="14" t="str">
        <x:v>Edem v The Information Commissioner &amp; Anor</x:v>
      </x:c>
      <x:c r="J1149" s="14" t="str">
        <x:v>England and Wales Court of Appeal (Civil Division)</x:v>
      </x:c>
      <x:c r="K1149" s="14" t="n">
        <x:v>2014</x:v>
      </x:c>
      <x:c r="L1149" s="15" t="n">
        <x:v>0.6480757</x:v>
      </x:c>
      <x:c r="M1149" s="14" t="n">
        <x:v>1</x:v>
      </x:c>
      <x:c r="N1149" s="14" t="str">
        <x:v>Durant v FSA</x:v>
      </x:c>
    </x:row>
    <x:row r="1150">
      <x:c r="A1150" s="1" t="str">
        <x:v>cmst7yrwi000b04i90ncdwp78</x:v>
      </x:c>
      <x:c r="B1150" s="1" t="str">
        <x:v>cmst7xl0r000204i9bv14oc5k</x:v>
      </x:c>
      <x:c r="C1150" s="1" t="str">
        <x:v>skeleton-args-ca2022004921-cb64a3102cee5019</x:v>
      </x:c>
      <x:c r="D1150" s="12" t="n">
        <x:v>46248.72701747685</x:v>
      </x:c>
      <x:c r="E1150" s="1" t="str">
        <x:v>yes</x:v>
      </x:c>
      <x:c r="F1150" s="14" t="str">
        <x:v>cmst80ckg000h04i9rasplurj</x:v>
      </x:c>
      <x:c r="G1150" s="14" t="n">
        <x:v>9</x:v>
      </x:c>
      <x:c r="H1150" s="14" t="str">
        <x:v>167786cc-e950-4a09-8195-ecf83b86f69f</x:v>
      </x:c>
      <x:c r="I1150" s="14" t="str">
        <x:v>Gemalto Holding BV v Infineon Technologies AG &amp; Ors [2022] EWCA Civ 782</x:v>
      </x:c>
      <x:c r="J1150" s="14" t="str">
        <x:v>England and Wales Court of Appeal (Civil Division)</x:v>
      </x:c>
      <x:c r="K1150" s="14" t="n">
        <x:v>2022</x:v>
      </x:c>
      <x:c r="L1150" s="15" t="n">
        <x:v>0.64509827</x:v>
      </x:c>
      <x:c r="M1150" s="14" t="n">
        <x:v>1</x:v>
      </x:c>
      <x:c r="N1150" s="14" t="str">
        <x:v>Arcadia Group Brands v Visa [2015] EWCA Civ 883 | DSG Retail v Mastercard [2020] EWCA Civ 671 | Granville Technology Group v Infineon Technologies [2020] EWHC 415 (Comm) | OT Computers v Infineon Technologies [2021] EWCA Civ 501 | Franked Investment Group Litigation v HMRC [2020] UKSC 47 | Halford v. Brookes [1991] 1 WLR 428</x:v>
      </x:c>
    </x:row>
    <x:row r="1151">
      <x:c r="A1151" s="1" t="str">
        <x:v>cmst7yrwi000b04i90ncdwp78</x:v>
      </x:c>
      <x:c r="B1151" s="1" t="str">
        <x:v>cmst7xl0r000204i9bv14oc5k</x:v>
      </x:c>
      <x:c r="C1151" s="1" t="str">
        <x:v>skeleton-args-ca2022004921-cb64a3102cee5019</x:v>
      </x:c>
      <x:c r="D1151" s="12" t="n">
        <x:v>46248.72701747685</x:v>
      </x:c>
      <x:c r="E1151" s="1" t="str">
        <x:v>yes</x:v>
      </x:c>
      <x:c r="F1151" s="14" t="str">
        <x:v>cmst80ckg000h04i9rasplurj</x:v>
      </x:c>
      <x:c r="G1151" s="14" t="n">
        <x:v>10</x:v>
      </x:c>
      <x:c r="H1151" s="14" t="str">
        <x:v>14f24903-de2d-4d46-8ac6-aab9f39d9cee</x:v>
      </x:c>
      <x:c r="I1151" s="14" t="str">
        <x:v>PJS v News Group Newspapers Ltd [2016] EWCA Civ 393 (Court of Appeal, Civil Division) – Interim injunction on publication set aside in light of public-domain information and HRA section 12 balancing</x:v>
      </x:c>
      <x:c r="J1151" s="14" t="str">
        <x:v>England and Wales Court of Appeal (Civil Division)</x:v>
      </x:c>
      <x:c r="K1151" s="14" t="n">
        <x:v>2016</x:v>
      </x:c>
      <x:c r="L1151" s="15" t="n">
        <x:v>0.6450367</x:v>
      </x:c>
      <x:c r="M1151" s="14" t="n">
        <x:v>1</x:v>
      </x:c>
      <x:c r="N1151" s="14" t="str">
        <x:v>Google Inc v Vidal-Hall [2015] EWCA Civ 311 | Mosley v NGN [2008] EWHC 687 (QB) | CTB v News Group [2011] EWHC 1326 (QB) | K v News Group [2011] EWCA Civ 439 | Rocknroll v NGN [2013] EWHC 24 (Ch) | McKennitt v Ash [2005] EWHC 3003 (QB) | Cream Holdings v Banerjee [2004] UKHL 44 | Attorney-General v Guardian Newspapers (No.2) [1990] 1 AC 109 | Editions Plon v France (2006) 42 EHRR 36 | Douglas v Hello! Ltd [2006] QB 125</x:v>
      </x:c>
    </x:row>
    <x:row r="1152">
      <x:c r="A1152" s="1" t="str">
        <x:v>cmst7yrwi000b04i90ncdwp78</x:v>
      </x:c>
      <x:c r="B1152" s="1" t="str">
        <x:v>cmst7xl0r000204i9bv14oc5k</x:v>
      </x:c>
      <x:c r="C1152" s="1" t="str">
        <x:v>skeleton-args-ca2022004921-cb64a3102cee5019</x:v>
      </x:c>
      <x:c r="D1152" s="12" t="n">
        <x:v>46248.72701747685</x:v>
      </x:c>
      <x:c r="E1152" s="1" t="str">
        <x:v>yes</x:v>
      </x:c>
      <x:c r="F1152" s="14" t="str">
        <x:v>cmst80ckg000h04i9rasplurj</x:v>
      </x:c>
      <x:c r="G1152" s="14" t="n">
        <x:v>11</x:v>
      </x:c>
      <x:c r="H1152" s="14" t="str">
        <x:v>d8942524-7e14-46b2-953c-a1eca28ae6cb</x:v>
      </x:c>
      <x:c r="I1152" s="14" t="str">
        <x:v>Soriano v Forensic News LLC &amp; Ors (Rev1) [2021] EWCA Civ 1952</x:v>
      </x:c>
      <x:c r="J1152" s="14" t="str">
        <x:v>England and Wales Court of Appeal (Civil Division)</x:v>
      </x:c>
      <x:c r="K1152" s="14" t="n">
        <x:v>2021</x:v>
      </x:c>
      <x:c r="L1152" s="15" t="n">
        <x:v>0.64457357</x:v>
      </x:c>
      <x:c r="M1152" s="14" t="n">
        <x:v>2</x:v>
      </x:c>
      <x:c r="N1152" s="14" t="str">
        <x:v>Chase v News Group Newspapers Ltd</x:v>
      </x:c>
    </x:row>
    <x:row r="1153">
      <x:c r="A1153" s="1" t="str">
        <x:v>cmst7yrwi000b04i90ncdwp78</x:v>
      </x:c>
      <x:c r="B1153" s="1" t="str">
        <x:v>cmst7xl0r000204i9bv14oc5k</x:v>
      </x:c>
      <x:c r="C1153" s="1" t="str">
        <x:v>skeleton-args-ca2022004921-cb64a3102cee5019</x:v>
      </x:c>
      <x:c r="D1153" s="12" t="n">
        <x:v>46248.72701747685</x:v>
      </x:c>
      <x:c r="E1153" s="1" t="str">
        <x:v>yes</x:v>
      </x:c>
      <x:c r="F1153" s="14" t="str">
        <x:v>cmst80ckg000h04i9rasplurj</x:v>
      </x:c>
      <x:c r="G1153" s="14" t="n">
        <x:v>12</x:v>
      </x:c>
      <x:c r="H1153" s="14" t="str">
        <x:v>1f4ab223-a277-4d8a-ab79-35f9f867a4ad</x:v>
      </x:c>
      <x:c r="I1153" s="14" t="str">
        <x:v>Representative Claimants v MGN Ltd [2015] EWCA Civ 1291</x:v>
      </x:c>
      <x:c r="J1153" s="14" t="str">
        <x:v>England and Wales Court of Appeal (Civil Division)</x:v>
      </x:c>
      <x:c r="K1153" s="14" t="n">
        <x:v>2015</x:v>
      </x:c>
      <x:c r="L1153" s="15" t="n">
        <x:v>0.64409274</x:v>
      </x:c>
      <x:c r="M1153" s="14" t="n">
        <x:v>3</x:v>
      </x:c>
      <x:c r="N1153" s="14" t="str">
        <x:v>R (Lumba) v Secretary of State for the Home Department | Vidal-Hall v Google Inc | Campbell v MGN Ltd</x:v>
      </x:c>
    </x:row>
    <x:row r="1154">
      <x:c r="A1154" s="1" t="str">
        <x:v>cmst7yrwi000b04i90ncdwp78</x:v>
      </x:c>
      <x:c r="B1154" s="1" t="str">
        <x:v>cmst7xl0r000204i9bv14oc5k</x:v>
      </x:c>
      <x:c r="C1154" s="1" t="str">
        <x:v>skeleton-args-ca2022004921-cb64a3102cee5019</x:v>
      </x:c>
      <x:c r="D1154" s="12" t="n">
        <x:v>46248.72701747685</x:v>
      </x:c>
      <x:c r="E1154" s="1" t="str">
        <x:v>yes</x:v>
      </x:c>
      <x:c r="F1154" s="14" t="str">
        <x:v>cmst80ckg000h04i9rasplurj</x:v>
      </x:c>
      <x:c r="G1154" s="14" t="n">
        <x:v>13</x:v>
      </x:c>
      <x:c r="H1154" s="14" t="str">
        <x:v>2367c914-824f-473c-acfb-247f204c96b9</x:v>
      </x:c>
      <x:c r="I1154" s="14" t="str">
        <x:v>Moge v London Borough of Ealing [2023] EWCA Civ 464</x:v>
      </x:c>
      <x:c r="J1154" s="14" t="str">
        <x:v>England and Wales Court of Appeal (Civil Division)</x:v>
      </x:c>
      <x:c r="K1154" s="14" t="n">
        <x:v>2023</x:v>
      </x:c>
      <x:c r="L1154" s="15" t="n">
        <x:v>0.6425106</x:v>
      </x:c>
      <x:c r="M1154" s="14" t="n">
        <x:v>1</x:v>
      </x:c>
      <x:c r="N1154" s="14" t="str">
        <x:v>Nzolameso | Abdikadir</x:v>
      </x:c>
    </x:row>
    <x:row r="1155">
      <x:c r="A1155" s="1" t="str">
        <x:v>cmst7yrwi000b04i90ncdwp78</x:v>
      </x:c>
      <x:c r="B1155" s="1" t="str">
        <x:v>cmst7xl0r000204i9bv14oc5k</x:v>
      </x:c>
      <x:c r="C1155" s="1" t="str">
        <x:v>skeleton-args-ca2022004921-cb64a3102cee5019</x:v>
      </x:c>
      <x:c r="D1155" s="12" t="n">
        <x:v>46248.72701747685</x:v>
      </x:c>
      <x:c r="E1155" s="1" t="str">
        <x:v>yes</x:v>
      </x:c>
      <x:c r="F1155" s="14" t="str">
        <x:v>cmst80ckg000h04i9rasplurj</x:v>
      </x:c>
      <x:c r="G1155" s="14" t="n">
        <x:v>14</x:v>
      </x:c>
      <x:c r="H1155" s="14" t="str">
        <x:v>d1c34b40-ca07-41ac-be04-f52393d978ca</x:v>
      </x:c>
      <x:c r="I1155" s="14" t="str">
        <x:v>Phones 4U Ltd v EE Ltd &amp; Ors [2021] EWCA Civ 116</x:v>
      </x:c>
      <x:c r="J1155" s="14" t="str">
        <x:v>England and Wales Court of Appeal (Civil Division)</x:v>
      </x:c>
      <x:c r="K1155" s="14" t="n">
        <x:v>2021</x:v>
      </x:c>
      <x:c r="L1155" s="15" t="n">
        <x:v>0.64225876</x:v>
      </x:c>
      <x:c r="M1155" s="14" t="n">
        <x:v>2</x:v>
      </x:c>
      <x:c r="N1155" s="14" t="str"/>
    </x:row>
    <x:row r="1156">
      <x:c r="A1156" s="1" t="str">
        <x:v>cmst7yrwi000b04i90ncdwp78</x:v>
      </x:c>
      <x:c r="B1156" s="1" t="str">
        <x:v>cmst7xl0r000204i9bv14oc5k</x:v>
      </x:c>
      <x:c r="C1156" s="1" t="str">
        <x:v>skeleton-args-ca2022004921-cb64a3102cee5019</x:v>
      </x:c>
      <x:c r="D1156" s="12" t="n">
        <x:v>46248.72701747685</x:v>
      </x:c>
      <x:c r="E1156" s="1" t="str">
        <x:v>yes</x:v>
      </x:c>
      <x:c r="F1156" s="14" t="str">
        <x:v>cmst80ckg000h04i9rasplurj</x:v>
      </x:c>
      <x:c r="G1156" s="14" t="n">
        <x:v>15</x:v>
      </x:c>
      <x:c r="H1156" s="14" t="str">
        <x:v>487b93ce-f29b-46a3-a396-ca4acc6406e7</x:v>
      </x:c>
      <x:c r="I1156" s="14" t="str">
        <x:v>TuneIn Inc v Warner Music UK Ltd &amp; Anor [2021] EWCA Civ 441</x:v>
      </x:c>
      <x:c r="J1156" s="14" t="str">
        <x:v>England and Wales Court of Appeal (Civil Division)</x:v>
      </x:c>
      <x:c r="K1156" s="14" t="n">
        <x:v>2021</x:v>
      </x:c>
      <x:c r="L1156" s="15" t="n">
        <x:v>0.63950443</x:v>
      </x:c>
      <x:c r="M1156" s="14" t="n">
        <x:v>1</x:v>
      </x:c>
      <x:c r="N1156" s="14" t="str">
        <x:v>Svensson | GS Media | Renckhoff</x:v>
      </x:c>
    </x:row>
    <x:row r="1157">
      <x:c r="A1157" s="1" t="str">
        <x:v>cmst7yrwi000b04i90ncdwp78</x:v>
      </x:c>
      <x:c r="B1157" s="1" t="str">
        <x:v>cmst7xl0r000204i9bv14oc5k</x:v>
      </x:c>
      <x:c r="C1157" s="1" t="str">
        <x:v>skeleton-args-ca2022004921-cb64a3102cee5019</x:v>
      </x:c>
      <x:c r="D1157" s="12" t="n">
        <x:v>46248.72701747685</x:v>
      </x:c>
      <x:c r="E1157" s="1" t="str">
        <x:v>yes</x:v>
      </x:c>
      <x:c r="F1157" s="14" t="str">
        <x:v>cmst80ckg000h04i9rasplurj</x:v>
      </x:c>
      <x:c r="G1157" s="14" t="n">
        <x:v>16</x:v>
      </x:c>
      <x:c r="H1157" s="14" t="str">
        <x:v>39bc2d3f-5d5b-4aca-af67-3fed3701d32e</x:v>
      </x:c>
      <x:c r="I1157" s="14" t="str">
        <x:v>Cartier International AG &amp; Ors v British Sky Broadcasting Ltd &amp; Ors [2016] EWCA Civ 658</x:v>
      </x:c>
      <x:c r="J1157" s="14" t="str">
        <x:v>England and Wales Court of Appeal (Civil Division)</x:v>
      </x:c>
      <x:c r="K1157" s="14" t="n">
        <x:v>2016</x:v>
      </x:c>
      <x:c r="L1157" s="15" t="n">
        <x:v>0.63788867</x:v>
      </x:c>
      <x:c r="M1157" s="14" t="n">
        <x:v>1</x:v>
      </x:c>
      <x:c r="N1157" s="14" t="str">
        <x:v>L’Oréal v eBay | UPC Telekabel Wien v Constantin Film | Tele2 Telecommunication | Scarlet Extended SABAM | Siskina | South Carolina Insurance Co v Assurantie Maatschappij | Norwich Pharmacal Co v Customs and Excise Commissioners | Fourie v Le Roux | Samsung Electronics (UK) Ltd v Apple Inc | Bankers Trust Co v Shapira | Broadmoor | Mercedes-Benz Leiduck | Upmann v Elkan | Totalise plc v Motley Fool | 20C Fox v BT (No 2) | Totalise</x:v>
      </x:c>
    </x:row>
    <x:row r="1158">
      <x:c r="A1158" s="1" t="str">
        <x:v>cmst7yrwi000b04i90ncdwp78</x:v>
      </x:c>
      <x:c r="B1158" s="1" t="str">
        <x:v>cmst7xl0r000204i9bv14oc5k</x:v>
      </x:c>
      <x:c r="C1158" s="1" t="str">
        <x:v>skeleton-args-ca2022004921-cb64a3102cee5019</x:v>
      </x:c>
      <x:c r="D1158" s="12" t="n">
        <x:v>46248.72701747685</x:v>
      </x:c>
      <x:c r="E1158" s="1" t="str">
        <x:v>yes</x:v>
      </x:c>
      <x:c r="F1158" s="14" t="str">
        <x:v>cmst80ckg000h04i9rasplurj</x:v>
      </x:c>
      <x:c r="G1158" s="14" t="n">
        <x:v>17</x:v>
      </x:c>
      <x:c r="H1158" s="14" t="str">
        <x:v>45c67ef4-ed1d-405a-aea7-9863023f3850</x:v>
      </x:c>
      <x:c r="I1158" s="14" t="str">
        <x:v>Ittihadieh v 5-11 Cheyne Gardens RTM Company Ltd &amp; Ors; Deer v University of Oxford</x:v>
      </x:c>
      <x:c r="J1158" s="14" t="str">
        <x:v>England and Wales Court of Appeal (Civil Division)</x:v>
      </x:c>
      <x:c r="K1158" s="14" t="n">
        <x:v>2017</x:v>
      </x:c>
      <x:c r="L1158" s="15" t="n">
        <x:v>0.6291981</x:v>
      </x:c>
      <x:c r="M1158" s="14" t="n">
        <x:v>3</x:v>
      </x:c>
      <x:c r="N1158" s="14" t="str">
        <x:v>Ittihadieh v 5-11 Cheyne Gardens RTM Company Ltd | Dawson-Damer v Taylor Wessing | Durant v Financial Services Authority</x:v>
      </x:c>
    </x:row>
    <x:row r="1159">
      <x:c r="A1159" s="1" t="str">
        <x:v>cmst7yrwi000b04i90ncdwp78</x:v>
      </x:c>
      <x:c r="B1159" s="1" t="str">
        <x:v>cmst7xl0r000204i9bv14oc5k</x:v>
      </x:c>
      <x:c r="C1159" s="1" t="str">
        <x:v>skeleton-args-ca2022004921-cb64a3102cee5019</x:v>
      </x:c>
      <x:c r="D1159" s="12" t="n">
        <x:v>46248.72701747685</x:v>
      </x:c>
      <x:c r="E1159" s="1" t="str">
        <x:v>yes</x:v>
      </x:c>
      <x:c r="F1159" s="14" t="str">
        <x:v>cmst80ckg000h04i9rasplurj</x:v>
      </x:c>
      <x:c r="G1159" s="14" t="n">
        <x:v>18</x:v>
      </x:c>
      <x:c r="H1159" s="14" t="str">
        <x:v>3a179ef6-662e-4069-97c7-e5daae179b0b</x:v>
      </x:c>
      <x:c r="I1159" s="14" t="str">
        <x:v>YZ v Chief Constable of South Wales Police [2022] EWCA Civ 683</x:v>
      </x:c>
      <x:c r="J1159" s="14" t="str">
        <x:v>England and Wales Court of Appeal (Civil Division)</x:v>
      </x:c>
      <x:c r="K1159" s="14" t="n">
        <x:v>2022</x:v>
      </x:c>
      <x:c r="L1159" s="15" t="n">
        <x:v>0.6270788</x:v>
      </x:c>
      <x:c r="M1159" s="14" t="n">
        <x:v>1</x:v>
      </x:c>
      <x:c r="N1159" s="14" t="str">
        <x:v>[2022] EWCA Civ 683</x:v>
      </x:c>
    </x:row>
    <x:row r="1160">
      <x:c r="A1160" s="1" t="str">
        <x:v>cmst7yrwi000b04i90ncdwp78</x:v>
      </x:c>
      <x:c r="B1160" s="1" t="str">
        <x:v>cmst7xl0r000204i9bv14oc5k</x:v>
      </x:c>
      <x:c r="C1160" s="1" t="str">
        <x:v>skeleton-args-ca2022004921-cb64a3102cee5019</x:v>
      </x:c>
      <x:c r="D1160" s="12" t="n">
        <x:v>46248.72701747685</x:v>
      </x:c>
      <x:c r="E1160" s="1" t="str">
        <x:v>yes</x:v>
      </x:c>
      <x:c r="F1160" s="14" t="str">
        <x:v>cmst80ckg000h04i9rasplurj</x:v>
      </x:c>
      <x:c r="G1160" s="14" t="n">
        <x:v>19</x:v>
      </x:c>
      <x:c r="H1160" s="14" t="str">
        <x:v>0f98ab6b-b6cc-4bf2-977c-80ea02105f27</x:v>
      </x:c>
      <x:c r="I1160" s="14" t="str">
        <x:v>Secretary of State for Business, Innovation And Skills v PLT Anti-Marketing Ltd [2015] EWCA Civ 76</x:v>
      </x:c>
      <x:c r="J1160" s="14" t="str">
        <x:v>England and Wales Court of Appeal (Civil Division)</x:v>
      </x:c>
      <x:c r="K1160" s="14" t="n">
        <x:v>2015</x:v>
      </x:c>
      <x:c r="L1160" s="15" t="n">
        <x:v>0.6248714</x:v>
      </x:c>
      <x:c r="M1160" s="14" t="n">
        <x:v>2</x:v>
      </x:c>
      <x:c r="N1160" s="14" t="str"/>
    </x:row>
    <x:row r="1161">
      <x:c r="A1161" s="1" t="str">
        <x:v>cmst7yrwi000b04i90ncdwp78</x:v>
      </x:c>
      <x:c r="B1161" s="1" t="str">
        <x:v>cmst7xl0r000204i9bv14oc5k</x:v>
      </x:c>
      <x:c r="C1161" s="1" t="str">
        <x:v>skeleton-args-ca2022004921-cb64a3102cee5019</x:v>
      </x:c>
      <x:c r="D1161" s="12" t="n">
        <x:v>46248.72701747685</x:v>
      </x:c>
      <x:c r="E1161" s="1" t="str">
        <x:v>yes</x:v>
      </x:c>
      <x:c r="F1161" s="14" t="str">
        <x:v>cmst80ckg000h04i9rasplurj</x:v>
      </x:c>
      <x:c r="G1161" s="14" t="n">
        <x:v>20</x:v>
      </x:c>
      <x:c r="H1161" s="14" t="str">
        <x:v>c335446a-45bc-4e2b-b9df-2012c7f47750</x:v>
      </x:c>
      <x:c r="I1161" s="14" t="str">
        <x:v>Durrant v Chief Constable of Avon &amp; Somerset Constabulary</x:v>
      </x:c>
      <x:c r="J1161" s="14" t="str">
        <x:v>England and Wales Court of Appeal (Civil Division)</x:v>
      </x:c>
      <x:c r="K1161" s="14" t="n">
        <x:v>2017</x:v>
      </x:c>
      <x:c r="L1161" s="15" t="n">
        <x:v>0.6246202</x:v>
      </x:c>
      <x:c r="M1161" s="14" t="n">
        <x:v>1</x:v>
      </x:c>
      <x:c r="N1161" s="14" t="str"/>
    </x:row>
  </x:sheetData>
  <x:pageMargins left="0.7" right="0.7" top="0.75" bottom="0.75" header="0.3" footer="0.3"/>
  <x:tableParts count="1">
    <x:tablePart xmlns:r="http://schemas.openxmlformats.org/officeDocument/2006/relationships" r:id="R79ed1f40929b42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32.220001220703125" hidden="0" customWidth="1"/>
    <x:col min="3" max="3" width="8.890000343322754" hidden="0" customWidth="1"/>
    <x:col min="4" max="4" width="35.560001373291016" hidden="0" customWidth="1"/>
    <x:col min="5" max="5" width="16.110000610351562" hidden="0" customWidth="1"/>
    <x:col min="6" max="6" width="21.110000610351562" hidden="0" customWidth="1"/>
    <x:col min="7" max="7" width="16.110000610351562" hidden="0" customWidth="1"/>
    <x:col min="8" max="8" width="12.220000267028809" hidden="0" customWidth="1"/>
    <x:col min="9" max="9" width="20" hidden="0" customWidth="1"/>
    <x:col min="10" max="10" width="43.33000183105469" hidden="0" customWidth="1"/>
  </x:cols>
  <x:sheetData>
    <x:row r="1">
      <x:c r="A1" s="5" t="str">
        <x:v>draft_id</x:v>
      </x:c>
      <x:c r="B1" s="5" t="str">
        <x:v>case_doc_id</x:v>
      </x:c>
      <x:c r="C1" s="5" t="str">
        <x:v>input_type</x:v>
      </x:c>
      <x:c r="D1" s="5" t="str">
        <x:v>case_title</x:v>
      </x:c>
      <x:c r="E1" s="5" t="str">
        <x:v>generated_at</x:v>
      </x:c>
      <x:c r="F1" s="5" t="str">
        <x:v>candidate_search_id</x:v>
      </x:c>
      <x:c r="G1" s="5" t="str">
        <x:v>searched_at</x:v>
      </x:c>
      <x:c r="H1" s="5" t="str">
        <x:v>gap_seconds</x:v>
      </x:c>
      <x:c r="I1" s="5" t="str">
        <x:v>status</x:v>
      </x:c>
      <x:c r="J1" s="5" t="str">
        <x:v>treatment</x:v>
      </x:c>
    </x:row>
    <x:row r="2">
      <x:c r="A2" s="1" t="str">
        <x:v>cmm920v38000b04ib8ug7hazg</x:v>
      </x:c>
      <x:c r="B2" s="1" t="str">
        <x:v>skeleton-args-ca2018006090-aa90566cb5f6b5de</x:v>
      </x:c>
      <x:c r="C2" s="1" t="str">
        <x:v>synthetic</x:v>
      </x:c>
      <x:c r="D2" s="14" t="str">
        <x:v>Blackwood v Blackwood</x:v>
      </x:c>
      <x:c r="E2" s="16" t="n">
        <x:v>46083.44926630787</x:v>
      </x:c>
      <x:c r="F2" s="16" t="str">
        <x:v>cmm0cqleo000z04i321gtuvf1</x:v>
      </x:c>
      <x:c r="G2" s="16" t="n">
        <x:v>46077.35900015046</x:v>
      </x:c>
      <x:c r="H2" s="14" t="n">
        <x:v>526198.996</x:v>
      </x:c>
      <x:c r="I2" s="14" t="str">
        <x:v>ambiguous_gap_gt_10m</x:v>
      </x:c>
      <x:c r="J2" s="14" t="str">
        <x:v>Excluded from primary retrieval metric pending manual review</x:v>
      </x:c>
    </x:row>
    <x:row r="3">
      <x:c r="A3" s="1" t="str">
        <x:v>cmm927sxp000304jp8fpwf2ew</x:v>
      </x:c>
      <x:c r="B3" s="1" t="str">
        <x:v>skeleton-args-ca2018006090-aa90566cb5f6b5de</x:v>
      </x:c>
      <x:c r="C3" s="1" t="str">
        <x:v>synthetic</x:v>
      </x:c>
      <x:c r="D3" s="14" t="str">
        <x:v>Blackwood v Blackwood</x:v>
      </x:c>
      <x:c r="E3" s="16" t="n">
        <x:v>46083.45301398148</x:v>
      </x:c>
      <x:c r="F3" s="16" t="str">
        <x:v>cmm0cqleo000z04i321gtuvf1</x:v>
      </x:c>
      <x:c r="G3" s="16" t="n">
        <x:v>46077.35900015046</x:v>
      </x:c>
      <x:c r="H3" s="14" t="n">
        <x:v>526522.795</x:v>
      </x:c>
      <x:c r="I3" s="14" t="str">
        <x:v>ambiguous_gap_gt_10m</x:v>
      </x:c>
      <x:c r="J3" s="14" t="str">
        <x:v>Excluded from primary retrieval metric pending manual review</x:v>
      </x:c>
    </x:row>
    <x:row r="4">
      <x:c r="A4" s="1" t="str">
        <x:v>cmmdkjytd000304jl24cdxqvp</x:v>
      </x:c>
      <x:c r="B4" s="1" t="str">
        <x:v>skeleton-args-ca2023004634-299a4a730fe1f43a</x:v>
      </x:c>
      <x:c r="C4" s="1" t="str">
        <x:v>synthetic</x:v>
      </x:c>
      <x:c r="D4" s="14" t="str">
        <x:v>Metropolitan Property Holdings Ltd v Artisan Coffee Co Ltd</x:v>
      </x:c>
      <x:c r="E4" s="16" t="n">
        <x:v>46086.60886219907</x:v>
      </x:c>
      <x:c r="F4" s="16" t="str">
        <x:v>cmmdjmbqo000b04js13axm03c</x:v>
      </x:c>
      <x:c r="G4" s="16" t="n">
        <x:v>46086.59069491898</x:v>
      </x:c>
      <x:c r="H4" s="14" t="n">
        <x:v>1569.653</x:v>
      </x:c>
      <x:c r="I4" s="14" t="str">
        <x:v>ambiguous_gap_gt_10m</x:v>
      </x:c>
      <x:c r="J4" s="14" t="str">
        <x:v>Excluded from primary retrieval metric pending manual review</x:v>
      </x:c>
    </x:row>
    <x:row r="5">
      <x:c r="A5" s="1" t="str">
        <x:v>cmmsiews2000304lgc3ooyg67</x:v>
      </x:c>
      <x:c r="B5" s="1" t="str">
        <x:v>karpasitis-v-hertfordshire-county-council</x:v>
      </x:c>
      <x:c r="C5" s="1" t="str">
        <x:v>real</x:v>
      </x:c>
      <x:c r="D5" s="14" t="str">
        <x:v>Karpasitis v Hertfordshire County Council</x:v>
      </x:c>
      <x:c r="E5" s="16" t="n">
        <x:v>46097.06485164352</x:v>
      </x:c>
      <x:c r="F5" s="16" t="str">
        <x:v>cmmshur54000b04jsgyo6bz98</x:v>
      </x:c>
      <x:c r="G5" s="16" t="n">
        <x:v>46097.053965983796</x:v>
      </x:c>
      <x:c r="H5" s="14" t="n">
        <x:v>940.521</x:v>
      </x:c>
      <x:c r="I5" s="14" t="str">
        <x:v>ambiguous_gap_gt_10m</x:v>
      </x:c>
      <x:c r="J5" s="14" t="str">
        <x:v>Excluded from primary retrieval metric pending manual review</x:v>
      </x:c>
    </x:row>
    <x:row r="6">
      <x:c r="A6" s="1" t="str">
        <x:v>cmomnx9nj000304jkyxxg2b0k</x:v>
      </x:c>
      <x:c r="B6" s="1" t="str">
        <x:v>greenfields--iow--limited-v-isle-of-wight-council---westridge-village-limited</x:v>
      </x:c>
      <x:c r="C6" s="1" t="str">
        <x:v>real</x:v>
      </x:c>
      <x:c r="D6" s="14" t="str">
        <x:v>Greenfields (IOW) Limited v Isle of Wight Council &amp; Westridge Village Limited</x:v>
      </x:c>
      <x:c r="E6" s="16" t="n">
        <x:v>46143.36140475694</x:v>
      </x:c>
      <x:c r="F6" s="16" t="str">
        <x:v>cmmxtwenv000304jr7vxcmpae</x:v>
      </x:c>
      <x:c r="G6" s="16" t="n">
        <x:v>46100.78733847222</x:v>
      </x:c>
      <x:c r="H6" s="14" t="n">
        <x:v>3678399.327</x:v>
      </x:c>
      <x:c r="I6" s="14" t="str">
        <x:v>ambiguous_gap_gt_10m</x:v>
      </x:c>
      <x:c r="J6" s="14" t="str">
        <x:v>Excluded from primary retrieval metric pending manual review</x:v>
      </x:c>
    </x:row>
  </x:sheetData>
  <x:pageMargins left="0.7" right="0.7" top="0.75" bottom="0.75" header="0.3" footer="0.3"/>
  <x:tableParts count="1">
    <x:tablePart xmlns:r="http://schemas.openxmlformats.org/officeDocument/2006/relationships" r:id="R64f146401c7e48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94.44000244140625" hidden="0" customWidth="1"/>
  </x:cols>
  <x:sheetData>
    <x:row r="1">
      <x:c r="A1" s="5" t="str">
        <x:v>Field</x:v>
      </x:c>
      <x:c r="B1" s="5" t="str">
        <x:v>Method</x:v>
      </x:c>
    </x:row>
    <x:row r="2" ht="33" customHeight="1">
      <x:c r="A2" s="14" t="str">
        <x:v>Judgment-search link</x:v>
      </x:c>
      <x:c r="B2" s="14" t="str">
        <x:v>Nearest semantic_searches row for the same skeleton_arguments_id with searched_at at or before generated_at.</x:v>
      </x:c>
    </x:row>
    <x:row r="3" ht="33" customHeight="1">
      <x:c r="A3" s="14" t="str">
        <x:v>Confirmed link</x:v>
      </x:c>
      <x:c r="B3" s="14" t="str">
        <x:v>Search-to-judgment gap of 10 minutes or less.</x:v>
      </x:c>
    </x:row>
    <x:row r="4" ht="33" customHeight="1">
      <x:c r="A4" s="14" t="str">
        <x:v>Ambiguous link</x:v>
      </x:c>
      <x:c r="B4" s="14" t="str">
        <x:v>Gap greater than 10 minutes. Retained as a candidate link but excluded from the primary metric.</x:v>
      </x:c>
    </x:row>
    <x:row r="5" ht="33" customHeight="1">
      <x:c r="A5" s="14" t="str">
        <x:v>Definitive top-level match</x:v>
      </x:c>
      <x:c r="B5" s="14" t="str">
        <x:v>Exact Qdrant/case ID equality between a cited sourceCases.caseId and a retrieved result ID.</x:v>
      </x:c>
    </x:row>
    <x:row r="6" ht="33" customHeight="1">
      <x:c r="A6" s="14" t="str">
        <x:v>High top-level match</x:v>
      </x:c>
      <x:c r="B6" s="14" t="str">
        <x:v>Exact neutral/law-report citation, exact normalized case title, or conservative title containment.</x:v>
      </x:c>
    </x:row>
    <x:row r="7" ht="33" customHeight="1">
      <x:c r="A7" s="14" t="str">
        <x:v>Probable match</x:v>
      </x:c>
      <x:c r="B7" s="14" t="str">
        <x:v>Token similarity of at least 0.80 with at least two substantive tokens; requires manual review.</x:v>
      </x:c>
    </x:row>
    <x:row r="8" ht="33" customHeight="1">
      <x:c r="A8" s="14" t="str">
        <x:v>Not retrieved</x:v>
      </x:c>
      <x:c r="B8" s="14" t="str">
        <x:v>No acceptable match to any top-level result in the linked search.</x:v>
      </x:c>
    </x:row>
    <x:row r="9" ht="33" customHeight="1">
      <x:c r="A9" s="14" t="str">
        <x:v>Indirect mention</x:v>
      </x:c>
      <x:c r="B9" s="14" t="str">
        <x:v>The authority name appears only in matching_chunks.cited_cases inside another retrieved result. This is not counted as retrieval of the authority's record.</x:v>
      </x:c>
    </x:row>
    <x:row r="10" ht="33" customHeight="1">
      <x:c r="A10" s="14" t="str">
        <x:v>Primary denominator</x:v>
      </x:c>
      <x:c r="B10" s="14" t="str">
        <x:v>Unique case-authority pairs from confirmed judgment-search links only.</x:v>
      </x:c>
    </x:row>
    <x:row r="11" ht="33" customHeight="1">
      <x:c r="A11" s="14" t="str">
        <x:v>Limitation</x:v>
      </x:c>
      <x:c r="B11" s="14" t="str">
        <x:v>Automated matching is conservative but not a legal validity assessment. Probable and ambiguous rows require manual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2cf1f7571e6d4e8b"/>
  </x:tableParts>
</x:worksheet>
</file>